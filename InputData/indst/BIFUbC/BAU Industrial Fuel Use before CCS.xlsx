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2" documentId="13_ncr:1_{CA45016B-3071-4B08-A702-A511E254DCFB}" xr6:coauthVersionLast="47" xr6:coauthVersionMax="47" xr10:uidLastSave="{CF553CF2-EB65-45A3-AB04-68A3DF0E7D67}"/>
  <bookViews>
    <workbookView xWindow="-120" yWindow="-120" windowWidth="20730" windowHeight="11040" tabRatio="939" firstSheet="12" activeTab="5" xr2:uid="{6E6E76EC-F9E9-4BA1-AC5E-F533B5BF0EA0}"/>
  </bookViews>
  <sheets>
    <sheet name="About" sheetId="11" r:id="rId1"/>
    <sheet name="A.18" sheetId="14" r:id="rId2"/>
    <sheet name="A.15" sheetId="16" r:id="rId3"/>
    <sheet name="Esc" sheetId="17" r:id="rId4"/>
    <sheet name="Calculations PJ" sheetId="18" r:id="rId5"/>
    <sheet name="Calculations BTU" sheetId="15" r:id="rId6"/>
    <sheet name="BIFUbC-electricity" sheetId="1" r:id="rId7"/>
    <sheet name="BIFUbC-coal" sheetId="2" r:id="rId8"/>
    <sheet name="BIFUbC-natural-gas" sheetId="3" r:id="rId9"/>
    <sheet name="BIFUbC-petroleum-diesel" sheetId="5" r:id="rId10"/>
    <sheet name="BIFUbC-heat" sheetId="6" r:id="rId11"/>
    <sheet name="BIFUbC-biomass" sheetId="4" r:id="rId12"/>
    <sheet name="BIFUbC-crude-oil" sheetId="7" r:id="rId13"/>
    <sheet name="BIFUbC-heavy-or-residual-oil" sheetId="8" r:id="rId14"/>
    <sheet name="BIFUbC-LPG-propane-or-butane" sheetId="9" r:id="rId15"/>
    <sheet name="BIFUbC-hydrogen" sheetId="10" r:id="rId16"/>
  </sheets>
  <externalReferences>
    <externalReference r:id="rId17"/>
    <externalReference r:id="rId18"/>
    <externalReference r:id="rId19"/>
    <externalReference r:id="rId20"/>
  </externalReferences>
  <definedNames>
    <definedName name="A.a.Scenario.EcoGrowth">[1]Control!$E$72</definedName>
    <definedName name="A.a.Scenario.Population">[1]Control!$E$71</definedName>
    <definedName name="Constants.Density.JetFuel">[1]Constants!$C$37</definedName>
    <definedName name="Constants.GCV.ATF">[1]Constants!$C$18</definedName>
    <definedName name="Constants.GCV.Diesel">[1]Constants!$C$17</definedName>
    <definedName name="Constants.GCV.NaturalGasProduced">[1]Constants!$C$21</definedName>
    <definedName name="Conversion.Barril.to.litres">[1]Conversions!$E$72</definedName>
    <definedName name="Conversion.to.annual.energy">[1]Conversions!$E$62</definedName>
    <definedName name="Conversion.to.average.power">[1]Conversions!$E$61</definedName>
    <definedName name="Conversion.to.energy.per.second">[1]Conversions!$E$63</definedName>
    <definedName name="Conversion.UKgallons.to.litres">[1]Conversions!$E$69</definedName>
    <definedName name="Conversions.Area.m2">[1]Conversions!$E$50:$E$55</definedName>
    <definedName name="Conversions.Area.Units">[1]Conversions!$B$50:$B$55</definedName>
    <definedName name="Conversions.Energy.Joules">[1]Conversions!$E$5:$E$26</definedName>
    <definedName name="Conversions.Energy.Units">[1]Conversions!$B$5:$B$26</definedName>
    <definedName name="Conversions.Money.MXP">[1]Conversions!$F$78:$F$90</definedName>
    <definedName name="Conversions.Money.Units">[1]Conversions!$B$78:$B$90</definedName>
    <definedName name="Conversions.Power.Units">[1]Conversions!$B$31:$B$36</definedName>
    <definedName name="Conversions.Power.Watts">[1]Conversions!$E$31:$E$36</definedName>
    <definedName name="Conversions.Time.Seconds">[1]Conversions!$E$41:$E$45</definedName>
    <definedName name="Conversions.Time.Units">[1]Conversions!$B$41:$B$45</definedName>
    <definedName name="Cost.FinanceCostTable">'[1]Global assumptions'!$B$41:$I$90</definedName>
    <definedName name="discount_factors">'[1]Global assumptions'!$D$33:$K$33</definedName>
    <definedName name="Discount_rate">'[1]Global assumptions'!$C$32</definedName>
    <definedName name="EF.BlastFurnaceGas.CO2">[1]Constants!$F$11</definedName>
    <definedName name="EF.Diesel.CH4">[1]Constants!$G$9</definedName>
    <definedName name="EF.Diesel.CO2">[1]Constants!$F$9</definedName>
    <definedName name="EF.Diesel.N2O">[1]Constants!$H$9</definedName>
    <definedName name="EF.IndustrialCoal.CH4">[1]Constants!$G$8</definedName>
    <definedName name="EF.IndustrialCoal.CO2">[1]Constants!$F$8</definedName>
    <definedName name="EF.IndustrialCoal.N2O">[1]Constants!$H$8</definedName>
    <definedName name="EF.NaturalGas.CH4">[1]Constants!$G$10</definedName>
    <definedName name="EF.NaturalGas.CO2">[1]Constants!$F$10</definedName>
    <definedName name="EF.NaturalGas.N2O">[1]Constants!$H$10</definedName>
    <definedName name="Fraction_coal">[2]About!#REF!</definedName>
    <definedName name="gal_per_barrel">[3]About!$A$63</definedName>
    <definedName name="GBP">[1]Conversions!$E$90</definedName>
    <definedName name="Global.MEXIncidentSolarEnergy">'[1]Global assumptions'!$D$26</definedName>
    <definedName name="GWP.CH4">[1]Constants!$K$9</definedName>
    <definedName name="GWP.N2O">[1]Constants!$K$10</definedName>
    <definedName name="I.a.Scenario">[1]Control!$E$6</definedName>
    <definedName name="I.b.1.Scenario">[1]Control!$E$8</definedName>
    <definedName name="II.a.Scenario">[1]Control!$E$5</definedName>
    <definedName name="III.a.Scenario">[1]Control!$E$10</definedName>
    <definedName name="III.b.Scenario">[1]Control!$E$11</definedName>
    <definedName name="III.c.Scenario">[1]Control!$E$12</definedName>
    <definedName name="III.d.Scenario">[1]Control!$E$13</definedName>
    <definedName name="III.e.Scenario">[1]Control!$E$14</definedName>
    <definedName name="IV.a.Scenario">[1]Control!$E$15</definedName>
    <definedName name="IX.a.Scenario.Comfort">[1]Control!#REF!</definedName>
    <definedName name="IX.a.Scenario.HHSize">[1]Control!#REF!</definedName>
    <definedName name="IX.a.Scenario.Insulation">[1]Control!$E$43</definedName>
    <definedName name="IX.a.Scenario.Technology">[1]Control!$E$44</definedName>
    <definedName name="IX.c.Scenario.Technology">[1]Control!$E$55</definedName>
    <definedName name="MGBP">[1]Conversions!$E$85</definedName>
    <definedName name="MMXP">[1]Conversions!$E$80</definedName>
    <definedName name="MUSD">[1]Conversions!$E$88</definedName>
    <definedName name="MXP">[1]Conversions!$E$82</definedName>
    <definedName name="Peak_Electricity_Generation_Capacity">'[1]Intermediate output'!$AY$132:$BG$132</definedName>
    <definedName name="Percent_rural">[2]About!#REF!</definedName>
    <definedName name="Percent_urban">[2]About!#REF!</definedName>
    <definedName name="plantsize.I.a.bio">[1]I.a!$F$93</definedName>
    <definedName name="plantsize.I.a.coal">[1]I.a!$F$90</definedName>
    <definedName name="plantsize.I.a.gas">[1]I.a!$F$92</definedName>
    <definedName name="plantsize.I.a.oil">[1]I.a!$F$91</definedName>
    <definedName name="plantsize.I.b.carboCCS">[1]I.b!$F$98</definedName>
    <definedName name="plantsize.I.b.ccCCS">[1]I.b!$F$97</definedName>
    <definedName name="plantsize.II.a">[1]II.a!$F$74</definedName>
    <definedName name="plantsize.III.a.1">[1]III.a!$F$70</definedName>
    <definedName name="plantsize.III.a.2">[1]III.a!$G$70</definedName>
    <definedName name="plantsize.III.b">[1]III.b!$F$51</definedName>
    <definedName name="plantsize.III.b.mini">[1]III.b!$F$50</definedName>
    <definedName name="plantsize.III.c.TidalStream">[1]III.c!$F$56</definedName>
    <definedName name="plantsize.III.c.wave">[1]III.c!$F$54</definedName>
    <definedName name="plantsize.III.d">[1]III.d!$F$37</definedName>
    <definedName name="plantsize.III.e.conc">[1]III.e!$E$53</definedName>
    <definedName name="plantsize.III.e.FV">[1]III.e!$E$52</definedName>
    <definedName name="plantsize.IV.a">[1]IV.a!$E$49</definedName>
    <definedName name="plantsize.IV.b">[1]IV.b!$E$81</definedName>
    <definedName name="plantsize.V.a.Dry_bio_and_waste_to_gas">[1]V.a!$F$86</definedName>
    <definedName name="plantsize.V.a.Dry_bio_and_waste_to_liquid">[1]V.a!$F$85</definedName>
    <definedName name="plantsize.V.a.Dry_bio_and_waste_to_solid">[1]V.a!$F$84</definedName>
    <definedName name="plantsize.V.a.Energy_crops_1st_generation_to_gas">[1]V.a!$F$95</definedName>
    <definedName name="plantsize.V.a.Energy_crops_1st_generation_to_liquid">[1]V.a!$F$94</definedName>
    <definedName name="plantsize.V.a.Energy_crops_1st_generation_to_solid">[1]V.a!$F$93</definedName>
    <definedName name="plantsize.V.a.Energy_crops_2nd_generation_to_gas">[1]V.a!$F$92</definedName>
    <definedName name="plantsize.V.a.Energy_crops_2nd_generation_to_liquid">[1]V.a!$F$91</definedName>
    <definedName name="plantsize.V.a.Energy_crops_2nd_generation_to_solid">[1]V.a!$F$90</definedName>
    <definedName name="plantsize.V.a.Gaseous_waste_to_gas">[1]V.a!$F$98</definedName>
    <definedName name="plantsize.V.a.Gaseous_waste_to_liquid">[1]V.a!$F$97</definedName>
    <definedName name="plantsize.V.a.Gaseous_waste_to_solid">[1]V.a!$F$96</definedName>
    <definedName name="plantsize.V.a.Wet_bio_and_waste_to_gas">[1]V.a!$F$89</definedName>
    <definedName name="plantsize.V.a.Wet_bio_and_waste_to_liquid">[1]V.a!$F$88</definedName>
    <definedName name="plantsize.V.a.Wet_bio_and_waste_to_solid">[1]V.a!$F$87</definedName>
    <definedName name="plantsize.VI.b.Capturing_landfill_gas">[1]VI.b!$E$361</definedName>
    <definedName name="plantsize.VI.b.Landfill_site">[1]VI.b!$E$356</definedName>
    <definedName name="plantsize.VI.b.Recovering_landfill_gas">[1]VI.b!$E$362</definedName>
    <definedName name="plantsize.VI.b.Recovering_sewage_sludge">[1]VI.b!$E$367</definedName>
    <definedName name="Preferences.AreaUnits">[1]Preferences!$C$7</definedName>
    <definedName name="Preferences.EnergyUnits">[1]Preferences!$C$3</definedName>
    <definedName name="Preferences.moneyunits">[1]Preferences!$C$9</definedName>
    <definedName name="Preferences.PowerUnits">[1]Preferences!$C$5</definedName>
    <definedName name="Preferences.TimeUnits">[1]Preferences!$C$11</definedName>
    <definedName name="Preferences.Unit.Energy">[1]Preferences!$F$3</definedName>
    <definedName name="Preferences.Unit.Power">[1]Preferences!$F$5</definedName>
    <definedName name="Price2000">[1]Conversions!$D$106</definedName>
    <definedName name="Price2008">[1]Conversions!$D$114</definedName>
    <definedName name="Price2009">[1]Conversions!$D$115</definedName>
    <definedName name="Price2010">[1]Conversions!$D$116</definedName>
    <definedName name="Price2011">[1]Conversions!$D$117</definedName>
    <definedName name="quadrillion">[2]About!$B$62</definedName>
    <definedName name="Table4">#REF!</definedName>
    <definedName name="Table4_1">#REF!</definedName>
    <definedName name="Table4_A">#REF!</definedName>
    <definedName name="Table5">#REF!</definedName>
    <definedName name="Table5_1">#REF!</definedName>
    <definedName name="Table5_A">#REF!</definedName>
    <definedName name="Unit.day">[1]Conversions!$F$42</definedName>
    <definedName name="Unit.GJ">[1]Conversions!$F$7</definedName>
    <definedName name="Unit.GW">[1]Conversions!$F$31</definedName>
    <definedName name="Unit.GWh">[1]Conversions!$F$13</definedName>
    <definedName name="Unit.ha">[1]Conversions!$F$50</definedName>
    <definedName name="Unit.hour">[1]Conversions!$F$43</definedName>
    <definedName name="Unit.J">[1]Conversions!$F$8</definedName>
    <definedName name="Unit.km2">[1]Conversions!$F$53</definedName>
    <definedName name="Unit.kW">[1]Conversions!$F$33</definedName>
    <definedName name="Unit.kWh">[1]Conversions!$F$10</definedName>
    <definedName name="Unit.m2">[1]Conversions!$F$54</definedName>
    <definedName name="Unit.Mboe">[1]Conversions!$F$16</definedName>
    <definedName name="Unit.Mha">[1]Conversions!$F$51</definedName>
    <definedName name="Unit.MJ">[1]Conversions!$F$9</definedName>
    <definedName name="Unit.MW">[1]Conversions!$F$32</definedName>
    <definedName name="Unit.MWh">[1]Conversions!$F$14</definedName>
    <definedName name="Unit.PJ">[1]Conversions!$F$5</definedName>
    <definedName name="Unit.second">[1]Conversions!$F$45</definedName>
    <definedName name="Unit.therm">[1]Conversions!$F$20</definedName>
    <definedName name="Unit.TJ">[1]Conversions!$F$6</definedName>
    <definedName name="Unit.TWh">[1]Conversions!$F$12</definedName>
    <definedName name="Unit.W">[1]Conversions!$F$34</definedName>
    <definedName name="Unit.year">[1]Conversions!$F$41</definedName>
    <definedName name="UrbFrac">'[4]MX urban Rural'!$B$3</definedName>
    <definedName name="USD">[1]Conversions!$E$89</definedName>
    <definedName name="VI.a.1.Scenario">[1]Control!$E$18</definedName>
    <definedName name="VI.a.2.Scenario">[1]Control!$E$19</definedName>
    <definedName name="VI.a.3.Scenario">[1]Control!$E$20</definedName>
    <definedName name="VI.a.5.Scenario">[1]Control!$E$21</definedName>
    <definedName name="VI.b.Scenario.WasteMgmt">[1]Control!$E$25</definedName>
    <definedName name="VI.b.Scenario.WasteVolume">[1]Control!$E$24</definedName>
    <definedName name="VI.c.Scenario">[1]Control!$E$22</definedName>
    <definedName name="VI.d.Scenario.Deforestation">[1]Control!$E$60</definedName>
    <definedName name="VI.d.Scenario.Reforestation">[1]Control!$E$61</definedName>
    <definedName name="VII.c.Scenario">[1]Control!$E$64</definedName>
    <definedName name="X.a.Scenario.Demand">[1]Control!$E$46</definedName>
    <definedName name="X.b.Scenario.Demand">[1]Control!$E$57</definedName>
    <definedName name="X.c.Scenario.CookingFuels">[1]Control!$E$48</definedName>
    <definedName name="X.c.Scenario.Fuelwood">[1]Control!$E$49</definedName>
    <definedName name="XI.a.Scenario.Efficiency">[1]Control!$E$52</definedName>
    <definedName name="XI.a.Scenario.Output">[1]Control!$E$51</definedName>
    <definedName name="XIa.Scenario.CCS">[1]Control!$E$53</definedName>
    <definedName name="XII.a.Scenario.Demand">[1]Control!$E$31</definedName>
    <definedName name="XII.a.Scenario.ModalShift">[1]Control!$E$32</definedName>
    <definedName name="XII.a.Scenario.Technology">[1]Control!$E$33</definedName>
    <definedName name="XII.b.Scenario.Efficiency">[1]Control!$E$38</definedName>
    <definedName name="XII.b.Scenario.ModalShift">[1]Control!$E$39</definedName>
    <definedName name="XII.d.Scenario.Efficiency">[1]Control!$E$35</definedName>
    <definedName name="XII.d.Scenario.ModalShift">[1]Control!$E$36</definedName>
    <definedName name="XV.b.Scenario.Output">[1]Control!$E$70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6" i="7" l="1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" i="10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4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5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2" i="9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" i="8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" i="4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" i="6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" i="5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" i="3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2" i="2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  <c r="BH235" i="15"/>
  <c r="BG235" i="15"/>
  <c r="BF235" i="15"/>
  <c r="BE235" i="15"/>
  <c r="BD235" i="15"/>
  <c r="BC235" i="15"/>
  <c r="BB235" i="15"/>
  <c r="BA235" i="15"/>
  <c r="AZ235" i="15"/>
  <c r="AY235" i="15"/>
  <c r="AX235" i="15"/>
  <c r="AW235" i="15"/>
  <c r="AV235" i="15"/>
  <c r="AU235" i="15"/>
  <c r="AT235" i="15"/>
  <c r="AS235" i="15"/>
  <c r="AR235" i="15"/>
  <c r="AQ235" i="15"/>
  <c r="AP235" i="15"/>
  <c r="AO235" i="15"/>
  <c r="AN235" i="15"/>
  <c r="AM235" i="15"/>
  <c r="AL235" i="15"/>
  <c r="AK235" i="15"/>
  <c r="AJ235" i="15"/>
  <c r="AI235" i="15"/>
  <c r="AH235" i="15"/>
  <c r="AG235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H234" i="15"/>
  <c r="BG234" i="15"/>
  <c r="BF234" i="15"/>
  <c r="BE234" i="15"/>
  <c r="BD234" i="15"/>
  <c r="BC234" i="15"/>
  <c r="BB234" i="15"/>
  <c r="BA234" i="15"/>
  <c r="AZ234" i="15"/>
  <c r="AY234" i="15"/>
  <c r="AX234" i="15"/>
  <c r="AW234" i="15"/>
  <c r="AV234" i="15"/>
  <c r="AU234" i="15"/>
  <c r="AT234" i="15"/>
  <c r="AS234" i="15"/>
  <c r="AR234" i="15"/>
  <c r="AQ234" i="15"/>
  <c r="AP234" i="15"/>
  <c r="AO234" i="15"/>
  <c r="AN234" i="15"/>
  <c r="AM234" i="15"/>
  <c r="AL234" i="15"/>
  <c r="AK234" i="15"/>
  <c r="AJ234" i="15"/>
  <c r="AI234" i="15"/>
  <c r="AH234" i="15"/>
  <c r="AG234" i="15"/>
  <c r="AF234" i="15"/>
  <c r="AE234" i="15"/>
  <c r="AD234" i="15"/>
  <c r="AC234" i="15"/>
  <c r="AB234" i="15"/>
  <c r="AA234" i="15"/>
  <c r="Z234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H233" i="15"/>
  <c r="BG233" i="15"/>
  <c r="BF233" i="15"/>
  <c r="BE233" i="15"/>
  <c r="BD233" i="15"/>
  <c r="BC233" i="15"/>
  <c r="BB233" i="15"/>
  <c r="BA233" i="15"/>
  <c r="AZ233" i="15"/>
  <c r="AY233" i="15"/>
  <c r="AX233" i="15"/>
  <c r="AW233" i="15"/>
  <c r="AV233" i="15"/>
  <c r="AU233" i="15"/>
  <c r="AT233" i="15"/>
  <c r="AS233" i="15"/>
  <c r="AR233" i="15"/>
  <c r="AQ233" i="15"/>
  <c r="AP233" i="15"/>
  <c r="AO233" i="15"/>
  <c r="AN233" i="15"/>
  <c r="AM233" i="15"/>
  <c r="AL233" i="15"/>
  <c r="AK233" i="15"/>
  <c r="AJ233" i="15"/>
  <c r="AI233" i="15"/>
  <c r="AH233" i="15"/>
  <c r="AG233" i="15"/>
  <c r="AF233" i="15"/>
  <c r="AE233" i="15"/>
  <c r="AD233" i="15"/>
  <c r="AC233" i="15"/>
  <c r="AB233" i="15"/>
  <c r="AA233" i="15"/>
  <c r="Z233" i="15"/>
  <c r="Y233" i="15"/>
  <c r="X233" i="15"/>
  <c r="W233" i="15"/>
  <c r="V233" i="15"/>
  <c r="U233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H232" i="15"/>
  <c r="BG232" i="15"/>
  <c r="BF232" i="15"/>
  <c r="BE232" i="15"/>
  <c r="BD232" i="15"/>
  <c r="BC232" i="15"/>
  <c r="BB232" i="15"/>
  <c r="BA232" i="15"/>
  <c r="AZ232" i="15"/>
  <c r="AY232" i="15"/>
  <c r="AX232" i="15"/>
  <c r="AW232" i="15"/>
  <c r="AV232" i="15"/>
  <c r="AU232" i="15"/>
  <c r="AT232" i="15"/>
  <c r="AS232" i="15"/>
  <c r="AR232" i="15"/>
  <c r="AQ232" i="15"/>
  <c r="AP232" i="15"/>
  <c r="AO232" i="15"/>
  <c r="AN232" i="15"/>
  <c r="AM232" i="15"/>
  <c r="AL232" i="15"/>
  <c r="AK232" i="15"/>
  <c r="AJ232" i="15"/>
  <c r="AI232" i="15"/>
  <c r="AH232" i="15"/>
  <c r="AG232" i="15"/>
  <c r="AF232" i="15"/>
  <c r="AE232" i="15"/>
  <c r="AD232" i="15"/>
  <c r="AC232" i="15"/>
  <c r="AB232" i="15"/>
  <c r="AA232" i="15"/>
  <c r="Z232" i="15"/>
  <c r="Y232" i="15"/>
  <c r="X232" i="15"/>
  <c r="W232" i="15"/>
  <c r="V232" i="15"/>
  <c r="U232" i="15"/>
  <c r="T232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H231" i="15"/>
  <c r="BG231" i="15"/>
  <c r="BF231" i="15"/>
  <c r="BE231" i="15"/>
  <c r="BD231" i="15"/>
  <c r="BC231" i="15"/>
  <c r="BB231" i="15"/>
  <c r="BA231" i="15"/>
  <c r="AZ231" i="15"/>
  <c r="AY231" i="15"/>
  <c r="AX231" i="15"/>
  <c r="AW231" i="15"/>
  <c r="AV231" i="15"/>
  <c r="AU231" i="15"/>
  <c r="AT231" i="15"/>
  <c r="AS231" i="15"/>
  <c r="AR231" i="15"/>
  <c r="AQ231" i="15"/>
  <c r="AP231" i="15"/>
  <c r="AO231" i="15"/>
  <c r="AN231" i="15"/>
  <c r="AM231" i="15"/>
  <c r="AL231" i="15"/>
  <c r="AK231" i="15"/>
  <c r="AJ231" i="15"/>
  <c r="AI231" i="15"/>
  <c r="AH231" i="15"/>
  <c r="AG231" i="15"/>
  <c r="AF231" i="15"/>
  <c r="AE231" i="15"/>
  <c r="AD231" i="15"/>
  <c r="AC231" i="15"/>
  <c r="AB231" i="15"/>
  <c r="AA231" i="15"/>
  <c r="Z231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H230" i="15"/>
  <c r="BG230" i="15"/>
  <c r="BF230" i="15"/>
  <c r="BE230" i="15"/>
  <c r="BD230" i="15"/>
  <c r="BC230" i="15"/>
  <c r="BB230" i="15"/>
  <c r="BA230" i="15"/>
  <c r="AZ230" i="15"/>
  <c r="AY230" i="15"/>
  <c r="AX230" i="15"/>
  <c r="AW230" i="15"/>
  <c r="AV230" i="15"/>
  <c r="AU230" i="15"/>
  <c r="AT230" i="15"/>
  <c r="AS230" i="15"/>
  <c r="AR230" i="15"/>
  <c r="AQ230" i="15"/>
  <c r="AP230" i="15"/>
  <c r="AO230" i="15"/>
  <c r="AN230" i="15"/>
  <c r="AM230" i="15"/>
  <c r="AL230" i="15"/>
  <c r="AK230" i="15"/>
  <c r="AJ230" i="15"/>
  <c r="AI230" i="15"/>
  <c r="AH230" i="15"/>
  <c r="AG230" i="15"/>
  <c r="AF230" i="15"/>
  <c r="AE230" i="15"/>
  <c r="AD230" i="15"/>
  <c r="AC230" i="15"/>
  <c r="AB230" i="15"/>
  <c r="AA230" i="15"/>
  <c r="Z230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H229" i="15"/>
  <c r="BG229" i="15"/>
  <c r="BF229" i="15"/>
  <c r="BE229" i="15"/>
  <c r="BD229" i="15"/>
  <c r="BC229" i="15"/>
  <c r="BB229" i="15"/>
  <c r="BA229" i="15"/>
  <c r="AZ229" i="15"/>
  <c r="AY229" i="15"/>
  <c r="AX229" i="15"/>
  <c r="AW229" i="15"/>
  <c r="AV229" i="15"/>
  <c r="AU229" i="15"/>
  <c r="AT229" i="15"/>
  <c r="AS229" i="15"/>
  <c r="AR229" i="15"/>
  <c r="AQ229" i="15"/>
  <c r="AP229" i="15"/>
  <c r="AO229" i="15"/>
  <c r="AN229" i="15"/>
  <c r="AM229" i="15"/>
  <c r="AL229" i="15"/>
  <c r="AK229" i="15"/>
  <c r="AJ229" i="15"/>
  <c r="AI229" i="15"/>
  <c r="AH229" i="15"/>
  <c r="AG229" i="15"/>
  <c r="AF229" i="15"/>
  <c r="AE229" i="15"/>
  <c r="AD229" i="15"/>
  <c r="AC229" i="15"/>
  <c r="AB229" i="15"/>
  <c r="AA229" i="15"/>
  <c r="Z229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H228" i="15"/>
  <c r="BG228" i="15"/>
  <c r="BF228" i="15"/>
  <c r="BE228" i="15"/>
  <c r="BD228" i="15"/>
  <c r="BC228" i="15"/>
  <c r="BB228" i="15"/>
  <c r="BA228" i="15"/>
  <c r="AZ228" i="15"/>
  <c r="AY228" i="15"/>
  <c r="AX228" i="15"/>
  <c r="AW228" i="15"/>
  <c r="AV228" i="15"/>
  <c r="AU228" i="15"/>
  <c r="AT228" i="15"/>
  <c r="AS228" i="15"/>
  <c r="AR228" i="15"/>
  <c r="AQ228" i="15"/>
  <c r="AP228" i="15"/>
  <c r="AO228" i="15"/>
  <c r="AN228" i="15"/>
  <c r="AM228" i="15"/>
  <c r="AL228" i="15"/>
  <c r="AK228" i="15"/>
  <c r="AJ228" i="15"/>
  <c r="AI228" i="15"/>
  <c r="AH228" i="15"/>
  <c r="AG228" i="15"/>
  <c r="AF228" i="15"/>
  <c r="AE228" i="15"/>
  <c r="AD228" i="15"/>
  <c r="AC228" i="15"/>
  <c r="AB228" i="15"/>
  <c r="AA228" i="15"/>
  <c r="Z228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H227" i="15"/>
  <c r="BG227" i="15"/>
  <c r="BF227" i="15"/>
  <c r="BE227" i="15"/>
  <c r="BD227" i="15"/>
  <c r="BC227" i="15"/>
  <c r="BB227" i="15"/>
  <c r="BA227" i="15"/>
  <c r="AZ227" i="15"/>
  <c r="AY227" i="15"/>
  <c r="AX227" i="15"/>
  <c r="AW227" i="15"/>
  <c r="AV227" i="15"/>
  <c r="AU227" i="15"/>
  <c r="AT227" i="15"/>
  <c r="AS227" i="15"/>
  <c r="AR227" i="15"/>
  <c r="AQ227" i="15"/>
  <c r="AP227" i="15"/>
  <c r="AO227" i="15"/>
  <c r="AN227" i="15"/>
  <c r="AM227" i="15"/>
  <c r="AL227" i="15"/>
  <c r="AK227" i="15"/>
  <c r="AJ227" i="15"/>
  <c r="AI227" i="15"/>
  <c r="AH227" i="15"/>
  <c r="AG227" i="15"/>
  <c r="AF227" i="15"/>
  <c r="AE227" i="15"/>
  <c r="AD227" i="15"/>
  <c r="AC227" i="15"/>
  <c r="AB227" i="15"/>
  <c r="AA227" i="15"/>
  <c r="Z227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H226" i="15"/>
  <c r="BG226" i="15"/>
  <c r="BF226" i="15"/>
  <c r="BE226" i="15"/>
  <c r="BD226" i="15"/>
  <c r="BC226" i="15"/>
  <c r="BB226" i="15"/>
  <c r="BA226" i="15"/>
  <c r="AZ226" i="15"/>
  <c r="AY226" i="15"/>
  <c r="AX226" i="15"/>
  <c r="AW226" i="15"/>
  <c r="AV226" i="15"/>
  <c r="AU226" i="15"/>
  <c r="AT226" i="15"/>
  <c r="AS226" i="15"/>
  <c r="AR226" i="15"/>
  <c r="AQ226" i="15"/>
  <c r="AP226" i="15"/>
  <c r="AO226" i="15"/>
  <c r="AN226" i="15"/>
  <c r="AM226" i="15"/>
  <c r="AL226" i="15"/>
  <c r="AK226" i="15"/>
  <c r="AJ226" i="15"/>
  <c r="AI226" i="15"/>
  <c r="AH226" i="15"/>
  <c r="AG226" i="15"/>
  <c r="AF226" i="15"/>
  <c r="AE226" i="15"/>
  <c r="AD226" i="15"/>
  <c r="AC226" i="15"/>
  <c r="AB226" i="15"/>
  <c r="AA226" i="15"/>
  <c r="Z226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H225" i="15"/>
  <c r="BG225" i="15"/>
  <c r="BF225" i="15"/>
  <c r="BE225" i="15"/>
  <c r="BD225" i="15"/>
  <c r="BC225" i="15"/>
  <c r="BB225" i="15"/>
  <c r="BA225" i="15"/>
  <c r="AZ225" i="15"/>
  <c r="AY225" i="15"/>
  <c r="AX225" i="15"/>
  <c r="AW225" i="15"/>
  <c r="AV225" i="15"/>
  <c r="AU225" i="15"/>
  <c r="AT225" i="15"/>
  <c r="AS225" i="15"/>
  <c r="AR225" i="15"/>
  <c r="AQ225" i="15"/>
  <c r="AP225" i="15"/>
  <c r="AO225" i="15"/>
  <c r="AN225" i="15"/>
  <c r="AM225" i="15"/>
  <c r="AL225" i="15"/>
  <c r="AK225" i="15"/>
  <c r="AJ225" i="15"/>
  <c r="AI225" i="15"/>
  <c r="AH225" i="15"/>
  <c r="AG225" i="15"/>
  <c r="AF225" i="15"/>
  <c r="AE225" i="15"/>
  <c r="AD225" i="15"/>
  <c r="AC225" i="15"/>
  <c r="AB225" i="15"/>
  <c r="AA225" i="15"/>
  <c r="Z225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H224" i="15"/>
  <c r="BG224" i="15"/>
  <c r="BF224" i="15"/>
  <c r="BE224" i="15"/>
  <c r="BD224" i="15"/>
  <c r="BC224" i="15"/>
  <c r="BB224" i="15"/>
  <c r="BA224" i="15"/>
  <c r="AZ224" i="15"/>
  <c r="AY224" i="15"/>
  <c r="AX224" i="15"/>
  <c r="AW224" i="15"/>
  <c r="AV224" i="15"/>
  <c r="AU224" i="15"/>
  <c r="AT224" i="15"/>
  <c r="AS224" i="15"/>
  <c r="AR224" i="15"/>
  <c r="AQ224" i="15"/>
  <c r="AP224" i="15"/>
  <c r="AO224" i="15"/>
  <c r="AN224" i="15"/>
  <c r="AM224" i="15"/>
  <c r="AL224" i="15"/>
  <c r="AK224" i="15"/>
  <c r="AJ224" i="15"/>
  <c r="AI224" i="15"/>
  <c r="AH224" i="15"/>
  <c r="AG224" i="15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H223" i="15"/>
  <c r="BG223" i="15"/>
  <c r="BF223" i="15"/>
  <c r="BE223" i="15"/>
  <c r="BD223" i="15"/>
  <c r="BC223" i="15"/>
  <c r="BB223" i="15"/>
  <c r="BA223" i="15"/>
  <c r="AZ223" i="15"/>
  <c r="AY223" i="15"/>
  <c r="AX223" i="15"/>
  <c r="AW223" i="15"/>
  <c r="AV223" i="15"/>
  <c r="AU223" i="15"/>
  <c r="AT223" i="15"/>
  <c r="AS223" i="15"/>
  <c r="AR223" i="15"/>
  <c r="AQ223" i="15"/>
  <c r="AP223" i="15"/>
  <c r="AO223" i="15"/>
  <c r="AN223" i="15"/>
  <c r="AM223" i="15"/>
  <c r="AL223" i="15"/>
  <c r="AK223" i="15"/>
  <c r="AJ223" i="15"/>
  <c r="AI223" i="15"/>
  <c r="AH223" i="15"/>
  <c r="AG223" i="15"/>
  <c r="AF223" i="15"/>
  <c r="AE223" i="15"/>
  <c r="AD223" i="15"/>
  <c r="AC223" i="15"/>
  <c r="AB223" i="15"/>
  <c r="AA223" i="15"/>
  <c r="Z223" i="15"/>
  <c r="Y223" i="15"/>
  <c r="X223" i="15"/>
  <c r="W223" i="15"/>
  <c r="V223" i="15"/>
  <c r="U223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H222" i="15"/>
  <c r="BG222" i="15"/>
  <c r="BF222" i="15"/>
  <c r="BE222" i="15"/>
  <c r="BD222" i="15"/>
  <c r="BC222" i="15"/>
  <c r="BB222" i="15"/>
  <c r="BA222" i="15"/>
  <c r="AZ222" i="15"/>
  <c r="AY222" i="15"/>
  <c r="AX222" i="15"/>
  <c r="AW222" i="15"/>
  <c r="AV222" i="15"/>
  <c r="AU222" i="15"/>
  <c r="AT222" i="15"/>
  <c r="AS222" i="15"/>
  <c r="AR222" i="15"/>
  <c r="AQ222" i="15"/>
  <c r="AP222" i="15"/>
  <c r="AO222" i="15"/>
  <c r="AN222" i="15"/>
  <c r="AM222" i="15"/>
  <c r="AL222" i="15"/>
  <c r="AK222" i="15"/>
  <c r="AJ222" i="15"/>
  <c r="AI222" i="15"/>
  <c r="AH222" i="15"/>
  <c r="AG222" i="15"/>
  <c r="AF222" i="15"/>
  <c r="AE222" i="15"/>
  <c r="AD222" i="15"/>
  <c r="AC222" i="15"/>
  <c r="AB222" i="15"/>
  <c r="AA222" i="15"/>
  <c r="Z222" i="15"/>
  <c r="Y222" i="15"/>
  <c r="X222" i="15"/>
  <c r="W222" i="15"/>
  <c r="V222" i="15"/>
  <c r="U222" i="15"/>
  <c r="T222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H221" i="15"/>
  <c r="BG221" i="15"/>
  <c r="BF221" i="15"/>
  <c r="BE221" i="15"/>
  <c r="BD221" i="15"/>
  <c r="BC221" i="15"/>
  <c r="BB221" i="15"/>
  <c r="BA221" i="15"/>
  <c r="AZ221" i="15"/>
  <c r="AY221" i="15"/>
  <c r="AX221" i="15"/>
  <c r="AW221" i="15"/>
  <c r="AV221" i="15"/>
  <c r="AU221" i="15"/>
  <c r="AT221" i="15"/>
  <c r="AS221" i="15"/>
  <c r="AR221" i="15"/>
  <c r="AQ221" i="15"/>
  <c r="AP221" i="15"/>
  <c r="AO221" i="15"/>
  <c r="AN221" i="15"/>
  <c r="AM221" i="15"/>
  <c r="AL221" i="15"/>
  <c r="AK221" i="15"/>
  <c r="AJ221" i="15"/>
  <c r="AI221" i="15"/>
  <c r="AH221" i="15"/>
  <c r="AG221" i="15"/>
  <c r="AF221" i="15"/>
  <c r="AE221" i="15"/>
  <c r="AD221" i="15"/>
  <c r="AC221" i="15"/>
  <c r="AB221" i="15"/>
  <c r="AA221" i="15"/>
  <c r="Z221" i="15"/>
  <c r="Y221" i="15"/>
  <c r="X221" i="15"/>
  <c r="W221" i="15"/>
  <c r="V221" i="15"/>
  <c r="U221" i="15"/>
  <c r="T221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H220" i="15"/>
  <c r="BG220" i="15"/>
  <c r="BF220" i="15"/>
  <c r="BE220" i="15"/>
  <c r="BD220" i="15"/>
  <c r="BC220" i="15"/>
  <c r="BB220" i="15"/>
  <c r="BA220" i="15"/>
  <c r="AZ220" i="15"/>
  <c r="AY220" i="15"/>
  <c r="AX220" i="15"/>
  <c r="AW220" i="15"/>
  <c r="AV220" i="15"/>
  <c r="AU220" i="15"/>
  <c r="AT220" i="15"/>
  <c r="AS220" i="15"/>
  <c r="AR220" i="15"/>
  <c r="AQ220" i="15"/>
  <c r="AP220" i="15"/>
  <c r="AO220" i="15"/>
  <c r="AN220" i="15"/>
  <c r="AM220" i="15"/>
  <c r="AL220" i="15"/>
  <c r="AK220" i="15"/>
  <c r="AJ220" i="15"/>
  <c r="AI220" i="15"/>
  <c r="AH220" i="15"/>
  <c r="AG220" i="15"/>
  <c r="AF220" i="15"/>
  <c r="AE220" i="15"/>
  <c r="AD220" i="15"/>
  <c r="AC220" i="15"/>
  <c r="AB220" i="15"/>
  <c r="AA220" i="15"/>
  <c r="Z220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H219" i="15"/>
  <c r="BG219" i="15"/>
  <c r="BF219" i="15"/>
  <c r="BE219" i="15"/>
  <c r="BD219" i="15"/>
  <c r="BC219" i="15"/>
  <c r="BB219" i="15"/>
  <c r="BA219" i="15"/>
  <c r="AZ219" i="15"/>
  <c r="AY219" i="15"/>
  <c r="AX219" i="15"/>
  <c r="AW219" i="15"/>
  <c r="AV219" i="15"/>
  <c r="AU219" i="15"/>
  <c r="AT219" i="15"/>
  <c r="AS219" i="15"/>
  <c r="AR219" i="15"/>
  <c r="AQ219" i="15"/>
  <c r="AP219" i="15"/>
  <c r="AO219" i="15"/>
  <c r="AN219" i="15"/>
  <c r="AM219" i="15"/>
  <c r="AL219" i="15"/>
  <c r="AK219" i="15"/>
  <c r="AJ219" i="15"/>
  <c r="AI219" i="15"/>
  <c r="AH219" i="15"/>
  <c r="AG219" i="15"/>
  <c r="AF219" i="15"/>
  <c r="AE219" i="15"/>
  <c r="AD219" i="15"/>
  <c r="AC219" i="15"/>
  <c r="AB219" i="15"/>
  <c r="AA219" i="15"/>
  <c r="Z219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H218" i="15"/>
  <c r="BG218" i="15"/>
  <c r="BF218" i="15"/>
  <c r="BE218" i="15"/>
  <c r="BD218" i="15"/>
  <c r="BC218" i="15"/>
  <c r="BB218" i="15"/>
  <c r="BA218" i="15"/>
  <c r="AZ218" i="15"/>
  <c r="AY218" i="15"/>
  <c r="AX218" i="15"/>
  <c r="AW218" i="15"/>
  <c r="AV218" i="15"/>
  <c r="AU218" i="15"/>
  <c r="AT218" i="15"/>
  <c r="AS218" i="15"/>
  <c r="AR218" i="15"/>
  <c r="AQ218" i="15"/>
  <c r="AP218" i="15"/>
  <c r="AO218" i="15"/>
  <c r="AN218" i="15"/>
  <c r="AM218" i="15"/>
  <c r="AL218" i="15"/>
  <c r="AK218" i="15"/>
  <c r="AJ218" i="15"/>
  <c r="AI218" i="15"/>
  <c r="AH218" i="15"/>
  <c r="AG218" i="15"/>
  <c r="AF218" i="15"/>
  <c r="AE218" i="15"/>
  <c r="AD218" i="15"/>
  <c r="AC218" i="15"/>
  <c r="AB218" i="15"/>
  <c r="AA218" i="15"/>
  <c r="Z218" i="15"/>
  <c r="Y218" i="15"/>
  <c r="X218" i="15"/>
  <c r="W218" i="15"/>
  <c r="V218" i="15"/>
  <c r="U218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H217" i="15"/>
  <c r="BG217" i="15"/>
  <c r="BF217" i="15"/>
  <c r="BE217" i="15"/>
  <c r="BD217" i="15"/>
  <c r="BC217" i="15"/>
  <c r="BB217" i="15"/>
  <c r="BA217" i="15"/>
  <c r="AZ217" i="15"/>
  <c r="AY217" i="15"/>
  <c r="AX217" i="15"/>
  <c r="AW217" i="15"/>
  <c r="AV217" i="15"/>
  <c r="AU217" i="15"/>
  <c r="AT217" i="15"/>
  <c r="AS217" i="15"/>
  <c r="AR217" i="15"/>
  <c r="AQ217" i="15"/>
  <c r="AP217" i="15"/>
  <c r="AO217" i="15"/>
  <c r="AN217" i="15"/>
  <c r="AM217" i="15"/>
  <c r="AL217" i="15"/>
  <c r="AK217" i="15"/>
  <c r="AJ217" i="15"/>
  <c r="AI217" i="15"/>
  <c r="AH217" i="15"/>
  <c r="AG217" i="15"/>
  <c r="AF217" i="15"/>
  <c r="AE217" i="15"/>
  <c r="AD217" i="15"/>
  <c r="AC217" i="15"/>
  <c r="AB217" i="15"/>
  <c r="AA217" i="15"/>
  <c r="Z217" i="15"/>
  <c r="Y217" i="15"/>
  <c r="X217" i="15"/>
  <c r="W217" i="15"/>
  <c r="V217" i="15"/>
  <c r="U217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H216" i="15"/>
  <c r="BG216" i="15"/>
  <c r="BF216" i="15"/>
  <c r="BE216" i="15"/>
  <c r="BD216" i="15"/>
  <c r="BC216" i="15"/>
  <c r="BB216" i="15"/>
  <c r="BA216" i="15"/>
  <c r="AZ216" i="15"/>
  <c r="AY216" i="15"/>
  <c r="AX216" i="15"/>
  <c r="AW216" i="15"/>
  <c r="AV216" i="15"/>
  <c r="AU216" i="15"/>
  <c r="AT216" i="15"/>
  <c r="AS216" i="15"/>
  <c r="AR216" i="15"/>
  <c r="AQ216" i="15"/>
  <c r="AP216" i="15"/>
  <c r="AO216" i="15"/>
  <c r="AN216" i="15"/>
  <c r="AM216" i="15"/>
  <c r="AL216" i="15"/>
  <c r="AK216" i="15"/>
  <c r="AJ216" i="15"/>
  <c r="AI216" i="15"/>
  <c r="AH216" i="15"/>
  <c r="AG216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H215" i="15"/>
  <c r="BG215" i="15"/>
  <c r="BF215" i="15"/>
  <c r="BE215" i="15"/>
  <c r="BD215" i="15"/>
  <c r="BC215" i="15"/>
  <c r="BB215" i="15"/>
  <c r="BA215" i="15"/>
  <c r="AZ215" i="15"/>
  <c r="AY215" i="15"/>
  <c r="AX215" i="15"/>
  <c r="AW215" i="15"/>
  <c r="AV215" i="15"/>
  <c r="AU215" i="15"/>
  <c r="AT215" i="15"/>
  <c r="AS215" i="15"/>
  <c r="AR215" i="15"/>
  <c r="AQ215" i="15"/>
  <c r="AP215" i="15"/>
  <c r="AO215" i="15"/>
  <c r="AN215" i="15"/>
  <c r="AM215" i="15"/>
  <c r="AL215" i="15"/>
  <c r="AK215" i="15"/>
  <c r="AJ215" i="15"/>
  <c r="AI215" i="15"/>
  <c r="AH215" i="15"/>
  <c r="AG215" i="15"/>
  <c r="AF215" i="15"/>
  <c r="AE215" i="15"/>
  <c r="AD215" i="15"/>
  <c r="AC215" i="15"/>
  <c r="AB215" i="15"/>
  <c r="AA215" i="15"/>
  <c r="Z215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H214" i="15"/>
  <c r="BG214" i="15"/>
  <c r="BF214" i="15"/>
  <c r="BE214" i="15"/>
  <c r="BD214" i="15"/>
  <c r="BC214" i="15"/>
  <c r="BC210" i="15" s="1"/>
  <c r="BB214" i="15"/>
  <c r="BA214" i="15"/>
  <c r="AZ214" i="15"/>
  <c r="AY214" i="15"/>
  <c r="AX214" i="15"/>
  <c r="AW214" i="15"/>
  <c r="AV214" i="15"/>
  <c r="AU214" i="15"/>
  <c r="AU210" i="15" s="1"/>
  <c r="AT214" i="15"/>
  <c r="AS214" i="15"/>
  <c r="AR214" i="15"/>
  <c r="AQ214" i="15"/>
  <c r="AP214" i="15"/>
  <c r="AO214" i="15"/>
  <c r="AN214" i="15"/>
  <c r="AM214" i="15"/>
  <c r="AM210" i="15" s="1"/>
  <c r="AL214" i="15"/>
  <c r="AK214" i="15"/>
  <c r="AJ214" i="15"/>
  <c r="AI214" i="15"/>
  <c r="AH214" i="15"/>
  <c r="AG214" i="15"/>
  <c r="AF214" i="15"/>
  <c r="AE214" i="15"/>
  <c r="AE210" i="15" s="1"/>
  <c r="AD214" i="15"/>
  <c r="AC214" i="15"/>
  <c r="AB214" i="15"/>
  <c r="AA214" i="15"/>
  <c r="Z214" i="15"/>
  <c r="Y214" i="15"/>
  <c r="X214" i="15"/>
  <c r="W214" i="15"/>
  <c r="W210" i="15" s="1"/>
  <c r="V214" i="15"/>
  <c r="U214" i="15"/>
  <c r="T214" i="15"/>
  <c r="S214" i="15"/>
  <c r="R214" i="15"/>
  <c r="Q214" i="15"/>
  <c r="P214" i="15"/>
  <c r="O214" i="15"/>
  <c r="O210" i="15" s="1"/>
  <c r="N214" i="15"/>
  <c r="M214" i="15"/>
  <c r="L214" i="15"/>
  <c r="K214" i="15"/>
  <c r="J214" i="15"/>
  <c r="I214" i="15"/>
  <c r="H214" i="15"/>
  <c r="G214" i="15"/>
  <c r="G210" i="15" s="1"/>
  <c r="F214" i="15"/>
  <c r="E214" i="15"/>
  <c r="D214" i="15"/>
  <c r="C214" i="15"/>
  <c r="BH213" i="15"/>
  <c r="BG213" i="15"/>
  <c r="BF213" i="15"/>
  <c r="BF210" i="15" s="1"/>
  <c r="BE213" i="15"/>
  <c r="BE210" i="15" s="1"/>
  <c r="BD213" i="15"/>
  <c r="BC213" i="15"/>
  <c r="BB213" i="15"/>
  <c r="BA213" i="15"/>
  <c r="AZ213" i="15"/>
  <c r="AY213" i="15"/>
  <c r="AX213" i="15"/>
  <c r="AX210" i="15" s="1"/>
  <c r="AW213" i="15"/>
  <c r="AW210" i="15" s="1"/>
  <c r="AV213" i="15"/>
  <c r="AU213" i="15"/>
  <c r="AT213" i="15"/>
  <c r="AS213" i="15"/>
  <c r="AR213" i="15"/>
  <c r="AQ213" i="15"/>
  <c r="AP213" i="15"/>
  <c r="AP210" i="15" s="1"/>
  <c r="AO213" i="15"/>
  <c r="AO210" i="15" s="1"/>
  <c r="AN213" i="15"/>
  <c r="AM213" i="15"/>
  <c r="AL213" i="15"/>
  <c r="AK213" i="15"/>
  <c r="AJ213" i="15"/>
  <c r="AI213" i="15"/>
  <c r="AH213" i="15"/>
  <c r="AH210" i="15" s="1"/>
  <c r="AG213" i="15"/>
  <c r="AG210" i="15" s="1"/>
  <c r="AF213" i="15"/>
  <c r="AE213" i="15"/>
  <c r="AD213" i="15"/>
  <c r="AC213" i="15"/>
  <c r="AB213" i="15"/>
  <c r="AA213" i="15"/>
  <c r="Z213" i="15"/>
  <c r="Z210" i="15" s="1"/>
  <c r="Y213" i="15"/>
  <c r="Y210" i="15" s="1"/>
  <c r="X213" i="15"/>
  <c r="W213" i="15"/>
  <c r="V213" i="15"/>
  <c r="U213" i="15"/>
  <c r="T213" i="15"/>
  <c r="S213" i="15"/>
  <c r="R213" i="15"/>
  <c r="R210" i="15" s="1"/>
  <c r="Q213" i="15"/>
  <c r="Q210" i="15" s="1"/>
  <c r="P213" i="15"/>
  <c r="O213" i="15"/>
  <c r="N213" i="15"/>
  <c r="M213" i="15"/>
  <c r="L213" i="15"/>
  <c r="K213" i="15"/>
  <c r="J213" i="15"/>
  <c r="J210" i="15" s="1"/>
  <c r="I213" i="15"/>
  <c r="I210" i="15" s="1"/>
  <c r="H213" i="15"/>
  <c r="G213" i="15"/>
  <c r="F213" i="15"/>
  <c r="E213" i="15"/>
  <c r="D213" i="15"/>
  <c r="C213" i="15"/>
  <c r="BH212" i="15"/>
  <c r="BH210" i="15" s="1"/>
  <c r="BG212" i="15"/>
  <c r="BG210" i="15" s="1"/>
  <c r="BF212" i="15"/>
  <c r="BE212" i="15"/>
  <c r="BD212" i="15"/>
  <c r="BC212" i="15"/>
  <c r="BB212" i="15"/>
  <c r="BA212" i="15"/>
  <c r="AZ212" i="15"/>
  <c r="AZ210" i="15" s="1"/>
  <c r="AY212" i="15"/>
  <c r="AY210" i="15" s="1"/>
  <c r="AX212" i="15"/>
  <c r="AW212" i="15"/>
  <c r="AV212" i="15"/>
  <c r="AU212" i="15"/>
  <c r="AT212" i="15"/>
  <c r="AS212" i="15"/>
  <c r="AR212" i="15"/>
  <c r="AR210" i="15" s="1"/>
  <c r="AQ212" i="15"/>
  <c r="AQ210" i="15" s="1"/>
  <c r="AP212" i="15"/>
  <c r="AO212" i="15"/>
  <c r="AN212" i="15"/>
  <c r="AM212" i="15"/>
  <c r="AL212" i="15"/>
  <c r="AK212" i="15"/>
  <c r="AJ212" i="15"/>
  <c r="AJ210" i="15" s="1"/>
  <c r="AI212" i="15"/>
  <c r="AI210" i="15" s="1"/>
  <c r="AH212" i="15"/>
  <c r="AG212" i="15"/>
  <c r="AF212" i="15"/>
  <c r="AE212" i="15"/>
  <c r="AD212" i="15"/>
  <c r="AC212" i="15"/>
  <c r="AB212" i="15"/>
  <c r="AB210" i="15" s="1"/>
  <c r="AA212" i="15"/>
  <c r="AA210" i="15" s="1"/>
  <c r="Z212" i="15"/>
  <c r="Y212" i="15"/>
  <c r="X212" i="15"/>
  <c r="W212" i="15"/>
  <c r="V212" i="15"/>
  <c r="U212" i="15"/>
  <c r="T212" i="15"/>
  <c r="T210" i="15" s="1"/>
  <c r="S212" i="15"/>
  <c r="S210" i="15" s="1"/>
  <c r="R212" i="15"/>
  <c r="Q212" i="15"/>
  <c r="P212" i="15"/>
  <c r="O212" i="15"/>
  <c r="N212" i="15"/>
  <c r="M212" i="15"/>
  <c r="L212" i="15"/>
  <c r="L210" i="15" s="1"/>
  <c r="K212" i="15"/>
  <c r="K210" i="15" s="1"/>
  <c r="J212" i="15"/>
  <c r="I212" i="15"/>
  <c r="H212" i="15"/>
  <c r="G212" i="15"/>
  <c r="F212" i="15"/>
  <c r="E212" i="15"/>
  <c r="D212" i="15"/>
  <c r="D210" i="15" s="1"/>
  <c r="C212" i="15"/>
  <c r="C210" i="15" s="1"/>
  <c r="BH211" i="15"/>
  <c r="BG211" i="15"/>
  <c r="BF211" i="15"/>
  <c r="BE211" i="15"/>
  <c r="BD211" i="15"/>
  <c r="BC211" i="15"/>
  <c r="BB211" i="15"/>
  <c r="BB210" i="15" s="1"/>
  <c r="BA211" i="15"/>
  <c r="BA210" i="15" s="1"/>
  <c r="AZ211" i="15"/>
  <c r="AY211" i="15"/>
  <c r="AX211" i="15"/>
  <c r="AW211" i="15"/>
  <c r="AV211" i="15"/>
  <c r="AU211" i="15"/>
  <c r="AT211" i="15"/>
  <c r="AT210" i="15" s="1"/>
  <c r="AS211" i="15"/>
  <c r="AS210" i="15" s="1"/>
  <c r="AR211" i="15"/>
  <c r="AQ211" i="15"/>
  <c r="AP211" i="15"/>
  <c r="AO211" i="15"/>
  <c r="AN211" i="15"/>
  <c r="AM211" i="15"/>
  <c r="AL211" i="15"/>
  <c r="AL210" i="15" s="1"/>
  <c r="AK211" i="15"/>
  <c r="AK210" i="15" s="1"/>
  <c r="AJ211" i="15"/>
  <c r="AI211" i="15"/>
  <c r="AH211" i="15"/>
  <c r="AG211" i="15"/>
  <c r="AF211" i="15"/>
  <c r="AE211" i="15"/>
  <c r="AD211" i="15"/>
  <c r="AD210" i="15" s="1"/>
  <c r="AC211" i="15"/>
  <c r="AC210" i="15" s="1"/>
  <c r="AB211" i="15"/>
  <c r="AA211" i="15"/>
  <c r="Z211" i="15"/>
  <c r="Y211" i="15"/>
  <c r="X211" i="15"/>
  <c r="W211" i="15"/>
  <c r="V211" i="15"/>
  <c r="V210" i="15" s="1"/>
  <c r="U211" i="15"/>
  <c r="U210" i="15" s="1"/>
  <c r="T211" i="15"/>
  <c r="S211" i="15"/>
  <c r="R211" i="15"/>
  <c r="Q211" i="15"/>
  <c r="P211" i="15"/>
  <c r="O211" i="15"/>
  <c r="N211" i="15"/>
  <c r="N210" i="15" s="1"/>
  <c r="M211" i="15"/>
  <c r="M210" i="15" s="1"/>
  <c r="L211" i="15"/>
  <c r="K211" i="15"/>
  <c r="J211" i="15"/>
  <c r="I211" i="15"/>
  <c r="H211" i="15"/>
  <c r="G211" i="15"/>
  <c r="F211" i="15"/>
  <c r="F210" i="15" s="1"/>
  <c r="E211" i="15"/>
  <c r="E210" i="15" s="1"/>
  <c r="D211" i="15"/>
  <c r="C211" i="15"/>
  <c r="J210" i="18"/>
  <c r="BH209" i="15"/>
  <c r="BG209" i="15"/>
  <c r="BF209" i="15"/>
  <c r="BE209" i="15"/>
  <c r="BD209" i="15"/>
  <c r="BC209" i="15"/>
  <c r="BB209" i="15"/>
  <c r="BA209" i="15"/>
  <c r="AZ209" i="15"/>
  <c r="AY209" i="15"/>
  <c r="AX209" i="15"/>
  <c r="AW209" i="15"/>
  <c r="AV209" i="15"/>
  <c r="AU209" i="15"/>
  <c r="AT209" i="15"/>
  <c r="AS209" i="15"/>
  <c r="AR209" i="15"/>
  <c r="AQ209" i="15"/>
  <c r="AP209" i="15"/>
  <c r="AO209" i="15"/>
  <c r="AN209" i="15"/>
  <c r="AM209" i="15"/>
  <c r="AL209" i="15"/>
  <c r="AK209" i="15"/>
  <c r="AJ209" i="15"/>
  <c r="AI209" i="15"/>
  <c r="AH209" i="15"/>
  <c r="AG209" i="15"/>
  <c r="AF209" i="15"/>
  <c r="AE209" i="15"/>
  <c r="AD209" i="15"/>
  <c r="AC209" i="15"/>
  <c r="AB209" i="15"/>
  <c r="AA209" i="15"/>
  <c r="Z209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H208" i="15"/>
  <c r="BG208" i="15"/>
  <c r="BF208" i="15"/>
  <c r="BE208" i="15"/>
  <c r="BD208" i="15"/>
  <c r="BC208" i="15"/>
  <c r="BB208" i="15"/>
  <c r="BA208" i="15"/>
  <c r="AZ208" i="15"/>
  <c r="AY208" i="15"/>
  <c r="AX208" i="15"/>
  <c r="AW208" i="15"/>
  <c r="AV208" i="15"/>
  <c r="AU208" i="15"/>
  <c r="AT208" i="15"/>
  <c r="AS208" i="15"/>
  <c r="AR208" i="15"/>
  <c r="AQ208" i="15"/>
  <c r="AP208" i="15"/>
  <c r="AO208" i="15"/>
  <c r="AN208" i="15"/>
  <c r="AM208" i="15"/>
  <c r="AL208" i="15"/>
  <c r="AK208" i="15"/>
  <c r="AJ208" i="15"/>
  <c r="AI208" i="15"/>
  <c r="AH208" i="15"/>
  <c r="AG208" i="15"/>
  <c r="AF208" i="15"/>
  <c r="AE208" i="15"/>
  <c r="AD208" i="15"/>
  <c r="AC208" i="15"/>
  <c r="AB208" i="15"/>
  <c r="AA208" i="15"/>
  <c r="Z208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H207" i="15"/>
  <c r="BG207" i="15"/>
  <c r="BF207" i="15"/>
  <c r="BE207" i="15"/>
  <c r="BD207" i="15"/>
  <c r="BC207" i="15"/>
  <c r="BB207" i="15"/>
  <c r="BA207" i="15"/>
  <c r="AZ207" i="15"/>
  <c r="AY207" i="15"/>
  <c r="AX207" i="15"/>
  <c r="AW207" i="15"/>
  <c r="AV207" i="15"/>
  <c r="AU207" i="15"/>
  <c r="AT207" i="15"/>
  <c r="AS207" i="15"/>
  <c r="AR207" i="15"/>
  <c r="AQ207" i="15"/>
  <c r="AP207" i="15"/>
  <c r="AO207" i="15"/>
  <c r="AN207" i="15"/>
  <c r="AM207" i="15"/>
  <c r="AL207" i="15"/>
  <c r="AK207" i="15"/>
  <c r="AJ207" i="15"/>
  <c r="AI207" i="15"/>
  <c r="AH207" i="15"/>
  <c r="AG207" i="15"/>
  <c r="AF207" i="15"/>
  <c r="AE207" i="15"/>
  <c r="AD207" i="15"/>
  <c r="AC207" i="15"/>
  <c r="AB207" i="15"/>
  <c r="AA207" i="15"/>
  <c r="Z207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H206" i="15"/>
  <c r="BG206" i="15"/>
  <c r="BF206" i="15"/>
  <c r="BE206" i="15"/>
  <c r="BD206" i="15"/>
  <c r="BC206" i="15"/>
  <c r="BB206" i="15"/>
  <c r="BA206" i="15"/>
  <c r="AZ206" i="15"/>
  <c r="AY206" i="15"/>
  <c r="AX206" i="15"/>
  <c r="AW206" i="15"/>
  <c r="AV206" i="15"/>
  <c r="AU206" i="15"/>
  <c r="AT206" i="15"/>
  <c r="AS206" i="15"/>
  <c r="AR206" i="15"/>
  <c r="AQ206" i="15"/>
  <c r="AP206" i="15"/>
  <c r="AO206" i="15"/>
  <c r="AN206" i="15"/>
  <c r="AM206" i="15"/>
  <c r="AL206" i="15"/>
  <c r="AK206" i="15"/>
  <c r="AJ206" i="15"/>
  <c r="AI206" i="15"/>
  <c r="AH206" i="15"/>
  <c r="AG206" i="15"/>
  <c r="AF206" i="15"/>
  <c r="AE206" i="15"/>
  <c r="AD206" i="15"/>
  <c r="AC206" i="15"/>
  <c r="AB206" i="15"/>
  <c r="AA206" i="15"/>
  <c r="Z206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H205" i="15"/>
  <c r="BG205" i="15"/>
  <c r="BF205" i="15"/>
  <c r="BE205" i="15"/>
  <c r="BD205" i="15"/>
  <c r="BC205" i="15"/>
  <c r="BB205" i="15"/>
  <c r="BA205" i="15"/>
  <c r="AZ205" i="15"/>
  <c r="AY205" i="15"/>
  <c r="AX205" i="15"/>
  <c r="AW205" i="15"/>
  <c r="AV205" i="15"/>
  <c r="AU205" i="15"/>
  <c r="AT205" i="15"/>
  <c r="AS205" i="15"/>
  <c r="AR205" i="15"/>
  <c r="AQ205" i="15"/>
  <c r="AP205" i="15"/>
  <c r="AO205" i="15"/>
  <c r="AN205" i="15"/>
  <c r="AM205" i="15"/>
  <c r="AL205" i="15"/>
  <c r="AK205" i="15"/>
  <c r="AJ205" i="15"/>
  <c r="AI205" i="15"/>
  <c r="AH205" i="15"/>
  <c r="AG205" i="15"/>
  <c r="AF205" i="15"/>
  <c r="AE205" i="15"/>
  <c r="AD205" i="15"/>
  <c r="AC205" i="15"/>
  <c r="AB205" i="15"/>
  <c r="AA205" i="15"/>
  <c r="Z205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H204" i="15"/>
  <c r="BG204" i="15"/>
  <c r="BF204" i="15"/>
  <c r="BE204" i="15"/>
  <c r="BD204" i="15"/>
  <c r="BC204" i="15"/>
  <c r="BB204" i="15"/>
  <c r="BA204" i="15"/>
  <c r="AZ204" i="15"/>
  <c r="AY204" i="15"/>
  <c r="AX204" i="15"/>
  <c r="AW204" i="15"/>
  <c r="AV204" i="15"/>
  <c r="AU204" i="15"/>
  <c r="AT204" i="15"/>
  <c r="AS204" i="15"/>
  <c r="AR204" i="15"/>
  <c r="AQ204" i="15"/>
  <c r="AP204" i="15"/>
  <c r="AO204" i="15"/>
  <c r="AN204" i="15"/>
  <c r="AM204" i="15"/>
  <c r="AL204" i="15"/>
  <c r="AK204" i="15"/>
  <c r="AJ204" i="15"/>
  <c r="AI204" i="15"/>
  <c r="AH204" i="15"/>
  <c r="AG204" i="15"/>
  <c r="AF204" i="15"/>
  <c r="AE204" i="15"/>
  <c r="AD204" i="15"/>
  <c r="AC204" i="15"/>
  <c r="AB204" i="15"/>
  <c r="AA204" i="15"/>
  <c r="Z204" i="15"/>
  <c r="Y204" i="15"/>
  <c r="X204" i="15"/>
  <c r="W204" i="15"/>
  <c r="V204" i="15"/>
  <c r="U204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H203" i="15"/>
  <c r="BG203" i="15"/>
  <c r="BF203" i="15"/>
  <c r="BE203" i="15"/>
  <c r="BD203" i="15"/>
  <c r="BC203" i="15"/>
  <c r="BB203" i="15"/>
  <c r="BA203" i="15"/>
  <c r="AZ203" i="15"/>
  <c r="AY203" i="15"/>
  <c r="AX203" i="15"/>
  <c r="AW203" i="15"/>
  <c r="AV203" i="15"/>
  <c r="AU203" i="15"/>
  <c r="AT203" i="15"/>
  <c r="AS203" i="15"/>
  <c r="AR203" i="15"/>
  <c r="AQ203" i="15"/>
  <c r="AP203" i="15"/>
  <c r="AO203" i="15"/>
  <c r="AN203" i="15"/>
  <c r="AM203" i="15"/>
  <c r="AL203" i="15"/>
  <c r="AK203" i="15"/>
  <c r="AJ203" i="15"/>
  <c r="AI203" i="15"/>
  <c r="AH203" i="15"/>
  <c r="AG203" i="15"/>
  <c r="AF203" i="15"/>
  <c r="AE203" i="15"/>
  <c r="AD203" i="15"/>
  <c r="AC203" i="15"/>
  <c r="AB203" i="15"/>
  <c r="AA203" i="15"/>
  <c r="Z203" i="15"/>
  <c r="Y203" i="15"/>
  <c r="X203" i="15"/>
  <c r="W203" i="15"/>
  <c r="V203" i="15"/>
  <c r="U203" i="15"/>
  <c r="T203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H202" i="15"/>
  <c r="BG202" i="15"/>
  <c r="BF202" i="15"/>
  <c r="BE202" i="15"/>
  <c r="BD202" i="15"/>
  <c r="BC202" i="15"/>
  <c r="BB202" i="15"/>
  <c r="BA202" i="15"/>
  <c r="AZ202" i="15"/>
  <c r="AY202" i="15"/>
  <c r="AX202" i="15"/>
  <c r="AW202" i="15"/>
  <c r="AV202" i="15"/>
  <c r="AU202" i="15"/>
  <c r="AT202" i="15"/>
  <c r="AS202" i="15"/>
  <c r="AR202" i="15"/>
  <c r="AQ202" i="15"/>
  <c r="AP202" i="15"/>
  <c r="AO202" i="15"/>
  <c r="AN202" i="15"/>
  <c r="AM202" i="15"/>
  <c r="AL202" i="15"/>
  <c r="AK202" i="15"/>
  <c r="AJ202" i="15"/>
  <c r="AI202" i="15"/>
  <c r="AH202" i="15"/>
  <c r="AG202" i="15"/>
  <c r="AF202" i="15"/>
  <c r="AE202" i="15"/>
  <c r="AD202" i="15"/>
  <c r="AC202" i="15"/>
  <c r="AB202" i="15"/>
  <c r="AA202" i="15"/>
  <c r="Z202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H201" i="15"/>
  <c r="BG201" i="15"/>
  <c r="BF201" i="15"/>
  <c r="BE201" i="15"/>
  <c r="BD201" i="15"/>
  <c r="BC201" i="15"/>
  <c r="BB201" i="15"/>
  <c r="BA201" i="15"/>
  <c r="AZ201" i="15"/>
  <c r="AY201" i="15"/>
  <c r="AX201" i="15"/>
  <c r="AW201" i="15"/>
  <c r="AV201" i="15"/>
  <c r="AU201" i="15"/>
  <c r="AT201" i="15"/>
  <c r="AS201" i="15"/>
  <c r="AR201" i="15"/>
  <c r="AQ201" i="15"/>
  <c r="AP201" i="15"/>
  <c r="AO201" i="15"/>
  <c r="AN201" i="15"/>
  <c r="AM201" i="15"/>
  <c r="AL201" i="15"/>
  <c r="AK201" i="15"/>
  <c r="AJ201" i="15"/>
  <c r="AI201" i="15"/>
  <c r="AH201" i="15"/>
  <c r="AG201" i="15"/>
  <c r="AF201" i="15"/>
  <c r="AE201" i="15"/>
  <c r="AD201" i="15"/>
  <c r="AC201" i="15"/>
  <c r="AB201" i="15"/>
  <c r="AA201" i="15"/>
  <c r="Z201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H200" i="15"/>
  <c r="BG200" i="15"/>
  <c r="BF200" i="15"/>
  <c r="BE200" i="15"/>
  <c r="BD200" i="15"/>
  <c r="BC200" i="15"/>
  <c r="BB200" i="15"/>
  <c r="BA200" i="15"/>
  <c r="AZ200" i="15"/>
  <c r="AY200" i="15"/>
  <c r="AX200" i="15"/>
  <c r="AW200" i="15"/>
  <c r="AV200" i="15"/>
  <c r="AU200" i="15"/>
  <c r="AT200" i="15"/>
  <c r="AS200" i="15"/>
  <c r="AR200" i="15"/>
  <c r="AQ200" i="15"/>
  <c r="AP200" i="15"/>
  <c r="AO200" i="15"/>
  <c r="AN200" i="15"/>
  <c r="AM200" i="15"/>
  <c r="AL200" i="15"/>
  <c r="AK200" i="15"/>
  <c r="AJ200" i="15"/>
  <c r="AI200" i="15"/>
  <c r="AH200" i="15"/>
  <c r="AG200" i="15"/>
  <c r="AF200" i="15"/>
  <c r="AE200" i="15"/>
  <c r="AD200" i="15"/>
  <c r="AC200" i="15"/>
  <c r="AB200" i="15"/>
  <c r="AA200" i="15"/>
  <c r="Z200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H199" i="15"/>
  <c r="BG199" i="15"/>
  <c r="BF199" i="15"/>
  <c r="BE199" i="15"/>
  <c r="BD199" i="15"/>
  <c r="BC199" i="15"/>
  <c r="BB199" i="15"/>
  <c r="BA199" i="15"/>
  <c r="AZ199" i="15"/>
  <c r="AY199" i="15"/>
  <c r="AX199" i="15"/>
  <c r="AW199" i="15"/>
  <c r="AV199" i="15"/>
  <c r="AU199" i="15"/>
  <c r="AT199" i="15"/>
  <c r="AS199" i="15"/>
  <c r="AR199" i="15"/>
  <c r="AQ199" i="15"/>
  <c r="AP199" i="15"/>
  <c r="AO199" i="15"/>
  <c r="AN199" i="15"/>
  <c r="AM199" i="15"/>
  <c r="AL199" i="15"/>
  <c r="AK199" i="15"/>
  <c r="AJ199" i="15"/>
  <c r="AI199" i="15"/>
  <c r="AH199" i="15"/>
  <c r="AG199" i="15"/>
  <c r="AF199" i="15"/>
  <c r="AE199" i="15"/>
  <c r="AD199" i="15"/>
  <c r="AC199" i="15"/>
  <c r="AB199" i="15"/>
  <c r="AA199" i="15"/>
  <c r="Z199" i="15"/>
  <c r="Y199" i="15"/>
  <c r="X199" i="15"/>
  <c r="W199" i="15"/>
  <c r="V199" i="15"/>
  <c r="U199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H198" i="15"/>
  <c r="BG198" i="15"/>
  <c r="BF198" i="15"/>
  <c r="BE198" i="15"/>
  <c r="BD198" i="15"/>
  <c r="BC198" i="15"/>
  <c r="BB198" i="15"/>
  <c r="BA198" i="15"/>
  <c r="AZ198" i="15"/>
  <c r="AY198" i="15"/>
  <c r="AX198" i="15"/>
  <c r="AW198" i="15"/>
  <c r="AV198" i="15"/>
  <c r="AU198" i="15"/>
  <c r="AT198" i="15"/>
  <c r="AS198" i="15"/>
  <c r="AR198" i="15"/>
  <c r="AQ198" i="15"/>
  <c r="AP198" i="15"/>
  <c r="AO198" i="15"/>
  <c r="AN198" i="15"/>
  <c r="AM198" i="15"/>
  <c r="AL198" i="15"/>
  <c r="AK198" i="15"/>
  <c r="AJ198" i="15"/>
  <c r="AI198" i="15"/>
  <c r="AH198" i="15"/>
  <c r="AG198" i="15"/>
  <c r="AF198" i="15"/>
  <c r="AE198" i="15"/>
  <c r="AD198" i="15"/>
  <c r="AC198" i="15"/>
  <c r="AB198" i="15"/>
  <c r="AA198" i="15"/>
  <c r="Z198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H197" i="15"/>
  <c r="BG197" i="15"/>
  <c r="BF197" i="15"/>
  <c r="BE197" i="15"/>
  <c r="BD197" i="15"/>
  <c r="BC197" i="15"/>
  <c r="BB197" i="15"/>
  <c r="BA197" i="15"/>
  <c r="AZ197" i="15"/>
  <c r="AY197" i="15"/>
  <c r="AX197" i="15"/>
  <c r="AW197" i="15"/>
  <c r="AV197" i="15"/>
  <c r="AU197" i="15"/>
  <c r="AT197" i="15"/>
  <c r="AS197" i="15"/>
  <c r="AR197" i="15"/>
  <c r="AQ197" i="15"/>
  <c r="AP197" i="15"/>
  <c r="AO197" i="15"/>
  <c r="AN197" i="15"/>
  <c r="AM197" i="15"/>
  <c r="AL197" i="15"/>
  <c r="AK197" i="15"/>
  <c r="AJ197" i="15"/>
  <c r="AI197" i="15"/>
  <c r="AH197" i="15"/>
  <c r="AG197" i="15"/>
  <c r="AF197" i="15"/>
  <c r="AE197" i="15"/>
  <c r="AD197" i="15"/>
  <c r="AC197" i="15"/>
  <c r="AB197" i="15"/>
  <c r="AA197" i="15"/>
  <c r="Z197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H196" i="15"/>
  <c r="BG196" i="15"/>
  <c r="BF196" i="15"/>
  <c r="BE196" i="15"/>
  <c r="BD196" i="15"/>
  <c r="BC196" i="15"/>
  <c r="BB196" i="15"/>
  <c r="BA196" i="15"/>
  <c r="AZ196" i="15"/>
  <c r="AY196" i="15"/>
  <c r="AX196" i="15"/>
  <c r="AW196" i="15"/>
  <c r="AV196" i="15"/>
  <c r="AU196" i="15"/>
  <c r="AT196" i="15"/>
  <c r="AS196" i="15"/>
  <c r="AR196" i="15"/>
  <c r="AQ196" i="15"/>
  <c r="AP196" i="15"/>
  <c r="AO196" i="15"/>
  <c r="AN196" i="15"/>
  <c r="AM196" i="15"/>
  <c r="AL196" i="15"/>
  <c r="AK196" i="15"/>
  <c r="AJ196" i="15"/>
  <c r="AI196" i="15"/>
  <c r="AH196" i="15"/>
  <c r="AG196" i="15"/>
  <c r="AF196" i="15"/>
  <c r="AE196" i="15"/>
  <c r="AD196" i="15"/>
  <c r="AC196" i="15"/>
  <c r="AB196" i="15"/>
  <c r="AA196" i="15"/>
  <c r="Z196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H195" i="15"/>
  <c r="BG195" i="15"/>
  <c r="BF195" i="15"/>
  <c r="BE195" i="15"/>
  <c r="BD195" i="15"/>
  <c r="BC195" i="15"/>
  <c r="BB195" i="15"/>
  <c r="BA195" i="15"/>
  <c r="AZ195" i="15"/>
  <c r="AY195" i="15"/>
  <c r="AX195" i="15"/>
  <c r="AW195" i="15"/>
  <c r="AV195" i="15"/>
  <c r="AU195" i="15"/>
  <c r="AT195" i="15"/>
  <c r="AS195" i="15"/>
  <c r="AR195" i="15"/>
  <c r="AQ195" i="15"/>
  <c r="AP195" i="15"/>
  <c r="AO195" i="15"/>
  <c r="AN195" i="15"/>
  <c r="AM195" i="15"/>
  <c r="AL195" i="15"/>
  <c r="AK195" i="15"/>
  <c r="AJ195" i="15"/>
  <c r="AI195" i="15"/>
  <c r="AH195" i="15"/>
  <c r="AG195" i="15"/>
  <c r="AF195" i="15"/>
  <c r="AE195" i="15"/>
  <c r="AD195" i="15"/>
  <c r="AC195" i="15"/>
  <c r="AB195" i="15"/>
  <c r="AA195" i="15"/>
  <c r="Z195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H194" i="15"/>
  <c r="BG194" i="15"/>
  <c r="BF194" i="15"/>
  <c r="BE194" i="15"/>
  <c r="BD194" i="15"/>
  <c r="BC194" i="15"/>
  <c r="BB194" i="15"/>
  <c r="BA194" i="15"/>
  <c r="AZ194" i="15"/>
  <c r="AY194" i="15"/>
  <c r="AX194" i="15"/>
  <c r="AW194" i="15"/>
  <c r="AV194" i="15"/>
  <c r="AU194" i="15"/>
  <c r="AT194" i="15"/>
  <c r="AS194" i="15"/>
  <c r="AR194" i="15"/>
  <c r="AQ194" i="15"/>
  <c r="AP194" i="15"/>
  <c r="AO194" i="15"/>
  <c r="AN194" i="15"/>
  <c r="AM194" i="15"/>
  <c r="AL194" i="15"/>
  <c r="AK194" i="15"/>
  <c r="AJ194" i="15"/>
  <c r="AI194" i="15"/>
  <c r="AH194" i="15"/>
  <c r="AG194" i="15"/>
  <c r="AF194" i="15"/>
  <c r="AE194" i="15"/>
  <c r="AD194" i="15"/>
  <c r="AC194" i="15"/>
  <c r="AB194" i="15"/>
  <c r="AA194" i="15"/>
  <c r="Z194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H193" i="15"/>
  <c r="BG193" i="15"/>
  <c r="BF193" i="15"/>
  <c r="BE193" i="15"/>
  <c r="BD193" i="15"/>
  <c r="BC193" i="15"/>
  <c r="BB193" i="15"/>
  <c r="BA193" i="15"/>
  <c r="AZ193" i="15"/>
  <c r="AY193" i="15"/>
  <c r="AX193" i="15"/>
  <c r="AW193" i="15"/>
  <c r="AV193" i="15"/>
  <c r="AU193" i="15"/>
  <c r="AT193" i="15"/>
  <c r="AS193" i="15"/>
  <c r="AR193" i="15"/>
  <c r="AQ193" i="15"/>
  <c r="AP193" i="15"/>
  <c r="AO193" i="15"/>
  <c r="AN193" i="15"/>
  <c r="AM193" i="15"/>
  <c r="AL193" i="15"/>
  <c r="AK193" i="15"/>
  <c r="AJ193" i="15"/>
  <c r="AI193" i="15"/>
  <c r="AH193" i="15"/>
  <c r="AG193" i="15"/>
  <c r="AF193" i="15"/>
  <c r="AE193" i="15"/>
  <c r="AD193" i="15"/>
  <c r="AC193" i="15"/>
  <c r="AB193" i="15"/>
  <c r="AA193" i="15"/>
  <c r="Z193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H192" i="15"/>
  <c r="BG192" i="15"/>
  <c r="BF192" i="15"/>
  <c r="BE192" i="15"/>
  <c r="BD192" i="15"/>
  <c r="BC192" i="15"/>
  <c r="BB192" i="15"/>
  <c r="BA192" i="15"/>
  <c r="AZ192" i="15"/>
  <c r="AY192" i="15"/>
  <c r="AX192" i="15"/>
  <c r="AW192" i="15"/>
  <c r="AV192" i="15"/>
  <c r="AU192" i="15"/>
  <c r="AT192" i="15"/>
  <c r="AS192" i="15"/>
  <c r="AR192" i="15"/>
  <c r="AQ192" i="15"/>
  <c r="AP192" i="15"/>
  <c r="AO192" i="15"/>
  <c r="AN192" i="15"/>
  <c r="AM192" i="15"/>
  <c r="AL192" i="15"/>
  <c r="AK192" i="15"/>
  <c r="AJ192" i="15"/>
  <c r="AI192" i="15"/>
  <c r="AH192" i="15"/>
  <c r="AG192" i="15"/>
  <c r="AF192" i="15"/>
  <c r="AE192" i="15"/>
  <c r="AD192" i="15"/>
  <c r="AC192" i="15"/>
  <c r="AB192" i="15"/>
  <c r="AA192" i="15"/>
  <c r="Z192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H191" i="15"/>
  <c r="BG191" i="15"/>
  <c r="BF191" i="15"/>
  <c r="BE191" i="15"/>
  <c r="BD191" i="15"/>
  <c r="BC191" i="15"/>
  <c r="BB191" i="15"/>
  <c r="BA191" i="15"/>
  <c r="AZ191" i="15"/>
  <c r="AY191" i="15"/>
  <c r="AX191" i="15"/>
  <c r="AW191" i="15"/>
  <c r="AV191" i="15"/>
  <c r="AU191" i="15"/>
  <c r="AT191" i="15"/>
  <c r="AS191" i="15"/>
  <c r="AR191" i="15"/>
  <c r="AQ191" i="15"/>
  <c r="AP191" i="15"/>
  <c r="AO191" i="15"/>
  <c r="AN191" i="15"/>
  <c r="AM191" i="15"/>
  <c r="AL191" i="15"/>
  <c r="AK191" i="15"/>
  <c r="AJ191" i="15"/>
  <c r="AI191" i="15"/>
  <c r="AH191" i="15"/>
  <c r="AG191" i="15"/>
  <c r="AF191" i="15"/>
  <c r="AE191" i="15"/>
  <c r="AD191" i="15"/>
  <c r="AC191" i="15"/>
  <c r="AB191" i="15"/>
  <c r="AA191" i="15"/>
  <c r="Z191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H189" i="15"/>
  <c r="BG189" i="15"/>
  <c r="BF189" i="15"/>
  <c r="BE189" i="15"/>
  <c r="BD189" i="15"/>
  <c r="BC189" i="15"/>
  <c r="BB189" i="15"/>
  <c r="BA189" i="15"/>
  <c r="AZ189" i="15"/>
  <c r="AY189" i="15"/>
  <c r="AX189" i="15"/>
  <c r="AW189" i="15"/>
  <c r="AV189" i="15"/>
  <c r="AU189" i="15"/>
  <c r="AT189" i="15"/>
  <c r="AS189" i="15"/>
  <c r="AR189" i="15"/>
  <c r="AQ189" i="15"/>
  <c r="AP189" i="15"/>
  <c r="AO189" i="15"/>
  <c r="AN189" i="15"/>
  <c r="AM189" i="15"/>
  <c r="AL189" i="15"/>
  <c r="AK189" i="15"/>
  <c r="AJ189" i="15"/>
  <c r="AI189" i="15"/>
  <c r="AH189" i="15"/>
  <c r="AG189" i="15"/>
  <c r="AF189" i="15"/>
  <c r="AE189" i="15"/>
  <c r="AD189" i="15"/>
  <c r="AC189" i="15"/>
  <c r="AB189" i="15"/>
  <c r="AA189" i="15"/>
  <c r="Z189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H188" i="15"/>
  <c r="BG188" i="15"/>
  <c r="BF188" i="15"/>
  <c r="BE188" i="15"/>
  <c r="BD188" i="15"/>
  <c r="BC188" i="15"/>
  <c r="BB188" i="15"/>
  <c r="BA188" i="15"/>
  <c r="AZ188" i="15"/>
  <c r="AY188" i="15"/>
  <c r="AX188" i="15"/>
  <c r="AW188" i="15"/>
  <c r="AV188" i="15"/>
  <c r="AU188" i="15"/>
  <c r="AT188" i="15"/>
  <c r="AS188" i="15"/>
  <c r="AR188" i="15"/>
  <c r="AQ188" i="15"/>
  <c r="AP188" i="15"/>
  <c r="AO188" i="15"/>
  <c r="AN188" i="15"/>
  <c r="AM188" i="15"/>
  <c r="AL188" i="15"/>
  <c r="AK188" i="15"/>
  <c r="AJ188" i="15"/>
  <c r="AI188" i="15"/>
  <c r="AH188" i="15"/>
  <c r="AG188" i="15"/>
  <c r="AF188" i="15"/>
  <c r="AE188" i="15"/>
  <c r="AD188" i="15"/>
  <c r="AC188" i="15"/>
  <c r="AB188" i="15"/>
  <c r="AA188" i="15"/>
  <c r="Z188" i="15"/>
  <c r="Y188" i="15"/>
  <c r="X188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H187" i="15"/>
  <c r="BG187" i="15"/>
  <c r="BF187" i="15"/>
  <c r="BE187" i="15"/>
  <c r="BD187" i="15"/>
  <c r="BC187" i="15"/>
  <c r="BB187" i="15"/>
  <c r="BA187" i="15"/>
  <c r="AZ187" i="15"/>
  <c r="AY187" i="15"/>
  <c r="AX187" i="15"/>
  <c r="AW187" i="15"/>
  <c r="AV187" i="15"/>
  <c r="AU187" i="15"/>
  <c r="AT187" i="15"/>
  <c r="AS187" i="15"/>
  <c r="AR187" i="15"/>
  <c r="AQ187" i="15"/>
  <c r="AP187" i="15"/>
  <c r="AO187" i="15"/>
  <c r="AN187" i="15"/>
  <c r="AM187" i="15"/>
  <c r="AL187" i="15"/>
  <c r="AK187" i="15"/>
  <c r="AJ187" i="15"/>
  <c r="AI187" i="15"/>
  <c r="AH187" i="15"/>
  <c r="AG187" i="15"/>
  <c r="AF187" i="15"/>
  <c r="AE187" i="15"/>
  <c r="AD187" i="15"/>
  <c r="AC187" i="15"/>
  <c r="AB187" i="15"/>
  <c r="AA187" i="15"/>
  <c r="Z187" i="15"/>
  <c r="Y187" i="15"/>
  <c r="X187" i="15"/>
  <c r="W187" i="15"/>
  <c r="V187" i="15"/>
  <c r="U187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H186" i="15"/>
  <c r="BG186" i="15"/>
  <c r="BF186" i="15"/>
  <c r="BE186" i="15"/>
  <c r="BD186" i="15"/>
  <c r="BC186" i="15"/>
  <c r="BB186" i="15"/>
  <c r="BA186" i="15"/>
  <c r="AZ186" i="15"/>
  <c r="AY186" i="15"/>
  <c r="AX186" i="15"/>
  <c r="AW186" i="15"/>
  <c r="AV186" i="15"/>
  <c r="AU186" i="15"/>
  <c r="AT186" i="15"/>
  <c r="AS186" i="15"/>
  <c r="AR186" i="15"/>
  <c r="AQ186" i="15"/>
  <c r="AP186" i="15"/>
  <c r="AO186" i="15"/>
  <c r="AN186" i="15"/>
  <c r="AM186" i="15"/>
  <c r="AL186" i="15"/>
  <c r="AK186" i="15"/>
  <c r="AJ186" i="15"/>
  <c r="AI186" i="15"/>
  <c r="AH186" i="15"/>
  <c r="AG186" i="15"/>
  <c r="AF186" i="15"/>
  <c r="AE186" i="15"/>
  <c r="AD186" i="15"/>
  <c r="AC186" i="15"/>
  <c r="AB186" i="15"/>
  <c r="AA186" i="15"/>
  <c r="Z186" i="15"/>
  <c r="Y186" i="15"/>
  <c r="X186" i="15"/>
  <c r="W186" i="15"/>
  <c r="V186" i="15"/>
  <c r="U186" i="15"/>
  <c r="T186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H185" i="15"/>
  <c r="BG185" i="15"/>
  <c r="BF185" i="15"/>
  <c r="BE185" i="15"/>
  <c r="BD185" i="15"/>
  <c r="BC185" i="15"/>
  <c r="BB185" i="15"/>
  <c r="BA185" i="15"/>
  <c r="AZ185" i="15"/>
  <c r="AY185" i="15"/>
  <c r="AX185" i="15"/>
  <c r="AW185" i="15"/>
  <c r="AV185" i="15"/>
  <c r="AU185" i="15"/>
  <c r="AT185" i="15"/>
  <c r="AS185" i="15"/>
  <c r="AR185" i="15"/>
  <c r="AQ185" i="15"/>
  <c r="AP185" i="15"/>
  <c r="AO185" i="15"/>
  <c r="AN185" i="15"/>
  <c r="AM185" i="15"/>
  <c r="AL185" i="15"/>
  <c r="AK185" i="15"/>
  <c r="AJ185" i="15"/>
  <c r="AI185" i="15"/>
  <c r="AH185" i="15"/>
  <c r="AG185" i="15"/>
  <c r="AF185" i="15"/>
  <c r="AE185" i="15"/>
  <c r="AD185" i="15"/>
  <c r="AC185" i="15"/>
  <c r="AB185" i="15"/>
  <c r="AA185" i="15"/>
  <c r="Z185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H183" i="15"/>
  <c r="BG183" i="15"/>
  <c r="BF183" i="15"/>
  <c r="BE183" i="15"/>
  <c r="BD183" i="15"/>
  <c r="BC183" i="15"/>
  <c r="BB183" i="15"/>
  <c r="BA183" i="15"/>
  <c r="AZ183" i="15"/>
  <c r="AY183" i="15"/>
  <c r="AX183" i="15"/>
  <c r="AW183" i="15"/>
  <c r="AV183" i="15"/>
  <c r="AU183" i="15"/>
  <c r="AT183" i="15"/>
  <c r="AS183" i="15"/>
  <c r="AR183" i="15"/>
  <c r="AQ183" i="15"/>
  <c r="AP183" i="15"/>
  <c r="AO183" i="15"/>
  <c r="AN183" i="15"/>
  <c r="AM183" i="15"/>
  <c r="AL183" i="15"/>
  <c r="AK183" i="15"/>
  <c r="AJ183" i="15"/>
  <c r="AI183" i="15"/>
  <c r="AH183" i="15"/>
  <c r="AG183" i="15"/>
  <c r="AF183" i="15"/>
  <c r="AE183" i="15"/>
  <c r="AD183" i="15"/>
  <c r="AC183" i="15"/>
  <c r="AB183" i="15"/>
  <c r="AA183" i="15"/>
  <c r="Z183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H182" i="15"/>
  <c r="BG182" i="15"/>
  <c r="BF182" i="15"/>
  <c r="BE182" i="15"/>
  <c r="BD182" i="15"/>
  <c r="BC182" i="15"/>
  <c r="BB182" i="15"/>
  <c r="BA182" i="15"/>
  <c r="AZ182" i="15"/>
  <c r="AY182" i="15"/>
  <c r="AX182" i="15"/>
  <c r="AW182" i="15"/>
  <c r="AV182" i="15"/>
  <c r="AU182" i="15"/>
  <c r="AT182" i="15"/>
  <c r="AS182" i="15"/>
  <c r="AR182" i="15"/>
  <c r="AQ182" i="15"/>
  <c r="AP182" i="15"/>
  <c r="AO182" i="15"/>
  <c r="AN182" i="15"/>
  <c r="AM182" i="15"/>
  <c r="AL182" i="15"/>
  <c r="AK182" i="15"/>
  <c r="AJ182" i="15"/>
  <c r="AI182" i="15"/>
  <c r="AH182" i="15"/>
  <c r="AG182" i="15"/>
  <c r="AF182" i="15"/>
  <c r="AE182" i="15"/>
  <c r="AD182" i="15"/>
  <c r="AC182" i="15"/>
  <c r="AB182" i="15"/>
  <c r="AA182" i="15"/>
  <c r="Z182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H181" i="15"/>
  <c r="BG181" i="15"/>
  <c r="BF181" i="15"/>
  <c r="BE181" i="15"/>
  <c r="BD181" i="15"/>
  <c r="BC181" i="15"/>
  <c r="BB181" i="15"/>
  <c r="BA181" i="15"/>
  <c r="AZ181" i="15"/>
  <c r="AY181" i="15"/>
  <c r="AX181" i="15"/>
  <c r="AW181" i="15"/>
  <c r="AV181" i="15"/>
  <c r="AU181" i="15"/>
  <c r="AT181" i="15"/>
  <c r="AS181" i="15"/>
  <c r="AR181" i="15"/>
  <c r="AQ181" i="15"/>
  <c r="AP181" i="15"/>
  <c r="AO181" i="15"/>
  <c r="AN181" i="15"/>
  <c r="AM181" i="15"/>
  <c r="AL181" i="15"/>
  <c r="AK181" i="15"/>
  <c r="AJ181" i="15"/>
  <c r="AI181" i="15"/>
  <c r="AH181" i="15"/>
  <c r="AG181" i="15"/>
  <c r="AF181" i="15"/>
  <c r="AE181" i="15"/>
  <c r="AD181" i="15"/>
  <c r="AC181" i="15"/>
  <c r="AB181" i="15"/>
  <c r="AA181" i="15"/>
  <c r="Z181" i="15"/>
  <c r="Y181" i="15"/>
  <c r="X181" i="15"/>
  <c r="W181" i="15"/>
  <c r="V181" i="15"/>
  <c r="U181" i="15"/>
  <c r="T181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H180" i="15"/>
  <c r="BG180" i="15"/>
  <c r="BF180" i="15"/>
  <c r="BE180" i="15"/>
  <c r="BD180" i="15"/>
  <c r="BC180" i="15"/>
  <c r="BB180" i="15"/>
  <c r="BA180" i="15"/>
  <c r="AZ180" i="15"/>
  <c r="AY180" i="15"/>
  <c r="AX180" i="15"/>
  <c r="AW180" i="15"/>
  <c r="AV180" i="15"/>
  <c r="AU180" i="15"/>
  <c r="AT180" i="15"/>
  <c r="AS180" i="15"/>
  <c r="AR180" i="15"/>
  <c r="AQ180" i="15"/>
  <c r="AP180" i="15"/>
  <c r="AO180" i="15"/>
  <c r="AN180" i="15"/>
  <c r="AM180" i="15"/>
  <c r="AL180" i="15"/>
  <c r="AK180" i="15"/>
  <c r="AJ180" i="15"/>
  <c r="AI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H179" i="15"/>
  <c r="BG179" i="15"/>
  <c r="BF179" i="15"/>
  <c r="BE179" i="15"/>
  <c r="BD179" i="15"/>
  <c r="BC179" i="15"/>
  <c r="BB179" i="15"/>
  <c r="BA179" i="15"/>
  <c r="AZ179" i="15"/>
  <c r="AY179" i="15"/>
  <c r="AX179" i="15"/>
  <c r="AW179" i="15"/>
  <c r="AV179" i="15"/>
  <c r="AU179" i="15"/>
  <c r="AT179" i="15"/>
  <c r="AS179" i="15"/>
  <c r="AR179" i="15"/>
  <c r="AQ179" i="15"/>
  <c r="AP179" i="15"/>
  <c r="AO179" i="15"/>
  <c r="AN179" i="15"/>
  <c r="AM179" i="15"/>
  <c r="AL179" i="15"/>
  <c r="AK179" i="15"/>
  <c r="AJ179" i="15"/>
  <c r="AI179" i="15"/>
  <c r="AH179" i="15"/>
  <c r="AG179" i="15"/>
  <c r="AF179" i="15"/>
  <c r="AE179" i="15"/>
  <c r="AD179" i="15"/>
  <c r="AC179" i="15"/>
  <c r="AB179" i="15"/>
  <c r="AA179" i="15"/>
  <c r="Z179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H178" i="15"/>
  <c r="BG178" i="15"/>
  <c r="BF178" i="15"/>
  <c r="BE178" i="15"/>
  <c r="BD178" i="15"/>
  <c r="BC178" i="15"/>
  <c r="BB178" i="15"/>
  <c r="BA178" i="15"/>
  <c r="AZ178" i="15"/>
  <c r="AY178" i="15"/>
  <c r="AX178" i="15"/>
  <c r="AW178" i="15"/>
  <c r="AV178" i="15"/>
  <c r="AU178" i="15"/>
  <c r="AT178" i="15"/>
  <c r="AS178" i="15"/>
  <c r="AR178" i="15"/>
  <c r="AQ178" i="15"/>
  <c r="AP178" i="15"/>
  <c r="AO178" i="15"/>
  <c r="AN178" i="15"/>
  <c r="AM178" i="15"/>
  <c r="AL178" i="15"/>
  <c r="AK178" i="15"/>
  <c r="AJ178" i="15"/>
  <c r="AI178" i="15"/>
  <c r="AH178" i="15"/>
  <c r="AG178" i="15"/>
  <c r="AF178" i="15"/>
  <c r="AE178" i="15"/>
  <c r="AD178" i="15"/>
  <c r="AC178" i="15"/>
  <c r="AB178" i="15"/>
  <c r="AA178" i="15"/>
  <c r="Z178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H177" i="15"/>
  <c r="BG177" i="15"/>
  <c r="BF177" i="15"/>
  <c r="BE177" i="15"/>
  <c r="BD177" i="15"/>
  <c r="BC177" i="15"/>
  <c r="BB177" i="15"/>
  <c r="BA177" i="15"/>
  <c r="AZ177" i="15"/>
  <c r="AY177" i="15"/>
  <c r="AX177" i="15"/>
  <c r="AW177" i="15"/>
  <c r="AV177" i="15"/>
  <c r="AU177" i="15"/>
  <c r="AT177" i="15"/>
  <c r="AS177" i="15"/>
  <c r="AR177" i="15"/>
  <c r="AQ177" i="15"/>
  <c r="AP177" i="15"/>
  <c r="AO177" i="15"/>
  <c r="AN177" i="15"/>
  <c r="AM177" i="15"/>
  <c r="AL177" i="15"/>
  <c r="AK177" i="15"/>
  <c r="AJ177" i="15"/>
  <c r="AI177" i="15"/>
  <c r="AH177" i="15"/>
  <c r="AG177" i="15"/>
  <c r="AF177" i="15"/>
  <c r="AE177" i="15"/>
  <c r="AD177" i="15"/>
  <c r="AC177" i="15"/>
  <c r="AB177" i="15"/>
  <c r="AA177" i="15"/>
  <c r="Z177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H176" i="15"/>
  <c r="BG176" i="15"/>
  <c r="BF176" i="15"/>
  <c r="BE176" i="15"/>
  <c r="BD176" i="15"/>
  <c r="BC176" i="15"/>
  <c r="BB176" i="15"/>
  <c r="BA176" i="15"/>
  <c r="AZ176" i="15"/>
  <c r="AY176" i="15"/>
  <c r="AX176" i="15"/>
  <c r="AW176" i="15"/>
  <c r="AV176" i="15"/>
  <c r="AU176" i="15"/>
  <c r="AT176" i="15"/>
  <c r="AS176" i="15"/>
  <c r="AR176" i="15"/>
  <c r="AQ176" i="15"/>
  <c r="AP176" i="15"/>
  <c r="AO176" i="15"/>
  <c r="AN176" i="15"/>
  <c r="AM176" i="15"/>
  <c r="AL176" i="15"/>
  <c r="AK176" i="15"/>
  <c r="AJ176" i="15"/>
  <c r="AI176" i="15"/>
  <c r="AH176" i="15"/>
  <c r="AG176" i="15"/>
  <c r="AF176" i="15"/>
  <c r="AE176" i="15"/>
  <c r="AD176" i="15"/>
  <c r="AC176" i="15"/>
  <c r="AB176" i="15"/>
  <c r="AA176" i="15"/>
  <c r="Z176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H175" i="15"/>
  <c r="BG175" i="15"/>
  <c r="BF175" i="15"/>
  <c r="BE175" i="15"/>
  <c r="BD175" i="15"/>
  <c r="BC175" i="15"/>
  <c r="BB175" i="15"/>
  <c r="BA175" i="15"/>
  <c r="AZ175" i="15"/>
  <c r="AY175" i="15"/>
  <c r="AX175" i="15"/>
  <c r="AW175" i="15"/>
  <c r="AV175" i="15"/>
  <c r="AU175" i="15"/>
  <c r="AT175" i="15"/>
  <c r="AS175" i="15"/>
  <c r="AR175" i="15"/>
  <c r="AQ175" i="15"/>
  <c r="AP175" i="15"/>
  <c r="AO175" i="15"/>
  <c r="AN175" i="15"/>
  <c r="AM175" i="15"/>
  <c r="AL175" i="15"/>
  <c r="AK175" i="15"/>
  <c r="AJ175" i="15"/>
  <c r="AI175" i="15"/>
  <c r="AH175" i="15"/>
  <c r="AG175" i="15"/>
  <c r="AF175" i="15"/>
  <c r="AE175" i="15"/>
  <c r="AD175" i="15"/>
  <c r="AC175" i="15"/>
  <c r="AB175" i="15"/>
  <c r="AA175" i="15"/>
  <c r="Z175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H174" i="15"/>
  <c r="BG174" i="15"/>
  <c r="BF174" i="15"/>
  <c r="BE174" i="15"/>
  <c r="BD174" i="15"/>
  <c r="BC174" i="15"/>
  <c r="BB174" i="15"/>
  <c r="BA174" i="15"/>
  <c r="AZ174" i="15"/>
  <c r="AY174" i="15"/>
  <c r="AX174" i="15"/>
  <c r="AW174" i="15"/>
  <c r="AV174" i="15"/>
  <c r="AU174" i="15"/>
  <c r="AT174" i="15"/>
  <c r="AS174" i="15"/>
  <c r="AR174" i="15"/>
  <c r="AQ174" i="15"/>
  <c r="AP174" i="15"/>
  <c r="AO174" i="15"/>
  <c r="AN174" i="15"/>
  <c r="AM174" i="15"/>
  <c r="AL174" i="15"/>
  <c r="AK174" i="15"/>
  <c r="AJ174" i="15"/>
  <c r="AI174" i="15"/>
  <c r="AH174" i="15"/>
  <c r="AG174" i="15"/>
  <c r="AF174" i="15"/>
  <c r="AE174" i="15"/>
  <c r="AD174" i="15"/>
  <c r="AC174" i="15"/>
  <c r="AB174" i="15"/>
  <c r="AA174" i="15"/>
  <c r="Z174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H173" i="15"/>
  <c r="BG173" i="15"/>
  <c r="BF173" i="15"/>
  <c r="BE173" i="15"/>
  <c r="BD173" i="15"/>
  <c r="BC173" i="15"/>
  <c r="BB173" i="15"/>
  <c r="BA173" i="15"/>
  <c r="AZ173" i="15"/>
  <c r="AY173" i="15"/>
  <c r="AX173" i="15"/>
  <c r="AW173" i="15"/>
  <c r="AV173" i="15"/>
  <c r="AU173" i="15"/>
  <c r="AT173" i="15"/>
  <c r="AS173" i="15"/>
  <c r="AR173" i="15"/>
  <c r="AQ173" i="15"/>
  <c r="AP173" i="15"/>
  <c r="AO173" i="15"/>
  <c r="AN173" i="15"/>
  <c r="AM173" i="15"/>
  <c r="AL173" i="15"/>
  <c r="AK173" i="15"/>
  <c r="AJ173" i="15"/>
  <c r="AI173" i="15"/>
  <c r="AH173" i="15"/>
  <c r="AG173" i="15"/>
  <c r="AF173" i="15"/>
  <c r="AE173" i="15"/>
  <c r="AD173" i="15"/>
  <c r="AC173" i="15"/>
  <c r="AB173" i="15"/>
  <c r="AA173" i="15"/>
  <c r="Z173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H172" i="15"/>
  <c r="BG172" i="15"/>
  <c r="BF172" i="15"/>
  <c r="BE172" i="15"/>
  <c r="BD172" i="15"/>
  <c r="BC172" i="15"/>
  <c r="BB172" i="15"/>
  <c r="BA172" i="15"/>
  <c r="AZ172" i="15"/>
  <c r="AY172" i="15"/>
  <c r="AX172" i="15"/>
  <c r="AW172" i="15"/>
  <c r="AV172" i="15"/>
  <c r="AU172" i="15"/>
  <c r="AT172" i="15"/>
  <c r="AS172" i="15"/>
  <c r="AR172" i="15"/>
  <c r="AQ172" i="15"/>
  <c r="AP172" i="15"/>
  <c r="AO172" i="15"/>
  <c r="AN172" i="15"/>
  <c r="AM172" i="15"/>
  <c r="AL172" i="15"/>
  <c r="AK172" i="15"/>
  <c r="AJ172" i="15"/>
  <c r="AI172" i="15"/>
  <c r="AH172" i="15"/>
  <c r="AG172" i="15"/>
  <c r="AF172" i="15"/>
  <c r="AE172" i="15"/>
  <c r="AD172" i="15"/>
  <c r="AC172" i="15"/>
  <c r="AB172" i="15"/>
  <c r="AA172" i="15"/>
  <c r="Z172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H171" i="15"/>
  <c r="BG171" i="15"/>
  <c r="BF171" i="15"/>
  <c r="BE171" i="15"/>
  <c r="BD171" i="15"/>
  <c r="BC171" i="15"/>
  <c r="BB171" i="15"/>
  <c r="BA171" i="15"/>
  <c r="AZ171" i="15"/>
  <c r="AY171" i="15"/>
  <c r="AX171" i="15"/>
  <c r="AW171" i="15"/>
  <c r="AV171" i="15"/>
  <c r="AU171" i="15"/>
  <c r="AT171" i="15"/>
  <c r="AS171" i="15"/>
  <c r="AR171" i="15"/>
  <c r="AQ171" i="15"/>
  <c r="AP171" i="15"/>
  <c r="AO171" i="15"/>
  <c r="AN171" i="15"/>
  <c r="AM171" i="15"/>
  <c r="AL171" i="15"/>
  <c r="AK171" i="15"/>
  <c r="AJ171" i="15"/>
  <c r="AI171" i="15"/>
  <c r="AH171" i="15"/>
  <c r="AG171" i="15"/>
  <c r="AF171" i="15"/>
  <c r="AE171" i="15"/>
  <c r="AD171" i="15"/>
  <c r="AC171" i="15"/>
  <c r="AB171" i="15"/>
  <c r="AA171" i="15"/>
  <c r="Z171" i="15"/>
  <c r="Y171" i="15"/>
  <c r="X171" i="15"/>
  <c r="W171" i="15"/>
  <c r="V171" i="15"/>
  <c r="U171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H170" i="15"/>
  <c r="BG170" i="15"/>
  <c r="BF170" i="15"/>
  <c r="BE170" i="15"/>
  <c r="BD170" i="15"/>
  <c r="BC170" i="15"/>
  <c r="BB170" i="15"/>
  <c r="BA170" i="15"/>
  <c r="AZ170" i="15"/>
  <c r="AY170" i="15"/>
  <c r="AX170" i="15"/>
  <c r="AW170" i="15"/>
  <c r="AV170" i="15"/>
  <c r="AU170" i="15"/>
  <c r="AT170" i="15"/>
  <c r="AS170" i="15"/>
  <c r="AR170" i="15"/>
  <c r="AQ170" i="15"/>
  <c r="AP170" i="15"/>
  <c r="AO170" i="15"/>
  <c r="AN170" i="15"/>
  <c r="AM170" i="15"/>
  <c r="AL170" i="15"/>
  <c r="AK170" i="15"/>
  <c r="AJ170" i="15"/>
  <c r="AI170" i="15"/>
  <c r="AH170" i="15"/>
  <c r="AG170" i="15"/>
  <c r="AF170" i="15"/>
  <c r="AE170" i="15"/>
  <c r="AD170" i="15"/>
  <c r="AC170" i="15"/>
  <c r="AB170" i="15"/>
  <c r="AA170" i="15"/>
  <c r="Z170" i="15"/>
  <c r="Y170" i="15"/>
  <c r="X170" i="15"/>
  <c r="W170" i="15"/>
  <c r="V170" i="15"/>
  <c r="U170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H169" i="15"/>
  <c r="BG169" i="15"/>
  <c r="BF169" i="15"/>
  <c r="BE169" i="15"/>
  <c r="BD169" i="15"/>
  <c r="BC169" i="15"/>
  <c r="BB169" i="15"/>
  <c r="BA169" i="15"/>
  <c r="AZ169" i="15"/>
  <c r="AY169" i="15"/>
  <c r="AX169" i="15"/>
  <c r="AW169" i="15"/>
  <c r="AV169" i="15"/>
  <c r="AU169" i="15"/>
  <c r="AT169" i="15"/>
  <c r="AS169" i="15"/>
  <c r="AR169" i="15"/>
  <c r="AQ169" i="15"/>
  <c r="AP169" i="15"/>
  <c r="AO169" i="15"/>
  <c r="AN169" i="15"/>
  <c r="AM169" i="15"/>
  <c r="AL169" i="15"/>
  <c r="AK169" i="15"/>
  <c r="AJ169" i="15"/>
  <c r="AI169" i="15"/>
  <c r="AH169" i="15"/>
  <c r="AG169" i="15"/>
  <c r="AF169" i="15"/>
  <c r="AE169" i="15"/>
  <c r="AD169" i="15"/>
  <c r="AC169" i="15"/>
  <c r="AB169" i="15"/>
  <c r="AA169" i="15"/>
  <c r="Z169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H168" i="15"/>
  <c r="BG168" i="15"/>
  <c r="BF168" i="15"/>
  <c r="BE168" i="15"/>
  <c r="BD168" i="15"/>
  <c r="BC168" i="15"/>
  <c r="BB168" i="15"/>
  <c r="BA168" i="15"/>
  <c r="AZ168" i="15"/>
  <c r="AY168" i="15"/>
  <c r="AX168" i="15"/>
  <c r="AW168" i="15"/>
  <c r="AV168" i="15"/>
  <c r="AU168" i="15"/>
  <c r="AT168" i="15"/>
  <c r="AS168" i="15"/>
  <c r="AR168" i="15"/>
  <c r="AQ168" i="15"/>
  <c r="AP168" i="15"/>
  <c r="AO168" i="15"/>
  <c r="AN168" i="15"/>
  <c r="AM168" i="15"/>
  <c r="AL168" i="15"/>
  <c r="AK168" i="15"/>
  <c r="AJ168" i="15"/>
  <c r="AI168" i="15"/>
  <c r="AH168" i="15"/>
  <c r="AG168" i="15"/>
  <c r="AF168" i="15"/>
  <c r="AE168" i="15"/>
  <c r="AD168" i="15"/>
  <c r="AC168" i="15"/>
  <c r="AB168" i="15"/>
  <c r="AA168" i="15"/>
  <c r="Z168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H167" i="15"/>
  <c r="BG167" i="15"/>
  <c r="BF167" i="15"/>
  <c r="BE167" i="15"/>
  <c r="BD167" i="15"/>
  <c r="BC167" i="15"/>
  <c r="BB167" i="15"/>
  <c r="BA167" i="15"/>
  <c r="AZ167" i="15"/>
  <c r="AY167" i="15"/>
  <c r="AX167" i="15"/>
  <c r="AW167" i="15"/>
  <c r="AV167" i="15"/>
  <c r="AU167" i="15"/>
  <c r="AT167" i="15"/>
  <c r="AS167" i="15"/>
  <c r="AR167" i="15"/>
  <c r="AQ167" i="15"/>
  <c r="AP167" i="15"/>
  <c r="AO167" i="15"/>
  <c r="AN167" i="15"/>
  <c r="AM167" i="15"/>
  <c r="AL167" i="15"/>
  <c r="AK167" i="15"/>
  <c r="AJ167" i="15"/>
  <c r="AI167" i="15"/>
  <c r="AH167" i="15"/>
  <c r="AG167" i="15"/>
  <c r="AF167" i="15"/>
  <c r="AE167" i="15"/>
  <c r="AD167" i="15"/>
  <c r="AC167" i="15"/>
  <c r="AB167" i="15"/>
  <c r="AA167" i="15"/>
  <c r="Z167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H166" i="15"/>
  <c r="BG166" i="15"/>
  <c r="BF166" i="15"/>
  <c r="BE166" i="15"/>
  <c r="BD166" i="15"/>
  <c r="BC166" i="15"/>
  <c r="BB166" i="15"/>
  <c r="BA166" i="15"/>
  <c r="AZ166" i="15"/>
  <c r="AY166" i="15"/>
  <c r="AX166" i="15"/>
  <c r="AW166" i="15"/>
  <c r="AV166" i="15"/>
  <c r="AU166" i="15"/>
  <c r="AT166" i="15"/>
  <c r="AS166" i="15"/>
  <c r="AR166" i="15"/>
  <c r="AQ166" i="15"/>
  <c r="AP166" i="15"/>
  <c r="AO166" i="15"/>
  <c r="AN166" i="15"/>
  <c r="AM166" i="15"/>
  <c r="AL166" i="15"/>
  <c r="AK166" i="15"/>
  <c r="AJ166" i="15"/>
  <c r="AI166" i="15"/>
  <c r="AH166" i="15"/>
  <c r="AG166" i="15"/>
  <c r="AF166" i="15"/>
  <c r="AE166" i="15"/>
  <c r="AD166" i="15"/>
  <c r="AC166" i="15"/>
  <c r="AB166" i="15"/>
  <c r="AA166" i="15"/>
  <c r="Z166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H165" i="15"/>
  <c r="BG165" i="15"/>
  <c r="BF165" i="15"/>
  <c r="BE165" i="15"/>
  <c r="BD165" i="15"/>
  <c r="BC165" i="15"/>
  <c r="BB165" i="15"/>
  <c r="BA165" i="15"/>
  <c r="AZ165" i="15"/>
  <c r="AY165" i="15"/>
  <c r="AX165" i="15"/>
  <c r="AW165" i="15"/>
  <c r="AV165" i="15"/>
  <c r="AU165" i="15"/>
  <c r="AT165" i="15"/>
  <c r="AS165" i="15"/>
  <c r="AR165" i="15"/>
  <c r="AQ165" i="15"/>
  <c r="AP165" i="15"/>
  <c r="AO165" i="15"/>
  <c r="AN165" i="15"/>
  <c r="AM165" i="15"/>
  <c r="AL165" i="15"/>
  <c r="AK165" i="15"/>
  <c r="AJ165" i="15"/>
  <c r="AI165" i="15"/>
  <c r="AH165" i="15"/>
  <c r="AG165" i="15"/>
  <c r="AF165" i="15"/>
  <c r="AE165" i="15"/>
  <c r="AD165" i="15"/>
  <c r="AC165" i="15"/>
  <c r="AB165" i="15"/>
  <c r="AA165" i="15"/>
  <c r="Z165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H163" i="15"/>
  <c r="BG163" i="15"/>
  <c r="BF163" i="15"/>
  <c r="BE163" i="15"/>
  <c r="BD163" i="15"/>
  <c r="BC163" i="15"/>
  <c r="BB163" i="15"/>
  <c r="BA163" i="15"/>
  <c r="AZ163" i="15"/>
  <c r="AY163" i="15"/>
  <c r="AX163" i="15"/>
  <c r="AW163" i="15"/>
  <c r="AV163" i="15"/>
  <c r="AU163" i="15"/>
  <c r="AT163" i="15"/>
  <c r="AS163" i="15"/>
  <c r="AR163" i="15"/>
  <c r="AQ163" i="15"/>
  <c r="AP163" i="15"/>
  <c r="AO163" i="15"/>
  <c r="AN163" i="15"/>
  <c r="AM163" i="15"/>
  <c r="AL163" i="15"/>
  <c r="AK163" i="15"/>
  <c r="AJ163" i="15"/>
  <c r="AI163" i="15"/>
  <c r="AH163" i="15"/>
  <c r="AG163" i="15"/>
  <c r="AF163" i="15"/>
  <c r="AE163" i="15"/>
  <c r="AD163" i="15"/>
  <c r="AC163" i="15"/>
  <c r="AB163" i="15"/>
  <c r="AA163" i="15"/>
  <c r="Z163" i="15"/>
  <c r="Y163" i="15"/>
  <c r="X163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H162" i="15"/>
  <c r="BG162" i="15"/>
  <c r="BF162" i="15"/>
  <c r="BE162" i="15"/>
  <c r="BD162" i="15"/>
  <c r="BC162" i="15"/>
  <c r="BB162" i="15"/>
  <c r="BA162" i="15"/>
  <c r="AZ162" i="15"/>
  <c r="AY162" i="15"/>
  <c r="AX162" i="15"/>
  <c r="AW162" i="15"/>
  <c r="AV162" i="15"/>
  <c r="AU162" i="15"/>
  <c r="AT162" i="15"/>
  <c r="AS162" i="15"/>
  <c r="AR162" i="15"/>
  <c r="AQ162" i="15"/>
  <c r="AP162" i="15"/>
  <c r="AO162" i="15"/>
  <c r="AN162" i="15"/>
  <c r="AM162" i="15"/>
  <c r="AL162" i="15"/>
  <c r="AK162" i="15"/>
  <c r="AJ162" i="15"/>
  <c r="AI162" i="15"/>
  <c r="AH162" i="15"/>
  <c r="AG162" i="15"/>
  <c r="AF162" i="15"/>
  <c r="AE162" i="15"/>
  <c r="AD162" i="15"/>
  <c r="AC162" i="15"/>
  <c r="AB162" i="15"/>
  <c r="AA162" i="15"/>
  <c r="Z162" i="15"/>
  <c r="Y162" i="15"/>
  <c r="X162" i="15"/>
  <c r="W162" i="15"/>
  <c r="V162" i="15"/>
  <c r="U162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H161" i="15"/>
  <c r="BG161" i="15"/>
  <c r="BF161" i="15"/>
  <c r="BE161" i="15"/>
  <c r="BD161" i="15"/>
  <c r="BC161" i="15"/>
  <c r="BB161" i="15"/>
  <c r="BA161" i="15"/>
  <c r="AZ161" i="15"/>
  <c r="AY161" i="15"/>
  <c r="AX161" i="15"/>
  <c r="AW161" i="15"/>
  <c r="AV161" i="15"/>
  <c r="AU161" i="15"/>
  <c r="AT161" i="15"/>
  <c r="AS161" i="15"/>
  <c r="AR161" i="15"/>
  <c r="AQ161" i="15"/>
  <c r="AP161" i="15"/>
  <c r="AO161" i="15"/>
  <c r="AN161" i="15"/>
  <c r="AM161" i="15"/>
  <c r="AL161" i="15"/>
  <c r="AK161" i="15"/>
  <c r="AJ161" i="15"/>
  <c r="AI161" i="15"/>
  <c r="AH161" i="15"/>
  <c r="AG161" i="15"/>
  <c r="AF161" i="15"/>
  <c r="AE161" i="15"/>
  <c r="AD161" i="15"/>
  <c r="AC161" i="15"/>
  <c r="AB161" i="15"/>
  <c r="AA161" i="15"/>
  <c r="Z161" i="15"/>
  <c r="Y161" i="15"/>
  <c r="X161" i="15"/>
  <c r="W161" i="15"/>
  <c r="V161" i="15"/>
  <c r="U161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H160" i="15"/>
  <c r="BG160" i="15"/>
  <c r="BF160" i="15"/>
  <c r="BE160" i="15"/>
  <c r="BD160" i="15"/>
  <c r="BC160" i="15"/>
  <c r="BB160" i="15"/>
  <c r="BA160" i="15"/>
  <c r="AZ160" i="15"/>
  <c r="AY160" i="15"/>
  <c r="AX160" i="15"/>
  <c r="AW160" i="15"/>
  <c r="AV160" i="15"/>
  <c r="AU160" i="15"/>
  <c r="AT160" i="15"/>
  <c r="AS160" i="15"/>
  <c r="AR160" i="15"/>
  <c r="AQ160" i="15"/>
  <c r="AP160" i="15"/>
  <c r="AO160" i="15"/>
  <c r="AN160" i="15"/>
  <c r="AM160" i="15"/>
  <c r="AL160" i="15"/>
  <c r="AK160" i="15"/>
  <c r="AJ160" i="15"/>
  <c r="AI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H159" i="15"/>
  <c r="BG159" i="15"/>
  <c r="BF159" i="15"/>
  <c r="BE159" i="15"/>
  <c r="BD159" i="15"/>
  <c r="BC159" i="15"/>
  <c r="BB159" i="15"/>
  <c r="BA159" i="15"/>
  <c r="AZ159" i="15"/>
  <c r="AY159" i="15"/>
  <c r="AX159" i="15"/>
  <c r="AW159" i="15"/>
  <c r="AV159" i="15"/>
  <c r="AU159" i="15"/>
  <c r="AT159" i="15"/>
  <c r="AS159" i="15"/>
  <c r="AR159" i="15"/>
  <c r="AQ159" i="15"/>
  <c r="AP159" i="15"/>
  <c r="AO159" i="15"/>
  <c r="AN159" i="15"/>
  <c r="AM159" i="15"/>
  <c r="AL159" i="15"/>
  <c r="AK159" i="15"/>
  <c r="AJ159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H157" i="15"/>
  <c r="BG157" i="15"/>
  <c r="BF157" i="15"/>
  <c r="BE157" i="15"/>
  <c r="BD157" i="15"/>
  <c r="BC157" i="15"/>
  <c r="BB157" i="15"/>
  <c r="BA157" i="15"/>
  <c r="AZ157" i="15"/>
  <c r="AY157" i="15"/>
  <c r="AX157" i="15"/>
  <c r="AW157" i="15"/>
  <c r="AV157" i="15"/>
  <c r="AU157" i="15"/>
  <c r="AT157" i="15"/>
  <c r="AS157" i="15"/>
  <c r="AR157" i="15"/>
  <c r="AQ157" i="15"/>
  <c r="AP157" i="15"/>
  <c r="AO157" i="15"/>
  <c r="AN157" i="15"/>
  <c r="AM157" i="15"/>
  <c r="AL157" i="15"/>
  <c r="AK157" i="15"/>
  <c r="AJ157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H156" i="15"/>
  <c r="BG156" i="15"/>
  <c r="BF156" i="15"/>
  <c r="BE156" i="15"/>
  <c r="BD156" i="15"/>
  <c r="BC156" i="15"/>
  <c r="BB156" i="15"/>
  <c r="BA156" i="15"/>
  <c r="AZ156" i="15"/>
  <c r="AY156" i="15"/>
  <c r="AX156" i="15"/>
  <c r="AW156" i="15"/>
  <c r="AV156" i="15"/>
  <c r="AU156" i="15"/>
  <c r="AT156" i="15"/>
  <c r="AS156" i="15"/>
  <c r="AR156" i="15"/>
  <c r="AQ156" i="15"/>
  <c r="AP156" i="15"/>
  <c r="AO156" i="15"/>
  <c r="AN156" i="15"/>
  <c r="AM156" i="15"/>
  <c r="AL156" i="15"/>
  <c r="AK156" i="15"/>
  <c r="AJ156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H155" i="15"/>
  <c r="BG155" i="15"/>
  <c r="BF155" i="15"/>
  <c r="BE155" i="15"/>
  <c r="BD155" i="15"/>
  <c r="BC155" i="15"/>
  <c r="BB155" i="15"/>
  <c r="BA155" i="15"/>
  <c r="AZ155" i="15"/>
  <c r="AY155" i="15"/>
  <c r="AX155" i="15"/>
  <c r="AW155" i="15"/>
  <c r="AV155" i="15"/>
  <c r="AU155" i="15"/>
  <c r="AT155" i="15"/>
  <c r="AS155" i="15"/>
  <c r="AR155" i="15"/>
  <c r="AQ155" i="15"/>
  <c r="AP155" i="15"/>
  <c r="AO155" i="15"/>
  <c r="AN155" i="15"/>
  <c r="AM155" i="15"/>
  <c r="AL155" i="15"/>
  <c r="AK155" i="15"/>
  <c r="AJ155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H154" i="15"/>
  <c r="BG154" i="15"/>
  <c r="BF154" i="15"/>
  <c r="BE154" i="15"/>
  <c r="BD154" i="15"/>
  <c r="BC154" i="15"/>
  <c r="BB154" i="15"/>
  <c r="BA154" i="15"/>
  <c r="AZ154" i="15"/>
  <c r="AY154" i="15"/>
  <c r="AX154" i="15"/>
  <c r="AW154" i="15"/>
  <c r="AV154" i="15"/>
  <c r="AU154" i="15"/>
  <c r="AT154" i="15"/>
  <c r="AS154" i="15"/>
  <c r="AR154" i="15"/>
  <c r="AQ154" i="15"/>
  <c r="AP154" i="15"/>
  <c r="AO154" i="15"/>
  <c r="AN154" i="15"/>
  <c r="AM154" i="15"/>
  <c r="AL154" i="15"/>
  <c r="AK154" i="15"/>
  <c r="AJ154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H153" i="15"/>
  <c r="BG153" i="15"/>
  <c r="BF153" i="15"/>
  <c r="BE153" i="15"/>
  <c r="BD153" i="15"/>
  <c r="BC153" i="15"/>
  <c r="BB153" i="15"/>
  <c r="BA153" i="15"/>
  <c r="AZ153" i="15"/>
  <c r="AY153" i="15"/>
  <c r="AX153" i="15"/>
  <c r="AW153" i="15"/>
  <c r="AV153" i="15"/>
  <c r="AU153" i="15"/>
  <c r="AT153" i="15"/>
  <c r="AS153" i="15"/>
  <c r="AR153" i="15"/>
  <c r="AQ153" i="15"/>
  <c r="AP153" i="15"/>
  <c r="AO153" i="15"/>
  <c r="AN153" i="15"/>
  <c r="AM153" i="15"/>
  <c r="AL153" i="15"/>
  <c r="AK153" i="15"/>
  <c r="AJ153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H152" i="15"/>
  <c r="BG152" i="15"/>
  <c r="BF152" i="15"/>
  <c r="BE152" i="15"/>
  <c r="BD152" i="15"/>
  <c r="BC152" i="15"/>
  <c r="BB152" i="15"/>
  <c r="BA152" i="15"/>
  <c r="AZ152" i="15"/>
  <c r="AY152" i="15"/>
  <c r="AX152" i="15"/>
  <c r="AW152" i="15"/>
  <c r="AV152" i="15"/>
  <c r="AU152" i="15"/>
  <c r="AT152" i="15"/>
  <c r="AS152" i="15"/>
  <c r="AR152" i="15"/>
  <c r="AQ152" i="15"/>
  <c r="AP152" i="15"/>
  <c r="AO152" i="15"/>
  <c r="AN152" i="15"/>
  <c r="AM152" i="15"/>
  <c r="AL152" i="15"/>
  <c r="AK152" i="15"/>
  <c r="AJ152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H151" i="15"/>
  <c r="BG151" i="15"/>
  <c r="BF151" i="15"/>
  <c r="BE151" i="15"/>
  <c r="BD151" i="15"/>
  <c r="BC151" i="15"/>
  <c r="BB151" i="15"/>
  <c r="BA151" i="15"/>
  <c r="AZ151" i="15"/>
  <c r="AY151" i="15"/>
  <c r="AX151" i="15"/>
  <c r="AW151" i="15"/>
  <c r="AV151" i="15"/>
  <c r="AU151" i="15"/>
  <c r="AT151" i="15"/>
  <c r="AS151" i="15"/>
  <c r="AR151" i="15"/>
  <c r="AQ151" i="15"/>
  <c r="AP151" i="15"/>
  <c r="AO151" i="15"/>
  <c r="AN151" i="15"/>
  <c r="AM151" i="15"/>
  <c r="AL151" i="15"/>
  <c r="AK151" i="15"/>
  <c r="AJ151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H150" i="15"/>
  <c r="BG150" i="15"/>
  <c r="BF150" i="15"/>
  <c r="BE150" i="15"/>
  <c r="BD150" i="15"/>
  <c r="BC150" i="15"/>
  <c r="BB150" i="15"/>
  <c r="BA150" i="15"/>
  <c r="AZ150" i="15"/>
  <c r="AY150" i="15"/>
  <c r="AX150" i="15"/>
  <c r="AW150" i="15"/>
  <c r="AV150" i="15"/>
  <c r="AU150" i="15"/>
  <c r="AT150" i="15"/>
  <c r="AS150" i="15"/>
  <c r="AR150" i="15"/>
  <c r="AQ150" i="15"/>
  <c r="AP150" i="15"/>
  <c r="AO150" i="15"/>
  <c r="AN150" i="15"/>
  <c r="AM150" i="15"/>
  <c r="AL150" i="15"/>
  <c r="AK150" i="15"/>
  <c r="AJ150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H149" i="15"/>
  <c r="BG149" i="15"/>
  <c r="BF149" i="15"/>
  <c r="BE149" i="15"/>
  <c r="BD149" i="15"/>
  <c r="BC149" i="15"/>
  <c r="BB149" i="15"/>
  <c r="BA149" i="15"/>
  <c r="AZ149" i="15"/>
  <c r="AY149" i="15"/>
  <c r="AX149" i="15"/>
  <c r="AW149" i="15"/>
  <c r="AV149" i="15"/>
  <c r="AU149" i="15"/>
  <c r="AT149" i="15"/>
  <c r="AS149" i="15"/>
  <c r="AR149" i="15"/>
  <c r="AQ149" i="15"/>
  <c r="AP149" i="15"/>
  <c r="AO149" i="15"/>
  <c r="AN149" i="15"/>
  <c r="AM149" i="15"/>
  <c r="AL149" i="15"/>
  <c r="AK149" i="15"/>
  <c r="AJ149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H148" i="15"/>
  <c r="BG148" i="15"/>
  <c r="BF148" i="15"/>
  <c r="BE148" i="15"/>
  <c r="BD148" i="15"/>
  <c r="BC148" i="15"/>
  <c r="BB148" i="15"/>
  <c r="BA148" i="15"/>
  <c r="AZ148" i="15"/>
  <c r="AY148" i="15"/>
  <c r="AX148" i="15"/>
  <c r="AW148" i="15"/>
  <c r="AV148" i="15"/>
  <c r="AU148" i="15"/>
  <c r="AT148" i="15"/>
  <c r="AS148" i="15"/>
  <c r="AR148" i="15"/>
  <c r="AQ148" i="15"/>
  <c r="AP148" i="15"/>
  <c r="AO148" i="15"/>
  <c r="AN148" i="15"/>
  <c r="AM148" i="15"/>
  <c r="AL148" i="15"/>
  <c r="AK148" i="15"/>
  <c r="AJ148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H147" i="15"/>
  <c r="BG147" i="15"/>
  <c r="BF147" i="15"/>
  <c r="BE147" i="15"/>
  <c r="BD147" i="15"/>
  <c r="BC147" i="15"/>
  <c r="BB147" i="15"/>
  <c r="BA147" i="15"/>
  <c r="AZ147" i="15"/>
  <c r="AY147" i="15"/>
  <c r="AX147" i="15"/>
  <c r="AW147" i="15"/>
  <c r="AV147" i="15"/>
  <c r="AU147" i="15"/>
  <c r="AT147" i="15"/>
  <c r="AS147" i="15"/>
  <c r="AR147" i="15"/>
  <c r="AQ147" i="15"/>
  <c r="AP147" i="15"/>
  <c r="AO147" i="15"/>
  <c r="AN147" i="15"/>
  <c r="AM147" i="15"/>
  <c r="AL147" i="15"/>
  <c r="AK147" i="15"/>
  <c r="AJ147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H146" i="15"/>
  <c r="BG146" i="15"/>
  <c r="BF146" i="15"/>
  <c r="BE146" i="15"/>
  <c r="BD146" i="15"/>
  <c r="BC146" i="15"/>
  <c r="BB146" i="15"/>
  <c r="BA146" i="15"/>
  <c r="AZ146" i="15"/>
  <c r="AY146" i="15"/>
  <c r="AX146" i="15"/>
  <c r="AW146" i="15"/>
  <c r="AV146" i="15"/>
  <c r="AU146" i="15"/>
  <c r="AT146" i="15"/>
  <c r="AS146" i="15"/>
  <c r="AR146" i="15"/>
  <c r="AQ146" i="15"/>
  <c r="AP146" i="15"/>
  <c r="AO146" i="15"/>
  <c r="AN146" i="15"/>
  <c r="AM146" i="15"/>
  <c r="AL146" i="15"/>
  <c r="AK146" i="15"/>
  <c r="AJ146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H145" i="15"/>
  <c r="BG145" i="15"/>
  <c r="BF145" i="15"/>
  <c r="BE145" i="15"/>
  <c r="BD145" i="15"/>
  <c r="BC145" i="15"/>
  <c r="BB145" i="15"/>
  <c r="BA145" i="15"/>
  <c r="AZ145" i="15"/>
  <c r="AY145" i="15"/>
  <c r="AX145" i="15"/>
  <c r="AW145" i="15"/>
  <c r="AV145" i="15"/>
  <c r="AU145" i="15"/>
  <c r="AT145" i="15"/>
  <c r="AS145" i="15"/>
  <c r="AR145" i="15"/>
  <c r="AQ145" i="15"/>
  <c r="AP145" i="15"/>
  <c r="AO145" i="15"/>
  <c r="AN145" i="15"/>
  <c r="AM145" i="15"/>
  <c r="AL145" i="15"/>
  <c r="AK145" i="15"/>
  <c r="AJ145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H144" i="15"/>
  <c r="BG144" i="15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H143" i="15"/>
  <c r="BG143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H142" i="15"/>
  <c r="BG142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H141" i="15"/>
  <c r="BG141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H140" i="15"/>
  <c r="BG140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H139" i="15"/>
  <c r="BG139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H138" i="15"/>
  <c r="BG138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H137" i="15"/>
  <c r="BG137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H136" i="15"/>
  <c r="BG136" i="15"/>
  <c r="BF136" i="15"/>
  <c r="BE136" i="15"/>
  <c r="BD136" i="15"/>
  <c r="BD132" i="15" s="1"/>
  <c r="BC136" i="15"/>
  <c r="BB136" i="15"/>
  <c r="BA136" i="15"/>
  <c r="AZ136" i="15"/>
  <c r="AY136" i="15"/>
  <c r="AX136" i="15"/>
  <c r="AW136" i="15"/>
  <c r="AV136" i="15"/>
  <c r="AV132" i="15" s="1"/>
  <c r="AU136" i="15"/>
  <c r="AT136" i="15"/>
  <c r="AS136" i="15"/>
  <c r="AR136" i="15"/>
  <c r="AQ136" i="15"/>
  <c r="AP136" i="15"/>
  <c r="AO136" i="15"/>
  <c r="AN136" i="15"/>
  <c r="AN132" i="15" s="1"/>
  <c r="AM136" i="15"/>
  <c r="AL136" i="15"/>
  <c r="AK136" i="15"/>
  <c r="AJ136" i="15"/>
  <c r="AI136" i="15"/>
  <c r="AH136" i="15"/>
  <c r="AG136" i="15"/>
  <c r="AF136" i="15"/>
  <c r="AF132" i="15" s="1"/>
  <c r="AE136" i="15"/>
  <c r="AD136" i="15"/>
  <c r="AC136" i="15"/>
  <c r="AB136" i="15"/>
  <c r="AA136" i="15"/>
  <c r="Z136" i="15"/>
  <c r="Y136" i="15"/>
  <c r="X136" i="15"/>
  <c r="X132" i="15" s="1"/>
  <c r="W136" i="15"/>
  <c r="V136" i="15"/>
  <c r="U136" i="15"/>
  <c r="T136" i="15"/>
  <c r="S136" i="15"/>
  <c r="R136" i="15"/>
  <c r="Q136" i="15"/>
  <c r="P136" i="15"/>
  <c r="P132" i="15" s="1"/>
  <c r="O136" i="15"/>
  <c r="N136" i="15"/>
  <c r="M136" i="15"/>
  <c r="L136" i="15"/>
  <c r="K136" i="15"/>
  <c r="J136" i="15"/>
  <c r="I136" i="15"/>
  <c r="H136" i="15"/>
  <c r="H132" i="15" s="1"/>
  <c r="G136" i="15"/>
  <c r="F136" i="15"/>
  <c r="E136" i="15"/>
  <c r="D136" i="15"/>
  <c r="C136" i="15"/>
  <c r="BH135" i="15"/>
  <c r="BG135" i="15"/>
  <c r="BF135" i="15"/>
  <c r="BF132" i="15" s="1"/>
  <c r="BE135" i="15"/>
  <c r="BD135" i="15"/>
  <c r="BC135" i="15"/>
  <c r="BB135" i="15"/>
  <c r="BA135" i="15"/>
  <c r="AZ135" i="15"/>
  <c r="AY135" i="15"/>
  <c r="AX135" i="15"/>
  <c r="AX132" i="15" s="1"/>
  <c r="AW135" i="15"/>
  <c r="AV135" i="15"/>
  <c r="AU135" i="15"/>
  <c r="AT135" i="15"/>
  <c r="AS135" i="15"/>
  <c r="AR135" i="15"/>
  <c r="AQ135" i="15"/>
  <c r="AP135" i="15"/>
  <c r="AP132" i="15" s="1"/>
  <c r="AO135" i="15"/>
  <c r="AN135" i="15"/>
  <c r="AM135" i="15"/>
  <c r="AL135" i="15"/>
  <c r="AK135" i="15"/>
  <c r="AJ135" i="15"/>
  <c r="AI135" i="15"/>
  <c r="AH135" i="15"/>
  <c r="AH132" i="15" s="1"/>
  <c r="AG135" i="15"/>
  <c r="AF135" i="15"/>
  <c r="AE135" i="15"/>
  <c r="AD135" i="15"/>
  <c r="AC135" i="15"/>
  <c r="AB135" i="15"/>
  <c r="AA135" i="15"/>
  <c r="Z135" i="15"/>
  <c r="Z132" i="15" s="1"/>
  <c r="Y135" i="15"/>
  <c r="X135" i="15"/>
  <c r="W135" i="15"/>
  <c r="V135" i="15"/>
  <c r="U135" i="15"/>
  <c r="T135" i="15"/>
  <c r="S135" i="15"/>
  <c r="R135" i="15"/>
  <c r="R132" i="15" s="1"/>
  <c r="Q135" i="15"/>
  <c r="P135" i="15"/>
  <c r="O135" i="15"/>
  <c r="N135" i="15"/>
  <c r="M135" i="15"/>
  <c r="L135" i="15"/>
  <c r="K135" i="15"/>
  <c r="J135" i="15"/>
  <c r="J132" i="15" s="1"/>
  <c r="I135" i="15"/>
  <c r="H135" i="15"/>
  <c r="G135" i="15"/>
  <c r="F135" i="15"/>
  <c r="E135" i="15"/>
  <c r="D135" i="15"/>
  <c r="C135" i="15"/>
  <c r="BH134" i="15"/>
  <c r="BH132" i="15" s="1"/>
  <c r="BG134" i="15"/>
  <c r="BF134" i="15"/>
  <c r="BE134" i="15"/>
  <c r="BE132" i="15" s="1"/>
  <c r="BD134" i="15"/>
  <c r="BC134" i="15"/>
  <c r="BB134" i="15"/>
  <c r="BA134" i="15"/>
  <c r="AZ134" i="15"/>
  <c r="AY134" i="15"/>
  <c r="AX134" i="15"/>
  <c r="AW134" i="15"/>
  <c r="AW132" i="15" s="1"/>
  <c r="AV134" i="15"/>
  <c r="AU134" i="15"/>
  <c r="AT134" i="15"/>
  <c r="AS134" i="15"/>
  <c r="AR134" i="15"/>
  <c r="AR132" i="15" s="1"/>
  <c r="AQ134" i="15"/>
  <c r="AP134" i="15"/>
  <c r="AO134" i="15"/>
  <c r="AO132" i="15" s="1"/>
  <c r="AN134" i="15"/>
  <c r="AM134" i="15"/>
  <c r="AL134" i="15"/>
  <c r="AK134" i="15"/>
  <c r="AJ134" i="15"/>
  <c r="AI134" i="15"/>
  <c r="AH134" i="15"/>
  <c r="AG134" i="15"/>
  <c r="AG132" i="15" s="1"/>
  <c r="AF134" i="15"/>
  <c r="AE134" i="15"/>
  <c r="AD134" i="15"/>
  <c r="AC134" i="15"/>
  <c r="AB134" i="15"/>
  <c r="AB132" i="15" s="1"/>
  <c r="AA134" i="15"/>
  <c r="Z134" i="15"/>
  <c r="Y134" i="15"/>
  <c r="Y132" i="15" s="1"/>
  <c r="X134" i="15"/>
  <c r="W134" i="15"/>
  <c r="V134" i="15"/>
  <c r="U134" i="15"/>
  <c r="T134" i="15"/>
  <c r="S134" i="15"/>
  <c r="R134" i="15"/>
  <c r="Q134" i="15"/>
  <c r="Q132" i="15" s="1"/>
  <c r="P134" i="15"/>
  <c r="O134" i="15"/>
  <c r="N134" i="15"/>
  <c r="M134" i="15"/>
  <c r="L134" i="15"/>
  <c r="L132" i="15" s="1"/>
  <c r="K134" i="15"/>
  <c r="J134" i="15"/>
  <c r="I134" i="15"/>
  <c r="I132" i="15" s="1"/>
  <c r="H134" i="15"/>
  <c r="G134" i="15"/>
  <c r="F134" i="15"/>
  <c r="E134" i="15"/>
  <c r="D134" i="15"/>
  <c r="C134" i="15"/>
  <c r="BH133" i="15"/>
  <c r="BG133" i="15"/>
  <c r="BF133" i="15"/>
  <c r="BE133" i="15"/>
  <c r="BD133" i="15"/>
  <c r="BC133" i="15"/>
  <c r="BB133" i="15"/>
  <c r="BB132" i="15" s="1"/>
  <c r="BA133" i="15"/>
  <c r="AZ133" i="15"/>
  <c r="AY133" i="15"/>
  <c r="AX133" i="15"/>
  <c r="AW133" i="15"/>
  <c r="AV133" i="15"/>
  <c r="AU133" i="15"/>
  <c r="AT133" i="15"/>
  <c r="AT132" i="15" s="1"/>
  <c r="AS133" i="15"/>
  <c r="AR133" i="15"/>
  <c r="AQ133" i="15"/>
  <c r="AP133" i="15"/>
  <c r="AO133" i="15"/>
  <c r="AN133" i="15"/>
  <c r="AM133" i="15"/>
  <c r="AL133" i="15"/>
  <c r="AL132" i="15" s="1"/>
  <c r="AK133" i="15"/>
  <c r="AJ133" i="15"/>
  <c r="AI133" i="15"/>
  <c r="AH133" i="15"/>
  <c r="AG133" i="15"/>
  <c r="AF133" i="15"/>
  <c r="AE133" i="15"/>
  <c r="AD133" i="15"/>
  <c r="AD132" i="15" s="1"/>
  <c r="AC133" i="15"/>
  <c r="AB133" i="15"/>
  <c r="AA133" i="15"/>
  <c r="Z133" i="15"/>
  <c r="Y133" i="15"/>
  <c r="X133" i="15"/>
  <c r="W133" i="15"/>
  <c r="V133" i="15"/>
  <c r="V132" i="15" s="1"/>
  <c r="U133" i="15"/>
  <c r="T133" i="15"/>
  <c r="S133" i="15"/>
  <c r="R133" i="15"/>
  <c r="Q133" i="15"/>
  <c r="P133" i="15"/>
  <c r="O133" i="15"/>
  <c r="N133" i="15"/>
  <c r="N132" i="15" s="1"/>
  <c r="M133" i="15"/>
  <c r="L133" i="15"/>
  <c r="K133" i="15"/>
  <c r="J133" i="15"/>
  <c r="I133" i="15"/>
  <c r="H133" i="15"/>
  <c r="G133" i="15"/>
  <c r="F133" i="15"/>
  <c r="F132" i="15" s="1"/>
  <c r="E133" i="15"/>
  <c r="D133" i="15"/>
  <c r="C133" i="15"/>
  <c r="BH131" i="15"/>
  <c r="BG131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H130" i="15"/>
  <c r="BG130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H129" i="15"/>
  <c r="BG129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H128" i="15"/>
  <c r="BG128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H127" i="15"/>
  <c r="BG127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H126" i="15"/>
  <c r="BG126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H125" i="15"/>
  <c r="BG125" i="15"/>
  <c r="BF125" i="15"/>
  <c r="BE125" i="15"/>
  <c r="BD125" i="15"/>
  <c r="BC125" i="15"/>
  <c r="BB125" i="15"/>
  <c r="BA125" i="15"/>
  <c r="AZ125" i="15"/>
  <c r="AY125" i="15"/>
  <c r="AX125" i="15"/>
  <c r="AW125" i="15"/>
  <c r="AV125" i="15"/>
  <c r="AU125" i="15"/>
  <c r="AT125" i="15"/>
  <c r="AS125" i="15"/>
  <c r="AR125" i="15"/>
  <c r="AQ125" i="15"/>
  <c r="AP125" i="15"/>
  <c r="AO125" i="15"/>
  <c r="AN125" i="15"/>
  <c r="AM125" i="15"/>
  <c r="AL125" i="15"/>
  <c r="AK125" i="15"/>
  <c r="AJ125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H124" i="15"/>
  <c r="BG124" i="15"/>
  <c r="BF124" i="15"/>
  <c r="BE124" i="15"/>
  <c r="BD124" i="15"/>
  <c r="BC124" i="15"/>
  <c r="BB124" i="15"/>
  <c r="BA124" i="15"/>
  <c r="AZ124" i="15"/>
  <c r="AY124" i="15"/>
  <c r="AX124" i="15"/>
  <c r="AW124" i="15"/>
  <c r="AV124" i="15"/>
  <c r="AU124" i="15"/>
  <c r="AT124" i="15"/>
  <c r="AS124" i="15"/>
  <c r="AR124" i="15"/>
  <c r="AQ124" i="15"/>
  <c r="AP124" i="15"/>
  <c r="AO124" i="15"/>
  <c r="AN124" i="15"/>
  <c r="AM124" i="15"/>
  <c r="AL124" i="15"/>
  <c r="AK124" i="15"/>
  <c r="AJ124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H123" i="15"/>
  <c r="BG123" i="15"/>
  <c r="BF123" i="15"/>
  <c r="BE123" i="15"/>
  <c r="BD123" i="15"/>
  <c r="BC123" i="15"/>
  <c r="BB123" i="15"/>
  <c r="BA123" i="15"/>
  <c r="AZ123" i="15"/>
  <c r="AY123" i="15"/>
  <c r="AX123" i="15"/>
  <c r="AW123" i="15"/>
  <c r="AV123" i="15"/>
  <c r="AU123" i="15"/>
  <c r="AT123" i="15"/>
  <c r="AS123" i="15"/>
  <c r="AR123" i="15"/>
  <c r="AQ123" i="15"/>
  <c r="AP123" i="15"/>
  <c r="AO123" i="15"/>
  <c r="AN123" i="15"/>
  <c r="AM123" i="15"/>
  <c r="AL123" i="15"/>
  <c r="AK123" i="15"/>
  <c r="AJ123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H122" i="15"/>
  <c r="BG122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H121" i="15"/>
  <c r="BG121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H120" i="15"/>
  <c r="BG120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H119" i="15"/>
  <c r="BG119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H118" i="15"/>
  <c r="BG118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H117" i="15"/>
  <c r="BG117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H116" i="15"/>
  <c r="BG116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H115" i="15"/>
  <c r="BG115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H114" i="15"/>
  <c r="BG114" i="15"/>
  <c r="BF114" i="15"/>
  <c r="BE114" i="15"/>
  <c r="BD114" i="15"/>
  <c r="BC114" i="15"/>
  <c r="BB114" i="15"/>
  <c r="BA114" i="15"/>
  <c r="AZ114" i="15"/>
  <c r="AY114" i="15"/>
  <c r="AX114" i="15"/>
  <c r="AW114" i="15"/>
  <c r="AV114" i="15"/>
  <c r="AU114" i="15"/>
  <c r="AT114" i="15"/>
  <c r="AS114" i="15"/>
  <c r="AR114" i="15"/>
  <c r="AQ114" i="15"/>
  <c r="AP114" i="15"/>
  <c r="AO114" i="15"/>
  <c r="AN114" i="15"/>
  <c r="AM114" i="15"/>
  <c r="AL114" i="15"/>
  <c r="AK114" i="15"/>
  <c r="AJ114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H113" i="15"/>
  <c r="BG113" i="15"/>
  <c r="BF113" i="15"/>
  <c r="BE113" i="15"/>
  <c r="BD113" i="15"/>
  <c r="BC113" i="15"/>
  <c r="BB113" i="15"/>
  <c r="BA113" i="15"/>
  <c r="AZ113" i="15"/>
  <c r="AY113" i="15"/>
  <c r="AX113" i="15"/>
  <c r="AW113" i="15"/>
  <c r="AV113" i="15"/>
  <c r="AU113" i="15"/>
  <c r="AT113" i="15"/>
  <c r="AS113" i="15"/>
  <c r="AR113" i="15"/>
  <c r="AQ113" i="15"/>
  <c r="AP113" i="15"/>
  <c r="AO113" i="15"/>
  <c r="AN113" i="15"/>
  <c r="AM113" i="15"/>
  <c r="AL113" i="15"/>
  <c r="AK113" i="15"/>
  <c r="AJ113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H112" i="15"/>
  <c r="BG112" i="15"/>
  <c r="BF112" i="15"/>
  <c r="BE112" i="15"/>
  <c r="BD112" i="15"/>
  <c r="BC112" i="15"/>
  <c r="BB112" i="15"/>
  <c r="BA112" i="15"/>
  <c r="AZ112" i="15"/>
  <c r="AY112" i="15"/>
  <c r="AX112" i="15"/>
  <c r="AW112" i="15"/>
  <c r="AV112" i="15"/>
  <c r="AU112" i="15"/>
  <c r="AT112" i="15"/>
  <c r="AS112" i="15"/>
  <c r="AR112" i="15"/>
  <c r="AQ112" i="15"/>
  <c r="AP112" i="15"/>
  <c r="AO112" i="15"/>
  <c r="AN112" i="15"/>
  <c r="AM112" i="15"/>
  <c r="AL112" i="15"/>
  <c r="AK112" i="15"/>
  <c r="AJ112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H111" i="15"/>
  <c r="BG111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H110" i="15"/>
  <c r="BG110" i="15"/>
  <c r="BF110" i="15"/>
  <c r="BE110" i="15"/>
  <c r="BD110" i="15"/>
  <c r="BC110" i="15"/>
  <c r="BC106" i="15" s="1"/>
  <c r="BB110" i="15"/>
  <c r="BA110" i="15"/>
  <c r="AZ110" i="15"/>
  <c r="AY110" i="15"/>
  <c r="AX110" i="15"/>
  <c r="AW110" i="15"/>
  <c r="AV110" i="15"/>
  <c r="AU110" i="15"/>
  <c r="AU106" i="15" s="1"/>
  <c r="AT110" i="15"/>
  <c r="AS110" i="15"/>
  <c r="AR110" i="15"/>
  <c r="AQ110" i="15"/>
  <c r="AP110" i="15"/>
  <c r="AO110" i="15"/>
  <c r="AN110" i="15"/>
  <c r="AM110" i="15"/>
  <c r="AM106" i="15" s="1"/>
  <c r="AL110" i="15"/>
  <c r="AK110" i="15"/>
  <c r="AJ110" i="15"/>
  <c r="AI110" i="15"/>
  <c r="AH110" i="15"/>
  <c r="AG110" i="15"/>
  <c r="AF110" i="15"/>
  <c r="AE110" i="15"/>
  <c r="AE106" i="15" s="1"/>
  <c r="AD110" i="15"/>
  <c r="AC110" i="15"/>
  <c r="AB110" i="15"/>
  <c r="AA110" i="15"/>
  <c r="Z110" i="15"/>
  <c r="Y110" i="15"/>
  <c r="X110" i="15"/>
  <c r="W110" i="15"/>
  <c r="W106" i="15" s="1"/>
  <c r="V110" i="15"/>
  <c r="U110" i="15"/>
  <c r="T110" i="15"/>
  <c r="S110" i="15"/>
  <c r="R110" i="15"/>
  <c r="Q110" i="15"/>
  <c r="P110" i="15"/>
  <c r="O110" i="15"/>
  <c r="O106" i="15" s="1"/>
  <c r="N110" i="15"/>
  <c r="M110" i="15"/>
  <c r="L110" i="15"/>
  <c r="K110" i="15"/>
  <c r="J110" i="15"/>
  <c r="I110" i="15"/>
  <c r="H110" i="15"/>
  <c r="G110" i="15"/>
  <c r="G106" i="15" s="1"/>
  <c r="F110" i="15"/>
  <c r="E110" i="15"/>
  <c r="D110" i="15"/>
  <c r="C110" i="15"/>
  <c r="BH109" i="15"/>
  <c r="BG109" i="15"/>
  <c r="BF109" i="15"/>
  <c r="BE109" i="15"/>
  <c r="BE106" i="15" s="1"/>
  <c r="BD109" i="15"/>
  <c r="BC109" i="15"/>
  <c r="BB109" i="15"/>
  <c r="BA109" i="15"/>
  <c r="AZ109" i="15"/>
  <c r="AY109" i="15"/>
  <c r="AX109" i="15"/>
  <c r="AW109" i="15"/>
  <c r="AW106" i="15" s="1"/>
  <c r="AV109" i="15"/>
  <c r="AU109" i="15"/>
  <c r="AT109" i="15"/>
  <c r="AS109" i="15"/>
  <c r="AR109" i="15"/>
  <c r="AQ109" i="15"/>
  <c r="AP109" i="15"/>
  <c r="AO109" i="15"/>
  <c r="AO106" i="15" s="1"/>
  <c r="AN109" i="15"/>
  <c r="AM109" i="15"/>
  <c r="AL109" i="15"/>
  <c r="AK109" i="15"/>
  <c r="AJ109" i="15"/>
  <c r="AI109" i="15"/>
  <c r="AH109" i="15"/>
  <c r="AG109" i="15"/>
  <c r="AG106" i="15" s="1"/>
  <c r="AF109" i="15"/>
  <c r="AE109" i="15"/>
  <c r="AD109" i="15"/>
  <c r="AC109" i="15"/>
  <c r="AB109" i="15"/>
  <c r="AA109" i="15"/>
  <c r="Z109" i="15"/>
  <c r="Y109" i="15"/>
  <c r="Y106" i="15" s="1"/>
  <c r="X109" i="15"/>
  <c r="W109" i="15"/>
  <c r="V109" i="15"/>
  <c r="U109" i="15"/>
  <c r="T109" i="15"/>
  <c r="S109" i="15"/>
  <c r="R109" i="15"/>
  <c r="Q109" i="15"/>
  <c r="Q106" i="15" s="1"/>
  <c r="P109" i="15"/>
  <c r="O109" i="15"/>
  <c r="N109" i="15"/>
  <c r="M109" i="15"/>
  <c r="L109" i="15"/>
  <c r="K109" i="15"/>
  <c r="J109" i="15"/>
  <c r="I109" i="15"/>
  <c r="I106" i="15" s="1"/>
  <c r="H109" i="15"/>
  <c r="G109" i="15"/>
  <c r="F109" i="15"/>
  <c r="E109" i="15"/>
  <c r="D109" i="15"/>
  <c r="C109" i="15"/>
  <c r="BH108" i="15"/>
  <c r="BG108" i="15"/>
  <c r="BG106" i="15" s="1"/>
  <c r="BF108" i="15"/>
  <c r="BE108" i="15"/>
  <c r="BD108" i="15"/>
  <c r="BC108" i="15"/>
  <c r="BB108" i="15"/>
  <c r="BA108" i="15"/>
  <c r="AZ108" i="15"/>
  <c r="AY108" i="15"/>
  <c r="AY106" i="15" s="1"/>
  <c r="AX108" i="15"/>
  <c r="AW108" i="15"/>
  <c r="AV108" i="15"/>
  <c r="AU108" i="15"/>
  <c r="AT108" i="15"/>
  <c r="AS108" i="15"/>
  <c r="AR108" i="15"/>
  <c r="AQ108" i="15"/>
  <c r="AQ106" i="15" s="1"/>
  <c r="AP108" i="15"/>
  <c r="AO108" i="15"/>
  <c r="AN108" i="15"/>
  <c r="AM108" i="15"/>
  <c r="AL108" i="15"/>
  <c r="AK108" i="15"/>
  <c r="AJ108" i="15"/>
  <c r="AI108" i="15"/>
  <c r="AI106" i="15" s="1"/>
  <c r="AH108" i="15"/>
  <c r="AG108" i="15"/>
  <c r="AF108" i="15"/>
  <c r="AE108" i="15"/>
  <c r="AD108" i="15"/>
  <c r="AC108" i="15"/>
  <c r="AB108" i="15"/>
  <c r="AA108" i="15"/>
  <c r="AA106" i="15" s="1"/>
  <c r="Z108" i="15"/>
  <c r="Y108" i="15"/>
  <c r="X108" i="15"/>
  <c r="W108" i="15"/>
  <c r="V108" i="15"/>
  <c r="U108" i="15"/>
  <c r="T108" i="15"/>
  <c r="S108" i="15"/>
  <c r="S106" i="15" s="1"/>
  <c r="R108" i="15"/>
  <c r="Q108" i="15"/>
  <c r="P108" i="15"/>
  <c r="O108" i="15"/>
  <c r="N108" i="15"/>
  <c r="M108" i="15"/>
  <c r="L108" i="15"/>
  <c r="K108" i="15"/>
  <c r="K106" i="15" s="1"/>
  <c r="J108" i="15"/>
  <c r="I108" i="15"/>
  <c r="H108" i="15"/>
  <c r="G108" i="15"/>
  <c r="F108" i="15"/>
  <c r="E108" i="15"/>
  <c r="D108" i="15"/>
  <c r="C108" i="15"/>
  <c r="C106" i="15" s="1"/>
  <c r="BH107" i="15"/>
  <c r="BG107" i="15"/>
  <c r="BF107" i="15"/>
  <c r="BE107" i="15"/>
  <c r="BD107" i="15"/>
  <c r="BD106" i="15" s="1"/>
  <c r="BC107" i="15"/>
  <c r="BB107" i="15"/>
  <c r="BA107" i="15"/>
  <c r="BA106" i="15" s="1"/>
  <c r="AZ107" i="15"/>
  <c r="AY107" i="15"/>
  <c r="AX107" i="15"/>
  <c r="AW107" i="15"/>
  <c r="AV107" i="15"/>
  <c r="AV106" i="15" s="1"/>
  <c r="AU107" i="15"/>
  <c r="AT107" i="15"/>
  <c r="AS107" i="15"/>
  <c r="AS106" i="15" s="1"/>
  <c r="AR107" i="15"/>
  <c r="AQ107" i="15"/>
  <c r="AP107" i="15"/>
  <c r="AO107" i="15"/>
  <c r="AN107" i="15"/>
  <c r="AN106" i="15" s="1"/>
  <c r="AM107" i="15"/>
  <c r="AL107" i="15"/>
  <c r="AK107" i="15"/>
  <c r="AK106" i="15" s="1"/>
  <c r="AJ107" i="15"/>
  <c r="AI107" i="15"/>
  <c r="AH107" i="15"/>
  <c r="AG107" i="15"/>
  <c r="AF107" i="15"/>
  <c r="AF106" i="15" s="1"/>
  <c r="AE107" i="15"/>
  <c r="AD107" i="15"/>
  <c r="AC107" i="15"/>
  <c r="AC106" i="15" s="1"/>
  <c r="AB107" i="15"/>
  <c r="AA107" i="15"/>
  <c r="Z107" i="15"/>
  <c r="Y107" i="15"/>
  <c r="X107" i="15"/>
  <c r="X106" i="15" s="1"/>
  <c r="W107" i="15"/>
  <c r="V107" i="15"/>
  <c r="U107" i="15"/>
  <c r="U106" i="15" s="1"/>
  <c r="T107" i="15"/>
  <c r="S107" i="15"/>
  <c r="R107" i="15"/>
  <c r="Q107" i="15"/>
  <c r="P107" i="15"/>
  <c r="P106" i="15" s="1"/>
  <c r="O107" i="15"/>
  <c r="N107" i="15"/>
  <c r="M107" i="15"/>
  <c r="M106" i="15" s="1"/>
  <c r="L107" i="15"/>
  <c r="K107" i="15"/>
  <c r="J107" i="15"/>
  <c r="I107" i="15"/>
  <c r="H107" i="15"/>
  <c r="H106" i="15" s="1"/>
  <c r="G107" i="15"/>
  <c r="F107" i="15"/>
  <c r="E107" i="15"/>
  <c r="E106" i="15" s="1"/>
  <c r="D107" i="15"/>
  <c r="C107" i="15"/>
  <c r="BH105" i="15"/>
  <c r="BG105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H104" i="15"/>
  <c r="BG104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H103" i="15"/>
  <c r="BG103" i="15"/>
  <c r="BF103" i="15"/>
  <c r="BE103" i="15"/>
  <c r="BD103" i="15"/>
  <c r="BC103" i="15"/>
  <c r="BB103" i="15"/>
  <c r="BA103" i="15"/>
  <c r="AZ103" i="15"/>
  <c r="AY103" i="15"/>
  <c r="AX103" i="15"/>
  <c r="AW103" i="15"/>
  <c r="AV103" i="15"/>
  <c r="AU103" i="15"/>
  <c r="AT103" i="15"/>
  <c r="AS103" i="15"/>
  <c r="AR103" i="15"/>
  <c r="AQ103" i="15"/>
  <c r="AP103" i="15"/>
  <c r="AO103" i="15"/>
  <c r="AN103" i="15"/>
  <c r="AM103" i="15"/>
  <c r="AL103" i="15"/>
  <c r="AK103" i="15"/>
  <c r="AJ103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H102" i="15"/>
  <c r="BG102" i="15"/>
  <c r="BF102" i="15"/>
  <c r="BE102" i="15"/>
  <c r="BD102" i="15"/>
  <c r="BC102" i="15"/>
  <c r="BB102" i="15"/>
  <c r="BA102" i="15"/>
  <c r="AZ102" i="15"/>
  <c r="AY102" i="15"/>
  <c r="AX102" i="15"/>
  <c r="AW102" i="15"/>
  <c r="AV102" i="15"/>
  <c r="AU102" i="15"/>
  <c r="AT102" i="15"/>
  <c r="AS102" i="15"/>
  <c r="AR102" i="15"/>
  <c r="AQ102" i="15"/>
  <c r="AP102" i="15"/>
  <c r="AO102" i="15"/>
  <c r="AN102" i="15"/>
  <c r="AM102" i="15"/>
  <c r="AL102" i="15"/>
  <c r="AK102" i="15"/>
  <c r="AJ102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H101" i="15"/>
  <c r="BG101" i="15"/>
  <c r="BF101" i="15"/>
  <c r="BE101" i="15"/>
  <c r="BD101" i="15"/>
  <c r="BC101" i="15"/>
  <c r="BB101" i="15"/>
  <c r="BA101" i="15"/>
  <c r="AZ101" i="15"/>
  <c r="AY101" i="15"/>
  <c r="AX101" i="15"/>
  <c r="AW101" i="15"/>
  <c r="AV101" i="15"/>
  <c r="AU101" i="15"/>
  <c r="AT101" i="15"/>
  <c r="AS101" i="15"/>
  <c r="AR101" i="15"/>
  <c r="AQ101" i="15"/>
  <c r="AP101" i="15"/>
  <c r="AO101" i="15"/>
  <c r="AN101" i="15"/>
  <c r="AM101" i="15"/>
  <c r="AL101" i="15"/>
  <c r="AK101" i="15"/>
  <c r="AJ101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H100" i="15"/>
  <c r="BG100" i="15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H99" i="15"/>
  <c r="BG99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H98" i="15"/>
  <c r="BG98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H97" i="15"/>
  <c r="BG97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H96" i="15"/>
  <c r="BG96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H95" i="15"/>
  <c r="BG95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H94" i="15"/>
  <c r="BG94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H93" i="15"/>
  <c r="BG93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H92" i="15"/>
  <c r="BG92" i="15"/>
  <c r="BF92" i="15"/>
  <c r="BE92" i="15"/>
  <c r="BD92" i="15"/>
  <c r="BC92" i="15"/>
  <c r="BB92" i="15"/>
  <c r="BA92" i="15"/>
  <c r="AZ92" i="15"/>
  <c r="AY92" i="15"/>
  <c r="AX92" i="15"/>
  <c r="AW92" i="15"/>
  <c r="AV92" i="15"/>
  <c r="AU92" i="15"/>
  <c r="AT92" i="15"/>
  <c r="AS92" i="15"/>
  <c r="AR92" i="15"/>
  <c r="AQ92" i="15"/>
  <c r="AP92" i="15"/>
  <c r="AO92" i="15"/>
  <c r="AN92" i="15"/>
  <c r="AM92" i="15"/>
  <c r="AL92" i="15"/>
  <c r="AK92" i="15"/>
  <c r="AJ92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H91" i="15"/>
  <c r="BG91" i="15"/>
  <c r="BF91" i="15"/>
  <c r="BE91" i="15"/>
  <c r="BD91" i="15"/>
  <c r="BC91" i="15"/>
  <c r="BB91" i="15"/>
  <c r="BA91" i="15"/>
  <c r="AZ91" i="15"/>
  <c r="AY91" i="15"/>
  <c r="AX91" i="15"/>
  <c r="AW91" i="15"/>
  <c r="AV91" i="15"/>
  <c r="AU91" i="15"/>
  <c r="AT91" i="15"/>
  <c r="AS91" i="15"/>
  <c r="AR91" i="15"/>
  <c r="AQ91" i="15"/>
  <c r="AP91" i="15"/>
  <c r="AO91" i="15"/>
  <c r="AN91" i="15"/>
  <c r="AM91" i="15"/>
  <c r="AL91" i="15"/>
  <c r="AK91" i="15"/>
  <c r="AJ91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H90" i="15"/>
  <c r="BG90" i="15"/>
  <c r="BF90" i="15"/>
  <c r="BE90" i="15"/>
  <c r="BD90" i="15"/>
  <c r="BC90" i="15"/>
  <c r="BB90" i="15"/>
  <c r="BA90" i="15"/>
  <c r="AZ90" i="15"/>
  <c r="AY90" i="15"/>
  <c r="AX90" i="15"/>
  <c r="AW90" i="15"/>
  <c r="AV90" i="15"/>
  <c r="AU90" i="15"/>
  <c r="AT90" i="15"/>
  <c r="AS90" i="15"/>
  <c r="AR90" i="15"/>
  <c r="AQ90" i="15"/>
  <c r="AP90" i="15"/>
  <c r="AO90" i="15"/>
  <c r="AN90" i="15"/>
  <c r="AM90" i="15"/>
  <c r="AL90" i="15"/>
  <c r="AK90" i="15"/>
  <c r="AJ90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H89" i="15"/>
  <c r="BG89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H88" i="15"/>
  <c r="BG88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H87" i="15"/>
  <c r="BG87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H85" i="15"/>
  <c r="BG85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H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H83" i="15"/>
  <c r="BG83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H82" i="15"/>
  <c r="BG82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H81" i="15"/>
  <c r="BG81" i="15"/>
  <c r="BF81" i="15"/>
  <c r="BE81" i="15"/>
  <c r="BD81" i="15"/>
  <c r="BC81" i="15"/>
  <c r="BB81" i="15"/>
  <c r="BA81" i="15"/>
  <c r="AZ81" i="15"/>
  <c r="AY81" i="15"/>
  <c r="AX81" i="15"/>
  <c r="AW81" i="15"/>
  <c r="AV81" i="15"/>
  <c r="AU81" i="15"/>
  <c r="AT81" i="15"/>
  <c r="AS81" i="15"/>
  <c r="AR81" i="15"/>
  <c r="AQ81" i="15"/>
  <c r="AP81" i="15"/>
  <c r="AO81" i="15"/>
  <c r="AN81" i="15"/>
  <c r="AM81" i="15"/>
  <c r="AL81" i="15"/>
  <c r="AK81" i="15"/>
  <c r="AJ81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H79" i="15"/>
  <c r="BG79" i="15"/>
  <c r="BF79" i="15"/>
  <c r="BE79" i="15"/>
  <c r="BD79" i="15"/>
  <c r="BC79" i="15"/>
  <c r="BB79" i="15"/>
  <c r="BA79" i="15"/>
  <c r="AZ79" i="15"/>
  <c r="AY79" i="15"/>
  <c r="AX79" i="15"/>
  <c r="AW79" i="15"/>
  <c r="AV79" i="15"/>
  <c r="AU79" i="15"/>
  <c r="AT79" i="15"/>
  <c r="AS79" i="15"/>
  <c r="AR79" i="15"/>
  <c r="AQ79" i="15"/>
  <c r="AP79" i="15"/>
  <c r="AO79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H78" i="15"/>
  <c r="BG78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H77" i="15"/>
  <c r="BG77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H76" i="15"/>
  <c r="BG76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H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H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H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T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H65" i="15"/>
  <c r="BG65" i="15"/>
  <c r="BF65" i="15"/>
  <c r="BE65" i="15"/>
  <c r="BD65" i="15"/>
  <c r="BC65" i="15"/>
  <c r="BB65" i="15"/>
  <c r="BA65" i="15"/>
  <c r="AZ65" i="15"/>
  <c r="AY65" i="15"/>
  <c r="AX65" i="15"/>
  <c r="AW65" i="15"/>
  <c r="AV65" i="15"/>
  <c r="AU65" i="15"/>
  <c r="AT65" i="15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H64" i="15"/>
  <c r="BG64" i="15"/>
  <c r="BF64" i="15"/>
  <c r="BE64" i="15"/>
  <c r="BD64" i="15"/>
  <c r="BC64" i="15"/>
  <c r="BB64" i="15"/>
  <c r="BA64" i="15"/>
  <c r="AZ64" i="15"/>
  <c r="AY64" i="15"/>
  <c r="AX64" i="15"/>
  <c r="AW64" i="15"/>
  <c r="AV64" i="15"/>
  <c r="AU64" i="15"/>
  <c r="AT64" i="15"/>
  <c r="AS64" i="15"/>
  <c r="AR64" i="15"/>
  <c r="AQ64" i="15"/>
  <c r="AP64" i="15"/>
  <c r="AO64" i="15"/>
  <c r="AN64" i="15"/>
  <c r="AM64" i="15"/>
  <c r="AL64" i="15"/>
  <c r="AK64" i="15"/>
  <c r="AJ64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H63" i="15"/>
  <c r="BG63" i="15"/>
  <c r="BF63" i="15"/>
  <c r="BE63" i="15"/>
  <c r="BD63" i="15"/>
  <c r="BC63" i="15"/>
  <c r="BB63" i="15"/>
  <c r="BA63" i="15"/>
  <c r="AZ63" i="15"/>
  <c r="AY63" i="15"/>
  <c r="AX63" i="15"/>
  <c r="AW63" i="15"/>
  <c r="AV63" i="15"/>
  <c r="AU63" i="15"/>
  <c r="AT63" i="15"/>
  <c r="AS63" i="15"/>
  <c r="AR63" i="15"/>
  <c r="AQ63" i="15"/>
  <c r="AP63" i="15"/>
  <c r="AO63" i="15"/>
  <c r="AN63" i="15"/>
  <c r="AM63" i="15"/>
  <c r="AL63" i="15"/>
  <c r="AK63" i="15"/>
  <c r="AJ63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H62" i="15"/>
  <c r="BG62" i="15"/>
  <c r="BF62" i="15"/>
  <c r="BE62" i="15"/>
  <c r="BD62" i="15"/>
  <c r="BC62" i="15"/>
  <c r="BB62" i="15"/>
  <c r="BA62" i="15"/>
  <c r="AZ62" i="15"/>
  <c r="AY62" i="15"/>
  <c r="AX62" i="15"/>
  <c r="AW62" i="15"/>
  <c r="AV62" i="15"/>
  <c r="AU62" i="15"/>
  <c r="AT62" i="15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H61" i="15"/>
  <c r="BG61" i="15"/>
  <c r="BF61" i="15"/>
  <c r="BE61" i="15"/>
  <c r="BD61" i="15"/>
  <c r="BC61" i="15"/>
  <c r="BB61" i="15"/>
  <c r="BA61" i="15"/>
  <c r="AZ61" i="15"/>
  <c r="AY61" i="15"/>
  <c r="AX61" i="15"/>
  <c r="AW61" i="15"/>
  <c r="AV61" i="15"/>
  <c r="AU61" i="15"/>
  <c r="AT61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H58" i="15"/>
  <c r="BG58" i="15"/>
  <c r="BF58" i="15"/>
  <c r="BE58" i="15"/>
  <c r="BD58" i="15"/>
  <c r="BC58" i="15"/>
  <c r="BB58" i="15"/>
  <c r="BA58" i="15"/>
  <c r="AZ58" i="15"/>
  <c r="AY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H57" i="15"/>
  <c r="BG57" i="15"/>
  <c r="BF57" i="15"/>
  <c r="BE57" i="15"/>
  <c r="BD57" i="15"/>
  <c r="BC57" i="15"/>
  <c r="BB57" i="15"/>
  <c r="BA57" i="15"/>
  <c r="AZ57" i="15"/>
  <c r="AY57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H56" i="15"/>
  <c r="BG56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H55" i="15"/>
  <c r="BG55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H52" i="15"/>
  <c r="BG52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H51" i="15"/>
  <c r="BG51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H50" i="15"/>
  <c r="BG50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H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H48" i="15"/>
  <c r="BG48" i="15"/>
  <c r="BF48" i="15"/>
  <c r="BE48" i="15"/>
  <c r="BD48" i="15"/>
  <c r="BC48" i="15"/>
  <c r="BB48" i="15"/>
  <c r="BA48" i="15"/>
  <c r="AZ48" i="15"/>
  <c r="AY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H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H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H31" i="15"/>
  <c r="BG31" i="15"/>
  <c r="BF31" i="15"/>
  <c r="BE31" i="15"/>
  <c r="BD31" i="15"/>
  <c r="BC31" i="15"/>
  <c r="BB31" i="15"/>
  <c r="BB28" i="15" s="1"/>
  <c r="BA31" i="15"/>
  <c r="AZ31" i="15"/>
  <c r="AY31" i="15"/>
  <c r="AX31" i="15"/>
  <c r="AW31" i="15"/>
  <c r="AV31" i="15"/>
  <c r="AU31" i="15"/>
  <c r="AT31" i="15"/>
  <c r="AT28" i="15" s="1"/>
  <c r="AS31" i="15"/>
  <c r="AR31" i="15"/>
  <c r="AQ31" i="15"/>
  <c r="AP31" i="15"/>
  <c r="AO31" i="15"/>
  <c r="AN31" i="15"/>
  <c r="AM31" i="15"/>
  <c r="AL31" i="15"/>
  <c r="AL28" i="15" s="1"/>
  <c r="AK31" i="15"/>
  <c r="AJ31" i="15"/>
  <c r="AI31" i="15"/>
  <c r="AH31" i="15"/>
  <c r="AG31" i="15"/>
  <c r="AF31" i="15"/>
  <c r="AE31" i="15"/>
  <c r="AD31" i="15"/>
  <c r="AD28" i="15" s="1"/>
  <c r="AC31" i="15"/>
  <c r="AB31" i="15"/>
  <c r="AA31" i="15"/>
  <c r="Z31" i="15"/>
  <c r="Y31" i="15"/>
  <c r="X31" i="15"/>
  <c r="W31" i="15"/>
  <c r="V31" i="15"/>
  <c r="V28" i="15" s="1"/>
  <c r="U31" i="15"/>
  <c r="T31" i="15"/>
  <c r="S31" i="15"/>
  <c r="R31" i="15"/>
  <c r="Q31" i="15"/>
  <c r="P31" i="15"/>
  <c r="O31" i="15"/>
  <c r="N31" i="15"/>
  <c r="N28" i="15" s="1"/>
  <c r="M31" i="15"/>
  <c r="L31" i="15"/>
  <c r="K31" i="15"/>
  <c r="J31" i="15"/>
  <c r="I31" i="15"/>
  <c r="H31" i="15"/>
  <c r="G31" i="15"/>
  <c r="F31" i="15"/>
  <c r="F28" i="15" s="1"/>
  <c r="E31" i="15"/>
  <c r="D31" i="15"/>
  <c r="C31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V28" i="15" s="1"/>
  <c r="AU30" i="15"/>
  <c r="AT30" i="15"/>
  <c r="AS30" i="15"/>
  <c r="AR30" i="15"/>
  <c r="AQ30" i="15"/>
  <c r="AP30" i="15"/>
  <c r="AO30" i="15"/>
  <c r="AN30" i="15"/>
  <c r="AN28" i="15" s="1"/>
  <c r="AM30" i="15"/>
  <c r="AL30" i="15"/>
  <c r="AK30" i="15"/>
  <c r="AJ30" i="15"/>
  <c r="AI30" i="15"/>
  <c r="AH30" i="15"/>
  <c r="AG30" i="15"/>
  <c r="AF30" i="15"/>
  <c r="AF28" i="15" s="1"/>
  <c r="AE30" i="15"/>
  <c r="AD30" i="15"/>
  <c r="AC30" i="15"/>
  <c r="AB30" i="15"/>
  <c r="AA30" i="15"/>
  <c r="Z30" i="15"/>
  <c r="Y30" i="15"/>
  <c r="X30" i="15"/>
  <c r="X28" i="15" s="1"/>
  <c r="W30" i="15"/>
  <c r="V30" i="15"/>
  <c r="U30" i="15"/>
  <c r="T30" i="15"/>
  <c r="S30" i="15"/>
  <c r="R30" i="15"/>
  <c r="Q30" i="15"/>
  <c r="P30" i="15"/>
  <c r="P28" i="15" s="1"/>
  <c r="O30" i="15"/>
  <c r="N30" i="15"/>
  <c r="M30" i="15"/>
  <c r="L30" i="15"/>
  <c r="K30" i="15"/>
  <c r="J30" i="15"/>
  <c r="I30" i="15"/>
  <c r="H30" i="15"/>
  <c r="H28" i="15" s="1"/>
  <c r="G30" i="15"/>
  <c r="F30" i="15"/>
  <c r="E30" i="15"/>
  <c r="D30" i="15"/>
  <c r="C30" i="15"/>
  <c r="BH29" i="15"/>
  <c r="BG29" i="15"/>
  <c r="BF29" i="15"/>
  <c r="BF28" i="15" s="1"/>
  <c r="BE29" i="15"/>
  <c r="BD29" i="15"/>
  <c r="BC29" i="15"/>
  <c r="BB29" i="15"/>
  <c r="BA29" i="15"/>
  <c r="AZ29" i="15"/>
  <c r="AY29" i="15"/>
  <c r="AX29" i="15"/>
  <c r="AX28" i="15" s="1"/>
  <c r="AW29" i="15"/>
  <c r="AV29" i="15"/>
  <c r="AU29" i="15"/>
  <c r="AT29" i="15"/>
  <c r="AS29" i="15"/>
  <c r="AR29" i="15"/>
  <c r="AQ29" i="15"/>
  <c r="AP29" i="15"/>
  <c r="AP28" i="15" s="1"/>
  <c r="AO29" i="15"/>
  <c r="AN29" i="15"/>
  <c r="AM29" i="15"/>
  <c r="AL29" i="15"/>
  <c r="AK29" i="15"/>
  <c r="AJ29" i="15"/>
  <c r="AI29" i="15"/>
  <c r="AH29" i="15"/>
  <c r="AH28" i="15" s="1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R28" i="15" s="1"/>
  <c r="Q29" i="15"/>
  <c r="P29" i="15"/>
  <c r="O29" i="15"/>
  <c r="N29" i="15"/>
  <c r="M29" i="15"/>
  <c r="L29" i="15"/>
  <c r="K29" i="15"/>
  <c r="J29" i="15"/>
  <c r="J28" i="15" s="1"/>
  <c r="I29" i="15"/>
  <c r="H29" i="15"/>
  <c r="G29" i="15"/>
  <c r="F29" i="15"/>
  <c r="E29" i="15"/>
  <c r="D29" i="15"/>
  <c r="C29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J8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G15" i="15"/>
  <c r="BH15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BB18" i="15"/>
  <c r="BC18" i="15"/>
  <c r="BD18" i="15"/>
  <c r="BE18" i="15"/>
  <c r="BF18" i="15"/>
  <c r="BG18" i="15"/>
  <c r="BH18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BF20" i="15"/>
  <c r="BG20" i="15"/>
  <c r="BH20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BB21" i="15"/>
  <c r="BC21" i="15"/>
  <c r="BD21" i="15"/>
  <c r="BE21" i="15"/>
  <c r="BF21" i="15"/>
  <c r="BG21" i="15"/>
  <c r="BH21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BF22" i="15"/>
  <c r="BG22" i="15"/>
  <c r="BH22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D23" i="15"/>
  <c r="BE23" i="15"/>
  <c r="BF23" i="15"/>
  <c r="BG23" i="15"/>
  <c r="BH23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BB24" i="15"/>
  <c r="BC24" i="15"/>
  <c r="BD24" i="15"/>
  <c r="BE24" i="15"/>
  <c r="BF24" i="15"/>
  <c r="BG24" i="15"/>
  <c r="BH24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BB25" i="15"/>
  <c r="BC25" i="15"/>
  <c r="BD25" i="15"/>
  <c r="BE25" i="15"/>
  <c r="BF25" i="15"/>
  <c r="BG25" i="15"/>
  <c r="BH25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BB26" i="15"/>
  <c r="BC26" i="15"/>
  <c r="BD26" i="15"/>
  <c r="BE26" i="15"/>
  <c r="BF26" i="15"/>
  <c r="BG26" i="15"/>
  <c r="BH26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F27" i="15"/>
  <c r="BG27" i="15"/>
  <c r="BH27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AZ3" i="15"/>
  <c r="BA3" i="15"/>
  <c r="BB3" i="15"/>
  <c r="BC3" i="15"/>
  <c r="BD3" i="15"/>
  <c r="BE3" i="15"/>
  <c r="BF3" i="15"/>
  <c r="BG3" i="15"/>
  <c r="BH3" i="15"/>
  <c r="C3" i="15"/>
  <c r="B45" i="11"/>
  <c r="BD210" i="15"/>
  <c r="AV210" i="15"/>
  <c r="AN210" i="15"/>
  <c r="AF210" i="15"/>
  <c r="X210" i="15"/>
  <c r="P210" i="15"/>
  <c r="H210" i="15"/>
  <c r="AZ132" i="15"/>
  <c r="AJ132" i="15"/>
  <c r="T132" i="15"/>
  <c r="D132" i="15"/>
  <c r="BD28" i="15"/>
  <c r="AS642" i="18"/>
  <c r="AT642" i="18" s="1"/>
  <c r="AU642" i="18" s="1"/>
  <c r="AV642" i="18" s="1"/>
  <c r="AW642" i="18" s="1"/>
  <c r="AX642" i="18" s="1"/>
  <c r="AY642" i="18" s="1"/>
  <c r="AZ642" i="18" s="1"/>
  <c r="BA642" i="18" s="1"/>
  <c r="BB642" i="18" s="1"/>
  <c r="BC642" i="18" s="1"/>
  <c r="BD642" i="18" s="1"/>
  <c r="BE642" i="18" s="1"/>
  <c r="BF642" i="18" s="1"/>
  <c r="BG642" i="18" s="1"/>
  <c r="BH642" i="18" s="1"/>
  <c r="AO642" i="18"/>
  <c r="AP642" i="18" s="1"/>
  <c r="AQ642" i="18" s="1"/>
  <c r="AR642" i="18" s="1"/>
  <c r="AN642" i="18"/>
  <c r="AM642" i="18"/>
  <c r="AL642" i="18"/>
  <c r="AK642" i="18"/>
  <c r="AJ642" i="18"/>
  <c r="AI642" i="18"/>
  <c r="AH642" i="18"/>
  <c r="AG642" i="18"/>
  <c r="AF642" i="18"/>
  <c r="AE642" i="18"/>
  <c r="AD642" i="18"/>
  <c r="AC642" i="18"/>
  <c r="AB642" i="18"/>
  <c r="AA642" i="18"/>
  <c r="Z642" i="18"/>
  <c r="Y642" i="18"/>
  <c r="X642" i="18"/>
  <c r="W642" i="18"/>
  <c r="V642" i="18"/>
  <c r="U642" i="18"/>
  <c r="T642" i="18"/>
  <c r="S642" i="18"/>
  <c r="R642" i="18"/>
  <c r="Q642" i="18"/>
  <c r="P642" i="18"/>
  <c r="O642" i="18"/>
  <c r="N642" i="18"/>
  <c r="M642" i="18"/>
  <c r="L642" i="18"/>
  <c r="K642" i="18"/>
  <c r="J642" i="18"/>
  <c r="I642" i="18"/>
  <c r="H642" i="18"/>
  <c r="G642" i="18"/>
  <c r="F642" i="18"/>
  <c r="E642" i="18"/>
  <c r="D642" i="18"/>
  <c r="C642" i="18"/>
  <c r="AQ625" i="18"/>
  <c r="AR625" i="18" s="1"/>
  <c r="AS625" i="18" s="1"/>
  <c r="AT625" i="18" s="1"/>
  <c r="AU625" i="18" s="1"/>
  <c r="AV625" i="18" s="1"/>
  <c r="AW625" i="18" s="1"/>
  <c r="AX625" i="18" s="1"/>
  <c r="AY625" i="18" s="1"/>
  <c r="AZ625" i="18" s="1"/>
  <c r="BA625" i="18" s="1"/>
  <c r="BB625" i="18" s="1"/>
  <c r="BC625" i="18" s="1"/>
  <c r="BD625" i="18" s="1"/>
  <c r="BE625" i="18" s="1"/>
  <c r="BF625" i="18" s="1"/>
  <c r="BG625" i="18" s="1"/>
  <c r="BH625" i="18" s="1"/>
  <c r="AN625" i="18"/>
  <c r="AO625" i="18" s="1"/>
  <c r="AP625" i="18" s="1"/>
  <c r="AM625" i="18"/>
  <c r="AL625" i="18"/>
  <c r="AK625" i="18"/>
  <c r="AJ625" i="18"/>
  <c r="AI625" i="18"/>
  <c r="AH625" i="18"/>
  <c r="AG625" i="18"/>
  <c r="AF625" i="18"/>
  <c r="AE625" i="18"/>
  <c r="AD625" i="18"/>
  <c r="AC625" i="18"/>
  <c r="AB625" i="18"/>
  <c r="AA625" i="18"/>
  <c r="Z625" i="18"/>
  <c r="Y625" i="18"/>
  <c r="X625" i="18"/>
  <c r="W625" i="18"/>
  <c r="V625" i="18"/>
  <c r="U625" i="18"/>
  <c r="T625" i="18"/>
  <c r="S625" i="18"/>
  <c r="R625" i="18"/>
  <c r="Q625" i="18"/>
  <c r="P625" i="18"/>
  <c r="O625" i="18"/>
  <c r="N625" i="18"/>
  <c r="M625" i="18"/>
  <c r="L625" i="18"/>
  <c r="K625" i="18"/>
  <c r="J625" i="18"/>
  <c r="I625" i="18"/>
  <c r="H625" i="18"/>
  <c r="G625" i="18"/>
  <c r="F625" i="18"/>
  <c r="E625" i="18"/>
  <c r="D625" i="18"/>
  <c r="C625" i="18"/>
  <c r="BC623" i="18"/>
  <c r="BD623" i="18" s="1"/>
  <c r="BE623" i="18" s="1"/>
  <c r="BF623" i="18" s="1"/>
  <c r="BG623" i="18" s="1"/>
  <c r="BH623" i="18" s="1"/>
  <c r="AQ623" i="18"/>
  <c r="AR623" i="18" s="1"/>
  <c r="AS623" i="18" s="1"/>
  <c r="AT623" i="18" s="1"/>
  <c r="AU623" i="18" s="1"/>
  <c r="AV623" i="18" s="1"/>
  <c r="AW623" i="18" s="1"/>
  <c r="AX623" i="18" s="1"/>
  <c r="AY623" i="18" s="1"/>
  <c r="AZ623" i="18" s="1"/>
  <c r="BA623" i="18" s="1"/>
  <c r="BB623" i="18" s="1"/>
  <c r="AN623" i="18"/>
  <c r="AO623" i="18" s="1"/>
  <c r="AP623" i="18" s="1"/>
  <c r="AM623" i="18"/>
  <c r="AL623" i="18"/>
  <c r="AK623" i="18"/>
  <c r="AJ623" i="18"/>
  <c r="AI623" i="18"/>
  <c r="AH623" i="18"/>
  <c r="AG623" i="18"/>
  <c r="AF623" i="18"/>
  <c r="AE623" i="18"/>
  <c r="AD623" i="18"/>
  <c r="AC623" i="18"/>
  <c r="AB623" i="18"/>
  <c r="AA623" i="18"/>
  <c r="Z623" i="18"/>
  <c r="Y623" i="18"/>
  <c r="X623" i="18"/>
  <c r="W623" i="18"/>
  <c r="V623" i="18"/>
  <c r="U623" i="18"/>
  <c r="T623" i="18"/>
  <c r="S623" i="18"/>
  <c r="R623" i="18"/>
  <c r="Q623" i="18"/>
  <c r="P623" i="18"/>
  <c r="O623" i="18"/>
  <c r="N623" i="18"/>
  <c r="M623" i="18"/>
  <c r="L623" i="18"/>
  <c r="K623" i="18"/>
  <c r="J623" i="18"/>
  <c r="I623" i="18"/>
  <c r="H623" i="18"/>
  <c r="G623" i="18"/>
  <c r="F623" i="18"/>
  <c r="E623" i="18"/>
  <c r="D623" i="18"/>
  <c r="C623" i="18"/>
  <c r="B623" i="18"/>
  <c r="AN622" i="18"/>
  <c r="AO622" i="18" s="1"/>
  <c r="AP622" i="18" s="1"/>
  <c r="AQ622" i="18" s="1"/>
  <c r="AR622" i="18" s="1"/>
  <c r="AS622" i="18" s="1"/>
  <c r="AT622" i="18" s="1"/>
  <c r="AU622" i="18" s="1"/>
  <c r="AV622" i="18" s="1"/>
  <c r="AW622" i="18" s="1"/>
  <c r="AX622" i="18" s="1"/>
  <c r="AY622" i="18" s="1"/>
  <c r="AZ622" i="18" s="1"/>
  <c r="BA622" i="18" s="1"/>
  <c r="BB622" i="18" s="1"/>
  <c r="BC622" i="18" s="1"/>
  <c r="BD622" i="18" s="1"/>
  <c r="BE622" i="18" s="1"/>
  <c r="BF622" i="18" s="1"/>
  <c r="BG622" i="18" s="1"/>
  <c r="BH622" i="18" s="1"/>
  <c r="AM622" i="18"/>
  <c r="AL622" i="18"/>
  <c r="AK622" i="18"/>
  <c r="AJ622" i="18"/>
  <c r="AI622" i="18"/>
  <c r="AH622" i="18"/>
  <c r="AG622" i="18"/>
  <c r="AF622" i="18"/>
  <c r="AE622" i="18"/>
  <c r="AD622" i="18"/>
  <c r="AC622" i="18"/>
  <c r="AB622" i="18"/>
  <c r="AA622" i="18"/>
  <c r="Z622" i="18"/>
  <c r="Y622" i="18"/>
  <c r="X622" i="18"/>
  <c r="W622" i="18"/>
  <c r="V622" i="18"/>
  <c r="U622" i="18"/>
  <c r="T622" i="18"/>
  <c r="S622" i="18"/>
  <c r="R622" i="18"/>
  <c r="Q622" i="18"/>
  <c r="P622" i="18"/>
  <c r="O622" i="18"/>
  <c r="N622" i="18"/>
  <c r="M622" i="18"/>
  <c r="L622" i="18"/>
  <c r="K622" i="18"/>
  <c r="J622" i="18"/>
  <c r="I622" i="18"/>
  <c r="H622" i="18"/>
  <c r="G622" i="18"/>
  <c r="F622" i="18"/>
  <c r="E622" i="18"/>
  <c r="D622" i="18"/>
  <c r="C622" i="18"/>
  <c r="B622" i="18"/>
  <c r="AO621" i="18"/>
  <c r="AP621" i="18" s="1"/>
  <c r="AQ621" i="18" s="1"/>
  <c r="AR621" i="18" s="1"/>
  <c r="AS621" i="18" s="1"/>
  <c r="AT621" i="18" s="1"/>
  <c r="AU621" i="18" s="1"/>
  <c r="AV621" i="18" s="1"/>
  <c r="AW621" i="18" s="1"/>
  <c r="AX621" i="18" s="1"/>
  <c r="AY621" i="18" s="1"/>
  <c r="AZ621" i="18" s="1"/>
  <c r="BA621" i="18" s="1"/>
  <c r="BB621" i="18" s="1"/>
  <c r="BC621" i="18" s="1"/>
  <c r="BD621" i="18" s="1"/>
  <c r="BE621" i="18" s="1"/>
  <c r="BF621" i="18" s="1"/>
  <c r="BG621" i="18" s="1"/>
  <c r="BH621" i="18" s="1"/>
  <c r="AN621" i="18"/>
  <c r="AM621" i="18"/>
  <c r="AL621" i="18"/>
  <c r="AK621" i="18"/>
  <c r="AJ621" i="18"/>
  <c r="AI621" i="18"/>
  <c r="AH621" i="18"/>
  <c r="AG621" i="18"/>
  <c r="AF621" i="18"/>
  <c r="AE621" i="18"/>
  <c r="AD621" i="18"/>
  <c r="AC621" i="18"/>
  <c r="AB621" i="18"/>
  <c r="AA621" i="18"/>
  <c r="Z621" i="18"/>
  <c r="Y621" i="18"/>
  <c r="X621" i="18"/>
  <c r="W621" i="18"/>
  <c r="V621" i="18"/>
  <c r="U621" i="18"/>
  <c r="T621" i="18"/>
  <c r="S621" i="18"/>
  <c r="R621" i="18"/>
  <c r="Q621" i="18"/>
  <c r="P621" i="18"/>
  <c r="O621" i="18"/>
  <c r="N621" i="18"/>
  <c r="M621" i="18"/>
  <c r="L621" i="18"/>
  <c r="K621" i="18"/>
  <c r="J621" i="18"/>
  <c r="I621" i="18"/>
  <c r="H621" i="18"/>
  <c r="G621" i="18"/>
  <c r="F621" i="18"/>
  <c r="E621" i="18"/>
  <c r="D621" i="18"/>
  <c r="C621" i="18"/>
  <c r="B621" i="18"/>
  <c r="BH620" i="18"/>
  <c r="AR620" i="18"/>
  <c r="AS620" i="18" s="1"/>
  <c r="AT620" i="18" s="1"/>
  <c r="AU620" i="18" s="1"/>
  <c r="AV620" i="18" s="1"/>
  <c r="AW620" i="18" s="1"/>
  <c r="AX620" i="18" s="1"/>
  <c r="AY620" i="18" s="1"/>
  <c r="AZ620" i="18" s="1"/>
  <c r="BA620" i="18" s="1"/>
  <c r="BB620" i="18" s="1"/>
  <c r="BC620" i="18" s="1"/>
  <c r="BD620" i="18" s="1"/>
  <c r="BE620" i="18" s="1"/>
  <c r="BF620" i="18" s="1"/>
  <c r="BG620" i="18" s="1"/>
  <c r="AQ620" i="18"/>
  <c r="AN620" i="18"/>
  <c r="AO620" i="18" s="1"/>
  <c r="AP620" i="18" s="1"/>
  <c r="AM620" i="18"/>
  <c r="AL620" i="18"/>
  <c r="AK620" i="18"/>
  <c r="AJ620" i="18"/>
  <c r="AI620" i="18"/>
  <c r="AH620" i="18"/>
  <c r="AG620" i="18"/>
  <c r="AF620" i="18"/>
  <c r="AE620" i="18"/>
  <c r="AD620" i="18"/>
  <c r="AC620" i="18"/>
  <c r="AB620" i="18"/>
  <c r="AA620" i="18"/>
  <c r="Z620" i="18"/>
  <c r="Y620" i="18"/>
  <c r="X620" i="18"/>
  <c r="W620" i="18"/>
  <c r="V620" i="18"/>
  <c r="U620" i="18"/>
  <c r="T620" i="18"/>
  <c r="S620" i="18"/>
  <c r="R620" i="18"/>
  <c r="Q620" i="18"/>
  <c r="P620" i="18"/>
  <c r="O620" i="18"/>
  <c r="N620" i="18"/>
  <c r="M620" i="18"/>
  <c r="L620" i="18"/>
  <c r="K620" i="18"/>
  <c r="J620" i="18"/>
  <c r="I620" i="18"/>
  <c r="H620" i="18"/>
  <c r="G620" i="18"/>
  <c r="F620" i="18"/>
  <c r="E620" i="18"/>
  <c r="D620" i="18"/>
  <c r="C620" i="18"/>
  <c r="B620" i="18"/>
  <c r="AW619" i="18"/>
  <c r="AX619" i="18" s="1"/>
  <c r="AY619" i="18" s="1"/>
  <c r="AZ619" i="18" s="1"/>
  <c r="BA619" i="18" s="1"/>
  <c r="BB619" i="18" s="1"/>
  <c r="BC619" i="18" s="1"/>
  <c r="BD619" i="18" s="1"/>
  <c r="BE619" i="18" s="1"/>
  <c r="BF619" i="18" s="1"/>
  <c r="BG619" i="18" s="1"/>
  <c r="BH619" i="18" s="1"/>
  <c r="AT619" i="18"/>
  <c r="AU619" i="18" s="1"/>
  <c r="AV619" i="18" s="1"/>
  <c r="AQ619" i="18"/>
  <c r="AR619" i="18" s="1"/>
  <c r="AS619" i="18" s="1"/>
  <c r="AO619" i="18"/>
  <c r="AP619" i="18" s="1"/>
  <c r="AN619" i="18"/>
  <c r="AM619" i="18"/>
  <c r="AL619" i="18"/>
  <c r="AK619" i="18"/>
  <c r="AJ619" i="18"/>
  <c r="AI619" i="18"/>
  <c r="AH619" i="18"/>
  <c r="AG619" i="18"/>
  <c r="AF619" i="18"/>
  <c r="AE619" i="18"/>
  <c r="AD619" i="18"/>
  <c r="AC619" i="18"/>
  <c r="AB619" i="18"/>
  <c r="AA619" i="18"/>
  <c r="Z619" i="18"/>
  <c r="Y619" i="18"/>
  <c r="X619" i="18"/>
  <c r="W619" i="18"/>
  <c r="V619" i="18"/>
  <c r="U619" i="18"/>
  <c r="T619" i="18"/>
  <c r="S619" i="18"/>
  <c r="R619" i="18"/>
  <c r="Q619" i="18"/>
  <c r="P619" i="18"/>
  <c r="O619" i="18"/>
  <c r="N619" i="18"/>
  <c r="M619" i="18"/>
  <c r="L619" i="18"/>
  <c r="K619" i="18"/>
  <c r="J619" i="18"/>
  <c r="I619" i="18"/>
  <c r="H619" i="18"/>
  <c r="G619" i="18"/>
  <c r="F619" i="18"/>
  <c r="E619" i="18"/>
  <c r="D619" i="18"/>
  <c r="C619" i="18"/>
  <c r="B619" i="18"/>
  <c r="AO618" i="18"/>
  <c r="AP618" i="18" s="1"/>
  <c r="AQ618" i="18" s="1"/>
  <c r="AR618" i="18" s="1"/>
  <c r="AS618" i="18" s="1"/>
  <c r="AT618" i="18" s="1"/>
  <c r="AU618" i="18" s="1"/>
  <c r="AV618" i="18" s="1"/>
  <c r="AW618" i="18" s="1"/>
  <c r="AX618" i="18" s="1"/>
  <c r="AY618" i="18" s="1"/>
  <c r="AZ618" i="18" s="1"/>
  <c r="BA618" i="18" s="1"/>
  <c r="BB618" i="18" s="1"/>
  <c r="BC618" i="18" s="1"/>
  <c r="BD618" i="18" s="1"/>
  <c r="BE618" i="18" s="1"/>
  <c r="BF618" i="18" s="1"/>
  <c r="BG618" i="18" s="1"/>
  <c r="BH618" i="18" s="1"/>
  <c r="AN618" i="18"/>
  <c r="AM618" i="18"/>
  <c r="AL618" i="18"/>
  <c r="AK618" i="18"/>
  <c r="AJ618" i="18"/>
  <c r="AI618" i="18"/>
  <c r="AH618" i="18"/>
  <c r="AG618" i="18"/>
  <c r="AF618" i="18"/>
  <c r="AE618" i="18"/>
  <c r="AD618" i="18"/>
  <c r="AC618" i="18"/>
  <c r="AB618" i="18"/>
  <c r="AA618" i="18"/>
  <c r="Z618" i="18"/>
  <c r="Y618" i="18"/>
  <c r="X618" i="18"/>
  <c r="W618" i="18"/>
  <c r="V618" i="18"/>
  <c r="U618" i="18"/>
  <c r="T618" i="18"/>
  <c r="S618" i="18"/>
  <c r="R618" i="18"/>
  <c r="Q618" i="18"/>
  <c r="P618" i="18"/>
  <c r="O618" i="18"/>
  <c r="N618" i="18"/>
  <c r="M618" i="18"/>
  <c r="L618" i="18"/>
  <c r="K618" i="18"/>
  <c r="J618" i="18"/>
  <c r="I618" i="18"/>
  <c r="H618" i="18"/>
  <c r="G618" i="18"/>
  <c r="F618" i="18"/>
  <c r="E618" i="18"/>
  <c r="D618" i="18"/>
  <c r="C618" i="18"/>
  <c r="B618" i="18"/>
  <c r="W615" i="18"/>
  <c r="X615" i="18" s="1"/>
  <c r="Y615" i="18" s="1"/>
  <c r="Z615" i="18" s="1"/>
  <c r="AA615" i="18" s="1"/>
  <c r="AB615" i="18" s="1"/>
  <c r="AC615" i="18" s="1"/>
  <c r="AD615" i="18" s="1"/>
  <c r="AE615" i="18" s="1"/>
  <c r="AF615" i="18" s="1"/>
  <c r="AG615" i="18" s="1"/>
  <c r="AH615" i="18" s="1"/>
  <c r="AI615" i="18" s="1"/>
  <c r="AJ615" i="18" s="1"/>
  <c r="AK615" i="18" s="1"/>
  <c r="AL615" i="18" s="1"/>
  <c r="AM615" i="18" s="1"/>
  <c r="AN615" i="18" s="1"/>
  <c r="AO615" i="18" s="1"/>
  <c r="AP615" i="18" s="1"/>
  <c r="AQ615" i="18" s="1"/>
  <c r="AR615" i="18" s="1"/>
  <c r="AS615" i="18" s="1"/>
  <c r="AT615" i="18" s="1"/>
  <c r="AU615" i="18" s="1"/>
  <c r="AV615" i="18" s="1"/>
  <c r="AW615" i="18" s="1"/>
  <c r="AX615" i="18" s="1"/>
  <c r="AY615" i="18" s="1"/>
  <c r="AZ615" i="18" s="1"/>
  <c r="BA615" i="18" s="1"/>
  <c r="BB615" i="18" s="1"/>
  <c r="BC615" i="18" s="1"/>
  <c r="BD615" i="18" s="1"/>
  <c r="BE615" i="18" s="1"/>
  <c r="BF615" i="18" s="1"/>
  <c r="BG615" i="18" s="1"/>
  <c r="BH615" i="18" s="1"/>
  <c r="T615" i="18"/>
  <c r="U615" i="18" s="1"/>
  <c r="V615" i="18" s="1"/>
  <c r="S615" i="18"/>
  <c r="R615" i="18"/>
  <c r="Q615" i="18"/>
  <c r="P615" i="18"/>
  <c r="O615" i="18"/>
  <c r="N615" i="18"/>
  <c r="M615" i="18"/>
  <c r="L615" i="18"/>
  <c r="K615" i="18"/>
  <c r="J615" i="18"/>
  <c r="I615" i="18"/>
  <c r="H615" i="18"/>
  <c r="G615" i="18"/>
  <c r="F615" i="18"/>
  <c r="E615" i="18"/>
  <c r="D615" i="18"/>
  <c r="C615" i="18"/>
  <c r="B615" i="18"/>
  <c r="W614" i="18"/>
  <c r="X614" i="18" s="1"/>
  <c r="Y614" i="18" s="1"/>
  <c r="Z614" i="18" s="1"/>
  <c r="AA614" i="18" s="1"/>
  <c r="AB614" i="18" s="1"/>
  <c r="AC614" i="18" s="1"/>
  <c r="AD614" i="18" s="1"/>
  <c r="AE614" i="18" s="1"/>
  <c r="AF614" i="18" s="1"/>
  <c r="AG614" i="18" s="1"/>
  <c r="AH614" i="18" s="1"/>
  <c r="AI614" i="18" s="1"/>
  <c r="AJ614" i="18" s="1"/>
  <c r="AK614" i="18" s="1"/>
  <c r="AL614" i="18" s="1"/>
  <c r="AM614" i="18" s="1"/>
  <c r="AN614" i="18" s="1"/>
  <c r="AO614" i="18" s="1"/>
  <c r="AP614" i="18" s="1"/>
  <c r="AQ614" i="18" s="1"/>
  <c r="AR614" i="18" s="1"/>
  <c r="AS614" i="18" s="1"/>
  <c r="AT614" i="18" s="1"/>
  <c r="AU614" i="18" s="1"/>
  <c r="AV614" i="18" s="1"/>
  <c r="AW614" i="18" s="1"/>
  <c r="AX614" i="18" s="1"/>
  <c r="AY614" i="18" s="1"/>
  <c r="AZ614" i="18" s="1"/>
  <c r="BA614" i="18" s="1"/>
  <c r="BB614" i="18" s="1"/>
  <c r="BC614" i="18" s="1"/>
  <c r="BD614" i="18" s="1"/>
  <c r="BE614" i="18" s="1"/>
  <c r="BF614" i="18" s="1"/>
  <c r="BG614" i="18" s="1"/>
  <c r="BH614" i="18" s="1"/>
  <c r="T614" i="18"/>
  <c r="U614" i="18" s="1"/>
  <c r="V614" i="18" s="1"/>
  <c r="S614" i="18"/>
  <c r="R614" i="18"/>
  <c r="Q614" i="18"/>
  <c r="P614" i="18"/>
  <c r="O614" i="18"/>
  <c r="N614" i="18"/>
  <c r="M614" i="18"/>
  <c r="L614" i="18"/>
  <c r="K614" i="18"/>
  <c r="J614" i="18"/>
  <c r="I614" i="18"/>
  <c r="H614" i="18"/>
  <c r="G614" i="18"/>
  <c r="F614" i="18"/>
  <c r="E614" i="18"/>
  <c r="D614" i="18"/>
  <c r="C614" i="18"/>
  <c r="B614" i="18"/>
  <c r="AI613" i="18"/>
  <c r="AJ613" i="18" s="1"/>
  <c r="AK613" i="18" s="1"/>
  <c r="AL613" i="18" s="1"/>
  <c r="AM613" i="18" s="1"/>
  <c r="AN613" i="18" s="1"/>
  <c r="AO613" i="18" s="1"/>
  <c r="AP613" i="18" s="1"/>
  <c r="AQ613" i="18" s="1"/>
  <c r="AR613" i="18" s="1"/>
  <c r="AS613" i="18" s="1"/>
  <c r="AT613" i="18" s="1"/>
  <c r="AU613" i="18" s="1"/>
  <c r="AV613" i="18" s="1"/>
  <c r="AW613" i="18" s="1"/>
  <c r="AX613" i="18" s="1"/>
  <c r="AY613" i="18" s="1"/>
  <c r="AZ613" i="18" s="1"/>
  <c r="BA613" i="18" s="1"/>
  <c r="BB613" i="18" s="1"/>
  <c r="BC613" i="18" s="1"/>
  <c r="BD613" i="18" s="1"/>
  <c r="BE613" i="18" s="1"/>
  <c r="BF613" i="18" s="1"/>
  <c r="BG613" i="18" s="1"/>
  <c r="BH613" i="18" s="1"/>
  <c r="AE613" i="18"/>
  <c r="AF613" i="18" s="1"/>
  <c r="AG613" i="18" s="1"/>
  <c r="AH613" i="18" s="1"/>
  <c r="U613" i="18"/>
  <c r="V613" i="18" s="1"/>
  <c r="W613" i="18" s="1"/>
  <c r="X613" i="18" s="1"/>
  <c r="Y613" i="18" s="1"/>
  <c r="Z613" i="18" s="1"/>
  <c r="AA613" i="18" s="1"/>
  <c r="AB613" i="18" s="1"/>
  <c r="AC613" i="18" s="1"/>
  <c r="AD613" i="18" s="1"/>
  <c r="T613" i="18"/>
  <c r="S613" i="18"/>
  <c r="R613" i="18"/>
  <c r="Q613" i="18"/>
  <c r="P613" i="18"/>
  <c r="O613" i="18"/>
  <c r="N613" i="18"/>
  <c r="M613" i="18"/>
  <c r="L613" i="18"/>
  <c r="K613" i="18"/>
  <c r="J613" i="18"/>
  <c r="I613" i="18"/>
  <c r="H613" i="18"/>
  <c r="G613" i="18"/>
  <c r="F613" i="18"/>
  <c r="E613" i="18"/>
  <c r="D613" i="18"/>
  <c r="C613" i="18"/>
  <c r="B613" i="18"/>
  <c r="AV597" i="18"/>
  <c r="AW597" i="18" s="1"/>
  <c r="AX597" i="18" s="1"/>
  <c r="AY597" i="18" s="1"/>
  <c r="AZ597" i="18" s="1"/>
  <c r="BA597" i="18" s="1"/>
  <c r="BB597" i="18" s="1"/>
  <c r="BC597" i="18" s="1"/>
  <c r="BD597" i="18" s="1"/>
  <c r="BE597" i="18" s="1"/>
  <c r="BF597" i="18" s="1"/>
  <c r="BG597" i="18" s="1"/>
  <c r="BH597" i="18" s="1"/>
  <c r="AS597" i="18"/>
  <c r="AT597" i="18" s="1"/>
  <c r="AU597" i="18" s="1"/>
  <c r="AP597" i="18"/>
  <c r="AQ597" i="18" s="1"/>
  <c r="AR597" i="18" s="1"/>
  <c r="AN597" i="18"/>
  <c r="AO597" i="18" s="1"/>
  <c r="AM597" i="18"/>
  <c r="AL597" i="18"/>
  <c r="AK597" i="18"/>
  <c r="AJ597" i="18"/>
  <c r="AI597" i="18"/>
  <c r="AH597" i="18"/>
  <c r="AG597" i="18"/>
  <c r="AF597" i="18"/>
  <c r="AE597" i="18"/>
  <c r="AD597" i="18"/>
  <c r="AC597" i="18"/>
  <c r="AB597" i="18"/>
  <c r="AA597" i="18"/>
  <c r="Z597" i="18"/>
  <c r="Y597" i="18"/>
  <c r="X597" i="18"/>
  <c r="W597" i="18"/>
  <c r="V597" i="18"/>
  <c r="U597" i="18"/>
  <c r="T597" i="18"/>
  <c r="S597" i="18"/>
  <c r="R597" i="18"/>
  <c r="Q597" i="18"/>
  <c r="P597" i="18"/>
  <c r="O597" i="18"/>
  <c r="N597" i="18"/>
  <c r="M597" i="18"/>
  <c r="L597" i="18"/>
  <c r="K597" i="18"/>
  <c r="J597" i="18"/>
  <c r="I597" i="18"/>
  <c r="H597" i="18"/>
  <c r="G597" i="18"/>
  <c r="F597" i="18"/>
  <c r="E597" i="18"/>
  <c r="D597" i="18"/>
  <c r="C597" i="18"/>
  <c r="B597" i="18"/>
  <c r="AW596" i="18"/>
  <c r="AX596" i="18" s="1"/>
  <c r="AY596" i="18" s="1"/>
  <c r="AZ596" i="18" s="1"/>
  <c r="BA596" i="18" s="1"/>
  <c r="BB596" i="18" s="1"/>
  <c r="BC596" i="18" s="1"/>
  <c r="BD596" i="18" s="1"/>
  <c r="BE596" i="18" s="1"/>
  <c r="BF596" i="18" s="1"/>
  <c r="BG596" i="18" s="1"/>
  <c r="BH596" i="18" s="1"/>
  <c r="AS596" i="18"/>
  <c r="AT596" i="18" s="1"/>
  <c r="AU596" i="18" s="1"/>
  <c r="AV596" i="18" s="1"/>
  <c r="AQ596" i="18"/>
  <c r="AR596" i="18" s="1"/>
  <c r="AO596" i="18"/>
  <c r="AP596" i="18" s="1"/>
  <c r="AN596" i="18"/>
  <c r="AM596" i="18"/>
  <c r="AL596" i="18"/>
  <c r="AK596" i="18"/>
  <c r="AJ596" i="18"/>
  <c r="AI596" i="18"/>
  <c r="AH596" i="18"/>
  <c r="AG596" i="18"/>
  <c r="AF596" i="18"/>
  <c r="AE596" i="18"/>
  <c r="AD596" i="18"/>
  <c r="AC596" i="18"/>
  <c r="AB596" i="18"/>
  <c r="AA596" i="18"/>
  <c r="Z596" i="18"/>
  <c r="Y596" i="18"/>
  <c r="X596" i="18"/>
  <c r="W596" i="18"/>
  <c r="V596" i="18"/>
  <c r="U596" i="18"/>
  <c r="T596" i="18"/>
  <c r="S596" i="18"/>
  <c r="R596" i="18"/>
  <c r="Q596" i="18"/>
  <c r="P596" i="18"/>
  <c r="O596" i="18"/>
  <c r="N596" i="18"/>
  <c r="M596" i="18"/>
  <c r="L596" i="18"/>
  <c r="K596" i="18"/>
  <c r="J596" i="18"/>
  <c r="I596" i="18"/>
  <c r="H596" i="18"/>
  <c r="G596" i="18"/>
  <c r="F596" i="18"/>
  <c r="E596" i="18"/>
  <c r="D596" i="18"/>
  <c r="C596" i="18"/>
  <c r="B596" i="18"/>
  <c r="AN595" i="18"/>
  <c r="AO595" i="18" s="1"/>
  <c r="AP595" i="18" s="1"/>
  <c r="AQ595" i="18" s="1"/>
  <c r="AR595" i="18" s="1"/>
  <c r="AS595" i="18" s="1"/>
  <c r="AT595" i="18" s="1"/>
  <c r="AU595" i="18" s="1"/>
  <c r="AV595" i="18" s="1"/>
  <c r="AW595" i="18" s="1"/>
  <c r="AX595" i="18" s="1"/>
  <c r="AY595" i="18" s="1"/>
  <c r="AZ595" i="18" s="1"/>
  <c r="BA595" i="18" s="1"/>
  <c r="BB595" i="18" s="1"/>
  <c r="BC595" i="18" s="1"/>
  <c r="BD595" i="18" s="1"/>
  <c r="BE595" i="18" s="1"/>
  <c r="BF595" i="18" s="1"/>
  <c r="BG595" i="18" s="1"/>
  <c r="BH595" i="18" s="1"/>
  <c r="AM595" i="18"/>
  <c r="AL595" i="18"/>
  <c r="AK595" i="18"/>
  <c r="AJ595" i="18"/>
  <c r="AI595" i="18"/>
  <c r="AH595" i="18"/>
  <c r="AG595" i="18"/>
  <c r="AF595" i="18"/>
  <c r="AE595" i="18"/>
  <c r="AD595" i="18"/>
  <c r="AD628" i="18" s="1"/>
  <c r="AC595" i="18"/>
  <c r="AB595" i="18"/>
  <c r="AA595" i="18"/>
  <c r="Z595" i="18"/>
  <c r="Y595" i="18"/>
  <c r="X595" i="18"/>
  <c r="W595" i="18"/>
  <c r="V595" i="18"/>
  <c r="U595" i="18"/>
  <c r="T595" i="18"/>
  <c r="S595" i="18"/>
  <c r="R595" i="18"/>
  <c r="Q595" i="18"/>
  <c r="P595" i="18"/>
  <c r="O595" i="18"/>
  <c r="N595" i="18"/>
  <c r="N628" i="18" s="1"/>
  <c r="M595" i="18"/>
  <c r="L595" i="18"/>
  <c r="K595" i="18"/>
  <c r="J595" i="18"/>
  <c r="I595" i="18"/>
  <c r="H595" i="18"/>
  <c r="G595" i="18"/>
  <c r="F595" i="18"/>
  <c r="E595" i="18"/>
  <c r="D595" i="18"/>
  <c r="C595" i="18"/>
  <c r="B595" i="18"/>
  <c r="AO594" i="18"/>
  <c r="AP594" i="18" s="1"/>
  <c r="AQ594" i="18" s="1"/>
  <c r="AR594" i="18" s="1"/>
  <c r="AS594" i="18" s="1"/>
  <c r="AT594" i="18" s="1"/>
  <c r="AU594" i="18" s="1"/>
  <c r="AV594" i="18" s="1"/>
  <c r="AW594" i="18" s="1"/>
  <c r="AX594" i="18" s="1"/>
  <c r="AY594" i="18" s="1"/>
  <c r="AZ594" i="18" s="1"/>
  <c r="BA594" i="18" s="1"/>
  <c r="BB594" i="18" s="1"/>
  <c r="BC594" i="18" s="1"/>
  <c r="BD594" i="18" s="1"/>
  <c r="BE594" i="18" s="1"/>
  <c r="BF594" i="18" s="1"/>
  <c r="BG594" i="18" s="1"/>
  <c r="BH594" i="18" s="1"/>
  <c r="AN594" i="18"/>
  <c r="AM594" i="18"/>
  <c r="AL594" i="18"/>
  <c r="AK594" i="18"/>
  <c r="AJ594" i="18"/>
  <c r="AI594" i="18"/>
  <c r="AH594" i="18"/>
  <c r="AG594" i="18"/>
  <c r="AF594" i="18"/>
  <c r="AE594" i="18"/>
  <c r="AD594" i="18"/>
  <c r="AC594" i="18"/>
  <c r="AB594" i="18"/>
  <c r="AA594" i="18"/>
  <c r="Z594" i="18"/>
  <c r="Y594" i="18"/>
  <c r="X594" i="18"/>
  <c r="W594" i="18"/>
  <c r="V594" i="18"/>
  <c r="U594" i="18"/>
  <c r="T594" i="18"/>
  <c r="S594" i="18"/>
  <c r="R594" i="18"/>
  <c r="Q594" i="18"/>
  <c r="P594" i="18"/>
  <c r="O594" i="18"/>
  <c r="N594" i="18"/>
  <c r="M594" i="18"/>
  <c r="L594" i="18"/>
  <c r="K594" i="18"/>
  <c r="J594" i="18"/>
  <c r="I594" i="18"/>
  <c r="H594" i="18"/>
  <c r="G594" i="18"/>
  <c r="F594" i="18"/>
  <c r="E594" i="18"/>
  <c r="D594" i="18"/>
  <c r="C594" i="18"/>
  <c r="B594" i="18"/>
  <c r="AO593" i="18"/>
  <c r="AP593" i="18" s="1"/>
  <c r="AQ593" i="18" s="1"/>
  <c r="AR593" i="18" s="1"/>
  <c r="AS593" i="18" s="1"/>
  <c r="AT593" i="18" s="1"/>
  <c r="AU593" i="18" s="1"/>
  <c r="AV593" i="18" s="1"/>
  <c r="AW593" i="18" s="1"/>
  <c r="AX593" i="18" s="1"/>
  <c r="AY593" i="18" s="1"/>
  <c r="AZ593" i="18" s="1"/>
  <c r="BA593" i="18" s="1"/>
  <c r="BB593" i="18" s="1"/>
  <c r="BC593" i="18" s="1"/>
  <c r="BD593" i="18" s="1"/>
  <c r="BE593" i="18" s="1"/>
  <c r="BF593" i="18" s="1"/>
  <c r="BG593" i="18" s="1"/>
  <c r="BH593" i="18" s="1"/>
  <c r="AN593" i="18"/>
  <c r="AM593" i="18"/>
  <c r="AL593" i="18"/>
  <c r="AK593" i="18"/>
  <c r="AJ593" i="18"/>
  <c r="AI593" i="18"/>
  <c r="AH593" i="18"/>
  <c r="AG593" i="18"/>
  <c r="AG628" i="18" s="1"/>
  <c r="AF593" i="18"/>
  <c r="AE593" i="18"/>
  <c r="AD593" i="18"/>
  <c r="AC593" i="18"/>
  <c r="AB593" i="18"/>
  <c r="AA593" i="18"/>
  <c r="Z593" i="18"/>
  <c r="Y593" i="18"/>
  <c r="X593" i="18"/>
  <c r="W593" i="18"/>
  <c r="V593" i="18"/>
  <c r="U593" i="18"/>
  <c r="T593" i="18"/>
  <c r="S593" i="18"/>
  <c r="R593" i="18"/>
  <c r="Q593" i="18"/>
  <c r="Q628" i="18" s="1"/>
  <c r="P593" i="18"/>
  <c r="O593" i="18"/>
  <c r="N593" i="18"/>
  <c r="M593" i="18"/>
  <c r="L593" i="18"/>
  <c r="K593" i="18"/>
  <c r="J593" i="18"/>
  <c r="I593" i="18"/>
  <c r="H593" i="18"/>
  <c r="G593" i="18"/>
  <c r="F593" i="18"/>
  <c r="E593" i="18"/>
  <c r="D593" i="18"/>
  <c r="C593" i="18"/>
  <c r="B593" i="18"/>
  <c r="BC592" i="18"/>
  <c r="BD592" i="18" s="1"/>
  <c r="BE592" i="18" s="1"/>
  <c r="BF592" i="18" s="1"/>
  <c r="BG592" i="18" s="1"/>
  <c r="BH592" i="18" s="1"/>
  <c r="AR592" i="18"/>
  <c r="AS592" i="18" s="1"/>
  <c r="AT592" i="18" s="1"/>
  <c r="AU592" i="18" s="1"/>
  <c r="AV592" i="18" s="1"/>
  <c r="AW592" i="18" s="1"/>
  <c r="AX592" i="18" s="1"/>
  <c r="AY592" i="18" s="1"/>
  <c r="AZ592" i="18" s="1"/>
  <c r="BA592" i="18" s="1"/>
  <c r="BB592" i="18" s="1"/>
  <c r="AO592" i="18"/>
  <c r="AP592" i="18" s="1"/>
  <c r="AQ592" i="18" s="1"/>
  <c r="AN592" i="18"/>
  <c r="AM592" i="18"/>
  <c r="AL592" i="18"/>
  <c r="AK592" i="18"/>
  <c r="AJ592" i="18"/>
  <c r="AI592" i="18"/>
  <c r="AH592" i="18"/>
  <c r="AG592" i="18"/>
  <c r="AF592" i="18"/>
  <c r="AE592" i="18"/>
  <c r="AD592" i="18"/>
  <c r="AC592" i="18"/>
  <c r="AB592" i="18"/>
  <c r="AA592" i="18"/>
  <c r="Z592" i="18"/>
  <c r="Y592" i="18"/>
  <c r="X592" i="18"/>
  <c r="W592" i="18"/>
  <c r="V592" i="18"/>
  <c r="U592" i="18"/>
  <c r="T592" i="18"/>
  <c r="S592" i="18"/>
  <c r="R592" i="18"/>
  <c r="Q592" i="18"/>
  <c r="P592" i="18"/>
  <c r="O592" i="18"/>
  <c r="N592" i="18"/>
  <c r="M592" i="18"/>
  <c r="L592" i="18"/>
  <c r="K592" i="18"/>
  <c r="J592" i="18"/>
  <c r="I592" i="18"/>
  <c r="H592" i="18"/>
  <c r="G592" i="18"/>
  <c r="F592" i="18"/>
  <c r="E592" i="18"/>
  <c r="D592" i="18"/>
  <c r="C592" i="18"/>
  <c r="B592" i="18"/>
  <c r="AP591" i="18"/>
  <c r="AQ591" i="18" s="1"/>
  <c r="AR591" i="18" s="1"/>
  <c r="AS591" i="18" s="1"/>
  <c r="AT591" i="18" s="1"/>
  <c r="AU591" i="18" s="1"/>
  <c r="AV591" i="18" s="1"/>
  <c r="AW591" i="18" s="1"/>
  <c r="AX591" i="18" s="1"/>
  <c r="AY591" i="18" s="1"/>
  <c r="AZ591" i="18" s="1"/>
  <c r="BA591" i="18" s="1"/>
  <c r="BB591" i="18" s="1"/>
  <c r="BC591" i="18" s="1"/>
  <c r="BD591" i="18" s="1"/>
  <c r="BE591" i="18" s="1"/>
  <c r="BF591" i="18" s="1"/>
  <c r="BG591" i="18" s="1"/>
  <c r="BH591" i="18" s="1"/>
  <c r="AN591" i="18"/>
  <c r="AO591" i="18" s="1"/>
  <c r="AM591" i="18"/>
  <c r="AL591" i="18"/>
  <c r="AK591" i="18"/>
  <c r="AJ591" i="18"/>
  <c r="AI591" i="18"/>
  <c r="AH591" i="18"/>
  <c r="AG591" i="18"/>
  <c r="AF591" i="18"/>
  <c r="AE591" i="18"/>
  <c r="AD591" i="18"/>
  <c r="AC591" i="18"/>
  <c r="AB591" i="18"/>
  <c r="AA591" i="18"/>
  <c r="Z591" i="18"/>
  <c r="Y591" i="18"/>
  <c r="X591" i="18"/>
  <c r="W591" i="18"/>
  <c r="V591" i="18"/>
  <c r="U591" i="18"/>
  <c r="T591" i="18"/>
  <c r="S591" i="18"/>
  <c r="R591" i="18"/>
  <c r="Q591" i="18"/>
  <c r="P591" i="18"/>
  <c r="O591" i="18"/>
  <c r="N591" i="18"/>
  <c r="M591" i="18"/>
  <c r="L591" i="18"/>
  <c r="K591" i="18"/>
  <c r="J591" i="18"/>
  <c r="I591" i="18"/>
  <c r="H591" i="18"/>
  <c r="G591" i="18"/>
  <c r="F591" i="18"/>
  <c r="E591" i="18"/>
  <c r="D591" i="18"/>
  <c r="C591" i="18"/>
  <c r="B591" i="18"/>
  <c r="AU590" i="18"/>
  <c r="AV590" i="18" s="1"/>
  <c r="AW590" i="18" s="1"/>
  <c r="AX590" i="18" s="1"/>
  <c r="AY590" i="18" s="1"/>
  <c r="AZ590" i="18" s="1"/>
  <c r="BA590" i="18" s="1"/>
  <c r="BB590" i="18" s="1"/>
  <c r="BC590" i="18" s="1"/>
  <c r="BD590" i="18" s="1"/>
  <c r="BE590" i="18" s="1"/>
  <c r="BF590" i="18" s="1"/>
  <c r="BG590" i="18" s="1"/>
  <c r="BH590" i="18" s="1"/>
  <c r="AQ590" i="18"/>
  <c r="AR590" i="18" s="1"/>
  <c r="AS590" i="18" s="1"/>
  <c r="AT590" i="18" s="1"/>
  <c r="AP590" i="18"/>
  <c r="AN590" i="18"/>
  <c r="AO590" i="18" s="1"/>
  <c r="AM590" i="18"/>
  <c r="AL590" i="18"/>
  <c r="AK590" i="18"/>
  <c r="AJ590" i="18"/>
  <c r="AI590" i="18"/>
  <c r="AI628" i="18" s="1"/>
  <c r="AH590" i="18"/>
  <c r="AG590" i="18"/>
  <c r="AF590" i="18"/>
  <c r="AE590" i="18"/>
  <c r="AD590" i="18"/>
  <c r="AC590" i="18"/>
  <c r="AB590" i="18"/>
  <c r="AA590" i="18"/>
  <c r="AA628" i="18" s="1"/>
  <c r="Z590" i="18"/>
  <c r="Y590" i="18"/>
  <c r="X590" i="18"/>
  <c r="W590" i="18"/>
  <c r="V590" i="18"/>
  <c r="U590" i="18"/>
  <c r="T590" i="18"/>
  <c r="S590" i="18"/>
  <c r="S628" i="18" s="1"/>
  <c r="R590" i="18"/>
  <c r="Q590" i="18"/>
  <c r="P590" i="18"/>
  <c r="O590" i="18"/>
  <c r="N590" i="18"/>
  <c r="M590" i="18"/>
  <c r="L590" i="18"/>
  <c r="K590" i="18"/>
  <c r="K628" i="18" s="1"/>
  <c r="J590" i="18"/>
  <c r="I590" i="18"/>
  <c r="H590" i="18"/>
  <c r="G590" i="18"/>
  <c r="F590" i="18"/>
  <c r="E590" i="18"/>
  <c r="D590" i="18"/>
  <c r="C590" i="18"/>
  <c r="C628" i="18" s="1"/>
  <c r="B590" i="18"/>
  <c r="AN589" i="18"/>
  <c r="AM589" i="18"/>
  <c r="AL589" i="18"/>
  <c r="AK589" i="18"/>
  <c r="AJ589" i="18"/>
  <c r="AJ628" i="18" s="1"/>
  <c r="AI589" i="18"/>
  <c r="AH589" i="18"/>
  <c r="AH628" i="18" s="1"/>
  <c r="AG589" i="18"/>
  <c r="AF589" i="18"/>
  <c r="AE589" i="18"/>
  <c r="AD589" i="18"/>
  <c r="AC589" i="18"/>
  <c r="AB589" i="18"/>
  <c r="AB628" i="18" s="1"/>
  <c r="AA589" i="18"/>
  <c r="Z589" i="18"/>
  <c r="Z628" i="18" s="1"/>
  <c r="Y589" i="18"/>
  <c r="X589" i="18"/>
  <c r="W589" i="18"/>
  <c r="V589" i="18"/>
  <c r="U589" i="18"/>
  <c r="T589" i="18"/>
  <c r="T628" i="18" s="1"/>
  <c r="S589" i="18"/>
  <c r="R589" i="18"/>
  <c r="R628" i="18" s="1"/>
  <c r="Q589" i="18"/>
  <c r="P589" i="18"/>
  <c r="O589" i="18"/>
  <c r="N589" i="18"/>
  <c r="M589" i="18"/>
  <c r="L589" i="18"/>
  <c r="L628" i="18" s="1"/>
  <c r="K589" i="18"/>
  <c r="J589" i="18"/>
  <c r="J628" i="18" s="1"/>
  <c r="I589" i="18"/>
  <c r="H589" i="18"/>
  <c r="G589" i="18"/>
  <c r="F589" i="18"/>
  <c r="E589" i="18"/>
  <c r="D589" i="18"/>
  <c r="D628" i="18" s="1"/>
  <c r="C589" i="18"/>
  <c r="B589" i="18"/>
  <c r="AS588" i="18"/>
  <c r="AT588" i="18" s="1"/>
  <c r="AU588" i="18" s="1"/>
  <c r="AV588" i="18" s="1"/>
  <c r="AW588" i="18" s="1"/>
  <c r="AX588" i="18" s="1"/>
  <c r="AY588" i="18" s="1"/>
  <c r="AZ588" i="18" s="1"/>
  <c r="BA588" i="18" s="1"/>
  <c r="BB588" i="18" s="1"/>
  <c r="BC588" i="18" s="1"/>
  <c r="BD588" i="18" s="1"/>
  <c r="BE588" i="18" s="1"/>
  <c r="BF588" i="18" s="1"/>
  <c r="BG588" i="18" s="1"/>
  <c r="BH588" i="18" s="1"/>
  <c r="AQ588" i="18"/>
  <c r="AR588" i="18" s="1"/>
  <c r="AO588" i="18"/>
  <c r="AP588" i="18" s="1"/>
  <c r="AN588" i="18"/>
  <c r="AM588" i="18"/>
  <c r="AL588" i="18"/>
  <c r="AK588" i="18"/>
  <c r="AJ588" i="18"/>
  <c r="AI588" i="18"/>
  <c r="AH588" i="18"/>
  <c r="AG588" i="18"/>
  <c r="AF588" i="18"/>
  <c r="AE588" i="18"/>
  <c r="AD588" i="18"/>
  <c r="AC588" i="18"/>
  <c r="AB588" i="18"/>
  <c r="AA588" i="18"/>
  <c r="Z588" i="18"/>
  <c r="Y588" i="18"/>
  <c r="X588" i="18"/>
  <c r="W588" i="18"/>
  <c r="V588" i="18"/>
  <c r="U588" i="18"/>
  <c r="T588" i="18"/>
  <c r="S588" i="18"/>
  <c r="R588" i="18"/>
  <c r="Q588" i="18"/>
  <c r="P588" i="18"/>
  <c r="O588" i="18"/>
  <c r="N588" i="18"/>
  <c r="M588" i="18"/>
  <c r="L588" i="18"/>
  <c r="K588" i="18"/>
  <c r="J588" i="18"/>
  <c r="I588" i="18"/>
  <c r="H588" i="18"/>
  <c r="G588" i="18"/>
  <c r="F588" i="18"/>
  <c r="E588" i="18"/>
  <c r="D588" i="18"/>
  <c r="C588" i="18"/>
  <c r="B588" i="18"/>
  <c r="AN587" i="18"/>
  <c r="AO587" i="18" s="1"/>
  <c r="AP587" i="18" s="1"/>
  <c r="AQ587" i="18" s="1"/>
  <c r="AR587" i="18" s="1"/>
  <c r="AS587" i="18" s="1"/>
  <c r="AT587" i="18" s="1"/>
  <c r="AU587" i="18" s="1"/>
  <c r="AV587" i="18" s="1"/>
  <c r="AW587" i="18" s="1"/>
  <c r="AX587" i="18" s="1"/>
  <c r="AY587" i="18" s="1"/>
  <c r="AZ587" i="18" s="1"/>
  <c r="BA587" i="18" s="1"/>
  <c r="BB587" i="18" s="1"/>
  <c r="BC587" i="18" s="1"/>
  <c r="BD587" i="18" s="1"/>
  <c r="BE587" i="18" s="1"/>
  <c r="BF587" i="18" s="1"/>
  <c r="BG587" i="18" s="1"/>
  <c r="BH587" i="18" s="1"/>
  <c r="AM587" i="18"/>
  <c r="AL587" i="18"/>
  <c r="AK587" i="18"/>
  <c r="AJ587" i="18"/>
  <c r="AI587" i="18"/>
  <c r="AH587" i="18"/>
  <c r="AG587" i="18"/>
  <c r="AF587" i="18"/>
  <c r="AE587" i="18"/>
  <c r="AD587" i="18"/>
  <c r="AC587" i="18"/>
  <c r="AB587" i="18"/>
  <c r="AA587" i="18"/>
  <c r="Z587" i="18"/>
  <c r="Y587" i="18"/>
  <c r="X587" i="18"/>
  <c r="W587" i="18"/>
  <c r="V587" i="18"/>
  <c r="U587" i="18"/>
  <c r="T587" i="18"/>
  <c r="S587" i="18"/>
  <c r="R587" i="18"/>
  <c r="Q587" i="18"/>
  <c r="P587" i="18"/>
  <c r="O587" i="18"/>
  <c r="N587" i="18"/>
  <c r="M587" i="18"/>
  <c r="L587" i="18"/>
  <c r="K587" i="18"/>
  <c r="J587" i="18"/>
  <c r="I587" i="18"/>
  <c r="H587" i="18"/>
  <c r="G587" i="18"/>
  <c r="F587" i="18"/>
  <c r="E587" i="18"/>
  <c r="D587" i="18"/>
  <c r="C587" i="18"/>
  <c r="B587" i="18"/>
  <c r="AW586" i="18"/>
  <c r="AX586" i="18" s="1"/>
  <c r="AY586" i="18" s="1"/>
  <c r="AZ586" i="18" s="1"/>
  <c r="BA586" i="18" s="1"/>
  <c r="BB586" i="18" s="1"/>
  <c r="BC586" i="18" s="1"/>
  <c r="BD586" i="18" s="1"/>
  <c r="BE586" i="18" s="1"/>
  <c r="BF586" i="18" s="1"/>
  <c r="BG586" i="18" s="1"/>
  <c r="BH586" i="18" s="1"/>
  <c r="AO586" i="18"/>
  <c r="AP586" i="18" s="1"/>
  <c r="AQ586" i="18" s="1"/>
  <c r="AR586" i="18" s="1"/>
  <c r="AS586" i="18" s="1"/>
  <c r="AT586" i="18" s="1"/>
  <c r="AU586" i="18" s="1"/>
  <c r="AV586" i="18" s="1"/>
  <c r="AN586" i="18"/>
  <c r="AM586" i="18"/>
  <c r="AL586" i="18"/>
  <c r="AK586" i="18"/>
  <c r="AJ586" i="18"/>
  <c r="AI586" i="18"/>
  <c r="AH586" i="18"/>
  <c r="AG586" i="18"/>
  <c r="AF586" i="18"/>
  <c r="AE586" i="18"/>
  <c r="AD586" i="18"/>
  <c r="AC586" i="18"/>
  <c r="AB586" i="18"/>
  <c r="AA586" i="18"/>
  <c r="Z586" i="18"/>
  <c r="Y586" i="18"/>
  <c r="X586" i="18"/>
  <c r="W586" i="18"/>
  <c r="V586" i="18"/>
  <c r="U586" i="18"/>
  <c r="T586" i="18"/>
  <c r="S586" i="18"/>
  <c r="R586" i="18"/>
  <c r="Q586" i="18"/>
  <c r="P586" i="18"/>
  <c r="O586" i="18"/>
  <c r="N586" i="18"/>
  <c r="M586" i="18"/>
  <c r="L586" i="18"/>
  <c r="K586" i="18"/>
  <c r="J586" i="18"/>
  <c r="I586" i="18"/>
  <c r="H586" i="18"/>
  <c r="G586" i="18"/>
  <c r="F586" i="18"/>
  <c r="E586" i="18"/>
  <c r="D586" i="18"/>
  <c r="C586" i="18"/>
  <c r="B586" i="18"/>
  <c r="AZ585" i="18"/>
  <c r="BA585" i="18" s="1"/>
  <c r="BB585" i="18" s="1"/>
  <c r="BC585" i="18" s="1"/>
  <c r="BD585" i="18" s="1"/>
  <c r="BE585" i="18" s="1"/>
  <c r="BF585" i="18" s="1"/>
  <c r="BG585" i="18" s="1"/>
  <c r="BH585" i="18" s="1"/>
  <c r="AO585" i="18"/>
  <c r="AP585" i="18" s="1"/>
  <c r="AQ585" i="18" s="1"/>
  <c r="AR585" i="18" s="1"/>
  <c r="AS585" i="18" s="1"/>
  <c r="AT585" i="18" s="1"/>
  <c r="AU585" i="18" s="1"/>
  <c r="AV585" i="18" s="1"/>
  <c r="AW585" i="18" s="1"/>
  <c r="AX585" i="18" s="1"/>
  <c r="AY585" i="18" s="1"/>
  <c r="AN585" i="18"/>
  <c r="AM585" i="18"/>
  <c r="AL585" i="18"/>
  <c r="AK585" i="18"/>
  <c r="AJ585" i="18"/>
  <c r="AI585" i="18"/>
  <c r="AH585" i="18"/>
  <c r="AG585" i="18"/>
  <c r="AF585" i="18"/>
  <c r="AE585" i="18"/>
  <c r="AD585" i="18"/>
  <c r="AC585" i="18"/>
  <c r="AB585" i="18"/>
  <c r="AA585" i="18"/>
  <c r="Z585" i="18"/>
  <c r="Y585" i="18"/>
  <c r="X585" i="18"/>
  <c r="W585" i="18"/>
  <c r="V585" i="18"/>
  <c r="U585" i="18"/>
  <c r="T585" i="18"/>
  <c r="S585" i="18"/>
  <c r="R585" i="18"/>
  <c r="Q585" i="18"/>
  <c r="P585" i="18"/>
  <c r="O585" i="18"/>
  <c r="N585" i="18"/>
  <c r="M585" i="18"/>
  <c r="L585" i="18"/>
  <c r="K585" i="18"/>
  <c r="J585" i="18"/>
  <c r="I585" i="18"/>
  <c r="H585" i="18"/>
  <c r="G585" i="18"/>
  <c r="F585" i="18"/>
  <c r="E585" i="18"/>
  <c r="D585" i="18"/>
  <c r="C585" i="18"/>
  <c r="B585" i="18"/>
  <c r="BC584" i="18"/>
  <c r="BD584" i="18" s="1"/>
  <c r="BE584" i="18" s="1"/>
  <c r="BF584" i="18" s="1"/>
  <c r="BG584" i="18" s="1"/>
  <c r="BH584" i="18" s="1"/>
  <c r="AR584" i="18"/>
  <c r="AS584" i="18" s="1"/>
  <c r="AT584" i="18" s="1"/>
  <c r="AU584" i="18" s="1"/>
  <c r="AV584" i="18" s="1"/>
  <c r="AW584" i="18" s="1"/>
  <c r="AX584" i="18" s="1"/>
  <c r="AY584" i="18" s="1"/>
  <c r="AZ584" i="18" s="1"/>
  <c r="BA584" i="18" s="1"/>
  <c r="BB584" i="18" s="1"/>
  <c r="AO584" i="18"/>
  <c r="AP584" i="18" s="1"/>
  <c r="AQ584" i="18" s="1"/>
  <c r="AN584" i="18"/>
  <c r="AM584" i="18"/>
  <c r="AL584" i="18"/>
  <c r="AK584" i="18"/>
  <c r="AJ584" i="18"/>
  <c r="AI584" i="18"/>
  <c r="AH584" i="18"/>
  <c r="AG584" i="18"/>
  <c r="AF584" i="18"/>
  <c r="AE584" i="18"/>
  <c r="AD584" i="18"/>
  <c r="AC584" i="18"/>
  <c r="AB584" i="18"/>
  <c r="AA584" i="18"/>
  <c r="Z584" i="18"/>
  <c r="Y584" i="18"/>
  <c r="X584" i="18"/>
  <c r="W584" i="18"/>
  <c r="V584" i="18"/>
  <c r="U584" i="18"/>
  <c r="T584" i="18"/>
  <c r="S584" i="18"/>
  <c r="R584" i="18"/>
  <c r="Q584" i="18"/>
  <c r="P584" i="18"/>
  <c r="O584" i="18"/>
  <c r="N584" i="18"/>
  <c r="M584" i="18"/>
  <c r="L584" i="18"/>
  <c r="K584" i="18"/>
  <c r="J584" i="18"/>
  <c r="I584" i="18"/>
  <c r="H584" i="18"/>
  <c r="G584" i="18"/>
  <c r="F584" i="18"/>
  <c r="E584" i="18"/>
  <c r="D584" i="18"/>
  <c r="C584" i="18"/>
  <c r="B584" i="18"/>
  <c r="AP583" i="18"/>
  <c r="AQ583" i="18" s="1"/>
  <c r="AR583" i="18" s="1"/>
  <c r="AS583" i="18" s="1"/>
  <c r="AT583" i="18" s="1"/>
  <c r="AU583" i="18" s="1"/>
  <c r="AV583" i="18" s="1"/>
  <c r="AW583" i="18" s="1"/>
  <c r="AX583" i="18" s="1"/>
  <c r="AY583" i="18" s="1"/>
  <c r="AZ583" i="18" s="1"/>
  <c r="BA583" i="18" s="1"/>
  <c r="BB583" i="18" s="1"/>
  <c r="BC583" i="18" s="1"/>
  <c r="BD583" i="18" s="1"/>
  <c r="BE583" i="18" s="1"/>
  <c r="BF583" i="18" s="1"/>
  <c r="BG583" i="18" s="1"/>
  <c r="BH583" i="18" s="1"/>
  <c r="AN583" i="18"/>
  <c r="AO583" i="18" s="1"/>
  <c r="AM583" i="18"/>
  <c r="AL583" i="18"/>
  <c r="AK583" i="18"/>
  <c r="AJ583" i="18"/>
  <c r="AI583" i="18"/>
  <c r="AH583" i="18"/>
  <c r="AG583" i="18"/>
  <c r="AF583" i="18"/>
  <c r="AE583" i="18"/>
  <c r="AD583" i="18"/>
  <c r="AC583" i="18"/>
  <c r="AB583" i="18"/>
  <c r="AA583" i="18"/>
  <c r="Z583" i="18"/>
  <c r="Y583" i="18"/>
  <c r="X583" i="18"/>
  <c r="W583" i="18"/>
  <c r="V583" i="18"/>
  <c r="U583" i="18"/>
  <c r="T583" i="18"/>
  <c r="S583" i="18"/>
  <c r="R583" i="18"/>
  <c r="Q583" i="18"/>
  <c r="P583" i="18"/>
  <c r="O583" i="18"/>
  <c r="N583" i="18"/>
  <c r="M583" i="18"/>
  <c r="L583" i="18"/>
  <c r="K583" i="18"/>
  <c r="J583" i="18"/>
  <c r="I583" i="18"/>
  <c r="H583" i="18"/>
  <c r="G583" i="18"/>
  <c r="F583" i="18"/>
  <c r="E583" i="18"/>
  <c r="D583" i="18"/>
  <c r="C583" i="18"/>
  <c r="B583" i="18"/>
  <c r="AQ582" i="18"/>
  <c r="AR582" i="18" s="1"/>
  <c r="AS582" i="18" s="1"/>
  <c r="AT582" i="18" s="1"/>
  <c r="AU582" i="18" s="1"/>
  <c r="AV582" i="18" s="1"/>
  <c r="AW582" i="18" s="1"/>
  <c r="AX582" i="18" s="1"/>
  <c r="AY582" i="18" s="1"/>
  <c r="AZ582" i="18" s="1"/>
  <c r="BA582" i="18" s="1"/>
  <c r="BB582" i="18" s="1"/>
  <c r="BC582" i="18" s="1"/>
  <c r="BD582" i="18" s="1"/>
  <c r="BE582" i="18" s="1"/>
  <c r="BF582" i="18" s="1"/>
  <c r="BG582" i="18" s="1"/>
  <c r="BH582" i="18" s="1"/>
  <c r="AP582" i="18"/>
  <c r="AN582" i="18"/>
  <c r="AO582" i="18" s="1"/>
  <c r="AM582" i="18"/>
  <c r="AL582" i="18"/>
  <c r="AK582" i="18"/>
  <c r="AJ582" i="18"/>
  <c r="AI582" i="18"/>
  <c r="AH582" i="18"/>
  <c r="AG582" i="18"/>
  <c r="AF582" i="18"/>
  <c r="AE582" i="18"/>
  <c r="AD582" i="18"/>
  <c r="AC582" i="18"/>
  <c r="AB582" i="18"/>
  <c r="AA582" i="18"/>
  <c r="Z582" i="18"/>
  <c r="Y582" i="18"/>
  <c r="X582" i="18"/>
  <c r="W582" i="18"/>
  <c r="V582" i="18"/>
  <c r="U582" i="18"/>
  <c r="T582" i="18"/>
  <c r="S582" i="18"/>
  <c r="R582" i="18"/>
  <c r="Q582" i="18"/>
  <c r="P582" i="18"/>
  <c r="O582" i="18"/>
  <c r="N582" i="18"/>
  <c r="M582" i="18"/>
  <c r="L582" i="18"/>
  <c r="K582" i="18"/>
  <c r="J582" i="18"/>
  <c r="I582" i="18"/>
  <c r="H582" i="18"/>
  <c r="G582" i="18"/>
  <c r="F582" i="18"/>
  <c r="E582" i="18"/>
  <c r="D582" i="18"/>
  <c r="C582" i="18"/>
  <c r="B582" i="18"/>
  <c r="M580" i="18"/>
  <c r="L580" i="18"/>
  <c r="K580" i="18"/>
  <c r="J580" i="18"/>
  <c r="I580" i="18"/>
  <c r="H580" i="18"/>
  <c r="G580" i="18"/>
  <c r="F580" i="18"/>
  <c r="E580" i="18"/>
  <c r="D580" i="18"/>
  <c r="C580" i="18"/>
  <c r="B580" i="18"/>
  <c r="M579" i="18"/>
  <c r="L579" i="18"/>
  <c r="K579" i="18"/>
  <c r="J579" i="18"/>
  <c r="I579" i="18"/>
  <c r="H579" i="18"/>
  <c r="G579" i="18"/>
  <c r="F579" i="18"/>
  <c r="E579" i="18"/>
  <c r="D579" i="18"/>
  <c r="C579" i="18"/>
  <c r="B579" i="18"/>
  <c r="M578" i="18"/>
  <c r="L578" i="18"/>
  <c r="K578" i="18"/>
  <c r="J578" i="18"/>
  <c r="I578" i="18"/>
  <c r="H578" i="18"/>
  <c r="G578" i="18"/>
  <c r="F578" i="18"/>
  <c r="E578" i="18"/>
  <c r="D578" i="18"/>
  <c r="C578" i="18"/>
  <c r="B578" i="18"/>
  <c r="M577" i="18"/>
  <c r="L577" i="18"/>
  <c r="K577" i="18"/>
  <c r="J577" i="18"/>
  <c r="I577" i="18"/>
  <c r="H577" i="18"/>
  <c r="G577" i="18"/>
  <c r="F577" i="18"/>
  <c r="E577" i="18"/>
  <c r="D577" i="18"/>
  <c r="C577" i="18"/>
  <c r="B577" i="18"/>
  <c r="M576" i="18"/>
  <c r="L576" i="18"/>
  <c r="K576" i="18"/>
  <c r="J576" i="18"/>
  <c r="I576" i="18"/>
  <c r="H576" i="18"/>
  <c r="G576" i="18"/>
  <c r="F576" i="18"/>
  <c r="E576" i="18"/>
  <c r="D576" i="18"/>
  <c r="C576" i="18"/>
  <c r="B576" i="18"/>
  <c r="M575" i="18"/>
  <c r="L575" i="18"/>
  <c r="K575" i="18"/>
  <c r="J575" i="18"/>
  <c r="I575" i="18"/>
  <c r="H575" i="18"/>
  <c r="G575" i="18"/>
  <c r="F575" i="18"/>
  <c r="E575" i="18"/>
  <c r="D575" i="18"/>
  <c r="C575" i="18"/>
  <c r="B575" i="18"/>
  <c r="M574" i="18"/>
  <c r="L574" i="18"/>
  <c r="K574" i="18"/>
  <c r="J574" i="18"/>
  <c r="I574" i="18"/>
  <c r="H574" i="18"/>
  <c r="G574" i="18"/>
  <c r="F574" i="18"/>
  <c r="E574" i="18"/>
  <c r="D574" i="18"/>
  <c r="C574" i="18"/>
  <c r="B574" i="18"/>
  <c r="M573" i="18"/>
  <c r="L573" i="18"/>
  <c r="K573" i="18"/>
  <c r="J573" i="18"/>
  <c r="I573" i="18"/>
  <c r="H573" i="18"/>
  <c r="G573" i="18"/>
  <c r="F573" i="18"/>
  <c r="E573" i="18"/>
  <c r="D573" i="18"/>
  <c r="C573" i="18"/>
  <c r="B573" i="18"/>
  <c r="M572" i="18"/>
  <c r="L572" i="18"/>
  <c r="K572" i="18"/>
  <c r="J572" i="18"/>
  <c r="I572" i="18"/>
  <c r="H572" i="18"/>
  <c r="G572" i="18"/>
  <c r="F572" i="18"/>
  <c r="E572" i="18"/>
  <c r="D572" i="18"/>
  <c r="C572" i="18"/>
  <c r="B572" i="18"/>
  <c r="M571" i="18"/>
  <c r="L571" i="18"/>
  <c r="K571" i="18"/>
  <c r="J571" i="18"/>
  <c r="I571" i="18"/>
  <c r="H571" i="18"/>
  <c r="G571" i="18"/>
  <c r="F571" i="18"/>
  <c r="E571" i="18"/>
  <c r="D571" i="18"/>
  <c r="C571" i="18"/>
  <c r="B571" i="18"/>
  <c r="M570" i="18"/>
  <c r="L570" i="18"/>
  <c r="K570" i="18"/>
  <c r="J570" i="18"/>
  <c r="I570" i="18"/>
  <c r="H570" i="18"/>
  <c r="G570" i="18"/>
  <c r="F570" i="18"/>
  <c r="E570" i="18"/>
  <c r="D570" i="18"/>
  <c r="C570" i="18"/>
  <c r="B570" i="18"/>
  <c r="M569" i="18"/>
  <c r="L569" i="18"/>
  <c r="K569" i="18"/>
  <c r="J569" i="18"/>
  <c r="I569" i="18"/>
  <c r="H569" i="18"/>
  <c r="G569" i="18"/>
  <c r="F569" i="18"/>
  <c r="E569" i="18"/>
  <c r="D569" i="18"/>
  <c r="C569" i="18"/>
  <c r="B569" i="18"/>
  <c r="M568" i="18"/>
  <c r="L568" i="18"/>
  <c r="K568" i="18"/>
  <c r="J568" i="18"/>
  <c r="I568" i="18"/>
  <c r="H568" i="18"/>
  <c r="G568" i="18"/>
  <c r="F568" i="18"/>
  <c r="E568" i="18"/>
  <c r="D568" i="18"/>
  <c r="C568" i="18"/>
  <c r="B568" i="18"/>
  <c r="W566" i="18"/>
  <c r="X566" i="18" s="1"/>
  <c r="Y566" i="18" s="1"/>
  <c r="Z566" i="18" s="1"/>
  <c r="AA566" i="18" s="1"/>
  <c r="AB566" i="18" s="1"/>
  <c r="AC566" i="18" s="1"/>
  <c r="AD566" i="18" s="1"/>
  <c r="AE566" i="18" s="1"/>
  <c r="AF566" i="18" s="1"/>
  <c r="AG566" i="18" s="1"/>
  <c r="AH566" i="18" s="1"/>
  <c r="AI566" i="18" s="1"/>
  <c r="AJ566" i="18" s="1"/>
  <c r="AK566" i="18" s="1"/>
  <c r="AL566" i="18" s="1"/>
  <c r="AM566" i="18" s="1"/>
  <c r="AN566" i="18" s="1"/>
  <c r="AO566" i="18" s="1"/>
  <c r="AP566" i="18" s="1"/>
  <c r="AQ566" i="18" s="1"/>
  <c r="AR566" i="18" s="1"/>
  <c r="AS566" i="18" s="1"/>
  <c r="AT566" i="18" s="1"/>
  <c r="AU566" i="18" s="1"/>
  <c r="AV566" i="18" s="1"/>
  <c r="AW566" i="18" s="1"/>
  <c r="AX566" i="18" s="1"/>
  <c r="AY566" i="18" s="1"/>
  <c r="AZ566" i="18" s="1"/>
  <c r="BA566" i="18" s="1"/>
  <c r="BB566" i="18" s="1"/>
  <c r="BC566" i="18" s="1"/>
  <c r="BD566" i="18" s="1"/>
  <c r="BE566" i="18" s="1"/>
  <c r="BF566" i="18" s="1"/>
  <c r="BG566" i="18" s="1"/>
  <c r="BH566" i="18" s="1"/>
  <c r="N566" i="18"/>
  <c r="O566" i="18" s="1"/>
  <c r="P566" i="18" s="1"/>
  <c r="Q566" i="18" s="1"/>
  <c r="R566" i="18" s="1"/>
  <c r="S566" i="18" s="1"/>
  <c r="T566" i="18" s="1"/>
  <c r="U566" i="18" s="1"/>
  <c r="V566" i="18" s="1"/>
  <c r="M566" i="18"/>
  <c r="L566" i="18"/>
  <c r="K566" i="18"/>
  <c r="J566" i="18"/>
  <c r="I566" i="18"/>
  <c r="H566" i="18"/>
  <c r="G566" i="18"/>
  <c r="F566" i="18"/>
  <c r="E566" i="18"/>
  <c r="D566" i="18"/>
  <c r="C566" i="18"/>
  <c r="B566" i="18"/>
  <c r="R565" i="18"/>
  <c r="S565" i="18" s="1"/>
  <c r="T565" i="18" s="1"/>
  <c r="U565" i="18" s="1"/>
  <c r="V565" i="18" s="1"/>
  <c r="W565" i="18" s="1"/>
  <c r="X565" i="18" s="1"/>
  <c r="Y565" i="18" s="1"/>
  <c r="Z565" i="18" s="1"/>
  <c r="AA565" i="18" s="1"/>
  <c r="AB565" i="18" s="1"/>
  <c r="AC565" i="18" s="1"/>
  <c r="AD565" i="18" s="1"/>
  <c r="AE565" i="18" s="1"/>
  <c r="AF565" i="18" s="1"/>
  <c r="AG565" i="18" s="1"/>
  <c r="AH565" i="18" s="1"/>
  <c r="AI565" i="18" s="1"/>
  <c r="AJ565" i="18" s="1"/>
  <c r="AK565" i="18" s="1"/>
  <c r="AL565" i="18" s="1"/>
  <c r="AM565" i="18" s="1"/>
  <c r="AN565" i="18" s="1"/>
  <c r="AO565" i="18" s="1"/>
  <c r="AP565" i="18" s="1"/>
  <c r="AQ565" i="18" s="1"/>
  <c r="AR565" i="18" s="1"/>
  <c r="AS565" i="18" s="1"/>
  <c r="AT565" i="18" s="1"/>
  <c r="AU565" i="18" s="1"/>
  <c r="AV565" i="18" s="1"/>
  <c r="AW565" i="18" s="1"/>
  <c r="AX565" i="18" s="1"/>
  <c r="AY565" i="18" s="1"/>
  <c r="AZ565" i="18" s="1"/>
  <c r="BA565" i="18" s="1"/>
  <c r="BB565" i="18" s="1"/>
  <c r="BC565" i="18" s="1"/>
  <c r="BD565" i="18" s="1"/>
  <c r="BE565" i="18" s="1"/>
  <c r="BF565" i="18" s="1"/>
  <c r="BG565" i="18" s="1"/>
  <c r="BH565" i="18" s="1"/>
  <c r="Q565" i="18"/>
  <c r="O565" i="18"/>
  <c r="P565" i="18" s="1"/>
  <c r="N565" i="18"/>
  <c r="M565" i="18"/>
  <c r="L565" i="18"/>
  <c r="K565" i="18"/>
  <c r="J565" i="18"/>
  <c r="I565" i="18"/>
  <c r="H565" i="18"/>
  <c r="G565" i="18"/>
  <c r="F565" i="18"/>
  <c r="E565" i="18"/>
  <c r="D565" i="18"/>
  <c r="C565" i="18"/>
  <c r="B565" i="18"/>
  <c r="R564" i="18"/>
  <c r="S564" i="18" s="1"/>
  <c r="T564" i="18" s="1"/>
  <c r="U564" i="18" s="1"/>
  <c r="V564" i="18" s="1"/>
  <c r="W564" i="18" s="1"/>
  <c r="X564" i="18" s="1"/>
  <c r="Y564" i="18" s="1"/>
  <c r="Z564" i="18" s="1"/>
  <c r="AA564" i="18" s="1"/>
  <c r="AB564" i="18" s="1"/>
  <c r="AC564" i="18" s="1"/>
  <c r="AD564" i="18" s="1"/>
  <c r="AE564" i="18" s="1"/>
  <c r="AF564" i="18" s="1"/>
  <c r="AG564" i="18" s="1"/>
  <c r="AH564" i="18" s="1"/>
  <c r="AI564" i="18" s="1"/>
  <c r="AJ564" i="18" s="1"/>
  <c r="AK564" i="18" s="1"/>
  <c r="AL564" i="18" s="1"/>
  <c r="AM564" i="18" s="1"/>
  <c r="AN564" i="18" s="1"/>
  <c r="AO564" i="18" s="1"/>
  <c r="AP564" i="18" s="1"/>
  <c r="AQ564" i="18" s="1"/>
  <c r="AR564" i="18" s="1"/>
  <c r="AS564" i="18" s="1"/>
  <c r="AT564" i="18" s="1"/>
  <c r="AU564" i="18" s="1"/>
  <c r="AV564" i="18" s="1"/>
  <c r="AW564" i="18" s="1"/>
  <c r="AX564" i="18" s="1"/>
  <c r="AY564" i="18" s="1"/>
  <c r="AZ564" i="18" s="1"/>
  <c r="BA564" i="18" s="1"/>
  <c r="BB564" i="18" s="1"/>
  <c r="BC564" i="18" s="1"/>
  <c r="BD564" i="18" s="1"/>
  <c r="BE564" i="18" s="1"/>
  <c r="BF564" i="18" s="1"/>
  <c r="BG564" i="18" s="1"/>
  <c r="BH564" i="18" s="1"/>
  <c r="M564" i="18"/>
  <c r="N564" i="18" s="1"/>
  <c r="O564" i="18" s="1"/>
  <c r="P564" i="18" s="1"/>
  <c r="Q564" i="18" s="1"/>
  <c r="L564" i="18"/>
  <c r="K564" i="18"/>
  <c r="J564" i="18"/>
  <c r="I564" i="18"/>
  <c r="H564" i="18"/>
  <c r="G564" i="18"/>
  <c r="F564" i="18"/>
  <c r="E564" i="18"/>
  <c r="D564" i="18"/>
  <c r="C564" i="18"/>
  <c r="B564" i="18"/>
  <c r="AM563" i="18"/>
  <c r="AN563" i="18" s="1"/>
  <c r="AO563" i="18" s="1"/>
  <c r="AP563" i="18" s="1"/>
  <c r="AQ563" i="18" s="1"/>
  <c r="AR563" i="18" s="1"/>
  <c r="AS563" i="18" s="1"/>
  <c r="AT563" i="18" s="1"/>
  <c r="AU563" i="18" s="1"/>
  <c r="AV563" i="18" s="1"/>
  <c r="AW563" i="18" s="1"/>
  <c r="AX563" i="18" s="1"/>
  <c r="AY563" i="18" s="1"/>
  <c r="AZ563" i="18" s="1"/>
  <c r="BA563" i="18" s="1"/>
  <c r="BB563" i="18" s="1"/>
  <c r="BC563" i="18" s="1"/>
  <c r="BD563" i="18" s="1"/>
  <c r="BE563" i="18" s="1"/>
  <c r="BF563" i="18" s="1"/>
  <c r="BG563" i="18" s="1"/>
  <c r="BH563" i="18" s="1"/>
  <c r="AF563" i="18"/>
  <c r="AG563" i="18" s="1"/>
  <c r="AH563" i="18" s="1"/>
  <c r="AI563" i="18" s="1"/>
  <c r="AJ563" i="18" s="1"/>
  <c r="AK563" i="18" s="1"/>
  <c r="AL563" i="18" s="1"/>
  <c r="M563" i="18"/>
  <c r="N563" i="18" s="1"/>
  <c r="O563" i="18" s="1"/>
  <c r="P563" i="18" s="1"/>
  <c r="Q563" i="18" s="1"/>
  <c r="R563" i="18" s="1"/>
  <c r="S563" i="18" s="1"/>
  <c r="T563" i="18" s="1"/>
  <c r="U563" i="18" s="1"/>
  <c r="V563" i="18" s="1"/>
  <c r="W563" i="18" s="1"/>
  <c r="X563" i="18" s="1"/>
  <c r="Y563" i="18" s="1"/>
  <c r="Z563" i="18" s="1"/>
  <c r="AA563" i="18" s="1"/>
  <c r="AB563" i="18" s="1"/>
  <c r="AC563" i="18" s="1"/>
  <c r="AD563" i="18" s="1"/>
  <c r="AE563" i="18" s="1"/>
  <c r="L563" i="18"/>
  <c r="K563" i="18"/>
  <c r="J563" i="18"/>
  <c r="I563" i="18"/>
  <c r="H563" i="18"/>
  <c r="G563" i="18"/>
  <c r="F563" i="18"/>
  <c r="E563" i="18"/>
  <c r="D563" i="18"/>
  <c r="C563" i="18"/>
  <c r="B563" i="18"/>
  <c r="Z562" i="18"/>
  <c r="AA562" i="18" s="1"/>
  <c r="AB562" i="18" s="1"/>
  <c r="AC562" i="18" s="1"/>
  <c r="AD562" i="18" s="1"/>
  <c r="AE562" i="18" s="1"/>
  <c r="AF562" i="18" s="1"/>
  <c r="AG562" i="18" s="1"/>
  <c r="AH562" i="18" s="1"/>
  <c r="AI562" i="18" s="1"/>
  <c r="AJ562" i="18" s="1"/>
  <c r="AK562" i="18" s="1"/>
  <c r="AL562" i="18" s="1"/>
  <c r="AM562" i="18" s="1"/>
  <c r="AN562" i="18" s="1"/>
  <c r="AO562" i="18" s="1"/>
  <c r="AP562" i="18" s="1"/>
  <c r="AQ562" i="18" s="1"/>
  <c r="AR562" i="18" s="1"/>
  <c r="AS562" i="18" s="1"/>
  <c r="AT562" i="18" s="1"/>
  <c r="AU562" i="18" s="1"/>
  <c r="AV562" i="18" s="1"/>
  <c r="AW562" i="18" s="1"/>
  <c r="AX562" i="18" s="1"/>
  <c r="AY562" i="18" s="1"/>
  <c r="AZ562" i="18" s="1"/>
  <c r="BA562" i="18" s="1"/>
  <c r="BB562" i="18" s="1"/>
  <c r="BC562" i="18" s="1"/>
  <c r="BD562" i="18" s="1"/>
  <c r="BE562" i="18" s="1"/>
  <c r="BF562" i="18" s="1"/>
  <c r="BG562" i="18" s="1"/>
  <c r="BH562" i="18" s="1"/>
  <c r="R562" i="18"/>
  <c r="S562" i="18" s="1"/>
  <c r="T562" i="18" s="1"/>
  <c r="U562" i="18" s="1"/>
  <c r="V562" i="18" s="1"/>
  <c r="W562" i="18" s="1"/>
  <c r="X562" i="18" s="1"/>
  <c r="Y562" i="18" s="1"/>
  <c r="P562" i="18"/>
  <c r="Q562" i="18" s="1"/>
  <c r="O562" i="18"/>
  <c r="N562" i="18"/>
  <c r="M562" i="18"/>
  <c r="L562" i="18"/>
  <c r="K562" i="18"/>
  <c r="J562" i="18"/>
  <c r="I562" i="18"/>
  <c r="H562" i="18"/>
  <c r="G562" i="18"/>
  <c r="F562" i="18"/>
  <c r="E562" i="18"/>
  <c r="D562" i="18"/>
  <c r="C562" i="18"/>
  <c r="B562" i="18"/>
  <c r="M560" i="18"/>
  <c r="L560" i="18"/>
  <c r="K560" i="18"/>
  <c r="J560" i="18"/>
  <c r="I560" i="18"/>
  <c r="H560" i="18"/>
  <c r="G560" i="18"/>
  <c r="F560" i="18"/>
  <c r="E560" i="18"/>
  <c r="D560" i="18"/>
  <c r="C560" i="18"/>
  <c r="B560" i="18"/>
  <c r="M559" i="18"/>
  <c r="L559" i="18"/>
  <c r="K559" i="18"/>
  <c r="J559" i="18"/>
  <c r="I559" i="18"/>
  <c r="H559" i="18"/>
  <c r="G559" i="18"/>
  <c r="F559" i="18"/>
  <c r="E559" i="18"/>
  <c r="D559" i="18"/>
  <c r="C559" i="18"/>
  <c r="B559" i="18"/>
  <c r="M558" i="18"/>
  <c r="L558" i="18"/>
  <c r="K558" i="18"/>
  <c r="J558" i="18"/>
  <c r="I558" i="18"/>
  <c r="H558" i="18"/>
  <c r="G558" i="18"/>
  <c r="F558" i="18"/>
  <c r="E558" i="18"/>
  <c r="D558" i="18"/>
  <c r="C558" i="18"/>
  <c r="B558" i="18"/>
  <c r="M557" i="18"/>
  <c r="L557" i="18"/>
  <c r="K557" i="18"/>
  <c r="J557" i="18"/>
  <c r="I557" i="18"/>
  <c r="H557" i="18"/>
  <c r="G557" i="18"/>
  <c r="F557" i="18"/>
  <c r="E557" i="18"/>
  <c r="D557" i="18"/>
  <c r="C557" i="18"/>
  <c r="B557" i="18"/>
  <c r="M553" i="18"/>
  <c r="L553" i="18"/>
  <c r="K553" i="18"/>
  <c r="J553" i="18"/>
  <c r="I553" i="18"/>
  <c r="H553" i="18"/>
  <c r="G553" i="18"/>
  <c r="F553" i="18"/>
  <c r="E553" i="18"/>
  <c r="D553" i="18"/>
  <c r="C553" i="18"/>
  <c r="B553" i="18"/>
  <c r="M552" i="18"/>
  <c r="L552" i="18"/>
  <c r="K552" i="18"/>
  <c r="J552" i="18"/>
  <c r="I552" i="18"/>
  <c r="H552" i="18"/>
  <c r="G552" i="18"/>
  <c r="F552" i="18"/>
  <c r="E552" i="18"/>
  <c r="D552" i="18"/>
  <c r="C552" i="18"/>
  <c r="B552" i="18"/>
  <c r="M551" i="18"/>
  <c r="L551" i="18"/>
  <c r="K551" i="18"/>
  <c r="J551" i="18"/>
  <c r="I551" i="18"/>
  <c r="H551" i="18"/>
  <c r="G551" i="18"/>
  <c r="F551" i="18"/>
  <c r="E551" i="18"/>
  <c r="D551" i="18"/>
  <c r="C551" i="18"/>
  <c r="B551" i="18"/>
  <c r="M550" i="18"/>
  <c r="L550" i="18"/>
  <c r="K550" i="18"/>
  <c r="J550" i="18"/>
  <c r="I550" i="18"/>
  <c r="H550" i="18"/>
  <c r="G550" i="18"/>
  <c r="F550" i="18"/>
  <c r="E550" i="18"/>
  <c r="D550" i="18"/>
  <c r="C550" i="18"/>
  <c r="B550" i="18"/>
  <c r="AY547" i="18"/>
  <c r="AZ547" i="18" s="1"/>
  <c r="BA547" i="18" s="1"/>
  <c r="BB547" i="18" s="1"/>
  <c r="BC547" i="18" s="1"/>
  <c r="BD547" i="18" s="1"/>
  <c r="BE547" i="18" s="1"/>
  <c r="BF547" i="18" s="1"/>
  <c r="BG547" i="18" s="1"/>
  <c r="BH547" i="18" s="1"/>
  <c r="AV547" i="18"/>
  <c r="AW547" i="18" s="1"/>
  <c r="AX547" i="18" s="1"/>
  <c r="AN547" i="18"/>
  <c r="AO547" i="18" s="1"/>
  <c r="AP547" i="18" s="1"/>
  <c r="AQ547" i="18" s="1"/>
  <c r="AR547" i="18" s="1"/>
  <c r="AS547" i="18" s="1"/>
  <c r="AT547" i="18" s="1"/>
  <c r="AU547" i="18" s="1"/>
  <c r="AM547" i="18"/>
  <c r="AL547" i="18"/>
  <c r="AK547" i="18"/>
  <c r="AJ547" i="18"/>
  <c r="AI547" i="18"/>
  <c r="AH547" i="18"/>
  <c r="AG547" i="18"/>
  <c r="AF547" i="18"/>
  <c r="AE547" i="18"/>
  <c r="AD547" i="18"/>
  <c r="AC547" i="18"/>
  <c r="AB547" i="18"/>
  <c r="AA547" i="18"/>
  <c r="Z547" i="18"/>
  <c r="Y547" i="18"/>
  <c r="X547" i="18"/>
  <c r="W547" i="18"/>
  <c r="V547" i="18"/>
  <c r="U547" i="18"/>
  <c r="T547" i="18"/>
  <c r="S547" i="18"/>
  <c r="R547" i="18"/>
  <c r="Q547" i="18"/>
  <c r="P547" i="18"/>
  <c r="O547" i="18"/>
  <c r="N547" i="18"/>
  <c r="M547" i="18"/>
  <c r="L547" i="18"/>
  <c r="K547" i="18"/>
  <c r="J547" i="18"/>
  <c r="I547" i="18"/>
  <c r="H547" i="18"/>
  <c r="G547" i="18"/>
  <c r="F547" i="18"/>
  <c r="E547" i="18"/>
  <c r="D547" i="18"/>
  <c r="C547" i="18"/>
  <c r="B547" i="18"/>
  <c r="AP546" i="18"/>
  <c r="AQ546" i="18" s="1"/>
  <c r="AR546" i="18" s="1"/>
  <c r="AS546" i="18" s="1"/>
  <c r="AT546" i="18" s="1"/>
  <c r="AU546" i="18" s="1"/>
  <c r="AV546" i="18" s="1"/>
  <c r="AW546" i="18" s="1"/>
  <c r="AX546" i="18" s="1"/>
  <c r="AY546" i="18" s="1"/>
  <c r="AZ546" i="18" s="1"/>
  <c r="BA546" i="18" s="1"/>
  <c r="BB546" i="18" s="1"/>
  <c r="BC546" i="18" s="1"/>
  <c r="BD546" i="18" s="1"/>
  <c r="BE546" i="18" s="1"/>
  <c r="BF546" i="18" s="1"/>
  <c r="BG546" i="18" s="1"/>
  <c r="BH546" i="18" s="1"/>
  <c r="AO546" i="18"/>
  <c r="AN546" i="18"/>
  <c r="AM546" i="18"/>
  <c r="AL546" i="18"/>
  <c r="AK546" i="18"/>
  <c r="AJ546" i="18"/>
  <c r="AI546" i="18"/>
  <c r="AH546" i="18"/>
  <c r="AG546" i="18"/>
  <c r="AF546" i="18"/>
  <c r="AE546" i="18"/>
  <c r="AD546" i="18"/>
  <c r="AC546" i="18"/>
  <c r="AB546" i="18"/>
  <c r="AA546" i="18"/>
  <c r="Z546" i="18"/>
  <c r="Y546" i="18"/>
  <c r="X546" i="18"/>
  <c r="W546" i="18"/>
  <c r="V546" i="18"/>
  <c r="U546" i="18"/>
  <c r="T546" i="18"/>
  <c r="S546" i="18"/>
  <c r="R546" i="18"/>
  <c r="Q546" i="18"/>
  <c r="P546" i="18"/>
  <c r="O546" i="18"/>
  <c r="N546" i="18"/>
  <c r="M546" i="18"/>
  <c r="L546" i="18"/>
  <c r="K546" i="18"/>
  <c r="J546" i="18"/>
  <c r="I546" i="18"/>
  <c r="H546" i="18"/>
  <c r="G546" i="18"/>
  <c r="F546" i="18"/>
  <c r="E546" i="18"/>
  <c r="D546" i="18"/>
  <c r="C546" i="18"/>
  <c r="B546" i="18"/>
  <c r="BE545" i="18"/>
  <c r="BF545" i="18" s="1"/>
  <c r="BG545" i="18" s="1"/>
  <c r="BH545" i="18" s="1"/>
  <c r="AO545" i="18"/>
  <c r="AP545" i="18" s="1"/>
  <c r="AQ545" i="18" s="1"/>
  <c r="AR545" i="18" s="1"/>
  <c r="AS545" i="18" s="1"/>
  <c r="AT545" i="18" s="1"/>
  <c r="AU545" i="18" s="1"/>
  <c r="AV545" i="18" s="1"/>
  <c r="AW545" i="18" s="1"/>
  <c r="AX545" i="18" s="1"/>
  <c r="AY545" i="18" s="1"/>
  <c r="AZ545" i="18" s="1"/>
  <c r="BA545" i="18" s="1"/>
  <c r="BB545" i="18" s="1"/>
  <c r="BC545" i="18" s="1"/>
  <c r="BD545" i="18" s="1"/>
  <c r="AN545" i="18"/>
  <c r="AM545" i="18"/>
  <c r="AL545" i="18"/>
  <c r="AK545" i="18"/>
  <c r="AJ545" i="18"/>
  <c r="AI545" i="18"/>
  <c r="AH545" i="18"/>
  <c r="AG545" i="18"/>
  <c r="AF545" i="18"/>
  <c r="AE545" i="18"/>
  <c r="AD545" i="18"/>
  <c r="AC545" i="18"/>
  <c r="AB545" i="18"/>
  <c r="AA545" i="18"/>
  <c r="Z545" i="18"/>
  <c r="Y545" i="18"/>
  <c r="X545" i="18"/>
  <c r="W545" i="18"/>
  <c r="V545" i="18"/>
  <c r="U545" i="18"/>
  <c r="T545" i="18"/>
  <c r="S545" i="18"/>
  <c r="R545" i="18"/>
  <c r="Q545" i="18"/>
  <c r="P545" i="18"/>
  <c r="O545" i="18"/>
  <c r="N545" i="18"/>
  <c r="M545" i="18"/>
  <c r="L545" i="18"/>
  <c r="K545" i="18"/>
  <c r="J545" i="18"/>
  <c r="I545" i="18"/>
  <c r="H545" i="18"/>
  <c r="G545" i="18"/>
  <c r="F545" i="18"/>
  <c r="E545" i="18"/>
  <c r="D545" i="18"/>
  <c r="C545" i="18"/>
  <c r="B545" i="18"/>
  <c r="AO544" i="18"/>
  <c r="AP544" i="18" s="1"/>
  <c r="AQ544" i="18" s="1"/>
  <c r="AR544" i="18" s="1"/>
  <c r="AS544" i="18" s="1"/>
  <c r="AT544" i="18" s="1"/>
  <c r="AU544" i="18" s="1"/>
  <c r="AV544" i="18" s="1"/>
  <c r="AW544" i="18" s="1"/>
  <c r="AX544" i="18" s="1"/>
  <c r="AY544" i="18" s="1"/>
  <c r="AZ544" i="18" s="1"/>
  <c r="BA544" i="18" s="1"/>
  <c r="BB544" i="18" s="1"/>
  <c r="BC544" i="18" s="1"/>
  <c r="BD544" i="18" s="1"/>
  <c r="BE544" i="18" s="1"/>
  <c r="BF544" i="18" s="1"/>
  <c r="BG544" i="18" s="1"/>
  <c r="BH544" i="18" s="1"/>
  <c r="AN544" i="18"/>
  <c r="AM544" i="18"/>
  <c r="AL544" i="18"/>
  <c r="AK544" i="18"/>
  <c r="AJ544" i="18"/>
  <c r="AI544" i="18"/>
  <c r="AH544" i="18"/>
  <c r="AG544" i="18"/>
  <c r="AF544" i="18"/>
  <c r="AE544" i="18"/>
  <c r="AD544" i="18"/>
  <c r="AC544" i="18"/>
  <c r="AB544" i="18"/>
  <c r="AA544" i="18"/>
  <c r="Z544" i="18"/>
  <c r="Y544" i="18"/>
  <c r="X544" i="18"/>
  <c r="W544" i="18"/>
  <c r="V544" i="18"/>
  <c r="U544" i="18"/>
  <c r="T544" i="18"/>
  <c r="S544" i="18"/>
  <c r="R544" i="18"/>
  <c r="Q544" i="18"/>
  <c r="P544" i="18"/>
  <c r="O544" i="18"/>
  <c r="N544" i="18"/>
  <c r="M544" i="18"/>
  <c r="L544" i="18"/>
  <c r="K544" i="18"/>
  <c r="J544" i="18"/>
  <c r="I544" i="18"/>
  <c r="H544" i="18"/>
  <c r="G544" i="18"/>
  <c r="F544" i="18"/>
  <c r="E544" i="18"/>
  <c r="D544" i="18"/>
  <c r="C544" i="18"/>
  <c r="B544" i="18"/>
  <c r="M542" i="18"/>
  <c r="L542" i="18"/>
  <c r="K542" i="18"/>
  <c r="J542" i="18"/>
  <c r="I542" i="18"/>
  <c r="H542" i="18"/>
  <c r="G542" i="18"/>
  <c r="F542" i="18"/>
  <c r="E542" i="18"/>
  <c r="D542" i="18"/>
  <c r="C542" i="18"/>
  <c r="B542" i="18"/>
  <c r="M541" i="18"/>
  <c r="L541" i="18"/>
  <c r="K541" i="18"/>
  <c r="J541" i="18"/>
  <c r="I541" i="18"/>
  <c r="H541" i="18"/>
  <c r="G541" i="18"/>
  <c r="F541" i="18"/>
  <c r="E541" i="18"/>
  <c r="D541" i="18"/>
  <c r="C541" i="18"/>
  <c r="B541" i="18"/>
  <c r="M540" i="18"/>
  <c r="L540" i="18"/>
  <c r="K540" i="18"/>
  <c r="J540" i="18"/>
  <c r="I540" i="18"/>
  <c r="H540" i="18"/>
  <c r="G540" i="18"/>
  <c r="F540" i="18"/>
  <c r="E540" i="18"/>
  <c r="D540" i="18"/>
  <c r="C540" i="18"/>
  <c r="B540" i="18"/>
  <c r="M539" i="18"/>
  <c r="L539" i="18"/>
  <c r="K539" i="18"/>
  <c r="J539" i="18"/>
  <c r="I539" i="18"/>
  <c r="H539" i="18"/>
  <c r="G539" i="18"/>
  <c r="F539" i="18"/>
  <c r="E539" i="18"/>
  <c r="D539" i="18"/>
  <c r="C539" i="18"/>
  <c r="B539" i="18"/>
  <c r="M538" i="18"/>
  <c r="L538" i="18"/>
  <c r="K538" i="18"/>
  <c r="J538" i="18"/>
  <c r="I538" i="18"/>
  <c r="H538" i="18"/>
  <c r="G538" i="18"/>
  <c r="F538" i="18"/>
  <c r="E538" i="18"/>
  <c r="D538" i="18"/>
  <c r="C538" i="18"/>
  <c r="B538" i="18"/>
  <c r="M537" i="18"/>
  <c r="L537" i="18"/>
  <c r="K537" i="18"/>
  <c r="J537" i="18"/>
  <c r="I537" i="18"/>
  <c r="H537" i="18"/>
  <c r="G537" i="18"/>
  <c r="F537" i="18"/>
  <c r="E537" i="18"/>
  <c r="D537" i="18"/>
  <c r="C537" i="18"/>
  <c r="B537" i="18"/>
  <c r="M536" i="18"/>
  <c r="L536" i="18"/>
  <c r="K536" i="18"/>
  <c r="J536" i="18"/>
  <c r="I536" i="18"/>
  <c r="H536" i="18"/>
  <c r="G536" i="18"/>
  <c r="F536" i="18"/>
  <c r="E536" i="18"/>
  <c r="D536" i="18"/>
  <c r="C536" i="18"/>
  <c r="B536" i="18"/>
  <c r="M535" i="18"/>
  <c r="L535" i="18"/>
  <c r="K535" i="18"/>
  <c r="J535" i="18"/>
  <c r="I535" i="18"/>
  <c r="H535" i="18"/>
  <c r="G535" i="18"/>
  <c r="F535" i="18"/>
  <c r="E535" i="18"/>
  <c r="D535" i="18"/>
  <c r="C535" i="18"/>
  <c r="B535" i="18"/>
  <c r="M534" i="18"/>
  <c r="L534" i="18"/>
  <c r="K534" i="18"/>
  <c r="J534" i="18"/>
  <c r="I534" i="18"/>
  <c r="H534" i="18"/>
  <c r="G534" i="18"/>
  <c r="F534" i="18"/>
  <c r="E534" i="18"/>
  <c r="D534" i="18"/>
  <c r="C534" i="18"/>
  <c r="B534" i="18"/>
  <c r="M533" i="18"/>
  <c r="L533" i="18"/>
  <c r="K533" i="18"/>
  <c r="J533" i="18"/>
  <c r="I533" i="18"/>
  <c r="H533" i="18"/>
  <c r="G533" i="18"/>
  <c r="F533" i="18"/>
  <c r="E533" i="18"/>
  <c r="D533" i="18"/>
  <c r="C533" i="18"/>
  <c r="B533" i="18"/>
  <c r="M532" i="18"/>
  <c r="L532" i="18"/>
  <c r="K532" i="18"/>
  <c r="J532" i="18"/>
  <c r="I532" i="18"/>
  <c r="H532" i="18"/>
  <c r="G532" i="18"/>
  <c r="F532" i="18"/>
  <c r="E532" i="18"/>
  <c r="D532" i="18"/>
  <c r="C532" i="18"/>
  <c r="B532" i="18"/>
  <c r="M531" i="18"/>
  <c r="L531" i="18"/>
  <c r="K531" i="18"/>
  <c r="J531" i="18"/>
  <c r="I531" i="18"/>
  <c r="H531" i="18"/>
  <c r="G531" i="18"/>
  <c r="F531" i="18"/>
  <c r="E531" i="18"/>
  <c r="D531" i="18"/>
  <c r="C531" i="18"/>
  <c r="B531" i="18"/>
  <c r="M530" i="18"/>
  <c r="L530" i="18"/>
  <c r="K530" i="18"/>
  <c r="J530" i="18"/>
  <c r="I530" i="18"/>
  <c r="H530" i="18"/>
  <c r="G530" i="18"/>
  <c r="F530" i="18"/>
  <c r="E530" i="18"/>
  <c r="D530" i="18"/>
  <c r="C530" i="18"/>
  <c r="B530" i="18"/>
  <c r="A529" i="18"/>
  <c r="M528" i="18"/>
  <c r="L528" i="18"/>
  <c r="K528" i="18"/>
  <c r="J528" i="18"/>
  <c r="I528" i="18"/>
  <c r="H528" i="18"/>
  <c r="G528" i="18"/>
  <c r="F528" i="18"/>
  <c r="E528" i="18"/>
  <c r="D528" i="18"/>
  <c r="C528" i="18"/>
  <c r="B528" i="18"/>
  <c r="M527" i="18"/>
  <c r="L527" i="18"/>
  <c r="K527" i="18"/>
  <c r="J527" i="18"/>
  <c r="I527" i="18"/>
  <c r="H527" i="18"/>
  <c r="G527" i="18"/>
  <c r="F527" i="18"/>
  <c r="E527" i="18"/>
  <c r="D527" i="18"/>
  <c r="C527" i="18"/>
  <c r="B527" i="18"/>
  <c r="M526" i="18"/>
  <c r="L526" i="18"/>
  <c r="K526" i="18"/>
  <c r="J526" i="18"/>
  <c r="I526" i="18"/>
  <c r="H526" i="18"/>
  <c r="G526" i="18"/>
  <c r="F526" i="18"/>
  <c r="E526" i="18"/>
  <c r="D526" i="18"/>
  <c r="C526" i="18"/>
  <c r="B526" i="18"/>
  <c r="M525" i="18"/>
  <c r="L525" i="18"/>
  <c r="K525" i="18"/>
  <c r="J525" i="18"/>
  <c r="I525" i="18"/>
  <c r="H525" i="18"/>
  <c r="G525" i="18"/>
  <c r="F525" i="18"/>
  <c r="E525" i="18"/>
  <c r="D525" i="18"/>
  <c r="C525" i="18"/>
  <c r="B525" i="18"/>
  <c r="A524" i="18"/>
  <c r="M523" i="18"/>
  <c r="L523" i="18"/>
  <c r="K523" i="18"/>
  <c r="J523" i="18"/>
  <c r="I523" i="18"/>
  <c r="H523" i="18"/>
  <c r="G523" i="18"/>
  <c r="F523" i="18"/>
  <c r="E523" i="18"/>
  <c r="D523" i="18"/>
  <c r="C523" i="18"/>
  <c r="B523" i="18"/>
  <c r="M522" i="18"/>
  <c r="L522" i="18"/>
  <c r="K522" i="18"/>
  <c r="J522" i="18"/>
  <c r="I522" i="18"/>
  <c r="H522" i="18"/>
  <c r="G522" i="18"/>
  <c r="F522" i="18"/>
  <c r="E522" i="18"/>
  <c r="D522" i="18"/>
  <c r="C522" i="18"/>
  <c r="B522" i="18"/>
  <c r="M521" i="18"/>
  <c r="L521" i="18"/>
  <c r="K521" i="18"/>
  <c r="J521" i="18"/>
  <c r="I521" i="18"/>
  <c r="H521" i="18"/>
  <c r="G521" i="18"/>
  <c r="F521" i="18"/>
  <c r="E521" i="18"/>
  <c r="D521" i="18"/>
  <c r="C521" i="18"/>
  <c r="B521" i="18"/>
  <c r="BA519" i="18"/>
  <c r="BB519" i="18" s="1"/>
  <c r="BC519" i="18" s="1"/>
  <c r="BD519" i="18" s="1"/>
  <c r="BE519" i="18" s="1"/>
  <c r="BF519" i="18" s="1"/>
  <c r="BG519" i="18" s="1"/>
  <c r="BH519" i="18" s="1"/>
  <c r="AY519" i="18"/>
  <c r="AZ519" i="18" s="1"/>
  <c r="AQ519" i="18"/>
  <c r="AR519" i="18" s="1"/>
  <c r="AS519" i="18" s="1"/>
  <c r="AT519" i="18" s="1"/>
  <c r="AU519" i="18" s="1"/>
  <c r="AV519" i="18" s="1"/>
  <c r="AW519" i="18" s="1"/>
  <c r="AX519" i="18" s="1"/>
  <c r="AO519" i="18"/>
  <c r="AP519" i="18" s="1"/>
  <c r="AN519" i="18"/>
  <c r="AM519" i="18"/>
  <c r="AL519" i="18"/>
  <c r="AK519" i="18"/>
  <c r="AJ519" i="18"/>
  <c r="AI519" i="18"/>
  <c r="AH519" i="18"/>
  <c r="AG519" i="18"/>
  <c r="AF519" i="18"/>
  <c r="AE519" i="18"/>
  <c r="AD519" i="18"/>
  <c r="AC519" i="18"/>
  <c r="AB519" i="18"/>
  <c r="AA519" i="18"/>
  <c r="Z519" i="18"/>
  <c r="Y519" i="18"/>
  <c r="X519" i="18"/>
  <c r="W519" i="18"/>
  <c r="V519" i="18"/>
  <c r="U519" i="18"/>
  <c r="T519" i="18"/>
  <c r="S519" i="18"/>
  <c r="R519" i="18"/>
  <c r="Q519" i="18"/>
  <c r="P519" i="18"/>
  <c r="O519" i="18"/>
  <c r="N519" i="18"/>
  <c r="M519" i="18"/>
  <c r="L519" i="18"/>
  <c r="K519" i="18"/>
  <c r="J519" i="18"/>
  <c r="I519" i="18"/>
  <c r="H519" i="18"/>
  <c r="G519" i="18"/>
  <c r="F519" i="18"/>
  <c r="E519" i="18"/>
  <c r="D519" i="18"/>
  <c r="C519" i="18"/>
  <c r="B519" i="18"/>
  <c r="AW518" i="18"/>
  <c r="AV518" i="18"/>
  <c r="AN518" i="18"/>
  <c r="AO518" i="18" s="1"/>
  <c r="AP518" i="18" s="1"/>
  <c r="AQ518" i="18" s="1"/>
  <c r="AR518" i="18" s="1"/>
  <c r="AS518" i="18" s="1"/>
  <c r="AT518" i="18" s="1"/>
  <c r="AU518" i="18" s="1"/>
  <c r="AM518" i="18"/>
  <c r="AL518" i="18"/>
  <c r="AK518" i="18"/>
  <c r="AJ518" i="18"/>
  <c r="AI518" i="18"/>
  <c r="AH518" i="18"/>
  <c r="AG518" i="18"/>
  <c r="AF518" i="18"/>
  <c r="AE518" i="18"/>
  <c r="AD518" i="18"/>
  <c r="AC518" i="18"/>
  <c r="AB518" i="18"/>
  <c r="AA518" i="18"/>
  <c r="Z518" i="18"/>
  <c r="Y518" i="18"/>
  <c r="X518" i="18"/>
  <c r="W518" i="18"/>
  <c r="V518" i="18"/>
  <c r="U518" i="18"/>
  <c r="T518" i="18"/>
  <c r="S518" i="18"/>
  <c r="R518" i="18"/>
  <c r="Q518" i="18"/>
  <c r="P518" i="18"/>
  <c r="O518" i="18"/>
  <c r="N518" i="18"/>
  <c r="M518" i="18"/>
  <c r="L518" i="18"/>
  <c r="K518" i="18"/>
  <c r="J518" i="18"/>
  <c r="I518" i="18"/>
  <c r="H518" i="18"/>
  <c r="G518" i="18"/>
  <c r="F518" i="18"/>
  <c r="E518" i="18"/>
  <c r="D518" i="18"/>
  <c r="C518" i="18"/>
  <c r="B518" i="18"/>
  <c r="AW517" i="18"/>
  <c r="AX517" i="18" s="1"/>
  <c r="AY517" i="18" s="1"/>
  <c r="AZ517" i="18" s="1"/>
  <c r="BA517" i="18" s="1"/>
  <c r="BB517" i="18" s="1"/>
  <c r="BC517" i="18" s="1"/>
  <c r="BD517" i="18" s="1"/>
  <c r="BE517" i="18" s="1"/>
  <c r="BF517" i="18" s="1"/>
  <c r="BG517" i="18" s="1"/>
  <c r="BH517" i="18" s="1"/>
  <c r="AR517" i="18"/>
  <c r="AS517" i="18" s="1"/>
  <c r="AT517" i="18" s="1"/>
  <c r="AU517" i="18" s="1"/>
  <c r="AV517" i="18" s="1"/>
  <c r="AO517" i="18"/>
  <c r="AP517" i="18" s="1"/>
  <c r="AQ517" i="18" s="1"/>
  <c r="AN517" i="18"/>
  <c r="AM517" i="18"/>
  <c r="AL517" i="18"/>
  <c r="AK517" i="18"/>
  <c r="AJ517" i="18"/>
  <c r="AJ313" i="18" s="1"/>
  <c r="AI517" i="18"/>
  <c r="AH517" i="18"/>
  <c r="AG517" i="18"/>
  <c r="AF517" i="18"/>
  <c r="AE517" i="18"/>
  <c r="AD517" i="18"/>
  <c r="AC517" i="18"/>
  <c r="AB517" i="18"/>
  <c r="AB313" i="18" s="1"/>
  <c r="AA517" i="18"/>
  <c r="Z517" i="18"/>
  <c r="Y517" i="18"/>
  <c r="X517" i="18"/>
  <c r="W517" i="18"/>
  <c r="V517" i="18"/>
  <c r="U517" i="18"/>
  <c r="T517" i="18"/>
  <c r="T313" i="18" s="1"/>
  <c r="S517" i="18"/>
  <c r="R517" i="18"/>
  <c r="Q517" i="18"/>
  <c r="P517" i="18"/>
  <c r="O517" i="18"/>
  <c r="N517" i="18"/>
  <c r="M517" i="18"/>
  <c r="L517" i="18"/>
  <c r="L313" i="18" s="1"/>
  <c r="K517" i="18"/>
  <c r="J517" i="18"/>
  <c r="I517" i="18"/>
  <c r="H517" i="18"/>
  <c r="G517" i="18"/>
  <c r="F517" i="18"/>
  <c r="E517" i="18"/>
  <c r="D517" i="18"/>
  <c r="D313" i="18" s="1"/>
  <c r="C517" i="18"/>
  <c r="B517" i="18"/>
  <c r="AN516" i="18"/>
  <c r="AO516" i="18" s="1"/>
  <c r="AP516" i="18" s="1"/>
  <c r="AQ516" i="18" s="1"/>
  <c r="AR516" i="18" s="1"/>
  <c r="AS516" i="18" s="1"/>
  <c r="AT516" i="18" s="1"/>
  <c r="AU516" i="18" s="1"/>
  <c r="AV516" i="18" s="1"/>
  <c r="AW516" i="18" s="1"/>
  <c r="AX516" i="18" s="1"/>
  <c r="AY516" i="18" s="1"/>
  <c r="AZ516" i="18" s="1"/>
  <c r="BA516" i="18" s="1"/>
  <c r="BB516" i="18" s="1"/>
  <c r="BC516" i="18" s="1"/>
  <c r="BD516" i="18" s="1"/>
  <c r="BE516" i="18" s="1"/>
  <c r="BF516" i="18" s="1"/>
  <c r="BG516" i="18" s="1"/>
  <c r="BH516" i="18" s="1"/>
  <c r="AM516" i="18"/>
  <c r="AL516" i="18"/>
  <c r="AK516" i="18"/>
  <c r="AJ516" i="18"/>
  <c r="AI516" i="18"/>
  <c r="AH516" i="18"/>
  <c r="AG516" i="18"/>
  <c r="AF516" i="18"/>
  <c r="AE516" i="18"/>
  <c r="AD516" i="18"/>
  <c r="AC516" i="18"/>
  <c r="AB516" i="18"/>
  <c r="AA516" i="18"/>
  <c r="Z516" i="18"/>
  <c r="Y516" i="18"/>
  <c r="X516" i="18"/>
  <c r="W516" i="18"/>
  <c r="V516" i="18"/>
  <c r="U516" i="18"/>
  <c r="T516" i="18"/>
  <c r="S516" i="18"/>
  <c r="R516" i="18"/>
  <c r="Q516" i="18"/>
  <c r="P516" i="18"/>
  <c r="O516" i="18"/>
  <c r="N516" i="18"/>
  <c r="M516" i="18"/>
  <c r="L516" i="18"/>
  <c r="K516" i="18"/>
  <c r="J516" i="18"/>
  <c r="I516" i="18"/>
  <c r="H516" i="18"/>
  <c r="G516" i="18"/>
  <c r="F516" i="18"/>
  <c r="E516" i="18"/>
  <c r="D516" i="18"/>
  <c r="C516" i="18"/>
  <c r="B516" i="18"/>
  <c r="AS515" i="18"/>
  <c r="AT515" i="18" s="1"/>
  <c r="AU515" i="18" s="1"/>
  <c r="AV515" i="18" s="1"/>
  <c r="AW515" i="18" s="1"/>
  <c r="AX515" i="18" s="1"/>
  <c r="AY515" i="18" s="1"/>
  <c r="AZ515" i="18" s="1"/>
  <c r="BA515" i="18" s="1"/>
  <c r="BB515" i="18" s="1"/>
  <c r="BC515" i="18" s="1"/>
  <c r="BD515" i="18" s="1"/>
  <c r="BE515" i="18" s="1"/>
  <c r="BF515" i="18" s="1"/>
  <c r="BG515" i="18" s="1"/>
  <c r="BH515" i="18" s="1"/>
  <c r="AO515" i="18"/>
  <c r="AP515" i="18" s="1"/>
  <c r="AQ515" i="18" s="1"/>
  <c r="AR515" i="18" s="1"/>
  <c r="AN515" i="18"/>
  <c r="AM515" i="18"/>
  <c r="AL515" i="18"/>
  <c r="AK515" i="18"/>
  <c r="AJ515" i="18"/>
  <c r="AI515" i="18"/>
  <c r="AH515" i="18"/>
  <c r="AG515" i="18"/>
  <c r="AF515" i="18"/>
  <c r="AE515" i="18"/>
  <c r="AD515" i="18"/>
  <c r="AC515" i="18"/>
  <c r="AB515" i="18"/>
  <c r="AA515" i="18"/>
  <c r="Z515" i="18"/>
  <c r="Y515" i="18"/>
  <c r="X515" i="18"/>
  <c r="W515" i="18"/>
  <c r="V515" i="18"/>
  <c r="U515" i="18"/>
  <c r="T515" i="18"/>
  <c r="S515" i="18"/>
  <c r="R515" i="18"/>
  <c r="Q515" i="18"/>
  <c r="P515" i="18"/>
  <c r="O515" i="18"/>
  <c r="N515" i="18"/>
  <c r="M515" i="18"/>
  <c r="L515" i="18"/>
  <c r="K515" i="18"/>
  <c r="J515" i="18"/>
  <c r="I515" i="18"/>
  <c r="H515" i="18"/>
  <c r="G515" i="18"/>
  <c r="F515" i="18"/>
  <c r="E515" i="18"/>
  <c r="D515" i="18"/>
  <c r="C515" i="18"/>
  <c r="B515" i="18"/>
  <c r="AN514" i="18"/>
  <c r="AO514" i="18" s="1"/>
  <c r="AP514" i="18" s="1"/>
  <c r="AQ514" i="18" s="1"/>
  <c r="AR514" i="18" s="1"/>
  <c r="AS514" i="18" s="1"/>
  <c r="AT514" i="18" s="1"/>
  <c r="AU514" i="18" s="1"/>
  <c r="AV514" i="18" s="1"/>
  <c r="AW514" i="18" s="1"/>
  <c r="AX514" i="18" s="1"/>
  <c r="AY514" i="18" s="1"/>
  <c r="AZ514" i="18" s="1"/>
  <c r="BA514" i="18" s="1"/>
  <c r="BB514" i="18" s="1"/>
  <c r="BC514" i="18" s="1"/>
  <c r="BD514" i="18" s="1"/>
  <c r="BE514" i="18" s="1"/>
  <c r="BF514" i="18" s="1"/>
  <c r="BG514" i="18" s="1"/>
  <c r="BH514" i="18" s="1"/>
  <c r="AM514" i="18"/>
  <c r="AL514" i="18"/>
  <c r="AK514" i="18"/>
  <c r="AJ514" i="18"/>
  <c r="AI514" i="18"/>
  <c r="AH514" i="18"/>
  <c r="AG514" i="18"/>
  <c r="AF514" i="18"/>
  <c r="AE514" i="18"/>
  <c r="AD514" i="18"/>
  <c r="AC514" i="18"/>
  <c r="AB514" i="18"/>
  <c r="AA514" i="18"/>
  <c r="Z514" i="18"/>
  <c r="Y514" i="18"/>
  <c r="X514" i="18"/>
  <c r="W514" i="18"/>
  <c r="V514" i="18"/>
  <c r="U514" i="18"/>
  <c r="T514" i="18"/>
  <c r="S514" i="18"/>
  <c r="R514" i="18"/>
  <c r="Q514" i="18"/>
  <c r="P514" i="18"/>
  <c r="O514" i="18"/>
  <c r="N514" i="18"/>
  <c r="M514" i="18"/>
  <c r="L514" i="18"/>
  <c r="K514" i="18"/>
  <c r="J514" i="18"/>
  <c r="I514" i="18"/>
  <c r="H514" i="18"/>
  <c r="G514" i="18"/>
  <c r="F514" i="18"/>
  <c r="E514" i="18"/>
  <c r="D514" i="18"/>
  <c r="C514" i="18"/>
  <c r="B514" i="18"/>
  <c r="AV513" i="18"/>
  <c r="AW513" i="18" s="1"/>
  <c r="AX513" i="18" s="1"/>
  <c r="AY513" i="18" s="1"/>
  <c r="AZ513" i="18" s="1"/>
  <c r="BA513" i="18" s="1"/>
  <c r="BB513" i="18" s="1"/>
  <c r="BC513" i="18" s="1"/>
  <c r="BD513" i="18" s="1"/>
  <c r="BE513" i="18" s="1"/>
  <c r="BF513" i="18" s="1"/>
  <c r="BG513" i="18" s="1"/>
  <c r="BH513" i="18" s="1"/>
  <c r="AN513" i="18"/>
  <c r="AO513" i="18" s="1"/>
  <c r="AP513" i="18" s="1"/>
  <c r="AQ513" i="18" s="1"/>
  <c r="AR513" i="18" s="1"/>
  <c r="AS513" i="18" s="1"/>
  <c r="AT513" i="18" s="1"/>
  <c r="AU513" i="18" s="1"/>
  <c r="AM513" i="18"/>
  <c r="AL513" i="18"/>
  <c r="AK513" i="18"/>
  <c r="AJ513" i="18"/>
  <c r="AI513" i="18"/>
  <c r="AH513" i="18"/>
  <c r="AG513" i="18"/>
  <c r="AF513" i="18"/>
  <c r="AE513" i="18"/>
  <c r="AD513" i="18"/>
  <c r="AC513" i="18"/>
  <c r="AB513" i="18"/>
  <c r="AA513" i="18"/>
  <c r="Z513" i="18"/>
  <c r="Y513" i="18"/>
  <c r="X513" i="18"/>
  <c r="W513" i="18"/>
  <c r="V513" i="18"/>
  <c r="U513" i="18"/>
  <c r="T513" i="18"/>
  <c r="S513" i="18"/>
  <c r="R513" i="18"/>
  <c r="Q513" i="18"/>
  <c r="P513" i="18"/>
  <c r="O513" i="18"/>
  <c r="N513" i="18"/>
  <c r="M513" i="18"/>
  <c r="L513" i="18"/>
  <c r="K513" i="18"/>
  <c r="J513" i="18"/>
  <c r="I513" i="18"/>
  <c r="H513" i="18"/>
  <c r="G513" i="18"/>
  <c r="F513" i="18"/>
  <c r="E513" i="18"/>
  <c r="D513" i="18"/>
  <c r="C513" i="18"/>
  <c r="B513" i="18"/>
  <c r="M511" i="18"/>
  <c r="L511" i="18"/>
  <c r="K511" i="18"/>
  <c r="J511" i="18"/>
  <c r="I511" i="18"/>
  <c r="H511" i="18"/>
  <c r="G511" i="18"/>
  <c r="F511" i="18"/>
  <c r="E511" i="18"/>
  <c r="D511" i="18"/>
  <c r="C511" i="18"/>
  <c r="B511" i="18"/>
  <c r="M510" i="18"/>
  <c r="L510" i="18"/>
  <c r="K510" i="18"/>
  <c r="J510" i="18"/>
  <c r="I510" i="18"/>
  <c r="H510" i="18"/>
  <c r="G510" i="18"/>
  <c r="F510" i="18"/>
  <c r="E510" i="18"/>
  <c r="D510" i="18"/>
  <c r="C510" i="18"/>
  <c r="B510" i="18"/>
  <c r="M509" i="18"/>
  <c r="L509" i="18"/>
  <c r="K509" i="18"/>
  <c r="J509" i="18"/>
  <c r="I509" i="18"/>
  <c r="H509" i="18"/>
  <c r="G509" i="18"/>
  <c r="F509" i="18"/>
  <c r="E509" i="18"/>
  <c r="D509" i="18"/>
  <c r="C509" i="18"/>
  <c r="B509" i="18"/>
  <c r="M508" i="18"/>
  <c r="L508" i="18"/>
  <c r="K508" i="18"/>
  <c r="J508" i="18"/>
  <c r="I508" i="18"/>
  <c r="H508" i="18"/>
  <c r="G508" i="18"/>
  <c r="F508" i="18"/>
  <c r="E508" i="18"/>
  <c r="D508" i="18"/>
  <c r="C508" i="18"/>
  <c r="B508" i="18"/>
  <c r="M507" i="18"/>
  <c r="L507" i="18"/>
  <c r="K507" i="18"/>
  <c r="J507" i="18"/>
  <c r="I507" i="18"/>
  <c r="H507" i="18"/>
  <c r="G507" i="18"/>
  <c r="F507" i="18"/>
  <c r="E507" i="18"/>
  <c r="D507" i="18"/>
  <c r="C507" i="18"/>
  <c r="B507" i="18"/>
  <c r="M506" i="18"/>
  <c r="L506" i="18"/>
  <c r="K506" i="18"/>
  <c r="J506" i="18"/>
  <c r="I506" i="18"/>
  <c r="H506" i="18"/>
  <c r="G506" i="18"/>
  <c r="F506" i="18"/>
  <c r="E506" i="18"/>
  <c r="D506" i="18"/>
  <c r="C506" i="18"/>
  <c r="B506" i="18"/>
  <c r="M505" i="18"/>
  <c r="L505" i="18"/>
  <c r="K505" i="18"/>
  <c r="J505" i="18"/>
  <c r="I505" i="18"/>
  <c r="H505" i="18"/>
  <c r="G505" i="18"/>
  <c r="F505" i="18"/>
  <c r="E505" i="18"/>
  <c r="D505" i="18"/>
  <c r="C505" i="18"/>
  <c r="B505" i="18"/>
  <c r="M504" i="18"/>
  <c r="L504" i="18"/>
  <c r="K504" i="18"/>
  <c r="J504" i="18"/>
  <c r="I504" i="18"/>
  <c r="H504" i="18"/>
  <c r="G504" i="18"/>
  <c r="F504" i="18"/>
  <c r="E504" i="18"/>
  <c r="D504" i="18"/>
  <c r="C504" i="18"/>
  <c r="B504" i="18"/>
  <c r="M503" i="18"/>
  <c r="L503" i="18"/>
  <c r="K503" i="18"/>
  <c r="J503" i="18"/>
  <c r="I503" i="18"/>
  <c r="H503" i="18"/>
  <c r="G503" i="18"/>
  <c r="F503" i="18"/>
  <c r="E503" i="18"/>
  <c r="D503" i="18"/>
  <c r="C503" i="18"/>
  <c r="B503" i="18"/>
  <c r="M502" i="18"/>
  <c r="L502" i="18"/>
  <c r="K502" i="18"/>
  <c r="J502" i="18"/>
  <c r="I502" i="18"/>
  <c r="H502" i="18"/>
  <c r="G502" i="18"/>
  <c r="F502" i="18"/>
  <c r="E502" i="18"/>
  <c r="D502" i="18"/>
  <c r="C502" i="18"/>
  <c r="B502" i="18"/>
  <c r="M501" i="18"/>
  <c r="L501" i="18"/>
  <c r="K501" i="18"/>
  <c r="J501" i="18"/>
  <c r="I501" i="18"/>
  <c r="H501" i="18"/>
  <c r="G501" i="18"/>
  <c r="F501" i="18"/>
  <c r="E501" i="18"/>
  <c r="D501" i="18"/>
  <c r="C501" i="18"/>
  <c r="B501" i="18"/>
  <c r="M500" i="18"/>
  <c r="L500" i="18"/>
  <c r="K500" i="18"/>
  <c r="J500" i="18"/>
  <c r="I500" i="18"/>
  <c r="H500" i="18"/>
  <c r="G500" i="18"/>
  <c r="F500" i="18"/>
  <c r="E500" i="18"/>
  <c r="D500" i="18"/>
  <c r="C500" i="18"/>
  <c r="B500" i="18"/>
  <c r="M499" i="18"/>
  <c r="L499" i="18"/>
  <c r="K499" i="18"/>
  <c r="J499" i="18"/>
  <c r="I499" i="18"/>
  <c r="H499" i="18"/>
  <c r="G499" i="18"/>
  <c r="F499" i="18"/>
  <c r="E499" i="18"/>
  <c r="D499" i="18"/>
  <c r="C499" i="18"/>
  <c r="B499" i="18"/>
  <c r="BF497" i="18"/>
  <c r="BG497" i="18" s="1"/>
  <c r="BH497" i="18" s="1"/>
  <c r="AR497" i="18"/>
  <c r="AS497" i="18" s="1"/>
  <c r="AT497" i="18" s="1"/>
  <c r="AU497" i="18" s="1"/>
  <c r="AV497" i="18" s="1"/>
  <c r="AW497" i="18" s="1"/>
  <c r="AX497" i="18" s="1"/>
  <c r="AY497" i="18" s="1"/>
  <c r="AZ497" i="18" s="1"/>
  <c r="BA497" i="18" s="1"/>
  <c r="BB497" i="18" s="1"/>
  <c r="BC497" i="18" s="1"/>
  <c r="BD497" i="18" s="1"/>
  <c r="BE497" i="18" s="1"/>
  <c r="AP497" i="18"/>
  <c r="AQ497" i="18" s="1"/>
  <c r="AO497" i="18"/>
  <c r="AN497" i="18"/>
  <c r="AM497" i="18"/>
  <c r="AL497" i="18"/>
  <c r="AK497" i="18"/>
  <c r="AJ497" i="18"/>
  <c r="AI497" i="18"/>
  <c r="AH497" i="18"/>
  <c r="AG497" i="18"/>
  <c r="AF497" i="18"/>
  <c r="AE497" i="18"/>
  <c r="AD497" i="18"/>
  <c r="AC497" i="18"/>
  <c r="AB497" i="18"/>
  <c r="AA497" i="18"/>
  <c r="Z497" i="18"/>
  <c r="Y497" i="18"/>
  <c r="X497" i="18"/>
  <c r="W497" i="18"/>
  <c r="V497" i="18"/>
  <c r="U497" i="18"/>
  <c r="T497" i="18"/>
  <c r="S497" i="18"/>
  <c r="R497" i="18"/>
  <c r="Q497" i="18"/>
  <c r="P497" i="18"/>
  <c r="O497" i="18"/>
  <c r="N497" i="18"/>
  <c r="M497" i="18"/>
  <c r="L497" i="18"/>
  <c r="K497" i="18"/>
  <c r="J497" i="18"/>
  <c r="I497" i="18"/>
  <c r="H497" i="18"/>
  <c r="G497" i="18"/>
  <c r="F497" i="18"/>
  <c r="E497" i="18"/>
  <c r="D497" i="18"/>
  <c r="C497" i="18"/>
  <c r="B497" i="18"/>
  <c r="AS496" i="18"/>
  <c r="AT496" i="18" s="1"/>
  <c r="AU496" i="18" s="1"/>
  <c r="AV496" i="18" s="1"/>
  <c r="AW496" i="18" s="1"/>
  <c r="AX496" i="18" s="1"/>
  <c r="AY496" i="18" s="1"/>
  <c r="AZ496" i="18" s="1"/>
  <c r="BA496" i="18" s="1"/>
  <c r="BB496" i="18" s="1"/>
  <c r="BC496" i="18" s="1"/>
  <c r="BD496" i="18" s="1"/>
  <c r="BE496" i="18" s="1"/>
  <c r="BF496" i="18" s="1"/>
  <c r="BG496" i="18" s="1"/>
  <c r="BH496" i="18" s="1"/>
  <c r="AO496" i="18"/>
  <c r="AP496" i="18" s="1"/>
  <c r="AQ496" i="18" s="1"/>
  <c r="AR496" i="18" s="1"/>
  <c r="AN496" i="18"/>
  <c r="AM496" i="18"/>
  <c r="AL496" i="18"/>
  <c r="AK496" i="18"/>
  <c r="AJ496" i="18"/>
  <c r="AI496" i="18"/>
  <c r="AH496" i="18"/>
  <c r="AG496" i="18"/>
  <c r="AF496" i="18"/>
  <c r="AE496" i="18"/>
  <c r="AD496" i="18"/>
  <c r="AC496" i="18"/>
  <c r="AB496" i="18"/>
  <c r="AA496" i="18"/>
  <c r="Z496" i="18"/>
  <c r="Y496" i="18"/>
  <c r="X496" i="18"/>
  <c r="W496" i="18"/>
  <c r="V496" i="18"/>
  <c r="U496" i="18"/>
  <c r="T496" i="18"/>
  <c r="S496" i="18"/>
  <c r="R496" i="18"/>
  <c r="Q496" i="18"/>
  <c r="P496" i="18"/>
  <c r="O496" i="18"/>
  <c r="N496" i="18"/>
  <c r="M496" i="18"/>
  <c r="L496" i="18"/>
  <c r="K496" i="18"/>
  <c r="J496" i="18"/>
  <c r="I496" i="18"/>
  <c r="H496" i="18"/>
  <c r="G496" i="18"/>
  <c r="F496" i="18"/>
  <c r="E496" i="18"/>
  <c r="D496" i="18"/>
  <c r="C496" i="18"/>
  <c r="B496" i="18"/>
  <c r="AN495" i="18"/>
  <c r="AO495" i="18" s="1"/>
  <c r="AP495" i="18" s="1"/>
  <c r="AQ495" i="18" s="1"/>
  <c r="AR495" i="18" s="1"/>
  <c r="AS495" i="18" s="1"/>
  <c r="AT495" i="18" s="1"/>
  <c r="AU495" i="18" s="1"/>
  <c r="AV495" i="18" s="1"/>
  <c r="AW495" i="18" s="1"/>
  <c r="AX495" i="18" s="1"/>
  <c r="AY495" i="18" s="1"/>
  <c r="AZ495" i="18" s="1"/>
  <c r="BA495" i="18" s="1"/>
  <c r="BB495" i="18" s="1"/>
  <c r="BC495" i="18" s="1"/>
  <c r="BD495" i="18" s="1"/>
  <c r="BE495" i="18" s="1"/>
  <c r="BF495" i="18" s="1"/>
  <c r="BG495" i="18" s="1"/>
  <c r="BH495" i="18" s="1"/>
  <c r="AM495" i="18"/>
  <c r="AL495" i="18"/>
  <c r="AK495" i="18"/>
  <c r="AJ495" i="18"/>
  <c r="AI495" i="18"/>
  <c r="AH495" i="18"/>
  <c r="AG495" i="18"/>
  <c r="AF495" i="18"/>
  <c r="AE495" i="18"/>
  <c r="AD495" i="18"/>
  <c r="AC495" i="18"/>
  <c r="AB495" i="18"/>
  <c r="AA495" i="18"/>
  <c r="Z495" i="18"/>
  <c r="Y495" i="18"/>
  <c r="X495" i="18"/>
  <c r="W495" i="18"/>
  <c r="V495" i="18"/>
  <c r="U495" i="18"/>
  <c r="T495" i="18"/>
  <c r="S495" i="18"/>
  <c r="R495" i="18"/>
  <c r="Q495" i="18"/>
  <c r="P495" i="18"/>
  <c r="O495" i="18"/>
  <c r="N495" i="18"/>
  <c r="M495" i="18"/>
  <c r="L495" i="18"/>
  <c r="K495" i="18"/>
  <c r="J495" i="18"/>
  <c r="I495" i="18"/>
  <c r="H495" i="18"/>
  <c r="G495" i="18"/>
  <c r="F495" i="18"/>
  <c r="E495" i="18"/>
  <c r="D495" i="18"/>
  <c r="C495" i="18"/>
  <c r="B495" i="18"/>
  <c r="AN494" i="18"/>
  <c r="AO494" i="18" s="1"/>
  <c r="AP494" i="18" s="1"/>
  <c r="AQ494" i="18" s="1"/>
  <c r="AR494" i="18" s="1"/>
  <c r="AS494" i="18" s="1"/>
  <c r="AT494" i="18" s="1"/>
  <c r="AU494" i="18" s="1"/>
  <c r="AV494" i="18" s="1"/>
  <c r="AW494" i="18" s="1"/>
  <c r="AX494" i="18" s="1"/>
  <c r="AY494" i="18" s="1"/>
  <c r="AZ494" i="18" s="1"/>
  <c r="BA494" i="18" s="1"/>
  <c r="BB494" i="18" s="1"/>
  <c r="BC494" i="18" s="1"/>
  <c r="BD494" i="18" s="1"/>
  <c r="BE494" i="18" s="1"/>
  <c r="BF494" i="18" s="1"/>
  <c r="BG494" i="18" s="1"/>
  <c r="BH494" i="18" s="1"/>
  <c r="AM494" i="18"/>
  <c r="AL494" i="18"/>
  <c r="AK494" i="18"/>
  <c r="AJ494" i="18"/>
  <c r="AI494" i="18"/>
  <c r="AH494" i="18"/>
  <c r="AG494" i="18"/>
  <c r="AF494" i="18"/>
  <c r="AE494" i="18"/>
  <c r="AD494" i="18"/>
  <c r="AC494" i="18"/>
  <c r="AB494" i="18"/>
  <c r="AA494" i="18"/>
  <c r="Z494" i="18"/>
  <c r="Y494" i="18"/>
  <c r="X494" i="18"/>
  <c r="W494" i="18"/>
  <c r="V494" i="18"/>
  <c r="U494" i="18"/>
  <c r="T494" i="18"/>
  <c r="S494" i="18"/>
  <c r="R494" i="18"/>
  <c r="Q494" i="18"/>
  <c r="P494" i="18"/>
  <c r="O494" i="18"/>
  <c r="N494" i="18"/>
  <c r="M494" i="18"/>
  <c r="L494" i="18"/>
  <c r="K494" i="18"/>
  <c r="J494" i="18"/>
  <c r="I494" i="18"/>
  <c r="H494" i="18"/>
  <c r="G494" i="18"/>
  <c r="F494" i="18"/>
  <c r="E494" i="18"/>
  <c r="D494" i="18"/>
  <c r="C494" i="18"/>
  <c r="B494" i="18"/>
  <c r="AX493" i="18"/>
  <c r="AY493" i="18" s="1"/>
  <c r="AZ493" i="18" s="1"/>
  <c r="BA493" i="18" s="1"/>
  <c r="BB493" i="18" s="1"/>
  <c r="BC493" i="18" s="1"/>
  <c r="BD493" i="18" s="1"/>
  <c r="BE493" i="18" s="1"/>
  <c r="BF493" i="18" s="1"/>
  <c r="BG493" i="18" s="1"/>
  <c r="BH493" i="18" s="1"/>
  <c r="AP493" i="18"/>
  <c r="AQ493" i="18" s="1"/>
  <c r="AR493" i="18" s="1"/>
  <c r="AS493" i="18" s="1"/>
  <c r="AT493" i="18" s="1"/>
  <c r="AU493" i="18" s="1"/>
  <c r="AV493" i="18" s="1"/>
  <c r="AW493" i="18" s="1"/>
  <c r="AN493" i="18"/>
  <c r="AO493" i="18" s="1"/>
  <c r="AM493" i="18"/>
  <c r="AL493" i="18"/>
  <c r="AK493" i="18"/>
  <c r="AJ493" i="18"/>
  <c r="AI493" i="18"/>
  <c r="AH493" i="18"/>
  <c r="AG493" i="18"/>
  <c r="AF493" i="18"/>
  <c r="AE493" i="18"/>
  <c r="AD493" i="18"/>
  <c r="AC493" i="18"/>
  <c r="AB493" i="18"/>
  <c r="AA493" i="18"/>
  <c r="Z493" i="18"/>
  <c r="Y493" i="18"/>
  <c r="X493" i="18"/>
  <c r="W493" i="18"/>
  <c r="V493" i="18"/>
  <c r="U493" i="18"/>
  <c r="T493" i="18"/>
  <c r="S493" i="18"/>
  <c r="R493" i="18"/>
  <c r="Q493" i="18"/>
  <c r="P493" i="18"/>
  <c r="O493" i="18"/>
  <c r="N493" i="18"/>
  <c r="M493" i="18"/>
  <c r="L493" i="18"/>
  <c r="K493" i="18"/>
  <c r="J493" i="18"/>
  <c r="I493" i="18"/>
  <c r="H493" i="18"/>
  <c r="G493" i="18"/>
  <c r="F493" i="18"/>
  <c r="E493" i="18"/>
  <c r="D493" i="18"/>
  <c r="C493" i="18"/>
  <c r="B493" i="18"/>
  <c r="AQ492" i="18"/>
  <c r="AR492" i="18" s="1"/>
  <c r="AS492" i="18" s="1"/>
  <c r="AT492" i="18" s="1"/>
  <c r="AU492" i="18" s="1"/>
  <c r="AV492" i="18" s="1"/>
  <c r="AW492" i="18" s="1"/>
  <c r="AX492" i="18" s="1"/>
  <c r="AY492" i="18" s="1"/>
  <c r="AZ492" i="18" s="1"/>
  <c r="BA492" i="18" s="1"/>
  <c r="BB492" i="18" s="1"/>
  <c r="BC492" i="18" s="1"/>
  <c r="BD492" i="18" s="1"/>
  <c r="BE492" i="18" s="1"/>
  <c r="BF492" i="18" s="1"/>
  <c r="BG492" i="18" s="1"/>
  <c r="BH492" i="18" s="1"/>
  <c r="AO492" i="18"/>
  <c r="AP492" i="18" s="1"/>
  <c r="AN492" i="18"/>
  <c r="AM492" i="18"/>
  <c r="AL492" i="18"/>
  <c r="AK492" i="18"/>
  <c r="AJ492" i="18"/>
  <c r="AI492" i="18"/>
  <c r="AH492" i="18"/>
  <c r="AG492" i="18"/>
  <c r="AF492" i="18"/>
  <c r="AE492" i="18"/>
  <c r="AD492" i="18"/>
  <c r="AC492" i="18"/>
  <c r="AB492" i="18"/>
  <c r="AA492" i="18"/>
  <c r="Z492" i="18"/>
  <c r="Y492" i="18"/>
  <c r="X492" i="18"/>
  <c r="W492" i="18"/>
  <c r="V492" i="18"/>
  <c r="U492" i="18"/>
  <c r="T492" i="18"/>
  <c r="S492" i="18"/>
  <c r="R492" i="18"/>
  <c r="Q492" i="18"/>
  <c r="P492" i="18"/>
  <c r="O492" i="18"/>
  <c r="N492" i="18"/>
  <c r="M492" i="18"/>
  <c r="L492" i="18"/>
  <c r="K492" i="18"/>
  <c r="J492" i="18"/>
  <c r="I492" i="18"/>
  <c r="H492" i="18"/>
  <c r="G492" i="18"/>
  <c r="F492" i="18"/>
  <c r="E492" i="18"/>
  <c r="D492" i="18"/>
  <c r="C492" i="18"/>
  <c r="B492" i="18"/>
  <c r="M490" i="18"/>
  <c r="L490" i="18"/>
  <c r="K490" i="18"/>
  <c r="J490" i="18"/>
  <c r="I490" i="18"/>
  <c r="H490" i="18"/>
  <c r="G490" i="18"/>
  <c r="F490" i="18"/>
  <c r="E490" i="18"/>
  <c r="D490" i="18"/>
  <c r="C490" i="18"/>
  <c r="B490" i="18"/>
  <c r="M489" i="18"/>
  <c r="L489" i="18"/>
  <c r="K489" i="18"/>
  <c r="J489" i="18"/>
  <c r="I489" i="18"/>
  <c r="H489" i="18"/>
  <c r="G489" i="18"/>
  <c r="F489" i="18"/>
  <c r="E489" i="18"/>
  <c r="D489" i="18"/>
  <c r="C489" i="18"/>
  <c r="B489" i="18"/>
  <c r="M488" i="18"/>
  <c r="L488" i="18"/>
  <c r="K488" i="18"/>
  <c r="J488" i="18"/>
  <c r="I488" i="18"/>
  <c r="H488" i="18"/>
  <c r="G488" i="18"/>
  <c r="F488" i="18"/>
  <c r="E488" i="18"/>
  <c r="D488" i="18"/>
  <c r="C488" i="18"/>
  <c r="B488" i="18"/>
  <c r="M487" i="18"/>
  <c r="L487" i="18"/>
  <c r="K487" i="18"/>
  <c r="J487" i="18"/>
  <c r="I487" i="18"/>
  <c r="H487" i="18"/>
  <c r="G487" i="18"/>
  <c r="F487" i="18"/>
  <c r="E487" i="18"/>
  <c r="D487" i="18"/>
  <c r="C487" i="18"/>
  <c r="B487" i="18"/>
  <c r="M486" i="18"/>
  <c r="L486" i="18"/>
  <c r="K486" i="18"/>
  <c r="J486" i="18"/>
  <c r="I486" i="18"/>
  <c r="H486" i="18"/>
  <c r="G486" i="18"/>
  <c r="F486" i="18"/>
  <c r="E486" i="18"/>
  <c r="D486" i="18"/>
  <c r="C486" i="18"/>
  <c r="B486" i="18"/>
  <c r="M485" i="18"/>
  <c r="L485" i="18"/>
  <c r="K485" i="18"/>
  <c r="J485" i="18"/>
  <c r="I485" i="18"/>
  <c r="H485" i="18"/>
  <c r="G485" i="18"/>
  <c r="F485" i="18"/>
  <c r="E485" i="18"/>
  <c r="D485" i="18"/>
  <c r="C485" i="18"/>
  <c r="B485" i="18"/>
  <c r="M484" i="18"/>
  <c r="L484" i="18"/>
  <c r="K484" i="18"/>
  <c r="J484" i="18"/>
  <c r="I484" i="18"/>
  <c r="H484" i="18"/>
  <c r="G484" i="18"/>
  <c r="F484" i="18"/>
  <c r="E484" i="18"/>
  <c r="D484" i="18"/>
  <c r="C484" i="18"/>
  <c r="B484" i="18"/>
  <c r="M483" i="18"/>
  <c r="L483" i="18"/>
  <c r="K483" i="18"/>
  <c r="J483" i="18"/>
  <c r="I483" i="18"/>
  <c r="H483" i="18"/>
  <c r="G483" i="18"/>
  <c r="F483" i="18"/>
  <c r="E483" i="18"/>
  <c r="D483" i="18"/>
  <c r="C483" i="18"/>
  <c r="B483" i="18"/>
  <c r="BD481" i="18"/>
  <c r="BE481" i="18" s="1"/>
  <c r="BF481" i="18" s="1"/>
  <c r="BG481" i="18" s="1"/>
  <c r="BH481" i="18" s="1"/>
  <c r="BB481" i="18"/>
  <c r="BC481" i="18" s="1"/>
  <c r="AN481" i="18"/>
  <c r="AO481" i="18" s="1"/>
  <c r="AP481" i="18" s="1"/>
  <c r="AQ481" i="18" s="1"/>
  <c r="AR481" i="18" s="1"/>
  <c r="AS481" i="18" s="1"/>
  <c r="AT481" i="18" s="1"/>
  <c r="AU481" i="18" s="1"/>
  <c r="AV481" i="18" s="1"/>
  <c r="AW481" i="18" s="1"/>
  <c r="AX481" i="18" s="1"/>
  <c r="AY481" i="18" s="1"/>
  <c r="AZ481" i="18" s="1"/>
  <c r="BA481" i="18" s="1"/>
  <c r="AM481" i="18"/>
  <c r="AL481" i="18"/>
  <c r="AK481" i="18"/>
  <c r="AJ481" i="18"/>
  <c r="AI481" i="18"/>
  <c r="AH481" i="18"/>
  <c r="AG481" i="18"/>
  <c r="AF481" i="18"/>
  <c r="AE481" i="18"/>
  <c r="AD481" i="18"/>
  <c r="AC481" i="18"/>
  <c r="AB481" i="18"/>
  <c r="AA481" i="18"/>
  <c r="Z481" i="18"/>
  <c r="Y481" i="18"/>
  <c r="X481" i="18"/>
  <c r="W481" i="18"/>
  <c r="V481" i="18"/>
  <c r="U481" i="18"/>
  <c r="T481" i="18"/>
  <c r="S481" i="18"/>
  <c r="R481" i="18"/>
  <c r="Q481" i="18"/>
  <c r="P481" i="18"/>
  <c r="O481" i="18"/>
  <c r="N481" i="18"/>
  <c r="M481" i="18"/>
  <c r="L481" i="18"/>
  <c r="K481" i="18"/>
  <c r="J481" i="18"/>
  <c r="I481" i="18"/>
  <c r="H481" i="18"/>
  <c r="G481" i="18"/>
  <c r="F481" i="18"/>
  <c r="E481" i="18"/>
  <c r="D481" i="18"/>
  <c r="C481" i="18"/>
  <c r="B481" i="18"/>
  <c r="AO480" i="18"/>
  <c r="AP480" i="18" s="1"/>
  <c r="AQ480" i="18" s="1"/>
  <c r="AR480" i="18" s="1"/>
  <c r="AS480" i="18" s="1"/>
  <c r="AT480" i="18" s="1"/>
  <c r="AU480" i="18" s="1"/>
  <c r="AV480" i="18" s="1"/>
  <c r="AW480" i="18" s="1"/>
  <c r="AX480" i="18" s="1"/>
  <c r="AY480" i="18" s="1"/>
  <c r="AZ480" i="18" s="1"/>
  <c r="BA480" i="18" s="1"/>
  <c r="BB480" i="18" s="1"/>
  <c r="BC480" i="18" s="1"/>
  <c r="BD480" i="18" s="1"/>
  <c r="BE480" i="18" s="1"/>
  <c r="BF480" i="18" s="1"/>
  <c r="BG480" i="18" s="1"/>
  <c r="BH480" i="18" s="1"/>
  <c r="AN480" i="18"/>
  <c r="AM480" i="18"/>
  <c r="AL480" i="18"/>
  <c r="AK480" i="18"/>
  <c r="AJ480" i="18"/>
  <c r="AI480" i="18"/>
  <c r="AH480" i="18"/>
  <c r="AG480" i="18"/>
  <c r="AF480" i="18"/>
  <c r="AE480" i="18"/>
  <c r="AD480" i="18"/>
  <c r="AC480" i="18"/>
  <c r="AB480" i="18"/>
  <c r="AA480" i="18"/>
  <c r="Z480" i="18"/>
  <c r="Y480" i="18"/>
  <c r="X480" i="18"/>
  <c r="W480" i="18"/>
  <c r="V480" i="18"/>
  <c r="U480" i="18"/>
  <c r="T480" i="18"/>
  <c r="S480" i="18"/>
  <c r="R480" i="18"/>
  <c r="Q480" i="18"/>
  <c r="P480" i="18"/>
  <c r="O480" i="18"/>
  <c r="N480" i="18"/>
  <c r="M480" i="18"/>
  <c r="L480" i="18"/>
  <c r="K480" i="18"/>
  <c r="J480" i="18"/>
  <c r="I480" i="18"/>
  <c r="H480" i="18"/>
  <c r="G480" i="18"/>
  <c r="F480" i="18"/>
  <c r="E480" i="18"/>
  <c r="D480" i="18"/>
  <c r="C480" i="18"/>
  <c r="B480" i="18"/>
  <c r="AN479" i="18"/>
  <c r="AO479" i="18" s="1"/>
  <c r="AP479" i="18" s="1"/>
  <c r="AQ479" i="18" s="1"/>
  <c r="AR479" i="18" s="1"/>
  <c r="AS479" i="18" s="1"/>
  <c r="AT479" i="18" s="1"/>
  <c r="AU479" i="18" s="1"/>
  <c r="AV479" i="18" s="1"/>
  <c r="AW479" i="18" s="1"/>
  <c r="AX479" i="18" s="1"/>
  <c r="AY479" i="18" s="1"/>
  <c r="AZ479" i="18" s="1"/>
  <c r="BA479" i="18" s="1"/>
  <c r="BB479" i="18" s="1"/>
  <c r="BC479" i="18" s="1"/>
  <c r="BD479" i="18" s="1"/>
  <c r="BE479" i="18" s="1"/>
  <c r="BF479" i="18" s="1"/>
  <c r="BG479" i="18" s="1"/>
  <c r="BH479" i="18" s="1"/>
  <c r="AM479" i="18"/>
  <c r="AL479" i="18"/>
  <c r="AK479" i="18"/>
  <c r="AJ479" i="18"/>
  <c r="AI479" i="18"/>
  <c r="AH479" i="18"/>
  <c r="AG479" i="18"/>
  <c r="AF479" i="18"/>
  <c r="AE479" i="18"/>
  <c r="AD479" i="18"/>
  <c r="AC479" i="18"/>
  <c r="AB479" i="18"/>
  <c r="AA479" i="18"/>
  <c r="Z479" i="18"/>
  <c r="Y479" i="18"/>
  <c r="X479" i="18"/>
  <c r="W479" i="18"/>
  <c r="V479" i="18"/>
  <c r="U479" i="18"/>
  <c r="T479" i="18"/>
  <c r="S479" i="18"/>
  <c r="R479" i="18"/>
  <c r="Q479" i="18"/>
  <c r="P479" i="18"/>
  <c r="O479" i="18"/>
  <c r="N479" i="18"/>
  <c r="M479" i="18"/>
  <c r="L479" i="18"/>
  <c r="K479" i="18"/>
  <c r="J479" i="18"/>
  <c r="I479" i="18"/>
  <c r="H479" i="18"/>
  <c r="G479" i="18"/>
  <c r="F479" i="18"/>
  <c r="E479" i="18"/>
  <c r="D479" i="18"/>
  <c r="C479" i="18"/>
  <c r="B479" i="18"/>
  <c r="AZ478" i="18"/>
  <c r="BA478" i="18" s="1"/>
  <c r="BB478" i="18" s="1"/>
  <c r="BC478" i="18" s="1"/>
  <c r="BD478" i="18" s="1"/>
  <c r="BE478" i="18" s="1"/>
  <c r="BF478" i="18" s="1"/>
  <c r="BG478" i="18" s="1"/>
  <c r="BH478" i="18" s="1"/>
  <c r="AS478" i="18"/>
  <c r="AT478" i="18" s="1"/>
  <c r="AU478" i="18" s="1"/>
  <c r="AV478" i="18" s="1"/>
  <c r="AW478" i="18" s="1"/>
  <c r="AX478" i="18" s="1"/>
  <c r="AY478" i="18" s="1"/>
  <c r="AR478" i="18"/>
  <c r="AN478" i="18"/>
  <c r="AO478" i="18" s="1"/>
  <c r="AP478" i="18" s="1"/>
  <c r="AQ478" i="18" s="1"/>
  <c r="AM478" i="18"/>
  <c r="AL478" i="18"/>
  <c r="AK478" i="18"/>
  <c r="AJ478" i="18"/>
  <c r="AI478" i="18"/>
  <c r="AH478" i="18"/>
  <c r="AG478" i="18"/>
  <c r="AF478" i="18"/>
  <c r="AE478" i="18"/>
  <c r="AD478" i="18"/>
  <c r="AC478" i="18"/>
  <c r="AB478" i="18"/>
  <c r="AA478" i="18"/>
  <c r="Z478" i="18"/>
  <c r="Y478" i="18"/>
  <c r="X478" i="18"/>
  <c r="W478" i="18"/>
  <c r="V478" i="18"/>
  <c r="U478" i="18"/>
  <c r="T478" i="18"/>
  <c r="S478" i="18"/>
  <c r="R478" i="18"/>
  <c r="Q478" i="18"/>
  <c r="P478" i="18"/>
  <c r="O478" i="18"/>
  <c r="N478" i="18"/>
  <c r="M478" i="18"/>
  <c r="L478" i="18"/>
  <c r="K478" i="18"/>
  <c r="J478" i="18"/>
  <c r="I478" i="18"/>
  <c r="H478" i="18"/>
  <c r="G478" i="18"/>
  <c r="F478" i="18"/>
  <c r="E478" i="18"/>
  <c r="D478" i="18"/>
  <c r="C478" i="18"/>
  <c r="B478" i="18"/>
  <c r="AU477" i="18"/>
  <c r="AV477" i="18" s="1"/>
  <c r="AW477" i="18" s="1"/>
  <c r="AX477" i="18" s="1"/>
  <c r="AY477" i="18" s="1"/>
  <c r="AZ477" i="18" s="1"/>
  <c r="BA477" i="18" s="1"/>
  <c r="BB477" i="18" s="1"/>
  <c r="BC477" i="18" s="1"/>
  <c r="BD477" i="18" s="1"/>
  <c r="BE477" i="18" s="1"/>
  <c r="BF477" i="18" s="1"/>
  <c r="BG477" i="18" s="1"/>
  <c r="BH477" i="18" s="1"/>
  <c r="AN477" i="18"/>
  <c r="AO477" i="18" s="1"/>
  <c r="AP477" i="18" s="1"/>
  <c r="AQ477" i="18" s="1"/>
  <c r="AR477" i="18" s="1"/>
  <c r="AS477" i="18" s="1"/>
  <c r="AT477" i="18" s="1"/>
  <c r="AM477" i="18"/>
  <c r="AL477" i="18"/>
  <c r="AK477" i="18"/>
  <c r="AJ477" i="18"/>
  <c r="AI477" i="18"/>
  <c r="AH477" i="18"/>
  <c r="AG477" i="18"/>
  <c r="AF477" i="18"/>
  <c r="AE477" i="18"/>
  <c r="AD477" i="18"/>
  <c r="AC477" i="18"/>
  <c r="AB477" i="18"/>
  <c r="AA477" i="18"/>
  <c r="Z477" i="18"/>
  <c r="Y477" i="18"/>
  <c r="X477" i="18"/>
  <c r="W477" i="18"/>
  <c r="V477" i="18"/>
  <c r="U477" i="18"/>
  <c r="T477" i="18"/>
  <c r="S477" i="18"/>
  <c r="R477" i="18"/>
  <c r="Q477" i="18"/>
  <c r="P477" i="18"/>
  <c r="O477" i="18"/>
  <c r="N477" i="18"/>
  <c r="M477" i="18"/>
  <c r="L477" i="18"/>
  <c r="K477" i="18"/>
  <c r="J477" i="18"/>
  <c r="I477" i="18"/>
  <c r="H477" i="18"/>
  <c r="G477" i="18"/>
  <c r="F477" i="18"/>
  <c r="E477" i="18"/>
  <c r="D477" i="18"/>
  <c r="C477" i="18"/>
  <c r="B477" i="18"/>
  <c r="M475" i="18"/>
  <c r="L475" i="18"/>
  <c r="K475" i="18"/>
  <c r="J475" i="18"/>
  <c r="I475" i="18"/>
  <c r="H475" i="18"/>
  <c r="G475" i="18"/>
  <c r="F475" i="18"/>
  <c r="E475" i="18"/>
  <c r="D475" i="18"/>
  <c r="C475" i="18"/>
  <c r="B475" i="18"/>
  <c r="M474" i="18"/>
  <c r="L474" i="18"/>
  <c r="K474" i="18"/>
  <c r="J474" i="18"/>
  <c r="I474" i="18"/>
  <c r="H474" i="18"/>
  <c r="G474" i="18"/>
  <c r="F474" i="18"/>
  <c r="E474" i="18"/>
  <c r="D474" i="18"/>
  <c r="C474" i="18"/>
  <c r="B474" i="18"/>
  <c r="M473" i="18"/>
  <c r="L473" i="18"/>
  <c r="K473" i="18"/>
  <c r="J473" i="18"/>
  <c r="I473" i="18"/>
  <c r="H473" i="18"/>
  <c r="G473" i="18"/>
  <c r="F473" i="18"/>
  <c r="E473" i="18"/>
  <c r="D473" i="18"/>
  <c r="C473" i="18"/>
  <c r="B473" i="18"/>
  <c r="M472" i="18"/>
  <c r="L472" i="18"/>
  <c r="K472" i="18"/>
  <c r="J472" i="18"/>
  <c r="I472" i="18"/>
  <c r="H472" i="18"/>
  <c r="G472" i="18"/>
  <c r="F472" i="18"/>
  <c r="E472" i="18"/>
  <c r="D472" i="18"/>
  <c r="C472" i="18"/>
  <c r="B472" i="18"/>
  <c r="M471" i="18"/>
  <c r="L471" i="18"/>
  <c r="K471" i="18"/>
  <c r="J471" i="18"/>
  <c r="I471" i="18"/>
  <c r="H471" i="18"/>
  <c r="G471" i="18"/>
  <c r="F471" i="18"/>
  <c r="E471" i="18"/>
  <c r="D471" i="18"/>
  <c r="C471" i="18"/>
  <c r="B471" i="18"/>
  <c r="AP469" i="18"/>
  <c r="AQ469" i="18" s="1"/>
  <c r="AR469" i="18" s="1"/>
  <c r="AS469" i="18" s="1"/>
  <c r="AT469" i="18" s="1"/>
  <c r="AU469" i="18" s="1"/>
  <c r="AV469" i="18" s="1"/>
  <c r="AW469" i="18" s="1"/>
  <c r="AX469" i="18" s="1"/>
  <c r="AY469" i="18" s="1"/>
  <c r="AZ469" i="18" s="1"/>
  <c r="AO469" i="18"/>
  <c r="AN469" i="18"/>
  <c r="AM469" i="18"/>
  <c r="AL469" i="18"/>
  <c r="AK469" i="18"/>
  <c r="AJ469" i="18"/>
  <c r="AI469" i="18"/>
  <c r="AH469" i="18"/>
  <c r="AG469" i="18"/>
  <c r="AF469" i="18"/>
  <c r="AE469" i="18"/>
  <c r="AD469" i="18"/>
  <c r="AC469" i="18"/>
  <c r="AB469" i="18"/>
  <c r="AA469" i="18"/>
  <c r="Z469" i="18"/>
  <c r="Y469" i="18"/>
  <c r="X469" i="18"/>
  <c r="W469" i="18"/>
  <c r="V469" i="18"/>
  <c r="U469" i="18"/>
  <c r="T469" i="18"/>
  <c r="S469" i="18"/>
  <c r="R469" i="18"/>
  <c r="Q469" i="18"/>
  <c r="P469" i="18"/>
  <c r="O469" i="18"/>
  <c r="N469" i="18"/>
  <c r="M469" i="18"/>
  <c r="L469" i="18"/>
  <c r="K469" i="18"/>
  <c r="J469" i="18"/>
  <c r="I469" i="18"/>
  <c r="H469" i="18"/>
  <c r="G469" i="18"/>
  <c r="F469" i="18"/>
  <c r="E469" i="18"/>
  <c r="D469" i="18"/>
  <c r="C469" i="18"/>
  <c r="B469" i="18"/>
  <c r="AX468" i="18"/>
  <c r="AY468" i="18" s="1"/>
  <c r="AZ468" i="18" s="1"/>
  <c r="BA468" i="18" s="1"/>
  <c r="BB468" i="18" s="1"/>
  <c r="BC468" i="18" s="1"/>
  <c r="BD468" i="18" s="1"/>
  <c r="BE468" i="18" s="1"/>
  <c r="BF468" i="18" s="1"/>
  <c r="BG468" i="18" s="1"/>
  <c r="BH468" i="18" s="1"/>
  <c r="AW468" i="18"/>
  <c r="AP468" i="18"/>
  <c r="AQ468" i="18" s="1"/>
  <c r="AR468" i="18" s="1"/>
  <c r="AS468" i="18" s="1"/>
  <c r="AT468" i="18" s="1"/>
  <c r="AU468" i="18" s="1"/>
  <c r="AV468" i="18" s="1"/>
  <c r="AO468" i="18"/>
  <c r="AN468" i="18"/>
  <c r="AM468" i="18"/>
  <c r="AL468" i="18"/>
  <c r="AK468" i="18"/>
  <c r="AJ468" i="18"/>
  <c r="AI468" i="18"/>
  <c r="AH468" i="18"/>
  <c r="AG468" i="18"/>
  <c r="AF468" i="18"/>
  <c r="AE468" i="18"/>
  <c r="AD468" i="18"/>
  <c r="AC468" i="18"/>
  <c r="AB468" i="18"/>
  <c r="AA468" i="18"/>
  <c r="Z468" i="18"/>
  <c r="Y468" i="18"/>
  <c r="X468" i="18"/>
  <c r="W468" i="18"/>
  <c r="V468" i="18"/>
  <c r="U468" i="18"/>
  <c r="T468" i="18"/>
  <c r="S468" i="18"/>
  <c r="R468" i="18"/>
  <c r="Q468" i="18"/>
  <c r="P468" i="18"/>
  <c r="O468" i="18"/>
  <c r="N468" i="18"/>
  <c r="M468" i="18"/>
  <c r="L468" i="18"/>
  <c r="K468" i="18"/>
  <c r="J468" i="18"/>
  <c r="I468" i="18"/>
  <c r="H468" i="18"/>
  <c r="G468" i="18"/>
  <c r="F468" i="18"/>
  <c r="E468" i="18"/>
  <c r="D468" i="18"/>
  <c r="C468" i="18"/>
  <c r="B468" i="18"/>
  <c r="AN467" i="18"/>
  <c r="AO467" i="18" s="1"/>
  <c r="AP467" i="18" s="1"/>
  <c r="AQ467" i="18" s="1"/>
  <c r="AR467" i="18" s="1"/>
  <c r="AS467" i="18" s="1"/>
  <c r="AT467" i="18" s="1"/>
  <c r="AU467" i="18" s="1"/>
  <c r="AV467" i="18" s="1"/>
  <c r="AW467" i="18" s="1"/>
  <c r="AX467" i="18" s="1"/>
  <c r="AY467" i="18" s="1"/>
  <c r="AZ467" i="18" s="1"/>
  <c r="BA467" i="18" s="1"/>
  <c r="BB467" i="18" s="1"/>
  <c r="BC467" i="18" s="1"/>
  <c r="BD467" i="18" s="1"/>
  <c r="BE467" i="18" s="1"/>
  <c r="BF467" i="18" s="1"/>
  <c r="BG467" i="18" s="1"/>
  <c r="BH467" i="18" s="1"/>
  <c r="AM467" i="18"/>
  <c r="AL467" i="18"/>
  <c r="AK467" i="18"/>
  <c r="AJ467" i="18"/>
  <c r="AI467" i="18"/>
  <c r="AH467" i="18"/>
  <c r="AG467" i="18"/>
  <c r="AF467" i="18"/>
  <c r="AE467" i="18"/>
  <c r="AD467" i="18"/>
  <c r="AC467" i="18"/>
  <c r="AB467" i="18"/>
  <c r="AA467" i="18"/>
  <c r="Z467" i="18"/>
  <c r="Y467" i="18"/>
  <c r="X467" i="18"/>
  <c r="W467" i="18"/>
  <c r="V467" i="18"/>
  <c r="U467" i="18"/>
  <c r="T467" i="18"/>
  <c r="S467" i="18"/>
  <c r="R467" i="18"/>
  <c r="Q467" i="18"/>
  <c r="P467" i="18"/>
  <c r="O467" i="18"/>
  <c r="N467" i="18"/>
  <c r="M467" i="18"/>
  <c r="L467" i="18"/>
  <c r="K467" i="18"/>
  <c r="J467" i="18"/>
  <c r="I467" i="18"/>
  <c r="H467" i="18"/>
  <c r="G467" i="18"/>
  <c r="F467" i="18"/>
  <c r="E467" i="18"/>
  <c r="D467" i="18"/>
  <c r="C467" i="18"/>
  <c r="B467" i="18"/>
  <c r="BC466" i="18"/>
  <c r="BD466" i="18" s="1"/>
  <c r="BE466" i="18" s="1"/>
  <c r="BF466" i="18" s="1"/>
  <c r="BG466" i="18" s="1"/>
  <c r="BH466" i="18" s="1"/>
  <c r="AV466" i="18"/>
  <c r="AW466" i="18" s="1"/>
  <c r="AX466" i="18" s="1"/>
  <c r="AY466" i="18" s="1"/>
  <c r="AZ466" i="18" s="1"/>
  <c r="BA466" i="18" s="1"/>
  <c r="BB466" i="18" s="1"/>
  <c r="AU466" i="18"/>
  <c r="AN466" i="18"/>
  <c r="AO466" i="18" s="1"/>
  <c r="AP466" i="18" s="1"/>
  <c r="AQ466" i="18" s="1"/>
  <c r="AR466" i="18" s="1"/>
  <c r="AS466" i="18" s="1"/>
  <c r="AT466" i="18" s="1"/>
  <c r="AM466" i="18"/>
  <c r="AL466" i="18"/>
  <c r="AK466" i="18"/>
  <c r="AJ466" i="18"/>
  <c r="AI466" i="18"/>
  <c r="AH466" i="18"/>
  <c r="AG466" i="18"/>
  <c r="AF466" i="18"/>
  <c r="AE466" i="18"/>
  <c r="AD466" i="18"/>
  <c r="AC466" i="18"/>
  <c r="AB466" i="18"/>
  <c r="AA466" i="18"/>
  <c r="Z466" i="18"/>
  <c r="Y466" i="18"/>
  <c r="X466" i="18"/>
  <c r="W466" i="18"/>
  <c r="V466" i="18"/>
  <c r="U466" i="18"/>
  <c r="T466" i="18"/>
  <c r="S466" i="18"/>
  <c r="R466" i="18"/>
  <c r="Q466" i="18"/>
  <c r="P466" i="18"/>
  <c r="O466" i="18"/>
  <c r="N466" i="18"/>
  <c r="M466" i="18"/>
  <c r="L466" i="18"/>
  <c r="K466" i="18"/>
  <c r="J466" i="18"/>
  <c r="I466" i="18"/>
  <c r="H466" i="18"/>
  <c r="G466" i="18"/>
  <c r="F466" i="18"/>
  <c r="E466" i="18"/>
  <c r="D466" i="18"/>
  <c r="C466" i="18"/>
  <c r="B466" i="18"/>
  <c r="AN465" i="18"/>
  <c r="AO465" i="18" s="1"/>
  <c r="AP465" i="18" s="1"/>
  <c r="AQ465" i="18" s="1"/>
  <c r="AR465" i="18" s="1"/>
  <c r="AS465" i="18" s="1"/>
  <c r="AT465" i="18" s="1"/>
  <c r="AU465" i="18" s="1"/>
  <c r="AV465" i="18" s="1"/>
  <c r="AW465" i="18" s="1"/>
  <c r="AX465" i="18" s="1"/>
  <c r="AY465" i="18" s="1"/>
  <c r="AZ465" i="18" s="1"/>
  <c r="BA465" i="18" s="1"/>
  <c r="BB465" i="18" s="1"/>
  <c r="BC465" i="18" s="1"/>
  <c r="BD465" i="18" s="1"/>
  <c r="BE465" i="18" s="1"/>
  <c r="BF465" i="18" s="1"/>
  <c r="BG465" i="18" s="1"/>
  <c r="BH465" i="18" s="1"/>
  <c r="AM465" i="18"/>
  <c r="AL465" i="18"/>
  <c r="AK465" i="18"/>
  <c r="AJ465" i="18"/>
  <c r="AI465" i="18"/>
  <c r="AH465" i="18"/>
  <c r="AG465" i="18"/>
  <c r="AF465" i="18"/>
  <c r="AE465" i="18"/>
  <c r="AD465" i="18"/>
  <c r="AC465" i="18"/>
  <c r="AB465" i="18"/>
  <c r="AA465" i="18"/>
  <c r="Z465" i="18"/>
  <c r="Y465" i="18"/>
  <c r="X465" i="18"/>
  <c r="W465" i="18"/>
  <c r="V465" i="18"/>
  <c r="U465" i="18"/>
  <c r="T465" i="18"/>
  <c r="S465" i="18"/>
  <c r="R465" i="18"/>
  <c r="Q465" i="18"/>
  <c r="P465" i="18"/>
  <c r="O465" i="18"/>
  <c r="N465" i="18"/>
  <c r="M465" i="18"/>
  <c r="L465" i="18"/>
  <c r="K465" i="18"/>
  <c r="J465" i="18"/>
  <c r="I465" i="18"/>
  <c r="H465" i="18"/>
  <c r="G465" i="18"/>
  <c r="F465" i="18"/>
  <c r="E465" i="18"/>
  <c r="D465" i="18"/>
  <c r="C465" i="18"/>
  <c r="B465" i="18"/>
  <c r="AT464" i="18"/>
  <c r="AU464" i="18" s="1"/>
  <c r="AV464" i="18" s="1"/>
  <c r="AW464" i="18" s="1"/>
  <c r="AX464" i="18" s="1"/>
  <c r="AY464" i="18" s="1"/>
  <c r="AZ464" i="18" s="1"/>
  <c r="BA464" i="18" s="1"/>
  <c r="BB464" i="18" s="1"/>
  <c r="BC464" i="18" s="1"/>
  <c r="BD464" i="18" s="1"/>
  <c r="BE464" i="18" s="1"/>
  <c r="BF464" i="18" s="1"/>
  <c r="BG464" i="18" s="1"/>
  <c r="BH464" i="18" s="1"/>
  <c r="AS464" i="18"/>
  <c r="AO464" i="18"/>
  <c r="AP464" i="18" s="1"/>
  <c r="AQ464" i="18" s="1"/>
  <c r="AR464" i="18" s="1"/>
  <c r="AN464" i="18"/>
  <c r="AM464" i="18"/>
  <c r="AL464" i="18"/>
  <c r="AK464" i="18"/>
  <c r="AJ464" i="18"/>
  <c r="AI464" i="18"/>
  <c r="AH464" i="18"/>
  <c r="AG464" i="18"/>
  <c r="AF464" i="18"/>
  <c r="AE464" i="18"/>
  <c r="AD464" i="18"/>
  <c r="AC464" i="18"/>
  <c r="AB464" i="18"/>
  <c r="AA464" i="18"/>
  <c r="Z464" i="18"/>
  <c r="Y464" i="18"/>
  <c r="X464" i="18"/>
  <c r="W464" i="18"/>
  <c r="V464" i="18"/>
  <c r="U464" i="18"/>
  <c r="T464" i="18"/>
  <c r="S464" i="18"/>
  <c r="R464" i="18"/>
  <c r="Q464" i="18"/>
  <c r="P464" i="18"/>
  <c r="O464" i="18"/>
  <c r="N464" i="18"/>
  <c r="M464" i="18"/>
  <c r="L464" i="18"/>
  <c r="K464" i="18"/>
  <c r="J464" i="18"/>
  <c r="I464" i="18"/>
  <c r="H464" i="18"/>
  <c r="G464" i="18"/>
  <c r="F464" i="18"/>
  <c r="E464" i="18"/>
  <c r="D464" i="18"/>
  <c r="C464" i="18"/>
  <c r="B464" i="18"/>
  <c r="M462" i="18"/>
  <c r="L462" i="18"/>
  <c r="K462" i="18"/>
  <c r="J462" i="18"/>
  <c r="I462" i="18"/>
  <c r="H462" i="18"/>
  <c r="G462" i="18"/>
  <c r="F462" i="18"/>
  <c r="E462" i="18"/>
  <c r="D462" i="18"/>
  <c r="C462" i="18"/>
  <c r="B462" i="18"/>
  <c r="M461" i="18"/>
  <c r="L461" i="18"/>
  <c r="K461" i="18"/>
  <c r="J461" i="18"/>
  <c r="I461" i="18"/>
  <c r="H461" i="18"/>
  <c r="G461" i="18"/>
  <c r="F461" i="18"/>
  <c r="E461" i="18"/>
  <c r="D461" i="18"/>
  <c r="C461" i="18"/>
  <c r="B461" i="18"/>
  <c r="M460" i="18"/>
  <c r="L460" i="18"/>
  <c r="K460" i="18"/>
  <c r="J460" i="18"/>
  <c r="I460" i="18"/>
  <c r="H460" i="18"/>
  <c r="G460" i="18"/>
  <c r="F460" i="18"/>
  <c r="E460" i="18"/>
  <c r="D460" i="18"/>
  <c r="C460" i="18"/>
  <c r="B460" i="18"/>
  <c r="M459" i="18"/>
  <c r="L459" i="18"/>
  <c r="K459" i="18"/>
  <c r="J459" i="18"/>
  <c r="I459" i="18"/>
  <c r="H459" i="18"/>
  <c r="G459" i="18"/>
  <c r="F459" i="18"/>
  <c r="E459" i="18"/>
  <c r="D459" i="18"/>
  <c r="C459" i="18"/>
  <c r="B459" i="18"/>
  <c r="M458" i="18"/>
  <c r="L458" i="18"/>
  <c r="K458" i="18"/>
  <c r="J458" i="18"/>
  <c r="I458" i="18"/>
  <c r="H458" i="18"/>
  <c r="G458" i="18"/>
  <c r="F458" i="18"/>
  <c r="E458" i="18"/>
  <c r="D458" i="18"/>
  <c r="C458" i="18"/>
  <c r="B458" i="18"/>
  <c r="M457" i="18"/>
  <c r="L457" i="18"/>
  <c r="K457" i="18"/>
  <c r="J457" i="18"/>
  <c r="I457" i="18"/>
  <c r="H457" i="18"/>
  <c r="G457" i="18"/>
  <c r="F457" i="18"/>
  <c r="E457" i="18"/>
  <c r="D457" i="18"/>
  <c r="C457" i="18"/>
  <c r="B457" i="18"/>
  <c r="M456" i="18"/>
  <c r="L456" i="18"/>
  <c r="K456" i="18"/>
  <c r="J456" i="18"/>
  <c r="I456" i="18"/>
  <c r="H456" i="18"/>
  <c r="G456" i="18"/>
  <c r="F456" i="18"/>
  <c r="E456" i="18"/>
  <c r="D456" i="18"/>
  <c r="C456" i="18"/>
  <c r="B456" i="18"/>
  <c r="M455" i="18"/>
  <c r="L455" i="18"/>
  <c r="K455" i="18"/>
  <c r="J455" i="18"/>
  <c r="I455" i="18"/>
  <c r="H455" i="18"/>
  <c r="G455" i="18"/>
  <c r="F455" i="18"/>
  <c r="E455" i="18"/>
  <c r="D455" i="18"/>
  <c r="C455" i="18"/>
  <c r="B455" i="18"/>
  <c r="M454" i="18"/>
  <c r="L454" i="18"/>
  <c r="K454" i="18"/>
  <c r="J454" i="18"/>
  <c r="I454" i="18"/>
  <c r="H454" i="18"/>
  <c r="G454" i="18"/>
  <c r="F454" i="18"/>
  <c r="E454" i="18"/>
  <c r="D454" i="18"/>
  <c r="C454" i="18"/>
  <c r="B454" i="18"/>
  <c r="M453" i="18"/>
  <c r="L453" i="18"/>
  <c r="K453" i="18"/>
  <c r="J453" i="18"/>
  <c r="I453" i="18"/>
  <c r="H453" i="18"/>
  <c r="G453" i="18"/>
  <c r="F453" i="18"/>
  <c r="E453" i="18"/>
  <c r="D453" i="18"/>
  <c r="C453" i="18"/>
  <c r="B453" i="18"/>
  <c r="AN451" i="18"/>
  <c r="AO451" i="18" s="1"/>
  <c r="AP451" i="18" s="1"/>
  <c r="AQ451" i="18" s="1"/>
  <c r="AR451" i="18" s="1"/>
  <c r="AS451" i="18" s="1"/>
  <c r="AT451" i="18" s="1"/>
  <c r="AU451" i="18" s="1"/>
  <c r="AV451" i="18" s="1"/>
  <c r="AW451" i="18" s="1"/>
  <c r="AX451" i="18" s="1"/>
  <c r="AY451" i="18" s="1"/>
  <c r="AZ451" i="18" s="1"/>
  <c r="BA451" i="18" s="1"/>
  <c r="BB451" i="18" s="1"/>
  <c r="BC451" i="18" s="1"/>
  <c r="BD451" i="18" s="1"/>
  <c r="BE451" i="18" s="1"/>
  <c r="BF451" i="18" s="1"/>
  <c r="BG451" i="18" s="1"/>
  <c r="BH451" i="18" s="1"/>
  <c r="AM451" i="18"/>
  <c r="AL451" i="18"/>
  <c r="AK451" i="18"/>
  <c r="AJ451" i="18"/>
  <c r="AI451" i="18"/>
  <c r="AH451" i="18"/>
  <c r="AG451" i="18"/>
  <c r="AF451" i="18"/>
  <c r="AE451" i="18"/>
  <c r="AD451" i="18"/>
  <c r="AC451" i="18"/>
  <c r="AB451" i="18"/>
  <c r="AA451" i="18"/>
  <c r="Z451" i="18"/>
  <c r="Y451" i="18"/>
  <c r="X451" i="18"/>
  <c r="W451" i="18"/>
  <c r="V451" i="18"/>
  <c r="U451" i="18"/>
  <c r="T451" i="18"/>
  <c r="S451" i="18"/>
  <c r="R451" i="18"/>
  <c r="Q451" i="18"/>
  <c r="P451" i="18"/>
  <c r="O451" i="18"/>
  <c r="N451" i="18"/>
  <c r="M451" i="18"/>
  <c r="L451" i="18"/>
  <c r="K451" i="18"/>
  <c r="J451" i="18"/>
  <c r="I451" i="18"/>
  <c r="H451" i="18"/>
  <c r="G451" i="18"/>
  <c r="F451" i="18"/>
  <c r="E451" i="18"/>
  <c r="D451" i="18"/>
  <c r="C451" i="18"/>
  <c r="B451" i="18"/>
  <c r="BG450" i="18"/>
  <c r="BH450" i="18" s="1"/>
  <c r="AN450" i="18"/>
  <c r="AO450" i="18" s="1"/>
  <c r="AP450" i="18" s="1"/>
  <c r="AQ450" i="18" s="1"/>
  <c r="AR450" i="18" s="1"/>
  <c r="AS450" i="18" s="1"/>
  <c r="AT450" i="18" s="1"/>
  <c r="AU450" i="18" s="1"/>
  <c r="AV450" i="18" s="1"/>
  <c r="AW450" i="18" s="1"/>
  <c r="AX450" i="18" s="1"/>
  <c r="AY450" i="18" s="1"/>
  <c r="AZ450" i="18" s="1"/>
  <c r="BA450" i="18" s="1"/>
  <c r="BB450" i="18" s="1"/>
  <c r="BC450" i="18" s="1"/>
  <c r="BD450" i="18" s="1"/>
  <c r="BE450" i="18" s="1"/>
  <c r="BF450" i="18" s="1"/>
  <c r="AM450" i="18"/>
  <c r="AL450" i="18"/>
  <c r="AK450" i="18"/>
  <c r="AJ450" i="18"/>
  <c r="AI450" i="18"/>
  <c r="AH450" i="18"/>
  <c r="AG450" i="18"/>
  <c r="AF450" i="18"/>
  <c r="AE450" i="18"/>
  <c r="AD450" i="18"/>
  <c r="AC450" i="18"/>
  <c r="AB450" i="18"/>
  <c r="AA450" i="18"/>
  <c r="Z450" i="18"/>
  <c r="Y450" i="18"/>
  <c r="X450" i="18"/>
  <c r="W450" i="18"/>
  <c r="V450" i="18"/>
  <c r="U450" i="18"/>
  <c r="T450" i="18"/>
  <c r="S450" i="18"/>
  <c r="R450" i="18"/>
  <c r="Q450" i="18"/>
  <c r="P450" i="18"/>
  <c r="O450" i="18"/>
  <c r="N450" i="18"/>
  <c r="M450" i="18"/>
  <c r="L450" i="18"/>
  <c r="K450" i="18"/>
  <c r="J450" i="18"/>
  <c r="I450" i="18"/>
  <c r="H450" i="18"/>
  <c r="G450" i="18"/>
  <c r="F450" i="18"/>
  <c r="E450" i="18"/>
  <c r="D450" i="18"/>
  <c r="C450" i="18"/>
  <c r="B450" i="18"/>
  <c r="AP449" i="18"/>
  <c r="AQ449" i="18" s="1"/>
  <c r="AR449" i="18" s="1"/>
  <c r="AS449" i="18" s="1"/>
  <c r="AT449" i="18" s="1"/>
  <c r="AU449" i="18" s="1"/>
  <c r="AV449" i="18" s="1"/>
  <c r="AW449" i="18" s="1"/>
  <c r="AX449" i="18" s="1"/>
  <c r="AY449" i="18" s="1"/>
  <c r="AZ449" i="18" s="1"/>
  <c r="BA449" i="18" s="1"/>
  <c r="BB449" i="18" s="1"/>
  <c r="BC449" i="18" s="1"/>
  <c r="BD449" i="18" s="1"/>
  <c r="BE449" i="18" s="1"/>
  <c r="BF449" i="18" s="1"/>
  <c r="BG449" i="18" s="1"/>
  <c r="BH449" i="18" s="1"/>
  <c r="AO449" i="18"/>
  <c r="AN449" i="18"/>
  <c r="AM449" i="18"/>
  <c r="AL449" i="18"/>
  <c r="AK449" i="18"/>
  <c r="AJ449" i="18"/>
  <c r="AI449" i="18"/>
  <c r="AH449" i="18"/>
  <c r="AG449" i="18"/>
  <c r="AF449" i="18"/>
  <c r="AE449" i="18"/>
  <c r="AD449" i="18"/>
  <c r="AC449" i="18"/>
  <c r="AB449" i="18"/>
  <c r="AA449" i="18"/>
  <c r="Z449" i="18"/>
  <c r="Y449" i="18"/>
  <c r="X449" i="18"/>
  <c r="W449" i="18"/>
  <c r="V449" i="18"/>
  <c r="U449" i="18"/>
  <c r="T449" i="18"/>
  <c r="S449" i="18"/>
  <c r="R449" i="18"/>
  <c r="Q449" i="18"/>
  <c r="P449" i="18"/>
  <c r="O449" i="18"/>
  <c r="N449" i="18"/>
  <c r="M449" i="18"/>
  <c r="L449" i="18"/>
  <c r="K449" i="18"/>
  <c r="J449" i="18"/>
  <c r="I449" i="18"/>
  <c r="H449" i="18"/>
  <c r="G449" i="18"/>
  <c r="F449" i="18"/>
  <c r="E449" i="18"/>
  <c r="D449" i="18"/>
  <c r="C449" i="18"/>
  <c r="B449" i="18"/>
  <c r="BF448" i="18"/>
  <c r="BG448" i="18" s="1"/>
  <c r="BH448" i="18" s="1"/>
  <c r="AO448" i="18"/>
  <c r="AP448" i="18" s="1"/>
  <c r="AQ448" i="18" s="1"/>
  <c r="AR448" i="18" s="1"/>
  <c r="AS448" i="18" s="1"/>
  <c r="AT448" i="18" s="1"/>
  <c r="AU448" i="18" s="1"/>
  <c r="AV448" i="18" s="1"/>
  <c r="AW448" i="18" s="1"/>
  <c r="AX448" i="18" s="1"/>
  <c r="AY448" i="18" s="1"/>
  <c r="AZ448" i="18" s="1"/>
  <c r="BA448" i="18" s="1"/>
  <c r="BB448" i="18" s="1"/>
  <c r="BC448" i="18" s="1"/>
  <c r="BD448" i="18" s="1"/>
  <c r="BE448" i="18" s="1"/>
  <c r="AN448" i="18"/>
  <c r="AM448" i="18"/>
  <c r="AL448" i="18"/>
  <c r="AK448" i="18"/>
  <c r="AJ448" i="18"/>
  <c r="AI448" i="18"/>
  <c r="AH448" i="18"/>
  <c r="AG448" i="18"/>
  <c r="AF448" i="18"/>
  <c r="AE448" i="18"/>
  <c r="AD448" i="18"/>
  <c r="AC448" i="18"/>
  <c r="AB448" i="18"/>
  <c r="AA448" i="18"/>
  <c r="Z448" i="18"/>
  <c r="Y448" i="18"/>
  <c r="X448" i="18"/>
  <c r="W448" i="18"/>
  <c r="V448" i="18"/>
  <c r="U448" i="18"/>
  <c r="T448" i="18"/>
  <c r="S448" i="18"/>
  <c r="R448" i="18"/>
  <c r="Q448" i="18"/>
  <c r="P448" i="18"/>
  <c r="O448" i="18"/>
  <c r="N448" i="18"/>
  <c r="M448" i="18"/>
  <c r="L448" i="18"/>
  <c r="K448" i="18"/>
  <c r="J448" i="18"/>
  <c r="I448" i="18"/>
  <c r="H448" i="18"/>
  <c r="G448" i="18"/>
  <c r="F448" i="18"/>
  <c r="E448" i="18"/>
  <c r="D448" i="18"/>
  <c r="C448" i="18"/>
  <c r="B448" i="18"/>
  <c r="BH447" i="18"/>
  <c r="BE447" i="18"/>
  <c r="BF447" i="18" s="1"/>
  <c r="BG447" i="18" s="1"/>
  <c r="AR447" i="18"/>
  <c r="AS447" i="18" s="1"/>
  <c r="AT447" i="18" s="1"/>
  <c r="AU447" i="18" s="1"/>
  <c r="AV447" i="18" s="1"/>
  <c r="AW447" i="18" s="1"/>
  <c r="AX447" i="18" s="1"/>
  <c r="AY447" i="18" s="1"/>
  <c r="AZ447" i="18" s="1"/>
  <c r="BA447" i="18" s="1"/>
  <c r="BB447" i="18" s="1"/>
  <c r="BC447" i="18" s="1"/>
  <c r="BD447" i="18" s="1"/>
  <c r="AO447" i="18"/>
  <c r="AP447" i="18" s="1"/>
  <c r="AQ447" i="18" s="1"/>
  <c r="AN447" i="18"/>
  <c r="AM447" i="18"/>
  <c r="AL447" i="18"/>
  <c r="AK447" i="18"/>
  <c r="AJ447" i="18"/>
  <c r="AI447" i="18"/>
  <c r="AH447" i="18"/>
  <c r="AG447" i="18"/>
  <c r="AF447" i="18"/>
  <c r="AE447" i="18"/>
  <c r="AD447" i="18"/>
  <c r="AC447" i="18"/>
  <c r="AB447" i="18"/>
  <c r="AA447" i="18"/>
  <c r="Z447" i="18"/>
  <c r="Y447" i="18"/>
  <c r="X447" i="18"/>
  <c r="W447" i="18"/>
  <c r="V447" i="18"/>
  <c r="U447" i="18"/>
  <c r="T447" i="18"/>
  <c r="S447" i="18"/>
  <c r="R447" i="18"/>
  <c r="Q447" i="18"/>
  <c r="P447" i="18"/>
  <c r="O447" i="18"/>
  <c r="N447" i="18"/>
  <c r="M447" i="18"/>
  <c r="L447" i="18"/>
  <c r="K447" i="18"/>
  <c r="J447" i="18"/>
  <c r="I447" i="18"/>
  <c r="H447" i="18"/>
  <c r="G447" i="18"/>
  <c r="F447" i="18"/>
  <c r="E447" i="18"/>
  <c r="D447" i="18"/>
  <c r="C447" i="18"/>
  <c r="B447" i="18"/>
  <c r="M444" i="18"/>
  <c r="L444" i="18"/>
  <c r="K444" i="18"/>
  <c r="J444" i="18"/>
  <c r="I444" i="18"/>
  <c r="H444" i="18"/>
  <c r="G444" i="18"/>
  <c r="F444" i="18"/>
  <c r="E444" i="18"/>
  <c r="D444" i="18"/>
  <c r="C444" i="18"/>
  <c r="B444" i="18"/>
  <c r="M443" i="18"/>
  <c r="L443" i="18"/>
  <c r="K443" i="18"/>
  <c r="J443" i="18"/>
  <c r="I443" i="18"/>
  <c r="H443" i="18"/>
  <c r="G443" i="18"/>
  <c r="F443" i="18"/>
  <c r="E443" i="18"/>
  <c r="D443" i="18"/>
  <c r="C443" i="18"/>
  <c r="B443" i="18"/>
  <c r="M442" i="18"/>
  <c r="L442" i="18"/>
  <c r="K442" i="18"/>
  <c r="J442" i="18"/>
  <c r="I442" i="18"/>
  <c r="H442" i="18"/>
  <c r="G442" i="18"/>
  <c r="F442" i="18"/>
  <c r="E442" i="18"/>
  <c r="D442" i="18"/>
  <c r="C442" i="18"/>
  <c r="B442" i="18"/>
  <c r="M441" i="18"/>
  <c r="L441" i="18"/>
  <c r="K441" i="18"/>
  <c r="J441" i="18"/>
  <c r="I441" i="18"/>
  <c r="H441" i="18"/>
  <c r="G441" i="18"/>
  <c r="F441" i="18"/>
  <c r="E441" i="18"/>
  <c r="D441" i="18"/>
  <c r="C441" i="18"/>
  <c r="B441" i="18"/>
  <c r="M440" i="18"/>
  <c r="L440" i="18"/>
  <c r="K440" i="18"/>
  <c r="J440" i="18"/>
  <c r="I440" i="18"/>
  <c r="H440" i="18"/>
  <c r="G440" i="18"/>
  <c r="F440" i="18"/>
  <c r="E440" i="18"/>
  <c r="D440" i="18"/>
  <c r="C440" i="18"/>
  <c r="B440" i="18"/>
  <c r="M438" i="18"/>
  <c r="L438" i="18"/>
  <c r="K438" i="18"/>
  <c r="J438" i="18"/>
  <c r="I438" i="18"/>
  <c r="H438" i="18"/>
  <c r="G438" i="18"/>
  <c r="F438" i="18"/>
  <c r="E438" i="18"/>
  <c r="D438" i="18"/>
  <c r="C438" i="18"/>
  <c r="B438" i="18"/>
  <c r="M437" i="18"/>
  <c r="L437" i="18"/>
  <c r="K437" i="18"/>
  <c r="J437" i="18"/>
  <c r="I437" i="18"/>
  <c r="H437" i="18"/>
  <c r="G437" i="18"/>
  <c r="F437" i="18"/>
  <c r="E437" i="18"/>
  <c r="D437" i="18"/>
  <c r="C437" i="18"/>
  <c r="B437" i="18"/>
  <c r="M436" i="18"/>
  <c r="L436" i="18"/>
  <c r="K436" i="18"/>
  <c r="J436" i="18"/>
  <c r="I436" i="18"/>
  <c r="H436" i="18"/>
  <c r="G436" i="18"/>
  <c r="F436" i="18"/>
  <c r="E436" i="18"/>
  <c r="D436" i="18"/>
  <c r="C436" i="18"/>
  <c r="B436" i="18"/>
  <c r="M435" i="18"/>
  <c r="L435" i="18"/>
  <c r="K435" i="18"/>
  <c r="J435" i="18"/>
  <c r="I435" i="18"/>
  <c r="H435" i="18"/>
  <c r="G435" i="18"/>
  <c r="F435" i="18"/>
  <c r="E435" i="18"/>
  <c r="D435" i="18"/>
  <c r="C435" i="18"/>
  <c r="B435" i="18"/>
  <c r="M434" i="18"/>
  <c r="L434" i="18"/>
  <c r="K434" i="18"/>
  <c r="J434" i="18"/>
  <c r="I434" i="18"/>
  <c r="H434" i="18"/>
  <c r="G434" i="18"/>
  <c r="F434" i="18"/>
  <c r="E434" i="18"/>
  <c r="D434" i="18"/>
  <c r="C434" i="18"/>
  <c r="B434" i="18"/>
  <c r="M433" i="18"/>
  <c r="L433" i="18"/>
  <c r="K433" i="18"/>
  <c r="K343" i="18" s="1"/>
  <c r="J433" i="18"/>
  <c r="I433" i="18"/>
  <c r="H433" i="18"/>
  <c r="G433" i="18"/>
  <c r="F433" i="18"/>
  <c r="E433" i="18"/>
  <c r="D433" i="18"/>
  <c r="C433" i="18"/>
  <c r="C343" i="18" s="1"/>
  <c r="B433" i="18"/>
  <c r="AX431" i="18"/>
  <c r="AY431" i="18" s="1"/>
  <c r="AZ431" i="18" s="1"/>
  <c r="BA431" i="18" s="1"/>
  <c r="BB431" i="18" s="1"/>
  <c r="BC431" i="18" s="1"/>
  <c r="BD431" i="18" s="1"/>
  <c r="BE431" i="18" s="1"/>
  <c r="BF431" i="18" s="1"/>
  <c r="BG431" i="18" s="1"/>
  <c r="BH431" i="18" s="1"/>
  <c r="AW431" i="18"/>
  <c r="AP431" i="18"/>
  <c r="AQ431" i="18" s="1"/>
  <c r="AR431" i="18" s="1"/>
  <c r="AS431" i="18" s="1"/>
  <c r="AT431" i="18" s="1"/>
  <c r="AU431" i="18" s="1"/>
  <c r="AV431" i="18" s="1"/>
  <c r="AO431" i="18"/>
  <c r="AN431" i="18"/>
  <c r="AM431" i="18"/>
  <c r="AL431" i="18"/>
  <c r="AK431" i="18"/>
  <c r="AJ431" i="18"/>
  <c r="AI431" i="18"/>
  <c r="AH431" i="18"/>
  <c r="AG431" i="18"/>
  <c r="AF431" i="18"/>
  <c r="AE431" i="18"/>
  <c r="AD431" i="18"/>
  <c r="AC431" i="18"/>
  <c r="AB431" i="18"/>
  <c r="AA431" i="18"/>
  <c r="Z431" i="18"/>
  <c r="Y431" i="18"/>
  <c r="X431" i="18"/>
  <c r="W431" i="18"/>
  <c r="V431" i="18"/>
  <c r="U431" i="18"/>
  <c r="T431" i="18"/>
  <c r="S431" i="18"/>
  <c r="R431" i="18"/>
  <c r="Q431" i="18"/>
  <c r="P431" i="18"/>
  <c r="O431" i="18"/>
  <c r="N431" i="18"/>
  <c r="M431" i="18"/>
  <c r="L431" i="18"/>
  <c r="K431" i="18"/>
  <c r="J431" i="18"/>
  <c r="I431" i="18"/>
  <c r="H431" i="18"/>
  <c r="G431" i="18"/>
  <c r="F431" i="18"/>
  <c r="E431" i="18"/>
  <c r="D431" i="18"/>
  <c r="C431" i="18"/>
  <c r="B431" i="18"/>
  <c r="AO430" i="18"/>
  <c r="AP430" i="18" s="1"/>
  <c r="AQ430" i="18" s="1"/>
  <c r="AR430" i="18" s="1"/>
  <c r="AS430" i="18" s="1"/>
  <c r="AT430" i="18" s="1"/>
  <c r="AU430" i="18" s="1"/>
  <c r="AV430" i="18" s="1"/>
  <c r="AW430" i="18" s="1"/>
  <c r="AX430" i="18" s="1"/>
  <c r="AY430" i="18" s="1"/>
  <c r="AZ430" i="18" s="1"/>
  <c r="BA430" i="18" s="1"/>
  <c r="BB430" i="18" s="1"/>
  <c r="BC430" i="18" s="1"/>
  <c r="BD430" i="18" s="1"/>
  <c r="BE430" i="18" s="1"/>
  <c r="BF430" i="18" s="1"/>
  <c r="BG430" i="18" s="1"/>
  <c r="BH430" i="18" s="1"/>
  <c r="AN430" i="18"/>
  <c r="AM430" i="18"/>
  <c r="AL430" i="18"/>
  <c r="AK430" i="18"/>
  <c r="AJ430" i="18"/>
  <c r="AI430" i="18"/>
  <c r="AH430" i="18"/>
  <c r="AG430" i="18"/>
  <c r="AF430" i="18"/>
  <c r="AE430" i="18"/>
  <c r="AD430" i="18"/>
  <c r="AC430" i="18"/>
  <c r="AB430" i="18"/>
  <c r="AA430" i="18"/>
  <c r="Z430" i="18"/>
  <c r="Y430" i="18"/>
  <c r="X430" i="18"/>
  <c r="W430" i="18"/>
  <c r="V430" i="18"/>
  <c r="U430" i="18"/>
  <c r="T430" i="18"/>
  <c r="S430" i="18"/>
  <c r="R430" i="18"/>
  <c r="Q430" i="18"/>
  <c r="P430" i="18"/>
  <c r="O430" i="18"/>
  <c r="N430" i="18"/>
  <c r="M430" i="18"/>
  <c r="L430" i="18"/>
  <c r="K430" i="18"/>
  <c r="J430" i="18"/>
  <c r="I430" i="18"/>
  <c r="H430" i="18"/>
  <c r="G430" i="18"/>
  <c r="F430" i="18"/>
  <c r="E430" i="18"/>
  <c r="D430" i="18"/>
  <c r="C430" i="18"/>
  <c r="B430" i="18"/>
  <c r="BH429" i="18"/>
  <c r="AY429" i="18"/>
  <c r="AZ429" i="18" s="1"/>
  <c r="BA429" i="18" s="1"/>
  <c r="BB429" i="18" s="1"/>
  <c r="BC429" i="18" s="1"/>
  <c r="BD429" i="18" s="1"/>
  <c r="BE429" i="18" s="1"/>
  <c r="BF429" i="18" s="1"/>
  <c r="BG429" i="18" s="1"/>
  <c r="AW429" i="18"/>
  <c r="AX429" i="18" s="1"/>
  <c r="AN429" i="18"/>
  <c r="AO429" i="18" s="1"/>
  <c r="AP429" i="18" s="1"/>
  <c r="AQ429" i="18" s="1"/>
  <c r="AR429" i="18" s="1"/>
  <c r="AS429" i="18" s="1"/>
  <c r="AT429" i="18" s="1"/>
  <c r="AU429" i="18" s="1"/>
  <c r="AV429" i="18" s="1"/>
  <c r="AM429" i="18"/>
  <c r="AL429" i="18"/>
  <c r="AK429" i="18"/>
  <c r="AJ429" i="18"/>
  <c r="AI429" i="18"/>
  <c r="AH429" i="18"/>
  <c r="AG429" i="18"/>
  <c r="AF429" i="18"/>
  <c r="AE429" i="18"/>
  <c r="AD429" i="18"/>
  <c r="AC429" i="18"/>
  <c r="AB429" i="18"/>
  <c r="AA429" i="18"/>
  <c r="Z429" i="18"/>
  <c r="Y429" i="18"/>
  <c r="X429" i="18"/>
  <c r="W429" i="18"/>
  <c r="V429" i="18"/>
  <c r="U429" i="18"/>
  <c r="T429" i="18"/>
  <c r="S429" i="18"/>
  <c r="R429" i="18"/>
  <c r="Q429" i="18"/>
  <c r="P429" i="18"/>
  <c r="O429" i="18"/>
  <c r="N429" i="18"/>
  <c r="M429" i="18"/>
  <c r="L429" i="18"/>
  <c r="K429" i="18"/>
  <c r="J429" i="18"/>
  <c r="I429" i="18"/>
  <c r="H429" i="18"/>
  <c r="G429" i="18"/>
  <c r="F429" i="18"/>
  <c r="E429" i="18"/>
  <c r="D429" i="18"/>
  <c r="C429" i="18"/>
  <c r="B429" i="18"/>
  <c r="AQ428" i="18"/>
  <c r="AR428" i="18" s="1"/>
  <c r="AS428" i="18" s="1"/>
  <c r="AT428" i="18" s="1"/>
  <c r="AU428" i="18" s="1"/>
  <c r="AV428" i="18" s="1"/>
  <c r="AW428" i="18" s="1"/>
  <c r="AX428" i="18" s="1"/>
  <c r="AY428" i="18" s="1"/>
  <c r="AZ428" i="18" s="1"/>
  <c r="BA428" i="18" s="1"/>
  <c r="BB428" i="18" s="1"/>
  <c r="BC428" i="18" s="1"/>
  <c r="BD428" i="18" s="1"/>
  <c r="BE428" i="18" s="1"/>
  <c r="BF428" i="18" s="1"/>
  <c r="BG428" i="18" s="1"/>
  <c r="BH428" i="18" s="1"/>
  <c r="AP428" i="18"/>
  <c r="AO428" i="18"/>
  <c r="AN428" i="18"/>
  <c r="AM428" i="18"/>
  <c r="AL428" i="18"/>
  <c r="AK428" i="18"/>
  <c r="AJ428" i="18"/>
  <c r="AI428" i="18"/>
  <c r="AH428" i="18"/>
  <c r="AG428" i="18"/>
  <c r="AF428" i="18"/>
  <c r="AE428" i="18"/>
  <c r="AD428" i="18"/>
  <c r="AC428" i="18"/>
  <c r="AB428" i="18"/>
  <c r="AA428" i="18"/>
  <c r="Z428" i="18"/>
  <c r="Y428" i="18"/>
  <c r="X428" i="18"/>
  <c r="W428" i="18"/>
  <c r="V428" i="18"/>
  <c r="U428" i="18"/>
  <c r="T428" i="18"/>
  <c r="S428" i="18"/>
  <c r="R428" i="18"/>
  <c r="Q428" i="18"/>
  <c r="P428" i="18"/>
  <c r="O428" i="18"/>
  <c r="N428" i="18"/>
  <c r="M428" i="18"/>
  <c r="L428" i="18"/>
  <c r="K428" i="18"/>
  <c r="J428" i="18"/>
  <c r="I428" i="18"/>
  <c r="H428" i="18"/>
  <c r="G428" i="18"/>
  <c r="F428" i="18"/>
  <c r="E428" i="18"/>
  <c r="D428" i="18"/>
  <c r="C428" i="18"/>
  <c r="B428" i="18"/>
  <c r="BB427" i="18"/>
  <c r="BC427" i="18" s="1"/>
  <c r="BD427" i="18" s="1"/>
  <c r="BE427" i="18" s="1"/>
  <c r="BF427" i="18" s="1"/>
  <c r="BG427" i="18" s="1"/>
  <c r="BH427" i="18" s="1"/>
  <c r="BA427" i="18"/>
  <c r="AT427" i="18"/>
  <c r="AU427" i="18" s="1"/>
  <c r="AV427" i="18" s="1"/>
  <c r="AW427" i="18" s="1"/>
  <c r="AX427" i="18" s="1"/>
  <c r="AY427" i="18" s="1"/>
  <c r="AZ427" i="18" s="1"/>
  <c r="AS427" i="18"/>
  <c r="AO427" i="18"/>
  <c r="AP427" i="18" s="1"/>
  <c r="AQ427" i="18" s="1"/>
  <c r="AR427" i="18" s="1"/>
  <c r="AN427" i="18"/>
  <c r="AM427" i="18"/>
  <c r="AL427" i="18"/>
  <c r="AK427" i="18"/>
  <c r="AK263" i="18" s="1"/>
  <c r="AJ427" i="18"/>
  <c r="AI427" i="18"/>
  <c r="AH427" i="18"/>
  <c r="AG427" i="18"/>
  <c r="AF427" i="18"/>
  <c r="AE427" i="18"/>
  <c r="AD427" i="18"/>
  <c r="AC427" i="18"/>
  <c r="AC263" i="18" s="1"/>
  <c r="AB427" i="18"/>
  <c r="AA427" i="18"/>
  <c r="Z427" i="18"/>
  <c r="Y427" i="18"/>
  <c r="X427" i="18"/>
  <c r="W427" i="18"/>
  <c r="V427" i="18"/>
  <c r="U427" i="18"/>
  <c r="U263" i="18" s="1"/>
  <c r="T427" i="18"/>
  <c r="S427" i="18"/>
  <c r="R427" i="18"/>
  <c r="Q427" i="18"/>
  <c r="P427" i="18"/>
  <c r="O427" i="18"/>
  <c r="N427" i="18"/>
  <c r="M427" i="18"/>
  <c r="M263" i="18" s="1"/>
  <c r="L427" i="18"/>
  <c r="K427" i="18"/>
  <c r="J427" i="18"/>
  <c r="I427" i="18"/>
  <c r="H427" i="18"/>
  <c r="G427" i="18"/>
  <c r="F427" i="18"/>
  <c r="E427" i="18"/>
  <c r="E263" i="18" s="1"/>
  <c r="D427" i="18"/>
  <c r="C427" i="18"/>
  <c r="B427" i="18"/>
  <c r="AO424" i="18"/>
  <c r="AP424" i="18" s="1"/>
  <c r="AQ424" i="18" s="1"/>
  <c r="AR424" i="18" s="1"/>
  <c r="AS424" i="18" s="1"/>
  <c r="AT424" i="18" s="1"/>
  <c r="AU424" i="18" s="1"/>
  <c r="AV424" i="18" s="1"/>
  <c r="AW424" i="18" s="1"/>
  <c r="AX424" i="18" s="1"/>
  <c r="AY424" i="18" s="1"/>
  <c r="AZ424" i="18" s="1"/>
  <c r="BA424" i="18" s="1"/>
  <c r="BB424" i="18" s="1"/>
  <c r="BC424" i="18" s="1"/>
  <c r="BD424" i="18" s="1"/>
  <c r="BE424" i="18" s="1"/>
  <c r="BF424" i="18" s="1"/>
  <c r="BG424" i="18" s="1"/>
  <c r="BH424" i="18" s="1"/>
  <c r="AN424" i="18"/>
  <c r="AM424" i="18"/>
  <c r="AL424" i="18"/>
  <c r="AK424" i="18"/>
  <c r="AJ424" i="18"/>
  <c r="AI424" i="18"/>
  <c r="AH424" i="18"/>
  <c r="AG424" i="18"/>
  <c r="AF424" i="18"/>
  <c r="AE424" i="18"/>
  <c r="AD424" i="18"/>
  <c r="AC424" i="18"/>
  <c r="AB424" i="18"/>
  <c r="AA424" i="18"/>
  <c r="Z424" i="18"/>
  <c r="Y424" i="18"/>
  <c r="X424" i="18"/>
  <c r="W424" i="18"/>
  <c r="V424" i="18"/>
  <c r="U424" i="18"/>
  <c r="T424" i="18"/>
  <c r="S424" i="18"/>
  <c r="R424" i="18"/>
  <c r="Q424" i="18"/>
  <c r="P424" i="18"/>
  <c r="O424" i="18"/>
  <c r="N424" i="18"/>
  <c r="M424" i="18"/>
  <c r="L424" i="18"/>
  <c r="K424" i="18"/>
  <c r="J424" i="18"/>
  <c r="I424" i="18"/>
  <c r="H424" i="18"/>
  <c r="G424" i="18"/>
  <c r="F424" i="18"/>
  <c r="E424" i="18"/>
  <c r="D424" i="18"/>
  <c r="C424" i="18"/>
  <c r="B424" i="18"/>
  <c r="BH423" i="18"/>
  <c r="AN423" i="18"/>
  <c r="AO423" i="18" s="1"/>
  <c r="AP423" i="18" s="1"/>
  <c r="AQ423" i="18" s="1"/>
  <c r="AR423" i="18" s="1"/>
  <c r="AS423" i="18" s="1"/>
  <c r="AT423" i="18" s="1"/>
  <c r="AU423" i="18" s="1"/>
  <c r="AV423" i="18" s="1"/>
  <c r="AW423" i="18" s="1"/>
  <c r="AX423" i="18" s="1"/>
  <c r="AY423" i="18" s="1"/>
  <c r="AZ423" i="18" s="1"/>
  <c r="BA423" i="18" s="1"/>
  <c r="BB423" i="18" s="1"/>
  <c r="BC423" i="18" s="1"/>
  <c r="BD423" i="18" s="1"/>
  <c r="BE423" i="18" s="1"/>
  <c r="BF423" i="18" s="1"/>
  <c r="BG423" i="18" s="1"/>
  <c r="AM423" i="18"/>
  <c r="AL423" i="18"/>
  <c r="AK423" i="18"/>
  <c r="AJ423" i="18"/>
  <c r="AI423" i="18"/>
  <c r="AH423" i="18"/>
  <c r="AG423" i="18"/>
  <c r="AF423" i="18"/>
  <c r="AE423" i="18"/>
  <c r="AD423" i="18"/>
  <c r="AC423" i="18"/>
  <c r="AB423" i="18"/>
  <c r="AA423" i="18"/>
  <c r="Z423" i="18"/>
  <c r="Y423" i="18"/>
  <c r="X423" i="18"/>
  <c r="W423" i="18"/>
  <c r="V423" i="18"/>
  <c r="U423" i="18"/>
  <c r="T423" i="18"/>
  <c r="S423" i="18"/>
  <c r="R423" i="18"/>
  <c r="Q423" i="18"/>
  <c r="P423" i="18"/>
  <c r="O423" i="18"/>
  <c r="N423" i="18"/>
  <c r="M423" i="18"/>
  <c r="L423" i="18"/>
  <c r="K423" i="18"/>
  <c r="J423" i="18"/>
  <c r="I423" i="18"/>
  <c r="H423" i="18"/>
  <c r="G423" i="18"/>
  <c r="F423" i="18"/>
  <c r="E423" i="18"/>
  <c r="D423" i="18"/>
  <c r="C423" i="18"/>
  <c r="B423" i="18"/>
  <c r="BB422" i="18"/>
  <c r="BC422" i="18" s="1"/>
  <c r="BD422" i="18" s="1"/>
  <c r="BE422" i="18" s="1"/>
  <c r="BF422" i="18" s="1"/>
  <c r="BG422" i="18" s="1"/>
  <c r="BH422" i="18" s="1"/>
  <c r="AT422" i="18"/>
  <c r="AU422" i="18" s="1"/>
  <c r="AV422" i="18" s="1"/>
  <c r="AW422" i="18" s="1"/>
  <c r="AX422" i="18" s="1"/>
  <c r="AY422" i="18" s="1"/>
  <c r="AZ422" i="18" s="1"/>
  <c r="BA422" i="18" s="1"/>
  <c r="AP422" i="18"/>
  <c r="AQ422" i="18" s="1"/>
  <c r="AR422" i="18" s="1"/>
  <c r="AS422" i="18" s="1"/>
  <c r="AO422" i="18"/>
  <c r="AN422" i="18"/>
  <c r="AM422" i="18"/>
  <c r="AL422" i="18"/>
  <c r="AK422" i="18"/>
  <c r="AJ422" i="18"/>
  <c r="AI422" i="18"/>
  <c r="AH422" i="18"/>
  <c r="AG422" i="18"/>
  <c r="AF422" i="18"/>
  <c r="AE422" i="18"/>
  <c r="AD422" i="18"/>
  <c r="AC422" i="18"/>
  <c r="AB422" i="18"/>
  <c r="AA422" i="18"/>
  <c r="Z422" i="18"/>
  <c r="Y422" i="18"/>
  <c r="X422" i="18"/>
  <c r="W422" i="18"/>
  <c r="V422" i="18"/>
  <c r="U422" i="18"/>
  <c r="T422" i="18"/>
  <c r="S422" i="18"/>
  <c r="R422" i="18"/>
  <c r="Q422" i="18"/>
  <c r="P422" i="18"/>
  <c r="O422" i="18"/>
  <c r="N422" i="18"/>
  <c r="M422" i="18"/>
  <c r="L422" i="18"/>
  <c r="K422" i="18"/>
  <c r="J422" i="18"/>
  <c r="I422" i="18"/>
  <c r="H422" i="18"/>
  <c r="G422" i="18"/>
  <c r="F422" i="18"/>
  <c r="E422" i="18"/>
  <c r="D422" i="18"/>
  <c r="C422" i="18"/>
  <c r="B422" i="18"/>
  <c r="AP421" i="18"/>
  <c r="AQ421" i="18" s="1"/>
  <c r="AR421" i="18" s="1"/>
  <c r="AS421" i="18" s="1"/>
  <c r="AT421" i="18" s="1"/>
  <c r="AU421" i="18" s="1"/>
  <c r="AV421" i="18" s="1"/>
  <c r="AW421" i="18" s="1"/>
  <c r="AX421" i="18" s="1"/>
  <c r="AY421" i="18" s="1"/>
  <c r="AZ421" i="18" s="1"/>
  <c r="BA421" i="18" s="1"/>
  <c r="BB421" i="18" s="1"/>
  <c r="BC421" i="18" s="1"/>
  <c r="BD421" i="18" s="1"/>
  <c r="BE421" i="18" s="1"/>
  <c r="BF421" i="18" s="1"/>
  <c r="BG421" i="18" s="1"/>
  <c r="BH421" i="18" s="1"/>
  <c r="AO421" i="18"/>
  <c r="AN421" i="18"/>
  <c r="AM421" i="18"/>
  <c r="AL421" i="18"/>
  <c r="AK421" i="18"/>
  <c r="AJ421" i="18"/>
  <c r="AI421" i="18"/>
  <c r="AH421" i="18"/>
  <c r="AG421" i="18"/>
  <c r="AF421" i="18"/>
  <c r="AE421" i="18"/>
  <c r="AD421" i="18"/>
  <c r="AC421" i="18"/>
  <c r="AB421" i="18"/>
  <c r="AA421" i="18"/>
  <c r="Z421" i="18"/>
  <c r="Y421" i="18"/>
  <c r="X421" i="18"/>
  <c r="W421" i="18"/>
  <c r="V421" i="18"/>
  <c r="U421" i="18"/>
  <c r="T421" i="18"/>
  <c r="S421" i="18"/>
  <c r="R421" i="18"/>
  <c r="Q421" i="18"/>
  <c r="P421" i="18"/>
  <c r="O421" i="18"/>
  <c r="N421" i="18"/>
  <c r="M421" i="18"/>
  <c r="L421" i="18"/>
  <c r="K421" i="18"/>
  <c r="J421" i="18"/>
  <c r="I421" i="18"/>
  <c r="H421" i="18"/>
  <c r="G421" i="18"/>
  <c r="F421" i="18"/>
  <c r="E421" i="18"/>
  <c r="D421" i="18"/>
  <c r="C421" i="18"/>
  <c r="B421" i="18"/>
  <c r="BA420" i="18"/>
  <c r="BB420" i="18" s="1"/>
  <c r="BC420" i="18" s="1"/>
  <c r="BD420" i="18" s="1"/>
  <c r="BE420" i="18" s="1"/>
  <c r="BF420" i="18" s="1"/>
  <c r="BG420" i="18" s="1"/>
  <c r="BH420" i="18" s="1"/>
  <c r="AZ420" i="18"/>
  <c r="AS420" i="18"/>
  <c r="AT420" i="18" s="1"/>
  <c r="AU420" i="18" s="1"/>
  <c r="AV420" i="18" s="1"/>
  <c r="AW420" i="18" s="1"/>
  <c r="AX420" i="18" s="1"/>
  <c r="AY420" i="18" s="1"/>
  <c r="AR420" i="18"/>
  <c r="AN420" i="18"/>
  <c r="AO420" i="18" s="1"/>
  <c r="AP420" i="18" s="1"/>
  <c r="AQ420" i="18" s="1"/>
  <c r="AM420" i="18"/>
  <c r="AL420" i="18"/>
  <c r="AK420" i="18"/>
  <c r="AJ420" i="18"/>
  <c r="AI420" i="18"/>
  <c r="AH420" i="18"/>
  <c r="AG420" i="18"/>
  <c r="AF420" i="18"/>
  <c r="AE420" i="18"/>
  <c r="AD420" i="18"/>
  <c r="AC420" i="18"/>
  <c r="AB420" i="18"/>
  <c r="AA420" i="18"/>
  <c r="Z420" i="18"/>
  <c r="Y420" i="18"/>
  <c r="X420" i="18"/>
  <c r="W420" i="18"/>
  <c r="V420" i="18"/>
  <c r="U420" i="18"/>
  <c r="T420" i="18"/>
  <c r="S420" i="18"/>
  <c r="R420" i="18"/>
  <c r="Q420" i="18"/>
  <c r="P420" i="18"/>
  <c r="O420" i="18"/>
  <c r="N420" i="18"/>
  <c r="M420" i="18"/>
  <c r="L420" i="18"/>
  <c r="K420" i="18"/>
  <c r="J420" i="18"/>
  <c r="I420" i="18"/>
  <c r="H420" i="18"/>
  <c r="G420" i="18"/>
  <c r="F420" i="18"/>
  <c r="E420" i="18"/>
  <c r="D420" i="18"/>
  <c r="C420" i="18"/>
  <c r="B420" i="18"/>
  <c r="M417" i="18"/>
  <c r="L417" i="18"/>
  <c r="K417" i="18"/>
  <c r="J417" i="18"/>
  <c r="I417" i="18"/>
  <c r="H417" i="18"/>
  <c r="G417" i="18"/>
  <c r="F417" i="18"/>
  <c r="E417" i="18"/>
  <c r="D417" i="18"/>
  <c r="C417" i="18"/>
  <c r="B417" i="18"/>
  <c r="M416" i="18"/>
  <c r="L416" i="18"/>
  <c r="K416" i="18"/>
  <c r="J416" i="18"/>
  <c r="I416" i="18"/>
  <c r="H416" i="18"/>
  <c r="G416" i="18"/>
  <c r="F416" i="18"/>
  <c r="E416" i="18"/>
  <c r="D416" i="18"/>
  <c r="C416" i="18"/>
  <c r="B416" i="18"/>
  <c r="M415" i="18"/>
  <c r="L415" i="18"/>
  <c r="K415" i="18"/>
  <c r="J415" i="18"/>
  <c r="I415" i="18"/>
  <c r="H415" i="18"/>
  <c r="G415" i="18"/>
  <c r="F415" i="18"/>
  <c r="E415" i="18"/>
  <c r="D415" i="18"/>
  <c r="C415" i="18"/>
  <c r="B415" i="18"/>
  <c r="M414" i="18"/>
  <c r="L414" i="18"/>
  <c r="K414" i="18"/>
  <c r="J414" i="18"/>
  <c r="I414" i="18"/>
  <c r="H414" i="18"/>
  <c r="G414" i="18"/>
  <c r="F414" i="18"/>
  <c r="E414" i="18"/>
  <c r="D414" i="18"/>
  <c r="C414" i="18"/>
  <c r="B414" i="18"/>
  <c r="M413" i="18"/>
  <c r="L413" i="18"/>
  <c r="K413" i="18"/>
  <c r="J413" i="18"/>
  <c r="I413" i="18"/>
  <c r="H413" i="18"/>
  <c r="G413" i="18"/>
  <c r="F413" i="18"/>
  <c r="E413" i="18"/>
  <c r="D413" i="18"/>
  <c r="C413" i="18"/>
  <c r="B413" i="18"/>
  <c r="BG411" i="18"/>
  <c r="BH411" i="18" s="1"/>
  <c r="AZ411" i="18"/>
  <c r="BA411" i="18" s="1"/>
  <c r="BB411" i="18" s="1"/>
  <c r="BC411" i="18" s="1"/>
  <c r="BD411" i="18" s="1"/>
  <c r="BE411" i="18" s="1"/>
  <c r="BF411" i="18" s="1"/>
  <c r="AY411" i="18"/>
  <c r="AR411" i="18"/>
  <c r="AS411" i="18" s="1"/>
  <c r="AT411" i="18" s="1"/>
  <c r="AU411" i="18" s="1"/>
  <c r="AV411" i="18" s="1"/>
  <c r="AW411" i="18" s="1"/>
  <c r="AX411" i="18" s="1"/>
  <c r="AQ411" i="18"/>
  <c r="AP411" i="18"/>
  <c r="AO411" i="18"/>
  <c r="AN411" i="18"/>
  <c r="AM411" i="18"/>
  <c r="AL411" i="18"/>
  <c r="AK411" i="18"/>
  <c r="AJ411" i="18"/>
  <c r="AI411" i="18"/>
  <c r="AH411" i="18"/>
  <c r="AG411" i="18"/>
  <c r="AF411" i="18"/>
  <c r="AE411" i="18"/>
  <c r="AD411" i="18"/>
  <c r="AC411" i="18"/>
  <c r="AB411" i="18"/>
  <c r="AA411" i="18"/>
  <c r="Z411" i="18"/>
  <c r="Y411" i="18"/>
  <c r="X411" i="18"/>
  <c r="W411" i="18"/>
  <c r="V411" i="18"/>
  <c r="U411" i="18"/>
  <c r="T411" i="18"/>
  <c r="S411" i="18"/>
  <c r="R411" i="18"/>
  <c r="Q411" i="18"/>
  <c r="P411" i="18"/>
  <c r="O411" i="18"/>
  <c r="N411" i="18"/>
  <c r="M411" i="18"/>
  <c r="L411" i="18"/>
  <c r="K411" i="18"/>
  <c r="J411" i="18"/>
  <c r="I411" i="18"/>
  <c r="H411" i="18"/>
  <c r="G411" i="18"/>
  <c r="F411" i="18"/>
  <c r="E411" i="18"/>
  <c r="D411" i="18"/>
  <c r="C411" i="18"/>
  <c r="B411" i="18"/>
  <c r="AU410" i="18"/>
  <c r="AV410" i="18" s="1"/>
  <c r="AW410" i="18" s="1"/>
  <c r="AX410" i="18" s="1"/>
  <c r="AT410" i="18"/>
  <c r="AP410" i="18"/>
  <c r="AQ410" i="18" s="1"/>
  <c r="AR410" i="18" s="1"/>
  <c r="AS410" i="18" s="1"/>
  <c r="AO410" i="18"/>
  <c r="AN410" i="18"/>
  <c r="AM410" i="18"/>
  <c r="AL410" i="18"/>
  <c r="AK410" i="18"/>
  <c r="AJ410" i="18"/>
  <c r="AI410" i="18"/>
  <c r="AH410" i="18"/>
  <c r="AG410" i="18"/>
  <c r="AF410" i="18"/>
  <c r="AE410" i="18"/>
  <c r="AD410" i="18"/>
  <c r="AC410" i="18"/>
  <c r="AB410" i="18"/>
  <c r="AA410" i="18"/>
  <c r="Z410" i="18"/>
  <c r="Y410" i="18"/>
  <c r="X410" i="18"/>
  <c r="W410" i="18"/>
  <c r="V410" i="18"/>
  <c r="U410" i="18"/>
  <c r="T410" i="18"/>
  <c r="S410" i="18"/>
  <c r="R410" i="18"/>
  <c r="Q410" i="18"/>
  <c r="P410" i="18"/>
  <c r="O410" i="18"/>
  <c r="N410" i="18"/>
  <c r="M410" i="18"/>
  <c r="L410" i="18"/>
  <c r="K410" i="18"/>
  <c r="J410" i="18"/>
  <c r="I410" i="18"/>
  <c r="H410" i="18"/>
  <c r="G410" i="18"/>
  <c r="F410" i="18"/>
  <c r="E410" i="18"/>
  <c r="D410" i="18"/>
  <c r="C410" i="18"/>
  <c r="B410" i="18"/>
  <c r="AO409" i="18"/>
  <c r="AP409" i="18" s="1"/>
  <c r="AQ409" i="18" s="1"/>
  <c r="AR409" i="18" s="1"/>
  <c r="AS409" i="18" s="1"/>
  <c r="AT409" i="18" s="1"/>
  <c r="AU409" i="18" s="1"/>
  <c r="AV409" i="18" s="1"/>
  <c r="AW409" i="18" s="1"/>
  <c r="AN409" i="18"/>
  <c r="AM409" i="18"/>
  <c r="AL409" i="18"/>
  <c r="AK409" i="18"/>
  <c r="AJ409" i="18"/>
  <c r="AI409" i="18"/>
  <c r="AH409" i="18"/>
  <c r="AG409" i="18"/>
  <c r="AF409" i="18"/>
  <c r="AE409" i="18"/>
  <c r="AD409" i="18"/>
  <c r="AC409" i="18"/>
  <c r="AB409" i="18"/>
  <c r="AA409" i="18"/>
  <c r="Z409" i="18"/>
  <c r="Y409" i="18"/>
  <c r="X409" i="18"/>
  <c r="W409" i="18"/>
  <c r="V409" i="18"/>
  <c r="U409" i="18"/>
  <c r="T409" i="18"/>
  <c r="S409" i="18"/>
  <c r="R409" i="18"/>
  <c r="Q409" i="18"/>
  <c r="P409" i="18"/>
  <c r="O409" i="18"/>
  <c r="N409" i="18"/>
  <c r="M409" i="18"/>
  <c r="L409" i="18"/>
  <c r="K409" i="18"/>
  <c r="J409" i="18"/>
  <c r="I409" i="18"/>
  <c r="H409" i="18"/>
  <c r="G409" i="18"/>
  <c r="F409" i="18"/>
  <c r="E409" i="18"/>
  <c r="D409" i="18"/>
  <c r="C409" i="18"/>
  <c r="B409" i="18"/>
  <c r="AN408" i="18"/>
  <c r="AO408" i="18" s="1"/>
  <c r="AP408" i="18" s="1"/>
  <c r="AQ408" i="18" s="1"/>
  <c r="AR408" i="18" s="1"/>
  <c r="AS408" i="18" s="1"/>
  <c r="AT408" i="18" s="1"/>
  <c r="AU408" i="18" s="1"/>
  <c r="AV408" i="18" s="1"/>
  <c r="AW408" i="18" s="1"/>
  <c r="AX408" i="18" s="1"/>
  <c r="AY408" i="18" s="1"/>
  <c r="AZ408" i="18" s="1"/>
  <c r="BA408" i="18" s="1"/>
  <c r="BB408" i="18" s="1"/>
  <c r="BC408" i="18" s="1"/>
  <c r="BD408" i="18" s="1"/>
  <c r="BE408" i="18" s="1"/>
  <c r="BF408" i="18" s="1"/>
  <c r="BG408" i="18" s="1"/>
  <c r="BH408" i="18" s="1"/>
  <c r="AM408" i="18"/>
  <c r="AL408" i="18"/>
  <c r="AK408" i="18"/>
  <c r="AJ408" i="18"/>
  <c r="AI408" i="18"/>
  <c r="AH408" i="18"/>
  <c r="AG408" i="18"/>
  <c r="AF408" i="18"/>
  <c r="AE408" i="18"/>
  <c r="AD408" i="18"/>
  <c r="AC408" i="18"/>
  <c r="AB408" i="18"/>
  <c r="AA408" i="18"/>
  <c r="Z408" i="18"/>
  <c r="Y408" i="18"/>
  <c r="X408" i="18"/>
  <c r="W408" i="18"/>
  <c r="V408" i="18"/>
  <c r="U408" i="18"/>
  <c r="T408" i="18"/>
  <c r="S408" i="18"/>
  <c r="R408" i="18"/>
  <c r="Q408" i="18"/>
  <c r="P408" i="18"/>
  <c r="O408" i="18"/>
  <c r="N408" i="18"/>
  <c r="M408" i="18"/>
  <c r="L408" i="18"/>
  <c r="K408" i="18"/>
  <c r="J408" i="18"/>
  <c r="I408" i="18"/>
  <c r="H408" i="18"/>
  <c r="G408" i="18"/>
  <c r="F408" i="18"/>
  <c r="E408" i="18"/>
  <c r="D408" i="18"/>
  <c r="C408" i="18"/>
  <c r="B408" i="18"/>
  <c r="AN407" i="18"/>
  <c r="AO407" i="18" s="1"/>
  <c r="AP407" i="18" s="1"/>
  <c r="AQ407" i="18" s="1"/>
  <c r="AR407" i="18" s="1"/>
  <c r="AS407" i="18" s="1"/>
  <c r="AT407" i="18" s="1"/>
  <c r="AU407" i="18" s="1"/>
  <c r="AV407" i="18" s="1"/>
  <c r="AW407" i="18" s="1"/>
  <c r="AX407" i="18" s="1"/>
  <c r="AY407" i="18" s="1"/>
  <c r="AZ407" i="18" s="1"/>
  <c r="BA407" i="18" s="1"/>
  <c r="BB407" i="18" s="1"/>
  <c r="BC407" i="18" s="1"/>
  <c r="BD407" i="18" s="1"/>
  <c r="BE407" i="18" s="1"/>
  <c r="BF407" i="18" s="1"/>
  <c r="BG407" i="18" s="1"/>
  <c r="BH407" i="18" s="1"/>
  <c r="AM407" i="18"/>
  <c r="AL407" i="18"/>
  <c r="AK407" i="18"/>
  <c r="AJ407" i="18"/>
  <c r="AI407" i="18"/>
  <c r="AH407" i="18"/>
  <c r="AG407" i="18"/>
  <c r="AF407" i="18"/>
  <c r="AE407" i="18"/>
  <c r="AD407" i="18"/>
  <c r="AC407" i="18"/>
  <c r="AB407" i="18"/>
  <c r="AA407" i="18"/>
  <c r="Z407" i="18"/>
  <c r="Y407" i="18"/>
  <c r="X407" i="18"/>
  <c r="W407" i="18"/>
  <c r="V407" i="18"/>
  <c r="U407" i="18"/>
  <c r="T407" i="18"/>
  <c r="S407" i="18"/>
  <c r="R407" i="18"/>
  <c r="Q407" i="18"/>
  <c r="P407" i="18"/>
  <c r="O407" i="18"/>
  <c r="N407" i="18"/>
  <c r="M407" i="18"/>
  <c r="L407" i="18"/>
  <c r="K407" i="18"/>
  <c r="J407" i="18"/>
  <c r="I407" i="18"/>
  <c r="H407" i="18"/>
  <c r="G407" i="18"/>
  <c r="F407" i="18"/>
  <c r="E407" i="18"/>
  <c r="D407" i="18"/>
  <c r="C407" i="18"/>
  <c r="B407" i="18"/>
  <c r="AO404" i="18"/>
  <c r="AP404" i="18" s="1"/>
  <c r="AQ404" i="18" s="1"/>
  <c r="AR404" i="18" s="1"/>
  <c r="AS404" i="18" s="1"/>
  <c r="AT404" i="18" s="1"/>
  <c r="AU404" i="18" s="1"/>
  <c r="AV404" i="18" s="1"/>
  <c r="AW404" i="18" s="1"/>
  <c r="AX404" i="18" s="1"/>
  <c r="AY404" i="18" s="1"/>
  <c r="AZ404" i="18" s="1"/>
  <c r="BA404" i="18" s="1"/>
  <c r="BB404" i="18" s="1"/>
  <c r="BC404" i="18" s="1"/>
  <c r="BD404" i="18" s="1"/>
  <c r="BE404" i="18" s="1"/>
  <c r="BF404" i="18" s="1"/>
  <c r="BG404" i="18" s="1"/>
  <c r="BH404" i="18" s="1"/>
  <c r="AN404" i="18"/>
  <c r="AM404" i="18"/>
  <c r="AL404" i="18"/>
  <c r="AK404" i="18"/>
  <c r="AJ404" i="18"/>
  <c r="AI404" i="18"/>
  <c r="AH404" i="18"/>
  <c r="AG404" i="18"/>
  <c r="AF404" i="18"/>
  <c r="AE404" i="18"/>
  <c r="AD404" i="18"/>
  <c r="AC404" i="18"/>
  <c r="AB404" i="18"/>
  <c r="AA404" i="18"/>
  <c r="Z404" i="18"/>
  <c r="Y404" i="18"/>
  <c r="X404" i="18"/>
  <c r="W404" i="18"/>
  <c r="V404" i="18"/>
  <c r="U404" i="18"/>
  <c r="T404" i="18"/>
  <c r="S404" i="18"/>
  <c r="R404" i="18"/>
  <c r="Q404" i="18"/>
  <c r="P404" i="18"/>
  <c r="O404" i="18"/>
  <c r="N404" i="18"/>
  <c r="M404" i="18"/>
  <c r="L404" i="18"/>
  <c r="K404" i="18"/>
  <c r="J404" i="18"/>
  <c r="I404" i="18"/>
  <c r="H404" i="18"/>
  <c r="G404" i="18"/>
  <c r="F404" i="18"/>
  <c r="E404" i="18"/>
  <c r="D404" i="18"/>
  <c r="C404" i="18"/>
  <c r="B404" i="18"/>
  <c r="AZ403" i="18"/>
  <c r="BA403" i="18" s="1"/>
  <c r="BB403" i="18" s="1"/>
  <c r="BC403" i="18" s="1"/>
  <c r="BD403" i="18" s="1"/>
  <c r="BE403" i="18" s="1"/>
  <c r="BF403" i="18" s="1"/>
  <c r="BG403" i="18" s="1"/>
  <c r="BH403" i="18" s="1"/>
  <c r="AT403" i="18"/>
  <c r="AU403" i="18" s="1"/>
  <c r="AV403" i="18" s="1"/>
  <c r="AW403" i="18" s="1"/>
  <c r="AX403" i="18" s="1"/>
  <c r="AY403" i="18" s="1"/>
  <c r="AS403" i="18"/>
  <c r="AR403" i="18"/>
  <c r="AO403" i="18"/>
  <c r="AP403" i="18" s="1"/>
  <c r="AQ403" i="18" s="1"/>
  <c r="AN403" i="18"/>
  <c r="AM403" i="18"/>
  <c r="AL403" i="18"/>
  <c r="AK403" i="18"/>
  <c r="AJ403" i="18"/>
  <c r="AI403" i="18"/>
  <c r="AH403" i="18"/>
  <c r="AG403" i="18"/>
  <c r="AF403" i="18"/>
  <c r="AE403" i="18"/>
  <c r="AD403" i="18"/>
  <c r="AC403" i="18"/>
  <c r="AB403" i="18"/>
  <c r="AA403" i="18"/>
  <c r="Z403" i="18"/>
  <c r="Y403" i="18"/>
  <c r="X403" i="18"/>
  <c r="W403" i="18"/>
  <c r="V403" i="18"/>
  <c r="U403" i="18"/>
  <c r="T403" i="18"/>
  <c r="S403" i="18"/>
  <c r="R403" i="18"/>
  <c r="Q403" i="18"/>
  <c r="P403" i="18"/>
  <c r="O403" i="18"/>
  <c r="N403" i="18"/>
  <c r="M403" i="18"/>
  <c r="L403" i="18"/>
  <c r="K403" i="18"/>
  <c r="J403" i="18"/>
  <c r="I403" i="18"/>
  <c r="H403" i="18"/>
  <c r="G403" i="18"/>
  <c r="F403" i="18"/>
  <c r="E403" i="18"/>
  <c r="D403" i="18"/>
  <c r="C403" i="18"/>
  <c r="B403" i="18"/>
  <c r="AN402" i="18"/>
  <c r="AO402" i="18" s="1"/>
  <c r="AP402" i="18" s="1"/>
  <c r="AQ402" i="18" s="1"/>
  <c r="AR402" i="18" s="1"/>
  <c r="AS402" i="18" s="1"/>
  <c r="AT402" i="18" s="1"/>
  <c r="AU402" i="18" s="1"/>
  <c r="AV402" i="18" s="1"/>
  <c r="AW402" i="18" s="1"/>
  <c r="AX402" i="18" s="1"/>
  <c r="AY402" i="18" s="1"/>
  <c r="AZ402" i="18" s="1"/>
  <c r="BA402" i="18" s="1"/>
  <c r="BB402" i="18" s="1"/>
  <c r="BC402" i="18" s="1"/>
  <c r="BD402" i="18" s="1"/>
  <c r="BE402" i="18" s="1"/>
  <c r="BF402" i="18" s="1"/>
  <c r="BG402" i="18" s="1"/>
  <c r="BH402" i="18" s="1"/>
  <c r="AM402" i="18"/>
  <c r="AL402" i="18"/>
  <c r="AK402" i="18"/>
  <c r="AJ402" i="18"/>
  <c r="AI402" i="18"/>
  <c r="AH402" i="18"/>
  <c r="AG402" i="18"/>
  <c r="AF402" i="18"/>
  <c r="AE402" i="18"/>
  <c r="AD402" i="18"/>
  <c r="AC402" i="18"/>
  <c r="AB402" i="18"/>
  <c r="AA402" i="18"/>
  <c r="Z402" i="18"/>
  <c r="Y402" i="18"/>
  <c r="X402" i="18"/>
  <c r="W402" i="18"/>
  <c r="V402" i="18"/>
  <c r="U402" i="18"/>
  <c r="T402" i="18"/>
  <c r="S402" i="18"/>
  <c r="R402" i="18"/>
  <c r="Q402" i="18"/>
  <c r="P402" i="18"/>
  <c r="O402" i="18"/>
  <c r="N402" i="18"/>
  <c r="M402" i="18"/>
  <c r="L402" i="18"/>
  <c r="K402" i="18"/>
  <c r="J402" i="18"/>
  <c r="I402" i="18"/>
  <c r="H402" i="18"/>
  <c r="G402" i="18"/>
  <c r="F402" i="18"/>
  <c r="E402" i="18"/>
  <c r="D402" i="18"/>
  <c r="C402" i="18"/>
  <c r="B402" i="18"/>
  <c r="AN401" i="18"/>
  <c r="AO401" i="18" s="1"/>
  <c r="AP401" i="18" s="1"/>
  <c r="AQ401" i="18" s="1"/>
  <c r="AR401" i="18" s="1"/>
  <c r="AS401" i="18" s="1"/>
  <c r="AT401" i="18" s="1"/>
  <c r="AU401" i="18" s="1"/>
  <c r="AV401" i="18" s="1"/>
  <c r="AW401" i="18" s="1"/>
  <c r="AX401" i="18" s="1"/>
  <c r="AY401" i="18" s="1"/>
  <c r="AZ401" i="18" s="1"/>
  <c r="BA401" i="18" s="1"/>
  <c r="BB401" i="18" s="1"/>
  <c r="BC401" i="18" s="1"/>
  <c r="BD401" i="18" s="1"/>
  <c r="BE401" i="18" s="1"/>
  <c r="BF401" i="18" s="1"/>
  <c r="BG401" i="18" s="1"/>
  <c r="BH401" i="18" s="1"/>
  <c r="AM401" i="18"/>
  <c r="AL401" i="18"/>
  <c r="AK401" i="18"/>
  <c r="AJ401" i="18"/>
  <c r="AI401" i="18"/>
  <c r="AH401" i="18"/>
  <c r="AG401" i="18"/>
  <c r="AF401" i="18"/>
  <c r="AE401" i="18"/>
  <c r="AD401" i="18"/>
  <c r="AC401" i="18"/>
  <c r="AB401" i="18"/>
  <c r="AA401" i="18"/>
  <c r="Z401" i="18"/>
  <c r="Y401" i="18"/>
  <c r="X401" i="18"/>
  <c r="W401" i="18"/>
  <c r="V401" i="18"/>
  <c r="U401" i="18"/>
  <c r="T401" i="18"/>
  <c r="S401" i="18"/>
  <c r="R401" i="18"/>
  <c r="Q401" i="18"/>
  <c r="P401" i="18"/>
  <c r="O401" i="18"/>
  <c r="N401" i="18"/>
  <c r="M401" i="18"/>
  <c r="L401" i="18"/>
  <c r="K401" i="18"/>
  <c r="J401" i="18"/>
  <c r="I401" i="18"/>
  <c r="H401" i="18"/>
  <c r="G401" i="18"/>
  <c r="F401" i="18"/>
  <c r="E401" i="18"/>
  <c r="D401" i="18"/>
  <c r="C401" i="18"/>
  <c r="B401" i="18"/>
  <c r="M398" i="18"/>
  <c r="L398" i="18"/>
  <c r="K398" i="18"/>
  <c r="J398" i="18"/>
  <c r="I398" i="18"/>
  <c r="H398" i="18"/>
  <c r="G398" i="18"/>
  <c r="F398" i="18"/>
  <c r="E398" i="18"/>
  <c r="D398" i="18"/>
  <c r="C398" i="18"/>
  <c r="B398" i="18"/>
  <c r="M397" i="18"/>
  <c r="L397" i="18"/>
  <c r="K397" i="18"/>
  <c r="J397" i="18"/>
  <c r="I397" i="18"/>
  <c r="H397" i="18"/>
  <c r="G397" i="18"/>
  <c r="F397" i="18"/>
  <c r="E397" i="18"/>
  <c r="D397" i="18"/>
  <c r="C397" i="18"/>
  <c r="B397" i="18"/>
  <c r="M396" i="18"/>
  <c r="L396" i="18"/>
  <c r="K396" i="18"/>
  <c r="J396" i="18"/>
  <c r="I396" i="18"/>
  <c r="H396" i="18"/>
  <c r="G396" i="18"/>
  <c r="F396" i="18"/>
  <c r="E396" i="18"/>
  <c r="D396" i="18"/>
  <c r="C396" i="18"/>
  <c r="B396" i="18"/>
  <c r="M395" i="18"/>
  <c r="L395" i="18"/>
  <c r="K395" i="18"/>
  <c r="J395" i="18"/>
  <c r="I395" i="18"/>
  <c r="H395" i="18"/>
  <c r="G395" i="18"/>
  <c r="F395" i="18"/>
  <c r="E395" i="18"/>
  <c r="D395" i="18"/>
  <c r="C395" i="18"/>
  <c r="B395" i="18"/>
  <c r="M394" i="18"/>
  <c r="L394" i="18"/>
  <c r="K394" i="18"/>
  <c r="J394" i="18"/>
  <c r="I394" i="18"/>
  <c r="H394" i="18"/>
  <c r="G394" i="18"/>
  <c r="F394" i="18"/>
  <c r="E394" i="18"/>
  <c r="D394" i="18"/>
  <c r="C394" i="18"/>
  <c r="B394" i="18"/>
  <c r="M393" i="18"/>
  <c r="L393" i="18"/>
  <c r="K393" i="18"/>
  <c r="J393" i="18"/>
  <c r="I393" i="18"/>
  <c r="H393" i="18"/>
  <c r="G393" i="18"/>
  <c r="F393" i="18"/>
  <c r="E393" i="18"/>
  <c r="D393" i="18"/>
  <c r="C393" i="18"/>
  <c r="B393" i="18"/>
  <c r="AS391" i="18"/>
  <c r="AP391" i="18"/>
  <c r="AQ391" i="18" s="1"/>
  <c r="AR391" i="18" s="1"/>
  <c r="AO391" i="18"/>
  <c r="AN391" i="18"/>
  <c r="AM391" i="18"/>
  <c r="AL391" i="18"/>
  <c r="AK391" i="18"/>
  <c r="AK357" i="18" s="1"/>
  <c r="AJ391" i="18"/>
  <c r="AI391" i="18"/>
  <c r="AH391" i="18"/>
  <c r="AH357" i="18" s="1"/>
  <c r="AG391" i="18"/>
  <c r="AF391" i="18"/>
  <c r="AE391" i="18"/>
  <c r="AD391" i="18"/>
  <c r="AC391" i="18"/>
  <c r="AC357" i="18" s="1"/>
  <c r="AB391" i="18"/>
  <c r="AA391" i="18"/>
  <c r="Z391" i="18"/>
  <c r="Z357" i="18" s="1"/>
  <c r="Z355" i="18" s="1"/>
  <c r="Y391" i="18"/>
  <c r="X391" i="18"/>
  <c r="W391" i="18"/>
  <c r="V391" i="18"/>
  <c r="U391" i="18"/>
  <c r="U357" i="18" s="1"/>
  <c r="T391" i="18"/>
  <c r="S391" i="18"/>
  <c r="R391" i="18"/>
  <c r="R357" i="18" s="1"/>
  <c r="Q391" i="18"/>
  <c r="P391" i="18"/>
  <c r="O391" i="18"/>
  <c r="N391" i="18"/>
  <c r="M391" i="18"/>
  <c r="M357" i="18" s="1"/>
  <c r="L391" i="18"/>
  <c r="K391" i="18"/>
  <c r="J391" i="18"/>
  <c r="J357" i="18" s="1"/>
  <c r="J355" i="18" s="1"/>
  <c r="I391" i="18"/>
  <c r="H391" i="18"/>
  <c r="G391" i="18"/>
  <c r="F391" i="18"/>
  <c r="E391" i="18"/>
  <c r="E357" i="18" s="1"/>
  <c r="D391" i="18"/>
  <c r="C391" i="18"/>
  <c r="B391" i="18"/>
  <c r="AQ390" i="18"/>
  <c r="AP390" i="18"/>
  <c r="AO390" i="18"/>
  <c r="AO356" i="18" s="1"/>
  <c r="AO355" i="18" s="1"/>
  <c r="AN390" i="18"/>
  <c r="AM390" i="18"/>
  <c r="AL390" i="18"/>
  <c r="AK390" i="18"/>
  <c r="AK356" i="18" s="1"/>
  <c r="AJ390" i="18"/>
  <c r="AI390" i="18"/>
  <c r="AI356" i="18" s="1"/>
  <c r="AI355" i="18" s="1"/>
  <c r="AH390" i="18"/>
  <c r="AG390" i="18"/>
  <c r="AG356" i="18" s="1"/>
  <c r="AG355" i="18" s="1"/>
  <c r="AF390" i="18"/>
  <c r="AE390" i="18"/>
  <c r="AD390" i="18"/>
  <c r="AC390" i="18"/>
  <c r="AC356" i="18" s="1"/>
  <c r="AB390" i="18"/>
  <c r="AA390" i="18"/>
  <c r="AA356" i="18" s="1"/>
  <c r="AA355" i="18" s="1"/>
  <c r="Z390" i="18"/>
  <c r="Y390" i="18"/>
  <c r="Y356" i="18" s="1"/>
  <c r="Y355" i="18" s="1"/>
  <c r="X390" i="18"/>
  <c r="W390" i="18"/>
  <c r="V390" i="18"/>
  <c r="U390" i="18"/>
  <c r="U356" i="18" s="1"/>
  <c r="T390" i="18"/>
  <c r="S390" i="18"/>
  <c r="S356" i="18" s="1"/>
  <c r="S355" i="18" s="1"/>
  <c r="R390" i="18"/>
  <c r="Q390" i="18"/>
  <c r="Q356" i="18" s="1"/>
  <c r="Q355" i="18" s="1"/>
  <c r="P390" i="18"/>
  <c r="O390" i="18"/>
  <c r="N390" i="18"/>
  <c r="M390" i="18"/>
  <c r="M356" i="18" s="1"/>
  <c r="L390" i="18"/>
  <c r="K390" i="18"/>
  <c r="K356" i="18" s="1"/>
  <c r="K355" i="18" s="1"/>
  <c r="J390" i="18"/>
  <c r="I390" i="18"/>
  <c r="I356" i="18" s="1"/>
  <c r="I355" i="18" s="1"/>
  <c r="H390" i="18"/>
  <c r="G390" i="18"/>
  <c r="F390" i="18"/>
  <c r="E390" i="18"/>
  <c r="E356" i="18" s="1"/>
  <c r="D390" i="18"/>
  <c r="C390" i="18"/>
  <c r="C356" i="18" s="1"/>
  <c r="C355" i="18" s="1"/>
  <c r="B390" i="18"/>
  <c r="M388" i="18"/>
  <c r="L388" i="18"/>
  <c r="K388" i="18"/>
  <c r="J388" i="18"/>
  <c r="I388" i="18"/>
  <c r="H388" i="18"/>
  <c r="G388" i="18"/>
  <c r="F388" i="18"/>
  <c r="E388" i="18"/>
  <c r="D388" i="18"/>
  <c r="C388" i="18"/>
  <c r="B388" i="18"/>
  <c r="M387" i="18"/>
  <c r="L387" i="18"/>
  <c r="K387" i="18"/>
  <c r="J387" i="18"/>
  <c r="I387" i="18"/>
  <c r="H387" i="18"/>
  <c r="G387" i="18"/>
  <c r="F387" i="18"/>
  <c r="E387" i="18"/>
  <c r="D387" i="18"/>
  <c r="C387" i="18"/>
  <c r="B387" i="18"/>
  <c r="M386" i="18"/>
  <c r="L386" i="18"/>
  <c r="K386" i="18"/>
  <c r="J386" i="18"/>
  <c r="I386" i="18"/>
  <c r="H386" i="18"/>
  <c r="G386" i="18"/>
  <c r="F386" i="18"/>
  <c r="E386" i="18"/>
  <c r="D386" i="18"/>
  <c r="C386" i="18"/>
  <c r="B386" i="18"/>
  <c r="AR384" i="18"/>
  <c r="AS384" i="18" s="1"/>
  <c r="AT384" i="18" s="1"/>
  <c r="AU384" i="18" s="1"/>
  <c r="AV384" i="18" s="1"/>
  <c r="AW384" i="18" s="1"/>
  <c r="AX384" i="18" s="1"/>
  <c r="AY384" i="18" s="1"/>
  <c r="AZ384" i="18" s="1"/>
  <c r="BA384" i="18" s="1"/>
  <c r="BB384" i="18" s="1"/>
  <c r="BC384" i="18" s="1"/>
  <c r="BD384" i="18" s="1"/>
  <c r="BE384" i="18" s="1"/>
  <c r="BF384" i="18" s="1"/>
  <c r="BG384" i="18" s="1"/>
  <c r="BH384" i="18" s="1"/>
  <c r="AP384" i="18"/>
  <c r="AQ384" i="18" s="1"/>
  <c r="AO384" i="18"/>
  <c r="AN384" i="18"/>
  <c r="AM384" i="18"/>
  <c r="AL384" i="18"/>
  <c r="AK384" i="18"/>
  <c r="AJ384" i="18"/>
  <c r="AI384" i="18"/>
  <c r="AH384" i="18"/>
  <c r="AG384" i="18"/>
  <c r="AF384" i="18"/>
  <c r="AE384" i="18"/>
  <c r="AD384" i="18"/>
  <c r="AC384" i="18"/>
  <c r="AB384" i="18"/>
  <c r="AA384" i="18"/>
  <c r="Z384" i="18"/>
  <c r="Y384" i="18"/>
  <c r="X384" i="18"/>
  <c r="W384" i="18"/>
  <c r="V384" i="18"/>
  <c r="U384" i="18"/>
  <c r="T384" i="18"/>
  <c r="S384" i="18"/>
  <c r="R384" i="18"/>
  <c r="Q384" i="18"/>
  <c r="P384" i="18"/>
  <c r="O384" i="18"/>
  <c r="N384" i="18"/>
  <c r="M384" i="18"/>
  <c r="L384" i="18"/>
  <c r="K384" i="18"/>
  <c r="J384" i="18"/>
  <c r="I384" i="18"/>
  <c r="H384" i="18"/>
  <c r="G384" i="18"/>
  <c r="F384" i="18"/>
  <c r="E384" i="18"/>
  <c r="D384" i="18"/>
  <c r="C384" i="18"/>
  <c r="B384" i="18"/>
  <c r="BA383" i="18"/>
  <c r="BB383" i="18" s="1"/>
  <c r="BC383" i="18" s="1"/>
  <c r="AN383" i="18"/>
  <c r="AO383" i="18" s="1"/>
  <c r="AP383" i="18" s="1"/>
  <c r="AQ383" i="18" s="1"/>
  <c r="AR383" i="18" s="1"/>
  <c r="AS383" i="18" s="1"/>
  <c r="AT383" i="18" s="1"/>
  <c r="AU383" i="18" s="1"/>
  <c r="AV383" i="18" s="1"/>
  <c r="AW383" i="18" s="1"/>
  <c r="AX383" i="18" s="1"/>
  <c r="AY383" i="18" s="1"/>
  <c r="AZ383" i="18" s="1"/>
  <c r="AM383" i="18"/>
  <c r="AL383" i="18"/>
  <c r="AK383" i="18"/>
  <c r="AJ383" i="18"/>
  <c r="AI383" i="18"/>
  <c r="AH383" i="18"/>
  <c r="AG383" i="18"/>
  <c r="AF383" i="18"/>
  <c r="AE383" i="18"/>
  <c r="AD383" i="18"/>
  <c r="AC383" i="18"/>
  <c r="AB383" i="18"/>
  <c r="AA383" i="18"/>
  <c r="Z383" i="18"/>
  <c r="Y383" i="18"/>
  <c r="X383" i="18"/>
  <c r="W383" i="18"/>
  <c r="V383" i="18"/>
  <c r="U383" i="18"/>
  <c r="T383" i="18"/>
  <c r="S383" i="18"/>
  <c r="R383" i="18"/>
  <c r="Q383" i="18"/>
  <c r="P383" i="18"/>
  <c r="O383" i="18"/>
  <c r="N383" i="18"/>
  <c r="M383" i="18"/>
  <c r="L383" i="18"/>
  <c r="K383" i="18"/>
  <c r="J383" i="18"/>
  <c r="I383" i="18"/>
  <c r="H383" i="18"/>
  <c r="G383" i="18"/>
  <c r="F383" i="18"/>
  <c r="E383" i="18"/>
  <c r="D383" i="18"/>
  <c r="C383" i="18"/>
  <c r="B383" i="18"/>
  <c r="AN382" i="18"/>
  <c r="AO382" i="18" s="1"/>
  <c r="AP382" i="18" s="1"/>
  <c r="AQ382" i="18" s="1"/>
  <c r="AR382" i="18" s="1"/>
  <c r="AS382" i="18" s="1"/>
  <c r="AT382" i="18" s="1"/>
  <c r="AU382" i="18" s="1"/>
  <c r="AV382" i="18" s="1"/>
  <c r="AW382" i="18" s="1"/>
  <c r="AX382" i="18" s="1"/>
  <c r="AY382" i="18" s="1"/>
  <c r="AZ382" i="18" s="1"/>
  <c r="BA382" i="18" s="1"/>
  <c r="BB382" i="18" s="1"/>
  <c r="BC382" i="18" s="1"/>
  <c r="BD382" i="18" s="1"/>
  <c r="BE382" i="18" s="1"/>
  <c r="BF382" i="18" s="1"/>
  <c r="BG382" i="18" s="1"/>
  <c r="BH382" i="18" s="1"/>
  <c r="AM382" i="18"/>
  <c r="AL382" i="18"/>
  <c r="AK382" i="18"/>
  <c r="AJ382" i="18"/>
  <c r="AI382" i="18"/>
  <c r="AH382" i="18"/>
  <c r="AG382" i="18"/>
  <c r="AF382" i="18"/>
  <c r="AE382" i="18"/>
  <c r="AD382" i="18"/>
  <c r="AC382" i="18"/>
  <c r="AB382" i="18"/>
  <c r="AA382" i="18"/>
  <c r="Z382" i="18"/>
  <c r="Y382" i="18"/>
  <c r="X382" i="18"/>
  <c r="W382" i="18"/>
  <c r="V382" i="18"/>
  <c r="U382" i="18"/>
  <c r="T382" i="18"/>
  <c r="S382" i="18"/>
  <c r="R382" i="18"/>
  <c r="Q382" i="18"/>
  <c r="P382" i="18"/>
  <c r="O382" i="18"/>
  <c r="N382" i="18"/>
  <c r="M382" i="18"/>
  <c r="L382" i="18"/>
  <c r="K382" i="18"/>
  <c r="J382" i="18"/>
  <c r="I382" i="18"/>
  <c r="H382" i="18"/>
  <c r="G382" i="18"/>
  <c r="F382" i="18"/>
  <c r="E382" i="18"/>
  <c r="D382" i="18"/>
  <c r="C382" i="18"/>
  <c r="B382" i="18"/>
  <c r="AY381" i="18"/>
  <c r="AZ381" i="18" s="1"/>
  <c r="BA381" i="18" s="1"/>
  <c r="BB381" i="18" s="1"/>
  <c r="BC381" i="18" s="1"/>
  <c r="BD381" i="18" s="1"/>
  <c r="BE381" i="18" s="1"/>
  <c r="BF381" i="18" s="1"/>
  <c r="BG381" i="18" s="1"/>
  <c r="BH381" i="18" s="1"/>
  <c r="AS381" i="18"/>
  <c r="AT381" i="18" s="1"/>
  <c r="AU381" i="18" s="1"/>
  <c r="AV381" i="18" s="1"/>
  <c r="AW381" i="18" s="1"/>
  <c r="AX381" i="18" s="1"/>
  <c r="AQ381" i="18"/>
  <c r="AR381" i="18" s="1"/>
  <c r="AP381" i="18"/>
  <c r="AO381" i="18"/>
  <c r="AN381" i="18"/>
  <c r="AM381" i="18"/>
  <c r="AL381" i="18"/>
  <c r="AK381" i="18"/>
  <c r="AJ381" i="18"/>
  <c r="AI381" i="18"/>
  <c r="AH381" i="18"/>
  <c r="AG381" i="18"/>
  <c r="AF381" i="18"/>
  <c r="AE381" i="18"/>
  <c r="AD381" i="18"/>
  <c r="AC381" i="18"/>
  <c r="AB381" i="18"/>
  <c r="AA381" i="18"/>
  <c r="Z381" i="18"/>
  <c r="Y381" i="18"/>
  <c r="X381" i="18"/>
  <c r="W381" i="18"/>
  <c r="V381" i="18"/>
  <c r="U381" i="18"/>
  <c r="T381" i="18"/>
  <c r="S381" i="18"/>
  <c r="R381" i="18"/>
  <c r="Q381" i="18"/>
  <c r="P381" i="18"/>
  <c r="O381" i="18"/>
  <c r="N381" i="18"/>
  <c r="M381" i="18"/>
  <c r="L381" i="18"/>
  <c r="K381" i="18"/>
  <c r="J381" i="18"/>
  <c r="I381" i="18"/>
  <c r="H381" i="18"/>
  <c r="G381" i="18"/>
  <c r="F381" i="18"/>
  <c r="E381" i="18"/>
  <c r="D381" i="18"/>
  <c r="C381" i="18"/>
  <c r="B381" i="18"/>
  <c r="AT380" i="18"/>
  <c r="AU380" i="18" s="1"/>
  <c r="AV380" i="18" s="1"/>
  <c r="AW380" i="18" s="1"/>
  <c r="AX380" i="18" s="1"/>
  <c r="AY380" i="18" s="1"/>
  <c r="AZ380" i="18" s="1"/>
  <c r="BA380" i="18" s="1"/>
  <c r="BB380" i="18" s="1"/>
  <c r="BC380" i="18" s="1"/>
  <c r="BD380" i="18" s="1"/>
  <c r="BE380" i="18" s="1"/>
  <c r="BF380" i="18" s="1"/>
  <c r="BG380" i="18" s="1"/>
  <c r="BH380" i="18" s="1"/>
  <c r="AN380" i="18"/>
  <c r="AO380" i="18" s="1"/>
  <c r="AP380" i="18" s="1"/>
  <c r="AQ380" i="18" s="1"/>
  <c r="AR380" i="18" s="1"/>
  <c r="AS380" i="18" s="1"/>
  <c r="AM380" i="18"/>
  <c r="AL380" i="18"/>
  <c r="AK380" i="18"/>
  <c r="AJ380" i="18"/>
  <c r="AI380" i="18"/>
  <c r="AH380" i="18"/>
  <c r="AG380" i="18"/>
  <c r="AF380" i="18"/>
  <c r="AE380" i="18"/>
  <c r="AD380" i="18"/>
  <c r="AC380" i="18"/>
  <c r="AB380" i="18"/>
  <c r="AA380" i="18"/>
  <c r="Z380" i="18"/>
  <c r="Y380" i="18"/>
  <c r="X380" i="18"/>
  <c r="W380" i="18"/>
  <c r="V380" i="18"/>
  <c r="U380" i="18"/>
  <c r="T380" i="18"/>
  <c r="S380" i="18"/>
  <c r="R380" i="18"/>
  <c r="Q380" i="18"/>
  <c r="P380" i="18"/>
  <c r="O380" i="18"/>
  <c r="N380" i="18"/>
  <c r="M380" i="18"/>
  <c r="L380" i="18"/>
  <c r="K380" i="18"/>
  <c r="J380" i="18"/>
  <c r="I380" i="18"/>
  <c r="H380" i="18"/>
  <c r="G380" i="18"/>
  <c r="F380" i="18"/>
  <c r="E380" i="18"/>
  <c r="D380" i="18"/>
  <c r="C380" i="18"/>
  <c r="B380" i="18"/>
  <c r="M377" i="18"/>
  <c r="L377" i="18"/>
  <c r="K377" i="18"/>
  <c r="J377" i="18"/>
  <c r="I377" i="18"/>
  <c r="H377" i="18"/>
  <c r="G377" i="18"/>
  <c r="F377" i="18"/>
  <c r="E377" i="18"/>
  <c r="D377" i="18"/>
  <c r="C377" i="18"/>
  <c r="B377" i="18"/>
  <c r="M376" i="18"/>
  <c r="L376" i="18"/>
  <c r="K376" i="18"/>
  <c r="J376" i="18"/>
  <c r="I376" i="18"/>
  <c r="H376" i="18"/>
  <c r="G376" i="18"/>
  <c r="F376" i="18"/>
  <c r="E376" i="18"/>
  <c r="D376" i="18"/>
  <c r="C376" i="18"/>
  <c r="B376" i="18"/>
  <c r="M375" i="18"/>
  <c r="L375" i="18"/>
  <c r="K375" i="18"/>
  <c r="J375" i="18"/>
  <c r="I375" i="18"/>
  <c r="H375" i="18"/>
  <c r="G375" i="18"/>
  <c r="F375" i="18"/>
  <c r="E375" i="18"/>
  <c r="D375" i="18"/>
  <c r="C375" i="18"/>
  <c r="B375" i="18"/>
  <c r="M374" i="18"/>
  <c r="L374" i="18"/>
  <c r="K374" i="18"/>
  <c r="J374" i="18"/>
  <c r="I374" i="18"/>
  <c r="H374" i="18"/>
  <c r="G374" i="18"/>
  <c r="F374" i="18"/>
  <c r="E374" i="18"/>
  <c r="D374" i="18"/>
  <c r="C374" i="18"/>
  <c r="B374" i="18"/>
  <c r="M373" i="18"/>
  <c r="L373" i="18"/>
  <c r="K373" i="18"/>
  <c r="J373" i="18"/>
  <c r="I373" i="18"/>
  <c r="H373" i="18"/>
  <c r="G373" i="18"/>
  <c r="F373" i="18"/>
  <c r="E373" i="18"/>
  <c r="D373" i="18"/>
  <c r="C373" i="18"/>
  <c r="B373" i="18"/>
  <c r="AN370" i="18"/>
  <c r="AO370" i="18" s="1"/>
  <c r="AP370" i="18" s="1"/>
  <c r="AQ370" i="18" s="1"/>
  <c r="AR370" i="18" s="1"/>
  <c r="AS370" i="18" s="1"/>
  <c r="AT370" i="18" s="1"/>
  <c r="AU370" i="18" s="1"/>
  <c r="AV370" i="18" s="1"/>
  <c r="AW370" i="18" s="1"/>
  <c r="AX370" i="18" s="1"/>
  <c r="AY370" i="18" s="1"/>
  <c r="AZ370" i="18" s="1"/>
  <c r="BA370" i="18" s="1"/>
  <c r="BB370" i="18" s="1"/>
  <c r="BC370" i="18" s="1"/>
  <c r="BD370" i="18" s="1"/>
  <c r="BE370" i="18" s="1"/>
  <c r="BF370" i="18" s="1"/>
  <c r="BG370" i="18" s="1"/>
  <c r="BH370" i="18" s="1"/>
  <c r="AM370" i="18"/>
  <c r="AL370" i="18"/>
  <c r="AK370" i="18"/>
  <c r="AJ370" i="18"/>
  <c r="AI370" i="18"/>
  <c r="AH370" i="18"/>
  <c r="AG370" i="18"/>
  <c r="AF370" i="18"/>
  <c r="AE370" i="18"/>
  <c r="AD370" i="18"/>
  <c r="AC370" i="18"/>
  <c r="AB370" i="18"/>
  <c r="AA370" i="18"/>
  <c r="Z370" i="18"/>
  <c r="Y370" i="18"/>
  <c r="X370" i="18"/>
  <c r="W370" i="18"/>
  <c r="V370" i="18"/>
  <c r="U370" i="18"/>
  <c r="T370" i="18"/>
  <c r="S370" i="18"/>
  <c r="R370" i="18"/>
  <c r="Q370" i="18"/>
  <c r="P370" i="18"/>
  <c r="O370" i="18"/>
  <c r="N370" i="18"/>
  <c r="M370" i="18"/>
  <c r="L370" i="18"/>
  <c r="K370" i="18"/>
  <c r="J370" i="18"/>
  <c r="I370" i="18"/>
  <c r="H370" i="18"/>
  <c r="G370" i="18"/>
  <c r="F370" i="18"/>
  <c r="E370" i="18"/>
  <c r="D370" i="18"/>
  <c r="C370" i="18"/>
  <c r="B370" i="18"/>
  <c r="AX369" i="18"/>
  <c r="AY369" i="18" s="1"/>
  <c r="AZ369" i="18" s="1"/>
  <c r="BA369" i="18" s="1"/>
  <c r="BB369" i="18" s="1"/>
  <c r="BC369" i="18" s="1"/>
  <c r="BD369" i="18" s="1"/>
  <c r="BE369" i="18" s="1"/>
  <c r="BF369" i="18" s="1"/>
  <c r="BG369" i="18" s="1"/>
  <c r="BH369" i="18" s="1"/>
  <c r="AN369" i="18"/>
  <c r="AO369" i="18" s="1"/>
  <c r="AP369" i="18" s="1"/>
  <c r="AQ369" i="18" s="1"/>
  <c r="AR369" i="18" s="1"/>
  <c r="AS369" i="18" s="1"/>
  <c r="AT369" i="18" s="1"/>
  <c r="AU369" i="18" s="1"/>
  <c r="AV369" i="18" s="1"/>
  <c r="AW369" i="18" s="1"/>
  <c r="AM369" i="18"/>
  <c r="AL369" i="18"/>
  <c r="AK369" i="18"/>
  <c r="AJ369" i="18"/>
  <c r="AI369" i="18"/>
  <c r="AH369" i="18"/>
  <c r="AG369" i="18"/>
  <c r="AF369" i="18"/>
  <c r="AE369" i="18"/>
  <c r="AD369" i="18"/>
  <c r="AC369" i="18"/>
  <c r="AB369" i="18"/>
  <c r="AA369" i="18"/>
  <c r="Z369" i="18"/>
  <c r="Y369" i="18"/>
  <c r="X369" i="18"/>
  <c r="W369" i="18"/>
  <c r="V369" i="18"/>
  <c r="U369" i="18"/>
  <c r="T369" i="18"/>
  <c r="S369" i="18"/>
  <c r="R369" i="18"/>
  <c r="Q369" i="18"/>
  <c r="P369" i="18"/>
  <c r="O369" i="18"/>
  <c r="N369" i="18"/>
  <c r="M369" i="18"/>
  <c r="L369" i="18"/>
  <c r="K369" i="18"/>
  <c r="J369" i="18"/>
  <c r="I369" i="18"/>
  <c r="H369" i="18"/>
  <c r="G369" i="18"/>
  <c r="F369" i="18"/>
  <c r="E369" i="18"/>
  <c r="D369" i="18"/>
  <c r="C369" i="18"/>
  <c r="B369" i="18"/>
  <c r="AS368" i="18"/>
  <c r="AT368" i="18" s="1"/>
  <c r="AU368" i="18" s="1"/>
  <c r="AV368" i="18" s="1"/>
  <c r="AW368" i="18" s="1"/>
  <c r="AX368" i="18" s="1"/>
  <c r="AY368" i="18" s="1"/>
  <c r="AZ368" i="18" s="1"/>
  <c r="BA368" i="18" s="1"/>
  <c r="BB368" i="18" s="1"/>
  <c r="BC368" i="18" s="1"/>
  <c r="BD368" i="18" s="1"/>
  <c r="BE368" i="18" s="1"/>
  <c r="BF368" i="18" s="1"/>
  <c r="BG368" i="18" s="1"/>
  <c r="BH368" i="18" s="1"/>
  <c r="AQ368" i="18"/>
  <c r="AR368" i="18" s="1"/>
  <c r="AP368" i="18"/>
  <c r="AO368" i="18"/>
  <c r="AN368" i="18"/>
  <c r="AM368" i="18"/>
  <c r="AL368" i="18"/>
  <c r="AK368" i="18"/>
  <c r="AJ368" i="18"/>
  <c r="AI368" i="18"/>
  <c r="AH368" i="18"/>
  <c r="AG368" i="18"/>
  <c r="AF368" i="18"/>
  <c r="AE368" i="18"/>
  <c r="AD368" i="18"/>
  <c r="AC368" i="18"/>
  <c r="AB368" i="18"/>
  <c r="AA368" i="18"/>
  <c r="Z368" i="18"/>
  <c r="Y368" i="18"/>
  <c r="X368" i="18"/>
  <c r="W368" i="18"/>
  <c r="V368" i="18"/>
  <c r="U368" i="18"/>
  <c r="T368" i="18"/>
  <c r="S368" i="18"/>
  <c r="R368" i="18"/>
  <c r="Q368" i="18"/>
  <c r="P368" i="18"/>
  <c r="O368" i="18"/>
  <c r="N368" i="18"/>
  <c r="M368" i="18"/>
  <c r="L368" i="18"/>
  <c r="K368" i="18"/>
  <c r="J368" i="18"/>
  <c r="I368" i="18"/>
  <c r="H368" i="18"/>
  <c r="G368" i="18"/>
  <c r="F368" i="18"/>
  <c r="E368" i="18"/>
  <c r="D368" i="18"/>
  <c r="C368" i="18"/>
  <c r="B368" i="18"/>
  <c r="M365" i="18"/>
  <c r="L365" i="18"/>
  <c r="K365" i="18"/>
  <c r="J365" i="18"/>
  <c r="I365" i="18"/>
  <c r="H365" i="18"/>
  <c r="G365" i="18"/>
  <c r="F365" i="18"/>
  <c r="E365" i="18"/>
  <c r="D365" i="18"/>
  <c r="C365" i="18"/>
  <c r="B365" i="18"/>
  <c r="M364" i="18"/>
  <c r="L364" i="18"/>
  <c r="K364" i="18"/>
  <c r="J364" i="18"/>
  <c r="I364" i="18"/>
  <c r="H364" i="18"/>
  <c r="G364" i="18"/>
  <c r="F364" i="18"/>
  <c r="E364" i="18"/>
  <c r="D364" i="18"/>
  <c r="C364" i="18"/>
  <c r="B364" i="18"/>
  <c r="M363" i="18"/>
  <c r="L363" i="18"/>
  <c r="K363" i="18"/>
  <c r="J363" i="18"/>
  <c r="I363" i="18"/>
  <c r="H363" i="18"/>
  <c r="G363" i="18"/>
  <c r="F363" i="18"/>
  <c r="E363" i="18"/>
  <c r="D363" i="18"/>
  <c r="C363" i="18"/>
  <c r="B363" i="18"/>
  <c r="M362" i="18"/>
  <c r="L362" i="18"/>
  <c r="K362" i="18"/>
  <c r="J362" i="18"/>
  <c r="I362" i="18"/>
  <c r="H362" i="18"/>
  <c r="G362" i="18"/>
  <c r="F362" i="18"/>
  <c r="E362" i="18"/>
  <c r="D362" i="18"/>
  <c r="C362" i="18"/>
  <c r="B362" i="18"/>
  <c r="AR357" i="18"/>
  <c r="AO357" i="18"/>
  <c r="AN357" i="18"/>
  <c r="AM357" i="18"/>
  <c r="AL357" i="18"/>
  <c r="AJ357" i="18"/>
  <c r="AI357" i="18"/>
  <c r="AG357" i="18"/>
  <c r="AF357" i="18"/>
  <c r="AE357" i="18"/>
  <c r="AD357" i="18"/>
  <c r="AB357" i="18"/>
  <c r="AA357" i="18"/>
  <c r="Y357" i="18"/>
  <c r="X357" i="18"/>
  <c r="W357" i="18"/>
  <c r="V357" i="18"/>
  <c r="T357" i="18"/>
  <c r="S357" i="18"/>
  <c r="Q357" i="18"/>
  <c r="P357" i="18"/>
  <c r="O357" i="18"/>
  <c r="N357" i="18"/>
  <c r="L357" i="18"/>
  <c r="K357" i="18"/>
  <c r="I357" i="18"/>
  <c r="H357" i="18"/>
  <c r="G357" i="18"/>
  <c r="F357" i="18"/>
  <c r="D357" i="18"/>
  <c r="C357" i="18"/>
  <c r="AP356" i="18"/>
  <c r="AN356" i="18"/>
  <c r="AN355" i="18" s="1"/>
  <c r="AM356" i="18"/>
  <c r="AM355" i="18" s="1"/>
  <c r="AL356" i="18"/>
  <c r="AJ356" i="18"/>
  <c r="AH356" i="18"/>
  <c r="AF356" i="18"/>
  <c r="AF355" i="18" s="1"/>
  <c r="AE356" i="18"/>
  <c r="AE355" i="18" s="1"/>
  <c r="AD356" i="18"/>
  <c r="AD355" i="18" s="1"/>
  <c r="AB356" i="18"/>
  <c r="Z356" i="18"/>
  <c r="X356" i="18"/>
  <c r="X355" i="18" s="1"/>
  <c r="W356" i="18"/>
  <c r="W355" i="18" s="1"/>
  <c r="V356" i="18"/>
  <c r="V355" i="18" s="1"/>
  <c r="T356" i="18"/>
  <c r="R356" i="18"/>
  <c r="R355" i="18" s="1"/>
  <c r="P356" i="18"/>
  <c r="O356" i="18"/>
  <c r="O355" i="18" s="1"/>
  <c r="N356" i="18"/>
  <c r="N355" i="18" s="1"/>
  <c r="L356" i="18"/>
  <c r="J356" i="18"/>
  <c r="H356" i="18"/>
  <c r="H355" i="18" s="1"/>
  <c r="G356" i="18"/>
  <c r="G355" i="18" s="1"/>
  <c r="F356" i="18"/>
  <c r="D356" i="18"/>
  <c r="AJ355" i="18"/>
  <c r="AH355" i="18"/>
  <c r="AB355" i="18"/>
  <c r="T355" i="18"/>
  <c r="L355" i="18"/>
  <c r="D355" i="18"/>
  <c r="BH353" i="18"/>
  <c r="BH352" i="18" s="1"/>
  <c r="BG353" i="18"/>
  <c r="BG352" i="18" s="1"/>
  <c r="BF353" i="18"/>
  <c r="BF352" i="18" s="1"/>
  <c r="BE353" i="18"/>
  <c r="BD353" i="18"/>
  <c r="BC353" i="18"/>
  <c r="BC352" i="18" s="1"/>
  <c r="BB353" i="18"/>
  <c r="BB352" i="18" s="1"/>
  <c r="BA353" i="18"/>
  <c r="AZ353" i="18"/>
  <c r="AZ352" i="18" s="1"/>
  <c r="AY353" i="18"/>
  <c r="AY352" i="18" s="1"/>
  <c r="AX353" i="18"/>
  <c r="AX352" i="18" s="1"/>
  <c r="AW353" i="18"/>
  <c r="AV353" i="18"/>
  <c r="AU353" i="18"/>
  <c r="AU352" i="18" s="1"/>
  <c r="AT353" i="18"/>
  <c r="AS353" i="18"/>
  <c r="AR353" i="18"/>
  <c r="AR352" i="18" s="1"/>
  <c r="AQ353" i="18"/>
  <c r="AQ352" i="18" s="1"/>
  <c r="AP353" i="18"/>
  <c r="AP352" i="18" s="1"/>
  <c r="AO353" i="18"/>
  <c r="AN353" i="18"/>
  <c r="AM353" i="18"/>
  <c r="AM352" i="18" s="1"/>
  <c r="AL353" i="18"/>
  <c r="AL352" i="18" s="1"/>
  <c r="AK353" i="18"/>
  <c r="AJ353" i="18"/>
  <c r="AJ352" i="18" s="1"/>
  <c r="AI353" i="18"/>
  <c r="AI352" i="18" s="1"/>
  <c r="AH353" i="18"/>
  <c r="AH352" i="18" s="1"/>
  <c r="AG353" i="18"/>
  <c r="AF353" i="18"/>
  <c r="AE353" i="18"/>
  <c r="AE352" i="18" s="1"/>
  <c r="AD353" i="18"/>
  <c r="AC353" i="18"/>
  <c r="AB353" i="18"/>
  <c r="AB352" i="18" s="1"/>
  <c r="AA353" i="18"/>
  <c r="AA352" i="18" s="1"/>
  <c r="Z353" i="18"/>
  <c r="Z352" i="18" s="1"/>
  <c r="Y353" i="18"/>
  <c r="X353" i="18"/>
  <c r="W353" i="18"/>
  <c r="W352" i="18" s="1"/>
  <c r="V353" i="18"/>
  <c r="V352" i="18" s="1"/>
  <c r="U353" i="18"/>
  <c r="T353" i="18"/>
  <c r="T352" i="18" s="1"/>
  <c r="S353" i="18"/>
  <c r="S352" i="18" s="1"/>
  <c r="R353" i="18"/>
  <c r="R352" i="18" s="1"/>
  <c r="Q353" i="18"/>
  <c r="P353" i="18"/>
  <c r="O353" i="18"/>
  <c r="O352" i="18" s="1"/>
  <c r="N353" i="18"/>
  <c r="M353" i="18"/>
  <c r="L353" i="18"/>
  <c r="L352" i="18" s="1"/>
  <c r="K353" i="18"/>
  <c r="K352" i="18" s="1"/>
  <c r="J353" i="18"/>
  <c r="J352" i="18" s="1"/>
  <c r="I353" i="18"/>
  <c r="H353" i="18"/>
  <c r="G353" i="18"/>
  <c r="G352" i="18" s="1"/>
  <c r="F353" i="18"/>
  <c r="F352" i="18" s="1"/>
  <c r="E353" i="18"/>
  <c r="D353" i="18"/>
  <c r="D352" i="18" s="1"/>
  <c r="C353" i="18"/>
  <c r="C352" i="18" s="1"/>
  <c r="BE352" i="18"/>
  <c r="BD352" i="18"/>
  <c r="BA352" i="18"/>
  <c r="AW352" i="18"/>
  <c r="AV352" i="18"/>
  <c r="AT352" i="18"/>
  <c r="AS352" i="18"/>
  <c r="AO352" i="18"/>
  <c r="AN352" i="18"/>
  <c r="AK352" i="18"/>
  <c r="AG352" i="18"/>
  <c r="AF352" i="18"/>
  <c r="AD352" i="18"/>
  <c r="AC352" i="18"/>
  <c r="Y352" i="18"/>
  <c r="X352" i="18"/>
  <c r="U352" i="18"/>
  <c r="Q352" i="18"/>
  <c r="P352" i="18"/>
  <c r="N352" i="18"/>
  <c r="M352" i="18"/>
  <c r="I352" i="18"/>
  <c r="H352" i="18"/>
  <c r="E352" i="18"/>
  <c r="M350" i="18"/>
  <c r="L350" i="18"/>
  <c r="K350" i="18"/>
  <c r="J350" i="18"/>
  <c r="I350" i="18"/>
  <c r="H350" i="18"/>
  <c r="G350" i="18"/>
  <c r="F350" i="18"/>
  <c r="E350" i="18"/>
  <c r="D350" i="18"/>
  <c r="C350" i="18"/>
  <c r="B350" i="18"/>
  <c r="M349" i="18"/>
  <c r="L349" i="18"/>
  <c r="K349" i="18"/>
  <c r="J349" i="18"/>
  <c r="I349" i="18"/>
  <c r="H349" i="18"/>
  <c r="G349" i="18"/>
  <c r="F349" i="18"/>
  <c r="E349" i="18"/>
  <c r="D349" i="18"/>
  <c r="C349" i="18"/>
  <c r="B349" i="18"/>
  <c r="BH348" i="18"/>
  <c r="BG348" i="18"/>
  <c r="BF348" i="18"/>
  <c r="BE348" i="18"/>
  <c r="BD348" i="18"/>
  <c r="BC348" i="18"/>
  <c r="BB348" i="18"/>
  <c r="BA348" i="18"/>
  <c r="AZ348" i="18"/>
  <c r="AY348" i="18"/>
  <c r="AX348" i="18"/>
  <c r="AW348" i="18"/>
  <c r="AV348" i="18"/>
  <c r="AU348" i="18"/>
  <c r="AT348" i="18"/>
  <c r="AS348" i="18"/>
  <c r="AR348" i="18"/>
  <c r="AQ348" i="18"/>
  <c r="AP348" i="18"/>
  <c r="AO348" i="18"/>
  <c r="AN348" i="18"/>
  <c r="AM348" i="18"/>
  <c r="AL348" i="18"/>
  <c r="AK348" i="18"/>
  <c r="AJ348" i="18"/>
  <c r="AI348" i="18"/>
  <c r="AH348" i="18"/>
  <c r="AG348" i="18"/>
  <c r="AF348" i="18"/>
  <c r="AE348" i="18"/>
  <c r="AD348" i="18"/>
  <c r="AC348" i="18"/>
  <c r="AB348" i="18"/>
  <c r="AA348" i="18"/>
  <c r="Z348" i="18"/>
  <c r="Y348" i="18"/>
  <c r="X348" i="18"/>
  <c r="W348" i="18"/>
  <c r="V348" i="18"/>
  <c r="U348" i="18"/>
  <c r="T348" i="18"/>
  <c r="S348" i="18"/>
  <c r="R348" i="18"/>
  <c r="Q348" i="18"/>
  <c r="P348" i="18"/>
  <c r="O348" i="18"/>
  <c r="N348" i="18"/>
  <c r="M348" i="18"/>
  <c r="L348" i="18"/>
  <c r="K348" i="18"/>
  <c r="J348" i="18"/>
  <c r="I348" i="18"/>
  <c r="H348" i="18"/>
  <c r="G348" i="18"/>
  <c r="F348" i="18"/>
  <c r="E348" i="18"/>
  <c r="D348" i="18"/>
  <c r="C348" i="18"/>
  <c r="B348" i="18"/>
  <c r="M347" i="18"/>
  <c r="L347" i="18"/>
  <c r="K347" i="18"/>
  <c r="J347" i="18"/>
  <c r="I347" i="18"/>
  <c r="H347" i="18"/>
  <c r="G347" i="18"/>
  <c r="F347" i="18"/>
  <c r="E347" i="18"/>
  <c r="D347" i="18"/>
  <c r="C347" i="18"/>
  <c r="B347" i="18"/>
  <c r="M346" i="18"/>
  <c r="L346" i="18"/>
  <c r="K346" i="18"/>
  <c r="J346" i="18"/>
  <c r="I346" i="18"/>
  <c r="H346" i="18"/>
  <c r="G346" i="18"/>
  <c r="F346" i="18"/>
  <c r="E346" i="18"/>
  <c r="D346" i="18"/>
  <c r="C346" i="18"/>
  <c r="B346" i="18"/>
  <c r="BH345" i="18"/>
  <c r="BG345" i="18"/>
  <c r="BF345" i="18"/>
  <c r="BE345" i="18"/>
  <c r="BD345" i="18"/>
  <c r="BC345" i="18"/>
  <c r="BB345" i="18"/>
  <c r="BA345" i="18"/>
  <c r="AZ345" i="18"/>
  <c r="AY345" i="18"/>
  <c r="AX345" i="18"/>
  <c r="AW345" i="18"/>
  <c r="AV345" i="18"/>
  <c r="AU345" i="18"/>
  <c r="AT345" i="18"/>
  <c r="AS345" i="18"/>
  <c r="AR345" i="18"/>
  <c r="AQ345" i="18"/>
  <c r="AP345" i="18"/>
  <c r="AO345" i="18"/>
  <c r="AN345" i="18"/>
  <c r="AM345" i="18"/>
  <c r="AL345" i="18"/>
  <c r="AK345" i="18"/>
  <c r="AJ345" i="18"/>
  <c r="AI345" i="18"/>
  <c r="AH345" i="18"/>
  <c r="AG345" i="18"/>
  <c r="AF345" i="18"/>
  <c r="AE345" i="18"/>
  <c r="AD345" i="18"/>
  <c r="AC345" i="18"/>
  <c r="AB345" i="18"/>
  <c r="AA345" i="18"/>
  <c r="Z345" i="18"/>
  <c r="Y345" i="18"/>
  <c r="X345" i="18"/>
  <c r="W345" i="18"/>
  <c r="V345" i="18"/>
  <c r="U345" i="18"/>
  <c r="T345" i="18"/>
  <c r="S345" i="18"/>
  <c r="R345" i="18"/>
  <c r="Q345" i="18"/>
  <c r="P345" i="18"/>
  <c r="O345" i="18"/>
  <c r="N345" i="18"/>
  <c r="M345" i="18"/>
  <c r="L345" i="18"/>
  <c r="K345" i="18"/>
  <c r="J345" i="18"/>
  <c r="I345" i="18"/>
  <c r="H345" i="18"/>
  <c r="G345" i="18"/>
  <c r="F345" i="18"/>
  <c r="E345" i="18"/>
  <c r="D345" i="18"/>
  <c r="C345" i="18"/>
  <c r="B345" i="18"/>
  <c r="BH344" i="18"/>
  <c r="BG344" i="18"/>
  <c r="BF344" i="18"/>
  <c r="BE344" i="18"/>
  <c r="BD344" i="18"/>
  <c r="BC344" i="18"/>
  <c r="BB344" i="18"/>
  <c r="BA344" i="18"/>
  <c r="AZ344" i="18"/>
  <c r="AY344" i="18"/>
  <c r="AX344" i="18"/>
  <c r="AW344" i="18"/>
  <c r="AV344" i="18"/>
  <c r="AU344" i="18"/>
  <c r="AT344" i="18"/>
  <c r="AS344" i="18"/>
  <c r="AR344" i="18"/>
  <c r="AQ344" i="18"/>
  <c r="AP344" i="18"/>
  <c r="AO344" i="18"/>
  <c r="AN344" i="18"/>
  <c r="AM344" i="18"/>
  <c r="AL344" i="18"/>
  <c r="AK344" i="18"/>
  <c r="AJ344" i="18"/>
  <c r="AI344" i="18"/>
  <c r="AH344" i="18"/>
  <c r="AG344" i="18"/>
  <c r="AF344" i="18"/>
  <c r="AE344" i="18"/>
  <c r="AD344" i="18"/>
  <c r="AC344" i="18"/>
  <c r="AB344" i="18"/>
  <c r="AA344" i="18"/>
  <c r="Z344" i="18"/>
  <c r="Y344" i="18"/>
  <c r="X344" i="18"/>
  <c r="W344" i="18"/>
  <c r="V344" i="18"/>
  <c r="U344" i="18"/>
  <c r="T344" i="18"/>
  <c r="S344" i="18"/>
  <c r="R344" i="18"/>
  <c r="Q344" i="18"/>
  <c r="P344" i="18"/>
  <c r="O344" i="18"/>
  <c r="N344" i="18"/>
  <c r="M344" i="18"/>
  <c r="L344" i="18"/>
  <c r="K344" i="18"/>
  <c r="J344" i="18"/>
  <c r="I344" i="18"/>
  <c r="H344" i="18"/>
  <c r="G344" i="18"/>
  <c r="F344" i="18"/>
  <c r="E344" i="18"/>
  <c r="D344" i="18"/>
  <c r="C344" i="18"/>
  <c r="B344" i="18"/>
  <c r="M343" i="18"/>
  <c r="L343" i="18"/>
  <c r="J343" i="18"/>
  <c r="I343" i="18"/>
  <c r="H343" i="18"/>
  <c r="G343" i="18"/>
  <c r="F343" i="18"/>
  <c r="E343" i="18"/>
  <c r="D343" i="18"/>
  <c r="B343" i="18"/>
  <c r="AN342" i="18"/>
  <c r="AM342" i="18"/>
  <c r="AL342" i="18"/>
  <c r="AK342" i="18"/>
  <c r="AJ342" i="18"/>
  <c r="AI342" i="18"/>
  <c r="AH342" i="18"/>
  <c r="AG342" i="18"/>
  <c r="AF342" i="18"/>
  <c r="AE342" i="18"/>
  <c r="AD342" i="18"/>
  <c r="AC342" i="18"/>
  <c r="AB342" i="18"/>
  <c r="AA342" i="18"/>
  <c r="Z342" i="18"/>
  <c r="Y342" i="18"/>
  <c r="X342" i="18"/>
  <c r="W342" i="18"/>
  <c r="V342" i="18"/>
  <c r="U342" i="18"/>
  <c r="T342" i="18"/>
  <c r="S342" i="18"/>
  <c r="R342" i="18"/>
  <c r="Q342" i="18"/>
  <c r="P342" i="18"/>
  <c r="O342" i="18"/>
  <c r="N342" i="18"/>
  <c r="M342" i="18"/>
  <c r="L342" i="18"/>
  <c r="K342" i="18"/>
  <c r="J342" i="18"/>
  <c r="I342" i="18"/>
  <c r="H342" i="18"/>
  <c r="G342" i="18"/>
  <c r="F342" i="18"/>
  <c r="E342" i="18"/>
  <c r="D342" i="18"/>
  <c r="C342" i="18"/>
  <c r="B342" i="18"/>
  <c r="BH341" i="18"/>
  <c r="BG341" i="18"/>
  <c r="BF341" i="18"/>
  <c r="BE341" i="18"/>
  <c r="BD341" i="18"/>
  <c r="BC341" i="18"/>
  <c r="BB341" i="18"/>
  <c r="BA341" i="18"/>
  <c r="AZ341" i="18"/>
  <c r="AY341" i="18"/>
  <c r="AX341" i="18"/>
  <c r="AW341" i="18"/>
  <c r="AV341" i="18"/>
  <c r="AU341" i="18"/>
  <c r="AT341" i="18"/>
  <c r="AS341" i="18"/>
  <c r="AR341" i="18"/>
  <c r="AQ341" i="18"/>
  <c r="AP341" i="18"/>
  <c r="AO341" i="18"/>
  <c r="AN341" i="18"/>
  <c r="AM341" i="18"/>
  <c r="AL341" i="18"/>
  <c r="AK341" i="18"/>
  <c r="AJ341" i="18"/>
  <c r="AI341" i="18"/>
  <c r="AH341" i="18"/>
  <c r="AG341" i="18"/>
  <c r="AF341" i="18"/>
  <c r="AE341" i="18"/>
  <c r="AD341" i="18"/>
  <c r="AC341" i="18"/>
  <c r="AB341" i="18"/>
  <c r="AA341" i="18"/>
  <c r="Z341" i="18"/>
  <c r="Y341" i="18"/>
  <c r="X341" i="18"/>
  <c r="W341" i="18"/>
  <c r="V341" i="18"/>
  <c r="U341" i="18"/>
  <c r="T341" i="18"/>
  <c r="S341" i="18"/>
  <c r="R341" i="18"/>
  <c r="Q341" i="18"/>
  <c r="P341" i="18"/>
  <c r="O341" i="18"/>
  <c r="N341" i="18"/>
  <c r="M341" i="18"/>
  <c r="L341" i="18"/>
  <c r="K341" i="18"/>
  <c r="J341" i="18"/>
  <c r="I341" i="18"/>
  <c r="H341" i="18"/>
  <c r="G341" i="18"/>
  <c r="F341" i="18"/>
  <c r="E341" i="18"/>
  <c r="D341" i="18"/>
  <c r="C341" i="18"/>
  <c r="C334" i="18" s="1"/>
  <c r="B341" i="18"/>
  <c r="BH340" i="18"/>
  <c r="BG340" i="18"/>
  <c r="BF340" i="18"/>
  <c r="BE340" i="18"/>
  <c r="BD340" i="18"/>
  <c r="BC340" i="18"/>
  <c r="BB340" i="18"/>
  <c r="BA340" i="18"/>
  <c r="AZ340" i="18"/>
  <c r="AY340" i="18"/>
  <c r="AX340" i="18"/>
  <c r="AW340" i="18"/>
  <c r="AV340" i="18"/>
  <c r="AU340" i="18"/>
  <c r="AT340" i="18"/>
  <c r="AS340" i="18"/>
  <c r="AR340" i="18"/>
  <c r="AQ340" i="18"/>
  <c r="AP340" i="18"/>
  <c r="AO340" i="18"/>
  <c r="AN340" i="18"/>
  <c r="AM340" i="18"/>
  <c r="AL340" i="18"/>
  <c r="AK340" i="18"/>
  <c r="AJ340" i="18"/>
  <c r="AI340" i="18"/>
  <c r="AH340" i="18"/>
  <c r="AG340" i="18"/>
  <c r="AF340" i="18"/>
  <c r="AE340" i="18"/>
  <c r="AD340" i="18"/>
  <c r="AC340" i="18"/>
  <c r="AB340" i="18"/>
  <c r="AA340" i="18"/>
  <c r="Z340" i="18"/>
  <c r="Y340" i="18"/>
  <c r="X340" i="18"/>
  <c r="W340" i="18"/>
  <c r="V340" i="18"/>
  <c r="U340" i="18"/>
  <c r="T340" i="18"/>
  <c r="S340" i="18"/>
  <c r="R340" i="18"/>
  <c r="Q340" i="18"/>
  <c r="P340" i="18"/>
  <c r="O340" i="18"/>
  <c r="N340" i="18"/>
  <c r="M340" i="18"/>
  <c r="L340" i="18"/>
  <c r="K340" i="18"/>
  <c r="J340" i="18"/>
  <c r="I340" i="18"/>
  <c r="H340" i="18"/>
  <c r="G340" i="18"/>
  <c r="F340" i="18"/>
  <c r="F334" i="18" s="1"/>
  <c r="E340" i="18"/>
  <c r="D340" i="18"/>
  <c r="C340" i="18"/>
  <c r="B340" i="18"/>
  <c r="BH339" i="18"/>
  <c r="BG339" i="18"/>
  <c r="BF339" i="18"/>
  <c r="BE339" i="18"/>
  <c r="BD339" i="18"/>
  <c r="BC339" i="18"/>
  <c r="BB339" i="18"/>
  <c r="BA339" i="18"/>
  <c r="AZ339" i="18"/>
  <c r="AY339" i="18"/>
  <c r="AX339" i="18"/>
  <c r="AW339" i="18"/>
  <c r="AV339" i="18"/>
  <c r="AU339" i="18"/>
  <c r="AT339" i="18"/>
  <c r="AS339" i="18"/>
  <c r="AR339" i="18"/>
  <c r="AQ339" i="18"/>
  <c r="AP339" i="18"/>
  <c r="AO339" i="18"/>
  <c r="AN339" i="18"/>
  <c r="AM339" i="18"/>
  <c r="AL339" i="18"/>
  <c r="AK339" i="18"/>
  <c r="AJ339" i="18"/>
  <c r="AI339" i="18"/>
  <c r="AH339" i="18"/>
  <c r="AG339" i="18"/>
  <c r="AF339" i="18"/>
  <c r="AE339" i="18"/>
  <c r="AD339" i="18"/>
  <c r="AC339" i="18"/>
  <c r="AB339" i="18"/>
  <c r="AA339" i="18"/>
  <c r="Z339" i="18"/>
  <c r="Y339" i="18"/>
  <c r="X339" i="18"/>
  <c r="W339" i="18"/>
  <c r="V339" i="18"/>
  <c r="U339" i="18"/>
  <c r="T339" i="18"/>
  <c r="S339" i="18"/>
  <c r="R339" i="18"/>
  <c r="Q339" i="18"/>
  <c r="P339" i="18"/>
  <c r="O339" i="18"/>
  <c r="N339" i="18"/>
  <c r="M339" i="18"/>
  <c r="L339" i="18"/>
  <c r="K339" i="18"/>
  <c r="J339" i="18"/>
  <c r="I339" i="18"/>
  <c r="H339" i="18"/>
  <c r="G339" i="18"/>
  <c r="F339" i="18"/>
  <c r="E339" i="18"/>
  <c r="D339" i="18"/>
  <c r="C339" i="18"/>
  <c r="B339" i="18"/>
  <c r="BH338" i="18"/>
  <c r="BG338" i="18"/>
  <c r="BF338" i="18"/>
  <c r="BE338" i="18"/>
  <c r="BD338" i="18"/>
  <c r="BC338" i="18"/>
  <c r="BB338" i="18"/>
  <c r="BA338" i="18"/>
  <c r="AZ338" i="18"/>
  <c r="AY338" i="18"/>
  <c r="AX338" i="18"/>
  <c r="AW338" i="18"/>
  <c r="AV338" i="18"/>
  <c r="AU338" i="18"/>
  <c r="AT338" i="18"/>
  <c r="AS338" i="18"/>
  <c r="AR338" i="18"/>
  <c r="AQ338" i="18"/>
  <c r="AP338" i="18"/>
  <c r="AO338" i="18"/>
  <c r="AN338" i="18"/>
  <c r="AM338" i="18"/>
  <c r="AL338" i="18"/>
  <c r="AK338" i="18"/>
  <c r="AJ338" i="18"/>
  <c r="AI338" i="18"/>
  <c r="AH338" i="18"/>
  <c r="AG338" i="18"/>
  <c r="AF338" i="18"/>
  <c r="AE338" i="18"/>
  <c r="AD338" i="18"/>
  <c r="AC338" i="18"/>
  <c r="AB338" i="18"/>
  <c r="AA338" i="18"/>
  <c r="Z338" i="18"/>
  <c r="Y338" i="18"/>
  <c r="X338" i="18"/>
  <c r="W338" i="18"/>
  <c r="V338" i="18"/>
  <c r="U338" i="18"/>
  <c r="T338" i="18"/>
  <c r="S338" i="18"/>
  <c r="R338" i="18"/>
  <c r="Q338" i="18"/>
  <c r="P338" i="18"/>
  <c r="O338" i="18"/>
  <c r="N338" i="18"/>
  <c r="M338" i="18"/>
  <c r="L338" i="18"/>
  <c r="K338" i="18"/>
  <c r="K334" i="18" s="1"/>
  <c r="J338" i="18"/>
  <c r="I338" i="18"/>
  <c r="H338" i="18"/>
  <c r="G338" i="18"/>
  <c r="F338" i="18"/>
  <c r="E338" i="18"/>
  <c r="D338" i="18"/>
  <c r="C338" i="18"/>
  <c r="B338" i="18"/>
  <c r="BH337" i="18"/>
  <c r="BG337" i="18"/>
  <c r="BF337" i="18"/>
  <c r="BE337" i="18"/>
  <c r="BD337" i="18"/>
  <c r="BC337" i="18"/>
  <c r="BB337" i="18"/>
  <c r="BA337" i="18"/>
  <c r="AZ337" i="18"/>
  <c r="AY337" i="18"/>
  <c r="AX337" i="18"/>
  <c r="AW337" i="18"/>
  <c r="AV337" i="18"/>
  <c r="AU337" i="18"/>
  <c r="AT337" i="18"/>
  <c r="AS337" i="18"/>
  <c r="AR337" i="18"/>
  <c r="AQ337" i="18"/>
  <c r="AP337" i="18"/>
  <c r="AO337" i="18"/>
  <c r="AN337" i="18"/>
  <c r="AM337" i="18"/>
  <c r="AL337" i="18"/>
  <c r="AK337" i="18"/>
  <c r="AJ337" i="18"/>
  <c r="AI337" i="18"/>
  <c r="AH337" i="18"/>
  <c r="AG337" i="18"/>
  <c r="AF337" i="18"/>
  <c r="AE337" i="18"/>
  <c r="AD337" i="18"/>
  <c r="AC337" i="18"/>
  <c r="AB337" i="18"/>
  <c r="AA337" i="18"/>
  <c r="Z337" i="18"/>
  <c r="Y337" i="18"/>
  <c r="X337" i="18"/>
  <c r="W337" i="18"/>
  <c r="V337" i="18"/>
  <c r="U337" i="18"/>
  <c r="T337" i="18"/>
  <c r="S337" i="18"/>
  <c r="R337" i="18"/>
  <c r="Q337" i="18"/>
  <c r="P337" i="18"/>
  <c r="O337" i="18"/>
  <c r="N337" i="18"/>
  <c r="M337" i="18"/>
  <c r="L337" i="18"/>
  <c r="K337" i="18"/>
  <c r="J337" i="18"/>
  <c r="I337" i="18"/>
  <c r="H337" i="18"/>
  <c r="G337" i="18"/>
  <c r="G334" i="18" s="1"/>
  <c r="F337" i="18"/>
  <c r="E337" i="18"/>
  <c r="D337" i="18"/>
  <c r="C337" i="18"/>
  <c r="B337" i="18"/>
  <c r="BH336" i="18"/>
  <c r="BG336" i="18"/>
  <c r="BF336" i="18"/>
  <c r="BE336" i="18"/>
  <c r="BD336" i="18"/>
  <c r="BC336" i="18"/>
  <c r="BB336" i="18"/>
  <c r="BA336" i="18"/>
  <c r="AZ336" i="18"/>
  <c r="AY336" i="18"/>
  <c r="AX336" i="18"/>
  <c r="AW336" i="18"/>
  <c r="AV336" i="18"/>
  <c r="AU336" i="18"/>
  <c r="AT336" i="18"/>
  <c r="AS336" i="18"/>
  <c r="AR336" i="18"/>
  <c r="AQ336" i="18"/>
  <c r="AP336" i="18"/>
  <c r="AO336" i="18"/>
  <c r="AN336" i="18"/>
  <c r="AM336" i="18"/>
  <c r="AL336" i="18"/>
  <c r="AK336" i="18"/>
  <c r="AJ336" i="18"/>
  <c r="AI336" i="18"/>
  <c r="AH336" i="18"/>
  <c r="AG336" i="18"/>
  <c r="AF336" i="18"/>
  <c r="AE336" i="18"/>
  <c r="AD336" i="18"/>
  <c r="AC336" i="18"/>
  <c r="AB336" i="18"/>
  <c r="AA336" i="18"/>
  <c r="Z336" i="18"/>
  <c r="Y336" i="18"/>
  <c r="X336" i="18"/>
  <c r="W336" i="18"/>
  <c r="V336" i="18"/>
  <c r="U336" i="18"/>
  <c r="T336" i="18"/>
  <c r="S336" i="18"/>
  <c r="R336" i="18"/>
  <c r="Q336" i="18"/>
  <c r="P336" i="18"/>
  <c r="O336" i="18"/>
  <c r="N336" i="18"/>
  <c r="M336" i="18"/>
  <c r="L336" i="18"/>
  <c r="K336" i="18"/>
  <c r="J336" i="18"/>
  <c r="J334" i="18" s="1"/>
  <c r="I336" i="18"/>
  <c r="H336" i="18"/>
  <c r="G336" i="18"/>
  <c r="F336" i="18"/>
  <c r="E336" i="18"/>
  <c r="D336" i="18"/>
  <c r="C336" i="18"/>
  <c r="B336" i="18"/>
  <c r="BH335" i="18"/>
  <c r="BG335" i="18"/>
  <c r="BF335" i="18"/>
  <c r="BE335" i="18"/>
  <c r="BD335" i="18"/>
  <c r="BC335" i="18"/>
  <c r="BB335" i="18"/>
  <c r="BA335" i="18"/>
  <c r="AZ335" i="18"/>
  <c r="AY335" i="18"/>
  <c r="AX335" i="18"/>
  <c r="AW335" i="18"/>
  <c r="AV335" i="18"/>
  <c r="AU335" i="18"/>
  <c r="AT335" i="18"/>
  <c r="AS335" i="18"/>
  <c r="AR335" i="18"/>
  <c r="AQ335" i="18"/>
  <c r="AP335" i="18"/>
  <c r="AO335" i="18"/>
  <c r="AN335" i="18"/>
  <c r="AM335" i="18"/>
  <c r="AL335" i="18"/>
  <c r="AK335" i="18"/>
  <c r="AJ335" i="18"/>
  <c r="AI335" i="18"/>
  <c r="AH335" i="18"/>
  <c r="AG335" i="18"/>
  <c r="AF335" i="18"/>
  <c r="AE335" i="18"/>
  <c r="AD335" i="18"/>
  <c r="AC335" i="18"/>
  <c r="AB335" i="18"/>
  <c r="AA335" i="18"/>
  <c r="Z335" i="18"/>
  <c r="Y335" i="18"/>
  <c r="X335" i="18"/>
  <c r="W335" i="18"/>
  <c r="V335" i="18"/>
  <c r="U335" i="18"/>
  <c r="T335" i="18"/>
  <c r="S335" i="18"/>
  <c r="R335" i="18"/>
  <c r="Q335" i="18"/>
  <c r="P335" i="18"/>
  <c r="O335" i="18"/>
  <c r="N335" i="18"/>
  <c r="M335" i="18"/>
  <c r="L335" i="18"/>
  <c r="K335" i="18"/>
  <c r="J335" i="18"/>
  <c r="I335" i="18"/>
  <c r="H335" i="18"/>
  <c r="G335" i="18"/>
  <c r="F335" i="18"/>
  <c r="E335" i="18"/>
  <c r="D335" i="18"/>
  <c r="C335" i="18"/>
  <c r="B335" i="18"/>
  <c r="BH332" i="18"/>
  <c r="BH328" i="18" s="1"/>
  <c r="BG332" i="18"/>
  <c r="BF332" i="18"/>
  <c r="BE332" i="18"/>
  <c r="BD332" i="18"/>
  <c r="BC332" i="18"/>
  <c r="BB332" i="18"/>
  <c r="BA332" i="18"/>
  <c r="AZ332" i="18"/>
  <c r="AZ328" i="18" s="1"/>
  <c r="AY332" i="18"/>
  <c r="AX332" i="18"/>
  <c r="AW332" i="18"/>
  <c r="AV332" i="18"/>
  <c r="AU332" i="18"/>
  <c r="AT332" i="18"/>
  <c r="AS332" i="18"/>
  <c r="AR332" i="18"/>
  <c r="AR328" i="18" s="1"/>
  <c r="AQ332" i="18"/>
  <c r="AP332" i="18"/>
  <c r="AO332" i="18"/>
  <c r="AN332" i="18"/>
  <c r="AM332" i="18"/>
  <c r="AL332" i="18"/>
  <c r="AK332" i="18"/>
  <c r="AJ332" i="18"/>
  <c r="AJ328" i="18" s="1"/>
  <c r="AI332" i="18"/>
  <c r="AH332" i="18"/>
  <c r="AG332" i="18"/>
  <c r="AF332" i="18"/>
  <c r="AE332" i="18"/>
  <c r="AD332" i="18"/>
  <c r="AC332" i="18"/>
  <c r="AB332" i="18"/>
  <c r="AA332" i="18"/>
  <c r="Z332" i="18"/>
  <c r="Y332" i="18"/>
  <c r="X332" i="18"/>
  <c r="W332" i="18"/>
  <c r="V332" i="18"/>
  <c r="U332" i="18"/>
  <c r="T332" i="18"/>
  <c r="S332" i="18"/>
  <c r="R332" i="18"/>
  <c r="Q332" i="18"/>
  <c r="P332" i="18"/>
  <c r="O332" i="18"/>
  <c r="N332" i="18"/>
  <c r="M332" i="18"/>
  <c r="L332" i="18"/>
  <c r="K332" i="18"/>
  <c r="J332" i="18"/>
  <c r="I332" i="18"/>
  <c r="H332" i="18"/>
  <c r="G332" i="18"/>
  <c r="F332" i="18"/>
  <c r="E332" i="18"/>
  <c r="D332" i="18"/>
  <c r="C332" i="18"/>
  <c r="B332" i="18"/>
  <c r="BH331" i="18"/>
  <c r="BG331" i="18"/>
  <c r="BF331" i="18"/>
  <c r="BE331" i="18"/>
  <c r="BD331" i="18"/>
  <c r="BD328" i="18" s="1"/>
  <c r="BC331" i="18"/>
  <c r="BB331" i="18"/>
  <c r="BA331" i="18"/>
  <c r="AZ331" i="18"/>
  <c r="AY331" i="18"/>
  <c r="AX331" i="18"/>
  <c r="AW331" i="18"/>
  <c r="AV331" i="18"/>
  <c r="AV328" i="18" s="1"/>
  <c r="AU331" i="18"/>
  <c r="AT331" i="18"/>
  <c r="AS331" i="18"/>
  <c r="AR331" i="18"/>
  <c r="AQ331" i="18"/>
  <c r="AP331" i="18"/>
  <c r="AO331" i="18"/>
  <c r="AN331" i="18"/>
  <c r="AM331" i="18"/>
  <c r="AL331" i="18"/>
  <c r="AK331" i="18"/>
  <c r="AJ331" i="18"/>
  <c r="AI331" i="18"/>
  <c r="AH331" i="18"/>
  <c r="AG331" i="18"/>
  <c r="AF331" i="18"/>
  <c r="AE331" i="18"/>
  <c r="AD331" i="18"/>
  <c r="AC331" i="18"/>
  <c r="AB331" i="18"/>
  <c r="AA331" i="18"/>
  <c r="Z331" i="18"/>
  <c r="Y331" i="18"/>
  <c r="X331" i="18"/>
  <c r="X328" i="18" s="1"/>
  <c r="W331" i="18"/>
  <c r="V331" i="18"/>
  <c r="U331" i="18"/>
  <c r="T331" i="18"/>
  <c r="S331" i="18"/>
  <c r="R331" i="18"/>
  <c r="Q331" i="18"/>
  <c r="P331" i="18"/>
  <c r="O331" i="18"/>
  <c r="N331" i="18"/>
  <c r="M331" i="18"/>
  <c r="L331" i="18"/>
  <c r="L328" i="18" s="1"/>
  <c r="K331" i="18"/>
  <c r="J331" i="18"/>
  <c r="I331" i="18"/>
  <c r="H331" i="18"/>
  <c r="H328" i="18" s="1"/>
  <c r="G331" i="18"/>
  <c r="F331" i="18"/>
  <c r="E331" i="18"/>
  <c r="D331" i="18"/>
  <c r="C331" i="18"/>
  <c r="B331" i="18"/>
  <c r="BH330" i="18"/>
  <c r="BG330" i="18"/>
  <c r="BF330" i="18"/>
  <c r="BE330" i="18"/>
  <c r="BD330" i="18"/>
  <c r="BC330" i="18"/>
  <c r="BB330" i="18"/>
  <c r="BA330" i="18"/>
  <c r="AZ330" i="18"/>
  <c r="AY330" i="18"/>
  <c r="AX330" i="18"/>
  <c r="AW330" i="18"/>
  <c r="AV330" i="18"/>
  <c r="AU330" i="18"/>
  <c r="AT330" i="18"/>
  <c r="AS330" i="18"/>
  <c r="AR330" i="18"/>
  <c r="AQ330" i="18"/>
  <c r="AP330" i="18"/>
  <c r="AO330" i="18"/>
  <c r="AN330" i="18"/>
  <c r="AM330" i="18"/>
  <c r="AL330" i="18"/>
  <c r="AK330" i="18"/>
  <c r="AJ330" i="18"/>
  <c r="AI330" i="18"/>
  <c r="AH330" i="18"/>
  <c r="AG330" i="18"/>
  <c r="AF330" i="18"/>
  <c r="AE330" i="18"/>
  <c r="AD330" i="18"/>
  <c r="AC330" i="18"/>
  <c r="AB330" i="18"/>
  <c r="AA330" i="18"/>
  <c r="Z330" i="18"/>
  <c r="Y330" i="18"/>
  <c r="X330" i="18"/>
  <c r="W330" i="18"/>
  <c r="V330" i="18"/>
  <c r="U330" i="18"/>
  <c r="T330" i="18"/>
  <c r="S330" i="18"/>
  <c r="R330" i="18"/>
  <c r="Q330" i="18"/>
  <c r="P330" i="18"/>
  <c r="O330" i="18"/>
  <c r="N330" i="18"/>
  <c r="M330" i="18"/>
  <c r="L330" i="18"/>
  <c r="K330" i="18"/>
  <c r="J330" i="18"/>
  <c r="I330" i="18"/>
  <c r="H330" i="18"/>
  <c r="G330" i="18"/>
  <c r="F330" i="18"/>
  <c r="E330" i="18"/>
  <c r="D330" i="18"/>
  <c r="C330" i="18"/>
  <c r="B330" i="18"/>
  <c r="BH329" i="18"/>
  <c r="BG329" i="18"/>
  <c r="BF329" i="18"/>
  <c r="BE329" i="18"/>
  <c r="BD329" i="18"/>
  <c r="BC329" i="18"/>
  <c r="BB329" i="18"/>
  <c r="BA329" i="18"/>
  <c r="AZ329" i="18"/>
  <c r="AY329" i="18"/>
  <c r="AX329" i="18"/>
  <c r="AW329" i="18"/>
  <c r="AW328" i="18" s="1"/>
  <c r="AV329" i="18"/>
  <c r="AU329" i="18"/>
  <c r="AT329" i="18"/>
  <c r="AT328" i="18" s="1"/>
  <c r="AS329" i="18"/>
  <c r="AS328" i="18" s="1"/>
  <c r="AR329" i="18"/>
  <c r="AQ329" i="18"/>
  <c r="AP329" i="18"/>
  <c r="AO329" i="18"/>
  <c r="AN329" i="18"/>
  <c r="AM329" i="18"/>
  <c r="AL329" i="18"/>
  <c r="AL328" i="18" s="1"/>
  <c r="AK329" i="18"/>
  <c r="AK328" i="18" s="1"/>
  <c r="AJ329" i="18"/>
  <c r="AI329" i="18"/>
  <c r="AH329" i="18"/>
  <c r="AG329" i="18"/>
  <c r="AF329" i="18"/>
  <c r="AE329" i="18"/>
  <c r="AD329" i="18"/>
  <c r="AD328" i="18" s="1"/>
  <c r="AC329" i="18"/>
  <c r="AB329" i="18"/>
  <c r="AA329" i="18"/>
  <c r="Z329" i="18"/>
  <c r="Y329" i="18"/>
  <c r="X329" i="18"/>
  <c r="W329" i="18"/>
  <c r="V329" i="18"/>
  <c r="V328" i="18" s="1"/>
  <c r="U329" i="18"/>
  <c r="U328" i="18" s="1"/>
  <c r="T329" i="18"/>
  <c r="S329" i="18"/>
  <c r="R329" i="18"/>
  <c r="Q329" i="18"/>
  <c r="P329" i="18"/>
  <c r="O329" i="18"/>
  <c r="N329" i="18"/>
  <c r="M329" i="18"/>
  <c r="M328" i="18" s="1"/>
  <c r="L329" i="18"/>
  <c r="K329" i="18"/>
  <c r="J329" i="18"/>
  <c r="I329" i="18"/>
  <c r="I328" i="18" s="1"/>
  <c r="H329" i="18"/>
  <c r="G329" i="18"/>
  <c r="F329" i="18"/>
  <c r="E329" i="18"/>
  <c r="E328" i="18" s="1"/>
  <c r="D329" i="18"/>
  <c r="C329" i="18"/>
  <c r="B329" i="18"/>
  <c r="BE328" i="18"/>
  <c r="BB328" i="18"/>
  <c r="BA328" i="18"/>
  <c r="AO328" i="18"/>
  <c r="AN328" i="18"/>
  <c r="AG328" i="18"/>
  <c r="AF328" i="18"/>
  <c r="AC328" i="18"/>
  <c r="AB328" i="18"/>
  <c r="Y328" i="18"/>
  <c r="T328" i="18"/>
  <c r="Q328" i="18"/>
  <c r="P328" i="18"/>
  <c r="N328" i="18"/>
  <c r="F328" i="18"/>
  <c r="D328" i="18"/>
  <c r="M326" i="18"/>
  <c r="L326" i="18"/>
  <c r="K326" i="18"/>
  <c r="J326" i="18"/>
  <c r="I326" i="18"/>
  <c r="H326" i="18"/>
  <c r="G326" i="18"/>
  <c r="F326" i="18"/>
  <c r="E326" i="18"/>
  <c r="D326" i="18"/>
  <c r="C326" i="18"/>
  <c r="B326" i="18"/>
  <c r="M325" i="18"/>
  <c r="L325" i="18"/>
  <c r="K325" i="18"/>
  <c r="J325" i="18"/>
  <c r="I325" i="18"/>
  <c r="H325" i="18"/>
  <c r="G325" i="18"/>
  <c r="F325" i="18"/>
  <c r="E325" i="18"/>
  <c r="D325" i="18"/>
  <c r="C325" i="18"/>
  <c r="B325" i="18"/>
  <c r="M324" i="18"/>
  <c r="L324" i="18"/>
  <c r="L322" i="18" s="1"/>
  <c r="K324" i="18"/>
  <c r="J324" i="18"/>
  <c r="I324" i="18"/>
  <c r="H324" i="18"/>
  <c r="G324" i="18"/>
  <c r="F324" i="18"/>
  <c r="F322" i="18" s="1"/>
  <c r="E324" i="18"/>
  <c r="D324" i="18"/>
  <c r="C324" i="18"/>
  <c r="B324" i="18"/>
  <c r="M323" i="18"/>
  <c r="L323" i="18"/>
  <c r="K323" i="18"/>
  <c r="J323" i="18"/>
  <c r="I323" i="18"/>
  <c r="I322" i="18" s="1"/>
  <c r="H323" i="18"/>
  <c r="H322" i="18" s="1"/>
  <c r="G323" i="18"/>
  <c r="F323" i="18"/>
  <c r="E323" i="18"/>
  <c r="D323" i="18"/>
  <c r="C323" i="18"/>
  <c r="B323" i="18"/>
  <c r="K322" i="18"/>
  <c r="J322" i="18"/>
  <c r="G322" i="18"/>
  <c r="D322" i="18"/>
  <c r="M321" i="18"/>
  <c r="M318" i="18" s="1"/>
  <c r="L321" i="18"/>
  <c r="K321" i="18"/>
  <c r="J321" i="18"/>
  <c r="I321" i="18"/>
  <c r="H321" i="18"/>
  <c r="G321" i="18"/>
  <c r="F321" i="18"/>
  <c r="E321" i="18"/>
  <c r="E318" i="18" s="1"/>
  <c r="D321" i="18"/>
  <c r="C321" i="18"/>
  <c r="B321" i="18"/>
  <c r="M320" i="18"/>
  <c r="L320" i="18"/>
  <c r="K320" i="18"/>
  <c r="J320" i="18"/>
  <c r="I320" i="18"/>
  <c r="H320" i="18"/>
  <c r="G320" i="18"/>
  <c r="G318" i="18" s="1"/>
  <c r="F320" i="18"/>
  <c r="E320" i="18"/>
  <c r="D320" i="18"/>
  <c r="C320" i="18"/>
  <c r="B320" i="18"/>
  <c r="M319" i="18"/>
  <c r="L319" i="18"/>
  <c r="L318" i="18" s="1"/>
  <c r="K319" i="18"/>
  <c r="K318" i="18" s="1"/>
  <c r="J319" i="18"/>
  <c r="J318" i="18" s="1"/>
  <c r="I319" i="18"/>
  <c r="H319" i="18"/>
  <c r="G319" i="18"/>
  <c r="F319" i="18"/>
  <c r="F318" i="18" s="1"/>
  <c r="E319" i="18"/>
  <c r="D319" i="18"/>
  <c r="D318" i="18" s="1"/>
  <c r="C319" i="18"/>
  <c r="C318" i="18" s="1"/>
  <c r="B319" i="18"/>
  <c r="I318" i="18"/>
  <c r="H318" i="18"/>
  <c r="BH315" i="18"/>
  <c r="BG315" i="18"/>
  <c r="BF315" i="18"/>
  <c r="BE315" i="18"/>
  <c r="BD315" i="18"/>
  <c r="BC315" i="18"/>
  <c r="BB315" i="18"/>
  <c r="BA315" i="18"/>
  <c r="AZ315" i="18"/>
  <c r="AY315" i="18"/>
  <c r="AX315" i="18"/>
  <c r="AW315" i="18"/>
  <c r="AV315" i="18"/>
  <c r="AU315" i="18"/>
  <c r="AT315" i="18"/>
  <c r="AS315" i="18"/>
  <c r="AR315" i="18"/>
  <c r="AQ315" i="18"/>
  <c r="AP315" i="18"/>
  <c r="AO315" i="18"/>
  <c r="AN315" i="18"/>
  <c r="AM315" i="18"/>
  <c r="AL315" i="18"/>
  <c r="AK315" i="18"/>
  <c r="AJ315" i="18"/>
  <c r="AI315" i="18"/>
  <c r="AH315" i="18"/>
  <c r="AG315" i="18"/>
  <c r="AF315" i="18"/>
  <c r="AE315" i="18"/>
  <c r="AD315" i="18"/>
  <c r="AC315" i="18"/>
  <c r="AB315" i="18"/>
  <c r="AA315" i="18"/>
  <c r="Z315" i="18"/>
  <c r="Y315" i="18"/>
  <c r="X315" i="18"/>
  <c r="W315" i="18"/>
  <c r="V315" i="18"/>
  <c r="U315" i="18"/>
  <c r="T315" i="18"/>
  <c r="S315" i="18"/>
  <c r="R315" i="18"/>
  <c r="Q315" i="18"/>
  <c r="P315" i="18"/>
  <c r="O315" i="18"/>
  <c r="N315" i="18"/>
  <c r="M315" i="18"/>
  <c r="L315" i="18"/>
  <c r="K315" i="18"/>
  <c r="J315" i="18"/>
  <c r="I315" i="18"/>
  <c r="H315" i="18"/>
  <c r="G315" i="18"/>
  <c r="F315" i="18"/>
  <c r="E315" i="18"/>
  <c r="D315" i="18"/>
  <c r="C315" i="18"/>
  <c r="B315" i="18"/>
  <c r="AV314" i="18"/>
  <c r="AU314" i="18"/>
  <c r="AT314" i="18"/>
  <c r="AS314" i="18"/>
  <c r="AR314" i="18"/>
  <c r="AQ314" i="18"/>
  <c r="AP314" i="18"/>
  <c r="AO314" i="18"/>
  <c r="AN314" i="18"/>
  <c r="AM314" i="18"/>
  <c r="AL314" i="18"/>
  <c r="AK314" i="18"/>
  <c r="AJ314" i="18"/>
  <c r="AI314" i="18"/>
  <c r="AH314" i="18"/>
  <c r="AG314" i="18"/>
  <c r="AF314" i="18"/>
  <c r="AE314" i="18"/>
  <c r="AD314" i="18"/>
  <c r="AC314" i="18"/>
  <c r="AB314" i="18"/>
  <c r="AA314" i="18"/>
  <c r="Z314" i="18"/>
  <c r="Y314" i="18"/>
  <c r="X314" i="18"/>
  <c r="W314" i="18"/>
  <c r="V314" i="18"/>
  <c r="U314" i="18"/>
  <c r="T314" i="18"/>
  <c r="S314" i="18"/>
  <c r="R314" i="18"/>
  <c r="Q314" i="18"/>
  <c r="P314" i="18"/>
  <c r="O314" i="18"/>
  <c r="N314" i="18"/>
  <c r="M314" i="18"/>
  <c r="L314" i="18"/>
  <c r="K314" i="18"/>
  <c r="J314" i="18"/>
  <c r="I314" i="18"/>
  <c r="H314" i="18"/>
  <c r="G314" i="18"/>
  <c r="F314" i="18"/>
  <c r="E314" i="18"/>
  <c r="D314" i="18"/>
  <c r="C314" i="18"/>
  <c r="B314" i="18"/>
  <c r="BH313" i="18"/>
  <c r="BG313" i="18"/>
  <c r="BF313" i="18"/>
  <c r="BE313" i="18"/>
  <c r="BD313" i="18"/>
  <c r="BC313" i="18"/>
  <c r="BB313" i="18"/>
  <c r="BA313" i="18"/>
  <c r="AZ313" i="18"/>
  <c r="AY313" i="18"/>
  <c r="AX313" i="18"/>
  <c r="AW313" i="18"/>
  <c r="AV313" i="18"/>
  <c r="AU313" i="18"/>
  <c r="AT313" i="18"/>
  <c r="AS313" i="18"/>
  <c r="AR313" i="18"/>
  <c r="AQ313" i="18"/>
  <c r="AP313" i="18"/>
  <c r="AO313" i="18"/>
  <c r="AN313" i="18"/>
  <c r="AM313" i="18"/>
  <c r="AL313" i="18"/>
  <c r="AK313" i="18"/>
  <c r="AI313" i="18"/>
  <c r="AH313" i="18"/>
  <c r="AG313" i="18"/>
  <c r="AF313" i="18"/>
  <c r="AE313" i="18"/>
  <c r="AD313" i="18"/>
  <c r="AC313" i="18"/>
  <c r="AA313" i="18"/>
  <c r="Z313" i="18"/>
  <c r="Y313" i="18"/>
  <c r="X313" i="18"/>
  <c r="W313" i="18"/>
  <c r="V313" i="18"/>
  <c r="U313" i="18"/>
  <c r="S313" i="18"/>
  <c r="R313" i="18"/>
  <c r="Q313" i="18"/>
  <c r="P313" i="18"/>
  <c r="O313" i="18"/>
  <c r="N313" i="18"/>
  <c r="M313" i="18"/>
  <c r="K313" i="18"/>
  <c r="J313" i="18"/>
  <c r="I313" i="18"/>
  <c r="H313" i="18"/>
  <c r="G313" i="18"/>
  <c r="F313" i="18"/>
  <c r="E313" i="18"/>
  <c r="E308" i="18" s="1"/>
  <c r="C313" i="18"/>
  <c r="B313" i="18"/>
  <c r="BH312" i="18"/>
  <c r="BG312" i="18"/>
  <c r="BF312" i="18"/>
  <c r="BE312" i="18"/>
  <c r="BD312" i="18"/>
  <c r="BC312" i="18"/>
  <c r="BB312" i="18"/>
  <c r="BA312" i="18"/>
  <c r="AZ312" i="18"/>
  <c r="AY312" i="18"/>
  <c r="AX312" i="18"/>
  <c r="AW312" i="18"/>
  <c r="AV312" i="18"/>
  <c r="AV308" i="18" s="1"/>
  <c r="AU312" i="18"/>
  <c r="AT312" i="18"/>
  <c r="AS312" i="18"/>
  <c r="AR312" i="18"/>
  <c r="AQ312" i="18"/>
  <c r="AP312" i="18"/>
  <c r="AO312" i="18"/>
  <c r="AN312" i="18"/>
  <c r="AN308" i="18" s="1"/>
  <c r="AM312" i="18"/>
  <c r="AL312" i="18"/>
  <c r="AK312" i="18"/>
  <c r="AJ312" i="18"/>
  <c r="AI312" i="18"/>
  <c r="AH312" i="18"/>
  <c r="AG312" i="18"/>
  <c r="AF312" i="18"/>
  <c r="AE312" i="18"/>
  <c r="AD312" i="18"/>
  <c r="AC312" i="18"/>
  <c r="AB312" i="18"/>
  <c r="AA312" i="18"/>
  <c r="Z312" i="18"/>
  <c r="Y312" i="18"/>
  <c r="X312" i="18"/>
  <c r="X308" i="18" s="1"/>
  <c r="W312" i="18"/>
  <c r="V312" i="18"/>
  <c r="U312" i="18"/>
  <c r="T312" i="18"/>
  <c r="S312" i="18"/>
  <c r="R312" i="18"/>
  <c r="Q312" i="18"/>
  <c r="P312" i="18"/>
  <c r="O312" i="18"/>
  <c r="N312" i="18"/>
  <c r="M312" i="18"/>
  <c r="L312" i="18"/>
  <c r="K312" i="18"/>
  <c r="J312" i="18"/>
  <c r="I312" i="18"/>
  <c r="H312" i="18"/>
  <c r="H308" i="18" s="1"/>
  <c r="G312" i="18"/>
  <c r="F312" i="18"/>
  <c r="E312" i="18"/>
  <c r="D312" i="18"/>
  <c r="C312" i="18"/>
  <c r="B312" i="18"/>
  <c r="BH311" i="18"/>
  <c r="BG311" i="18"/>
  <c r="BF311" i="18"/>
  <c r="BE311" i="18"/>
  <c r="BD311" i="18"/>
  <c r="BC311" i="18"/>
  <c r="BB311" i="18"/>
  <c r="BA311" i="18"/>
  <c r="AZ311" i="18"/>
  <c r="AY311" i="18"/>
  <c r="AX311" i="18"/>
  <c r="AW311" i="18"/>
  <c r="AV311" i="18"/>
  <c r="AU311" i="18"/>
  <c r="AT311" i="18"/>
  <c r="AS311" i="18"/>
  <c r="AR311" i="18"/>
  <c r="AQ311" i="18"/>
  <c r="AP311" i="18"/>
  <c r="AO311" i="18"/>
  <c r="AN311" i="18"/>
  <c r="AM311" i="18"/>
  <c r="AL311" i="18"/>
  <c r="AK311" i="18"/>
  <c r="AJ311" i="18"/>
  <c r="AI311" i="18"/>
  <c r="AH311" i="18"/>
  <c r="AG311" i="18"/>
  <c r="AF311" i="18"/>
  <c r="AE311" i="18"/>
  <c r="AD311" i="18"/>
  <c r="AC311" i="18"/>
  <c r="AB311" i="18"/>
  <c r="AA311" i="18"/>
  <c r="Z311" i="18"/>
  <c r="Y311" i="18"/>
  <c r="X311" i="18"/>
  <c r="W311" i="18"/>
  <c r="V311" i="18"/>
  <c r="U311" i="18"/>
  <c r="T311" i="18"/>
  <c r="S311" i="18"/>
  <c r="R311" i="18"/>
  <c r="Q311" i="18"/>
  <c r="P311" i="18"/>
  <c r="O311" i="18"/>
  <c r="N311" i="18"/>
  <c r="M311" i="18"/>
  <c r="L311" i="18"/>
  <c r="K311" i="18"/>
  <c r="J311" i="18"/>
  <c r="I311" i="18"/>
  <c r="H311" i="18"/>
  <c r="G311" i="18"/>
  <c r="F311" i="18"/>
  <c r="E311" i="18"/>
  <c r="D311" i="18"/>
  <c r="C311" i="18"/>
  <c r="B311" i="18"/>
  <c r="BH310" i="18"/>
  <c r="BG310" i="18"/>
  <c r="BF310" i="18"/>
  <c r="BE310" i="18"/>
  <c r="BE172" i="18" s="1"/>
  <c r="BD310" i="18"/>
  <c r="BC310" i="18"/>
  <c r="BB310" i="18"/>
  <c r="BA310" i="18"/>
  <c r="AZ310" i="18"/>
  <c r="AY310" i="18"/>
  <c r="AX310" i="18"/>
  <c r="AW310" i="18"/>
  <c r="AW172" i="18" s="1"/>
  <c r="AV310" i="18"/>
  <c r="AU310" i="18"/>
  <c r="AU308" i="18" s="1"/>
  <c r="AT310" i="18"/>
  <c r="AS310" i="18"/>
  <c r="AR310" i="18"/>
  <c r="AQ310" i="18"/>
  <c r="AP310" i="18"/>
  <c r="AO310" i="18"/>
  <c r="AO172" i="18" s="1"/>
  <c r="AN310" i="18"/>
  <c r="AM310" i="18"/>
  <c r="AM308" i="18" s="1"/>
  <c r="AL310" i="18"/>
  <c r="AK310" i="18"/>
  <c r="AJ310" i="18"/>
  <c r="AI310" i="18"/>
  <c r="AH310" i="18"/>
  <c r="AG310" i="18"/>
  <c r="AG172" i="18" s="1"/>
  <c r="AF310" i="18"/>
  <c r="AE310" i="18"/>
  <c r="AE308" i="18" s="1"/>
  <c r="AD310" i="18"/>
  <c r="AC310" i="18"/>
  <c r="AB310" i="18"/>
  <c r="AA310" i="18"/>
  <c r="Z310" i="18"/>
  <c r="Y310" i="18"/>
  <c r="Y172" i="18" s="1"/>
  <c r="X310" i="18"/>
  <c r="W310" i="18"/>
  <c r="V310" i="18"/>
  <c r="U310" i="18"/>
  <c r="T310" i="18"/>
  <c r="S310" i="18"/>
  <c r="R310" i="18"/>
  <c r="Q310" i="18"/>
  <c r="Q172" i="18" s="1"/>
  <c r="P310" i="18"/>
  <c r="O310" i="18"/>
  <c r="O308" i="18" s="1"/>
  <c r="N310" i="18"/>
  <c r="M310" i="18"/>
  <c r="L310" i="18"/>
  <c r="K310" i="18"/>
  <c r="J310" i="18"/>
  <c r="I310" i="18"/>
  <c r="I172" i="18" s="1"/>
  <c r="H310" i="18"/>
  <c r="G310" i="18"/>
  <c r="G308" i="18" s="1"/>
  <c r="F310" i="18"/>
  <c r="E310" i="18"/>
  <c r="D310" i="18"/>
  <c r="C310" i="18"/>
  <c r="B310" i="18"/>
  <c r="BH309" i="18"/>
  <c r="BG309" i="18"/>
  <c r="BF309" i="18"/>
  <c r="BE309" i="18"/>
  <c r="BD309" i="18"/>
  <c r="BC309" i="18"/>
  <c r="BB309" i="18"/>
  <c r="BA309" i="18"/>
  <c r="AZ309" i="18"/>
  <c r="AY309" i="18"/>
  <c r="AX309" i="18"/>
  <c r="AW309" i="18"/>
  <c r="AV309" i="18"/>
  <c r="AU309" i="18"/>
  <c r="AT309" i="18"/>
  <c r="AS309" i="18"/>
  <c r="AR309" i="18"/>
  <c r="AR308" i="18" s="1"/>
  <c r="AQ309" i="18"/>
  <c r="AP309" i="18"/>
  <c r="AO309" i="18"/>
  <c r="AN309" i="18"/>
  <c r="AM309" i="18"/>
  <c r="AL309" i="18"/>
  <c r="AK309" i="18"/>
  <c r="AJ309" i="18"/>
  <c r="AJ308" i="18" s="1"/>
  <c r="AI309" i="18"/>
  <c r="AH309" i="18"/>
  <c r="AG309" i="18"/>
  <c r="AF309" i="18"/>
  <c r="AE309" i="18"/>
  <c r="AD309" i="18"/>
  <c r="AC309" i="18"/>
  <c r="AB309" i="18"/>
  <c r="AB308" i="18" s="1"/>
  <c r="AA309" i="18"/>
  <c r="Z309" i="18"/>
  <c r="Y309" i="18"/>
  <c r="X309" i="18"/>
  <c r="W309" i="18"/>
  <c r="V309" i="18"/>
  <c r="U309" i="18"/>
  <c r="T309" i="18"/>
  <c r="S309" i="18"/>
  <c r="R309" i="18"/>
  <c r="Q309" i="18"/>
  <c r="P309" i="18"/>
  <c r="O309" i="18"/>
  <c r="N309" i="18"/>
  <c r="M309" i="18"/>
  <c r="L309" i="18"/>
  <c r="L308" i="18" s="1"/>
  <c r="K309" i="18"/>
  <c r="J309" i="18"/>
  <c r="I309" i="18"/>
  <c r="H309" i="18"/>
  <c r="G309" i="18"/>
  <c r="F309" i="18"/>
  <c r="E309" i="18"/>
  <c r="D309" i="18"/>
  <c r="D308" i="18" s="1"/>
  <c r="C309" i="18"/>
  <c r="B309" i="18"/>
  <c r="AC308" i="18"/>
  <c r="W308" i="18"/>
  <c r="U308" i="18"/>
  <c r="T308" i="18"/>
  <c r="M308" i="18"/>
  <c r="BH307" i="18"/>
  <c r="BG307" i="18"/>
  <c r="BF307" i="18"/>
  <c r="BE307" i="18"/>
  <c r="BD307" i="18"/>
  <c r="BC307" i="18"/>
  <c r="BB307" i="18"/>
  <c r="BA307" i="18"/>
  <c r="AZ307" i="18"/>
  <c r="AY307" i="18"/>
  <c r="AX307" i="18"/>
  <c r="AW307" i="18"/>
  <c r="AW301" i="18" s="1"/>
  <c r="AV307" i="18"/>
  <c r="AU307" i="18"/>
  <c r="AT307" i="18"/>
  <c r="AS307" i="18"/>
  <c r="AR307" i="18"/>
  <c r="AQ307" i="18"/>
  <c r="AP307" i="18"/>
  <c r="AO307" i="18"/>
  <c r="AN307" i="18"/>
  <c r="AM307" i="18"/>
  <c r="AL307" i="18"/>
  <c r="AK307" i="18"/>
  <c r="AJ307" i="18"/>
  <c r="AI307" i="18"/>
  <c r="AH307" i="18"/>
  <c r="AG307" i="18"/>
  <c r="AF307" i="18"/>
  <c r="AE307" i="18"/>
  <c r="AD307" i="18"/>
  <c r="AC307" i="18"/>
  <c r="AB307" i="18"/>
  <c r="AA307" i="18"/>
  <c r="Z307" i="18"/>
  <c r="Y307" i="18"/>
  <c r="X307" i="18"/>
  <c r="W307" i="18"/>
  <c r="V307" i="18"/>
  <c r="U307" i="18"/>
  <c r="T307" i="18"/>
  <c r="S307" i="18"/>
  <c r="R307" i="18"/>
  <c r="Q307" i="18"/>
  <c r="P307" i="18"/>
  <c r="O307" i="18"/>
  <c r="N307" i="18"/>
  <c r="M307" i="18"/>
  <c r="L307" i="18"/>
  <c r="K307" i="18"/>
  <c r="J307" i="18"/>
  <c r="I307" i="18"/>
  <c r="I301" i="18" s="1"/>
  <c r="H307" i="18"/>
  <c r="G307" i="18"/>
  <c r="F307" i="18"/>
  <c r="E307" i="18"/>
  <c r="D307" i="18"/>
  <c r="C307" i="18"/>
  <c r="B307" i="18"/>
  <c r="BH306" i="18"/>
  <c r="BG306" i="18"/>
  <c r="BF306" i="18"/>
  <c r="BE306" i="18"/>
  <c r="BD306" i="18"/>
  <c r="BC306" i="18"/>
  <c r="BB306" i="18"/>
  <c r="BA306" i="18"/>
  <c r="AZ306" i="18"/>
  <c r="AY306" i="18"/>
  <c r="AX306" i="18"/>
  <c r="AW306" i="18"/>
  <c r="AV306" i="18"/>
  <c r="AU306" i="18"/>
  <c r="AT306" i="18"/>
  <c r="AS306" i="18"/>
  <c r="AR306" i="18"/>
  <c r="AQ306" i="18"/>
  <c r="AP306" i="18"/>
  <c r="AO306" i="18"/>
  <c r="AN306" i="18"/>
  <c r="AM306" i="18"/>
  <c r="AL306" i="18"/>
  <c r="AK306" i="18"/>
  <c r="AJ306" i="18"/>
  <c r="AI306" i="18"/>
  <c r="AH306" i="18"/>
  <c r="AG306" i="18"/>
  <c r="AG301" i="18" s="1"/>
  <c r="AF306" i="18"/>
  <c r="AE306" i="18"/>
  <c r="AD306" i="18"/>
  <c r="AC306" i="18"/>
  <c r="AB306" i="18"/>
  <c r="AA306" i="18"/>
  <c r="Z306" i="18"/>
  <c r="Y306" i="18"/>
  <c r="X306" i="18"/>
  <c r="W306" i="18"/>
  <c r="V306" i="18"/>
  <c r="U306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6" i="18"/>
  <c r="C306" i="18"/>
  <c r="B306" i="18"/>
  <c r="BH305" i="18"/>
  <c r="BG305" i="18"/>
  <c r="BF305" i="18"/>
  <c r="BE305" i="18"/>
  <c r="BD305" i="18"/>
  <c r="BC305" i="18"/>
  <c r="BB305" i="18"/>
  <c r="BA305" i="18"/>
  <c r="AZ305" i="18"/>
  <c r="AY305" i="18"/>
  <c r="AX305" i="18"/>
  <c r="AW305" i="18"/>
  <c r="AV305" i="18"/>
  <c r="AU305" i="18"/>
  <c r="AT305" i="18"/>
  <c r="AS305" i="18"/>
  <c r="AR305" i="18"/>
  <c r="AQ305" i="18"/>
  <c r="AP305" i="18"/>
  <c r="AO305" i="18"/>
  <c r="AN305" i="18"/>
  <c r="AM305" i="18"/>
  <c r="AL305" i="18"/>
  <c r="AK305" i="18"/>
  <c r="AJ305" i="18"/>
  <c r="AI305" i="18"/>
  <c r="AH305" i="18"/>
  <c r="AG305" i="18"/>
  <c r="AF305" i="18"/>
  <c r="AE305" i="18"/>
  <c r="AD305" i="18"/>
  <c r="AC305" i="18"/>
  <c r="AB305" i="18"/>
  <c r="AA305" i="18"/>
  <c r="Z305" i="18"/>
  <c r="Y305" i="18"/>
  <c r="X305" i="18"/>
  <c r="W305" i="18"/>
  <c r="V305" i="18"/>
  <c r="U305" i="18"/>
  <c r="T305" i="18"/>
  <c r="S305" i="18"/>
  <c r="R305" i="18"/>
  <c r="Q305" i="18"/>
  <c r="P305" i="18"/>
  <c r="O305" i="18"/>
  <c r="N305" i="18"/>
  <c r="M305" i="18"/>
  <c r="L305" i="18"/>
  <c r="K305" i="18"/>
  <c r="J305" i="18"/>
  <c r="I305" i="18"/>
  <c r="H305" i="18"/>
  <c r="G305" i="18"/>
  <c r="F305" i="18"/>
  <c r="E305" i="18"/>
  <c r="D305" i="18"/>
  <c r="C305" i="18"/>
  <c r="B305" i="18"/>
  <c r="BH304" i="18"/>
  <c r="BG304" i="18"/>
  <c r="BF304" i="18"/>
  <c r="BE304" i="18"/>
  <c r="BD304" i="18"/>
  <c r="BC304" i="18"/>
  <c r="BB304" i="18"/>
  <c r="BA304" i="18"/>
  <c r="AZ304" i="18"/>
  <c r="AY304" i="18"/>
  <c r="AX304" i="18"/>
  <c r="AW304" i="18"/>
  <c r="AV304" i="18"/>
  <c r="AU304" i="18"/>
  <c r="AT304" i="18"/>
  <c r="AS304" i="18"/>
  <c r="AR304" i="18"/>
  <c r="AQ304" i="18"/>
  <c r="AP304" i="18"/>
  <c r="AO304" i="18"/>
  <c r="AN304" i="18"/>
  <c r="AM304" i="18"/>
  <c r="AL304" i="18"/>
  <c r="AK304" i="18"/>
  <c r="AJ304" i="18"/>
  <c r="AI304" i="18"/>
  <c r="AH304" i="18"/>
  <c r="AG304" i="18"/>
  <c r="AF304" i="18"/>
  <c r="AE304" i="18"/>
  <c r="AD304" i="18"/>
  <c r="AC304" i="18"/>
  <c r="AB304" i="18"/>
  <c r="AA304" i="18"/>
  <c r="Z304" i="18"/>
  <c r="Y304" i="18"/>
  <c r="X304" i="18"/>
  <c r="W304" i="18"/>
  <c r="V304" i="18"/>
  <c r="U304" i="18"/>
  <c r="T304" i="18"/>
  <c r="S304" i="18"/>
  <c r="R304" i="18"/>
  <c r="Q304" i="18"/>
  <c r="P304" i="18"/>
  <c r="O304" i="18"/>
  <c r="N304" i="18"/>
  <c r="M304" i="18"/>
  <c r="L304" i="18"/>
  <c r="K304" i="18"/>
  <c r="J304" i="18"/>
  <c r="I304" i="18"/>
  <c r="H304" i="18"/>
  <c r="G304" i="18"/>
  <c r="F304" i="18"/>
  <c r="E304" i="18"/>
  <c r="D304" i="18"/>
  <c r="C304" i="18"/>
  <c r="B304" i="18"/>
  <c r="BH303" i="18"/>
  <c r="BG303" i="18"/>
  <c r="BF303" i="18"/>
  <c r="BE303" i="18"/>
  <c r="BD303" i="18"/>
  <c r="BC303" i="18"/>
  <c r="BB303" i="18"/>
  <c r="BA303" i="18"/>
  <c r="AZ303" i="18"/>
  <c r="AY303" i="18"/>
  <c r="AX303" i="18"/>
  <c r="AW303" i="18"/>
  <c r="AV303" i="18"/>
  <c r="AU303" i="18"/>
  <c r="AT303" i="18"/>
  <c r="AS303" i="18"/>
  <c r="AR303" i="18"/>
  <c r="AQ303" i="18"/>
  <c r="AP303" i="18"/>
  <c r="AO303" i="18"/>
  <c r="AN303" i="18"/>
  <c r="AM303" i="18"/>
  <c r="AL303" i="18"/>
  <c r="AK303" i="18"/>
  <c r="AJ303" i="18"/>
  <c r="AI303" i="18"/>
  <c r="AH303" i="18"/>
  <c r="AG303" i="18"/>
  <c r="AF303" i="18"/>
  <c r="AE303" i="18"/>
  <c r="AD303" i="18"/>
  <c r="AC303" i="18"/>
  <c r="AB303" i="18"/>
  <c r="AA303" i="18"/>
  <c r="Z303" i="18"/>
  <c r="Y303" i="18"/>
  <c r="X303" i="18"/>
  <c r="W303" i="18"/>
  <c r="V303" i="18"/>
  <c r="U303" i="18"/>
  <c r="T303" i="18"/>
  <c r="S303" i="18"/>
  <c r="R303" i="18"/>
  <c r="Q303" i="18"/>
  <c r="P303" i="18"/>
  <c r="O303" i="18"/>
  <c r="N303" i="18"/>
  <c r="M303" i="18"/>
  <c r="L303" i="18"/>
  <c r="K303" i="18"/>
  <c r="K301" i="18" s="1"/>
  <c r="J303" i="18"/>
  <c r="I303" i="18"/>
  <c r="H303" i="18"/>
  <c r="G303" i="18"/>
  <c r="F303" i="18"/>
  <c r="E303" i="18"/>
  <c r="D303" i="18"/>
  <c r="C303" i="18"/>
  <c r="B303" i="18"/>
  <c r="BH302" i="18"/>
  <c r="BG302" i="18"/>
  <c r="BF302" i="18"/>
  <c r="BE302" i="18"/>
  <c r="BD302" i="18"/>
  <c r="BD301" i="18" s="1"/>
  <c r="BC302" i="18"/>
  <c r="BB302" i="18"/>
  <c r="BB301" i="18" s="1"/>
  <c r="BA302" i="18"/>
  <c r="AZ302" i="18"/>
  <c r="AY302" i="18"/>
  <c r="AX302" i="18"/>
  <c r="AW302" i="18"/>
  <c r="AV302" i="18"/>
  <c r="AU302" i="18"/>
  <c r="AT302" i="18"/>
  <c r="AT301" i="18" s="1"/>
  <c r="AS302" i="18"/>
  <c r="AR302" i="18"/>
  <c r="AQ302" i="18"/>
  <c r="AP302" i="18"/>
  <c r="AO302" i="18"/>
  <c r="AN302" i="18"/>
  <c r="AN301" i="18" s="1"/>
  <c r="AM302" i="18"/>
  <c r="AL302" i="18"/>
  <c r="AL301" i="18" s="1"/>
  <c r="AK302" i="18"/>
  <c r="AJ302" i="18"/>
  <c r="AI302" i="18"/>
  <c r="AH302" i="18"/>
  <c r="AG302" i="18"/>
  <c r="AF302" i="18"/>
  <c r="AF301" i="18" s="1"/>
  <c r="AE302" i="18"/>
  <c r="AD302" i="18"/>
  <c r="AD301" i="18" s="1"/>
  <c r="AC302" i="18"/>
  <c r="AB302" i="18"/>
  <c r="AA302" i="18"/>
  <c r="Z302" i="18"/>
  <c r="Y302" i="18"/>
  <c r="X302" i="18"/>
  <c r="X301" i="18" s="1"/>
  <c r="W302" i="18"/>
  <c r="V302" i="18"/>
  <c r="V301" i="18" s="1"/>
  <c r="U302" i="18"/>
  <c r="T302" i="18"/>
  <c r="S302" i="18"/>
  <c r="R302" i="18"/>
  <c r="Q302" i="18"/>
  <c r="P302" i="18"/>
  <c r="O302" i="18"/>
  <c r="N302" i="18"/>
  <c r="N301" i="18" s="1"/>
  <c r="M302" i="18"/>
  <c r="L302" i="18"/>
  <c r="K302" i="18"/>
  <c r="J302" i="18"/>
  <c r="I302" i="18"/>
  <c r="H302" i="18"/>
  <c r="H301" i="18" s="1"/>
  <c r="G302" i="18"/>
  <c r="F302" i="18"/>
  <c r="F301" i="18" s="1"/>
  <c r="E302" i="18"/>
  <c r="D302" i="18"/>
  <c r="C302" i="18"/>
  <c r="B302" i="18"/>
  <c r="BG301" i="18"/>
  <c r="BE301" i="18"/>
  <c r="AY301" i="18"/>
  <c r="AV301" i="18"/>
  <c r="AQ301" i="18"/>
  <c r="AO301" i="18"/>
  <c r="AI301" i="18"/>
  <c r="AA301" i="18"/>
  <c r="Y301" i="18"/>
  <c r="S301" i="18"/>
  <c r="Q301" i="18"/>
  <c r="P301" i="18"/>
  <c r="C301" i="18"/>
  <c r="BH300" i="18"/>
  <c r="BG300" i="18"/>
  <c r="BF300" i="18"/>
  <c r="BE300" i="18"/>
  <c r="BD300" i="18"/>
  <c r="BC300" i="18"/>
  <c r="BB300" i="18"/>
  <c r="BA300" i="18"/>
  <c r="AZ300" i="18"/>
  <c r="AY300" i="18"/>
  <c r="AX300" i="18"/>
  <c r="AW300" i="18"/>
  <c r="AV300" i="18"/>
  <c r="AU300" i="18"/>
  <c r="AT300" i="18"/>
  <c r="AS300" i="18"/>
  <c r="AS294" i="18" s="1"/>
  <c r="AR300" i="18"/>
  <c r="AQ300" i="18"/>
  <c r="AP300" i="18"/>
  <c r="AO300" i="18"/>
  <c r="AN300" i="18"/>
  <c r="AM300" i="18"/>
  <c r="AL300" i="18"/>
  <c r="AK300" i="18"/>
  <c r="AK294" i="18" s="1"/>
  <c r="AJ300" i="18"/>
  <c r="AI300" i="18"/>
  <c r="AH300" i="18"/>
  <c r="AG300" i="18"/>
  <c r="AF300" i="18"/>
  <c r="AE300" i="18"/>
  <c r="AD300" i="18"/>
  <c r="AC300" i="18"/>
  <c r="AB300" i="18"/>
  <c r="AA300" i="18"/>
  <c r="Z300" i="18"/>
  <c r="Y300" i="18"/>
  <c r="X300" i="18"/>
  <c r="W300" i="18"/>
  <c r="V300" i="18"/>
  <c r="U300" i="18"/>
  <c r="T300" i="18"/>
  <c r="S300" i="18"/>
  <c r="R300" i="18"/>
  <c r="Q300" i="18"/>
  <c r="P300" i="18"/>
  <c r="O300" i="18"/>
  <c r="N300" i="18"/>
  <c r="M300" i="18"/>
  <c r="L300" i="18"/>
  <c r="K300" i="18"/>
  <c r="J300" i="18"/>
  <c r="I300" i="18"/>
  <c r="H300" i="18"/>
  <c r="G300" i="18"/>
  <c r="F300" i="18"/>
  <c r="E300" i="18"/>
  <c r="D300" i="18"/>
  <c r="C300" i="18"/>
  <c r="B300" i="18"/>
  <c r="BH299" i="18"/>
  <c r="BG299" i="18"/>
  <c r="BF299" i="18"/>
  <c r="BE299" i="18"/>
  <c r="BD299" i="18"/>
  <c r="BC299" i="18"/>
  <c r="BB299" i="18"/>
  <c r="BA299" i="18"/>
  <c r="AZ299" i="18"/>
  <c r="AY299" i="18"/>
  <c r="AX299" i="18"/>
  <c r="AW299" i="18"/>
  <c r="AV299" i="18"/>
  <c r="AU299" i="18"/>
  <c r="AT299" i="18"/>
  <c r="AS299" i="18"/>
  <c r="AR299" i="18"/>
  <c r="AQ299" i="18"/>
  <c r="AP299" i="18"/>
  <c r="AO299" i="18"/>
  <c r="AN299" i="18"/>
  <c r="AM299" i="18"/>
  <c r="AL299" i="18"/>
  <c r="AK299" i="18"/>
  <c r="AJ299" i="18"/>
  <c r="AI299" i="18"/>
  <c r="AH299" i="18"/>
  <c r="AG299" i="18"/>
  <c r="AF299" i="18"/>
  <c r="AE299" i="18"/>
  <c r="AD299" i="18"/>
  <c r="AC299" i="18"/>
  <c r="AB299" i="18"/>
  <c r="AA299" i="18"/>
  <c r="Z299" i="18"/>
  <c r="Y299" i="18"/>
  <c r="X299" i="18"/>
  <c r="W299" i="18"/>
  <c r="V299" i="18"/>
  <c r="U299" i="18"/>
  <c r="T299" i="18"/>
  <c r="S299" i="18"/>
  <c r="R299" i="18"/>
  <c r="Q299" i="18"/>
  <c r="P299" i="18"/>
  <c r="O299" i="18"/>
  <c r="N299" i="18"/>
  <c r="M299" i="18"/>
  <c r="L299" i="18"/>
  <c r="K299" i="18"/>
  <c r="J299" i="18"/>
  <c r="I299" i="18"/>
  <c r="H299" i="18"/>
  <c r="G299" i="18"/>
  <c r="F299" i="18"/>
  <c r="E299" i="18"/>
  <c r="D299" i="18"/>
  <c r="C299" i="18"/>
  <c r="B299" i="18"/>
  <c r="BH298" i="18"/>
  <c r="BG298" i="18"/>
  <c r="BF298" i="18"/>
  <c r="BE298" i="18"/>
  <c r="BD298" i="18"/>
  <c r="BC298" i="18"/>
  <c r="BB298" i="18"/>
  <c r="BA298" i="18"/>
  <c r="AZ298" i="18"/>
  <c r="AY298" i="18"/>
  <c r="AX298" i="18"/>
  <c r="AW298" i="18"/>
  <c r="AV298" i="18"/>
  <c r="AU298" i="18"/>
  <c r="AT298" i="18"/>
  <c r="AS298" i="18"/>
  <c r="AR298" i="18"/>
  <c r="AQ298" i="18"/>
  <c r="AP298" i="18"/>
  <c r="AO298" i="18"/>
  <c r="AN298" i="18"/>
  <c r="AM298" i="18"/>
  <c r="AL298" i="18"/>
  <c r="AK298" i="18"/>
  <c r="AJ298" i="18"/>
  <c r="AI298" i="18"/>
  <c r="AH298" i="18"/>
  <c r="AG298" i="18"/>
  <c r="AF298" i="18"/>
  <c r="AE298" i="18"/>
  <c r="AD298" i="18"/>
  <c r="AC298" i="18"/>
  <c r="AB298" i="18"/>
  <c r="AA298" i="18"/>
  <c r="Z298" i="18"/>
  <c r="Y298" i="18"/>
  <c r="X298" i="18"/>
  <c r="W298" i="18"/>
  <c r="V298" i="18"/>
  <c r="U298" i="18"/>
  <c r="T298" i="18"/>
  <c r="S298" i="18"/>
  <c r="R298" i="18"/>
  <c r="Q298" i="18"/>
  <c r="P298" i="18"/>
  <c r="O298" i="18"/>
  <c r="N298" i="18"/>
  <c r="M298" i="18"/>
  <c r="L298" i="18"/>
  <c r="K298" i="18"/>
  <c r="J298" i="18"/>
  <c r="I298" i="18"/>
  <c r="H298" i="18"/>
  <c r="G298" i="18"/>
  <c r="F298" i="18"/>
  <c r="E298" i="18"/>
  <c r="D298" i="18"/>
  <c r="C298" i="18"/>
  <c r="B298" i="18"/>
  <c r="BH297" i="18"/>
  <c r="BG297" i="18"/>
  <c r="BF297" i="18"/>
  <c r="BE297" i="18"/>
  <c r="BD297" i="18"/>
  <c r="BC297" i="18"/>
  <c r="BB297" i="18"/>
  <c r="BA297" i="18"/>
  <c r="AZ297" i="18"/>
  <c r="AY297" i="18"/>
  <c r="AX297" i="18"/>
  <c r="AW297" i="18"/>
  <c r="AV297" i="18"/>
  <c r="AU297" i="18"/>
  <c r="AT297" i="18"/>
  <c r="AS297" i="18"/>
  <c r="AR297" i="18"/>
  <c r="AQ297" i="18"/>
  <c r="AP297" i="18"/>
  <c r="AO297" i="18"/>
  <c r="AN297" i="18"/>
  <c r="AM297" i="18"/>
  <c r="AL297" i="18"/>
  <c r="AK297" i="18"/>
  <c r="AJ297" i="18"/>
  <c r="AI297" i="18"/>
  <c r="AH297" i="18"/>
  <c r="AG297" i="18"/>
  <c r="AF297" i="18"/>
  <c r="AE297" i="18"/>
  <c r="AD297" i="18"/>
  <c r="AC297" i="18"/>
  <c r="AB297" i="18"/>
  <c r="AA297" i="18"/>
  <c r="Z297" i="18"/>
  <c r="Y297" i="18"/>
  <c r="X297" i="18"/>
  <c r="W297" i="18"/>
  <c r="V297" i="18"/>
  <c r="U297" i="18"/>
  <c r="T297" i="18"/>
  <c r="S297" i="18"/>
  <c r="R297" i="18"/>
  <c r="Q297" i="18"/>
  <c r="P297" i="18"/>
  <c r="O297" i="18"/>
  <c r="N297" i="18"/>
  <c r="M297" i="18"/>
  <c r="L297" i="18"/>
  <c r="K297" i="18"/>
  <c r="J297" i="18"/>
  <c r="I297" i="18"/>
  <c r="H297" i="18"/>
  <c r="G297" i="18"/>
  <c r="F297" i="18"/>
  <c r="E297" i="18"/>
  <c r="D297" i="18"/>
  <c r="C297" i="18"/>
  <c r="B297" i="18"/>
  <c r="BH296" i="18"/>
  <c r="BG296" i="18"/>
  <c r="BF296" i="18"/>
  <c r="BE296" i="18"/>
  <c r="BD296" i="18"/>
  <c r="BC296" i="18"/>
  <c r="BC294" i="18" s="1"/>
  <c r="BB296" i="18"/>
  <c r="BA296" i="18"/>
  <c r="AZ296" i="18"/>
  <c r="AY296" i="18"/>
  <c r="AX296" i="18"/>
  <c r="AW296" i="18"/>
  <c r="AV296" i="18"/>
  <c r="AU296" i="18"/>
  <c r="AU294" i="18" s="1"/>
  <c r="AT296" i="18"/>
  <c r="AS296" i="18"/>
  <c r="AR296" i="18"/>
  <c r="AQ296" i="18"/>
  <c r="AP296" i="18"/>
  <c r="AO296" i="18"/>
  <c r="AN296" i="18"/>
  <c r="AM296" i="18"/>
  <c r="AM294" i="18" s="1"/>
  <c r="AL296" i="18"/>
  <c r="AK296" i="18"/>
  <c r="AJ296" i="18"/>
  <c r="AI296" i="18"/>
  <c r="AH296" i="18"/>
  <c r="AG296" i="18"/>
  <c r="AF296" i="18"/>
  <c r="AE296" i="18"/>
  <c r="AE294" i="18" s="1"/>
  <c r="AD296" i="18"/>
  <c r="AC296" i="18"/>
  <c r="AB296" i="18"/>
  <c r="AA296" i="18"/>
  <c r="Z296" i="18"/>
  <c r="Y296" i="18"/>
  <c r="X296" i="18"/>
  <c r="W296" i="18"/>
  <c r="V296" i="18"/>
  <c r="U296" i="18"/>
  <c r="T296" i="18"/>
  <c r="S296" i="18"/>
  <c r="R296" i="18"/>
  <c r="Q296" i="18"/>
  <c r="P296" i="18"/>
  <c r="O296" i="18"/>
  <c r="O294" i="18" s="1"/>
  <c r="N296" i="18"/>
  <c r="M296" i="18"/>
  <c r="L296" i="18"/>
  <c r="K296" i="18"/>
  <c r="J296" i="18"/>
  <c r="I296" i="18"/>
  <c r="H296" i="18"/>
  <c r="G296" i="18"/>
  <c r="G294" i="18" s="1"/>
  <c r="F296" i="18"/>
  <c r="E296" i="18"/>
  <c r="D296" i="18"/>
  <c r="C296" i="18"/>
  <c r="B296" i="18"/>
  <c r="BH295" i="18"/>
  <c r="BH294" i="18" s="1"/>
  <c r="BG295" i="18"/>
  <c r="BF295" i="18"/>
  <c r="BF294" i="18" s="1"/>
  <c r="BE295" i="18"/>
  <c r="BD295" i="18"/>
  <c r="BC295" i="18"/>
  <c r="BB295" i="18"/>
  <c r="BA295" i="18"/>
  <c r="AZ295" i="18"/>
  <c r="AZ294" i="18" s="1"/>
  <c r="AY295" i="18"/>
  <c r="AX295" i="18"/>
  <c r="AX294" i="18" s="1"/>
  <c r="AW295" i="18"/>
  <c r="AV295" i="18"/>
  <c r="AU295" i="18"/>
  <c r="AT295" i="18"/>
  <c r="AS295" i="18"/>
  <c r="AR295" i="18"/>
  <c r="AR294" i="18" s="1"/>
  <c r="AQ295" i="18"/>
  <c r="AP295" i="18"/>
  <c r="AP294" i="18" s="1"/>
  <c r="AO295" i="18"/>
  <c r="AN295" i="18"/>
  <c r="AM295" i="18"/>
  <c r="AL295" i="18"/>
  <c r="AK295" i="18"/>
  <c r="AJ295" i="18"/>
  <c r="AJ294" i="18" s="1"/>
  <c r="AI295" i="18"/>
  <c r="AH295" i="18"/>
  <c r="AH294" i="18" s="1"/>
  <c r="AG295" i="18"/>
  <c r="AF295" i="18"/>
  <c r="AE295" i="18"/>
  <c r="AD295" i="18"/>
  <c r="AC295" i="18"/>
  <c r="AB295" i="18"/>
  <c r="AB294" i="18" s="1"/>
  <c r="AA295" i="18"/>
  <c r="Z295" i="18"/>
  <c r="Z294" i="18" s="1"/>
  <c r="Y295" i="18"/>
  <c r="X295" i="18"/>
  <c r="W295" i="18"/>
  <c r="V295" i="18"/>
  <c r="U295" i="18"/>
  <c r="T295" i="18"/>
  <c r="T294" i="18" s="1"/>
  <c r="S295" i="18"/>
  <c r="R295" i="18"/>
  <c r="R294" i="18" s="1"/>
  <c r="Q295" i="18"/>
  <c r="P295" i="18"/>
  <c r="O295" i="18"/>
  <c r="N295" i="18"/>
  <c r="M295" i="18"/>
  <c r="L295" i="18"/>
  <c r="L294" i="18" s="1"/>
  <c r="K295" i="18"/>
  <c r="J295" i="18"/>
  <c r="J294" i="18" s="1"/>
  <c r="I295" i="18"/>
  <c r="H295" i="18"/>
  <c r="G295" i="18"/>
  <c r="F295" i="18"/>
  <c r="E295" i="18"/>
  <c r="D295" i="18"/>
  <c r="C295" i="18"/>
  <c r="B295" i="18"/>
  <c r="W294" i="18"/>
  <c r="D294" i="18"/>
  <c r="BH293" i="18"/>
  <c r="BG293" i="18"/>
  <c r="BF293" i="18"/>
  <c r="BE293" i="18"/>
  <c r="BD293" i="18"/>
  <c r="BC293" i="18"/>
  <c r="BB293" i="18"/>
  <c r="BA293" i="18"/>
  <c r="AZ293" i="18"/>
  <c r="AY293" i="18"/>
  <c r="AX293" i="18"/>
  <c r="AW293" i="18"/>
  <c r="AV293" i="18"/>
  <c r="AU293" i="18"/>
  <c r="AT293" i="18"/>
  <c r="AS293" i="18"/>
  <c r="AR293" i="18"/>
  <c r="AQ293" i="18"/>
  <c r="AP293" i="18"/>
  <c r="AO293" i="18"/>
  <c r="AN293" i="18"/>
  <c r="AM293" i="18"/>
  <c r="AL293" i="18"/>
  <c r="AK293" i="18"/>
  <c r="AJ293" i="18"/>
  <c r="AI293" i="18"/>
  <c r="AH293" i="18"/>
  <c r="AG293" i="18"/>
  <c r="AF293" i="18"/>
  <c r="AE293" i="18"/>
  <c r="AD293" i="18"/>
  <c r="AC293" i="18"/>
  <c r="AB293" i="18"/>
  <c r="AA293" i="18"/>
  <c r="Z293" i="18"/>
  <c r="Y293" i="18"/>
  <c r="X293" i="18"/>
  <c r="W293" i="18"/>
  <c r="V293" i="18"/>
  <c r="U293" i="18"/>
  <c r="T293" i="18"/>
  <c r="S293" i="18"/>
  <c r="R293" i="18"/>
  <c r="Q293" i="18"/>
  <c r="P293" i="18"/>
  <c r="O293" i="18"/>
  <c r="N293" i="18"/>
  <c r="M293" i="18"/>
  <c r="L293" i="18"/>
  <c r="K293" i="18"/>
  <c r="J293" i="18"/>
  <c r="I293" i="18"/>
  <c r="H293" i="18"/>
  <c r="G293" i="18"/>
  <c r="F293" i="18"/>
  <c r="E293" i="18"/>
  <c r="D293" i="18"/>
  <c r="C293" i="18"/>
  <c r="B293" i="18"/>
  <c r="BH292" i="18"/>
  <c r="BG292" i="18"/>
  <c r="BF292" i="18"/>
  <c r="BE292" i="18"/>
  <c r="BD292" i="18"/>
  <c r="BC292" i="18"/>
  <c r="BB292" i="18"/>
  <c r="BA292" i="18"/>
  <c r="AZ292" i="18"/>
  <c r="AY292" i="18"/>
  <c r="AX292" i="18"/>
  <c r="AW292" i="18"/>
  <c r="AV292" i="18"/>
  <c r="AU292" i="18"/>
  <c r="AT292" i="18"/>
  <c r="AS292" i="18"/>
  <c r="AR292" i="18"/>
  <c r="AQ292" i="18"/>
  <c r="AP292" i="18"/>
  <c r="AO292" i="18"/>
  <c r="AN292" i="18"/>
  <c r="AM292" i="18"/>
  <c r="AL292" i="18"/>
  <c r="AK292" i="18"/>
  <c r="AJ292" i="18"/>
  <c r="AI292" i="18"/>
  <c r="AH292" i="18"/>
  <c r="AG292" i="18"/>
  <c r="AF292" i="18"/>
  <c r="AE292" i="18"/>
  <c r="AD292" i="18"/>
  <c r="AC292" i="18"/>
  <c r="AB292" i="18"/>
  <c r="AA292" i="18"/>
  <c r="Z292" i="18"/>
  <c r="Y292" i="18"/>
  <c r="X292" i="18"/>
  <c r="W292" i="18"/>
  <c r="V292" i="18"/>
  <c r="U292" i="18"/>
  <c r="T292" i="18"/>
  <c r="S292" i="18"/>
  <c r="R292" i="18"/>
  <c r="Q292" i="18"/>
  <c r="P292" i="18"/>
  <c r="O292" i="18"/>
  <c r="N292" i="18"/>
  <c r="M292" i="18"/>
  <c r="M288" i="18" s="1"/>
  <c r="L292" i="18"/>
  <c r="K292" i="18"/>
  <c r="J292" i="18"/>
  <c r="I292" i="18"/>
  <c r="H292" i="18"/>
  <c r="G292" i="18"/>
  <c r="F292" i="18"/>
  <c r="E292" i="18"/>
  <c r="D292" i="18"/>
  <c r="C292" i="18"/>
  <c r="B292" i="18"/>
  <c r="BH291" i="18"/>
  <c r="BG291" i="18"/>
  <c r="BG169" i="18" s="1"/>
  <c r="BF291" i="18"/>
  <c r="BE291" i="18"/>
  <c r="BD291" i="18"/>
  <c r="BC291" i="18"/>
  <c r="BB291" i="18"/>
  <c r="BA291" i="18"/>
  <c r="AZ291" i="18"/>
  <c r="AZ288" i="18" s="1"/>
  <c r="AY291" i="18"/>
  <c r="AY169" i="18" s="1"/>
  <c r="AX291" i="18"/>
  <c r="AW291" i="18"/>
  <c r="AV291" i="18"/>
  <c r="AU291" i="18"/>
  <c r="AT291" i="18"/>
  <c r="AS291" i="18"/>
  <c r="AR291" i="18"/>
  <c r="AQ291" i="18"/>
  <c r="AQ169" i="18" s="1"/>
  <c r="AP291" i="18"/>
  <c r="AO291" i="18"/>
  <c r="AN291" i="18"/>
  <c r="AN288" i="18" s="1"/>
  <c r="AM291" i="18"/>
  <c r="AM288" i="18" s="1"/>
  <c r="AL291" i="18"/>
  <c r="AK291" i="18"/>
  <c r="AJ291" i="18"/>
  <c r="AI291" i="18"/>
  <c r="AI169" i="18" s="1"/>
  <c r="AH291" i="18"/>
  <c r="AG291" i="18"/>
  <c r="AF291" i="18"/>
  <c r="AF288" i="18" s="1"/>
  <c r="AE291" i="18"/>
  <c r="AD291" i="18"/>
  <c r="AC291" i="18"/>
  <c r="AB291" i="18"/>
  <c r="AA291" i="18"/>
  <c r="AA169" i="18" s="1"/>
  <c r="Z291" i="18"/>
  <c r="Y291" i="18"/>
  <c r="X291" i="18"/>
  <c r="W291" i="18"/>
  <c r="V291" i="18"/>
  <c r="U291" i="18"/>
  <c r="T291" i="18"/>
  <c r="T288" i="18" s="1"/>
  <c r="S291" i="18"/>
  <c r="S169" i="18" s="1"/>
  <c r="R291" i="18"/>
  <c r="Q291" i="18"/>
  <c r="P291" i="18"/>
  <c r="O291" i="18"/>
  <c r="N291" i="18"/>
  <c r="M291" i="18"/>
  <c r="L291" i="18"/>
  <c r="K291" i="18"/>
  <c r="K169" i="18" s="1"/>
  <c r="J291" i="18"/>
  <c r="I291" i="18"/>
  <c r="H291" i="18"/>
  <c r="G291" i="18"/>
  <c r="G288" i="18" s="1"/>
  <c r="F291" i="18"/>
  <c r="E291" i="18"/>
  <c r="D291" i="18"/>
  <c r="C291" i="18"/>
  <c r="C169" i="18" s="1"/>
  <c r="B291" i="18"/>
  <c r="BH290" i="18"/>
  <c r="BG290" i="18"/>
  <c r="BF290" i="18"/>
  <c r="BE290" i="18"/>
  <c r="BD290" i="18"/>
  <c r="BC290" i="18"/>
  <c r="BB290" i="18"/>
  <c r="BA290" i="18"/>
  <c r="AZ290" i="18"/>
  <c r="AY290" i="18"/>
  <c r="AX290" i="18"/>
  <c r="AW290" i="18"/>
  <c r="AV290" i="18"/>
  <c r="AU290" i="18"/>
  <c r="AU288" i="18" s="1"/>
  <c r="AT290" i="18"/>
  <c r="AS290" i="18"/>
  <c r="AR290" i="18"/>
  <c r="AQ290" i="18"/>
  <c r="AP290" i="18"/>
  <c r="AO290" i="18"/>
  <c r="AN290" i="18"/>
  <c r="AM290" i="18"/>
  <c r="AL290" i="18"/>
  <c r="AK290" i="18"/>
  <c r="AJ290" i="18"/>
  <c r="AI290" i="18"/>
  <c r="AH290" i="18"/>
  <c r="AG290" i="18"/>
  <c r="AF290" i="18"/>
  <c r="AE290" i="18"/>
  <c r="AE288" i="18" s="1"/>
  <c r="AD290" i="18"/>
  <c r="AC290" i="18"/>
  <c r="AB290" i="18"/>
  <c r="AA290" i="18"/>
  <c r="Z290" i="18"/>
  <c r="Y290" i="18"/>
  <c r="X290" i="18"/>
  <c r="W290" i="18"/>
  <c r="V290" i="18"/>
  <c r="U290" i="18"/>
  <c r="T290" i="18"/>
  <c r="S290" i="18"/>
  <c r="R290" i="18"/>
  <c r="Q290" i="18"/>
  <c r="P290" i="18"/>
  <c r="O290" i="18"/>
  <c r="O288" i="18" s="1"/>
  <c r="N290" i="18"/>
  <c r="N288" i="18" s="1"/>
  <c r="M290" i="18"/>
  <c r="L290" i="18"/>
  <c r="K290" i="18"/>
  <c r="J290" i="18"/>
  <c r="I290" i="18"/>
  <c r="H290" i="18"/>
  <c r="G290" i="18"/>
  <c r="F290" i="18"/>
  <c r="F288" i="18" s="1"/>
  <c r="E290" i="18"/>
  <c r="D290" i="18"/>
  <c r="C290" i="18"/>
  <c r="B290" i="18"/>
  <c r="BH289" i="18"/>
  <c r="BG289" i="18"/>
  <c r="BF289" i="18"/>
  <c r="BE289" i="18"/>
  <c r="BD289" i="18"/>
  <c r="BC289" i="18"/>
  <c r="BB289" i="18"/>
  <c r="BA289" i="18"/>
  <c r="BA288" i="18" s="1"/>
  <c r="AZ289" i="18"/>
  <c r="AY289" i="18"/>
  <c r="AX289" i="18"/>
  <c r="AW289" i="18"/>
  <c r="AV289" i="18"/>
  <c r="AU289" i="18"/>
  <c r="AT289" i="18"/>
  <c r="AS289" i="18"/>
  <c r="AR289" i="18"/>
  <c r="AQ289" i="18"/>
  <c r="AP289" i="18"/>
  <c r="AO289" i="18"/>
  <c r="AN289" i="18"/>
  <c r="AM289" i="18"/>
  <c r="AL289" i="18"/>
  <c r="AK289" i="18"/>
  <c r="AK288" i="18" s="1"/>
  <c r="AJ289" i="18"/>
  <c r="AI289" i="18"/>
  <c r="AH289" i="18"/>
  <c r="AG289" i="18"/>
  <c r="AF289" i="18"/>
  <c r="AE289" i="18"/>
  <c r="AD289" i="18"/>
  <c r="AC289" i="18"/>
  <c r="AC288" i="18" s="1"/>
  <c r="AB289" i="18"/>
  <c r="AA289" i="18"/>
  <c r="Z289" i="18"/>
  <c r="Y289" i="18"/>
  <c r="X289" i="18"/>
  <c r="W289" i="18"/>
  <c r="V289" i="18"/>
  <c r="U289" i="18"/>
  <c r="T289" i="18"/>
  <c r="S289" i="18"/>
  <c r="R289" i="18"/>
  <c r="Q289" i="18"/>
  <c r="P289" i="18"/>
  <c r="O289" i="18"/>
  <c r="N289" i="18"/>
  <c r="M289" i="18"/>
  <c r="L289" i="18"/>
  <c r="K289" i="18"/>
  <c r="J289" i="18"/>
  <c r="I289" i="18"/>
  <c r="H289" i="18"/>
  <c r="G289" i="18"/>
  <c r="F289" i="18"/>
  <c r="E289" i="18"/>
  <c r="D289" i="18"/>
  <c r="C289" i="18"/>
  <c r="B289" i="18"/>
  <c r="BH288" i="18"/>
  <c r="BD288" i="18"/>
  <c r="BC288" i="18"/>
  <c r="AV288" i="18"/>
  <c r="AS288" i="18"/>
  <c r="AR288" i="18"/>
  <c r="AJ288" i="18"/>
  <c r="AB288" i="18"/>
  <c r="X288" i="18"/>
  <c r="W288" i="18"/>
  <c r="L288" i="18"/>
  <c r="D288" i="18"/>
  <c r="AY287" i="18"/>
  <c r="AX287" i="18"/>
  <c r="AX281" i="18" s="1"/>
  <c r="AW287" i="18"/>
  <c r="AV287" i="18"/>
  <c r="AU287" i="18"/>
  <c r="AT287" i="18"/>
  <c r="AS287" i="18"/>
  <c r="AR287" i="18"/>
  <c r="AQ287" i="18"/>
  <c r="AP287" i="18"/>
  <c r="AP281" i="18" s="1"/>
  <c r="AO287" i="18"/>
  <c r="AN287" i="18"/>
  <c r="AM287" i="18"/>
  <c r="AL287" i="18"/>
  <c r="AK287" i="18"/>
  <c r="AJ287" i="18"/>
  <c r="AI287" i="18"/>
  <c r="AH287" i="18"/>
  <c r="AG287" i="18"/>
  <c r="AF287" i="18"/>
  <c r="AE287" i="18"/>
  <c r="AD287" i="18"/>
  <c r="AC287" i="18"/>
  <c r="AB287" i="18"/>
  <c r="AA287" i="18"/>
  <c r="Z287" i="18"/>
  <c r="Y287" i="18"/>
  <c r="X287" i="18"/>
  <c r="W287" i="18"/>
  <c r="V287" i="18"/>
  <c r="U287" i="18"/>
  <c r="T287" i="18"/>
  <c r="S287" i="18"/>
  <c r="R287" i="18"/>
  <c r="Q287" i="18"/>
  <c r="P287" i="18"/>
  <c r="O287" i="18"/>
  <c r="N287" i="18"/>
  <c r="M287" i="18"/>
  <c r="L287" i="18"/>
  <c r="K287" i="18"/>
  <c r="J287" i="18"/>
  <c r="J281" i="18" s="1"/>
  <c r="I287" i="18"/>
  <c r="H287" i="18"/>
  <c r="G287" i="18"/>
  <c r="F287" i="18"/>
  <c r="E287" i="18"/>
  <c r="D287" i="18"/>
  <c r="C287" i="18"/>
  <c r="B287" i="18"/>
  <c r="BH286" i="18"/>
  <c r="BG286" i="18"/>
  <c r="BF286" i="18"/>
  <c r="BE286" i="18"/>
  <c r="BD286" i="18"/>
  <c r="BC286" i="18"/>
  <c r="BB286" i="18"/>
  <c r="BA286" i="18"/>
  <c r="AZ286" i="18"/>
  <c r="AY286" i="18"/>
  <c r="AX286" i="18"/>
  <c r="AW286" i="18"/>
  <c r="AV286" i="18"/>
  <c r="AU286" i="18"/>
  <c r="AT286" i="18"/>
  <c r="AS286" i="18"/>
  <c r="AR286" i="18"/>
  <c r="AQ286" i="18"/>
  <c r="AP286" i="18"/>
  <c r="AO286" i="18"/>
  <c r="AN286" i="18"/>
  <c r="AM286" i="18"/>
  <c r="AL286" i="18"/>
  <c r="AK286" i="18"/>
  <c r="AK281" i="18" s="1"/>
  <c r="AJ286" i="18"/>
  <c r="AI286" i="18"/>
  <c r="AH286" i="18"/>
  <c r="AG286" i="18"/>
  <c r="AF286" i="18"/>
  <c r="AE286" i="18"/>
  <c r="AD286" i="18"/>
  <c r="AC286" i="18"/>
  <c r="AB286" i="18"/>
  <c r="AA286" i="18"/>
  <c r="Z286" i="18"/>
  <c r="Y286" i="18"/>
  <c r="X286" i="18"/>
  <c r="W286" i="18"/>
  <c r="V286" i="18"/>
  <c r="U286" i="18"/>
  <c r="T286" i="18"/>
  <c r="S286" i="18"/>
  <c r="R286" i="18"/>
  <c r="Q286" i="18"/>
  <c r="P286" i="18"/>
  <c r="O286" i="18"/>
  <c r="N286" i="18"/>
  <c r="M286" i="18"/>
  <c r="L286" i="18"/>
  <c r="K286" i="18"/>
  <c r="J286" i="18"/>
  <c r="I286" i="18"/>
  <c r="H286" i="18"/>
  <c r="G286" i="18"/>
  <c r="F286" i="18"/>
  <c r="E286" i="18"/>
  <c r="E281" i="18" s="1"/>
  <c r="D286" i="18"/>
  <c r="D281" i="18" s="1"/>
  <c r="C286" i="18"/>
  <c r="B286" i="18"/>
  <c r="BH285" i="18"/>
  <c r="BG285" i="18"/>
  <c r="BF285" i="18"/>
  <c r="BE285" i="18"/>
  <c r="BD285" i="18"/>
  <c r="BC285" i="18"/>
  <c r="BB285" i="18"/>
  <c r="BA285" i="18"/>
  <c r="AZ285" i="18"/>
  <c r="AY285" i="18"/>
  <c r="AX285" i="18"/>
  <c r="AW285" i="18"/>
  <c r="AV285" i="18"/>
  <c r="AU285" i="18"/>
  <c r="AT285" i="18"/>
  <c r="AS285" i="18"/>
  <c r="AR285" i="18"/>
  <c r="AQ285" i="18"/>
  <c r="AP285" i="18"/>
  <c r="AO285" i="18"/>
  <c r="AN285" i="18"/>
  <c r="AM285" i="18"/>
  <c r="AL285" i="18"/>
  <c r="AK285" i="18"/>
  <c r="AJ285" i="18"/>
  <c r="AI285" i="18"/>
  <c r="AH285" i="18"/>
  <c r="AG285" i="18"/>
  <c r="AF285" i="18"/>
  <c r="AF281" i="18" s="1"/>
  <c r="AE285" i="18"/>
  <c r="AD285" i="18"/>
  <c r="AC285" i="18"/>
  <c r="AB285" i="18"/>
  <c r="AA285" i="18"/>
  <c r="Z285" i="18"/>
  <c r="Y285" i="18"/>
  <c r="X285" i="18"/>
  <c r="W285" i="18"/>
  <c r="V285" i="18"/>
  <c r="U285" i="18"/>
  <c r="T285" i="18"/>
  <c r="S285" i="18"/>
  <c r="R285" i="18"/>
  <c r="Q285" i="18"/>
  <c r="P285" i="18"/>
  <c r="O285" i="18"/>
  <c r="N285" i="18"/>
  <c r="M285" i="18"/>
  <c r="L285" i="18"/>
  <c r="K285" i="18"/>
  <c r="J285" i="18"/>
  <c r="I285" i="18"/>
  <c r="H285" i="18"/>
  <c r="H281" i="18" s="1"/>
  <c r="G285" i="18"/>
  <c r="F285" i="18"/>
  <c r="E285" i="18"/>
  <c r="D285" i="18"/>
  <c r="C285" i="18"/>
  <c r="B285" i="18"/>
  <c r="BH284" i="18"/>
  <c r="BG284" i="18"/>
  <c r="BF284" i="18"/>
  <c r="BE284" i="18"/>
  <c r="BD284" i="18"/>
  <c r="BC284" i="18"/>
  <c r="BB284" i="18"/>
  <c r="BA284" i="18"/>
  <c r="AZ284" i="18"/>
  <c r="AY284" i="18"/>
  <c r="AY281" i="18" s="1"/>
  <c r="AX284" i="18"/>
  <c r="AW284" i="18"/>
  <c r="AV284" i="18"/>
  <c r="AU284" i="18"/>
  <c r="AT284" i="18"/>
  <c r="AS284" i="18"/>
  <c r="AR284" i="18"/>
  <c r="AQ284" i="18"/>
  <c r="AQ281" i="18" s="1"/>
  <c r="AP284" i="18"/>
  <c r="AO284" i="18"/>
  <c r="AN284" i="18"/>
  <c r="AM284" i="18"/>
  <c r="AL284" i="18"/>
  <c r="AK284" i="18"/>
  <c r="AJ284" i="18"/>
  <c r="AI284" i="18"/>
  <c r="AI281" i="18" s="1"/>
  <c r="AH284" i="18"/>
  <c r="AG284" i="18"/>
  <c r="AF284" i="18"/>
  <c r="AE284" i="18"/>
  <c r="AD284" i="18"/>
  <c r="AC284" i="18"/>
  <c r="AB284" i="18"/>
  <c r="AA284" i="18"/>
  <c r="AA281" i="18" s="1"/>
  <c r="Z284" i="18"/>
  <c r="Z281" i="18" s="1"/>
  <c r="Y284" i="18"/>
  <c r="X284" i="18"/>
  <c r="W284" i="18"/>
  <c r="V284" i="18"/>
  <c r="U284" i="18"/>
  <c r="T284" i="18"/>
  <c r="S284" i="18"/>
  <c r="S281" i="18" s="1"/>
  <c r="R284" i="18"/>
  <c r="Q284" i="18"/>
  <c r="P284" i="18"/>
  <c r="O284" i="18"/>
  <c r="N284" i="18"/>
  <c r="M284" i="18"/>
  <c r="L284" i="18"/>
  <c r="K284" i="18"/>
  <c r="K281" i="18" s="1"/>
  <c r="J284" i="18"/>
  <c r="I284" i="18"/>
  <c r="H284" i="18"/>
  <c r="G284" i="18"/>
  <c r="F284" i="18"/>
  <c r="E284" i="18"/>
  <c r="D284" i="18"/>
  <c r="C284" i="18"/>
  <c r="C281" i="18" s="1"/>
  <c r="B284" i="18"/>
  <c r="BH283" i="18"/>
  <c r="BG283" i="18"/>
  <c r="BF283" i="18"/>
  <c r="BE283" i="18"/>
  <c r="BD283" i="18"/>
  <c r="BC283" i="18"/>
  <c r="BB283" i="18"/>
  <c r="BB194" i="18" s="1"/>
  <c r="BA283" i="18"/>
  <c r="AZ283" i="18"/>
  <c r="AY283" i="18"/>
  <c r="AX283" i="18"/>
  <c r="AW283" i="18"/>
  <c r="AV283" i="18"/>
  <c r="AU283" i="18"/>
  <c r="AT283" i="18"/>
  <c r="AT194" i="18" s="1"/>
  <c r="AS283" i="18"/>
  <c r="AR283" i="18"/>
  <c r="AR281" i="18" s="1"/>
  <c r="AQ283" i="18"/>
  <c r="AP283" i="18"/>
  <c r="AO283" i="18"/>
  <c r="AN283" i="18"/>
  <c r="AM283" i="18"/>
  <c r="AL283" i="18"/>
  <c r="AL194" i="18" s="1"/>
  <c r="AK283" i="18"/>
  <c r="AJ283" i="18"/>
  <c r="AI283" i="18"/>
  <c r="AH283" i="18"/>
  <c r="AG283" i="18"/>
  <c r="AF283" i="18"/>
  <c r="AE283" i="18"/>
  <c r="AD283" i="18"/>
  <c r="AD194" i="18" s="1"/>
  <c r="AC283" i="18"/>
  <c r="AB283" i="18"/>
  <c r="AA283" i="18"/>
  <c r="Z283" i="18"/>
  <c r="Y283" i="18"/>
  <c r="X283" i="18"/>
  <c r="W283" i="18"/>
  <c r="V283" i="18"/>
  <c r="V194" i="18" s="1"/>
  <c r="U283" i="18"/>
  <c r="T283" i="18"/>
  <c r="S283" i="18"/>
  <c r="R283" i="18"/>
  <c r="Q283" i="18"/>
  <c r="P283" i="18"/>
  <c r="O283" i="18"/>
  <c r="N283" i="18"/>
  <c r="N194" i="18" s="1"/>
  <c r="M283" i="18"/>
  <c r="L283" i="18"/>
  <c r="L281" i="18" s="1"/>
  <c r="K283" i="18"/>
  <c r="J283" i="18"/>
  <c r="I283" i="18"/>
  <c r="H283" i="18"/>
  <c r="G283" i="18"/>
  <c r="F283" i="18"/>
  <c r="F194" i="18" s="1"/>
  <c r="E283" i="18"/>
  <c r="D283" i="18"/>
  <c r="C283" i="18"/>
  <c r="B283" i="18"/>
  <c r="BH282" i="18"/>
  <c r="BG282" i="18"/>
  <c r="BF282" i="18"/>
  <c r="BE282" i="18"/>
  <c r="BD282" i="18"/>
  <c r="BC282" i="18"/>
  <c r="BB282" i="18"/>
  <c r="BA282" i="18"/>
  <c r="AZ282" i="18"/>
  <c r="AY282" i="18"/>
  <c r="AX282" i="18"/>
  <c r="AW282" i="18"/>
  <c r="AV282" i="18"/>
  <c r="AV281" i="18" s="1"/>
  <c r="AU282" i="18"/>
  <c r="AT282" i="18"/>
  <c r="AS282" i="18"/>
  <c r="AR282" i="18"/>
  <c r="AQ282" i="18"/>
  <c r="AP282" i="18"/>
  <c r="AO282" i="18"/>
  <c r="AN282" i="18"/>
  <c r="AM282" i="18"/>
  <c r="AL282" i="18"/>
  <c r="AK282" i="18"/>
  <c r="AJ282" i="18"/>
  <c r="AI282" i="18"/>
  <c r="AH282" i="18"/>
  <c r="AG282" i="18"/>
  <c r="AF282" i="18"/>
  <c r="AE282" i="18"/>
  <c r="AD282" i="18"/>
  <c r="AC282" i="18"/>
  <c r="AB282" i="18"/>
  <c r="AA282" i="18"/>
  <c r="Z282" i="18"/>
  <c r="Y282" i="18"/>
  <c r="X282" i="18"/>
  <c r="W282" i="18"/>
  <c r="V282" i="18"/>
  <c r="U282" i="18"/>
  <c r="T282" i="18"/>
  <c r="S282" i="18"/>
  <c r="R282" i="18"/>
  <c r="Q282" i="18"/>
  <c r="P282" i="18"/>
  <c r="O282" i="18"/>
  <c r="N282" i="18"/>
  <c r="M282" i="18"/>
  <c r="L282" i="18"/>
  <c r="K282" i="18"/>
  <c r="J282" i="18"/>
  <c r="I282" i="18"/>
  <c r="H282" i="18"/>
  <c r="G282" i="18"/>
  <c r="F282" i="18"/>
  <c r="E282" i="18"/>
  <c r="D282" i="18"/>
  <c r="C282" i="18"/>
  <c r="B282" i="18"/>
  <c r="AN281" i="18"/>
  <c r="AJ281" i="18"/>
  <c r="AB281" i="18"/>
  <c r="T281" i="18"/>
  <c r="R281" i="18"/>
  <c r="P281" i="18"/>
  <c r="BH280" i="18"/>
  <c r="BG280" i="18"/>
  <c r="BG279" i="18" s="1"/>
  <c r="BF280" i="18"/>
  <c r="BF279" i="18" s="1"/>
  <c r="BE280" i="18"/>
  <c r="BD280" i="18"/>
  <c r="BC280" i="18"/>
  <c r="BB280" i="18"/>
  <c r="BA280" i="18"/>
  <c r="AZ280" i="18"/>
  <c r="AY280" i="18"/>
  <c r="AY279" i="18" s="1"/>
  <c r="AX280" i="18"/>
  <c r="AX279" i="18" s="1"/>
  <c r="AW280" i="18"/>
  <c r="AV280" i="18"/>
  <c r="AU280" i="18"/>
  <c r="AU279" i="18" s="1"/>
  <c r="AT280" i="18"/>
  <c r="AS280" i="18"/>
  <c r="AR280" i="18"/>
  <c r="AQ280" i="18"/>
  <c r="AQ279" i="18" s="1"/>
  <c r="AP280" i="18"/>
  <c r="AP279" i="18" s="1"/>
  <c r="AO280" i="18"/>
  <c r="AN280" i="18"/>
  <c r="AM280" i="18"/>
  <c r="AM279" i="18" s="1"/>
  <c r="AL280" i="18"/>
  <c r="AL279" i="18" s="1"/>
  <c r="AK280" i="18"/>
  <c r="AJ280" i="18"/>
  <c r="AI280" i="18"/>
  <c r="AI279" i="18" s="1"/>
  <c r="AH280" i="18"/>
  <c r="AH279" i="18" s="1"/>
  <c r="AG280" i="18"/>
  <c r="AF280" i="18"/>
  <c r="AE280" i="18"/>
  <c r="AE279" i="18" s="1"/>
  <c r="AD280" i="18"/>
  <c r="AD279" i="18" s="1"/>
  <c r="AC280" i="18"/>
  <c r="AB280" i="18"/>
  <c r="AA280" i="18"/>
  <c r="AA279" i="18" s="1"/>
  <c r="Z280" i="18"/>
  <c r="Z279" i="18" s="1"/>
  <c r="Y280" i="18"/>
  <c r="X280" i="18"/>
  <c r="W280" i="18"/>
  <c r="V280" i="18"/>
  <c r="V279" i="18" s="1"/>
  <c r="U280" i="18"/>
  <c r="T280" i="18"/>
  <c r="S280" i="18"/>
  <c r="S279" i="18" s="1"/>
  <c r="R280" i="18"/>
  <c r="R279" i="18" s="1"/>
  <c r="Q280" i="18"/>
  <c r="P280" i="18"/>
  <c r="O280" i="18"/>
  <c r="O279" i="18" s="1"/>
  <c r="N280" i="18"/>
  <c r="N279" i="18" s="1"/>
  <c r="M280" i="18"/>
  <c r="L280" i="18"/>
  <c r="K280" i="18"/>
  <c r="K279" i="18" s="1"/>
  <c r="J280" i="18"/>
  <c r="J279" i="18" s="1"/>
  <c r="I280" i="18"/>
  <c r="H280" i="18"/>
  <c r="G280" i="18"/>
  <c r="G279" i="18" s="1"/>
  <c r="F280" i="18"/>
  <c r="F279" i="18" s="1"/>
  <c r="E280" i="18"/>
  <c r="D280" i="18"/>
  <c r="C280" i="18"/>
  <c r="C279" i="18" s="1"/>
  <c r="BH279" i="18"/>
  <c r="BE279" i="18"/>
  <c r="BD279" i="18"/>
  <c r="BC279" i="18"/>
  <c r="BB279" i="18"/>
  <c r="BA279" i="18"/>
  <c r="AZ279" i="18"/>
  <c r="AW279" i="18"/>
  <c r="AV279" i="18"/>
  <c r="AT279" i="18"/>
  <c r="AS279" i="18"/>
  <c r="AR279" i="18"/>
  <c r="AO279" i="18"/>
  <c r="AN279" i="18"/>
  <c r="AK279" i="18"/>
  <c r="AJ279" i="18"/>
  <c r="AG279" i="18"/>
  <c r="AF279" i="18"/>
  <c r="AC279" i="18"/>
  <c r="AB279" i="18"/>
  <c r="Y279" i="18"/>
  <c r="X279" i="18"/>
  <c r="W279" i="18"/>
  <c r="U279" i="18"/>
  <c r="T279" i="18"/>
  <c r="Q279" i="18"/>
  <c r="P279" i="18"/>
  <c r="M279" i="18"/>
  <c r="L279" i="18"/>
  <c r="I279" i="18"/>
  <c r="H279" i="18"/>
  <c r="E279" i="18"/>
  <c r="D279" i="18"/>
  <c r="BH278" i="18"/>
  <c r="BG278" i="18"/>
  <c r="BF278" i="18"/>
  <c r="BE278" i="18"/>
  <c r="BD278" i="18"/>
  <c r="BC278" i="18"/>
  <c r="BB278" i="18"/>
  <c r="BA278" i="18"/>
  <c r="AZ278" i="18"/>
  <c r="AY278" i="18"/>
  <c r="AX278" i="18"/>
  <c r="AW278" i="18"/>
  <c r="AV278" i="18"/>
  <c r="AU278" i="18"/>
  <c r="AT278" i="18"/>
  <c r="AS278" i="18"/>
  <c r="AR278" i="18"/>
  <c r="AQ278" i="18"/>
  <c r="AP278" i="18"/>
  <c r="AO278" i="18"/>
  <c r="AN278" i="18"/>
  <c r="AM278" i="18"/>
  <c r="AM273" i="18" s="1"/>
  <c r="AL278" i="18"/>
  <c r="AK278" i="18"/>
  <c r="AJ278" i="18"/>
  <c r="AI278" i="18"/>
  <c r="AH278" i="18"/>
  <c r="AG278" i="18"/>
  <c r="AF278" i="18"/>
  <c r="AE278" i="18"/>
  <c r="AD278" i="18"/>
  <c r="AC278" i="18"/>
  <c r="AB278" i="18"/>
  <c r="AA278" i="18"/>
  <c r="Z278" i="18"/>
  <c r="Y278" i="18"/>
  <c r="X278" i="18"/>
  <c r="W278" i="18"/>
  <c r="W273" i="18" s="1"/>
  <c r="V278" i="18"/>
  <c r="U278" i="18"/>
  <c r="T278" i="18"/>
  <c r="S278" i="18"/>
  <c r="R278" i="18"/>
  <c r="Q278" i="18"/>
  <c r="P278" i="18"/>
  <c r="O278" i="18"/>
  <c r="N278" i="18"/>
  <c r="M278" i="18"/>
  <c r="L278" i="18"/>
  <c r="K278" i="18"/>
  <c r="J278" i="18"/>
  <c r="I278" i="18"/>
  <c r="H278" i="18"/>
  <c r="G278" i="18"/>
  <c r="F278" i="18"/>
  <c r="E278" i="18"/>
  <c r="D278" i="18"/>
  <c r="C278" i="18"/>
  <c r="B278" i="18"/>
  <c r="BH277" i="18"/>
  <c r="BG277" i="18"/>
  <c r="BF277" i="18"/>
  <c r="BF273" i="18" s="1"/>
  <c r="BE277" i="18"/>
  <c r="BD277" i="18"/>
  <c r="BC277" i="18"/>
  <c r="BB277" i="18"/>
  <c r="BA277" i="18"/>
  <c r="AZ277" i="18"/>
  <c r="AY277" i="18"/>
  <c r="AX277" i="18"/>
  <c r="AW277" i="18"/>
  <c r="AV277" i="18"/>
  <c r="AU277" i="18"/>
  <c r="AT277" i="18"/>
  <c r="AS277" i="18"/>
  <c r="AR277" i="18"/>
  <c r="AQ277" i="18"/>
  <c r="AP277" i="18"/>
  <c r="AO277" i="18"/>
  <c r="AN277" i="18"/>
  <c r="AM277" i="18"/>
  <c r="AL277" i="18"/>
  <c r="AK277" i="18"/>
  <c r="AJ277" i="18"/>
  <c r="AI277" i="18"/>
  <c r="AH277" i="18"/>
  <c r="AG277" i="18"/>
  <c r="AF277" i="18"/>
  <c r="AE277" i="18"/>
  <c r="AD277" i="18"/>
  <c r="AD273" i="18" s="1"/>
  <c r="AC277" i="18"/>
  <c r="AB277" i="18"/>
  <c r="AA277" i="18"/>
  <c r="Z277" i="18"/>
  <c r="Z273" i="18" s="1"/>
  <c r="Y277" i="18"/>
  <c r="X277" i="18"/>
  <c r="W277" i="18"/>
  <c r="V277" i="18"/>
  <c r="U277" i="18"/>
  <c r="T277" i="18"/>
  <c r="S277" i="18"/>
  <c r="R277" i="18"/>
  <c r="Q277" i="18"/>
  <c r="P277" i="18"/>
  <c r="O277" i="18"/>
  <c r="N277" i="18"/>
  <c r="N273" i="18" s="1"/>
  <c r="M277" i="18"/>
  <c r="L277" i="18"/>
  <c r="K277" i="18"/>
  <c r="J277" i="18"/>
  <c r="I277" i="18"/>
  <c r="H277" i="18"/>
  <c r="G277" i="18"/>
  <c r="F277" i="18"/>
  <c r="E277" i="18"/>
  <c r="D277" i="18"/>
  <c r="C277" i="18"/>
  <c r="B277" i="18"/>
  <c r="BH276" i="18"/>
  <c r="BG276" i="18"/>
  <c r="BF276" i="18"/>
  <c r="BE276" i="18"/>
  <c r="BD276" i="18"/>
  <c r="BC276" i="18"/>
  <c r="BB276" i="18"/>
  <c r="BA276" i="18"/>
  <c r="BA273" i="18" s="1"/>
  <c r="AZ276" i="18"/>
  <c r="AY276" i="18"/>
  <c r="AX276" i="18"/>
  <c r="AW276" i="18"/>
  <c r="AV276" i="18"/>
  <c r="AU276" i="18"/>
  <c r="AT276" i="18"/>
  <c r="AT273" i="18" s="1"/>
  <c r="AS276" i="18"/>
  <c r="AS273" i="18" s="1"/>
  <c r="AR276" i="18"/>
  <c r="AQ276" i="18"/>
  <c r="AP276" i="18"/>
  <c r="AO276" i="18"/>
  <c r="AN276" i="18"/>
  <c r="AM276" i="18"/>
  <c r="AL276" i="18"/>
  <c r="AL273" i="18" s="1"/>
  <c r="AK276" i="18"/>
  <c r="AJ276" i="18"/>
  <c r="AI276" i="18"/>
  <c r="AH276" i="18"/>
  <c r="AG276" i="18"/>
  <c r="AF276" i="18"/>
  <c r="AE276" i="18"/>
  <c r="AD276" i="18"/>
  <c r="AC276" i="18"/>
  <c r="AB276" i="18"/>
  <c r="AA276" i="18"/>
  <c r="Z276" i="18"/>
  <c r="Y276" i="18"/>
  <c r="X276" i="18"/>
  <c r="W276" i="18"/>
  <c r="V276" i="18"/>
  <c r="U276" i="18"/>
  <c r="T276" i="18"/>
  <c r="S276" i="18"/>
  <c r="R276" i="18"/>
  <c r="Q276" i="18"/>
  <c r="P276" i="18"/>
  <c r="O276" i="18"/>
  <c r="N276" i="18"/>
  <c r="M276" i="18"/>
  <c r="M273" i="18" s="1"/>
  <c r="L276" i="18"/>
  <c r="K276" i="18"/>
  <c r="J276" i="18"/>
  <c r="I276" i="18"/>
  <c r="H276" i="18"/>
  <c r="G276" i="18"/>
  <c r="F276" i="18"/>
  <c r="F273" i="18" s="1"/>
  <c r="E276" i="18"/>
  <c r="D276" i="18"/>
  <c r="C276" i="18"/>
  <c r="B276" i="18"/>
  <c r="BH275" i="18"/>
  <c r="BG275" i="18"/>
  <c r="BF275" i="18"/>
  <c r="BE275" i="18"/>
  <c r="BD275" i="18"/>
  <c r="BC275" i="18"/>
  <c r="BB275" i="18"/>
  <c r="BA275" i="18"/>
  <c r="AZ275" i="18"/>
  <c r="AY275" i="18"/>
  <c r="AX275" i="18"/>
  <c r="AW275" i="18"/>
  <c r="AV275" i="18"/>
  <c r="AV273" i="18" s="1"/>
  <c r="AU275" i="18"/>
  <c r="AT275" i="18"/>
  <c r="AS275" i="18"/>
  <c r="AR275" i="18"/>
  <c r="AQ275" i="18"/>
  <c r="AP275" i="18"/>
  <c r="AO275" i="18"/>
  <c r="AN275" i="18"/>
  <c r="AM275" i="18"/>
  <c r="AL275" i="18"/>
  <c r="AK275" i="18"/>
  <c r="AJ275" i="18"/>
  <c r="AI275" i="18"/>
  <c r="AH275" i="18"/>
  <c r="AG275" i="18"/>
  <c r="AG273" i="18" s="1"/>
  <c r="AF275" i="18"/>
  <c r="AF273" i="18" s="1"/>
  <c r="AE275" i="18"/>
  <c r="AD275" i="18"/>
  <c r="AC275" i="18"/>
  <c r="AB275" i="18"/>
  <c r="AA275" i="18"/>
  <c r="Z275" i="18"/>
  <c r="Y275" i="18"/>
  <c r="X275" i="18"/>
  <c r="W275" i="18"/>
  <c r="V275" i="18"/>
  <c r="U275" i="18"/>
  <c r="T275" i="18"/>
  <c r="S275" i="18"/>
  <c r="R275" i="18"/>
  <c r="Q275" i="18"/>
  <c r="P275" i="18"/>
  <c r="P273" i="18" s="1"/>
  <c r="O275" i="18"/>
  <c r="N275" i="18"/>
  <c r="M275" i="18"/>
  <c r="L275" i="18"/>
  <c r="K275" i="18"/>
  <c r="J275" i="18"/>
  <c r="I275" i="18"/>
  <c r="I273" i="18" s="1"/>
  <c r="H275" i="18"/>
  <c r="H273" i="18" s="1"/>
  <c r="G275" i="18"/>
  <c r="F275" i="18"/>
  <c r="E275" i="18"/>
  <c r="D275" i="18"/>
  <c r="C275" i="18"/>
  <c r="B275" i="18"/>
  <c r="BH274" i="18"/>
  <c r="BG274" i="18"/>
  <c r="BG273" i="18" s="1"/>
  <c r="BF274" i="18"/>
  <c r="BE274" i="18"/>
  <c r="BD274" i="18"/>
  <c r="BC274" i="18"/>
  <c r="BB274" i="18"/>
  <c r="BA274" i="18"/>
  <c r="AZ274" i="18"/>
  <c r="AY274" i="18"/>
  <c r="AY273" i="18" s="1"/>
  <c r="AX274" i="18"/>
  <c r="AW274" i="18"/>
  <c r="AV274" i="18"/>
  <c r="AU274" i="18"/>
  <c r="AT274" i="18"/>
  <c r="AS274" i="18"/>
  <c r="AR274" i="18"/>
  <c r="AQ274" i="18"/>
  <c r="AQ273" i="18" s="1"/>
  <c r="AP274" i="18"/>
  <c r="AO274" i="18"/>
  <c r="AN274" i="18"/>
  <c r="AM274" i="18"/>
  <c r="AL274" i="18"/>
  <c r="AK274" i="18"/>
  <c r="AJ274" i="18"/>
  <c r="AI274" i="18"/>
  <c r="AH274" i="18"/>
  <c r="AG274" i="18"/>
  <c r="AF274" i="18"/>
  <c r="AE274" i="18"/>
  <c r="AD274" i="18"/>
  <c r="AC274" i="18"/>
  <c r="AB274" i="18"/>
  <c r="AA274" i="18"/>
  <c r="AA273" i="18" s="1"/>
  <c r="Z274" i="18"/>
  <c r="Y274" i="18"/>
  <c r="X274" i="18"/>
  <c r="W274" i="18"/>
  <c r="V274" i="18"/>
  <c r="U274" i="18"/>
  <c r="T274" i="18"/>
  <c r="S274" i="18"/>
  <c r="S273" i="18" s="1"/>
  <c r="R274" i="18"/>
  <c r="Q274" i="18"/>
  <c r="P274" i="18"/>
  <c r="O274" i="18"/>
  <c r="N274" i="18"/>
  <c r="M274" i="18"/>
  <c r="L274" i="18"/>
  <c r="K274" i="18"/>
  <c r="J274" i="18"/>
  <c r="J273" i="18" s="1"/>
  <c r="I274" i="18"/>
  <c r="H274" i="18"/>
  <c r="G274" i="18"/>
  <c r="F274" i="18"/>
  <c r="E274" i="18"/>
  <c r="D274" i="18"/>
  <c r="C274" i="18"/>
  <c r="C273" i="18" s="1"/>
  <c r="B274" i="18"/>
  <c r="BE273" i="18"/>
  <c r="BB273" i="18"/>
  <c r="AX273" i="18"/>
  <c r="AW273" i="18"/>
  <c r="AO273" i="18"/>
  <c r="AN273" i="18"/>
  <c r="AI273" i="18"/>
  <c r="AH273" i="18"/>
  <c r="AE273" i="18"/>
  <c r="Y273" i="18"/>
  <c r="V273" i="18"/>
  <c r="U273" i="18"/>
  <c r="Q273" i="18"/>
  <c r="K273" i="18"/>
  <c r="G273" i="18"/>
  <c r="E273" i="18"/>
  <c r="M271" i="18"/>
  <c r="L271" i="18"/>
  <c r="K271" i="18"/>
  <c r="J271" i="18"/>
  <c r="I271" i="18"/>
  <c r="H271" i="18"/>
  <c r="G271" i="18"/>
  <c r="F271" i="18"/>
  <c r="E271" i="18"/>
  <c r="D271" i="18"/>
  <c r="C271" i="18"/>
  <c r="B271" i="18"/>
  <c r="M270" i="18"/>
  <c r="L270" i="18"/>
  <c r="K270" i="18"/>
  <c r="J270" i="18"/>
  <c r="I270" i="18"/>
  <c r="H270" i="18"/>
  <c r="G270" i="18"/>
  <c r="G265" i="18" s="1"/>
  <c r="F270" i="18"/>
  <c r="E270" i="18"/>
  <c r="D270" i="18"/>
  <c r="C270" i="18"/>
  <c r="B270" i="18"/>
  <c r="M268" i="18"/>
  <c r="M265" i="18" s="1"/>
  <c r="L268" i="18"/>
  <c r="K268" i="18"/>
  <c r="J268" i="18"/>
  <c r="I268" i="18"/>
  <c r="H268" i="18"/>
  <c r="G268" i="18"/>
  <c r="F268" i="18"/>
  <c r="E268" i="18"/>
  <c r="E265" i="18" s="1"/>
  <c r="D268" i="18"/>
  <c r="C268" i="18"/>
  <c r="B268" i="18"/>
  <c r="M267" i="18"/>
  <c r="L267" i="18"/>
  <c r="K267" i="18"/>
  <c r="J267" i="18"/>
  <c r="I267" i="18"/>
  <c r="H267" i="18"/>
  <c r="H86" i="18" s="1"/>
  <c r="H86" i="15" s="1"/>
  <c r="G267" i="18"/>
  <c r="F267" i="18"/>
  <c r="F265" i="18" s="1"/>
  <c r="E267" i="18"/>
  <c r="D267" i="18"/>
  <c r="C267" i="18"/>
  <c r="B267" i="18"/>
  <c r="M266" i="18"/>
  <c r="L266" i="18"/>
  <c r="K266" i="18"/>
  <c r="J266" i="18"/>
  <c r="J265" i="18" s="1"/>
  <c r="I266" i="18"/>
  <c r="I265" i="18" s="1"/>
  <c r="H266" i="18"/>
  <c r="G266" i="18"/>
  <c r="F266" i="18"/>
  <c r="E266" i="18"/>
  <c r="D266" i="18"/>
  <c r="C266" i="18"/>
  <c r="C265" i="18" s="1"/>
  <c r="B266" i="18"/>
  <c r="K265" i="18"/>
  <c r="D265" i="18"/>
  <c r="AW264" i="18"/>
  <c r="AV264" i="18"/>
  <c r="AU264" i="18"/>
  <c r="AT264" i="18"/>
  <c r="AS264" i="18"/>
  <c r="AR264" i="18"/>
  <c r="AQ264" i="18"/>
  <c r="AP264" i="18"/>
  <c r="AO264" i="18"/>
  <c r="AN264" i="18"/>
  <c r="AM264" i="18"/>
  <c r="AL264" i="18"/>
  <c r="AK264" i="18"/>
  <c r="AJ264" i="18"/>
  <c r="AI264" i="18"/>
  <c r="AH264" i="18"/>
  <c r="AG264" i="18"/>
  <c r="AF264" i="18"/>
  <c r="AE264" i="18"/>
  <c r="AD264" i="18"/>
  <c r="AC264" i="18"/>
  <c r="AB264" i="18"/>
  <c r="AA264" i="18"/>
  <c r="Z264" i="18"/>
  <c r="Y264" i="18"/>
  <c r="X264" i="18"/>
  <c r="W264" i="18"/>
  <c r="V264" i="18"/>
  <c r="U264" i="18"/>
  <c r="T264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C264" i="18"/>
  <c r="BH263" i="18"/>
  <c r="BG263" i="18"/>
  <c r="BF263" i="18"/>
  <c r="BE263" i="18"/>
  <c r="BD263" i="18"/>
  <c r="BC263" i="18"/>
  <c r="BC189" i="18" s="1"/>
  <c r="BB263" i="18"/>
  <c r="BA263" i="18"/>
  <c r="AZ263" i="18"/>
  <c r="AY263" i="18"/>
  <c r="AX263" i="18"/>
  <c r="AW263" i="18"/>
  <c r="AV263" i="18"/>
  <c r="AU263" i="18"/>
  <c r="AT263" i="18"/>
  <c r="AS263" i="18"/>
  <c r="AR263" i="18"/>
  <c r="AQ263" i="18"/>
  <c r="AP263" i="18"/>
  <c r="AO263" i="18"/>
  <c r="AN263" i="18"/>
  <c r="AM263" i="18"/>
  <c r="AL263" i="18"/>
  <c r="AJ263" i="18"/>
  <c r="AJ189" i="18" s="1"/>
  <c r="AI263" i="18"/>
  <c r="AH263" i="18"/>
  <c r="AG263" i="18"/>
  <c r="AF263" i="18"/>
  <c r="AE263" i="18"/>
  <c r="AD263" i="18"/>
  <c r="AD189" i="18" s="1"/>
  <c r="AB263" i="18"/>
  <c r="AA263" i="18"/>
  <c r="AA189" i="18" s="1"/>
  <c r="Z263" i="18"/>
  <c r="Y263" i="18"/>
  <c r="X263" i="18"/>
  <c r="W263" i="18"/>
  <c r="V263" i="18"/>
  <c r="T263" i="18"/>
  <c r="T189" i="18" s="1"/>
  <c r="S263" i="18"/>
  <c r="R263" i="18"/>
  <c r="R189" i="18" s="1"/>
  <c r="Q263" i="18"/>
  <c r="P263" i="18"/>
  <c r="O263" i="18"/>
  <c r="N263" i="18"/>
  <c r="L263" i="18"/>
  <c r="K263" i="18"/>
  <c r="K189" i="18" s="1"/>
  <c r="J263" i="18"/>
  <c r="I263" i="18"/>
  <c r="I189" i="18" s="1"/>
  <c r="H263" i="18"/>
  <c r="G263" i="18"/>
  <c r="F263" i="18"/>
  <c r="D263" i="18"/>
  <c r="C263" i="18"/>
  <c r="BH262" i="18"/>
  <c r="BG262" i="18"/>
  <c r="BF262" i="18"/>
  <c r="BE262" i="18"/>
  <c r="BD262" i="18"/>
  <c r="BC262" i="18"/>
  <c r="BB262" i="18"/>
  <c r="BA262" i="18"/>
  <c r="AZ262" i="18"/>
  <c r="AY262" i="18"/>
  <c r="AX262" i="18"/>
  <c r="AW262" i="18"/>
  <c r="AV262" i="18"/>
  <c r="AU262" i="18"/>
  <c r="AT262" i="18"/>
  <c r="AS262" i="18"/>
  <c r="AR262" i="18"/>
  <c r="AQ262" i="18"/>
  <c r="AP262" i="18"/>
  <c r="AP258" i="18" s="1"/>
  <c r="AO262" i="18"/>
  <c r="AN262" i="18"/>
  <c r="AM262" i="18"/>
  <c r="AL262" i="18"/>
  <c r="AK262" i="18"/>
  <c r="AJ262" i="18"/>
  <c r="AI262" i="18"/>
  <c r="AH262" i="18"/>
  <c r="AH258" i="18" s="1"/>
  <c r="AG262" i="18"/>
  <c r="AF262" i="18"/>
  <c r="AE262" i="18"/>
  <c r="AD262" i="18"/>
  <c r="AC262" i="18"/>
  <c r="AB262" i="18"/>
  <c r="AA262" i="18"/>
  <c r="Z262" i="18"/>
  <c r="Y262" i="18"/>
  <c r="X262" i="18"/>
  <c r="W262" i="18"/>
  <c r="V262" i="18"/>
  <c r="U262" i="18"/>
  <c r="T262" i="18"/>
  <c r="S262" i="18"/>
  <c r="R262" i="18"/>
  <c r="R258" i="18" s="1"/>
  <c r="Q262" i="18"/>
  <c r="P262" i="18"/>
  <c r="O262" i="18"/>
  <c r="N262" i="18"/>
  <c r="M262" i="18"/>
  <c r="L262" i="18"/>
  <c r="K262" i="18"/>
  <c r="J262" i="18"/>
  <c r="J258" i="18" s="1"/>
  <c r="I262" i="18"/>
  <c r="H262" i="18"/>
  <c r="G262" i="18"/>
  <c r="F262" i="18"/>
  <c r="E262" i="18"/>
  <c r="D262" i="18"/>
  <c r="C262" i="18"/>
  <c r="AV261" i="18"/>
  <c r="AU261" i="18"/>
  <c r="AT261" i="18"/>
  <c r="AS261" i="18"/>
  <c r="AR261" i="18"/>
  <c r="AR163" i="18" s="1"/>
  <c r="AQ261" i="18"/>
  <c r="AP261" i="18"/>
  <c r="AO261" i="18"/>
  <c r="AN261" i="18"/>
  <c r="AM261" i="18"/>
  <c r="AL261" i="18"/>
  <c r="AK261" i="18"/>
  <c r="AJ261" i="18"/>
  <c r="AJ163" i="18" s="1"/>
  <c r="AI261" i="18"/>
  <c r="AH261" i="18"/>
  <c r="AG261" i="18"/>
  <c r="AF261" i="18"/>
  <c r="AE261" i="18"/>
  <c r="AD261" i="18"/>
  <c r="AC261" i="18"/>
  <c r="AB261" i="18"/>
  <c r="AB163" i="18" s="1"/>
  <c r="AA261" i="18"/>
  <c r="Z261" i="18"/>
  <c r="Z258" i="18" s="1"/>
  <c r="Y261" i="18"/>
  <c r="X261" i="18"/>
  <c r="W261" i="18"/>
  <c r="V261" i="18"/>
  <c r="U261" i="18"/>
  <c r="T261" i="18"/>
  <c r="T163" i="18" s="1"/>
  <c r="S261" i="18"/>
  <c r="R261" i="18"/>
  <c r="Q261" i="18"/>
  <c r="P261" i="18"/>
  <c r="O261" i="18"/>
  <c r="N261" i="18"/>
  <c r="M261" i="18"/>
  <c r="L261" i="18"/>
  <c r="L163" i="18" s="1"/>
  <c r="K261" i="18"/>
  <c r="J261" i="18"/>
  <c r="I261" i="18"/>
  <c r="H261" i="18"/>
  <c r="G261" i="18"/>
  <c r="F261" i="18"/>
  <c r="E261" i="18"/>
  <c r="D261" i="18"/>
  <c r="D163" i="18" s="1"/>
  <c r="C261" i="18"/>
  <c r="BH260" i="18"/>
  <c r="BG260" i="18"/>
  <c r="BF260" i="18"/>
  <c r="BE260" i="18"/>
  <c r="BD260" i="18"/>
  <c r="BC260" i="18"/>
  <c r="BB260" i="18"/>
  <c r="BA260" i="18"/>
  <c r="AZ260" i="18"/>
  <c r="AY260" i="18"/>
  <c r="AX260" i="18"/>
  <c r="AW260" i="18"/>
  <c r="AV260" i="18"/>
  <c r="AU260" i="18"/>
  <c r="AT260" i="18"/>
  <c r="AS260" i="18"/>
  <c r="AR260" i="18"/>
  <c r="AQ260" i="18"/>
  <c r="AP260" i="18"/>
  <c r="AO260" i="18"/>
  <c r="AO258" i="18" s="1"/>
  <c r="AN260" i="18"/>
  <c r="AM260" i="18"/>
  <c r="AL260" i="18"/>
  <c r="AK260" i="18"/>
  <c r="AJ260" i="18"/>
  <c r="AI260" i="18"/>
  <c r="AH260" i="18"/>
  <c r="AG260" i="18"/>
  <c r="AG258" i="18" s="1"/>
  <c r="AF260" i="18"/>
  <c r="AE260" i="18"/>
  <c r="AD260" i="18"/>
  <c r="AC260" i="18"/>
  <c r="AB260" i="18"/>
  <c r="AA260" i="18"/>
  <c r="Z260" i="18"/>
  <c r="Y260" i="18"/>
  <c r="Y258" i="18" s="1"/>
  <c r="X260" i="18"/>
  <c r="W260" i="18"/>
  <c r="V260" i="18"/>
  <c r="U260" i="18"/>
  <c r="T260" i="18"/>
  <c r="S260" i="18"/>
  <c r="R260" i="18"/>
  <c r="Q260" i="18"/>
  <c r="Q258" i="18" s="1"/>
  <c r="P260" i="18"/>
  <c r="O260" i="18"/>
  <c r="N260" i="18"/>
  <c r="M260" i="18"/>
  <c r="L260" i="18"/>
  <c r="K260" i="18"/>
  <c r="J260" i="18"/>
  <c r="I260" i="18"/>
  <c r="H260" i="18"/>
  <c r="G260" i="18"/>
  <c r="F260" i="18"/>
  <c r="E260" i="18"/>
  <c r="D260" i="18"/>
  <c r="C260" i="18"/>
  <c r="BH259" i="18"/>
  <c r="BG259" i="18"/>
  <c r="BF259" i="18"/>
  <c r="BE259" i="18"/>
  <c r="BD259" i="18"/>
  <c r="BC259" i="18"/>
  <c r="BB259" i="18"/>
  <c r="BA259" i="18"/>
  <c r="AZ259" i="18"/>
  <c r="AY259" i="18"/>
  <c r="AX259" i="18"/>
  <c r="AW259" i="18"/>
  <c r="AV259" i="18"/>
  <c r="AU259" i="18"/>
  <c r="AT259" i="18"/>
  <c r="AS259" i="18"/>
  <c r="AS258" i="18" s="1"/>
  <c r="AR259" i="18"/>
  <c r="AR258" i="18" s="1"/>
  <c r="AQ259" i="18"/>
  <c r="AQ258" i="18" s="1"/>
  <c r="AP259" i="18"/>
  <c r="AO259" i="18"/>
  <c r="AN259" i="18"/>
  <c r="AM259" i="18"/>
  <c r="AL259" i="18"/>
  <c r="AK259" i="18"/>
  <c r="AK258" i="18" s="1"/>
  <c r="AJ259" i="18"/>
  <c r="AI259" i="18"/>
  <c r="AI258" i="18" s="1"/>
  <c r="AH259" i="18"/>
  <c r="AG259" i="18"/>
  <c r="AF259" i="18"/>
  <c r="AE259" i="18"/>
  <c r="AD259" i="18"/>
  <c r="AC259" i="18"/>
  <c r="AC258" i="18" s="1"/>
  <c r="AB259" i="18"/>
  <c r="AB258" i="18" s="1"/>
  <c r="AA259" i="18"/>
  <c r="Z259" i="18"/>
  <c r="Y259" i="18"/>
  <c r="X259" i="18"/>
  <c r="W259" i="18"/>
  <c r="V259" i="18"/>
  <c r="U259" i="18"/>
  <c r="U258" i="18" s="1"/>
  <c r="T259" i="18"/>
  <c r="T258" i="18" s="1"/>
  <c r="S259" i="18"/>
  <c r="S258" i="18" s="1"/>
  <c r="R259" i="18"/>
  <c r="Q259" i="18"/>
  <c r="P259" i="18"/>
  <c r="O259" i="18"/>
  <c r="N259" i="18"/>
  <c r="M259" i="18"/>
  <c r="M258" i="18" s="1"/>
  <c r="L259" i="18"/>
  <c r="L258" i="18" s="1"/>
  <c r="K259" i="18"/>
  <c r="K258" i="18" s="1"/>
  <c r="J259" i="18"/>
  <c r="I259" i="18"/>
  <c r="H259" i="18"/>
  <c r="H258" i="18" s="1"/>
  <c r="G259" i="18"/>
  <c r="F259" i="18"/>
  <c r="E259" i="18"/>
  <c r="E258" i="18" s="1"/>
  <c r="D259" i="18"/>
  <c r="D258" i="18" s="1"/>
  <c r="C259" i="18"/>
  <c r="C258" i="18" s="1"/>
  <c r="AV258" i="18"/>
  <c r="AN258" i="18"/>
  <c r="AF258" i="18"/>
  <c r="AE258" i="18"/>
  <c r="X258" i="18"/>
  <c r="W258" i="18"/>
  <c r="P258" i="18"/>
  <c r="O258" i="18"/>
  <c r="G258" i="18"/>
  <c r="BH257" i="18"/>
  <c r="BG257" i="18"/>
  <c r="BF257" i="18"/>
  <c r="BE257" i="18"/>
  <c r="BD257" i="18"/>
  <c r="BC257" i="18"/>
  <c r="BB257" i="18"/>
  <c r="BA257" i="18"/>
  <c r="AZ257" i="18"/>
  <c r="AY257" i="18"/>
  <c r="AX257" i="18"/>
  <c r="AW257" i="18"/>
  <c r="AV257" i="18"/>
  <c r="AU257" i="18"/>
  <c r="AT257" i="18"/>
  <c r="AS257" i="18"/>
  <c r="AR257" i="18"/>
  <c r="AQ257" i="18"/>
  <c r="AP257" i="18"/>
  <c r="AO257" i="18"/>
  <c r="AN257" i="18"/>
  <c r="AM257" i="18"/>
  <c r="AL257" i="18"/>
  <c r="AK257" i="18"/>
  <c r="AJ257" i="18"/>
  <c r="AI257" i="18"/>
  <c r="AH257" i="18"/>
  <c r="AG257" i="18"/>
  <c r="AF257" i="18"/>
  <c r="AE257" i="18"/>
  <c r="AD257" i="18"/>
  <c r="AC257" i="18"/>
  <c r="AB257" i="18"/>
  <c r="AA257" i="18"/>
  <c r="Z257" i="18"/>
  <c r="Y257" i="18"/>
  <c r="X257" i="18"/>
  <c r="W257" i="18"/>
  <c r="V257" i="18"/>
  <c r="U257" i="18"/>
  <c r="T257" i="18"/>
  <c r="S257" i="18"/>
  <c r="R257" i="18"/>
  <c r="Q257" i="18"/>
  <c r="P257" i="18"/>
  <c r="O257" i="18"/>
  <c r="N257" i="18"/>
  <c r="M257" i="18"/>
  <c r="L257" i="18"/>
  <c r="K257" i="18"/>
  <c r="J257" i="18"/>
  <c r="I257" i="18"/>
  <c r="H257" i="18"/>
  <c r="G257" i="18"/>
  <c r="F257" i="18"/>
  <c r="E257" i="18"/>
  <c r="D257" i="18"/>
  <c r="C257" i="18"/>
  <c r="BB256" i="18"/>
  <c r="BB58" i="18" s="1"/>
  <c r="BA256" i="18"/>
  <c r="AZ256" i="18"/>
  <c r="AY256" i="18"/>
  <c r="AX256" i="18"/>
  <c r="AW256" i="18"/>
  <c r="AV256" i="18"/>
  <c r="AU256" i="18"/>
  <c r="AT256" i="18"/>
  <c r="AT58" i="18" s="1"/>
  <c r="AS256" i="18"/>
  <c r="AR256" i="18"/>
  <c r="AQ256" i="18"/>
  <c r="AP256" i="18"/>
  <c r="AO256" i="18"/>
  <c r="AN256" i="18"/>
  <c r="AM256" i="18"/>
  <c r="AL256" i="18"/>
  <c r="AL58" i="18" s="1"/>
  <c r="AK256" i="18"/>
  <c r="AJ256" i="18"/>
  <c r="AI256" i="18"/>
  <c r="AH256" i="18"/>
  <c r="AG256" i="18"/>
  <c r="AF256" i="18"/>
  <c r="AE256" i="18"/>
  <c r="AD256" i="18"/>
  <c r="AD58" i="18" s="1"/>
  <c r="AC256" i="18"/>
  <c r="AB256" i="18"/>
  <c r="AA256" i="18"/>
  <c r="Z256" i="18"/>
  <c r="Y256" i="18"/>
  <c r="X256" i="18"/>
  <c r="W256" i="18"/>
  <c r="V256" i="18"/>
  <c r="V58" i="18" s="1"/>
  <c r="U256" i="18"/>
  <c r="T256" i="18"/>
  <c r="S256" i="18"/>
  <c r="R256" i="18"/>
  <c r="Q256" i="18"/>
  <c r="P256" i="18"/>
  <c r="O256" i="18"/>
  <c r="N256" i="18"/>
  <c r="M256" i="18"/>
  <c r="L256" i="18"/>
  <c r="K256" i="18"/>
  <c r="J256" i="18"/>
  <c r="I256" i="18"/>
  <c r="H256" i="18"/>
  <c r="G256" i="18"/>
  <c r="F256" i="18"/>
  <c r="F58" i="18" s="1"/>
  <c r="E256" i="18"/>
  <c r="D256" i="18"/>
  <c r="C256" i="18"/>
  <c r="BH255" i="18"/>
  <c r="BG255" i="18"/>
  <c r="BF255" i="18"/>
  <c r="BE255" i="18"/>
  <c r="BD255" i="18"/>
  <c r="BD162" i="18" s="1"/>
  <c r="BC255" i="18"/>
  <c r="BB255" i="18"/>
  <c r="BB162" i="18" s="1"/>
  <c r="BA255" i="18"/>
  <c r="AZ255" i="18"/>
  <c r="AY255" i="18"/>
  <c r="AX255" i="18"/>
  <c r="AW255" i="18"/>
  <c r="AV255" i="18"/>
  <c r="AV162" i="18" s="1"/>
  <c r="AU255" i="18"/>
  <c r="AT255" i="18"/>
  <c r="AT162" i="18" s="1"/>
  <c r="AS255" i="18"/>
  <c r="AR255" i="18"/>
  <c r="AQ255" i="18"/>
  <c r="AP255" i="18"/>
  <c r="AO255" i="18"/>
  <c r="AN255" i="18"/>
  <c r="AN162" i="18" s="1"/>
  <c r="AM255" i="18"/>
  <c r="AL255" i="18"/>
  <c r="AL162" i="18" s="1"/>
  <c r="AK255" i="18"/>
  <c r="AJ255" i="18"/>
  <c r="AI255" i="18"/>
  <c r="AH255" i="18"/>
  <c r="AG255" i="18"/>
  <c r="AF255" i="18"/>
  <c r="AF162" i="18" s="1"/>
  <c r="AE255" i="18"/>
  <c r="AD255" i="18"/>
  <c r="AD162" i="18" s="1"/>
  <c r="AC255" i="18"/>
  <c r="AB255" i="18"/>
  <c r="AA255" i="18"/>
  <c r="Z255" i="18"/>
  <c r="Y255" i="18"/>
  <c r="X255" i="18"/>
  <c r="X162" i="18" s="1"/>
  <c r="W255" i="18"/>
  <c r="V255" i="18"/>
  <c r="V162" i="18" s="1"/>
  <c r="U255" i="18"/>
  <c r="T255" i="18"/>
  <c r="S255" i="18"/>
  <c r="R255" i="18"/>
  <c r="Q255" i="18"/>
  <c r="P255" i="18"/>
  <c r="O255" i="18"/>
  <c r="N255" i="18"/>
  <c r="N162" i="18" s="1"/>
  <c r="M255" i="18"/>
  <c r="L255" i="18"/>
  <c r="K255" i="18"/>
  <c r="J255" i="18"/>
  <c r="I255" i="18"/>
  <c r="H255" i="18"/>
  <c r="H162" i="18" s="1"/>
  <c r="G255" i="18"/>
  <c r="F255" i="18"/>
  <c r="F162" i="18" s="1"/>
  <c r="E255" i="18"/>
  <c r="D255" i="18"/>
  <c r="C255" i="18"/>
  <c r="BH254" i="18"/>
  <c r="BG254" i="18"/>
  <c r="BF254" i="18"/>
  <c r="BF84" i="18" s="1"/>
  <c r="BE254" i="18"/>
  <c r="BD254" i="18"/>
  <c r="BC254" i="18"/>
  <c r="BB254" i="18"/>
  <c r="BA254" i="18"/>
  <c r="BA252" i="18" s="1"/>
  <c r="AZ254" i="18"/>
  <c r="AY254" i="18"/>
  <c r="AX254" i="18"/>
  <c r="AX84" i="18" s="1"/>
  <c r="AW254" i="18"/>
  <c r="AV254" i="18"/>
  <c r="AU254" i="18"/>
  <c r="AT254" i="18"/>
  <c r="AS254" i="18"/>
  <c r="AS252" i="18" s="1"/>
  <c r="AR254" i="18"/>
  <c r="AQ254" i="18"/>
  <c r="AP254" i="18"/>
  <c r="AP84" i="18" s="1"/>
  <c r="AO254" i="18"/>
  <c r="AN254" i="18"/>
  <c r="AM254" i="18"/>
  <c r="AL254" i="18"/>
  <c r="AK254" i="18"/>
  <c r="AK252" i="18" s="1"/>
  <c r="AJ254" i="18"/>
  <c r="AI254" i="18"/>
  <c r="AH254" i="18"/>
  <c r="AH84" i="18" s="1"/>
  <c r="AG254" i="18"/>
  <c r="AF254" i="18"/>
  <c r="AE254" i="18"/>
  <c r="AD254" i="18"/>
  <c r="AC254" i="18"/>
  <c r="AC252" i="18" s="1"/>
  <c r="AB254" i="18"/>
  <c r="AA254" i="18"/>
  <c r="Z254" i="18"/>
  <c r="Z84" i="18" s="1"/>
  <c r="Y254" i="18"/>
  <c r="X254" i="18"/>
  <c r="W254" i="18"/>
  <c r="V254" i="18"/>
  <c r="U254" i="18"/>
  <c r="U252" i="18" s="1"/>
  <c r="T254" i="18"/>
  <c r="S254" i="18"/>
  <c r="R254" i="18"/>
  <c r="R84" i="18" s="1"/>
  <c r="Q254" i="18"/>
  <c r="P254" i="18"/>
  <c r="O254" i="18"/>
  <c r="N254" i="18"/>
  <c r="M254" i="18"/>
  <c r="M252" i="18" s="1"/>
  <c r="L254" i="18"/>
  <c r="K254" i="18"/>
  <c r="J254" i="18"/>
  <c r="J84" i="18" s="1"/>
  <c r="I254" i="18"/>
  <c r="H254" i="18"/>
  <c r="G254" i="18"/>
  <c r="F254" i="18"/>
  <c r="E254" i="18"/>
  <c r="E252" i="18" s="1"/>
  <c r="D254" i="18"/>
  <c r="C254" i="18"/>
  <c r="BH253" i="18"/>
  <c r="BG253" i="18"/>
  <c r="BF253" i="18"/>
  <c r="BE253" i="18"/>
  <c r="BD253" i="18"/>
  <c r="BC253" i="18"/>
  <c r="BB253" i="18"/>
  <c r="BA253" i="18"/>
  <c r="AZ253" i="18"/>
  <c r="AY253" i="18"/>
  <c r="AX253" i="18"/>
  <c r="AW253" i="18"/>
  <c r="AW252" i="18" s="1"/>
  <c r="AV253" i="18"/>
  <c r="AU253" i="18"/>
  <c r="AU252" i="18" s="1"/>
  <c r="AT253" i="18"/>
  <c r="AS253" i="18"/>
  <c r="AR253" i="18"/>
  <c r="AQ253" i="18"/>
  <c r="AP253" i="18"/>
  <c r="AO253" i="18"/>
  <c r="AO252" i="18" s="1"/>
  <c r="AN253" i="18"/>
  <c r="AM253" i="18"/>
  <c r="AM252" i="18" s="1"/>
  <c r="AL253" i="18"/>
  <c r="AK253" i="18"/>
  <c r="AJ253" i="18"/>
  <c r="AI253" i="18"/>
  <c r="AH253" i="18"/>
  <c r="AG253" i="18"/>
  <c r="AG252" i="18" s="1"/>
  <c r="AF253" i="18"/>
  <c r="AE253" i="18"/>
  <c r="AE252" i="18" s="1"/>
  <c r="AD253" i="18"/>
  <c r="AC253" i="18"/>
  <c r="AB253" i="18"/>
  <c r="AA253" i="18"/>
  <c r="Z253" i="18"/>
  <c r="Y253" i="18"/>
  <c r="Y252" i="18" s="1"/>
  <c r="X253" i="18"/>
  <c r="W253" i="18"/>
  <c r="W252" i="18" s="1"/>
  <c r="V253" i="18"/>
  <c r="U253" i="18"/>
  <c r="T253" i="18"/>
  <c r="T188" i="18" s="1"/>
  <c r="S253" i="18"/>
  <c r="R253" i="18"/>
  <c r="Q253" i="18"/>
  <c r="Q252" i="18" s="1"/>
  <c r="P253" i="18"/>
  <c r="O253" i="18"/>
  <c r="O252" i="18" s="1"/>
  <c r="N253" i="18"/>
  <c r="M253" i="18"/>
  <c r="L253" i="18"/>
  <c r="K253" i="18"/>
  <c r="J253" i="18"/>
  <c r="I253" i="18"/>
  <c r="I252" i="18" s="1"/>
  <c r="H253" i="18"/>
  <c r="G253" i="18"/>
  <c r="G252" i="18" s="1"/>
  <c r="F253" i="18"/>
  <c r="E253" i="18"/>
  <c r="D253" i="18"/>
  <c r="D188" i="18" s="1"/>
  <c r="C253" i="18"/>
  <c r="AY252" i="18"/>
  <c r="AT252" i="18"/>
  <c r="AQ252" i="18"/>
  <c r="AI252" i="18"/>
  <c r="AA252" i="18"/>
  <c r="S252" i="18"/>
  <c r="K252" i="18"/>
  <c r="C252" i="18"/>
  <c r="BH250" i="18"/>
  <c r="BG250" i="18"/>
  <c r="BF250" i="18"/>
  <c r="BE250" i="18"/>
  <c r="BD250" i="18"/>
  <c r="BC250" i="18"/>
  <c r="BB250" i="18"/>
  <c r="BA250" i="18"/>
  <c r="AZ250" i="18"/>
  <c r="AY250" i="18"/>
  <c r="AX250" i="18"/>
  <c r="AW250" i="18"/>
  <c r="AV250" i="18"/>
  <c r="AU250" i="18"/>
  <c r="AT250" i="18"/>
  <c r="AS250" i="18"/>
  <c r="AR250" i="18"/>
  <c r="AQ250" i="18"/>
  <c r="AP250" i="18"/>
  <c r="AO250" i="18"/>
  <c r="AN250" i="18"/>
  <c r="AM250" i="18"/>
  <c r="AL250" i="18"/>
  <c r="AK250" i="18"/>
  <c r="AJ250" i="18"/>
  <c r="AI250" i="18"/>
  <c r="AH250" i="18"/>
  <c r="AG250" i="18"/>
  <c r="AF250" i="18"/>
  <c r="AE250" i="18"/>
  <c r="AD250" i="18"/>
  <c r="AC250" i="18"/>
  <c r="AB250" i="18"/>
  <c r="AA250" i="18"/>
  <c r="Z250" i="18"/>
  <c r="Y250" i="18"/>
  <c r="X250" i="18"/>
  <c r="W250" i="18"/>
  <c r="V250" i="18"/>
  <c r="U250" i="18"/>
  <c r="T250" i="18"/>
  <c r="S250" i="18"/>
  <c r="R250" i="18"/>
  <c r="Q250" i="18"/>
  <c r="P250" i="18"/>
  <c r="O250" i="18"/>
  <c r="N250" i="18"/>
  <c r="M250" i="18"/>
  <c r="L250" i="18"/>
  <c r="K250" i="18"/>
  <c r="J250" i="18"/>
  <c r="I250" i="18"/>
  <c r="H250" i="18"/>
  <c r="G250" i="18"/>
  <c r="F250" i="18"/>
  <c r="E250" i="18"/>
  <c r="D250" i="18"/>
  <c r="C250" i="18"/>
  <c r="BB249" i="18"/>
  <c r="BA249" i="18"/>
  <c r="AZ249" i="18"/>
  <c r="AY249" i="18"/>
  <c r="AX249" i="18"/>
  <c r="AX245" i="18" s="1"/>
  <c r="AW249" i="18"/>
  <c r="AV249" i="18"/>
  <c r="AU249" i="18"/>
  <c r="AT249" i="18"/>
  <c r="AS249" i="18"/>
  <c r="AR249" i="18"/>
  <c r="AQ249" i="18"/>
  <c r="AP249" i="18"/>
  <c r="AO249" i="18"/>
  <c r="AN249" i="18"/>
  <c r="AM249" i="18"/>
  <c r="AL249" i="18"/>
  <c r="AK249" i="18"/>
  <c r="AJ249" i="18"/>
  <c r="AI249" i="18"/>
  <c r="AH249" i="18"/>
  <c r="AH245" i="18" s="1"/>
  <c r="AG249" i="18"/>
  <c r="AF249" i="18"/>
  <c r="AE249" i="18"/>
  <c r="AD249" i="18"/>
  <c r="AC249" i="18"/>
  <c r="AB249" i="18"/>
  <c r="AA249" i="18"/>
  <c r="Z249" i="18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H248" i="18"/>
  <c r="BH160" i="18" s="1"/>
  <c r="BG248" i="18"/>
  <c r="BF248" i="18"/>
  <c r="BE248" i="18"/>
  <c r="BD248" i="18"/>
  <c r="BC248" i="18"/>
  <c r="BB248" i="18"/>
  <c r="BA248" i="18"/>
  <c r="AZ248" i="18"/>
  <c r="AZ160" i="18" s="1"/>
  <c r="AY248" i="18"/>
  <c r="AX248" i="18"/>
  <c r="AW248" i="18"/>
  <c r="AV248" i="18"/>
  <c r="AU248" i="18"/>
  <c r="AT248" i="18"/>
  <c r="AS248" i="18"/>
  <c r="AR248" i="18"/>
  <c r="AR160" i="18" s="1"/>
  <c r="AQ248" i="18"/>
  <c r="AP248" i="18"/>
  <c r="AO248" i="18"/>
  <c r="AN248" i="18"/>
  <c r="AM248" i="18"/>
  <c r="AL248" i="18"/>
  <c r="AK248" i="18"/>
  <c r="AJ248" i="18"/>
  <c r="AJ160" i="18" s="1"/>
  <c r="AI248" i="18"/>
  <c r="AH248" i="18"/>
  <c r="AG248" i="18"/>
  <c r="AF248" i="18"/>
  <c r="AE248" i="18"/>
  <c r="AD248" i="18"/>
  <c r="AC248" i="18"/>
  <c r="AB248" i="18"/>
  <c r="AB160" i="18" s="1"/>
  <c r="AA248" i="18"/>
  <c r="Z248" i="18"/>
  <c r="Y248" i="18"/>
  <c r="X248" i="18"/>
  <c r="W248" i="18"/>
  <c r="V248" i="18"/>
  <c r="U248" i="18"/>
  <c r="T248" i="18"/>
  <c r="T160" i="18" s="1"/>
  <c r="S248" i="18"/>
  <c r="R248" i="18"/>
  <c r="Q248" i="18"/>
  <c r="P248" i="18"/>
  <c r="O248" i="18"/>
  <c r="N248" i="18"/>
  <c r="M248" i="18"/>
  <c r="L248" i="18"/>
  <c r="L160" i="18" s="1"/>
  <c r="K248" i="18"/>
  <c r="J248" i="18"/>
  <c r="I248" i="18"/>
  <c r="H248" i="18"/>
  <c r="G248" i="18"/>
  <c r="F248" i="18"/>
  <c r="E248" i="18"/>
  <c r="D248" i="18"/>
  <c r="D160" i="18" s="1"/>
  <c r="C248" i="18"/>
  <c r="BH247" i="18"/>
  <c r="BG247" i="18"/>
  <c r="BF247" i="18"/>
  <c r="BE247" i="18"/>
  <c r="BD247" i="18"/>
  <c r="BC247" i="18"/>
  <c r="BB247" i="18"/>
  <c r="BB82" i="18" s="1"/>
  <c r="BA247" i="18"/>
  <c r="AZ247" i="18"/>
  <c r="AY247" i="18"/>
  <c r="AX247" i="18"/>
  <c r="AW247" i="18"/>
  <c r="AV247" i="18"/>
  <c r="AU247" i="18"/>
  <c r="AT247" i="18"/>
  <c r="AT82" i="18" s="1"/>
  <c r="AS247" i="18"/>
  <c r="AR247" i="18"/>
  <c r="AQ247" i="18"/>
  <c r="AP247" i="18"/>
  <c r="AO247" i="18"/>
  <c r="AN247" i="18"/>
  <c r="AM247" i="18"/>
  <c r="AL247" i="18"/>
  <c r="AL82" i="18" s="1"/>
  <c r="AK247" i="18"/>
  <c r="AJ247" i="18"/>
  <c r="AI247" i="18"/>
  <c r="AH247" i="18"/>
  <c r="AG247" i="18"/>
  <c r="AF247" i="18"/>
  <c r="AE247" i="18"/>
  <c r="AD247" i="18"/>
  <c r="AD82" i="18" s="1"/>
  <c r="AC247" i="18"/>
  <c r="AB247" i="18"/>
  <c r="AA247" i="18"/>
  <c r="Z247" i="18"/>
  <c r="Y247" i="18"/>
  <c r="X247" i="18"/>
  <c r="W247" i="18"/>
  <c r="V247" i="18"/>
  <c r="V82" i="18" s="1"/>
  <c r="U247" i="18"/>
  <c r="T247" i="18"/>
  <c r="S247" i="18"/>
  <c r="R247" i="18"/>
  <c r="Q247" i="18"/>
  <c r="P247" i="18"/>
  <c r="O247" i="18"/>
  <c r="N247" i="18"/>
  <c r="N82" i="18" s="1"/>
  <c r="M247" i="18"/>
  <c r="L247" i="18"/>
  <c r="K247" i="18"/>
  <c r="J247" i="18"/>
  <c r="I247" i="18"/>
  <c r="H247" i="18"/>
  <c r="G247" i="18"/>
  <c r="F247" i="18"/>
  <c r="F82" i="18" s="1"/>
  <c r="E247" i="18"/>
  <c r="D247" i="18"/>
  <c r="C247" i="18"/>
  <c r="BH246" i="18"/>
  <c r="BG246" i="18"/>
  <c r="BF246" i="18"/>
  <c r="BE246" i="18"/>
  <c r="BD246" i="18"/>
  <c r="BC246" i="18"/>
  <c r="BB246" i="18"/>
  <c r="BA246" i="18"/>
  <c r="BA245" i="18" s="1"/>
  <c r="AZ246" i="18"/>
  <c r="AY246" i="18"/>
  <c r="AY245" i="18" s="1"/>
  <c r="AX246" i="18"/>
  <c r="AW246" i="18"/>
  <c r="AW245" i="18" s="1"/>
  <c r="AV246" i="18"/>
  <c r="AU246" i="18"/>
  <c r="AT246" i="18"/>
  <c r="AT186" i="18" s="1"/>
  <c r="AS246" i="18"/>
  <c r="AS245" i="18" s="1"/>
  <c r="AR246" i="18"/>
  <c r="AQ246" i="18"/>
  <c r="AQ245" i="18" s="1"/>
  <c r="AP246" i="18"/>
  <c r="AO246" i="18"/>
  <c r="AO245" i="18" s="1"/>
  <c r="AN246" i="18"/>
  <c r="AM246" i="18"/>
  <c r="AL246" i="18"/>
  <c r="AL186" i="18" s="1"/>
  <c r="AK246" i="18"/>
  <c r="AK245" i="18" s="1"/>
  <c r="AJ246" i="18"/>
  <c r="AI246" i="18"/>
  <c r="AI245" i="18" s="1"/>
  <c r="AH246" i="18"/>
  <c r="AG246" i="18"/>
  <c r="AG245" i="18" s="1"/>
  <c r="AF246" i="18"/>
  <c r="AE246" i="18"/>
  <c r="AD246" i="18"/>
  <c r="AD186" i="18" s="1"/>
  <c r="AC246" i="18"/>
  <c r="AC245" i="18" s="1"/>
  <c r="AB246" i="18"/>
  <c r="AA246" i="18"/>
  <c r="AA245" i="18" s="1"/>
  <c r="Z246" i="18"/>
  <c r="Y246" i="18"/>
  <c r="Y245" i="18" s="1"/>
  <c r="X246" i="18"/>
  <c r="W246" i="18"/>
  <c r="V246" i="18"/>
  <c r="U246" i="18"/>
  <c r="U245" i="18" s="1"/>
  <c r="T246" i="18"/>
  <c r="S246" i="18"/>
  <c r="S245" i="18" s="1"/>
  <c r="R246" i="18"/>
  <c r="Q246" i="18"/>
  <c r="Q245" i="18" s="1"/>
  <c r="P246" i="18"/>
  <c r="O246" i="18"/>
  <c r="N246" i="18"/>
  <c r="M246" i="18"/>
  <c r="M245" i="18" s="1"/>
  <c r="L246" i="18"/>
  <c r="K246" i="18"/>
  <c r="K245" i="18" s="1"/>
  <c r="J246" i="18"/>
  <c r="I246" i="18"/>
  <c r="I245" i="18" s="1"/>
  <c r="H246" i="18"/>
  <c r="H186" i="18" s="1"/>
  <c r="G246" i="18"/>
  <c r="F246" i="18"/>
  <c r="E246" i="18"/>
  <c r="E245" i="18" s="1"/>
  <c r="D246" i="18"/>
  <c r="C246" i="18"/>
  <c r="C245" i="18" s="1"/>
  <c r="AU245" i="18"/>
  <c r="AM245" i="18"/>
  <c r="AE245" i="18"/>
  <c r="W245" i="18"/>
  <c r="O245" i="18"/>
  <c r="G245" i="18"/>
  <c r="BH244" i="18"/>
  <c r="BG244" i="18"/>
  <c r="BF244" i="18"/>
  <c r="BE244" i="18"/>
  <c r="BD244" i="18"/>
  <c r="BC244" i="18"/>
  <c r="BB244" i="18"/>
  <c r="BA244" i="18"/>
  <c r="AZ244" i="18"/>
  <c r="AZ240" i="18" s="1"/>
  <c r="AY244" i="18"/>
  <c r="AX244" i="18"/>
  <c r="AW244" i="18"/>
  <c r="AV244" i="18"/>
  <c r="AU244" i="18"/>
  <c r="AT244" i="18"/>
  <c r="AS244" i="18"/>
  <c r="AR244" i="18"/>
  <c r="AQ244" i="18"/>
  <c r="AP244" i="18"/>
  <c r="AO244" i="18"/>
  <c r="AN244" i="18"/>
  <c r="AM244" i="18"/>
  <c r="AL244" i="18"/>
  <c r="AK244" i="18"/>
  <c r="AJ244" i="18"/>
  <c r="AJ240" i="18" s="1"/>
  <c r="AI244" i="18"/>
  <c r="AH244" i="18"/>
  <c r="AG244" i="18"/>
  <c r="AF244" i="18"/>
  <c r="AE244" i="18"/>
  <c r="AD244" i="18"/>
  <c r="AC244" i="18"/>
  <c r="AB244" i="18"/>
  <c r="AA244" i="18"/>
  <c r="Z244" i="18"/>
  <c r="Y244" i="18"/>
  <c r="X244" i="18"/>
  <c r="W244" i="18"/>
  <c r="V244" i="18"/>
  <c r="U244" i="18"/>
  <c r="T244" i="18"/>
  <c r="T240" i="18" s="1"/>
  <c r="S244" i="18"/>
  <c r="R244" i="18"/>
  <c r="Q244" i="18"/>
  <c r="P244" i="18"/>
  <c r="O244" i="18"/>
  <c r="N244" i="18"/>
  <c r="M244" i="18"/>
  <c r="L244" i="18"/>
  <c r="L240" i="18" s="1"/>
  <c r="K244" i="18"/>
  <c r="J244" i="18"/>
  <c r="I244" i="18"/>
  <c r="H244" i="18"/>
  <c r="G244" i="18"/>
  <c r="F244" i="18"/>
  <c r="E244" i="18"/>
  <c r="D244" i="18"/>
  <c r="D240" i="18" s="1"/>
  <c r="C244" i="18"/>
  <c r="BH243" i="18"/>
  <c r="BG243" i="18"/>
  <c r="BF243" i="18"/>
  <c r="BE243" i="18"/>
  <c r="BD243" i="18"/>
  <c r="BC243" i="18"/>
  <c r="BB243" i="18"/>
  <c r="BA243" i="18"/>
  <c r="AZ243" i="18"/>
  <c r="AY243" i="18"/>
  <c r="AX243" i="18"/>
  <c r="AW243" i="18"/>
  <c r="AV243" i="18"/>
  <c r="AU243" i="18"/>
  <c r="AT243" i="18"/>
  <c r="AS243" i="18"/>
  <c r="AR243" i="18"/>
  <c r="AQ243" i="18"/>
  <c r="AP243" i="18"/>
  <c r="AO243" i="18"/>
  <c r="AN243" i="18"/>
  <c r="AM243" i="18"/>
  <c r="AL243" i="18"/>
  <c r="AK243" i="18"/>
  <c r="AJ243" i="18"/>
  <c r="AI243" i="18"/>
  <c r="AH243" i="18"/>
  <c r="AG243" i="18"/>
  <c r="AF243" i="18"/>
  <c r="AE243" i="18"/>
  <c r="AD243" i="18"/>
  <c r="AC243" i="18"/>
  <c r="AB243" i="18"/>
  <c r="AA243" i="18"/>
  <c r="Z243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H242" i="18"/>
  <c r="BG242" i="18"/>
  <c r="BF242" i="18"/>
  <c r="BE242" i="18"/>
  <c r="BD242" i="18"/>
  <c r="BC242" i="18"/>
  <c r="BB242" i="18"/>
  <c r="BA242" i="18"/>
  <c r="AZ242" i="18"/>
  <c r="AY242" i="18"/>
  <c r="AX242" i="18"/>
  <c r="AW242" i="18"/>
  <c r="AV242" i="18"/>
  <c r="AU242" i="18"/>
  <c r="AT242" i="18"/>
  <c r="AS242" i="18"/>
  <c r="AR242" i="18"/>
  <c r="AQ242" i="18"/>
  <c r="AP242" i="18"/>
  <c r="AO242" i="18"/>
  <c r="AN242" i="18"/>
  <c r="AM242" i="18"/>
  <c r="AL242" i="18"/>
  <c r="AK242" i="18"/>
  <c r="AJ242" i="18"/>
  <c r="AI242" i="18"/>
  <c r="AH242" i="18"/>
  <c r="AG242" i="18"/>
  <c r="AF242" i="18"/>
  <c r="AE242" i="18"/>
  <c r="AD242" i="18"/>
  <c r="AC242" i="18"/>
  <c r="AB242" i="18"/>
  <c r="AA242" i="18"/>
  <c r="Z242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H241" i="18"/>
  <c r="BG241" i="18"/>
  <c r="BG240" i="18" s="1"/>
  <c r="BF241" i="18"/>
  <c r="BF185" i="18" s="1"/>
  <c r="BE241" i="18"/>
  <c r="BD241" i="18"/>
  <c r="BC241" i="18"/>
  <c r="BC240" i="18" s="1"/>
  <c r="BB241" i="18"/>
  <c r="BB240" i="18" s="1"/>
  <c r="BA241" i="18"/>
  <c r="BA240" i="18" s="1"/>
  <c r="AZ241" i="18"/>
  <c r="AY241" i="18"/>
  <c r="AY240" i="18" s="1"/>
  <c r="AX241" i="18"/>
  <c r="AX185" i="18" s="1"/>
  <c r="AW241" i="18"/>
  <c r="AV241" i="18"/>
  <c r="AU241" i="18"/>
  <c r="AU240" i="18" s="1"/>
  <c r="AT241" i="18"/>
  <c r="AT240" i="18" s="1"/>
  <c r="AS241" i="18"/>
  <c r="AS240" i="18" s="1"/>
  <c r="AR241" i="18"/>
  <c r="AQ241" i="18"/>
  <c r="AQ240" i="18" s="1"/>
  <c r="AP241" i="18"/>
  <c r="AP185" i="18" s="1"/>
  <c r="AO241" i="18"/>
  <c r="AN241" i="18"/>
  <c r="AM241" i="18"/>
  <c r="AM240" i="18" s="1"/>
  <c r="AL241" i="18"/>
  <c r="AL240" i="18" s="1"/>
  <c r="AK241" i="18"/>
  <c r="AK240" i="18" s="1"/>
  <c r="AJ241" i="18"/>
  <c r="AI241" i="18"/>
  <c r="AI240" i="18" s="1"/>
  <c r="AH241" i="18"/>
  <c r="AH185" i="18" s="1"/>
  <c r="AG241" i="18"/>
  <c r="AF241" i="18"/>
  <c r="AE241" i="18"/>
  <c r="AE240" i="18" s="1"/>
  <c r="AD241" i="18"/>
  <c r="AD240" i="18" s="1"/>
  <c r="AC241" i="18"/>
  <c r="AC240" i="18" s="1"/>
  <c r="AB241" i="18"/>
  <c r="AA241" i="18"/>
  <c r="AA240" i="18" s="1"/>
  <c r="Z241" i="18"/>
  <c r="Z185" i="18" s="1"/>
  <c r="Y241" i="18"/>
  <c r="X241" i="18"/>
  <c r="W241" i="18"/>
  <c r="W240" i="18" s="1"/>
  <c r="V241" i="18"/>
  <c r="V240" i="18" s="1"/>
  <c r="U241" i="18"/>
  <c r="U240" i="18" s="1"/>
  <c r="T241" i="18"/>
  <c r="S241" i="18"/>
  <c r="S240" i="18" s="1"/>
  <c r="R241" i="18"/>
  <c r="R185" i="18" s="1"/>
  <c r="Q241" i="18"/>
  <c r="P241" i="18"/>
  <c r="O241" i="18"/>
  <c r="O240" i="18" s="1"/>
  <c r="N241" i="18"/>
  <c r="N240" i="18" s="1"/>
  <c r="M241" i="18"/>
  <c r="M240" i="18" s="1"/>
  <c r="L241" i="18"/>
  <c r="K241" i="18"/>
  <c r="K240" i="18" s="1"/>
  <c r="J241" i="18"/>
  <c r="J185" i="18" s="1"/>
  <c r="I241" i="18"/>
  <c r="H241" i="18"/>
  <c r="G241" i="18"/>
  <c r="G240" i="18" s="1"/>
  <c r="F241" i="18"/>
  <c r="F240" i="18" s="1"/>
  <c r="E241" i="18"/>
  <c r="E240" i="18" s="1"/>
  <c r="D241" i="18"/>
  <c r="C241" i="18"/>
  <c r="C240" i="18" s="1"/>
  <c r="BH240" i="18"/>
  <c r="BE240" i="18"/>
  <c r="AX240" i="18"/>
  <c r="AW240" i="18"/>
  <c r="AR240" i="18"/>
  <c r="AO240" i="18"/>
  <c r="AG240" i="18"/>
  <c r="AB240" i="18"/>
  <c r="Y240" i="18"/>
  <c r="R240" i="18"/>
  <c r="Q240" i="18"/>
  <c r="I240" i="18"/>
  <c r="M210" i="18"/>
  <c r="L210" i="18"/>
  <c r="I210" i="18"/>
  <c r="H210" i="18"/>
  <c r="G210" i="18"/>
  <c r="E210" i="18"/>
  <c r="D210" i="18"/>
  <c r="K210" i="18"/>
  <c r="F210" i="18"/>
  <c r="C210" i="18"/>
  <c r="M206" i="18"/>
  <c r="L206" i="18"/>
  <c r="K206" i="18"/>
  <c r="J206" i="18"/>
  <c r="I206" i="18"/>
  <c r="H206" i="18"/>
  <c r="G206" i="18"/>
  <c r="F206" i="18"/>
  <c r="E206" i="18"/>
  <c r="D206" i="18"/>
  <c r="C206" i="18"/>
  <c r="BH204" i="18"/>
  <c r="BG204" i="18"/>
  <c r="BF204" i="18"/>
  <c r="BE204" i="18"/>
  <c r="BD204" i="18"/>
  <c r="BC204" i="18"/>
  <c r="BB204" i="18"/>
  <c r="BA204" i="18"/>
  <c r="AZ204" i="18"/>
  <c r="AY204" i="18"/>
  <c r="AX204" i="18"/>
  <c r="AW204" i="18"/>
  <c r="AV204" i="18"/>
  <c r="AU204" i="18"/>
  <c r="AT204" i="18"/>
  <c r="AS204" i="18"/>
  <c r="AR204" i="18"/>
  <c r="AQ204" i="18"/>
  <c r="AP204" i="18"/>
  <c r="AO204" i="18"/>
  <c r="AN204" i="18"/>
  <c r="AM204" i="18"/>
  <c r="AL204" i="18"/>
  <c r="AK204" i="18"/>
  <c r="AJ204" i="18"/>
  <c r="AI204" i="18"/>
  <c r="AH204" i="18"/>
  <c r="AG204" i="18"/>
  <c r="AF204" i="18"/>
  <c r="AE204" i="18"/>
  <c r="AD204" i="18"/>
  <c r="AC204" i="18"/>
  <c r="AB204" i="18"/>
  <c r="AA204" i="18"/>
  <c r="Z204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M202" i="18"/>
  <c r="L202" i="18"/>
  <c r="K202" i="18"/>
  <c r="J202" i="18"/>
  <c r="I202" i="18"/>
  <c r="H202" i="18"/>
  <c r="G202" i="18"/>
  <c r="F202" i="18"/>
  <c r="E202" i="18"/>
  <c r="D202" i="18"/>
  <c r="C202" i="18"/>
  <c r="BH198" i="18"/>
  <c r="BG198" i="18"/>
  <c r="BF198" i="18"/>
  <c r="BE198" i="18"/>
  <c r="BD198" i="18"/>
  <c r="BC198" i="18"/>
  <c r="BB198" i="18"/>
  <c r="BA198" i="18"/>
  <c r="AZ198" i="18"/>
  <c r="AY198" i="18"/>
  <c r="AX198" i="18"/>
  <c r="AW198" i="18"/>
  <c r="AV198" i="18"/>
  <c r="AU198" i="18"/>
  <c r="AT198" i="18"/>
  <c r="AS198" i="18"/>
  <c r="AR198" i="18"/>
  <c r="AQ198" i="18"/>
  <c r="AP198" i="18"/>
  <c r="AO198" i="18"/>
  <c r="AN198" i="18"/>
  <c r="AM198" i="18"/>
  <c r="AL198" i="18"/>
  <c r="AK198" i="18"/>
  <c r="AJ198" i="18"/>
  <c r="AI198" i="18"/>
  <c r="AH198" i="18"/>
  <c r="AG198" i="18"/>
  <c r="AF198" i="18"/>
  <c r="AE198" i="18"/>
  <c r="AD198" i="18"/>
  <c r="AC198" i="18"/>
  <c r="AB198" i="18"/>
  <c r="AA198" i="18"/>
  <c r="Z198" i="18"/>
  <c r="Y198" i="18"/>
  <c r="X198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H196" i="18"/>
  <c r="BG196" i="18"/>
  <c r="BF196" i="18"/>
  <c r="BE196" i="18"/>
  <c r="BD196" i="18"/>
  <c r="BC196" i="18"/>
  <c r="BB196" i="18"/>
  <c r="BA196" i="18"/>
  <c r="AZ196" i="18"/>
  <c r="AY196" i="18"/>
  <c r="AX196" i="18"/>
  <c r="AW196" i="18"/>
  <c r="AV196" i="18"/>
  <c r="AU196" i="18"/>
  <c r="AT196" i="18"/>
  <c r="AS196" i="18"/>
  <c r="AR196" i="18"/>
  <c r="AQ196" i="18"/>
  <c r="AP196" i="18"/>
  <c r="AO196" i="18"/>
  <c r="AN196" i="18"/>
  <c r="AM196" i="18"/>
  <c r="AL196" i="18"/>
  <c r="AK196" i="18"/>
  <c r="AJ196" i="18"/>
  <c r="AI196" i="18"/>
  <c r="AH196" i="18"/>
  <c r="AG196" i="18"/>
  <c r="AF196" i="18"/>
  <c r="AE196" i="18"/>
  <c r="AD196" i="18"/>
  <c r="AC196" i="18"/>
  <c r="AB196" i="18"/>
  <c r="AA196" i="18"/>
  <c r="Z196" i="18"/>
  <c r="Y196" i="18"/>
  <c r="X196" i="18"/>
  <c r="W196" i="18"/>
  <c r="V196" i="18"/>
  <c r="U196" i="18"/>
  <c r="T196" i="18"/>
  <c r="S196" i="18"/>
  <c r="R196" i="18"/>
  <c r="Q196" i="18"/>
  <c r="P196" i="18"/>
  <c r="O196" i="18"/>
  <c r="N196" i="18"/>
  <c r="M196" i="18"/>
  <c r="L196" i="18"/>
  <c r="K196" i="18"/>
  <c r="J196" i="18"/>
  <c r="I196" i="18"/>
  <c r="H196" i="18"/>
  <c r="G196" i="18"/>
  <c r="F196" i="18"/>
  <c r="E196" i="18"/>
  <c r="D196" i="18"/>
  <c r="C196" i="18"/>
  <c r="BH195" i="18"/>
  <c r="BG195" i="18"/>
  <c r="BF195" i="18"/>
  <c r="BD195" i="18"/>
  <c r="BC195" i="18"/>
  <c r="BB195" i="18"/>
  <c r="BA195" i="18"/>
  <c r="AZ195" i="18"/>
  <c r="AY195" i="18"/>
  <c r="AX195" i="18"/>
  <c r="AV195" i="18"/>
  <c r="AU195" i="18"/>
  <c r="AT195" i="18"/>
  <c r="AS195" i="18"/>
  <c r="AR195" i="18"/>
  <c r="AQ195" i="18"/>
  <c r="AP195" i="18"/>
  <c r="AN195" i="18"/>
  <c r="AM195" i="18"/>
  <c r="AL195" i="18"/>
  <c r="AK195" i="18"/>
  <c r="AJ195" i="18"/>
  <c r="AI195" i="18"/>
  <c r="AH195" i="18"/>
  <c r="AF195" i="18"/>
  <c r="AE195" i="18"/>
  <c r="AD195" i="18"/>
  <c r="AC195" i="18"/>
  <c r="AB195" i="18"/>
  <c r="AA195" i="18"/>
  <c r="Z195" i="18"/>
  <c r="X195" i="18"/>
  <c r="W195" i="18"/>
  <c r="V195" i="18"/>
  <c r="U195" i="18"/>
  <c r="T195" i="18"/>
  <c r="S195" i="18"/>
  <c r="R195" i="18"/>
  <c r="P195" i="18"/>
  <c r="O195" i="18"/>
  <c r="N195" i="18"/>
  <c r="M195" i="18"/>
  <c r="L195" i="18"/>
  <c r="K195" i="18"/>
  <c r="J195" i="18"/>
  <c r="H195" i="18"/>
  <c r="G195" i="18"/>
  <c r="F195" i="18"/>
  <c r="E195" i="18"/>
  <c r="D195" i="18"/>
  <c r="C195" i="18"/>
  <c r="BH194" i="18"/>
  <c r="BG194" i="18"/>
  <c r="BF194" i="18"/>
  <c r="BE194" i="18"/>
  <c r="BD194" i="18"/>
  <c r="BC194" i="18"/>
  <c r="BA194" i="18"/>
  <c r="AZ194" i="18"/>
  <c r="AY194" i="18"/>
  <c r="AX194" i="18"/>
  <c r="AW194" i="18"/>
  <c r="AV194" i="18"/>
  <c r="AU194" i="18"/>
  <c r="AS194" i="18"/>
  <c r="AR194" i="18"/>
  <c r="AQ194" i="18"/>
  <c r="AP194" i="18"/>
  <c r="AO194" i="18"/>
  <c r="AN194" i="18"/>
  <c r="AM194" i="18"/>
  <c r="AK194" i="18"/>
  <c r="AJ194" i="18"/>
  <c r="AI194" i="18"/>
  <c r="AH194" i="18"/>
  <c r="AG194" i="18"/>
  <c r="AF194" i="18"/>
  <c r="AE194" i="18"/>
  <c r="AC194" i="18"/>
  <c r="AB194" i="18"/>
  <c r="AA194" i="18"/>
  <c r="Z194" i="18"/>
  <c r="Y194" i="18"/>
  <c r="X194" i="18"/>
  <c r="W194" i="18"/>
  <c r="U194" i="18"/>
  <c r="T194" i="18"/>
  <c r="S194" i="18"/>
  <c r="R194" i="18"/>
  <c r="Q194" i="18"/>
  <c r="P194" i="18"/>
  <c r="O194" i="18"/>
  <c r="M194" i="18"/>
  <c r="L194" i="18"/>
  <c r="K194" i="18"/>
  <c r="J194" i="18"/>
  <c r="I194" i="18"/>
  <c r="H194" i="18"/>
  <c r="G194" i="18"/>
  <c r="E194" i="18"/>
  <c r="D194" i="18"/>
  <c r="C194" i="18"/>
  <c r="BH192" i="18"/>
  <c r="BG192" i="18"/>
  <c r="BF192" i="18"/>
  <c r="BE192" i="18"/>
  <c r="BD192" i="18"/>
  <c r="BC192" i="18"/>
  <c r="BB192" i="18"/>
  <c r="BA192" i="18"/>
  <c r="AZ192" i="18"/>
  <c r="AY192" i="18"/>
  <c r="AX192" i="18"/>
  <c r="AW192" i="18"/>
  <c r="AV192" i="18"/>
  <c r="AU192" i="18"/>
  <c r="AT192" i="18"/>
  <c r="AS192" i="18"/>
  <c r="AR192" i="18"/>
  <c r="AQ192" i="18"/>
  <c r="AP192" i="18"/>
  <c r="AO192" i="18"/>
  <c r="AN192" i="18"/>
  <c r="AM192" i="18"/>
  <c r="AL192" i="18"/>
  <c r="AK192" i="18"/>
  <c r="AJ192" i="18"/>
  <c r="AI192" i="18"/>
  <c r="AH192" i="18"/>
  <c r="AG192" i="18"/>
  <c r="AF192" i="18"/>
  <c r="AE192" i="18"/>
  <c r="AD192" i="18"/>
  <c r="AC192" i="18"/>
  <c r="AA192" i="18"/>
  <c r="Z192" i="18"/>
  <c r="Y192" i="18"/>
  <c r="X192" i="18"/>
  <c r="W192" i="18"/>
  <c r="V192" i="18"/>
  <c r="U192" i="18"/>
  <c r="S192" i="18"/>
  <c r="R192" i="18"/>
  <c r="Q192" i="18"/>
  <c r="P192" i="18"/>
  <c r="O192" i="18"/>
  <c r="N192" i="18"/>
  <c r="M192" i="18"/>
  <c r="K192" i="18"/>
  <c r="J192" i="18"/>
  <c r="I192" i="18"/>
  <c r="H192" i="18"/>
  <c r="G192" i="18"/>
  <c r="F192" i="18"/>
  <c r="E192" i="18"/>
  <c r="C192" i="18"/>
  <c r="M190" i="18"/>
  <c r="M190" i="15" s="1"/>
  <c r="L190" i="18"/>
  <c r="L190" i="15" s="1"/>
  <c r="K190" i="18"/>
  <c r="K190" i="15" s="1"/>
  <c r="J190" i="18"/>
  <c r="J190" i="15" s="1"/>
  <c r="I190" i="18"/>
  <c r="I190" i="15" s="1"/>
  <c r="H190" i="18"/>
  <c r="H190" i="15" s="1"/>
  <c r="G190" i="18"/>
  <c r="G190" i="15" s="1"/>
  <c r="F190" i="18"/>
  <c r="F190" i="15" s="1"/>
  <c r="E190" i="18"/>
  <c r="E190" i="15" s="1"/>
  <c r="D190" i="18"/>
  <c r="D190" i="15" s="1"/>
  <c r="C190" i="18"/>
  <c r="C190" i="15" s="1"/>
  <c r="BH189" i="18"/>
  <c r="BG189" i="18"/>
  <c r="BF189" i="18"/>
  <c r="BE189" i="18"/>
  <c r="BD189" i="18"/>
  <c r="BB189" i="18"/>
  <c r="BA189" i="18"/>
  <c r="AZ189" i="18"/>
  <c r="AY189" i="18"/>
  <c r="AX189" i="18"/>
  <c r="AW189" i="18"/>
  <c r="AV189" i="18"/>
  <c r="AT189" i="18"/>
  <c r="AS189" i="18"/>
  <c r="AR189" i="18"/>
  <c r="AQ189" i="18"/>
  <c r="AP189" i="18"/>
  <c r="AO189" i="18"/>
  <c r="AN189" i="18"/>
  <c r="AL189" i="18"/>
  <c r="AK189" i="18"/>
  <c r="AI189" i="18"/>
  <c r="AH189" i="18"/>
  <c r="AG189" i="18"/>
  <c r="AF189" i="18"/>
  <c r="AE189" i="18"/>
  <c r="AC189" i="18"/>
  <c r="AB189" i="18"/>
  <c r="Z189" i="18"/>
  <c r="Y189" i="18"/>
  <c r="X189" i="18"/>
  <c r="W189" i="18"/>
  <c r="V189" i="18"/>
  <c r="U189" i="18"/>
  <c r="S189" i="18"/>
  <c r="Q189" i="18"/>
  <c r="P189" i="18"/>
  <c r="O189" i="18"/>
  <c r="N189" i="18"/>
  <c r="M189" i="18"/>
  <c r="L189" i="18"/>
  <c r="J189" i="18"/>
  <c r="H189" i="18"/>
  <c r="G189" i="18"/>
  <c r="F189" i="18"/>
  <c r="E189" i="18"/>
  <c r="D189" i="18"/>
  <c r="C189" i="18"/>
  <c r="BG188" i="18"/>
  <c r="BF188" i="18"/>
  <c r="BE188" i="18"/>
  <c r="BD188" i="18"/>
  <c r="BC188" i="18"/>
  <c r="BB188" i="18"/>
  <c r="BA188" i="18"/>
  <c r="AY188" i="18"/>
  <c r="AX188" i="18"/>
  <c r="AW188" i="18"/>
  <c r="AV188" i="18"/>
  <c r="AU188" i="18"/>
  <c r="AT188" i="18"/>
  <c r="AS188" i="18"/>
  <c r="AQ188" i="18"/>
  <c r="AP188" i="18"/>
  <c r="AO188" i="18"/>
  <c r="AN188" i="18"/>
  <c r="AM188" i="18"/>
  <c r="AL188" i="18"/>
  <c r="AK188" i="18"/>
  <c r="AI188" i="18"/>
  <c r="AH188" i="18"/>
  <c r="AG188" i="18"/>
  <c r="AF188" i="18"/>
  <c r="AE188" i="18"/>
  <c r="AD188" i="18"/>
  <c r="AC188" i="18"/>
  <c r="AA188" i="18"/>
  <c r="Z188" i="18"/>
  <c r="Y188" i="18"/>
  <c r="X188" i="18"/>
  <c r="W188" i="18"/>
  <c r="V188" i="18"/>
  <c r="U188" i="18"/>
  <c r="S188" i="18"/>
  <c r="R188" i="18"/>
  <c r="Q188" i="18"/>
  <c r="P188" i="18"/>
  <c r="O188" i="18"/>
  <c r="N188" i="18"/>
  <c r="M188" i="18"/>
  <c r="K188" i="18"/>
  <c r="J188" i="18"/>
  <c r="I188" i="18"/>
  <c r="H188" i="18"/>
  <c r="G188" i="18"/>
  <c r="F188" i="18"/>
  <c r="E188" i="18"/>
  <c r="C188" i="18"/>
  <c r="BH186" i="18"/>
  <c r="BG186" i="18"/>
  <c r="BF186" i="18"/>
  <c r="BE186" i="18"/>
  <c r="BC186" i="18"/>
  <c r="BB186" i="18"/>
  <c r="BA186" i="18"/>
  <c r="AZ186" i="18"/>
  <c r="AY186" i="18"/>
  <c r="AX186" i="18"/>
  <c r="AW186" i="18"/>
  <c r="AU186" i="18"/>
  <c r="AS186" i="18"/>
  <c r="AR186" i="18"/>
  <c r="AQ186" i="18"/>
  <c r="AP186" i="18"/>
  <c r="AO186" i="18"/>
  <c r="AM186" i="18"/>
  <c r="AK186" i="18"/>
  <c r="AJ186" i="18"/>
  <c r="AI186" i="18"/>
  <c r="AH186" i="18"/>
  <c r="AG186" i="18"/>
  <c r="AE186" i="18"/>
  <c r="AC186" i="18"/>
  <c r="AB186" i="18"/>
  <c r="AA186" i="18"/>
  <c r="Z186" i="18"/>
  <c r="Y186" i="18"/>
  <c r="W186" i="18"/>
  <c r="V186" i="18"/>
  <c r="U186" i="18"/>
  <c r="T186" i="18"/>
  <c r="S186" i="18"/>
  <c r="R186" i="18"/>
  <c r="Q186" i="18"/>
  <c r="O186" i="18"/>
  <c r="N186" i="18"/>
  <c r="M186" i="18"/>
  <c r="L186" i="18"/>
  <c r="K186" i="18"/>
  <c r="J186" i="18"/>
  <c r="I186" i="18"/>
  <c r="G186" i="18"/>
  <c r="F186" i="18"/>
  <c r="E186" i="18"/>
  <c r="D186" i="18"/>
  <c r="C186" i="18"/>
  <c r="BH185" i="18"/>
  <c r="BG185" i="18"/>
  <c r="BE185" i="18"/>
  <c r="BD185" i="18"/>
  <c r="BC185" i="18"/>
  <c r="BB185" i="18"/>
  <c r="BA185" i="18"/>
  <c r="AZ185" i="18"/>
  <c r="AY185" i="18"/>
  <c r="AW185" i="18"/>
  <c r="AV185" i="18"/>
  <c r="AU185" i="18"/>
  <c r="AT185" i="18"/>
  <c r="AS185" i="18"/>
  <c r="AR185" i="18"/>
  <c r="AQ185" i="18"/>
  <c r="AO185" i="18"/>
  <c r="AN185" i="18"/>
  <c r="AM185" i="18"/>
  <c r="AL185" i="18"/>
  <c r="AK185" i="18"/>
  <c r="AJ185" i="18"/>
  <c r="AI185" i="18"/>
  <c r="AG185" i="18"/>
  <c r="AF185" i="18"/>
  <c r="AE185" i="18"/>
  <c r="AD185" i="18"/>
  <c r="AC185" i="18"/>
  <c r="AB185" i="18"/>
  <c r="AA185" i="18"/>
  <c r="Y185" i="18"/>
  <c r="X185" i="18"/>
  <c r="W185" i="18"/>
  <c r="V185" i="18"/>
  <c r="U185" i="18"/>
  <c r="T185" i="18"/>
  <c r="S185" i="18"/>
  <c r="Q185" i="18"/>
  <c r="P185" i="18"/>
  <c r="O185" i="18"/>
  <c r="N185" i="18"/>
  <c r="M185" i="18"/>
  <c r="M184" i="18" s="1"/>
  <c r="L185" i="18"/>
  <c r="K185" i="18"/>
  <c r="K184" i="18" s="1"/>
  <c r="I185" i="18"/>
  <c r="H185" i="18"/>
  <c r="G185" i="18"/>
  <c r="F185" i="18"/>
  <c r="E185" i="18"/>
  <c r="E184" i="18" s="1"/>
  <c r="D185" i="18"/>
  <c r="C185" i="18"/>
  <c r="C184" i="18" s="1"/>
  <c r="G184" i="18"/>
  <c r="M180" i="18"/>
  <c r="L180" i="18"/>
  <c r="K180" i="18"/>
  <c r="J180" i="18"/>
  <c r="I180" i="18"/>
  <c r="H180" i="18"/>
  <c r="G180" i="18"/>
  <c r="F180" i="18"/>
  <c r="E180" i="18"/>
  <c r="D180" i="18"/>
  <c r="C180" i="18"/>
  <c r="M176" i="18"/>
  <c r="L176" i="18"/>
  <c r="K176" i="18"/>
  <c r="J176" i="18"/>
  <c r="I176" i="18"/>
  <c r="H176" i="18"/>
  <c r="G176" i="18"/>
  <c r="F176" i="18"/>
  <c r="E176" i="18"/>
  <c r="D176" i="18"/>
  <c r="C176" i="18"/>
  <c r="M175" i="18"/>
  <c r="L175" i="18"/>
  <c r="K175" i="18"/>
  <c r="J175" i="18"/>
  <c r="I175" i="18"/>
  <c r="H175" i="18"/>
  <c r="G175" i="18"/>
  <c r="F175" i="18"/>
  <c r="E175" i="18"/>
  <c r="D175" i="18"/>
  <c r="C175" i="18"/>
  <c r="BH172" i="18"/>
  <c r="BG172" i="18"/>
  <c r="BF172" i="18"/>
  <c r="BD172" i="18"/>
  <c r="BC172" i="18"/>
  <c r="BB172" i="18"/>
  <c r="AZ172" i="18"/>
  <c r="AY172" i="18"/>
  <c r="AX172" i="18"/>
  <c r="AV172" i="18"/>
  <c r="AU172" i="18"/>
  <c r="AT172" i="18"/>
  <c r="AR172" i="18"/>
  <c r="AQ172" i="18"/>
  <c r="AP172" i="18"/>
  <c r="AN172" i="18"/>
  <c r="AM172" i="18"/>
  <c r="AL172" i="18"/>
  <c r="AJ172" i="18"/>
  <c r="AI172" i="18"/>
  <c r="AH172" i="18"/>
  <c r="AF172" i="18"/>
  <c r="AE172" i="18"/>
  <c r="AD172" i="18"/>
  <c r="AC172" i="18"/>
  <c r="AB172" i="18"/>
  <c r="AA172" i="18"/>
  <c r="Z172" i="18"/>
  <c r="X172" i="18"/>
  <c r="W172" i="18"/>
  <c r="V172" i="18"/>
  <c r="U172" i="18"/>
  <c r="T172" i="18"/>
  <c r="S172" i="18"/>
  <c r="R172" i="18"/>
  <c r="P172" i="18"/>
  <c r="O172" i="18"/>
  <c r="N172" i="18"/>
  <c r="M172" i="18"/>
  <c r="L172" i="18"/>
  <c r="K172" i="18"/>
  <c r="J172" i="18"/>
  <c r="H172" i="18"/>
  <c r="G172" i="18"/>
  <c r="F172" i="18"/>
  <c r="E172" i="18"/>
  <c r="D172" i="18"/>
  <c r="C172" i="18"/>
  <c r="BH171" i="18"/>
  <c r="BG171" i="18"/>
  <c r="BF171" i="18"/>
  <c r="BE171" i="18"/>
  <c r="BD171" i="18"/>
  <c r="BC171" i="18"/>
  <c r="BB171" i="18"/>
  <c r="BA171" i="18"/>
  <c r="AZ171" i="18"/>
  <c r="AY171" i="18"/>
  <c r="AX171" i="18"/>
  <c r="AW171" i="18"/>
  <c r="AV171" i="18"/>
  <c r="AU171" i="18"/>
  <c r="AT171" i="18"/>
  <c r="AS171" i="18"/>
  <c r="AR171" i="18"/>
  <c r="AQ171" i="18"/>
  <c r="AP171" i="18"/>
  <c r="AO171" i="18"/>
  <c r="AN171" i="18"/>
  <c r="AM171" i="18"/>
  <c r="AL171" i="18"/>
  <c r="AK171" i="18"/>
  <c r="AJ171" i="18"/>
  <c r="AI171" i="18"/>
  <c r="AH171" i="18"/>
  <c r="AG171" i="18"/>
  <c r="AF171" i="18"/>
  <c r="AE171" i="18"/>
  <c r="AD171" i="18"/>
  <c r="AC171" i="18"/>
  <c r="AB171" i="18"/>
  <c r="AA171" i="18"/>
  <c r="Z171" i="18"/>
  <c r="Y171" i="18"/>
  <c r="X171" i="18"/>
  <c r="W171" i="18"/>
  <c r="V171" i="18"/>
  <c r="U171" i="18"/>
  <c r="T171" i="18"/>
  <c r="S171" i="18"/>
  <c r="R171" i="18"/>
  <c r="Q171" i="18"/>
  <c r="P171" i="18"/>
  <c r="O171" i="18"/>
  <c r="N171" i="18"/>
  <c r="M171" i="18"/>
  <c r="L171" i="18"/>
  <c r="K171" i="18"/>
  <c r="J171" i="18"/>
  <c r="I171" i="18"/>
  <c r="H171" i="18"/>
  <c r="G171" i="18"/>
  <c r="F171" i="18"/>
  <c r="E171" i="18"/>
  <c r="D171" i="18"/>
  <c r="C171" i="18"/>
  <c r="BH170" i="18"/>
  <c r="BG170" i="18"/>
  <c r="BF170" i="18"/>
  <c r="BE170" i="18"/>
  <c r="BD170" i="18"/>
  <c r="BC170" i="18"/>
  <c r="BB170" i="18"/>
  <c r="BA170" i="18"/>
  <c r="AZ170" i="18"/>
  <c r="AY170" i="18"/>
  <c r="AX170" i="18"/>
  <c r="AW170" i="18"/>
  <c r="AV170" i="18"/>
  <c r="AU170" i="18"/>
  <c r="AT170" i="18"/>
  <c r="AS170" i="18"/>
  <c r="AR170" i="18"/>
  <c r="AQ170" i="18"/>
  <c r="AP170" i="18"/>
  <c r="AO170" i="18"/>
  <c r="AN170" i="18"/>
  <c r="AM170" i="18"/>
  <c r="AL170" i="18"/>
  <c r="AK170" i="18"/>
  <c r="AJ170" i="18"/>
  <c r="AI170" i="18"/>
  <c r="AH170" i="18"/>
  <c r="AG170" i="18"/>
  <c r="AF170" i="18"/>
  <c r="AE170" i="18"/>
  <c r="AD170" i="18"/>
  <c r="AC170" i="18"/>
  <c r="AB170" i="18"/>
  <c r="AA170" i="18"/>
  <c r="Z170" i="18"/>
  <c r="Y170" i="18"/>
  <c r="X170" i="18"/>
  <c r="W170" i="18"/>
  <c r="V170" i="18"/>
  <c r="U170" i="18"/>
  <c r="T170" i="18"/>
  <c r="S170" i="18"/>
  <c r="R170" i="18"/>
  <c r="Q170" i="18"/>
  <c r="P170" i="18"/>
  <c r="O170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BH169" i="18"/>
  <c r="BF169" i="18"/>
  <c r="BE169" i="18"/>
  <c r="BD169" i="18"/>
  <c r="BC169" i="18"/>
  <c r="BB169" i="18"/>
  <c r="BA169" i="18"/>
  <c r="AZ169" i="18"/>
  <c r="AX169" i="18"/>
  <c r="AW169" i="18"/>
  <c r="AV169" i="18"/>
  <c r="AU169" i="18"/>
  <c r="AT169" i="18"/>
  <c r="AS169" i="18"/>
  <c r="AR169" i="18"/>
  <c r="AP169" i="18"/>
  <c r="AO169" i="18"/>
  <c r="AN169" i="18"/>
  <c r="AM169" i="18"/>
  <c r="AL169" i="18"/>
  <c r="AK169" i="18"/>
  <c r="AJ169" i="18"/>
  <c r="AH169" i="18"/>
  <c r="AG169" i="18"/>
  <c r="AF169" i="18"/>
  <c r="AE169" i="18"/>
  <c r="AD169" i="18"/>
  <c r="AC169" i="18"/>
  <c r="AB169" i="18"/>
  <c r="Z169" i="18"/>
  <c r="Y169" i="18"/>
  <c r="X169" i="18"/>
  <c r="W169" i="18"/>
  <c r="V169" i="18"/>
  <c r="U169" i="18"/>
  <c r="T169" i="18"/>
  <c r="R169" i="18"/>
  <c r="Q169" i="18"/>
  <c r="P169" i="18"/>
  <c r="O169" i="18"/>
  <c r="N169" i="18"/>
  <c r="M169" i="18"/>
  <c r="L169" i="18"/>
  <c r="J169" i="18"/>
  <c r="I169" i="18"/>
  <c r="H169" i="18"/>
  <c r="G169" i="18"/>
  <c r="F169" i="18"/>
  <c r="E169" i="18"/>
  <c r="D169" i="18"/>
  <c r="BH168" i="18"/>
  <c r="BG168" i="18"/>
  <c r="BF168" i="18"/>
  <c r="BD168" i="18"/>
  <c r="BC168" i="18"/>
  <c r="BB168" i="18"/>
  <c r="BA168" i="18"/>
  <c r="AZ168" i="18"/>
  <c r="AY168" i="18"/>
  <c r="AX168" i="18"/>
  <c r="AV168" i="18"/>
  <c r="AT168" i="18"/>
  <c r="AS168" i="18"/>
  <c r="AR168" i="18"/>
  <c r="AQ168" i="18"/>
  <c r="AP168" i="18"/>
  <c r="AN168" i="18"/>
  <c r="AL168" i="18"/>
  <c r="AK168" i="18"/>
  <c r="AJ168" i="18"/>
  <c r="AI168" i="18"/>
  <c r="AH168" i="18"/>
  <c r="AF168" i="18"/>
  <c r="AD168" i="18"/>
  <c r="AC168" i="18"/>
  <c r="AB168" i="18"/>
  <c r="AA168" i="18"/>
  <c r="Z168" i="18"/>
  <c r="X168" i="18"/>
  <c r="V168" i="18"/>
  <c r="U168" i="18"/>
  <c r="T168" i="18"/>
  <c r="S168" i="18"/>
  <c r="R168" i="18"/>
  <c r="P168" i="18"/>
  <c r="N168" i="18"/>
  <c r="M168" i="18"/>
  <c r="L168" i="18"/>
  <c r="K168" i="18"/>
  <c r="J168" i="18"/>
  <c r="H168" i="18"/>
  <c r="F168" i="18"/>
  <c r="E168" i="18"/>
  <c r="D168" i="18"/>
  <c r="C168" i="18"/>
  <c r="BH167" i="18"/>
  <c r="BG167" i="18"/>
  <c r="BF167" i="18"/>
  <c r="BE167" i="18"/>
  <c r="BD167" i="18"/>
  <c r="BC167" i="18"/>
  <c r="BB167" i="18"/>
  <c r="BA167" i="18"/>
  <c r="AZ167" i="18"/>
  <c r="AY167" i="18"/>
  <c r="AX167" i="18"/>
  <c r="AW167" i="18"/>
  <c r="AV167" i="18"/>
  <c r="AU167" i="18"/>
  <c r="AT167" i="18"/>
  <c r="AS167" i="18"/>
  <c r="AR167" i="18"/>
  <c r="AQ167" i="18"/>
  <c r="AP167" i="18"/>
  <c r="AO167" i="18"/>
  <c r="AN167" i="18"/>
  <c r="AM167" i="18"/>
  <c r="AL167" i="18"/>
  <c r="AK167" i="18"/>
  <c r="AJ167" i="18"/>
  <c r="AI167" i="18"/>
  <c r="AH167" i="18"/>
  <c r="AG167" i="18"/>
  <c r="AF167" i="18"/>
  <c r="AE167" i="18"/>
  <c r="AD167" i="18"/>
  <c r="AC167" i="18"/>
  <c r="AB167" i="18"/>
  <c r="AA167" i="18"/>
  <c r="Z167" i="18"/>
  <c r="Y167" i="18"/>
  <c r="X167" i="18"/>
  <c r="W167" i="18"/>
  <c r="V167" i="18"/>
  <c r="U167" i="18"/>
  <c r="T167" i="18"/>
  <c r="S167" i="18"/>
  <c r="R167" i="18"/>
  <c r="Q167" i="18"/>
  <c r="P167" i="18"/>
  <c r="O167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BH166" i="18"/>
  <c r="BG166" i="18"/>
  <c r="BF166" i="18"/>
  <c r="BE166" i="18"/>
  <c r="BD166" i="18"/>
  <c r="BC166" i="18"/>
  <c r="BB166" i="18"/>
  <c r="BA166" i="18"/>
  <c r="AZ166" i="18"/>
  <c r="AY166" i="18"/>
  <c r="AX166" i="18"/>
  <c r="AW166" i="18"/>
  <c r="AV166" i="18"/>
  <c r="AU166" i="18"/>
  <c r="AT166" i="18"/>
  <c r="AS166" i="18"/>
  <c r="AR166" i="18"/>
  <c r="AQ166" i="18"/>
  <c r="AP166" i="18"/>
  <c r="AO166" i="18"/>
  <c r="AN166" i="18"/>
  <c r="AM166" i="18"/>
  <c r="AL166" i="18"/>
  <c r="AK166" i="18"/>
  <c r="AJ166" i="18"/>
  <c r="AI166" i="18"/>
  <c r="AH166" i="18"/>
  <c r="AG166" i="18"/>
  <c r="AF166" i="18"/>
  <c r="AE166" i="18"/>
  <c r="AD166" i="18"/>
  <c r="AC166" i="18"/>
  <c r="AB166" i="18"/>
  <c r="AA166" i="18"/>
  <c r="Z166" i="18"/>
  <c r="Y166" i="18"/>
  <c r="X166" i="18"/>
  <c r="W166" i="18"/>
  <c r="V166" i="18"/>
  <c r="U166" i="18"/>
  <c r="T166" i="18"/>
  <c r="S166" i="18"/>
  <c r="R166" i="18"/>
  <c r="Q166" i="18"/>
  <c r="P166" i="18"/>
  <c r="O166" i="18"/>
  <c r="N166" i="18"/>
  <c r="M166" i="18"/>
  <c r="L166" i="18"/>
  <c r="K166" i="18"/>
  <c r="J166" i="18"/>
  <c r="I166" i="18"/>
  <c r="H166" i="18"/>
  <c r="G166" i="18"/>
  <c r="F166" i="18"/>
  <c r="E166" i="18"/>
  <c r="D166" i="18"/>
  <c r="C166" i="18"/>
  <c r="M164" i="18"/>
  <c r="L164" i="18"/>
  <c r="L164" i="15" s="1"/>
  <c r="K164" i="18"/>
  <c r="K164" i="15" s="1"/>
  <c r="J164" i="18"/>
  <c r="J164" i="15" s="1"/>
  <c r="J158" i="15" s="1"/>
  <c r="I164" i="18"/>
  <c r="I164" i="15" s="1"/>
  <c r="H164" i="18"/>
  <c r="H158" i="18" s="1"/>
  <c r="G164" i="18"/>
  <c r="G164" i="15" s="1"/>
  <c r="F164" i="18"/>
  <c r="F164" i="15" s="1"/>
  <c r="E164" i="18"/>
  <c r="E164" i="15" s="1"/>
  <c r="D164" i="18"/>
  <c r="D164" i="15" s="1"/>
  <c r="C164" i="18"/>
  <c r="C164" i="15" s="1"/>
  <c r="AV163" i="18"/>
  <c r="AU163" i="18"/>
  <c r="AT163" i="18"/>
  <c r="AS163" i="18"/>
  <c r="AQ163" i="18"/>
  <c r="AP163" i="18"/>
  <c r="AO163" i="18"/>
  <c r="AN163" i="18"/>
  <c r="AM163" i="18"/>
  <c r="AL163" i="18"/>
  <c r="AK163" i="18"/>
  <c r="AI163" i="18"/>
  <c r="AH163" i="18"/>
  <c r="AG163" i="18"/>
  <c r="AF163" i="18"/>
  <c r="AE163" i="18"/>
  <c r="AD163" i="18"/>
  <c r="AC163" i="18"/>
  <c r="AA163" i="18"/>
  <c r="Z163" i="18"/>
  <c r="Y163" i="18"/>
  <c r="X163" i="18"/>
  <c r="W163" i="18"/>
  <c r="V163" i="18"/>
  <c r="U163" i="18"/>
  <c r="S163" i="18"/>
  <c r="R163" i="18"/>
  <c r="Q163" i="18"/>
  <c r="P163" i="18"/>
  <c r="O163" i="18"/>
  <c r="N163" i="18"/>
  <c r="M163" i="18"/>
  <c r="K163" i="18"/>
  <c r="J163" i="18"/>
  <c r="I163" i="18"/>
  <c r="H163" i="18"/>
  <c r="G163" i="18"/>
  <c r="F163" i="18"/>
  <c r="E163" i="18"/>
  <c r="C163" i="18"/>
  <c r="BH162" i="18"/>
  <c r="BG162" i="18"/>
  <c r="BF162" i="18"/>
  <c r="BE162" i="18"/>
  <c r="BC162" i="18"/>
  <c r="BA162" i="18"/>
  <c r="AZ162" i="18"/>
  <c r="AY162" i="18"/>
  <c r="AX162" i="18"/>
  <c r="AW162" i="18"/>
  <c r="AU162" i="18"/>
  <c r="AS162" i="18"/>
  <c r="AR162" i="18"/>
  <c r="AQ162" i="18"/>
  <c r="AP162" i="18"/>
  <c r="AO162" i="18"/>
  <c r="AM162" i="18"/>
  <c r="AK162" i="18"/>
  <c r="AJ162" i="18"/>
  <c r="AI162" i="18"/>
  <c r="AH162" i="18"/>
  <c r="AG162" i="18"/>
  <c r="AE162" i="18"/>
  <c r="AC162" i="18"/>
  <c r="AB162" i="18"/>
  <c r="AA162" i="18"/>
  <c r="Z162" i="18"/>
  <c r="Y162" i="18"/>
  <c r="W162" i="18"/>
  <c r="U162" i="18"/>
  <c r="T162" i="18"/>
  <c r="S162" i="18"/>
  <c r="R162" i="18"/>
  <c r="Q162" i="18"/>
  <c r="P162" i="18"/>
  <c r="O162" i="18"/>
  <c r="M162" i="18"/>
  <c r="L162" i="18"/>
  <c r="K162" i="18"/>
  <c r="J162" i="18"/>
  <c r="I162" i="18"/>
  <c r="G162" i="18"/>
  <c r="E162" i="18"/>
  <c r="D162" i="18"/>
  <c r="C162" i="18"/>
  <c r="BG160" i="18"/>
  <c r="BF160" i="18"/>
  <c r="BE160" i="18"/>
  <c r="BD160" i="18"/>
  <c r="BC160" i="18"/>
  <c r="BB160" i="18"/>
  <c r="BA160" i="18"/>
  <c r="AY160" i="18"/>
  <c r="AX160" i="18"/>
  <c r="AW160" i="18"/>
  <c r="AV160" i="18"/>
  <c r="AU160" i="18"/>
  <c r="AT160" i="18"/>
  <c r="AS160" i="18"/>
  <c r="AQ160" i="18"/>
  <c r="AP160" i="18"/>
  <c r="AO160" i="18"/>
  <c r="AN160" i="18"/>
  <c r="AM160" i="18"/>
  <c r="AL160" i="18"/>
  <c r="AK160" i="18"/>
  <c r="AI160" i="18"/>
  <c r="AH160" i="18"/>
  <c r="AG160" i="18"/>
  <c r="AF160" i="18"/>
  <c r="AE160" i="18"/>
  <c r="AD160" i="18"/>
  <c r="AC160" i="18"/>
  <c r="AA160" i="18"/>
  <c r="Z160" i="18"/>
  <c r="Y160" i="18"/>
  <c r="X160" i="18"/>
  <c r="W160" i="18"/>
  <c r="V160" i="18"/>
  <c r="U160" i="18"/>
  <c r="S160" i="18"/>
  <c r="R160" i="18"/>
  <c r="Q160" i="18"/>
  <c r="P160" i="18"/>
  <c r="O160" i="18"/>
  <c r="N160" i="18"/>
  <c r="M160" i="18"/>
  <c r="K160" i="18"/>
  <c r="J160" i="18"/>
  <c r="I160" i="18"/>
  <c r="H160" i="18"/>
  <c r="G160" i="18"/>
  <c r="F160" i="18"/>
  <c r="E160" i="18"/>
  <c r="C160" i="18"/>
  <c r="E158" i="18"/>
  <c r="C158" i="18"/>
  <c r="BH154" i="18"/>
  <c r="BG154" i="18"/>
  <c r="BF154" i="18"/>
  <c r="BE154" i="18"/>
  <c r="BD154" i="18"/>
  <c r="BC154" i="18"/>
  <c r="BB154" i="18"/>
  <c r="BA154" i="18"/>
  <c r="AZ154" i="18"/>
  <c r="AY154" i="18"/>
  <c r="AX154" i="18"/>
  <c r="AW154" i="18"/>
  <c r="AV154" i="18"/>
  <c r="AU154" i="18"/>
  <c r="AT154" i="18"/>
  <c r="AS154" i="18"/>
  <c r="AR154" i="18"/>
  <c r="AQ154" i="18"/>
  <c r="AP154" i="18"/>
  <c r="AO154" i="18"/>
  <c r="AN154" i="18"/>
  <c r="AM154" i="18"/>
  <c r="AL154" i="18"/>
  <c r="AK154" i="18"/>
  <c r="AJ154" i="18"/>
  <c r="AI154" i="18"/>
  <c r="AH154" i="18"/>
  <c r="AG154" i="18"/>
  <c r="AF154" i="18"/>
  <c r="AE154" i="18"/>
  <c r="AD154" i="18"/>
  <c r="AC154" i="18"/>
  <c r="AB154" i="18"/>
  <c r="AA154" i="18"/>
  <c r="Z154" i="18"/>
  <c r="Y154" i="18"/>
  <c r="X154" i="18"/>
  <c r="W154" i="18"/>
  <c r="V154" i="18"/>
  <c r="U154" i="18"/>
  <c r="T154" i="18"/>
  <c r="S154" i="18"/>
  <c r="R154" i="18"/>
  <c r="Q154" i="18"/>
  <c r="P154" i="18"/>
  <c r="O154" i="18"/>
  <c r="O132" i="18" s="1"/>
  <c r="N154" i="18"/>
  <c r="M154" i="18"/>
  <c r="L154" i="18"/>
  <c r="K154" i="18"/>
  <c r="J154" i="18"/>
  <c r="I154" i="18"/>
  <c r="H154" i="18"/>
  <c r="G154" i="18"/>
  <c r="G132" i="18" s="1"/>
  <c r="F154" i="18"/>
  <c r="E154" i="18"/>
  <c r="D154" i="18"/>
  <c r="C154" i="18"/>
  <c r="BH137" i="18"/>
  <c r="BG137" i="18"/>
  <c r="BF137" i="18"/>
  <c r="BE137" i="18"/>
  <c r="BE132" i="18" s="1"/>
  <c r="BD137" i="18"/>
  <c r="BD132" i="18" s="1"/>
  <c r="BC137" i="18"/>
  <c r="BA137" i="18"/>
  <c r="AZ137" i="18"/>
  <c r="AY137" i="18"/>
  <c r="AX137" i="18"/>
  <c r="AX132" i="18" s="1"/>
  <c r="AW137" i="18"/>
  <c r="AV137" i="18"/>
  <c r="AV132" i="18" s="1"/>
  <c r="AU137" i="18"/>
  <c r="AS137" i="18"/>
  <c r="AS132" i="18" s="1"/>
  <c r="AR137" i="18"/>
  <c r="AQ137" i="18"/>
  <c r="AP137" i="18"/>
  <c r="AP132" i="18" s="1"/>
  <c r="AO137" i="18"/>
  <c r="AO132" i="18" s="1"/>
  <c r="AN137" i="18"/>
  <c r="AN132" i="18" s="1"/>
  <c r="AM137" i="18"/>
  <c r="AM132" i="18" s="1"/>
  <c r="AK137" i="18"/>
  <c r="AJ137" i="18"/>
  <c r="AJ132" i="18" s="1"/>
  <c r="AI137" i="18"/>
  <c r="AH137" i="18"/>
  <c r="AG137" i="18"/>
  <c r="AF137" i="18"/>
  <c r="AF132" i="18" s="1"/>
  <c r="AE137" i="18"/>
  <c r="AC137" i="18"/>
  <c r="AC132" i="18" s="1"/>
  <c r="AB137" i="18"/>
  <c r="AB132" i="18" s="1"/>
  <c r="AA137" i="18"/>
  <c r="Z137" i="18"/>
  <c r="Y137" i="18"/>
  <c r="X137" i="18"/>
  <c r="W137" i="18"/>
  <c r="W132" i="18" s="1"/>
  <c r="U137" i="18"/>
  <c r="T137" i="18"/>
  <c r="T132" i="18" s="1"/>
  <c r="S137" i="18"/>
  <c r="R137" i="18"/>
  <c r="R132" i="18" s="1"/>
  <c r="Q137" i="18"/>
  <c r="P137" i="18"/>
  <c r="O137" i="18"/>
  <c r="M137" i="18"/>
  <c r="M132" i="18" s="1"/>
  <c r="L137" i="18"/>
  <c r="K137" i="18"/>
  <c r="J137" i="18"/>
  <c r="J132" i="18" s="1"/>
  <c r="I137" i="18"/>
  <c r="I132" i="18" s="1"/>
  <c r="H137" i="18"/>
  <c r="G137" i="18"/>
  <c r="E137" i="18"/>
  <c r="D137" i="18"/>
  <c r="D132" i="18" s="1"/>
  <c r="C137" i="18"/>
  <c r="BH132" i="18"/>
  <c r="BG132" i="18"/>
  <c r="BF132" i="18"/>
  <c r="AZ132" i="18"/>
  <c r="AY132" i="18"/>
  <c r="AW132" i="18"/>
  <c r="AR132" i="18"/>
  <c r="AQ132" i="18"/>
  <c r="AI132" i="18"/>
  <c r="AH132" i="18"/>
  <c r="AG132" i="18"/>
  <c r="AA132" i="18"/>
  <c r="Z132" i="18"/>
  <c r="Y132" i="18"/>
  <c r="S132" i="18"/>
  <c r="Q132" i="18"/>
  <c r="L132" i="18"/>
  <c r="K132" i="18"/>
  <c r="C132" i="18"/>
  <c r="BH128" i="18"/>
  <c r="BH106" i="18" s="1"/>
  <c r="BG128" i="18"/>
  <c r="BG106" i="18" s="1"/>
  <c r="BF128" i="18"/>
  <c r="BE128" i="18"/>
  <c r="BE106" i="18" s="1"/>
  <c r="BD128" i="18"/>
  <c r="BC128" i="18"/>
  <c r="BB128" i="18"/>
  <c r="BA128" i="18"/>
  <c r="AZ128" i="18"/>
  <c r="AZ106" i="18" s="1"/>
  <c r="AY128" i="18"/>
  <c r="AY106" i="18" s="1"/>
  <c r="AX128" i="18"/>
  <c r="AW128" i="18"/>
  <c r="AW106" i="18" s="1"/>
  <c r="AV128" i="18"/>
  <c r="AV106" i="18" s="1"/>
  <c r="AU128" i="18"/>
  <c r="AT128" i="18"/>
  <c r="AT106" i="18" s="1"/>
  <c r="AS128" i="18"/>
  <c r="AR128" i="18"/>
  <c r="AR106" i="18" s="1"/>
  <c r="AQ128" i="18"/>
  <c r="AQ106" i="18" s="1"/>
  <c r="AP128" i="18"/>
  <c r="AO128" i="18"/>
  <c r="AO106" i="18" s="1"/>
  <c r="AN128" i="18"/>
  <c r="AM128" i="18"/>
  <c r="AL128" i="18"/>
  <c r="AL106" i="18" s="1"/>
  <c r="AK128" i="18"/>
  <c r="AK106" i="18" s="1"/>
  <c r="AJ128" i="18"/>
  <c r="AJ106" i="18" s="1"/>
  <c r="AI128" i="18"/>
  <c r="AI106" i="18" s="1"/>
  <c r="AH128" i="18"/>
  <c r="AG128" i="18"/>
  <c r="AG106" i="18" s="1"/>
  <c r="AF128" i="18"/>
  <c r="AE128" i="18"/>
  <c r="AD128" i="18"/>
  <c r="AC128" i="18"/>
  <c r="AC106" i="18" s="1"/>
  <c r="AB128" i="18"/>
  <c r="AB106" i="18" s="1"/>
  <c r="AA128" i="18"/>
  <c r="AA106" i="18" s="1"/>
  <c r="Z128" i="18"/>
  <c r="Y128" i="18"/>
  <c r="Y106" i="18" s="1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F106" i="18"/>
  <c r="BD106" i="18"/>
  <c r="BC106" i="18"/>
  <c r="BB106" i="18"/>
  <c r="BA106" i="18"/>
  <c r="AX106" i="18"/>
  <c r="AU106" i="18"/>
  <c r="AS106" i="18"/>
  <c r="AP106" i="18"/>
  <c r="AN106" i="18"/>
  <c r="AM106" i="18"/>
  <c r="AH106" i="18"/>
  <c r="AF106" i="18"/>
  <c r="AE106" i="18"/>
  <c r="AD106" i="18"/>
  <c r="Z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M102" i="18"/>
  <c r="L102" i="18"/>
  <c r="K102" i="18"/>
  <c r="J102" i="18"/>
  <c r="I102" i="18"/>
  <c r="H102" i="18"/>
  <c r="G102" i="18"/>
  <c r="F102" i="18"/>
  <c r="E102" i="18"/>
  <c r="D102" i="18"/>
  <c r="C102" i="18"/>
  <c r="BH100" i="18"/>
  <c r="BG100" i="18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H94" i="18"/>
  <c r="BG94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H93" i="18"/>
  <c r="BG93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H92" i="18"/>
  <c r="BG92" i="18"/>
  <c r="BF92" i="18"/>
  <c r="BE92" i="18"/>
  <c r="BD92" i="18"/>
  <c r="BC92" i="18"/>
  <c r="BB92" i="18"/>
  <c r="BA92" i="18"/>
  <c r="AZ92" i="18"/>
  <c r="AY92" i="18"/>
  <c r="AX92" i="18"/>
  <c r="AW92" i="18"/>
  <c r="AV92" i="18"/>
  <c r="AU92" i="18"/>
  <c r="AT92" i="18"/>
  <c r="AS92" i="18"/>
  <c r="AR92" i="18"/>
  <c r="AQ92" i="18"/>
  <c r="AP92" i="18"/>
  <c r="AO92" i="18"/>
  <c r="AN92" i="18"/>
  <c r="AM92" i="18"/>
  <c r="AL92" i="18"/>
  <c r="AK92" i="18"/>
  <c r="AJ92" i="18"/>
  <c r="AI92" i="18"/>
  <c r="AH92" i="18"/>
  <c r="AG92" i="18"/>
  <c r="AF92" i="18"/>
  <c r="AE92" i="18"/>
  <c r="AD92" i="18"/>
  <c r="AC92" i="18"/>
  <c r="AB92" i="18"/>
  <c r="AA92" i="18"/>
  <c r="Z92" i="18"/>
  <c r="Y92" i="18"/>
  <c r="X92" i="18"/>
  <c r="W92" i="18"/>
  <c r="V92" i="18"/>
  <c r="U92" i="18"/>
  <c r="T92" i="18"/>
  <c r="S92" i="18"/>
  <c r="R92" i="18"/>
  <c r="Q92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BH91" i="18"/>
  <c r="BG91" i="18"/>
  <c r="BF91" i="18"/>
  <c r="BE91" i="18"/>
  <c r="BD91" i="18"/>
  <c r="BC91" i="18"/>
  <c r="BB91" i="18"/>
  <c r="BA91" i="18"/>
  <c r="AZ91" i="18"/>
  <c r="AY91" i="18"/>
  <c r="AX91" i="18"/>
  <c r="AW91" i="18"/>
  <c r="AV91" i="18"/>
  <c r="AU91" i="18"/>
  <c r="AT91" i="18"/>
  <c r="AS91" i="18"/>
  <c r="AR91" i="18"/>
  <c r="AQ91" i="18"/>
  <c r="AP91" i="18"/>
  <c r="AO91" i="18"/>
  <c r="AN91" i="18"/>
  <c r="AM91" i="18"/>
  <c r="AL91" i="18"/>
  <c r="AK91" i="18"/>
  <c r="AJ91" i="18"/>
  <c r="AI91" i="18"/>
  <c r="AH91" i="18"/>
  <c r="AG91" i="18"/>
  <c r="AF91" i="18"/>
  <c r="AE91" i="18"/>
  <c r="AD91" i="18"/>
  <c r="AC91" i="18"/>
  <c r="AB91" i="18"/>
  <c r="AA91" i="18"/>
  <c r="Z91" i="18"/>
  <c r="Y91" i="18"/>
  <c r="X91" i="18"/>
  <c r="W91" i="18"/>
  <c r="V91" i="18"/>
  <c r="U91" i="18"/>
  <c r="T91" i="18"/>
  <c r="S91" i="18"/>
  <c r="R91" i="18"/>
  <c r="Q91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BH90" i="18"/>
  <c r="BG90" i="18"/>
  <c r="BF90" i="18"/>
  <c r="BE90" i="18"/>
  <c r="BD90" i="18"/>
  <c r="BC90" i="18"/>
  <c r="BB90" i="18"/>
  <c r="BA90" i="18"/>
  <c r="AZ90" i="18"/>
  <c r="AY90" i="18"/>
  <c r="AX90" i="18"/>
  <c r="AW90" i="18"/>
  <c r="AV90" i="18"/>
  <c r="AU90" i="18"/>
  <c r="AT90" i="18"/>
  <c r="AS90" i="18"/>
  <c r="AR90" i="18"/>
  <c r="AQ90" i="18"/>
  <c r="AP90" i="18"/>
  <c r="AO90" i="18"/>
  <c r="AN90" i="18"/>
  <c r="AM90" i="18"/>
  <c r="AL90" i="18"/>
  <c r="AK90" i="18"/>
  <c r="AJ90" i="18"/>
  <c r="AI90" i="18"/>
  <c r="AH90" i="18"/>
  <c r="AG90" i="18"/>
  <c r="AF90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H88" i="18"/>
  <c r="BG88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M86" i="18"/>
  <c r="M86" i="15" s="1"/>
  <c r="L86" i="18"/>
  <c r="L86" i="15" s="1"/>
  <c r="K86" i="18"/>
  <c r="K86" i="15" s="1"/>
  <c r="J86" i="18"/>
  <c r="J86" i="15" s="1"/>
  <c r="I86" i="18"/>
  <c r="I86" i="15" s="1"/>
  <c r="G86" i="18"/>
  <c r="G86" i="15" s="1"/>
  <c r="F86" i="18"/>
  <c r="F86" i="15" s="1"/>
  <c r="F80" i="15" s="1"/>
  <c r="E86" i="18"/>
  <c r="E86" i="15" s="1"/>
  <c r="D86" i="18"/>
  <c r="D86" i="15" s="1"/>
  <c r="C86" i="18"/>
  <c r="C86" i="15" s="1"/>
  <c r="BH85" i="18"/>
  <c r="BG85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H84" i="18"/>
  <c r="BG84" i="18"/>
  <c r="BE84" i="18"/>
  <c r="BD84" i="18"/>
  <c r="BC84" i="18"/>
  <c r="BB84" i="18"/>
  <c r="BA84" i="18"/>
  <c r="AZ84" i="18"/>
  <c r="AY84" i="18"/>
  <c r="AW84" i="18"/>
  <c r="AV84" i="18"/>
  <c r="AU84" i="18"/>
  <c r="AT84" i="18"/>
  <c r="AS84" i="18"/>
  <c r="AR84" i="18"/>
  <c r="AQ84" i="18"/>
  <c r="AO84" i="18"/>
  <c r="AN84" i="18"/>
  <c r="AM84" i="18"/>
  <c r="AL84" i="18"/>
  <c r="AK84" i="18"/>
  <c r="AJ84" i="18"/>
  <c r="AI84" i="18"/>
  <c r="AG84" i="18"/>
  <c r="AF84" i="18"/>
  <c r="AE84" i="18"/>
  <c r="AD84" i="18"/>
  <c r="AC84" i="18"/>
  <c r="AB84" i="18"/>
  <c r="AA84" i="18"/>
  <c r="Y84" i="18"/>
  <c r="X84" i="18"/>
  <c r="W84" i="18"/>
  <c r="V84" i="18"/>
  <c r="U84" i="18"/>
  <c r="T84" i="18"/>
  <c r="S84" i="18"/>
  <c r="Q84" i="18"/>
  <c r="P84" i="18"/>
  <c r="O84" i="18"/>
  <c r="N84" i="18"/>
  <c r="M84" i="18"/>
  <c r="M80" i="18" s="1"/>
  <c r="L84" i="18"/>
  <c r="K84" i="18"/>
  <c r="I84" i="18"/>
  <c r="H84" i="18"/>
  <c r="G84" i="18"/>
  <c r="F84" i="18"/>
  <c r="E84" i="18"/>
  <c r="D84" i="18"/>
  <c r="C84" i="18"/>
  <c r="BH82" i="18"/>
  <c r="BG82" i="18"/>
  <c r="BF82" i="18"/>
  <c r="BE82" i="18"/>
  <c r="BD82" i="18"/>
  <c r="BC82" i="18"/>
  <c r="BA82" i="18"/>
  <c r="AZ82" i="18"/>
  <c r="AY82" i="18"/>
  <c r="AX82" i="18"/>
  <c r="AW82" i="18"/>
  <c r="AV82" i="18"/>
  <c r="AU82" i="18"/>
  <c r="AS82" i="18"/>
  <c r="AR82" i="18"/>
  <c r="AQ82" i="18"/>
  <c r="AP82" i="18"/>
  <c r="AO82" i="18"/>
  <c r="AN82" i="18"/>
  <c r="AM82" i="18"/>
  <c r="AK82" i="18"/>
  <c r="AJ82" i="18"/>
  <c r="AI82" i="18"/>
  <c r="AH82" i="18"/>
  <c r="AG82" i="18"/>
  <c r="AF82" i="18"/>
  <c r="AE82" i="18"/>
  <c r="AC82" i="18"/>
  <c r="AB82" i="18"/>
  <c r="AA82" i="18"/>
  <c r="Z82" i="18"/>
  <c r="Y82" i="18"/>
  <c r="X82" i="18"/>
  <c r="W82" i="18"/>
  <c r="U82" i="18"/>
  <c r="T82" i="18"/>
  <c r="S82" i="18"/>
  <c r="R82" i="18"/>
  <c r="Q82" i="18"/>
  <c r="P82" i="18"/>
  <c r="O82" i="18"/>
  <c r="M82" i="18"/>
  <c r="L82" i="18"/>
  <c r="K82" i="18"/>
  <c r="J82" i="18"/>
  <c r="I82" i="18"/>
  <c r="H82" i="18"/>
  <c r="G82" i="18"/>
  <c r="E82" i="18"/>
  <c r="D82" i="18"/>
  <c r="C82" i="18"/>
  <c r="BH81" i="18"/>
  <c r="BG81" i="18"/>
  <c r="BF81" i="18"/>
  <c r="BE81" i="18"/>
  <c r="BD81" i="18"/>
  <c r="BC81" i="18"/>
  <c r="BB81" i="18"/>
  <c r="BA81" i="18"/>
  <c r="AZ81" i="18"/>
  <c r="AY81" i="18"/>
  <c r="AX81" i="18"/>
  <c r="AW81" i="18"/>
  <c r="AV81" i="18"/>
  <c r="AU81" i="18"/>
  <c r="AT81" i="18"/>
  <c r="AS81" i="18"/>
  <c r="AR81" i="18"/>
  <c r="AQ81" i="18"/>
  <c r="AP81" i="18"/>
  <c r="AO81" i="18"/>
  <c r="AN81" i="18"/>
  <c r="AM81" i="18"/>
  <c r="AL81" i="18"/>
  <c r="AK81" i="18"/>
  <c r="AJ81" i="18"/>
  <c r="AI81" i="18"/>
  <c r="AH81" i="18"/>
  <c r="AG81" i="18"/>
  <c r="AF81" i="18"/>
  <c r="AE81" i="18"/>
  <c r="AD81" i="18"/>
  <c r="AC81" i="18"/>
  <c r="AB81" i="18"/>
  <c r="AA81" i="18"/>
  <c r="Z81" i="18"/>
  <c r="Y81" i="18"/>
  <c r="X81" i="18"/>
  <c r="W81" i="18"/>
  <c r="V81" i="18"/>
  <c r="U81" i="18"/>
  <c r="T81" i="18"/>
  <c r="S81" i="18"/>
  <c r="R81" i="18"/>
  <c r="Q81" i="18"/>
  <c r="P81" i="18"/>
  <c r="O81" i="18"/>
  <c r="N81" i="18"/>
  <c r="M81" i="18"/>
  <c r="L81" i="18"/>
  <c r="K81" i="18"/>
  <c r="J81" i="18"/>
  <c r="I81" i="18"/>
  <c r="I80" i="18" s="1"/>
  <c r="H81" i="18"/>
  <c r="H80" i="18" s="1"/>
  <c r="G81" i="18"/>
  <c r="F81" i="18"/>
  <c r="E81" i="18"/>
  <c r="D81" i="18"/>
  <c r="C81" i="18"/>
  <c r="E80" i="18"/>
  <c r="BH77" i="18"/>
  <c r="BG77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M76" i="18"/>
  <c r="L76" i="18"/>
  <c r="K76" i="18"/>
  <c r="J76" i="18"/>
  <c r="I76" i="18"/>
  <c r="H76" i="18"/>
  <c r="G76" i="18"/>
  <c r="F76" i="18"/>
  <c r="E76" i="18"/>
  <c r="D76" i="18"/>
  <c r="C76" i="18"/>
  <c r="BH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M72" i="18"/>
  <c r="L72" i="18"/>
  <c r="K72" i="18"/>
  <c r="J72" i="18"/>
  <c r="I72" i="18"/>
  <c r="H72" i="18"/>
  <c r="G72" i="18"/>
  <c r="F72" i="18"/>
  <c r="E72" i="18"/>
  <c r="D72" i="18"/>
  <c r="C72" i="18"/>
  <c r="M71" i="18"/>
  <c r="L71" i="18"/>
  <c r="K71" i="18"/>
  <c r="J71" i="18"/>
  <c r="I71" i="18"/>
  <c r="H71" i="18"/>
  <c r="G71" i="18"/>
  <c r="F71" i="18"/>
  <c r="E71" i="18"/>
  <c r="D71" i="18"/>
  <c r="C71" i="18"/>
  <c r="AV68" i="18"/>
  <c r="AU68" i="18"/>
  <c r="AT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H67" i="18"/>
  <c r="BG67" i="18"/>
  <c r="BF67" i="18"/>
  <c r="BE67" i="18"/>
  <c r="BD67" i="18"/>
  <c r="BC67" i="18"/>
  <c r="BB67" i="18"/>
  <c r="BA67" i="18"/>
  <c r="AZ67" i="18"/>
  <c r="AY67" i="18"/>
  <c r="AX67" i="18"/>
  <c r="AW67" i="18"/>
  <c r="AV67" i="18"/>
  <c r="AU67" i="18"/>
  <c r="AT67" i="18"/>
  <c r="AS67" i="18"/>
  <c r="AR67" i="18"/>
  <c r="AQ67" i="18"/>
  <c r="AP67" i="18"/>
  <c r="AO67" i="18"/>
  <c r="AN67" i="18"/>
  <c r="AM67" i="18"/>
  <c r="AL67" i="18"/>
  <c r="AK67" i="18"/>
  <c r="AJ67" i="18"/>
  <c r="AI67" i="18"/>
  <c r="AH67" i="18"/>
  <c r="AG67" i="18"/>
  <c r="AF67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H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T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F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H65" i="18"/>
  <c r="BG65" i="18"/>
  <c r="BF65" i="18"/>
  <c r="BE65" i="18"/>
  <c r="BD65" i="18"/>
  <c r="BC65" i="18"/>
  <c r="BB65" i="18"/>
  <c r="BA65" i="18"/>
  <c r="AZ65" i="18"/>
  <c r="AY65" i="18"/>
  <c r="AX65" i="18"/>
  <c r="AW65" i="18"/>
  <c r="AV65" i="18"/>
  <c r="AU65" i="18"/>
  <c r="AT65" i="18"/>
  <c r="AS65" i="18"/>
  <c r="AR65" i="18"/>
  <c r="AQ65" i="18"/>
  <c r="AP65" i="18"/>
  <c r="AO65" i="18"/>
  <c r="AN65" i="18"/>
  <c r="AM65" i="18"/>
  <c r="AL65" i="18"/>
  <c r="AK65" i="18"/>
  <c r="AJ65" i="18"/>
  <c r="AI65" i="18"/>
  <c r="AH65" i="18"/>
  <c r="AG65" i="18"/>
  <c r="AF65" i="18"/>
  <c r="AE65" i="18"/>
  <c r="AD65" i="18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BH64" i="18"/>
  <c r="BG64" i="18"/>
  <c r="BF64" i="18"/>
  <c r="BE64" i="18"/>
  <c r="BD64" i="18"/>
  <c r="BC64" i="18"/>
  <c r="BB64" i="18"/>
  <c r="BA64" i="18"/>
  <c r="AZ64" i="18"/>
  <c r="AY64" i="18"/>
  <c r="AX64" i="18"/>
  <c r="AW64" i="18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H63" i="18"/>
  <c r="BG63" i="18"/>
  <c r="BF63" i="18"/>
  <c r="BE63" i="18"/>
  <c r="BD63" i="18"/>
  <c r="BC63" i="18"/>
  <c r="BB63" i="18"/>
  <c r="BA63" i="18"/>
  <c r="AZ63" i="18"/>
  <c r="AY63" i="18"/>
  <c r="AX63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H62" i="18"/>
  <c r="BG62" i="18"/>
  <c r="BF62" i="18"/>
  <c r="BE62" i="18"/>
  <c r="BD62" i="18"/>
  <c r="BC62" i="18"/>
  <c r="BB62" i="18"/>
  <c r="BA62" i="18"/>
  <c r="AZ62" i="18"/>
  <c r="AY62" i="18"/>
  <c r="AX62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M60" i="18"/>
  <c r="M60" i="15" s="1"/>
  <c r="L60" i="18"/>
  <c r="L60" i="15" s="1"/>
  <c r="K60" i="18"/>
  <c r="K60" i="15" s="1"/>
  <c r="J60" i="18"/>
  <c r="J60" i="15" s="1"/>
  <c r="I60" i="18"/>
  <c r="I60" i="15" s="1"/>
  <c r="H60" i="18"/>
  <c r="H60" i="15" s="1"/>
  <c r="G60" i="18"/>
  <c r="G60" i="15" s="1"/>
  <c r="F60" i="18"/>
  <c r="F60" i="15" s="1"/>
  <c r="E60" i="18"/>
  <c r="E60" i="15" s="1"/>
  <c r="D60" i="18"/>
  <c r="D60" i="15" s="1"/>
  <c r="C60" i="18"/>
  <c r="C60" i="15" s="1"/>
  <c r="AW59" i="18"/>
  <c r="AV59" i="18"/>
  <c r="AU59" i="18"/>
  <c r="AT59" i="18"/>
  <c r="AS59" i="18"/>
  <c r="AR59" i="18"/>
  <c r="AQ59" i="18"/>
  <c r="AP59" i="18"/>
  <c r="AO59" i="18"/>
  <c r="AN59" i="18"/>
  <c r="AM59" i="18"/>
  <c r="AL59" i="18"/>
  <c r="AK59" i="18"/>
  <c r="AJ59" i="18"/>
  <c r="AI59" i="18"/>
  <c r="AH59" i="18"/>
  <c r="AG59" i="18"/>
  <c r="AF59" i="18"/>
  <c r="AE59" i="18"/>
  <c r="AD59" i="18"/>
  <c r="AC59" i="18"/>
  <c r="AB59" i="18"/>
  <c r="AA59" i="18"/>
  <c r="Z59" i="18"/>
  <c r="Y59" i="18"/>
  <c r="X59" i="18"/>
  <c r="W59" i="18"/>
  <c r="V59" i="18"/>
  <c r="U59" i="18"/>
  <c r="T59" i="18"/>
  <c r="S59" i="18"/>
  <c r="R59" i="18"/>
  <c r="Q59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BA58" i="18"/>
  <c r="AZ58" i="18"/>
  <c r="AY58" i="18"/>
  <c r="AX58" i="18"/>
  <c r="AW58" i="18"/>
  <c r="AV58" i="18"/>
  <c r="AU58" i="18"/>
  <c r="AS58" i="18"/>
  <c r="AR58" i="18"/>
  <c r="AQ58" i="18"/>
  <c r="AP58" i="18"/>
  <c r="AO58" i="18"/>
  <c r="AN58" i="18"/>
  <c r="AM58" i="18"/>
  <c r="AK58" i="18"/>
  <c r="AJ58" i="18"/>
  <c r="AI58" i="18"/>
  <c r="AH58" i="18"/>
  <c r="AG58" i="18"/>
  <c r="AF58" i="18"/>
  <c r="AE58" i="18"/>
  <c r="AC58" i="18"/>
  <c r="AB58" i="18"/>
  <c r="AA58" i="18"/>
  <c r="Z58" i="18"/>
  <c r="Y58" i="18"/>
  <c r="X58" i="18"/>
  <c r="W58" i="18"/>
  <c r="U58" i="18"/>
  <c r="T58" i="18"/>
  <c r="S58" i="18"/>
  <c r="R58" i="18"/>
  <c r="Q58" i="18"/>
  <c r="P58" i="18"/>
  <c r="O58" i="18"/>
  <c r="M58" i="18"/>
  <c r="L58" i="18"/>
  <c r="K58" i="18"/>
  <c r="J58" i="18"/>
  <c r="I58" i="18"/>
  <c r="H58" i="18"/>
  <c r="G58" i="18"/>
  <c r="E58" i="18"/>
  <c r="D58" i="18"/>
  <c r="C58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J54" i="18" s="1"/>
  <c r="I56" i="18"/>
  <c r="H56" i="18"/>
  <c r="G56" i="18"/>
  <c r="F56" i="18"/>
  <c r="E56" i="18"/>
  <c r="D56" i="18"/>
  <c r="C56" i="18"/>
  <c r="BH55" i="18"/>
  <c r="BG55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M54" i="18" s="1"/>
  <c r="L55" i="18"/>
  <c r="L54" i="18" s="1"/>
  <c r="K55" i="18"/>
  <c r="J55" i="18"/>
  <c r="I55" i="18"/>
  <c r="H55" i="18"/>
  <c r="G55" i="18"/>
  <c r="G54" i="18" s="1"/>
  <c r="F55" i="18"/>
  <c r="E55" i="18"/>
  <c r="E54" i="18" s="1"/>
  <c r="D55" i="18"/>
  <c r="C55" i="18"/>
  <c r="I54" i="18"/>
  <c r="F54" i="18"/>
  <c r="BH50" i="18"/>
  <c r="BG50" i="18"/>
  <c r="BF50" i="18"/>
  <c r="BE50" i="18"/>
  <c r="BD50" i="18"/>
  <c r="BD28" i="18" s="1"/>
  <c r="BC50" i="18"/>
  <c r="BB50" i="18"/>
  <c r="BA50" i="18"/>
  <c r="AZ50" i="18"/>
  <c r="AY50" i="18"/>
  <c r="AX50" i="18"/>
  <c r="AW50" i="18"/>
  <c r="AW28" i="18" s="1"/>
  <c r="AV50" i="18"/>
  <c r="AV28" i="18" s="1"/>
  <c r="AU50" i="18"/>
  <c r="AT50" i="18"/>
  <c r="AS50" i="18"/>
  <c r="AR50" i="18"/>
  <c r="AQ50" i="18"/>
  <c r="AP50" i="18"/>
  <c r="AO50" i="18"/>
  <c r="AN50" i="18"/>
  <c r="AN28" i="18" s="1"/>
  <c r="AM50" i="18"/>
  <c r="AL50" i="18"/>
  <c r="AK50" i="18"/>
  <c r="AJ50" i="18"/>
  <c r="AI50" i="18"/>
  <c r="AH50" i="18"/>
  <c r="AG50" i="18"/>
  <c r="AG28" i="18" s="1"/>
  <c r="AF50" i="18"/>
  <c r="AF28" i="18" s="1"/>
  <c r="AE50" i="18"/>
  <c r="AD50" i="18"/>
  <c r="AC50" i="18"/>
  <c r="AB50" i="18"/>
  <c r="AA50" i="18"/>
  <c r="Z50" i="18"/>
  <c r="Y50" i="18"/>
  <c r="X50" i="18"/>
  <c r="X28" i="18" s="1"/>
  <c r="W50" i="18"/>
  <c r="V50" i="18"/>
  <c r="U50" i="18"/>
  <c r="T50" i="18"/>
  <c r="S50" i="18"/>
  <c r="R50" i="18"/>
  <c r="Q50" i="18"/>
  <c r="Q28" i="18" s="1"/>
  <c r="P50" i="18"/>
  <c r="P28" i="18" s="1"/>
  <c r="O50" i="18"/>
  <c r="N50" i="18"/>
  <c r="M50" i="18"/>
  <c r="L50" i="18"/>
  <c r="K50" i="18"/>
  <c r="J50" i="18"/>
  <c r="I50" i="18"/>
  <c r="H50" i="18"/>
  <c r="H28" i="18" s="1"/>
  <c r="G50" i="18"/>
  <c r="F50" i="18"/>
  <c r="E50" i="18"/>
  <c r="D50" i="18"/>
  <c r="C50" i="18"/>
  <c r="BH42" i="18"/>
  <c r="BG42" i="18"/>
  <c r="BF42" i="18"/>
  <c r="BF28" i="18" s="1"/>
  <c r="BE42" i="18"/>
  <c r="BD42" i="18"/>
  <c r="BC42" i="18"/>
  <c r="BB42" i="18"/>
  <c r="BA42" i="18"/>
  <c r="AZ42" i="18"/>
  <c r="AY42" i="18"/>
  <c r="AX42" i="18"/>
  <c r="AX28" i="18" s="1"/>
  <c r="AW42" i="18"/>
  <c r="AV42" i="18"/>
  <c r="AU42" i="18"/>
  <c r="AT42" i="18"/>
  <c r="AS42" i="18"/>
  <c r="AR42" i="18"/>
  <c r="AQ42" i="18"/>
  <c r="AP42" i="18"/>
  <c r="AP28" i="18" s="1"/>
  <c r="AO42" i="18"/>
  <c r="AN42" i="18"/>
  <c r="AM42" i="18"/>
  <c r="AL42" i="18"/>
  <c r="AK42" i="18"/>
  <c r="AJ42" i="18"/>
  <c r="AI42" i="18"/>
  <c r="AH42" i="18"/>
  <c r="AH28" i="18" s="1"/>
  <c r="AG42" i="18"/>
  <c r="AF42" i="18"/>
  <c r="AE42" i="18"/>
  <c r="AD42" i="18"/>
  <c r="AC42" i="18"/>
  <c r="AB42" i="18"/>
  <c r="AA42" i="18"/>
  <c r="Z42" i="18"/>
  <c r="Z28" i="18" s="1"/>
  <c r="Y42" i="18"/>
  <c r="X42" i="18"/>
  <c r="W42" i="18"/>
  <c r="V42" i="18"/>
  <c r="U42" i="18"/>
  <c r="T42" i="18"/>
  <c r="S42" i="18"/>
  <c r="R42" i="18"/>
  <c r="R28" i="18" s="1"/>
  <c r="Q42" i="18"/>
  <c r="P42" i="18"/>
  <c r="O42" i="18"/>
  <c r="N42" i="18"/>
  <c r="M42" i="18"/>
  <c r="L42" i="18"/>
  <c r="K42" i="18"/>
  <c r="J42" i="18"/>
  <c r="J28" i="18" s="1"/>
  <c r="I42" i="18"/>
  <c r="H42" i="18"/>
  <c r="G42" i="18"/>
  <c r="F42" i="18"/>
  <c r="E42" i="18"/>
  <c r="D42" i="18"/>
  <c r="C42" i="18"/>
  <c r="BH41" i="18"/>
  <c r="BH28" i="18" s="1"/>
  <c r="BG41" i="18"/>
  <c r="BF41" i="18"/>
  <c r="BE41" i="18"/>
  <c r="BD41" i="18"/>
  <c r="BC41" i="18"/>
  <c r="BC28" i="18" s="1"/>
  <c r="BB41" i="18"/>
  <c r="BA41" i="18"/>
  <c r="AZ41" i="18"/>
  <c r="AZ28" i="18" s="1"/>
  <c r="AY41" i="18"/>
  <c r="AX41" i="18"/>
  <c r="AW41" i="18"/>
  <c r="AV41" i="18"/>
  <c r="AU41" i="18"/>
  <c r="AU28" i="18" s="1"/>
  <c r="AT41" i="18"/>
  <c r="AS41" i="18"/>
  <c r="AS28" i="18" s="1"/>
  <c r="AR41" i="18"/>
  <c r="AR28" i="18" s="1"/>
  <c r="AQ41" i="18"/>
  <c r="AP41" i="18"/>
  <c r="AO41" i="18"/>
  <c r="AN41" i="18"/>
  <c r="AM41" i="18"/>
  <c r="AM28" i="18" s="1"/>
  <c r="AL41" i="18"/>
  <c r="AK41" i="18"/>
  <c r="AJ41" i="18"/>
  <c r="AJ28" i="18" s="1"/>
  <c r="AI41" i="18"/>
  <c r="AH41" i="18"/>
  <c r="AG41" i="18"/>
  <c r="AF41" i="18"/>
  <c r="AE41" i="18"/>
  <c r="AE28" i="18" s="1"/>
  <c r="AD41" i="18"/>
  <c r="AC41" i="18"/>
  <c r="AC28" i="18" s="1"/>
  <c r="AB41" i="18"/>
  <c r="AB28" i="18" s="1"/>
  <c r="AA41" i="18"/>
  <c r="Z41" i="18"/>
  <c r="Y41" i="18"/>
  <c r="X41" i="18"/>
  <c r="W41" i="18"/>
  <c r="W28" i="18" s="1"/>
  <c r="V41" i="18"/>
  <c r="U41" i="18"/>
  <c r="T41" i="18"/>
  <c r="T28" i="18" s="1"/>
  <c r="S41" i="18"/>
  <c r="R41" i="18"/>
  <c r="Q41" i="18"/>
  <c r="P41" i="18"/>
  <c r="O41" i="18"/>
  <c r="O28" i="18" s="1"/>
  <c r="N41" i="18"/>
  <c r="M41" i="18"/>
  <c r="M28" i="18" s="1"/>
  <c r="L41" i="18"/>
  <c r="L28" i="18" s="1"/>
  <c r="K41" i="18"/>
  <c r="J41" i="18"/>
  <c r="I41" i="18"/>
  <c r="H41" i="18"/>
  <c r="G41" i="18"/>
  <c r="G28" i="18" s="1"/>
  <c r="F41" i="18"/>
  <c r="E41" i="18"/>
  <c r="E28" i="18" s="1"/>
  <c r="D41" i="18"/>
  <c r="D28" i="18" s="1"/>
  <c r="C41" i="18"/>
  <c r="BE28" i="18"/>
  <c r="BB28" i="18"/>
  <c r="BA28" i="18"/>
  <c r="AT28" i="18"/>
  <c r="AO28" i="18"/>
  <c r="AL28" i="18"/>
  <c r="AK28" i="18"/>
  <c r="AD28" i="18"/>
  <c r="Y28" i="18"/>
  <c r="V28" i="18"/>
  <c r="U28" i="18"/>
  <c r="N28" i="18"/>
  <c r="I28" i="18"/>
  <c r="F28" i="18"/>
  <c r="AR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M24" i="18"/>
  <c r="L24" i="18"/>
  <c r="K24" i="18"/>
  <c r="J24" i="18"/>
  <c r="I24" i="18"/>
  <c r="H24" i="18"/>
  <c r="G24" i="18"/>
  <c r="F24" i="18"/>
  <c r="E24" i="18"/>
  <c r="D24" i="18"/>
  <c r="C24" i="18"/>
  <c r="BH22" i="18"/>
  <c r="BG22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M20" i="18"/>
  <c r="L20" i="18"/>
  <c r="K20" i="18"/>
  <c r="J20" i="18"/>
  <c r="I20" i="18"/>
  <c r="H20" i="18"/>
  <c r="G20" i="18"/>
  <c r="F20" i="18"/>
  <c r="E20" i="18"/>
  <c r="D20" i="18"/>
  <c r="C20" i="18"/>
  <c r="M19" i="18"/>
  <c r="L19" i="18"/>
  <c r="K19" i="18"/>
  <c r="J19" i="18"/>
  <c r="I19" i="18"/>
  <c r="H19" i="18"/>
  <c r="G19" i="18"/>
  <c r="F19" i="18"/>
  <c r="E19" i="18"/>
  <c r="D19" i="18"/>
  <c r="C19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H15" i="18"/>
  <c r="BG15" i="18"/>
  <c r="BF15" i="18"/>
  <c r="BE15" i="18"/>
  <c r="BD15" i="18"/>
  <c r="BC15" i="18"/>
  <c r="BB15" i="18"/>
  <c r="BA15" i="18"/>
  <c r="AZ15" i="18"/>
  <c r="AY15" i="18"/>
  <c r="AX15" i="18"/>
  <c r="AW15" i="18"/>
  <c r="AV15" i="18"/>
  <c r="AU15" i="18"/>
  <c r="AT15" i="18"/>
  <c r="AS15" i="18"/>
  <c r="AR15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H14" i="18"/>
  <c r="BG14" i="18"/>
  <c r="BF14" i="18"/>
  <c r="BE14" i="18"/>
  <c r="BD14" i="18"/>
  <c r="BC14" i="18"/>
  <c r="BB14" i="18"/>
  <c r="BA14" i="18"/>
  <c r="AZ14" i="18"/>
  <c r="AY14" i="18"/>
  <c r="AX14" i="18"/>
  <c r="AW14" i="18"/>
  <c r="AV14" i="18"/>
  <c r="AU14" i="18"/>
  <c r="AT14" i="18"/>
  <c r="AS14" i="18"/>
  <c r="AR14" i="18"/>
  <c r="AQ14" i="18"/>
  <c r="AP14" i="18"/>
  <c r="AO14" i="18"/>
  <c r="AN14" i="18"/>
  <c r="AM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F2" i="18" s="1"/>
  <c r="E12" i="18"/>
  <c r="D12" i="18"/>
  <c r="C12" i="18"/>
  <c r="BH10" i="18"/>
  <c r="BG10" i="18"/>
  <c r="BF10" i="18"/>
  <c r="BE10" i="18"/>
  <c r="BD10" i="18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M8" i="18"/>
  <c r="M8" i="15" s="1"/>
  <c r="L8" i="18"/>
  <c r="L8" i="15" s="1"/>
  <c r="K8" i="18"/>
  <c r="K8" i="15" s="1"/>
  <c r="J8" i="18"/>
  <c r="I8" i="18"/>
  <c r="I8" i="15" s="1"/>
  <c r="H8" i="18"/>
  <c r="H8" i="15" s="1"/>
  <c r="G8" i="18"/>
  <c r="G8" i="15" s="1"/>
  <c r="F8" i="18"/>
  <c r="F8" i="15" s="1"/>
  <c r="E8" i="18"/>
  <c r="E8" i="15" s="1"/>
  <c r="D8" i="18"/>
  <c r="D8" i="15" s="1"/>
  <c r="C8" i="18"/>
  <c r="C8" i="15" s="1"/>
  <c r="BH7" i="18"/>
  <c r="BG7" i="18"/>
  <c r="BF7" i="18"/>
  <c r="BE7" i="18"/>
  <c r="BD7" i="18"/>
  <c r="BC7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H6" i="18"/>
  <c r="BG6" i="18"/>
  <c r="BF6" i="18"/>
  <c r="BE6" i="18"/>
  <c r="BD6" i="18"/>
  <c r="BC6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K2" i="18" s="1"/>
  <c r="J6" i="18"/>
  <c r="I6" i="18"/>
  <c r="H6" i="18"/>
  <c r="G6" i="18"/>
  <c r="F6" i="18"/>
  <c r="E6" i="18"/>
  <c r="D6" i="18"/>
  <c r="C6" i="18"/>
  <c r="C2" i="18" s="1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H2" i="18" s="1"/>
  <c r="G4" i="18"/>
  <c r="F4" i="18"/>
  <c r="E4" i="18"/>
  <c r="D4" i="18"/>
  <c r="C4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M2" i="18" s="1"/>
  <c r="L3" i="18"/>
  <c r="L2" i="18" s="1"/>
  <c r="K3" i="18"/>
  <c r="J3" i="18"/>
  <c r="J2" i="18" s="1"/>
  <c r="I3" i="18"/>
  <c r="H3" i="18"/>
  <c r="G3" i="18"/>
  <c r="G2" i="18" s="1"/>
  <c r="F3" i="18"/>
  <c r="E3" i="18"/>
  <c r="E2" i="18" s="1"/>
  <c r="D3" i="18"/>
  <c r="D2" i="18" s="1"/>
  <c r="C3" i="18"/>
  <c r="D54" i="15" l="1"/>
  <c r="L54" i="15"/>
  <c r="J184" i="15"/>
  <c r="G132" i="15"/>
  <c r="O132" i="15"/>
  <c r="W132" i="15"/>
  <c r="AE132" i="15"/>
  <c r="AM132" i="15"/>
  <c r="AU132" i="15"/>
  <c r="BC132" i="15"/>
  <c r="D158" i="15"/>
  <c r="L158" i="15"/>
  <c r="D28" i="15"/>
  <c r="L28" i="15"/>
  <c r="T28" i="15"/>
  <c r="AB28" i="15"/>
  <c r="AJ28" i="15"/>
  <c r="AR28" i="15"/>
  <c r="AZ28" i="15"/>
  <c r="BH28" i="15"/>
  <c r="F54" i="15"/>
  <c r="D184" i="15"/>
  <c r="L184" i="15"/>
  <c r="E28" i="15"/>
  <c r="M28" i="15"/>
  <c r="U28" i="15"/>
  <c r="AC28" i="15"/>
  <c r="AK28" i="15"/>
  <c r="AS28" i="15"/>
  <c r="BA28" i="15"/>
  <c r="C28" i="15"/>
  <c r="K28" i="15"/>
  <c r="S28" i="15"/>
  <c r="AA28" i="15"/>
  <c r="AI28" i="15"/>
  <c r="AQ28" i="15"/>
  <c r="AY28" i="15"/>
  <c r="BG28" i="15"/>
  <c r="I28" i="15"/>
  <c r="Q28" i="15"/>
  <c r="Y28" i="15"/>
  <c r="AG28" i="15"/>
  <c r="AO28" i="15"/>
  <c r="AW28" i="15"/>
  <c r="BE28" i="15"/>
  <c r="G28" i="15"/>
  <c r="O28" i="15"/>
  <c r="W28" i="15"/>
  <c r="AE28" i="15"/>
  <c r="AM28" i="15"/>
  <c r="AU28" i="15"/>
  <c r="BC28" i="15"/>
  <c r="F158" i="15"/>
  <c r="Z28" i="15"/>
  <c r="H54" i="15"/>
  <c r="F184" i="15"/>
  <c r="H80" i="15"/>
  <c r="F106" i="15"/>
  <c r="N106" i="15"/>
  <c r="V106" i="15"/>
  <c r="AD106" i="15"/>
  <c r="AL106" i="15"/>
  <c r="AT106" i="15"/>
  <c r="BB106" i="15"/>
  <c r="D106" i="15"/>
  <c r="L106" i="15"/>
  <c r="T106" i="15"/>
  <c r="AB106" i="15"/>
  <c r="AJ106" i="15"/>
  <c r="AR106" i="15"/>
  <c r="AZ106" i="15"/>
  <c r="BH106" i="15"/>
  <c r="J106" i="15"/>
  <c r="R106" i="15"/>
  <c r="Z106" i="15"/>
  <c r="AH106" i="15"/>
  <c r="AP106" i="15"/>
  <c r="AX106" i="15"/>
  <c r="BF106" i="15"/>
  <c r="J54" i="15"/>
  <c r="H184" i="15"/>
  <c r="E132" i="15"/>
  <c r="M132" i="15"/>
  <c r="U132" i="15"/>
  <c r="AC132" i="15"/>
  <c r="AK132" i="15"/>
  <c r="AS132" i="15"/>
  <c r="BA132" i="15"/>
  <c r="C132" i="15"/>
  <c r="K132" i="15"/>
  <c r="S132" i="15"/>
  <c r="AA132" i="15"/>
  <c r="AI132" i="15"/>
  <c r="AQ132" i="15"/>
  <c r="AY132" i="15"/>
  <c r="BG132" i="15"/>
  <c r="K2" i="15"/>
  <c r="F2" i="15"/>
  <c r="H2" i="15"/>
  <c r="I2" i="18"/>
  <c r="F80" i="18"/>
  <c r="J80" i="18"/>
  <c r="G2" i="15"/>
  <c r="D54" i="18"/>
  <c r="H54" i="18"/>
  <c r="L80" i="18"/>
  <c r="J2" i="15"/>
  <c r="D80" i="18"/>
  <c r="E54" i="15"/>
  <c r="M54" i="15"/>
  <c r="C54" i="15"/>
  <c r="K54" i="15"/>
  <c r="I54" i="15"/>
  <c r="H164" i="15"/>
  <c r="H158" i="15" s="1"/>
  <c r="C80" i="18"/>
  <c r="K80" i="18"/>
  <c r="M158" i="18"/>
  <c r="M237" i="18" s="1"/>
  <c r="M164" i="15"/>
  <c r="M158" i="15" s="1"/>
  <c r="K158" i="18"/>
  <c r="J80" i="15"/>
  <c r="G54" i="15"/>
  <c r="I80" i="15"/>
  <c r="E158" i="15"/>
  <c r="C158" i="15"/>
  <c r="K158" i="15"/>
  <c r="I158" i="15"/>
  <c r="G158" i="15"/>
  <c r="D80" i="15"/>
  <c r="L80" i="15"/>
  <c r="E80" i="15"/>
  <c r="M80" i="15"/>
  <c r="C80" i="15"/>
  <c r="K80" i="15"/>
  <c r="G80" i="15"/>
  <c r="E184" i="15"/>
  <c r="M184" i="15"/>
  <c r="C184" i="15"/>
  <c r="K184" i="15"/>
  <c r="I184" i="15"/>
  <c r="G184" i="15"/>
  <c r="I2" i="15"/>
  <c r="M2" i="15"/>
  <c r="E2" i="15"/>
  <c r="L2" i="15"/>
  <c r="D2" i="15"/>
  <c r="D239" i="18"/>
  <c r="L184" i="18"/>
  <c r="C28" i="18"/>
  <c r="K28" i="18"/>
  <c r="S28" i="18"/>
  <c r="AA28" i="18"/>
  <c r="AI28" i="18"/>
  <c r="AQ28" i="18"/>
  <c r="AY28" i="18"/>
  <c r="BG28" i="18"/>
  <c r="F158" i="18"/>
  <c r="J245" i="18"/>
  <c r="R245" i="18"/>
  <c r="Z245" i="18"/>
  <c r="AP245" i="18"/>
  <c r="C54" i="18"/>
  <c r="K54" i="18"/>
  <c r="J184" i="18"/>
  <c r="P186" i="18"/>
  <c r="P245" i="18"/>
  <c r="X186" i="18"/>
  <c r="X245" i="18"/>
  <c r="AF186" i="18"/>
  <c r="AF245" i="18"/>
  <c r="AN186" i="18"/>
  <c r="AN245" i="18"/>
  <c r="AV186" i="18"/>
  <c r="AV245" i="18"/>
  <c r="BD186" i="18"/>
  <c r="D158" i="18"/>
  <c r="L158" i="18"/>
  <c r="D252" i="18"/>
  <c r="G80" i="18"/>
  <c r="D273" i="18"/>
  <c r="D192" i="18"/>
  <c r="D184" i="18" s="1"/>
  <c r="D237" i="18" s="1"/>
  <c r="L273" i="18"/>
  <c r="L192" i="18"/>
  <c r="T273" i="18"/>
  <c r="T192" i="18"/>
  <c r="AB273" i="18"/>
  <c r="AB192" i="18"/>
  <c r="J158" i="18"/>
  <c r="H184" i="18"/>
  <c r="H237" i="18" s="1"/>
  <c r="H245" i="18"/>
  <c r="L252" i="18"/>
  <c r="L188" i="18"/>
  <c r="AB252" i="18"/>
  <c r="AB188" i="18"/>
  <c r="AJ252" i="18"/>
  <c r="AJ188" i="18"/>
  <c r="AR252" i="18"/>
  <c r="AR188" i="18"/>
  <c r="AZ252" i="18"/>
  <c r="AZ188" i="18"/>
  <c r="BH188" i="18"/>
  <c r="N252" i="18"/>
  <c r="N58" i="18"/>
  <c r="T252" i="18"/>
  <c r="AE132" i="18"/>
  <c r="U132" i="18"/>
  <c r="I158" i="18"/>
  <c r="Z240" i="18"/>
  <c r="V252" i="18"/>
  <c r="F258" i="18"/>
  <c r="F137" i="18"/>
  <c r="F132" i="18" s="1"/>
  <c r="N258" i="18"/>
  <c r="N137" i="18"/>
  <c r="N132" i="18" s="1"/>
  <c r="V258" i="18"/>
  <c r="V137" i="18"/>
  <c r="V132" i="18" s="1"/>
  <c r="AD258" i="18"/>
  <c r="AD137" i="18"/>
  <c r="AD132" i="18" s="1"/>
  <c r="AL258" i="18"/>
  <c r="AL137" i="18"/>
  <c r="AL132" i="18" s="1"/>
  <c r="AT258" i="18"/>
  <c r="AT137" i="18"/>
  <c r="AT132" i="18" s="1"/>
  <c r="BB137" i="18"/>
  <c r="BB132" i="18" s="1"/>
  <c r="I281" i="18"/>
  <c r="I168" i="18"/>
  <c r="Q281" i="18"/>
  <c r="Q168" i="18"/>
  <c r="Y281" i="18"/>
  <c r="Y168" i="18"/>
  <c r="AG281" i="18"/>
  <c r="AG168" i="18"/>
  <c r="AO281" i="18"/>
  <c r="AO168" i="18"/>
  <c r="AW281" i="18"/>
  <c r="AW168" i="18"/>
  <c r="BE168" i="18"/>
  <c r="AK308" i="18"/>
  <c r="AK172" i="18"/>
  <c r="AS308" i="18"/>
  <c r="AS172" i="18"/>
  <c r="BA172" i="18"/>
  <c r="E132" i="18"/>
  <c r="E237" i="18" s="1"/>
  <c r="X132" i="18"/>
  <c r="J240" i="18"/>
  <c r="F252" i="18"/>
  <c r="BD383" i="18"/>
  <c r="BC249" i="18"/>
  <c r="BC256" i="18"/>
  <c r="BC58" i="18" s="1"/>
  <c r="P132" i="18"/>
  <c r="AH240" i="18"/>
  <c r="H240" i="18"/>
  <c r="P240" i="18"/>
  <c r="X240" i="18"/>
  <c r="AF240" i="18"/>
  <c r="AN240" i="18"/>
  <c r="AV240" i="18"/>
  <c r="BD240" i="18"/>
  <c r="D245" i="18"/>
  <c r="L245" i="18"/>
  <c r="T245" i="18"/>
  <c r="AB245" i="18"/>
  <c r="AJ245" i="18"/>
  <c r="AR245" i="18"/>
  <c r="AZ245" i="18"/>
  <c r="AD252" i="18"/>
  <c r="H252" i="18"/>
  <c r="P252" i="18"/>
  <c r="X252" i="18"/>
  <c r="AF252" i="18"/>
  <c r="AN252" i="18"/>
  <c r="AV252" i="18"/>
  <c r="AM258" i="18"/>
  <c r="AM189" i="18"/>
  <c r="AU258" i="18"/>
  <c r="AU189" i="18"/>
  <c r="AL288" i="18"/>
  <c r="AT288" i="18"/>
  <c r="P288" i="18"/>
  <c r="H132" i="18"/>
  <c r="BA132" i="18"/>
  <c r="F184" i="18"/>
  <c r="BF240" i="18"/>
  <c r="BB252" i="18"/>
  <c r="BC132" i="18"/>
  <c r="F245" i="18"/>
  <c r="F239" i="18" s="1"/>
  <c r="N245" i="18"/>
  <c r="V245" i="18"/>
  <c r="AD245" i="18"/>
  <c r="AL245" i="18"/>
  <c r="AT245" i="18"/>
  <c r="BB245" i="18"/>
  <c r="J252" i="18"/>
  <c r="R252" i="18"/>
  <c r="Z252" i="18"/>
  <c r="AH252" i="18"/>
  <c r="AP252" i="18"/>
  <c r="AX252" i="18"/>
  <c r="AA258" i="18"/>
  <c r="I258" i="18"/>
  <c r="I239" i="18" s="1"/>
  <c r="AK132" i="18"/>
  <c r="AU132" i="18"/>
  <c r="G158" i="18"/>
  <c r="AP240" i="18"/>
  <c r="AL252" i="18"/>
  <c r="AJ258" i="18"/>
  <c r="G281" i="18"/>
  <c r="G239" i="18" s="1"/>
  <c r="G168" i="18"/>
  <c r="O281" i="18"/>
  <c r="O168" i="18"/>
  <c r="W281" i="18"/>
  <c r="W168" i="18"/>
  <c r="AE281" i="18"/>
  <c r="AE168" i="18"/>
  <c r="AM281" i="18"/>
  <c r="AM168" i="18"/>
  <c r="AU281" i="18"/>
  <c r="AU168" i="18"/>
  <c r="I288" i="18"/>
  <c r="I195" i="18"/>
  <c r="I184" i="18" s="1"/>
  <c r="Q288" i="18"/>
  <c r="Q195" i="18"/>
  <c r="Y288" i="18"/>
  <c r="Y195" i="18"/>
  <c r="AG288" i="18"/>
  <c r="AG195" i="18"/>
  <c r="AO288" i="18"/>
  <c r="AO195" i="18"/>
  <c r="AW288" i="18"/>
  <c r="AW195" i="18"/>
  <c r="BE288" i="18"/>
  <c r="BE195" i="18"/>
  <c r="L265" i="18"/>
  <c r="AC273" i="18"/>
  <c r="AP273" i="18"/>
  <c r="X281" i="18"/>
  <c r="U281" i="18"/>
  <c r="AH281" i="18"/>
  <c r="O273" i="18"/>
  <c r="AU273" i="18"/>
  <c r="BC273" i="18"/>
  <c r="X273" i="18"/>
  <c r="BD273" i="18"/>
  <c r="AK273" i="18"/>
  <c r="R273" i="18"/>
  <c r="E288" i="18"/>
  <c r="U288" i="18"/>
  <c r="E294" i="18"/>
  <c r="M294" i="18"/>
  <c r="U294" i="18"/>
  <c r="AC294" i="18"/>
  <c r="BA294" i="18"/>
  <c r="H265" i="18"/>
  <c r="V288" i="18"/>
  <c r="AD288" i="18"/>
  <c r="BB288" i="18"/>
  <c r="H288" i="18"/>
  <c r="AX409" i="18"/>
  <c r="AW261" i="18"/>
  <c r="AW163" i="18" s="1"/>
  <c r="M281" i="18"/>
  <c r="AC281" i="18"/>
  <c r="AS281" i="18"/>
  <c r="J308" i="18"/>
  <c r="R308" i="18"/>
  <c r="Z308" i="18"/>
  <c r="AH308" i="18"/>
  <c r="AP308" i="18"/>
  <c r="E334" i="18"/>
  <c r="M334" i="18"/>
  <c r="BA469" i="18"/>
  <c r="AZ287" i="18"/>
  <c r="AX518" i="18"/>
  <c r="AW314" i="18"/>
  <c r="AW68" i="18" s="1"/>
  <c r="AJ273" i="18"/>
  <c r="AR273" i="18"/>
  <c r="AZ273" i="18"/>
  <c r="BH273" i="18"/>
  <c r="J288" i="18"/>
  <c r="R288" i="18"/>
  <c r="Z288" i="18"/>
  <c r="AH288" i="18"/>
  <c r="AP288" i="18"/>
  <c r="AX288" i="18"/>
  <c r="BF288" i="18"/>
  <c r="E301" i="18"/>
  <c r="M301" i="18"/>
  <c r="U301" i="18"/>
  <c r="AC301" i="18"/>
  <c r="AK301" i="18"/>
  <c r="AS301" i="18"/>
  <c r="BA301" i="18"/>
  <c r="J301" i="18"/>
  <c r="R301" i="18"/>
  <c r="Z301" i="18"/>
  <c r="AH301" i="18"/>
  <c r="AP301" i="18"/>
  <c r="AX301" i="18"/>
  <c r="BF301" i="18"/>
  <c r="G301" i="18"/>
  <c r="O301" i="18"/>
  <c r="W301" i="18"/>
  <c r="AE301" i="18"/>
  <c r="AM301" i="18"/>
  <c r="AU301" i="18"/>
  <c r="BC301" i="18"/>
  <c r="D301" i="18"/>
  <c r="L301" i="18"/>
  <c r="L239" i="18" s="1"/>
  <c r="T301" i="18"/>
  <c r="AB301" i="18"/>
  <c r="AJ301" i="18"/>
  <c r="AR301" i="18"/>
  <c r="AZ301" i="18"/>
  <c r="BH301" i="18"/>
  <c r="P355" i="18"/>
  <c r="C288" i="18"/>
  <c r="K288" i="18"/>
  <c r="K239" i="18" s="1"/>
  <c r="S288" i="18"/>
  <c r="AA288" i="18"/>
  <c r="AI288" i="18"/>
  <c r="AQ288" i="18"/>
  <c r="AY288" i="18"/>
  <c r="BG288" i="18"/>
  <c r="H334" i="18"/>
  <c r="F281" i="18"/>
  <c r="N281" i="18"/>
  <c r="V281" i="18"/>
  <c r="AD281" i="18"/>
  <c r="AL281" i="18"/>
  <c r="AT281" i="18"/>
  <c r="C322" i="18"/>
  <c r="AY410" i="18"/>
  <c r="AX264" i="18"/>
  <c r="AX59" i="18" s="1"/>
  <c r="I294" i="18"/>
  <c r="Q294" i="18"/>
  <c r="Y294" i="18"/>
  <c r="AG294" i="18"/>
  <c r="AO294" i="18"/>
  <c r="AW294" i="18"/>
  <c r="BE294" i="18"/>
  <c r="F294" i="18"/>
  <c r="N294" i="18"/>
  <c r="V294" i="18"/>
  <c r="AD294" i="18"/>
  <c r="AL294" i="18"/>
  <c r="AT294" i="18"/>
  <c r="BB294" i="18"/>
  <c r="C294" i="18"/>
  <c r="C239" i="18" s="1"/>
  <c r="K294" i="18"/>
  <c r="S294" i="18"/>
  <c r="AA294" i="18"/>
  <c r="AI294" i="18"/>
  <c r="AQ294" i="18"/>
  <c r="AY294" i="18"/>
  <c r="BG294" i="18"/>
  <c r="H294" i="18"/>
  <c r="P294" i="18"/>
  <c r="X294" i="18"/>
  <c r="AF294" i="18"/>
  <c r="AN294" i="18"/>
  <c r="AV294" i="18"/>
  <c r="BD294" i="18"/>
  <c r="I308" i="18"/>
  <c r="Q308" i="18"/>
  <c r="Y308" i="18"/>
  <c r="AG308" i="18"/>
  <c r="AO308" i="18"/>
  <c r="AW308" i="18"/>
  <c r="F308" i="18"/>
  <c r="N308" i="18"/>
  <c r="V308" i="18"/>
  <c r="AD308" i="18"/>
  <c r="AL308" i="18"/>
  <c r="AT308" i="18"/>
  <c r="C308" i="18"/>
  <c r="K308" i="18"/>
  <c r="S308" i="18"/>
  <c r="AA308" i="18"/>
  <c r="AI308" i="18"/>
  <c r="AQ308" i="18"/>
  <c r="P308" i="18"/>
  <c r="AF308" i="18"/>
  <c r="E322" i="18"/>
  <c r="M322" i="18"/>
  <c r="F355" i="18"/>
  <c r="AS357" i="18"/>
  <c r="AS27" i="18" s="1"/>
  <c r="AT391" i="18"/>
  <c r="J328" i="18"/>
  <c r="R328" i="18"/>
  <c r="Z328" i="18"/>
  <c r="AH328" i="18"/>
  <c r="AP328" i="18"/>
  <c r="AX328" i="18"/>
  <c r="BF328" i="18"/>
  <c r="G328" i="18"/>
  <c r="O328" i="18"/>
  <c r="W328" i="18"/>
  <c r="AE328" i="18"/>
  <c r="AM328" i="18"/>
  <c r="AU328" i="18"/>
  <c r="BC328" i="18"/>
  <c r="AQ356" i="18"/>
  <c r="AR390" i="18"/>
  <c r="C328" i="18"/>
  <c r="K328" i="18"/>
  <c r="S328" i="18"/>
  <c r="AA328" i="18"/>
  <c r="AI328" i="18"/>
  <c r="AQ328" i="18"/>
  <c r="AY328" i="18"/>
  <c r="BG328" i="18"/>
  <c r="AL355" i="18"/>
  <c r="D334" i="18"/>
  <c r="L334" i="18"/>
  <c r="I334" i="18"/>
  <c r="E355" i="18"/>
  <c r="E239" i="18" s="1"/>
  <c r="M355" i="18"/>
  <c r="M239" i="18" s="1"/>
  <c r="U355" i="18"/>
  <c r="AC355" i="18"/>
  <c r="AK355" i="18"/>
  <c r="AP357" i="18"/>
  <c r="AP27" i="18" s="1"/>
  <c r="AQ357" i="18"/>
  <c r="AQ27" i="18" s="1"/>
  <c r="N436" i="18"/>
  <c r="N434" i="18"/>
  <c r="N435" i="18"/>
  <c r="N550" i="18"/>
  <c r="N522" i="18"/>
  <c r="G628" i="18"/>
  <c r="O628" i="18"/>
  <c r="W628" i="18"/>
  <c r="AE628" i="18"/>
  <c r="AM628" i="18"/>
  <c r="N553" i="18"/>
  <c r="F628" i="18"/>
  <c r="V628" i="18"/>
  <c r="AL628" i="18"/>
  <c r="I628" i="18"/>
  <c r="Y628" i="18"/>
  <c r="E628" i="18"/>
  <c r="M628" i="18"/>
  <c r="N552" i="18" s="1"/>
  <c r="O552" i="18" s="1"/>
  <c r="P552" i="18" s="1"/>
  <c r="Q552" i="18" s="1"/>
  <c r="R552" i="18" s="1"/>
  <c r="S552" i="18" s="1"/>
  <c r="T552" i="18" s="1"/>
  <c r="U552" i="18" s="1"/>
  <c r="V552" i="18" s="1"/>
  <c r="W552" i="18" s="1"/>
  <c r="X552" i="18" s="1"/>
  <c r="Y552" i="18" s="1"/>
  <c r="Z552" i="18" s="1"/>
  <c r="AA552" i="18" s="1"/>
  <c r="AB552" i="18" s="1"/>
  <c r="AC552" i="18" s="1"/>
  <c r="AD552" i="18" s="1"/>
  <c r="AE552" i="18" s="1"/>
  <c r="AF552" i="18" s="1"/>
  <c r="AG552" i="18" s="1"/>
  <c r="AH552" i="18" s="1"/>
  <c r="AI552" i="18" s="1"/>
  <c r="AJ552" i="18" s="1"/>
  <c r="AK552" i="18" s="1"/>
  <c r="AL552" i="18" s="1"/>
  <c r="AM552" i="18" s="1"/>
  <c r="AN552" i="18" s="1"/>
  <c r="U628" i="18"/>
  <c r="AC628" i="18"/>
  <c r="AK628" i="18"/>
  <c r="H628" i="18"/>
  <c r="P628" i="18"/>
  <c r="X628" i="18"/>
  <c r="AF628" i="18"/>
  <c r="AO589" i="18"/>
  <c r="AN628" i="18"/>
  <c r="C237" i="18" l="1"/>
  <c r="F237" i="18"/>
  <c r="I237" i="18"/>
  <c r="G237" i="18"/>
  <c r="K237" i="18"/>
  <c r="J237" i="18"/>
  <c r="L237" i="18"/>
  <c r="D238" i="18"/>
  <c r="L238" i="18"/>
  <c r="C238" i="18"/>
  <c r="AO552" i="18"/>
  <c r="E238" i="18"/>
  <c r="I238" i="18"/>
  <c r="G238" i="18"/>
  <c r="O434" i="18"/>
  <c r="N346" i="18"/>
  <c r="N102" i="18" s="1"/>
  <c r="N267" i="18"/>
  <c r="N86" i="18" s="1"/>
  <c r="N86" i="15" s="1"/>
  <c r="N80" i="15" s="1"/>
  <c r="AZ410" i="18"/>
  <c r="AY264" i="18"/>
  <c r="AY59" i="18" s="1"/>
  <c r="N438" i="18"/>
  <c r="N525" i="18"/>
  <c r="AY518" i="18"/>
  <c r="AX314" i="18"/>
  <c r="H239" i="18"/>
  <c r="H238" i="18" s="1"/>
  <c r="O435" i="18"/>
  <c r="N347" i="18"/>
  <c r="N180" i="18" s="1"/>
  <c r="N268" i="18"/>
  <c r="N164" i="18" s="1"/>
  <c r="N164" i="15" s="1"/>
  <c r="N158" i="15" s="1"/>
  <c r="AY409" i="18"/>
  <c r="AX261" i="18"/>
  <c r="M238" i="18"/>
  <c r="O553" i="18"/>
  <c r="P553" i="18" s="1"/>
  <c r="Q553" i="18" s="1"/>
  <c r="R553" i="18" s="1"/>
  <c r="S553" i="18" s="1"/>
  <c r="T553" i="18" s="1"/>
  <c r="U553" i="18" s="1"/>
  <c r="V553" i="18" s="1"/>
  <c r="W553" i="18" s="1"/>
  <c r="X553" i="18" s="1"/>
  <c r="Y553" i="18" s="1"/>
  <c r="Z553" i="18" s="1"/>
  <c r="AA553" i="18" s="1"/>
  <c r="AB553" i="18" s="1"/>
  <c r="AC553" i="18" s="1"/>
  <c r="AD553" i="18" s="1"/>
  <c r="AE553" i="18" s="1"/>
  <c r="AF553" i="18" s="1"/>
  <c r="AG553" i="18" s="1"/>
  <c r="AH553" i="18" s="1"/>
  <c r="AI553" i="18" s="1"/>
  <c r="AJ553" i="18" s="1"/>
  <c r="AK553" i="18" s="1"/>
  <c r="AL553" i="18" s="1"/>
  <c r="AM553" i="18" s="1"/>
  <c r="AN553" i="18" s="1"/>
  <c r="O522" i="18"/>
  <c r="N320" i="18"/>
  <c r="N71" i="18" s="1"/>
  <c r="O436" i="18"/>
  <c r="N210" i="18"/>
  <c r="AR356" i="18"/>
  <c r="AS390" i="18"/>
  <c r="AT357" i="18"/>
  <c r="AT27" i="18" s="1"/>
  <c r="AU391" i="18"/>
  <c r="AZ281" i="18"/>
  <c r="AZ12" i="18"/>
  <c r="BC245" i="18"/>
  <c r="BC56" i="18"/>
  <c r="J239" i="18"/>
  <c r="J238" i="18" s="1"/>
  <c r="AP589" i="18"/>
  <c r="AO628" i="18"/>
  <c r="AO342" i="18"/>
  <c r="N523" i="18"/>
  <c r="N521" i="18"/>
  <c r="N526" i="18"/>
  <c r="N433" i="18"/>
  <c r="N437" i="18"/>
  <c r="N551" i="18"/>
  <c r="O551" i="18" s="1"/>
  <c r="P551" i="18" s="1"/>
  <c r="Q551" i="18" s="1"/>
  <c r="R551" i="18" s="1"/>
  <c r="S551" i="18" s="1"/>
  <c r="T551" i="18" s="1"/>
  <c r="U551" i="18" s="1"/>
  <c r="V551" i="18" s="1"/>
  <c r="W551" i="18" s="1"/>
  <c r="X551" i="18" s="1"/>
  <c r="Y551" i="18" s="1"/>
  <c r="Z551" i="18" s="1"/>
  <c r="AA551" i="18" s="1"/>
  <c r="AB551" i="18" s="1"/>
  <c r="AC551" i="18" s="1"/>
  <c r="AD551" i="18" s="1"/>
  <c r="AE551" i="18" s="1"/>
  <c r="AF551" i="18" s="1"/>
  <c r="AG551" i="18" s="1"/>
  <c r="AH551" i="18" s="1"/>
  <c r="AI551" i="18" s="1"/>
  <c r="AJ551" i="18" s="1"/>
  <c r="AK551" i="18" s="1"/>
  <c r="AL551" i="18" s="1"/>
  <c r="AM551" i="18" s="1"/>
  <c r="AN551" i="18" s="1"/>
  <c r="N528" i="18"/>
  <c r="AQ355" i="18"/>
  <c r="AQ105" i="18"/>
  <c r="BB469" i="18"/>
  <c r="BA287" i="18"/>
  <c r="AW258" i="18"/>
  <c r="BE383" i="18"/>
  <c r="BD256" i="18"/>
  <c r="BD249" i="18"/>
  <c r="N527" i="18"/>
  <c r="AP355" i="18"/>
  <c r="BC252" i="18"/>
  <c r="O550" i="18"/>
  <c r="P550" i="18" s="1"/>
  <c r="Q550" i="18" s="1"/>
  <c r="R550" i="18" s="1"/>
  <c r="S550" i="18" s="1"/>
  <c r="T550" i="18" s="1"/>
  <c r="U550" i="18" s="1"/>
  <c r="V550" i="18" s="1"/>
  <c r="W550" i="18" s="1"/>
  <c r="X550" i="18" s="1"/>
  <c r="Y550" i="18" s="1"/>
  <c r="Z550" i="18" s="1"/>
  <c r="AA550" i="18" s="1"/>
  <c r="AB550" i="18" s="1"/>
  <c r="AC550" i="18" s="1"/>
  <c r="AD550" i="18" s="1"/>
  <c r="AE550" i="18" s="1"/>
  <c r="AF550" i="18" s="1"/>
  <c r="AG550" i="18" s="1"/>
  <c r="AH550" i="18" s="1"/>
  <c r="AI550" i="18" s="1"/>
  <c r="AJ550" i="18" s="1"/>
  <c r="AK550" i="18" s="1"/>
  <c r="AL550" i="18" s="1"/>
  <c r="AM550" i="18" s="1"/>
  <c r="AN550" i="18" s="1"/>
  <c r="K238" i="18" l="1"/>
  <c r="F238" i="18"/>
  <c r="O525" i="18"/>
  <c r="N323" i="18"/>
  <c r="P434" i="18"/>
  <c r="O346" i="18"/>
  <c r="O102" i="18" s="1"/>
  <c r="O267" i="18"/>
  <c r="O86" i="18" s="1"/>
  <c r="P522" i="18"/>
  <c r="O320" i="18"/>
  <c r="O71" i="18" s="1"/>
  <c r="P435" i="18"/>
  <c r="O268" i="18"/>
  <c r="O164" i="18" s="1"/>
  <c r="O164" i="15" s="1"/>
  <c r="O158" i="15" s="1"/>
  <c r="O527" i="18"/>
  <c r="N325" i="18"/>
  <c r="N72" i="18" s="1"/>
  <c r="AO551" i="18"/>
  <c r="AQ589" i="18"/>
  <c r="AP628" i="18"/>
  <c r="AP552" i="18" s="1"/>
  <c r="AP342" i="18"/>
  <c r="AV391" i="18"/>
  <c r="AU357" i="18"/>
  <c r="AU27" i="18" s="1"/>
  <c r="AO553" i="18"/>
  <c r="O438" i="18"/>
  <c r="N350" i="18"/>
  <c r="N24" i="18" s="1"/>
  <c r="N271" i="18"/>
  <c r="N8" i="18" s="1"/>
  <c r="BD58" i="18"/>
  <c r="BD252" i="18"/>
  <c r="O523" i="18"/>
  <c r="N321" i="18"/>
  <c r="N19" i="18" s="1"/>
  <c r="P436" i="18"/>
  <c r="O210" i="18"/>
  <c r="BF383" i="18"/>
  <c r="BE256" i="18"/>
  <c r="BE249" i="18"/>
  <c r="O528" i="18"/>
  <c r="N326" i="18"/>
  <c r="N20" i="18" s="1"/>
  <c r="O437" i="18"/>
  <c r="N349" i="18"/>
  <c r="N76" i="18" s="1"/>
  <c r="N270" i="18"/>
  <c r="N60" i="18" s="1"/>
  <c r="O433" i="18"/>
  <c r="N343" i="18"/>
  <c r="N266" i="18"/>
  <c r="AS356" i="18"/>
  <c r="AT390" i="18"/>
  <c r="AO550" i="18"/>
  <c r="BA12" i="18"/>
  <c r="BA281" i="18"/>
  <c r="O526" i="18"/>
  <c r="N324" i="18"/>
  <c r="N176" i="18" s="1"/>
  <c r="AR355" i="18"/>
  <c r="AR105" i="18"/>
  <c r="AX258" i="18"/>
  <c r="AX163" i="18"/>
  <c r="AX68" i="18"/>
  <c r="AX308" i="18"/>
  <c r="BA410" i="18"/>
  <c r="AZ264" i="18"/>
  <c r="AZ59" i="18" s="1"/>
  <c r="BD56" i="18"/>
  <c r="BD245" i="18"/>
  <c r="BC469" i="18"/>
  <c r="BB287" i="18"/>
  <c r="O521" i="18"/>
  <c r="N319" i="18"/>
  <c r="AZ409" i="18"/>
  <c r="AY261" i="18"/>
  <c r="AZ518" i="18"/>
  <c r="AY314" i="18"/>
  <c r="N80" i="18"/>
  <c r="N54" i="18" l="1"/>
  <c r="N60" i="15"/>
  <c r="N54" i="15" s="1"/>
  <c r="N2" i="18"/>
  <c r="N8" i="15"/>
  <c r="N2" i="15" s="1"/>
  <c r="O80" i="18"/>
  <c r="O86" i="15"/>
  <c r="O80" i="15" s="1"/>
  <c r="BE56" i="18"/>
  <c r="BE245" i="18"/>
  <c r="AY68" i="18"/>
  <c r="AY308" i="18"/>
  <c r="BB12" i="18"/>
  <c r="BB281" i="18"/>
  <c r="AP550" i="18"/>
  <c r="AR589" i="18"/>
  <c r="AQ628" i="18"/>
  <c r="AQ552" i="18" s="1"/>
  <c r="AQ342" i="18"/>
  <c r="Q522" i="18"/>
  <c r="P320" i="18"/>
  <c r="P71" i="18" s="1"/>
  <c r="BA518" i="18"/>
  <c r="AZ314" i="18"/>
  <c r="BD469" i="18"/>
  <c r="BC287" i="18"/>
  <c r="BG383" i="18"/>
  <c r="BF256" i="18"/>
  <c r="BF249" i="18"/>
  <c r="AP551" i="18"/>
  <c r="AY163" i="18"/>
  <c r="AY258" i="18"/>
  <c r="P437" i="18"/>
  <c r="O349" i="18"/>
  <c r="O76" i="18" s="1"/>
  <c r="O270" i="18"/>
  <c r="O60" i="18" s="1"/>
  <c r="O60" i="15" s="1"/>
  <c r="O54" i="15" s="1"/>
  <c r="P438" i="18"/>
  <c r="O350" i="18"/>
  <c r="O24" i="18" s="1"/>
  <c r="O271" i="18"/>
  <c r="O8" i="18" s="1"/>
  <c r="O8" i="15" s="1"/>
  <c r="O2" i="15" s="1"/>
  <c r="O319" i="18"/>
  <c r="P521" i="18"/>
  <c r="P433" i="18"/>
  <c r="O343" i="18"/>
  <c r="O266" i="18"/>
  <c r="BE58" i="18"/>
  <c r="BE252" i="18"/>
  <c r="AT356" i="18"/>
  <c r="AU390" i="18"/>
  <c r="AP553" i="18"/>
  <c r="Q434" i="18"/>
  <c r="P346" i="18"/>
  <c r="P102" i="18" s="1"/>
  <c r="P267" i="18"/>
  <c r="P86" i="18" s="1"/>
  <c r="BB410" i="18"/>
  <c r="BA264" i="18"/>
  <c r="BA59" i="18" s="1"/>
  <c r="P526" i="18"/>
  <c r="O324" i="18"/>
  <c r="O176" i="18" s="1"/>
  <c r="N265" i="18"/>
  <c r="N190" i="18"/>
  <c r="P523" i="18"/>
  <c r="O321" i="18"/>
  <c r="O19" i="18" s="1"/>
  <c r="AW391" i="18"/>
  <c r="AV357" i="18"/>
  <c r="AV27" i="18" s="1"/>
  <c r="O347" i="18"/>
  <c r="O180" i="18" s="1"/>
  <c r="N322" i="18"/>
  <c r="N202" i="18"/>
  <c r="BA409" i="18"/>
  <c r="AZ261" i="18"/>
  <c r="Q436" i="18"/>
  <c r="P210" i="18"/>
  <c r="P527" i="18"/>
  <c r="O325" i="18"/>
  <c r="O72" i="18" s="1"/>
  <c r="AS355" i="18"/>
  <c r="AS105" i="18"/>
  <c r="P528" i="18"/>
  <c r="O326" i="18"/>
  <c r="O20" i="18" s="1"/>
  <c r="N318" i="18"/>
  <c r="N175" i="18"/>
  <c r="N158" i="18" s="1"/>
  <c r="N206" i="18"/>
  <c r="N334" i="18"/>
  <c r="Q435" i="18"/>
  <c r="P268" i="18"/>
  <c r="P164" i="18" s="1"/>
  <c r="P164" i="15" s="1"/>
  <c r="P158" i="15" s="1"/>
  <c r="P525" i="18"/>
  <c r="O323" i="18"/>
  <c r="P80" i="18" l="1"/>
  <c r="P86" i="15"/>
  <c r="P80" i="15" s="1"/>
  <c r="N184" i="18"/>
  <c r="N237" i="18" s="1"/>
  <c r="N190" i="15"/>
  <c r="N184" i="15" s="1"/>
  <c r="AR552" i="18"/>
  <c r="O322" i="18"/>
  <c r="O202" i="18"/>
  <c r="Q527" i="18"/>
  <c r="P325" i="18"/>
  <c r="P72" i="18" s="1"/>
  <c r="Q525" i="18"/>
  <c r="P323" i="18"/>
  <c r="AT355" i="18"/>
  <c r="AT105" i="18"/>
  <c r="Q521" i="18"/>
  <c r="P319" i="18"/>
  <c r="Q437" i="18"/>
  <c r="P349" i="18"/>
  <c r="P76" i="18" s="1"/>
  <c r="P270" i="18"/>
  <c r="P60" i="18" s="1"/>
  <c r="P60" i="15" s="1"/>
  <c r="P54" i="15" s="1"/>
  <c r="BC12" i="18"/>
  <c r="BC281" i="18"/>
  <c r="AR628" i="18"/>
  <c r="AS589" i="18"/>
  <c r="AR342" i="18"/>
  <c r="R436" i="18"/>
  <c r="Q210" i="18"/>
  <c r="AX391" i="18"/>
  <c r="AW357" i="18"/>
  <c r="AW27" i="18" s="1"/>
  <c r="BC410" i="18"/>
  <c r="BB264" i="18"/>
  <c r="BB59" i="18" s="1"/>
  <c r="O318" i="18"/>
  <c r="O175" i="18"/>
  <c r="O158" i="18" s="1"/>
  <c r="BE469" i="18"/>
  <c r="BD287" i="18"/>
  <c r="AQ550" i="18"/>
  <c r="AR550" i="18" s="1"/>
  <c r="R435" i="18"/>
  <c r="Q268" i="18"/>
  <c r="Q164" i="18" s="1"/>
  <c r="Q164" i="15" s="1"/>
  <c r="Q158" i="15" s="1"/>
  <c r="Q528" i="18"/>
  <c r="P326" i="18"/>
  <c r="P20" i="18" s="1"/>
  <c r="O2" i="18"/>
  <c r="AZ68" i="18"/>
  <c r="AZ308" i="18"/>
  <c r="AU356" i="18"/>
  <c r="AV390" i="18"/>
  <c r="Q433" i="18"/>
  <c r="P343" i="18"/>
  <c r="P266" i="18"/>
  <c r="P347" i="18"/>
  <c r="P180" i="18" s="1"/>
  <c r="Q523" i="18"/>
  <c r="P321" i="18"/>
  <c r="P19" i="18" s="1"/>
  <c r="N239" i="18"/>
  <c r="R434" i="18"/>
  <c r="Q346" i="18"/>
  <c r="Q102" i="18" s="1"/>
  <c r="Q267" i="18"/>
  <c r="Q86" i="18" s="1"/>
  <c r="O190" i="18"/>
  <c r="O190" i="15" s="1"/>
  <c r="O184" i="15" s="1"/>
  <c r="O265" i="18"/>
  <c r="O239" i="18" s="1"/>
  <c r="BF245" i="18"/>
  <c r="BF56" i="18"/>
  <c r="R522" i="18"/>
  <c r="Q320" i="18"/>
  <c r="Q71" i="18" s="1"/>
  <c r="Q526" i="18"/>
  <c r="P324" i="18"/>
  <c r="P176" i="18" s="1"/>
  <c r="BH383" i="18"/>
  <c r="BG256" i="18"/>
  <c r="BG249" i="18"/>
  <c r="AZ163" i="18"/>
  <c r="AZ258" i="18"/>
  <c r="BB518" i="18"/>
  <c r="BA314" i="18"/>
  <c r="BB409" i="18"/>
  <c r="BA261" i="18"/>
  <c r="Q438" i="18"/>
  <c r="P350" i="18"/>
  <c r="P24" i="18" s="1"/>
  <c r="P271" i="18"/>
  <c r="P8" i="18" s="1"/>
  <c r="P8" i="15" s="1"/>
  <c r="P2" i="15" s="1"/>
  <c r="AQ551" i="18"/>
  <c r="AR551" i="18" s="1"/>
  <c r="AQ553" i="18"/>
  <c r="AR553" i="18" s="1"/>
  <c r="O334" i="18"/>
  <c r="O206" i="18"/>
  <c r="O54" i="18"/>
  <c r="BF58" i="18"/>
  <c r="BF252" i="18"/>
  <c r="Q80" i="18" l="1"/>
  <c r="Q86" i="15"/>
  <c r="Q80" i="15" s="1"/>
  <c r="BA163" i="18"/>
  <c r="BA258" i="18"/>
  <c r="BG252" i="18"/>
  <c r="BG58" i="18"/>
  <c r="S435" i="18"/>
  <c r="R347" i="18"/>
  <c r="R180" i="18" s="1"/>
  <c r="R268" i="18"/>
  <c r="R164" i="18" s="1"/>
  <c r="R164" i="15" s="1"/>
  <c r="R158" i="15" s="1"/>
  <c r="BC409" i="18"/>
  <c r="BB261" i="18"/>
  <c r="BH249" i="18"/>
  <c r="BH256" i="18"/>
  <c r="O184" i="18"/>
  <c r="O237" i="18" s="1"/>
  <c r="R523" i="18"/>
  <c r="Q321" i="18"/>
  <c r="Q19" i="18" s="1"/>
  <c r="AY391" i="18"/>
  <c r="AX357" i="18"/>
  <c r="AX27" i="18" s="1"/>
  <c r="AS552" i="18"/>
  <c r="BD12" i="18"/>
  <c r="BD281" i="18"/>
  <c r="P54" i="18"/>
  <c r="P322" i="18"/>
  <c r="P202" i="18"/>
  <c r="BA68" i="18"/>
  <c r="BA308" i="18"/>
  <c r="R526" i="18"/>
  <c r="Q324" i="18"/>
  <c r="Q176" i="18" s="1"/>
  <c r="BF469" i="18"/>
  <c r="BE287" i="18"/>
  <c r="S436" i="18"/>
  <c r="R210" i="18"/>
  <c r="R525" i="18"/>
  <c r="Q323" i="18"/>
  <c r="BC518" i="18"/>
  <c r="BB314" i="18"/>
  <c r="S434" i="18"/>
  <c r="R346" i="18"/>
  <c r="R102" i="18" s="1"/>
  <c r="R267" i="18"/>
  <c r="R86" i="18" s="1"/>
  <c r="P265" i="18"/>
  <c r="P190" i="18"/>
  <c r="P190" i="15" s="1"/>
  <c r="P184" i="15" s="1"/>
  <c r="R437" i="18"/>
  <c r="Q349" i="18"/>
  <c r="Q76" i="18" s="1"/>
  <c r="Q270" i="18"/>
  <c r="Q60" i="18" s="1"/>
  <c r="P2" i="18"/>
  <c r="S522" i="18"/>
  <c r="R320" i="18"/>
  <c r="R71" i="18" s="1"/>
  <c r="P334" i="18"/>
  <c r="P206" i="18"/>
  <c r="R528" i="18"/>
  <c r="Q326" i="18"/>
  <c r="Q20" i="18" s="1"/>
  <c r="P318" i="18"/>
  <c r="P175" i="18"/>
  <c r="P158" i="18" s="1"/>
  <c r="N238" i="18"/>
  <c r="R433" i="18"/>
  <c r="Q343" i="18"/>
  <c r="Q266" i="18"/>
  <c r="AS628" i="18"/>
  <c r="AS551" i="18" s="1"/>
  <c r="AT589" i="18"/>
  <c r="AS342" i="18"/>
  <c r="R521" i="18"/>
  <c r="Q319" i="18"/>
  <c r="R527" i="18"/>
  <c r="Q325" i="18"/>
  <c r="Q72" i="18" s="1"/>
  <c r="R438" i="18"/>
  <c r="Q350" i="18"/>
  <c r="Q24" i="18" s="1"/>
  <c r="Q271" i="18"/>
  <c r="Q8" i="18" s="1"/>
  <c r="BG56" i="18"/>
  <c r="BG245" i="18"/>
  <c r="AW390" i="18"/>
  <c r="AV356" i="18"/>
  <c r="Q347" i="18"/>
  <c r="Q180" i="18" s="1"/>
  <c r="BD410" i="18"/>
  <c r="BC264" i="18"/>
  <c r="BC59" i="18" s="1"/>
  <c r="AU355" i="18"/>
  <c r="AU105" i="18"/>
  <c r="R80" i="18" l="1"/>
  <c r="R86" i="15"/>
  <c r="R80" i="15" s="1"/>
  <c r="Q54" i="18"/>
  <c r="Q60" i="15"/>
  <c r="Q54" i="15" s="1"/>
  <c r="Q2" i="18"/>
  <c r="Q8" i="15"/>
  <c r="Q2" i="15" s="1"/>
  <c r="O238" i="18"/>
  <c r="AT551" i="18"/>
  <c r="AU589" i="18"/>
  <c r="AT628" i="18"/>
  <c r="AT342" i="18"/>
  <c r="P239" i="18"/>
  <c r="S525" i="18"/>
  <c r="R323" i="18"/>
  <c r="AT552" i="18"/>
  <c r="BH56" i="18"/>
  <c r="BH245" i="18"/>
  <c r="BE410" i="18"/>
  <c r="BD264" i="18"/>
  <c r="BD59" i="18" s="1"/>
  <c r="AS553" i="18"/>
  <c r="AT553" i="18" s="1"/>
  <c r="BB163" i="18"/>
  <c r="BB258" i="18"/>
  <c r="S438" i="18"/>
  <c r="R350" i="18"/>
  <c r="R24" i="18" s="1"/>
  <c r="R271" i="18"/>
  <c r="R8" i="18" s="1"/>
  <c r="R8" i="15" s="1"/>
  <c r="R2" i="15" s="1"/>
  <c r="T522" i="18"/>
  <c r="S320" i="18"/>
  <c r="S71" i="18" s="1"/>
  <c r="T436" i="18"/>
  <c r="S210" i="18"/>
  <c r="AZ391" i="18"/>
  <c r="AY357" i="18"/>
  <c r="AY27" i="18" s="1"/>
  <c r="BD409" i="18"/>
  <c r="BC261" i="18"/>
  <c r="AV355" i="18"/>
  <c r="AV105" i="18"/>
  <c r="S346" i="18"/>
  <c r="S102" i="18" s="1"/>
  <c r="T434" i="18"/>
  <c r="S267" i="18"/>
  <c r="S86" i="18" s="1"/>
  <c r="S86" i="15" s="1"/>
  <c r="S80" i="15" s="1"/>
  <c r="BE12" i="18"/>
  <c r="BE281" i="18"/>
  <c r="AS550" i="18"/>
  <c r="AT550" i="18" s="1"/>
  <c r="AX390" i="18"/>
  <c r="AW356" i="18"/>
  <c r="S527" i="18"/>
  <c r="R325" i="18"/>
  <c r="R72" i="18" s="1"/>
  <c r="Q190" i="18"/>
  <c r="Q190" i="15" s="1"/>
  <c r="Q184" i="15" s="1"/>
  <c r="Q265" i="18"/>
  <c r="BB68" i="18"/>
  <c r="BB308" i="18"/>
  <c r="BG469" i="18"/>
  <c r="BF287" i="18"/>
  <c r="Q318" i="18"/>
  <c r="Q175" i="18"/>
  <c r="Q158" i="18" s="1"/>
  <c r="Q206" i="18"/>
  <c r="Q334" i="18"/>
  <c r="BD518" i="18"/>
  <c r="BC314" i="18"/>
  <c r="S523" i="18"/>
  <c r="R321" i="18"/>
  <c r="R19" i="18" s="1"/>
  <c r="T435" i="18"/>
  <c r="S268" i="18"/>
  <c r="S164" i="18" s="1"/>
  <c r="S164" i="15" s="1"/>
  <c r="S158" i="15" s="1"/>
  <c r="S521" i="18"/>
  <c r="R319" i="18"/>
  <c r="R343" i="18"/>
  <c r="S433" i="18"/>
  <c r="R266" i="18"/>
  <c r="S528" i="18"/>
  <c r="R326" i="18"/>
  <c r="R20" i="18" s="1"/>
  <c r="S437" i="18"/>
  <c r="R349" i="18"/>
  <c r="R76" i="18" s="1"/>
  <c r="R270" i="18"/>
  <c r="R60" i="18" s="1"/>
  <c r="R60" i="15" s="1"/>
  <c r="R54" i="15" s="1"/>
  <c r="S526" i="18"/>
  <c r="R324" i="18"/>
  <c r="R176" i="18" s="1"/>
  <c r="P184" i="18"/>
  <c r="P237" i="18" s="1"/>
  <c r="Q322" i="18"/>
  <c r="Q202" i="18"/>
  <c r="BH58" i="18"/>
  <c r="BH252" i="18"/>
  <c r="AW355" i="18" l="1"/>
  <c r="AW105" i="18"/>
  <c r="U436" i="18"/>
  <c r="T210" i="18"/>
  <c r="R322" i="18"/>
  <c r="R202" i="18"/>
  <c r="T526" i="18"/>
  <c r="S324" i="18"/>
  <c r="S176" i="18" s="1"/>
  <c r="R206" i="18"/>
  <c r="R334" i="18"/>
  <c r="T523" i="18"/>
  <c r="S321" i="18"/>
  <c r="S19" i="18" s="1"/>
  <c r="BH469" i="18"/>
  <c r="BH287" i="18" s="1"/>
  <c r="BG287" i="18"/>
  <c r="AY390" i="18"/>
  <c r="AX356" i="18"/>
  <c r="T525" i="18"/>
  <c r="S323" i="18"/>
  <c r="R54" i="18"/>
  <c r="R318" i="18"/>
  <c r="R175" i="18"/>
  <c r="R158" i="18" s="1"/>
  <c r="BC68" i="18"/>
  <c r="BC308" i="18"/>
  <c r="U522" i="18"/>
  <c r="T320" i="18"/>
  <c r="T71" i="18" s="1"/>
  <c r="T521" i="18"/>
  <c r="S319" i="18"/>
  <c r="BE518" i="18"/>
  <c r="BD314" i="18"/>
  <c r="BC258" i="18"/>
  <c r="BC163" i="18"/>
  <c r="R2" i="18"/>
  <c r="BF12" i="18"/>
  <c r="BF281" i="18"/>
  <c r="P238" i="18"/>
  <c r="T437" i="18"/>
  <c r="S349" i="18"/>
  <c r="S76" i="18" s="1"/>
  <c r="S270" i="18"/>
  <c r="S60" i="18" s="1"/>
  <c r="Q239" i="18"/>
  <c r="BE409" i="18"/>
  <c r="BD261" i="18"/>
  <c r="BF410" i="18"/>
  <c r="BE264" i="18"/>
  <c r="BE59" i="18" s="1"/>
  <c r="Q184" i="18"/>
  <c r="Q237" i="18" s="1"/>
  <c r="T438" i="18"/>
  <c r="S350" i="18"/>
  <c r="S24" i="18" s="1"/>
  <c r="S271" i="18"/>
  <c r="S8" i="18" s="1"/>
  <c r="S8" i="15" s="1"/>
  <c r="S2" i="15" s="1"/>
  <c r="AU628" i="18"/>
  <c r="AU550" i="18" s="1"/>
  <c r="AV589" i="18"/>
  <c r="AU342" i="18"/>
  <c r="T433" i="18"/>
  <c r="S343" i="18"/>
  <c r="S266" i="18"/>
  <c r="T528" i="18"/>
  <c r="S326" i="18"/>
  <c r="S20" i="18" s="1"/>
  <c r="S347" i="18"/>
  <c r="S180" i="18" s="1"/>
  <c r="S80" i="18"/>
  <c r="AZ357" i="18"/>
  <c r="AZ27" i="18" s="1"/>
  <c r="BA391" i="18"/>
  <c r="R190" i="18"/>
  <c r="R190" i="15" s="1"/>
  <c r="R184" i="15" s="1"/>
  <c r="R265" i="18"/>
  <c r="R239" i="18" s="1"/>
  <c r="U435" i="18"/>
  <c r="T347" i="18"/>
  <c r="T180" i="18" s="1"/>
  <c r="T268" i="18"/>
  <c r="T164" i="18" s="1"/>
  <c r="T164" i="15" s="1"/>
  <c r="T158" i="15" s="1"/>
  <c r="T527" i="18"/>
  <c r="S325" i="18"/>
  <c r="S72" i="18" s="1"/>
  <c r="U434" i="18"/>
  <c r="T346" i="18"/>
  <c r="T102" i="18" s="1"/>
  <c r="T267" i="18"/>
  <c r="T86" i="18" s="1"/>
  <c r="T86" i="15" s="1"/>
  <c r="T80" i="15" s="1"/>
  <c r="AU552" i="18"/>
  <c r="S54" i="18" l="1"/>
  <c r="S60" i="15"/>
  <c r="S54" i="15" s="1"/>
  <c r="S206" i="18"/>
  <c r="S334" i="18"/>
  <c r="BG410" i="18"/>
  <c r="BF264" i="18"/>
  <c r="BF59" i="18" s="1"/>
  <c r="AY356" i="18"/>
  <c r="AZ390" i="18"/>
  <c r="V435" i="18"/>
  <c r="U268" i="18"/>
  <c r="U164" i="18" s="1"/>
  <c r="U164" i="15" s="1"/>
  <c r="U158" i="15" s="1"/>
  <c r="BD163" i="18"/>
  <c r="BD258" i="18"/>
  <c r="BF518" i="18"/>
  <c r="BE314" i="18"/>
  <c r="BG12" i="18"/>
  <c r="BG281" i="18"/>
  <c r="U438" i="18"/>
  <c r="T350" i="18"/>
  <c r="T24" i="18" s="1"/>
  <c r="T271" i="18"/>
  <c r="T8" i="18" s="1"/>
  <c r="T8" i="15" s="1"/>
  <c r="T2" i="15" s="1"/>
  <c r="AV552" i="18"/>
  <c r="BD68" i="18"/>
  <c r="BD308" i="18"/>
  <c r="U526" i="18"/>
  <c r="T324" i="18"/>
  <c r="T176" i="18" s="1"/>
  <c r="T80" i="18"/>
  <c r="U528" i="18"/>
  <c r="T326" i="18"/>
  <c r="T20" i="18" s="1"/>
  <c r="S2" i="18"/>
  <c r="BF409" i="18"/>
  <c r="BE261" i="18"/>
  <c r="S318" i="18"/>
  <c r="S175" i="18"/>
  <c r="S158" i="18" s="1"/>
  <c r="BH281" i="18"/>
  <c r="BH12" i="18"/>
  <c r="R184" i="18"/>
  <c r="R237" i="18" s="1"/>
  <c r="S190" i="18"/>
  <c r="S265" i="18"/>
  <c r="U521" i="18"/>
  <c r="T319" i="18"/>
  <c r="S322" i="18"/>
  <c r="S202" i="18"/>
  <c r="BA357" i="18"/>
  <c r="BA27" i="18" s="1"/>
  <c r="BB391" i="18"/>
  <c r="U433" i="18"/>
  <c r="T343" i="18"/>
  <c r="T266" i="18"/>
  <c r="Q238" i="18"/>
  <c r="V522" i="18"/>
  <c r="U320" i="18"/>
  <c r="U71" i="18" s="1"/>
  <c r="U525" i="18"/>
  <c r="T323" i="18"/>
  <c r="V436" i="18"/>
  <c r="U210" i="18"/>
  <c r="V434" i="18"/>
  <c r="U346" i="18"/>
  <c r="U102" i="18" s="1"/>
  <c r="U267" i="18"/>
  <c r="U86" i="18" s="1"/>
  <c r="U523" i="18"/>
  <c r="T321" i="18"/>
  <c r="T19" i="18" s="1"/>
  <c r="U527" i="18"/>
  <c r="T325" i="18"/>
  <c r="T72" i="18" s="1"/>
  <c r="U437" i="18"/>
  <c r="T349" i="18"/>
  <c r="T76" i="18" s="1"/>
  <c r="T270" i="18"/>
  <c r="T60" i="18" s="1"/>
  <c r="AU553" i="18"/>
  <c r="AU551" i="18"/>
  <c r="AV551" i="18" s="1"/>
  <c r="AW589" i="18"/>
  <c r="AV628" i="18"/>
  <c r="AV550" i="18" s="1"/>
  <c r="AV342" i="18"/>
  <c r="AX355" i="18"/>
  <c r="AX105" i="18"/>
  <c r="U80" i="18" l="1"/>
  <c r="U86" i="15"/>
  <c r="U80" i="15" s="1"/>
  <c r="T54" i="18"/>
  <c r="T60" i="15"/>
  <c r="T54" i="15" s="1"/>
  <c r="S184" i="18"/>
  <c r="S237" i="18" s="1"/>
  <c r="S190" i="15"/>
  <c r="S184" i="15" s="1"/>
  <c r="R238" i="18"/>
  <c r="W434" i="18"/>
  <c r="V346" i="18"/>
  <c r="V102" i="18" s="1"/>
  <c r="V267" i="18"/>
  <c r="V86" i="18" s="1"/>
  <c r="T190" i="18"/>
  <c r="T190" i="15" s="1"/>
  <c r="T184" i="15" s="1"/>
  <c r="T265" i="18"/>
  <c r="T318" i="18"/>
  <c r="T175" i="18"/>
  <c r="T158" i="18" s="1"/>
  <c r="V526" i="18"/>
  <c r="U324" i="18"/>
  <c r="U176" i="18" s="1"/>
  <c r="AZ356" i="18"/>
  <c r="BA390" i="18"/>
  <c r="V437" i="18"/>
  <c r="U349" i="18"/>
  <c r="U76" i="18" s="1"/>
  <c r="U270" i="18"/>
  <c r="U60" i="18" s="1"/>
  <c r="W435" i="18"/>
  <c r="V268" i="18"/>
  <c r="V164" i="18" s="1"/>
  <c r="V164" i="15" s="1"/>
  <c r="V158" i="15" s="1"/>
  <c r="AX589" i="18"/>
  <c r="AW628" i="18"/>
  <c r="AW550" i="18" s="1"/>
  <c r="AW342" i="18"/>
  <c r="W436" i="18"/>
  <c r="V210" i="18"/>
  <c r="T206" i="18"/>
  <c r="T334" i="18"/>
  <c r="V521" i="18"/>
  <c r="U319" i="18"/>
  <c r="BE163" i="18"/>
  <c r="BE258" i="18"/>
  <c r="BE68" i="18"/>
  <c r="BE308" i="18"/>
  <c r="AY355" i="18"/>
  <c r="AY105" i="18"/>
  <c r="V527" i="18"/>
  <c r="U325" i="18"/>
  <c r="U72" i="18" s="1"/>
  <c r="T322" i="18"/>
  <c r="T202" i="18"/>
  <c r="V433" i="18"/>
  <c r="U266" i="18"/>
  <c r="U343" i="18"/>
  <c r="S239" i="18"/>
  <c r="S238" i="18" s="1"/>
  <c r="BG409" i="18"/>
  <c r="BF261" i="18"/>
  <c r="BG518" i="18"/>
  <c r="BF314" i="18"/>
  <c r="V525" i="18"/>
  <c r="U323" i="18"/>
  <c r="BC391" i="18"/>
  <c r="BB357" i="18"/>
  <c r="BB27" i="18" s="1"/>
  <c r="AW552" i="18"/>
  <c r="BH410" i="18"/>
  <c r="BH264" i="18" s="1"/>
  <c r="BH59" i="18" s="1"/>
  <c r="BG264" i="18"/>
  <c r="BG59" i="18" s="1"/>
  <c r="AV553" i="18"/>
  <c r="AW553" i="18" s="1"/>
  <c r="V523" i="18"/>
  <c r="U321" i="18"/>
  <c r="U19" i="18" s="1"/>
  <c r="T2" i="18"/>
  <c r="W522" i="18"/>
  <c r="V320" i="18"/>
  <c r="V71" i="18" s="1"/>
  <c r="V528" i="18"/>
  <c r="U326" i="18"/>
  <c r="U20" i="18" s="1"/>
  <c r="V438" i="18"/>
  <c r="U350" i="18"/>
  <c r="U24" i="18" s="1"/>
  <c r="U271" i="18"/>
  <c r="U8" i="18" s="1"/>
  <c r="U8" i="15" s="1"/>
  <c r="U2" i="15" s="1"/>
  <c r="U347" i="18"/>
  <c r="U180" i="18" s="1"/>
  <c r="U54" i="18" l="1"/>
  <c r="U60" i="15"/>
  <c r="U54" i="15" s="1"/>
  <c r="V80" i="18"/>
  <c r="V86" i="15"/>
  <c r="V80" i="15" s="1"/>
  <c r="U2" i="18"/>
  <c r="BF68" i="18"/>
  <c r="BF308" i="18"/>
  <c r="T239" i="18"/>
  <c r="X522" i="18"/>
  <c r="W320" i="18"/>
  <c r="W71" i="18" s="1"/>
  <c r="BH518" i="18"/>
  <c r="BH314" i="18" s="1"/>
  <c r="BG314" i="18"/>
  <c r="W437" i="18"/>
  <c r="V349" i="18"/>
  <c r="V76" i="18" s="1"/>
  <c r="V270" i="18"/>
  <c r="V60" i="18" s="1"/>
  <c r="T184" i="18"/>
  <c r="T237" i="18" s="1"/>
  <c r="X436" i="18"/>
  <c r="W210" i="18"/>
  <c r="V350" i="18"/>
  <c r="V24" i="18" s="1"/>
  <c r="W438" i="18"/>
  <c r="V271" i="18"/>
  <c r="V8" i="18" s="1"/>
  <c r="V8" i="15" s="1"/>
  <c r="V2" i="15" s="1"/>
  <c r="BF258" i="18"/>
  <c r="BF163" i="18"/>
  <c r="U318" i="18"/>
  <c r="U175" i="18"/>
  <c r="U158" i="18" s="1"/>
  <c r="AY589" i="18"/>
  <c r="AX628" i="18"/>
  <c r="AX550" i="18" s="1"/>
  <c r="AX342" i="18"/>
  <c r="BB390" i="18"/>
  <c r="BA356" i="18"/>
  <c r="BD391" i="18"/>
  <c r="BC357" i="18"/>
  <c r="BC27" i="18" s="1"/>
  <c r="BH409" i="18"/>
  <c r="BH261" i="18" s="1"/>
  <c r="BG261" i="18"/>
  <c r="W527" i="18"/>
  <c r="V325" i="18"/>
  <c r="V72" i="18" s="1"/>
  <c r="W521" i="18"/>
  <c r="V319" i="18"/>
  <c r="AZ355" i="18"/>
  <c r="AZ105" i="18"/>
  <c r="W523" i="18"/>
  <c r="V321" i="18"/>
  <c r="V19" i="18" s="1"/>
  <c r="X434" i="18"/>
  <c r="W346" i="18"/>
  <c r="W102" i="18" s="1"/>
  <c r="W267" i="18"/>
  <c r="W86" i="18" s="1"/>
  <c r="W528" i="18"/>
  <c r="V326" i="18"/>
  <c r="V20" i="18" s="1"/>
  <c r="AX553" i="18"/>
  <c r="W525" i="18"/>
  <c r="V323" i="18"/>
  <c r="U206" i="18"/>
  <c r="U334" i="18"/>
  <c r="V347" i="18"/>
  <c r="V180" i="18" s="1"/>
  <c r="W526" i="18"/>
  <c r="V324" i="18"/>
  <c r="V176" i="18" s="1"/>
  <c r="W433" i="18"/>
  <c r="V343" i="18"/>
  <c r="V266" i="18"/>
  <c r="U322" i="18"/>
  <c r="U202" i="18"/>
  <c r="AW551" i="18"/>
  <c r="U265" i="18"/>
  <c r="U190" i="18"/>
  <c r="U190" i="15" s="1"/>
  <c r="U184" i="15" s="1"/>
  <c r="X435" i="18"/>
  <c r="W347" i="18"/>
  <c r="W180" i="18" s="1"/>
  <c r="W268" i="18"/>
  <c r="W164" i="18" s="1"/>
  <c r="W164" i="15" s="1"/>
  <c r="W158" i="15" s="1"/>
  <c r="V54" i="18" l="1"/>
  <c r="V60" i="15"/>
  <c r="V54" i="15" s="1"/>
  <c r="W80" i="18"/>
  <c r="W86" i="15"/>
  <c r="W80" i="15" s="1"/>
  <c r="V318" i="18"/>
  <c r="V175" i="18"/>
  <c r="V158" i="18" s="1"/>
  <c r="BA355" i="18"/>
  <c r="BA105" i="18"/>
  <c r="X521" i="18"/>
  <c r="W319" i="18"/>
  <c r="BC390" i="18"/>
  <c r="BB356" i="18"/>
  <c r="V2" i="18"/>
  <c r="X437" i="18"/>
  <c r="W349" i="18"/>
  <c r="W76" i="18" s="1"/>
  <c r="W270" i="18"/>
  <c r="W60" i="18" s="1"/>
  <c r="Y435" i="18"/>
  <c r="X268" i="18"/>
  <c r="X164" i="18" s="1"/>
  <c r="X164" i="15" s="1"/>
  <c r="X158" i="15" s="1"/>
  <c r="V265" i="18"/>
  <c r="V190" i="18"/>
  <c r="V190" i="15" s="1"/>
  <c r="V184" i="15" s="1"/>
  <c r="Y434" i="18"/>
  <c r="X346" i="18"/>
  <c r="X102" i="18" s="1"/>
  <c r="X267" i="18"/>
  <c r="X86" i="18" s="1"/>
  <c r="X438" i="18"/>
  <c r="W350" i="18"/>
  <c r="W24" i="18" s="1"/>
  <c r="W271" i="18"/>
  <c r="W8" i="18" s="1"/>
  <c r="W8" i="15" s="1"/>
  <c r="W2" i="15" s="1"/>
  <c r="V206" i="18"/>
  <c r="V334" i="18"/>
  <c r="V322" i="18"/>
  <c r="V202" i="18"/>
  <c r="X527" i="18"/>
  <c r="W325" i="18"/>
  <c r="W72" i="18" s="1"/>
  <c r="BG68" i="18"/>
  <c r="BG308" i="18"/>
  <c r="AX552" i="18"/>
  <c r="X528" i="18"/>
  <c r="W326" i="18"/>
  <c r="W20" i="18" s="1"/>
  <c r="U184" i="18"/>
  <c r="U237" i="18" s="1"/>
  <c r="X433" i="18"/>
  <c r="W343" i="18"/>
  <c r="W266" i="18"/>
  <c r="X525" i="18"/>
  <c r="W323" i="18"/>
  <c r="BG163" i="18"/>
  <c r="BG258" i="18"/>
  <c r="AZ589" i="18"/>
  <c r="AY628" i="18"/>
  <c r="AY550" i="18" s="1"/>
  <c r="AY342" i="18"/>
  <c r="BH68" i="18"/>
  <c r="BH308" i="18"/>
  <c r="U239" i="18"/>
  <c r="X523" i="18"/>
  <c r="W321" i="18"/>
  <c r="W19" i="18" s="1"/>
  <c r="BH163" i="18"/>
  <c r="BH258" i="18"/>
  <c r="Y436" i="18"/>
  <c r="X210" i="18"/>
  <c r="BE391" i="18"/>
  <c r="BD357" i="18"/>
  <c r="BD27" i="18" s="1"/>
  <c r="AX551" i="18"/>
  <c r="AY551" i="18" s="1"/>
  <c r="X526" i="18"/>
  <c r="W324" i="18"/>
  <c r="W176" i="18" s="1"/>
  <c r="T238" i="18"/>
  <c r="Y522" i="18"/>
  <c r="X320" i="18"/>
  <c r="X71" i="18" s="1"/>
  <c r="X80" i="18" l="1"/>
  <c r="X86" i="15"/>
  <c r="X80" i="15" s="1"/>
  <c r="W54" i="18"/>
  <c r="W60" i="15"/>
  <c r="W54" i="15" s="1"/>
  <c r="AY553" i="18"/>
  <c r="AZ628" i="18"/>
  <c r="AZ550" i="18" s="1"/>
  <c r="BA589" i="18"/>
  <c r="AZ342" i="18"/>
  <c r="U238" i="18"/>
  <c r="Y521" i="18"/>
  <c r="X319" i="18"/>
  <c r="Y433" i="18"/>
  <c r="X343" i="18"/>
  <c r="X266" i="18"/>
  <c r="BE357" i="18"/>
  <c r="BE27" i="18" s="1"/>
  <c r="BF391" i="18"/>
  <c r="Y523" i="18"/>
  <c r="X321" i="18"/>
  <c r="X19" i="18" s="1"/>
  <c r="Y528" i="18"/>
  <c r="X326" i="18"/>
  <c r="X20" i="18" s="1"/>
  <c r="Z434" i="18"/>
  <c r="Y346" i="18"/>
  <c r="Y102" i="18" s="1"/>
  <c r="Y267" i="18"/>
  <c r="Y86" i="18" s="1"/>
  <c r="Z522" i="18"/>
  <c r="Y320" i="18"/>
  <c r="Y71" i="18" s="1"/>
  <c r="Z436" i="18"/>
  <c r="Y210" i="18"/>
  <c r="W322" i="18"/>
  <c r="W202" i="18"/>
  <c r="AY552" i="18"/>
  <c r="AZ552" i="18" s="1"/>
  <c r="V184" i="18"/>
  <c r="V237" i="18" s="1"/>
  <c r="Y437" i="18"/>
  <c r="X349" i="18"/>
  <c r="X76" i="18" s="1"/>
  <c r="X270" i="18"/>
  <c r="X60" i="18" s="1"/>
  <c r="X60" i="15" s="1"/>
  <c r="X54" i="15" s="1"/>
  <c r="W318" i="18"/>
  <c r="W175" i="18"/>
  <c r="W158" i="18" s="1"/>
  <c r="Y525" i="18"/>
  <c r="X323" i="18"/>
  <c r="W2" i="18"/>
  <c r="V239" i="18"/>
  <c r="Z435" i="18"/>
  <c r="Y268" i="18"/>
  <c r="Y164" i="18" s="1"/>
  <c r="Y164" i="15" s="1"/>
  <c r="Y158" i="15" s="1"/>
  <c r="W265" i="18"/>
  <c r="W239" i="18" s="1"/>
  <c r="W190" i="18"/>
  <c r="W190" i="15" s="1"/>
  <c r="W184" i="15" s="1"/>
  <c r="BB355" i="18"/>
  <c r="BB105" i="18"/>
  <c r="AZ551" i="18"/>
  <c r="Y527" i="18"/>
  <c r="X325" i="18"/>
  <c r="X72" i="18" s="1"/>
  <c r="Y526" i="18"/>
  <c r="X324" i="18"/>
  <c r="X176" i="18" s="1"/>
  <c r="W206" i="18"/>
  <c r="W334" i="18"/>
  <c r="Y438" i="18"/>
  <c r="X350" i="18"/>
  <c r="X24" i="18" s="1"/>
  <c r="X271" i="18"/>
  <c r="X8" i="18" s="1"/>
  <c r="X8" i="15" s="1"/>
  <c r="X2" i="15" s="1"/>
  <c r="X347" i="18"/>
  <c r="X180" i="18" s="1"/>
  <c r="BC356" i="18"/>
  <c r="BD390" i="18"/>
  <c r="Y80" i="18" l="1"/>
  <c r="Y86" i="15"/>
  <c r="Y80" i="15" s="1"/>
  <c r="BE390" i="18"/>
  <c r="BD356" i="18"/>
  <c r="V238" i="18"/>
  <c r="Z521" i="18"/>
  <c r="Y319" i="18"/>
  <c r="X318" i="18"/>
  <c r="X175" i="18"/>
  <c r="X158" i="18" s="1"/>
  <c r="BC355" i="18"/>
  <c r="BC105" i="18"/>
  <c r="W184" i="18"/>
  <c r="W237" i="18" s="1"/>
  <c r="X322" i="18"/>
  <c r="X202" i="18"/>
  <c r="Z523" i="18"/>
  <c r="Y321" i="18"/>
  <c r="Y19" i="18" s="1"/>
  <c r="Z526" i="18"/>
  <c r="Y324" i="18"/>
  <c r="Y176" i="18" s="1"/>
  <c r="Z525" i="18"/>
  <c r="Y323" i="18"/>
  <c r="BG391" i="18"/>
  <c r="BF357" i="18"/>
  <c r="BF27" i="18" s="1"/>
  <c r="Z437" i="18"/>
  <c r="Y349" i="18"/>
  <c r="Y76" i="18" s="1"/>
  <c r="Y270" i="18"/>
  <c r="Y60" i="18" s="1"/>
  <c r="Y60" i="15" s="1"/>
  <c r="Y54" i="15" s="1"/>
  <c r="X2" i="18"/>
  <c r="AA434" i="18"/>
  <c r="Z346" i="18"/>
  <c r="Z102" i="18" s="1"/>
  <c r="Z267" i="18"/>
  <c r="Z86" i="18" s="1"/>
  <c r="BA628" i="18"/>
  <c r="BA550" i="18" s="1"/>
  <c r="BB589" i="18"/>
  <c r="BA342" i="18"/>
  <c r="Z527" i="18"/>
  <c r="Y325" i="18"/>
  <c r="Y72" i="18" s="1"/>
  <c r="X265" i="18"/>
  <c r="X190" i="18"/>
  <c r="Z438" i="18"/>
  <c r="Y350" i="18"/>
  <c r="Y24" i="18" s="1"/>
  <c r="Y271" i="18"/>
  <c r="Y8" i="18" s="1"/>
  <c r="Y347" i="18"/>
  <c r="Y180" i="18" s="1"/>
  <c r="X54" i="18"/>
  <c r="AA436" i="18"/>
  <c r="Z210" i="18"/>
  <c r="Z528" i="18"/>
  <c r="Y326" i="18"/>
  <c r="Y20" i="18" s="1"/>
  <c r="X206" i="18"/>
  <c r="X334" i="18"/>
  <c r="AZ553" i="18"/>
  <c r="AA522" i="18"/>
  <c r="Z320" i="18"/>
  <c r="Z71" i="18" s="1"/>
  <c r="AA435" i="18"/>
  <c r="Z347" i="18"/>
  <c r="Z180" i="18" s="1"/>
  <c r="Z268" i="18"/>
  <c r="Z164" i="18" s="1"/>
  <c r="Z164" i="15" s="1"/>
  <c r="Z158" i="15" s="1"/>
  <c r="Z433" i="18"/>
  <c r="Y343" i="18"/>
  <c r="Y266" i="18"/>
  <c r="Y2" i="18" l="1"/>
  <c r="Y8" i="15"/>
  <c r="Y2" i="15" s="1"/>
  <c r="Z80" i="18"/>
  <c r="Z86" i="15"/>
  <c r="Z80" i="15" s="1"/>
  <c r="X184" i="18"/>
  <c r="X237" i="18" s="1"/>
  <c r="X190" i="15"/>
  <c r="X184" i="15" s="1"/>
  <c r="W238" i="18"/>
  <c r="BB550" i="18"/>
  <c r="AB435" i="18"/>
  <c r="AA268" i="18"/>
  <c r="AA164" i="18" s="1"/>
  <c r="AA164" i="15" s="1"/>
  <c r="AA158" i="15" s="1"/>
  <c r="AA523" i="18"/>
  <c r="Z321" i="18"/>
  <c r="Z19" i="18" s="1"/>
  <c r="AB436" i="18"/>
  <c r="AA210" i="18"/>
  <c r="X239" i="18"/>
  <c r="X238" i="18" s="1"/>
  <c r="BA552" i="18"/>
  <c r="Y318" i="18"/>
  <c r="Y175" i="18"/>
  <c r="Y158" i="18" s="1"/>
  <c r="AB522" i="18"/>
  <c r="AA320" i="18"/>
  <c r="AA71" i="18" s="1"/>
  <c r="BH391" i="18"/>
  <c r="BH357" i="18" s="1"/>
  <c r="BH27" i="18" s="1"/>
  <c r="BG357" i="18"/>
  <c r="BG27" i="18" s="1"/>
  <c r="AA521" i="18"/>
  <c r="Z319" i="18"/>
  <c r="Y265" i="18"/>
  <c r="Y190" i="18"/>
  <c r="BA553" i="18"/>
  <c r="AB434" i="18"/>
  <c r="AA346" i="18"/>
  <c r="AA102" i="18" s="1"/>
  <c r="AA267" i="18"/>
  <c r="AA86" i="18" s="1"/>
  <c r="Y322" i="18"/>
  <c r="Y202" i="18"/>
  <c r="Y206" i="18"/>
  <c r="Y334" i="18"/>
  <c r="BA551" i="18"/>
  <c r="AA525" i="18"/>
  <c r="Z323" i="18"/>
  <c r="BD355" i="18"/>
  <c r="BD105" i="18"/>
  <c r="AA433" i="18"/>
  <c r="Z343" i="18"/>
  <c r="Z266" i="18"/>
  <c r="AA527" i="18"/>
  <c r="Z325" i="18"/>
  <c r="Z72" i="18" s="1"/>
  <c r="Y54" i="18"/>
  <c r="BF390" i="18"/>
  <c r="BE356" i="18"/>
  <c r="AA526" i="18"/>
  <c r="Z324" i="18"/>
  <c r="Z176" i="18" s="1"/>
  <c r="AA528" i="18"/>
  <c r="Z326" i="18"/>
  <c r="Z20" i="18" s="1"/>
  <c r="AA438" i="18"/>
  <c r="Z350" i="18"/>
  <c r="Z24" i="18" s="1"/>
  <c r="Z271" i="18"/>
  <c r="Z8" i="18" s="1"/>
  <c r="BC589" i="18"/>
  <c r="BB628" i="18"/>
  <c r="BB342" i="18"/>
  <c r="Z349" i="18"/>
  <c r="Z76" i="18" s="1"/>
  <c r="AA437" i="18"/>
  <c r="Z270" i="18"/>
  <c r="Z60" i="18" s="1"/>
  <c r="Z60" i="15" s="1"/>
  <c r="Z54" i="15" s="1"/>
  <c r="Z2" i="18" l="1"/>
  <c r="Z8" i="15"/>
  <c r="Z2" i="15" s="1"/>
  <c r="AA80" i="18"/>
  <c r="AA86" i="15"/>
  <c r="AA80" i="15" s="1"/>
  <c r="Y184" i="18"/>
  <c r="Y190" i="15"/>
  <c r="Y184" i="15" s="1"/>
  <c r="AB525" i="18"/>
  <c r="AA323" i="18"/>
  <c r="AC434" i="18"/>
  <c r="AB346" i="18"/>
  <c r="AB102" i="18" s="1"/>
  <c r="AB267" i="18"/>
  <c r="AB86" i="18" s="1"/>
  <c r="AC436" i="18"/>
  <c r="AB210" i="18"/>
  <c r="Z322" i="18"/>
  <c r="Z202" i="18"/>
  <c r="BD589" i="18"/>
  <c r="BC628" i="18"/>
  <c r="BC550" i="18" s="1"/>
  <c r="BC342" i="18"/>
  <c r="AB526" i="18"/>
  <c r="AA324" i="18"/>
  <c r="AA176" i="18" s="1"/>
  <c r="AB527" i="18"/>
  <c r="AA325" i="18"/>
  <c r="AA72" i="18" s="1"/>
  <c r="BB551" i="18"/>
  <c r="BB553" i="18"/>
  <c r="BC553" i="18" s="1"/>
  <c r="AC522" i="18"/>
  <c r="AB320" i="18"/>
  <c r="AB71" i="18" s="1"/>
  <c r="Y237" i="18"/>
  <c r="Z206" i="18"/>
  <c r="Z334" i="18"/>
  <c r="Y239" i="18"/>
  <c r="BG390" i="18"/>
  <c r="BF356" i="18"/>
  <c r="AB523" i="18"/>
  <c r="AA321" i="18"/>
  <c r="AA19" i="18" s="1"/>
  <c r="Z54" i="18"/>
  <c r="AB438" i="18"/>
  <c r="AA350" i="18"/>
  <c r="AA24" i="18" s="1"/>
  <c r="AA271" i="18"/>
  <c r="AA8" i="18" s="1"/>
  <c r="AA8" i="15" s="1"/>
  <c r="AA2" i="15" s="1"/>
  <c r="AB433" i="18"/>
  <c r="AA343" i="18"/>
  <c r="AA266" i="18"/>
  <c r="Z318" i="18"/>
  <c r="Z175" i="18"/>
  <c r="Z158" i="18" s="1"/>
  <c r="AA347" i="18"/>
  <c r="AA180" i="18" s="1"/>
  <c r="AB528" i="18"/>
  <c r="AA326" i="18"/>
  <c r="AA20" i="18" s="1"/>
  <c r="Z265" i="18"/>
  <c r="Z190" i="18"/>
  <c r="AB437" i="18"/>
  <c r="AA349" i="18"/>
  <c r="AA76" i="18" s="1"/>
  <c r="AA270" i="18"/>
  <c r="AA60" i="18" s="1"/>
  <c r="BE355" i="18"/>
  <c r="BE105" i="18"/>
  <c r="AB521" i="18"/>
  <c r="AA319" i="18"/>
  <c r="BB552" i="18"/>
  <c r="BC552" i="18" s="1"/>
  <c r="AC435" i="18"/>
  <c r="AB268" i="18"/>
  <c r="AB164" i="18" s="1"/>
  <c r="AB164" i="15" s="1"/>
  <c r="AB158" i="15" s="1"/>
  <c r="AB80" i="18" l="1"/>
  <c r="AB86" i="15"/>
  <c r="AB80" i="15" s="1"/>
  <c r="AA54" i="18"/>
  <c r="AA60" i="15"/>
  <c r="AA54" i="15" s="1"/>
  <c r="Z184" i="18"/>
  <c r="Z237" i="18" s="1"/>
  <c r="Z190" i="15"/>
  <c r="Z184" i="15" s="1"/>
  <c r="Y238" i="18"/>
  <c r="AA190" i="18"/>
  <c r="AA190" i="15" s="1"/>
  <c r="AA184" i="15" s="1"/>
  <c r="AA265" i="18"/>
  <c r="AC523" i="18"/>
  <c r="AB321" i="18"/>
  <c r="AB19" i="18" s="1"/>
  <c r="AD436" i="18"/>
  <c r="AC210" i="18"/>
  <c r="AA318" i="18"/>
  <c r="AA175" i="18"/>
  <c r="AA158" i="18" s="1"/>
  <c r="Z239" i="18"/>
  <c r="AA206" i="18"/>
  <c r="AA334" i="18"/>
  <c r="BF355" i="18"/>
  <c r="BF105" i="18"/>
  <c r="AD522" i="18"/>
  <c r="AC320" i="18"/>
  <c r="AC71" i="18" s="1"/>
  <c r="AC521" i="18"/>
  <c r="AB319" i="18"/>
  <c r="AC433" i="18"/>
  <c r="AB343" i="18"/>
  <c r="AB266" i="18"/>
  <c r="BH390" i="18"/>
  <c r="BH356" i="18" s="1"/>
  <c r="BG356" i="18"/>
  <c r="BE589" i="18"/>
  <c r="BD628" i="18"/>
  <c r="BD550" i="18" s="1"/>
  <c r="BD342" i="18"/>
  <c r="AC437" i="18"/>
  <c r="AB349" i="18"/>
  <c r="AB76" i="18" s="1"/>
  <c r="AB270" i="18"/>
  <c r="AB60" i="18" s="1"/>
  <c r="AB60" i="15" s="1"/>
  <c r="AB54" i="15" s="1"/>
  <c r="AA2" i="18"/>
  <c r="BC551" i="18"/>
  <c r="AD434" i="18"/>
  <c r="AC346" i="18"/>
  <c r="AC102" i="18" s="1"/>
  <c r="AC267" i="18"/>
  <c r="AC86" i="18" s="1"/>
  <c r="AC526" i="18"/>
  <c r="AB324" i="18"/>
  <c r="AB176" i="18" s="1"/>
  <c r="AC528" i="18"/>
  <c r="AB326" i="18"/>
  <c r="AB20" i="18" s="1"/>
  <c r="AA322" i="18"/>
  <c r="AA202" i="18"/>
  <c r="AC438" i="18"/>
  <c r="AB350" i="18"/>
  <c r="AB24" i="18" s="1"/>
  <c r="AB271" i="18"/>
  <c r="AB8" i="18" s="1"/>
  <c r="AB8" i="15" s="1"/>
  <c r="AB2" i="15" s="1"/>
  <c r="AC527" i="18"/>
  <c r="AB325" i="18"/>
  <c r="AB72" i="18" s="1"/>
  <c r="AC525" i="18"/>
  <c r="AB323" i="18"/>
  <c r="AD435" i="18"/>
  <c r="AC347" i="18"/>
  <c r="AC180" i="18" s="1"/>
  <c r="AC268" i="18"/>
  <c r="AC164" i="18" s="1"/>
  <c r="AC164" i="15" s="1"/>
  <c r="AC158" i="15" s="1"/>
  <c r="AB347" i="18"/>
  <c r="AB180" i="18" s="1"/>
  <c r="AC80" i="18" l="1"/>
  <c r="AC86" i="15"/>
  <c r="AC80" i="15" s="1"/>
  <c r="Z238" i="18"/>
  <c r="AE435" i="18"/>
  <c r="AD268" i="18"/>
  <c r="AD164" i="18" s="1"/>
  <c r="AD164" i="15" s="1"/>
  <c r="AD158" i="15" s="1"/>
  <c r="AD437" i="18"/>
  <c r="AC349" i="18"/>
  <c r="AC76" i="18" s="1"/>
  <c r="AC270" i="18"/>
  <c r="AC60" i="18" s="1"/>
  <c r="AC60" i="15" s="1"/>
  <c r="AC54" i="15" s="1"/>
  <c r="AB206" i="18"/>
  <c r="AB334" i="18"/>
  <c r="AE436" i="18"/>
  <c r="AD210" i="18"/>
  <c r="AB322" i="18"/>
  <c r="AB202" i="18"/>
  <c r="AD433" i="18"/>
  <c r="AC266" i="18"/>
  <c r="AC343" i="18"/>
  <c r="AD526" i="18"/>
  <c r="AC324" i="18"/>
  <c r="AC176" i="18" s="1"/>
  <c r="AD525" i="18"/>
  <c r="AC323" i="18"/>
  <c r="AE434" i="18"/>
  <c r="AD346" i="18"/>
  <c r="AD102" i="18" s="1"/>
  <c r="AD267" i="18"/>
  <c r="AD86" i="18" s="1"/>
  <c r="AB318" i="18"/>
  <c r="AB175" i="18"/>
  <c r="AB158" i="18" s="1"/>
  <c r="AD523" i="18"/>
  <c r="AC321" i="18"/>
  <c r="AC19" i="18" s="1"/>
  <c r="AB190" i="18"/>
  <c r="AB190" i="15" s="1"/>
  <c r="AB184" i="15" s="1"/>
  <c r="AB265" i="18"/>
  <c r="AB239" i="18" s="1"/>
  <c r="BD551" i="18"/>
  <c r="BE551" i="18" s="1"/>
  <c r="BF589" i="18"/>
  <c r="BE628" i="18"/>
  <c r="BE550" i="18" s="1"/>
  <c r="BE342" i="18"/>
  <c r="AD521" i="18"/>
  <c r="AC319" i="18"/>
  <c r="AA239" i="18"/>
  <c r="AD527" i="18"/>
  <c r="AC325" i="18"/>
  <c r="AC72" i="18" s="1"/>
  <c r="AD528" i="18"/>
  <c r="AC326" i="18"/>
  <c r="AC20" i="18" s="1"/>
  <c r="BD553" i="18"/>
  <c r="BE553" i="18" s="1"/>
  <c r="AA184" i="18"/>
  <c r="AA237" i="18" s="1"/>
  <c r="AD438" i="18"/>
  <c r="AC350" i="18"/>
  <c r="AC24" i="18" s="1"/>
  <c r="AC271" i="18"/>
  <c r="AC8" i="18" s="1"/>
  <c r="AB2" i="18"/>
  <c r="BD552" i="18"/>
  <c r="BE552" i="18" s="1"/>
  <c r="BG355" i="18"/>
  <c r="BG105" i="18"/>
  <c r="AE522" i="18"/>
  <c r="AD320" i="18"/>
  <c r="AD71" i="18" s="1"/>
  <c r="AB54" i="18"/>
  <c r="BH355" i="18"/>
  <c r="BH105" i="18"/>
  <c r="AC2" i="18" l="1"/>
  <c r="AC8" i="15"/>
  <c r="AC2" i="15" s="1"/>
  <c r="AD80" i="18"/>
  <c r="AD86" i="15"/>
  <c r="AD80" i="15" s="1"/>
  <c r="AE527" i="18"/>
  <c r="AD325" i="18"/>
  <c r="AD72" i="18" s="1"/>
  <c r="BF551" i="18"/>
  <c r="AE433" i="18"/>
  <c r="AD343" i="18"/>
  <c r="AD266" i="18"/>
  <c r="AC54" i="18"/>
  <c r="AE346" i="18"/>
  <c r="AE102" i="18" s="1"/>
  <c r="AF434" i="18"/>
  <c r="AE267" i="18"/>
  <c r="AE86" i="18" s="1"/>
  <c r="AE438" i="18"/>
  <c r="AD350" i="18"/>
  <c r="AD24" i="18" s="1"/>
  <c r="AD271" i="18"/>
  <c r="AD8" i="18" s="1"/>
  <c r="AD8" i="15" s="1"/>
  <c r="AD2" i="15" s="1"/>
  <c r="AB184" i="18"/>
  <c r="AB237" i="18" s="1"/>
  <c r="AC322" i="18"/>
  <c r="AC202" i="18"/>
  <c r="AE437" i="18"/>
  <c r="AD349" i="18"/>
  <c r="AD76" i="18" s="1"/>
  <c r="AD270" i="18"/>
  <c r="AD60" i="18" s="1"/>
  <c r="AF522" i="18"/>
  <c r="AE320" i="18"/>
  <c r="AE71" i="18" s="1"/>
  <c r="AA238" i="18"/>
  <c r="AC318" i="18"/>
  <c r="AC175" i="18"/>
  <c r="AC158" i="18" s="1"/>
  <c r="AE525" i="18"/>
  <c r="AD323" i="18"/>
  <c r="AC190" i="18"/>
  <c r="AC190" i="15" s="1"/>
  <c r="AC184" i="15" s="1"/>
  <c r="AC265" i="18"/>
  <c r="BF553" i="18"/>
  <c r="AE521" i="18"/>
  <c r="AD319" i="18"/>
  <c r="AE523" i="18"/>
  <c r="AD321" i="18"/>
  <c r="AD19" i="18" s="1"/>
  <c r="AD347" i="18"/>
  <c r="AD180" i="18" s="1"/>
  <c r="AE526" i="18"/>
  <c r="AD324" i="18"/>
  <c r="AD176" i="18" s="1"/>
  <c r="AF436" i="18"/>
  <c r="AE210" i="18"/>
  <c r="AF435" i="18"/>
  <c r="AE347" i="18"/>
  <c r="AE180" i="18" s="1"/>
  <c r="AE268" i="18"/>
  <c r="AE164" i="18" s="1"/>
  <c r="AE164" i="15" s="1"/>
  <c r="AE158" i="15" s="1"/>
  <c r="BG589" i="18"/>
  <c r="BF628" i="18"/>
  <c r="BF550" i="18" s="1"/>
  <c r="BF342" i="18"/>
  <c r="BF552" i="18"/>
  <c r="AE528" i="18"/>
  <c r="AD326" i="18"/>
  <c r="AD20" i="18" s="1"/>
  <c r="AC206" i="18"/>
  <c r="AC334" i="18"/>
  <c r="AD54" i="18" l="1"/>
  <c r="AD60" i="15"/>
  <c r="AD54" i="15" s="1"/>
  <c r="AE80" i="18"/>
  <c r="AE86" i="15"/>
  <c r="AE80" i="15" s="1"/>
  <c r="AB238" i="18"/>
  <c r="AC239" i="18"/>
  <c r="AD2" i="18"/>
  <c r="AD334" i="18"/>
  <c r="AD206" i="18"/>
  <c r="BH589" i="18"/>
  <c r="BG628" i="18"/>
  <c r="BG550" i="18" s="1"/>
  <c r="BG342" i="18"/>
  <c r="AC184" i="18"/>
  <c r="AC237" i="18" s="1"/>
  <c r="AG522" i="18"/>
  <c r="AF320" i="18"/>
  <c r="AF71" i="18" s="1"/>
  <c r="AF433" i="18"/>
  <c r="AE343" i="18"/>
  <c r="AE266" i="18"/>
  <c r="AG435" i="18"/>
  <c r="AF268" i="18"/>
  <c r="AF164" i="18" s="1"/>
  <c r="AF164" i="15" s="1"/>
  <c r="AF158" i="15" s="1"/>
  <c r="AF438" i="18"/>
  <c r="AE350" i="18"/>
  <c r="AE24" i="18" s="1"/>
  <c r="AE271" i="18"/>
  <c r="AE8" i="18" s="1"/>
  <c r="AE8" i="15" s="1"/>
  <c r="AE2" i="15" s="1"/>
  <c r="AF528" i="18"/>
  <c r="AE326" i="18"/>
  <c r="AE20" i="18" s="1"/>
  <c r="AD322" i="18"/>
  <c r="AD202" i="18"/>
  <c r="AG436" i="18"/>
  <c r="AF210" i="18"/>
  <c r="AF523" i="18"/>
  <c r="AE321" i="18"/>
  <c r="AE19" i="18" s="1"/>
  <c r="AF525" i="18"/>
  <c r="AE323" i="18"/>
  <c r="AF437" i="18"/>
  <c r="AE349" i="18"/>
  <c r="AE76" i="18" s="1"/>
  <c r="AE270" i="18"/>
  <c r="AE60" i="18" s="1"/>
  <c r="AG434" i="18"/>
  <c r="AF346" i="18"/>
  <c r="AF102" i="18" s="1"/>
  <c r="AF267" i="18"/>
  <c r="AF86" i="18" s="1"/>
  <c r="AF527" i="18"/>
  <c r="AE325" i="18"/>
  <c r="AE72" i="18" s="1"/>
  <c r="AD318" i="18"/>
  <c r="AD175" i="18"/>
  <c r="AD158" i="18" s="1"/>
  <c r="AD265" i="18"/>
  <c r="AD239" i="18" s="1"/>
  <c r="AD190" i="18"/>
  <c r="AF526" i="18"/>
  <c r="AE324" i="18"/>
  <c r="AE176" i="18" s="1"/>
  <c r="AF521" i="18"/>
  <c r="AE319" i="18"/>
  <c r="AE54" i="18" l="1"/>
  <c r="AE60" i="15"/>
  <c r="AE54" i="15" s="1"/>
  <c r="AF80" i="18"/>
  <c r="AF86" i="15"/>
  <c r="AF80" i="15" s="1"/>
  <c r="AD184" i="18"/>
  <c r="AD237" i="18" s="1"/>
  <c r="AD190" i="15"/>
  <c r="AD184" i="15" s="1"/>
  <c r="AD238" i="18"/>
  <c r="AG523" i="18"/>
  <c r="AF321" i="18"/>
  <c r="AF19" i="18" s="1"/>
  <c r="AG528" i="18"/>
  <c r="AF326" i="18"/>
  <c r="AF20" i="18" s="1"/>
  <c r="AE265" i="18"/>
  <c r="AE190" i="18"/>
  <c r="AE190" i="15" s="1"/>
  <c r="AE184" i="15" s="1"/>
  <c r="BH628" i="18"/>
  <c r="BH550" i="18" s="1"/>
  <c r="BH342" i="18"/>
  <c r="AH435" i="18"/>
  <c r="AG268" i="18"/>
  <c r="AG164" i="18" s="1"/>
  <c r="AG164" i="15" s="1"/>
  <c r="AG158" i="15" s="1"/>
  <c r="AH434" i="18"/>
  <c r="AG346" i="18"/>
  <c r="AG102" i="18" s="1"/>
  <c r="AG267" i="18"/>
  <c r="AG86" i="18" s="1"/>
  <c r="AG86" i="15" s="1"/>
  <c r="AG80" i="15" s="1"/>
  <c r="BG551" i="18"/>
  <c r="AE206" i="18"/>
  <c r="AE334" i="18"/>
  <c r="AH436" i="18"/>
  <c r="AG210" i="18"/>
  <c r="AE2" i="18"/>
  <c r="AG433" i="18"/>
  <c r="AF343" i="18"/>
  <c r="AF266" i="18"/>
  <c r="AE318" i="18"/>
  <c r="AE175" i="18"/>
  <c r="AE158" i="18" s="1"/>
  <c r="BG552" i="18"/>
  <c r="AG521" i="18"/>
  <c r="AF319" i="18"/>
  <c r="BG553" i="18"/>
  <c r="AG437" i="18"/>
  <c r="AF349" i="18"/>
  <c r="AF76" i="18" s="1"/>
  <c r="AF270" i="18"/>
  <c r="AF60" i="18" s="1"/>
  <c r="AF60" i="15" s="1"/>
  <c r="AF54" i="15" s="1"/>
  <c r="AG438" i="18"/>
  <c r="AF350" i="18"/>
  <c r="AF24" i="18" s="1"/>
  <c r="AF271" i="18"/>
  <c r="AF8" i="18" s="1"/>
  <c r="AH522" i="18"/>
  <c r="AG320" i="18"/>
  <c r="AG71" i="18" s="1"/>
  <c r="AE322" i="18"/>
  <c r="AE202" i="18"/>
  <c r="AC238" i="18"/>
  <c r="AG526" i="18"/>
  <c r="AF324" i="18"/>
  <c r="AF176" i="18" s="1"/>
  <c r="AG527" i="18"/>
  <c r="AF325" i="18"/>
  <c r="AF72" i="18" s="1"/>
  <c r="AG525" i="18"/>
  <c r="AF323" i="18"/>
  <c r="AF347" i="18"/>
  <c r="AF180" i="18" s="1"/>
  <c r="AF2" i="18" l="1"/>
  <c r="AF8" i="15"/>
  <c r="AF2" i="15" s="1"/>
  <c r="AH525" i="18"/>
  <c r="AG323" i="18"/>
  <c r="BH553" i="18"/>
  <c r="AH433" i="18"/>
  <c r="AG343" i="18"/>
  <c r="AG266" i="18"/>
  <c r="AG80" i="18"/>
  <c r="AE184" i="18"/>
  <c r="AE237" i="18" s="1"/>
  <c r="AH527" i="18"/>
  <c r="AG325" i="18"/>
  <c r="AG72" i="18" s="1"/>
  <c r="AI522" i="18"/>
  <c r="AH320" i="18"/>
  <c r="AH71" i="18" s="1"/>
  <c r="AF318" i="18"/>
  <c r="AF175" i="18"/>
  <c r="AF158" i="18" s="1"/>
  <c r="AE239" i="18"/>
  <c r="AH521" i="18"/>
  <c r="AG319" i="18"/>
  <c r="AI434" i="18"/>
  <c r="AH346" i="18"/>
  <c r="AH102" i="18" s="1"/>
  <c r="AH267" i="18"/>
  <c r="AH86" i="18" s="1"/>
  <c r="AH437" i="18"/>
  <c r="AG349" i="18"/>
  <c r="AG76" i="18" s="1"/>
  <c r="AG270" i="18"/>
  <c r="AG60" i="18" s="1"/>
  <c r="AH526" i="18"/>
  <c r="AG324" i="18"/>
  <c r="AG176" i="18" s="1"/>
  <c r="BH552" i="18"/>
  <c r="AI436" i="18"/>
  <c r="AH210" i="18"/>
  <c r="AH528" i="18"/>
  <c r="AG326" i="18"/>
  <c r="AG20" i="18" s="1"/>
  <c r="AH438" i="18"/>
  <c r="AG350" i="18"/>
  <c r="AG24" i="18" s="1"/>
  <c r="AG271" i="18"/>
  <c r="AG8" i="18" s="1"/>
  <c r="AG8" i="15" s="1"/>
  <c r="AG2" i="15" s="1"/>
  <c r="AG347" i="18"/>
  <c r="AG180" i="18" s="1"/>
  <c r="AF206" i="18"/>
  <c r="AF334" i="18"/>
  <c r="AF54" i="18"/>
  <c r="AI435" i="18"/>
  <c r="AH268" i="18"/>
  <c r="AH164" i="18" s="1"/>
  <c r="AH164" i="15" s="1"/>
  <c r="AH158" i="15" s="1"/>
  <c r="AH523" i="18"/>
  <c r="AG321" i="18"/>
  <c r="AG19" i="18" s="1"/>
  <c r="AF322" i="18"/>
  <c r="AF202" i="18"/>
  <c r="AF265" i="18"/>
  <c r="AF239" i="18" s="1"/>
  <c r="AF190" i="18"/>
  <c r="BH551" i="18"/>
  <c r="AF184" i="18" l="1"/>
  <c r="AF237" i="18" s="1"/>
  <c r="AF190" i="15"/>
  <c r="AF184" i="15" s="1"/>
  <c r="AH80" i="18"/>
  <c r="AH86" i="15"/>
  <c r="AH80" i="15" s="1"/>
  <c r="AG54" i="18"/>
  <c r="AG60" i="15"/>
  <c r="AG54" i="15" s="1"/>
  <c r="AF238" i="18"/>
  <c r="AE238" i="18"/>
  <c r="AI528" i="18"/>
  <c r="AH326" i="18"/>
  <c r="AH20" i="18" s="1"/>
  <c r="AI437" i="18"/>
  <c r="AH349" i="18"/>
  <c r="AH76" i="18" s="1"/>
  <c r="AH270" i="18"/>
  <c r="AH60" i="18" s="1"/>
  <c r="AG265" i="18"/>
  <c r="AG190" i="18"/>
  <c r="AG190" i="15" s="1"/>
  <c r="AG184" i="15" s="1"/>
  <c r="AG206" i="18"/>
  <c r="AG334" i="18"/>
  <c r="AJ436" i="18"/>
  <c r="AI210" i="18"/>
  <c r="AI433" i="18"/>
  <c r="AH343" i="18"/>
  <c r="AH266" i="18"/>
  <c r="AJ435" i="18"/>
  <c r="AI268" i="18"/>
  <c r="AI164" i="18" s="1"/>
  <c r="AI164" i="15" s="1"/>
  <c r="AI158" i="15" s="1"/>
  <c r="AI523" i="18"/>
  <c r="AH321" i="18"/>
  <c r="AH19" i="18" s="1"/>
  <c r="AG2" i="18"/>
  <c r="AJ434" i="18"/>
  <c r="AI346" i="18"/>
  <c r="AI102" i="18" s="1"/>
  <c r="AI267" i="18"/>
  <c r="AI86" i="18" s="1"/>
  <c r="AJ522" i="18"/>
  <c r="AI320" i="18"/>
  <c r="AI71" i="18" s="1"/>
  <c r="AG322" i="18"/>
  <c r="AG202" i="18"/>
  <c r="AI521" i="18"/>
  <c r="AH319" i="18"/>
  <c r="AH347" i="18"/>
  <c r="AH180" i="18" s="1"/>
  <c r="AI438" i="18"/>
  <c r="AH350" i="18"/>
  <c r="AH24" i="18" s="1"/>
  <c r="AH271" i="18"/>
  <c r="AH8" i="18" s="1"/>
  <c r="AI526" i="18"/>
  <c r="AH324" i="18"/>
  <c r="AH176" i="18" s="1"/>
  <c r="AG318" i="18"/>
  <c r="AG175" i="18"/>
  <c r="AG158" i="18" s="1"/>
  <c r="AI527" i="18"/>
  <c r="AH325" i="18"/>
  <c r="AH72" i="18" s="1"/>
  <c r="AI525" i="18"/>
  <c r="AH323" i="18"/>
  <c r="AH54" i="18" l="1"/>
  <c r="AH60" i="15"/>
  <c r="AH54" i="15" s="1"/>
  <c r="AI80" i="18"/>
  <c r="AI86" i="15"/>
  <c r="AI80" i="15" s="1"/>
  <c r="AH2" i="18"/>
  <c r="AH8" i="15"/>
  <c r="AH2" i="15" s="1"/>
  <c r="AH318" i="18"/>
  <c r="AH175" i="18"/>
  <c r="AH158" i="18" s="1"/>
  <c r="AH265" i="18"/>
  <c r="AH190" i="18"/>
  <c r="AH190" i="15" s="1"/>
  <c r="AH184" i="15" s="1"/>
  <c r="AG184" i="18"/>
  <c r="AG237" i="18" s="1"/>
  <c r="AK435" i="18"/>
  <c r="AJ347" i="18"/>
  <c r="AJ180" i="18" s="1"/>
  <c r="AJ268" i="18"/>
  <c r="AJ164" i="18" s="1"/>
  <c r="AJ164" i="15" s="1"/>
  <c r="AJ158" i="15" s="1"/>
  <c r="AJ521" i="18"/>
  <c r="AI319" i="18"/>
  <c r="AK434" i="18"/>
  <c r="AJ346" i="18"/>
  <c r="AJ102" i="18" s="1"/>
  <c r="AJ267" i="18"/>
  <c r="AJ86" i="18" s="1"/>
  <c r="AH206" i="18"/>
  <c r="AH334" i="18"/>
  <c r="AG239" i="18"/>
  <c r="AJ433" i="18"/>
  <c r="AI343" i="18"/>
  <c r="AI266" i="18"/>
  <c r="AJ526" i="18"/>
  <c r="AI324" i="18"/>
  <c r="AI176" i="18" s="1"/>
  <c r="AH322" i="18"/>
  <c r="AH202" i="18"/>
  <c r="AJ523" i="18"/>
  <c r="AI321" i="18"/>
  <c r="AI19" i="18" s="1"/>
  <c r="AJ210" i="18"/>
  <c r="AK436" i="18"/>
  <c r="AJ437" i="18"/>
  <c r="AI349" i="18"/>
  <c r="AI76" i="18" s="1"/>
  <c r="AI270" i="18"/>
  <c r="AI60" i="18" s="1"/>
  <c r="AJ525" i="18"/>
  <c r="AI323" i="18"/>
  <c r="AJ527" i="18"/>
  <c r="AI325" i="18"/>
  <c r="AI72" i="18" s="1"/>
  <c r="AJ438" i="18"/>
  <c r="AI350" i="18"/>
  <c r="AI24" i="18" s="1"/>
  <c r="AI271" i="18"/>
  <c r="AI8" i="18" s="1"/>
  <c r="AK522" i="18"/>
  <c r="AJ320" i="18"/>
  <c r="AJ71" i="18" s="1"/>
  <c r="AI347" i="18"/>
  <c r="AI180" i="18" s="1"/>
  <c r="AJ528" i="18"/>
  <c r="AI326" i="18"/>
  <c r="AI20" i="18" s="1"/>
  <c r="AI54" i="18" l="1"/>
  <c r="AI60" i="15"/>
  <c r="AI54" i="15" s="1"/>
  <c r="AI2" i="18"/>
  <c r="AI8" i="15"/>
  <c r="AI2" i="15" s="1"/>
  <c r="AJ80" i="18"/>
  <c r="AJ86" i="15"/>
  <c r="AJ80" i="15" s="1"/>
  <c r="AL435" i="18"/>
  <c r="AK268" i="18"/>
  <c r="AK164" i="18" s="1"/>
  <c r="AK164" i="15" s="1"/>
  <c r="AK158" i="15" s="1"/>
  <c r="AK438" i="18"/>
  <c r="AJ350" i="18"/>
  <c r="AJ24" i="18" s="1"/>
  <c r="AJ271" i="18"/>
  <c r="AJ8" i="18" s="1"/>
  <c r="AK437" i="18"/>
  <c r="AJ349" i="18"/>
  <c r="AJ76" i="18" s="1"/>
  <c r="AJ270" i="18"/>
  <c r="AJ60" i="18" s="1"/>
  <c r="AJ60" i="15" s="1"/>
  <c r="AJ54" i="15" s="1"/>
  <c r="AG238" i="18"/>
  <c r="AL522" i="18"/>
  <c r="AK320" i="18"/>
  <c r="AK71" i="18" s="1"/>
  <c r="AL436" i="18"/>
  <c r="AK210" i="18"/>
  <c r="AK526" i="18"/>
  <c r="AJ324" i="18"/>
  <c r="AJ176" i="18" s="1"/>
  <c r="AH184" i="18"/>
  <c r="AH237" i="18" s="1"/>
  <c r="AK528" i="18"/>
  <c r="AJ326" i="18"/>
  <c r="AJ20" i="18" s="1"/>
  <c r="AK527" i="18"/>
  <c r="AJ325" i="18"/>
  <c r="AJ72" i="18" s="1"/>
  <c r="AI265" i="18"/>
  <c r="AI190" i="18"/>
  <c r="AI190" i="15" s="1"/>
  <c r="AI184" i="15" s="1"/>
  <c r="AL434" i="18"/>
  <c r="AK346" i="18"/>
  <c r="AK102" i="18" s="1"/>
  <c r="AK267" i="18"/>
  <c r="AK86" i="18" s="1"/>
  <c r="AH239" i="18"/>
  <c r="AI206" i="18"/>
  <c r="AI334" i="18"/>
  <c r="AI318" i="18"/>
  <c r="AI175" i="18"/>
  <c r="AI158" i="18" s="1"/>
  <c r="AK525" i="18"/>
  <c r="AJ323" i="18"/>
  <c r="AI322" i="18"/>
  <c r="AI202" i="18"/>
  <c r="AK523" i="18"/>
  <c r="AJ321" i="18"/>
  <c r="AJ19" i="18" s="1"/>
  <c r="AK433" i="18"/>
  <c r="AJ343" i="18"/>
  <c r="AJ266" i="18"/>
  <c r="AK521" i="18"/>
  <c r="AJ319" i="18"/>
  <c r="AJ2" i="18" l="1"/>
  <c r="AJ8" i="15"/>
  <c r="AJ2" i="15" s="1"/>
  <c r="AK80" i="18"/>
  <c r="AK86" i="15"/>
  <c r="AK80" i="15" s="1"/>
  <c r="AI239" i="18"/>
  <c r="AL526" i="18"/>
  <c r="AK324" i="18"/>
  <c r="AK176" i="18" s="1"/>
  <c r="AL437" i="18"/>
  <c r="AK349" i="18"/>
  <c r="AK76" i="18" s="1"/>
  <c r="AK270" i="18"/>
  <c r="AK60" i="18" s="1"/>
  <c r="AK60" i="15" s="1"/>
  <c r="AK54" i="15" s="1"/>
  <c r="AL527" i="18"/>
  <c r="AK325" i="18"/>
  <c r="AK72" i="18" s="1"/>
  <c r="AM436" i="18"/>
  <c r="AL210" i="18"/>
  <c r="AJ318" i="18"/>
  <c r="AJ175" i="18"/>
  <c r="AJ158" i="18" s="1"/>
  <c r="AL438" i="18"/>
  <c r="AK350" i="18"/>
  <c r="AK24" i="18" s="1"/>
  <c r="AK271" i="18"/>
  <c r="AK8" i="18" s="1"/>
  <c r="AK8" i="15" s="1"/>
  <c r="AK2" i="15" s="1"/>
  <c r="AL523" i="18"/>
  <c r="AK321" i="18"/>
  <c r="AK19" i="18" s="1"/>
  <c r="AL521" i="18"/>
  <c r="AK319" i="18"/>
  <c r="AJ322" i="18"/>
  <c r="AJ202" i="18"/>
  <c r="AL528" i="18"/>
  <c r="AK326" i="18"/>
  <c r="AK20" i="18" s="1"/>
  <c r="AM522" i="18"/>
  <c r="AL320" i="18"/>
  <c r="AL71" i="18" s="1"/>
  <c r="AL433" i="18"/>
  <c r="AK266" i="18"/>
  <c r="AK343" i="18"/>
  <c r="AJ265" i="18"/>
  <c r="AJ190" i="18"/>
  <c r="AL525" i="18"/>
  <c r="AK323" i="18"/>
  <c r="AM434" i="18"/>
  <c r="AL346" i="18"/>
  <c r="AL102" i="18" s="1"/>
  <c r="AL267" i="18"/>
  <c r="AL86" i="18" s="1"/>
  <c r="AK347" i="18"/>
  <c r="AK180" i="18" s="1"/>
  <c r="AJ206" i="18"/>
  <c r="AJ334" i="18"/>
  <c r="AI184" i="18"/>
  <c r="AI237" i="18" s="1"/>
  <c r="AH238" i="18"/>
  <c r="AJ54" i="18"/>
  <c r="AM435" i="18"/>
  <c r="AL347" i="18"/>
  <c r="AL180" i="18" s="1"/>
  <c r="AL268" i="18"/>
  <c r="AL164" i="18" s="1"/>
  <c r="AL164" i="15" s="1"/>
  <c r="AL158" i="15" s="1"/>
  <c r="AL80" i="18" l="1"/>
  <c r="AL86" i="15"/>
  <c r="AL80" i="15" s="1"/>
  <c r="AJ184" i="18"/>
  <c r="AJ237" i="18" s="1"/>
  <c r="AJ190" i="15"/>
  <c r="AJ184" i="15" s="1"/>
  <c r="AI238" i="18"/>
  <c r="AJ239" i="18"/>
  <c r="AJ238" i="18" s="1"/>
  <c r="AK2" i="18"/>
  <c r="AM527" i="18"/>
  <c r="AL325" i="18"/>
  <c r="AL72" i="18" s="1"/>
  <c r="AM528" i="18"/>
  <c r="AL326" i="18"/>
  <c r="AL20" i="18" s="1"/>
  <c r="AK54" i="18"/>
  <c r="AK206" i="18"/>
  <c r="AK334" i="18"/>
  <c r="AM438" i="18"/>
  <c r="AL350" i="18"/>
  <c r="AL24" i="18" s="1"/>
  <c r="AL271" i="18"/>
  <c r="AL8" i="18" s="1"/>
  <c r="AL8" i="15" s="1"/>
  <c r="AL2" i="15" s="1"/>
  <c r="AN435" i="18"/>
  <c r="AM268" i="18"/>
  <c r="AM164" i="18" s="1"/>
  <c r="AM164" i="15" s="1"/>
  <c r="AM158" i="15" s="1"/>
  <c r="AK265" i="18"/>
  <c r="AK190" i="18"/>
  <c r="AK190" i="15" s="1"/>
  <c r="AK184" i="15" s="1"/>
  <c r="AM437" i="18"/>
  <c r="AL349" i="18"/>
  <c r="AL76" i="18" s="1"/>
  <c r="AL270" i="18"/>
  <c r="AL60" i="18" s="1"/>
  <c r="AM523" i="18"/>
  <c r="AL321" i="18"/>
  <c r="AL19" i="18" s="1"/>
  <c r="AN434" i="18"/>
  <c r="AM346" i="18"/>
  <c r="AM102" i="18" s="1"/>
  <c r="AM267" i="18"/>
  <c r="AM86" i="18" s="1"/>
  <c r="AM433" i="18"/>
  <c r="AL343" i="18"/>
  <c r="AL266" i="18"/>
  <c r="AK318" i="18"/>
  <c r="AK175" i="18"/>
  <c r="AK158" i="18" s="1"/>
  <c r="AN522" i="18"/>
  <c r="AM320" i="18"/>
  <c r="AM71" i="18" s="1"/>
  <c r="AK322" i="18"/>
  <c r="AK202" i="18"/>
  <c r="AM521" i="18"/>
  <c r="AL319" i="18"/>
  <c r="AM526" i="18"/>
  <c r="AL324" i="18"/>
  <c r="AL176" i="18" s="1"/>
  <c r="AM525" i="18"/>
  <c r="AL323" i="18"/>
  <c r="AN436" i="18"/>
  <c r="AM210" i="18"/>
  <c r="AM80" i="18" l="1"/>
  <c r="AM86" i="15"/>
  <c r="AM80" i="15" s="1"/>
  <c r="AL54" i="18"/>
  <c r="AL60" i="15"/>
  <c r="AL54" i="15" s="1"/>
  <c r="AN523" i="18"/>
  <c r="AM321" i="18"/>
  <c r="AM19" i="18" s="1"/>
  <c r="AO435" i="18"/>
  <c r="AN268" i="18"/>
  <c r="AN164" i="18" s="1"/>
  <c r="AN164" i="15" s="1"/>
  <c r="AN158" i="15" s="1"/>
  <c r="AL318" i="18"/>
  <c r="AL175" i="18"/>
  <c r="AL158" i="18" s="1"/>
  <c r="AL190" i="18"/>
  <c r="AL265" i="18"/>
  <c r="AN528" i="18"/>
  <c r="AM326" i="18"/>
  <c r="AM20" i="18" s="1"/>
  <c r="AN521" i="18"/>
  <c r="AM319" i="18"/>
  <c r="AL206" i="18"/>
  <c r="AL334" i="18"/>
  <c r="AL2" i="18"/>
  <c r="AO436" i="18"/>
  <c r="AN210" i="18"/>
  <c r="AN433" i="18"/>
  <c r="AM343" i="18"/>
  <c r="AM266" i="18"/>
  <c r="AN437" i="18"/>
  <c r="AM349" i="18"/>
  <c r="AM76" i="18" s="1"/>
  <c r="AM270" i="18"/>
  <c r="AM60" i="18" s="1"/>
  <c r="AM60" i="15" s="1"/>
  <c r="AM54" i="15" s="1"/>
  <c r="AL322" i="18"/>
  <c r="AL202" i="18"/>
  <c r="AK184" i="18"/>
  <c r="AK237" i="18" s="1"/>
  <c r="AN438" i="18"/>
  <c r="AM350" i="18"/>
  <c r="AM24" i="18" s="1"/>
  <c r="AM271" i="18"/>
  <c r="AM8" i="18" s="1"/>
  <c r="AN527" i="18"/>
  <c r="AM325" i="18"/>
  <c r="AM72" i="18" s="1"/>
  <c r="AN526" i="18"/>
  <c r="AM324" i="18"/>
  <c r="AM176" i="18" s="1"/>
  <c r="AN525" i="18"/>
  <c r="AM323" i="18"/>
  <c r="AK239" i="18"/>
  <c r="AM347" i="18"/>
  <c r="AM180" i="18" s="1"/>
  <c r="AO522" i="18"/>
  <c r="AN320" i="18"/>
  <c r="AN71" i="18" s="1"/>
  <c r="AO434" i="18"/>
  <c r="AN346" i="18"/>
  <c r="AN102" i="18" s="1"/>
  <c r="AN267" i="18"/>
  <c r="AN86" i="18" s="1"/>
  <c r="AN80" i="18" l="1"/>
  <c r="AN86" i="15"/>
  <c r="AN80" i="15" s="1"/>
  <c r="AL184" i="18"/>
  <c r="AL237" i="18" s="1"/>
  <c r="AL190" i="15"/>
  <c r="AL184" i="15" s="1"/>
  <c r="AM2" i="18"/>
  <c r="AM8" i="15"/>
  <c r="AM2" i="15" s="1"/>
  <c r="AO437" i="18"/>
  <c r="AN349" i="18"/>
  <c r="AN76" i="18" s="1"/>
  <c r="AN270" i="18"/>
  <c r="AN60" i="18" s="1"/>
  <c r="AN60" i="15" s="1"/>
  <c r="AN54" i="15" s="1"/>
  <c r="AP522" i="18"/>
  <c r="AO320" i="18"/>
  <c r="AO71" i="18" s="1"/>
  <c r="AM265" i="18"/>
  <c r="AM190" i="18"/>
  <c r="AM190" i="15" s="1"/>
  <c r="AM184" i="15" s="1"/>
  <c r="AM318" i="18"/>
  <c r="AM175" i="18"/>
  <c r="AM158" i="18" s="1"/>
  <c r="AM322" i="18"/>
  <c r="AM202" i="18"/>
  <c r="AO438" i="18"/>
  <c r="AN350" i="18"/>
  <c r="AN24" i="18" s="1"/>
  <c r="AN271" i="18"/>
  <c r="AN8" i="18" s="1"/>
  <c r="AN8" i="15" s="1"/>
  <c r="AN2" i="15" s="1"/>
  <c r="AM206" i="18"/>
  <c r="AM334" i="18"/>
  <c r="AO521" i="18"/>
  <c r="AN319" i="18"/>
  <c r="AO527" i="18"/>
  <c r="AN325" i="18"/>
  <c r="AN72" i="18" s="1"/>
  <c r="AO525" i="18"/>
  <c r="AN323" i="18"/>
  <c r="AK238" i="18"/>
  <c r="AO433" i="18"/>
  <c r="AN343" i="18"/>
  <c r="AN266" i="18"/>
  <c r="AN347" i="18"/>
  <c r="AN180" i="18" s="1"/>
  <c r="AP435" i="18"/>
  <c r="AO347" i="18"/>
  <c r="AO180" i="18" s="1"/>
  <c r="AO268" i="18"/>
  <c r="AO164" i="18" s="1"/>
  <c r="AO164" i="15" s="1"/>
  <c r="AO158" i="15" s="1"/>
  <c r="AP434" i="18"/>
  <c r="AO346" i="18"/>
  <c r="AO102" i="18" s="1"/>
  <c r="AO267" i="18"/>
  <c r="AO86" i="18" s="1"/>
  <c r="AO526" i="18"/>
  <c r="AN324" i="18"/>
  <c r="AN176" i="18" s="1"/>
  <c r="AP436" i="18"/>
  <c r="AO210" i="18"/>
  <c r="AO528" i="18"/>
  <c r="AN326" i="18"/>
  <c r="AN20" i="18" s="1"/>
  <c r="AM54" i="18"/>
  <c r="AL239" i="18"/>
  <c r="AL238" i="18" s="1"/>
  <c r="AO523" i="18"/>
  <c r="AN321" i="18"/>
  <c r="AN19" i="18" s="1"/>
  <c r="AO80" i="18" l="1"/>
  <c r="AO86" i="15"/>
  <c r="AO80" i="15" s="1"/>
  <c r="AQ436" i="18"/>
  <c r="AP210" i="18"/>
  <c r="AQ435" i="18"/>
  <c r="AP268" i="18"/>
  <c r="AP164" i="18" s="1"/>
  <c r="AP164" i="15" s="1"/>
  <c r="AP158" i="15" s="1"/>
  <c r="AP525" i="18"/>
  <c r="AO323" i="18"/>
  <c r="AN2" i="18"/>
  <c r="AM184" i="18"/>
  <c r="AM237" i="18" s="1"/>
  <c r="AM239" i="18"/>
  <c r="AP523" i="18"/>
  <c r="AO321" i="18"/>
  <c r="AO19" i="18" s="1"/>
  <c r="AP526" i="18"/>
  <c r="AO324" i="18"/>
  <c r="AO176" i="18" s="1"/>
  <c r="AP527" i="18"/>
  <c r="AO325" i="18"/>
  <c r="AO72" i="18" s="1"/>
  <c r="AP438" i="18"/>
  <c r="AO350" i="18"/>
  <c r="AO24" i="18" s="1"/>
  <c r="AO271" i="18"/>
  <c r="AO8" i="18" s="1"/>
  <c r="AO8" i="15" s="1"/>
  <c r="AO2" i="15" s="1"/>
  <c r="AN265" i="18"/>
  <c r="AN190" i="18"/>
  <c r="AN190" i="15" s="1"/>
  <c r="AN184" i="15" s="1"/>
  <c r="AQ522" i="18"/>
  <c r="AP320" i="18"/>
  <c r="AP71" i="18" s="1"/>
  <c r="AN334" i="18"/>
  <c r="AN206" i="18"/>
  <c r="AN318" i="18"/>
  <c r="AN175" i="18"/>
  <c r="AN158" i="18" s="1"/>
  <c r="AN54" i="18"/>
  <c r="AN322" i="18"/>
  <c r="AN202" i="18"/>
  <c r="AQ434" i="18"/>
  <c r="AP346" i="18"/>
  <c r="AP102" i="18" s="1"/>
  <c r="AP267" i="18"/>
  <c r="AP86" i="18" s="1"/>
  <c r="AP433" i="18"/>
  <c r="AO343" i="18"/>
  <c r="AO266" i="18"/>
  <c r="AP521" i="18"/>
  <c r="AO319" i="18"/>
  <c r="AO326" i="18"/>
  <c r="AO20" i="18" s="1"/>
  <c r="AP528" i="18"/>
  <c r="AP437" i="18"/>
  <c r="AO349" i="18"/>
  <c r="AO76" i="18" s="1"/>
  <c r="AO270" i="18"/>
  <c r="AO60" i="18" s="1"/>
  <c r="AO54" i="18" l="1"/>
  <c r="AO60" i="15"/>
  <c r="AO54" i="15" s="1"/>
  <c r="AP80" i="18"/>
  <c r="AP86" i="15"/>
  <c r="AP80" i="15" s="1"/>
  <c r="AO318" i="18"/>
  <c r="AO175" i="18"/>
  <c r="AO158" i="18" s="1"/>
  <c r="AR522" i="18"/>
  <c r="AQ320" i="18"/>
  <c r="AQ71" i="18" s="1"/>
  <c r="AO322" i="18"/>
  <c r="AO202" i="18"/>
  <c r="AQ521" i="18"/>
  <c r="AP319" i="18"/>
  <c r="AN184" i="18"/>
  <c r="AN237" i="18" s="1"/>
  <c r="AQ526" i="18"/>
  <c r="AP324" i="18"/>
  <c r="AP176" i="18" s="1"/>
  <c r="AQ525" i="18"/>
  <c r="AP323" i="18"/>
  <c r="AO190" i="18"/>
  <c r="AO265" i="18"/>
  <c r="AO239" i="18" s="1"/>
  <c r="AN239" i="18"/>
  <c r="AQ527" i="18"/>
  <c r="AP325" i="18"/>
  <c r="AP72" i="18" s="1"/>
  <c r="AO206" i="18"/>
  <c r="AO334" i="18"/>
  <c r="AO2" i="18"/>
  <c r="AQ523" i="18"/>
  <c r="AP321" i="18"/>
  <c r="AP19" i="18" s="1"/>
  <c r="AP347" i="18"/>
  <c r="AP180" i="18" s="1"/>
  <c r="AP349" i="18"/>
  <c r="AP76" i="18" s="1"/>
  <c r="AQ437" i="18"/>
  <c r="AP270" i="18"/>
  <c r="AP60" i="18" s="1"/>
  <c r="AQ433" i="18"/>
  <c r="AP343" i="18"/>
  <c r="AP266" i="18"/>
  <c r="AQ347" i="18"/>
  <c r="AQ180" i="18" s="1"/>
  <c r="AR435" i="18"/>
  <c r="AQ268" i="18"/>
  <c r="AQ164" i="18" s="1"/>
  <c r="AQ164" i="15" s="1"/>
  <c r="AQ158" i="15" s="1"/>
  <c r="AQ438" i="18"/>
  <c r="AP350" i="18"/>
  <c r="AP24" i="18" s="1"/>
  <c r="AP271" i="18"/>
  <c r="AP8" i="18" s="1"/>
  <c r="AP8" i="15" s="1"/>
  <c r="AP2" i="15" s="1"/>
  <c r="AQ346" i="18"/>
  <c r="AQ102" i="18" s="1"/>
  <c r="AR434" i="18"/>
  <c r="AQ267" i="18"/>
  <c r="AQ86" i="18" s="1"/>
  <c r="AQ86" i="15" s="1"/>
  <c r="AQ80" i="15" s="1"/>
  <c r="AQ528" i="18"/>
  <c r="AP326" i="18"/>
  <c r="AP20" i="18" s="1"/>
  <c r="AM238" i="18"/>
  <c r="AR436" i="18"/>
  <c r="AQ210" i="18"/>
  <c r="AP54" i="18" l="1"/>
  <c r="AP60" i="15"/>
  <c r="AP54" i="15" s="1"/>
  <c r="AO184" i="18"/>
  <c r="AO190" i="15"/>
  <c r="AO184" i="15" s="1"/>
  <c r="AP318" i="18"/>
  <c r="AP175" i="18"/>
  <c r="AP158" i="18" s="1"/>
  <c r="AP190" i="18"/>
  <c r="AP190" i="15" s="1"/>
  <c r="AP184" i="15" s="1"/>
  <c r="AP265" i="18"/>
  <c r="AR523" i="18"/>
  <c r="AQ321" i="18"/>
  <c r="AQ19" i="18" s="1"/>
  <c r="AR521" i="18"/>
  <c r="AQ319" i="18"/>
  <c r="AP206" i="18"/>
  <c r="AP334" i="18"/>
  <c r="AO237" i="18"/>
  <c r="AS436" i="18"/>
  <c r="AR210" i="18"/>
  <c r="AP2" i="18"/>
  <c r="AR433" i="18"/>
  <c r="AQ343" i="18"/>
  <c r="AQ266" i="18"/>
  <c r="AP322" i="18"/>
  <c r="AP202" i="18"/>
  <c r="AS434" i="18"/>
  <c r="AR346" i="18"/>
  <c r="AR102" i="18" s="1"/>
  <c r="AR267" i="18"/>
  <c r="AR86" i="18" s="1"/>
  <c r="AR525" i="18"/>
  <c r="AQ323" i="18"/>
  <c r="AR438" i="18"/>
  <c r="AQ350" i="18"/>
  <c r="AQ24" i="18" s="1"/>
  <c r="AQ271" i="18"/>
  <c r="AQ8" i="18" s="1"/>
  <c r="AQ8" i="15" s="1"/>
  <c r="AQ2" i="15" s="1"/>
  <c r="AR437" i="18"/>
  <c r="AQ349" i="18"/>
  <c r="AQ76" i="18" s="1"/>
  <c r="AQ270" i="18"/>
  <c r="AQ60" i="18" s="1"/>
  <c r="AS522" i="18"/>
  <c r="AR320" i="18"/>
  <c r="AR71" i="18" s="1"/>
  <c r="AR528" i="18"/>
  <c r="AQ326" i="18"/>
  <c r="AQ20" i="18" s="1"/>
  <c r="AR527" i="18"/>
  <c r="AQ325" i="18"/>
  <c r="AQ72" i="18" s="1"/>
  <c r="AR526" i="18"/>
  <c r="AQ324" i="18"/>
  <c r="AQ176" i="18" s="1"/>
  <c r="AQ80" i="18"/>
  <c r="AS435" i="18"/>
  <c r="AR268" i="18"/>
  <c r="AR164" i="18" s="1"/>
  <c r="AR164" i="15" s="1"/>
  <c r="AR158" i="15" s="1"/>
  <c r="AN238" i="18"/>
  <c r="AR80" i="18" l="1"/>
  <c r="AR86" i="15"/>
  <c r="AR80" i="15" s="1"/>
  <c r="AQ54" i="18"/>
  <c r="AQ60" i="15"/>
  <c r="AQ54" i="15" s="1"/>
  <c r="AO238" i="18"/>
  <c r="AQ318" i="18"/>
  <c r="AQ175" i="18"/>
  <c r="AQ158" i="18" s="1"/>
  <c r="AS526" i="18"/>
  <c r="AR324" i="18"/>
  <c r="AR176" i="18" s="1"/>
  <c r="AS521" i="18"/>
  <c r="AR319" i="18"/>
  <c r="AS433" i="18"/>
  <c r="AR343" i="18"/>
  <c r="AR266" i="18"/>
  <c r="AS525" i="18"/>
  <c r="AR323" i="18"/>
  <c r="AS527" i="18"/>
  <c r="AR325" i="18"/>
  <c r="AR72" i="18" s="1"/>
  <c r="AS437" i="18"/>
  <c r="AR349" i="18"/>
  <c r="AR76" i="18" s="1"/>
  <c r="AR270" i="18"/>
  <c r="AR60" i="18" s="1"/>
  <c r="AR60" i="15" s="1"/>
  <c r="AR54" i="15" s="1"/>
  <c r="AT434" i="18"/>
  <c r="AS346" i="18"/>
  <c r="AS102" i="18" s="1"/>
  <c r="AS267" i="18"/>
  <c r="AS86" i="18" s="1"/>
  <c r="AT436" i="18"/>
  <c r="AS210" i="18"/>
  <c r="AS523" i="18"/>
  <c r="AR321" i="18"/>
  <c r="AR19" i="18" s="1"/>
  <c r="AQ2" i="18"/>
  <c r="AP239" i="18"/>
  <c r="AT522" i="18"/>
  <c r="AS320" i="18"/>
  <c r="AS71" i="18" s="1"/>
  <c r="AR347" i="18"/>
  <c r="AR180" i="18" s="1"/>
  <c r="AP184" i="18"/>
  <c r="AP237" i="18" s="1"/>
  <c r="AT435" i="18"/>
  <c r="AS268" i="18"/>
  <c r="AS164" i="18" s="1"/>
  <c r="AS164" i="15" s="1"/>
  <c r="AS158" i="15" s="1"/>
  <c r="AS528" i="18"/>
  <c r="AR326" i="18"/>
  <c r="AR20" i="18" s="1"/>
  <c r="AS438" i="18"/>
  <c r="AR350" i="18"/>
  <c r="AR24" i="18" s="1"/>
  <c r="AR271" i="18"/>
  <c r="AR8" i="18" s="1"/>
  <c r="AR8" i="15" s="1"/>
  <c r="AR2" i="15" s="1"/>
  <c r="AQ190" i="18"/>
  <c r="AQ265" i="18"/>
  <c r="AQ322" i="18"/>
  <c r="AQ202" i="18"/>
  <c r="AQ206" i="18"/>
  <c r="AQ334" i="18"/>
  <c r="AQ184" i="18" l="1"/>
  <c r="AQ237" i="18" s="1"/>
  <c r="AQ190" i="15"/>
  <c r="AQ184" i="15" s="1"/>
  <c r="AS80" i="18"/>
  <c r="AS86" i="15"/>
  <c r="AS80" i="15" s="1"/>
  <c r="AP238" i="18"/>
  <c r="AR206" i="18"/>
  <c r="AR334" i="18"/>
  <c r="AR2" i="18"/>
  <c r="AT523" i="18"/>
  <c r="AS321" i="18"/>
  <c r="AS19" i="18" s="1"/>
  <c r="AT437" i="18"/>
  <c r="AS270" i="18"/>
  <c r="AS60" i="18" s="1"/>
  <c r="AS60" i="15" s="1"/>
  <c r="AS54" i="15" s="1"/>
  <c r="AS349" i="18"/>
  <c r="AS76" i="18" s="1"/>
  <c r="AT433" i="18"/>
  <c r="AS343" i="18"/>
  <c r="AS266" i="18"/>
  <c r="AR318" i="18"/>
  <c r="AR175" i="18"/>
  <c r="AR158" i="18" s="1"/>
  <c r="AT438" i="18"/>
  <c r="AS350" i="18"/>
  <c r="AS24" i="18" s="1"/>
  <c r="AS271" i="18"/>
  <c r="AS8" i="18" s="1"/>
  <c r="AS8" i="15" s="1"/>
  <c r="AS2" i="15" s="1"/>
  <c r="AU436" i="18"/>
  <c r="AT210" i="18"/>
  <c r="AT527" i="18"/>
  <c r="AS325" i="18"/>
  <c r="AS72" i="18" s="1"/>
  <c r="AT521" i="18"/>
  <c r="AS319" i="18"/>
  <c r="AU435" i="18"/>
  <c r="AT268" i="18"/>
  <c r="AT164" i="18" s="1"/>
  <c r="AT164" i="15" s="1"/>
  <c r="AT158" i="15" s="1"/>
  <c r="AU522" i="18"/>
  <c r="AT320" i="18"/>
  <c r="AT71" i="18" s="1"/>
  <c r="AR322" i="18"/>
  <c r="AR202" i="18"/>
  <c r="AT528" i="18"/>
  <c r="AS326" i="18"/>
  <c r="AS20" i="18" s="1"/>
  <c r="AT525" i="18"/>
  <c r="AS323" i="18"/>
  <c r="AT526" i="18"/>
  <c r="AS324" i="18"/>
  <c r="AS176" i="18" s="1"/>
  <c r="AU434" i="18"/>
  <c r="AT346" i="18"/>
  <c r="AT102" i="18" s="1"/>
  <c r="AT267" i="18"/>
  <c r="AT86" i="18" s="1"/>
  <c r="AT86" i="15" s="1"/>
  <c r="AT80" i="15" s="1"/>
  <c r="AQ239" i="18"/>
  <c r="AQ238" i="18" s="1"/>
  <c r="AS347" i="18"/>
  <c r="AS180" i="18" s="1"/>
  <c r="AR54" i="18"/>
  <c r="AR265" i="18"/>
  <c r="AR190" i="18"/>
  <c r="AR184" i="18" l="1"/>
  <c r="AR237" i="18" s="1"/>
  <c r="AR190" i="15"/>
  <c r="AR184" i="15" s="1"/>
  <c r="AV434" i="18"/>
  <c r="AU346" i="18"/>
  <c r="AU102" i="18" s="1"/>
  <c r="AU267" i="18"/>
  <c r="AU86" i="18" s="1"/>
  <c r="AU521" i="18"/>
  <c r="AT319" i="18"/>
  <c r="AS54" i="18"/>
  <c r="AS318" i="18"/>
  <c r="AS175" i="18"/>
  <c r="AS158" i="18" s="1"/>
  <c r="AU437" i="18"/>
  <c r="AT349" i="18"/>
  <c r="AT76" i="18" s="1"/>
  <c r="AT270" i="18"/>
  <c r="AT60" i="18" s="1"/>
  <c r="AU438" i="18"/>
  <c r="AT350" i="18"/>
  <c r="AT24" i="18" s="1"/>
  <c r="AT271" i="18"/>
  <c r="AT8" i="18" s="1"/>
  <c r="AR239" i="18"/>
  <c r="AR238" i="18" s="1"/>
  <c r="AU527" i="18"/>
  <c r="AT325" i="18"/>
  <c r="AT72" i="18" s="1"/>
  <c r="AU526" i="18"/>
  <c r="AT324" i="18"/>
  <c r="AT176" i="18" s="1"/>
  <c r="AV522" i="18"/>
  <c r="AU320" i="18"/>
  <c r="AU71" i="18" s="1"/>
  <c r="AU523" i="18"/>
  <c r="AT321" i="18"/>
  <c r="AT19" i="18" s="1"/>
  <c r="AU528" i="18"/>
  <c r="AT326" i="18"/>
  <c r="AT20" i="18" s="1"/>
  <c r="AS322" i="18"/>
  <c r="AS202" i="18"/>
  <c r="AV436" i="18"/>
  <c r="AU210" i="18"/>
  <c r="AS190" i="18"/>
  <c r="AS190" i="15" s="1"/>
  <c r="AS184" i="15" s="1"/>
  <c r="AS265" i="18"/>
  <c r="AU525" i="18"/>
  <c r="AT323" i="18"/>
  <c r="AT347" i="18"/>
  <c r="AT180" i="18" s="1"/>
  <c r="AS2" i="18"/>
  <c r="AS206" i="18"/>
  <c r="AS334" i="18"/>
  <c r="AT80" i="18"/>
  <c r="AV435" i="18"/>
  <c r="AU347" i="18"/>
  <c r="AU180" i="18" s="1"/>
  <c r="AU268" i="18"/>
  <c r="AU164" i="18" s="1"/>
  <c r="AU164" i="15" s="1"/>
  <c r="AU158" i="15" s="1"/>
  <c r="AT343" i="18"/>
  <c r="AU433" i="18"/>
  <c r="AT266" i="18"/>
  <c r="AT54" i="18" l="1"/>
  <c r="AT60" i="15"/>
  <c r="AT54" i="15" s="1"/>
  <c r="AU80" i="18"/>
  <c r="AU86" i="15"/>
  <c r="AU80" i="15" s="1"/>
  <c r="AT2" i="18"/>
  <c r="AT8" i="15"/>
  <c r="AT2" i="15" s="1"/>
  <c r="AT265" i="18"/>
  <c r="AT190" i="18"/>
  <c r="AT190" i="15" s="1"/>
  <c r="AT184" i="15" s="1"/>
  <c r="AW436" i="18"/>
  <c r="AV210" i="18"/>
  <c r="AV433" i="18"/>
  <c r="AU343" i="18"/>
  <c r="AU266" i="18"/>
  <c r="AT206" i="18"/>
  <c r="AT334" i="18"/>
  <c r="AW522" i="18"/>
  <c r="AV320" i="18"/>
  <c r="AV71" i="18" s="1"/>
  <c r="AV438" i="18"/>
  <c r="AU350" i="18"/>
  <c r="AU24" i="18" s="1"/>
  <c r="AU271" i="18"/>
  <c r="AU8" i="18" s="1"/>
  <c r="AU8" i="15" s="1"/>
  <c r="AU2" i="15" s="1"/>
  <c r="AT318" i="18"/>
  <c r="AT175" i="18"/>
  <c r="AT158" i="18" s="1"/>
  <c r="AT202" i="18"/>
  <c r="AT322" i="18"/>
  <c r="AV521" i="18"/>
  <c r="AU319" i="18"/>
  <c r="AV525" i="18"/>
  <c r="AU323" i="18"/>
  <c r="AV526" i="18"/>
  <c r="AU324" i="18"/>
  <c r="AU176" i="18" s="1"/>
  <c r="AW435" i="18"/>
  <c r="AV347" i="18"/>
  <c r="AV180" i="18" s="1"/>
  <c r="AV268" i="18"/>
  <c r="AV164" i="18" s="1"/>
  <c r="AV164" i="15" s="1"/>
  <c r="AV158" i="15" s="1"/>
  <c r="AS239" i="18"/>
  <c r="AV528" i="18"/>
  <c r="AU326" i="18"/>
  <c r="AU20" i="18" s="1"/>
  <c r="AV437" i="18"/>
  <c r="AU349" i="18"/>
  <c r="AU76" i="18" s="1"/>
  <c r="AU270" i="18"/>
  <c r="AU60" i="18" s="1"/>
  <c r="AU60" i="15" s="1"/>
  <c r="AU54" i="15" s="1"/>
  <c r="AV523" i="18"/>
  <c r="AU321" i="18"/>
  <c r="AU19" i="18" s="1"/>
  <c r="AS184" i="18"/>
  <c r="AS237" i="18" s="1"/>
  <c r="AV527" i="18"/>
  <c r="AU325" i="18"/>
  <c r="AU72" i="18" s="1"/>
  <c r="AW434" i="18"/>
  <c r="AV346" i="18"/>
  <c r="AV102" i="18" s="1"/>
  <c r="AV267" i="18"/>
  <c r="AV86" i="18" s="1"/>
  <c r="AV80" i="18" l="1"/>
  <c r="AV86" i="15"/>
  <c r="AV80" i="15" s="1"/>
  <c r="AS238" i="18"/>
  <c r="AW527" i="18"/>
  <c r="AV325" i="18"/>
  <c r="AV72" i="18" s="1"/>
  <c r="AW528" i="18"/>
  <c r="AV326" i="18"/>
  <c r="AV20" i="18" s="1"/>
  <c r="AW525" i="18"/>
  <c r="AV323" i="18"/>
  <c r="AU2" i="18"/>
  <c r="AU265" i="18"/>
  <c r="AU239" i="18" s="1"/>
  <c r="AU190" i="18"/>
  <c r="AU190" i="15" s="1"/>
  <c r="AU184" i="15" s="1"/>
  <c r="AU318" i="18"/>
  <c r="AU175" i="18"/>
  <c r="AU158" i="18" s="1"/>
  <c r="AU206" i="18"/>
  <c r="AU334" i="18"/>
  <c r="AW521" i="18"/>
  <c r="AV319" i="18"/>
  <c r="AW438" i="18"/>
  <c r="AV271" i="18"/>
  <c r="AV8" i="18" s="1"/>
  <c r="AV8" i="15" s="1"/>
  <c r="AV2" i="15" s="1"/>
  <c r="AV350" i="18"/>
  <c r="AV24" i="18" s="1"/>
  <c r="AW433" i="18"/>
  <c r="AV343" i="18"/>
  <c r="AV266" i="18"/>
  <c r="AW523" i="18"/>
  <c r="AV321" i="18"/>
  <c r="AV19" i="18" s="1"/>
  <c r="AU322" i="18"/>
  <c r="AU202" i="18"/>
  <c r="AU54" i="18"/>
  <c r="AX435" i="18"/>
  <c r="AW268" i="18"/>
  <c r="AW164" i="18" s="1"/>
  <c r="AW164" i="15" s="1"/>
  <c r="AW158" i="15" s="1"/>
  <c r="AX522" i="18"/>
  <c r="AW320" i="18"/>
  <c r="AW71" i="18" s="1"/>
  <c r="AX436" i="18"/>
  <c r="AW210" i="18"/>
  <c r="AT184" i="18"/>
  <c r="AT237" i="18" s="1"/>
  <c r="AX434" i="18"/>
  <c r="AW346" i="18"/>
  <c r="AW102" i="18" s="1"/>
  <c r="AW267" i="18"/>
  <c r="AW86" i="18" s="1"/>
  <c r="AW437" i="18"/>
  <c r="AV349" i="18"/>
  <c r="AV76" i="18" s="1"/>
  <c r="AV270" i="18"/>
  <c r="AV60" i="18" s="1"/>
  <c r="AW526" i="18"/>
  <c r="AW347" i="18" s="1"/>
  <c r="AW180" i="18" s="1"/>
  <c r="AV324" i="18"/>
  <c r="AV176" i="18" s="1"/>
  <c r="AT239" i="18"/>
  <c r="AW80" i="18" l="1"/>
  <c r="AW86" i="15"/>
  <c r="AW80" i="15" s="1"/>
  <c r="AV54" i="18"/>
  <c r="AV60" i="15"/>
  <c r="AV54" i="15" s="1"/>
  <c r="AX523" i="18"/>
  <c r="AW321" i="18"/>
  <c r="AW19" i="18" s="1"/>
  <c r="AX521" i="18"/>
  <c r="AW319" i="18"/>
  <c r="AV318" i="18"/>
  <c r="AV175" i="18"/>
  <c r="AV158" i="18" s="1"/>
  <c r="AV265" i="18"/>
  <c r="AV239" i="18" s="1"/>
  <c r="AV190" i="18"/>
  <c r="AV190" i="15" s="1"/>
  <c r="AV184" i="15" s="1"/>
  <c r="AV322" i="18"/>
  <c r="AV202" i="18"/>
  <c r="AY434" i="18"/>
  <c r="AX346" i="18"/>
  <c r="AX102" i="18" s="1"/>
  <c r="AX267" i="18"/>
  <c r="AX86" i="18" s="1"/>
  <c r="AY435" i="18"/>
  <c r="AX347" i="18"/>
  <c r="AX180" i="18" s="1"/>
  <c r="AX268" i="18"/>
  <c r="AX164" i="18" s="1"/>
  <c r="AX164" i="15" s="1"/>
  <c r="AX158" i="15" s="1"/>
  <c r="AV206" i="18"/>
  <c r="AV334" i="18"/>
  <c r="AX525" i="18"/>
  <c r="AW323" i="18"/>
  <c r="AY522" i="18"/>
  <c r="AX320" i="18"/>
  <c r="AX71" i="18" s="1"/>
  <c r="AT238" i="18"/>
  <c r="AX433" i="18"/>
  <c r="AW343" i="18"/>
  <c r="AW266" i="18"/>
  <c r="AX526" i="18"/>
  <c r="AW324" i="18"/>
  <c r="AW176" i="18" s="1"/>
  <c r="AX528" i="18"/>
  <c r="AW326" i="18"/>
  <c r="AW20" i="18" s="1"/>
  <c r="AX437" i="18"/>
  <c r="AW349" i="18"/>
  <c r="AW76" i="18" s="1"/>
  <c r="AW270" i="18"/>
  <c r="AW60" i="18" s="1"/>
  <c r="AW60" i="15" s="1"/>
  <c r="AW54" i="15" s="1"/>
  <c r="AY436" i="18"/>
  <c r="AX210" i="18"/>
  <c r="AV2" i="18"/>
  <c r="AX438" i="18"/>
  <c r="AW350" i="18"/>
  <c r="AW24" i="18" s="1"/>
  <c r="AW271" i="18"/>
  <c r="AW8" i="18" s="1"/>
  <c r="AW8" i="15" s="1"/>
  <c r="AW2" i="15" s="1"/>
  <c r="AU184" i="18"/>
  <c r="AU237" i="18" s="1"/>
  <c r="AX527" i="18"/>
  <c r="AW325" i="18"/>
  <c r="AW72" i="18" s="1"/>
  <c r="AX80" i="18" l="1"/>
  <c r="AX86" i="15"/>
  <c r="AX80" i="15" s="1"/>
  <c r="AU238" i="18"/>
  <c r="AY438" i="18"/>
  <c r="AX271" i="18"/>
  <c r="AX8" i="18" s="1"/>
  <c r="AX8" i="15" s="1"/>
  <c r="AX2" i="15" s="1"/>
  <c r="AX350" i="18"/>
  <c r="AX24" i="18" s="1"/>
  <c r="AY528" i="18"/>
  <c r="AX326" i="18"/>
  <c r="AX20" i="18" s="1"/>
  <c r="AZ435" i="18"/>
  <c r="AY347" i="18"/>
  <c r="AY180" i="18" s="1"/>
  <c r="AY268" i="18"/>
  <c r="AY164" i="18" s="1"/>
  <c r="AY164" i="15" s="1"/>
  <c r="AY158" i="15" s="1"/>
  <c r="AZ522" i="18"/>
  <c r="AY320" i="18"/>
  <c r="AY71" i="18" s="1"/>
  <c r="AW322" i="18"/>
  <c r="AW202" i="18"/>
  <c r="AW318" i="18"/>
  <c r="AW175" i="18"/>
  <c r="AW158" i="18" s="1"/>
  <c r="AZ436" i="18"/>
  <c r="AY210" i="18"/>
  <c r="AY526" i="18"/>
  <c r="AX324" i="18"/>
  <c r="AX176" i="18" s="1"/>
  <c r="AY525" i="18"/>
  <c r="AX323" i="18"/>
  <c r="AZ434" i="18"/>
  <c r="AY346" i="18"/>
  <c r="AY102" i="18" s="1"/>
  <c r="AY267" i="18"/>
  <c r="AY86" i="18" s="1"/>
  <c r="AY521" i="18"/>
  <c r="AX319" i="18"/>
  <c r="AY527" i="18"/>
  <c r="AX325" i="18"/>
  <c r="AX72" i="18" s="1"/>
  <c r="AW54" i="18"/>
  <c r="AW265" i="18"/>
  <c r="AW239" i="18" s="1"/>
  <c r="AW190" i="18"/>
  <c r="AW190" i="15" s="1"/>
  <c r="AW184" i="15" s="1"/>
  <c r="AW206" i="18"/>
  <c r="AW334" i="18"/>
  <c r="AY523" i="18"/>
  <c r="AX321" i="18"/>
  <c r="AX19" i="18" s="1"/>
  <c r="AW2" i="18"/>
  <c r="AY437" i="18"/>
  <c r="AX349" i="18"/>
  <c r="AX76" i="18" s="1"/>
  <c r="AX270" i="18"/>
  <c r="AX60" i="18" s="1"/>
  <c r="AY433" i="18"/>
  <c r="AX343" i="18"/>
  <c r="AX266" i="18"/>
  <c r="AV184" i="18"/>
  <c r="AV237" i="18" s="1"/>
  <c r="AY80" i="18" l="1"/>
  <c r="AY86" i="15"/>
  <c r="AY80" i="15" s="1"/>
  <c r="AX54" i="18"/>
  <c r="AX60" i="15"/>
  <c r="AX54" i="15" s="1"/>
  <c r="AV238" i="18"/>
  <c r="AW184" i="18"/>
  <c r="AW237" i="18" s="1"/>
  <c r="BA434" i="18"/>
  <c r="AZ346" i="18"/>
  <c r="AZ102" i="18" s="1"/>
  <c r="AZ267" i="18"/>
  <c r="AZ86" i="18" s="1"/>
  <c r="BA435" i="18"/>
  <c r="AZ268" i="18"/>
  <c r="AZ164" i="18" s="1"/>
  <c r="AZ164" i="15" s="1"/>
  <c r="AZ158" i="15" s="1"/>
  <c r="AZ437" i="18"/>
  <c r="AY349" i="18"/>
  <c r="AY76" i="18" s="1"/>
  <c r="AY270" i="18"/>
  <c r="AY60" i="18" s="1"/>
  <c r="AY60" i="15" s="1"/>
  <c r="AY54" i="15" s="1"/>
  <c r="AX322" i="18"/>
  <c r="AX202" i="18"/>
  <c r="AZ525" i="18"/>
  <c r="AY323" i="18"/>
  <c r="AZ528" i="18"/>
  <c r="AY326" i="18"/>
  <c r="AY20" i="18" s="1"/>
  <c r="AZ433" i="18"/>
  <c r="AY343" i="18"/>
  <c r="AY266" i="18"/>
  <c r="AZ527" i="18"/>
  <c r="AY325" i="18"/>
  <c r="AY72" i="18" s="1"/>
  <c r="BA436" i="18"/>
  <c r="AZ210" i="18"/>
  <c r="AX265" i="18"/>
  <c r="AX190" i="18"/>
  <c r="AX190" i="15" s="1"/>
  <c r="AX184" i="15" s="1"/>
  <c r="AZ523" i="18"/>
  <c r="AY321" i="18"/>
  <c r="AY19" i="18" s="1"/>
  <c r="AX318" i="18"/>
  <c r="AX175" i="18"/>
  <c r="AX158" i="18" s="1"/>
  <c r="AZ526" i="18"/>
  <c r="AY324" i="18"/>
  <c r="AY176" i="18" s="1"/>
  <c r="AX2" i="18"/>
  <c r="AX206" i="18"/>
  <c r="AX334" i="18"/>
  <c r="AZ521" i="18"/>
  <c r="AZ347" i="18" s="1"/>
  <c r="AZ180" i="18" s="1"/>
  <c r="AY319" i="18"/>
  <c r="BA522" i="18"/>
  <c r="AZ320" i="18"/>
  <c r="AZ71" i="18" s="1"/>
  <c r="AZ438" i="18"/>
  <c r="AY350" i="18"/>
  <c r="AY24" i="18" s="1"/>
  <c r="AY271" i="18"/>
  <c r="AY8" i="18" s="1"/>
  <c r="AY2" i="18" l="1"/>
  <c r="AY8" i="15"/>
  <c r="AY2" i="15" s="1"/>
  <c r="AZ80" i="18"/>
  <c r="AZ86" i="15"/>
  <c r="AZ80" i="15" s="1"/>
  <c r="AW238" i="18"/>
  <c r="BB522" i="18"/>
  <c r="BA320" i="18"/>
  <c r="BA71" i="18" s="1"/>
  <c r="BA526" i="18"/>
  <c r="AZ324" i="18"/>
  <c r="AZ176" i="18" s="1"/>
  <c r="BB436" i="18"/>
  <c r="BA210" i="18"/>
  <c r="AY322" i="18"/>
  <c r="AY202" i="18"/>
  <c r="BA525" i="18"/>
  <c r="AZ323" i="18"/>
  <c r="AY318" i="18"/>
  <c r="AY175" i="18"/>
  <c r="AY158" i="18" s="1"/>
  <c r="BA527" i="18"/>
  <c r="AZ325" i="18"/>
  <c r="AZ72" i="18" s="1"/>
  <c r="BB435" i="18"/>
  <c r="BA268" i="18"/>
  <c r="BA164" i="18" s="1"/>
  <c r="BA164" i="15" s="1"/>
  <c r="BA158" i="15" s="1"/>
  <c r="BA437" i="18"/>
  <c r="AZ349" i="18"/>
  <c r="AZ76" i="18" s="1"/>
  <c r="AZ270" i="18"/>
  <c r="AZ60" i="18" s="1"/>
  <c r="AZ60" i="15" s="1"/>
  <c r="AZ54" i="15" s="1"/>
  <c r="BA521" i="18"/>
  <c r="BA347" i="18" s="1"/>
  <c r="BA180" i="18" s="1"/>
  <c r="AZ319" i="18"/>
  <c r="AY190" i="18"/>
  <c r="AY190" i="15" s="1"/>
  <c r="AY184" i="15" s="1"/>
  <c r="AY265" i="18"/>
  <c r="BA528" i="18"/>
  <c r="AZ326" i="18"/>
  <c r="AZ20" i="18" s="1"/>
  <c r="BA523" i="18"/>
  <c r="AZ321" i="18"/>
  <c r="AZ19" i="18" s="1"/>
  <c r="AY206" i="18"/>
  <c r="AY334" i="18"/>
  <c r="AX184" i="18"/>
  <c r="AX237" i="18" s="1"/>
  <c r="BA433" i="18"/>
  <c r="AZ343" i="18"/>
  <c r="AZ266" i="18"/>
  <c r="AY54" i="18"/>
  <c r="BB434" i="18"/>
  <c r="BA346" i="18"/>
  <c r="BA102" i="18" s="1"/>
  <c r="BA267" i="18"/>
  <c r="BA86" i="18" s="1"/>
  <c r="BA86" i="15" s="1"/>
  <c r="BA80" i="15" s="1"/>
  <c r="BA438" i="18"/>
  <c r="AZ350" i="18"/>
  <c r="AZ24" i="18" s="1"/>
  <c r="AZ271" i="18"/>
  <c r="AZ8" i="18" s="1"/>
  <c r="AZ8" i="15" s="1"/>
  <c r="AZ2" i="15" s="1"/>
  <c r="AX239" i="18"/>
  <c r="AX238" i="18" l="1"/>
  <c r="BB527" i="18"/>
  <c r="BA325" i="18"/>
  <c r="BA72" i="18" s="1"/>
  <c r="BC434" i="18"/>
  <c r="BB346" i="18"/>
  <c r="BB102" i="18" s="1"/>
  <c r="BB267" i="18"/>
  <c r="BB86" i="18" s="1"/>
  <c r="AZ54" i="18"/>
  <c r="AZ190" i="18"/>
  <c r="AZ190" i="15" s="1"/>
  <c r="AZ184" i="15" s="1"/>
  <c r="AZ265" i="18"/>
  <c r="BB437" i="18"/>
  <c r="BA349" i="18"/>
  <c r="BA76" i="18" s="1"/>
  <c r="BA270" i="18"/>
  <c r="BA60" i="18" s="1"/>
  <c r="AZ322" i="18"/>
  <c r="AZ202" i="18"/>
  <c r="BC436" i="18"/>
  <c r="BB210" i="18"/>
  <c r="AZ2" i="18"/>
  <c r="AZ206" i="18"/>
  <c r="AZ334" i="18"/>
  <c r="BB528" i="18"/>
  <c r="BA326" i="18"/>
  <c r="BA20" i="18" s="1"/>
  <c r="BB525" i="18"/>
  <c r="BA323" i="18"/>
  <c r="BB526" i="18"/>
  <c r="BA324" i="18"/>
  <c r="BA176" i="18" s="1"/>
  <c r="BB523" i="18"/>
  <c r="BA321" i="18"/>
  <c r="BA19" i="18" s="1"/>
  <c r="BB433" i="18"/>
  <c r="BA266" i="18"/>
  <c r="BA343" i="18"/>
  <c r="AY239" i="18"/>
  <c r="BB521" i="18"/>
  <c r="BA319" i="18"/>
  <c r="AY184" i="18"/>
  <c r="AY237" i="18" s="1"/>
  <c r="BC435" i="18"/>
  <c r="BB347" i="18"/>
  <c r="BB180" i="18" s="1"/>
  <c r="BB268" i="18"/>
  <c r="BB164" i="18" s="1"/>
  <c r="BB164" i="15" s="1"/>
  <c r="BB158" i="15" s="1"/>
  <c r="BC522" i="18"/>
  <c r="BB320" i="18"/>
  <c r="BB71" i="18" s="1"/>
  <c r="BB438" i="18"/>
  <c r="BA350" i="18"/>
  <c r="BA24" i="18" s="1"/>
  <c r="BA271" i="18"/>
  <c r="BA8" i="18" s="1"/>
  <c r="BA8" i="15" s="1"/>
  <c r="BA2" i="15" s="1"/>
  <c r="BA80" i="18"/>
  <c r="AZ318" i="18"/>
  <c r="AZ175" i="18"/>
  <c r="AZ158" i="18" s="1"/>
  <c r="BB80" i="18" l="1"/>
  <c r="BB86" i="15"/>
  <c r="BB80" i="15" s="1"/>
  <c r="BA54" i="18"/>
  <c r="BA60" i="15"/>
  <c r="BA54" i="15" s="1"/>
  <c r="BA322" i="18"/>
  <c r="BA202" i="18"/>
  <c r="AZ184" i="18"/>
  <c r="AZ237" i="18" s="1"/>
  <c r="BD522" i="18"/>
  <c r="BC320" i="18"/>
  <c r="BC71" i="18" s="1"/>
  <c r="BA206" i="18"/>
  <c r="BA334" i="18"/>
  <c r="BC525" i="18"/>
  <c r="BB323" i="18"/>
  <c r="BD436" i="18"/>
  <c r="BC210" i="18"/>
  <c r="BD435" i="18"/>
  <c r="BC268" i="18"/>
  <c r="BC164" i="18" s="1"/>
  <c r="BC164" i="15" s="1"/>
  <c r="BC158" i="15" s="1"/>
  <c r="BC528" i="18"/>
  <c r="BB326" i="18"/>
  <c r="BB20" i="18" s="1"/>
  <c r="BC433" i="18"/>
  <c r="BB343" i="18"/>
  <c r="BB266" i="18"/>
  <c r="BA2" i="18"/>
  <c r="AY238" i="18"/>
  <c r="BC523" i="18"/>
  <c r="BB321" i="18"/>
  <c r="BB19" i="18" s="1"/>
  <c r="BD434" i="18"/>
  <c r="BC346" i="18"/>
  <c r="BC102" i="18" s="1"/>
  <c r="BC267" i="18"/>
  <c r="BC86" i="18" s="1"/>
  <c r="BA318" i="18"/>
  <c r="BA175" i="18"/>
  <c r="BA158" i="18" s="1"/>
  <c r="BC437" i="18"/>
  <c r="BB349" i="18"/>
  <c r="BB76" i="18" s="1"/>
  <c r="BB270" i="18"/>
  <c r="BB60" i="18" s="1"/>
  <c r="BB60" i="15" s="1"/>
  <c r="BB54" i="15" s="1"/>
  <c r="BA265" i="18"/>
  <c r="BA190" i="18"/>
  <c r="BA190" i="15" s="1"/>
  <c r="BA184" i="15" s="1"/>
  <c r="BB350" i="18"/>
  <c r="BB24" i="18" s="1"/>
  <c r="BB271" i="18"/>
  <c r="BB8" i="18" s="1"/>
  <c r="BC438" i="18"/>
  <c r="BC521" i="18"/>
  <c r="BB319" i="18"/>
  <c r="BC526" i="18"/>
  <c r="BB324" i="18"/>
  <c r="BB176" i="18" s="1"/>
  <c r="AZ239" i="18"/>
  <c r="BC527" i="18"/>
  <c r="BB325" i="18"/>
  <c r="BB72" i="18" s="1"/>
  <c r="BB2" i="18" l="1"/>
  <c r="BB8" i="15"/>
  <c r="BB2" i="15" s="1"/>
  <c r="BC80" i="18"/>
  <c r="BC86" i="15"/>
  <c r="BC80" i="15" s="1"/>
  <c r="BB318" i="18"/>
  <c r="BB175" i="18"/>
  <c r="BB158" i="18" s="1"/>
  <c r="BD523" i="18"/>
  <c r="BC321" i="18"/>
  <c r="BC19" i="18" s="1"/>
  <c r="BD521" i="18"/>
  <c r="BD347" i="18" s="1"/>
  <c r="BD180" i="18" s="1"/>
  <c r="BC319" i="18"/>
  <c r="BD437" i="18"/>
  <c r="BC349" i="18"/>
  <c r="BC76" i="18" s="1"/>
  <c r="BC270" i="18"/>
  <c r="BC60" i="18" s="1"/>
  <c r="BC60" i="15" s="1"/>
  <c r="BC54" i="15" s="1"/>
  <c r="BC347" i="18"/>
  <c r="BC180" i="18" s="1"/>
  <c r="BD527" i="18"/>
  <c r="BC325" i="18"/>
  <c r="BC72" i="18" s="1"/>
  <c r="BB206" i="18"/>
  <c r="BB334" i="18"/>
  <c r="AZ238" i="18"/>
  <c r="BD438" i="18"/>
  <c r="BC350" i="18"/>
  <c r="BC24" i="18" s="1"/>
  <c r="BC271" i="18"/>
  <c r="BC8" i="18" s="1"/>
  <c r="BC8" i="15" s="1"/>
  <c r="BC2" i="15" s="1"/>
  <c r="BE435" i="18"/>
  <c r="BD268" i="18"/>
  <c r="BD164" i="18" s="1"/>
  <c r="BD164" i="15" s="1"/>
  <c r="BD158" i="15" s="1"/>
  <c r="BB265" i="18"/>
  <c r="BB190" i="18"/>
  <c r="BB190" i="15" s="1"/>
  <c r="BB184" i="15" s="1"/>
  <c r="BE522" i="18"/>
  <c r="BD320" i="18"/>
  <c r="BD71" i="18" s="1"/>
  <c r="BA184" i="18"/>
  <c r="BA237" i="18" s="1"/>
  <c r="BD433" i="18"/>
  <c r="BC343" i="18"/>
  <c r="BC266" i="18"/>
  <c r="BE436" i="18"/>
  <c r="BD210" i="18"/>
  <c r="BA239" i="18"/>
  <c r="BE434" i="18"/>
  <c r="BD346" i="18"/>
  <c r="BD102" i="18" s="1"/>
  <c r="BD267" i="18"/>
  <c r="BD86" i="18" s="1"/>
  <c r="BD86" i="15" s="1"/>
  <c r="BD80" i="15" s="1"/>
  <c r="BB322" i="18"/>
  <c r="BB202" i="18"/>
  <c r="BD526" i="18"/>
  <c r="BC324" i="18"/>
  <c r="BC176" i="18" s="1"/>
  <c r="BB54" i="18"/>
  <c r="BD528" i="18"/>
  <c r="BC326" i="18"/>
  <c r="BC20" i="18" s="1"/>
  <c r="BD525" i="18"/>
  <c r="BC323" i="18"/>
  <c r="BA238" i="18" l="1"/>
  <c r="BE526" i="18"/>
  <c r="BD324" i="18"/>
  <c r="BD176" i="18" s="1"/>
  <c r="BF436" i="18"/>
  <c r="BE210" i="18"/>
  <c r="BB239" i="18"/>
  <c r="BE437" i="18"/>
  <c r="BD349" i="18"/>
  <c r="BD76" i="18" s="1"/>
  <c r="BD270" i="18"/>
  <c r="BD60" i="18" s="1"/>
  <c r="BD60" i="15" s="1"/>
  <c r="BD54" i="15" s="1"/>
  <c r="BC322" i="18"/>
  <c r="BC202" i="18"/>
  <c r="BC265" i="18"/>
  <c r="BC190" i="18"/>
  <c r="BC318" i="18"/>
  <c r="BC175" i="18"/>
  <c r="BC158" i="18" s="1"/>
  <c r="BF435" i="18"/>
  <c r="BE268" i="18"/>
  <c r="BE164" i="18" s="1"/>
  <c r="BE164" i="15" s="1"/>
  <c r="BE158" i="15" s="1"/>
  <c r="BE525" i="18"/>
  <c r="BD323" i="18"/>
  <c r="BD80" i="18"/>
  <c r="BE433" i="18"/>
  <c r="BD343" i="18"/>
  <c r="BD266" i="18"/>
  <c r="BC206" i="18"/>
  <c r="BC334" i="18"/>
  <c r="BC2" i="18"/>
  <c r="BE527" i="18"/>
  <c r="BD325" i="18"/>
  <c r="BD72" i="18" s="1"/>
  <c r="BE528" i="18"/>
  <c r="BD326" i="18"/>
  <c r="BD20" i="18" s="1"/>
  <c r="BF434" i="18"/>
  <c r="BE346" i="18"/>
  <c r="BE102" i="18" s="1"/>
  <c r="BE267" i="18"/>
  <c r="BE86" i="18" s="1"/>
  <c r="BE523" i="18"/>
  <c r="BD321" i="18"/>
  <c r="BD19" i="18" s="1"/>
  <c r="BE521" i="18"/>
  <c r="BD319" i="18"/>
  <c r="BF522" i="18"/>
  <c r="BE320" i="18"/>
  <c r="BE71" i="18" s="1"/>
  <c r="BE438" i="18"/>
  <c r="BD350" i="18"/>
  <c r="BD24" i="18" s="1"/>
  <c r="BD271" i="18"/>
  <c r="BD8" i="18" s="1"/>
  <c r="BD8" i="15" s="1"/>
  <c r="BD2" i="15" s="1"/>
  <c r="BB184" i="18"/>
  <c r="BB237" i="18" s="1"/>
  <c r="BC54" i="18"/>
  <c r="BC184" i="18" l="1"/>
  <c r="BC190" i="15"/>
  <c r="BC184" i="15" s="1"/>
  <c r="BE80" i="18"/>
  <c r="BE86" i="15"/>
  <c r="BE80" i="15" s="1"/>
  <c r="BB238" i="18"/>
  <c r="BG522" i="18"/>
  <c r="BF320" i="18"/>
  <c r="BF71" i="18" s="1"/>
  <c r="BD206" i="18"/>
  <c r="BD334" i="18"/>
  <c r="BD318" i="18"/>
  <c r="BD175" i="18"/>
  <c r="BD158" i="18" s="1"/>
  <c r="BF528" i="18"/>
  <c r="BE326" i="18"/>
  <c r="BE20" i="18" s="1"/>
  <c r="BE343" i="18"/>
  <c r="BF433" i="18"/>
  <c r="BE266" i="18"/>
  <c r="BF437" i="18"/>
  <c r="BE349" i="18"/>
  <c r="BE76" i="18" s="1"/>
  <c r="BE270" i="18"/>
  <c r="BE60" i="18" s="1"/>
  <c r="BE60" i="15" s="1"/>
  <c r="BE54" i="15" s="1"/>
  <c r="BF521" i="18"/>
  <c r="BE319" i="18"/>
  <c r="BF527" i="18"/>
  <c r="BE325" i="18"/>
  <c r="BE72" i="18" s="1"/>
  <c r="BD322" i="18"/>
  <c r="BD202" i="18"/>
  <c r="BC237" i="18"/>
  <c r="BD2" i="18"/>
  <c r="BF523" i="18"/>
  <c r="BE321" i="18"/>
  <c r="BE19" i="18" s="1"/>
  <c r="BF525" i="18"/>
  <c r="BE323" i="18"/>
  <c r="BC239" i="18"/>
  <c r="BG436" i="18"/>
  <c r="BF210" i="18"/>
  <c r="BF438" i="18"/>
  <c r="BE350" i="18"/>
  <c r="BE24" i="18" s="1"/>
  <c r="BE271" i="18"/>
  <c r="BE8" i="18" s="1"/>
  <c r="BE8" i="15" s="1"/>
  <c r="BE2" i="15" s="1"/>
  <c r="BE347" i="18"/>
  <c r="BE180" i="18" s="1"/>
  <c r="BF526" i="18"/>
  <c r="BE324" i="18"/>
  <c r="BE176" i="18" s="1"/>
  <c r="BG434" i="18"/>
  <c r="BF346" i="18"/>
  <c r="BF102" i="18" s="1"/>
  <c r="BF267" i="18"/>
  <c r="BF86" i="18" s="1"/>
  <c r="BD265" i="18"/>
  <c r="BD190" i="18"/>
  <c r="BD190" i="15" s="1"/>
  <c r="BD184" i="15" s="1"/>
  <c r="BG435" i="18"/>
  <c r="BF347" i="18"/>
  <c r="BF180" i="18" s="1"/>
  <c r="BF268" i="18"/>
  <c r="BF164" i="18" s="1"/>
  <c r="BF164" i="15" s="1"/>
  <c r="BF158" i="15" s="1"/>
  <c r="BD54" i="18"/>
  <c r="BF80" i="18" l="1"/>
  <c r="BF86" i="15"/>
  <c r="BF80" i="15" s="1"/>
  <c r="BE158" i="18"/>
  <c r="BE265" i="18"/>
  <c r="BE190" i="18"/>
  <c r="BE190" i="15" s="1"/>
  <c r="BE184" i="15" s="1"/>
  <c r="BG438" i="18"/>
  <c r="BF350" i="18"/>
  <c r="BF24" i="18" s="1"/>
  <c r="BF271" i="18"/>
  <c r="BF8" i="18" s="1"/>
  <c r="BF8" i="15" s="1"/>
  <c r="BF2" i="15" s="1"/>
  <c r="BG521" i="18"/>
  <c r="BF319" i="18"/>
  <c r="BG528" i="18"/>
  <c r="BF326" i="18"/>
  <c r="BF20" i="18" s="1"/>
  <c r="BH434" i="18"/>
  <c r="BG346" i="18"/>
  <c r="BG102" i="18" s="1"/>
  <c r="BG267" i="18"/>
  <c r="BG86" i="18" s="1"/>
  <c r="BE54" i="18"/>
  <c r="BE322" i="18"/>
  <c r="BE202" i="18"/>
  <c r="BE318" i="18"/>
  <c r="BE175" i="18"/>
  <c r="BH436" i="18"/>
  <c r="BH210" i="18" s="1"/>
  <c r="BG210" i="18"/>
  <c r="BC238" i="18"/>
  <c r="BG523" i="18"/>
  <c r="BF321" i="18"/>
  <c r="BF19" i="18" s="1"/>
  <c r="BG526" i="18"/>
  <c r="BF324" i="18"/>
  <c r="BF176" i="18" s="1"/>
  <c r="BF349" i="18"/>
  <c r="BF76" i="18" s="1"/>
  <c r="BG437" i="18"/>
  <c r="BF270" i="18"/>
  <c r="BF60" i="18" s="1"/>
  <c r="BF60" i="15" s="1"/>
  <c r="BF54" i="15" s="1"/>
  <c r="BH435" i="18"/>
  <c r="BG347" i="18"/>
  <c r="BG180" i="18" s="1"/>
  <c r="BG268" i="18"/>
  <c r="BG164" i="18" s="1"/>
  <c r="BG164" i="15" s="1"/>
  <c r="BG158" i="15" s="1"/>
  <c r="BD184" i="18"/>
  <c r="BD237" i="18" s="1"/>
  <c r="BE2" i="18"/>
  <c r="BG525" i="18"/>
  <c r="BF323" i="18"/>
  <c r="BF343" i="18"/>
  <c r="BG433" i="18"/>
  <c r="BF266" i="18"/>
  <c r="BD239" i="18"/>
  <c r="BG527" i="18"/>
  <c r="BF325" i="18"/>
  <c r="BF72" i="18" s="1"/>
  <c r="BE206" i="18"/>
  <c r="BE334" i="18"/>
  <c r="BH522" i="18"/>
  <c r="BH320" i="18" s="1"/>
  <c r="BH71" i="18" s="1"/>
  <c r="BG320" i="18"/>
  <c r="BG71" i="18" s="1"/>
  <c r="BG80" i="18" l="1"/>
  <c r="BG86" i="15"/>
  <c r="BG80" i="15" s="1"/>
  <c r="BH433" i="18"/>
  <c r="BG343" i="18"/>
  <c r="BG266" i="18"/>
  <c r="BH268" i="18"/>
  <c r="BH164" i="18" s="1"/>
  <c r="BH164" i="15" s="1"/>
  <c r="BH158" i="15" s="1"/>
  <c r="BH521" i="18"/>
  <c r="BH319" i="18" s="1"/>
  <c r="BG319" i="18"/>
  <c r="BH528" i="18"/>
  <c r="BH326" i="18" s="1"/>
  <c r="BH20" i="18" s="1"/>
  <c r="BG326" i="18"/>
  <c r="BG20" i="18" s="1"/>
  <c r="BH523" i="18"/>
  <c r="BH321" i="18" s="1"/>
  <c r="BH19" i="18" s="1"/>
  <c r="BG321" i="18"/>
  <c r="BG19" i="18" s="1"/>
  <c r="BF206" i="18"/>
  <c r="BF334" i="18"/>
  <c r="BF54" i="18"/>
  <c r="BF2" i="18"/>
  <c r="BF202" i="18"/>
  <c r="BF322" i="18"/>
  <c r="BH437" i="18"/>
  <c r="BG349" i="18"/>
  <c r="BG76" i="18" s="1"/>
  <c r="BG270" i="18"/>
  <c r="BG60" i="18" s="1"/>
  <c r="BG60" i="15" s="1"/>
  <c r="BG54" i="15" s="1"/>
  <c r="BF265" i="18"/>
  <c r="BF190" i="18"/>
  <c r="BF318" i="18"/>
  <c r="BF175" i="18"/>
  <c r="BF158" i="18" s="1"/>
  <c r="BH525" i="18"/>
  <c r="BH323" i="18" s="1"/>
  <c r="BG323" i="18"/>
  <c r="BH438" i="18"/>
  <c r="BG350" i="18"/>
  <c r="BG24" i="18" s="1"/>
  <c r="BG271" i="18"/>
  <c r="BG8" i="18" s="1"/>
  <c r="BG8" i="15" s="1"/>
  <c r="BG2" i="15" s="1"/>
  <c r="BH346" i="18"/>
  <c r="BH102" i="18" s="1"/>
  <c r="BH267" i="18"/>
  <c r="BH86" i="18" s="1"/>
  <c r="BH86" i="15" s="1"/>
  <c r="BH80" i="15" s="1"/>
  <c r="BE184" i="18"/>
  <c r="BE237" i="18" s="1"/>
  <c r="BH527" i="18"/>
  <c r="BH325" i="18" s="1"/>
  <c r="BH72" i="18" s="1"/>
  <c r="BG325" i="18"/>
  <c r="BG72" i="18" s="1"/>
  <c r="BD238" i="18"/>
  <c r="BH526" i="18"/>
  <c r="BH324" i="18" s="1"/>
  <c r="BH176" i="18" s="1"/>
  <c r="BG324" i="18"/>
  <c r="BG176" i="18" s="1"/>
  <c r="BE239" i="18"/>
  <c r="BF184" i="18" l="1"/>
  <c r="BF190" i="15"/>
  <c r="BF184" i="15" s="1"/>
  <c r="BG318" i="18"/>
  <c r="BG175" i="18"/>
  <c r="BG158" i="18" s="1"/>
  <c r="BH350" i="18"/>
  <c r="BH24" i="18" s="1"/>
  <c r="BH271" i="18"/>
  <c r="BH8" i="18" s="1"/>
  <c r="BH8" i="15" s="1"/>
  <c r="BH2" i="15" s="1"/>
  <c r="BH318" i="18"/>
  <c r="BH175" i="18"/>
  <c r="BH158" i="18" s="1"/>
  <c r="BG322" i="18"/>
  <c r="BG202" i="18"/>
  <c r="BG54" i="18"/>
  <c r="BH322" i="18"/>
  <c r="BH202" i="18"/>
  <c r="BH349" i="18"/>
  <c r="BH76" i="18" s="1"/>
  <c r="BH270" i="18"/>
  <c r="BH60" i="18" s="1"/>
  <c r="BH60" i="15" s="1"/>
  <c r="BH54" i="15" s="1"/>
  <c r="BH347" i="18"/>
  <c r="BH180" i="18" s="1"/>
  <c r="BE238" i="18"/>
  <c r="BG265" i="18"/>
  <c r="BG190" i="18"/>
  <c r="BG190" i="15" s="1"/>
  <c r="BG184" i="15" s="1"/>
  <c r="BH80" i="18"/>
  <c r="BG206" i="18"/>
  <c r="BG334" i="18"/>
  <c r="BF237" i="18"/>
  <c r="BH343" i="18"/>
  <c r="BH266" i="18"/>
  <c r="BG2" i="18"/>
  <c r="BF239" i="18"/>
  <c r="BF238" i="18" l="1"/>
  <c r="BH265" i="18"/>
  <c r="BH190" i="18"/>
  <c r="BH190" i="15" s="1"/>
  <c r="BH184" i="15" s="1"/>
  <c r="BH54" i="18"/>
  <c r="BH206" i="18"/>
  <c r="BH334" i="18"/>
  <c r="BH2" i="18"/>
  <c r="BG184" i="18"/>
  <c r="BG237" i="18" s="1"/>
  <c r="BG239" i="18"/>
  <c r="BG238" i="18" l="1"/>
  <c r="BH184" i="18"/>
  <c r="BH237" i="18" s="1"/>
  <c r="BH239" i="18"/>
  <c r="BH238" i="18" l="1"/>
  <c r="C2" i="15" l="1"/>
</calcChain>
</file>

<file path=xl/sharedStrings.xml><?xml version="1.0" encoding="utf-8"?>
<sst xmlns="http://schemas.openxmlformats.org/spreadsheetml/2006/main" count="1633" uniqueCount="178">
  <si>
    <t>BIFUbC BAU Industrial Fuel Use before CCS</t>
  </si>
  <si>
    <t>Sources:</t>
  </si>
  <si>
    <t>Energy consumption (agriculture and industry)</t>
  </si>
  <si>
    <t>Energy Ministry (SENER)</t>
  </si>
  <si>
    <t>National Energy Balance 2023</t>
  </si>
  <si>
    <t>https://www.gob.mx/cms/uploads/attachment/file/977268/Balance_Nacional_de_Energ_a_2023.FINAL06.02.2025.1.pdf</t>
  </si>
  <si>
    <t>Cuadro A.18 Agriculture</t>
  </si>
  <si>
    <t>Cuadro A.15 Industry</t>
  </si>
  <si>
    <t>Energy consumption by end use (residential, commercial &amp; public)</t>
  </si>
  <si>
    <t>National Council of Humanities, Sciences and Technologies (Conahcyt)</t>
  </si>
  <si>
    <t>Energy futures for Mexico by 2050 The path to a just and sustainable energy transition</t>
  </si>
  <si>
    <t>https://conahcyt.mx/wp-content/uploads/pronaces/micrositios/energia_y_cambio_climatico/energia/cuadernos_tematicos/Cuaderno_9.pdf</t>
  </si>
  <si>
    <t>EPS V4.0 </t>
  </si>
  <si>
    <t>agriculture and forestry 01T03 </t>
  </si>
  <si>
    <t>coal mining 05 </t>
  </si>
  <si>
    <t>oil and gas extraction 06 </t>
  </si>
  <si>
    <t>other mining and quarrying 07T08 </t>
  </si>
  <si>
    <t>food beverage and tobacco 10T12 </t>
  </si>
  <si>
    <t>textiles apparel and leather 13T15 </t>
  </si>
  <si>
    <t>wood products 16 </t>
  </si>
  <si>
    <t>pulp paper and printing 17T18 </t>
  </si>
  <si>
    <t>refined petroleum and coke 19 </t>
  </si>
  <si>
    <t>chemicals 20 </t>
  </si>
  <si>
    <t>rubber and plastic products 22 </t>
  </si>
  <si>
    <t>glass and glass products 231 </t>
  </si>
  <si>
    <t>cement and other nonmetallic minerals 239 </t>
  </si>
  <si>
    <t>iron and steel 241 </t>
  </si>
  <si>
    <t>other metals 242 </t>
  </si>
  <si>
    <t>metal products except machinery and vehicles 25 </t>
  </si>
  <si>
    <t>computers and electronics 26 </t>
  </si>
  <si>
    <t>appliances and electrical equipment 27 </t>
  </si>
  <si>
    <t>other machinery 28 </t>
  </si>
  <si>
    <t>road vehicles 29 </t>
  </si>
  <si>
    <t>nonroad vehicles 30 </t>
  </si>
  <si>
    <t>other manufacturing 31T33 </t>
  </si>
  <si>
    <t>energy pipelines and gas processing 352T353 </t>
  </si>
  <si>
    <t>water and waste 36T39 </t>
  </si>
  <si>
    <t>Unit conversion</t>
  </si>
  <si>
    <t>BTU/PJ</t>
  </si>
  <si>
    <t>BEP</t>
  </si>
  <si>
    <t>BTU</t>
  </si>
  <si>
    <t>PJ</t>
  </si>
  <si>
    <t>Source: https://dof.gob.mx/nota_detalle.php?codigo=5278970&amp;fecha=23/11/2012#gsc.tab=0</t>
  </si>
  <si>
    <t>Gas licuado</t>
  </si>
  <si>
    <t>Queroseno</t>
  </si>
  <si>
    <t>Diésel</t>
  </si>
  <si>
    <t>Electricidad</t>
  </si>
  <si>
    <r>
      <rPr>
        <sz val="10.5"/>
        <color rgb="FFFFFFFF"/>
        <rFont val="Arial Black"/>
        <family val="2"/>
      </rPr>
      <t>Total Sector Industrial</t>
    </r>
  </si>
  <si>
    <r>
      <rPr>
        <sz val="10.5"/>
        <color rgb="FFFFFFFF"/>
        <rFont val="Arial Black"/>
        <family val="2"/>
      </rPr>
      <t>Coque total</t>
    </r>
  </si>
  <si>
    <r>
      <rPr>
        <sz val="10.5"/>
        <color rgb="FFFFFFFF"/>
        <rFont val="Arial Black"/>
        <family val="2"/>
      </rPr>
      <t>Coque de carbón</t>
    </r>
  </si>
  <si>
    <r>
      <rPr>
        <sz val="10.5"/>
        <color rgb="FFFFFFFF"/>
        <rFont val="Arial Black"/>
        <family val="2"/>
      </rPr>
      <t>Coque de petróleo</t>
    </r>
  </si>
  <si>
    <r>
      <rPr>
        <sz val="10.5"/>
        <color rgb="FFFFFFFF"/>
        <rFont val="Arial Black"/>
        <family val="2"/>
      </rPr>
      <t>Total de petrolíferos</t>
    </r>
  </si>
  <si>
    <r>
      <rPr>
        <sz val="10.5"/>
        <color rgb="FFFFFFFF"/>
        <rFont val="Arial Black"/>
        <family val="2"/>
      </rPr>
      <t>Gas licuado</t>
    </r>
  </si>
  <si>
    <r>
      <rPr>
        <sz val="10.5"/>
        <color rgb="FFFFFFFF"/>
        <rFont val="Arial Black"/>
        <family val="2"/>
      </rPr>
      <t>Gasolinas y naftas</t>
    </r>
  </si>
  <si>
    <r>
      <rPr>
        <sz val="10.5"/>
        <color rgb="FFFFFFFF"/>
        <rFont val="Arial Black"/>
        <family val="2"/>
      </rPr>
      <t>Querosenos</t>
    </r>
  </si>
  <si>
    <r>
      <rPr>
        <sz val="10.5"/>
        <color rgb="FFFFFFFF"/>
        <rFont val="Arial Black"/>
        <family val="2"/>
      </rPr>
      <t>Diesel</t>
    </r>
  </si>
  <si>
    <r>
      <rPr>
        <sz val="10.5"/>
        <color rgb="FFFFFFFF"/>
        <rFont val="Arial Black"/>
        <family val="2"/>
      </rPr>
      <t>Combustóleo</t>
    </r>
  </si>
  <si>
    <r>
      <rPr>
        <sz val="10.5"/>
        <color rgb="FFFFFFFF"/>
        <rFont val="Arial Black"/>
        <family val="2"/>
      </rPr>
      <t xml:space="preserve">Productos no
</t>
    </r>
    <r>
      <rPr>
        <sz val="10.5"/>
        <color rgb="FFFFFFFF"/>
        <rFont val="Arial Black"/>
        <family val="2"/>
      </rPr>
      <t>energéticos</t>
    </r>
  </si>
  <si>
    <r>
      <rPr>
        <sz val="10.5"/>
        <color rgb="FFFFFFFF"/>
        <rFont val="Arial Black"/>
        <family val="2"/>
      </rPr>
      <t>Gas seco</t>
    </r>
  </si>
  <si>
    <r>
      <rPr>
        <sz val="10.5"/>
        <color rgb="FFFFFFFF"/>
        <rFont val="Arial Black"/>
        <family val="2"/>
      </rPr>
      <t>Energía Eléctrica</t>
    </r>
  </si>
  <si>
    <r>
      <rPr>
        <sz val="10.5"/>
        <color rgb="FFFFFFFF"/>
        <rFont val="Arial Black"/>
        <family val="2"/>
      </rPr>
      <t>Carbón</t>
    </r>
  </si>
  <si>
    <r>
      <rPr>
        <sz val="10.5"/>
        <color rgb="FFFFFFFF"/>
        <rFont val="Arial Black"/>
        <family val="2"/>
      </rPr>
      <t>Bagazo de caña</t>
    </r>
  </si>
  <si>
    <r>
      <rPr>
        <sz val="10.5"/>
        <color rgb="FFFFFFFF"/>
        <rFont val="Arial Black"/>
        <family val="2"/>
      </rPr>
      <t>Solar</t>
    </r>
  </si>
  <si>
    <r>
      <rPr>
        <sz val="10.5"/>
        <color rgb="FFFFFFFF"/>
        <rFont val="Arial Black"/>
        <family val="2"/>
      </rPr>
      <t>212.- Minería de minerales metálicos y no metálicos, excepto petróleo y gas</t>
    </r>
  </si>
  <si>
    <r>
      <rPr>
        <sz val="10.5"/>
        <color rgb="FFFFFFFF"/>
        <rFont val="Arial Black"/>
        <family val="2"/>
      </rPr>
      <t>Total</t>
    </r>
  </si>
  <si>
    <r>
      <rPr>
        <sz val="10.5"/>
        <color rgb="FFFFFFFF"/>
        <rFont val="Arial Black"/>
        <family val="2"/>
      </rPr>
      <t>236.- Edificación</t>
    </r>
  </si>
  <si>
    <r>
      <rPr>
        <sz val="10.5"/>
        <color rgb="FFFFFFFF"/>
        <rFont val="Arial Black"/>
        <family val="2"/>
      </rPr>
      <t>Diésel</t>
    </r>
  </si>
  <si>
    <r>
      <rPr>
        <sz val="10.5"/>
        <color rgb="FFFFFFFF"/>
        <rFont val="Arial Black"/>
        <family val="2"/>
      </rPr>
      <t>Energía eléctrica</t>
    </r>
  </si>
  <si>
    <r>
      <rPr>
        <sz val="10.5"/>
        <color rgb="FFFFFFFF"/>
        <rFont val="Arial Black"/>
        <family val="2"/>
      </rPr>
      <t>311.- Industria alimentaria</t>
    </r>
  </si>
  <si>
    <r>
      <rPr>
        <sz val="10.5"/>
        <color rgb="FFFFFFFF"/>
        <rFont val="Arial Black"/>
        <family val="2"/>
      </rPr>
      <t>312.- Industria de las bebidas y del tabaco</t>
    </r>
  </si>
  <si>
    <r>
      <rPr>
        <sz val="10.5"/>
        <color rgb="FFFFFFFF"/>
        <rFont val="Arial Black"/>
        <family val="2"/>
      </rPr>
      <t>313.- Fabricación de insumos y acabados textiles</t>
    </r>
  </si>
  <si>
    <r>
      <rPr>
        <sz val="10.5"/>
        <color rgb="FFFFFFFF"/>
        <rFont val="Arial Black"/>
        <family val="2"/>
      </rPr>
      <t>322.-Industria del papel</t>
    </r>
  </si>
  <si>
    <r>
      <rPr>
        <sz val="10.5"/>
        <color rgb="FFFFFFFF"/>
        <rFont val="Arial Black"/>
        <family val="2"/>
      </rPr>
      <t>325.- Industria química</t>
    </r>
  </si>
  <si>
    <r>
      <rPr>
        <sz val="10.5"/>
        <color rgb="FFFFFFFF"/>
        <rFont val="Arial Black"/>
        <family val="2"/>
      </rPr>
      <t>326.- Industria del plástico y del hule</t>
    </r>
  </si>
  <si>
    <r>
      <rPr>
        <sz val="10.5"/>
        <color rgb="FFFFFFFF"/>
        <rFont val="Arial Black"/>
        <family val="2"/>
      </rPr>
      <t>327.-Fabricación de productos a base de minerales no metálicos</t>
    </r>
  </si>
  <si>
    <r>
      <rPr>
        <sz val="10.5"/>
        <color rgb="FFFFFFFF"/>
        <rFont val="Arial Black"/>
        <family val="2"/>
      </rPr>
      <t>331.- Industrias metálicas básicas</t>
    </r>
  </si>
  <si>
    <r>
      <rPr>
        <sz val="10.5"/>
        <color rgb="FFFFFFFF"/>
        <rFont val="Arial Black"/>
        <family val="2"/>
      </rPr>
      <t>334.-Fabricación de equipo de computación, comunicación, medición y de otros equipos, componentes y accesorios electrónicos</t>
    </r>
  </si>
  <si>
    <r>
      <rPr>
        <sz val="10.5"/>
        <color rgb="FFFFFFFF"/>
        <rFont val="Arial Black"/>
        <family val="2"/>
      </rPr>
      <t>335.-Fabricación de accesorios, aparatos eléctricos y equipo de generación de energía eléctrica</t>
    </r>
  </si>
  <si>
    <r>
      <rPr>
        <sz val="10.5"/>
        <color rgb="FFFFFFFF"/>
        <rFont val="Arial Black"/>
        <family val="2"/>
      </rPr>
      <t>336.-Fabricación de equipo de transporte</t>
    </r>
  </si>
  <si>
    <r>
      <rPr>
        <sz val="10.5"/>
        <color rgb="FFFFFFFF"/>
        <rFont val="Arial Black"/>
        <family val="2"/>
      </rPr>
      <t>339.- Otras industrias manufactureras</t>
    </r>
  </si>
  <si>
    <r>
      <rPr>
        <sz val="10.5"/>
        <color rgb="FFFFFFFF"/>
        <rFont val="Arial Black"/>
        <family val="2"/>
      </rPr>
      <t>Petroquímica de PEMEX (energético)</t>
    </r>
  </si>
  <si>
    <r>
      <rPr>
        <sz val="10.5"/>
        <color rgb="FFFFFFFF"/>
        <rFont val="Arial Black"/>
        <family val="2"/>
      </rPr>
      <t>Otras ramas</t>
    </r>
  </si>
  <si>
    <t>Agropecuario</t>
  </si>
  <si>
    <t>Carbón</t>
  </si>
  <si>
    <t>Petróleo</t>
  </si>
  <si>
    <t>Condensados</t>
  </si>
  <si>
    <t>Gas natural</t>
  </si>
  <si>
    <t>Nuclear</t>
  </si>
  <si>
    <t>Hidroenergía</t>
  </si>
  <si>
    <t>Radiación solar</t>
  </si>
  <si>
    <t>Energía eólica</t>
  </si>
  <si>
    <t>Geoenergía</t>
  </si>
  <si>
    <t>Bagazos</t>
  </si>
  <si>
    <t>Leña</t>
  </si>
  <si>
    <t>Biogás</t>
  </si>
  <si>
    <t>Biodiesel</t>
  </si>
  <si>
    <t>Bioturbosina</t>
  </si>
  <si>
    <t>Etanol</t>
  </si>
  <si>
    <t>Carbón vegetal</t>
  </si>
  <si>
    <t>BCS Procesados</t>
  </si>
  <si>
    <t>Coque de carbón</t>
  </si>
  <si>
    <t>Coque de petróleo</t>
  </si>
  <si>
    <t>GLP</t>
  </si>
  <si>
    <t>Gasolina</t>
  </si>
  <si>
    <t>Combustóleo</t>
  </si>
  <si>
    <t>No energéticos</t>
  </si>
  <si>
    <t>Gas seco</t>
  </si>
  <si>
    <t>Hidrogeno</t>
  </si>
  <si>
    <t>Amoniaco</t>
  </si>
  <si>
    <t>Hierro y acero</t>
  </si>
  <si>
    <t>Cemento y derivados</t>
  </si>
  <si>
    <t>Industria química</t>
  </si>
  <si>
    <t>Mineria</t>
  </si>
  <si>
    <t>PEMEX Petroquímica</t>
  </si>
  <si>
    <t>Papel y cartón</t>
  </si>
  <si>
    <t>Vidrio y derivados</t>
  </si>
  <si>
    <t>Azucares</t>
  </si>
  <si>
    <t>Cerveza</t>
  </si>
  <si>
    <t>Automotriz</t>
  </si>
  <si>
    <t>Construcción</t>
  </si>
  <si>
    <t>Refrescos y otras bebidas no alcoholicas</t>
  </si>
  <si>
    <t>Hule</t>
  </si>
  <si>
    <t>Fertilizantes</t>
  </si>
  <si>
    <t>Tabaco</t>
  </si>
  <si>
    <t>Otras ramas</t>
  </si>
  <si>
    <t>electricity (PJ)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</si>
  <si>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</si>
  <si>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</si>
  <si>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</si>
  <si>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</si>
  <si>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</si>
  <si>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</si>
  <si>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</si>
  <si>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</si>
  <si>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</si>
  <si>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</si>
  <si>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</si>
  <si>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</si>
  <si>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</si>
  <si>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</si>
  <si>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</si>
  <si>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</si>
  <si>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</si>
  <si>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</si>
  <si>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</si>
  <si>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</si>
  <si>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</si>
  <si>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</si>
  <si>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</si>
  <si>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</si>
  <si>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</si>
  <si>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coal (PJ)</t>
  </si>
  <si>
    <t>natural gas (PJ)</t>
  </si>
  <si>
    <t>petroleum diesel (PJ)</t>
  </si>
  <si>
    <t>heat (PJ)</t>
  </si>
  <si>
    <t>biomass (PJ)</t>
  </si>
  <si>
    <t>heavy or residual fuel oil (PJ)</t>
  </si>
  <si>
    <t>LPG propane or butane (PJ)</t>
  </si>
  <si>
    <t>hydrogen (PJ)</t>
  </si>
  <si>
    <t>Unused - collected in other manufacturing 31T33 </t>
  </si>
  <si>
    <t>collect in other manufacturing 31T33 </t>
  </si>
  <si>
    <t>Unused - collect in other manufacturing 31T33 </t>
  </si>
  <si>
    <t>Agricultura</t>
  </si>
  <si>
    <t>212.- Minería de minerales metálicos y no metálicos, excepto petróleo y gas</t>
  </si>
  <si>
    <t>236.- Edificación</t>
  </si>
  <si>
    <t>311.- Industria alimentaria</t>
  </si>
  <si>
    <t>312.- Industria de las bebidas y del tabaco</t>
  </si>
  <si>
    <t>313.- Fabricación de insumos y acabados textiles</t>
  </si>
  <si>
    <t>322.-Industria del papel</t>
  </si>
  <si>
    <t>325.- Industria química</t>
  </si>
  <si>
    <t>326.- Industria del plástico y del hule</t>
  </si>
  <si>
    <t>327.-Fabricación de productos a base de minerales no metálicos</t>
  </si>
  <si>
    <t>331.- Industrias metálicas básicas</t>
  </si>
  <si>
    <t>334.-Fabricación de equipo de computación, comunicación, medición y de otros equipos, componentes y accesorios electrónicos</t>
  </si>
  <si>
    <t>339.- Otras industrias manufactureras</t>
  </si>
  <si>
    <t>Petroquímica de PEMEX (energético)</t>
  </si>
  <si>
    <t>Recirculaciones</t>
  </si>
  <si>
    <t>Unit: 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</si>
</sst>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#,##0.00000"/>
  </numFmts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</font>
    <font>
      <u/>
      <sz val="10"/>
      <color theme="4"/>
      <name val="Calibri"/>
      <family val="2"/>
      <scheme val="minor"/>
    </font>
    <font>
      <sz val="9"/>
      <color indexed="8"/>
      <name val="Calibri"/>
      <family val="2"/>
    </font>
    <font>
      <sz val="11"/>
      <color rgb="FF000000"/>
      <name val="Calibri"/>
      <family val="2"/>
      <scheme val="minor"/>
    </font>
    <font>
      <sz val="10.5"/>
      <color rgb="FFFFFFFF"/>
      <name val="Arial Black"/>
      <family val="2"/>
    </font>
    <font>
      <sz val="10.5"/>
      <name val="Arial Black"/>
      <family val="2"/>
    </font>
    <font>
      <sz val="10.5"/>
      <color rgb="FF404040"/>
      <name val="Arial MT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47E2C"/>
      </patternFill>
    </fill>
    <fill>
      <patternFill patternType="solid">
        <fgColor rgb="FFF1F1F1"/>
      </patternFill>
    </fill>
    <fill>
      <patternFill patternType="solid">
        <fgColor rgb="FF34A85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34A853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34A853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thick">
        <color rgb="FF000000"/>
      </bottom>
      <diagonal/>
    </border>
    <border>
      <left style="medium">
        <color rgb="FFD9D9D9"/>
      </left>
      <right style="thick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medium">
        <color rgb="FFD9EAD3"/>
      </bottom>
      <diagonal/>
    </border>
    <border>
      <left style="medium">
        <color rgb="FFD9D9D9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34A853"/>
      </right>
      <top style="medium">
        <color rgb="FFCCCCCC"/>
      </top>
      <bottom style="thick">
        <color rgb="FF000000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5" fillId="0" borderId="1" applyNumberFormat="0" applyFont="0" applyProtection="0">
      <alignment wrapText="1"/>
    </xf>
    <xf numFmtId="0" fontId="6" fillId="0" borderId="3" applyNumberFormat="0" applyProtection="0">
      <alignment wrapText="1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2" applyNumberFormat="0" applyFont="0" applyProtection="0">
      <alignment wrapText="1"/>
    </xf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11" fontId="0" fillId="0" borderId="0" xfId="0" applyNumberFormat="1"/>
    <xf numFmtId="0" fontId="0" fillId="0" borderId="2" xfId="2" applyFont="1" applyBorder="1">
      <alignment wrapText="1"/>
    </xf>
    <xf numFmtId="11" fontId="0" fillId="0" borderId="1" xfId="2" applyNumberFormat="1" applyFont="1" applyAlignment="1">
      <alignment horizontal="right" wrapText="1"/>
    </xf>
    <xf numFmtId="164" fontId="0" fillId="0" borderId="1" xfId="2" applyNumberFormat="1" applyFont="1" applyAlignment="1">
      <alignment horizontal="right" wrapText="1"/>
    </xf>
    <xf numFmtId="0" fontId="7" fillId="0" borderId="4" xfId="3" applyFont="1" applyBorder="1">
      <alignment wrapText="1"/>
    </xf>
    <xf numFmtId="11" fontId="6" fillId="0" borderId="3" xfId="3" applyNumberFormat="1" applyAlignment="1">
      <alignment horizontal="right" wrapText="1"/>
    </xf>
    <xf numFmtId="164" fontId="6" fillId="0" borderId="3" xfId="3" applyNumberFormat="1" applyAlignment="1">
      <alignment horizontal="right" wrapText="1"/>
    </xf>
    <xf numFmtId="0" fontId="8" fillId="0" borderId="2" xfId="2" applyFont="1" applyBorder="1">
      <alignment wrapText="1"/>
    </xf>
    <xf numFmtId="9" fontId="0" fillId="0" borderId="1" xfId="1" applyFont="1" applyFill="1" applyBorder="1" applyAlignment="1">
      <alignment horizontal="right" wrapText="1"/>
    </xf>
    <xf numFmtId="0" fontId="4" fillId="0" borderId="0" xfId="4" applyFont="1" applyFill="1"/>
    <xf numFmtId="0" fontId="4" fillId="0" borderId="0" xfId="2" applyFont="1" applyBorder="1">
      <alignment wrapText="1"/>
    </xf>
    <xf numFmtId="0" fontId="9" fillId="0" borderId="0" xfId="2" applyFont="1" applyBorder="1">
      <alignment wrapText="1"/>
    </xf>
    <xf numFmtId="11" fontId="5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/>
    <xf numFmtId="11" fontId="5" fillId="0" borderId="0" xfId="0" applyNumberFormat="1" applyFont="1"/>
    <xf numFmtId="1" fontId="5" fillId="0" borderId="0" xfId="0" applyNumberFormat="1" applyFont="1"/>
    <xf numFmtId="4" fontId="0" fillId="0" borderId="1" xfId="2" applyNumberFormat="1" applyFont="1" applyAlignment="1">
      <alignment horizontal="right" wrapText="1"/>
    </xf>
    <xf numFmtId="4" fontId="6" fillId="0" borderId="3" xfId="3" applyNumberFormat="1" applyAlignment="1">
      <alignment horizontal="right" wrapText="1"/>
    </xf>
    <xf numFmtId="165" fontId="0" fillId="0" borderId="0" xfId="0" applyNumberFormat="1"/>
    <xf numFmtId="9" fontId="0" fillId="0" borderId="0" xfId="1" applyFont="1"/>
    <xf numFmtId="0" fontId="0" fillId="2" borderId="0" xfId="0" applyFill="1"/>
    <xf numFmtId="0" fontId="10" fillId="0" borderId="0" xfId="5" applyAlignment="1" applyProtection="1"/>
    <xf numFmtId="0" fontId="12" fillId="0" borderId="0" xfId="0" applyFont="1"/>
    <xf numFmtId="0" fontId="0" fillId="3" borderId="5" xfId="0" applyFill="1" applyBorder="1" applyAlignment="1">
      <alignment horizontal="left" wrapText="1"/>
    </xf>
    <xf numFmtId="1" fontId="13" fillId="3" borderId="6" xfId="0" applyNumberFormat="1" applyFont="1" applyFill="1" applyBorder="1" applyAlignment="1">
      <alignment horizontal="left" vertical="top" indent="1" shrinkToFit="1"/>
    </xf>
    <xf numFmtId="1" fontId="13" fillId="3" borderId="6" xfId="0" applyNumberFormat="1" applyFont="1" applyFill="1" applyBorder="1" applyAlignment="1">
      <alignment horizontal="center" vertical="top" shrinkToFit="1"/>
    </xf>
    <xf numFmtId="0" fontId="14" fillId="3" borderId="5" xfId="0" applyFont="1" applyFill="1" applyBorder="1" applyAlignment="1">
      <alignment horizontal="left" vertical="top" wrapText="1" indent="2"/>
    </xf>
    <xf numFmtId="2" fontId="15" fillId="4" borderId="7" xfId="0" applyNumberFormat="1" applyFont="1" applyFill="1" applyBorder="1" applyAlignment="1">
      <alignment horizontal="right" vertical="top" shrinkToFit="1"/>
    </xf>
    <xf numFmtId="2" fontId="15" fillId="4" borderId="7" xfId="0" applyNumberFormat="1" applyFont="1" applyFill="1" applyBorder="1" applyAlignment="1">
      <alignment horizontal="center" vertical="top" shrinkToFit="1"/>
    </xf>
    <xf numFmtId="0" fontId="14" fillId="3" borderId="5" xfId="0" applyFont="1" applyFill="1" applyBorder="1" applyAlignment="1">
      <alignment horizontal="left" vertical="top" wrapText="1" indent="3"/>
    </xf>
    <xf numFmtId="2" fontId="15" fillId="4" borderId="5" xfId="0" applyNumberFormat="1" applyFont="1" applyFill="1" applyBorder="1" applyAlignment="1">
      <alignment horizontal="right" vertical="top" shrinkToFit="1"/>
    </xf>
    <xf numFmtId="2" fontId="15" fillId="4" borderId="5" xfId="0" applyNumberFormat="1" applyFont="1" applyFill="1" applyBorder="1" applyAlignment="1">
      <alignment horizontal="center" vertical="top" shrinkToFit="1"/>
    </xf>
    <xf numFmtId="0" fontId="14" fillId="3" borderId="5" xfId="0" applyFont="1" applyFill="1" applyBorder="1" applyAlignment="1">
      <alignment horizontal="left" vertical="top" wrapText="1" indent="5"/>
    </xf>
    <xf numFmtId="2" fontId="15" fillId="4" borderId="5" xfId="0" applyNumberFormat="1" applyFont="1" applyFill="1" applyBorder="1" applyAlignment="1">
      <alignment horizontal="left" vertical="top" indent="1" shrinkToFit="1"/>
    </xf>
    <xf numFmtId="0" fontId="14" fillId="3" borderId="5" xfId="0" applyFont="1" applyFill="1" applyBorder="1" applyAlignment="1">
      <alignment horizontal="right" vertical="top" wrapText="1" indent="1"/>
    </xf>
    <xf numFmtId="0" fontId="0" fillId="3" borderId="5" xfId="0" applyFill="1" applyBorder="1" applyAlignment="1">
      <alignment horizontal="left" vertical="top" wrapText="1"/>
    </xf>
    <xf numFmtId="2" fontId="15" fillId="4" borderId="5" xfId="0" applyNumberFormat="1" applyFont="1" applyFill="1" applyBorder="1" applyAlignment="1">
      <alignment horizontal="left" vertical="center" indent="1" shrinkToFit="1"/>
    </xf>
    <xf numFmtId="2" fontId="15" fillId="4" borderId="5" xfId="0" applyNumberFormat="1" applyFont="1" applyFill="1" applyBorder="1" applyAlignment="1">
      <alignment horizontal="center" vertical="center" shrinkToFit="1"/>
    </xf>
    <xf numFmtId="1" fontId="13" fillId="3" borderId="5" xfId="0" applyNumberFormat="1" applyFont="1" applyFill="1" applyBorder="1" applyAlignment="1">
      <alignment horizontal="center" vertical="top" shrinkToFit="1"/>
    </xf>
    <xf numFmtId="0" fontId="14" fillId="3" borderId="5" xfId="0" applyFont="1" applyFill="1" applyBorder="1" applyAlignment="1">
      <alignment horizontal="left" vertical="top" wrapText="1"/>
    </xf>
    <xf numFmtId="2" fontId="15" fillId="4" borderId="6" xfId="0" applyNumberFormat="1" applyFont="1" applyFill="1" applyBorder="1" applyAlignment="1">
      <alignment horizontal="center" vertical="top" shrinkToFit="1"/>
    </xf>
    <xf numFmtId="2" fontId="15" fillId="4" borderId="11" xfId="0" applyNumberFormat="1" applyFont="1" applyFill="1" applyBorder="1" applyAlignment="1">
      <alignment horizontal="center" vertical="top" shrinkToFit="1"/>
    </xf>
    <xf numFmtId="1" fontId="13" fillId="3" borderId="5" xfId="0" applyNumberFormat="1" applyFont="1" applyFill="1" applyBorder="1" applyAlignment="1">
      <alignment horizontal="left" vertical="top" indent="1" shrinkToFit="1"/>
    </xf>
    <xf numFmtId="1" fontId="13" fillId="3" borderId="5" xfId="0" applyNumberFormat="1" applyFont="1" applyFill="1" applyBorder="1" applyAlignment="1">
      <alignment horizontal="right" vertical="top" indent="1" shrinkToFit="1"/>
    </xf>
    <xf numFmtId="2" fontId="15" fillId="4" borderId="7" xfId="0" applyNumberFormat="1" applyFont="1" applyFill="1" applyBorder="1" applyAlignment="1">
      <alignment horizontal="right" vertical="top" indent="1" shrinkToFit="1"/>
    </xf>
    <xf numFmtId="2" fontId="15" fillId="4" borderId="5" xfId="0" applyNumberFormat="1" applyFont="1" applyFill="1" applyBorder="1" applyAlignment="1">
      <alignment horizontal="right" vertical="top" indent="2" shrinkToFit="1"/>
    </xf>
    <xf numFmtId="2" fontId="15" fillId="4" borderId="5" xfId="0" applyNumberFormat="1" applyFont="1" applyFill="1" applyBorder="1" applyAlignment="1">
      <alignment horizontal="right" vertical="top" indent="1" shrinkToFit="1"/>
    </xf>
    <xf numFmtId="1" fontId="13" fillId="3" borderId="5" xfId="0" applyNumberFormat="1" applyFont="1" applyFill="1" applyBorder="1" applyAlignment="1">
      <alignment horizontal="left" vertical="top" shrinkToFit="1"/>
    </xf>
    <xf numFmtId="2" fontId="15" fillId="4" borderId="5" xfId="0" applyNumberFormat="1" applyFont="1" applyFill="1" applyBorder="1" applyAlignment="1">
      <alignment horizontal="left" vertical="top" indent="2" shrinkToFit="1"/>
    </xf>
    <xf numFmtId="0" fontId="14" fillId="3" borderId="5" xfId="0" applyFont="1" applyFill="1" applyBorder="1" applyAlignment="1">
      <alignment horizontal="right" vertical="top" wrapText="1"/>
    </xf>
    <xf numFmtId="0" fontId="0" fillId="4" borderId="5" xfId="0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top" wrapText="1" indent="2"/>
    </xf>
    <xf numFmtId="0" fontId="17" fillId="5" borderId="18" xfId="0" applyFont="1" applyFill="1" applyBorder="1" applyAlignment="1">
      <alignment wrapText="1"/>
    </xf>
    <xf numFmtId="0" fontId="17" fillId="6" borderId="19" xfId="0" applyFont="1" applyFill="1" applyBorder="1" applyAlignment="1">
      <alignment horizontal="center" wrapText="1"/>
    </xf>
    <xf numFmtId="0" fontId="17" fillId="6" borderId="20" xfId="0" applyFont="1" applyFill="1" applyBorder="1" applyAlignment="1">
      <alignment horizontal="right" wrapText="1"/>
    </xf>
    <xf numFmtId="0" fontId="17" fillId="6" borderId="21" xfId="0" applyFont="1" applyFill="1" applyBorder="1" applyAlignment="1">
      <alignment wrapText="1"/>
    </xf>
    <xf numFmtId="0" fontId="17" fillId="7" borderId="22" xfId="0" applyFont="1" applyFill="1" applyBorder="1" applyAlignment="1">
      <alignment horizontal="right" wrapText="1"/>
    </xf>
    <xf numFmtId="0" fontId="17" fillId="6" borderId="23" xfId="0" applyFont="1" applyFill="1" applyBorder="1" applyAlignment="1">
      <alignment wrapText="1"/>
    </xf>
    <xf numFmtId="0" fontId="17" fillId="7" borderId="24" xfId="0" applyFont="1" applyFill="1" applyBorder="1" applyAlignment="1">
      <alignment horizontal="right" wrapText="1"/>
    </xf>
    <xf numFmtId="0" fontId="17" fillId="5" borderId="25" xfId="0" applyFont="1" applyFill="1" applyBorder="1" applyAlignment="1">
      <alignment wrapText="1"/>
    </xf>
    <xf numFmtId="0" fontId="0" fillId="8" borderId="0" xfId="0" applyFill="1"/>
    <xf numFmtId="0" fontId="16" fillId="8" borderId="17" xfId="0" applyFont="1" applyFill="1" applyBorder="1" applyAlignment="1">
      <alignment wrapText="1"/>
    </xf>
    <xf numFmtId="2" fontId="0" fillId="0" borderId="0" xfId="0" applyNumberFormat="1"/>
    <xf numFmtId="0" fontId="0" fillId="9" borderId="0" xfId="0" applyFill="1"/>
    <xf numFmtId="0" fontId="0" fillId="10" borderId="0" xfId="0" applyFill="1"/>
    <xf numFmtId="4" fontId="0" fillId="0" borderId="0" xfId="0" applyNumberFormat="1"/>
    <xf numFmtId="0" fontId="18" fillId="0" borderId="0" xfId="0" applyFont="1"/>
    <xf numFmtId="11" fontId="12" fillId="0" borderId="0" xfId="0" applyNumberFormat="1" applyFont="1"/>
    <xf numFmtId="2" fontId="15" fillId="4" borderId="12" xfId="0" applyNumberFormat="1" applyFont="1" applyFill="1" applyBorder="1" applyAlignment="1">
      <alignment horizontal="left" vertical="top" indent="1" shrinkToFit="1"/>
    </xf>
    <xf numFmtId="2" fontId="15" fillId="4" borderId="13" xfId="0" applyNumberFormat="1" applyFont="1" applyFill="1" applyBorder="1" applyAlignment="1">
      <alignment horizontal="left" vertical="top" indent="1" shrinkToFit="1"/>
    </xf>
    <xf numFmtId="0" fontId="14" fillId="3" borderId="8" xfId="0" applyFont="1" applyFill="1" applyBorder="1" applyAlignment="1">
      <alignment horizontal="center" vertical="top" wrapText="1"/>
    </xf>
    <xf numFmtId="0" fontId="14" fillId="3" borderId="9" xfId="0" applyFont="1" applyFill="1" applyBorder="1" applyAlignment="1">
      <alignment horizontal="center" vertical="top" wrapText="1"/>
    </xf>
    <xf numFmtId="0" fontId="14" fillId="3" borderId="10" xfId="0" applyFont="1" applyFill="1" applyBorder="1" applyAlignment="1">
      <alignment horizontal="center" vertical="top" wrapText="1"/>
    </xf>
    <xf numFmtId="1" fontId="13" fillId="3" borderId="12" xfId="0" applyNumberFormat="1" applyFont="1" applyFill="1" applyBorder="1" applyAlignment="1">
      <alignment horizontal="left" vertical="top" indent="2" shrinkToFit="1"/>
    </xf>
    <xf numFmtId="1" fontId="13" fillId="3" borderId="13" xfId="0" applyNumberFormat="1" applyFont="1" applyFill="1" applyBorder="1" applyAlignment="1">
      <alignment horizontal="left" vertical="top" indent="2" shrinkToFit="1"/>
    </xf>
    <xf numFmtId="2" fontId="15" fillId="4" borderId="14" xfId="0" applyNumberFormat="1" applyFont="1" applyFill="1" applyBorder="1" applyAlignment="1">
      <alignment horizontal="left" vertical="top" indent="1" shrinkToFit="1"/>
    </xf>
    <xf numFmtId="2" fontId="15" fillId="4" borderId="15" xfId="0" applyNumberFormat="1" applyFont="1" applyFill="1" applyBorder="1" applyAlignment="1">
      <alignment horizontal="left" vertical="top" indent="1" shrinkToFit="1"/>
    </xf>
    <xf numFmtId="2" fontId="15" fillId="4" borderId="12" xfId="0" applyNumberFormat="1" applyFont="1" applyFill="1" applyBorder="1" applyAlignment="1">
      <alignment horizontal="left" vertical="top" indent="2" shrinkToFit="1"/>
    </xf>
    <xf numFmtId="2" fontId="15" fillId="4" borderId="13" xfId="0" applyNumberFormat="1" applyFont="1" applyFill="1" applyBorder="1" applyAlignment="1">
      <alignment horizontal="left" vertical="top" indent="2" shrinkToFit="1"/>
    </xf>
    <xf numFmtId="1" fontId="13" fillId="3" borderId="12" xfId="0" applyNumberFormat="1" applyFont="1" applyFill="1" applyBorder="1" applyAlignment="1">
      <alignment horizontal="left" vertical="top" shrinkToFit="1"/>
    </xf>
    <xf numFmtId="1" fontId="13" fillId="3" borderId="13" xfId="0" applyNumberFormat="1" applyFont="1" applyFill="1" applyBorder="1" applyAlignment="1">
      <alignment horizontal="left" vertical="top" shrinkToFit="1"/>
    </xf>
    <xf numFmtId="0" fontId="14" fillId="3" borderId="12" xfId="0" applyFont="1" applyFill="1" applyBorder="1" applyAlignment="1">
      <alignment horizontal="center" vertical="top" wrapText="1"/>
    </xf>
    <xf numFmtId="0" fontId="14" fillId="3" borderId="16" xfId="0" applyFont="1" applyFill="1" applyBorder="1" applyAlignment="1">
      <alignment horizontal="center" vertical="top" wrapText="1"/>
    </xf>
    <xf numFmtId="0" fontId="14" fillId="3" borderId="13" xfId="0" applyFont="1" applyFill="1" applyBorder="1" applyAlignment="1">
      <alignment horizontal="center" vertical="top" wrapText="1"/>
    </xf>
    <xf numFmtId="0" fontId="14" fillId="3" borderId="8" xfId="0" applyFont="1" applyFill="1" applyBorder="1" applyAlignment="1">
      <alignment horizontal="left" vertical="top" wrapText="1"/>
    </xf>
    <xf numFmtId="0" fontId="14" fillId="3" borderId="9" xfId="0" applyFont="1" applyFill="1" applyBorder="1" applyAlignment="1">
      <alignment horizontal="left" vertical="top" wrapText="1"/>
    </xf>
    <xf numFmtId="0" fontId="14" fillId="3" borderId="10" xfId="0" applyFont="1" applyFill="1" applyBorder="1" applyAlignment="1">
      <alignment horizontal="left" vertical="top" wrapText="1"/>
    </xf>
  </cellXfs>
  <cellStyles count="12">
    <cellStyle name="Body: normal cell" xfId="2" xr:uid="{8382BC86-A295-2E42-AF01-725F06284574}"/>
    <cellStyle name="Body: normal cell 2" xfId="6" xr:uid="{7663833C-84F7-C34B-83CA-99AC257BBE2B}"/>
    <cellStyle name="Comma 2" xfId="9" xr:uid="{9B27A378-E2F2-1D4A-8459-CAB7529A0440}"/>
    <cellStyle name="Comma 3" xfId="11" xr:uid="{E85A302B-C881-FF48-91F4-04C788BEA208}"/>
    <cellStyle name="Font: Calibri, 9pt regular" xfId="4" xr:uid="{DAF3680F-873A-9C40-B22D-3C0A820C0D4F}"/>
    <cellStyle name="Hyperlink" xfId="5" builtinId="8"/>
    <cellStyle name="Normal" xfId="0" builtinId="0"/>
    <cellStyle name="Normal 2" xfId="7" xr:uid="{D5D1764B-ECDB-874F-B46F-EBD4FABABEFF}"/>
    <cellStyle name="Normal 3" xfId="10" xr:uid="{42FBB5E5-E428-6740-A573-4BB888AB8C49}"/>
    <cellStyle name="Parent row" xfId="3" xr:uid="{5040B47A-281A-BD45-BA43-2D7209FD5E78}"/>
    <cellStyle name="Per cent 2" xfId="8" xr:uid="{D1F637F5-AE01-D242-A2F0-E0286F4245E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104775</xdr:rowOff>
    </xdr:from>
    <xdr:to>
      <xdr:col>12</xdr:col>
      <xdr:colOff>39382</xdr:colOff>
      <xdr:row>28</xdr:row>
      <xdr:rowOff>152912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BD8FD3-3F9B-7CF2-0E88-28D066F2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9275"/>
          <a:ext cx="9183382" cy="36676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lea/FerOlea/0.Chamba%202018/2018.WRI-EPS2/3.Calibration%20Mexico/Calculadora%20Mexico%202050/model%201.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xolt/Google%20Drive/2021/D.Development/TARGET_eps-us-3.2.1/InputData/bldgs/BCEU/BAU%20Components%20Energy%20Usechec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Users/Mariana%20Bulos/Google%20Drive/2018.WRI-EPS2/0.Documentos%20trabajo%20modelo/eps-1.1.4-mexico_PHASE%201/InputData_PHASE%201/bldgs_PHASE%201/BASoBC/BAU%20Amt%20Spent%20on%20Bldg%20Components_PHASE%201.xlsx?FDA97FE1" TargetMode="External"/><Relationship Id="rId1" Type="http://schemas.openxmlformats.org/officeDocument/2006/relationships/externalLinkPath" Target="file:///\\FDA97FE1\BAU%20Amt%20Spent%20on%20Bldg%20Components_PHA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Constants"/>
      <sheetName val="Conversions"/>
      <sheetName val="Global assumptions"/>
      <sheetName val="Intermediate output"/>
      <sheetName val="I.a"/>
      <sheetName val="I.b"/>
      <sheetName val="II.a"/>
      <sheetName val="III.a"/>
      <sheetName val="III.b"/>
      <sheetName val="III.c"/>
      <sheetName val="III.d"/>
      <sheetName val="III.e"/>
      <sheetName val="IV.a"/>
      <sheetName val="IV.b"/>
      <sheetName val="V.a"/>
      <sheetName val="VI.b"/>
      <sheetName val="Prefere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mmercial"/>
      <sheetName val="Residential"/>
      <sheetName val="MX urban Rural"/>
      <sheetName val="Calculations"/>
      <sheetName val="Scaling Factors"/>
      <sheetName val="BASoBC-urban-residential"/>
      <sheetName val="BASoBC-rural-residential"/>
      <sheetName val="BASoBC-commerci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b.mx/cms/uploads/attachment/file/977268/Balance_Nacional_de_Energ_a_2023.FINAL06.02.2025.1.pdf" TargetMode="External"/><Relationship Id="rId1" Type="http://schemas.openxmlformats.org/officeDocument/2006/relationships/hyperlink" Target="https://conahcyt.mx/wp-content/uploads/pronaces/micrositios/energia_y_cambio_climatico/energia/cuadernos_tematicos/Cuaderno_9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A653-1704-A04B-83BF-2FD8A751FF0C}">
  <dimension ref="A1:F49"/>
  <sheetViews>
    <sheetView topLeftCell="A31" workbookViewId="0">
      <selection activeCell="B16" sqref="B16"/>
    </sheetView>
  </sheetViews>
  <sheetFormatPr defaultColWidth="11.42578125" defaultRowHeight="15"/>
  <cols>
    <col min="2" max="2" width="30" customWidth="1"/>
    <col min="3" max="3" width="42.42578125" customWidth="1"/>
  </cols>
  <sheetData>
    <row r="1" spans="1:3">
      <c r="A1" s="2" t="s">
        <v>0</v>
      </c>
    </row>
    <row r="3" spans="1:3">
      <c r="A3" s="2" t="s">
        <v>1</v>
      </c>
      <c r="B3" s="26" t="s">
        <v>2</v>
      </c>
      <c r="C3" s="26"/>
    </row>
    <row r="4" spans="1:3">
      <c r="B4" s="26" t="s">
        <v>3</v>
      </c>
      <c r="C4" s="26"/>
    </row>
    <row r="5" spans="1:3">
      <c r="B5" s="26" t="s">
        <v>4</v>
      </c>
      <c r="C5" s="26"/>
    </row>
    <row r="6" spans="1:3">
      <c r="B6" s="25" t="s">
        <v>5</v>
      </c>
      <c r="C6" s="26"/>
    </row>
    <row r="7" spans="1:3">
      <c r="B7" s="26" t="s">
        <v>6</v>
      </c>
      <c r="C7" s="26"/>
    </row>
    <row r="8" spans="1:3">
      <c r="B8" s="26" t="s">
        <v>7</v>
      </c>
      <c r="C8" s="26"/>
    </row>
    <row r="9" spans="1:3">
      <c r="B9" s="26" t="s">
        <v>8</v>
      </c>
      <c r="C9" s="26"/>
    </row>
    <row r="10" spans="1:3">
      <c r="B10" s="26" t="s">
        <v>9</v>
      </c>
      <c r="C10" s="26"/>
    </row>
    <row r="11" spans="1:3">
      <c r="B11" s="26" t="s">
        <v>10</v>
      </c>
      <c r="C11" s="26"/>
    </row>
    <row r="12" spans="1:3">
      <c r="B12" s="25" t="s">
        <v>11</v>
      </c>
      <c r="C12" s="26"/>
    </row>
    <row r="16" spans="1:3">
      <c r="B16" t="s">
        <v>12</v>
      </c>
    </row>
    <row r="17" spans="2:2">
      <c r="B17" t="s">
        <v>13</v>
      </c>
    </row>
    <row r="18" spans="2:2">
      <c r="B18" t="s">
        <v>14</v>
      </c>
    </row>
    <row r="19" spans="2:2">
      <c r="B19" t="s">
        <v>15</v>
      </c>
    </row>
    <row r="20" spans="2:2">
      <c r="B20" t="s">
        <v>16</v>
      </c>
    </row>
    <row r="21" spans="2:2">
      <c r="B21" t="s">
        <v>17</v>
      </c>
    </row>
    <row r="22" spans="2:2">
      <c r="B22" t="s">
        <v>18</v>
      </c>
    </row>
    <row r="23" spans="2:2">
      <c r="B23" t="s">
        <v>19</v>
      </c>
    </row>
    <row r="24" spans="2:2">
      <c r="B24" t="s">
        <v>20</v>
      </c>
    </row>
    <row r="25" spans="2:2">
      <c r="B25" t="s">
        <v>21</v>
      </c>
    </row>
    <row r="26" spans="2:2">
      <c r="B26" t="s">
        <v>22</v>
      </c>
    </row>
    <row r="27" spans="2:2">
      <c r="B27" t="s">
        <v>23</v>
      </c>
    </row>
    <row r="28" spans="2:2">
      <c r="B28" t="s">
        <v>24</v>
      </c>
    </row>
    <row r="29" spans="2:2">
      <c r="B29" t="s">
        <v>25</v>
      </c>
    </row>
    <row r="30" spans="2:2">
      <c r="B30" t="s">
        <v>26</v>
      </c>
    </row>
    <row r="31" spans="2:2">
      <c r="B31" t="s">
        <v>27</v>
      </c>
    </row>
    <row r="32" spans="2:2">
      <c r="B32" t="s">
        <v>28</v>
      </c>
    </row>
    <row r="33" spans="1:6">
      <c r="B33" t="s">
        <v>29</v>
      </c>
    </row>
    <row r="34" spans="1:6">
      <c r="B34" t="s">
        <v>30</v>
      </c>
    </row>
    <row r="35" spans="1:6">
      <c r="B35" t="s">
        <v>31</v>
      </c>
    </row>
    <row r="36" spans="1:6">
      <c r="B36" t="s">
        <v>32</v>
      </c>
    </row>
    <row r="37" spans="1:6">
      <c r="B37" t="s">
        <v>33</v>
      </c>
    </row>
    <row r="38" spans="1:6">
      <c r="B38" t="s">
        <v>34</v>
      </c>
    </row>
    <row r="39" spans="1:6">
      <c r="B39" t="s">
        <v>35</v>
      </c>
    </row>
    <row r="40" spans="1:6">
      <c r="B40" t="s">
        <v>36</v>
      </c>
    </row>
    <row r="44" spans="1:6">
      <c r="A44" s="70" t="s">
        <v>37</v>
      </c>
      <c r="B44" s="26"/>
      <c r="C44" s="26"/>
      <c r="D44" s="26"/>
      <c r="E44" s="26"/>
      <c r="F44" s="26"/>
    </row>
    <row r="45" spans="1:6">
      <c r="A45" s="26" t="s">
        <v>38</v>
      </c>
      <c r="B45" s="71">
        <f>D46/D47</f>
        <v>947867138082.62451</v>
      </c>
      <c r="C45" s="26"/>
      <c r="D45" s="26"/>
      <c r="E45" s="26"/>
      <c r="F45" s="26"/>
    </row>
    <row r="46" spans="1:6">
      <c r="A46" s="26"/>
      <c r="B46" s="26">
        <v>1</v>
      </c>
      <c r="C46" s="26" t="s">
        <v>39</v>
      </c>
      <c r="D46" s="26">
        <v>5414093.8700000001</v>
      </c>
      <c r="E46" s="26" t="s">
        <v>40</v>
      </c>
      <c r="F46" s="26"/>
    </row>
    <row r="47" spans="1:6">
      <c r="A47" s="26"/>
      <c r="B47" s="26">
        <v>1</v>
      </c>
      <c r="C47" s="26" t="s">
        <v>39</v>
      </c>
      <c r="D47" s="71">
        <v>5.7118699999999999E-6</v>
      </c>
      <c r="E47" s="26" t="s">
        <v>41</v>
      </c>
      <c r="F47" s="26"/>
    </row>
    <row r="48" spans="1:6">
      <c r="A48" s="26" t="s">
        <v>42</v>
      </c>
      <c r="B48" s="26"/>
      <c r="C48" s="26"/>
      <c r="D48" s="26"/>
      <c r="E48" s="26"/>
      <c r="F48" s="26"/>
    </row>
    <row r="49" spans="1:6">
      <c r="A49" s="26"/>
      <c r="B49" s="26"/>
      <c r="C49" s="26"/>
      <c r="D49" s="26"/>
      <c r="E49" s="26"/>
      <c r="F49" s="26"/>
    </row>
  </sheetData>
  <hyperlinks>
    <hyperlink ref="B12" r:id="rId1" xr:uid="{97163330-5C71-428F-A332-D6C9D461782C}"/>
    <hyperlink ref="B6" r:id="rId2" xr:uid="{6B1ABB83-948D-4160-8725-193184160773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0AC2-B047-4A8A-A2E5-74133A0F44CB}">
  <dimension ref="B2:M6"/>
  <sheetViews>
    <sheetView workbookViewId="0"/>
  </sheetViews>
  <sheetFormatPr defaultColWidth="11.42578125" defaultRowHeight="15"/>
  <sheetData>
    <row r="2" spans="2:13"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  <c r="L2">
        <v>2022</v>
      </c>
      <c r="M2">
        <v>2023</v>
      </c>
    </row>
    <row r="3" spans="2:13">
      <c r="B3" t="s">
        <v>43</v>
      </c>
      <c r="C3">
        <v>6.03</v>
      </c>
      <c r="D3">
        <v>6.08</v>
      </c>
      <c r="E3">
        <v>6.01</v>
      </c>
      <c r="F3">
        <v>5.12</v>
      </c>
      <c r="G3">
        <v>4.96</v>
      </c>
      <c r="H3">
        <v>4.76</v>
      </c>
      <c r="I3">
        <v>3.53</v>
      </c>
      <c r="J3">
        <v>5.88</v>
      </c>
      <c r="K3">
        <v>4.33</v>
      </c>
      <c r="L3">
        <v>4.68</v>
      </c>
      <c r="M3">
        <v>4.21</v>
      </c>
    </row>
    <row r="4" spans="2:13">
      <c r="B4" t="s">
        <v>44</v>
      </c>
      <c r="C4">
        <v>0.01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2:13">
      <c r="B5" t="s">
        <v>45</v>
      </c>
      <c r="C5">
        <v>115.55</v>
      </c>
      <c r="D5">
        <v>117.28</v>
      </c>
      <c r="E5">
        <v>136.84</v>
      </c>
      <c r="F5">
        <v>134.31</v>
      </c>
      <c r="G5">
        <v>135.28</v>
      </c>
      <c r="H5">
        <v>139.94999999999999</v>
      </c>
      <c r="I5">
        <v>141.1</v>
      </c>
      <c r="J5">
        <v>127.34</v>
      </c>
      <c r="K5">
        <v>125.74</v>
      </c>
      <c r="L5">
        <v>130.11000000000001</v>
      </c>
      <c r="M5">
        <v>123.53</v>
      </c>
    </row>
    <row r="6" spans="2:13">
      <c r="B6" t="s">
        <v>46</v>
      </c>
      <c r="C6">
        <v>37.03</v>
      </c>
      <c r="D6">
        <v>36.119999999999997</v>
      </c>
      <c r="E6">
        <v>36.24</v>
      </c>
      <c r="F6">
        <v>40.81</v>
      </c>
      <c r="G6">
        <v>41.66</v>
      </c>
      <c r="H6">
        <v>44.56</v>
      </c>
      <c r="I6">
        <v>47.27</v>
      </c>
      <c r="J6">
        <v>52.79</v>
      </c>
      <c r="K6">
        <v>48.63</v>
      </c>
      <c r="L6">
        <v>53.35</v>
      </c>
      <c r="M6">
        <v>55.48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7249-219C-4B23-8046-69388D9EEBC2}">
  <dimension ref="A1:M266"/>
  <sheetViews>
    <sheetView workbookViewId="0"/>
  </sheetViews>
  <sheetFormatPr defaultColWidth="11.42578125" defaultRowHeight="15"/>
  <cols>
    <col min="1" max="1" width="33.7109375" customWidth="1"/>
  </cols>
  <sheetData>
    <row r="1" spans="1:12" ht="15.75">
      <c r="A1" s="27"/>
      <c r="B1" s="28">
        <v>2013</v>
      </c>
      <c r="C1" s="29">
        <v>2014</v>
      </c>
      <c r="D1" s="29">
        <v>2015</v>
      </c>
      <c r="E1" s="29">
        <v>2016</v>
      </c>
      <c r="F1" s="29">
        <v>2017</v>
      </c>
      <c r="G1" s="29">
        <v>2018</v>
      </c>
      <c r="H1" s="29">
        <v>2019</v>
      </c>
      <c r="I1" s="29">
        <v>2020</v>
      </c>
      <c r="J1" s="29">
        <v>2021</v>
      </c>
      <c r="K1" s="29">
        <v>2022</v>
      </c>
      <c r="L1" s="29">
        <v>2023</v>
      </c>
    </row>
    <row r="2" spans="1:12" ht="15.75">
      <c r="A2" s="30" t="s">
        <v>47</v>
      </c>
      <c r="B2" s="31">
        <v>1599</v>
      </c>
      <c r="C2" s="32">
        <v>1553.17</v>
      </c>
      <c r="D2" s="32">
        <v>1601.84</v>
      </c>
      <c r="E2" s="32">
        <v>1680.74</v>
      </c>
      <c r="F2" s="32">
        <v>1876.65</v>
      </c>
      <c r="G2" s="32">
        <v>1680.77</v>
      </c>
      <c r="H2" s="32">
        <v>1589.45</v>
      </c>
      <c r="I2" s="32">
        <v>1418.05</v>
      </c>
      <c r="J2" s="32">
        <v>1152.67</v>
      </c>
      <c r="K2" s="32">
        <v>1476.99</v>
      </c>
      <c r="L2" s="32">
        <v>1238.96</v>
      </c>
    </row>
    <row r="3" spans="1:12" ht="15.75">
      <c r="A3" s="33" t="s">
        <v>48</v>
      </c>
      <c r="B3" s="34">
        <v>176.27</v>
      </c>
      <c r="C3" s="35">
        <v>183.02</v>
      </c>
      <c r="D3" s="35">
        <v>191.08</v>
      </c>
      <c r="E3" s="35">
        <v>205.65</v>
      </c>
      <c r="F3" s="35">
        <v>206.11</v>
      </c>
      <c r="G3" s="35">
        <v>180.15</v>
      </c>
      <c r="H3" s="35">
        <v>173.8</v>
      </c>
      <c r="I3" s="35">
        <v>161.26</v>
      </c>
      <c r="J3" s="35">
        <v>175.44</v>
      </c>
      <c r="K3" s="35">
        <v>176.54</v>
      </c>
      <c r="L3" s="35">
        <v>183.83</v>
      </c>
    </row>
    <row r="4" spans="1:12" ht="15.75">
      <c r="A4" s="36" t="s">
        <v>49</v>
      </c>
      <c r="B4" s="37">
        <v>65.13</v>
      </c>
      <c r="C4" s="35">
        <v>68.7</v>
      </c>
      <c r="D4" s="35">
        <v>58.64</v>
      </c>
      <c r="E4" s="35">
        <v>63.52</v>
      </c>
      <c r="F4" s="35">
        <v>63.75</v>
      </c>
      <c r="G4" s="35">
        <v>47.43</v>
      </c>
      <c r="H4" s="35">
        <v>57.03</v>
      </c>
      <c r="I4" s="35">
        <v>44.56</v>
      </c>
      <c r="J4" s="35">
        <v>48.39</v>
      </c>
      <c r="K4" s="35">
        <v>42.73</v>
      </c>
      <c r="L4" s="35">
        <v>42.58</v>
      </c>
    </row>
    <row r="5" spans="1:12" ht="15.75">
      <c r="A5" s="38" t="s">
        <v>50</v>
      </c>
      <c r="B5" s="34">
        <v>111.15</v>
      </c>
      <c r="C5" s="35">
        <v>114.32</v>
      </c>
      <c r="D5" s="35">
        <v>132.44</v>
      </c>
      <c r="E5" s="35">
        <v>142.13999999999999</v>
      </c>
      <c r="F5" s="35">
        <v>142.36000000000001</v>
      </c>
      <c r="G5" s="35">
        <v>132.72</v>
      </c>
      <c r="H5" s="35">
        <v>116.77</v>
      </c>
      <c r="I5" s="35">
        <v>116.7</v>
      </c>
      <c r="J5" s="35">
        <v>127.05</v>
      </c>
      <c r="K5" s="35">
        <v>133.82</v>
      </c>
      <c r="L5" s="35">
        <v>141.25</v>
      </c>
    </row>
    <row r="6" spans="1:12" ht="15.75">
      <c r="A6" s="33" t="s">
        <v>51</v>
      </c>
      <c r="B6" s="34">
        <v>134.71</v>
      </c>
      <c r="C6" s="35">
        <v>118.83</v>
      </c>
      <c r="D6" s="35">
        <v>139.94</v>
      </c>
      <c r="E6" s="35">
        <v>163.09</v>
      </c>
      <c r="F6" s="35">
        <v>132.69</v>
      </c>
      <c r="G6" s="35">
        <v>113.09</v>
      </c>
      <c r="H6" s="35">
        <v>104.72</v>
      </c>
      <c r="I6" s="35">
        <v>124.55</v>
      </c>
      <c r="J6" s="35">
        <v>108.59</v>
      </c>
      <c r="K6" s="35">
        <v>121.5</v>
      </c>
      <c r="L6" s="35">
        <v>114.23</v>
      </c>
    </row>
    <row r="7" spans="1:12" ht="15.75">
      <c r="A7" s="36" t="s">
        <v>52</v>
      </c>
      <c r="B7" s="37">
        <v>43.97</v>
      </c>
      <c r="C7" s="35">
        <v>42.48</v>
      </c>
      <c r="D7" s="35">
        <v>42.26</v>
      </c>
      <c r="E7" s="35">
        <v>46.21</v>
      </c>
      <c r="F7" s="35">
        <v>45.02</v>
      </c>
      <c r="G7" s="35">
        <v>45.9</v>
      </c>
      <c r="H7" s="35">
        <v>29.29</v>
      </c>
      <c r="I7" s="35">
        <v>49.15</v>
      </c>
      <c r="J7" s="35">
        <v>38.450000000000003</v>
      </c>
      <c r="K7" s="35">
        <v>45.02</v>
      </c>
      <c r="L7" s="35">
        <v>41.82</v>
      </c>
    </row>
    <row r="8" spans="1:12" ht="15.75">
      <c r="A8" s="38" t="s">
        <v>53</v>
      </c>
      <c r="B8" s="37">
        <v>0.85</v>
      </c>
      <c r="C8" s="35">
        <v>1.05</v>
      </c>
      <c r="D8" s="35">
        <v>0.99</v>
      </c>
      <c r="E8" s="35">
        <v>1.1499999999999999</v>
      </c>
      <c r="F8" s="35">
        <v>1.17</v>
      </c>
      <c r="G8" s="35">
        <v>1.18</v>
      </c>
      <c r="H8" s="35">
        <v>1.29</v>
      </c>
      <c r="I8" s="35">
        <v>1.47</v>
      </c>
      <c r="J8" s="35">
        <v>1.47</v>
      </c>
      <c r="K8" s="35">
        <v>1.34</v>
      </c>
      <c r="L8" s="35">
        <v>1.34</v>
      </c>
    </row>
    <row r="9" spans="1:12" ht="15.75">
      <c r="A9" s="36" t="s">
        <v>54</v>
      </c>
      <c r="B9" s="37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</row>
    <row r="10" spans="1:12" ht="15.75">
      <c r="A10" s="36" t="s">
        <v>55</v>
      </c>
      <c r="B10" s="37">
        <v>64.53</v>
      </c>
      <c r="C10" s="35">
        <v>60.37</v>
      </c>
      <c r="D10" s="35">
        <v>74.63</v>
      </c>
      <c r="E10" s="35">
        <v>83.16</v>
      </c>
      <c r="F10" s="35">
        <v>57.54</v>
      </c>
      <c r="G10" s="35">
        <v>57.31</v>
      </c>
      <c r="H10" s="35">
        <v>60.55</v>
      </c>
      <c r="I10" s="35">
        <v>62.21</v>
      </c>
      <c r="J10" s="35">
        <v>54.19</v>
      </c>
      <c r="K10" s="35">
        <v>62.11</v>
      </c>
      <c r="L10" s="35">
        <v>57.58</v>
      </c>
    </row>
    <row r="11" spans="1:12" ht="15.75">
      <c r="A11" s="36" t="s">
        <v>56</v>
      </c>
      <c r="B11" s="37">
        <v>25.36</v>
      </c>
      <c r="C11" s="35">
        <v>14.93</v>
      </c>
      <c r="D11" s="35">
        <v>22.05</v>
      </c>
      <c r="E11" s="35">
        <v>32.57</v>
      </c>
      <c r="F11" s="35">
        <v>28.97</v>
      </c>
      <c r="G11" s="35">
        <v>8.7100000000000009</v>
      </c>
      <c r="H11" s="35">
        <v>13.58</v>
      </c>
      <c r="I11" s="35">
        <v>11.72</v>
      </c>
      <c r="J11" s="35">
        <v>14.48</v>
      </c>
      <c r="K11" s="35">
        <v>13.03</v>
      </c>
      <c r="L11" s="35">
        <v>13.49</v>
      </c>
    </row>
    <row r="12" spans="1:12" ht="31.5">
      <c r="A12" s="39" t="s">
        <v>57</v>
      </c>
      <c r="B12" s="40">
        <v>0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</row>
    <row r="13" spans="1:12" ht="15.75">
      <c r="A13" s="33" t="s">
        <v>58</v>
      </c>
      <c r="B13" s="34">
        <v>593.19000000000005</v>
      </c>
      <c r="C13" s="35">
        <v>603.28</v>
      </c>
      <c r="D13" s="35">
        <v>608.62</v>
      </c>
      <c r="E13" s="35">
        <v>647.99</v>
      </c>
      <c r="F13" s="35">
        <v>683.23</v>
      </c>
      <c r="G13" s="35">
        <v>538</v>
      </c>
      <c r="H13" s="35">
        <v>506.36</v>
      </c>
      <c r="I13" s="35">
        <v>438.81</v>
      </c>
      <c r="J13" s="35">
        <v>376.34</v>
      </c>
      <c r="K13" s="35">
        <v>385.83</v>
      </c>
      <c r="L13" s="35">
        <v>395.57</v>
      </c>
    </row>
    <row r="14" spans="1:12" ht="15.75">
      <c r="A14" s="33" t="s">
        <v>59</v>
      </c>
      <c r="B14" s="34">
        <v>530.6</v>
      </c>
      <c r="C14" s="35">
        <v>531.1</v>
      </c>
      <c r="D14" s="35">
        <v>539.97</v>
      </c>
      <c r="E14" s="35">
        <v>561.4</v>
      </c>
      <c r="F14" s="35">
        <v>566.69000000000005</v>
      </c>
      <c r="G14" s="35">
        <v>606.21</v>
      </c>
      <c r="H14" s="35">
        <v>614.15</v>
      </c>
      <c r="I14" s="35">
        <v>630.57000000000005</v>
      </c>
      <c r="J14" s="35">
        <v>380.14</v>
      </c>
      <c r="K14" s="35">
        <v>646.36</v>
      </c>
      <c r="L14" s="35">
        <v>405.19</v>
      </c>
    </row>
    <row r="15" spans="1:12" ht="15.75">
      <c r="A15" s="33" t="s">
        <v>60</v>
      </c>
      <c r="B15" s="34">
        <v>100.07</v>
      </c>
      <c r="C15" s="35">
        <v>77.02</v>
      </c>
      <c r="D15" s="35">
        <v>84.58</v>
      </c>
      <c r="E15" s="35">
        <v>63.76</v>
      </c>
      <c r="F15" s="35">
        <v>237.44</v>
      </c>
      <c r="G15" s="35">
        <v>186.93</v>
      </c>
      <c r="H15" s="35">
        <v>121.69</v>
      </c>
      <c r="I15" s="35">
        <v>20.95</v>
      </c>
      <c r="J15" s="35">
        <v>63.73</v>
      </c>
      <c r="K15" s="35">
        <v>83.47</v>
      </c>
      <c r="L15" s="35">
        <v>90.38</v>
      </c>
    </row>
    <row r="16" spans="1:12" ht="15.75">
      <c r="A16" s="33" t="s">
        <v>61</v>
      </c>
      <c r="B16" s="37">
        <v>63.78</v>
      </c>
      <c r="C16" s="35">
        <v>39.51</v>
      </c>
      <c r="D16" s="35">
        <v>37.15</v>
      </c>
      <c r="E16" s="35">
        <v>38.28</v>
      </c>
      <c r="F16" s="35">
        <v>49.89</v>
      </c>
      <c r="G16" s="35">
        <v>55.72</v>
      </c>
      <c r="H16" s="35">
        <v>36.36</v>
      </c>
      <c r="I16" s="35">
        <v>40.61</v>
      </c>
      <c r="J16" s="35">
        <v>47.15</v>
      </c>
      <c r="K16" s="35">
        <v>62.14</v>
      </c>
      <c r="L16" s="35">
        <v>48.32</v>
      </c>
    </row>
    <row r="17" spans="1:12" ht="15.75">
      <c r="A17" s="33" t="s">
        <v>62</v>
      </c>
      <c r="B17" s="37">
        <v>0.43</v>
      </c>
      <c r="C17" s="35">
        <v>0.42</v>
      </c>
      <c r="D17" s="35">
        <v>0.5</v>
      </c>
      <c r="E17" s="35">
        <v>0.56000000000000005</v>
      </c>
      <c r="F17" s="35">
        <v>0.6</v>
      </c>
      <c r="G17" s="35">
        <v>0.67</v>
      </c>
      <c r="H17" s="35">
        <v>0.74</v>
      </c>
      <c r="I17" s="35">
        <v>1.3</v>
      </c>
      <c r="J17" s="35">
        <v>1.29</v>
      </c>
      <c r="K17" s="35">
        <v>1.1399999999999999</v>
      </c>
      <c r="L17" s="35">
        <v>1.44</v>
      </c>
    </row>
    <row r="18" spans="1:12" ht="15.75">
      <c r="A18" s="27"/>
      <c r="B18" s="42">
        <v>2013</v>
      </c>
      <c r="C18" s="42">
        <v>2014</v>
      </c>
      <c r="D18" s="42">
        <v>2015</v>
      </c>
      <c r="E18" s="42">
        <v>2016</v>
      </c>
      <c r="F18" s="42">
        <v>2017</v>
      </c>
      <c r="G18" s="42">
        <v>2018</v>
      </c>
      <c r="H18" s="42">
        <v>2019</v>
      </c>
      <c r="I18" s="42">
        <v>2020</v>
      </c>
      <c r="J18" s="42">
        <v>2021</v>
      </c>
      <c r="K18" s="42">
        <v>2022</v>
      </c>
      <c r="L18" s="42">
        <v>2023</v>
      </c>
    </row>
    <row r="19" spans="1:12" ht="15.75">
      <c r="A19" s="74" t="s">
        <v>63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1:12" ht="15.75">
      <c r="A20" s="43" t="s">
        <v>64</v>
      </c>
      <c r="B20" s="32">
        <v>61.48</v>
      </c>
      <c r="C20" s="32">
        <v>55.97</v>
      </c>
      <c r="D20" s="32">
        <v>62.81</v>
      </c>
      <c r="E20" s="32">
        <v>66.400000000000006</v>
      </c>
      <c r="F20" s="32">
        <v>71.3</v>
      </c>
      <c r="G20" s="32">
        <v>71.61</v>
      </c>
      <c r="H20" s="32">
        <v>74.989999999999995</v>
      </c>
      <c r="I20" s="32">
        <v>79.84</v>
      </c>
      <c r="J20" s="32">
        <v>67.66</v>
      </c>
      <c r="K20" s="32">
        <v>68.150000000000006</v>
      </c>
      <c r="L20" s="32">
        <v>66.23</v>
      </c>
    </row>
    <row r="21" spans="1:12" ht="15.75">
      <c r="A21" s="30" t="s">
        <v>48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</row>
    <row r="22" spans="1:12" ht="15.75">
      <c r="A22" s="33" t="s">
        <v>49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</row>
    <row r="23" spans="1:12" ht="15.75">
      <c r="A23" s="38" t="s">
        <v>50</v>
      </c>
      <c r="B23" s="35">
        <v>0</v>
      </c>
      <c r="C23" s="35">
        <v>0</v>
      </c>
      <c r="D23" s="35">
        <v>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</row>
    <row r="24" spans="1:12" ht="15.75">
      <c r="A24" s="38" t="s">
        <v>51</v>
      </c>
      <c r="B24" s="35">
        <v>15.91</v>
      </c>
      <c r="C24" s="35">
        <v>14.9</v>
      </c>
      <c r="D24" s="35">
        <v>14.6</v>
      </c>
      <c r="E24" s="35">
        <v>15.11</v>
      </c>
      <c r="F24" s="35">
        <v>16.309999999999999</v>
      </c>
      <c r="G24" s="35">
        <v>13.1</v>
      </c>
      <c r="H24" s="35">
        <v>15.78</v>
      </c>
      <c r="I24" s="35">
        <v>21.33</v>
      </c>
      <c r="J24" s="35">
        <v>16.32</v>
      </c>
      <c r="K24" s="35">
        <v>16.12</v>
      </c>
      <c r="L24" s="35">
        <v>15.51</v>
      </c>
    </row>
    <row r="25" spans="1:12" ht="15.75">
      <c r="A25" s="33" t="s">
        <v>52</v>
      </c>
      <c r="B25" s="35">
        <v>9.32</v>
      </c>
      <c r="C25" s="35">
        <v>8.09</v>
      </c>
      <c r="D25" s="35">
        <v>7.02</v>
      </c>
      <c r="E25" s="35">
        <v>7.44</v>
      </c>
      <c r="F25" s="35">
        <v>8.44</v>
      </c>
      <c r="G25" s="35">
        <v>8.08</v>
      </c>
      <c r="H25" s="35">
        <v>7.04</v>
      </c>
      <c r="I25" s="35">
        <v>15.97</v>
      </c>
      <c r="J25" s="35">
        <v>5.56</v>
      </c>
      <c r="K25" s="35">
        <v>5.5</v>
      </c>
      <c r="L25" s="35">
        <v>5.35</v>
      </c>
    </row>
    <row r="26" spans="1:12" ht="15.75">
      <c r="A26" s="38" t="s">
        <v>53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</row>
    <row r="27" spans="1:12" ht="15.75">
      <c r="A27" s="33" t="s">
        <v>54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2" ht="15.75">
      <c r="A28" s="33" t="s">
        <v>55</v>
      </c>
      <c r="B28" s="35">
        <v>4.37</v>
      </c>
      <c r="C28" s="35">
        <v>4.59</v>
      </c>
      <c r="D28" s="35">
        <v>5.5</v>
      </c>
      <c r="E28" s="35">
        <v>5.65</v>
      </c>
      <c r="F28" s="35">
        <v>5.96</v>
      </c>
      <c r="G28" s="35">
        <v>4.45</v>
      </c>
      <c r="H28" s="35">
        <v>6.88</v>
      </c>
      <c r="I28" s="35">
        <v>3.56</v>
      </c>
      <c r="J28" s="35">
        <v>9.5399999999999991</v>
      </c>
      <c r="K28" s="35">
        <v>9.41</v>
      </c>
      <c r="L28" s="35">
        <v>8.98</v>
      </c>
    </row>
    <row r="29" spans="1:12" ht="15.75">
      <c r="A29" s="33" t="s">
        <v>56</v>
      </c>
      <c r="B29" s="35">
        <v>2.23</v>
      </c>
      <c r="C29" s="35">
        <v>2.2200000000000002</v>
      </c>
      <c r="D29" s="35">
        <v>2.08</v>
      </c>
      <c r="E29" s="35">
        <v>2.02</v>
      </c>
      <c r="F29" s="35">
        <v>1.91</v>
      </c>
      <c r="G29" s="35">
        <v>0.56999999999999995</v>
      </c>
      <c r="H29" s="35">
        <v>1.86</v>
      </c>
      <c r="I29" s="35">
        <v>1.81</v>
      </c>
      <c r="J29" s="35">
        <v>1.22</v>
      </c>
      <c r="K29" s="35">
        <v>1.21</v>
      </c>
      <c r="L29" s="35">
        <v>1.18</v>
      </c>
    </row>
    <row r="30" spans="1:12" ht="31.5">
      <c r="A30" s="39" t="s">
        <v>57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</row>
    <row r="31" spans="1:12" ht="15.75">
      <c r="A31" s="30" t="s">
        <v>58</v>
      </c>
      <c r="B31" s="35">
        <v>9.27</v>
      </c>
      <c r="C31" s="35">
        <v>6.72</v>
      </c>
      <c r="D31" s="35">
        <v>10.1</v>
      </c>
      <c r="E31" s="35">
        <v>10.66</v>
      </c>
      <c r="F31" s="35">
        <v>11.84</v>
      </c>
      <c r="G31" s="35">
        <v>12.3</v>
      </c>
      <c r="H31" s="35">
        <v>12.94</v>
      </c>
      <c r="I31" s="35">
        <v>11.21</v>
      </c>
      <c r="J31" s="35">
        <v>9.5399999999999991</v>
      </c>
      <c r="K31" s="35">
        <v>9.67</v>
      </c>
      <c r="L31" s="35">
        <v>9.43</v>
      </c>
    </row>
    <row r="32" spans="1:12" ht="15.75">
      <c r="A32" s="30" t="s">
        <v>59</v>
      </c>
      <c r="B32" s="44">
        <v>36.29</v>
      </c>
      <c r="C32" s="44">
        <v>34.35</v>
      </c>
      <c r="D32" s="44">
        <v>38.11</v>
      </c>
      <c r="E32" s="44">
        <v>40.630000000000003</v>
      </c>
      <c r="F32" s="44">
        <v>43.15</v>
      </c>
      <c r="G32" s="44">
        <v>46.21</v>
      </c>
      <c r="H32" s="44">
        <v>46.21</v>
      </c>
      <c r="I32" s="44">
        <v>47.29</v>
      </c>
      <c r="J32" s="44">
        <v>41.8</v>
      </c>
      <c r="K32" s="44">
        <v>42.36</v>
      </c>
      <c r="L32" s="44">
        <v>41.3</v>
      </c>
    </row>
    <row r="33" spans="1:13" ht="15.75">
      <c r="A33" s="30" t="s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</row>
    <row r="34" spans="1:13" ht="15.75">
      <c r="A34" s="30" t="s">
        <v>61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</row>
    <row r="35" spans="1:13" ht="15.75">
      <c r="A35" s="30" t="s">
        <v>62</v>
      </c>
      <c r="B35" s="32">
        <v>0</v>
      </c>
      <c r="C35" s="32">
        <v>0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</row>
    <row r="36" spans="1:13" ht="15.75">
      <c r="A36" s="27"/>
      <c r="B36" s="42">
        <v>2013</v>
      </c>
      <c r="C36" s="77">
        <v>2014</v>
      </c>
      <c r="D36" s="78"/>
      <c r="E36" s="46">
        <v>2015</v>
      </c>
      <c r="F36" s="42">
        <v>2016</v>
      </c>
      <c r="G36" s="47">
        <v>2017</v>
      </c>
      <c r="H36" s="42">
        <v>2018</v>
      </c>
      <c r="I36" s="42">
        <v>2019</v>
      </c>
      <c r="J36" s="42">
        <v>2020</v>
      </c>
      <c r="K36" s="42">
        <v>2021</v>
      </c>
      <c r="L36" s="42">
        <v>2022</v>
      </c>
      <c r="M36" s="42">
        <v>2023</v>
      </c>
    </row>
    <row r="37" spans="1:13" ht="15.75">
      <c r="A37" s="74" t="s">
        <v>65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6"/>
    </row>
    <row r="38" spans="1:13" ht="15.75">
      <c r="A38" s="43" t="s">
        <v>64</v>
      </c>
      <c r="B38" s="32">
        <v>12.72</v>
      </c>
      <c r="C38" s="32">
        <v>11.89</v>
      </c>
      <c r="D38" s="79">
        <v>13.83</v>
      </c>
      <c r="E38" s="80"/>
      <c r="F38" s="32">
        <v>13.96</v>
      </c>
      <c r="G38" s="48">
        <v>13.18</v>
      </c>
      <c r="H38" s="32">
        <v>13.33</v>
      </c>
      <c r="I38" s="32">
        <v>13.44</v>
      </c>
      <c r="J38" s="32">
        <v>16.260000000000002</v>
      </c>
      <c r="K38" s="32">
        <v>116.17</v>
      </c>
      <c r="L38" s="32">
        <v>115.91</v>
      </c>
      <c r="M38" s="32">
        <v>122.39</v>
      </c>
    </row>
    <row r="39" spans="1:13" ht="15.75">
      <c r="A39" s="30" t="s">
        <v>48</v>
      </c>
      <c r="B39" s="35">
        <v>0</v>
      </c>
      <c r="C39" s="35">
        <v>0</v>
      </c>
      <c r="D39" s="81">
        <v>0</v>
      </c>
      <c r="E39" s="82"/>
      <c r="F39" s="35">
        <v>0</v>
      </c>
      <c r="G39" s="49">
        <v>0</v>
      </c>
      <c r="H39" s="35">
        <v>0</v>
      </c>
      <c r="I39" s="35">
        <v>0</v>
      </c>
      <c r="J39" s="35">
        <v>0</v>
      </c>
      <c r="K39" s="35">
        <v>107.74</v>
      </c>
      <c r="L39" s="35">
        <v>107.48</v>
      </c>
      <c r="M39" s="35">
        <v>113.64</v>
      </c>
    </row>
    <row r="40" spans="1:13" ht="15.75">
      <c r="A40" s="33" t="s">
        <v>49</v>
      </c>
      <c r="B40" s="35">
        <v>0</v>
      </c>
      <c r="C40" s="35">
        <v>0</v>
      </c>
      <c r="D40" s="81">
        <v>0</v>
      </c>
      <c r="E40" s="82"/>
      <c r="F40" s="35">
        <v>0</v>
      </c>
      <c r="G40" s="49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</row>
    <row r="41" spans="1:13" ht="15.75">
      <c r="A41" s="38" t="s">
        <v>50</v>
      </c>
      <c r="B41" s="35">
        <v>0</v>
      </c>
      <c r="C41" s="35">
        <v>0</v>
      </c>
      <c r="D41" s="81">
        <v>0</v>
      </c>
      <c r="E41" s="82"/>
      <c r="F41" s="35">
        <v>0</v>
      </c>
      <c r="G41" s="49">
        <v>0</v>
      </c>
      <c r="H41" s="35">
        <v>0</v>
      </c>
      <c r="I41" s="35">
        <v>0</v>
      </c>
      <c r="J41" s="35">
        <v>0</v>
      </c>
      <c r="K41" s="35">
        <v>107.74</v>
      </c>
      <c r="L41" s="35">
        <v>107.48</v>
      </c>
      <c r="M41" s="35">
        <v>113.64</v>
      </c>
    </row>
    <row r="42" spans="1:13" ht="15.75">
      <c r="A42" s="38" t="s">
        <v>51</v>
      </c>
      <c r="B42" s="35">
        <v>10.95</v>
      </c>
      <c r="C42" s="35">
        <v>10.050000000000001</v>
      </c>
      <c r="D42" s="72">
        <v>11.96</v>
      </c>
      <c r="E42" s="73"/>
      <c r="F42" s="35">
        <v>11.96</v>
      </c>
      <c r="G42" s="50">
        <v>11.18</v>
      </c>
      <c r="H42" s="35">
        <v>11.3</v>
      </c>
      <c r="I42" s="35">
        <v>11.38</v>
      </c>
      <c r="J42" s="35">
        <v>14.16</v>
      </c>
      <c r="K42" s="35">
        <v>5.62</v>
      </c>
      <c r="L42" s="35">
        <v>5.6</v>
      </c>
      <c r="M42" s="35">
        <v>5.77</v>
      </c>
    </row>
    <row r="43" spans="1:13" ht="15.75">
      <c r="A43" s="33" t="s">
        <v>52</v>
      </c>
      <c r="B43" s="35">
        <v>0</v>
      </c>
      <c r="C43" s="35">
        <v>0</v>
      </c>
      <c r="D43" s="81">
        <v>0</v>
      </c>
      <c r="E43" s="82"/>
      <c r="F43" s="35">
        <v>0</v>
      </c>
      <c r="G43" s="49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</row>
    <row r="44" spans="1:13" ht="15.75">
      <c r="A44" s="38" t="s">
        <v>53</v>
      </c>
      <c r="B44" s="35">
        <v>0</v>
      </c>
      <c r="C44" s="35">
        <v>0</v>
      </c>
      <c r="D44" s="81">
        <v>0</v>
      </c>
      <c r="E44" s="82"/>
      <c r="F44" s="35">
        <v>0</v>
      </c>
      <c r="G44" s="49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</row>
    <row r="45" spans="1:13" ht="15.75">
      <c r="A45" s="33" t="s">
        <v>54</v>
      </c>
      <c r="B45" s="35">
        <v>0</v>
      </c>
      <c r="C45" s="35">
        <v>0</v>
      </c>
      <c r="D45" s="81">
        <v>0</v>
      </c>
      <c r="E45" s="82"/>
      <c r="F45" s="35">
        <v>0</v>
      </c>
      <c r="G45" s="49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</row>
    <row r="46" spans="1:13" ht="15.75">
      <c r="A46" s="33" t="s">
        <v>66</v>
      </c>
      <c r="B46" s="35">
        <v>10.95</v>
      </c>
      <c r="C46" s="35">
        <v>10.050000000000001</v>
      </c>
      <c r="D46" s="72">
        <v>11.96</v>
      </c>
      <c r="E46" s="73"/>
      <c r="F46" s="35">
        <v>11.96</v>
      </c>
      <c r="G46" s="50">
        <v>11.18</v>
      </c>
      <c r="H46" s="35">
        <v>11.3</v>
      </c>
      <c r="I46" s="35">
        <v>11.38</v>
      </c>
      <c r="J46" s="35">
        <v>14.16</v>
      </c>
      <c r="K46" s="35">
        <v>5.61</v>
      </c>
      <c r="L46" s="35">
        <v>5.6</v>
      </c>
      <c r="M46" s="35">
        <v>5.77</v>
      </c>
    </row>
    <row r="47" spans="1:13" ht="15.75">
      <c r="A47" s="33" t="s">
        <v>56</v>
      </c>
      <c r="B47" s="35">
        <v>0</v>
      </c>
      <c r="C47" s="35">
        <v>0</v>
      </c>
      <c r="D47" s="81">
        <v>0</v>
      </c>
      <c r="E47" s="82"/>
      <c r="F47" s="35">
        <v>0</v>
      </c>
      <c r="G47" s="49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</row>
    <row r="48" spans="1:13" ht="31.5">
      <c r="A48" s="39" t="s">
        <v>57</v>
      </c>
      <c r="B48" s="35">
        <v>0</v>
      </c>
      <c r="C48" s="35">
        <v>0</v>
      </c>
      <c r="D48" s="81">
        <v>0</v>
      </c>
      <c r="E48" s="82"/>
      <c r="F48" s="35">
        <v>0</v>
      </c>
      <c r="G48" s="49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</row>
    <row r="49" spans="1:13" ht="15.75">
      <c r="A49" s="30" t="s">
        <v>58</v>
      </c>
      <c r="B49" s="35">
        <v>0</v>
      </c>
      <c r="C49" s="35">
        <v>0</v>
      </c>
      <c r="D49" s="81">
        <v>0</v>
      </c>
      <c r="E49" s="82"/>
      <c r="F49" s="35">
        <v>0</v>
      </c>
      <c r="G49" s="49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</row>
    <row r="50" spans="1:13" ht="15.75">
      <c r="A50" s="30" t="s">
        <v>67</v>
      </c>
      <c r="B50" s="35">
        <v>1.77</v>
      </c>
      <c r="C50" s="35">
        <v>1.84</v>
      </c>
      <c r="D50" s="81">
        <v>1.87</v>
      </c>
      <c r="E50" s="82"/>
      <c r="F50" s="35">
        <v>2</v>
      </c>
      <c r="G50" s="49">
        <v>2</v>
      </c>
      <c r="H50" s="35">
        <v>2.0299999999999998</v>
      </c>
      <c r="I50" s="35">
        <v>2.06</v>
      </c>
      <c r="J50" s="35">
        <v>2.1</v>
      </c>
      <c r="K50" s="35">
        <v>2.82</v>
      </c>
      <c r="L50" s="35">
        <v>2.83</v>
      </c>
      <c r="M50" s="35">
        <v>2.97</v>
      </c>
    </row>
    <row r="51" spans="1:13" ht="15.75">
      <c r="A51" s="27"/>
      <c r="B51" s="51">
        <v>2013</v>
      </c>
      <c r="C51" s="83">
        <v>2014</v>
      </c>
      <c r="D51" s="84"/>
      <c r="E51" s="51">
        <v>2015</v>
      </c>
      <c r="F51" s="51">
        <v>2016</v>
      </c>
      <c r="G51" s="51">
        <v>2017</v>
      </c>
      <c r="H51" s="51">
        <v>2018</v>
      </c>
      <c r="I51" s="51">
        <v>2019</v>
      </c>
      <c r="J51" s="51">
        <v>2020</v>
      </c>
      <c r="K51" s="51">
        <v>2021</v>
      </c>
      <c r="L51" s="51">
        <v>2022</v>
      </c>
      <c r="M51" s="51">
        <v>2023</v>
      </c>
    </row>
    <row r="52" spans="1:13" ht="15.75">
      <c r="A52" s="85" t="s">
        <v>68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7"/>
    </row>
    <row r="53" spans="1:13" ht="15.75">
      <c r="A53" s="43" t="s">
        <v>64</v>
      </c>
      <c r="B53" s="50">
        <v>67.150000000000006</v>
      </c>
      <c r="C53" s="35">
        <v>38.64</v>
      </c>
      <c r="D53" s="72">
        <v>37.24</v>
      </c>
      <c r="E53" s="73"/>
      <c r="F53" s="50">
        <v>38.21</v>
      </c>
      <c r="G53" s="50">
        <v>48.81</v>
      </c>
      <c r="H53" s="50">
        <v>48.89</v>
      </c>
      <c r="I53" s="50">
        <v>37.770000000000003</v>
      </c>
      <c r="J53" s="50">
        <v>36.31</v>
      </c>
      <c r="K53" s="50">
        <v>69.13</v>
      </c>
      <c r="L53" s="50">
        <v>83.96</v>
      </c>
      <c r="M53" s="50">
        <v>69.22</v>
      </c>
    </row>
    <row r="54" spans="1:13" ht="15.75">
      <c r="A54" s="30" t="s">
        <v>48</v>
      </c>
      <c r="B54" s="52">
        <v>0</v>
      </c>
      <c r="C54" s="35">
        <v>0</v>
      </c>
      <c r="D54" s="81">
        <v>0</v>
      </c>
      <c r="E54" s="82"/>
      <c r="F54" s="49">
        <v>0</v>
      </c>
      <c r="G54" s="49">
        <v>0</v>
      </c>
      <c r="H54" s="52">
        <v>0</v>
      </c>
      <c r="I54" s="52">
        <v>0</v>
      </c>
      <c r="J54" s="52">
        <v>0</v>
      </c>
      <c r="K54" s="52">
        <v>0</v>
      </c>
      <c r="L54" s="49">
        <v>0</v>
      </c>
      <c r="M54" s="49">
        <v>0</v>
      </c>
    </row>
    <row r="55" spans="1:13" ht="15.75">
      <c r="A55" s="33" t="s">
        <v>49</v>
      </c>
      <c r="B55" s="52">
        <v>0</v>
      </c>
      <c r="C55" s="35">
        <v>0</v>
      </c>
      <c r="D55" s="81">
        <v>0</v>
      </c>
      <c r="E55" s="82"/>
      <c r="F55" s="49">
        <v>0</v>
      </c>
      <c r="G55" s="49">
        <v>0</v>
      </c>
      <c r="H55" s="52">
        <v>0</v>
      </c>
      <c r="I55" s="52">
        <v>0</v>
      </c>
      <c r="J55" s="52">
        <v>0</v>
      </c>
      <c r="K55" s="52">
        <v>0</v>
      </c>
      <c r="L55" s="49">
        <v>0</v>
      </c>
      <c r="M55" s="49">
        <v>0</v>
      </c>
    </row>
    <row r="56" spans="1:13" ht="15.75">
      <c r="A56" s="38" t="s">
        <v>50</v>
      </c>
      <c r="B56" s="52">
        <v>0</v>
      </c>
      <c r="C56" s="35">
        <v>0</v>
      </c>
      <c r="D56" s="81">
        <v>0</v>
      </c>
      <c r="E56" s="82"/>
      <c r="F56" s="49">
        <v>0</v>
      </c>
      <c r="G56" s="49">
        <v>0</v>
      </c>
      <c r="H56" s="52">
        <v>0</v>
      </c>
      <c r="I56" s="52">
        <v>0</v>
      </c>
      <c r="J56" s="52">
        <v>0</v>
      </c>
      <c r="K56" s="52">
        <v>0</v>
      </c>
      <c r="L56" s="49">
        <v>0</v>
      </c>
      <c r="M56" s="49">
        <v>0</v>
      </c>
    </row>
    <row r="57" spans="1:13" ht="15.75">
      <c r="A57" s="38" t="s">
        <v>51</v>
      </c>
      <c r="B57" s="52">
        <v>3.48</v>
      </c>
      <c r="C57" s="35">
        <v>1.33</v>
      </c>
      <c r="D57" s="81">
        <v>0.76</v>
      </c>
      <c r="E57" s="82"/>
      <c r="F57" s="49">
        <v>1.25</v>
      </c>
      <c r="G57" s="49">
        <v>1.23</v>
      </c>
      <c r="H57" s="52">
        <v>0.38</v>
      </c>
      <c r="I57" s="52">
        <v>0.57999999999999996</v>
      </c>
      <c r="J57" s="52">
        <v>0.67</v>
      </c>
      <c r="K57" s="52">
        <v>2.34</v>
      </c>
      <c r="L57" s="49">
        <v>2.4</v>
      </c>
      <c r="M57" s="49">
        <v>2.36</v>
      </c>
    </row>
    <row r="58" spans="1:13" ht="15.75">
      <c r="A58" s="33" t="s">
        <v>52</v>
      </c>
      <c r="B58" s="52">
        <v>0</v>
      </c>
      <c r="C58" s="35">
        <v>0</v>
      </c>
      <c r="D58" s="81">
        <v>0</v>
      </c>
      <c r="E58" s="82"/>
      <c r="F58" s="49">
        <v>0</v>
      </c>
      <c r="G58" s="49">
        <v>0</v>
      </c>
      <c r="H58" s="52">
        <v>0</v>
      </c>
      <c r="I58" s="52">
        <v>0</v>
      </c>
      <c r="J58" s="52">
        <v>0</v>
      </c>
      <c r="K58" s="52">
        <v>0.64</v>
      </c>
      <c r="L58" s="49">
        <v>0.66</v>
      </c>
      <c r="M58" s="49">
        <v>0.65</v>
      </c>
    </row>
    <row r="59" spans="1:13" ht="15.75">
      <c r="A59" s="38" t="s">
        <v>53</v>
      </c>
      <c r="B59" s="52">
        <v>0</v>
      </c>
      <c r="C59" s="35">
        <v>0</v>
      </c>
      <c r="D59" s="81">
        <v>0</v>
      </c>
      <c r="E59" s="82"/>
      <c r="F59" s="49">
        <v>0</v>
      </c>
      <c r="G59" s="49">
        <v>0</v>
      </c>
      <c r="H59" s="52">
        <v>0</v>
      </c>
      <c r="I59" s="52">
        <v>0</v>
      </c>
      <c r="J59" s="52">
        <v>0</v>
      </c>
      <c r="K59" s="52">
        <v>0</v>
      </c>
      <c r="L59" s="49">
        <v>0</v>
      </c>
      <c r="M59" s="49">
        <v>0</v>
      </c>
    </row>
    <row r="60" spans="1:13" ht="15.75">
      <c r="A60" s="33" t="s">
        <v>54</v>
      </c>
      <c r="B60" s="52">
        <v>0</v>
      </c>
      <c r="C60" s="35">
        <v>0</v>
      </c>
      <c r="D60" s="81">
        <v>0</v>
      </c>
      <c r="E60" s="82"/>
      <c r="F60" s="49">
        <v>0</v>
      </c>
      <c r="G60" s="49">
        <v>0</v>
      </c>
      <c r="H60" s="52">
        <v>0</v>
      </c>
      <c r="I60" s="52">
        <v>0</v>
      </c>
      <c r="J60" s="52">
        <v>0</v>
      </c>
      <c r="K60" s="52">
        <v>0</v>
      </c>
      <c r="L60" s="49">
        <v>0</v>
      </c>
      <c r="M60" s="49">
        <v>0</v>
      </c>
    </row>
    <row r="61" spans="1:13" ht="15.75">
      <c r="A61" s="33" t="s">
        <v>66</v>
      </c>
      <c r="B61" s="52">
        <v>0</v>
      </c>
      <c r="C61" s="35">
        <v>0.01</v>
      </c>
      <c r="D61" s="81">
        <v>0.01</v>
      </c>
      <c r="E61" s="82"/>
      <c r="F61" s="49">
        <v>0.01</v>
      </c>
      <c r="G61" s="49">
        <v>0.01</v>
      </c>
      <c r="H61" s="52">
        <v>0.01</v>
      </c>
      <c r="I61" s="52">
        <v>0.01</v>
      </c>
      <c r="J61" s="52">
        <v>0.01</v>
      </c>
      <c r="K61" s="52">
        <v>0.79</v>
      </c>
      <c r="L61" s="49">
        <v>0.81</v>
      </c>
      <c r="M61" s="49">
        <v>0.78</v>
      </c>
    </row>
    <row r="62" spans="1:13" ht="15.75">
      <c r="A62" s="33" t="s">
        <v>56</v>
      </c>
      <c r="B62" s="52">
        <v>3.48</v>
      </c>
      <c r="C62" s="35">
        <v>1.32</v>
      </c>
      <c r="D62" s="81">
        <v>0.75</v>
      </c>
      <c r="E62" s="82"/>
      <c r="F62" s="49">
        <v>1.24</v>
      </c>
      <c r="G62" s="49">
        <v>1.22</v>
      </c>
      <c r="H62" s="52">
        <v>0.37</v>
      </c>
      <c r="I62" s="52">
        <v>0.56999999999999995</v>
      </c>
      <c r="J62" s="52">
        <v>0.66</v>
      </c>
      <c r="K62" s="52">
        <v>0.92</v>
      </c>
      <c r="L62" s="49">
        <v>0.94</v>
      </c>
      <c r="M62" s="49">
        <v>0.93</v>
      </c>
    </row>
    <row r="63" spans="1:13" ht="31.5">
      <c r="A63" s="39" t="s">
        <v>57</v>
      </c>
      <c r="B63" s="52">
        <v>0</v>
      </c>
      <c r="C63" s="35">
        <v>0</v>
      </c>
      <c r="D63" s="81">
        <v>0</v>
      </c>
      <c r="E63" s="82"/>
      <c r="F63" s="49">
        <v>0</v>
      </c>
      <c r="G63" s="49">
        <v>0</v>
      </c>
      <c r="H63" s="52">
        <v>0</v>
      </c>
      <c r="I63" s="52">
        <v>0</v>
      </c>
      <c r="J63" s="52">
        <v>0</v>
      </c>
      <c r="K63" s="52">
        <v>0</v>
      </c>
      <c r="L63" s="49">
        <v>0</v>
      </c>
      <c r="M63" s="49">
        <v>0</v>
      </c>
    </row>
    <row r="64" spans="1:13" ht="15.75">
      <c r="A64" s="30" t="s">
        <v>58</v>
      </c>
      <c r="B64" s="52">
        <v>0</v>
      </c>
      <c r="C64" s="35">
        <v>0</v>
      </c>
      <c r="D64" s="81">
        <v>0</v>
      </c>
      <c r="E64" s="82"/>
      <c r="F64" s="49">
        <v>0</v>
      </c>
      <c r="G64" s="49">
        <v>0</v>
      </c>
      <c r="H64" s="52">
        <v>0</v>
      </c>
      <c r="I64" s="52">
        <v>0</v>
      </c>
      <c r="J64" s="52">
        <v>0</v>
      </c>
      <c r="K64" s="50">
        <v>16.71</v>
      </c>
      <c r="L64" s="50">
        <v>16.3</v>
      </c>
      <c r="M64" s="50">
        <v>16.190000000000001</v>
      </c>
    </row>
    <row r="65" spans="1:13" ht="15.75">
      <c r="A65" s="30" t="s">
        <v>67</v>
      </c>
      <c r="B65" s="52">
        <v>4.1500000000000004</v>
      </c>
      <c r="C65" s="35">
        <v>3.51</v>
      </c>
      <c r="D65" s="81">
        <v>3.55</v>
      </c>
      <c r="E65" s="82"/>
      <c r="F65" s="49">
        <v>3.79</v>
      </c>
      <c r="G65" s="49">
        <v>3.79</v>
      </c>
      <c r="H65" s="52">
        <v>3.86</v>
      </c>
      <c r="I65" s="52">
        <v>3.95</v>
      </c>
      <c r="J65" s="52">
        <v>4.09</v>
      </c>
      <c r="K65" s="52">
        <v>8.9700000000000006</v>
      </c>
      <c r="L65" s="49">
        <v>8.75</v>
      </c>
      <c r="M65" s="49">
        <v>8.69</v>
      </c>
    </row>
    <row r="66" spans="1:13" ht="15.75">
      <c r="A66" s="30" t="s">
        <v>61</v>
      </c>
      <c r="B66" s="50">
        <v>59.53</v>
      </c>
      <c r="C66" s="35">
        <v>33.799999999999997</v>
      </c>
      <c r="D66" s="72">
        <v>32.93</v>
      </c>
      <c r="E66" s="73"/>
      <c r="F66" s="50">
        <v>33.17</v>
      </c>
      <c r="G66" s="50">
        <v>43.8</v>
      </c>
      <c r="H66" s="50">
        <v>44.76</v>
      </c>
      <c r="I66" s="50">
        <v>33.79</v>
      </c>
      <c r="J66" s="50">
        <v>31.55</v>
      </c>
      <c r="K66" s="50">
        <v>41.11</v>
      </c>
      <c r="L66" s="50">
        <v>56.5</v>
      </c>
      <c r="M66" s="50">
        <v>41.97</v>
      </c>
    </row>
    <row r="67" spans="1:13" ht="15.75">
      <c r="A67" s="27"/>
      <c r="B67" s="42">
        <v>2013</v>
      </c>
      <c r="C67" s="42">
        <v>2014</v>
      </c>
      <c r="D67" s="42">
        <v>2015</v>
      </c>
      <c r="E67" s="42">
        <v>2016</v>
      </c>
      <c r="F67" s="42">
        <v>2017</v>
      </c>
      <c r="G67" s="42">
        <v>2018</v>
      </c>
      <c r="H67" s="42">
        <v>2019</v>
      </c>
      <c r="I67" s="42">
        <v>2020</v>
      </c>
      <c r="J67" s="47">
        <v>2021</v>
      </c>
      <c r="K67" s="42">
        <v>2022</v>
      </c>
      <c r="L67" s="42">
        <v>2023</v>
      </c>
    </row>
    <row r="68" spans="1:13" ht="15.75">
      <c r="A68" s="74" t="s">
        <v>69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6"/>
    </row>
    <row r="69" spans="1:13" ht="15.75">
      <c r="A69" s="43" t="s">
        <v>64</v>
      </c>
      <c r="B69" s="32">
        <v>10.06</v>
      </c>
      <c r="C69" s="32">
        <v>10.210000000000001</v>
      </c>
      <c r="D69" s="32">
        <v>10.78</v>
      </c>
      <c r="E69" s="32">
        <v>11.48</v>
      </c>
      <c r="F69" s="32">
        <v>11.64</v>
      </c>
      <c r="G69" s="32">
        <v>12.1</v>
      </c>
      <c r="H69" s="32">
        <v>12.67</v>
      </c>
      <c r="I69" s="32">
        <v>11.51</v>
      </c>
      <c r="J69" s="48">
        <v>12.73</v>
      </c>
      <c r="K69" s="32">
        <v>10.01</v>
      </c>
      <c r="L69" s="32">
        <v>11.96</v>
      </c>
    </row>
    <row r="70" spans="1:13" ht="15.75">
      <c r="A70" s="30" t="s">
        <v>48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49">
        <v>0</v>
      </c>
      <c r="K70" s="35">
        <v>0</v>
      </c>
      <c r="L70" s="35">
        <v>0</v>
      </c>
    </row>
    <row r="71" spans="1:13" ht="15.75">
      <c r="A71" s="33" t="s">
        <v>49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49">
        <v>0</v>
      </c>
      <c r="K71" s="35">
        <v>0</v>
      </c>
      <c r="L71" s="35">
        <v>0</v>
      </c>
    </row>
    <row r="72" spans="1:13" ht="15.75">
      <c r="A72" s="53" t="s">
        <v>50</v>
      </c>
      <c r="B72" s="35">
        <v>0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49">
        <v>0</v>
      </c>
      <c r="K72" s="35">
        <v>0</v>
      </c>
      <c r="L72" s="35">
        <v>0</v>
      </c>
    </row>
    <row r="73" spans="1:13" ht="15.75">
      <c r="A73" s="53" t="s">
        <v>51</v>
      </c>
      <c r="B73" s="35">
        <v>5.52</v>
      </c>
      <c r="C73" s="35">
        <v>5.5</v>
      </c>
      <c r="D73" s="35">
        <v>5.62</v>
      </c>
      <c r="E73" s="35">
        <v>5.81</v>
      </c>
      <c r="F73" s="35">
        <v>5.93</v>
      </c>
      <c r="G73" s="35">
        <v>6.21</v>
      </c>
      <c r="H73" s="35">
        <v>6.39</v>
      </c>
      <c r="I73" s="35">
        <v>5.81</v>
      </c>
      <c r="J73" s="49">
        <v>7.1</v>
      </c>
      <c r="K73" s="35">
        <v>7.56</v>
      </c>
      <c r="L73" s="35">
        <v>7.14</v>
      </c>
    </row>
    <row r="74" spans="1:13" ht="15.75">
      <c r="A74" s="33" t="s">
        <v>52</v>
      </c>
      <c r="B74" s="35">
        <v>1.28</v>
      </c>
      <c r="C74" s="35">
        <v>1.37</v>
      </c>
      <c r="D74" s="35">
        <v>1.49</v>
      </c>
      <c r="E74" s="35">
        <v>1.61</v>
      </c>
      <c r="F74" s="35">
        <v>1.84</v>
      </c>
      <c r="G74" s="35">
        <v>2.02</v>
      </c>
      <c r="H74" s="35">
        <v>2.09</v>
      </c>
      <c r="I74" s="35">
        <v>1.81</v>
      </c>
      <c r="J74" s="49">
        <v>1.53</v>
      </c>
      <c r="K74" s="35">
        <v>1.63</v>
      </c>
      <c r="L74" s="35">
        <v>1.57</v>
      </c>
    </row>
    <row r="75" spans="1:13" ht="15.75">
      <c r="A75" s="38" t="s">
        <v>53</v>
      </c>
      <c r="B75" s="35">
        <v>0</v>
      </c>
      <c r="C75" s="35">
        <v>0</v>
      </c>
      <c r="D75" s="35">
        <v>0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49">
        <v>0</v>
      </c>
      <c r="K75" s="35">
        <v>0</v>
      </c>
      <c r="L75" s="35">
        <v>0</v>
      </c>
    </row>
    <row r="76" spans="1:13" ht="15.75">
      <c r="A76" s="33" t="s">
        <v>54</v>
      </c>
      <c r="B76" s="35">
        <v>0</v>
      </c>
      <c r="C76" s="35">
        <v>0</v>
      </c>
      <c r="D76" s="35">
        <v>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49">
        <v>0</v>
      </c>
      <c r="K76" s="35">
        <v>0</v>
      </c>
      <c r="L76" s="35">
        <v>0</v>
      </c>
    </row>
    <row r="77" spans="1:13" ht="15.75">
      <c r="A77" s="33" t="s">
        <v>66</v>
      </c>
      <c r="B77" s="35">
        <v>3.55</v>
      </c>
      <c r="C77" s="35">
        <v>3.67</v>
      </c>
      <c r="D77" s="35">
        <v>3.82</v>
      </c>
      <c r="E77" s="35">
        <v>3.98</v>
      </c>
      <c r="F77" s="35">
        <v>3.96</v>
      </c>
      <c r="G77" s="35">
        <v>4.1500000000000004</v>
      </c>
      <c r="H77" s="35">
        <v>4.2300000000000004</v>
      </c>
      <c r="I77" s="35">
        <v>3.93</v>
      </c>
      <c r="J77" s="49">
        <v>5.5</v>
      </c>
      <c r="K77" s="35">
        <v>5.85</v>
      </c>
      <c r="L77" s="35">
        <v>5.5</v>
      </c>
    </row>
    <row r="78" spans="1:13" ht="15.75">
      <c r="A78" s="33" t="s">
        <v>56</v>
      </c>
      <c r="B78" s="35">
        <v>0.68</v>
      </c>
      <c r="C78" s="35">
        <v>0.46</v>
      </c>
      <c r="D78" s="35">
        <v>0.31</v>
      </c>
      <c r="E78" s="35">
        <v>0.22</v>
      </c>
      <c r="F78" s="35">
        <v>0.14000000000000001</v>
      </c>
      <c r="G78" s="35">
        <v>0.05</v>
      </c>
      <c r="H78" s="35">
        <v>7.0000000000000007E-2</v>
      </c>
      <c r="I78" s="35">
        <v>7.0000000000000007E-2</v>
      </c>
      <c r="J78" s="49">
        <v>7.0000000000000007E-2</v>
      </c>
      <c r="K78" s="35">
        <v>0.08</v>
      </c>
      <c r="L78" s="35">
        <v>7.0000000000000007E-2</v>
      </c>
    </row>
    <row r="79" spans="1:13" ht="31.5">
      <c r="A79" s="39" t="s">
        <v>57</v>
      </c>
      <c r="B79" s="35">
        <v>0</v>
      </c>
      <c r="C79" s="35">
        <v>0</v>
      </c>
      <c r="D79" s="35">
        <v>0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49">
        <v>0</v>
      </c>
      <c r="K79" s="35">
        <v>0</v>
      </c>
      <c r="L79" s="35">
        <v>0</v>
      </c>
    </row>
    <row r="80" spans="1:13" ht="15.75">
      <c r="A80" s="30" t="s">
        <v>58</v>
      </c>
      <c r="B80" s="35">
        <v>1.23</v>
      </c>
      <c r="C80" s="35">
        <v>1.3</v>
      </c>
      <c r="D80" s="35">
        <v>1.61</v>
      </c>
      <c r="E80" s="35">
        <v>1.78</v>
      </c>
      <c r="F80" s="35">
        <v>1.77</v>
      </c>
      <c r="G80" s="35">
        <v>1.92</v>
      </c>
      <c r="H80" s="35">
        <v>2.08</v>
      </c>
      <c r="I80" s="35">
        <v>1.8</v>
      </c>
      <c r="J80" s="49">
        <v>1.53</v>
      </c>
      <c r="K80" s="35">
        <v>1.44</v>
      </c>
      <c r="L80" s="35">
        <v>1.31</v>
      </c>
    </row>
    <row r="81" spans="1:12" ht="15.75">
      <c r="A81" s="30" t="s">
        <v>67</v>
      </c>
      <c r="B81" s="35">
        <v>3.31</v>
      </c>
      <c r="C81" s="35">
        <v>3.41</v>
      </c>
      <c r="D81" s="35">
        <v>3.56</v>
      </c>
      <c r="E81" s="35">
        <v>3.89</v>
      </c>
      <c r="F81" s="35">
        <v>3.93</v>
      </c>
      <c r="G81" s="35">
        <v>3.98</v>
      </c>
      <c r="H81" s="35">
        <v>4.2</v>
      </c>
      <c r="I81" s="35">
        <v>3.9</v>
      </c>
      <c r="J81" s="49">
        <v>4.0999999999999996</v>
      </c>
      <c r="K81" s="35">
        <v>1.01</v>
      </c>
      <c r="L81" s="35">
        <v>3.51</v>
      </c>
    </row>
    <row r="82" spans="1:12" ht="15.75">
      <c r="A82" s="27"/>
      <c r="B82" s="42">
        <v>2013</v>
      </c>
      <c r="C82" s="42">
        <v>2014</v>
      </c>
      <c r="D82" s="42">
        <v>2015</v>
      </c>
      <c r="E82" s="42">
        <v>2016</v>
      </c>
      <c r="F82" s="42">
        <v>2017</v>
      </c>
      <c r="G82" s="42">
        <v>2018</v>
      </c>
      <c r="H82" s="42">
        <v>2019</v>
      </c>
      <c r="I82" s="42">
        <v>2020</v>
      </c>
      <c r="J82" s="47">
        <v>2021</v>
      </c>
      <c r="K82" s="42">
        <v>2022</v>
      </c>
      <c r="L82" s="42">
        <v>2023</v>
      </c>
    </row>
    <row r="83" spans="1:12" ht="14.25" customHeight="1">
      <c r="A83" s="85" t="s">
        <v>70</v>
      </c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7"/>
    </row>
    <row r="84" spans="1:12" ht="15.75">
      <c r="A84" s="43" t="s">
        <v>64</v>
      </c>
      <c r="B84" s="35">
        <v>61.26</v>
      </c>
      <c r="C84" s="35">
        <v>62.16</v>
      </c>
      <c r="D84" s="35">
        <v>63.88</v>
      </c>
      <c r="E84" s="35">
        <v>64.930000000000007</v>
      </c>
      <c r="F84" s="35">
        <v>65.62</v>
      </c>
      <c r="G84" s="35">
        <v>66.94</v>
      </c>
      <c r="H84" s="35">
        <v>67.13</v>
      </c>
      <c r="I84" s="35">
        <v>64.34</v>
      </c>
      <c r="J84" s="50">
        <v>12.44</v>
      </c>
      <c r="K84" s="35">
        <v>9.35</v>
      </c>
      <c r="L84" s="35">
        <v>11.96</v>
      </c>
    </row>
    <row r="85" spans="1:12" ht="15.75">
      <c r="A85" s="30" t="s">
        <v>48</v>
      </c>
      <c r="B85" s="35">
        <v>0</v>
      </c>
      <c r="C85" s="35">
        <v>0</v>
      </c>
      <c r="D85" s="35">
        <v>0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49">
        <v>0</v>
      </c>
      <c r="K85" s="35">
        <v>0</v>
      </c>
      <c r="L85" s="35">
        <v>0</v>
      </c>
    </row>
    <row r="86" spans="1:12" ht="15.75">
      <c r="A86" s="33" t="s">
        <v>49</v>
      </c>
      <c r="B86" s="35">
        <v>0</v>
      </c>
      <c r="C86" s="35">
        <v>0</v>
      </c>
      <c r="D86" s="35">
        <v>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49">
        <v>0</v>
      </c>
      <c r="K86" s="35">
        <v>0</v>
      </c>
      <c r="L86" s="35">
        <v>0</v>
      </c>
    </row>
    <row r="87" spans="1:12" ht="15.75">
      <c r="A87" s="53" t="s">
        <v>50</v>
      </c>
      <c r="B87" s="35">
        <v>0</v>
      </c>
      <c r="C87" s="35">
        <v>0</v>
      </c>
      <c r="D87" s="35">
        <v>0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49">
        <v>0</v>
      </c>
      <c r="K87" s="35">
        <v>0</v>
      </c>
      <c r="L87" s="35">
        <v>0</v>
      </c>
    </row>
    <row r="88" spans="1:12" ht="15.75">
      <c r="A88" s="53" t="s">
        <v>51</v>
      </c>
      <c r="B88" s="35">
        <v>0.83</v>
      </c>
      <c r="C88" s="35">
        <v>0.82</v>
      </c>
      <c r="D88" s="35">
        <v>0.87</v>
      </c>
      <c r="E88" s="35">
        <v>0.87</v>
      </c>
      <c r="F88" s="35">
        <v>0.85</v>
      </c>
      <c r="G88" s="35">
        <v>0.87</v>
      </c>
      <c r="H88" s="35">
        <v>0.82</v>
      </c>
      <c r="I88" s="35">
        <v>0.59</v>
      </c>
      <c r="J88" s="49">
        <v>0.78</v>
      </c>
      <c r="K88" s="35">
        <v>0.78</v>
      </c>
      <c r="L88" s="35">
        <v>0.7</v>
      </c>
    </row>
    <row r="89" spans="1:12" ht="15.75">
      <c r="A89" s="33" t="s">
        <v>52</v>
      </c>
      <c r="B89" s="35">
        <v>0.03</v>
      </c>
      <c r="C89" s="35">
        <v>0.03</v>
      </c>
      <c r="D89" s="35">
        <v>0.03</v>
      </c>
      <c r="E89" s="35">
        <v>0.03</v>
      </c>
      <c r="F89" s="35">
        <v>0.03</v>
      </c>
      <c r="G89" s="35">
        <v>0.03</v>
      </c>
      <c r="H89" s="35">
        <v>0.03</v>
      </c>
      <c r="I89" s="35">
        <v>0.02</v>
      </c>
      <c r="J89" s="49">
        <v>0.03</v>
      </c>
      <c r="K89" s="35">
        <v>0.03</v>
      </c>
      <c r="L89" s="35">
        <v>0.03</v>
      </c>
    </row>
    <row r="90" spans="1:12" ht="15.75">
      <c r="A90" s="38" t="s">
        <v>53</v>
      </c>
      <c r="B90" s="35">
        <v>0</v>
      </c>
      <c r="C90" s="35">
        <v>0</v>
      </c>
      <c r="D90" s="35">
        <v>0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49">
        <v>0</v>
      </c>
      <c r="K90" s="35">
        <v>0</v>
      </c>
      <c r="L90" s="35">
        <v>0</v>
      </c>
    </row>
    <row r="91" spans="1:12" ht="15.75">
      <c r="A91" s="33" t="s">
        <v>54</v>
      </c>
      <c r="B91" s="35">
        <v>0</v>
      </c>
      <c r="C91" s="35">
        <v>0</v>
      </c>
      <c r="D91" s="35">
        <v>0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49">
        <v>0</v>
      </c>
      <c r="K91" s="35">
        <v>0</v>
      </c>
      <c r="L91" s="35">
        <v>0</v>
      </c>
    </row>
    <row r="92" spans="1:12" ht="15.75">
      <c r="A92" s="33" t="s">
        <v>66</v>
      </c>
      <c r="B92" s="35">
        <v>0.77</v>
      </c>
      <c r="C92" s="35">
        <v>0.76</v>
      </c>
      <c r="D92" s="35">
        <v>0.8</v>
      </c>
      <c r="E92" s="35">
        <v>0.81</v>
      </c>
      <c r="F92" s="35">
        <v>0.79</v>
      </c>
      <c r="G92" s="35">
        <v>0.81</v>
      </c>
      <c r="H92" s="35">
        <v>0.76</v>
      </c>
      <c r="I92" s="35">
        <v>0.54</v>
      </c>
      <c r="J92" s="49">
        <v>0.72</v>
      </c>
      <c r="K92" s="35">
        <v>0.72</v>
      </c>
      <c r="L92" s="35">
        <v>0.65</v>
      </c>
    </row>
    <row r="93" spans="1:12" ht="15.75">
      <c r="A93" s="33" t="s">
        <v>56</v>
      </c>
      <c r="B93" s="35">
        <v>0.03</v>
      </c>
      <c r="C93" s="35">
        <v>0.03</v>
      </c>
      <c r="D93" s="35">
        <v>0.03</v>
      </c>
      <c r="E93" s="35">
        <v>0.03</v>
      </c>
      <c r="F93" s="35">
        <v>0.03</v>
      </c>
      <c r="G93" s="35">
        <v>0.03</v>
      </c>
      <c r="H93" s="35">
        <v>0.03</v>
      </c>
      <c r="I93" s="35">
        <v>0.02</v>
      </c>
      <c r="J93" s="49">
        <v>0.03</v>
      </c>
      <c r="K93" s="35">
        <v>0.03</v>
      </c>
      <c r="L93" s="35">
        <v>0.03</v>
      </c>
    </row>
    <row r="94" spans="1:12" ht="31.5">
      <c r="A94" s="39" t="s">
        <v>57</v>
      </c>
      <c r="B94" s="35">
        <v>48</v>
      </c>
      <c r="C94" s="35">
        <v>49</v>
      </c>
      <c r="D94" s="35">
        <v>50</v>
      </c>
      <c r="E94" s="35">
        <v>51</v>
      </c>
      <c r="F94" s="35">
        <v>52</v>
      </c>
      <c r="G94" s="35">
        <v>53</v>
      </c>
      <c r="H94" s="35">
        <v>54</v>
      </c>
      <c r="I94" s="35">
        <v>55</v>
      </c>
      <c r="J94" s="49">
        <v>0</v>
      </c>
      <c r="K94" s="35">
        <v>0</v>
      </c>
      <c r="L94" s="35">
        <v>0</v>
      </c>
    </row>
    <row r="95" spans="1:12" ht="15.75">
      <c r="A95" s="30" t="s">
        <v>58</v>
      </c>
      <c r="B95" s="35">
        <v>8.6199999999999992</v>
      </c>
      <c r="C95" s="35">
        <v>8.5500000000000007</v>
      </c>
      <c r="D95" s="35">
        <v>9.02</v>
      </c>
      <c r="E95" s="35">
        <v>9.06</v>
      </c>
      <c r="F95" s="35">
        <v>8.85</v>
      </c>
      <c r="G95" s="35">
        <v>9.06</v>
      </c>
      <c r="H95" s="35">
        <v>8.5399999999999991</v>
      </c>
      <c r="I95" s="35">
        <v>6.07</v>
      </c>
      <c r="J95" s="49">
        <v>8.08</v>
      </c>
      <c r="K95" s="35">
        <v>8.11</v>
      </c>
      <c r="L95" s="35">
        <v>7.8</v>
      </c>
    </row>
    <row r="96" spans="1:12" ht="15.75">
      <c r="A96" s="30" t="s">
        <v>67</v>
      </c>
      <c r="B96" s="35">
        <v>3.81</v>
      </c>
      <c r="C96" s="35">
        <v>3.78</v>
      </c>
      <c r="D96" s="35">
        <v>3.99</v>
      </c>
      <c r="E96" s="35">
        <v>4</v>
      </c>
      <c r="F96" s="35">
        <v>3.91</v>
      </c>
      <c r="G96" s="35">
        <v>4.01</v>
      </c>
      <c r="H96" s="35">
        <v>3.78</v>
      </c>
      <c r="I96" s="35">
        <v>2.69</v>
      </c>
      <c r="J96" s="49">
        <v>3.58</v>
      </c>
      <c r="K96" s="35">
        <v>0.45</v>
      </c>
      <c r="L96" s="35">
        <v>3.45</v>
      </c>
    </row>
    <row r="97" spans="1:12" ht="15.75">
      <c r="A97" s="27"/>
      <c r="B97" s="42">
        <v>2013</v>
      </c>
      <c r="C97" s="42">
        <v>2014</v>
      </c>
      <c r="D97" s="42">
        <v>2015</v>
      </c>
      <c r="E97" s="42">
        <v>2016</v>
      </c>
      <c r="F97" s="42">
        <v>2017</v>
      </c>
      <c r="G97" s="42">
        <v>2018</v>
      </c>
      <c r="H97" s="42">
        <v>2019</v>
      </c>
      <c r="I97" s="42">
        <v>2020</v>
      </c>
      <c r="J97" s="42">
        <v>2021</v>
      </c>
      <c r="K97" s="42">
        <v>2022</v>
      </c>
      <c r="L97" s="42">
        <v>2023</v>
      </c>
    </row>
    <row r="98" spans="1:12" ht="15.75">
      <c r="A98" s="74" t="s">
        <v>71</v>
      </c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6"/>
    </row>
    <row r="99" spans="1:12" ht="15.75">
      <c r="A99" s="43" t="s">
        <v>64</v>
      </c>
      <c r="B99" s="32">
        <v>49.82</v>
      </c>
      <c r="C99" s="32">
        <v>44.36</v>
      </c>
      <c r="D99" s="32">
        <v>49.94</v>
      </c>
      <c r="E99" s="32">
        <v>59.41</v>
      </c>
      <c r="F99" s="32">
        <v>56.22</v>
      </c>
      <c r="G99" s="32">
        <v>51.65</v>
      </c>
      <c r="H99" s="32">
        <v>54.85</v>
      </c>
      <c r="I99" s="32">
        <v>49.21</v>
      </c>
      <c r="J99" s="32">
        <v>50.21</v>
      </c>
      <c r="K99" s="32">
        <v>64.52</v>
      </c>
      <c r="L99" s="32">
        <v>47.07</v>
      </c>
    </row>
    <row r="100" spans="1:12" ht="15.75">
      <c r="A100" s="30" t="s">
        <v>48</v>
      </c>
      <c r="B100" s="35">
        <v>0</v>
      </c>
      <c r="C100" s="35">
        <v>0</v>
      </c>
      <c r="D100" s="35">
        <v>0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</row>
    <row r="101" spans="1:12" ht="15.75">
      <c r="A101" s="33" t="s">
        <v>49</v>
      </c>
      <c r="B101" s="35">
        <v>0</v>
      </c>
      <c r="C101" s="35">
        <v>0</v>
      </c>
      <c r="D101" s="35">
        <v>0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</row>
    <row r="102" spans="1:12" ht="15.75">
      <c r="A102" s="38" t="s">
        <v>50</v>
      </c>
      <c r="B102" s="35">
        <v>0</v>
      </c>
      <c r="C102" s="35">
        <v>0</v>
      </c>
      <c r="D102" s="35">
        <v>0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</row>
    <row r="103" spans="1:12" ht="15.75">
      <c r="A103" s="38" t="s">
        <v>51</v>
      </c>
      <c r="B103" s="35">
        <v>6.86</v>
      </c>
      <c r="C103" s="35">
        <v>2.81</v>
      </c>
      <c r="D103" s="35">
        <v>7.07</v>
      </c>
      <c r="E103" s="35">
        <v>12.06</v>
      </c>
      <c r="F103" s="35">
        <v>10.69</v>
      </c>
      <c r="G103" s="35">
        <v>4.59</v>
      </c>
      <c r="H103" s="35">
        <v>6.14</v>
      </c>
      <c r="I103" s="35">
        <v>6.04</v>
      </c>
      <c r="J103" s="35">
        <v>12.8</v>
      </c>
      <c r="K103" s="35">
        <v>12.97</v>
      </c>
      <c r="L103" s="35">
        <v>12.11</v>
      </c>
    </row>
    <row r="104" spans="1:12" ht="15.75">
      <c r="A104" s="33" t="s">
        <v>52</v>
      </c>
      <c r="B104" s="35">
        <v>0.41</v>
      </c>
      <c r="C104" s="35">
        <v>0.42</v>
      </c>
      <c r="D104" s="35">
        <v>0.43</v>
      </c>
      <c r="E104" s="35">
        <v>0.45</v>
      </c>
      <c r="F104" s="35">
        <v>0.46</v>
      </c>
      <c r="G104" s="35">
        <v>0.46</v>
      </c>
      <c r="H104" s="35">
        <v>0.48</v>
      </c>
      <c r="I104" s="35">
        <v>0.46</v>
      </c>
      <c r="J104" s="35">
        <v>0.54</v>
      </c>
      <c r="K104" s="35">
        <v>0.55000000000000004</v>
      </c>
      <c r="L104" s="35">
        <v>0.52</v>
      </c>
    </row>
    <row r="105" spans="1:12" ht="15.75">
      <c r="A105" s="38" t="s">
        <v>53</v>
      </c>
      <c r="B105" s="35">
        <v>0</v>
      </c>
      <c r="C105" s="35">
        <v>0</v>
      </c>
      <c r="D105" s="35">
        <v>0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</row>
    <row r="106" spans="1:12" ht="15.75">
      <c r="A106" s="33" t="s">
        <v>54</v>
      </c>
      <c r="B106" s="35">
        <v>0</v>
      </c>
      <c r="C106" s="35">
        <v>0</v>
      </c>
      <c r="D106" s="35">
        <v>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</row>
    <row r="107" spans="1:12" ht="15.75">
      <c r="A107" s="33" t="s">
        <v>66</v>
      </c>
      <c r="B107" s="35">
        <v>1.29</v>
      </c>
      <c r="C107" s="35">
        <v>1.33</v>
      </c>
      <c r="D107" s="35">
        <v>1.37</v>
      </c>
      <c r="E107" s="35">
        <v>1.43</v>
      </c>
      <c r="F107" s="35">
        <v>1.45</v>
      </c>
      <c r="G107" s="35">
        <v>1.48</v>
      </c>
      <c r="H107" s="35">
        <v>1.54</v>
      </c>
      <c r="I107" s="35">
        <v>1.46</v>
      </c>
      <c r="J107" s="35">
        <v>7.85</v>
      </c>
      <c r="K107" s="35">
        <v>7.95</v>
      </c>
      <c r="L107" s="35">
        <v>7.37</v>
      </c>
    </row>
    <row r="108" spans="1:12" ht="15.75">
      <c r="A108" s="33" t="s">
        <v>56</v>
      </c>
      <c r="B108" s="35">
        <v>5.16</v>
      </c>
      <c r="C108" s="35">
        <v>1.07</v>
      </c>
      <c r="D108" s="35">
        <v>5.27</v>
      </c>
      <c r="E108" s="35">
        <v>10.19</v>
      </c>
      <c r="F108" s="35">
        <v>8.7799999999999994</v>
      </c>
      <c r="G108" s="35">
        <v>2.64</v>
      </c>
      <c r="H108" s="35">
        <v>4.12</v>
      </c>
      <c r="I108" s="35">
        <v>4.13</v>
      </c>
      <c r="J108" s="35">
        <v>4.41</v>
      </c>
      <c r="K108" s="35">
        <v>4.47</v>
      </c>
      <c r="L108" s="35">
        <v>4.2300000000000004</v>
      </c>
    </row>
    <row r="109" spans="1:12" ht="31.5">
      <c r="A109" s="39" t="s">
        <v>57</v>
      </c>
      <c r="B109" s="35">
        <v>0</v>
      </c>
      <c r="C109" s="35">
        <v>0</v>
      </c>
      <c r="D109" s="35">
        <v>0</v>
      </c>
      <c r="E109" s="35">
        <v>0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</row>
    <row r="110" spans="1:12" ht="15.75">
      <c r="A110" s="30" t="s">
        <v>58</v>
      </c>
      <c r="B110" s="35">
        <v>32.659999999999997</v>
      </c>
      <c r="C110" s="35">
        <v>30.97</v>
      </c>
      <c r="D110" s="35">
        <v>31.97</v>
      </c>
      <c r="E110" s="35">
        <v>35.42</v>
      </c>
      <c r="F110" s="35">
        <v>33.950000000000003</v>
      </c>
      <c r="G110" s="35">
        <v>35.22</v>
      </c>
      <c r="H110" s="35">
        <v>36.43</v>
      </c>
      <c r="I110" s="35">
        <v>31.57</v>
      </c>
      <c r="J110" s="35">
        <v>26.86</v>
      </c>
      <c r="K110" s="35">
        <v>26.52</v>
      </c>
      <c r="L110" s="35">
        <v>25.1</v>
      </c>
    </row>
    <row r="111" spans="1:12" ht="15.75">
      <c r="A111" s="30" t="s">
        <v>67</v>
      </c>
      <c r="B111" s="35">
        <v>10.3</v>
      </c>
      <c r="C111" s="35">
        <v>10.58</v>
      </c>
      <c r="D111" s="35">
        <v>10.9</v>
      </c>
      <c r="E111" s="35">
        <v>11.93</v>
      </c>
      <c r="F111" s="35">
        <v>11.58</v>
      </c>
      <c r="G111" s="35">
        <v>11.85</v>
      </c>
      <c r="H111" s="35">
        <v>12.28</v>
      </c>
      <c r="I111" s="35">
        <v>11.6</v>
      </c>
      <c r="J111" s="35">
        <v>10.55</v>
      </c>
      <c r="K111" s="35">
        <v>25.03</v>
      </c>
      <c r="L111" s="35">
        <v>9.86</v>
      </c>
    </row>
    <row r="112" spans="1:12" ht="15.75">
      <c r="A112" s="30" t="s">
        <v>61</v>
      </c>
      <c r="B112" s="35">
        <v>0</v>
      </c>
      <c r="C112" s="35">
        <v>0</v>
      </c>
      <c r="D112" s="35">
        <v>0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</row>
    <row r="113" spans="1:12" ht="15.75">
      <c r="A113" s="27"/>
      <c r="B113" s="42">
        <v>2013</v>
      </c>
      <c r="C113" s="42">
        <v>2014</v>
      </c>
      <c r="D113" s="42">
        <v>2015</v>
      </c>
      <c r="E113" s="42">
        <v>2016</v>
      </c>
      <c r="F113" s="42">
        <v>2017</v>
      </c>
      <c r="G113" s="42">
        <v>2018</v>
      </c>
      <c r="H113" s="42">
        <v>2019</v>
      </c>
      <c r="I113" s="42">
        <v>2020</v>
      </c>
      <c r="J113" s="42">
        <v>2021</v>
      </c>
      <c r="K113" s="42">
        <v>2022</v>
      </c>
      <c r="L113" s="42">
        <v>2023</v>
      </c>
    </row>
    <row r="114" spans="1:12" ht="15.75">
      <c r="A114" s="74" t="s">
        <v>72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6"/>
    </row>
    <row r="115" spans="1:12" ht="15.75">
      <c r="A115" s="43" t="s">
        <v>64</v>
      </c>
      <c r="B115" s="32">
        <v>93.73</v>
      </c>
      <c r="C115" s="32">
        <v>103.01</v>
      </c>
      <c r="D115" s="32">
        <v>96.75</v>
      </c>
      <c r="E115" s="32">
        <v>105.6</v>
      </c>
      <c r="F115" s="32">
        <v>109.52</v>
      </c>
      <c r="G115" s="32">
        <v>112.18</v>
      </c>
      <c r="H115" s="32">
        <v>113.86</v>
      </c>
      <c r="I115" s="32">
        <v>100.45</v>
      </c>
      <c r="J115" s="32">
        <v>86.47</v>
      </c>
      <c r="K115" s="32">
        <v>102.36</v>
      </c>
      <c r="L115" s="32">
        <v>82.49</v>
      </c>
    </row>
    <row r="116" spans="1:12" ht="15.75">
      <c r="A116" s="30" t="s">
        <v>48</v>
      </c>
      <c r="B116" s="35">
        <v>1.9</v>
      </c>
      <c r="C116" s="35">
        <v>0.57999999999999996</v>
      </c>
      <c r="D116" s="35">
        <v>1.94</v>
      </c>
      <c r="E116" s="35">
        <v>7.73</v>
      </c>
      <c r="F116" s="35">
        <v>5.36</v>
      </c>
      <c r="G116" s="35">
        <v>5.75</v>
      </c>
      <c r="H116" s="35">
        <v>2.9</v>
      </c>
      <c r="I116" s="35">
        <v>2.67</v>
      </c>
      <c r="J116" s="35">
        <v>6.26</v>
      </c>
      <c r="K116" s="35">
        <v>6.38</v>
      </c>
      <c r="L116" s="35">
        <v>6.19</v>
      </c>
    </row>
    <row r="117" spans="1:12" ht="15.75">
      <c r="A117" s="33" t="s">
        <v>49</v>
      </c>
      <c r="B117" s="35">
        <v>0</v>
      </c>
      <c r="C117" s="35">
        <v>0</v>
      </c>
      <c r="D117" s="35">
        <v>0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0.98</v>
      </c>
      <c r="K117" s="35">
        <v>0.99</v>
      </c>
      <c r="L117" s="35">
        <v>0.96</v>
      </c>
    </row>
    <row r="118" spans="1:12" ht="15.75">
      <c r="A118" s="38" t="s">
        <v>50</v>
      </c>
      <c r="B118" s="35">
        <v>1.9</v>
      </c>
      <c r="C118" s="35">
        <v>0.57999999999999996</v>
      </c>
      <c r="D118" s="35">
        <v>1.94</v>
      </c>
      <c r="E118" s="35">
        <v>7.73</v>
      </c>
      <c r="F118" s="35">
        <v>5.36</v>
      </c>
      <c r="G118" s="35">
        <v>5.75</v>
      </c>
      <c r="H118" s="35">
        <v>2.9</v>
      </c>
      <c r="I118" s="35">
        <v>2.67</v>
      </c>
      <c r="J118" s="35">
        <v>5.29</v>
      </c>
      <c r="K118" s="35">
        <v>5.39</v>
      </c>
      <c r="L118" s="35">
        <v>5.23</v>
      </c>
    </row>
    <row r="119" spans="1:12" ht="15.75">
      <c r="A119" s="38" t="s">
        <v>51</v>
      </c>
      <c r="B119" s="35">
        <v>8.41</v>
      </c>
      <c r="C119" s="35">
        <v>6.89</v>
      </c>
      <c r="D119" s="35">
        <v>6.75</v>
      </c>
      <c r="E119" s="35">
        <v>7.12</v>
      </c>
      <c r="F119" s="35">
        <v>6.98</v>
      </c>
      <c r="G119" s="35">
        <v>5.18</v>
      </c>
      <c r="H119" s="35">
        <v>5.44</v>
      </c>
      <c r="I119" s="35">
        <v>5.2</v>
      </c>
      <c r="J119" s="35">
        <v>7.34</v>
      </c>
      <c r="K119" s="35">
        <v>7.48</v>
      </c>
      <c r="L119" s="35">
        <v>7.12</v>
      </c>
    </row>
    <row r="120" spans="1:12" ht="15.75">
      <c r="A120" s="33" t="s">
        <v>52</v>
      </c>
      <c r="B120" s="35">
        <v>0.84</v>
      </c>
      <c r="C120" s="35">
        <v>0.84</v>
      </c>
      <c r="D120" s="35">
        <v>0.82</v>
      </c>
      <c r="E120" s="35">
        <v>0.78</v>
      </c>
      <c r="F120" s="35">
        <v>0.77</v>
      </c>
      <c r="G120" s="35">
        <v>0.75</v>
      </c>
      <c r="H120" s="35">
        <v>0.73</v>
      </c>
      <c r="I120" s="35">
        <v>0.68</v>
      </c>
      <c r="J120" s="35">
        <v>0.77</v>
      </c>
      <c r="K120" s="35">
        <v>0.78</v>
      </c>
      <c r="L120" s="35">
        <v>0.76</v>
      </c>
    </row>
    <row r="121" spans="1:12" ht="15.75">
      <c r="A121" s="38" t="s">
        <v>53</v>
      </c>
      <c r="B121" s="35">
        <v>0</v>
      </c>
      <c r="C121" s="35">
        <v>0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</row>
    <row r="122" spans="1:12" ht="15.75">
      <c r="A122" s="33" t="s">
        <v>54</v>
      </c>
      <c r="B122" s="35">
        <v>0</v>
      </c>
      <c r="C122" s="35">
        <v>0</v>
      </c>
      <c r="D122" s="35">
        <v>0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</row>
    <row r="123" spans="1:12" ht="15.75">
      <c r="A123" s="33" t="s">
        <v>66</v>
      </c>
      <c r="B123" s="35">
        <v>4.2</v>
      </c>
      <c r="C123" s="35">
        <v>4.18</v>
      </c>
      <c r="D123" s="35">
        <v>4.09</v>
      </c>
      <c r="E123" s="35">
        <v>3.91</v>
      </c>
      <c r="F123" s="35">
        <v>3.86</v>
      </c>
      <c r="G123" s="35">
        <v>3.73</v>
      </c>
      <c r="H123" s="35">
        <v>3.62</v>
      </c>
      <c r="I123" s="35">
        <v>3.41</v>
      </c>
      <c r="J123" s="35">
        <v>5.48</v>
      </c>
      <c r="K123" s="35">
        <v>5.58</v>
      </c>
      <c r="L123" s="35">
        <v>5.28</v>
      </c>
    </row>
    <row r="124" spans="1:12" ht="15.75">
      <c r="A124" s="33" t="s">
        <v>56</v>
      </c>
      <c r="B124" s="35">
        <v>3.37</v>
      </c>
      <c r="C124" s="35">
        <v>1.87</v>
      </c>
      <c r="D124" s="35">
        <v>1.84</v>
      </c>
      <c r="E124" s="35">
        <v>2.42</v>
      </c>
      <c r="F124" s="35">
        <v>2.34</v>
      </c>
      <c r="G124" s="35">
        <v>0.71</v>
      </c>
      <c r="H124" s="35">
        <v>1.1000000000000001</v>
      </c>
      <c r="I124" s="35">
        <v>1.1000000000000001</v>
      </c>
      <c r="J124" s="35">
        <v>1.1000000000000001</v>
      </c>
      <c r="K124" s="35">
        <v>1.1200000000000001</v>
      </c>
      <c r="L124" s="35">
        <v>1.08</v>
      </c>
    </row>
    <row r="125" spans="1:12" ht="31.5">
      <c r="A125" s="39" t="s">
        <v>57</v>
      </c>
      <c r="B125" s="35">
        <v>0</v>
      </c>
      <c r="C125" s="35">
        <v>0</v>
      </c>
      <c r="D125" s="35">
        <v>0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</row>
    <row r="126" spans="1:12" ht="15.75">
      <c r="A126" s="30" t="s">
        <v>58</v>
      </c>
      <c r="B126" s="35">
        <v>66.290000000000006</v>
      </c>
      <c r="C126" s="35">
        <v>78.48</v>
      </c>
      <c r="D126" s="35">
        <v>71.38</v>
      </c>
      <c r="E126" s="35">
        <v>73.900000000000006</v>
      </c>
      <c r="F126" s="35">
        <v>81.38</v>
      </c>
      <c r="G126" s="35">
        <v>85.74</v>
      </c>
      <c r="H126" s="35">
        <v>90.74</v>
      </c>
      <c r="I126" s="35">
        <v>78.64</v>
      </c>
      <c r="J126" s="35">
        <v>67.099999999999994</v>
      </c>
      <c r="K126" s="35">
        <v>65.87</v>
      </c>
      <c r="L126" s="35">
        <v>63.71</v>
      </c>
    </row>
    <row r="127" spans="1:12" ht="15.75">
      <c r="A127" s="30" t="s">
        <v>67</v>
      </c>
      <c r="B127" s="35">
        <v>17.13</v>
      </c>
      <c r="C127" s="35">
        <v>17.059999999999999</v>
      </c>
      <c r="D127" s="35">
        <v>16.68</v>
      </c>
      <c r="E127" s="35">
        <v>16.86</v>
      </c>
      <c r="F127" s="35">
        <v>15.8</v>
      </c>
      <c r="G127" s="35">
        <v>15.52</v>
      </c>
      <c r="H127" s="35">
        <v>14.79</v>
      </c>
      <c r="I127" s="35">
        <v>13.95</v>
      </c>
      <c r="J127" s="35">
        <v>5.77</v>
      </c>
      <c r="K127" s="35">
        <v>22.63</v>
      </c>
      <c r="L127" s="35">
        <v>5.47</v>
      </c>
    </row>
    <row r="128" spans="1:12" ht="15.75">
      <c r="A128" s="27"/>
      <c r="B128" s="42">
        <v>2013</v>
      </c>
      <c r="C128" s="42">
        <v>2014</v>
      </c>
      <c r="D128" s="42">
        <v>2015</v>
      </c>
      <c r="E128" s="42">
        <v>2016</v>
      </c>
      <c r="F128" s="42">
        <v>2017</v>
      </c>
      <c r="G128" s="42">
        <v>2018</v>
      </c>
      <c r="H128" s="42">
        <v>2019</v>
      </c>
      <c r="I128" s="42">
        <v>2020</v>
      </c>
      <c r="J128" s="42">
        <v>2021</v>
      </c>
      <c r="K128" s="42">
        <v>2022</v>
      </c>
      <c r="L128" s="42">
        <v>2023</v>
      </c>
    </row>
    <row r="129" spans="1:12" ht="15.75">
      <c r="A129" s="85" t="s">
        <v>73</v>
      </c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7"/>
    </row>
    <row r="130" spans="1:12" ht="15.75">
      <c r="A130" s="43" t="s">
        <v>64</v>
      </c>
      <c r="B130" s="35">
        <v>9.58</v>
      </c>
      <c r="C130" s="35">
        <v>10.02</v>
      </c>
      <c r="D130" s="35">
        <v>10.72</v>
      </c>
      <c r="E130" s="35">
        <v>11.25</v>
      </c>
      <c r="F130" s="35">
        <v>10.43</v>
      </c>
      <c r="G130" s="35">
        <v>9.91</v>
      </c>
      <c r="H130" s="35">
        <v>9.17</v>
      </c>
      <c r="I130" s="35">
        <v>9.65</v>
      </c>
      <c r="J130" s="35">
        <v>8.57</v>
      </c>
      <c r="K130" s="35">
        <v>7.32</v>
      </c>
      <c r="L130" s="35">
        <v>8.07</v>
      </c>
    </row>
    <row r="131" spans="1:12" ht="15.75">
      <c r="A131" s="30" t="s">
        <v>48</v>
      </c>
      <c r="B131" s="35">
        <v>0</v>
      </c>
      <c r="C131" s="35">
        <v>0</v>
      </c>
      <c r="D131" s="35">
        <v>0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</row>
    <row r="132" spans="1:12" ht="15.75">
      <c r="A132" s="33" t="s">
        <v>49</v>
      </c>
      <c r="B132" s="35">
        <v>0</v>
      </c>
      <c r="C132" s="35">
        <v>0</v>
      </c>
      <c r="D132" s="35">
        <v>0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</row>
    <row r="133" spans="1:12" ht="15.75">
      <c r="A133" s="38" t="s">
        <v>50</v>
      </c>
      <c r="B133" s="35">
        <v>0</v>
      </c>
      <c r="C133" s="35">
        <v>0</v>
      </c>
      <c r="D133" s="35">
        <v>0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</row>
    <row r="134" spans="1:12" ht="15.75">
      <c r="A134" s="38" t="s">
        <v>51</v>
      </c>
      <c r="B134" s="35">
        <v>2.4700000000000002</v>
      </c>
      <c r="C134" s="35">
        <v>2.5499999999999998</v>
      </c>
      <c r="D134" s="35">
        <v>2.87</v>
      </c>
      <c r="E134" s="35">
        <v>3.13</v>
      </c>
      <c r="F134" s="35">
        <v>3</v>
      </c>
      <c r="G134" s="35">
        <v>2.4</v>
      </c>
      <c r="H134" s="35">
        <v>2.35</v>
      </c>
      <c r="I134" s="35">
        <v>2.46</v>
      </c>
      <c r="J134" s="35">
        <v>2.06</v>
      </c>
      <c r="K134" s="35">
        <v>2.17</v>
      </c>
      <c r="L134" s="35">
        <v>2.0699999999999998</v>
      </c>
    </row>
    <row r="135" spans="1:12" ht="15.75">
      <c r="A135" s="33" t="s">
        <v>52</v>
      </c>
      <c r="B135" s="35">
        <v>0.02</v>
      </c>
      <c r="C135" s="35">
        <v>0.02</v>
      </c>
      <c r="D135" s="35">
        <v>0.02</v>
      </c>
      <c r="E135" s="35">
        <v>0.02</v>
      </c>
      <c r="F135" s="35">
        <v>0.02</v>
      </c>
      <c r="G135" s="35">
        <v>0.02</v>
      </c>
      <c r="H135" s="35">
        <v>0.02</v>
      </c>
      <c r="I135" s="35">
        <v>0.03</v>
      </c>
      <c r="J135" s="35">
        <v>0.02</v>
      </c>
      <c r="K135" s="35">
        <v>0.02</v>
      </c>
      <c r="L135" s="35">
        <v>0.02</v>
      </c>
    </row>
    <row r="136" spans="1:12" ht="15.75">
      <c r="A136" s="38" t="s">
        <v>53</v>
      </c>
      <c r="B136" s="35">
        <v>0</v>
      </c>
      <c r="C136" s="35">
        <v>0</v>
      </c>
      <c r="D136" s="35">
        <v>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</row>
    <row r="137" spans="1:12" ht="15.75">
      <c r="A137" s="33" t="s">
        <v>54</v>
      </c>
      <c r="B137" s="35">
        <v>0</v>
      </c>
      <c r="C137" s="35">
        <v>0</v>
      </c>
      <c r="D137" s="35">
        <v>0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</row>
    <row r="138" spans="1:12" ht="15.75">
      <c r="A138" s="33" t="s">
        <v>66</v>
      </c>
      <c r="B138" s="35">
        <v>1.94</v>
      </c>
      <c r="C138" s="35">
        <v>2.04</v>
      </c>
      <c r="D138" s="35">
        <v>2.15</v>
      </c>
      <c r="E138" s="35">
        <v>2.2000000000000002</v>
      </c>
      <c r="F138" s="35">
        <v>2.08</v>
      </c>
      <c r="G138" s="35">
        <v>2.11</v>
      </c>
      <c r="H138" s="35">
        <v>1.91</v>
      </c>
      <c r="I138" s="35">
        <v>2.0099999999999998</v>
      </c>
      <c r="J138" s="35">
        <v>1.62</v>
      </c>
      <c r="K138" s="35">
        <v>1.71</v>
      </c>
      <c r="L138" s="35">
        <v>1.63</v>
      </c>
    </row>
    <row r="139" spans="1:12" ht="15.75">
      <c r="A139" s="33" t="s">
        <v>56</v>
      </c>
      <c r="B139" s="35">
        <v>0.51</v>
      </c>
      <c r="C139" s="35">
        <v>0.48</v>
      </c>
      <c r="D139" s="35">
        <v>0.71</v>
      </c>
      <c r="E139" s="35">
        <v>0.91</v>
      </c>
      <c r="F139" s="35">
        <v>0.9</v>
      </c>
      <c r="G139" s="35">
        <v>0.27</v>
      </c>
      <c r="H139" s="35">
        <v>0.42</v>
      </c>
      <c r="I139" s="35">
        <v>0.42</v>
      </c>
      <c r="J139" s="35">
        <v>0.42</v>
      </c>
      <c r="K139" s="35">
        <v>0.45</v>
      </c>
      <c r="L139" s="35">
        <v>0.43</v>
      </c>
    </row>
    <row r="140" spans="1:12" ht="31.5">
      <c r="A140" s="39" t="s">
        <v>57</v>
      </c>
      <c r="B140" s="35">
        <v>0</v>
      </c>
      <c r="C140" s="35">
        <v>0</v>
      </c>
      <c r="D140" s="35">
        <v>0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</row>
    <row r="141" spans="1:12" ht="15.75">
      <c r="A141" s="30" t="s">
        <v>58</v>
      </c>
      <c r="B141" s="35">
        <v>5.46</v>
      </c>
      <c r="C141" s="35">
        <v>5.75</v>
      </c>
      <c r="D141" s="35">
        <v>6.03</v>
      </c>
      <c r="E141" s="35">
        <v>6.17</v>
      </c>
      <c r="F141" s="35">
        <v>5.64</v>
      </c>
      <c r="G141" s="35">
        <v>5.71</v>
      </c>
      <c r="H141" s="35">
        <v>5.18</v>
      </c>
      <c r="I141" s="35">
        <v>5.45</v>
      </c>
      <c r="J141" s="35">
        <v>4.6399999999999997</v>
      </c>
      <c r="K141" s="35">
        <v>4.4000000000000004</v>
      </c>
      <c r="L141" s="35">
        <v>4.2699999999999996</v>
      </c>
    </row>
    <row r="142" spans="1:12" ht="15.75">
      <c r="A142" s="30" t="s">
        <v>67</v>
      </c>
      <c r="B142" s="35">
        <v>1.65</v>
      </c>
      <c r="C142" s="35">
        <v>1.73</v>
      </c>
      <c r="D142" s="35">
        <v>1.82</v>
      </c>
      <c r="E142" s="35">
        <v>1.95</v>
      </c>
      <c r="F142" s="35">
        <v>1.79</v>
      </c>
      <c r="G142" s="35">
        <v>1.81</v>
      </c>
      <c r="H142" s="35">
        <v>1.65</v>
      </c>
      <c r="I142" s="35">
        <v>1.73</v>
      </c>
      <c r="J142" s="35">
        <v>1.87</v>
      </c>
      <c r="K142" s="35">
        <v>0.74</v>
      </c>
      <c r="L142" s="35">
        <v>1.72</v>
      </c>
    </row>
    <row r="143" spans="1:12" ht="15.75">
      <c r="A143" s="27"/>
      <c r="B143" s="42">
        <v>2013</v>
      </c>
      <c r="C143" s="42">
        <v>2014</v>
      </c>
      <c r="D143" s="42">
        <v>2015</v>
      </c>
      <c r="E143" s="42">
        <v>2016</v>
      </c>
      <c r="F143" s="42">
        <v>2017</v>
      </c>
      <c r="G143" s="42">
        <v>2018</v>
      </c>
      <c r="H143" s="42">
        <v>2019</v>
      </c>
      <c r="I143" s="42">
        <v>2020</v>
      </c>
      <c r="J143" s="42">
        <v>2021</v>
      </c>
      <c r="K143" s="42">
        <v>2022</v>
      </c>
      <c r="L143" s="42">
        <v>2023</v>
      </c>
    </row>
    <row r="144" spans="1:12" ht="15.75">
      <c r="A144" s="74" t="s">
        <v>74</v>
      </c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6"/>
    </row>
    <row r="145" spans="1:12" ht="15.75">
      <c r="A145" s="43" t="s">
        <v>64</v>
      </c>
      <c r="B145" s="32">
        <v>149.16999999999999</v>
      </c>
      <c r="C145" s="32">
        <v>154.99</v>
      </c>
      <c r="D145" s="32">
        <v>176.77</v>
      </c>
      <c r="E145" s="32">
        <v>183.56</v>
      </c>
      <c r="F145" s="32">
        <v>175.34</v>
      </c>
      <c r="G145" s="32">
        <v>162.35</v>
      </c>
      <c r="H145" s="32">
        <v>157.66999999999999</v>
      </c>
      <c r="I145" s="32">
        <v>159.71</v>
      </c>
      <c r="J145" s="32">
        <v>95.07</v>
      </c>
      <c r="K145" s="32">
        <v>84.91</v>
      </c>
      <c r="L145" s="32">
        <v>88.35</v>
      </c>
    </row>
    <row r="146" spans="1:12" ht="15.75">
      <c r="A146" s="30" t="s">
        <v>48</v>
      </c>
      <c r="B146" s="35">
        <v>100.99</v>
      </c>
      <c r="C146" s="35">
        <v>109.38</v>
      </c>
      <c r="D146" s="35">
        <v>123.72</v>
      </c>
      <c r="E146" s="35">
        <v>126.97</v>
      </c>
      <c r="F146" s="35">
        <v>119.51</v>
      </c>
      <c r="G146" s="35">
        <v>106.62</v>
      </c>
      <c r="H146" s="35">
        <v>99.67</v>
      </c>
      <c r="I146" s="35">
        <v>101.2</v>
      </c>
      <c r="J146" s="35">
        <v>0.01</v>
      </c>
      <c r="K146" s="35">
        <v>0.01</v>
      </c>
      <c r="L146" s="35">
        <v>0</v>
      </c>
    </row>
    <row r="147" spans="1:12" ht="15.75">
      <c r="A147" s="33" t="s">
        <v>49</v>
      </c>
      <c r="B147" s="35">
        <v>0</v>
      </c>
      <c r="C147" s="35">
        <v>0</v>
      </c>
      <c r="D147" s="35">
        <v>0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</row>
    <row r="148" spans="1:12" ht="15.75">
      <c r="A148" s="38" t="s">
        <v>50</v>
      </c>
      <c r="B148" s="35">
        <v>100.99</v>
      </c>
      <c r="C148" s="35">
        <v>109.38</v>
      </c>
      <c r="D148" s="35">
        <v>123.72</v>
      </c>
      <c r="E148" s="35">
        <v>126.97</v>
      </c>
      <c r="F148" s="35">
        <v>119.51</v>
      </c>
      <c r="G148" s="35">
        <v>106.62</v>
      </c>
      <c r="H148" s="35">
        <v>99.67</v>
      </c>
      <c r="I148" s="35">
        <v>101.2</v>
      </c>
      <c r="J148" s="35">
        <v>0.01</v>
      </c>
      <c r="K148" s="35">
        <v>0.01</v>
      </c>
      <c r="L148" s="35">
        <v>0</v>
      </c>
    </row>
    <row r="149" spans="1:12" ht="15.75">
      <c r="A149" s="38" t="s">
        <v>51</v>
      </c>
      <c r="B149" s="35">
        <v>1.76</v>
      </c>
      <c r="C149" s="35">
        <v>1.34</v>
      </c>
      <c r="D149" s="35">
        <v>2.52</v>
      </c>
      <c r="E149" s="35">
        <v>2.38</v>
      </c>
      <c r="F149" s="35">
        <v>2.31</v>
      </c>
      <c r="G149" s="35">
        <v>0.78</v>
      </c>
      <c r="H149" s="35">
        <v>1.1399999999999999</v>
      </c>
      <c r="I149" s="35">
        <v>1.1399999999999999</v>
      </c>
      <c r="J149" s="35">
        <v>4.57</v>
      </c>
      <c r="K149" s="35">
        <v>4.82</v>
      </c>
      <c r="L149" s="35">
        <v>4.62</v>
      </c>
    </row>
    <row r="150" spans="1:12" ht="15.75">
      <c r="A150" s="33" t="s">
        <v>52</v>
      </c>
      <c r="B150" s="35">
        <v>0</v>
      </c>
      <c r="C150" s="35">
        <v>0</v>
      </c>
      <c r="D150" s="35">
        <v>0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0.14000000000000001</v>
      </c>
      <c r="K150" s="35">
        <v>0.15</v>
      </c>
      <c r="L150" s="35">
        <v>0.14000000000000001</v>
      </c>
    </row>
    <row r="151" spans="1:12" ht="15.75">
      <c r="A151" s="38" t="s">
        <v>53</v>
      </c>
      <c r="B151" s="35">
        <v>0</v>
      </c>
      <c r="C151" s="35">
        <v>0</v>
      </c>
      <c r="D151" s="35">
        <v>0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</row>
    <row r="152" spans="1:12" ht="15.75">
      <c r="A152" s="33" t="s">
        <v>54</v>
      </c>
      <c r="B152" s="35">
        <v>0</v>
      </c>
      <c r="C152" s="35">
        <v>0</v>
      </c>
      <c r="D152" s="35">
        <v>0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</row>
    <row r="153" spans="1:12" ht="15.75">
      <c r="A153" s="33" t="s">
        <v>66</v>
      </c>
      <c r="B153" s="35">
        <v>0.27</v>
      </c>
      <c r="C153" s="35">
        <v>0.23</v>
      </c>
      <c r="D153" s="35">
        <v>0.25</v>
      </c>
      <c r="E153" s="35">
        <v>0.1</v>
      </c>
      <c r="F153" s="35">
        <v>0.1</v>
      </c>
      <c r="G153" s="35">
        <v>0.11</v>
      </c>
      <c r="H153" s="35">
        <v>0.1</v>
      </c>
      <c r="I153" s="35">
        <v>0.1</v>
      </c>
      <c r="J153" s="35">
        <v>2.4</v>
      </c>
      <c r="K153" s="35">
        <v>2.5299999999999998</v>
      </c>
      <c r="L153" s="35">
        <v>2.4</v>
      </c>
    </row>
    <row r="154" spans="1:12" ht="15.75">
      <c r="A154" s="33" t="s">
        <v>56</v>
      </c>
      <c r="B154" s="35">
        <v>1.49</v>
      </c>
      <c r="C154" s="35">
        <v>1.1100000000000001</v>
      </c>
      <c r="D154" s="35">
        <v>2.2799999999999998</v>
      </c>
      <c r="E154" s="35">
        <v>2.2799999999999998</v>
      </c>
      <c r="F154" s="35">
        <v>2.21</v>
      </c>
      <c r="G154" s="35">
        <v>0.66</v>
      </c>
      <c r="H154" s="35">
        <v>1.04</v>
      </c>
      <c r="I154" s="35">
        <v>1.04</v>
      </c>
      <c r="J154" s="35">
        <v>2.0299999999999998</v>
      </c>
      <c r="K154" s="35">
        <v>2.14</v>
      </c>
      <c r="L154" s="35">
        <v>2.08</v>
      </c>
    </row>
    <row r="155" spans="1:12" ht="31.5">
      <c r="A155" s="39" t="s">
        <v>57</v>
      </c>
      <c r="B155" s="41">
        <v>0</v>
      </c>
      <c r="C155" s="41">
        <v>0</v>
      </c>
      <c r="D155" s="41">
        <v>0</v>
      </c>
      <c r="E155" s="41">
        <v>0</v>
      </c>
      <c r="F155" s="41">
        <v>0</v>
      </c>
      <c r="G155" s="41">
        <v>0</v>
      </c>
      <c r="H155" s="41">
        <v>0</v>
      </c>
      <c r="I155" s="41">
        <v>0</v>
      </c>
      <c r="J155" s="41">
        <v>0</v>
      </c>
      <c r="K155" s="41">
        <v>0</v>
      </c>
      <c r="L155" s="41">
        <v>0</v>
      </c>
    </row>
    <row r="156" spans="1:12" ht="15.75">
      <c r="A156" s="30" t="s">
        <v>58</v>
      </c>
      <c r="B156" s="35">
        <v>4.43</v>
      </c>
      <c r="C156" s="35">
        <v>5.25</v>
      </c>
      <c r="D156" s="35">
        <v>9.24</v>
      </c>
      <c r="E156" s="35">
        <v>10.119999999999999</v>
      </c>
      <c r="F156" s="35">
        <v>9.74</v>
      </c>
      <c r="G156" s="35">
        <v>10.63</v>
      </c>
      <c r="H156" s="35">
        <v>11.92</v>
      </c>
      <c r="I156" s="35">
        <v>10.33</v>
      </c>
      <c r="J156" s="35">
        <v>43.5</v>
      </c>
      <c r="K156" s="35">
        <v>41.2</v>
      </c>
      <c r="L156" s="35">
        <v>39.979999999999997</v>
      </c>
    </row>
    <row r="157" spans="1:12" ht="15.75">
      <c r="A157" s="30" t="s">
        <v>67</v>
      </c>
      <c r="B157" s="35">
        <v>36.130000000000003</v>
      </c>
      <c r="C157" s="35">
        <v>33.01</v>
      </c>
      <c r="D157" s="35">
        <v>34.869999999999997</v>
      </c>
      <c r="E157" s="35">
        <v>37.28</v>
      </c>
      <c r="F157" s="35">
        <v>36.729999999999997</v>
      </c>
      <c r="G157" s="35">
        <v>37.01</v>
      </c>
      <c r="H157" s="35">
        <v>37.29</v>
      </c>
      <c r="I157" s="35">
        <v>37.520000000000003</v>
      </c>
      <c r="J157" s="35">
        <v>41.94</v>
      </c>
      <c r="K157" s="35">
        <v>33.54</v>
      </c>
      <c r="L157" s="35">
        <v>38.549999999999997</v>
      </c>
    </row>
    <row r="158" spans="1:12" ht="15.75">
      <c r="A158" s="30" t="s">
        <v>60</v>
      </c>
      <c r="B158" s="35">
        <v>5.86</v>
      </c>
      <c r="C158" s="35">
        <v>6</v>
      </c>
      <c r="D158" s="35">
        <v>6.41</v>
      </c>
      <c r="E158" s="35">
        <v>6.82</v>
      </c>
      <c r="F158" s="35">
        <v>7.06</v>
      </c>
      <c r="G158" s="35">
        <v>7.31</v>
      </c>
      <c r="H158" s="35">
        <v>7.66</v>
      </c>
      <c r="I158" s="35">
        <v>9.5299999999999994</v>
      </c>
      <c r="J158" s="35">
        <v>5.0599999999999996</v>
      </c>
      <c r="K158" s="35">
        <v>5.34</v>
      </c>
      <c r="L158" s="35">
        <v>5.18</v>
      </c>
    </row>
    <row r="159" spans="1:12" ht="15.75">
      <c r="A159" s="27"/>
      <c r="B159" s="42">
        <v>2013</v>
      </c>
      <c r="C159" s="42">
        <v>2014</v>
      </c>
      <c r="D159" s="42">
        <v>2015</v>
      </c>
      <c r="E159" s="42">
        <v>2016</v>
      </c>
      <c r="F159" s="42">
        <v>2017</v>
      </c>
      <c r="G159" s="42">
        <v>2018</v>
      </c>
      <c r="H159" s="42">
        <v>2019</v>
      </c>
      <c r="I159" s="42">
        <v>2020</v>
      </c>
      <c r="J159" s="42">
        <v>2021</v>
      </c>
      <c r="K159" s="42">
        <v>2022</v>
      </c>
      <c r="L159" s="42">
        <v>2023</v>
      </c>
    </row>
    <row r="160" spans="1:12" ht="15.75">
      <c r="A160" s="74" t="s">
        <v>75</v>
      </c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6"/>
    </row>
    <row r="161" spans="1:12" ht="15.75">
      <c r="A161" s="43" t="s">
        <v>64</v>
      </c>
      <c r="B161" s="32">
        <v>208.08</v>
      </c>
      <c r="C161" s="32">
        <v>212.28</v>
      </c>
      <c r="D161" s="32">
        <v>222.34</v>
      </c>
      <c r="E161" s="32">
        <v>242.74</v>
      </c>
      <c r="F161" s="32">
        <v>248.05</v>
      </c>
      <c r="G161" s="32">
        <v>236.9</v>
      </c>
      <c r="H161" s="32">
        <v>251.56</v>
      </c>
      <c r="I161" s="32">
        <v>214.84</v>
      </c>
      <c r="J161" s="32">
        <v>194.88</v>
      </c>
      <c r="K161" s="32">
        <v>207.79</v>
      </c>
      <c r="L161" s="32">
        <v>185.22</v>
      </c>
    </row>
    <row r="162" spans="1:12" ht="15.75">
      <c r="A162" s="30" t="s">
        <v>48</v>
      </c>
      <c r="B162" s="35">
        <v>67.39</v>
      </c>
      <c r="C162" s="35">
        <v>69.59</v>
      </c>
      <c r="D162" s="35">
        <v>60.35</v>
      </c>
      <c r="E162" s="35">
        <v>65.41</v>
      </c>
      <c r="F162" s="35">
        <v>66.69</v>
      </c>
      <c r="G162" s="35">
        <v>51.43</v>
      </c>
      <c r="H162" s="35">
        <v>59.46</v>
      </c>
      <c r="I162" s="35">
        <v>46.22</v>
      </c>
      <c r="J162" s="35">
        <v>50.42</v>
      </c>
      <c r="K162" s="35">
        <v>44.82</v>
      </c>
      <c r="L162" s="35">
        <v>44.71</v>
      </c>
    </row>
    <row r="163" spans="1:12" ht="15.75">
      <c r="A163" s="33" t="s">
        <v>49</v>
      </c>
      <c r="B163" s="35">
        <v>65.13</v>
      </c>
      <c r="C163" s="35">
        <v>68.7</v>
      </c>
      <c r="D163" s="35">
        <v>58.64</v>
      </c>
      <c r="E163" s="35">
        <v>63.52</v>
      </c>
      <c r="F163" s="35">
        <v>63.75</v>
      </c>
      <c r="G163" s="35">
        <v>47.43</v>
      </c>
      <c r="H163" s="35">
        <v>57.03</v>
      </c>
      <c r="I163" s="35">
        <v>44.56</v>
      </c>
      <c r="J163" s="35">
        <v>47.42</v>
      </c>
      <c r="K163" s="35">
        <v>41.74</v>
      </c>
      <c r="L163" s="35">
        <v>41.62</v>
      </c>
    </row>
    <row r="164" spans="1:12" ht="15.75">
      <c r="A164" s="38" t="s">
        <v>50</v>
      </c>
      <c r="B164" s="35">
        <v>2.2599999999999998</v>
      </c>
      <c r="C164" s="35">
        <v>0.89</v>
      </c>
      <c r="D164" s="35">
        <v>1.71</v>
      </c>
      <c r="E164" s="35">
        <v>1.9</v>
      </c>
      <c r="F164" s="35">
        <v>2.94</v>
      </c>
      <c r="G164" s="35">
        <v>4.01</v>
      </c>
      <c r="H164" s="35">
        <v>2.4300000000000002</v>
      </c>
      <c r="I164" s="35">
        <v>1.66</v>
      </c>
      <c r="J164" s="35">
        <v>3</v>
      </c>
      <c r="K164" s="35">
        <v>3.08</v>
      </c>
      <c r="L164" s="35">
        <v>3.09</v>
      </c>
    </row>
    <row r="165" spans="1:12" ht="15.75">
      <c r="A165" s="38" t="s">
        <v>51</v>
      </c>
      <c r="B165" s="35">
        <v>3.82</v>
      </c>
      <c r="C165" s="35">
        <v>2.94</v>
      </c>
      <c r="D165" s="35">
        <v>2.85</v>
      </c>
      <c r="E165" s="35">
        <v>2.91</v>
      </c>
      <c r="F165" s="35">
        <v>2.52</v>
      </c>
      <c r="G165" s="35">
        <v>1.27</v>
      </c>
      <c r="H165" s="35">
        <v>1.49</v>
      </c>
      <c r="I165" s="35">
        <v>1.37</v>
      </c>
      <c r="J165" s="35">
        <v>0.22</v>
      </c>
      <c r="K165" s="35">
        <v>0.23</v>
      </c>
      <c r="L165" s="35">
        <v>0.22</v>
      </c>
    </row>
    <row r="166" spans="1:12" ht="15.75">
      <c r="A166" s="33" t="s">
        <v>52</v>
      </c>
      <c r="B166" s="35">
        <v>0.01</v>
      </c>
      <c r="C166" s="35">
        <v>0.01</v>
      </c>
      <c r="D166" s="35">
        <v>0.01</v>
      </c>
      <c r="E166" s="35">
        <v>0.01</v>
      </c>
      <c r="F166" s="35">
        <v>0.01</v>
      </c>
      <c r="G166" s="35">
        <v>0.01</v>
      </c>
      <c r="H166" s="35">
        <v>0.01</v>
      </c>
      <c r="I166" s="35">
        <v>0.01</v>
      </c>
      <c r="J166" s="35">
        <v>0.01</v>
      </c>
      <c r="K166" s="35">
        <v>0.01</v>
      </c>
      <c r="L166" s="35">
        <v>0.01</v>
      </c>
    </row>
    <row r="167" spans="1:12" ht="15.75">
      <c r="A167" s="38" t="s">
        <v>53</v>
      </c>
      <c r="B167" s="35">
        <v>0</v>
      </c>
      <c r="C167" s="35">
        <v>0</v>
      </c>
      <c r="D167" s="35">
        <v>0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</row>
    <row r="168" spans="1:12" ht="15.75">
      <c r="A168" s="33" t="s">
        <v>54</v>
      </c>
      <c r="B168" s="35">
        <v>0</v>
      </c>
      <c r="C168" s="35">
        <v>0</v>
      </c>
      <c r="D168" s="35">
        <v>0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</row>
    <row r="169" spans="1:12" ht="15.75">
      <c r="A169" s="33" t="s">
        <v>66</v>
      </c>
      <c r="B169" s="35">
        <v>0.88</v>
      </c>
      <c r="C169" s="35">
        <v>1.1000000000000001</v>
      </c>
      <c r="D169" s="35">
        <v>1.03</v>
      </c>
      <c r="E169" s="35">
        <v>1.0900000000000001</v>
      </c>
      <c r="F169" s="35">
        <v>0.74</v>
      </c>
      <c r="G169" s="35">
        <v>0.73</v>
      </c>
      <c r="H169" s="35">
        <v>0.65</v>
      </c>
      <c r="I169" s="35">
        <v>0.53</v>
      </c>
      <c r="J169" s="35">
        <v>0.2</v>
      </c>
      <c r="K169" s="35">
        <v>0.2</v>
      </c>
      <c r="L169" s="35">
        <v>0.2</v>
      </c>
    </row>
    <row r="170" spans="1:12" ht="15.75">
      <c r="A170" s="33" t="s">
        <v>56</v>
      </c>
      <c r="B170" s="35">
        <v>2.93</v>
      </c>
      <c r="C170" s="35">
        <v>1.83</v>
      </c>
      <c r="D170" s="35">
        <v>1.81</v>
      </c>
      <c r="E170" s="35">
        <v>1.81</v>
      </c>
      <c r="F170" s="35">
        <v>1.77</v>
      </c>
      <c r="G170" s="35">
        <v>0.53</v>
      </c>
      <c r="H170" s="35">
        <v>0.83</v>
      </c>
      <c r="I170" s="35">
        <v>0.83</v>
      </c>
      <c r="J170" s="35">
        <v>0.02</v>
      </c>
      <c r="K170" s="35">
        <v>0.02</v>
      </c>
      <c r="L170" s="35">
        <v>0.02</v>
      </c>
    </row>
    <row r="171" spans="1:12" ht="31.5">
      <c r="A171" s="39" t="s">
        <v>57</v>
      </c>
      <c r="B171" s="41">
        <v>0</v>
      </c>
      <c r="C171" s="41">
        <v>0</v>
      </c>
      <c r="D171" s="41">
        <v>0</v>
      </c>
      <c r="E171" s="41">
        <v>0</v>
      </c>
      <c r="F171" s="41">
        <v>0</v>
      </c>
      <c r="G171" s="41">
        <v>0</v>
      </c>
      <c r="H171" s="41">
        <v>0</v>
      </c>
      <c r="I171" s="41">
        <v>0</v>
      </c>
      <c r="J171" s="41">
        <v>0</v>
      </c>
      <c r="K171" s="41">
        <v>0</v>
      </c>
      <c r="L171" s="41">
        <v>0</v>
      </c>
    </row>
    <row r="172" spans="1:12" ht="15.75">
      <c r="A172" s="30" t="s">
        <v>58</v>
      </c>
      <c r="B172" s="35">
        <v>115.29</v>
      </c>
      <c r="C172" s="35">
        <v>119.9</v>
      </c>
      <c r="D172" s="35">
        <v>139.91999999999999</v>
      </c>
      <c r="E172" s="35">
        <v>153.79</v>
      </c>
      <c r="F172" s="35">
        <v>158.38</v>
      </c>
      <c r="G172" s="35">
        <v>164.21</v>
      </c>
      <c r="H172" s="35">
        <v>171.18</v>
      </c>
      <c r="I172" s="35">
        <v>148.34</v>
      </c>
      <c r="J172" s="35">
        <v>126.21</v>
      </c>
      <c r="K172" s="35">
        <v>123.09</v>
      </c>
      <c r="L172" s="35">
        <v>122.75</v>
      </c>
    </row>
    <row r="173" spans="1:12" ht="15.75">
      <c r="A173" s="30" t="s">
        <v>67</v>
      </c>
      <c r="B173" s="35">
        <v>21.58</v>
      </c>
      <c r="C173" s="35">
        <v>19.86</v>
      </c>
      <c r="D173" s="35">
        <v>19.22</v>
      </c>
      <c r="E173" s="35">
        <v>20.63</v>
      </c>
      <c r="F173" s="35">
        <v>20.46</v>
      </c>
      <c r="G173" s="35">
        <v>19.989999999999998</v>
      </c>
      <c r="H173" s="35">
        <v>19.43</v>
      </c>
      <c r="I173" s="35">
        <v>18.91</v>
      </c>
      <c r="J173" s="35">
        <v>18.03</v>
      </c>
      <c r="K173" s="35">
        <v>39.659999999999997</v>
      </c>
      <c r="L173" s="35">
        <v>17.54</v>
      </c>
    </row>
    <row r="174" spans="1:12" ht="15.75">
      <c r="A174" s="27"/>
      <c r="B174" s="42">
        <v>2013</v>
      </c>
      <c r="C174" s="42">
        <v>2014</v>
      </c>
      <c r="D174" s="42">
        <v>2015</v>
      </c>
      <c r="E174" s="42">
        <v>2016</v>
      </c>
      <c r="F174" s="42">
        <v>2017</v>
      </c>
      <c r="G174" s="42">
        <v>2018</v>
      </c>
      <c r="H174" s="42">
        <v>2019</v>
      </c>
      <c r="I174" s="42">
        <v>2020</v>
      </c>
      <c r="J174" s="42">
        <v>2021</v>
      </c>
      <c r="K174" s="42">
        <v>2022</v>
      </c>
      <c r="L174" s="42">
        <v>2023</v>
      </c>
    </row>
    <row r="175" spans="1:12" ht="15.75">
      <c r="A175" s="88" t="s">
        <v>76</v>
      </c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90"/>
    </row>
    <row r="176" spans="1:12" ht="15.75">
      <c r="A176" s="43" t="s">
        <v>64</v>
      </c>
      <c r="B176" s="32">
        <v>0.76</v>
      </c>
      <c r="C176" s="32">
        <v>0.88</v>
      </c>
      <c r="D176" s="32">
        <v>0.95</v>
      </c>
      <c r="E176" s="32">
        <v>0.97</v>
      </c>
      <c r="F176" s="32">
        <v>1.01</v>
      </c>
      <c r="G176" s="32">
        <v>1</v>
      </c>
      <c r="H176" s="32">
        <v>1.05</v>
      </c>
      <c r="I176" s="32">
        <v>0.97</v>
      </c>
      <c r="J176" s="32">
        <v>1.07</v>
      </c>
      <c r="K176" s="32">
        <v>1.42</v>
      </c>
      <c r="L176" s="32">
        <v>0.95</v>
      </c>
    </row>
    <row r="177" spans="1:12" ht="15.75">
      <c r="A177" s="30" t="s">
        <v>48</v>
      </c>
      <c r="B177" s="35">
        <v>0</v>
      </c>
      <c r="C177" s="35">
        <v>0</v>
      </c>
      <c r="D177" s="35">
        <v>0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</row>
    <row r="178" spans="1:12" ht="15.75">
      <c r="A178" s="33" t="s">
        <v>49</v>
      </c>
      <c r="B178" s="35">
        <v>0</v>
      </c>
      <c r="C178" s="35">
        <v>0</v>
      </c>
      <c r="D178" s="35">
        <v>0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</row>
    <row r="179" spans="1:12" ht="15.75">
      <c r="A179" s="38" t="s">
        <v>50</v>
      </c>
      <c r="B179" s="35">
        <v>0</v>
      </c>
      <c r="C179" s="35">
        <v>0</v>
      </c>
      <c r="D179" s="35">
        <v>0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</row>
    <row r="180" spans="1:12" ht="15.75">
      <c r="A180" s="38" t="s">
        <v>51</v>
      </c>
      <c r="B180" s="35">
        <v>0.01</v>
      </c>
      <c r="C180" s="35">
        <v>0.01</v>
      </c>
      <c r="D180" s="35">
        <v>0.01</v>
      </c>
      <c r="E180" s="35">
        <v>0.01</v>
      </c>
      <c r="F180" s="35">
        <v>0.01</v>
      </c>
      <c r="G180" s="35">
        <v>0.01</v>
      </c>
      <c r="H180" s="35">
        <v>0.01</v>
      </c>
      <c r="I180" s="35">
        <v>0.01</v>
      </c>
      <c r="J180" s="35">
        <v>0.01</v>
      </c>
      <c r="K180" s="35">
        <v>0.02</v>
      </c>
      <c r="L180" s="35">
        <v>0.02</v>
      </c>
    </row>
    <row r="181" spans="1:12" ht="15.75">
      <c r="A181" s="33" t="s">
        <v>52</v>
      </c>
      <c r="B181" s="35">
        <v>0</v>
      </c>
      <c r="C181" s="35">
        <v>0</v>
      </c>
      <c r="D181" s="35">
        <v>0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</row>
    <row r="182" spans="1:12" ht="15.75">
      <c r="A182" s="38" t="s">
        <v>53</v>
      </c>
      <c r="B182" s="35">
        <v>0</v>
      </c>
      <c r="C182" s="35">
        <v>0</v>
      </c>
      <c r="D182" s="35">
        <v>0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</row>
    <row r="183" spans="1:12" ht="15.75">
      <c r="A183" s="33" t="s">
        <v>54</v>
      </c>
      <c r="B183" s="35">
        <v>0</v>
      </c>
      <c r="C183" s="35">
        <v>0</v>
      </c>
      <c r="D183" s="35">
        <v>0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</row>
    <row r="184" spans="1:12" ht="15.75">
      <c r="A184" s="33" t="s">
        <v>66</v>
      </c>
      <c r="B184" s="35">
        <v>0</v>
      </c>
      <c r="C184" s="35">
        <v>0</v>
      </c>
      <c r="D184" s="35">
        <v>0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</row>
    <row r="185" spans="1:12" ht="15.75">
      <c r="A185" s="33" t="s">
        <v>56</v>
      </c>
      <c r="B185" s="35">
        <v>0.01</v>
      </c>
      <c r="C185" s="35">
        <v>0.01</v>
      </c>
      <c r="D185" s="35">
        <v>0.01</v>
      </c>
      <c r="E185" s="35">
        <v>0.01</v>
      </c>
      <c r="F185" s="35">
        <v>0.01</v>
      </c>
      <c r="G185" s="35">
        <v>0.01</v>
      </c>
      <c r="H185" s="35">
        <v>0.01</v>
      </c>
      <c r="I185" s="35">
        <v>0.01</v>
      </c>
      <c r="J185" s="35">
        <v>0.01</v>
      </c>
      <c r="K185" s="35">
        <v>0.02</v>
      </c>
      <c r="L185" s="35">
        <v>0.02</v>
      </c>
    </row>
    <row r="186" spans="1:12" ht="31.5">
      <c r="A186" s="39" t="s">
        <v>57</v>
      </c>
      <c r="B186" s="35">
        <v>0</v>
      </c>
      <c r="C186" s="35">
        <v>0</v>
      </c>
      <c r="D186" s="35">
        <v>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</row>
    <row r="187" spans="1:12" ht="15.75">
      <c r="A187" s="30" t="s">
        <v>58</v>
      </c>
      <c r="B187" s="35">
        <v>0.02</v>
      </c>
      <c r="C187" s="35">
        <v>0.03</v>
      </c>
      <c r="D187" s="35">
        <v>0.03</v>
      </c>
      <c r="E187" s="35">
        <v>0.03</v>
      </c>
      <c r="F187" s="35">
        <v>0.03</v>
      </c>
      <c r="G187" s="35">
        <v>0.03</v>
      </c>
      <c r="H187" s="35">
        <v>0.03</v>
      </c>
      <c r="I187" s="35">
        <v>0.03</v>
      </c>
      <c r="J187" s="35">
        <v>0.03</v>
      </c>
      <c r="K187" s="35">
        <v>0.03</v>
      </c>
      <c r="L187" s="35">
        <v>0.03</v>
      </c>
    </row>
    <row r="188" spans="1:12" ht="15.75">
      <c r="A188" s="30" t="s">
        <v>67</v>
      </c>
      <c r="B188" s="35">
        <v>0.73</v>
      </c>
      <c r="C188" s="35">
        <v>0.84</v>
      </c>
      <c r="D188" s="35">
        <v>0.91</v>
      </c>
      <c r="E188" s="35">
        <v>0.93</v>
      </c>
      <c r="F188" s="35">
        <v>0.97</v>
      </c>
      <c r="G188" s="35">
        <v>0.96</v>
      </c>
      <c r="H188" s="35">
        <v>1.01</v>
      </c>
      <c r="I188" s="35">
        <v>0.93</v>
      </c>
      <c r="J188" s="35">
        <v>1.02</v>
      </c>
      <c r="K188" s="35">
        <v>1.37</v>
      </c>
      <c r="L188" s="35">
        <v>0.9</v>
      </c>
    </row>
    <row r="189" spans="1:12" ht="15.75">
      <c r="A189" s="27"/>
      <c r="B189" s="42">
        <v>2013</v>
      </c>
      <c r="C189" s="42">
        <v>2014</v>
      </c>
      <c r="D189" s="42">
        <v>2015</v>
      </c>
      <c r="E189" s="42">
        <v>2016</v>
      </c>
      <c r="F189" s="42">
        <v>2017</v>
      </c>
      <c r="G189" s="42">
        <v>2018</v>
      </c>
      <c r="H189" s="42">
        <v>2019</v>
      </c>
      <c r="I189" s="42">
        <v>2020</v>
      </c>
      <c r="J189" s="42">
        <v>2021</v>
      </c>
      <c r="K189" s="42">
        <v>2022</v>
      </c>
      <c r="L189" s="42">
        <v>2023</v>
      </c>
    </row>
    <row r="190" spans="1:12" ht="15.75">
      <c r="A190" s="85" t="s">
        <v>77</v>
      </c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7"/>
    </row>
    <row r="191" spans="1:12" ht="15.75">
      <c r="A191" s="43" t="s">
        <v>64</v>
      </c>
      <c r="B191" s="35">
        <v>0.7</v>
      </c>
      <c r="C191" s="35">
        <v>0.74</v>
      </c>
      <c r="D191" s="35">
        <v>0.78</v>
      </c>
      <c r="E191" s="35">
        <v>0.81</v>
      </c>
      <c r="F191" s="35">
        <v>0.82</v>
      </c>
      <c r="G191" s="35">
        <v>0.83</v>
      </c>
      <c r="H191" s="35">
        <v>0.82</v>
      </c>
      <c r="I191" s="35">
        <v>0.82</v>
      </c>
      <c r="J191" s="35">
        <v>0.95</v>
      </c>
      <c r="K191" s="35">
        <v>0.78</v>
      </c>
      <c r="L191" s="35">
        <v>0.97</v>
      </c>
    </row>
    <row r="192" spans="1:12" ht="15.75">
      <c r="A192" s="30" t="s">
        <v>48</v>
      </c>
      <c r="B192" s="35">
        <v>0</v>
      </c>
      <c r="C192" s="35">
        <v>0</v>
      </c>
      <c r="D192" s="35">
        <v>0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</row>
    <row r="193" spans="1:12" ht="15.75">
      <c r="A193" s="33" t="s">
        <v>49</v>
      </c>
      <c r="B193" s="35">
        <v>0</v>
      </c>
      <c r="C193" s="35">
        <v>0</v>
      </c>
      <c r="D193" s="35">
        <v>0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</row>
    <row r="194" spans="1:12" ht="15.75">
      <c r="A194" s="38" t="s">
        <v>50</v>
      </c>
      <c r="B194" s="35">
        <v>0</v>
      </c>
      <c r="C194" s="35">
        <v>0</v>
      </c>
      <c r="D194" s="35">
        <v>0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</row>
    <row r="195" spans="1:12" ht="15.75">
      <c r="A195" s="38" t="s">
        <v>51</v>
      </c>
      <c r="B195" s="35">
        <v>0.44</v>
      </c>
      <c r="C195" s="35">
        <v>0.46</v>
      </c>
      <c r="D195" s="35">
        <v>0.49</v>
      </c>
      <c r="E195" s="35">
        <v>0.51</v>
      </c>
      <c r="F195" s="35">
        <v>0.51</v>
      </c>
      <c r="G195" s="35">
        <v>0.52</v>
      </c>
      <c r="H195" s="35">
        <v>0.52</v>
      </c>
      <c r="I195" s="35">
        <v>0.51</v>
      </c>
      <c r="J195" s="35">
        <v>0.59</v>
      </c>
      <c r="K195" s="35">
        <v>0.62</v>
      </c>
      <c r="L195" s="35">
        <v>0.62</v>
      </c>
    </row>
    <row r="196" spans="1:12" ht="15.75">
      <c r="A196" s="33" t="s">
        <v>52</v>
      </c>
      <c r="B196" s="35">
        <v>0.04</v>
      </c>
      <c r="C196" s="35">
        <v>0.04</v>
      </c>
      <c r="D196" s="35">
        <v>0.04</v>
      </c>
      <c r="E196" s="35">
        <v>0.05</v>
      </c>
      <c r="F196" s="35">
        <v>0.05</v>
      </c>
      <c r="G196" s="35">
        <v>0.05</v>
      </c>
      <c r="H196" s="35">
        <v>0.05</v>
      </c>
      <c r="I196" s="35">
        <v>0.05</v>
      </c>
      <c r="J196" s="35">
        <v>0.05</v>
      </c>
      <c r="K196" s="35">
        <v>0.05</v>
      </c>
      <c r="L196" s="35">
        <v>0.05</v>
      </c>
    </row>
    <row r="197" spans="1:12" ht="15.75">
      <c r="A197" s="38" t="s">
        <v>53</v>
      </c>
      <c r="B197" s="35">
        <v>0</v>
      </c>
      <c r="C197" s="35">
        <v>0</v>
      </c>
      <c r="D197" s="35">
        <v>0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</row>
    <row r="198" spans="1:12" ht="15.75">
      <c r="A198" s="33" t="s">
        <v>54</v>
      </c>
      <c r="B198" s="35">
        <v>0</v>
      </c>
      <c r="C198" s="35">
        <v>0</v>
      </c>
      <c r="D198" s="35">
        <v>0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</row>
    <row r="199" spans="1:12" ht="15.75">
      <c r="A199" s="33" t="s">
        <v>66</v>
      </c>
      <c r="B199" s="35">
        <v>0</v>
      </c>
      <c r="C199" s="35">
        <v>0</v>
      </c>
      <c r="D199" s="35">
        <v>0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</row>
    <row r="200" spans="1:12" ht="15.75">
      <c r="A200" s="33" t="s">
        <v>56</v>
      </c>
      <c r="B200" s="35">
        <v>0.4</v>
      </c>
      <c r="C200" s="35">
        <v>0.42</v>
      </c>
      <c r="D200" s="35">
        <v>0.44</v>
      </c>
      <c r="E200" s="35">
        <v>0.46</v>
      </c>
      <c r="F200" s="35">
        <v>0.47</v>
      </c>
      <c r="G200" s="35">
        <v>0.47</v>
      </c>
      <c r="H200" s="35">
        <v>0.47</v>
      </c>
      <c r="I200" s="35">
        <v>0.46</v>
      </c>
      <c r="J200" s="35">
        <v>0.54</v>
      </c>
      <c r="K200" s="35">
        <v>0.56000000000000005</v>
      </c>
      <c r="L200" s="35">
        <v>0.56999999999999995</v>
      </c>
    </row>
    <row r="201" spans="1:12" ht="31.5">
      <c r="A201" s="39" t="s">
        <v>57</v>
      </c>
      <c r="B201" s="35">
        <v>0</v>
      </c>
      <c r="C201" s="35">
        <v>0</v>
      </c>
      <c r="D201" s="35">
        <v>0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</row>
    <row r="202" spans="1:12" ht="15.75">
      <c r="A202" s="30" t="s">
        <v>58</v>
      </c>
      <c r="B202" s="35">
        <v>0.04</v>
      </c>
      <c r="C202" s="35">
        <v>0.04</v>
      </c>
      <c r="D202" s="35">
        <v>0.04</v>
      </c>
      <c r="E202" s="35">
        <v>0.04</v>
      </c>
      <c r="F202" s="35">
        <v>0.04</v>
      </c>
      <c r="G202" s="35">
        <v>0.04</v>
      </c>
      <c r="H202" s="35">
        <v>0.04</v>
      </c>
      <c r="I202" s="35">
        <v>0.04</v>
      </c>
      <c r="J202" s="35">
        <v>0.05</v>
      </c>
      <c r="K202" s="35">
        <v>0.05</v>
      </c>
      <c r="L202" s="35">
        <v>0.05</v>
      </c>
    </row>
    <row r="203" spans="1:12" ht="15.75">
      <c r="A203" s="30" t="s">
        <v>67</v>
      </c>
      <c r="B203" s="35">
        <v>0.23</v>
      </c>
      <c r="C203" s="35">
        <v>0.24</v>
      </c>
      <c r="D203" s="35">
        <v>0.25</v>
      </c>
      <c r="E203" s="35">
        <v>0.26</v>
      </c>
      <c r="F203" s="35">
        <v>0.27</v>
      </c>
      <c r="G203" s="35">
        <v>0.27</v>
      </c>
      <c r="H203" s="35">
        <v>0.27</v>
      </c>
      <c r="I203" s="35">
        <v>0.26</v>
      </c>
      <c r="J203" s="35">
        <v>0.31</v>
      </c>
      <c r="K203" s="35">
        <v>0.11</v>
      </c>
      <c r="L203" s="35">
        <v>0.3</v>
      </c>
    </row>
    <row r="204" spans="1:12" ht="15.75">
      <c r="A204" s="27"/>
      <c r="B204" s="42">
        <v>2013</v>
      </c>
      <c r="C204" s="42">
        <v>2014</v>
      </c>
      <c r="D204" s="42">
        <v>2015</v>
      </c>
      <c r="E204" s="47">
        <v>2016</v>
      </c>
      <c r="F204" s="42">
        <v>2017</v>
      </c>
      <c r="G204" s="42">
        <v>2018</v>
      </c>
      <c r="H204" s="42">
        <v>2019</v>
      </c>
      <c r="I204" s="42">
        <v>2020</v>
      </c>
      <c r="J204" s="47">
        <v>2021</v>
      </c>
      <c r="K204" s="42">
        <v>2022</v>
      </c>
      <c r="L204" s="42">
        <v>2023</v>
      </c>
    </row>
    <row r="205" spans="1:12" ht="15.75">
      <c r="A205" s="85" t="s">
        <v>78</v>
      </c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7"/>
    </row>
    <row r="206" spans="1:12" ht="15.75">
      <c r="A206" s="43" t="s">
        <v>64</v>
      </c>
      <c r="B206" s="35">
        <v>13.98</v>
      </c>
      <c r="C206" s="35">
        <v>15.67</v>
      </c>
      <c r="D206" s="35">
        <v>16.57</v>
      </c>
      <c r="E206" s="50">
        <v>17.39</v>
      </c>
      <c r="F206" s="35">
        <v>17.28</v>
      </c>
      <c r="G206" s="35">
        <v>18.25</v>
      </c>
      <c r="H206" s="35">
        <v>19.329999999999998</v>
      </c>
      <c r="I206" s="35">
        <v>18.36</v>
      </c>
      <c r="J206" s="50">
        <v>18.14</v>
      </c>
      <c r="K206" s="35">
        <v>14.46</v>
      </c>
      <c r="L206" s="35">
        <v>4.43</v>
      </c>
    </row>
    <row r="207" spans="1:12" ht="15.75">
      <c r="A207" s="30" t="s">
        <v>48</v>
      </c>
      <c r="B207" s="35">
        <v>0</v>
      </c>
      <c r="C207" s="35">
        <v>0</v>
      </c>
      <c r="D207" s="35">
        <v>0</v>
      </c>
      <c r="E207" s="49">
        <v>0</v>
      </c>
      <c r="F207" s="35">
        <v>0</v>
      </c>
      <c r="G207" s="35">
        <v>0</v>
      </c>
      <c r="H207" s="35">
        <v>0</v>
      </c>
      <c r="I207" s="35">
        <v>0</v>
      </c>
      <c r="J207" s="49">
        <v>0</v>
      </c>
      <c r="K207" s="35">
        <v>0</v>
      </c>
      <c r="L207" s="35">
        <v>0</v>
      </c>
    </row>
    <row r="208" spans="1:12" ht="15.75">
      <c r="A208" s="33" t="s">
        <v>49</v>
      </c>
      <c r="B208" s="35">
        <v>0</v>
      </c>
      <c r="C208" s="35">
        <v>0</v>
      </c>
      <c r="D208" s="35">
        <v>0</v>
      </c>
      <c r="E208" s="49">
        <v>0</v>
      </c>
      <c r="F208" s="35">
        <v>0</v>
      </c>
      <c r="G208" s="35">
        <v>0</v>
      </c>
      <c r="H208" s="35">
        <v>0</v>
      </c>
      <c r="I208" s="35">
        <v>0</v>
      </c>
      <c r="J208" s="49">
        <v>0</v>
      </c>
      <c r="K208" s="35">
        <v>0</v>
      </c>
      <c r="L208" s="35">
        <v>0</v>
      </c>
    </row>
    <row r="209" spans="1:12" ht="15.75">
      <c r="A209" s="38" t="s">
        <v>50</v>
      </c>
      <c r="B209" s="35">
        <v>0</v>
      </c>
      <c r="C209" s="35">
        <v>0</v>
      </c>
      <c r="D209" s="35">
        <v>0</v>
      </c>
      <c r="E209" s="49">
        <v>0</v>
      </c>
      <c r="F209" s="35">
        <v>0</v>
      </c>
      <c r="G209" s="35">
        <v>0</v>
      </c>
      <c r="H209" s="35">
        <v>0</v>
      </c>
      <c r="I209" s="35">
        <v>0</v>
      </c>
      <c r="J209" s="49">
        <v>0</v>
      </c>
      <c r="K209" s="35">
        <v>0</v>
      </c>
      <c r="L209" s="35">
        <v>0</v>
      </c>
    </row>
    <row r="210" spans="1:12" ht="15.75">
      <c r="A210" s="38" t="s">
        <v>51</v>
      </c>
      <c r="B210" s="35">
        <v>1.37</v>
      </c>
      <c r="C210" s="35">
        <v>1.53</v>
      </c>
      <c r="D210" s="35">
        <v>1.65</v>
      </c>
      <c r="E210" s="49">
        <v>1.66</v>
      </c>
      <c r="F210" s="35">
        <v>1.72</v>
      </c>
      <c r="G210" s="35">
        <v>1.8</v>
      </c>
      <c r="H210" s="35">
        <v>1.89</v>
      </c>
      <c r="I210" s="35">
        <v>1.48</v>
      </c>
      <c r="J210" s="49">
        <v>3.77</v>
      </c>
      <c r="K210" s="35">
        <v>4.1100000000000003</v>
      </c>
      <c r="L210" s="35">
        <v>4.43</v>
      </c>
    </row>
    <row r="211" spans="1:12" ht="15.75">
      <c r="A211" s="33" t="s">
        <v>52</v>
      </c>
      <c r="B211" s="35">
        <v>0.55000000000000004</v>
      </c>
      <c r="C211" s="35">
        <v>0.61</v>
      </c>
      <c r="D211" s="35">
        <v>0.66</v>
      </c>
      <c r="E211" s="49">
        <v>0.67</v>
      </c>
      <c r="F211" s="35">
        <v>0.66</v>
      </c>
      <c r="G211" s="35">
        <v>0.69</v>
      </c>
      <c r="H211" s="35">
        <v>0.72</v>
      </c>
      <c r="I211" s="35">
        <v>0.56000000000000005</v>
      </c>
      <c r="J211" s="49">
        <v>3</v>
      </c>
      <c r="K211" s="35">
        <v>3.27</v>
      </c>
      <c r="L211" s="35">
        <v>3.55</v>
      </c>
    </row>
    <row r="212" spans="1:12" ht="15.75">
      <c r="A212" s="38" t="s">
        <v>53</v>
      </c>
      <c r="B212" s="35">
        <v>0</v>
      </c>
      <c r="C212" s="35">
        <v>0</v>
      </c>
      <c r="D212" s="35">
        <v>0</v>
      </c>
      <c r="E212" s="49">
        <v>0</v>
      </c>
      <c r="F212" s="35">
        <v>0</v>
      </c>
      <c r="G212" s="35">
        <v>0</v>
      </c>
      <c r="H212" s="35">
        <v>0</v>
      </c>
      <c r="I212" s="35">
        <v>0</v>
      </c>
      <c r="J212" s="49">
        <v>0</v>
      </c>
      <c r="K212" s="35">
        <v>0</v>
      </c>
      <c r="L212" s="35">
        <v>0</v>
      </c>
    </row>
    <row r="213" spans="1:12" ht="15.75">
      <c r="A213" s="33" t="s">
        <v>54</v>
      </c>
      <c r="B213" s="35">
        <v>0</v>
      </c>
      <c r="C213" s="35">
        <v>0</v>
      </c>
      <c r="D213" s="35">
        <v>0</v>
      </c>
      <c r="E213" s="49">
        <v>0</v>
      </c>
      <c r="F213" s="35">
        <v>0</v>
      </c>
      <c r="G213" s="35">
        <v>0</v>
      </c>
      <c r="H213" s="35">
        <v>0</v>
      </c>
      <c r="I213" s="35">
        <v>0</v>
      </c>
      <c r="J213" s="49">
        <v>0</v>
      </c>
      <c r="K213" s="35">
        <v>0</v>
      </c>
      <c r="L213" s="35">
        <v>0</v>
      </c>
    </row>
    <row r="214" spans="1:12" ht="15.75">
      <c r="A214" s="33" t="s">
        <v>66</v>
      </c>
      <c r="B214" s="35">
        <v>0.82</v>
      </c>
      <c r="C214" s="35">
        <v>0.92</v>
      </c>
      <c r="D214" s="35">
        <v>0.99</v>
      </c>
      <c r="E214" s="49">
        <v>1</v>
      </c>
      <c r="F214" s="35">
        <v>1.06</v>
      </c>
      <c r="G214" s="35">
        <v>1.1200000000000001</v>
      </c>
      <c r="H214" s="35">
        <v>1.17</v>
      </c>
      <c r="I214" s="35">
        <v>0.91</v>
      </c>
      <c r="J214" s="49">
        <v>0.77</v>
      </c>
      <c r="K214" s="35">
        <v>0.84</v>
      </c>
      <c r="L214" s="35">
        <v>0.89</v>
      </c>
    </row>
    <row r="215" spans="1:12" ht="15.75">
      <c r="A215" s="33" t="s">
        <v>56</v>
      </c>
      <c r="B215" s="35">
        <v>0</v>
      </c>
      <c r="C215" s="35">
        <v>0</v>
      </c>
      <c r="D215" s="35">
        <v>0</v>
      </c>
      <c r="E215" s="49">
        <v>0</v>
      </c>
      <c r="F215" s="35">
        <v>0</v>
      </c>
      <c r="G215" s="35">
        <v>0</v>
      </c>
      <c r="H215" s="35">
        <v>0</v>
      </c>
      <c r="I215" s="35">
        <v>0</v>
      </c>
      <c r="J215" s="49">
        <v>0</v>
      </c>
      <c r="K215" s="35">
        <v>0</v>
      </c>
      <c r="L215" s="35">
        <v>0</v>
      </c>
    </row>
    <row r="216" spans="1:12" ht="31.5">
      <c r="A216" s="39" t="s">
        <v>57</v>
      </c>
      <c r="B216" s="35">
        <v>0</v>
      </c>
      <c r="C216" s="35">
        <v>0</v>
      </c>
      <c r="D216" s="35">
        <v>0</v>
      </c>
      <c r="E216" s="49">
        <v>0</v>
      </c>
      <c r="F216" s="35">
        <v>0</v>
      </c>
      <c r="G216" s="35">
        <v>0</v>
      </c>
      <c r="H216" s="35">
        <v>0</v>
      </c>
      <c r="I216" s="35">
        <v>0</v>
      </c>
      <c r="J216" s="49">
        <v>0</v>
      </c>
      <c r="K216" s="35">
        <v>0</v>
      </c>
      <c r="L216" s="35">
        <v>0</v>
      </c>
    </row>
    <row r="217" spans="1:12" ht="15.75">
      <c r="A217" s="30" t="s">
        <v>58</v>
      </c>
      <c r="B217" s="35">
        <v>4.74</v>
      </c>
      <c r="C217" s="35">
        <v>5.61</v>
      </c>
      <c r="D217" s="35">
        <v>5.71</v>
      </c>
      <c r="E217" s="49">
        <v>6.11</v>
      </c>
      <c r="F217" s="35">
        <v>5.97</v>
      </c>
      <c r="G217" s="35">
        <v>6.55</v>
      </c>
      <c r="H217" s="35">
        <v>7.23</v>
      </c>
      <c r="I217" s="35">
        <v>6.27</v>
      </c>
      <c r="J217" s="49">
        <v>5.33</v>
      </c>
      <c r="K217" s="35">
        <v>4.9000000000000004</v>
      </c>
      <c r="L217" s="35">
        <v>0</v>
      </c>
    </row>
    <row r="218" spans="1:12" ht="15.75">
      <c r="A218" s="30" t="s">
        <v>67</v>
      </c>
      <c r="B218" s="35">
        <v>7.88</v>
      </c>
      <c r="C218" s="35">
        <v>8.5299999999999994</v>
      </c>
      <c r="D218" s="35">
        <v>9.2100000000000009</v>
      </c>
      <c r="E218" s="49">
        <v>9.6199999999999992</v>
      </c>
      <c r="F218" s="35">
        <v>9.59</v>
      </c>
      <c r="G218" s="35">
        <v>9.9</v>
      </c>
      <c r="H218" s="35">
        <v>10.210000000000001</v>
      </c>
      <c r="I218" s="35">
        <v>10.61</v>
      </c>
      <c r="J218" s="49">
        <v>9.0399999999999991</v>
      </c>
      <c r="K218" s="35">
        <v>15.45</v>
      </c>
      <c r="L218" s="35">
        <v>0</v>
      </c>
    </row>
    <row r="219" spans="1:12" ht="15.75">
      <c r="A219" s="27"/>
      <c r="B219" s="42">
        <v>2013</v>
      </c>
      <c r="C219" s="42">
        <v>2014</v>
      </c>
      <c r="D219" s="42">
        <v>2015</v>
      </c>
      <c r="E219" s="42">
        <v>2016</v>
      </c>
      <c r="F219" s="42">
        <v>2017</v>
      </c>
      <c r="G219" s="42">
        <v>2018</v>
      </c>
      <c r="H219" s="42">
        <v>2019</v>
      </c>
      <c r="I219" s="42">
        <v>2020</v>
      </c>
      <c r="J219" s="42">
        <v>2021</v>
      </c>
      <c r="K219" s="42">
        <v>2022</v>
      </c>
      <c r="L219" s="42">
        <v>2023</v>
      </c>
    </row>
    <row r="220" spans="1:12" ht="15.75">
      <c r="A220" s="85" t="s">
        <v>79</v>
      </c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7"/>
    </row>
    <row r="221" spans="1:12" ht="15.75">
      <c r="A221" s="43" t="s">
        <v>64</v>
      </c>
      <c r="B221" s="35">
        <v>0.73</v>
      </c>
      <c r="C221" s="35">
        <v>0.76</v>
      </c>
      <c r="D221" s="35">
        <v>0.78</v>
      </c>
      <c r="E221" s="35">
        <v>0.88</v>
      </c>
      <c r="F221" s="35">
        <v>0.93</v>
      </c>
      <c r="G221" s="35">
        <v>0.99</v>
      </c>
      <c r="H221" s="35">
        <v>0.94</v>
      </c>
      <c r="I221" s="35">
        <v>0.84</v>
      </c>
      <c r="J221" s="35">
        <v>0.94</v>
      </c>
      <c r="K221" s="35">
        <v>0.4</v>
      </c>
      <c r="L221" s="35">
        <v>0.94</v>
      </c>
    </row>
    <row r="222" spans="1:12" ht="15.75">
      <c r="A222" s="30" t="s">
        <v>48</v>
      </c>
      <c r="B222" s="35">
        <v>0</v>
      </c>
      <c r="C222" s="35">
        <v>0</v>
      </c>
      <c r="D222" s="35">
        <v>0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</row>
    <row r="223" spans="1:12" ht="15.75">
      <c r="A223" s="33" t="s">
        <v>49</v>
      </c>
      <c r="B223" s="35">
        <v>0</v>
      </c>
      <c r="C223" s="35">
        <v>0</v>
      </c>
      <c r="D223" s="35">
        <v>0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</row>
    <row r="224" spans="1:12" ht="15.75">
      <c r="A224" s="53" t="s">
        <v>50</v>
      </c>
      <c r="B224" s="35">
        <v>0</v>
      </c>
      <c r="C224" s="35">
        <v>0</v>
      </c>
      <c r="D224" s="35">
        <v>0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</row>
    <row r="225" spans="1:12" ht="15.75">
      <c r="A225" s="53" t="s">
        <v>51</v>
      </c>
      <c r="B225" s="35">
        <v>0.12</v>
      </c>
      <c r="C225" s="35">
        <v>0.12</v>
      </c>
      <c r="D225" s="35">
        <v>0.13</v>
      </c>
      <c r="E225" s="35">
        <v>0.14000000000000001</v>
      </c>
      <c r="F225" s="35">
        <v>0.15</v>
      </c>
      <c r="G225" s="35">
        <v>0.16</v>
      </c>
      <c r="H225" s="35">
        <v>0.15</v>
      </c>
      <c r="I225" s="35">
        <v>0.14000000000000001</v>
      </c>
      <c r="J225" s="35">
        <v>0.15</v>
      </c>
      <c r="K225" s="35">
        <v>0.16</v>
      </c>
      <c r="L225" s="35">
        <v>0.16</v>
      </c>
    </row>
    <row r="226" spans="1:12" ht="15.75">
      <c r="A226" s="33" t="s">
        <v>52</v>
      </c>
      <c r="B226" s="35">
        <v>0.01</v>
      </c>
      <c r="C226" s="35">
        <v>0.01</v>
      </c>
      <c r="D226" s="35">
        <v>0.01</v>
      </c>
      <c r="E226" s="35">
        <v>0.01</v>
      </c>
      <c r="F226" s="35">
        <v>0.01</v>
      </c>
      <c r="G226" s="35">
        <v>0.01</v>
      </c>
      <c r="H226" s="35">
        <v>0.01</v>
      </c>
      <c r="I226" s="35">
        <v>0.01</v>
      </c>
      <c r="J226" s="35">
        <v>0.01</v>
      </c>
      <c r="K226" s="35">
        <v>0.01</v>
      </c>
      <c r="L226" s="35">
        <v>0.01</v>
      </c>
    </row>
    <row r="227" spans="1:12" ht="15.75">
      <c r="A227" s="53" t="s">
        <v>53</v>
      </c>
      <c r="B227" s="35">
        <v>0</v>
      </c>
      <c r="C227" s="35">
        <v>0</v>
      </c>
      <c r="D227" s="35">
        <v>0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</row>
    <row r="228" spans="1:12" ht="15.75">
      <c r="A228" s="33" t="s">
        <v>54</v>
      </c>
      <c r="B228" s="35">
        <v>0</v>
      </c>
      <c r="C228" s="35">
        <v>0</v>
      </c>
      <c r="D228" s="35">
        <v>0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</row>
    <row r="229" spans="1:12" ht="15.75">
      <c r="A229" s="33" t="s">
        <v>66</v>
      </c>
      <c r="B229" s="35">
        <v>0</v>
      </c>
      <c r="C229" s="35">
        <v>0</v>
      </c>
      <c r="D229" s="35">
        <v>0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</row>
    <row r="230" spans="1:12" ht="15.75">
      <c r="A230" s="33" t="s">
        <v>56</v>
      </c>
      <c r="B230" s="35">
        <v>0.11</v>
      </c>
      <c r="C230" s="35">
        <v>0.11</v>
      </c>
      <c r="D230" s="35">
        <v>0.12</v>
      </c>
      <c r="E230" s="35">
        <v>0.13</v>
      </c>
      <c r="F230" s="35">
        <v>0.14000000000000001</v>
      </c>
      <c r="G230" s="35">
        <v>0.15</v>
      </c>
      <c r="H230" s="35">
        <v>0.14000000000000001</v>
      </c>
      <c r="I230" s="35">
        <v>0.12</v>
      </c>
      <c r="J230" s="35">
        <v>0.14000000000000001</v>
      </c>
      <c r="K230" s="35">
        <v>0.14000000000000001</v>
      </c>
      <c r="L230" s="35">
        <v>0.15</v>
      </c>
    </row>
    <row r="231" spans="1:12" ht="31.5">
      <c r="A231" s="39" t="s">
        <v>57</v>
      </c>
      <c r="B231" s="35">
        <v>0</v>
      </c>
      <c r="C231" s="35">
        <v>0</v>
      </c>
      <c r="D231" s="35">
        <v>0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</row>
    <row r="232" spans="1:12" ht="15.75">
      <c r="A232" s="30" t="s">
        <v>58</v>
      </c>
      <c r="B232" s="35">
        <v>0.14000000000000001</v>
      </c>
      <c r="C232" s="35">
        <v>0.15</v>
      </c>
      <c r="D232" s="35">
        <v>0.16</v>
      </c>
      <c r="E232" s="35">
        <v>0.17</v>
      </c>
      <c r="F232" s="35">
        <v>0.18</v>
      </c>
      <c r="G232" s="35">
        <v>0.2</v>
      </c>
      <c r="H232" s="35">
        <v>0.19</v>
      </c>
      <c r="I232" s="35">
        <v>0.17</v>
      </c>
      <c r="J232" s="35">
        <v>0.19</v>
      </c>
      <c r="K232" s="35">
        <v>0.18</v>
      </c>
      <c r="L232" s="35">
        <v>0.18</v>
      </c>
    </row>
    <row r="233" spans="1:12" ht="15.75">
      <c r="A233" s="30" t="s">
        <v>67</v>
      </c>
      <c r="B233" s="35">
        <v>0.47</v>
      </c>
      <c r="C233" s="35">
        <v>0.48</v>
      </c>
      <c r="D233" s="35">
        <v>0.5</v>
      </c>
      <c r="E233" s="35">
        <v>0.56000000000000005</v>
      </c>
      <c r="F233" s="35">
        <v>0.59</v>
      </c>
      <c r="G233" s="35">
        <v>0.63</v>
      </c>
      <c r="H233" s="35">
        <v>0.6</v>
      </c>
      <c r="I233" s="35">
        <v>0.54</v>
      </c>
      <c r="J233" s="35">
        <v>0.6</v>
      </c>
      <c r="K233" s="35">
        <v>7.0000000000000007E-2</v>
      </c>
      <c r="L233" s="35">
        <v>0.59</v>
      </c>
    </row>
    <row r="234" spans="1:12" ht="15.75">
      <c r="A234" s="27"/>
      <c r="B234" s="42">
        <v>2013</v>
      </c>
      <c r="C234" s="42">
        <v>2014</v>
      </c>
      <c r="D234" s="42">
        <v>2015</v>
      </c>
      <c r="E234" s="42">
        <v>2016</v>
      </c>
      <c r="F234" s="47">
        <v>2017</v>
      </c>
      <c r="G234" s="42">
        <v>2018</v>
      </c>
      <c r="H234" s="42">
        <v>2019</v>
      </c>
      <c r="I234" s="42">
        <v>2020</v>
      </c>
      <c r="J234" s="42">
        <v>2021</v>
      </c>
      <c r="K234" s="47">
        <v>2022</v>
      </c>
      <c r="L234" s="42">
        <v>2023</v>
      </c>
    </row>
    <row r="235" spans="1:12" ht="15.75">
      <c r="A235" s="85" t="s">
        <v>80</v>
      </c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7"/>
    </row>
    <row r="236" spans="1:12" ht="15.75">
      <c r="A236" s="43" t="s">
        <v>64</v>
      </c>
      <c r="B236" s="35">
        <v>116.43</v>
      </c>
      <c r="C236" s="35">
        <v>103.82</v>
      </c>
      <c r="D236" s="35">
        <v>74.41</v>
      </c>
      <c r="E236" s="35">
        <v>66.12</v>
      </c>
      <c r="F236" s="50">
        <v>58.95</v>
      </c>
      <c r="G236" s="35">
        <v>64.64</v>
      </c>
      <c r="H236" s="35">
        <v>35.770000000000003</v>
      </c>
      <c r="I236" s="35">
        <v>68.06</v>
      </c>
      <c r="J236" s="35">
        <v>47.76</v>
      </c>
      <c r="K236" s="50">
        <v>51.52</v>
      </c>
      <c r="L236" s="35">
        <v>50.26</v>
      </c>
    </row>
    <row r="237" spans="1:12" ht="15.75">
      <c r="A237" s="30" t="s">
        <v>48</v>
      </c>
      <c r="B237" s="35">
        <v>0</v>
      </c>
      <c r="C237" s="35">
        <v>0</v>
      </c>
      <c r="D237" s="35">
        <v>0</v>
      </c>
      <c r="E237" s="35">
        <v>0</v>
      </c>
      <c r="F237" s="49">
        <v>0</v>
      </c>
      <c r="G237" s="35">
        <v>0</v>
      </c>
      <c r="H237" s="35">
        <v>0</v>
      </c>
      <c r="I237" s="35">
        <v>0</v>
      </c>
      <c r="J237" s="35">
        <v>0</v>
      </c>
      <c r="K237" s="49">
        <v>0</v>
      </c>
      <c r="L237" s="35">
        <v>0</v>
      </c>
    </row>
    <row r="238" spans="1:12" ht="15.75">
      <c r="A238" s="33" t="s">
        <v>49</v>
      </c>
      <c r="B238" s="35">
        <v>0</v>
      </c>
      <c r="C238" s="35">
        <v>0</v>
      </c>
      <c r="D238" s="35">
        <v>0</v>
      </c>
      <c r="E238" s="35">
        <v>0</v>
      </c>
      <c r="F238" s="49">
        <v>0</v>
      </c>
      <c r="G238" s="35">
        <v>0</v>
      </c>
      <c r="H238" s="35">
        <v>0</v>
      </c>
      <c r="I238" s="35">
        <v>0</v>
      </c>
      <c r="J238" s="35">
        <v>0</v>
      </c>
      <c r="K238" s="49">
        <v>0</v>
      </c>
      <c r="L238" s="35">
        <v>0</v>
      </c>
    </row>
    <row r="239" spans="1:12" ht="15.75">
      <c r="A239" s="53" t="s">
        <v>50</v>
      </c>
      <c r="B239" s="35">
        <v>0</v>
      </c>
      <c r="C239" s="35">
        <v>0</v>
      </c>
      <c r="D239" s="35">
        <v>0</v>
      </c>
      <c r="E239" s="35">
        <v>0</v>
      </c>
      <c r="F239" s="49">
        <v>0</v>
      </c>
      <c r="G239" s="35">
        <v>0</v>
      </c>
      <c r="H239" s="35">
        <v>0</v>
      </c>
      <c r="I239" s="35">
        <v>0</v>
      </c>
      <c r="J239" s="35">
        <v>0</v>
      </c>
      <c r="K239" s="49">
        <v>0</v>
      </c>
      <c r="L239" s="35">
        <v>0</v>
      </c>
    </row>
    <row r="240" spans="1:12" ht="15.75">
      <c r="A240" s="53" t="s">
        <v>51</v>
      </c>
      <c r="B240" s="35">
        <v>0.53</v>
      </c>
      <c r="C240" s="35">
        <v>0.53</v>
      </c>
      <c r="D240" s="35">
        <v>0.45</v>
      </c>
      <c r="E240" s="35">
        <v>0</v>
      </c>
      <c r="F240" s="49">
        <v>0</v>
      </c>
      <c r="G240" s="35">
        <v>0</v>
      </c>
      <c r="H240" s="35">
        <v>0</v>
      </c>
      <c r="I240" s="35">
        <v>0</v>
      </c>
      <c r="J240" s="35">
        <v>0</v>
      </c>
      <c r="K240" s="49">
        <v>0</v>
      </c>
      <c r="L240" s="35">
        <v>0</v>
      </c>
    </row>
    <row r="241" spans="1:12" ht="15.75">
      <c r="A241" s="33" t="s">
        <v>52</v>
      </c>
      <c r="B241" s="35">
        <v>0</v>
      </c>
      <c r="C241" s="35">
        <v>0</v>
      </c>
      <c r="D241" s="35">
        <v>0</v>
      </c>
      <c r="E241" s="35">
        <v>0</v>
      </c>
      <c r="F241" s="49">
        <v>0</v>
      </c>
      <c r="G241" s="35">
        <v>0</v>
      </c>
      <c r="H241" s="35">
        <v>0</v>
      </c>
      <c r="I241" s="35">
        <v>0</v>
      </c>
      <c r="J241" s="35">
        <v>0</v>
      </c>
      <c r="K241" s="49">
        <v>0</v>
      </c>
      <c r="L241" s="35">
        <v>0</v>
      </c>
    </row>
    <row r="242" spans="1:12" ht="15.75">
      <c r="A242" s="53" t="s">
        <v>53</v>
      </c>
      <c r="B242" s="35">
        <v>0</v>
      </c>
      <c r="C242" s="35">
        <v>0</v>
      </c>
      <c r="D242" s="35">
        <v>0</v>
      </c>
      <c r="E242" s="35">
        <v>0</v>
      </c>
      <c r="F242" s="49">
        <v>0</v>
      </c>
      <c r="G242" s="35">
        <v>0</v>
      </c>
      <c r="H242" s="35">
        <v>0</v>
      </c>
      <c r="I242" s="35">
        <v>0</v>
      </c>
      <c r="J242" s="35">
        <v>0</v>
      </c>
      <c r="K242" s="49">
        <v>0</v>
      </c>
      <c r="L242" s="35">
        <v>0</v>
      </c>
    </row>
    <row r="243" spans="1:12" ht="15.75">
      <c r="A243" s="33" t="s">
        <v>54</v>
      </c>
      <c r="B243" s="35">
        <v>0</v>
      </c>
      <c r="C243" s="35">
        <v>0</v>
      </c>
      <c r="D243" s="35">
        <v>0</v>
      </c>
      <c r="E243" s="35">
        <v>0</v>
      </c>
      <c r="F243" s="49">
        <v>0</v>
      </c>
      <c r="G243" s="35">
        <v>0</v>
      </c>
      <c r="H243" s="35">
        <v>0</v>
      </c>
      <c r="I243" s="35">
        <v>0</v>
      </c>
      <c r="J243" s="35">
        <v>0</v>
      </c>
      <c r="K243" s="49">
        <v>0</v>
      </c>
      <c r="L243" s="35">
        <v>0</v>
      </c>
    </row>
    <row r="244" spans="1:12" ht="15.75">
      <c r="A244" s="33" t="s">
        <v>66</v>
      </c>
      <c r="B244" s="35">
        <v>0.44</v>
      </c>
      <c r="C244" s="35">
        <v>0.39</v>
      </c>
      <c r="D244" s="35">
        <v>0.35</v>
      </c>
      <c r="E244" s="35">
        <v>0</v>
      </c>
      <c r="F244" s="49">
        <v>0</v>
      </c>
      <c r="G244" s="35">
        <v>0</v>
      </c>
      <c r="H244" s="35">
        <v>0</v>
      </c>
      <c r="I244" s="35">
        <v>0</v>
      </c>
      <c r="J244" s="35">
        <v>0</v>
      </c>
      <c r="K244" s="49">
        <v>0</v>
      </c>
      <c r="L244" s="35">
        <v>0</v>
      </c>
    </row>
    <row r="245" spans="1:12" ht="15.75">
      <c r="A245" s="33" t="s">
        <v>56</v>
      </c>
      <c r="B245" s="35">
        <v>0.1</v>
      </c>
      <c r="C245" s="35">
        <v>0.14000000000000001</v>
      </c>
      <c r="D245" s="35">
        <v>0.1</v>
      </c>
      <c r="E245" s="35">
        <v>0</v>
      </c>
      <c r="F245" s="49">
        <v>0</v>
      </c>
      <c r="G245" s="35">
        <v>0</v>
      </c>
      <c r="H245" s="35">
        <v>0</v>
      </c>
      <c r="I245" s="35">
        <v>0</v>
      </c>
      <c r="J245" s="35">
        <v>0</v>
      </c>
      <c r="K245" s="49">
        <v>0</v>
      </c>
      <c r="L245" s="35">
        <v>0</v>
      </c>
    </row>
    <row r="246" spans="1:12" ht="31.5">
      <c r="A246" s="39" t="s">
        <v>57</v>
      </c>
      <c r="B246" s="35">
        <v>0</v>
      </c>
      <c r="C246" s="35">
        <v>0</v>
      </c>
      <c r="D246" s="35">
        <v>0</v>
      </c>
      <c r="E246" s="35">
        <v>0</v>
      </c>
      <c r="F246" s="49">
        <v>0</v>
      </c>
      <c r="G246" s="35">
        <v>0</v>
      </c>
      <c r="H246" s="35">
        <v>0</v>
      </c>
      <c r="I246" s="35">
        <v>0</v>
      </c>
      <c r="J246" s="35">
        <v>0</v>
      </c>
      <c r="K246" s="49">
        <v>0</v>
      </c>
      <c r="L246" s="35">
        <v>0</v>
      </c>
    </row>
    <row r="247" spans="1:12" ht="15.75">
      <c r="A247" s="30" t="s">
        <v>58</v>
      </c>
      <c r="B247" s="35">
        <v>110.78</v>
      </c>
      <c r="C247" s="35">
        <v>98.3</v>
      </c>
      <c r="D247" s="35">
        <v>69.27</v>
      </c>
      <c r="E247" s="35">
        <v>61.83</v>
      </c>
      <c r="F247" s="50">
        <v>52.69</v>
      </c>
      <c r="G247" s="35">
        <v>58.9</v>
      </c>
      <c r="H247" s="35">
        <v>29.88</v>
      </c>
      <c r="I247" s="35">
        <v>51.68</v>
      </c>
      <c r="J247" s="35">
        <v>43.98</v>
      </c>
      <c r="K247" s="50">
        <v>45.09</v>
      </c>
      <c r="L247" s="35">
        <v>46.23</v>
      </c>
    </row>
    <row r="248" spans="1:12" ht="15.75">
      <c r="A248" s="30" t="s">
        <v>67</v>
      </c>
      <c r="B248" s="35">
        <v>5.12</v>
      </c>
      <c r="C248" s="35">
        <v>4.99</v>
      </c>
      <c r="D248" s="35">
        <v>4.6900000000000004</v>
      </c>
      <c r="E248" s="35">
        <v>4.29</v>
      </c>
      <c r="F248" s="49">
        <v>6.26</v>
      </c>
      <c r="G248" s="35">
        <v>5.74</v>
      </c>
      <c r="H248" s="35">
        <v>5.89</v>
      </c>
      <c r="I248" s="35">
        <v>16.38</v>
      </c>
      <c r="J248" s="35">
        <v>3.78</v>
      </c>
      <c r="K248" s="49">
        <v>6.43</v>
      </c>
      <c r="L248" s="35">
        <v>4.03</v>
      </c>
    </row>
    <row r="249" spans="1:12" ht="15.75">
      <c r="A249" s="27"/>
      <c r="B249" s="42">
        <v>2013</v>
      </c>
      <c r="C249" s="42">
        <v>2014</v>
      </c>
      <c r="D249" s="42">
        <v>2015</v>
      </c>
      <c r="E249" s="42">
        <v>2016</v>
      </c>
      <c r="F249" s="42">
        <v>2017</v>
      </c>
      <c r="G249" s="42">
        <v>2018</v>
      </c>
      <c r="H249" s="42">
        <v>2019</v>
      </c>
      <c r="I249" s="42">
        <v>2020</v>
      </c>
      <c r="J249" s="42">
        <v>2021</v>
      </c>
      <c r="K249" s="42">
        <v>2022</v>
      </c>
      <c r="L249" s="42">
        <v>2023</v>
      </c>
    </row>
    <row r="250" spans="1:12" ht="15.75">
      <c r="A250" s="85" t="s">
        <v>81</v>
      </c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7"/>
    </row>
    <row r="251" spans="1:12" ht="15.75">
      <c r="A251" s="43" t="s">
        <v>64</v>
      </c>
      <c r="B251" s="35">
        <v>728.32</v>
      </c>
      <c r="C251" s="35">
        <v>711.96</v>
      </c>
      <c r="D251" s="35">
        <v>748.02</v>
      </c>
      <c r="E251" s="35">
        <v>775.94</v>
      </c>
      <c r="F251" s="35">
        <v>979.57</v>
      </c>
      <c r="G251" s="35">
        <v>799.96</v>
      </c>
      <c r="H251" s="35">
        <v>694.61</v>
      </c>
      <c r="I251" s="35">
        <v>581.70000000000005</v>
      </c>
      <c r="J251" s="35">
        <v>370.49</v>
      </c>
      <c r="K251" s="35">
        <v>614.15</v>
      </c>
      <c r="L251" s="35">
        <v>488.47</v>
      </c>
    </row>
    <row r="252" spans="1:12" ht="15.75">
      <c r="A252" s="30" t="s">
        <v>48</v>
      </c>
      <c r="B252" s="35">
        <v>5.98</v>
      </c>
      <c r="C252" s="35">
        <v>3.48</v>
      </c>
      <c r="D252" s="35">
        <v>5.0599999999999996</v>
      </c>
      <c r="E252" s="35">
        <v>5.54</v>
      </c>
      <c r="F252" s="35">
        <v>14.54</v>
      </c>
      <c r="G252" s="35">
        <v>16.34</v>
      </c>
      <c r="H252" s="35">
        <v>11.77</v>
      </c>
      <c r="I252" s="35">
        <v>11.17</v>
      </c>
      <c r="J252" s="35">
        <v>11</v>
      </c>
      <c r="K252" s="35">
        <v>17.86</v>
      </c>
      <c r="L252" s="35">
        <v>19.28</v>
      </c>
    </row>
    <row r="253" spans="1:12" ht="15.75">
      <c r="A253" s="33" t="s">
        <v>49</v>
      </c>
      <c r="B253" s="35">
        <v>0</v>
      </c>
      <c r="C253" s="35">
        <v>0</v>
      </c>
      <c r="D253" s="35">
        <v>0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</row>
    <row r="254" spans="1:12" ht="15.75">
      <c r="A254" s="38" t="s">
        <v>50</v>
      </c>
      <c r="B254" s="35">
        <v>5.98</v>
      </c>
      <c r="C254" s="35">
        <v>3.48</v>
      </c>
      <c r="D254" s="35">
        <v>5.0599999999999996</v>
      </c>
      <c r="E254" s="35">
        <v>5.54</v>
      </c>
      <c r="F254" s="35">
        <v>14.54</v>
      </c>
      <c r="G254" s="35">
        <v>16.34</v>
      </c>
      <c r="H254" s="35">
        <v>11.77</v>
      </c>
      <c r="I254" s="35">
        <v>11.17</v>
      </c>
      <c r="J254" s="35">
        <v>11</v>
      </c>
      <c r="K254" s="35">
        <v>17.86</v>
      </c>
      <c r="L254" s="35">
        <v>19.28</v>
      </c>
    </row>
    <row r="255" spans="1:12" ht="15.75">
      <c r="A255" s="38" t="s">
        <v>51</v>
      </c>
      <c r="B255" s="35">
        <v>67.81</v>
      </c>
      <c r="C255" s="35">
        <v>64.11</v>
      </c>
      <c r="D255" s="35">
        <v>79.34</v>
      </c>
      <c r="E255" s="35">
        <v>96.8</v>
      </c>
      <c r="F255" s="35">
        <v>68.27</v>
      </c>
      <c r="G255" s="35">
        <v>64.13</v>
      </c>
      <c r="H255" s="35">
        <v>50.96</v>
      </c>
      <c r="I255" s="35">
        <v>62.86</v>
      </c>
      <c r="J255" s="35">
        <v>44.92</v>
      </c>
      <c r="K255" s="35">
        <v>56.47</v>
      </c>
      <c r="L255" s="35">
        <v>51.35</v>
      </c>
    </row>
    <row r="256" spans="1:12" ht="15.75">
      <c r="A256" s="33" t="s">
        <v>52</v>
      </c>
      <c r="B256" s="35">
        <v>30.58</v>
      </c>
      <c r="C256" s="35">
        <v>30.14</v>
      </c>
      <c r="D256" s="35">
        <v>30.79</v>
      </c>
      <c r="E256" s="35">
        <v>34.159999999999997</v>
      </c>
      <c r="F256" s="35">
        <v>31.69</v>
      </c>
      <c r="G256" s="35">
        <v>32.68</v>
      </c>
      <c r="H256" s="35">
        <v>17</v>
      </c>
      <c r="I256" s="35">
        <v>28.51</v>
      </c>
      <c r="J256" s="35">
        <v>26.15</v>
      </c>
      <c r="K256" s="35">
        <v>32.35</v>
      </c>
      <c r="L256" s="35">
        <v>29.16</v>
      </c>
    </row>
    <row r="257" spans="1:12" ht="15.75">
      <c r="A257" s="38" t="s">
        <v>53</v>
      </c>
      <c r="B257" s="35">
        <v>0.85</v>
      </c>
      <c r="C257" s="35">
        <v>1.05</v>
      </c>
      <c r="D257" s="35">
        <v>0.99</v>
      </c>
      <c r="E257" s="35">
        <v>1.1499999999999999</v>
      </c>
      <c r="F257" s="35">
        <v>1.17</v>
      </c>
      <c r="G257" s="35">
        <v>1.18</v>
      </c>
      <c r="H257" s="35">
        <v>1.29</v>
      </c>
      <c r="I257" s="35">
        <v>1.47</v>
      </c>
      <c r="J257" s="35">
        <v>1.47</v>
      </c>
      <c r="K257" s="35">
        <v>1.34</v>
      </c>
      <c r="L257" s="35">
        <v>1.34</v>
      </c>
    </row>
    <row r="258" spans="1:12" ht="15.75">
      <c r="A258" s="33" t="s">
        <v>54</v>
      </c>
      <c r="B258" s="35">
        <v>0</v>
      </c>
      <c r="C258" s="35">
        <v>0</v>
      </c>
      <c r="D258" s="35">
        <v>0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</row>
    <row r="259" spans="1:12" ht="15.75">
      <c r="A259" s="33" t="s">
        <v>66</v>
      </c>
      <c r="B259" s="35">
        <v>35.369999999999997</v>
      </c>
      <c r="C259" s="35">
        <v>31.42</v>
      </c>
      <c r="D259" s="35">
        <v>42.65</v>
      </c>
      <c r="E259" s="35">
        <v>51.36</v>
      </c>
      <c r="F259" s="35">
        <v>26.63</v>
      </c>
      <c r="G259" s="35">
        <v>27.63</v>
      </c>
      <c r="H259" s="35">
        <v>28.55</v>
      </c>
      <c r="I259" s="35">
        <v>31.65</v>
      </c>
      <c r="J259" s="35">
        <v>13.73</v>
      </c>
      <c r="K259" s="35">
        <v>20.91</v>
      </c>
      <c r="L259" s="35">
        <v>18.14</v>
      </c>
    </row>
    <row r="260" spans="1:12" ht="15.75">
      <c r="A260" s="33" t="s">
        <v>56</v>
      </c>
      <c r="B260" s="35">
        <v>1.01</v>
      </c>
      <c r="C260" s="35">
        <v>1.5</v>
      </c>
      <c r="D260" s="35">
        <v>4.91</v>
      </c>
      <c r="E260" s="35">
        <v>10.130000000000001</v>
      </c>
      <c r="F260" s="35">
        <v>8.7899999999999991</v>
      </c>
      <c r="G260" s="35">
        <v>2.64</v>
      </c>
      <c r="H260" s="35">
        <v>4.12</v>
      </c>
      <c r="I260" s="35">
        <v>1.24</v>
      </c>
      <c r="J260" s="35">
        <v>3.57</v>
      </c>
      <c r="K260" s="35">
        <v>1.87</v>
      </c>
      <c r="L260" s="35">
        <v>2.71</v>
      </c>
    </row>
    <row r="261" spans="1:12" ht="31.5">
      <c r="A261" s="39" t="s">
        <v>57</v>
      </c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</row>
    <row r="262" spans="1:12" ht="15.75">
      <c r="A262" s="30" t="s">
        <v>58</v>
      </c>
      <c r="B262" s="35">
        <v>178.72</v>
      </c>
      <c r="C262" s="35">
        <v>183.79</v>
      </c>
      <c r="D262" s="35">
        <v>194.44</v>
      </c>
      <c r="E262" s="35">
        <v>212.35</v>
      </c>
      <c r="F262" s="35">
        <v>257.77999999999997</v>
      </c>
      <c r="G262" s="35">
        <v>89.7</v>
      </c>
      <c r="H262" s="35">
        <v>89.7</v>
      </c>
      <c r="I262" s="35">
        <v>32.86</v>
      </c>
      <c r="J262" s="35">
        <v>22.59</v>
      </c>
      <c r="K262" s="35">
        <v>38.99</v>
      </c>
      <c r="L262" s="35">
        <v>58.54</v>
      </c>
    </row>
    <row r="263" spans="1:12" ht="15.75">
      <c r="A263" s="30" t="s">
        <v>67</v>
      </c>
      <c r="B263" s="35">
        <v>376.98</v>
      </c>
      <c r="C263" s="35">
        <v>383.45</v>
      </c>
      <c r="D263" s="35">
        <v>386.3</v>
      </c>
      <c r="E263" s="35">
        <v>398.63</v>
      </c>
      <c r="F263" s="35">
        <v>401.89</v>
      </c>
      <c r="G263" s="35">
        <v>438.42</v>
      </c>
      <c r="H263" s="35">
        <v>431.64</v>
      </c>
      <c r="I263" s="35">
        <v>453.02</v>
      </c>
      <c r="J263" s="35">
        <v>225.99</v>
      </c>
      <c r="K263" s="35">
        <v>415.93</v>
      </c>
      <c r="L263" s="35">
        <v>266.31</v>
      </c>
    </row>
    <row r="264" spans="1:12" ht="15.75">
      <c r="A264" s="30" t="s">
        <v>60</v>
      </c>
      <c r="B264" s="35">
        <v>94.21</v>
      </c>
      <c r="C264" s="35">
        <v>71.010000000000005</v>
      </c>
      <c r="D264" s="35">
        <v>78.17</v>
      </c>
      <c r="E264" s="35">
        <v>56.95</v>
      </c>
      <c r="F264" s="35">
        <v>230.39</v>
      </c>
      <c r="G264" s="35">
        <v>179.62</v>
      </c>
      <c r="H264" s="35">
        <v>114.03</v>
      </c>
      <c r="I264" s="35">
        <v>11.42</v>
      </c>
      <c r="J264" s="35">
        <v>58.67</v>
      </c>
      <c r="K264" s="35">
        <v>78.13</v>
      </c>
      <c r="L264" s="35">
        <v>85.2</v>
      </c>
    </row>
    <row r="265" spans="1:12" ht="15.75">
      <c r="A265" s="30" t="s">
        <v>61</v>
      </c>
      <c r="B265" s="35">
        <v>4.26</v>
      </c>
      <c r="C265" s="35">
        <v>5.71</v>
      </c>
      <c r="D265" s="35">
        <v>4.22</v>
      </c>
      <c r="E265" s="35">
        <v>5.1100000000000003</v>
      </c>
      <c r="F265" s="35">
        <v>6.1</v>
      </c>
      <c r="G265" s="35">
        <v>10.96</v>
      </c>
      <c r="H265" s="35">
        <v>2.57</v>
      </c>
      <c r="I265" s="35">
        <v>9.06</v>
      </c>
      <c r="J265" s="35">
        <v>6.04</v>
      </c>
      <c r="K265" s="35">
        <v>5.64</v>
      </c>
      <c r="L265" s="35">
        <v>6.35</v>
      </c>
    </row>
    <row r="266" spans="1:12" ht="15.75">
      <c r="A266" s="55" t="s">
        <v>62</v>
      </c>
      <c r="B266" s="35">
        <v>0.43</v>
      </c>
      <c r="C266" s="35">
        <v>0.42</v>
      </c>
      <c r="D266" s="35">
        <v>0.5</v>
      </c>
      <c r="E266" s="35">
        <v>0.56000000000000005</v>
      </c>
      <c r="F266" s="35">
        <v>0.6</v>
      </c>
      <c r="G266" s="35">
        <v>0.67</v>
      </c>
      <c r="H266" s="35">
        <v>0.74</v>
      </c>
      <c r="I266" s="35">
        <v>1.3</v>
      </c>
      <c r="J266" s="35">
        <v>1.29</v>
      </c>
      <c r="K266" s="35">
        <v>1.1399999999999999</v>
      </c>
      <c r="L266" s="35">
        <v>1.44</v>
      </c>
    </row>
  </sheetData>
  <mergeCells count="45">
    <mergeCell ref="A220:L220"/>
    <mergeCell ref="A235:L235"/>
    <mergeCell ref="A250:L250"/>
    <mergeCell ref="A129:L129"/>
    <mergeCell ref="A144:L144"/>
    <mergeCell ref="A160:L160"/>
    <mergeCell ref="A175:L175"/>
    <mergeCell ref="A190:L190"/>
    <mergeCell ref="A205:L205"/>
    <mergeCell ref="A114:L114"/>
    <mergeCell ref="D59:E59"/>
    <mergeCell ref="D60:E60"/>
    <mergeCell ref="D61:E61"/>
    <mergeCell ref="D62:E62"/>
    <mergeCell ref="D63:E63"/>
    <mergeCell ref="D64:E64"/>
    <mergeCell ref="D65:E65"/>
    <mergeCell ref="D66:E66"/>
    <mergeCell ref="A68:L68"/>
    <mergeCell ref="A83:L83"/>
    <mergeCell ref="A98:L98"/>
    <mergeCell ref="D58:E58"/>
    <mergeCell ref="D47:E47"/>
    <mergeCell ref="D48:E48"/>
    <mergeCell ref="D49:E49"/>
    <mergeCell ref="D50:E50"/>
    <mergeCell ref="C51:D51"/>
    <mergeCell ref="A52:M52"/>
    <mergeCell ref="D53:E53"/>
    <mergeCell ref="D54:E54"/>
    <mergeCell ref="D55:E55"/>
    <mergeCell ref="D56:E56"/>
    <mergeCell ref="D57:E57"/>
    <mergeCell ref="D46:E46"/>
    <mergeCell ref="A19:L19"/>
    <mergeCell ref="C36:D36"/>
    <mergeCell ref="A37:M37"/>
    <mergeCell ref="D38:E38"/>
    <mergeCell ref="D39:E39"/>
    <mergeCell ref="D40:E40"/>
    <mergeCell ref="D41:E41"/>
    <mergeCell ref="D42:E42"/>
    <mergeCell ref="D43:E43"/>
    <mergeCell ref="D44:E44"/>
    <mergeCell ref="D45:E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2239-ED32-440E-8B5B-AA3EE5BA86C7}">
  <sheetPr>
    <outlinePr summaryBelow="0"/>
  </sheetPr>
  <dimension ref="A1:AM528"/>
  <sheetViews>
    <sheetView workbookViewId="0"/>
  </sheetViews>
  <sheetFormatPr defaultColWidth="11.42578125" defaultRowHeight="15" outlineLevelRow="1"/>
  <cols>
    <col min="1" max="1" width="19" customWidth="1"/>
    <col min="2" max="39" width="6.5703125" bestFit="1" customWidth="1"/>
  </cols>
  <sheetData>
    <row r="1" spans="1:39" ht="17.25" collapsed="1" thickTop="1" thickBot="1">
      <c r="A1" s="65" t="s">
        <v>82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spans="1:39" ht="16.5" hidden="1" outlineLevel="1" thickTop="1" thickBot="1">
      <c r="A2" s="57" t="s">
        <v>41</v>
      </c>
      <c r="B2" s="58">
        <v>2013</v>
      </c>
      <c r="C2" s="58">
        <v>2014</v>
      </c>
      <c r="D2" s="58">
        <v>2015</v>
      </c>
      <c r="E2" s="58">
        <v>2016</v>
      </c>
      <c r="F2" s="58">
        <v>2017</v>
      </c>
      <c r="G2" s="58">
        <v>2018</v>
      </c>
      <c r="H2" s="58">
        <v>2019</v>
      </c>
      <c r="I2" s="58">
        <v>2020</v>
      </c>
      <c r="J2" s="58">
        <v>2021</v>
      </c>
      <c r="K2" s="58">
        <v>2022</v>
      </c>
      <c r="L2" s="58">
        <v>2023</v>
      </c>
      <c r="M2" s="58">
        <v>2024</v>
      </c>
      <c r="N2" s="58">
        <v>2025</v>
      </c>
      <c r="O2" s="58">
        <v>2026</v>
      </c>
      <c r="P2" s="58">
        <v>2027</v>
      </c>
      <c r="Q2" s="58">
        <v>2028</v>
      </c>
      <c r="R2" s="58">
        <v>2029</v>
      </c>
      <c r="S2" s="58">
        <v>2030</v>
      </c>
      <c r="T2" s="58">
        <v>2031</v>
      </c>
      <c r="U2" s="58">
        <v>2032</v>
      </c>
      <c r="V2" s="58">
        <v>2033</v>
      </c>
      <c r="W2" s="58">
        <v>2034</v>
      </c>
      <c r="X2" s="58">
        <v>2035</v>
      </c>
      <c r="Y2" s="58">
        <v>2036</v>
      </c>
      <c r="Z2" s="58">
        <v>2037</v>
      </c>
      <c r="AA2" s="58">
        <v>2038</v>
      </c>
      <c r="AB2" s="58">
        <v>2039</v>
      </c>
      <c r="AC2" s="58">
        <v>2040</v>
      </c>
      <c r="AD2" s="58">
        <v>2041</v>
      </c>
      <c r="AE2" s="58">
        <v>2042</v>
      </c>
      <c r="AF2" s="58">
        <v>2043</v>
      </c>
      <c r="AG2" s="58">
        <v>2044</v>
      </c>
      <c r="AH2" s="58">
        <v>2045</v>
      </c>
      <c r="AI2" s="58">
        <v>2046</v>
      </c>
      <c r="AJ2" s="58">
        <v>2047</v>
      </c>
      <c r="AK2" s="58">
        <v>2048</v>
      </c>
      <c r="AL2" s="58">
        <v>2049</v>
      </c>
      <c r="AM2" s="58">
        <v>2050</v>
      </c>
    </row>
    <row r="3" spans="1:39" ht="16.5" hidden="1" outlineLevel="1" thickTop="1" thickBot="1">
      <c r="A3" s="59" t="s">
        <v>83</v>
      </c>
      <c r="B3" s="60">
        <v>0</v>
      </c>
      <c r="C3" s="60">
        <v>0</v>
      </c>
      <c r="D3" s="60">
        <v>0</v>
      </c>
      <c r="E3" s="60">
        <v>0</v>
      </c>
      <c r="F3" s="60">
        <v>0</v>
      </c>
      <c r="G3" s="60">
        <v>0</v>
      </c>
      <c r="H3" s="60">
        <v>0</v>
      </c>
      <c r="I3" s="60">
        <v>0</v>
      </c>
      <c r="J3" s="60">
        <v>0</v>
      </c>
      <c r="K3" s="60">
        <v>0</v>
      </c>
      <c r="L3" s="60">
        <v>0</v>
      </c>
      <c r="M3" s="60">
        <v>0</v>
      </c>
      <c r="N3" s="60">
        <v>0</v>
      </c>
      <c r="O3" s="60">
        <v>0</v>
      </c>
      <c r="P3" s="60">
        <v>0</v>
      </c>
      <c r="Q3" s="60">
        <v>0</v>
      </c>
      <c r="R3" s="60">
        <v>0</v>
      </c>
      <c r="S3" s="60">
        <v>0</v>
      </c>
      <c r="T3" s="60">
        <v>0</v>
      </c>
      <c r="U3" s="60">
        <v>0</v>
      </c>
      <c r="V3" s="60">
        <v>0</v>
      </c>
      <c r="W3" s="60">
        <v>0</v>
      </c>
      <c r="X3" s="60">
        <v>0</v>
      </c>
      <c r="Y3" s="60">
        <v>0</v>
      </c>
      <c r="Z3" s="60">
        <v>0</v>
      </c>
      <c r="AA3" s="60">
        <v>0</v>
      </c>
      <c r="AB3" s="60">
        <v>0</v>
      </c>
      <c r="AC3" s="60">
        <v>0</v>
      </c>
      <c r="AD3" s="60">
        <v>0</v>
      </c>
      <c r="AE3" s="60">
        <v>0</v>
      </c>
      <c r="AF3" s="60">
        <v>0</v>
      </c>
      <c r="AG3" s="60">
        <v>0</v>
      </c>
      <c r="AH3" s="60">
        <v>0</v>
      </c>
      <c r="AI3" s="60">
        <v>0</v>
      </c>
      <c r="AJ3" s="60">
        <v>0</v>
      </c>
      <c r="AK3" s="60">
        <v>0</v>
      </c>
      <c r="AL3" s="60">
        <v>0</v>
      </c>
      <c r="AM3" s="60">
        <v>0</v>
      </c>
    </row>
    <row r="4" spans="1:39" ht="15.75" hidden="1" outlineLevel="1" thickBot="1">
      <c r="A4" s="59" t="s">
        <v>84</v>
      </c>
      <c r="B4" s="60">
        <v>0</v>
      </c>
      <c r="C4" s="60">
        <v>0</v>
      </c>
      <c r="D4" s="60">
        <v>0</v>
      </c>
      <c r="E4" s="60">
        <v>0</v>
      </c>
      <c r="F4" s="60">
        <v>0</v>
      </c>
      <c r="G4" s="60">
        <v>0</v>
      </c>
      <c r="H4" s="60">
        <v>0</v>
      </c>
      <c r="I4" s="60">
        <v>0</v>
      </c>
      <c r="J4" s="60">
        <v>0</v>
      </c>
      <c r="K4" s="60">
        <v>0</v>
      </c>
      <c r="L4" s="60">
        <v>0</v>
      </c>
      <c r="M4" s="60">
        <v>0</v>
      </c>
      <c r="N4" s="60">
        <v>0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</row>
    <row r="5" spans="1:39" ht="15.75" hidden="1" outlineLevel="1" thickBot="1">
      <c r="A5" s="59" t="s">
        <v>85</v>
      </c>
      <c r="B5" s="60">
        <v>0</v>
      </c>
      <c r="C5" s="60">
        <v>0</v>
      </c>
      <c r="D5" s="60">
        <v>0</v>
      </c>
      <c r="E5" s="60">
        <v>0</v>
      </c>
      <c r="F5" s="60">
        <v>0</v>
      </c>
      <c r="G5" s="60">
        <v>0</v>
      </c>
      <c r="H5" s="60">
        <v>0</v>
      </c>
      <c r="I5" s="60">
        <v>0</v>
      </c>
      <c r="J5" s="60">
        <v>0</v>
      </c>
      <c r="K5" s="60">
        <v>0</v>
      </c>
      <c r="L5" s="60">
        <v>0</v>
      </c>
      <c r="M5" s="60">
        <v>0</v>
      </c>
      <c r="N5" s="60">
        <v>0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60">
        <v>0</v>
      </c>
      <c r="V5" s="60">
        <v>0</v>
      </c>
      <c r="W5" s="60">
        <v>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</row>
    <row r="6" spans="1:39" ht="15.75" hidden="1" outlineLevel="1" thickBot="1">
      <c r="A6" s="59" t="s">
        <v>86</v>
      </c>
      <c r="B6" s="60">
        <v>0</v>
      </c>
      <c r="C6" s="60">
        <v>0</v>
      </c>
      <c r="D6" s="60">
        <v>0</v>
      </c>
      <c r="E6" s="60">
        <v>0</v>
      </c>
      <c r="F6" s="60">
        <v>0</v>
      </c>
      <c r="G6" s="60">
        <v>0</v>
      </c>
      <c r="H6" s="60">
        <v>0</v>
      </c>
      <c r="I6" s="60">
        <v>0</v>
      </c>
      <c r="J6" s="60">
        <v>0</v>
      </c>
      <c r="K6" s="60">
        <v>0</v>
      </c>
      <c r="L6" s="60">
        <v>0</v>
      </c>
      <c r="M6" s="60">
        <v>0</v>
      </c>
      <c r="N6" s="60">
        <v>0</v>
      </c>
      <c r="O6" s="60">
        <v>0</v>
      </c>
      <c r="P6" s="60">
        <v>0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</row>
    <row r="7" spans="1:39" ht="15.75" hidden="1" outlineLevel="1" thickBot="1">
      <c r="A7" s="59" t="s">
        <v>87</v>
      </c>
      <c r="B7" s="60">
        <v>0</v>
      </c>
      <c r="C7" s="60">
        <v>0</v>
      </c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</row>
    <row r="8" spans="1:39" ht="15.75" hidden="1" outlineLevel="1" thickBot="1">
      <c r="A8" s="59" t="s">
        <v>88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</row>
    <row r="9" spans="1:39" ht="15.75" hidden="1" outlineLevel="1" thickBot="1">
      <c r="A9" s="59" t="s">
        <v>89</v>
      </c>
      <c r="B9" s="60">
        <v>0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0</v>
      </c>
      <c r="M9" s="60">
        <v>0</v>
      </c>
      <c r="N9" s="60">
        <v>0</v>
      </c>
      <c r="O9" s="60">
        <v>0</v>
      </c>
      <c r="P9" s="60">
        <v>0</v>
      </c>
      <c r="Q9" s="60">
        <v>0</v>
      </c>
      <c r="R9" s="60">
        <v>0</v>
      </c>
      <c r="S9" s="60">
        <v>0</v>
      </c>
      <c r="T9" s="60">
        <v>0</v>
      </c>
      <c r="U9" s="60">
        <v>0</v>
      </c>
      <c r="V9" s="60">
        <v>0</v>
      </c>
      <c r="W9" s="60">
        <v>0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</row>
    <row r="10" spans="1:39" ht="15.75" hidden="1" outlineLevel="1" thickBot="1">
      <c r="A10" s="59" t="s">
        <v>90</v>
      </c>
      <c r="B10" s="60">
        <v>0</v>
      </c>
      <c r="C10" s="60">
        <v>0</v>
      </c>
      <c r="D10" s="60">
        <v>0</v>
      </c>
      <c r="E10" s="60">
        <v>0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0</v>
      </c>
      <c r="L10" s="60">
        <v>0</v>
      </c>
      <c r="M10" s="60">
        <v>0</v>
      </c>
      <c r="N10" s="60">
        <v>0</v>
      </c>
      <c r="O10" s="60">
        <v>0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</row>
    <row r="11" spans="1:39" ht="15.75" hidden="1" outlineLevel="1" thickBot="1">
      <c r="A11" s="59" t="s">
        <v>91</v>
      </c>
      <c r="B11" s="60">
        <v>0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0</v>
      </c>
      <c r="L11" s="60">
        <v>0</v>
      </c>
      <c r="M11" s="60">
        <v>0</v>
      </c>
      <c r="N11" s="60">
        <v>0</v>
      </c>
      <c r="O11" s="60">
        <v>0</v>
      </c>
      <c r="P11" s="60">
        <v>0</v>
      </c>
      <c r="Q11" s="60">
        <v>0</v>
      </c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0">
        <v>0</v>
      </c>
      <c r="X11" s="60">
        <v>0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</row>
    <row r="12" spans="1:39" ht="15.75" hidden="1" outlineLevel="1" thickBot="1">
      <c r="A12" s="59" t="s">
        <v>92</v>
      </c>
      <c r="B12" s="60">
        <v>0</v>
      </c>
      <c r="C12" s="60">
        <v>0</v>
      </c>
      <c r="D12" s="60">
        <v>0</v>
      </c>
      <c r="E12" s="60">
        <v>0</v>
      </c>
      <c r="F12" s="60">
        <v>0</v>
      </c>
      <c r="G12" s="60">
        <v>0</v>
      </c>
      <c r="H12" s="60">
        <v>0</v>
      </c>
      <c r="I12" s="60">
        <v>0</v>
      </c>
      <c r="J12" s="60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0">
        <v>0</v>
      </c>
      <c r="Q12" s="60">
        <v>0</v>
      </c>
      <c r="R12" s="60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</row>
    <row r="13" spans="1:39" ht="15.75" hidden="1" outlineLevel="1" thickBot="1">
      <c r="A13" s="59" t="s">
        <v>93</v>
      </c>
      <c r="B13" s="60">
        <v>0</v>
      </c>
      <c r="C13" s="60">
        <v>0</v>
      </c>
      <c r="D13" s="60">
        <v>0</v>
      </c>
      <c r="E13" s="60">
        <v>0</v>
      </c>
      <c r="F13" s="60">
        <v>0</v>
      </c>
      <c r="G13" s="60">
        <v>0</v>
      </c>
      <c r="H13" s="60">
        <v>0</v>
      </c>
      <c r="I13" s="60">
        <v>0</v>
      </c>
      <c r="J13" s="60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</row>
    <row r="14" spans="1:39" ht="15.75" hidden="1" outlineLevel="1" thickBot="1">
      <c r="A14" s="59" t="s">
        <v>94</v>
      </c>
      <c r="B14" s="60">
        <v>0</v>
      </c>
      <c r="C14" s="60">
        <v>0</v>
      </c>
      <c r="D14" s="60">
        <v>0</v>
      </c>
      <c r="E14" s="60">
        <v>0</v>
      </c>
      <c r="F14" s="60">
        <v>0</v>
      </c>
      <c r="G14" s="60">
        <v>0</v>
      </c>
      <c r="H14" s="60">
        <v>0</v>
      </c>
      <c r="I14" s="60">
        <v>0</v>
      </c>
      <c r="J14" s="60">
        <v>0</v>
      </c>
      <c r="K14" s="60">
        <v>0</v>
      </c>
      <c r="L14" s="60">
        <v>0</v>
      </c>
      <c r="M14" s="60">
        <v>0</v>
      </c>
      <c r="N14" s="60">
        <v>0</v>
      </c>
      <c r="O14" s="60">
        <v>0</v>
      </c>
      <c r="P14" s="60">
        <v>0</v>
      </c>
      <c r="Q14" s="60">
        <v>0</v>
      </c>
      <c r="R14" s="60">
        <v>0</v>
      </c>
      <c r="S14" s="60">
        <v>0</v>
      </c>
      <c r="T14" s="60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0">
        <v>0</v>
      </c>
      <c r="AG14" s="60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</row>
    <row r="15" spans="1:39" ht="15.75" hidden="1" outlineLevel="1" thickBot="1">
      <c r="A15" s="59" t="s">
        <v>95</v>
      </c>
      <c r="B15" s="60">
        <v>0</v>
      </c>
      <c r="C15" s="60">
        <v>0</v>
      </c>
      <c r="D15" s="60">
        <v>0</v>
      </c>
      <c r="E15" s="60">
        <v>0</v>
      </c>
      <c r="F15" s="60">
        <v>0</v>
      </c>
      <c r="G15" s="60">
        <v>0</v>
      </c>
      <c r="H15" s="60">
        <v>0</v>
      </c>
      <c r="I15" s="60">
        <v>0</v>
      </c>
      <c r="J15" s="60">
        <v>0</v>
      </c>
      <c r="K15" s="60">
        <v>0</v>
      </c>
      <c r="L15" s="60">
        <v>0</v>
      </c>
      <c r="M15" s="60">
        <v>0</v>
      </c>
      <c r="N15" s="60">
        <v>0</v>
      </c>
      <c r="O15" s="60">
        <v>0</v>
      </c>
      <c r="P15" s="60">
        <v>0</v>
      </c>
      <c r="Q15" s="60">
        <v>0</v>
      </c>
      <c r="R15" s="60">
        <v>0</v>
      </c>
      <c r="S15" s="60">
        <v>0</v>
      </c>
      <c r="T15" s="60">
        <v>0</v>
      </c>
      <c r="U15" s="60">
        <v>0</v>
      </c>
      <c r="V15" s="60">
        <v>0</v>
      </c>
      <c r="W15" s="60">
        <v>0</v>
      </c>
      <c r="X15" s="60">
        <v>0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60">
        <v>0</v>
      </c>
      <c r="AG15" s="60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</row>
    <row r="16" spans="1:39" ht="15.75" hidden="1" outlineLevel="1" thickBot="1">
      <c r="A16" s="59" t="s">
        <v>96</v>
      </c>
      <c r="B16" s="60">
        <v>0</v>
      </c>
      <c r="C16" s="60">
        <v>0</v>
      </c>
      <c r="D16" s="60">
        <v>0</v>
      </c>
      <c r="E16" s="60">
        <v>0</v>
      </c>
      <c r="F16" s="60">
        <v>0</v>
      </c>
      <c r="G16" s="60">
        <v>0</v>
      </c>
      <c r="H16" s="60">
        <v>0</v>
      </c>
      <c r="I16" s="60">
        <v>0</v>
      </c>
      <c r="J16" s="60">
        <v>0</v>
      </c>
      <c r="K16" s="60">
        <v>0</v>
      </c>
      <c r="L16" s="60">
        <v>0</v>
      </c>
      <c r="M16" s="60">
        <v>0</v>
      </c>
      <c r="N16" s="60">
        <v>0</v>
      </c>
      <c r="O16" s="60">
        <v>0</v>
      </c>
      <c r="P16" s="60">
        <v>0</v>
      </c>
      <c r="Q16" s="60">
        <v>0</v>
      </c>
      <c r="R16" s="60">
        <v>0</v>
      </c>
      <c r="S16" s="60">
        <v>0</v>
      </c>
      <c r="T16" s="60">
        <v>0</v>
      </c>
      <c r="U16" s="60">
        <v>0</v>
      </c>
      <c r="V16" s="60">
        <v>0</v>
      </c>
      <c r="W16" s="60">
        <v>0</v>
      </c>
      <c r="X16" s="60">
        <v>0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60">
        <v>0</v>
      </c>
      <c r="AG16" s="60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</row>
    <row r="17" spans="1:39" ht="15.75" hidden="1" outlineLevel="1" thickBot="1">
      <c r="A17" s="59" t="s">
        <v>97</v>
      </c>
      <c r="B17" s="60">
        <v>0</v>
      </c>
      <c r="C17" s="60">
        <v>0</v>
      </c>
      <c r="D17" s="60">
        <v>0</v>
      </c>
      <c r="E17" s="60">
        <v>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</row>
    <row r="18" spans="1:39" ht="15.75" hidden="1" outlineLevel="1" thickBot="1">
      <c r="A18" s="59" t="s">
        <v>98</v>
      </c>
      <c r="B18" s="60">
        <v>0</v>
      </c>
      <c r="C18" s="60">
        <v>0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0">
        <v>0</v>
      </c>
      <c r="M18" s="60">
        <v>0</v>
      </c>
      <c r="N18" s="60">
        <v>0</v>
      </c>
      <c r="O18" s="60">
        <v>0</v>
      </c>
      <c r="P18" s="60">
        <v>0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60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60">
        <v>0</v>
      </c>
    </row>
    <row r="19" spans="1:39" ht="15.75" hidden="1" outlineLevel="1" thickBot="1">
      <c r="A19" s="59" t="s">
        <v>99</v>
      </c>
      <c r="B19" s="60">
        <v>0</v>
      </c>
      <c r="C19" s="60">
        <v>0</v>
      </c>
      <c r="D19" s="60">
        <v>0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0">
        <v>0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0</v>
      </c>
    </row>
    <row r="20" spans="1:39" ht="15.75" hidden="1" outlineLevel="1" thickBot="1">
      <c r="A20" s="59" t="s">
        <v>100</v>
      </c>
      <c r="B20" s="60">
        <v>0</v>
      </c>
      <c r="C20" s="60">
        <v>0</v>
      </c>
      <c r="D20" s="60">
        <v>0</v>
      </c>
      <c r="E20" s="60">
        <v>0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60">
        <v>0</v>
      </c>
      <c r="M20" s="60">
        <v>0</v>
      </c>
      <c r="N20" s="60">
        <v>0</v>
      </c>
      <c r="O20" s="60">
        <v>0</v>
      </c>
      <c r="P20" s="60">
        <v>0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</row>
    <row r="21" spans="1:39" ht="15.75" hidden="1" outlineLevel="1" thickBot="1">
      <c r="A21" s="59" t="s">
        <v>101</v>
      </c>
      <c r="B21" s="60">
        <v>0</v>
      </c>
      <c r="C21" s="60">
        <v>0</v>
      </c>
      <c r="D21" s="60">
        <v>0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</row>
    <row r="22" spans="1:39" ht="15.75" hidden="1" outlineLevel="1" thickBot="1">
      <c r="A22" s="59" t="s">
        <v>102</v>
      </c>
      <c r="B22" s="60">
        <v>6.03</v>
      </c>
      <c r="C22" s="60">
        <v>6.08</v>
      </c>
      <c r="D22" s="60">
        <v>4.99</v>
      </c>
      <c r="E22" s="60">
        <v>5.09</v>
      </c>
      <c r="F22" s="60">
        <v>4.93</v>
      </c>
      <c r="G22" s="60">
        <v>4.9000000000000004</v>
      </c>
      <c r="H22" s="60">
        <v>4.91</v>
      </c>
      <c r="I22" s="60">
        <v>4.9000000000000004</v>
      </c>
      <c r="J22" s="60">
        <v>4.33</v>
      </c>
      <c r="K22" s="60">
        <v>4.2039999999999997</v>
      </c>
      <c r="L22" s="60">
        <v>4.0679999999999996</v>
      </c>
      <c r="M22" s="60">
        <v>3.9319999999999999</v>
      </c>
      <c r="N22" s="60">
        <v>3.7959999999999998</v>
      </c>
      <c r="O22" s="60">
        <v>3.66</v>
      </c>
      <c r="P22" s="60">
        <v>3.524</v>
      </c>
      <c r="Q22" s="60">
        <v>3.3879999999999999</v>
      </c>
      <c r="R22" s="60">
        <v>3.2519999999999998</v>
      </c>
      <c r="S22" s="60">
        <v>3.1160000000000001</v>
      </c>
      <c r="T22" s="60">
        <v>2.98</v>
      </c>
      <c r="U22" s="60">
        <v>2.8439999999999999</v>
      </c>
      <c r="V22" s="60">
        <v>2.7080000000000002</v>
      </c>
      <c r="W22" s="60">
        <v>2.5720000000000001</v>
      </c>
      <c r="X22" s="60">
        <v>2.4359999999999999</v>
      </c>
      <c r="Y22" s="60">
        <v>2.2999999999999998</v>
      </c>
      <c r="Z22" s="60">
        <v>2.1640000000000001</v>
      </c>
      <c r="AA22" s="60">
        <v>2.028</v>
      </c>
      <c r="AB22" s="60">
        <v>1.8919999999999999</v>
      </c>
      <c r="AC22" s="60">
        <v>1.756</v>
      </c>
      <c r="AD22" s="60">
        <v>1.62</v>
      </c>
      <c r="AE22" s="60">
        <v>1.484</v>
      </c>
      <c r="AF22" s="60">
        <v>1.3480000000000001</v>
      </c>
      <c r="AG22" s="60">
        <v>1.212</v>
      </c>
      <c r="AH22" s="60">
        <v>1.0760000000000001</v>
      </c>
      <c r="AI22" s="60">
        <v>0.94</v>
      </c>
      <c r="AJ22" s="60">
        <v>0.80400000000000005</v>
      </c>
      <c r="AK22" s="60">
        <v>0.66800000000000004</v>
      </c>
      <c r="AL22" s="60">
        <v>0.53200000000000003</v>
      </c>
      <c r="AM22" s="60">
        <v>0.39600000000000002</v>
      </c>
    </row>
    <row r="23" spans="1:39" ht="15.75" hidden="1" outlineLevel="1" thickBot="1">
      <c r="A23" s="59" t="s">
        <v>103</v>
      </c>
      <c r="B23" s="60">
        <v>0</v>
      </c>
      <c r="C23" s="60">
        <v>0</v>
      </c>
      <c r="D23" s="60">
        <v>0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0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</v>
      </c>
    </row>
    <row r="24" spans="1:39" ht="15.75" hidden="1" outlineLevel="1" thickBot="1">
      <c r="A24" s="59" t="s">
        <v>44</v>
      </c>
      <c r="B24" s="60">
        <v>0</v>
      </c>
      <c r="C24" s="60">
        <v>0</v>
      </c>
      <c r="D24" s="60">
        <v>0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</row>
    <row r="25" spans="1:39" ht="15.75" hidden="1" outlineLevel="1" thickBot="1">
      <c r="A25" s="59" t="s">
        <v>45</v>
      </c>
      <c r="B25" s="60">
        <v>115.55</v>
      </c>
      <c r="C25" s="60">
        <v>117.28</v>
      </c>
      <c r="D25" s="60">
        <v>136.84</v>
      </c>
      <c r="E25" s="60">
        <v>134.31</v>
      </c>
      <c r="F25" s="60">
        <v>135.28</v>
      </c>
      <c r="G25" s="60">
        <v>139.94999999999999</v>
      </c>
      <c r="H25" s="60">
        <v>141.1</v>
      </c>
      <c r="I25" s="60">
        <v>127.34</v>
      </c>
      <c r="J25" s="60">
        <v>125.74</v>
      </c>
      <c r="K25" s="60">
        <v>128.26499999999999</v>
      </c>
      <c r="L25" s="60">
        <v>130.38550000000001</v>
      </c>
      <c r="M25" s="60">
        <v>132.506</v>
      </c>
      <c r="N25" s="60">
        <v>134.62649999999999</v>
      </c>
      <c r="O25" s="60">
        <v>136.74700000000001</v>
      </c>
      <c r="P25" s="60">
        <v>138.86750000000001</v>
      </c>
      <c r="Q25" s="60">
        <v>140.988</v>
      </c>
      <c r="R25" s="60">
        <v>143.10849999999999</v>
      </c>
      <c r="S25" s="60">
        <v>145.22900000000001</v>
      </c>
      <c r="T25" s="60">
        <v>147.34950000000001</v>
      </c>
      <c r="U25" s="60">
        <v>149.47</v>
      </c>
      <c r="V25" s="60">
        <v>151.59049999999999</v>
      </c>
      <c r="W25" s="60">
        <v>153.71100000000001</v>
      </c>
      <c r="X25" s="60">
        <v>155.83150000000001</v>
      </c>
      <c r="Y25" s="60">
        <v>157.952</v>
      </c>
      <c r="Z25" s="60">
        <v>160.07249999999999</v>
      </c>
      <c r="AA25" s="60">
        <v>162.19300000000001</v>
      </c>
      <c r="AB25" s="60">
        <v>164.3135</v>
      </c>
      <c r="AC25" s="60">
        <v>166.434</v>
      </c>
      <c r="AD25" s="60">
        <v>168.55449999999999</v>
      </c>
      <c r="AE25" s="60">
        <v>170.67500000000001</v>
      </c>
      <c r="AF25" s="60">
        <v>172.7955</v>
      </c>
      <c r="AG25" s="60">
        <v>174.916</v>
      </c>
      <c r="AH25" s="60">
        <v>177.03649999999999</v>
      </c>
      <c r="AI25" s="60">
        <v>179.15700000000001</v>
      </c>
      <c r="AJ25" s="60">
        <v>181.2775</v>
      </c>
      <c r="AK25" s="60">
        <v>183.398</v>
      </c>
      <c r="AL25" s="60">
        <v>185.51849999999999</v>
      </c>
      <c r="AM25" s="60">
        <v>187.63900000000001</v>
      </c>
    </row>
    <row r="26" spans="1:39" ht="15.75" hidden="1" outlineLevel="1" thickBot="1">
      <c r="A26" s="59" t="s">
        <v>104</v>
      </c>
      <c r="B26" s="60">
        <v>0</v>
      </c>
      <c r="C26" s="60">
        <v>0</v>
      </c>
      <c r="D26" s="60">
        <v>0</v>
      </c>
      <c r="E26" s="60">
        <v>0</v>
      </c>
      <c r="F26" s="60">
        <v>0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60">
        <v>0</v>
      </c>
      <c r="AG26" s="60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</row>
    <row r="27" spans="1:39" ht="15.75" hidden="1" outlineLevel="1" thickBot="1">
      <c r="A27" s="59" t="s">
        <v>105</v>
      </c>
      <c r="B27" s="60">
        <v>0</v>
      </c>
      <c r="C27" s="60">
        <v>0</v>
      </c>
      <c r="D27" s="60">
        <v>0</v>
      </c>
      <c r="E27" s="60">
        <v>0</v>
      </c>
      <c r="F27" s="60">
        <v>0</v>
      </c>
      <c r="G27" s="60">
        <v>0</v>
      </c>
      <c r="H27" s="60">
        <v>0</v>
      </c>
      <c r="I27" s="60">
        <v>0</v>
      </c>
      <c r="J27" s="60">
        <v>0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60">
        <v>0</v>
      </c>
      <c r="AG27" s="60">
        <v>0</v>
      </c>
      <c r="AH27" s="60">
        <v>0</v>
      </c>
      <c r="AI27" s="60">
        <v>0</v>
      </c>
      <c r="AJ27" s="60">
        <v>0</v>
      </c>
      <c r="AK27" s="60">
        <v>0</v>
      </c>
      <c r="AL27" s="60">
        <v>0</v>
      </c>
      <c r="AM27" s="60">
        <v>0</v>
      </c>
    </row>
    <row r="28" spans="1:39" ht="15.75" hidden="1" outlineLevel="1" thickBot="1">
      <c r="A28" s="59" t="s">
        <v>106</v>
      </c>
      <c r="B28" s="60">
        <v>0</v>
      </c>
      <c r="C28" s="60">
        <v>0</v>
      </c>
      <c r="D28" s="60">
        <v>0</v>
      </c>
      <c r="E28" s="60">
        <v>0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0</v>
      </c>
      <c r="M28" s="60">
        <v>0</v>
      </c>
      <c r="N28" s="60">
        <v>0</v>
      </c>
      <c r="O28" s="60">
        <v>0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</row>
    <row r="29" spans="1:39" ht="15.75" hidden="1" outlineLevel="1" thickBot="1">
      <c r="A29" s="59" t="s">
        <v>46</v>
      </c>
      <c r="B29" s="60">
        <v>37.03</v>
      </c>
      <c r="C29" s="60">
        <v>36.119999999999997</v>
      </c>
      <c r="D29" s="60">
        <v>36.21</v>
      </c>
      <c r="E29" s="60">
        <v>40.78</v>
      </c>
      <c r="F29" s="60">
        <v>40.69</v>
      </c>
      <c r="G29" s="60">
        <v>39.92</v>
      </c>
      <c r="H29" s="60">
        <v>40.01</v>
      </c>
      <c r="I29" s="60">
        <v>50.43</v>
      </c>
      <c r="J29" s="60">
        <v>48.63</v>
      </c>
      <c r="K29" s="60">
        <v>49.451000000000001</v>
      </c>
      <c r="L29" s="60">
        <v>50.826500000000003</v>
      </c>
      <c r="M29" s="60">
        <v>52.201999999999998</v>
      </c>
      <c r="N29" s="60">
        <v>53.577500000000001</v>
      </c>
      <c r="O29" s="60">
        <v>54.953000000000003</v>
      </c>
      <c r="P29" s="60">
        <v>56.328499999999998</v>
      </c>
      <c r="Q29" s="60">
        <v>57.704000000000001</v>
      </c>
      <c r="R29" s="60">
        <v>59.079500000000003</v>
      </c>
      <c r="S29" s="60">
        <v>60.454999999999998</v>
      </c>
      <c r="T29" s="60">
        <v>61.830500000000001</v>
      </c>
      <c r="U29" s="60">
        <v>63.206000000000003</v>
      </c>
      <c r="V29" s="60">
        <v>64.581500000000005</v>
      </c>
      <c r="W29" s="60">
        <v>65.956999999999994</v>
      </c>
      <c r="X29" s="60">
        <v>67.332499999999996</v>
      </c>
      <c r="Y29" s="60">
        <v>68.707999999999998</v>
      </c>
      <c r="Z29" s="60">
        <v>70.083500000000001</v>
      </c>
      <c r="AA29" s="60">
        <v>71.459000000000003</v>
      </c>
      <c r="AB29" s="60">
        <v>72.834500000000006</v>
      </c>
      <c r="AC29" s="60">
        <v>74.209999999999994</v>
      </c>
      <c r="AD29" s="60">
        <v>75.585499999999996</v>
      </c>
      <c r="AE29" s="60">
        <v>76.960999999999999</v>
      </c>
      <c r="AF29" s="60">
        <v>78.336500000000001</v>
      </c>
      <c r="AG29" s="60">
        <v>79.712000000000003</v>
      </c>
      <c r="AH29" s="60">
        <v>81.087500000000006</v>
      </c>
      <c r="AI29" s="60">
        <v>82.462999999999994</v>
      </c>
      <c r="AJ29" s="60">
        <v>83.838499999999996</v>
      </c>
      <c r="AK29" s="60">
        <v>85.213999999999999</v>
      </c>
      <c r="AL29" s="60">
        <v>86.589500000000001</v>
      </c>
      <c r="AM29" s="60">
        <v>87.965000000000003</v>
      </c>
    </row>
    <row r="30" spans="1:39" ht="15.75" hidden="1" outlineLevel="1" thickBot="1">
      <c r="A30" s="59" t="s">
        <v>107</v>
      </c>
      <c r="B30" s="60">
        <v>0</v>
      </c>
      <c r="C30" s="60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</row>
    <row r="31" spans="1:39" ht="15.75" hidden="1" outlineLevel="1" thickBot="1">
      <c r="A31" s="61" t="s">
        <v>108</v>
      </c>
      <c r="B31" s="62">
        <v>0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  <c r="AH31" s="62">
        <v>0</v>
      </c>
      <c r="AI31" s="62">
        <v>0</v>
      </c>
      <c r="AJ31" s="62">
        <v>0</v>
      </c>
      <c r="AK31" s="62">
        <v>0</v>
      </c>
      <c r="AL31" s="62">
        <v>0</v>
      </c>
      <c r="AM31" s="62">
        <v>0</v>
      </c>
    </row>
    <row r="32" spans="1:39" ht="17.25" collapsed="1" thickTop="1" thickBot="1">
      <c r="A32" s="65" t="s">
        <v>109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</row>
    <row r="33" spans="1:39" ht="16.5" hidden="1" outlineLevel="1" thickTop="1" thickBot="1">
      <c r="A33" s="57" t="s">
        <v>41</v>
      </c>
      <c r="B33" s="58">
        <v>2013</v>
      </c>
      <c r="C33" s="58">
        <v>2014</v>
      </c>
      <c r="D33" s="58">
        <v>2015</v>
      </c>
      <c r="E33" s="58">
        <v>2016</v>
      </c>
      <c r="F33" s="58">
        <v>2017</v>
      </c>
      <c r="G33" s="58">
        <v>2018</v>
      </c>
      <c r="H33" s="58">
        <v>2019</v>
      </c>
      <c r="I33" s="58">
        <v>2020</v>
      </c>
      <c r="J33" s="58">
        <v>2021</v>
      </c>
      <c r="K33" s="58">
        <v>2022</v>
      </c>
      <c r="L33" s="58">
        <v>2023</v>
      </c>
      <c r="M33" s="58">
        <v>2024</v>
      </c>
      <c r="N33" s="58">
        <v>2025</v>
      </c>
      <c r="O33" s="58">
        <v>2026</v>
      </c>
      <c r="P33" s="58">
        <v>2027</v>
      </c>
      <c r="Q33" s="58">
        <v>2028</v>
      </c>
      <c r="R33" s="58">
        <v>2029</v>
      </c>
      <c r="S33" s="58">
        <v>2030</v>
      </c>
      <c r="T33" s="58">
        <v>2031</v>
      </c>
      <c r="U33" s="58">
        <v>2032</v>
      </c>
      <c r="V33" s="58">
        <v>2033</v>
      </c>
      <c r="W33" s="58">
        <v>2034</v>
      </c>
      <c r="X33" s="58">
        <v>2035</v>
      </c>
      <c r="Y33" s="58">
        <v>2036</v>
      </c>
      <c r="Z33" s="58">
        <v>2037</v>
      </c>
      <c r="AA33" s="58">
        <v>2038</v>
      </c>
      <c r="AB33" s="58">
        <v>2039</v>
      </c>
      <c r="AC33" s="58">
        <v>2040</v>
      </c>
      <c r="AD33" s="58">
        <v>2041</v>
      </c>
      <c r="AE33" s="58">
        <v>2042</v>
      </c>
      <c r="AF33" s="58">
        <v>2043</v>
      </c>
      <c r="AG33" s="58">
        <v>2044</v>
      </c>
      <c r="AH33" s="58">
        <v>2045</v>
      </c>
      <c r="AI33" s="58">
        <v>2046</v>
      </c>
      <c r="AJ33" s="58">
        <v>2047</v>
      </c>
      <c r="AK33" s="58">
        <v>2048</v>
      </c>
      <c r="AL33" s="58">
        <v>2049</v>
      </c>
      <c r="AM33" s="58">
        <v>2050</v>
      </c>
    </row>
    <row r="34" spans="1:39" ht="16.5" hidden="1" outlineLevel="1" thickTop="1" thickBot="1">
      <c r="A34" s="59" t="s">
        <v>83</v>
      </c>
      <c r="B34" s="60">
        <v>0</v>
      </c>
      <c r="C34" s="60">
        <v>0</v>
      </c>
      <c r="D34" s="60">
        <v>0</v>
      </c>
      <c r="E34" s="60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</row>
    <row r="35" spans="1:39" ht="15.75" hidden="1" outlineLevel="1" thickBot="1">
      <c r="A35" s="59" t="s">
        <v>84</v>
      </c>
      <c r="B35" s="60">
        <v>0</v>
      </c>
      <c r="C35" s="60">
        <v>0</v>
      </c>
      <c r="D35" s="60">
        <v>0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0">
        <v>0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60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</row>
    <row r="36" spans="1:39" ht="15.75" hidden="1" outlineLevel="1" thickBot="1">
      <c r="A36" s="59" t="s">
        <v>85</v>
      </c>
      <c r="B36" s="60">
        <v>0</v>
      </c>
      <c r="C36" s="60">
        <v>0</v>
      </c>
      <c r="D36" s="60">
        <v>0</v>
      </c>
      <c r="E36" s="60">
        <v>0</v>
      </c>
      <c r="F36" s="60">
        <v>0</v>
      </c>
      <c r="G36" s="60">
        <v>0</v>
      </c>
      <c r="H36" s="60">
        <v>0</v>
      </c>
      <c r="I36" s="60">
        <v>0</v>
      </c>
      <c r="J36" s="60">
        <v>0</v>
      </c>
      <c r="K36" s="60">
        <v>0</v>
      </c>
      <c r="L36" s="60">
        <v>0</v>
      </c>
      <c r="M36" s="60">
        <v>0</v>
      </c>
      <c r="N36" s="60">
        <v>0</v>
      </c>
      <c r="O36" s="60">
        <v>0</v>
      </c>
      <c r="P36" s="60">
        <v>0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0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</row>
    <row r="37" spans="1:39" ht="15.75" hidden="1" outlineLevel="1" thickBot="1">
      <c r="A37" s="59" t="s">
        <v>86</v>
      </c>
      <c r="B37" s="60">
        <v>0</v>
      </c>
      <c r="C37" s="60">
        <v>0</v>
      </c>
      <c r="D37" s="60">
        <v>0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0</v>
      </c>
      <c r="K37" s="60">
        <v>0</v>
      </c>
      <c r="L37" s="60">
        <v>0</v>
      </c>
      <c r="M37" s="60">
        <v>0</v>
      </c>
      <c r="N37" s="60">
        <v>0</v>
      </c>
      <c r="O37" s="60">
        <v>0</v>
      </c>
      <c r="P37" s="60">
        <v>0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</row>
    <row r="38" spans="1:39" ht="15.75" hidden="1" outlineLevel="1" thickBot="1">
      <c r="A38" s="59" t="s">
        <v>87</v>
      </c>
      <c r="B38" s="60">
        <v>0</v>
      </c>
      <c r="C38" s="60">
        <v>0</v>
      </c>
      <c r="D38" s="60">
        <v>0</v>
      </c>
      <c r="E38" s="60">
        <v>0</v>
      </c>
      <c r="F38" s="60">
        <v>0</v>
      </c>
      <c r="G38" s="60">
        <v>0</v>
      </c>
      <c r="H38" s="60">
        <v>0</v>
      </c>
      <c r="I38" s="60">
        <v>0</v>
      </c>
      <c r="J38" s="60">
        <v>0</v>
      </c>
      <c r="K38" s="60">
        <v>0</v>
      </c>
      <c r="L38" s="60">
        <v>0</v>
      </c>
      <c r="M38" s="60">
        <v>0</v>
      </c>
      <c r="N38" s="60">
        <v>0</v>
      </c>
      <c r="O38" s="60">
        <v>0</v>
      </c>
      <c r="P38" s="60">
        <v>0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</row>
    <row r="39" spans="1:39" ht="15.75" hidden="1" outlineLevel="1" thickBot="1">
      <c r="A39" s="59" t="s">
        <v>88</v>
      </c>
      <c r="B39" s="60">
        <v>0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</row>
    <row r="40" spans="1:39" ht="15.75" hidden="1" outlineLevel="1" thickBot="1">
      <c r="A40" s="59" t="s">
        <v>89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0">
        <v>0</v>
      </c>
      <c r="M40" s="60">
        <v>0</v>
      </c>
      <c r="N40" s="60">
        <v>0</v>
      </c>
      <c r="O40" s="60">
        <v>0</v>
      </c>
      <c r="P40" s="60">
        <v>0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</row>
    <row r="41" spans="1:39" ht="15.75" hidden="1" outlineLevel="1" thickBot="1">
      <c r="A41" s="59" t="s">
        <v>90</v>
      </c>
      <c r="B41" s="60">
        <v>0</v>
      </c>
      <c r="C41" s="60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0</v>
      </c>
      <c r="O41" s="60">
        <v>0</v>
      </c>
      <c r="P41" s="60">
        <v>0</v>
      </c>
      <c r="Q41" s="60">
        <v>0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0</v>
      </c>
      <c r="AA41" s="60">
        <v>0</v>
      </c>
      <c r="AB41" s="60">
        <v>0</v>
      </c>
      <c r="AC41" s="60">
        <v>0</v>
      </c>
      <c r="AD41" s="60">
        <v>0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</row>
    <row r="42" spans="1:39" ht="15.75" hidden="1" outlineLevel="1" thickBot="1">
      <c r="A42" s="59" t="s">
        <v>91</v>
      </c>
      <c r="B42" s="60">
        <v>0</v>
      </c>
      <c r="C42" s="60">
        <v>0</v>
      </c>
      <c r="D42" s="60">
        <v>0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0">
        <v>0</v>
      </c>
      <c r="M42" s="60">
        <v>0</v>
      </c>
      <c r="N42" s="60">
        <v>0</v>
      </c>
      <c r="O42" s="60">
        <v>0</v>
      </c>
      <c r="P42" s="60">
        <v>0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</row>
    <row r="43" spans="1:39" ht="15.75" hidden="1" outlineLevel="1" thickBot="1">
      <c r="A43" s="59" t="s">
        <v>92</v>
      </c>
      <c r="B43" s="60">
        <v>0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</row>
    <row r="44" spans="1:39" ht="15.75" hidden="1" outlineLevel="1" thickBot="1">
      <c r="A44" s="59" t="s">
        <v>93</v>
      </c>
      <c r="B44" s="60">
        <v>0</v>
      </c>
      <c r="C44" s="60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0">
        <v>0</v>
      </c>
      <c r="M44" s="60">
        <v>0</v>
      </c>
      <c r="N44" s="60">
        <v>0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0</v>
      </c>
      <c r="X44" s="60">
        <v>0</v>
      </c>
      <c r="Y44" s="60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60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</row>
    <row r="45" spans="1:39" ht="15.75" hidden="1" outlineLevel="1" thickBot="1">
      <c r="A45" s="59" t="s">
        <v>94</v>
      </c>
      <c r="B45" s="60">
        <v>0</v>
      </c>
      <c r="C45" s="60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0">
        <v>0</v>
      </c>
      <c r="M45" s="60">
        <v>0</v>
      </c>
      <c r="N45" s="60">
        <v>0</v>
      </c>
      <c r="O45" s="60">
        <v>0</v>
      </c>
      <c r="P45" s="60">
        <v>0</v>
      </c>
      <c r="Q45" s="60">
        <v>0</v>
      </c>
      <c r="R45" s="60">
        <v>0</v>
      </c>
      <c r="S45" s="60">
        <v>0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60">
        <v>0</v>
      </c>
      <c r="AG45" s="60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</row>
    <row r="46" spans="1:39" ht="15.75" hidden="1" outlineLevel="1" thickBot="1">
      <c r="A46" s="59" t="s">
        <v>95</v>
      </c>
      <c r="B46" s="60">
        <v>0</v>
      </c>
      <c r="C46" s="60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0">
        <v>0</v>
      </c>
      <c r="AC46" s="60">
        <v>0</v>
      </c>
      <c r="AD46" s="60">
        <v>0</v>
      </c>
      <c r="AE46" s="60">
        <v>0</v>
      </c>
      <c r="AF46" s="60">
        <v>0</v>
      </c>
      <c r="AG46" s="60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</row>
    <row r="47" spans="1:39" ht="15.75" hidden="1" outlineLevel="1" thickBot="1">
      <c r="A47" s="59" t="s">
        <v>96</v>
      </c>
      <c r="B47" s="60">
        <v>0</v>
      </c>
      <c r="C47" s="60">
        <v>0</v>
      </c>
      <c r="D47" s="60">
        <v>0</v>
      </c>
      <c r="E47" s="60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0</v>
      </c>
      <c r="R47" s="60">
        <v>0</v>
      </c>
      <c r="S47" s="60">
        <v>0</v>
      </c>
      <c r="T47" s="60">
        <v>0</v>
      </c>
      <c r="U47" s="60">
        <v>0</v>
      </c>
      <c r="V47" s="60">
        <v>0</v>
      </c>
      <c r="W47" s="60">
        <v>0</v>
      </c>
      <c r="X47" s="60">
        <v>0</v>
      </c>
      <c r="Y47" s="60">
        <v>0</v>
      </c>
      <c r="Z47" s="60">
        <v>0</v>
      </c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</row>
    <row r="48" spans="1:39" ht="15.75" hidden="1" outlineLevel="1" thickBot="1">
      <c r="A48" s="59" t="s">
        <v>97</v>
      </c>
      <c r="B48" s="60">
        <v>0</v>
      </c>
      <c r="C48" s="60">
        <v>0</v>
      </c>
      <c r="D48" s="60">
        <v>0</v>
      </c>
      <c r="E48" s="60">
        <v>0</v>
      </c>
      <c r="F48" s="60">
        <v>0</v>
      </c>
      <c r="G48" s="60">
        <v>0</v>
      </c>
      <c r="H48" s="60">
        <v>0</v>
      </c>
      <c r="I48" s="60">
        <v>0</v>
      </c>
      <c r="J48" s="60">
        <v>0</v>
      </c>
      <c r="K48" s="60">
        <v>0</v>
      </c>
      <c r="L48" s="60">
        <v>0</v>
      </c>
      <c r="M48" s="60">
        <v>0</v>
      </c>
      <c r="N48" s="60">
        <v>0</v>
      </c>
      <c r="O48" s="60">
        <v>0</v>
      </c>
      <c r="P48" s="60">
        <v>0</v>
      </c>
      <c r="Q48" s="60">
        <v>0</v>
      </c>
      <c r="R48" s="60">
        <v>0</v>
      </c>
      <c r="S48" s="60">
        <v>0</v>
      </c>
      <c r="T48" s="60">
        <v>0</v>
      </c>
      <c r="U48" s="60">
        <v>0</v>
      </c>
      <c r="V48" s="60">
        <v>0</v>
      </c>
      <c r="W48" s="60">
        <v>0</v>
      </c>
      <c r="X48" s="60">
        <v>0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60">
        <v>0</v>
      </c>
      <c r="AG48" s="60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</row>
    <row r="49" spans="1:39" ht="15.75" hidden="1" outlineLevel="1" thickBot="1">
      <c r="A49" s="59" t="s">
        <v>98</v>
      </c>
      <c r="B49" s="60">
        <v>0</v>
      </c>
      <c r="C49" s="60">
        <v>0</v>
      </c>
      <c r="D49" s="60">
        <v>0</v>
      </c>
      <c r="E49" s="60">
        <v>0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0</v>
      </c>
      <c r="L49" s="60">
        <v>0</v>
      </c>
      <c r="M49" s="60">
        <v>0</v>
      </c>
      <c r="N49" s="60">
        <v>0</v>
      </c>
      <c r="O49" s="60">
        <v>0</v>
      </c>
      <c r="P49" s="60">
        <v>0</v>
      </c>
      <c r="Q49" s="60">
        <v>0</v>
      </c>
      <c r="R49" s="60">
        <v>0</v>
      </c>
      <c r="S49" s="60">
        <v>0</v>
      </c>
      <c r="T49" s="60">
        <v>0</v>
      </c>
      <c r="U49" s="60">
        <v>0</v>
      </c>
      <c r="V49" s="60">
        <v>0</v>
      </c>
      <c r="W49" s="60">
        <v>0</v>
      </c>
      <c r="X49" s="60">
        <v>0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</row>
    <row r="50" spans="1:39" ht="15.75" hidden="1" outlineLevel="1" thickBot="1">
      <c r="A50" s="59" t="s">
        <v>99</v>
      </c>
      <c r="B50" s="60">
        <v>0</v>
      </c>
      <c r="C50" s="60">
        <v>0</v>
      </c>
      <c r="D50" s="60">
        <v>0</v>
      </c>
      <c r="E50" s="60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</row>
    <row r="51" spans="1:39" ht="15.75" hidden="1" outlineLevel="1" thickBot="1">
      <c r="A51" s="59" t="s">
        <v>100</v>
      </c>
      <c r="B51" s="60">
        <v>65.13</v>
      </c>
      <c r="C51" s="60">
        <v>68.7</v>
      </c>
      <c r="D51" s="60">
        <v>63.35</v>
      </c>
      <c r="E51" s="60">
        <v>63.52</v>
      </c>
      <c r="F51" s="60">
        <v>63.75</v>
      </c>
      <c r="G51" s="60">
        <v>47.43</v>
      </c>
      <c r="H51" s="60">
        <v>57.03</v>
      </c>
      <c r="I51" s="60">
        <v>44.56</v>
      </c>
      <c r="J51" s="60">
        <v>48.39</v>
      </c>
      <c r="K51" s="60">
        <v>47.88</v>
      </c>
      <c r="L51" s="60">
        <v>46.42</v>
      </c>
      <c r="M51" s="60">
        <v>44.96</v>
      </c>
      <c r="N51" s="60">
        <v>43.5</v>
      </c>
      <c r="O51" s="60">
        <v>42.04</v>
      </c>
      <c r="P51" s="60">
        <v>40.58</v>
      </c>
      <c r="Q51" s="60">
        <v>39.119999999999997</v>
      </c>
      <c r="R51" s="60">
        <v>37.659999999999997</v>
      </c>
      <c r="S51" s="60">
        <v>36.200000000000003</v>
      </c>
      <c r="T51" s="60">
        <v>34.74</v>
      </c>
      <c r="U51" s="60">
        <v>33.28</v>
      </c>
      <c r="V51" s="60">
        <v>31.82</v>
      </c>
      <c r="W51" s="60">
        <v>30.36</v>
      </c>
      <c r="X51" s="60">
        <v>28.9</v>
      </c>
      <c r="Y51" s="60">
        <v>27.44</v>
      </c>
      <c r="Z51" s="60">
        <v>25.98</v>
      </c>
      <c r="AA51" s="60">
        <v>24.52</v>
      </c>
      <c r="AB51" s="60">
        <v>23.06</v>
      </c>
      <c r="AC51" s="60">
        <v>21.6</v>
      </c>
      <c r="AD51" s="60">
        <v>20.14</v>
      </c>
      <c r="AE51" s="60">
        <v>18.68</v>
      </c>
      <c r="AF51" s="60">
        <v>17.22</v>
      </c>
      <c r="AG51" s="60">
        <v>15.76</v>
      </c>
      <c r="AH51" s="60">
        <v>14.3</v>
      </c>
      <c r="AI51" s="60">
        <v>12.84</v>
      </c>
      <c r="AJ51" s="60">
        <v>11.38</v>
      </c>
      <c r="AK51" s="60">
        <v>9.92</v>
      </c>
      <c r="AL51" s="60">
        <v>8.4600000000000009</v>
      </c>
      <c r="AM51" s="60">
        <v>7</v>
      </c>
    </row>
    <row r="52" spans="1:39" ht="15.75" hidden="1" outlineLevel="1" thickBot="1">
      <c r="A52" s="59" t="s">
        <v>101</v>
      </c>
      <c r="B52" s="60">
        <v>2.2599999999999998</v>
      </c>
      <c r="C52" s="60">
        <v>0.89</v>
      </c>
      <c r="D52" s="60">
        <v>1.71</v>
      </c>
      <c r="E52" s="60">
        <v>1.9</v>
      </c>
      <c r="F52" s="60">
        <v>2.94</v>
      </c>
      <c r="G52" s="60">
        <v>4.01</v>
      </c>
      <c r="H52" s="60">
        <v>2.4300000000000002</v>
      </c>
      <c r="I52" s="60">
        <v>1.66</v>
      </c>
      <c r="J52" s="60">
        <v>1.67</v>
      </c>
      <c r="K52" s="60">
        <v>1.69</v>
      </c>
      <c r="L52" s="60">
        <v>1.73</v>
      </c>
      <c r="M52" s="60">
        <v>1.76</v>
      </c>
      <c r="N52" s="60">
        <v>1.8</v>
      </c>
      <c r="O52" s="60">
        <v>1.83</v>
      </c>
      <c r="P52" s="60">
        <v>1.87</v>
      </c>
      <c r="Q52" s="60">
        <v>1.91</v>
      </c>
      <c r="R52" s="60">
        <v>1.94</v>
      </c>
      <c r="S52" s="60">
        <v>1.98</v>
      </c>
      <c r="T52" s="60">
        <v>2.0099999999999998</v>
      </c>
      <c r="U52" s="60">
        <v>2.0499999999999998</v>
      </c>
      <c r="V52" s="60">
        <v>2.09</v>
      </c>
      <c r="W52" s="60">
        <v>2.12</v>
      </c>
      <c r="X52" s="60">
        <v>2.16</v>
      </c>
      <c r="Y52" s="60">
        <v>2.19</v>
      </c>
      <c r="Z52" s="60">
        <v>2.23</v>
      </c>
      <c r="AA52" s="60">
        <v>2.27</v>
      </c>
      <c r="AB52" s="60">
        <v>2.2999999999999998</v>
      </c>
      <c r="AC52" s="60">
        <v>2.34</v>
      </c>
      <c r="AD52" s="60">
        <v>2.38</v>
      </c>
      <c r="AE52" s="60">
        <v>2.41</v>
      </c>
      <c r="AF52" s="60">
        <v>2.4500000000000002</v>
      </c>
      <c r="AG52" s="60">
        <v>2.48</v>
      </c>
      <c r="AH52" s="60">
        <v>2.52</v>
      </c>
      <c r="AI52" s="60">
        <v>2.56</v>
      </c>
      <c r="AJ52" s="60">
        <v>2.59</v>
      </c>
      <c r="AK52" s="60">
        <v>2.63</v>
      </c>
      <c r="AL52" s="60">
        <v>2.66</v>
      </c>
      <c r="AM52" s="60">
        <v>2.7</v>
      </c>
    </row>
    <row r="53" spans="1:39" ht="15.75" hidden="1" outlineLevel="1" thickBot="1">
      <c r="A53" s="59" t="s">
        <v>102</v>
      </c>
      <c r="B53" s="60">
        <v>0.01</v>
      </c>
      <c r="C53" s="60">
        <v>0.01</v>
      </c>
      <c r="D53" s="60">
        <v>0.01</v>
      </c>
      <c r="E53" s="60">
        <v>0.01</v>
      </c>
      <c r="F53" s="60">
        <v>0.01</v>
      </c>
      <c r="G53" s="60">
        <v>0.01</v>
      </c>
      <c r="H53" s="60">
        <v>0.01</v>
      </c>
      <c r="I53" s="60">
        <v>0.01</v>
      </c>
      <c r="J53" s="60">
        <v>0.01</v>
      </c>
      <c r="K53" s="60">
        <v>0.01</v>
      </c>
      <c r="L53" s="60">
        <v>0.01</v>
      </c>
      <c r="M53" s="60">
        <v>0.01</v>
      </c>
      <c r="N53" s="60">
        <v>0.01</v>
      </c>
      <c r="O53" s="60">
        <v>0.01</v>
      </c>
      <c r="P53" s="60">
        <v>0.01</v>
      </c>
      <c r="Q53" s="60">
        <v>0.01</v>
      </c>
      <c r="R53" s="60">
        <v>0.01</v>
      </c>
      <c r="S53" s="60">
        <v>0.01</v>
      </c>
      <c r="T53" s="60">
        <v>0.01</v>
      </c>
      <c r="U53" s="60">
        <v>0.01</v>
      </c>
      <c r="V53" s="60">
        <v>0.01</v>
      </c>
      <c r="W53" s="60">
        <v>0.01</v>
      </c>
      <c r="X53" s="60">
        <v>0.01</v>
      </c>
      <c r="Y53" s="60">
        <v>0.01</v>
      </c>
      <c r="Z53" s="60">
        <v>0.01</v>
      </c>
      <c r="AA53" s="60">
        <v>0.01</v>
      </c>
      <c r="AB53" s="60">
        <v>0.01</v>
      </c>
      <c r="AC53" s="60">
        <v>0.01</v>
      </c>
      <c r="AD53" s="60">
        <v>0.01</v>
      </c>
      <c r="AE53" s="60">
        <v>0.01</v>
      </c>
      <c r="AF53" s="60">
        <v>0.01</v>
      </c>
      <c r="AG53" s="60">
        <v>0.01</v>
      </c>
      <c r="AH53" s="60">
        <v>0.01</v>
      </c>
      <c r="AI53" s="60">
        <v>0.01</v>
      </c>
      <c r="AJ53" s="60">
        <v>0.01</v>
      </c>
      <c r="AK53" s="60">
        <v>0.01</v>
      </c>
      <c r="AL53" s="60">
        <v>0.01</v>
      </c>
      <c r="AM53" s="60">
        <v>0.01</v>
      </c>
    </row>
    <row r="54" spans="1:39" ht="15.75" hidden="1" outlineLevel="1" thickBot="1">
      <c r="A54" s="59" t="s">
        <v>103</v>
      </c>
      <c r="B54" s="60">
        <v>0</v>
      </c>
      <c r="C54" s="60">
        <v>0</v>
      </c>
      <c r="D54" s="60">
        <v>0</v>
      </c>
      <c r="E54" s="60">
        <v>0</v>
      </c>
      <c r="F54" s="60">
        <v>0</v>
      </c>
      <c r="G54" s="60">
        <v>0</v>
      </c>
      <c r="H54" s="60">
        <v>0</v>
      </c>
      <c r="I54" s="60">
        <v>0</v>
      </c>
      <c r="J54" s="60">
        <v>0</v>
      </c>
      <c r="K54" s="60">
        <v>0</v>
      </c>
      <c r="L54" s="60">
        <v>0</v>
      </c>
      <c r="M54" s="60">
        <v>0</v>
      </c>
      <c r="N54" s="60">
        <v>0</v>
      </c>
      <c r="O54" s="60">
        <v>0</v>
      </c>
      <c r="P54" s="60">
        <v>0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0">
        <v>0</v>
      </c>
      <c r="W54" s="60">
        <v>0</v>
      </c>
      <c r="X54" s="60">
        <v>0</v>
      </c>
      <c r="Y54" s="60">
        <v>0</v>
      </c>
      <c r="Z54" s="60">
        <v>0</v>
      </c>
      <c r="AA54" s="60">
        <v>0</v>
      </c>
      <c r="AB54" s="60">
        <v>0</v>
      </c>
      <c r="AC54" s="60">
        <v>0</v>
      </c>
      <c r="AD54" s="60">
        <v>0</v>
      </c>
      <c r="AE54" s="60">
        <v>0</v>
      </c>
      <c r="AF54" s="60">
        <v>0</v>
      </c>
      <c r="AG54" s="60">
        <v>0</v>
      </c>
      <c r="AH54" s="60">
        <v>0</v>
      </c>
      <c r="AI54" s="60">
        <v>0</v>
      </c>
      <c r="AJ54" s="60">
        <v>0</v>
      </c>
      <c r="AK54" s="60">
        <v>0</v>
      </c>
      <c r="AL54" s="60">
        <v>0</v>
      </c>
      <c r="AM54" s="60">
        <v>0</v>
      </c>
    </row>
    <row r="55" spans="1:39" ht="15.75" hidden="1" outlineLevel="1" thickBot="1">
      <c r="A55" s="59" t="s">
        <v>44</v>
      </c>
      <c r="B55" s="60">
        <v>0</v>
      </c>
      <c r="C55" s="60">
        <v>0</v>
      </c>
      <c r="D55" s="60">
        <v>0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0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D55" s="60">
        <v>0</v>
      </c>
      <c r="AE55" s="60">
        <v>0</v>
      </c>
      <c r="AF55" s="60">
        <v>0</v>
      </c>
      <c r="AG55" s="60">
        <v>0</v>
      </c>
      <c r="AH55" s="60">
        <v>0</v>
      </c>
      <c r="AI55" s="60">
        <v>0</v>
      </c>
      <c r="AJ55" s="60">
        <v>0</v>
      </c>
      <c r="AK55" s="60">
        <v>0</v>
      </c>
      <c r="AL55" s="60">
        <v>0</v>
      </c>
      <c r="AM55" s="60">
        <v>0</v>
      </c>
    </row>
    <row r="56" spans="1:39" ht="15.75" hidden="1" outlineLevel="1" thickBot="1">
      <c r="A56" s="59" t="s">
        <v>45</v>
      </c>
      <c r="B56" s="60">
        <v>0.88</v>
      </c>
      <c r="C56" s="60">
        <v>1.1000000000000001</v>
      </c>
      <c r="D56" s="60">
        <v>1.03</v>
      </c>
      <c r="E56" s="60">
        <v>1.0900000000000001</v>
      </c>
      <c r="F56" s="60">
        <v>0.74</v>
      </c>
      <c r="G56" s="60">
        <v>0.73</v>
      </c>
      <c r="H56" s="60">
        <v>0.65</v>
      </c>
      <c r="I56" s="60">
        <v>0.53</v>
      </c>
      <c r="J56" s="60">
        <v>0.46</v>
      </c>
      <c r="K56" s="60">
        <v>0.46</v>
      </c>
      <c r="L56" s="60">
        <v>0.46</v>
      </c>
      <c r="M56" s="60">
        <v>0.46</v>
      </c>
      <c r="N56" s="60">
        <v>0.46</v>
      </c>
      <c r="O56" s="60">
        <v>0.46</v>
      </c>
      <c r="P56" s="60">
        <v>0.45</v>
      </c>
      <c r="Q56" s="60">
        <v>0.45</v>
      </c>
      <c r="R56" s="60">
        <v>0.45</v>
      </c>
      <c r="S56" s="60">
        <v>0.45</v>
      </c>
      <c r="T56" s="60">
        <v>0.45</v>
      </c>
      <c r="U56" s="60">
        <v>0.45</v>
      </c>
      <c r="V56" s="60">
        <v>0.45</v>
      </c>
      <c r="W56" s="60">
        <v>0.45</v>
      </c>
      <c r="X56" s="60">
        <v>0.44</v>
      </c>
      <c r="Y56" s="60">
        <v>0.44</v>
      </c>
      <c r="Z56" s="60">
        <v>0.44</v>
      </c>
      <c r="AA56" s="60">
        <v>0.44</v>
      </c>
      <c r="AB56" s="60">
        <v>0.44</v>
      </c>
      <c r="AC56" s="60">
        <v>0.44</v>
      </c>
      <c r="AD56" s="60">
        <v>0.44</v>
      </c>
      <c r="AE56" s="60">
        <v>0.43</v>
      </c>
      <c r="AF56" s="60">
        <v>0.43</v>
      </c>
      <c r="AG56" s="60">
        <v>0.43</v>
      </c>
      <c r="AH56" s="60">
        <v>0.43</v>
      </c>
      <c r="AI56" s="60">
        <v>0.43</v>
      </c>
      <c r="AJ56" s="60">
        <v>0.43</v>
      </c>
      <c r="AK56" s="60">
        <v>0.43</v>
      </c>
      <c r="AL56" s="60">
        <v>0.43</v>
      </c>
      <c r="AM56" s="60">
        <v>0.42</v>
      </c>
    </row>
    <row r="57" spans="1:39" ht="15.75" hidden="1" outlineLevel="1" thickBot="1">
      <c r="A57" s="59" t="s">
        <v>104</v>
      </c>
      <c r="B57" s="60">
        <v>2.93</v>
      </c>
      <c r="C57" s="60">
        <v>1.83</v>
      </c>
      <c r="D57" s="60">
        <v>1.81</v>
      </c>
      <c r="E57" s="60">
        <v>1.81</v>
      </c>
      <c r="F57" s="60">
        <v>1.77</v>
      </c>
      <c r="G57" s="60">
        <v>0.53</v>
      </c>
      <c r="H57" s="60">
        <v>0.83</v>
      </c>
      <c r="I57" s="60">
        <v>0.83</v>
      </c>
      <c r="J57" s="60">
        <v>1.02</v>
      </c>
      <c r="K57" s="60">
        <v>0.99</v>
      </c>
      <c r="L57" s="60">
        <v>0.95</v>
      </c>
      <c r="M57" s="60">
        <v>0.92</v>
      </c>
      <c r="N57" s="60">
        <v>0.88</v>
      </c>
      <c r="O57" s="60">
        <v>0.85</v>
      </c>
      <c r="P57" s="60">
        <v>0.81</v>
      </c>
      <c r="Q57" s="60">
        <v>0.78</v>
      </c>
      <c r="R57" s="60">
        <v>0.74</v>
      </c>
      <c r="S57" s="60">
        <v>0.7</v>
      </c>
      <c r="T57" s="60">
        <v>0.67</v>
      </c>
      <c r="U57" s="60">
        <v>0.63</v>
      </c>
      <c r="V57" s="60">
        <v>0.6</v>
      </c>
      <c r="W57" s="60">
        <v>0.56000000000000005</v>
      </c>
      <c r="X57" s="60">
        <v>0.53</v>
      </c>
      <c r="Y57" s="60">
        <v>0.49</v>
      </c>
      <c r="Z57" s="60">
        <v>0.46</v>
      </c>
      <c r="AA57" s="60">
        <v>0.42</v>
      </c>
      <c r="AB57" s="60">
        <v>0.39</v>
      </c>
      <c r="AC57" s="60">
        <v>0.35</v>
      </c>
      <c r="AD57" s="60">
        <v>0.32</v>
      </c>
      <c r="AE57" s="60">
        <v>0.28000000000000003</v>
      </c>
      <c r="AF57" s="60">
        <v>0.25</v>
      </c>
      <c r="AG57" s="60">
        <v>0.21</v>
      </c>
      <c r="AH57" s="60">
        <v>0.18</v>
      </c>
      <c r="AI57" s="60">
        <v>0.14000000000000001</v>
      </c>
      <c r="AJ57" s="60">
        <v>0.11</v>
      </c>
      <c r="AK57" s="60">
        <v>7.0000000000000007E-2</v>
      </c>
      <c r="AL57" s="60">
        <v>0.04</v>
      </c>
      <c r="AM57" s="60">
        <v>0</v>
      </c>
    </row>
    <row r="58" spans="1:39" ht="15.75" hidden="1" outlineLevel="1" thickBot="1">
      <c r="A58" s="59" t="s">
        <v>105</v>
      </c>
      <c r="B58" s="60">
        <v>0</v>
      </c>
      <c r="C58" s="60">
        <v>0</v>
      </c>
      <c r="D58" s="60">
        <v>0</v>
      </c>
      <c r="E58" s="60">
        <v>0</v>
      </c>
      <c r="F58" s="60">
        <v>0</v>
      </c>
      <c r="G58" s="60">
        <v>0</v>
      </c>
      <c r="H58" s="60">
        <v>0</v>
      </c>
      <c r="I58" s="60">
        <v>0</v>
      </c>
      <c r="J58" s="60">
        <v>0</v>
      </c>
      <c r="K58" s="60">
        <v>0</v>
      </c>
      <c r="L58" s="60">
        <v>0</v>
      </c>
      <c r="M58" s="60">
        <v>0</v>
      </c>
      <c r="N58" s="60">
        <v>0</v>
      </c>
      <c r="O58" s="60">
        <v>0</v>
      </c>
      <c r="P58" s="60">
        <v>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0">
        <v>0</v>
      </c>
      <c r="AF58" s="60">
        <v>0</v>
      </c>
      <c r="AG58" s="60">
        <v>0</v>
      </c>
      <c r="AH58" s="60">
        <v>0</v>
      </c>
      <c r="AI58" s="60">
        <v>0</v>
      </c>
      <c r="AJ58" s="60">
        <v>0</v>
      </c>
      <c r="AK58" s="60">
        <v>0</v>
      </c>
      <c r="AL58" s="60">
        <v>0</v>
      </c>
      <c r="AM58" s="60">
        <v>0</v>
      </c>
    </row>
    <row r="59" spans="1:39" ht="15.75" hidden="1" outlineLevel="1" thickBot="1">
      <c r="A59" s="59" t="s">
        <v>106</v>
      </c>
      <c r="B59" s="60">
        <v>115.28</v>
      </c>
      <c r="C59" s="60">
        <v>119.9</v>
      </c>
      <c r="D59" s="60">
        <v>139.91999999999999</v>
      </c>
      <c r="E59" s="60">
        <v>153.79</v>
      </c>
      <c r="F59" s="60">
        <v>158.38</v>
      </c>
      <c r="G59" s="60">
        <v>164.21</v>
      </c>
      <c r="H59" s="60">
        <v>157.29</v>
      </c>
      <c r="I59" s="60">
        <v>148.34</v>
      </c>
      <c r="J59" s="60">
        <v>188.77</v>
      </c>
      <c r="K59" s="60">
        <v>191.7</v>
      </c>
      <c r="L59" s="60">
        <v>193.51</v>
      </c>
      <c r="M59" s="60">
        <v>195.32</v>
      </c>
      <c r="N59" s="60">
        <v>197.14</v>
      </c>
      <c r="O59" s="60">
        <v>198.95</v>
      </c>
      <c r="P59" s="60">
        <v>200.77</v>
      </c>
      <c r="Q59" s="60">
        <v>202.58</v>
      </c>
      <c r="R59" s="60">
        <v>204.4</v>
      </c>
      <c r="S59" s="60">
        <v>206.21</v>
      </c>
      <c r="T59" s="60">
        <v>208.02</v>
      </c>
      <c r="U59" s="60">
        <v>209.84</v>
      </c>
      <c r="V59" s="60">
        <v>211.65</v>
      </c>
      <c r="W59" s="60">
        <v>212.46</v>
      </c>
      <c r="X59" s="60">
        <v>211.93</v>
      </c>
      <c r="Y59" s="60">
        <v>211.4</v>
      </c>
      <c r="Z59" s="60">
        <v>210.86</v>
      </c>
      <c r="AA59" s="60">
        <v>210.33</v>
      </c>
      <c r="AB59" s="60">
        <v>209.79</v>
      </c>
      <c r="AC59" s="60">
        <v>209.26</v>
      </c>
      <c r="AD59" s="60">
        <v>208.72</v>
      </c>
      <c r="AE59" s="60">
        <v>208.19</v>
      </c>
      <c r="AF59" s="60">
        <v>207.66</v>
      </c>
      <c r="AG59" s="60">
        <v>207.12</v>
      </c>
      <c r="AH59" s="60">
        <v>206.59</v>
      </c>
      <c r="AI59" s="60">
        <v>206.05</v>
      </c>
      <c r="AJ59" s="60">
        <v>205.52</v>
      </c>
      <c r="AK59" s="60">
        <v>204.98</v>
      </c>
      <c r="AL59" s="60">
        <v>204.44</v>
      </c>
      <c r="AM59" s="60">
        <v>203.9</v>
      </c>
    </row>
    <row r="60" spans="1:39" ht="15.75" hidden="1" outlineLevel="1" thickBot="1">
      <c r="A60" s="59" t="s">
        <v>46</v>
      </c>
      <c r="B60" s="60">
        <v>31.58</v>
      </c>
      <c r="C60" s="60">
        <v>29.85</v>
      </c>
      <c r="D60" s="60">
        <v>23.22</v>
      </c>
      <c r="E60" s="60">
        <v>20.63</v>
      </c>
      <c r="F60" s="60">
        <v>20.46</v>
      </c>
      <c r="G60" s="60">
        <v>19.989999999999998</v>
      </c>
      <c r="H60" s="60">
        <v>18.43</v>
      </c>
      <c r="I60" s="60">
        <v>18.91</v>
      </c>
      <c r="J60" s="60">
        <v>19.38</v>
      </c>
      <c r="K60" s="60">
        <v>15.14</v>
      </c>
      <c r="L60" s="60">
        <v>17.91</v>
      </c>
      <c r="M60" s="60">
        <v>20.69</v>
      </c>
      <c r="N60" s="60">
        <v>23.46</v>
      </c>
      <c r="O60" s="60">
        <v>26.24</v>
      </c>
      <c r="P60" s="60">
        <v>29.02</v>
      </c>
      <c r="Q60" s="60">
        <v>31.79</v>
      </c>
      <c r="R60" s="60">
        <v>34.57</v>
      </c>
      <c r="S60" s="60">
        <v>37.35</v>
      </c>
      <c r="T60" s="60">
        <v>40.119999999999997</v>
      </c>
      <c r="U60" s="60">
        <v>42.9</v>
      </c>
      <c r="V60" s="60">
        <v>45.67</v>
      </c>
      <c r="W60" s="60">
        <v>49.45</v>
      </c>
      <c r="X60" s="60">
        <v>54.58</v>
      </c>
      <c r="Y60" s="60">
        <v>59.7</v>
      </c>
      <c r="Z60" s="60">
        <v>64.83</v>
      </c>
      <c r="AA60" s="60">
        <v>69.95</v>
      </c>
      <c r="AB60" s="60">
        <v>75.08</v>
      </c>
      <c r="AC60" s="60">
        <v>80.2</v>
      </c>
      <c r="AD60" s="60">
        <v>85.33</v>
      </c>
      <c r="AE60" s="60">
        <v>90.45</v>
      </c>
      <c r="AF60" s="60">
        <v>95.57</v>
      </c>
      <c r="AG60" s="60">
        <v>100.7</v>
      </c>
      <c r="AH60" s="60">
        <v>105.82</v>
      </c>
      <c r="AI60" s="60">
        <v>110.95</v>
      </c>
      <c r="AJ60" s="60">
        <v>116.07</v>
      </c>
      <c r="AK60" s="60">
        <v>121.2</v>
      </c>
      <c r="AL60" s="60">
        <v>126.33</v>
      </c>
      <c r="AM60" s="60">
        <v>131.46</v>
      </c>
    </row>
    <row r="61" spans="1:39" ht="15.75" hidden="1" outlineLevel="1" thickBot="1">
      <c r="A61" s="59" t="s">
        <v>107</v>
      </c>
      <c r="B61" s="60">
        <v>0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0</v>
      </c>
      <c r="U61" s="60">
        <v>0</v>
      </c>
      <c r="V61" s="60">
        <v>0</v>
      </c>
      <c r="W61" s="60">
        <v>0</v>
      </c>
      <c r="X61" s="60">
        <v>0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</row>
    <row r="62" spans="1:39" ht="15.75" hidden="1" outlineLevel="1" thickBot="1">
      <c r="A62" s="61" t="s">
        <v>108</v>
      </c>
      <c r="B62" s="62">
        <v>0</v>
      </c>
      <c r="C62" s="62">
        <v>0</v>
      </c>
      <c r="D62" s="62">
        <v>0</v>
      </c>
      <c r="E62" s="62">
        <v>0</v>
      </c>
      <c r="F62" s="62">
        <v>0</v>
      </c>
      <c r="G62" s="62">
        <v>0</v>
      </c>
      <c r="H62" s="62">
        <v>0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  <c r="AH62" s="62">
        <v>0</v>
      </c>
      <c r="AI62" s="62">
        <v>0</v>
      </c>
      <c r="AJ62" s="62">
        <v>0</v>
      </c>
      <c r="AK62" s="62">
        <v>0</v>
      </c>
      <c r="AL62" s="62">
        <v>0</v>
      </c>
      <c r="AM62" s="62">
        <v>0</v>
      </c>
    </row>
    <row r="63" spans="1:39" ht="33" collapsed="1" thickTop="1" thickBot="1">
      <c r="A63" s="65" t="s">
        <v>110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</row>
    <row r="64" spans="1:39" ht="16.5" hidden="1" outlineLevel="1" thickTop="1" thickBot="1">
      <c r="A64" s="57" t="s">
        <v>41</v>
      </c>
      <c r="B64" s="58">
        <v>2013</v>
      </c>
      <c r="C64" s="58">
        <v>2014</v>
      </c>
      <c r="D64" s="58">
        <v>2015</v>
      </c>
      <c r="E64" s="58">
        <v>2016</v>
      </c>
      <c r="F64" s="58">
        <v>2017</v>
      </c>
      <c r="G64" s="58">
        <v>2018</v>
      </c>
      <c r="H64" s="58">
        <v>2019</v>
      </c>
      <c r="I64" s="58">
        <v>2020</v>
      </c>
      <c r="J64" s="58">
        <v>2021</v>
      </c>
      <c r="K64" s="58">
        <v>2022</v>
      </c>
      <c r="L64" s="58">
        <v>2023</v>
      </c>
      <c r="M64" s="58">
        <v>2024</v>
      </c>
      <c r="N64" s="58">
        <v>2025</v>
      </c>
      <c r="O64" s="58">
        <v>2026</v>
      </c>
      <c r="P64" s="58">
        <v>2027</v>
      </c>
      <c r="Q64" s="58">
        <v>2028</v>
      </c>
      <c r="R64" s="58">
        <v>2029</v>
      </c>
      <c r="S64" s="58">
        <v>2030</v>
      </c>
      <c r="T64" s="58">
        <v>2031</v>
      </c>
      <c r="U64" s="58">
        <v>2032</v>
      </c>
      <c r="V64" s="58">
        <v>2033</v>
      </c>
      <c r="W64" s="58">
        <v>2034</v>
      </c>
      <c r="X64" s="58">
        <v>2035</v>
      </c>
      <c r="Y64" s="58">
        <v>2036</v>
      </c>
      <c r="Z64" s="58">
        <v>2037</v>
      </c>
      <c r="AA64" s="58">
        <v>2038</v>
      </c>
      <c r="AB64" s="58">
        <v>2039</v>
      </c>
      <c r="AC64" s="58">
        <v>2040</v>
      </c>
      <c r="AD64" s="58">
        <v>2041</v>
      </c>
      <c r="AE64" s="58">
        <v>2042</v>
      </c>
      <c r="AF64" s="58">
        <v>2043</v>
      </c>
      <c r="AG64" s="58">
        <v>2044</v>
      </c>
      <c r="AH64" s="58">
        <v>2045</v>
      </c>
      <c r="AI64" s="58">
        <v>2046</v>
      </c>
      <c r="AJ64" s="58">
        <v>2047</v>
      </c>
      <c r="AK64" s="58">
        <v>2048</v>
      </c>
      <c r="AL64" s="58">
        <v>2049</v>
      </c>
      <c r="AM64" s="58">
        <v>2050</v>
      </c>
    </row>
    <row r="65" spans="1:39" ht="16.5" hidden="1" outlineLevel="1" thickTop="1" thickBot="1">
      <c r="A65" s="59" t="s">
        <v>83</v>
      </c>
      <c r="B65" s="60">
        <v>5.86</v>
      </c>
      <c r="C65" s="60">
        <v>6</v>
      </c>
      <c r="D65" s="60">
        <v>6.41</v>
      </c>
      <c r="E65" s="60">
        <v>6.82</v>
      </c>
      <c r="F65" s="60">
        <v>7.05</v>
      </c>
      <c r="G65" s="60">
        <v>7.31</v>
      </c>
      <c r="H65" s="60">
        <v>7.66</v>
      </c>
      <c r="I65" s="60">
        <v>9.5299999999999994</v>
      </c>
      <c r="J65" s="60">
        <v>28.99</v>
      </c>
      <c r="K65" s="60">
        <v>28.78</v>
      </c>
      <c r="L65" s="60">
        <v>28.47</v>
      </c>
      <c r="M65" s="60">
        <v>28.17</v>
      </c>
      <c r="N65" s="60">
        <v>27.86</v>
      </c>
      <c r="O65" s="60">
        <v>27.56</v>
      </c>
      <c r="P65" s="60">
        <v>27.25</v>
      </c>
      <c r="Q65" s="60">
        <v>26.95</v>
      </c>
      <c r="R65" s="60">
        <v>26.64</v>
      </c>
      <c r="S65" s="60">
        <v>26.34</v>
      </c>
      <c r="T65" s="60">
        <v>26.03</v>
      </c>
      <c r="U65" s="60">
        <v>25.73</v>
      </c>
      <c r="V65" s="60">
        <v>25.42</v>
      </c>
      <c r="W65" s="60">
        <v>25.12</v>
      </c>
      <c r="X65" s="60">
        <v>24.81</v>
      </c>
      <c r="Y65" s="60">
        <v>24.51</v>
      </c>
      <c r="Z65" s="60">
        <v>24.2</v>
      </c>
      <c r="AA65" s="60">
        <v>23.9</v>
      </c>
      <c r="AB65" s="60">
        <v>23.6</v>
      </c>
      <c r="AC65" s="60">
        <v>23.29</v>
      </c>
      <c r="AD65" s="60">
        <v>22.99</v>
      </c>
      <c r="AE65" s="60">
        <v>22.68</v>
      </c>
      <c r="AF65" s="60">
        <v>22.38</v>
      </c>
      <c r="AG65" s="60">
        <v>22.07</v>
      </c>
      <c r="AH65" s="60">
        <v>21.77</v>
      </c>
      <c r="AI65" s="60">
        <v>21.46</v>
      </c>
      <c r="AJ65" s="60">
        <v>21.16</v>
      </c>
      <c r="AK65" s="60">
        <v>20.85</v>
      </c>
      <c r="AL65" s="60">
        <v>20.55</v>
      </c>
      <c r="AM65" s="60">
        <v>20.239999999999998</v>
      </c>
    </row>
    <row r="66" spans="1:39" ht="15.75" hidden="1" outlineLevel="1" thickBot="1">
      <c r="A66" s="59" t="s">
        <v>84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</row>
    <row r="67" spans="1:39" ht="15.75" hidden="1" outlineLevel="1" thickBot="1">
      <c r="A67" s="59" t="s">
        <v>85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60">
        <v>0</v>
      </c>
    </row>
    <row r="68" spans="1:39" ht="15.75" hidden="1" outlineLevel="1" thickBot="1">
      <c r="A68" s="59" t="s">
        <v>86</v>
      </c>
      <c r="B68" s="60">
        <v>0</v>
      </c>
      <c r="C68" s="60">
        <v>0</v>
      </c>
      <c r="D68" s="60">
        <v>0</v>
      </c>
      <c r="E68" s="60">
        <v>0</v>
      </c>
      <c r="F68" s="60">
        <v>0</v>
      </c>
      <c r="G68" s="60">
        <v>0</v>
      </c>
      <c r="H68" s="60">
        <v>0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0">
        <v>0</v>
      </c>
      <c r="R68" s="60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0">
        <v>0</v>
      </c>
      <c r="Y68" s="60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60">
        <v>0</v>
      </c>
    </row>
    <row r="69" spans="1:39" ht="15.75" hidden="1" outlineLevel="1" thickBot="1">
      <c r="A69" s="59" t="s">
        <v>87</v>
      </c>
      <c r="B69" s="60">
        <v>0</v>
      </c>
      <c r="C69" s="60">
        <v>0</v>
      </c>
      <c r="D69" s="60">
        <v>0</v>
      </c>
      <c r="E69" s="60">
        <v>0</v>
      </c>
      <c r="F69" s="60">
        <v>0</v>
      </c>
      <c r="G69" s="60">
        <v>0</v>
      </c>
      <c r="H69" s="60">
        <v>0</v>
      </c>
      <c r="I69" s="60">
        <v>0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60">
        <v>0</v>
      </c>
      <c r="R69" s="60">
        <v>0</v>
      </c>
      <c r="S69" s="60">
        <v>0</v>
      </c>
      <c r="T69" s="60">
        <v>0</v>
      </c>
      <c r="U69" s="60">
        <v>0</v>
      </c>
      <c r="V69" s="60">
        <v>0</v>
      </c>
      <c r="W69" s="60">
        <v>0</v>
      </c>
      <c r="X69" s="60">
        <v>0</v>
      </c>
      <c r="Y69" s="60">
        <v>0</v>
      </c>
      <c r="Z69" s="60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60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</row>
    <row r="70" spans="1:39" ht="15.75" hidden="1" outlineLevel="1" thickBot="1">
      <c r="A70" s="59" t="s">
        <v>88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0">
        <v>0</v>
      </c>
      <c r="N70" s="60">
        <v>0</v>
      </c>
      <c r="O70" s="60">
        <v>0</v>
      </c>
      <c r="P70" s="60">
        <v>0</v>
      </c>
      <c r="Q70" s="60">
        <v>0</v>
      </c>
      <c r="R70" s="60">
        <v>0</v>
      </c>
      <c r="S70" s="60">
        <v>0</v>
      </c>
      <c r="T70" s="60">
        <v>0</v>
      </c>
      <c r="U70" s="60">
        <v>0</v>
      </c>
      <c r="V70" s="60">
        <v>0</v>
      </c>
      <c r="W70" s="60">
        <v>0</v>
      </c>
      <c r="X70" s="60">
        <v>0</v>
      </c>
      <c r="Y70" s="60">
        <v>0</v>
      </c>
      <c r="Z70" s="60">
        <v>0</v>
      </c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60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60">
        <v>0</v>
      </c>
    </row>
    <row r="71" spans="1:39" ht="15.75" hidden="1" outlineLevel="1" thickBot="1">
      <c r="A71" s="59" t="s">
        <v>89</v>
      </c>
      <c r="B71" s="60">
        <v>0</v>
      </c>
      <c r="C71" s="60">
        <v>0</v>
      </c>
      <c r="D71" s="6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60">
        <v>0</v>
      </c>
      <c r="M71" s="60">
        <v>0</v>
      </c>
      <c r="N71" s="60">
        <v>0</v>
      </c>
      <c r="O71" s="60">
        <v>0</v>
      </c>
      <c r="P71" s="60">
        <v>0</v>
      </c>
      <c r="Q71" s="60">
        <v>0</v>
      </c>
      <c r="R71" s="60">
        <v>0</v>
      </c>
      <c r="S71" s="60">
        <v>0</v>
      </c>
      <c r="T71" s="60">
        <v>0</v>
      </c>
      <c r="U71" s="60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60">
        <v>0</v>
      </c>
      <c r="AG71" s="60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</row>
    <row r="72" spans="1:39" ht="15.75" hidden="1" outlineLevel="1" thickBot="1">
      <c r="A72" s="59" t="s">
        <v>90</v>
      </c>
      <c r="B72" s="60">
        <v>0</v>
      </c>
      <c r="C72" s="60">
        <v>0</v>
      </c>
      <c r="D72" s="60">
        <v>0</v>
      </c>
      <c r="E72" s="60">
        <v>0</v>
      </c>
      <c r="F72" s="60">
        <v>0</v>
      </c>
      <c r="G72" s="60">
        <v>0</v>
      </c>
      <c r="H72" s="60">
        <v>0</v>
      </c>
      <c r="I72" s="60">
        <v>0</v>
      </c>
      <c r="J72" s="60">
        <v>0</v>
      </c>
      <c r="K72" s="60">
        <v>0</v>
      </c>
      <c r="L72" s="60">
        <v>0</v>
      </c>
      <c r="M72" s="60">
        <v>0</v>
      </c>
      <c r="N72" s="60">
        <v>0</v>
      </c>
      <c r="O72" s="60">
        <v>0</v>
      </c>
      <c r="P72" s="60">
        <v>0</v>
      </c>
      <c r="Q72" s="60">
        <v>0</v>
      </c>
      <c r="R72" s="60">
        <v>0</v>
      </c>
      <c r="S72" s="60">
        <v>0</v>
      </c>
      <c r="T72" s="60">
        <v>0</v>
      </c>
      <c r="U72" s="60">
        <v>0</v>
      </c>
      <c r="V72" s="60">
        <v>0</v>
      </c>
      <c r="W72" s="60">
        <v>0</v>
      </c>
      <c r="X72" s="60">
        <v>0</v>
      </c>
      <c r="Y72" s="60">
        <v>0</v>
      </c>
      <c r="Z72" s="60">
        <v>0</v>
      </c>
      <c r="AA72" s="60">
        <v>0</v>
      </c>
      <c r="AB72" s="60">
        <v>0</v>
      </c>
      <c r="AC72" s="60">
        <v>0</v>
      </c>
      <c r="AD72" s="60">
        <v>0</v>
      </c>
      <c r="AE72" s="60">
        <v>0</v>
      </c>
      <c r="AF72" s="60">
        <v>0</v>
      </c>
      <c r="AG72" s="60">
        <v>0</v>
      </c>
      <c r="AH72" s="60">
        <v>0</v>
      </c>
      <c r="AI72" s="60">
        <v>0</v>
      </c>
      <c r="AJ72" s="60">
        <v>0</v>
      </c>
      <c r="AK72" s="60">
        <v>0</v>
      </c>
      <c r="AL72" s="60">
        <v>0</v>
      </c>
      <c r="AM72" s="60">
        <v>0</v>
      </c>
    </row>
    <row r="73" spans="1:39" ht="15.75" hidden="1" outlineLevel="1" thickBot="1">
      <c r="A73" s="59" t="s">
        <v>91</v>
      </c>
      <c r="B73" s="60">
        <v>0</v>
      </c>
      <c r="C73" s="60">
        <v>0</v>
      </c>
      <c r="D73" s="60">
        <v>0</v>
      </c>
      <c r="E73" s="60">
        <v>0</v>
      </c>
      <c r="F73" s="60">
        <v>0</v>
      </c>
      <c r="G73" s="60">
        <v>0</v>
      </c>
      <c r="H73" s="60">
        <v>0</v>
      </c>
      <c r="I73" s="60">
        <v>0</v>
      </c>
      <c r="J73" s="60">
        <v>0</v>
      </c>
      <c r="K73" s="60">
        <v>0</v>
      </c>
      <c r="L73" s="60">
        <v>0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  <c r="R73" s="60">
        <v>0</v>
      </c>
      <c r="S73" s="60">
        <v>0</v>
      </c>
      <c r="T73" s="60">
        <v>0</v>
      </c>
      <c r="U73" s="60">
        <v>0</v>
      </c>
      <c r="V73" s="60">
        <v>0</v>
      </c>
      <c r="W73" s="60">
        <v>0</v>
      </c>
      <c r="X73" s="60">
        <v>0</v>
      </c>
      <c r="Y73" s="60">
        <v>0</v>
      </c>
      <c r="Z73" s="60">
        <v>0</v>
      </c>
      <c r="AA73" s="60">
        <v>0</v>
      </c>
      <c r="AB73" s="60">
        <v>0</v>
      </c>
      <c r="AC73" s="60">
        <v>0</v>
      </c>
      <c r="AD73" s="60">
        <v>0</v>
      </c>
      <c r="AE73" s="60">
        <v>0</v>
      </c>
      <c r="AF73" s="60">
        <v>0</v>
      </c>
      <c r="AG73" s="60">
        <v>0</v>
      </c>
      <c r="AH73" s="60">
        <v>0</v>
      </c>
      <c r="AI73" s="60">
        <v>0</v>
      </c>
      <c r="AJ73" s="60">
        <v>0</v>
      </c>
      <c r="AK73" s="60">
        <v>0</v>
      </c>
      <c r="AL73" s="60">
        <v>0</v>
      </c>
      <c r="AM73" s="60">
        <v>0</v>
      </c>
    </row>
    <row r="74" spans="1:39" ht="15.75" hidden="1" outlineLevel="1" thickBot="1">
      <c r="A74" s="59" t="s">
        <v>92</v>
      </c>
      <c r="B74" s="60">
        <v>0</v>
      </c>
      <c r="C74" s="60">
        <v>0</v>
      </c>
      <c r="D74" s="60">
        <v>0</v>
      </c>
      <c r="E74" s="60">
        <v>0</v>
      </c>
      <c r="F74" s="60">
        <v>0</v>
      </c>
      <c r="G74" s="60">
        <v>0</v>
      </c>
      <c r="H74" s="60">
        <v>0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0</v>
      </c>
      <c r="O74" s="60">
        <v>0</v>
      </c>
      <c r="P74" s="60">
        <v>0</v>
      </c>
      <c r="Q74" s="60">
        <v>0</v>
      </c>
      <c r="R74" s="60">
        <v>0</v>
      </c>
      <c r="S74" s="60">
        <v>0</v>
      </c>
      <c r="T74" s="60">
        <v>0</v>
      </c>
      <c r="U74" s="60">
        <v>0</v>
      </c>
      <c r="V74" s="60">
        <v>0</v>
      </c>
      <c r="W74" s="60">
        <v>0</v>
      </c>
      <c r="X74" s="60">
        <v>0</v>
      </c>
      <c r="Y74" s="60">
        <v>0</v>
      </c>
      <c r="Z74" s="60">
        <v>0</v>
      </c>
      <c r="AA74" s="60">
        <v>0</v>
      </c>
      <c r="AB74" s="60">
        <v>0</v>
      </c>
      <c r="AC74" s="60">
        <v>0</v>
      </c>
      <c r="AD74" s="60">
        <v>0</v>
      </c>
      <c r="AE74" s="60">
        <v>0</v>
      </c>
      <c r="AF74" s="60">
        <v>0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</row>
    <row r="75" spans="1:39" ht="15.75" hidden="1" outlineLevel="1" thickBot="1">
      <c r="A75" s="59" t="s">
        <v>93</v>
      </c>
      <c r="B75" s="60">
        <v>0</v>
      </c>
      <c r="C75" s="60">
        <v>0</v>
      </c>
      <c r="D75" s="60">
        <v>0</v>
      </c>
      <c r="E75" s="60">
        <v>0</v>
      </c>
      <c r="F75" s="60">
        <v>0</v>
      </c>
      <c r="G75" s="60">
        <v>0</v>
      </c>
      <c r="H75" s="60">
        <v>0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  <c r="R75" s="60">
        <v>0</v>
      </c>
      <c r="S75" s="60">
        <v>0</v>
      </c>
      <c r="T75" s="60">
        <v>0</v>
      </c>
      <c r="U75" s="60">
        <v>0</v>
      </c>
      <c r="V75" s="60">
        <v>0</v>
      </c>
      <c r="W75" s="60">
        <v>0</v>
      </c>
      <c r="X75" s="60">
        <v>0</v>
      </c>
      <c r="Y75" s="60">
        <v>0</v>
      </c>
      <c r="Z75" s="60">
        <v>0</v>
      </c>
      <c r="AA75" s="60">
        <v>0</v>
      </c>
      <c r="AB75" s="60">
        <v>0</v>
      </c>
      <c r="AC75" s="60">
        <v>0</v>
      </c>
      <c r="AD75" s="60">
        <v>0</v>
      </c>
      <c r="AE75" s="60">
        <v>0</v>
      </c>
      <c r="AF75" s="60">
        <v>0</v>
      </c>
      <c r="AG75" s="60">
        <v>0</v>
      </c>
      <c r="AH75" s="60">
        <v>0</v>
      </c>
      <c r="AI75" s="60">
        <v>0</v>
      </c>
      <c r="AJ75" s="60">
        <v>0</v>
      </c>
      <c r="AK75" s="60">
        <v>0</v>
      </c>
      <c r="AL75" s="60">
        <v>0</v>
      </c>
      <c r="AM75" s="60">
        <v>0</v>
      </c>
    </row>
    <row r="76" spans="1:39" ht="15.75" hidden="1" outlineLevel="1" thickBot="1">
      <c r="A76" s="59" t="s">
        <v>94</v>
      </c>
      <c r="B76" s="60">
        <v>0</v>
      </c>
      <c r="C76" s="60">
        <v>0</v>
      </c>
      <c r="D76" s="60">
        <v>0</v>
      </c>
      <c r="E76" s="60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</row>
    <row r="77" spans="1:39" ht="15.75" hidden="1" outlineLevel="1" thickBot="1">
      <c r="A77" s="59" t="s">
        <v>95</v>
      </c>
      <c r="B77" s="60">
        <v>0</v>
      </c>
      <c r="C77" s="60">
        <v>0</v>
      </c>
      <c r="D77" s="60">
        <v>0</v>
      </c>
      <c r="E77" s="60">
        <v>0</v>
      </c>
      <c r="F77" s="60">
        <v>0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  <c r="R77" s="60">
        <v>0</v>
      </c>
      <c r="S77" s="60">
        <v>0</v>
      </c>
      <c r="T77" s="60">
        <v>0</v>
      </c>
      <c r="U77" s="60">
        <v>0</v>
      </c>
      <c r="V77" s="60">
        <v>0</v>
      </c>
      <c r="W77" s="60">
        <v>0</v>
      </c>
      <c r="X77" s="60">
        <v>0</v>
      </c>
      <c r="Y77" s="60">
        <v>0</v>
      </c>
      <c r="Z77" s="60">
        <v>0</v>
      </c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60">
        <v>0</v>
      </c>
      <c r="AG77" s="60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60">
        <v>0</v>
      </c>
    </row>
    <row r="78" spans="1:39" ht="15.75" hidden="1" outlineLevel="1" thickBot="1">
      <c r="A78" s="59" t="s">
        <v>96</v>
      </c>
      <c r="B78" s="60">
        <v>0</v>
      </c>
      <c r="C78" s="60">
        <v>0</v>
      </c>
      <c r="D78" s="60">
        <v>0</v>
      </c>
      <c r="E78" s="60">
        <v>0</v>
      </c>
      <c r="F78" s="60">
        <v>0</v>
      </c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</row>
    <row r="79" spans="1:39" ht="15.75" hidden="1" outlineLevel="1" thickBot="1">
      <c r="A79" s="59" t="s">
        <v>97</v>
      </c>
      <c r="B79" s="60">
        <v>0</v>
      </c>
      <c r="C79" s="60">
        <v>0</v>
      </c>
      <c r="D79" s="60">
        <v>0</v>
      </c>
      <c r="E79" s="60">
        <v>0</v>
      </c>
      <c r="F79" s="60">
        <v>0</v>
      </c>
      <c r="G79" s="60">
        <v>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  <c r="R79" s="60">
        <v>0</v>
      </c>
      <c r="S79" s="60">
        <v>0</v>
      </c>
      <c r="T79" s="60">
        <v>0</v>
      </c>
      <c r="U79" s="60">
        <v>0</v>
      </c>
      <c r="V79" s="60">
        <v>0</v>
      </c>
      <c r="W79" s="60">
        <v>0</v>
      </c>
      <c r="X79" s="60">
        <v>0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</row>
    <row r="80" spans="1:39" ht="15.75" hidden="1" outlineLevel="1" thickBot="1">
      <c r="A80" s="59" t="s">
        <v>98</v>
      </c>
      <c r="B80" s="60">
        <v>0</v>
      </c>
      <c r="C80" s="60">
        <v>0</v>
      </c>
      <c r="D80" s="60">
        <v>0</v>
      </c>
      <c r="E80" s="60">
        <v>0</v>
      </c>
      <c r="F80" s="60">
        <v>0</v>
      </c>
      <c r="G80" s="60">
        <v>0</v>
      </c>
      <c r="H80" s="60">
        <v>0</v>
      </c>
      <c r="I80" s="60">
        <v>0</v>
      </c>
      <c r="J80" s="60">
        <v>0</v>
      </c>
      <c r="K80" s="60">
        <v>0</v>
      </c>
      <c r="L80" s="60">
        <v>0</v>
      </c>
      <c r="M80" s="60">
        <v>0</v>
      </c>
      <c r="N80" s="60">
        <v>0</v>
      </c>
      <c r="O80" s="60">
        <v>0</v>
      </c>
      <c r="P80" s="60">
        <v>0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60">
        <v>0</v>
      </c>
      <c r="Z80" s="60">
        <v>0</v>
      </c>
      <c r="AA80" s="60">
        <v>0</v>
      </c>
      <c r="AB80" s="60">
        <v>0</v>
      </c>
      <c r="AC80" s="60">
        <v>0</v>
      </c>
      <c r="AD80" s="60">
        <v>0</v>
      </c>
      <c r="AE80" s="60">
        <v>0</v>
      </c>
      <c r="AF80" s="60">
        <v>0</v>
      </c>
      <c r="AG80" s="60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</row>
    <row r="81" spans="1:39" ht="15.75" hidden="1" outlineLevel="1" thickBot="1">
      <c r="A81" s="59" t="s">
        <v>99</v>
      </c>
      <c r="B81" s="60">
        <v>0</v>
      </c>
      <c r="C81" s="60">
        <v>0</v>
      </c>
      <c r="D81" s="60">
        <v>0</v>
      </c>
      <c r="E81" s="60">
        <v>0</v>
      </c>
      <c r="F81" s="60">
        <v>0</v>
      </c>
      <c r="G81" s="60">
        <v>0</v>
      </c>
      <c r="H81" s="60">
        <v>0</v>
      </c>
      <c r="I81" s="60">
        <v>0</v>
      </c>
      <c r="J81" s="60">
        <v>0</v>
      </c>
      <c r="K81" s="60">
        <v>0</v>
      </c>
      <c r="L81" s="60">
        <v>0</v>
      </c>
      <c r="M81" s="60">
        <v>0</v>
      </c>
      <c r="N81" s="60">
        <v>0</v>
      </c>
      <c r="O81" s="60">
        <v>0</v>
      </c>
      <c r="P81" s="60">
        <v>0</v>
      </c>
      <c r="Q81" s="60">
        <v>0</v>
      </c>
      <c r="R81" s="60">
        <v>0</v>
      </c>
      <c r="S81" s="60">
        <v>0</v>
      </c>
      <c r="T81" s="60">
        <v>0</v>
      </c>
      <c r="U81" s="60">
        <v>0</v>
      </c>
      <c r="V81" s="60">
        <v>0</v>
      </c>
      <c r="W81" s="60">
        <v>0</v>
      </c>
      <c r="X81" s="60">
        <v>0</v>
      </c>
      <c r="Y81" s="60">
        <v>0</v>
      </c>
      <c r="Z81" s="60">
        <v>0</v>
      </c>
      <c r="AA81" s="60">
        <v>0</v>
      </c>
      <c r="AB81" s="60">
        <v>0</v>
      </c>
      <c r="AC81" s="60">
        <v>0</v>
      </c>
      <c r="AD81" s="60">
        <v>0</v>
      </c>
      <c r="AE81" s="60">
        <v>0</v>
      </c>
      <c r="AF81" s="60">
        <v>0</v>
      </c>
      <c r="AG81" s="60">
        <v>0</v>
      </c>
      <c r="AH81" s="60">
        <v>0</v>
      </c>
      <c r="AI81" s="60">
        <v>0</v>
      </c>
      <c r="AJ81" s="60">
        <v>0</v>
      </c>
      <c r="AK81" s="60">
        <v>0</v>
      </c>
      <c r="AL81" s="60">
        <v>0</v>
      </c>
      <c r="AM81" s="60">
        <v>0</v>
      </c>
    </row>
    <row r="82" spans="1:39" ht="15.75" hidden="1" outlineLevel="1" thickBot="1">
      <c r="A82" s="59" t="s">
        <v>100</v>
      </c>
      <c r="B82" s="60">
        <v>0</v>
      </c>
      <c r="C82" s="60">
        <v>0</v>
      </c>
      <c r="D82" s="60">
        <v>0</v>
      </c>
      <c r="E82" s="60">
        <v>0</v>
      </c>
      <c r="F82" s="60">
        <v>0</v>
      </c>
      <c r="G82" s="60">
        <v>0</v>
      </c>
      <c r="H82" s="60">
        <v>0</v>
      </c>
      <c r="I82" s="60">
        <v>0</v>
      </c>
      <c r="J82" s="60">
        <v>0</v>
      </c>
      <c r="K82" s="60">
        <v>0</v>
      </c>
      <c r="L82" s="60">
        <v>0</v>
      </c>
      <c r="M82" s="60">
        <v>0</v>
      </c>
      <c r="N82" s="60">
        <v>0</v>
      </c>
      <c r="O82" s="60">
        <v>0</v>
      </c>
      <c r="P82" s="60">
        <v>0</v>
      </c>
      <c r="Q82" s="60">
        <v>0</v>
      </c>
      <c r="R82" s="60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0">
        <v>0</v>
      </c>
      <c r="AF82" s="60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</row>
    <row r="83" spans="1:39" ht="15.75" hidden="1" outlineLevel="1" thickBot="1">
      <c r="A83" s="59" t="s">
        <v>101</v>
      </c>
      <c r="B83" s="60">
        <v>100.99</v>
      </c>
      <c r="C83" s="60">
        <v>109.37</v>
      </c>
      <c r="D83" s="60">
        <v>120.07</v>
      </c>
      <c r="E83" s="60">
        <v>123.96</v>
      </c>
      <c r="F83" s="60">
        <v>119.48</v>
      </c>
      <c r="G83" s="60">
        <v>116.62</v>
      </c>
      <c r="H83" s="60">
        <v>111.67</v>
      </c>
      <c r="I83" s="60">
        <v>108.2</v>
      </c>
      <c r="J83" s="60">
        <v>108.56</v>
      </c>
      <c r="K83" s="60">
        <v>109.79</v>
      </c>
      <c r="L83" s="60">
        <v>112.14</v>
      </c>
      <c r="M83" s="60">
        <v>114.49</v>
      </c>
      <c r="N83" s="60">
        <v>116.84</v>
      </c>
      <c r="O83" s="60">
        <v>119.19</v>
      </c>
      <c r="P83" s="60">
        <v>121.54</v>
      </c>
      <c r="Q83" s="60">
        <v>123.89</v>
      </c>
      <c r="R83" s="60">
        <v>126.24</v>
      </c>
      <c r="S83" s="60">
        <v>128.59</v>
      </c>
      <c r="T83" s="60">
        <v>130.94</v>
      </c>
      <c r="U83" s="60">
        <v>133.29</v>
      </c>
      <c r="V83" s="60">
        <v>135.63999999999999</v>
      </c>
      <c r="W83" s="60">
        <v>137.99</v>
      </c>
      <c r="X83" s="60">
        <v>140.34</v>
      </c>
      <c r="Y83" s="60">
        <v>142.68</v>
      </c>
      <c r="Z83" s="60">
        <v>145.03</v>
      </c>
      <c r="AA83" s="60">
        <v>147.38</v>
      </c>
      <c r="AB83" s="60">
        <v>149.72999999999999</v>
      </c>
      <c r="AC83" s="60">
        <v>152.08000000000001</v>
      </c>
      <c r="AD83" s="60">
        <v>154.43</v>
      </c>
      <c r="AE83" s="60">
        <v>156.78</v>
      </c>
      <c r="AF83" s="60">
        <v>159.13</v>
      </c>
      <c r="AG83" s="60">
        <v>161.47999999999999</v>
      </c>
      <c r="AH83" s="60">
        <v>163.83000000000001</v>
      </c>
      <c r="AI83" s="60">
        <v>166.18</v>
      </c>
      <c r="AJ83" s="60">
        <v>168.53</v>
      </c>
      <c r="AK83" s="60">
        <v>170.88</v>
      </c>
      <c r="AL83" s="60">
        <v>173.23</v>
      </c>
      <c r="AM83" s="60">
        <v>175.58</v>
      </c>
    </row>
    <row r="84" spans="1:39" ht="15.75" hidden="1" outlineLevel="1" thickBot="1">
      <c r="A84" s="59" t="s">
        <v>102</v>
      </c>
      <c r="B84" s="60">
        <v>0</v>
      </c>
      <c r="C84" s="60">
        <v>0</v>
      </c>
      <c r="D84" s="60">
        <v>0</v>
      </c>
      <c r="E84" s="60">
        <v>0</v>
      </c>
      <c r="F84" s="60">
        <v>0</v>
      </c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0</v>
      </c>
      <c r="R84" s="60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0">
        <v>0</v>
      </c>
      <c r="Y84" s="60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60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</row>
    <row r="85" spans="1:39" ht="15.75" hidden="1" outlineLevel="1" thickBot="1">
      <c r="A85" s="59" t="s">
        <v>103</v>
      </c>
      <c r="B85" s="60">
        <v>0</v>
      </c>
      <c r="C85" s="60">
        <v>0</v>
      </c>
      <c r="D85" s="60">
        <v>0</v>
      </c>
      <c r="E85" s="60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60">
        <v>0</v>
      </c>
      <c r="M85" s="60">
        <v>0</v>
      </c>
      <c r="N85" s="60">
        <v>0</v>
      </c>
      <c r="O85" s="60">
        <v>0</v>
      </c>
      <c r="P85" s="60">
        <v>0</v>
      </c>
      <c r="Q85" s="60">
        <v>0</v>
      </c>
      <c r="R85" s="60">
        <v>0</v>
      </c>
      <c r="S85" s="60">
        <v>0</v>
      </c>
      <c r="T85" s="60">
        <v>0</v>
      </c>
      <c r="U85" s="60">
        <v>0</v>
      </c>
      <c r="V85" s="60">
        <v>0</v>
      </c>
      <c r="W85" s="60">
        <v>0</v>
      </c>
      <c r="X85" s="60">
        <v>0</v>
      </c>
      <c r="Y85" s="60">
        <v>0</v>
      </c>
      <c r="Z85" s="60">
        <v>0</v>
      </c>
      <c r="AA85" s="60">
        <v>0</v>
      </c>
      <c r="AB85" s="60">
        <v>0</v>
      </c>
      <c r="AC85" s="60">
        <v>0</v>
      </c>
      <c r="AD85" s="60">
        <v>0</v>
      </c>
      <c r="AE85" s="60">
        <v>0</v>
      </c>
      <c r="AF85" s="60">
        <v>0</v>
      </c>
      <c r="AG85" s="60">
        <v>0</v>
      </c>
      <c r="AH85" s="60">
        <v>0</v>
      </c>
      <c r="AI85" s="60">
        <v>0</v>
      </c>
      <c r="AJ85" s="60">
        <v>0</v>
      </c>
      <c r="AK85" s="60">
        <v>0</v>
      </c>
      <c r="AL85" s="60">
        <v>0</v>
      </c>
      <c r="AM85" s="60">
        <v>0</v>
      </c>
    </row>
    <row r="86" spans="1:39" ht="15.75" hidden="1" outlineLevel="1" thickBot="1">
      <c r="A86" s="59" t="s">
        <v>44</v>
      </c>
      <c r="B86" s="60">
        <v>0</v>
      </c>
      <c r="C86" s="60">
        <v>0</v>
      </c>
      <c r="D86" s="60">
        <v>0</v>
      </c>
      <c r="E86" s="60">
        <v>0</v>
      </c>
      <c r="F86" s="60">
        <v>0</v>
      </c>
      <c r="G86" s="60">
        <v>0</v>
      </c>
      <c r="H86" s="60">
        <v>0</v>
      </c>
      <c r="I86" s="60">
        <v>0</v>
      </c>
      <c r="J86" s="60">
        <v>0</v>
      </c>
      <c r="K86" s="60">
        <v>0</v>
      </c>
      <c r="L86" s="60">
        <v>0</v>
      </c>
      <c r="M86" s="60">
        <v>0</v>
      </c>
      <c r="N86" s="60">
        <v>0</v>
      </c>
      <c r="O86" s="60">
        <v>0</v>
      </c>
      <c r="P86" s="60">
        <v>0</v>
      </c>
      <c r="Q86" s="60">
        <v>0</v>
      </c>
      <c r="R86" s="60">
        <v>0</v>
      </c>
      <c r="S86" s="60">
        <v>0</v>
      </c>
      <c r="T86" s="60">
        <v>0</v>
      </c>
      <c r="U86" s="60">
        <v>0</v>
      </c>
      <c r="V86" s="60">
        <v>0</v>
      </c>
      <c r="W86" s="60">
        <v>0</v>
      </c>
      <c r="X86" s="60">
        <v>0</v>
      </c>
      <c r="Y86" s="60">
        <v>0</v>
      </c>
      <c r="Z86" s="60">
        <v>0</v>
      </c>
      <c r="AA86" s="60">
        <v>0</v>
      </c>
      <c r="AB86" s="60">
        <v>0</v>
      </c>
      <c r="AC86" s="60">
        <v>0</v>
      </c>
      <c r="AD86" s="60">
        <v>0</v>
      </c>
      <c r="AE86" s="60">
        <v>0</v>
      </c>
      <c r="AF86" s="60">
        <v>0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</row>
    <row r="87" spans="1:39" ht="15.75" hidden="1" outlineLevel="1" thickBot="1">
      <c r="A87" s="59" t="s">
        <v>45</v>
      </c>
      <c r="B87" s="60">
        <v>0.27</v>
      </c>
      <c r="C87" s="60">
        <v>0.23</v>
      </c>
      <c r="D87" s="60">
        <v>0.24</v>
      </c>
      <c r="E87" s="60">
        <v>0.1</v>
      </c>
      <c r="F87" s="60">
        <v>0.1</v>
      </c>
      <c r="G87" s="60">
        <v>0.11</v>
      </c>
      <c r="H87" s="60">
        <v>0.11</v>
      </c>
      <c r="I87" s="60">
        <v>0.1</v>
      </c>
      <c r="J87" s="60">
        <v>0.09</v>
      </c>
      <c r="K87" s="60">
        <v>0.09</v>
      </c>
      <c r="L87" s="60">
        <v>0.09</v>
      </c>
      <c r="M87" s="60">
        <v>0.09</v>
      </c>
      <c r="N87" s="60">
        <v>0.09</v>
      </c>
      <c r="O87" s="60">
        <v>0.09</v>
      </c>
      <c r="P87" s="60">
        <v>0.09</v>
      </c>
      <c r="Q87" s="60">
        <v>0.09</v>
      </c>
      <c r="R87" s="60">
        <v>0.09</v>
      </c>
      <c r="S87" s="60">
        <v>0.09</v>
      </c>
      <c r="T87" s="60">
        <v>0.09</v>
      </c>
      <c r="U87" s="60">
        <v>0.09</v>
      </c>
      <c r="V87" s="60">
        <v>0.09</v>
      </c>
      <c r="W87" s="60">
        <v>0.09</v>
      </c>
      <c r="X87" s="60">
        <v>0.09</v>
      </c>
      <c r="Y87" s="60">
        <v>0.09</v>
      </c>
      <c r="Z87" s="60">
        <v>0.09</v>
      </c>
      <c r="AA87" s="60">
        <v>0.09</v>
      </c>
      <c r="AB87" s="60">
        <v>0.09</v>
      </c>
      <c r="AC87" s="60">
        <v>0.09</v>
      </c>
      <c r="AD87" s="60">
        <v>0.09</v>
      </c>
      <c r="AE87" s="60">
        <v>0.09</v>
      </c>
      <c r="AF87" s="60">
        <v>0.08</v>
      </c>
      <c r="AG87" s="60">
        <v>0.08</v>
      </c>
      <c r="AH87" s="60">
        <v>0.08</v>
      </c>
      <c r="AI87" s="60">
        <v>0.08</v>
      </c>
      <c r="AJ87" s="60">
        <v>0.08</v>
      </c>
      <c r="AK87" s="60">
        <v>0.08</v>
      </c>
      <c r="AL87" s="60">
        <v>0.08</v>
      </c>
      <c r="AM87" s="60">
        <v>0.08</v>
      </c>
    </row>
    <row r="88" spans="1:39" ht="15.75" hidden="1" outlineLevel="1" thickBot="1">
      <c r="A88" s="59" t="s">
        <v>104</v>
      </c>
      <c r="B88" s="60">
        <v>1.49</v>
      </c>
      <c r="C88" s="60">
        <v>1.1100000000000001</v>
      </c>
      <c r="D88" s="60">
        <v>2.2799999999999998</v>
      </c>
      <c r="E88" s="60">
        <v>2.2799999999999998</v>
      </c>
      <c r="F88" s="60">
        <v>2.21</v>
      </c>
      <c r="G88" s="60">
        <v>0.66</v>
      </c>
      <c r="H88" s="60">
        <v>1.04</v>
      </c>
      <c r="I88" s="60">
        <v>1.04</v>
      </c>
      <c r="J88" s="60">
        <v>1.28</v>
      </c>
      <c r="K88" s="60">
        <v>1.24</v>
      </c>
      <c r="L88" s="60">
        <v>1.19</v>
      </c>
      <c r="M88" s="60">
        <v>1.1499999999999999</v>
      </c>
      <c r="N88" s="60">
        <v>1.1100000000000001</v>
      </c>
      <c r="O88" s="60">
        <v>1.06</v>
      </c>
      <c r="P88" s="60">
        <v>1.02</v>
      </c>
      <c r="Q88" s="60">
        <v>0.97</v>
      </c>
      <c r="R88" s="60">
        <v>0.93</v>
      </c>
      <c r="S88" s="60">
        <v>0.88</v>
      </c>
      <c r="T88" s="60">
        <v>0.84</v>
      </c>
      <c r="U88" s="60">
        <v>0.8</v>
      </c>
      <c r="V88" s="60">
        <v>0.75</v>
      </c>
      <c r="W88" s="60">
        <v>0.71</v>
      </c>
      <c r="X88" s="60">
        <v>0.66</v>
      </c>
      <c r="Y88" s="60">
        <v>0.62</v>
      </c>
      <c r="Z88" s="60">
        <v>0.56999999999999995</v>
      </c>
      <c r="AA88" s="60">
        <v>0.53</v>
      </c>
      <c r="AB88" s="60">
        <v>0.49</v>
      </c>
      <c r="AC88" s="60">
        <v>0.44</v>
      </c>
      <c r="AD88" s="60">
        <v>0.4</v>
      </c>
      <c r="AE88" s="60">
        <v>0.35</v>
      </c>
      <c r="AF88" s="60">
        <v>0.31</v>
      </c>
      <c r="AG88" s="60">
        <v>0.27</v>
      </c>
      <c r="AH88" s="60">
        <v>0.22</v>
      </c>
      <c r="AI88" s="60">
        <v>0.18</v>
      </c>
      <c r="AJ88" s="60">
        <v>0.13</v>
      </c>
      <c r="AK88" s="60">
        <v>0.09</v>
      </c>
      <c r="AL88" s="60">
        <v>0.04</v>
      </c>
      <c r="AM88" s="60">
        <v>0</v>
      </c>
    </row>
    <row r="89" spans="1:39" ht="15.75" hidden="1" outlineLevel="1" thickBot="1">
      <c r="A89" s="59" t="s">
        <v>105</v>
      </c>
      <c r="B89" s="60">
        <v>0</v>
      </c>
      <c r="C89" s="60">
        <v>0</v>
      </c>
      <c r="D89" s="60">
        <v>0</v>
      </c>
      <c r="E89" s="60">
        <v>0</v>
      </c>
      <c r="F89" s="60">
        <v>0</v>
      </c>
      <c r="G89" s="60">
        <v>0</v>
      </c>
      <c r="H89" s="60">
        <v>0</v>
      </c>
      <c r="I89" s="60">
        <v>0</v>
      </c>
      <c r="J89" s="60">
        <v>0</v>
      </c>
      <c r="K89" s="60">
        <v>0</v>
      </c>
      <c r="L89" s="60">
        <v>0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  <c r="R89" s="60">
        <v>0</v>
      </c>
      <c r="S89" s="60">
        <v>0</v>
      </c>
      <c r="T89" s="60">
        <v>0</v>
      </c>
      <c r="U89" s="60">
        <v>0</v>
      </c>
      <c r="V89" s="60">
        <v>0</v>
      </c>
      <c r="W89" s="60">
        <v>0</v>
      </c>
      <c r="X89" s="60">
        <v>0</v>
      </c>
      <c r="Y89" s="60">
        <v>0</v>
      </c>
      <c r="Z89" s="60">
        <v>0</v>
      </c>
      <c r="AA89" s="60">
        <v>0</v>
      </c>
      <c r="AB89" s="60">
        <v>0</v>
      </c>
      <c r="AC89" s="60">
        <v>0</v>
      </c>
      <c r="AD89" s="60">
        <v>0</v>
      </c>
      <c r="AE89" s="60">
        <v>0</v>
      </c>
      <c r="AF89" s="60">
        <v>0</v>
      </c>
      <c r="AG89" s="60">
        <v>0</v>
      </c>
      <c r="AH89" s="60">
        <v>0</v>
      </c>
      <c r="AI89" s="60">
        <v>0</v>
      </c>
      <c r="AJ89" s="60">
        <v>0</v>
      </c>
      <c r="AK89" s="60">
        <v>0</v>
      </c>
      <c r="AL89" s="60">
        <v>0</v>
      </c>
      <c r="AM89" s="60">
        <v>0</v>
      </c>
    </row>
    <row r="90" spans="1:39" ht="15.75" hidden="1" outlineLevel="1" thickBot="1">
      <c r="A90" s="59" t="s">
        <v>106</v>
      </c>
      <c r="B90" s="60">
        <v>4.42</v>
      </c>
      <c r="C90" s="60">
        <v>5.25</v>
      </c>
      <c r="D90" s="60">
        <v>9.24</v>
      </c>
      <c r="E90" s="60">
        <v>10.119999999999999</v>
      </c>
      <c r="F90" s="60">
        <v>9.74</v>
      </c>
      <c r="G90" s="60">
        <v>10.63</v>
      </c>
      <c r="H90" s="60">
        <v>11.92</v>
      </c>
      <c r="I90" s="60">
        <v>10.33</v>
      </c>
      <c r="J90" s="60">
        <v>12.93</v>
      </c>
      <c r="K90" s="60">
        <v>13.13</v>
      </c>
      <c r="L90" s="60">
        <v>13.25</v>
      </c>
      <c r="M90" s="60">
        <v>13.38</v>
      </c>
      <c r="N90" s="60">
        <v>13.5</v>
      </c>
      <c r="O90" s="60">
        <v>13.63</v>
      </c>
      <c r="P90" s="60">
        <v>13.75</v>
      </c>
      <c r="Q90" s="60">
        <v>13.88</v>
      </c>
      <c r="R90" s="60">
        <v>14</v>
      </c>
      <c r="S90" s="60">
        <v>14.12</v>
      </c>
      <c r="T90" s="60">
        <v>14.25</v>
      </c>
      <c r="U90" s="60">
        <v>14.37</v>
      </c>
      <c r="V90" s="60">
        <v>14.5</v>
      </c>
      <c r="W90" s="60">
        <v>14.55</v>
      </c>
      <c r="X90" s="60">
        <v>14.52</v>
      </c>
      <c r="Y90" s="60">
        <v>14.48</v>
      </c>
      <c r="Z90" s="60">
        <v>14.44</v>
      </c>
      <c r="AA90" s="60">
        <v>14.41</v>
      </c>
      <c r="AB90" s="60">
        <v>14.37</v>
      </c>
      <c r="AC90" s="60">
        <v>14.33</v>
      </c>
      <c r="AD90" s="60">
        <v>14.3</v>
      </c>
      <c r="AE90" s="60">
        <v>14.26</v>
      </c>
      <c r="AF90" s="60">
        <v>14.22</v>
      </c>
      <c r="AG90" s="60">
        <v>14.19</v>
      </c>
      <c r="AH90" s="60">
        <v>14.15</v>
      </c>
      <c r="AI90" s="60">
        <v>14.11</v>
      </c>
      <c r="AJ90" s="60">
        <v>14.08</v>
      </c>
      <c r="AK90" s="60">
        <v>14.04</v>
      </c>
      <c r="AL90" s="60">
        <v>14</v>
      </c>
      <c r="AM90" s="60">
        <v>13.97</v>
      </c>
    </row>
    <row r="91" spans="1:39" ht="15.75" hidden="1" outlineLevel="1" thickBot="1">
      <c r="A91" s="59" t="s">
        <v>46</v>
      </c>
      <c r="B91" s="60">
        <v>36.130000000000003</v>
      </c>
      <c r="C91" s="60">
        <v>37.01</v>
      </c>
      <c r="D91" s="60">
        <v>36.869999999999997</v>
      </c>
      <c r="E91" s="60">
        <v>37.28</v>
      </c>
      <c r="F91" s="60">
        <v>36.729999999999997</v>
      </c>
      <c r="G91" s="60">
        <v>37.01</v>
      </c>
      <c r="H91" s="60">
        <v>36.29</v>
      </c>
      <c r="I91" s="60">
        <v>37.520000000000003</v>
      </c>
      <c r="J91" s="60">
        <v>37.19</v>
      </c>
      <c r="K91" s="60">
        <v>36.99</v>
      </c>
      <c r="L91" s="60">
        <v>40.28</v>
      </c>
      <c r="M91" s="60">
        <v>43.57</v>
      </c>
      <c r="N91" s="60">
        <v>46.85</v>
      </c>
      <c r="O91" s="60">
        <v>50.14</v>
      </c>
      <c r="P91" s="60">
        <v>53.42</v>
      </c>
      <c r="Q91" s="60">
        <v>56.71</v>
      </c>
      <c r="R91" s="60">
        <v>59.99</v>
      </c>
      <c r="S91" s="60">
        <v>63.28</v>
      </c>
      <c r="T91" s="60">
        <v>66.56</v>
      </c>
      <c r="U91" s="60">
        <v>69.849999999999994</v>
      </c>
      <c r="V91" s="60">
        <v>73.13</v>
      </c>
      <c r="W91" s="60">
        <v>76.489999999999995</v>
      </c>
      <c r="X91" s="60">
        <v>79.930000000000007</v>
      </c>
      <c r="Y91" s="60">
        <v>83.38</v>
      </c>
      <c r="Z91" s="60">
        <v>86.83</v>
      </c>
      <c r="AA91" s="60">
        <v>90.27</v>
      </c>
      <c r="AB91" s="60">
        <v>93.72</v>
      </c>
      <c r="AC91" s="60">
        <v>97.17</v>
      </c>
      <c r="AD91" s="60">
        <v>100.61</v>
      </c>
      <c r="AE91" s="60">
        <v>104.06</v>
      </c>
      <c r="AF91" s="60">
        <v>107.5</v>
      </c>
      <c r="AG91" s="60">
        <v>110.95</v>
      </c>
      <c r="AH91" s="60">
        <v>114.4</v>
      </c>
      <c r="AI91" s="60">
        <v>117.84</v>
      </c>
      <c r="AJ91" s="60">
        <v>121.29</v>
      </c>
      <c r="AK91" s="60">
        <v>124.74</v>
      </c>
      <c r="AL91" s="60">
        <v>128.18</v>
      </c>
      <c r="AM91" s="60">
        <v>131.63</v>
      </c>
    </row>
    <row r="92" spans="1:39" ht="15.75" hidden="1" outlineLevel="1" thickBot="1">
      <c r="A92" s="59" t="s">
        <v>107</v>
      </c>
      <c r="B92" s="60">
        <v>0</v>
      </c>
      <c r="C92" s="60">
        <v>0</v>
      </c>
      <c r="D92" s="60">
        <v>0</v>
      </c>
      <c r="E92" s="60">
        <v>0</v>
      </c>
      <c r="F92" s="60">
        <v>0</v>
      </c>
      <c r="G92" s="60">
        <v>0</v>
      </c>
      <c r="H92" s="60">
        <v>0</v>
      </c>
      <c r="I92" s="60">
        <v>0</v>
      </c>
      <c r="J92" s="60">
        <v>0</v>
      </c>
      <c r="K92" s="60">
        <v>0</v>
      </c>
      <c r="L92" s="60">
        <v>0</v>
      </c>
      <c r="M92" s="60">
        <v>0</v>
      </c>
      <c r="N92" s="60">
        <v>0</v>
      </c>
      <c r="O92" s="60">
        <v>0</v>
      </c>
      <c r="P92" s="60">
        <v>0</v>
      </c>
      <c r="Q92" s="60">
        <v>0</v>
      </c>
      <c r="R92" s="60">
        <v>0</v>
      </c>
      <c r="S92" s="60">
        <v>0</v>
      </c>
      <c r="T92" s="60">
        <v>0</v>
      </c>
      <c r="U92" s="60">
        <v>0</v>
      </c>
      <c r="V92" s="60">
        <v>0</v>
      </c>
      <c r="W92" s="60">
        <v>0</v>
      </c>
      <c r="X92" s="60">
        <v>0</v>
      </c>
      <c r="Y92" s="60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0">
        <v>0</v>
      </c>
      <c r="AF92" s="60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0">
        <v>0</v>
      </c>
      <c r="AM92" s="60">
        <v>0</v>
      </c>
    </row>
    <row r="93" spans="1:39" ht="15.75" hidden="1" outlineLevel="1" thickBot="1">
      <c r="A93" s="61" t="s">
        <v>108</v>
      </c>
      <c r="B93" s="62">
        <v>0</v>
      </c>
      <c r="C93" s="62">
        <v>0</v>
      </c>
      <c r="D93" s="62">
        <v>0</v>
      </c>
      <c r="E93" s="62">
        <v>0</v>
      </c>
      <c r="F93" s="62">
        <v>0</v>
      </c>
      <c r="G93" s="62">
        <v>0</v>
      </c>
      <c r="H93" s="62">
        <v>0</v>
      </c>
      <c r="I93" s="62">
        <v>0</v>
      </c>
      <c r="J93" s="62">
        <v>0</v>
      </c>
      <c r="K93" s="62">
        <v>0</v>
      </c>
      <c r="L93" s="62">
        <v>0</v>
      </c>
      <c r="M93" s="62">
        <v>0</v>
      </c>
      <c r="N93" s="62">
        <v>0</v>
      </c>
      <c r="O93" s="62">
        <v>0</v>
      </c>
      <c r="P93" s="62">
        <v>0</v>
      </c>
      <c r="Q93" s="62">
        <v>0</v>
      </c>
      <c r="R93" s="62">
        <v>0</v>
      </c>
      <c r="S93" s="62">
        <v>0</v>
      </c>
      <c r="T93" s="62">
        <v>0</v>
      </c>
      <c r="U93" s="62">
        <v>0</v>
      </c>
      <c r="V93" s="62">
        <v>0</v>
      </c>
      <c r="W93" s="62">
        <v>0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0</v>
      </c>
      <c r="AF93" s="62">
        <v>0</v>
      </c>
      <c r="AG93" s="62">
        <v>0</v>
      </c>
      <c r="AH93" s="62">
        <v>0</v>
      </c>
      <c r="AI93" s="62">
        <v>0</v>
      </c>
      <c r="AJ93" s="62">
        <v>0</v>
      </c>
      <c r="AK93" s="62">
        <v>0</v>
      </c>
      <c r="AL93" s="62">
        <v>0</v>
      </c>
      <c r="AM93" s="62">
        <v>0</v>
      </c>
    </row>
    <row r="94" spans="1:39" ht="33" collapsed="1" thickTop="1" thickBot="1">
      <c r="A94" s="65" t="s">
        <v>111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</row>
    <row r="95" spans="1:39" ht="16.5" hidden="1" outlineLevel="1" thickTop="1" thickBot="1">
      <c r="A95" s="57" t="s">
        <v>41</v>
      </c>
      <c r="B95" s="58">
        <v>2013</v>
      </c>
      <c r="C95" s="58">
        <v>2014</v>
      </c>
      <c r="D95" s="58">
        <v>2015</v>
      </c>
      <c r="E95" s="58">
        <v>2016</v>
      </c>
      <c r="F95" s="58">
        <v>2017</v>
      </c>
      <c r="G95" s="58">
        <v>2018</v>
      </c>
      <c r="H95" s="58">
        <v>2019</v>
      </c>
      <c r="I95" s="58">
        <v>2020</v>
      </c>
      <c r="J95" s="58">
        <v>2021</v>
      </c>
      <c r="K95" s="58">
        <v>2022</v>
      </c>
      <c r="L95" s="58">
        <v>2023</v>
      </c>
      <c r="M95" s="58">
        <v>2024</v>
      </c>
      <c r="N95" s="58">
        <v>2025</v>
      </c>
      <c r="O95" s="58">
        <v>2026</v>
      </c>
      <c r="P95" s="58">
        <v>2027</v>
      </c>
      <c r="Q95" s="58">
        <v>2028</v>
      </c>
      <c r="R95" s="58">
        <v>2029</v>
      </c>
      <c r="S95" s="58">
        <v>2030</v>
      </c>
      <c r="T95" s="58">
        <v>2031</v>
      </c>
      <c r="U95" s="58">
        <v>2032</v>
      </c>
      <c r="V95" s="58">
        <v>2033</v>
      </c>
      <c r="W95" s="58">
        <v>2034</v>
      </c>
      <c r="X95" s="58">
        <v>2035</v>
      </c>
      <c r="Y95" s="58">
        <v>2036</v>
      </c>
      <c r="Z95" s="58">
        <v>2037</v>
      </c>
      <c r="AA95" s="58">
        <v>2038</v>
      </c>
      <c r="AB95" s="58">
        <v>2039</v>
      </c>
      <c r="AC95" s="58">
        <v>2040</v>
      </c>
      <c r="AD95" s="58">
        <v>2041</v>
      </c>
      <c r="AE95" s="58">
        <v>2042</v>
      </c>
      <c r="AF95" s="58">
        <v>2043</v>
      </c>
      <c r="AG95" s="58">
        <v>2044</v>
      </c>
      <c r="AH95" s="58">
        <v>2045</v>
      </c>
      <c r="AI95" s="58">
        <v>2046</v>
      </c>
      <c r="AJ95" s="58">
        <v>2047</v>
      </c>
      <c r="AK95" s="58">
        <v>2048</v>
      </c>
      <c r="AL95" s="58">
        <v>2049</v>
      </c>
      <c r="AM95" s="58">
        <v>2050</v>
      </c>
    </row>
    <row r="96" spans="1:39" ht="16.5" hidden="1" outlineLevel="1" thickTop="1" thickBot="1">
      <c r="A96" s="59" t="s">
        <v>83</v>
      </c>
      <c r="B96" s="60">
        <v>0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0</v>
      </c>
      <c r="R96" s="60">
        <v>0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0</v>
      </c>
      <c r="Y96" s="60">
        <v>0</v>
      </c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60">
        <v>0</v>
      </c>
    </row>
    <row r="97" spans="1:39" ht="15.75" hidden="1" outlineLevel="1" thickBot="1">
      <c r="A97" s="59" t="s">
        <v>84</v>
      </c>
      <c r="B97" s="60">
        <v>0</v>
      </c>
      <c r="C97" s="60">
        <v>0</v>
      </c>
      <c r="D97" s="60">
        <v>0</v>
      </c>
      <c r="E97" s="60">
        <v>0</v>
      </c>
      <c r="F97" s="60">
        <v>0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60">
        <v>0</v>
      </c>
      <c r="M97" s="60">
        <v>0</v>
      </c>
      <c r="N97" s="60">
        <v>0</v>
      </c>
      <c r="O97" s="60">
        <v>0</v>
      </c>
      <c r="P97" s="60">
        <v>0</v>
      </c>
      <c r="Q97" s="60">
        <v>0</v>
      </c>
      <c r="R97" s="60">
        <v>0</v>
      </c>
      <c r="S97" s="60">
        <v>0</v>
      </c>
      <c r="T97" s="60">
        <v>0</v>
      </c>
      <c r="U97" s="60">
        <v>0</v>
      </c>
      <c r="V97" s="60">
        <v>0</v>
      </c>
      <c r="W97" s="60">
        <v>0</v>
      </c>
      <c r="X97" s="60">
        <v>0</v>
      </c>
      <c r="Y97" s="60">
        <v>0</v>
      </c>
      <c r="Z97" s="60">
        <v>0</v>
      </c>
      <c r="AA97" s="60">
        <v>0</v>
      </c>
      <c r="AB97" s="60">
        <v>0</v>
      </c>
      <c r="AC97" s="60">
        <v>0</v>
      </c>
      <c r="AD97" s="60">
        <v>0</v>
      </c>
      <c r="AE97" s="60">
        <v>0</v>
      </c>
      <c r="AF97" s="60">
        <v>0</v>
      </c>
      <c r="AG97" s="60">
        <v>0</v>
      </c>
      <c r="AH97" s="60">
        <v>0</v>
      </c>
      <c r="AI97" s="60">
        <v>0</v>
      </c>
      <c r="AJ97" s="60">
        <v>0</v>
      </c>
      <c r="AK97" s="60">
        <v>0</v>
      </c>
      <c r="AL97" s="60">
        <v>0</v>
      </c>
      <c r="AM97" s="60">
        <v>0</v>
      </c>
    </row>
    <row r="98" spans="1:39" ht="15.75" hidden="1" outlineLevel="1" thickBot="1">
      <c r="A98" s="59" t="s">
        <v>85</v>
      </c>
      <c r="B98" s="60">
        <v>0</v>
      </c>
      <c r="C98" s="60">
        <v>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60">
        <v>0</v>
      </c>
      <c r="O98" s="60">
        <v>0</v>
      </c>
      <c r="P98" s="60">
        <v>0</v>
      </c>
      <c r="Q98" s="60">
        <v>0</v>
      </c>
      <c r="R98" s="60">
        <v>0</v>
      </c>
      <c r="S98" s="60">
        <v>0</v>
      </c>
      <c r="T98" s="60">
        <v>0</v>
      </c>
      <c r="U98" s="60">
        <v>0</v>
      </c>
      <c r="V98" s="60">
        <v>0</v>
      </c>
      <c r="W98" s="60">
        <v>0</v>
      </c>
      <c r="X98" s="60">
        <v>0</v>
      </c>
      <c r="Y98" s="60">
        <v>0</v>
      </c>
      <c r="Z98" s="60">
        <v>0</v>
      </c>
      <c r="AA98" s="60">
        <v>0</v>
      </c>
      <c r="AB98" s="60">
        <v>0</v>
      </c>
      <c r="AC98" s="60">
        <v>0</v>
      </c>
      <c r="AD98" s="60">
        <v>0</v>
      </c>
      <c r="AE98" s="60">
        <v>0</v>
      </c>
      <c r="AF98" s="60">
        <v>0</v>
      </c>
      <c r="AG98" s="60">
        <v>0</v>
      </c>
      <c r="AH98" s="60">
        <v>0</v>
      </c>
      <c r="AI98" s="60">
        <v>0</v>
      </c>
      <c r="AJ98" s="60">
        <v>0</v>
      </c>
      <c r="AK98" s="60">
        <v>0</v>
      </c>
      <c r="AL98" s="60">
        <v>0</v>
      </c>
      <c r="AM98" s="60">
        <v>0</v>
      </c>
    </row>
    <row r="99" spans="1:39" ht="15.75" hidden="1" outlineLevel="1" thickBot="1">
      <c r="A99" s="59" t="s">
        <v>86</v>
      </c>
      <c r="B99" s="60">
        <v>0</v>
      </c>
      <c r="C99" s="60">
        <v>0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0</v>
      </c>
      <c r="Q99" s="60">
        <v>0</v>
      </c>
      <c r="R99" s="60">
        <v>0</v>
      </c>
      <c r="S99" s="60">
        <v>0</v>
      </c>
      <c r="T99" s="60">
        <v>0</v>
      </c>
      <c r="U99" s="60">
        <v>0</v>
      </c>
      <c r="V99" s="60">
        <v>0</v>
      </c>
      <c r="W99" s="60">
        <v>0</v>
      </c>
      <c r="X99" s="60">
        <v>0</v>
      </c>
      <c r="Y99" s="60">
        <v>0</v>
      </c>
      <c r="Z99" s="60">
        <v>0</v>
      </c>
      <c r="AA99" s="60">
        <v>0</v>
      </c>
      <c r="AB99" s="60">
        <v>0</v>
      </c>
      <c r="AC99" s="60">
        <v>0</v>
      </c>
      <c r="AD99" s="60">
        <v>0</v>
      </c>
      <c r="AE99" s="60">
        <v>0</v>
      </c>
      <c r="AF99" s="60">
        <v>0</v>
      </c>
      <c r="AG99" s="60">
        <v>0</v>
      </c>
      <c r="AH99" s="60">
        <v>0</v>
      </c>
      <c r="AI99" s="60">
        <v>0</v>
      </c>
      <c r="AJ99" s="60">
        <v>0</v>
      </c>
      <c r="AK99" s="60">
        <v>0</v>
      </c>
      <c r="AL99" s="60">
        <v>0</v>
      </c>
      <c r="AM99" s="60">
        <v>0</v>
      </c>
    </row>
    <row r="100" spans="1:39" ht="15.75" hidden="1" outlineLevel="1" thickBot="1">
      <c r="A100" s="59" t="s">
        <v>87</v>
      </c>
      <c r="B100" s="60">
        <v>0</v>
      </c>
      <c r="C100" s="60">
        <v>0</v>
      </c>
      <c r="D100" s="60">
        <v>0</v>
      </c>
      <c r="E100" s="60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0</v>
      </c>
      <c r="Q100" s="60">
        <v>0</v>
      </c>
      <c r="R100" s="60">
        <v>0</v>
      </c>
      <c r="S100" s="60">
        <v>0</v>
      </c>
      <c r="T100" s="60">
        <v>0</v>
      </c>
      <c r="U100" s="60">
        <v>0</v>
      </c>
      <c r="V100" s="60">
        <v>0</v>
      </c>
      <c r="W100" s="60">
        <v>0</v>
      </c>
      <c r="X100" s="60">
        <v>0</v>
      </c>
      <c r="Y100" s="60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60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60">
        <v>0</v>
      </c>
    </row>
    <row r="101" spans="1:39" ht="15.75" hidden="1" outlineLevel="1" thickBot="1">
      <c r="A101" s="59" t="s">
        <v>88</v>
      </c>
      <c r="B101" s="60">
        <v>0</v>
      </c>
      <c r="C101" s="60">
        <v>0</v>
      </c>
      <c r="D101" s="60">
        <v>0</v>
      </c>
      <c r="E101" s="60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0</v>
      </c>
      <c r="Q101" s="60">
        <v>0</v>
      </c>
      <c r="R101" s="60">
        <v>0</v>
      </c>
      <c r="S101" s="60">
        <v>0</v>
      </c>
      <c r="T101" s="60">
        <v>0</v>
      </c>
      <c r="U101" s="60">
        <v>0</v>
      </c>
      <c r="V101" s="60">
        <v>0</v>
      </c>
      <c r="W101" s="60">
        <v>0</v>
      </c>
      <c r="X101" s="60">
        <v>0</v>
      </c>
      <c r="Y101" s="60">
        <v>0</v>
      </c>
      <c r="Z101" s="60">
        <v>0</v>
      </c>
      <c r="AA101" s="60">
        <v>0</v>
      </c>
      <c r="AB101" s="60">
        <v>0</v>
      </c>
      <c r="AC101" s="60">
        <v>0</v>
      </c>
      <c r="AD101" s="60">
        <v>0</v>
      </c>
      <c r="AE101" s="60">
        <v>0</v>
      </c>
      <c r="AF101" s="60">
        <v>0</v>
      </c>
      <c r="AG101" s="60">
        <v>0</v>
      </c>
      <c r="AH101" s="60">
        <v>0</v>
      </c>
      <c r="AI101" s="60">
        <v>0</v>
      </c>
      <c r="AJ101" s="60">
        <v>0</v>
      </c>
      <c r="AK101" s="60">
        <v>0</v>
      </c>
      <c r="AL101" s="60">
        <v>0</v>
      </c>
      <c r="AM101" s="60">
        <v>0</v>
      </c>
    </row>
    <row r="102" spans="1:39" ht="15.75" hidden="1" outlineLevel="1" thickBot="1">
      <c r="A102" s="59" t="s">
        <v>89</v>
      </c>
      <c r="B102" s="60">
        <v>0</v>
      </c>
      <c r="C102" s="60">
        <v>0</v>
      </c>
      <c r="D102" s="60">
        <v>0</v>
      </c>
      <c r="E102" s="60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0</v>
      </c>
      <c r="Q102" s="60">
        <v>0</v>
      </c>
      <c r="R102" s="60">
        <v>0</v>
      </c>
      <c r="S102" s="60">
        <v>0</v>
      </c>
      <c r="T102" s="60">
        <v>0</v>
      </c>
      <c r="U102" s="60">
        <v>0</v>
      </c>
      <c r="V102" s="60">
        <v>0</v>
      </c>
      <c r="W102" s="60">
        <v>0</v>
      </c>
      <c r="X102" s="60">
        <v>0</v>
      </c>
      <c r="Y102" s="60">
        <v>0</v>
      </c>
      <c r="Z102" s="60">
        <v>0</v>
      </c>
      <c r="AA102" s="60">
        <v>0</v>
      </c>
      <c r="AB102" s="60">
        <v>0</v>
      </c>
      <c r="AC102" s="60">
        <v>0</v>
      </c>
      <c r="AD102" s="60">
        <v>0</v>
      </c>
      <c r="AE102" s="60">
        <v>0</v>
      </c>
      <c r="AF102" s="60">
        <v>0</v>
      </c>
      <c r="AG102" s="60">
        <v>0</v>
      </c>
      <c r="AH102" s="60">
        <v>0</v>
      </c>
      <c r="AI102" s="60">
        <v>0</v>
      </c>
      <c r="AJ102" s="60">
        <v>0</v>
      </c>
      <c r="AK102" s="60">
        <v>0</v>
      </c>
      <c r="AL102" s="60">
        <v>0</v>
      </c>
      <c r="AM102" s="60">
        <v>0</v>
      </c>
    </row>
    <row r="103" spans="1:39" ht="15.75" hidden="1" outlineLevel="1" thickBot="1">
      <c r="A103" s="59" t="s">
        <v>90</v>
      </c>
      <c r="B103" s="60">
        <v>0</v>
      </c>
      <c r="C103" s="60">
        <v>0</v>
      </c>
      <c r="D103" s="60">
        <v>0</v>
      </c>
      <c r="E103" s="60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0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  <c r="R103" s="60">
        <v>0</v>
      </c>
      <c r="S103" s="60">
        <v>0</v>
      </c>
      <c r="T103" s="60">
        <v>0</v>
      </c>
      <c r="U103" s="60">
        <v>0</v>
      </c>
      <c r="V103" s="60">
        <v>0</v>
      </c>
      <c r="W103" s="60">
        <v>0</v>
      </c>
      <c r="X103" s="60">
        <v>0</v>
      </c>
      <c r="Y103" s="60">
        <v>0</v>
      </c>
      <c r="Z103" s="60">
        <v>0</v>
      </c>
      <c r="AA103" s="60">
        <v>0</v>
      </c>
      <c r="AB103" s="60">
        <v>0</v>
      </c>
      <c r="AC103" s="60">
        <v>0</v>
      </c>
      <c r="AD103" s="60">
        <v>0</v>
      </c>
      <c r="AE103" s="60">
        <v>0</v>
      </c>
      <c r="AF103" s="60">
        <v>0</v>
      </c>
      <c r="AG103" s="60">
        <v>0</v>
      </c>
      <c r="AH103" s="60">
        <v>0</v>
      </c>
      <c r="AI103" s="60">
        <v>0</v>
      </c>
      <c r="AJ103" s="60">
        <v>0</v>
      </c>
      <c r="AK103" s="60">
        <v>0</v>
      </c>
      <c r="AL103" s="60">
        <v>0</v>
      </c>
      <c r="AM103" s="60">
        <v>0</v>
      </c>
    </row>
    <row r="104" spans="1:39" ht="15.75" hidden="1" outlineLevel="1" thickBot="1">
      <c r="A104" s="59" t="s">
        <v>91</v>
      </c>
      <c r="B104" s="60">
        <v>0</v>
      </c>
      <c r="C104" s="60">
        <v>0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0">
        <v>0</v>
      </c>
      <c r="Q104" s="60">
        <v>0</v>
      </c>
      <c r="R104" s="60">
        <v>0</v>
      </c>
      <c r="S104" s="60">
        <v>0</v>
      </c>
      <c r="T104" s="60">
        <v>0</v>
      </c>
      <c r="U104" s="60">
        <v>0</v>
      </c>
      <c r="V104" s="60">
        <v>0</v>
      </c>
      <c r="W104" s="60">
        <v>0</v>
      </c>
      <c r="X104" s="60">
        <v>0</v>
      </c>
      <c r="Y104" s="60">
        <v>0</v>
      </c>
      <c r="Z104" s="60">
        <v>0</v>
      </c>
      <c r="AA104" s="60">
        <v>0</v>
      </c>
      <c r="AB104" s="60">
        <v>0</v>
      </c>
      <c r="AC104" s="60">
        <v>0</v>
      </c>
      <c r="AD104" s="60">
        <v>0</v>
      </c>
      <c r="AE104" s="60">
        <v>0</v>
      </c>
      <c r="AF104" s="60">
        <v>0</v>
      </c>
      <c r="AG104" s="60">
        <v>0</v>
      </c>
      <c r="AH104" s="60">
        <v>0</v>
      </c>
      <c r="AI104" s="60">
        <v>0</v>
      </c>
      <c r="AJ104" s="60">
        <v>0</v>
      </c>
      <c r="AK104" s="60">
        <v>0</v>
      </c>
      <c r="AL104" s="60">
        <v>0</v>
      </c>
      <c r="AM104" s="60">
        <v>0</v>
      </c>
    </row>
    <row r="105" spans="1:39" ht="15.75" hidden="1" outlineLevel="1" thickBot="1">
      <c r="A105" s="59" t="s">
        <v>92</v>
      </c>
      <c r="B105" s="60">
        <v>0</v>
      </c>
      <c r="C105" s="60">
        <v>0</v>
      </c>
      <c r="D105" s="60">
        <v>0</v>
      </c>
      <c r="E105" s="60">
        <v>0</v>
      </c>
      <c r="F105" s="60">
        <v>0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0</v>
      </c>
      <c r="R105" s="60">
        <v>0</v>
      </c>
      <c r="S105" s="60">
        <v>0</v>
      </c>
      <c r="T105" s="60">
        <v>0</v>
      </c>
      <c r="U105" s="60">
        <v>0</v>
      </c>
      <c r="V105" s="60">
        <v>0</v>
      </c>
      <c r="W105" s="60">
        <v>0</v>
      </c>
      <c r="X105" s="60">
        <v>0</v>
      </c>
      <c r="Y105" s="60">
        <v>0</v>
      </c>
      <c r="Z105" s="60">
        <v>0</v>
      </c>
      <c r="AA105" s="60">
        <v>0</v>
      </c>
      <c r="AB105" s="60">
        <v>0</v>
      </c>
      <c r="AC105" s="60">
        <v>0</v>
      </c>
      <c r="AD105" s="60">
        <v>0</v>
      </c>
      <c r="AE105" s="60">
        <v>0</v>
      </c>
      <c r="AF105" s="60">
        <v>0</v>
      </c>
      <c r="AG105" s="60">
        <v>0</v>
      </c>
      <c r="AH105" s="60">
        <v>0</v>
      </c>
      <c r="AI105" s="60">
        <v>0</v>
      </c>
      <c r="AJ105" s="60">
        <v>0</v>
      </c>
      <c r="AK105" s="60">
        <v>0</v>
      </c>
      <c r="AL105" s="60">
        <v>0</v>
      </c>
      <c r="AM105" s="60">
        <v>0</v>
      </c>
    </row>
    <row r="106" spans="1:39" ht="15.75" hidden="1" outlineLevel="1" thickBot="1">
      <c r="A106" s="59" t="s">
        <v>93</v>
      </c>
      <c r="B106" s="60">
        <v>0</v>
      </c>
      <c r="C106" s="60">
        <v>0</v>
      </c>
      <c r="D106" s="60">
        <v>0</v>
      </c>
      <c r="E106" s="60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0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0</v>
      </c>
      <c r="R106" s="60">
        <v>0</v>
      </c>
      <c r="S106" s="60">
        <v>0</v>
      </c>
      <c r="T106" s="60">
        <v>0</v>
      </c>
      <c r="U106" s="60">
        <v>0</v>
      </c>
      <c r="V106" s="60">
        <v>0</v>
      </c>
      <c r="W106" s="60">
        <v>0</v>
      </c>
      <c r="X106" s="60">
        <v>0</v>
      </c>
      <c r="Y106" s="60">
        <v>0</v>
      </c>
      <c r="Z106" s="60">
        <v>0</v>
      </c>
      <c r="AA106" s="60">
        <v>0</v>
      </c>
      <c r="AB106" s="60">
        <v>0</v>
      </c>
      <c r="AC106" s="60">
        <v>0</v>
      </c>
      <c r="AD106" s="60">
        <v>0</v>
      </c>
      <c r="AE106" s="60">
        <v>0</v>
      </c>
      <c r="AF106" s="60">
        <v>0</v>
      </c>
      <c r="AG106" s="60">
        <v>0</v>
      </c>
      <c r="AH106" s="60">
        <v>0</v>
      </c>
      <c r="AI106" s="60">
        <v>0</v>
      </c>
      <c r="AJ106" s="60">
        <v>0</v>
      </c>
      <c r="AK106" s="60">
        <v>0</v>
      </c>
      <c r="AL106" s="60">
        <v>0</v>
      </c>
      <c r="AM106" s="60">
        <v>0</v>
      </c>
    </row>
    <row r="107" spans="1:39" ht="15.75" hidden="1" outlineLevel="1" thickBot="1">
      <c r="A107" s="59" t="s">
        <v>94</v>
      </c>
      <c r="B107" s="60">
        <v>0</v>
      </c>
      <c r="C107" s="60">
        <v>0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0</v>
      </c>
      <c r="R107" s="60">
        <v>0</v>
      </c>
      <c r="S107" s="60">
        <v>0</v>
      </c>
      <c r="T107" s="60"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v>0</v>
      </c>
      <c r="AB107" s="60">
        <v>0</v>
      </c>
      <c r="AC107" s="60">
        <v>0</v>
      </c>
      <c r="AD107" s="60">
        <v>0</v>
      </c>
      <c r="AE107" s="60">
        <v>0</v>
      </c>
      <c r="AF107" s="60">
        <v>0</v>
      </c>
      <c r="AG107" s="60">
        <v>0</v>
      </c>
      <c r="AH107" s="60">
        <v>0</v>
      </c>
      <c r="AI107" s="60">
        <v>0</v>
      </c>
      <c r="AJ107" s="60">
        <v>0</v>
      </c>
      <c r="AK107" s="60">
        <v>0</v>
      </c>
      <c r="AL107" s="60">
        <v>0</v>
      </c>
      <c r="AM107" s="60">
        <v>0</v>
      </c>
    </row>
    <row r="108" spans="1:39" ht="15.75" hidden="1" outlineLevel="1" thickBot="1">
      <c r="A108" s="59" t="s">
        <v>95</v>
      </c>
      <c r="B108" s="60">
        <v>0</v>
      </c>
      <c r="C108" s="60">
        <v>0</v>
      </c>
      <c r="D108" s="60">
        <v>0</v>
      </c>
      <c r="E108" s="60">
        <v>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0</v>
      </c>
      <c r="M108" s="60">
        <v>0</v>
      </c>
      <c r="N108" s="60">
        <v>0</v>
      </c>
      <c r="O108" s="60">
        <v>0</v>
      </c>
      <c r="P108" s="60">
        <v>0</v>
      </c>
      <c r="Q108" s="60">
        <v>0</v>
      </c>
      <c r="R108" s="60">
        <v>0</v>
      </c>
      <c r="S108" s="60">
        <v>0</v>
      </c>
      <c r="T108" s="60">
        <v>0</v>
      </c>
      <c r="U108" s="60">
        <v>0</v>
      </c>
      <c r="V108" s="60">
        <v>0</v>
      </c>
      <c r="W108" s="60">
        <v>0</v>
      </c>
      <c r="X108" s="60">
        <v>0</v>
      </c>
      <c r="Y108" s="60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60">
        <v>0</v>
      </c>
      <c r="AG108" s="60">
        <v>0</v>
      </c>
      <c r="AH108" s="60">
        <v>0</v>
      </c>
      <c r="AI108" s="60">
        <v>0</v>
      </c>
      <c r="AJ108" s="60">
        <v>0</v>
      </c>
      <c r="AK108" s="60">
        <v>0</v>
      </c>
      <c r="AL108" s="60">
        <v>0</v>
      </c>
      <c r="AM108" s="60">
        <v>0</v>
      </c>
    </row>
    <row r="109" spans="1:39" ht="15.75" hidden="1" outlineLevel="1" thickBot="1">
      <c r="A109" s="59" t="s">
        <v>96</v>
      </c>
      <c r="B109" s="60">
        <v>0</v>
      </c>
      <c r="C109" s="60">
        <v>0</v>
      </c>
      <c r="D109" s="60">
        <v>0</v>
      </c>
      <c r="E109" s="60">
        <v>0</v>
      </c>
      <c r="F109" s="60">
        <v>0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0</v>
      </c>
      <c r="Q109" s="60">
        <v>0</v>
      </c>
      <c r="R109" s="60">
        <v>0</v>
      </c>
      <c r="S109" s="60">
        <v>0</v>
      </c>
      <c r="T109" s="60">
        <v>0</v>
      </c>
      <c r="U109" s="60">
        <v>0</v>
      </c>
      <c r="V109" s="60">
        <v>0</v>
      </c>
      <c r="W109" s="60">
        <v>0</v>
      </c>
      <c r="X109" s="60">
        <v>0</v>
      </c>
      <c r="Y109" s="60">
        <v>0</v>
      </c>
      <c r="Z109" s="60">
        <v>0</v>
      </c>
      <c r="AA109" s="60">
        <v>0</v>
      </c>
      <c r="AB109" s="60">
        <v>0</v>
      </c>
      <c r="AC109" s="60">
        <v>0</v>
      </c>
      <c r="AD109" s="60">
        <v>0</v>
      </c>
      <c r="AE109" s="60">
        <v>0</v>
      </c>
      <c r="AF109" s="60">
        <v>0</v>
      </c>
      <c r="AG109" s="60">
        <v>0</v>
      </c>
      <c r="AH109" s="60">
        <v>0</v>
      </c>
      <c r="AI109" s="60">
        <v>0</v>
      </c>
      <c r="AJ109" s="60">
        <v>0</v>
      </c>
      <c r="AK109" s="60">
        <v>0</v>
      </c>
      <c r="AL109" s="60">
        <v>0</v>
      </c>
      <c r="AM109" s="60">
        <v>0</v>
      </c>
    </row>
    <row r="110" spans="1:39" ht="15.75" hidden="1" outlineLevel="1" thickBot="1">
      <c r="A110" s="59" t="s">
        <v>97</v>
      </c>
      <c r="B110" s="60">
        <v>0</v>
      </c>
      <c r="C110" s="60">
        <v>0</v>
      </c>
      <c r="D110" s="60">
        <v>0</v>
      </c>
      <c r="E110" s="60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  <c r="R110" s="60">
        <v>0</v>
      </c>
      <c r="S110" s="60">
        <v>0</v>
      </c>
      <c r="T110" s="60">
        <v>0</v>
      </c>
      <c r="U110" s="60">
        <v>0</v>
      </c>
      <c r="V110" s="60">
        <v>0</v>
      </c>
      <c r="W110" s="60">
        <v>0</v>
      </c>
      <c r="X110" s="60">
        <v>0</v>
      </c>
      <c r="Y110" s="60">
        <v>0</v>
      </c>
      <c r="Z110" s="60">
        <v>0</v>
      </c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60">
        <v>0</v>
      </c>
      <c r="AG110" s="60">
        <v>0</v>
      </c>
      <c r="AH110" s="60">
        <v>0</v>
      </c>
      <c r="AI110" s="60">
        <v>0</v>
      </c>
      <c r="AJ110" s="60">
        <v>0</v>
      </c>
      <c r="AK110" s="60">
        <v>0</v>
      </c>
      <c r="AL110" s="60">
        <v>0</v>
      </c>
      <c r="AM110" s="60">
        <v>0</v>
      </c>
    </row>
    <row r="111" spans="1:39" ht="15.75" hidden="1" outlineLevel="1" thickBot="1">
      <c r="A111" s="59" t="s">
        <v>98</v>
      </c>
      <c r="B111" s="60">
        <v>0</v>
      </c>
      <c r="C111" s="60">
        <v>0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  <c r="R111" s="60">
        <v>0</v>
      </c>
      <c r="S111" s="60">
        <v>0</v>
      </c>
      <c r="T111" s="60">
        <v>0</v>
      </c>
      <c r="U111" s="60">
        <v>0</v>
      </c>
      <c r="V111" s="60">
        <v>0</v>
      </c>
      <c r="W111" s="60">
        <v>0</v>
      </c>
      <c r="X111" s="60">
        <v>0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60">
        <v>0</v>
      </c>
      <c r="AG111" s="60">
        <v>0</v>
      </c>
      <c r="AH111" s="60">
        <v>0</v>
      </c>
      <c r="AI111" s="60">
        <v>0</v>
      </c>
      <c r="AJ111" s="60">
        <v>0</v>
      </c>
      <c r="AK111" s="60">
        <v>0</v>
      </c>
      <c r="AL111" s="60">
        <v>0</v>
      </c>
      <c r="AM111" s="60">
        <v>0</v>
      </c>
    </row>
    <row r="112" spans="1:39" ht="15.75" hidden="1" outlineLevel="1" thickBot="1">
      <c r="A112" s="59" t="s">
        <v>99</v>
      </c>
      <c r="B112" s="60">
        <v>0</v>
      </c>
      <c r="C112" s="60">
        <v>0</v>
      </c>
      <c r="D112" s="60">
        <v>0</v>
      </c>
      <c r="E112" s="60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  <c r="R112" s="60">
        <v>0</v>
      </c>
      <c r="S112" s="60">
        <v>0</v>
      </c>
      <c r="T112" s="60">
        <v>0</v>
      </c>
      <c r="U112" s="60">
        <v>0</v>
      </c>
      <c r="V112" s="60">
        <v>0</v>
      </c>
      <c r="W112" s="60">
        <v>0</v>
      </c>
      <c r="X112" s="60">
        <v>0</v>
      </c>
      <c r="Y112" s="60">
        <v>0</v>
      </c>
      <c r="Z112" s="60">
        <v>0</v>
      </c>
      <c r="AA112" s="60">
        <v>0</v>
      </c>
      <c r="AB112" s="60">
        <v>0</v>
      </c>
      <c r="AC112" s="60">
        <v>0</v>
      </c>
      <c r="AD112" s="60">
        <v>0</v>
      </c>
      <c r="AE112" s="60">
        <v>0</v>
      </c>
      <c r="AF112" s="60">
        <v>0</v>
      </c>
      <c r="AG112" s="60">
        <v>0</v>
      </c>
      <c r="AH112" s="60">
        <v>0</v>
      </c>
      <c r="AI112" s="60">
        <v>0</v>
      </c>
      <c r="AJ112" s="60">
        <v>0</v>
      </c>
      <c r="AK112" s="60">
        <v>0</v>
      </c>
      <c r="AL112" s="60">
        <v>0</v>
      </c>
      <c r="AM112" s="60">
        <v>0</v>
      </c>
    </row>
    <row r="113" spans="1:39" ht="15.75" hidden="1" outlineLevel="1" thickBot="1">
      <c r="A113" s="59" t="s">
        <v>100</v>
      </c>
      <c r="B113" s="60">
        <v>0</v>
      </c>
      <c r="C113" s="60">
        <v>0</v>
      </c>
      <c r="D113" s="60">
        <v>0</v>
      </c>
      <c r="E113" s="60">
        <v>0</v>
      </c>
      <c r="F113" s="60">
        <v>0</v>
      </c>
      <c r="G113" s="60">
        <v>0</v>
      </c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0</v>
      </c>
      <c r="R113" s="60">
        <v>0</v>
      </c>
      <c r="S113" s="60">
        <v>0</v>
      </c>
      <c r="T113" s="60">
        <v>0</v>
      </c>
      <c r="U113" s="60">
        <v>0</v>
      </c>
      <c r="V113" s="60">
        <v>0</v>
      </c>
      <c r="W113" s="60">
        <v>0</v>
      </c>
      <c r="X113" s="60">
        <v>0</v>
      </c>
      <c r="Y113" s="60">
        <v>0</v>
      </c>
      <c r="Z113" s="60">
        <v>0</v>
      </c>
      <c r="AA113" s="60">
        <v>0</v>
      </c>
      <c r="AB113" s="60">
        <v>0</v>
      </c>
      <c r="AC113" s="60">
        <v>0</v>
      </c>
      <c r="AD113" s="60">
        <v>0</v>
      </c>
      <c r="AE113" s="60">
        <v>0</v>
      </c>
      <c r="AF113" s="60">
        <v>0</v>
      </c>
      <c r="AG113" s="60">
        <v>0</v>
      </c>
      <c r="AH113" s="60">
        <v>0</v>
      </c>
      <c r="AI113" s="60">
        <v>0</v>
      </c>
      <c r="AJ113" s="60">
        <v>0</v>
      </c>
      <c r="AK113" s="60">
        <v>0</v>
      </c>
      <c r="AL113" s="60">
        <v>0</v>
      </c>
      <c r="AM113" s="60">
        <v>0</v>
      </c>
    </row>
    <row r="114" spans="1:39" ht="15.75" hidden="1" outlineLevel="1" thickBot="1">
      <c r="A114" s="59" t="s">
        <v>101</v>
      </c>
      <c r="B114" s="60">
        <v>1.91</v>
      </c>
      <c r="C114" s="60">
        <v>0.57999999999999996</v>
      </c>
      <c r="D114" s="60">
        <v>1.94</v>
      </c>
      <c r="E114" s="60">
        <v>6.81</v>
      </c>
      <c r="F114" s="60">
        <v>5.36</v>
      </c>
      <c r="G114" s="60">
        <v>6.26</v>
      </c>
      <c r="H114" s="60">
        <v>7.89</v>
      </c>
      <c r="I114" s="60">
        <v>5.67</v>
      </c>
      <c r="J114" s="60">
        <v>5.69</v>
      </c>
      <c r="K114" s="60">
        <v>5.75</v>
      </c>
      <c r="L114" s="60">
        <v>5.88</v>
      </c>
      <c r="M114" s="60">
        <v>6</v>
      </c>
      <c r="N114" s="60">
        <v>6.12</v>
      </c>
      <c r="O114" s="60">
        <v>6.25</v>
      </c>
      <c r="P114" s="60">
        <v>6.37</v>
      </c>
      <c r="Q114" s="60">
        <v>6.49</v>
      </c>
      <c r="R114" s="60">
        <v>6.62</v>
      </c>
      <c r="S114" s="60">
        <v>6.74</v>
      </c>
      <c r="T114" s="60">
        <v>6.86</v>
      </c>
      <c r="U114" s="60">
        <v>6.99</v>
      </c>
      <c r="V114" s="60">
        <v>7.11</v>
      </c>
      <c r="W114" s="60">
        <v>7.23</v>
      </c>
      <c r="X114" s="60">
        <v>7.36</v>
      </c>
      <c r="Y114" s="60">
        <v>7.48</v>
      </c>
      <c r="Z114" s="60">
        <v>7.6</v>
      </c>
      <c r="AA114" s="60">
        <v>7.72</v>
      </c>
      <c r="AB114" s="60">
        <v>7.85</v>
      </c>
      <c r="AC114" s="60">
        <v>7.97</v>
      </c>
      <c r="AD114" s="60">
        <v>8.09</v>
      </c>
      <c r="AE114" s="60">
        <v>8.2200000000000006</v>
      </c>
      <c r="AF114" s="60">
        <v>8.34</v>
      </c>
      <c r="AG114" s="60">
        <v>8.4600000000000009</v>
      </c>
      <c r="AH114" s="60">
        <v>8.59</v>
      </c>
      <c r="AI114" s="60">
        <v>8.7100000000000009</v>
      </c>
      <c r="AJ114" s="60">
        <v>8.83</v>
      </c>
      <c r="AK114" s="60">
        <v>8.9600000000000009</v>
      </c>
      <c r="AL114" s="60">
        <v>9.08</v>
      </c>
      <c r="AM114" s="60">
        <v>9.1999999999999993</v>
      </c>
    </row>
    <row r="115" spans="1:39" ht="15.75" hidden="1" outlineLevel="1" thickBot="1">
      <c r="A115" s="59" t="s">
        <v>102</v>
      </c>
      <c r="B115" s="60">
        <v>0.84</v>
      </c>
      <c r="C115" s="60">
        <v>0.84</v>
      </c>
      <c r="D115" s="60">
        <v>0.82</v>
      </c>
      <c r="E115" s="60">
        <v>0.78</v>
      </c>
      <c r="F115" s="60">
        <v>0.77</v>
      </c>
      <c r="G115" s="60">
        <v>0.75</v>
      </c>
      <c r="H115" s="60">
        <v>0.72</v>
      </c>
      <c r="I115" s="60">
        <v>0.68</v>
      </c>
      <c r="J115" s="60">
        <v>0.56000000000000005</v>
      </c>
      <c r="K115" s="60">
        <v>0.59</v>
      </c>
      <c r="L115" s="60">
        <v>0.6</v>
      </c>
      <c r="M115" s="60">
        <v>0.6</v>
      </c>
      <c r="N115" s="60">
        <v>0.6</v>
      </c>
      <c r="O115" s="60">
        <v>0.61</v>
      </c>
      <c r="P115" s="60">
        <v>0.61</v>
      </c>
      <c r="Q115" s="60">
        <v>0.61</v>
      </c>
      <c r="R115" s="60">
        <v>0.62</v>
      </c>
      <c r="S115" s="60">
        <v>0.62</v>
      </c>
      <c r="T115" s="60">
        <v>0.62</v>
      </c>
      <c r="U115" s="60">
        <v>0.63</v>
      </c>
      <c r="V115" s="60">
        <v>0.63</v>
      </c>
      <c r="W115" s="60">
        <v>0.63</v>
      </c>
      <c r="X115" s="60">
        <v>0.64</v>
      </c>
      <c r="Y115" s="60">
        <v>0.64</v>
      </c>
      <c r="Z115" s="60">
        <v>0.64</v>
      </c>
      <c r="AA115" s="60">
        <v>0.65</v>
      </c>
      <c r="AB115" s="60">
        <v>0.65</v>
      </c>
      <c r="AC115" s="60">
        <v>0.65</v>
      </c>
      <c r="AD115" s="60">
        <v>0.65</v>
      </c>
      <c r="AE115" s="60">
        <v>0.66</v>
      </c>
      <c r="AF115" s="60">
        <v>0.66</v>
      </c>
      <c r="AG115" s="60">
        <v>0.66</v>
      </c>
      <c r="AH115" s="60">
        <v>0.67</v>
      </c>
      <c r="AI115" s="60">
        <v>0.67</v>
      </c>
      <c r="AJ115" s="60">
        <v>0.67</v>
      </c>
      <c r="AK115" s="60">
        <v>0.68</v>
      </c>
      <c r="AL115" s="60">
        <v>0.68</v>
      </c>
      <c r="AM115" s="60">
        <v>0.68</v>
      </c>
    </row>
    <row r="116" spans="1:39" ht="15.75" hidden="1" outlineLevel="1" thickBot="1">
      <c r="A116" s="59" t="s">
        <v>103</v>
      </c>
      <c r="B116" s="60">
        <v>0</v>
      </c>
      <c r="C116" s="60">
        <v>0</v>
      </c>
      <c r="D116" s="60">
        <v>0</v>
      </c>
      <c r="E116" s="60">
        <v>0</v>
      </c>
      <c r="F116" s="60">
        <v>0</v>
      </c>
      <c r="G116" s="60">
        <v>0</v>
      </c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0</v>
      </c>
      <c r="R116" s="60">
        <v>0</v>
      </c>
      <c r="S116" s="60">
        <v>0</v>
      </c>
      <c r="T116" s="60">
        <v>0</v>
      </c>
      <c r="U116" s="60">
        <v>0</v>
      </c>
      <c r="V116" s="60">
        <v>0</v>
      </c>
      <c r="W116" s="60">
        <v>0</v>
      </c>
      <c r="X116" s="60">
        <v>0</v>
      </c>
      <c r="Y116" s="60">
        <v>0</v>
      </c>
      <c r="Z116" s="60">
        <v>0</v>
      </c>
      <c r="AA116" s="60">
        <v>0</v>
      </c>
      <c r="AB116" s="60">
        <v>0</v>
      </c>
      <c r="AC116" s="60">
        <v>0</v>
      </c>
      <c r="AD116" s="60">
        <v>0</v>
      </c>
      <c r="AE116" s="60">
        <v>0</v>
      </c>
      <c r="AF116" s="60">
        <v>0</v>
      </c>
      <c r="AG116" s="60">
        <v>0</v>
      </c>
      <c r="AH116" s="60">
        <v>0</v>
      </c>
      <c r="AI116" s="60">
        <v>0</v>
      </c>
      <c r="AJ116" s="60">
        <v>0</v>
      </c>
      <c r="AK116" s="60">
        <v>0</v>
      </c>
      <c r="AL116" s="60">
        <v>0</v>
      </c>
      <c r="AM116" s="60">
        <v>0</v>
      </c>
    </row>
    <row r="117" spans="1:39" ht="15.75" hidden="1" outlineLevel="1" thickBot="1">
      <c r="A117" s="59" t="s">
        <v>44</v>
      </c>
      <c r="B117" s="60">
        <v>0</v>
      </c>
      <c r="C117" s="60">
        <v>0</v>
      </c>
      <c r="D117" s="60">
        <v>0</v>
      </c>
      <c r="E117" s="60">
        <v>0</v>
      </c>
      <c r="F117" s="60">
        <v>0</v>
      </c>
      <c r="G117" s="60">
        <v>0</v>
      </c>
      <c r="H117" s="60">
        <v>0</v>
      </c>
      <c r="I117" s="60">
        <v>0</v>
      </c>
      <c r="J117" s="60">
        <v>0</v>
      </c>
      <c r="K117" s="60">
        <v>0</v>
      </c>
      <c r="L117" s="60">
        <v>0</v>
      </c>
      <c r="M117" s="60">
        <v>0</v>
      </c>
      <c r="N117" s="60">
        <v>0</v>
      </c>
      <c r="O117" s="60">
        <v>0</v>
      </c>
      <c r="P117" s="60">
        <v>0</v>
      </c>
      <c r="Q117" s="60">
        <v>0</v>
      </c>
      <c r="R117" s="60">
        <v>0</v>
      </c>
      <c r="S117" s="60">
        <v>0</v>
      </c>
      <c r="T117" s="60">
        <v>0</v>
      </c>
      <c r="U117" s="60">
        <v>0</v>
      </c>
      <c r="V117" s="60">
        <v>0</v>
      </c>
      <c r="W117" s="60">
        <v>0</v>
      </c>
      <c r="X117" s="60">
        <v>0</v>
      </c>
      <c r="Y117" s="60">
        <v>0</v>
      </c>
      <c r="Z117" s="60">
        <v>0</v>
      </c>
      <c r="AA117" s="60">
        <v>0</v>
      </c>
      <c r="AB117" s="60">
        <v>0</v>
      </c>
      <c r="AC117" s="60">
        <v>0</v>
      </c>
      <c r="AD117" s="60">
        <v>0</v>
      </c>
      <c r="AE117" s="60">
        <v>0</v>
      </c>
      <c r="AF117" s="60">
        <v>0</v>
      </c>
      <c r="AG117" s="60">
        <v>0</v>
      </c>
      <c r="AH117" s="60">
        <v>0</v>
      </c>
      <c r="AI117" s="60">
        <v>0</v>
      </c>
      <c r="AJ117" s="60">
        <v>0</v>
      </c>
      <c r="AK117" s="60">
        <v>0</v>
      </c>
      <c r="AL117" s="60">
        <v>0</v>
      </c>
      <c r="AM117" s="60">
        <v>0</v>
      </c>
    </row>
    <row r="118" spans="1:39" ht="15.75" hidden="1" outlineLevel="1" thickBot="1">
      <c r="A118" s="59" t="s">
        <v>45</v>
      </c>
      <c r="B118" s="60">
        <v>4.2</v>
      </c>
      <c r="C118" s="60">
        <v>4.18</v>
      </c>
      <c r="D118" s="60">
        <v>4.09</v>
      </c>
      <c r="E118" s="60">
        <v>3.91</v>
      </c>
      <c r="F118" s="60">
        <v>3.86</v>
      </c>
      <c r="G118" s="60">
        <v>3.73</v>
      </c>
      <c r="H118" s="60">
        <v>3.67</v>
      </c>
      <c r="I118" s="60">
        <v>3.01</v>
      </c>
      <c r="J118" s="60">
        <v>2.97</v>
      </c>
      <c r="K118" s="60">
        <v>2.98</v>
      </c>
      <c r="L118" s="60">
        <v>2.97</v>
      </c>
      <c r="M118" s="60">
        <v>2.96</v>
      </c>
      <c r="N118" s="60">
        <v>2.95</v>
      </c>
      <c r="O118" s="60">
        <v>2.94</v>
      </c>
      <c r="P118" s="60">
        <v>2.93</v>
      </c>
      <c r="Q118" s="60">
        <v>2.93</v>
      </c>
      <c r="R118" s="60">
        <v>2.92</v>
      </c>
      <c r="S118" s="60">
        <v>2.91</v>
      </c>
      <c r="T118" s="60">
        <v>2.9</v>
      </c>
      <c r="U118" s="60">
        <v>2.89</v>
      </c>
      <c r="V118" s="60">
        <v>2.88</v>
      </c>
      <c r="W118" s="60">
        <v>2.87</v>
      </c>
      <c r="X118" s="60">
        <v>2.87</v>
      </c>
      <c r="Y118" s="60">
        <v>2.86</v>
      </c>
      <c r="Z118" s="60">
        <v>2.85</v>
      </c>
      <c r="AA118" s="60">
        <v>2.84</v>
      </c>
      <c r="AB118" s="60">
        <v>2.83</v>
      </c>
      <c r="AC118" s="60">
        <v>2.82</v>
      </c>
      <c r="AD118" s="60">
        <v>2.81</v>
      </c>
      <c r="AE118" s="60">
        <v>2.81</v>
      </c>
      <c r="AF118" s="60">
        <v>2.8</v>
      </c>
      <c r="AG118" s="60">
        <v>2.79</v>
      </c>
      <c r="AH118" s="60">
        <v>2.78</v>
      </c>
      <c r="AI118" s="60">
        <v>2.77</v>
      </c>
      <c r="AJ118" s="60">
        <v>2.76</v>
      </c>
      <c r="AK118" s="60">
        <v>2.76</v>
      </c>
      <c r="AL118" s="60">
        <v>2.75</v>
      </c>
      <c r="AM118" s="60">
        <v>2.74</v>
      </c>
    </row>
    <row r="119" spans="1:39" ht="15.75" hidden="1" outlineLevel="1" thickBot="1">
      <c r="A119" s="59" t="s">
        <v>104</v>
      </c>
      <c r="B119" s="60">
        <v>3.37</v>
      </c>
      <c r="C119" s="60">
        <v>1.87</v>
      </c>
      <c r="D119" s="60">
        <v>1.84</v>
      </c>
      <c r="E119" s="60">
        <v>2.42</v>
      </c>
      <c r="F119" s="60">
        <v>2.34</v>
      </c>
      <c r="G119" s="60">
        <v>0.7</v>
      </c>
      <c r="H119" s="60">
        <v>1.1000000000000001</v>
      </c>
      <c r="I119" s="60">
        <v>1.1000000000000001</v>
      </c>
      <c r="J119" s="60">
        <v>1.36</v>
      </c>
      <c r="K119" s="60">
        <v>1.32</v>
      </c>
      <c r="L119" s="60">
        <v>1.27</v>
      </c>
      <c r="M119" s="60">
        <v>1.22</v>
      </c>
      <c r="N119" s="60">
        <v>1.17</v>
      </c>
      <c r="O119" s="60">
        <v>1.1299999999999999</v>
      </c>
      <c r="P119" s="60">
        <v>1.08</v>
      </c>
      <c r="Q119" s="60">
        <v>1.03</v>
      </c>
      <c r="R119" s="60">
        <v>0.99</v>
      </c>
      <c r="S119" s="60">
        <v>0.94</v>
      </c>
      <c r="T119" s="60">
        <v>0.89</v>
      </c>
      <c r="U119" s="60">
        <v>0.85</v>
      </c>
      <c r="V119" s="60">
        <v>0.8</v>
      </c>
      <c r="W119" s="60">
        <v>0.75</v>
      </c>
      <c r="X119" s="60">
        <v>0.7</v>
      </c>
      <c r="Y119" s="60">
        <v>0.66</v>
      </c>
      <c r="Z119" s="60">
        <v>0.61</v>
      </c>
      <c r="AA119" s="60">
        <v>0.56000000000000005</v>
      </c>
      <c r="AB119" s="60">
        <v>0.52</v>
      </c>
      <c r="AC119" s="60">
        <v>0.47</v>
      </c>
      <c r="AD119" s="60">
        <v>0.42</v>
      </c>
      <c r="AE119" s="60">
        <v>0.38</v>
      </c>
      <c r="AF119" s="60">
        <v>0.33</v>
      </c>
      <c r="AG119" s="60">
        <v>0.28000000000000003</v>
      </c>
      <c r="AH119" s="60">
        <v>0.23</v>
      </c>
      <c r="AI119" s="60">
        <v>0.19</v>
      </c>
      <c r="AJ119" s="60">
        <v>0.14000000000000001</v>
      </c>
      <c r="AK119" s="60">
        <v>0.09</v>
      </c>
      <c r="AL119" s="60">
        <v>0.05</v>
      </c>
      <c r="AM119" s="60">
        <v>0</v>
      </c>
    </row>
    <row r="120" spans="1:39" ht="15.75" hidden="1" outlineLevel="1" thickBot="1">
      <c r="A120" s="59" t="s">
        <v>105</v>
      </c>
      <c r="B120" s="60">
        <v>0</v>
      </c>
      <c r="C120" s="60">
        <v>0</v>
      </c>
      <c r="D120" s="60">
        <v>0</v>
      </c>
      <c r="E120" s="60">
        <v>0</v>
      </c>
      <c r="F120" s="60">
        <v>0</v>
      </c>
      <c r="G120" s="60">
        <v>0</v>
      </c>
      <c r="H120" s="60">
        <v>0</v>
      </c>
      <c r="I120" s="60">
        <v>0</v>
      </c>
      <c r="J120" s="60">
        <v>0</v>
      </c>
      <c r="K120" s="60">
        <v>0</v>
      </c>
      <c r="L120" s="60">
        <v>0</v>
      </c>
      <c r="M120" s="60">
        <v>0</v>
      </c>
      <c r="N120" s="60">
        <v>0</v>
      </c>
      <c r="O120" s="60">
        <v>0</v>
      </c>
      <c r="P120" s="60">
        <v>0</v>
      </c>
      <c r="Q120" s="60">
        <v>0</v>
      </c>
      <c r="R120" s="60">
        <v>0</v>
      </c>
      <c r="S120" s="60">
        <v>0</v>
      </c>
      <c r="T120" s="60">
        <v>0</v>
      </c>
      <c r="U120" s="60">
        <v>0</v>
      </c>
      <c r="V120" s="60">
        <v>0</v>
      </c>
      <c r="W120" s="60">
        <v>0</v>
      </c>
      <c r="X120" s="60">
        <v>0</v>
      </c>
      <c r="Y120" s="60">
        <v>0</v>
      </c>
      <c r="Z120" s="60">
        <v>0</v>
      </c>
      <c r="AA120" s="60">
        <v>0</v>
      </c>
      <c r="AB120" s="60">
        <v>0</v>
      </c>
      <c r="AC120" s="60">
        <v>0</v>
      </c>
      <c r="AD120" s="60">
        <v>0</v>
      </c>
      <c r="AE120" s="60">
        <v>0</v>
      </c>
      <c r="AF120" s="60">
        <v>0</v>
      </c>
      <c r="AG120" s="60">
        <v>0</v>
      </c>
      <c r="AH120" s="60">
        <v>0</v>
      </c>
      <c r="AI120" s="60">
        <v>0</v>
      </c>
      <c r="AJ120" s="60">
        <v>0</v>
      </c>
      <c r="AK120" s="60">
        <v>0</v>
      </c>
      <c r="AL120" s="60">
        <v>0</v>
      </c>
      <c r="AM120" s="60">
        <v>0</v>
      </c>
    </row>
    <row r="121" spans="1:39" ht="15.75" hidden="1" outlineLevel="1" thickBot="1">
      <c r="A121" s="59" t="s">
        <v>106</v>
      </c>
      <c r="B121" s="60">
        <v>66.290000000000006</v>
      </c>
      <c r="C121" s="60">
        <v>78.48</v>
      </c>
      <c r="D121" s="60">
        <v>71.38</v>
      </c>
      <c r="E121" s="60">
        <v>73.900000000000006</v>
      </c>
      <c r="F121" s="60">
        <v>81.38</v>
      </c>
      <c r="G121" s="60">
        <v>85.74</v>
      </c>
      <c r="H121" s="60">
        <v>80.739999999999995</v>
      </c>
      <c r="I121" s="60">
        <v>78.64</v>
      </c>
      <c r="J121" s="60">
        <v>101.28</v>
      </c>
      <c r="K121" s="60">
        <v>102.85</v>
      </c>
      <c r="L121" s="60">
        <v>103.82</v>
      </c>
      <c r="M121" s="60">
        <v>104.8</v>
      </c>
      <c r="N121" s="60">
        <v>105.77</v>
      </c>
      <c r="O121" s="60">
        <v>106.74</v>
      </c>
      <c r="P121" s="60">
        <v>107.72</v>
      </c>
      <c r="Q121" s="60">
        <v>108.69</v>
      </c>
      <c r="R121" s="60">
        <v>109.66</v>
      </c>
      <c r="S121" s="60">
        <v>110.64</v>
      </c>
      <c r="T121" s="60">
        <v>111.61</v>
      </c>
      <c r="U121" s="60">
        <v>112.58</v>
      </c>
      <c r="V121" s="60">
        <v>113.56</v>
      </c>
      <c r="W121" s="60">
        <v>113.99</v>
      </c>
      <c r="X121" s="60">
        <v>113.71</v>
      </c>
      <c r="Y121" s="60">
        <v>113.42</v>
      </c>
      <c r="Z121" s="60">
        <v>113.13</v>
      </c>
      <c r="AA121" s="60">
        <v>112.85</v>
      </c>
      <c r="AB121" s="60">
        <v>112.56</v>
      </c>
      <c r="AC121" s="60">
        <v>112.27</v>
      </c>
      <c r="AD121" s="60">
        <v>111.99</v>
      </c>
      <c r="AE121" s="60">
        <v>111.7</v>
      </c>
      <c r="AF121" s="60">
        <v>111.41</v>
      </c>
      <c r="AG121" s="60">
        <v>111.13</v>
      </c>
      <c r="AH121" s="60">
        <v>110.84</v>
      </c>
      <c r="AI121" s="60">
        <v>110.55</v>
      </c>
      <c r="AJ121" s="60">
        <v>110.27</v>
      </c>
      <c r="AK121" s="60">
        <v>109.98</v>
      </c>
      <c r="AL121" s="60">
        <v>109.69</v>
      </c>
      <c r="AM121" s="60">
        <v>109.4</v>
      </c>
    </row>
    <row r="122" spans="1:39" ht="15.75" hidden="1" outlineLevel="1" thickBot="1">
      <c r="A122" s="59" t="s">
        <v>46</v>
      </c>
      <c r="B122" s="60">
        <v>17.12</v>
      </c>
      <c r="C122" s="60">
        <v>17.059999999999999</v>
      </c>
      <c r="D122" s="60">
        <v>16.68</v>
      </c>
      <c r="E122" s="60">
        <v>16.86</v>
      </c>
      <c r="F122" s="60">
        <v>15.8</v>
      </c>
      <c r="G122" s="60">
        <v>15.52</v>
      </c>
      <c r="H122" s="60">
        <v>14.79</v>
      </c>
      <c r="I122" s="60">
        <v>13.95</v>
      </c>
      <c r="J122" s="60">
        <v>14.75</v>
      </c>
      <c r="K122" s="60">
        <v>11.09</v>
      </c>
      <c r="L122" s="60">
        <v>12.93</v>
      </c>
      <c r="M122" s="60">
        <v>14.78</v>
      </c>
      <c r="N122" s="60">
        <v>16.63</v>
      </c>
      <c r="O122" s="60">
        <v>18.47</v>
      </c>
      <c r="P122" s="60">
        <v>20.32</v>
      </c>
      <c r="Q122" s="60">
        <v>22.16</v>
      </c>
      <c r="R122" s="60">
        <v>24.01</v>
      </c>
      <c r="S122" s="60">
        <v>25.85</v>
      </c>
      <c r="T122" s="60">
        <v>27.7</v>
      </c>
      <c r="U122" s="60">
        <v>29.55</v>
      </c>
      <c r="V122" s="60">
        <v>31.39</v>
      </c>
      <c r="W122" s="60">
        <v>33.78</v>
      </c>
      <c r="X122" s="60">
        <v>36.880000000000003</v>
      </c>
      <c r="Y122" s="60">
        <v>39.99</v>
      </c>
      <c r="Z122" s="60">
        <v>43.09</v>
      </c>
      <c r="AA122" s="60">
        <v>46.2</v>
      </c>
      <c r="AB122" s="60">
        <v>49.31</v>
      </c>
      <c r="AC122" s="60">
        <v>52.41</v>
      </c>
      <c r="AD122" s="60">
        <v>55.52</v>
      </c>
      <c r="AE122" s="60">
        <v>58.62</v>
      </c>
      <c r="AF122" s="60">
        <v>61.73</v>
      </c>
      <c r="AG122" s="60">
        <v>64.83</v>
      </c>
      <c r="AH122" s="60">
        <v>67.94</v>
      </c>
      <c r="AI122" s="60">
        <v>71.05</v>
      </c>
      <c r="AJ122" s="60">
        <v>74.150000000000006</v>
      </c>
      <c r="AK122" s="60">
        <v>77.260000000000005</v>
      </c>
      <c r="AL122" s="60">
        <v>80.37</v>
      </c>
      <c r="AM122" s="60">
        <v>83.48</v>
      </c>
    </row>
    <row r="123" spans="1:39" ht="15.75" hidden="1" outlineLevel="1" thickBot="1">
      <c r="A123" s="59" t="s">
        <v>107</v>
      </c>
      <c r="B123" s="60">
        <v>0</v>
      </c>
      <c r="C123" s="60">
        <v>0</v>
      </c>
      <c r="D123" s="60">
        <v>0</v>
      </c>
      <c r="E123" s="60">
        <v>0</v>
      </c>
      <c r="F123" s="60">
        <v>0</v>
      </c>
      <c r="G123" s="60">
        <v>0</v>
      </c>
      <c r="H123" s="60">
        <v>0</v>
      </c>
      <c r="I123" s="60">
        <v>0</v>
      </c>
      <c r="J123" s="60">
        <v>0</v>
      </c>
      <c r="K123" s="60">
        <v>0</v>
      </c>
      <c r="L123" s="60">
        <v>0</v>
      </c>
      <c r="M123" s="60">
        <v>0</v>
      </c>
      <c r="N123" s="60">
        <v>0</v>
      </c>
      <c r="O123" s="60">
        <v>0</v>
      </c>
      <c r="P123" s="60">
        <v>0</v>
      </c>
      <c r="Q123" s="60">
        <v>0</v>
      </c>
      <c r="R123" s="60">
        <v>0</v>
      </c>
      <c r="S123" s="60">
        <v>0</v>
      </c>
      <c r="T123" s="60">
        <v>0</v>
      </c>
      <c r="U123" s="60">
        <v>0</v>
      </c>
      <c r="V123" s="60">
        <v>0</v>
      </c>
      <c r="W123" s="60">
        <v>0</v>
      </c>
      <c r="X123" s="60">
        <v>0</v>
      </c>
      <c r="Y123" s="60">
        <v>0</v>
      </c>
      <c r="Z123" s="60">
        <v>0</v>
      </c>
      <c r="AA123" s="60">
        <v>0</v>
      </c>
      <c r="AB123" s="60">
        <v>0</v>
      </c>
      <c r="AC123" s="60">
        <v>0</v>
      </c>
      <c r="AD123" s="60">
        <v>0</v>
      </c>
      <c r="AE123" s="60">
        <v>0</v>
      </c>
      <c r="AF123" s="60">
        <v>0</v>
      </c>
      <c r="AG123" s="60">
        <v>0</v>
      </c>
      <c r="AH123" s="60">
        <v>0</v>
      </c>
      <c r="AI123" s="60">
        <v>0</v>
      </c>
      <c r="AJ123" s="60">
        <v>0</v>
      </c>
      <c r="AK123" s="60">
        <v>0</v>
      </c>
      <c r="AL123" s="60">
        <v>0</v>
      </c>
      <c r="AM123" s="60">
        <v>0</v>
      </c>
    </row>
    <row r="124" spans="1:39" ht="15.75" hidden="1" outlineLevel="1" thickBot="1">
      <c r="A124" s="61" t="s">
        <v>108</v>
      </c>
      <c r="B124" s="62">
        <v>0</v>
      </c>
      <c r="C124" s="62">
        <v>0</v>
      </c>
      <c r="D124" s="62">
        <v>0</v>
      </c>
      <c r="E124" s="62">
        <v>0</v>
      </c>
      <c r="F124" s="62">
        <v>0</v>
      </c>
      <c r="G124" s="62">
        <v>0</v>
      </c>
      <c r="H124" s="62">
        <v>0</v>
      </c>
      <c r="I124" s="62">
        <v>0</v>
      </c>
      <c r="J124" s="62">
        <v>0</v>
      </c>
      <c r="K124" s="62">
        <v>0</v>
      </c>
      <c r="L124" s="62">
        <v>0</v>
      </c>
      <c r="M124" s="62">
        <v>0</v>
      </c>
      <c r="N124" s="62">
        <v>0</v>
      </c>
      <c r="O124" s="62">
        <v>0</v>
      </c>
      <c r="P124" s="62">
        <v>0</v>
      </c>
      <c r="Q124" s="62">
        <v>0</v>
      </c>
      <c r="R124" s="62">
        <v>0</v>
      </c>
      <c r="S124" s="62">
        <v>0</v>
      </c>
      <c r="T124" s="62">
        <v>0</v>
      </c>
      <c r="U124" s="62">
        <v>0</v>
      </c>
      <c r="V124" s="62">
        <v>0</v>
      </c>
      <c r="W124" s="62">
        <v>0</v>
      </c>
      <c r="X124" s="62">
        <v>0</v>
      </c>
      <c r="Y124" s="62">
        <v>0</v>
      </c>
      <c r="Z124" s="62">
        <v>0</v>
      </c>
      <c r="AA124" s="62">
        <v>0</v>
      </c>
      <c r="AB124" s="62">
        <v>0</v>
      </c>
      <c r="AC124" s="62">
        <v>0</v>
      </c>
      <c r="AD124" s="62">
        <v>0</v>
      </c>
      <c r="AE124" s="62">
        <v>0</v>
      </c>
      <c r="AF124" s="62">
        <v>0</v>
      </c>
      <c r="AG124" s="62">
        <v>0</v>
      </c>
      <c r="AH124" s="62">
        <v>0</v>
      </c>
      <c r="AI124" s="62">
        <v>0</v>
      </c>
      <c r="AJ124" s="62">
        <v>0</v>
      </c>
      <c r="AK124" s="62">
        <v>0</v>
      </c>
      <c r="AL124" s="62">
        <v>0</v>
      </c>
      <c r="AM124" s="62">
        <v>0</v>
      </c>
    </row>
    <row r="125" spans="1:39" ht="17.25" collapsed="1" thickTop="1" thickBot="1">
      <c r="A125" s="65" t="s">
        <v>112</v>
      </c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</row>
    <row r="126" spans="1:39" ht="16.5" hidden="1" outlineLevel="1" thickTop="1" thickBot="1">
      <c r="A126" s="57" t="s">
        <v>41</v>
      </c>
      <c r="B126" s="58">
        <v>2013</v>
      </c>
      <c r="C126" s="58">
        <v>2014</v>
      </c>
      <c r="D126" s="58">
        <v>2015</v>
      </c>
      <c r="E126" s="58">
        <v>2016</v>
      </c>
      <c r="F126" s="58">
        <v>2017</v>
      </c>
      <c r="G126" s="58">
        <v>2018</v>
      </c>
      <c r="H126" s="58">
        <v>2019</v>
      </c>
      <c r="I126" s="58">
        <v>2020</v>
      </c>
      <c r="J126" s="58">
        <v>2021</v>
      </c>
      <c r="K126" s="58">
        <v>2022</v>
      </c>
      <c r="L126" s="58">
        <v>2023</v>
      </c>
      <c r="M126" s="58">
        <v>2024</v>
      </c>
      <c r="N126" s="58">
        <v>2025</v>
      </c>
      <c r="O126" s="58">
        <v>2026</v>
      </c>
      <c r="P126" s="58">
        <v>2027</v>
      </c>
      <c r="Q126" s="58">
        <v>2028</v>
      </c>
      <c r="R126" s="58">
        <v>2029</v>
      </c>
      <c r="S126" s="58">
        <v>2030</v>
      </c>
      <c r="T126" s="58">
        <v>2031</v>
      </c>
      <c r="U126" s="58">
        <v>2032</v>
      </c>
      <c r="V126" s="58">
        <v>2033</v>
      </c>
      <c r="W126" s="58">
        <v>2034</v>
      </c>
      <c r="X126" s="58">
        <v>2035</v>
      </c>
      <c r="Y126" s="58">
        <v>2036</v>
      </c>
      <c r="Z126" s="58">
        <v>2037</v>
      </c>
      <c r="AA126" s="58">
        <v>2038</v>
      </c>
      <c r="AB126" s="58">
        <v>2039</v>
      </c>
      <c r="AC126" s="58">
        <v>2040</v>
      </c>
      <c r="AD126" s="58">
        <v>2041</v>
      </c>
      <c r="AE126" s="58">
        <v>2042</v>
      </c>
      <c r="AF126" s="58">
        <v>2043</v>
      </c>
      <c r="AG126" s="58">
        <v>2044</v>
      </c>
      <c r="AH126" s="58">
        <v>2045</v>
      </c>
      <c r="AI126" s="58">
        <v>2046</v>
      </c>
      <c r="AJ126" s="58">
        <v>2047</v>
      </c>
      <c r="AK126" s="58">
        <v>2048</v>
      </c>
      <c r="AL126" s="58">
        <v>2049</v>
      </c>
      <c r="AM126" s="58">
        <v>2050</v>
      </c>
    </row>
    <row r="127" spans="1:39" ht="16.5" hidden="1" outlineLevel="1" thickTop="1" thickBot="1">
      <c r="A127" s="59" t="s">
        <v>83</v>
      </c>
      <c r="B127" s="60">
        <v>0</v>
      </c>
      <c r="C127" s="60">
        <v>0</v>
      </c>
      <c r="D127" s="60">
        <v>0</v>
      </c>
      <c r="E127" s="60">
        <v>0</v>
      </c>
      <c r="F127" s="60">
        <v>0</v>
      </c>
      <c r="G127" s="60">
        <v>0</v>
      </c>
      <c r="H127" s="60">
        <v>0</v>
      </c>
      <c r="I127" s="60">
        <v>0</v>
      </c>
      <c r="J127" s="60">
        <v>0</v>
      </c>
      <c r="K127" s="60">
        <v>0</v>
      </c>
      <c r="L127" s="60">
        <v>0</v>
      </c>
      <c r="M127" s="60">
        <v>0</v>
      </c>
      <c r="N127" s="60">
        <v>0</v>
      </c>
      <c r="O127" s="60">
        <v>0</v>
      </c>
      <c r="P127" s="60">
        <v>0</v>
      </c>
      <c r="Q127" s="60">
        <v>0</v>
      </c>
      <c r="R127" s="60">
        <v>0</v>
      </c>
      <c r="S127" s="60">
        <v>0</v>
      </c>
      <c r="T127" s="60">
        <v>0</v>
      </c>
      <c r="U127" s="60">
        <v>0</v>
      </c>
      <c r="V127" s="60">
        <v>0</v>
      </c>
      <c r="W127" s="60">
        <v>0</v>
      </c>
      <c r="X127" s="60">
        <v>0</v>
      </c>
      <c r="Y127" s="60">
        <v>0</v>
      </c>
      <c r="Z127" s="60">
        <v>0</v>
      </c>
      <c r="AA127" s="60">
        <v>0</v>
      </c>
      <c r="AB127" s="60">
        <v>0</v>
      </c>
      <c r="AC127" s="60">
        <v>0</v>
      </c>
      <c r="AD127" s="60">
        <v>0</v>
      </c>
      <c r="AE127" s="60">
        <v>0</v>
      </c>
      <c r="AF127" s="60">
        <v>0</v>
      </c>
      <c r="AG127" s="60">
        <v>0</v>
      </c>
      <c r="AH127" s="60">
        <v>0</v>
      </c>
      <c r="AI127" s="60">
        <v>0</v>
      </c>
      <c r="AJ127" s="60">
        <v>0</v>
      </c>
      <c r="AK127" s="60">
        <v>0</v>
      </c>
      <c r="AL127" s="60">
        <v>0</v>
      </c>
      <c r="AM127" s="60">
        <v>0</v>
      </c>
    </row>
    <row r="128" spans="1:39" ht="15.75" hidden="1" outlineLevel="1" thickBot="1">
      <c r="A128" s="59" t="s">
        <v>84</v>
      </c>
      <c r="B128" s="60">
        <v>0</v>
      </c>
      <c r="C128" s="60">
        <v>0</v>
      </c>
      <c r="D128" s="60">
        <v>0</v>
      </c>
      <c r="E128" s="60">
        <v>0</v>
      </c>
      <c r="F128" s="60">
        <v>0</v>
      </c>
      <c r="G128" s="60">
        <v>0</v>
      </c>
      <c r="H128" s="60">
        <v>0</v>
      </c>
      <c r="I128" s="60">
        <v>0</v>
      </c>
      <c r="J128" s="60">
        <v>0</v>
      </c>
      <c r="K128" s="60">
        <v>0</v>
      </c>
      <c r="L128" s="60">
        <v>0</v>
      </c>
      <c r="M128" s="60">
        <v>0</v>
      </c>
      <c r="N128" s="60">
        <v>0</v>
      </c>
      <c r="O128" s="60">
        <v>0</v>
      </c>
      <c r="P128" s="60">
        <v>0</v>
      </c>
      <c r="Q128" s="60">
        <v>0</v>
      </c>
      <c r="R128" s="60">
        <v>0</v>
      </c>
      <c r="S128" s="60">
        <v>0</v>
      </c>
      <c r="T128" s="60">
        <v>0</v>
      </c>
      <c r="U128" s="60">
        <v>0</v>
      </c>
      <c r="V128" s="60">
        <v>0</v>
      </c>
      <c r="W128" s="60">
        <v>0</v>
      </c>
      <c r="X128" s="60">
        <v>0</v>
      </c>
      <c r="Y128" s="60">
        <v>0</v>
      </c>
      <c r="Z128" s="60">
        <v>0</v>
      </c>
      <c r="AA128" s="60">
        <v>0</v>
      </c>
      <c r="AB128" s="60">
        <v>0</v>
      </c>
      <c r="AC128" s="60">
        <v>0</v>
      </c>
      <c r="AD128" s="60">
        <v>0</v>
      </c>
      <c r="AE128" s="60">
        <v>0</v>
      </c>
      <c r="AF128" s="60">
        <v>0</v>
      </c>
      <c r="AG128" s="60">
        <v>0</v>
      </c>
      <c r="AH128" s="60">
        <v>0</v>
      </c>
      <c r="AI128" s="60">
        <v>0</v>
      </c>
      <c r="AJ128" s="60">
        <v>0</v>
      </c>
      <c r="AK128" s="60">
        <v>0</v>
      </c>
      <c r="AL128" s="60">
        <v>0</v>
      </c>
      <c r="AM128" s="60">
        <v>0</v>
      </c>
    </row>
    <row r="129" spans="1:39" ht="15.75" hidden="1" outlineLevel="1" thickBot="1">
      <c r="A129" s="59" t="s">
        <v>85</v>
      </c>
      <c r="B129" s="60">
        <v>0</v>
      </c>
      <c r="C129" s="60">
        <v>0</v>
      </c>
      <c r="D129" s="60">
        <v>0</v>
      </c>
      <c r="E129" s="60">
        <v>0</v>
      </c>
      <c r="F129" s="60">
        <v>0</v>
      </c>
      <c r="G129" s="60">
        <v>0</v>
      </c>
      <c r="H129" s="60">
        <v>0</v>
      </c>
      <c r="I129" s="60">
        <v>0</v>
      </c>
      <c r="J129" s="60">
        <v>0</v>
      </c>
      <c r="K129" s="60">
        <v>0</v>
      </c>
      <c r="L129" s="60">
        <v>0</v>
      </c>
      <c r="M129" s="60">
        <v>0</v>
      </c>
      <c r="N129" s="60">
        <v>0</v>
      </c>
      <c r="O129" s="60">
        <v>0</v>
      </c>
      <c r="P129" s="60">
        <v>0</v>
      </c>
      <c r="Q129" s="60">
        <v>0</v>
      </c>
      <c r="R129" s="60">
        <v>0</v>
      </c>
      <c r="S129" s="60">
        <v>0</v>
      </c>
      <c r="T129" s="60">
        <v>0</v>
      </c>
      <c r="U129" s="60">
        <v>0</v>
      </c>
      <c r="V129" s="60">
        <v>0</v>
      </c>
      <c r="W129" s="60">
        <v>0</v>
      </c>
      <c r="X129" s="60">
        <v>0</v>
      </c>
      <c r="Y129" s="60">
        <v>0</v>
      </c>
      <c r="Z129" s="60">
        <v>0</v>
      </c>
      <c r="AA129" s="60">
        <v>0</v>
      </c>
      <c r="AB129" s="60">
        <v>0</v>
      </c>
      <c r="AC129" s="60">
        <v>0</v>
      </c>
      <c r="AD129" s="60">
        <v>0</v>
      </c>
      <c r="AE129" s="60">
        <v>0</v>
      </c>
      <c r="AF129" s="60">
        <v>0</v>
      </c>
      <c r="AG129" s="60">
        <v>0</v>
      </c>
      <c r="AH129" s="60">
        <v>0</v>
      </c>
      <c r="AI129" s="60">
        <v>0</v>
      </c>
      <c r="AJ129" s="60">
        <v>0</v>
      </c>
      <c r="AK129" s="60">
        <v>0</v>
      </c>
      <c r="AL129" s="60">
        <v>0</v>
      </c>
      <c r="AM129" s="60">
        <v>0</v>
      </c>
    </row>
    <row r="130" spans="1:39" ht="15.75" hidden="1" outlineLevel="1" thickBot="1">
      <c r="A130" s="59" t="s">
        <v>86</v>
      </c>
      <c r="B130" s="60">
        <v>0</v>
      </c>
      <c r="C130" s="60">
        <v>0</v>
      </c>
      <c r="D130" s="60">
        <v>0</v>
      </c>
      <c r="E130" s="60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0</v>
      </c>
      <c r="K130" s="60">
        <v>0</v>
      </c>
      <c r="L130" s="60">
        <v>0</v>
      </c>
      <c r="M130" s="60">
        <v>0</v>
      </c>
      <c r="N130" s="60">
        <v>0</v>
      </c>
      <c r="O130" s="60">
        <v>0</v>
      </c>
      <c r="P130" s="60">
        <v>0</v>
      </c>
      <c r="Q130" s="60">
        <v>0</v>
      </c>
      <c r="R130" s="60">
        <v>0</v>
      </c>
      <c r="S130" s="60">
        <v>0</v>
      </c>
      <c r="T130" s="60">
        <v>0</v>
      </c>
      <c r="U130" s="60">
        <v>0</v>
      </c>
      <c r="V130" s="60">
        <v>0</v>
      </c>
      <c r="W130" s="60">
        <v>0</v>
      </c>
      <c r="X130" s="60">
        <v>0</v>
      </c>
      <c r="Y130" s="60">
        <v>0</v>
      </c>
      <c r="Z130" s="60">
        <v>0</v>
      </c>
      <c r="AA130" s="60">
        <v>0</v>
      </c>
      <c r="AB130" s="60">
        <v>0</v>
      </c>
      <c r="AC130" s="60">
        <v>0</v>
      </c>
      <c r="AD130" s="60">
        <v>0</v>
      </c>
      <c r="AE130" s="60">
        <v>0</v>
      </c>
      <c r="AF130" s="60">
        <v>0</v>
      </c>
      <c r="AG130" s="60">
        <v>0</v>
      </c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60">
        <v>0</v>
      </c>
    </row>
    <row r="131" spans="1:39" ht="15.75" hidden="1" outlineLevel="1" thickBot="1">
      <c r="A131" s="59" t="s">
        <v>87</v>
      </c>
      <c r="B131" s="60">
        <v>0</v>
      </c>
      <c r="C131" s="60">
        <v>0</v>
      </c>
      <c r="D131" s="60">
        <v>0</v>
      </c>
      <c r="E131" s="60">
        <v>0</v>
      </c>
      <c r="F131" s="60">
        <v>0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60">
        <v>0</v>
      </c>
      <c r="M131" s="60">
        <v>0</v>
      </c>
      <c r="N131" s="60">
        <v>0</v>
      </c>
      <c r="O131" s="60">
        <v>0</v>
      </c>
      <c r="P131" s="60">
        <v>0</v>
      </c>
      <c r="Q131" s="60">
        <v>0</v>
      </c>
      <c r="R131" s="60">
        <v>0</v>
      </c>
      <c r="S131" s="60">
        <v>0</v>
      </c>
      <c r="T131" s="60">
        <v>0</v>
      </c>
      <c r="U131" s="60">
        <v>0</v>
      </c>
      <c r="V131" s="60">
        <v>0</v>
      </c>
      <c r="W131" s="60">
        <v>0</v>
      </c>
      <c r="X131" s="60">
        <v>0</v>
      </c>
      <c r="Y131" s="60">
        <v>0</v>
      </c>
      <c r="Z131" s="60">
        <v>0</v>
      </c>
      <c r="AA131" s="60">
        <v>0</v>
      </c>
      <c r="AB131" s="60">
        <v>0</v>
      </c>
      <c r="AC131" s="60">
        <v>0</v>
      </c>
      <c r="AD131" s="60">
        <v>0</v>
      </c>
      <c r="AE131" s="60">
        <v>0</v>
      </c>
      <c r="AF131" s="60">
        <v>0</v>
      </c>
      <c r="AG131" s="60">
        <v>0</v>
      </c>
      <c r="AH131" s="60">
        <v>0</v>
      </c>
      <c r="AI131" s="60">
        <v>0</v>
      </c>
      <c r="AJ131" s="60">
        <v>0</v>
      </c>
      <c r="AK131" s="60">
        <v>0</v>
      </c>
      <c r="AL131" s="60">
        <v>0</v>
      </c>
      <c r="AM131" s="60">
        <v>0</v>
      </c>
    </row>
    <row r="132" spans="1:39" ht="15.75" hidden="1" outlineLevel="1" thickBot="1">
      <c r="A132" s="59" t="s">
        <v>88</v>
      </c>
      <c r="B132" s="60">
        <v>0</v>
      </c>
      <c r="C132" s="60">
        <v>0</v>
      </c>
      <c r="D132" s="60">
        <v>0</v>
      </c>
      <c r="E132" s="60">
        <v>0</v>
      </c>
      <c r="F132" s="60">
        <v>0</v>
      </c>
      <c r="G132" s="60">
        <v>0</v>
      </c>
      <c r="H132" s="60">
        <v>0</v>
      </c>
      <c r="I132" s="60">
        <v>0</v>
      </c>
      <c r="J132" s="60">
        <v>0</v>
      </c>
      <c r="K132" s="60">
        <v>0</v>
      </c>
      <c r="L132" s="60">
        <v>0</v>
      </c>
      <c r="M132" s="60">
        <v>0</v>
      </c>
      <c r="N132" s="60">
        <v>0</v>
      </c>
      <c r="O132" s="60">
        <v>0</v>
      </c>
      <c r="P132" s="60">
        <v>0</v>
      </c>
      <c r="Q132" s="60">
        <v>0</v>
      </c>
      <c r="R132" s="60">
        <v>0</v>
      </c>
      <c r="S132" s="60">
        <v>0</v>
      </c>
      <c r="T132" s="60">
        <v>0</v>
      </c>
      <c r="U132" s="60">
        <v>0</v>
      </c>
      <c r="V132" s="60">
        <v>0</v>
      </c>
      <c r="W132" s="60">
        <v>0</v>
      </c>
      <c r="X132" s="60">
        <v>0</v>
      </c>
      <c r="Y132" s="60">
        <v>0</v>
      </c>
      <c r="Z132" s="60">
        <v>0</v>
      </c>
      <c r="AA132" s="60">
        <v>0</v>
      </c>
      <c r="AB132" s="60">
        <v>0</v>
      </c>
      <c r="AC132" s="60">
        <v>0</v>
      </c>
      <c r="AD132" s="60">
        <v>0</v>
      </c>
      <c r="AE132" s="60">
        <v>0</v>
      </c>
      <c r="AF132" s="60">
        <v>0</v>
      </c>
      <c r="AG132" s="60">
        <v>0</v>
      </c>
      <c r="AH132" s="60">
        <v>0</v>
      </c>
      <c r="AI132" s="60">
        <v>0</v>
      </c>
      <c r="AJ132" s="60">
        <v>0</v>
      </c>
      <c r="AK132" s="60">
        <v>0</v>
      </c>
      <c r="AL132" s="60">
        <v>0</v>
      </c>
      <c r="AM132" s="60">
        <v>0</v>
      </c>
    </row>
    <row r="133" spans="1:39" ht="15.75" hidden="1" outlineLevel="1" thickBot="1">
      <c r="A133" s="59" t="s">
        <v>89</v>
      </c>
      <c r="B133" s="60">
        <v>0</v>
      </c>
      <c r="C133" s="60">
        <v>0</v>
      </c>
      <c r="D133" s="60">
        <v>0</v>
      </c>
      <c r="E133" s="60">
        <v>0</v>
      </c>
      <c r="F133" s="60">
        <v>0</v>
      </c>
      <c r="G133" s="60">
        <v>0</v>
      </c>
      <c r="H133" s="60">
        <v>0</v>
      </c>
      <c r="I133" s="60">
        <v>0</v>
      </c>
      <c r="J133" s="60">
        <v>0</v>
      </c>
      <c r="K133" s="60">
        <v>0</v>
      </c>
      <c r="L133" s="60">
        <v>0</v>
      </c>
      <c r="M133" s="60">
        <v>0</v>
      </c>
      <c r="N133" s="60">
        <v>0</v>
      </c>
      <c r="O133" s="60">
        <v>0</v>
      </c>
      <c r="P133" s="60">
        <v>0</v>
      </c>
      <c r="Q133" s="60">
        <v>0</v>
      </c>
      <c r="R133" s="60">
        <v>0</v>
      </c>
      <c r="S133" s="60">
        <v>0</v>
      </c>
      <c r="T133" s="60">
        <v>0</v>
      </c>
      <c r="U133" s="60">
        <v>0</v>
      </c>
      <c r="V133" s="60">
        <v>0</v>
      </c>
      <c r="W133" s="60">
        <v>0</v>
      </c>
      <c r="X133" s="60">
        <v>0</v>
      </c>
      <c r="Y133" s="60">
        <v>0</v>
      </c>
      <c r="Z133" s="60">
        <v>0</v>
      </c>
      <c r="AA133" s="60">
        <v>0</v>
      </c>
      <c r="AB133" s="60">
        <v>0</v>
      </c>
      <c r="AC133" s="60">
        <v>0</v>
      </c>
      <c r="AD133" s="60">
        <v>0</v>
      </c>
      <c r="AE133" s="60">
        <v>0</v>
      </c>
      <c r="AF133" s="60">
        <v>0</v>
      </c>
      <c r="AG133" s="60">
        <v>0</v>
      </c>
      <c r="AH133" s="60">
        <v>0</v>
      </c>
      <c r="AI133" s="60">
        <v>0</v>
      </c>
      <c r="AJ133" s="60">
        <v>0</v>
      </c>
      <c r="AK133" s="60">
        <v>0</v>
      </c>
      <c r="AL133" s="60">
        <v>0</v>
      </c>
      <c r="AM133" s="60">
        <v>0</v>
      </c>
    </row>
    <row r="134" spans="1:39" ht="15.75" hidden="1" outlineLevel="1" thickBot="1">
      <c r="A134" s="59" t="s">
        <v>90</v>
      </c>
      <c r="B134" s="60">
        <v>0</v>
      </c>
      <c r="C134" s="60">
        <v>0</v>
      </c>
      <c r="D134" s="60">
        <v>0</v>
      </c>
      <c r="E134" s="60">
        <v>0</v>
      </c>
      <c r="F134" s="60">
        <v>0</v>
      </c>
      <c r="G134" s="60">
        <v>0</v>
      </c>
      <c r="H134" s="60">
        <v>0</v>
      </c>
      <c r="I134" s="60">
        <v>0</v>
      </c>
      <c r="J134" s="60">
        <v>0</v>
      </c>
      <c r="K134" s="60">
        <v>0</v>
      </c>
      <c r="L134" s="60">
        <v>0</v>
      </c>
      <c r="M134" s="60">
        <v>0</v>
      </c>
      <c r="N134" s="60">
        <v>0</v>
      </c>
      <c r="O134" s="60">
        <v>0</v>
      </c>
      <c r="P134" s="60">
        <v>0</v>
      </c>
      <c r="Q134" s="60">
        <v>0</v>
      </c>
      <c r="R134" s="60">
        <v>0</v>
      </c>
      <c r="S134" s="60">
        <v>0</v>
      </c>
      <c r="T134" s="60">
        <v>0</v>
      </c>
      <c r="U134" s="60">
        <v>0</v>
      </c>
      <c r="V134" s="60">
        <v>0</v>
      </c>
      <c r="W134" s="60">
        <v>0</v>
      </c>
      <c r="X134" s="60">
        <v>0</v>
      </c>
      <c r="Y134" s="60">
        <v>0</v>
      </c>
      <c r="Z134" s="60">
        <v>0</v>
      </c>
      <c r="AA134" s="60">
        <v>0</v>
      </c>
      <c r="AB134" s="60">
        <v>0</v>
      </c>
      <c r="AC134" s="60">
        <v>0</v>
      </c>
      <c r="AD134" s="60">
        <v>0</v>
      </c>
      <c r="AE134" s="60">
        <v>0</v>
      </c>
      <c r="AF134" s="60">
        <v>0</v>
      </c>
      <c r="AG134" s="60">
        <v>0</v>
      </c>
      <c r="AH134" s="60">
        <v>0</v>
      </c>
      <c r="AI134" s="60">
        <v>0</v>
      </c>
      <c r="AJ134" s="60">
        <v>0</v>
      </c>
      <c r="AK134" s="60">
        <v>0</v>
      </c>
      <c r="AL134" s="60">
        <v>0</v>
      </c>
      <c r="AM134" s="60">
        <v>0</v>
      </c>
    </row>
    <row r="135" spans="1:39" ht="15.75" hidden="1" outlineLevel="1" thickBot="1">
      <c r="A135" s="59" t="s">
        <v>91</v>
      </c>
      <c r="B135" s="60">
        <v>0</v>
      </c>
      <c r="C135" s="60">
        <v>0</v>
      </c>
      <c r="D135" s="60">
        <v>0</v>
      </c>
      <c r="E135" s="60">
        <v>0</v>
      </c>
      <c r="F135" s="60">
        <v>0</v>
      </c>
      <c r="G135" s="60">
        <v>0</v>
      </c>
      <c r="H135" s="60">
        <v>0</v>
      </c>
      <c r="I135" s="60">
        <v>0</v>
      </c>
      <c r="J135" s="60">
        <v>0</v>
      </c>
      <c r="K135" s="60">
        <v>0</v>
      </c>
      <c r="L135" s="60">
        <v>0</v>
      </c>
      <c r="M135" s="60">
        <v>0</v>
      </c>
      <c r="N135" s="60">
        <v>0</v>
      </c>
      <c r="O135" s="60">
        <v>0</v>
      </c>
      <c r="P135" s="60">
        <v>0</v>
      </c>
      <c r="Q135" s="60">
        <v>0</v>
      </c>
      <c r="R135" s="60">
        <v>0</v>
      </c>
      <c r="S135" s="60">
        <v>0</v>
      </c>
      <c r="T135" s="60">
        <v>0</v>
      </c>
      <c r="U135" s="60">
        <v>0</v>
      </c>
      <c r="V135" s="60">
        <v>0</v>
      </c>
      <c r="W135" s="60">
        <v>0</v>
      </c>
      <c r="X135" s="60">
        <v>0</v>
      </c>
      <c r="Y135" s="60">
        <v>0</v>
      </c>
      <c r="Z135" s="60">
        <v>0</v>
      </c>
      <c r="AA135" s="60">
        <v>0</v>
      </c>
      <c r="AB135" s="60">
        <v>0</v>
      </c>
      <c r="AC135" s="60">
        <v>0</v>
      </c>
      <c r="AD135" s="60">
        <v>0</v>
      </c>
      <c r="AE135" s="60">
        <v>0</v>
      </c>
      <c r="AF135" s="60">
        <v>0</v>
      </c>
      <c r="AG135" s="60">
        <v>0</v>
      </c>
      <c r="AH135" s="60">
        <v>0</v>
      </c>
      <c r="AI135" s="60">
        <v>0</v>
      </c>
      <c r="AJ135" s="60">
        <v>0</v>
      </c>
      <c r="AK135" s="60">
        <v>0</v>
      </c>
      <c r="AL135" s="60">
        <v>0</v>
      </c>
      <c r="AM135" s="60">
        <v>0</v>
      </c>
    </row>
    <row r="136" spans="1:39" ht="15.75" hidden="1" outlineLevel="1" thickBot="1">
      <c r="A136" s="59" t="s">
        <v>92</v>
      </c>
      <c r="B136" s="60">
        <v>0</v>
      </c>
      <c r="C136" s="60">
        <v>0</v>
      </c>
      <c r="D136" s="60">
        <v>0</v>
      </c>
      <c r="E136" s="60">
        <v>0</v>
      </c>
      <c r="F136" s="60">
        <v>0</v>
      </c>
      <c r="G136" s="60">
        <v>0</v>
      </c>
      <c r="H136" s="60">
        <v>0</v>
      </c>
      <c r="I136" s="60">
        <v>0</v>
      </c>
      <c r="J136" s="60">
        <v>0</v>
      </c>
      <c r="K136" s="60">
        <v>0</v>
      </c>
      <c r="L136" s="60">
        <v>0</v>
      </c>
      <c r="M136" s="60">
        <v>0</v>
      </c>
      <c r="N136" s="60">
        <v>0</v>
      </c>
      <c r="O136" s="60">
        <v>0</v>
      </c>
      <c r="P136" s="60">
        <v>0</v>
      </c>
      <c r="Q136" s="60">
        <v>0</v>
      </c>
      <c r="R136" s="60">
        <v>0</v>
      </c>
      <c r="S136" s="60">
        <v>0</v>
      </c>
      <c r="T136" s="60">
        <v>0</v>
      </c>
      <c r="U136" s="60">
        <v>0</v>
      </c>
      <c r="V136" s="60">
        <v>0</v>
      </c>
      <c r="W136" s="60">
        <v>0</v>
      </c>
      <c r="X136" s="60">
        <v>0</v>
      </c>
      <c r="Y136" s="60">
        <v>0</v>
      </c>
      <c r="Z136" s="60">
        <v>0</v>
      </c>
      <c r="AA136" s="60">
        <v>0</v>
      </c>
      <c r="AB136" s="60">
        <v>0</v>
      </c>
      <c r="AC136" s="60">
        <v>0</v>
      </c>
      <c r="AD136" s="60">
        <v>0</v>
      </c>
      <c r="AE136" s="60">
        <v>0</v>
      </c>
      <c r="AF136" s="60">
        <v>0</v>
      </c>
      <c r="AG136" s="60">
        <v>0</v>
      </c>
      <c r="AH136" s="60">
        <v>0</v>
      </c>
      <c r="AI136" s="60">
        <v>0</v>
      </c>
      <c r="AJ136" s="60">
        <v>0</v>
      </c>
      <c r="AK136" s="60">
        <v>0</v>
      </c>
      <c r="AL136" s="60">
        <v>0</v>
      </c>
      <c r="AM136" s="60">
        <v>0</v>
      </c>
    </row>
    <row r="137" spans="1:39" ht="15.75" hidden="1" outlineLevel="1" thickBot="1">
      <c r="A137" s="59" t="s">
        <v>93</v>
      </c>
      <c r="B137" s="60">
        <v>0</v>
      </c>
      <c r="C137" s="60">
        <v>0</v>
      </c>
      <c r="D137" s="60">
        <v>0</v>
      </c>
      <c r="E137" s="60">
        <v>0</v>
      </c>
      <c r="F137" s="60">
        <v>0</v>
      </c>
      <c r="G137" s="60">
        <v>0</v>
      </c>
      <c r="H137" s="60">
        <v>0</v>
      </c>
      <c r="I137" s="60">
        <v>0</v>
      </c>
      <c r="J137" s="60">
        <v>0</v>
      </c>
      <c r="K137" s="60">
        <v>0</v>
      </c>
      <c r="L137" s="60">
        <v>0</v>
      </c>
      <c r="M137" s="60">
        <v>0</v>
      </c>
      <c r="N137" s="60">
        <v>0</v>
      </c>
      <c r="O137" s="60">
        <v>0</v>
      </c>
      <c r="P137" s="60">
        <v>0</v>
      </c>
      <c r="Q137" s="60">
        <v>0</v>
      </c>
      <c r="R137" s="60">
        <v>0</v>
      </c>
      <c r="S137" s="60">
        <v>0</v>
      </c>
      <c r="T137" s="60">
        <v>0</v>
      </c>
      <c r="U137" s="60">
        <v>0</v>
      </c>
      <c r="V137" s="60">
        <v>0</v>
      </c>
      <c r="W137" s="60">
        <v>0</v>
      </c>
      <c r="X137" s="60">
        <v>0</v>
      </c>
      <c r="Y137" s="60">
        <v>0</v>
      </c>
      <c r="Z137" s="60">
        <v>0</v>
      </c>
      <c r="AA137" s="60">
        <v>0</v>
      </c>
      <c r="AB137" s="60">
        <v>0</v>
      </c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</row>
    <row r="138" spans="1:39" ht="15.75" hidden="1" outlineLevel="1" thickBot="1">
      <c r="A138" s="59" t="s">
        <v>94</v>
      </c>
      <c r="B138" s="60">
        <v>0</v>
      </c>
      <c r="C138" s="60">
        <v>0</v>
      </c>
      <c r="D138" s="60">
        <v>0</v>
      </c>
      <c r="E138" s="60">
        <v>0</v>
      </c>
      <c r="F138" s="60">
        <v>0</v>
      </c>
      <c r="G138" s="60">
        <v>0</v>
      </c>
      <c r="H138" s="60">
        <v>0</v>
      </c>
      <c r="I138" s="60">
        <v>0</v>
      </c>
      <c r="J138" s="60">
        <v>0</v>
      </c>
      <c r="K138" s="60">
        <v>0</v>
      </c>
      <c r="L138" s="60">
        <v>0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  <c r="R138" s="60">
        <v>0</v>
      </c>
      <c r="S138" s="60">
        <v>0</v>
      </c>
      <c r="T138" s="60">
        <v>0</v>
      </c>
      <c r="U138" s="60">
        <v>0</v>
      </c>
      <c r="V138" s="60">
        <v>0</v>
      </c>
      <c r="W138" s="60">
        <v>0</v>
      </c>
      <c r="X138" s="60">
        <v>0</v>
      </c>
      <c r="Y138" s="60">
        <v>0</v>
      </c>
      <c r="Z138" s="60">
        <v>0</v>
      </c>
      <c r="AA138" s="60">
        <v>0</v>
      </c>
      <c r="AB138" s="60">
        <v>0</v>
      </c>
      <c r="AC138" s="60">
        <v>0</v>
      </c>
      <c r="AD138" s="60">
        <v>0</v>
      </c>
      <c r="AE138" s="60">
        <v>0</v>
      </c>
      <c r="AF138" s="60">
        <v>0</v>
      </c>
      <c r="AG138" s="60">
        <v>0</v>
      </c>
      <c r="AH138" s="60">
        <v>0</v>
      </c>
      <c r="AI138" s="60">
        <v>0</v>
      </c>
      <c r="AJ138" s="60">
        <v>0</v>
      </c>
      <c r="AK138" s="60">
        <v>0</v>
      </c>
      <c r="AL138" s="60">
        <v>0</v>
      </c>
      <c r="AM138" s="60">
        <v>0</v>
      </c>
    </row>
    <row r="139" spans="1:39" ht="15.75" hidden="1" outlineLevel="1" thickBot="1">
      <c r="A139" s="59" t="s">
        <v>95</v>
      </c>
      <c r="B139" s="60">
        <v>0</v>
      </c>
      <c r="C139" s="60">
        <v>0</v>
      </c>
      <c r="D139" s="60">
        <v>0</v>
      </c>
      <c r="E139" s="60">
        <v>0</v>
      </c>
      <c r="F139" s="60">
        <v>0</v>
      </c>
      <c r="G139" s="60">
        <v>0</v>
      </c>
      <c r="H139" s="60">
        <v>0</v>
      </c>
      <c r="I139" s="60">
        <v>0</v>
      </c>
      <c r="J139" s="60">
        <v>0</v>
      </c>
      <c r="K139" s="60">
        <v>0</v>
      </c>
      <c r="L139" s="60">
        <v>0</v>
      </c>
      <c r="M139" s="60">
        <v>0</v>
      </c>
      <c r="N139" s="60">
        <v>0</v>
      </c>
      <c r="O139" s="60">
        <v>0</v>
      </c>
      <c r="P139" s="60">
        <v>0</v>
      </c>
      <c r="Q139" s="60">
        <v>0</v>
      </c>
      <c r="R139" s="60">
        <v>0</v>
      </c>
      <c r="S139" s="60">
        <v>0</v>
      </c>
      <c r="T139" s="60">
        <v>0</v>
      </c>
      <c r="U139" s="60">
        <v>0</v>
      </c>
      <c r="V139" s="60">
        <v>0</v>
      </c>
      <c r="W139" s="60">
        <v>0</v>
      </c>
      <c r="X139" s="60">
        <v>0</v>
      </c>
      <c r="Y139" s="60">
        <v>0</v>
      </c>
      <c r="Z139" s="60">
        <v>0</v>
      </c>
      <c r="AA139" s="60">
        <v>0</v>
      </c>
      <c r="AB139" s="60">
        <v>0</v>
      </c>
      <c r="AC139" s="60">
        <v>0</v>
      </c>
      <c r="AD139" s="60">
        <v>0</v>
      </c>
      <c r="AE139" s="60">
        <v>0</v>
      </c>
      <c r="AF139" s="60">
        <v>0</v>
      </c>
      <c r="AG139" s="60">
        <v>0</v>
      </c>
      <c r="AH139" s="60">
        <v>0</v>
      </c>
      <c r="AI139" s="60">
        <v>0</v>
      </c>
      <c r="AJ139" s="60">
        <v>0</v>
      </c>
      <c r="AK139" s="60">
        <v>0</v>
      </c>
      <c r="AL139" s="60">
        <v>0</v>
      </c>
      <c r="AM139" s="60">
        <v>0</v>
      </c>
    </row>
    <row r="140" spans="1:39" ht="15.75" hidden="1" outlineLevel="1" thickBot="1">
      <c r="A140" s="59" t="s">
        <v>96</v>
      </c>
      <c r="B140" s="60">
        <v>0</v>
      </c>
      <c r="C140" s="60">
        <v>0</v>
      </c>
      <c r="D140" s="60">
        <v>0</v>
      </c>
      <c r="E140" s="60">
        <v>0</v>
      </c>
      <c r="F140" s="60">
        <v>0</v>
      </c>
      <c r="G140" s="60">
        <v>0</v>
      </c>
      <c r="H140" s="60">
        <v>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  <c r="R140" s="60">
        <v>0</v>
      </c>
      <c r="S140" s="60">
        <v>0</v>
      </c>
      <c r="T140" s="60">
        <v>0</v>
      </c>
      <c r="U140" s="60">
        <v>0</v>
      </c>
      <c r="V140" s="60">
        <v>0</v>
      </c>
      <c r="W140" s="60">
        <v>0</v>
      </c>
      <c r="X140" s="60">
        <v>0</v>
      </c>
      <c r="Y140" s="60">
        <v>0</v>
      </c>
      <c r="Z140" s="60">
        <v>0</v>
      </c>
      <c r="AA140" s="60">
        <v>0</v>
      </c>
      <c r="AB140" s="60">
        <v>0</v>
      </c>
      <c r="AC140" s="60">
        <v>0</v>
      </c>
      <c r="AD140" s="60">
        <v>0</v>
      </c>
      <c r="AE140" s="60">
        <v>0</v>
      </c>
      <c r="AF140" s="60">
        <v>0</v>
      </c>
      <c r="AG140" s="60">
        <v>0</v>
      </c>
      <c r="AH140" s="60">
        <v>0</v>
      </c>
      <c r="AI140" s="60">
        <v>0</v>
      </c>
      <c r="AJ140" s="60">
        <v>0</v>
      </c>
      <c r="AK140" s="60">
        <v>0</v>
      </c>
      <c r="AL140" s="60">
        <v>0</v>
      </c>
      <c r="AM140" s="60">
        <v>0</v>
      </c>
    </row>
    <row r="141" spans="1:39" ht="15.75" hidden="1" outlineLevel="1" thickBot="1">
      <c r="A141" s="59" t="s">
        <v>97</v>
      </c>
      <c r="B141" s="60">
        <v>0</v>
      </c>
      <c r="C141" s="60">
        <v>0</v>
      </c>
      <c r="D141" s="60">
        <v>0</v>
      </c>
      <c r="E141" s="60">
        <v>0</v>
      </c>
      <c r="F141" s="60">
        <v>0</v>
      </c>
      <c r="G141" s="60">
        <v>0</v>
      </c>
      <c r="H141" s="60">
        <v>0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  <c r="R141" s="60">
        <v>0</v>
      </c>
      <c r="S141" s="60">
        <v>0</v>
      </c>
      <c r="T141" s="60">
        <v>0</v>
      </c>
      <c r="U141" s="60">
        <v>0</v>
      </c>
      <c r="V141" s="60">
        <v>0</v>
      </c>
      <c r="W141" s="60">
        <v>0</v>
      </c>
      <c r="X141" s="60">
        <v>0</v>
      </c>
      <c r="Y141" s="60">
        <v>0</v>
      </c>
      <c r="Z141" s="60">
        <v>0</v>
      </c>
      <c r="AA141" s="60">
        <v>0</v>
      </c>
      <c r="AB141" s="60">
        <v>0</v>
      </c>
      <c r="AC141" s="60">
        <v>0</v>
      </c>
      <c r="AD141" s="60">
        <v>0</v>
      </c>
      <c r="AE141" s="60">
        <v>0</v>
      </c>
      <c r="AF141" s="60">
        <v>0</v>
      </c>
      <c r="AG141" s="60">
        <v>0</v>
      </c>
      <c r="AH141" s="60">
        <v>0</v>
      </c>
      <c r="AI141" s="60">
        <v>0</v>
      </c>
      <c r="AJ141" s="60">
        <v>0</v>
      </c>
      <c r="AK141" s="60">
        <v>0</v>
      </c>
      <c r="AL141" s="60">
        <v>0</v>
      </c>
      <c r="AM141" s="60">
        <v>0</v>
      </c>
    </row>
    <row r="142" spans="1:39" ht="15.75" hidden="1" outlineLevel="1" thickBot="1">
      <c r="A142" s="59" t="s">
        <v>98</v>
      </c>
      <c r="B142" s="60">
        <v>0</v>
      </c>
      <c r="C142" s="60">
        <v>0</v>
      </c>
      <c r="D142" s="60">
        <v>0</v>
      </c>
      <c r="E142" s="60">
        <v>0</v>
      </c>
      <c r="F142" s="60">
        <v>0</v>
      </c>
      <c r="G142" s="60">
        <v>0</v>
      </c>
      <c r="H142" s="60">
        <v>0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  <c r="R142" s="60">
        <v>0</v>
      </c>
      <c r="S142" s="60">
        <v>0</v>
      </c>
      <c r="T142" s="60">
        <v>0</v>
      </c>
      <c r="U142" s="60">
        <v>0</v>
      </c>
      <c r="V142" s="60">
        <v>0</v>
      </c>
      <c r="W142" s="60">
        <v>0</v>
      </c>
      <c r="X142" s="60">
        <v>0</v>
      </c>
      <c r="Y142" s="60">
        <v>0</v>
      </c>
      <c r="Z142" s="60">
        <v>0</v>
      </c>
      <c r="AA142" s="60">
        <v>0</v>
      </c>
      <c r="AB142" s="60">
        <v>0</v>
      </c>
      <c r="AC142" s="60">
        <v>0</v>
      </c>
      <c r="AD142" s="60">
        <v>0</v>
      </c>
      <c r="AE142" s="60">
        <v>0</v>
      </c>
      <c r="AF142" s="60">
        <v>0</v>
      </c>
      <c r="AG142" s="60">
        <v>0</v>
      </c>
      <c r="AH142" s="60">
        <v>0</v>
      </c>
      <c r="AI142" s="60">
        <v>0</v>
      </c>
      <c r="AJ142" s="60">
        <v>0</v>
      </c>
      <c r="AK142" s="60">
        <v>0</v>
      </c>
      <c r="AL142" s="60">
        <v>0</v>
      </c>
      <c r="AM142" s="60">
        <v>0</v>
      </c>
    </row>
    <row r="143" spans="1:39" ht="15.75" hidden="1" outlineLevel="1" thickBot="1">
      <c r="A143" s="59" t="s">
        <v>99</v>
      </c>
      <c r="B143" s="60">
        <v>0</v>
      </c>
      <c r="C143" s="60">
        <v>0</v>
      </c>
      <c r="D143" s="60">
        <v>0</v>
      </c>
      <c r="E143" s="60">
        <v>0</v>
      </c>
      <c r="F143" s="60">
        <v>0</v>
      </c>
      <c r="G143" s="60">
        <v>0</v>
      </c>
      <c r="H143" s="60">
        <v>0</v>
      </c>
      <c r="I143" s="60">
        <v>0</v>
      </c>
      <c r="J143" s="60">
        <v>0</v>
      </c>
      <c r="K143" s="60">
        <v>0</v>
      </c>
      <c r="L143" s="60">
        <v>0</v>
      </c>
      <c r="M143" s="60">
        <v>0</v>
      </c>
      <c r="N143" s="60">
        <v>0</v>
      </c>
      <c r="O143" s="60">
        <v>0</v>
      </c>
      <c r="P143" s="60">
        <v>0</v>
      </c>
      <c r="Q143" s="60">
        <v>0</v>
      </c>
      <c r="R143" s="60">
        <v>0</v>
      </c>
      <c r="S143" s="60">
        <v>0</v>
      </c>
      <c r="T143" s="60">
        <v>0</v>
      </c>
      <c r="U143" s="60">
        <v>0</v>
      </c>
      <c r="V143" s="60">
        <v>0</v>
      </c>
      <c r="W143" s="60">
        <v>0</v>
      </c>
      <c r="X143" s="60">
        <v>0</v>
      </c>
      <c r="Y143" s="60">
        <v>0</v>
      </c>
      <c r="Z143" s="60">
        <v>0</v>
      </c>
      <c r="AA143" s="60">
        <v>0</v>
      </c>
      <c r="AB143" s="60">
        <v>0</v>
      </c>
      <c r="AC143" s="60">
        <v>0</v>
      </c>
      <c r="AD143" s="60">
        <v>0</v>
      </c>
      <c r="AE143" s="60">
        <v>0</v>
      </c>
      <c r="AF143" s="60">
        <v>0</v>
      </c>
      <c r="AG143" s="60">
        <v>0</v>
      </c>
      <c r="AH143" s="60">
        <v>0</v>
      </c>
      <c r="AI143" s="60">
        <v>0</v>
      </c>
      <c r="AJ143" s="60">
        <v>0</v>
      </c>
      <c r="AK143" s="60">
        <v>0</v>
      </c>
      <c r="AL143" s="60">
        <v>0</v>
      </c>
      <c r="AM143" s="60">
        <v>0</v>
      </c>
    </row>
    <row r="144" spans="1:39" ht="15.75" hidden="1" outlineLevel="1" thickBot="1">
      <c r="A144" s="59" t="s">
        <v>100</v>
      </c>
      <c r="B144" s="60">
        <v>0</v>
      </c>
      <c r="C144" s="60">
        <v>0</v>
      </c>
      <c r="D144" s="60">
        <v>0</v>
      </c>
      <c r="E144" s="60">
        <v>0</v>
      </c>
      <c r="F144" s="60">
        <v>0</v>
      </c>
      <c r="G144" s="60">
        <v>0</v>
      </c>
      <c r="H144" s="60">
        <v>0</v>
      </c>
      <c r="I144" s="60">
        <v>0</v>
      </c>
      <c r="J144" s="60">
        <v>0</v>
      </c>
      <c r="K144" s="60">
        <v>0</v>
      </c>
      <c r="L144" s="60">
        <v>0</v>
      </c>
      <c r="M144" s="60">
        <v>0</v>
      </c>
      <c r="N144" s="60">
        <v>0</v>
      </c>
      <c r="O144" s="60">
        <v>0</v>
      </c>
      <c r="P144" s="60">
        <v>0</v>
      </c>
      <c r="Q144" s="60">
        <v>0</v>
      </c>
      <c r="R144" s="60">
        <v>0</v>
      </c>
      <c r="S144" s="60">
        <v>0</v>
      </c>
      <c r="T144" s="60">
        <v>0</v>
      </c>
      <c r="U144" s="60">
        <v>0</v>
      </c>
      <c r="V144" s="60">
        <v>0</v>
      </c>
      <c r="W144" s="60">
        <v>0</v>
      </c>
      <c r="X144" s="60">
        <v>0</v>
      </c>
      <c r="Y144" s="60">
        <v>0</v>
      </c>
      <c r="Z144" s="60">
        <v>0</v>
      </c>
      <c r="AA144" s="60">
        <v>0</v>
      </c>
      <c r="AB144" s="60">
        <v>0</v>
      </c>
      <c r="AC144" s="60">
        <v>0</v>
      </c>
      <c r="AD144" s="60">
        <v>0</v>
      </c>
      <c r="AE144" s="60">
        <v>0</v>
      </c>
      <c r="AF144" s="60">
        <v>0</v>
      </c>
      <c r="AG144" s="60">
        <v>0</v>
      </c>
      <c r="AH144" s="60">
        <v>0</v>
      </c>
      <c r="AI144" s="60">
        <v>0</v>
      </c>
      <c r="AJ144" s="60">
        <v>0</v>
      </c>
      <c r="AK144" s="60">
        <v>0</v>
      </c>
      <c r="AL144" s="60">
        <v>0</v>
      </c>
      <c r="AM144" s="60">
        <v>0</v>
      </c>
    </row>
    <row r="145" spans="1:39" ht="15.75" hidden="1" outlineLevel="1" thickBot="1">
      <c r="A145" s="59" t="s">
        <v>101</v>
      </c>
      <c r="B145" s="60">
        <v>0</v>
      </c>
      <c r="C145" s="60">
        <v>0</v>
      </c>
      <c r="D145" s="60">
        <v>0</v>
      </c>
      <c r="E145" s="60">
        <v>0</v>
      </c>
      <c r="F145" s="60">
        <v>0</v>
      </c>
      <c r="G145" s="60">
        <v>0</v>
      </c>
      <c r="H145" s="60">
        <v>0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60">
        <v>0</v>
      </c>
      <c r="X145" s="60">
        <v>0</v>
      </c>
      <c r="Y145" s="60">
        <v>0</v>
      </c>
      <c r="Z145" s="60">
        <v>0</v>
      </c>
      <c r="AA145" s="60">
        <v>0</v>
      </c>
      <c r="AB145" s="60">
        <v>0</v>
      </c>
      <c r="AC145" s="60">
        <v>0</v>
      </c>
      <c r="AD145" s="60">
        <v>0</v>
      </c>
      <c r="AE145" s="60">
        <v>0</v>
      </c>
      <c r="AF145" s="60">
        <v>0</v>
      </c>
      <c r="AG145" s="60">
        <v>0</v>
      </c>
      <c r="AH145" s="60">
        <v>0</v>
      </c>
      <c r="AI145" s="60">
        <v>0</v>
      </c>
      <c r="AJ145" s="60">
        <v>0</v>
      </c>
      <c r="AK145" s="60">
        <v>0</v>
      </c>
      <c r="AL145" s="60">
        <v>0</v>
      </c>
      <c r="AM145" s="60">
        <v>0</v>
      </c>
    </row>
    <row r="146" spans="1:39" ht="15.75" hidden="1" outlineLevel="1" thickBot="1">
      <c r="A146" s="59" t="s">
        <v>102</v>
      </c>
      <c r="B146" s="60">
        <v>9.32</v>
      </c>
      <c r="C146" s="60">
        <v>8.09</v>
      </c>
      <c r="D146" s="60">
        <v>7.52</v>
      </c>
      <c r="E146" s="60">
        <v>8.84</v>
      </c>
      <c r="F146" s="60">
        <v>8.66</v>
      </c>
      <c r="G146" s="60">
        <v>8.2799999999999994</v>
      </c>
      <c r="H146" s="60">
        <v>8.0399999999999991</v>
      </c>
      <c r="I146" s="60">
        <v>12.97</v>
      </c>
      <c r="J146" s="60">
        <v>10.76</v>
      </c>
      <c r="K146" s="60">
        <v>11.43</v>
      </c>
      <c r="L146" s="60">
        <v>11.49</v>
      </c>
      <c r="M146" s="60">
        <v>11.55</v>
      </c>
      <c r="N146" s="60">
        <v>11.61</v>
      </c>
      <c r="O146" s="60">
        <v>11.67</v>
      </c>
      <c r="P146" s="60">
        <v>11.73</v>
      </c>
      <c r="Q146" s="60">
        <v>11.79</v>
      </c>
      <c r="R146" s="60">
        <v>11.85</v>
      </c>
      <c r="S146" s="60">
        <v>11.91</v>
      </c>
      <c r="T146" s="60">
        <v>11.97</v>
      </c>
      <c r="U146" s="60">
        <v>12.03</v>
      </c>
      <c r="V146" s="60">
        <v>12.09</v>
      </c>
      <c r="W146" s="60">
        <v>12.15</v>
      </c>
      <c r="X146" s="60">
        <v>12.21</v>
      </c>
      <c r="Y146" s="60">
        <v>12.28</v>
      </c>
      <c r="Z146" s="60">
        <v>12.34</v>
      </c>
      <c r="AA146" s="60">
        <v>12.4</v>
      </c>
      <c r="AB146" s="60">
        <v>12.46</v>
      </c>
      <c r="AC146" s="60">
        <v>12.52</v>
      </c>
      <c r="AD146" s="60">
        <v>12.58</v>
      </c>
      <c r="AE146" s="60">
        <v>12.64</v>
      </c>
      <c r="AF146" s="60">
        <v>12.7</v>
      </c>
      <c r="AG146" s="60">
        <v>12.76</v>
      </c>
      <c r="AH146" s="60">
        <v>12.82</v>
      </c>
      <c r="AI146" s="60">
        <v>12.88</v>
      </c>
      <c r="AJ146" s="60">
        <v>12.94</v>
      </c>
      <c r="AK146" s="60">
        <v>13</v>
      </c>
      <c r="AL146" s="60">
        <v>13.06</v>
      </c>
      <c r="AM146" s="60">
        <v>13.12</v>
      </c>
    </row>
    <row r="147" spans="1:39" ht="15.75" hidden="1" outlineLevel="1" thickBot="1">
      <c r="A147" s="59" t="s">
        <v>103</v>
      </c>
      <c r="B147" s="60">
        <v>0</v>
      </c>
      <c r="C147" s="60">
        <v>0</v>
      </c>
      <c r="D147" s="60">
        <v>0</v>
      </c>
      <c r="E147" s="60">
        <v>0</v>
      </c>
      <c r="F147" s="60">
        <v>0</v>
      </c>
      <c r="G147" s="60">
        <v>0</v>
      </c>
      <c r="H147" s="60">
        <v>0</v>
      </c>
      <c r="I147" s="60">
        <v>0</v>
      </c>
      <c r="J147" s="60">
        <v>0</v>
      </c>
      <c r="K147" s="60">
        <v>0</v>
      </c>
      <c r="L147" s="60">
        <v>0</v>
      </c>
      <c r="M147" s="60">
        <v>0</v>
      </c>
      <c r="N147" s="60">
        <v>0</v>
      </c>
      <c r="O147" s="60">
        <v>0</v>
      </c>
      <c r="P147" s="60">
        <v>0</v>
      </c>
      <c r="Q147" s="60">
        <v>0</v>
      </c>
      <c r="R147" s="60">
        <v>0</v>
      </c>
      <c r="S147" s="60">
        <v>0</v>
      </c>
      <c r="T147" s="60">
        <v>0</v>
      </c>
      <c r="U147" s="60">
        <v>0</v>
      </c>
      <c r="V147" s="60">
        <v>0</v>
      </c>
      <c r="W147" s="60">
        <v>0</v>
      </c>
      <c r="X147" s="60">
        <v>0</v>
      </c>
      <c r="Y147" s="60">
        <v>0</v>
      </c>
      <c r="Z147" s="60">
        <v>0</v>
      </c>
      <c r="AA147" s="60">
        <v>0</v>
      </c>
      <c r="AB147" s="60">
        <v>0</v>
      </c>
      <c r="AC147" s="60">
        <v>0</v>
      </c>
      <c r="AD147" s="60">
        <v>0</v>
      </c>
      <c r="AE147" s="60">
        <v>0</v>
      </c>
      <c r="AF147" s="60">
        <v>0</v>
      </c>
      <c r="AG147" s="60">
        <v>0</v>
      </c>
      <c r="AH147" s="60">
        <v>0</v>
      </c>
      <c r="AI147" s="60">
        <v>0</v>
      </c>
      <c r="AJ147" s="60">
        <v>0</v>
      </c>
      <c r="AK147" s="60">
        <v>0</v>
      </c>
      <c r="AL147" s="60">
        <v>0</v>
      </c>
      <c r="AM147" s="60">
        <v>0</v>
      </c>
    </row>
    <row r="148" spans="1:39" ht="15.75" hidden="1" outlineLevel="1" thickBot="1">
      <c r="A148" s="59" t="s">
        <v>44</v>
      </c>
      <c r="B148" s="60">
        <v>0</v>
      </c>
      <c r="C148" s="60">
        <v>0</v>
      </c>
      <c r="D148" s="60">
        <v>0</v>
      </c>
      <c r="E148" s="60">
        <v>0</v>
      </c>
      <c r="F148" s="60">
        <v>0</v>
      </c>
      <c r="G148" s="60">
        <v>0</v>
      </c>
      <c r="H148" s="60">
        <v>0</v>
      </c>
      <c r="I148" s="60">
        <v>0</v>
      </c>
      <c r="J148" s="60">
        <v>0</v>
      </c>
      <c r="K148" s="60">
        <v>0</v>
      </c>
      <c r="L148" s="60">
        <v>0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  <c r="R148" s="60">
        <v>0</v>
      </c>
      <c r="S148" s="60">
        <v>0</v>
      </c>
      <c r="T148" s="60">
        <v>0</v>
      </c>
      <c r="U148" s="60">
        <v>0</v>
      </c>
      <c r="V148" s="60">
        <v>0</v>
      </c>
      <c r="W148" s="60">
        <v>0</v>
      </c>
      <c r="X148" s="60">
        <v>0</v>
      </c>
      <c r="Y148" s="60">
        <v>0</v>
      </c>
      <c r="Z148" s="60">
        <v>0</v>
      </c>
      <c r="AA148" s="60">
        <v>0</v>
      </c>
      <c r="AB148" s="60">
        <v>0</v>
      </c>
      <c r="AC148" s="60">
        <v>0</v>
      </c>
      <c r="AD148" s="60">
        <v>0</v>
      </c>
      <c r="AE148" s="60">
        <v>0</v>
      </c>
      <c r="AF148" s="60">
        <v>0</v>
      </c>
      <c r="AG148" s="60">
        <v>0</v>
      </c>
      <c r="AH148" s="60">
        <v>0</v>
      </c>
      <c r="AI148" s="60">
        <v>0</v>
      </c>
      <c r="AJ148" s="60">
        <v>0</v>
      </c>
      <c r="AK148" s="60">
        <v>0</v>
      </c>
      <c r="AL148" s="60">
        <v>0</v>
      </c>
      <c r="AM148" s="60">
        <v>0</v>
      </c>
    </row>
    <row r="149" spans="1:39" ht="15.75" hidden="1" outlineLevel="1" thickBot="1">
      <c r="A149" s="59" t="s">
        <v>45</v>
      </c>
      <c r="B149" s="60">
        <v>4.37</v>
      </c>
      <c r="C149" s="60">
        <v>4.59</v>
      </c>
      <c r="D149" s="60">
        <v>5.5</v>
      </c>
      <c r="E149" s="60">
        <v>5.65</v>
      </c>
      <c r="F149" s="60">
        <v>5.96</v>
      </c>
      <c r="G149" s="60">
        <v>6.45</v>
      </c>
      <c r="H149" s="60">
        <v>6.88</v>
      </c>
      <c r="I149" s="60">
        <v>3.26</v>
      </c>
      <c r="J149" s="60">
        <v>3.1</v>
      </c>
      <c r="K149" s="60">
        <v>3.11</v>
      </c>
      <c r="L149" s="60">
        <v>3.1</v>
      </c>
      <c r="M149" s="60">
        <v>3.09</v>
      </c>
      <c r="N149" s="60">
        <v>3.08</v>
      </c>
      <c r="O149" s="60">
        <v>3.07</v>
      </c>
      <c r="P149" s="60">
        <v>3.06</v>
      </c>
      <c r="Q149" s="60">
        <v>3.05</v>
      </c>
      <c r="R149" s="60">
        <v>3.04</v>
      </c>
      <c r="S149" s="60">
        <v>3.04</v>
      </c>
      <c r="T149" s="60">
        <v>3.03</v>
      </c>
      <c r="U149" s="60">
        <v>3.02</v>
      </c>
      <c r="V149" s="60">
        <v>3.01</v>
      </c>
      <c r="W149" s="60">
        <v>3</v>
      </c>
      <c r="X149" s="60">
        <v>2.99</v>
      </c>
      <c r="Y149" s="60">
        <v>2.98</v>
      </c>
      <c r="Z149" s="60">
        <v>2.97</v>
      </c>
      <c r="AA149" s="60">
        <v>2.96</v>
      </c>
      <c r="AB149" s="60">
        <v>2.96</v>
      </c>
      <c r="AC149" s="60">
        <v>2.95</v>
      </c>
      <c r="AD149" s="60">
        <v>2.94</v>
      </c>
      <c r="AE149" s="60">
        <v>2.93</v>
      </c>
      <c r="AF149" s="60">
        <v>2.92</v>
      </c>
      <c r="AG149" s="60">
        <v>2.91</v>
      </c>
      <c r="AH149" s="60">
        <v>2.9</v>
      </c>
      <c r="AI149" s="60">
        <v>2.89</v>
      </c>
      <c r="AJ149" s="60">
        <v>2.88</v>
      </c>
      <c r="AK149" s="60">
        <v>2.88</v>
      </c>
      <c r="AL149" s="60">
        <v>2.87</v>
      </c>
      <c r="AM149" s="60">
        <v>2.86</v>
      </c>
    </row>
    <row r="150" spans="1:39" ht="15.75" hidden="1" outlineLevel="1" thickBot="1">
      <c r="A150" s="59" t="s">
        <v>104</v>
      </c>
      <c r="B150" s="60">
        <v>2.23</v>
      </c>
      <c r="C150" s="60">
        <v>2.21</v>
      </c>
      <c r="D150" s="60">
        <v>2.08</v>
      </c>
      <c r="E150" s="60">
        <v>2.02</v>
      </c>
      <c r="F150" s="60">
        <v>1.91</v>
      </c>
      <c r="G150" s="60">
        <v>1.9</v>
      </c>
      <c r="H150" s="60">
        <v>1.93</v>
      </c>
      <c r="I150" s="60">
        <v>1.81</v>
      </c>
      <c r="J150" s="60">
        <v>2.23</v>
      </c>
      <c r="K150" s="60">
        <v>2.16</v>
      </c>
      <c r="L150" s="60">
        <v>2.08</v>
      </c>
      <c r="M150" s="60">
        <v>2</v>
      </c>
      <c r="N150" s="60">
        <v>1.93</v>
      </c>
      <c r="O150" s="60">
        <v>1.85</v>
      </c>
      <c r="P150" s="60">
        <v>1.77</v>
      </c>
      <c r="Q150" s="60">
        <v>1.7</v>
      </c>
      <c r="R150" s="60">
        <v>1.62</v>
      </c>
      <c r="S150" s="60">
        <v>1.54</v>
      </c>
      <c r="T150" s="60">
        <v>1.46</v>
      </c>
      <c r="U150" s="60">
        <v>1.39</v>
      </c>
      <c r="V150" s="60">
        <v>1.31</v>
      </c>
      <c r="W150" s="60">
        <v>1.23</v>
      </c>
      <c r="X150" s="60">
        <v>1.1599999999999999</v>
      </c>
      <c r="Y150" s="60">
        <v>1.08</v>
      </c>
      <c r="Z150" s="60">
        <v>1</v>
      </c>
      <c r="AA150" s="60">
        <v>0.92</v>
      </c>
      <c r="AB150" s="60">
        <v>0.85</v>
      </c>
      <c r="AC150" s="60">
        <v>0.77</v>
      </c>
      <c r="AD150" s="60">
        <v>0.69</v>
      </c>
      <c r="AE150" s="60">
        <v>0.62</v>
      </c>
      <c r="AF150" s="60">
        <v>0.54</v>
      </c>
      <c r="AG150" s="60">
        <v>0.46</v>
      </c>
      <c r="AH150" s="60">
        <v>0.39</v>
      </c>
      <c r="AI150" s="60">
        <v>0.31</v>
      </c>
      <c r="AJ150" s="60">
        <v>0.23</v>
      </c>
      <c r="AK150" s="60">
        <v>0.15</v>
      </c>
      <c r="AL150" s="60">
        <v>0.08</v>
      </c>
      <c r="AM150" s="60">
        <v>0</v>
      </c>
    </row>
    <row r="151" spans="1:39" ht="15.75" hidden="1" outlineLevel="1" thickBot="1">
      <c r="A151" s="59" t="s">
        <v>105</v>
      </c>
      <c r="B151" s="60">
        <v>0</v>
      </c>
      <c r="C151" s="60">
        <v>0</v>
      </c>
      <c r="D151" s="60">
        <v>0</v>
      </c>
      <c r="E151" s="60">
        <v>0</v>
      </c>
      <c r="F151" s="60">
        <v>0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60">
        <v>0</v>
      </c>
      <c r="M151" s="60">
        <v>0</v>
      </c>
      <c r="N151" s="60">
        <v>0</v>
      </c>
      <c r="O151" s="60">
        <v>0</v>
      </c>
      <c r="P151" s="60">
        <v>0</v>
      </c>
      <c r="Q151" s="60">
        <v>0</v>
      </c>
      <c r="R151" s="60">
        <v>0</v>
      </c>
      <c r="S151" s="60">
        <v>0</v>
      </c>
      <c r="T151" s="60">
        <v>0</v>
      </c>
      <c r="U151" s="60">
        <v>0</v>
      </c>
      <c r="V151" s="60">
        <v>0</v>
      </c>
      <c r="W151" s="60">
        <v>0</v>
      </c>
      <c r="X151" s="60">
        <v>0</v>
      </c>
      <c r="Y151" s="60">
        <v>0</v>
      </c>
      <c r="Z151" s="60">
        <v>0</v>
      </c>
      <c r="AA151" s="60">
        <v>0</v>
      </c>
      <c r="AB151" s="60">
        <v>0</v>
      </c>
      <c r="AC151" s="60">
        <v>0</v>
      </c>
      <c r="AD151" s="60">
        <v>0</v>
      </c>
      <c r="AE151" s="60">
        <v>0</v>
      </c>
      <c r="AF151" s="60">
        <v>0</v>
      </c>
      <c r="AG151" s="60">
        <v>0</v>
      </c>
      <c r="AH151" s="60">
        <v>0</v>
      </c>
      <c r="AI151" s="60">
        <v>0</v>
      </c>
      <c r="AJ151" s="60">
        <v>0</v>
      </c>
      <c r="AK151" s="60">
        <v>0</v>
      </c>
      <c r="AL151" s="60">
        <v>0</v>
      </c>
      <c r="AM151" s="60">
        <v>0</v>
      </c>
    </row>
    <row r="152" spans="1:39" ht="15.75" hidden="1" outlineLevel="1" thickBot="1">
      <c r="A152" s="59" t="s">
        <v>106</v>
      </c>
      <c r="B152" s="60">
        <v>9.27</v>
      </c>
      <c r="C152" s="60">
        <v>6.72</v>
      </c>
      <c r="D152" s="60">
        <v>10.1</v>
      </c>
      <c r="E152" s="60">
        <v>10.66</v>
      </c>
      <c r="F152" s="60">
        <v>11.84</v>
      </c>
      <c r="G152" s="60">
        <v>12.3</v>
      </c>
      <c r="H152" s="60">
        <v>12.94</v>
      </c>
      <c r="I152" s="60">
        <v>11.21</v>
      </c>
      <c r="J152" s="60">
        <v>15.29</v>
      </c>
      <c r="K152" s="60">
        <v>15.53</v>
      </c>
      <c r="L152" s="60">
        <v>15.67</v>
      </c>
      <c r="M152" s="60">
        <v>15.82</v>
      </c>
      <c r="N152" s="60">
        <v>15.97</v>
      </c>
      <c r="O152" s="60">
        <v>16.11</v>
      </c>
      <c r="P152" s="60">
        <v>16.260000000000002</v>
      </c>
      <c r="Q152" s="60">
        <v>16.41</v>
      </c>
      <c r="R152" s="60">
        <v>16.559999999999999</v>
      </c>
      <c r="S152" s="60">
        <v>16.7</v>
      </c>
      <c r="T152" s="60">
        <v>16.850000000000001</v>
      </c>
      <c r="U152" s="60">
        <v>17</v>
      </c>
      <c r="V152" s="60">
        <v>17.14</v>
      </c>
      <c r="W152" s="60">
        <v>17.21</v>
      </c>
      <c r="X152" s="60">
        <v>17.170000000000002</v>
      </c>
      <c r="Y152" s="60">
        <v>17.12</v>
      </c>
      <c r="Z152" s="60">
        <v>17.079999999999998</v>
      </c>
      <c r="AA152" s="60">
        <v>17.04</v>
      </c>
      <c r="AB152" s="60">
        <v>16.989999999999998</v>
      </c>
      <c r="AC152" s="60">
        <v>16.95</v>
      </c>
      <c r="AD152" s="60">
        <v>16.91</v>
      </c>
      <c r="AE152" s="60">
        <v>16.86</v>
      </c>
      <c r="AF152" s="60">
        <v>16.82</v>
      </c>
      <c r="AG152" s="60">
        <v>16.78</v>
      </c>
      <c r="AH152" s="60">
        <v>16.73</v>
      </c>
      <c r="AI152" s="60">
        <v>16.690000000000001</v>
      </c>
      <c r="AJ152" s="60">
        <v>16.649999999999999</v>
      </c>
      <c r="AK152" s="60">
        <v>16.600000000000001</v>
      </c>
      <c r="AL152" s="60">
        <v>16.559999999999999</v>
      </c>
      <c r="AM152" s="60">
        <v>16.52</v>
      </c>
    </row>
    <row r="153" spans="1:39" ht="15.75" hidden="1" outlineLevel="1" thickBot="1">
      <c r="A153" s="59" t="s">
        <v>46</v>
      </c>
      <c r="B153" s="60">
        <v>36.29</v>
      </c>
      <c r="C153" s="60">
        <v>37.85</v>
      </c>
      <c r="D153" s="60">
        <v>38.11</v>
      </c>
      <c r="E153" s="60">
        <v>40.630000000000003</v>
      </c>
      <c r="F153" s="60">
        <v>43.15</v>
      </c>
      <c r="G153" s="60">
        <v>46.21</v>
      </c>
      <c r="H153" s="60">
        <v>46.21</v>
      </c>
      <c r="I153" s="60">
        <v>47.29</v>
      </c>
      <c r="J153" s="60">
        <v>46.09</v>
      </c>
      <c r="K153" s="60">
        <v>49.48</v>
      </c>
      <c r="L153" s="60">
        <v>51.71</v>
      </c>
      <c r="M153" s="60">
        <v>53.94</v>
      </c>
      <c r="N153" s="60">
        <v>56.16</v>
      </c>
      <c r="O153" s="60">
        <v>58.39</v>
      </c>
      <c r="P153" s="60">
        <v>60.62</v>
      </c>
      <c r="Q153" s="60">
        <v>62.85</v>
      </c>
      <c r="R153" s="60">
        <v>65.08</v>
      </c>
      <c r="S153" s="60">
        <v>67.31</v>
      </c>
      <c r="T153" s="60">
        <v>69.540000000000006</v>
      </c>
      <c r="U153" s="60">
        <v>71.760000000000005</v>
      </c>
      <c r="V153" s="60">
        <v>73.989999999999995</v>
      </c>
      <c r="W153" s="60">
        <v>76.3</v>
      </c>
      <c r="X153" s="60">
        <v>78.72</v>
      </c>
      <c r="Y153" s="60">
        <v>81.14</v>
      </c>
      <c r="Z153" s="60">
        <v>83.56</v>
      </c>
      <c r="AA153" s="60">
        <v>85.98</v>
      </c>
      <c r="AB153" s="60">
        <v>88.4</v>
      </c>
      <c r="AC153" s="60">
        <v>90.82</v>
      </c>
      <c r="AD153" s="60">
        <v>93.23</v>
      </c>
      <c r="AE153" s="60">
        <v>95.65</v>
      </c>
      <c r="AF153" s="60">
        <v>98.07</v>
      </c>
      <c r="AG153" s="60">
        <v>100.49</v>
      </c>
      <c r="AH153" s="60">
        <v>102.91</v>
      </c>
      <c r="AI153" s="60">
        <v>105.33</v>
      </c>
      <c r="AJ153" s="60">
        <v>107.75</v>
      </c>
      <c r="AK153" s="60">
        <v>110.17</v>
      </c>
      <c r="AL153" s="60">
        <v>112.59</v>
      </c>
      <c r="AM153" s="60">
        <v>115.01</v>
      </c>
    </row>
    <row r="154" spans="1:39" ht="15.75" hidden="1" outlineLevel="1" thickBot="1">
      <c r="A154" s="59" t="s">
        <v>107</v>
      </c>
      <c r="B154" s="60">
        <v>0</v>
      </c>
      <c r="C154" s="60">
        <v>0</v>
      </c>
      <c r="D154" s="60">
        <v>0</v>
      </c>
      <c r="E154" s="60">
        <v>0</v>
      </c>
      <c r="F154" s="60">
        <v>0</v>
      </c>
      <c r="G154" s="60">
        <v>0</v>
      </c>
      <c r="H154" s="60">
        <v>0</v>
      </c>
      <c r="I154" s="60">
        <v>0</v>
      </c>
      <c r="J154" s="60">
        <v>0</v>
      </c>
      <c r="K154" s="60">
        <v>0</v>
      </c>
      <c r="L154" s="60">
        <v>0</v>
      </c>
      <c r="M154" s="60">
        <v>0</v>
      </c>
      <c r="N154" s="60">
        <v>0</v>
      </c>
      <c r="O154" s="60">
        <v>0</v>
      </c>
      <c r="P154" s="60">
        <v>0</v>
      </c>
      <c r="Q154" s="60">
        <v>0</v>
      </c>
      <c r="R154" s="60">
        <v>0</v>
      </c>
      <c r="S154" s="60">
        <v>0</v>
      </c>
      <c r="T154" s="60">
        <v>0</v>
      </c>
      <c r="U154" s="60">
        <v>0</v>
      </c>
      <c r="V154" s="60">
        <v>0</v>
      </c>
      <c r="W154" s="60">
        <v>0</v>
      </c>
      <c r="X154" s="60">
        <v>0</v>
      </c>
      <c r="Y154" s="60">
        <v>0</v>
      </c>
      <c r="Z154" s="60">
        <v>0</v>
      </c>
      <c r="AA154" s="60">
        <v>0</v>
      </c>
      <c r="AB154" s="60">
        <v>0</v>
      </c>
      <c r="AC154" s="60">
        <v>0</v>
      </c>
      <c r="AD154" s="60">
        <v>0</v>
      </c>
      <c r="AE154" s="60">
        <v>0</v>
      </c>
      <c r="AF154" s="60">
        <v>0</v>
      </c>
      <c r="AG154" s="60">
        <v>0</v>
      </c>
      <c r="AH154" s="60">
        <v>0</v>
      </c>
      <c r="AI154" s="60">
        <v>0</v>
      </c>
      <c r="AJ154" s="60">
        <v>0</v>
      </c>
      <c r="AK154" s="60">
        <v>0</v>
      </c>
      <c r="AL154" s="60">
        <v>0</v>
      </c>
      <c r="AM154" s="60">
        <v>0</v>
      </c>
    </row>
    <row r="155" spans="1:39" ht="15.75" hidden="1" outlineLevel="1" thickBot="1">
      <c r="A155" s="61" t="s">
        <v>108</v>
      </c>
      <c r="B155" s="62">
        <v>0</v>
      </c>
      <c r="C155" s="62">
        <v>0</v>
      </c>
      <c r="D155" s="62">
        <v>0</v>
      </c>
      <c r="E155" s="62">
        <v>0</v>
      </c>
      <c r="F155" s="62">
        <v>0</v>
      </c>
      <c r="G155" s="62">
        <v>0</v>
      </c>
      <c r="H155" s="62">
        <v>0</v>
      </c>
      <c r="I155" s="62">
        <v>0</v>
      </c>
      <c r="J155" s="62">
        <v>0</v>
      </c>
      <c r="K155" s="62">
        <v>0</v>
      </c>
      <c r="L155" s="62">
        <v>0</v>
      </c>
      <c r="M155" s="62">
        <v>0</v>
      </c>
      <c r="N155" s="62">
        <v>0</v>
      </c>
      <c r="O155" s="62">
        <v>0</v>
      </c>
      <c r="P155" s="62">
        <v>0</v>
      </c>
      <c r="Q155" s="62">
        <v>0</v>
      </c>
      <c r="R155" s="62">
        <v>0</v>
      </c>
      <c r="S155" s="62">
        <v>0</v>
      </c>
      <c r="T155" s="62">
        <v>0</v>
      </c>
      <c r="U155" s="62">
        <v>0</v>
      </c>
      <c r="V155" s="62">
        <v>0</v>
      </c>
      <c r="W155" s="62">
        <v>0</v>
      </c>
      <c r="X155" s="62">
        <v>0</v>
      </c>
      <c r="Y155" s="62">
        <v>0</v>
      </c>
      <c r="Z155" s="62">
        <v>0</v>
      </c>
      <c r="AA155" s="62">
        <v>0</v>
      </c>
      <c r="AB155" s="62">
        <v>0</v>
      </c>
      <c r="AC155" s="62">
        <v>0</v>
      </c>
      <c r="AD155" s="62">
        <v>0</v>
      </c>
      <c r="AE155" s="62">
        <v>0</v>
      </c>
      <c r="AF155" s="62">
        <v>0</v>
      </c>
      <c r="AG155" s="62">
        <v>0</v>
      </c>
      <c r="AH155" s="62">
        <v>0</v>
      </c>
      <c r="AI155" s="62">
        <v>0</v>
      </c>
      <c r="AJ155" s="62">
        <v>0</v>
      </c>
      <c r="AK155" s="62">
        <v>0</v>
      </c>
      <c r="AL155" s="62">
        <v>0</v>
      </c>
      <c r="AM155" s="62">
        <v>0</v>
      </c>
    </row>
    <row r="156" spans="1:39" ht="33" collapsed="1" thickTop="1" thickBot="1">
      <c r="A156" s="65" t="s">
        <v>113</v>
      </c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</row>
    <row r="157" spans="1:39" ht="16.5" hidden="1" outlineLevel="1" thickTop="1" thickBot="1">
      <c r="A157" s="57" t="s">
        <v>41</v>
      </c>
      <c r="B157" s="58">
        <v>2013</v>
      </c>
      <c r="C157" s="58">
        <v>2014</v>
      </c>
      <c r="D157" s="58">
        <v>2015</v>
      </c>
      <c r="E157" s="58">
        <v>2016</v>
      </c>
      <c r="F157" s="58">
        <v>2017</v>
      </c>
      <c r="G157" s="58">
        <v>2018</v>
      </c>
      <c r="H157" s="58">
        <v>2019</v>
      </c>
      <c r="I157" s="58">
        <v>2020</v>
      </c>
      <c r="J157" s="58">
        <v>2021</v>
      </c>
      <c r="K157" s="58">
        <v>2022</v>
      </c>
      <c r="L157" s="58">
        <v>2023</v>
      </c>
      <c r="M157" s="58">
        <v>2024</v>
      </c>
      <c r="N157" s="58">
        <v>2025</v>
      </c>
      <c r="O157" s="58">
        <v>2026</v>
      </c>
      <c r="P157" s="58">
        <v>2027</v>
      </c>
      <c r="Q157" s="58">
        <v>2028</v>
      </c>
      <c r="R157" s="58">
        <v>2029</v>
      </c>
      <c r="S157" s="58">
        <v>2030</v>
      </c>
      <c r="T157" s="58">
        <v>2031</v>
      </c>
      <c r="U157" s="58">
        <v>2032</v>
      </c>
      <c r="V157" s="58">
        <v>2033</v>
      </c>
      <c r="W157" s="58">
        <v>2034</v>
      </c>
      <c r="X157" s="58">
        <v>2035</v>
      </c>
      <c r="Y157" s="58">
        <v>2036</v>
      </c>
      <c r="Z157" s="58">
        <v>2037</v>
      </c>
      <c r="AA157" s="58">
        <v>2038</v>
      </c>
      <c r="AB157" s="58">
        <v>2039</v>
      </c>
      <c r="AC157" s="58">
        <v>2040</v>
      </c>
      <c r="AD157" s="58">
        <v>2041</v>
      </c>
      <c r="AE157" s="58">
        <v>2042</v>
      </c>
      <c r="AF157" s="58">
        <v>2043</v>
      </c>
      <c r="AG157" s="58">
        <v>2044</v>
      </c>
      <c r="AH157" s="58">
        <v>2045</v>
      </c>
      <c r="AI157" s="58">
        <v>2046</v>
      </c>
      <c r="AJ157" s="58">
        <v>2047</v>
      </c>
      <c r="AK157" s="58">
        <v>2048</v>
      </c>
      <c r="AL157" s="58">
        <v>2049</v>
      </c>
      <c r="AM157" s="58">
        <v>2050</v>
      </c>
    </row>
    <row r="158" spans="1:39" ht="16.5" hidden="1" outlineLevel="1" thickTop="1" thickBot="1">
      <c r="A158" s="59" t="s">
        <v>83</v>
      </c>
      <c r="B158" s="60">
        <v>0</v>
      </c>
      <c r="C158" s="60">
        <v>0</v>
      </c>
      <c r="D158" s="60">
        <v>0</v>
      </c>
      <c r="E158" s="60">
        <v>0</v>
      </c>
      <c r="F158" s="60">
        <v>0</v>
      </c>
      <c r="G158" s="60">
        <v>0</v>
      </c>
      <c r="H158" s="60">
        <v>0</v>
      </c>
      <c r="I158" s="60">
        <v>0</v>
      </c>
      <c r="J158" s="60">
        <v>0</v>
      </c>
      <c r="K158" s="60">
        <v>0</v>
      </c>
      <c r="L158" s="60">
        <v>0</v>
      </c>
      <c r="M158" s="60">
        <v>0</v>
      </c>
      <c r="N158" s="60">
        <v>0</v>
      </c>
      <c r="O158" s="60">
        <v>0</v>
      </c>
      <c r="P158" s="60">
        <v>0</v>
      </c>
      <c r="Q158" s="60">
        <v>0</v>
      </c>
      <c r="R158" s="60">
        <v>0</v>
      </c>
      <c r="S158" s="60">
        <v>0</v>
      </c>
      <c r="T158" s="60">
        <v>0</v>
      </c>
      <c r="U158" s="60">
        <v>0</v>
      </c>
      <c r="V158" s="60">
        <v>0</v>
      </c>
      <c r="W158" s="60">
        <v>0</v>
      </c>
      <c r="X158" s="60">
        <v>0</v>
      </c>
      <c r="Y158" s="60">
        <v>0</v>
      </c>
      <c r="Z158" s="60">
        <v>0</v>
      </c>
      <c r="AA158" s="60">
        <v>0</v>
      </c>
      <c r="AB158" s="60">
        <v>0</v>
      </c>
      <c r="AC158" s="60">
        <v>0</v>
      </c>
      <c r="AD158" s="60">
        <v>0</v>
      </c>
      <c r="AE158" s="60">
        <v>0</v>
      </c>
      <c r="AF158" s="60">
        <v>0</v>
      </c>
      <c r="AG158" s="60">
        <v>0</v>
      </c>
      <c r="AH158" s="60">
        <v>0</v>
      </c>
      <c r="AI158" s="60">
        <v>0</v>
      </c>
      <c r="AJ158" s="60">
        <v>0</v>
      </c>
      <c r="AK158" s="60">
        <v>0</v>
      </c>
      <c r="AL158" s="60">
        <v>0</v>
      </c>
      <c r="AM158" s="60">
        <v>0</v>
      </c>
    </row>
    <row r="159" spans="1:39" ht="15.75" hidden="1" outlineLevel="1" thickBot="1">
      <c r="A159" s="59" t="s">
        <v>84</v>
      </c>
      <c r="B159" s="60">
        <v>0</v>
      </c>
      <c r="C159" s="60">
        <v>0</v>
      </c>
      <c r="D159" s="60">
        <v>0</v>
      </c>
      <c r="E159" s="60">
        <v>0</v>
      </c>
      <c r="F159" s="60">
        <v>0</v>
      </c>
      <c r="G159" s="60">
        <v>0</v>
      </c>
      <c r="H159" s="60">
        <v>0</v>
      </c>
      <c r="I159" s="60">
        <v>0</v>
      </c>
      <c r="J159" s="60">
        <v>0</v>
      </c>
      <c r="K159" s="60">
        <v>0</v>
      </c>
      <c r="L159" s="60">
        <v>0</v>
      </c>
      <c r="M159" s="60">
        <v>0</v>
      </c>
      <c r="N159" s="60">
        <v>0</v>
      </c>
      <c r="O159" s="60">
        <v>0</v>
      </c>
      <c r="P159" s="60">
        <v>0</v>
      </c>
      <c r="Q159" s="60">
        <v>0</v>
      </c>
      <c r="R159" s="60">
        <v>0</v>
      </c>
      <c r="S159" s="60">
        <v>0</v>
      </c>
      <c r="T159" s="60">
        <v>0</v>
      </c>
      <c r="U159" s="60">
        <v>0</v>
      </c>
      <c r="V159" s="60">
        <v>0</v>
      </c>
      <c r="W159" s="60">
        <v>0</v>
      </c>
      <c r="X159" s="60">
        <v>0</v>
      </c>
      <c r="Y159" s="60">
        <v>0</v>
      </c>
      <c r="Z159" s="60">
        <v>0</v>
      </c>
      <c r="AA159" s="60">
        <v>0</v>
      </c>
      <c r="AB159" s="60">
        <v>0</v>
      </c>
      <c r="AC159" s="60">
        <v>0</v>
      </c>
      <c r="AD159" s="60">
        <v>0</v>
      </c>
      <c r="AE159" s="60">
        <v>0</v>
      </c>
      <c r="AF159" s="60">
        <v>0</v>
      </c>
      <c r="AG159" s="60">
        <v>0</v>
      </c>
      <c r="AH159" s="60">
        <v>0</v>
      </c>
      <c r="AI159" s="60">
        <v>0</v>
      </c>
      <c r="AJ159" s="60">
        <v>0</v>
      </c>
      <c r="AK159" s="60">
        <v>0</v>
      </c>
      <c r="AL159" s="60">
        <v>0</v>
      </c>
      <c r="AM159" s="60">
        <v>0</v>
      </c>
    </row>
    <row r="160" spans="1:39" ht="15.75" hidden="1" outlineLevel="1" thickBot="1">
      <c r="A160" s="59" t="s">
        <v>85</v>
      </c>
      <c r="B160" s="60">
        <v>0</v>
      </c>
      <c r="C160" s="60">
        <v>0</v>
      </c>
      <c r="D160" s="60">
        <v>0</v>
      </c>
      <c r="E160" s="60">
        <v>0</v>
      </c>
      <c r="F160" s="60">
        <v>0</v>
      </c>
      <c r="G160" s="60">
        <v>0</v>
      </c>
      <c r="H160" s="60">
        <v>0</v>
      </c>
      <c r="I160" s="60">
        <v>0</v>
      </c>
      <c r="J160" s="60">
        <v>0</v>
      </c>
      <c r="K160" s="60">
        <v>0</v>
      </c>
      <c r="L160" s="60">
        <v>0</v>
      </c>
      <c r="M160" s="60">
        <v>0</v>
      </c>
      <c r="N160" s="60">
        <v>0</v>
      </c>
      <c r="O160" s="60">
        <v>0</v>
      </c>
      <c r="P160" s="60">
        <v>0</v>
      </c>
      <c r="Q160" s="60">
        <v>0</v>
      </c>
      <c r="R160" s="60">
        <v>0</v>
      </c>
      <c r="S160" s="60">
        <v>0</v>
      </c>
      <c r="T160" s="60">
        <v>0</v>
      </c>
      <c r="U160" s="60">
        <v>0</v>
      </c>
      <c r="V160" s="60">
        <v>0</v>
      </c>
      <c r="W160" s="60">
        <v>0</v>
      </c>
      <c r="X160" s="60">
        <v>0</v>
      </c>
      <c r="Y160" s="60">
        <v>0</v>
      </c>
      <c r="Z160" s="60">
        <v>0</v>
      </c>
      <c r="AA160" s="60">
        <v>0</v>
      </c>
      <c r="AB160" s="60">
        <v>0</v>
      </c>
      <c r="AC160" s="60">
        <v>0</v>
      </c>
      <c r="AD160" s="60">
        <v>0</v>
      </c>
      <c r="AE160" s="60">
        <v>0</v>
      </c>
      <c r="AF160" s="60">
        <v>0</v>
      </c>
      <c r="AG160" s="60">
        <v>0</v>
      </c>
      <c r="AH160" s="60">
        <v>0</v>
      </c>
      <c r="AI160" s="60">
        <v>0</v>
      </c>
      <c r="AJ160" s="60">
        <v>0</v>
      </c>
      <c r="AK160" s="60">
        <v>0</v>
      </c>
      <c r="AL160" s="60">
        <v>0</v>
      </c>
      <c r="AM160" s="60">
        <v>0</v>
      </c>
    </row>
    <row r="161" spans="1:39" ht="15.75" hidden="1" outlineLevel="1" thickBot="1">
      <c r="A161" s="59" t="s">
        <v>86</v>
      </c>
      <c r="B161" s="60">
        <v>0</v>
      </c>
      <c r="C161" s="60">
        <v>0</v>
      </c>
      <c r="D161" s="60">
        <v>0</v>
      </c>
      <c r="E161" s="60">
        <v>0</v>
      </c>
      <c r="F161" s="60">
        <v>0</v>
      </c>
      <c r="G161" s="60">
        <v>0</v>
      </c>
      <c r="H161" s="60">
        <v>0</v>
      </c>
      <c r="I161" s="60">
        <v>0</v>
      </c>
      <c r="J161" s="60">
        <v>0</v>
      </c>
      <c r="K161" s="60">
        <v>0</v>
      </c>
      <c r="L161" s="60">
        <v>0</v>
      </c>
      <c r="M161" s="60">
        <v>0</v>
      </c>
      <c r="N161" s="60">
        <v>0</v>
      </c>
      <c r="O161" s="60">
        <v>0</v>
      </c>
      <c r="P161" s="60">
        <v>0</v>
      </c>
      <c r="Q161" s="60">
        <v>0</v>
      </c>
      <c r="R161" s="60">
        <v>0</v>
      </c>
      <c r="S161" s="60">
        <v>0</v>
      </c>
      <c r="T161" s="60">
        <v>0</v>
      </c>
      <c r="U161" s="60">
        <v>0</v>
      </c>
      <c r="V161" s="60">
        <v>0</v>
      </c>
      <c r="W161" s="60">
        <v>0</v>
      </c>
      <c r="X161" s="60">
        <v>0</v>
      </c>
      <c r="Y161" s="60">
        <v>0</v>
      </c>
      <c r="Z161" s="60">
        <v>0</v>
      </c>
      <c r="AA161" s="60">
        <v>0</v>
      </c>
      <c r="AB161" s="60">
        <v>0</v>
      </c>
      <c r="AC161" s="60">
        <v>0</v>
      </c>
      <c r="AD161" s="60">
        <v>0</v>
      </c>
      <c r="AE161" s="60">
        <v>0</v>
      </c>
      <c r="AF161" s="60">
        <v>0</v>
      </c>
      <c r="AG161" s="60">
        <v>0</v>
      </c>
      <c r="AH161" s="60">
        <v>0</v>
      </c>
      <c r="AI161" s="60">
        <v>0</v>
      </c>
      <c r="AJ161" s="60">
        <v>0</v>
      </c>
      <c r="AK161" s="60">
        <v>0</v>
      </c>
      <c r="AL161" s="60">
        <v>0</v>
      </c>
      <c r="AM161" s="60">
        <v>0</v>
      </c>
    </row>
    <row r="162" spans="1:39" ht="15.75" hidden="1" outlineLevel="1" thickBot="1">
      <c r="A162" s="59" t="s">
        <v>87</v>
      </c>
      <c r="B162" s="60">
        <v>0</v>
      </c>
      <c r="C162" s="60">
        <v>0</v>
      </c>
      <c r="D162" s="60">
        <v>0</v>
      </c>
      <c r="E162" s="60">
        <v>0</v>
      </c>
      <c r="F162" s="60">
        <v>0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60">
        <v>0</v>
      </c>
      <c r="M162" s="60">
        <v>0</v>
      </c>
      <c r="N162" s="60">
        <v>0</v>
      </c>
      <c r="O162" s="60">
        <v>0</v>
      </c>
      <c r="P162" s="60">
        <v>0</v>
      </c>
      <c r="Q162" s="60">
        <v>0</v>
      </c>
      <c r="R162" s="60">
        <v>0</v>
      </c>
      <c r="S162" s="60">
        <v>0</v>
      </c>
      <c r="T162" s="60">
        <v>0</v>
      </c>
      <c r="U162" s="60">
        <v>0</v>
      </c>
      <c r="V162" s="60">
        <v>0</v>
      </c>
      <c r="W162" s="60">
        <v>0</v>
      </c>
      <c r="X162" s="60">
        <v>0</v>
      </c>
      <c r="Y162" s="60">
        <v>0</v>
      </c>
      <c r="Z162" s="60">
        <v>0</v>
      </c>
      <c r="AA162" s="60">
        <v>0</v>
      </c>
      <c r="AB162" s="60">
        <v>0</v>
      </c>
      <c r="AC162" s="60">
        <v>0</v>
      </c>
      <c r="AD162" s="60">
        <v>0</v>
      </c>
      <c r="AE162" s="60">
        <v>0</v>
      </c>
      <c r="AF162" s="60">
        <v>0</v>
      </c>
      <c r="AG162" s="60">
        <v>0</v>
      </c>
      <c r="AH162" s="60">
        <v>0</v>
      </c>
      <c r="AI162" s="60">
        <v>0</v>
      </c>
      <c r="AJ162" s="60">
        <v>0</v>
      </c>
      <c r="AK162" s="60">
        <v>0</v>
      </c>
      <c r="AL162" s="60">
        <v>0</v>
      </c>
      <c r="AM162" s="60">
        <v>0</v>
      </c>
    </row>
    <row r="163" spans="1:39" ht="15.75" hidden="1" outlineLevel="1" thickBot="1">
      <c r="A163" s="59" t="s">
        <v>88</v>
      </c>
      <c r="B163" s="60">
        <v>0</v>
      </c>
      <c r="C163" s="60">
        <v>0</v>
      </c>
      <c r="D163" s="60">
        <v>0</v>
      </c>
      <c r="E163" s="60">
        <v>0</v>
      </c>
      <c r="F163" s="60">
        <v>0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60">
        <v>0</v>
      </c>
      <c r="O163" s="60">
        <v>0</v>
      </c>
      <c r="P163" s="60">
        <v>0</v>
      </c>
      <c r="Q163" s="60">
        <v>0</v>
      </c>
      <c r="R163" s="60">
        <v>0</v>
      </c>
      <c r="S163" s="60">
        <v>0</v>
      </c>
      <c r="T163" s="60">
        <v>0</v>
      </c>
      <c r="U163" s="60">
        <v>0</v>
      </c>
      <c r="V163" s="60">
        <v>0</v>
      </c>
      <c r="W163" s="60">
        <v>0</v>
      </c>
      <c r="X163" s="60">
        <v>0</v>
      </c>
      <c r="Y163" s="60">
        <v>0</v>
      </c>
      <c r="Z163" s="60">
        <v>0</v>
      </c>
      <c r="AA163" s="60">
        <v>0</v>
      </c>
      <c r="AB163" s="60">
        <v>0</v>
      </c>
      <c r="AC163" s="60">
        <v>0</v>
      </c>
      <c r="AD163" s="60">
        <v>0</v>
      </c>
      <c r="AE163" s="60">
        <v>0</v>
      </c>
      <c r="AF163" s="60">
        <v>0</v>
      </c>
      <c r="AG163" s="60">
        <v>0</v>
      </c>
      <c r="AH163" s="60">
        <v>0</v>
      </c>
      <c r="AI163" s="60">
        <v>0</v>
      </c>
      <c r="AJ163" s="60">
        <v>0</v>
      </c>
      <c r="AK163" s="60">
        <v>0</v>
      </c>
      <c r="AL163" s="60">
        <v>0</v>
      </c>
      <c r="AM163" s="60">
        <v>0</v>
      </c>
    </row>
    <row r="164" spans="1:39" ht="15.75" hidden="1" outlineLevel="1" thickBot="1">
      <c r="A164" s="59" t="s">
        <v>89</v>
      </c>
      <c r="B164" s="60">
        <v>0</v>
      </c>
      <c r="C164" s="60">
        <v>0</v>
      </c>
      <c r="D164" s="60">
        <v>0</v>
      </c>
      <c r="E164" s="60">
        <v>0</v>
      </c>
      <c r="F164" s="60">
        <v>0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60">
        <v>0</v>
      </c>
      <c r="M164" s="60">
        <v>0</v>
      </c>
      <c r="N164" s="60">
        <v>0</v>
      </c>
      <c r="O164" s="60">
        <v>0</v>
      </c>
      <c r="P164" s="60">
        <v>0</v>
      </c>
      <c r="Q164" s="60">
        <v>0</v>
      </c>
      <c r="R164" s="60">
        <v>0</v>
      </c>
      <c r="S164" s="60">
        <v>0</v>
      </c>
      <c r="T164" s="60">
        <v>0</v>
      </c>
      <c r="U164" s="60">
        <v>0</v>
      </c>
      <c r="V164" s="60">
        <v>0</v>
      </c>
      <c r="W164" s="60">
        <v>0</v>
      </c>
      <c r="X164" s="60">
        <v>0</v>
      </c>
      <c r="Y164" s="60">
        <v>0</v>
      </c>
      <c r="Z164" s="60">
        <v>0</v>
      </c>
      <c r="AA164" s="60">
        <v>0</v>
      </c>
      <c r="AB164" s="60">
        <v>0</v>
      </c>
      <c r="AC164" s="60">
        <v>0</v>
      </c>
      <c r="AD164" s="60">
        <v>0</v>
      </c>
      <c r="AE164" s="60">
        <v>0</v>
      </c>
      <c r="AF164" s="60">
        <v>0</v>
      </c>
      <c r="AG164" s="60">
        <v>0</v>
      </c>
      <c r="AH164" s="60">
        <v>0</v>
      </c>
      <c r="AI164" s="60">
        <v>0</v>
      </c>
      <c r="AJ164" s="60">
        <v>0</v>
      </c>
      <c r="AK164" s="60">
        <v>0</v>
      </c>
      <c r="AL164" s="60">
        <v>0</v>
      </c>
      <c r="AM164" s="60">
        <v>0</v>
      </c>
    </row>
    <row r="165" spans="1:39" ht="15.75" hidden="1" outlineLevel="1" thickBot="1">
      <c r="A165" s="59" t="s">
        <v>90</v>
      </c>
      <c r="B165" s="60">
        <v>0</v>
      </c>
      <c r="C165" s="60">
        <v>0</v>
      </c>
      <c r="D165" s="60">
        <v>0</v>
      </c>
      <c r="E165" s="60">
        <v>0</v>
      </c>
      <c r="F165" s="60">
        <v>0</v>
      </c>
      <c r="G165" s="60">
        <v>0</v>
      </c>
      <c r="H165" s="60">
        <v>0</v>
      </c>
      <c r="I165" s="60">
        <v>0</v>
      </c>
      <c r="J165" s="60">
        <v>0</v>
      </c>
      <c r="K165" s="60">
        <v>0</v>
      </c>
      <c r="L165" s="60">
        <v>0</v>
      </c>
      <c r="M165" s="60">
        <v>0</v>
      </c>
      <c r="N165" s="60">
        <v>0</v>
      </c>
      <c r="O165" s="60">
        <v>0</v>
      </c>
      <c r="P165" s="60">
        <v>0</v>
      </c>
      <c r="Q165" s="60">
        <v>0</v>
      </c>
      <c r="R165" s="60">
        <v>0</v>
      </c>
      <c r="S165" s="60">
        <v>0</v>
      </c>
      <c r="T165" s="60">
        <v>0</v>
      </c>
      <c r="U165" s="60">
        <v>0</v>
      </c>
      <c r="V165" s="60">
        <v>0</v>
      </c>
      <c r="W165" s="60">
        <v>0</v>
      </c>
      <c r="X165" s="60">
        <v>0</v>
      </c>
      <c r="Y165" s="60">
        <v>0</v>
      </c>
      <c r="Z165" s="60">
        <v>0</v>
      </c>
      <c r="AA165" s="60">
        <v>0</v>
      </c>
      <c r="AB165" s="60">
        <v>0</v>
      </c>
      <c r="AC165" s="60">
        <v>0</v>
      </c>
      <c r="AD165" s="60">
        <v>0</v>
      </c>
      <c r="AE165" s="60">
        <v>0</v>
      </c>
      <c r="AF165" s="60">
        <v>0</v>
      </c>
      <c r="AG165" s="60">
        <v>0</v>
      </c>
      <c r="AH165" s="60">
        <v>0</v>
      </c>
      <c r="AI165" s="60">
        <v>0</v>
      </c>
      <c r="AJ165" s="60">
        <v>0</v>
      </c>
      <c r="AK165" s="60">
        <v>0</v>
      </c>
      <c r="AL165" s="60">
        <v>0</v>
      </c>
      <c r="AM165" s="60">
        <v>0</v>
      </c>
    </row>
    <row r="166" spans="1:39" ht="15.75" hidden="1" outlineLevel="1" thickBot="1">
      <c r="A166" s="59" t="s">
        <v>91</v>
      </c>
      <c r="B166" s="60">
        <v>0</v>
      </c>
      <c r="C166" s="60">
        <v>0</v>
      </c>
      <c r="D166" s="60">
        <v>0</v>
      </c>
      <c r="E166" s="60">
        <v>0</v>
      </c>
      <c r="F166" s="60">
        <v>0</v>
      </c>
      <c r="G166" s="60">
        <v>0</v>
      </c>
      <c r="H166" s="60">
        <v>0</v>
      </c>
      <c r="I166" s="60">
        <v>0</v>
      </c>
      <c r="J166" s="60">
        <v>0</v>
      </c>
      <c r="K166" s="60">
        <v>0</v>
      </c>
      <c r="L166" s="60">
        <v>0</v>
      </c>
      <c r="M166" s="60">
        <v>0</v>
      </c>
      <c r="N166" s="60">
        <v>0</v>
      </c>
      <c r="O166" s="60">
        <v>0</v>
      </c>
      <c r="P166" s="60">
        <v>0</v>
      </c>
      <c r="Q166" s="60">
        <v>0</v>
      </c>
      <c r="R166" s="60">
        <v>0</v>
      </c>
      <c r="S166" s="60">
        <v>0</v>
      </c>
      <c r="T166" s="60">
        <v>0</v>
      </c>
      <c r="U166" s="60">
        <v>0</v>
      </c>
      <c r="V166" s="60">
        <v>0</v>
      </c>
      <c r="W166" s="60">
        <v>0</v>
      </c>
      <c r="X166" s="60">
        <v>0</v>
      </c>
      <c r="Y166" s="60">
        <v>0</v>
      </c>
      <c r="Z166" s="60">
        <v>0</v>
      </c>
      <c r="AA166" s="60">
        <v>0</v>
      </c>
      <c r="AB166" s="60">
        <v>0</v>
      </c>
      <c r="AC166" s="60">
        <v>0</v>
      </c>
      <c r="AD166" s="60">
        <v>0</v>
      </c>
      <c r="AE166" s="60">
        <v>0</v>
      </c>
      <c r="AF166" s="60">
        <v>0</v>
      </c>
      <c r="AG166" s="60">
        <v>0</v>
      </c>
      <c r="AH166" s="60">
        <v>0</v>
      </c>
      <c r="AI166" s="60">
        <v>0</v>
      </c>
      <c r="AJ166" s="60">
        <v>0</v>
      </c>
      <c r="AK166" s="60">
        <v>0</v>
      </c>
      <c r="AL166" s="60">
        <v>0</v>
      </c>
      <c r="AM166" s="60">
        <v>0</v>
      </c>
    </row>
    <row r="167" spans="1:39" ht="15.75" hidden="1" outlineLevel="1" thickBot="1">
      <c r="A167" s="59" t="s">
        <v>92</v>
      </c>
      <c r="B167" s="60">
        <v>0</v>
      </c>
      <c r="C167" s="60">
        <v>0</v>
      </c>
      <c r="D167" s="60">
        <v>0</v>
      </c>
      <c r="E167" s="60">
        <v>0</v>
      </c>
      <c r="F167" s="60">
        <v>0</v>
      </c>
      <c r="G167" s="60">
        <v>0</v>
      </c>
      <c r="H167" s="60">
        <v>0</v>
      </c>
      <c r="I167" s="60">
        <v>0</v>
      </c>
      <c r="J167" s="60">
        <v>0</v>
      </c>
      <c r="K167" s="60">
        <v>0</v>
      </c>
      <c r="L167" s="60">
        <v>0</v>
      </c>
      <c r="M167" s="60">
        <v>0</v>
      </c>
      <c r="N167" s="60">
        <v>0</v>
      </c>
      <c r="O167" s="60">
        <v>0</v>
      </c>
      <c r="P167" s="60">
        <v>0</v>
      </c>
      <c r="Q167" s="60">
        <v>0</v>
      </c>
      <c r="R167" s="60">
        <v>0</v>
      </c>
      <c r="S167" s="60">
        <v>0</v>
      </c>
      <c r="T167" s="60">
        <v>0</v>
      </c>
      <c r="U167" s="60">
        <v>0</v>
      </c>
      <c r="V167" s="60">
        <v>0</v>
      </c>
      <c r="W167" s="60">
        <v>0</v>
      </c>
      <c r="X167" s="60">
        <v>0</v>
      </c>
      <c r="Y167" s="60">
        <v>0</v>
      </c>
      <c r="Z167" s="60">
        <v>0</v>
      </c>
      <c r="AA167" s="60">
        <v>0</v>
      </c>
      <c r="AB167" s="60">
        <v>0</v>
      </c>
      <c r="AC167" s="60">
        <v>0</v>
      </c>
      <c r="AD167" s="60">
        <v>0</v>
      </c>
      <c r="AE167" s="60">
        <v>0</v>
      </c>
      <c r="AF167" s="60">
        <v>0</v>
      </c>
      <c r="AG167" s="60">
        <v>0</v>
      </c>
      <c r="AH167" s="60">
        <v>0</v>
      </c>
      <c r="AI167" s="60">
        <v>0</v>
      </c>
      <c r="AJ167" s="60">
        <v>0</v>
      </c>
      <c r="AK167" s="60">
        <v>0</v>
      </c>
      <c r="AL167" s="60">
        <v>0</v>
      </c>
      <c r="AM167" s="60">
        <v>0</v>
      </c>
    </row>
    <row r="168" spans="1:39" ht="15.75" hidden="1" outlineLevel="1" thickBot="1">
      <c r="A168" s="59" t="s">
        <v>93</v>
      </c>
      <c r="B168" s="60">
        <v>0</v>
      </c>
      <c r="C168" s="60">
        <v>0</v>
      </c>
      <c r="D168" s="60">
        <v>0</v>
      </c>
      <c r="E168" s="60">
        <v>0</v>
      </c>
      <c r="F168" s="60">
        <v>0</v>
      </c>
      <c r="G168" s="60">
        <v>0</v>
      </c>
      <c r="H168" s="60">
        <v>0</v>
      </c>
      <c r="I168" s="60">
        <v>0</v>
      </c>
      <c r="J168" s="60">
        <v>0</v>
      </c>
      <c r="K168" s="60">
        <v>0</v>
      </c>
      <c r="L168" s="60">
        <v>0</v>
      </c>
      <c r="M168" s="60">
        <v>0</v>
      </c>
      <c r="N168" s="60">
        <v>0</v>
      </c>
      <c r="O168" s="60">
        <v>0</v>
      </c>
      <c r="P168" s="60">
        <v>0</v>
      </c>
      <c r="Q168" s="60">
        <v>0</v>
      </c>
      <c r="R168" s="60">
        <v>0</v>
      </c>
      <c r="S168" s="60">
        <v>0</v>
      </c>
      <c r="T168" s="60">
        <v>0</v>
      </c>
      <c r="U168" s="60">
        <v>0</v>
      </c>
      <c r="V168" s="60">
        <v>0</v>
      </c>
      <c r="W168" s="60">
        <v>0</v>
      </c>
      <c r="X168" s="60">
        <v>0</v>
      </c>
      <c r="Y168" s="60">
        <v>0</v>
      </c>
      <c r="Z168" s="60">
        <v>0</v>
      </c>
      <c r="AA168" s="60">
        <v>0</v>
      </c>
      <c r="AB168" s="60">
        <v>0</v>
      </c>
      <c r="AC168" s="60">
        <v>0</v>
      </c>
      <c r="AD168" s="60">
        <v>0</v>
      </c>
      <c r="AE168" s="60">
        <v>0</v>
      </c>
      <c r="AF168" s="60">
        <v>0</v>
      </c>
      <c r="AG168" s="60">
        <v>0</v>
      </c>
      <c r="AH168" s="60">
        <v>0</v>
      </c>
      <c r="AI168" s="60">
        <v>0</v>
      </c>
      <c r="AJ168" s="60">
        <v>0</v>
      </c>
      <c r="AK168" s="60">
        <v>0</v>
      </c>
      <c r="AL168" s="60">
        <v>0</v>
      </c>
      <c r="AM168" s="60">
        <v>0</v>
      </c>
    </row>
    <row r="169" spans="1:39" ht="15.75" hidden="1" outlineLevel="1" thickBot="1">
      <c r="A169" s="59" t="s">
        <v>94</v>
      </c>
      <c r="B169" s="60">
        <v>0</v>
      </c>
      <c r="C169" s="60">
        <v>0</v>
      </c>
      <c r="D169" s="60">
        <v>0</v>
      </c>
      <c r="E169" s="60">
        <v>0</v>
      </c>
      <c r="F169" s="60">
        <v>0</v>
      </c>
      <c r="G169" s="60">
        <v>0</v>
      </c>
      <c r="H169" s="60">
        <v>0</v>
      </c>
      <c r="I169" s="60">
        <v>0</v>
      </c>
      <c r="J169" s="60">
        <v>0</v>
      </c>
      <c r="K169" s="60">
        <v>0</v>
      </c>
      <c r="L169" s="60">
        <v>0</v>
      </c>
      <c r="M169" s="60">
        <v>0</v>
      </c>
      <c r="N169" s="60">
        <v>0</v>
      </c>
      <c r="O169" s="60">
        <v>0</v>
      </c>
      <c r="P169" s="60">
        <v>0</v>
      </c>
      <c r="Q169" s="60">
        <v>0</v>
      </c>
      <c r="R169" s="60">
        <v>0</v>
      </c>
      <c r="S169" s="60">
        <v>0</v>
      </c>
      <c r="T169" s="60">
        <v>0</v>
      </c>
      <c r="U169" s="60">
        <v>0</v>
      </c>
      <c r="V169" s="60">
        <v>0</v>
      </c>
      <c r="W169" s="60">
        <v>0</v>
      </c>
      <c r="X169" s="60">
        <v>0</v>
      </c>
      <c r="Y169" s="60">
        <v>0</v>
      </c>
      <c r="Z169" s="60">
        <v>0</v>
      </c>
      <c r="AA169" s="60">
        <v>0</v>
      </c>
      <c r="AB169" s="60">
        <v>0</v>
      </c>
      <c r="AC169" s="60">
        <v>0</v>
      </c>
      <c r="AD169" s="60">
        <v>0</v>
      </c>
      <c r="AE169" s="60">
        <v>0</v>
      </c>
      <c r="AF169" s="60">
        <v>0</v>
      </c>
      <c r="AG169" s="60">
        <v>0</v>
      </c>
      <c r="AH169" s="60">
        <v>0</v>
      </c>
      <c r="AI169" s="60">
        <v>0</v>
      </c>
      <c r="AJ169" s="60">
        <v>0</v>
      </c>
      <c r="AK169" s="60">
        <v>0</v>
      </c>
      <c r="AL169" s="60">
        <v>0</v>
      </c>
      <c r="AM169" s="60">
        <v>0</v>
      </c>
    </row>
    <row r="170" spans="1:39" ht="15.75" hidden="1" outlineLevel="1" thickBot="1">
      <c r="A170" s="59" t="s">
        <v>95</v>
      </c>
      <c r="B170" s="60">
        <v>0</v>
      </c>
      <c r="C170" s="60">
        <v>0</v>
      </c>
      <c r="D170" s="60">
        <v>0</v>
      </c>
      <c r="E170" s="60">
        <v>0</v>
      </c>
      <c r="F170" s="60">
        <v>0</v>
      </c>
      <c r="G170" s="60">
        <v>0</v>
      </c>
      <c r="H170" s="60">
        <v>0</v>
      </c>
      <c r="I170" s="60">
        <v>0</v>
      </c>
      <c r="J170" s="60">
        <v>0</v>
      </c>
      <c r="K170" s="60">
        <v>0</v>
      </c>
      <c r="L170" s="60">
        <v>0</v>
      </c>
      <c r="M170" s="60">
        <v>0</v>
      </c>
      <c r="N170" s="60">
        <v>0</v>
      </c>
      <c r="O170" s="60">
        <v>0</v>
      </c>
      <c r="P170" s="60">
        <v>0</v>
      </c>
      <c r="Q170" s="60">
        <v>0</v>
      </c>
      <c r="R170" s="60">
        <v>0</v>
      </c>
      <c r="S170" s="60">
        <v>0</v>
      </c>
      <c r="T170" s="60">
        <v>0</v>
      </c>
      <c r="U170" s="60">
        <v>0</v>
      </c>
      <c r="V170" s="60">
        <v>0</v>
      </c>
      <c r="W170" s="60">
        <v>0</v>
      </c>
      <c r="X170" s="60">
        <v>0</v>
      </c>
      <c r="Y170" s="60">
        <v>0</v>
      </c>
      <c r="Z170" s="60">
        <v>0</v>
      </c>
      <c r="AA170" s="60">
        <v>0</v>
      </c>
      <c r="AB170" s="60">
        <v>0</v>
      </c>
      <c r="AC170" s="60">
        <v>0</v>
      </c>
      <c r="AD170" s="60">
        <v>0</v>
      </c>
      <c r="AE170" s="60">
        <v>0</v>
      </c>
      <c r="AF170" s="60">
        <v>0</v>
      </c>
      <c r="AG170" s="60">
        <v>0</v>
      </c>
      <c r="AH170" s="60">
        <v>0</v>
      </c>
      <c r="AI170" s="60">
        <v>0</v>
      </c>
      <c r="AJ170" s="60">
        <v>0</v>
      </c>
      <c r="AK170" s="60">
        <v>0</v>
      </c>
      <c r="AL170" s="60">
        <v>0</v>
      </c>
      <c r="AM170" s="60">
        <v>0</v>
      </c>
    </row>
    <row r="171" spans="1:39" ht="15.75" hidden="1" outlineLevel="1" thickBot="1">
      <c r="A171" s="59" t="s">
        <v>96</v>
      </c>
      <c r="B171" s="60">
        <v>0</v>
      </c>
      <c r="C171" s="60">
        <v>0</v>
      </c>
      <c r="D171" s="60">
        <v>0</v>
      </c>
      <c r="E171" s="60">
        <v>0</v>
      </c>
      <c r="F171" s="60">
        <v>0</v>
      </c>
      <c r="G171" s="60">
        <v>0</v>
      </c>
      <c r="H171" s="60">
        <v>0</v>
      </c>
      <c r="I171" s="60">
        <v>0</v>
      </c>
      <c r="J171" s="60">
        <v>0</v>
      </c>
      <c r="K171" s="60">
        <v>0</v>
      </c>
      <c r="L171" s="60">
        <v>0</v>
      </c>
      <c r="M171" s="60">
        <v>0</v>
      </c>
      <c r="N171" s="60">
        <v>0</v>
      </c>
      <c r="O171" s="60">
        <v>0</v>
      </c>
      <c r="P171" s="60">
        <v>0</v>
      </c>
      <c r="Q171" s="60">
        <v>0</v>
      </c>
      <c r="R171" s="60">
        <v>0</v>
      </c>
      <c r="S171" s="60">
        <v>0</v>
      </c>
      <c r="T171" s="60">
        <v>0</v>
      </c>
      <c r="U171" s="60">
        <v>0</v>
      </c>
      <c r="V171" s="60">
        <v>0</v>
      </c>
      <c r="W171" s="60">
        <v>0</v>
      </c>
      <c r="X171" s="60">
        <v>0</v>
      </c>
      <c r="Y171" s="60">
        <v>0</v>
      </c>
      <c r="Z171" s="60">
        <v>0</v>
      </c>
      <c r="AA171" s="60">
        <v>0</v>
      </c>
      <c r="AB171" s="60">
        <v>0</v>
      </c>
      <c r="AC171" s="60">
        <v>0</v>
      </c>
      <c r="AD171" s="60">
        <v>0</v>
      </c>
      <c r="AE171" s="60">
        <v>0</v>
      </c>
      <c r="AF171" s="60">
        <v>0</v>
      </c>
      <c r="AG171" s="60">
        <v>0</v>
      </c>
      <c r="AH171" s="60">
        <v>0</v>
      </c>
      <c r="AI171" s="60">
        <v>0</v>
      </c>
      <c r="AJ171" s="60">
        <v>0</v>
      </c>
      <c r="AK171" s="60">
        <v>0</v>
      </c>
      <c r="AL171" s="60">
        <v>0</v>
      </c>
      <c r="AM171" s="60">
        <v>0</v>
      </c>
    </row>
    <row r="172" spans="1:39" ht="15.75" hidden="1" outlineLevel="1" thickBot="1">
      <c r="A172" s="59" t="s">
        <v>97</v>
      </c>
      <c r="B172" s="60">
        <v>0</v>
      </c>
      <c r="C172" s="60">
        <v>0</v>
      </c>
      <c r="D172" s="60">
        <v>0</v>
      </c>
      <c r="E172" s="60">
        <v>0</v>
      </c>
      <c r="F172" s="60">
        <v>0</v>
      </c>
      <c r="G172" s="60">
        <v>0</v>
      </c>
      <c r="H172" s="60">
        <v>0</v>
      </c>
      <c r="I172" s="60">
        <v>0</v>
      </c>
      <c r="J172" s="60">
        <v>0</v>
      </c>
      <c r="K172" s="60">
        <v>0</v>
      </c>
      <c r="L172" s="60">
        <v>0</v>
      </c>
      <c r="M172" s="60">
        <v>0</v>
      </c>
      <c r="N172" s="60">
        <v>0</v>
      </c>
      <c r="O172" s="60">
        <v>0</v>
      </c>
      <c r="P172" s="60">
        <v>0</v>
      </c>
      <c r="Q172" s="60">
        <v>0</v>
      </c>
      <c r="R172" s="60">
        <v>0</v>
      </c>
      <c r="S172" s="60">
        <v>0</v>
      </c>
      <c r="T172" s="60">
        <v>0</v>
      </c>
      <c r="U172" s="60">
        <v>0</v>
      </c>
      <c r="V172" s="60">
        <v>0</v>
      </c>
      <c r="W172" s="60">
        <v>0</v>
      </c>
      <c r="X172" s="60">
        <v>0</v>
      </c>
      <c r="Y172" s="60">
        <v>0</v>
      </c>
      <c r="Z172" s="60">
        <v>0</v>
      </c>
      <c r="AA172" s="60">
        <v>0</v>
      </c>
      <c r="AB172" s="60">
        <v>0</v>
      </c>
      <c r="AC172" s="60">
        <v>0</v>
      </c>
      <c r="AD172" s="60">
        <v>0</v>
      </c>
      <c r="AE172" s="60">
        <v>0</v>
      </c>
      <c r="AF172" s="60">
        <v>0</v>
      </c>
      <c r="AG172" s="60">
        <v>0</v>
      </c>
      <c r="AH172" s="60">
        <v>0</v>
      </c>
      <c r="AI172" s="60">
        <v>0</v>
      </c>
      <c r="AJ172" s="60">
        <v>0</v>
      </c>
      <c r="AK172" s="60">
        <v>0</v>
      </c>
      <c r="AL172" s="60">
        <v>0</v>
      </c>
      <c r="AM172" s="60">
        <v>0</v>
      </c>
    </row>
    <row r="173" spans="1:39" ht="15.75" hidden="1" outlineLevel="1" thickBot="1">
      <c r="A173" s="59" t="s">
        <v>98</v>
      </c>
      <c r="B173" s="60">
        <v>0</v>
      </c>
      <c r="C173" s="60">
        <v>0</v>
      </c>
      <c r="D173" s="60">
        <v>0</v>
      </c>
      <c r="E173" s="60">
        <v>0</v>
      </c>
      <c r="F173" s="60">
        <v>0</v>
      </c>
      <c r="G173" s="60">
        <v>0</v>
      </c>
      <c r="H173" s="60">
        <v>0</v>
      </c>
      <c r="I173" s="60">
        <v>0</v>
      </c>
      <c r="J173" s="60">
        <v>0</v>
      </c>
      <c r="K173" s="60">
        <v>0</v>
      </c>
      <c r="L173" s="60">
        <v>0</v>
      </c>
      <c r="M173" s="60">
        <v>0</v>
      </c>
      <c r="N173" s="60">
        <v>0</v>
      </c>
      <c r="O173" s="60">
        <v>0</v>
      </c>
      <c r="P173" s="60">
        <v>0</v>
      </c>
      <c r="Q173" s="60">
        <v>0</v>
      </c>
      <c r="R173" s="60">
        <v>0</v>
      </c>
      <c r="S173" s="60">
        <v>0</v>
      </c>
      <c r="T173" s="60">
        <v>0</v>
      </c>
      <c r="U173" s="60">
        <v>0</v>
      </c>
      <c r="V173" s="60">
        <v>0</v>
      </c>
      <c r="W173" s="60">
        <v>0</v>
      </c>
      <c r="X173" s="60">
        <v>0</v>
      </c>
      <c r="Y173" s="60">
        <v>0</v>
      </c>
      <c r="Z173" s="60">
        <v>0</v>
      </c>
      <c r="AA173" s="60">
        <v>0</v>
      </c>
      <c r="AB173" s="60">
        <v>0</v>
      </c>
      <c r="AC173" s="60">
        <v>0</v>
      </c>
      <c r="AD173" s="60">
        <v>0</v>
      </c>
      <c r="AE173" s="60">
        <v>0</v>
      </c>
      <c r="AF173" s="60">
        <v>0</v>
      </c>
      <c r="AG173" s="60">
        <v>0</v>
      </c>
      <c r="AH173" s="60">
        <v>0</v>
      </c>
      <c r="AI173" s="60">
        <v>0</v>
      </c>
      <c r="AJ173" s="60">
        <v>0</v>
      </c>
      <c r="AK173" s="60">
        <v>0</v>
      </c>
      <c r="AL173" s="60">
        <v>0</v>
      </c>
      <c r="AM173" s="60">
        <v>0</v>
      </c>
    </row>
    <row r="174" spans="1:39" ht="15.75" hidden="1" outlineLevel="1" thickBot="1">
      <c r="A174" s="59" t="s">
        <v>99</v>
      </c>
      <c r="B174" s="60">
        <v>0</v>
      </c>
      <c r="C174" s="60">
        <v>0</v>
      </c>
      <c r="D174" s="60">
        <v>0</v>
      </c>
      <c r="E174" s="60">
        <v>0</v>
      </c>
      <c r="F174" s="60">
        <v>0</v>
      </c>
      <c r="G174" s="60">
        <v>0</v>
      </c>
      <c r="H174" s="60">
        <v>0</v>
      </c>
      <c r="I174" s="60">
        <v>0</v>
      </c>
      <c r="J174" s="60">
        <v>0</v>
      </c>
      <c r="K174" s="60">
        <v>0</v>
      </c>
      <c r="L174" s="60">
        <v>0</v>
      </c>
      <c r="M174" s="60">
        <v>0</v>
      </c>
      <c r="N174" s="60">
        <v>0</v>
      </c>
      <c r="O174" s="60">
        <v>0</v>
      </c>
      <c r="P174" s="60">
        <v>0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60">
        <v>0</v>
      </c>
      <c r="X174" s="60">
        <v>0</v>
      </c>
      <c r="Y174" s="60">
        <v>0</v>
      </c>
      <c r="Z174" s="60">
        <v>0</v>
      </c>
      <c r="AA174" s="60">
        <v>0</v>
      </c>
      <c r="AB174" s="60">
        <v>0</v>
      </c>
      <c r="AC174" s="60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0</v>
      </c>
    </row>
    <row r="175" spans="1:39" ht="15.75" hidden="1" outlineLevel="1" thickBot="1">
      <c r="A175" s="59" t="s">
        <v>100</v>
      </c>
      <c r="B175" s="60">
        <v>0</v>
      </c>
      <c r="C175" s="60">
        <v>0</v>
      </c>
      <c r="D175" s="60">
        <v>0</v>
      </c>
      <c r="E175" s="60">
        <v>0</v>
      </c>
      <c r="F175" s="60">
        <v>0</v>
      </c>
      <c r="G175" s="60">
        <v>0</v>
      </c>
      <c r="H175" s="60">
        <v>0</v>
      </c>
      <c r="I175" s="60">
        <v>0</v>
      </c>
      <c r="J175" s="60">
        <v>0</v>
      </c>
      <c r="K175" s="60">
        <v>0</v>
      </c>
      <c r="L175" s="60">
        <v>0</v>
      </c>
      <c r="M175" s="60">
        <v>0</v>
      </c>
      <c r="N175" s="60">
        <v>0</v>
      </c>
      <c r="O175" s="60">
        <v>0</v>
      </c>
      <c r="P175" s="60">
        <v>0</v>
      </c>
      <c r="Q175" s="60">
        <v>0</v>
      </c>
      <c r="R175" s="60">
        <v>0</v>
      </c>
      <c r="S175" s="60">
        <v>0</v>
      </c>
      <c r="T175" s="60">
        <v>0</v>
      </c>
      <c r="U175" s="60">
        <v>0</v>
      </c>
      <c r="V175" s="60">
        <v>0</v>
      </c>
      <c r="W175" s="60">
        <v>0</v>
      </c>
      <c r="X175" s="60">
        <v>0</v>
      </c>
      <c r="Y175" s="60">
        <v>0</v>
      </c>
      <c r="Z175" s="60">
        <v>0</v>
      </c>
      <c r="AA175" s="60">
        <v>0</v>
      </c>
      <c r="AB175" s="60">
        <v>0</v>
      </c>
      <c r="AC175" s="60">
        <v>0</v>
      </c>
      <c r="AD175" s="60">
        <v>0</v>
      </c>
      <c r="AE175" s="60">
        <v>0</v>
      </c>
      <c r="AF175" s="60">
        <v>0</v>
      </c>
      <c r="AG175" s="60">
        <v>0</v>
      </c>
      <c r="AH175" s="60">
        <v>0</v>
      </c>
      <c r="AI175" s="60">
        <v>0</v>
      </c>
      <c r="AJ175" s="60">
        <v>0</v>
      </c>
      <c r="AK175" s="60">
        <v>0</v>
      </c>
      <c r="AL175" s="60">
        <v>0</v>
      </c>
      <c r="AM175" s="60">
        <v>0</v>
      </c>
    </row>
    <row r="176" spans="1:39" ht="15.75" hidden="1" outlineLevel="1" thickBot="1">
      <c r="A176" s="59" t="s">
        <v>101</v>
      </c>
      <c r="B176" s="60">
        <v>0</v>
      </c>
      <c r="C176" s="60">
        <v>0</v>
      </c>
      <c r="D176" s="60">
        <v>0</v>
      </c>
      <c r="E176" s="60">
        <v>0</v>
      </c>
      <c r="F176" s="60">
        <v>0</v>
      </c>
      <c r="G176" s="60">
        <v>0</v>
      </c>
      <c r="H176" s="60">
        <v>0</v>
      </c>
      <c r="I176" s="60">
        <v>0</v>
      </c>
      <c r="J176" s="60">
        <v>0</v>
      </c>
      <c r="K176" s="60">
        <v>0</v>
      </c>
      <c r="L176" s="60">
        <v>0</v>
      </c>
      <c r="M176" s="60">
        <v>0</v>
      </c>
      <c r="N176" s="60">
        <v>0</v>
      </c>
      <c r="O176" s="60">
        <v>0</v>
      </c>
      <c r="P176" s="60">
        <v>0</v>
      </c>
      <c r="Q176" s="60">
        <v>0</v>
      </c>
      <c r="R176" s="60">
        <v>0</v>
      </c>
      <c r="S176" s="60">
        <v>0</v>
      </c>
      <c r="T176" s="60">
        <v>0</v>
      </c>
      <c r="U176" s="60">
        <v>0</v>
      </c>
      <c r="V176" s="60">
        <v>0</v>
      </c>
      <c r="W176" s="60">
        <v>0</v>
      </c>
      <c r="X176" s="60">
        <v>0</v>
      </c>
      <c r="Y176" s="60">
        <v>0</v>
      </c>
      <c r="Z176" s="60">
        <v>0</v>
      </c>
      <c r="AA176" s="60">
        <v>0</v>
      </c>
      <c r="AB176" s="60">
        <v>0</v>
      </c>
      <c r="AC176" s="60">
        <v>0</v>
      </c>
      <c r="AD176" s="60">
        <v>0</v>
      </c>
      <c r="AE176" s="60">
        <v>0</v>
      </c>
      <c r="AF176" s="60">
        <v>0</v>
      </c>
      <c r="AG176" s="60">
        <v>0</v>
      </c>
      <c r="AH176" s="60">
        <v>0</v>
      </c>
      <c r="AI176" s="60">
        <v>0</v>
      </c>
      <c r="AJ176" s="60">
        <v>0</v>
      </c>
      <c r="AK176" s="60">
        <v>0</v>
      </c>
      <c r="AL176" s="60">
        <v>0</v>
      </c>
      <c r="AM176" s="60">
        <v>0</v>
      </c>
    </row>
    <row r="177" spans="1:39" ht="15.75" hidden="1" outlineLevel="1" thickBot="1">
      <c r="A177" s="59" t="s">
        <v>102</v>
      </c>
      <c r="B177" s="60">
        <v>0</v>
      </c>
      <c r="C177" s="60">
        <v>0</v>
      </c>
      <c r="D177" s="60">
        <v>0</v>
      </c>
      <c r="E177" s="60">
        <v>0</v>
      </c>
      <c r="F177" s="60">
        <v>0</v>
      </c>
      <c r="G177" s="60">
        <v>0</v>
      </c>
      <c r="H177" s="60">
        <v>0</v>
      </c>
      <c r="I177" s="60">
        <v>0</v>
      </c>
      <c r="J177" s="60">
        <v>0</v>
      </c>
      <c r="K177" s="60">
        <v>0</v>
      </c>
      <c r="L177" s="60">
        <v>0</v>
      </c>
      <c r="M177" s="60">
        <v>0</v>
      </c>
      <c r="N177" s="60">
        <v>0</v>
      </c>
      <c r="O177" s="60">
        <v>0</v>
      </c>
      <c r="P177" s="60">
        <v>0</v>
      </c>
      <c r="Q177" s="60">
        <v>0</v>
      </c>
      <c r="R177" s="60">
        <v>0</v>
      </c>
      <c r="S177" s="60">
        <v>0</v>
      </c>
      <c r="T177" s="60">
        <v>0</v>
      </c>
      <c r="U177" s="60">
        <v>0</v>
      </c>
      <c r="V177" s="60">
        <v>0</v>
      </c>
      <c r="W177" s="60">
        <v>0</v>
      </c>
      <c r="X177" s="60">
        <v>0</v>
      </c>
      <c r="Y177" s="60">
        <v>0</v>
      </c>
      <c r="Z177" s="60">
        <v>0</v>
      </c>
      <c r="AA177" s="60">
        <v>0</v>
      </c>
      <c r="AB177" s="60">
        <v>0</v>
      </c>
      <c r="AC177" s="60">
        <v>0</v>
      </c>
      <c r="AD177" s="60">
        <v>0</v>
      </c>
      <c r="AE177" s="60">
        <v>0</v>
      </c>
      <c r="AF177" s="60">
        <v>0</v>
      </c>
      <c r="AG177" s="60">
        <v>0</v>
      </c>
      <c r="AH177" s="60">
        <v>0</v>
      </c>
      <c r="AI177" s="60">
        <v>0</v>
      </c>
      <c r="AJ177" s="60">
        <v>0</v>
      </c>
      <c r="AK177" s="60">
        <v>0</v>
      </c>
      <c r="AL177" s="60">
        <v>0</v>
      </c>
      <c r="AM177" s="60">
        <v>0</v>
      </c>
    </row>
    <row r="178" spans="1:39" ht="15.75" hidden="1" outlineLevel="1" thickBot="1">
      <c r="A178" s="59" t="s">
        <v>103</v>
      </c>
      <c r="B178" s="60">
        <v>0</v>
      </c>
      <c r="C178" s="60">
        <v>0</v>
      </c>
      <c r="D178" s="60">
        <v>0</v>
      </c>
      <c r="E178" s="60">
        <v>0</v>
      </c>
      <c r="F178" s="60">
        <v>0</v>
      </c>
      <c r="G178" s="60">
        <v>0</v>
      </c>
      <c r="H178" s="60">
        <v>0</v>
      </c>
      <c r="I178" s="60">
        <v>0</v>
      </c>
      <c r="J178" s="60">
        <v>0</v>
      </c>
      <c r="K178" s="60">
        <v>0</v>
      </c>
      <c r="L178" s="60">
        <v>0</v>
      </c>
      <c r="M178" s="60">
        <v>0</v>
      </c>
      <c r="N178" s="60">
        <v>0</v>
      </c>
      <c r="O178" s="60">
        <v>0</v>
      </c>
      <c r="P178" s="60">
        <v>0</v>
      </c>
      <c r="Q178" s="60">
        <v>0</v>
      </c>
      <c r="R178" s="60">
        <v>0</v>
      </c>
      <c r="S178" s="60">
        <v>0</v>
      </c>
      <c r="T178" s="60">
        <v>0</v>
      </c>
      <c r="U178" s="60">
        <v>0</v>
      </c>
      <c r="V178" s="60">
        <v>0</v>
      </c>
      <c r="W178" s="60">
        <v>0</v>
      </c>
      <c r="X178" s="60">
        <v>0</v>
      </c>
      <c r="Y178" s="60">
        <v>0</v>
      </c>
      <c r="Z178" s="60">
        <v>0</v>
      </c>
      <c r="AA178" s="60">
        <v>0</v>
      </c>
      <c r="AB178" s="60">
        <v>0</v>
      </c>
      <c r="AC178" s="60">
        <v>0</v>
      </c>
      <c r="AD178" s="60">
        <v>0</v>
      </c>
      <c r="AE178" s="60">
        <v>0</v>
      </c>
      <c r="AF178" s="60">
        <v>0</v>
      </c>
      <c r="AG178" s="60">
        <v>0</v>
      </c>
      <c r="AH178" s="60">
        <v>0</v>
      </c>
      <c r="AI178" s="60">
        <v>0</v>
      </c>
      <c r="AJ178" s="60">
        <v>0</v>
      </c>
      <c r="AK178" s="60">
        <v>0</v>
      </c>
      <c r="AL178" s="60">
        <v>0</v>
      </c>
      <c r="AM178" s="60">
        <v>0</v>
      </c>
    </row>
    <row r="179" spans="1:39" ht="15.75" hidden="1" outlineLevel="1" thickBot="1">
      <c r="A179" s="59" t="s">
        <v>44</v>
      </c>
      <c r="B179" s="60">
        <v>0</v>
      </c>
      <c r="C179" s="60">
        <v>0</v>
      </c>
      <c r="D179" s="60">
        <v>0</v>
      </c>
      <c r="E179" s="60">
        <v>0</v>
      </c>
      <c r="F179" s="60">
        <v>0</v>
      </c>
      <c r="G179" s="60">
        <v>0</v>
      </c>
      <c r="H179" s="60">
        <v>0</v>
      </c>
      <c r="I179" s="60">
        <v>0</v>
      </c>
      <c r="J179" s="60">
        <v>0</v>
      </c>
      <c r="K179" s="60">
        <v>0</v>
      </c>
      <c r="L179" s="60">
        <v>0</v>
      </c>
      <c r="M179" s="60">
        <v>0</v>
      </c>
      <c r="N179" s="60">
        <v>0</v>
      </c>
      <c r="O179" s="60">
        <v>0</v>
      </c>
      <c r="P179" s="60">
        <v>0</v>
      </c>
      <c r="Q179" s="60">
        <v>0</v>
      </c>
      <c r="R179" s="60">
        <v>0</v>
      </c>
      <c r="S179" s="60">
        <v>0</v>
      </c>
      <c r="T179" s="60">
        <v>0</v>
      </c>
      <c r="U179" s="60">
        <v>0</v>
      </c>
      <c r="V179" s="60">
        <v>0</v>
      </c>
      <c r="W179" s="60">
        <v>0</v>
      </c>
      <c r="X179" s="60">
        <v>0</v>
      </c>
      <c r="Y179" s="60">
        <v>0</v>
      </c>
      <c r="Z179" s="60">
        <v>0</v>
      </c>
      <c r="AA179" s="60">
        <v>0</v>
      </c>
      <c r="AB179" s="60">
        <v>0</v>
      </c>
      <c r="AC179" s="60">
        <v>0</v>
      </c>
      <c r="AD179" s="60">
        <v>0</v>
      </c>
      <c r="AE179" s="60">
        <v>0</v>
      </c>
      <c r="AF179" s="60">
        <v>0</v>
      </c>
      <c r="AG179" s="60">
        <v>0</v>
      </c>
      <c r="AH179" s="60">
        <v>0</v>
      </c>
      <c r="AI179" s="60">
        <v>0</v>
      </c>
      <c r="AJ179" s="60">
        <v>0</v>
      </c>
      <c r="AK179" s="60">
        <v>0</v>
      </c>
      <c r="AL179" s="60">
        <v>0</v>
      </c>
      <c r="AM179" s="60">
        <v>0</v>
      </c>
    </row>
    <row r="180" spans="1:39" ht="15.75" hidden="1" outlineLevel="1" thickBot="1">
      <c r="A180" s="59" t="s">
        <v>45</v>
      </c>
      <c r="B180" s="60">
        <v>0.44</v>
      </c>
      <c r="C180" s="60">
        <v>0.39</v>
      </c>
      <c r="D180" s="60">
        <v>0.35</v>
      </c>
      <c r="E180" s="60">
        <v>0</v>
      </c>
      <c r="F180" s="60">
        <v>0</v>
      </c>
      <c r="G180" s="60">
        <v>0</v>
      </c>
      <c r="H180" s="60">
        <v>0</v>
      </c>
      <c r="I180" s="60">
        <v>0</v>
      </c>
      <c r="J180" s="60">
        <v>0</v>
      </c>
      <c r="K180" s="60">
        <v>0</v>
      </c>
      <c r="L180" s="60">
        <v>0</v>
      </c>
      <c r="M180" s="60">
        <v>0</v>
      </c>
      <c r="N180" s="60">
        <v>0</v>
      </c>
      <c r="O180" s="60">
        <v>0</v>
      </c>
      <c r="P180" s="60">
        <v>0</v>
      </c>
      <c r="Q180" s="60">
        <v>0</v>
      </c>
      <c r="R180" s="60">
        <v>0</v>
      </c>
      <c r="S180" s="60">
        <v>0</v>
      </c>
      <c r="T180" s="60">
        <v>0</v>
      </c>
      <c r="U180" s="60">
        <v>0</v>
      </c>
      <c r="V180" s="60">
        <v>0</v>
      </c>
      <c r="W180" s="60">
        <v>0</v>
      </c>
      <c r="X180" s="60">
        <v>0</v>
      </c>
      <c r="Y180" s="60">
        <v>0</v>
      </c>
      <c r="Z180" s="60">
        <v>0</v>
      </c>
      <c r="AA180" s="60">
        <v>0</v>
      </c>
      <c r="AB180" s="60">
        <v>0</v>
      </c>
      <c r="AC180" s="60">
        <v>0</v>
      </c>
      <c r="AD180" s="60">
        <v>0</v>
      </c>
      <c r="AE180" s="60">
        <v>0</v>
      </c>
      <c r="AF180" s="60">
        <v>0</v>
      </c>
      <c r="AG180" s="60">
        <v>0</v>
      </c>
      <c r="AH180" s="60">
        <v>0</v>
      </c>
      <c r="AI180" s="60">
        <v>0</v>
      </c>
      <c r="AJ180" s="60">
        <v>0</v>
      </c>
      <c r="AK180" s="60">
        <v>0</v>
      </c>
      <c r="AL180" s="60">
        <v>0</v>
      </c>
      <c r="AM180" s="60">
        <v>0</v>
      </c>
    </row>
    <row r="181" spans="1:39" ht="15.75" hidden="1" outlineLevel="1" thickBot="1">
      <c r="A181" s="59" t="s">
        <v>104</v>
      </c>
      <c r="B181" s="60">
        <v>0.1</v>
      </c>
      <c r="C181" s="60">
        <v>0.14000000000000001</v>
      </c>
      <c r="D181" s="60">
        <v>0.1</v>
      </c>
      <c r="E181" s="60">
        <v>0</v>
      </c>
      <c r="F181" s="60">
        <v>0</v>
      </c>
      <c r="G181" s="60">
        <v>0</v>
      </c>
      <c r="H181" s="60">
        <v>0</v>
      </c>
      <c r="I181" s="60">
        <v>0</v>
      </c>
      <c r="J181" s="60">
        <v>0</v>
      </c>
      <c r="K181" s="60">
        <v>0</v>
      </c>
      <c r="L181" s="60">
        <v>0</v>
      </c>
      <c r="M181" s="60">
        <v>0</v>
      </c>
      <c r="N181" s="60">
        <v>0</v>
      </c>
      <c r="O181" s="60">
        <v>0</v>
      </c>
      <c r="P181" s="60">
        <v>0</v>
      </c>
      <c r="Q181" s="60">
        <v>0</v>
      </c>
      <c r="R181" s="60">
        <v>0</v>
      </c>
      <c r="S181" s="60">
        <v>0</v>
      </c>
      <c r="T181" s="60">
        <v>0</v>
      </c>
      <c r="U181" s="60">
        <v>0</v>
      </c>
      <c r="V181" s="60">
        <v>0</v>
      </c>
      <c r="W181" s="60">
        <v>0</v>
      </c>
      <c r="X181" s="60">
        <v>0</v>
      </c>
      <c r="Y181" s="60">
        <v>0</v>
      </c>
      <c r="Z181" s="60">
        <v>0</v>
      </c>
      <c r="AA181" s="60">
        <v>0</v>
      </c>
      <c r="AB181" s="60">
        <v>0</v>
      </c>
      <c r="AC181" s="60">
        <v>0</v>
      </c>
      <c r="AD181" s="60">
        <v>0</v>
      </c>
      <c r="AE181" s="60">
        <v>0</v>
      </c>
      <c r="AF181" s="60">
        <v>0</v>
      </c>
      <c r="AG181" s="60">
        <v>0</v>
      </c>
      <c r="AH181" s="60">
        <v>0</v>
      </c>
      <c r="AI181" s="60">
        <v>0</v>
      </c>
      <c r="AJ181" s="60">
        <v>0</v>
      </c>
      <c r="AK181" s="60">
        <v>0</v>
      </c>
      <c r="AL181" s="60">
        <v>0</v>
      </c>
      <c r="AM181" s="60">
        <v>0</v>
      </c>
    </row>
    <row r="182" spans="1:39" ht="15.75" hidden="1" outlineLevel="1" thickBot="1">
      <c r="A182" s="59" t="s">
        <v>105</v>
      </c>
      <c r="B182" s="60">
        <v>0</v>
      </c>
      <c r="C182" s="60">
        <v>0</v>
      </c>
      <c r="D182" s="60">
        <v>0</v>
      </c>
      <c r="E182" s="60">
        <v>0</v>
      </c>
      <c r="F182" s="60">
        <v>0</v>
      </c>
      <c r="G182" s="60">
        <v>0</v>
      </c>
      <c r="H182" s="60">
        <v>0</v>
      </c>
      <c r="I182" s="60">
        <v>0</v>
      </c>
      <c r="J182" s="60">
        <v>0</v>
      </c>
      <c r="K182" s="60">
        <v>0</v>
      </c>
      <c r="L182" s="60">
        <v>0</v>
      </c>
      <c r="M182" s="60">
        <v>0</v>
      </c>
      <c r="N182" s="60">
        <v>0</v>
      </c>
      <c r="O182" s="60">
        <v>0</v>
      </c>
      <c r="P182" s="60">
        <v>0</v>
      </c>
      <c r="Q182" s="60">
        <v>0</v>
      </c>
      <c r="R182" s="60">
        <v>0</v>
      </c>
      <c r="S182" s="60">
        <v>0</v>
      </c>
      <c r="T182" s="60">
        <v>0</v>
      </c>
      <c r="U182" s="60">
        <v>0</v>
      </c>
      <c r="V182" s="60">
        <v>0</v>
      </c>
      <c r="W182" s="60">
        <v>0</v>
      </c>
      <c r="X182" s="60">
        <v>0</v>
      </c>
      <c r="Y182" s="60">
        <v>0</v>
      </c>
      <c r="Z182" s="60">
        <v>0</v>
      </c>
      <c r="AA182" s="60">
        <v>0</v>
      </c>
      <c r="AB182" s="60">
        <v>0</v>
      </c>
      <c r="AC182" s="60">
        <v>0</v>
      </c>
      <c r="AD182" s="60">
        <v>0</v>
      </c>
      <c r="AE182" s="60">
        <v>0</v>
      </c>
      <c r="AF182" s="60">
        <v>0</v>
      </c>
      <c r="AG182" s="60">
        <v>0</v>
      </c>
      <c r="AH182" s="60">
        <v>0</v>
      </c>
      <c r="AI182" s="60">
        <v>0</v>
      </c>
      <c r="AJ182" s="60">
        <v>0</v>
      </c>
      <c r="AK182" s="60">
        <v>0</v>
      </c>
      <c r="AL182" s="60">
        <v>0</v>
      </c>
      <c r="AM182" s="60">
        <v>0</v>
      </c>
    </row>
    <row r="183" spans="1:39" ht="15.75" hidden="1" outlineLevel="1" thickBot="1">
      <c r="A183" s="59" t="s">
        <v>106</v>
      </c>
      <c r="B183" s="60">
        <v>110.78</v>
      </c>
      <c r="C183" s="60">
        <v>98.3</v>
      </c>
      <c r="D183" s="60">
        <v>69.27</v>
      </c>
      <c r="E183" s="60">
        <v>61.83</v>
      </c>
      <c r="F183" s="60">
        <v>52.69</v>
      </c>
      <c r="G183" s="60">
        <v>58.9</v>
      </c>
      <c r="H183" s="60">
        <v>39.880000000000003</v>
      </c>
      <c r="I183" s="60">
        <v>51.68</v>
      </c>
      <c r="J183" s="60">
        <v>59.7</v>
      </c>
      <c r="K183" s="60">
        <v>58.69</v>
      </c>
      <c r="L183" s="60">
        <v>53.62</v>
      </c>
      <c r="M183" s="60">
        <v>48.55</v>
      </c>
      <c r="N183" s="60">
        <v>43.48</v>
      </c>
      <c r="O183" s="60">
        <v>38.4</v>
      </c>
      <c r="P183" s="60">
        <v>33.33</v>
      </c>
      <c r="Q183" s="60">
        <v>28.26</v>
      </c>
      <c r="R183" s="60">
        <v>23.19</v>
      </c>
      <c r="S183" s="60">
        <v>18.12</v>
      </c>
      <c r="T183" s="60">
        <v>13.05</v>
      </c>
      <c r="U183" s="60">
        <v>7.98</v>
      </c>
      <c r="V183" s="60">
        <v>2.9</v>
      </c>
      <c r="W183" s="60">
        <v>0</v>
      </c>
      <c r="X183" s="60">
        <v>0</v>
      </c>
      <c r="Y183" s="60">
        <v>0</v>
      </c>
      <c r="Z183" s="60">
        <v>0</v>
      </c>
      <c r="AA183" s="60">
        <v>0</v>
      </c>
      <c r="AB183" s="60">
        <v>0</v>
      </c>
      <c r="AC183" s="60">
        <v>0</v>
      </c>
      <c r="AD183" s="60">
        <v>0</v>
      </c>
      <c r="AE183" s="60">
        <v>0</v>
      </c>
      <c r="AF183" s="60">
        <v>0</v>
      </c>
      <c r="AG183" s="60">
        <v>0</v>
      </c>
      <c r="AH183" s="60">
        <v>0</v>
      </c>
      <c r="AI183" s="60">
        <v>0</v>
      </c>
      <c r="AJ183" s="60">
        <v>0</v>
      </c>
      <c r="AK183" s="60">
        <v>0</v>
      </c>
      <c r="AL183" s="60">
        <v>0</v>
      </c>
      <c r="AM183" s="60">
        <v>0</v>
      </c>
    </row>
    <row r="184" spans="1:39" ht="15.75" hidden="1" outlineLevel="1" thickBot="1">
      <c r="A184" s="59" t="s">
        <v>46</v>
      </c>
      <c r="B184" s="60">
        <v>5.12</v>
      </c>
      <c r="C184" s="60">
        <v>5.19</v>
      </c>
      <c r="D184" s="60">
        <v>4.6900000000000004</v>
      </c>
      <c r="E184" s="60">
        <v>4.29</v>
      </c>
      <c r="F184" s="60">
        <v>6.26</v>
      </c>
      <c r="G184" s="60">
        <v>5.74</v>
      </c>
      <c r="H184" s="60">
        <v>5.89</v>
      </c>
      <c r="I184" s="60">
        <v>14.18</v>
      </c>
      <c r="J184" s="60">
        <v>5.87</v>
      </c>
      <c r="K184" s="60">
        <v>5.77</v>
      </c>
      <c r="L184" s="60">
        <v>5.27</v>
      </c>
      <c r="M184" s="60">
        <v>4.7699999999999996</v>
      </c>
      <c r="N184" s="60">
        <v>4.2699999999999996</v>
      </c>
      <c r="O184" s="60">
        <v>3.78</v>
      </c>
      <c r="P184" s="60">
        <v>3.28</v>
      </c>
      <c r="Q184" s="60">
        <v>2.78</v>
      </c>
      <c r="R184" s="60">
        <v>2.2799999999999998</v>
      </c>
      <c r="S184" s="60">
        <v>1.78</v>
      </c>
      <c r="T184" s="60">
        <v>1.28</v>
      </c>
      <c r="U184" s="60">
        <v>0.78</v>
      </c>
      <c r="V184" s="60">
        <v>0.28999999999999998</v>
      </c>
      <c r="W184" s="60">
        <v>0</v>
      </c>
      <c r="X184" s="60">
        <v>0</v>
      </c>
      <c r="Y184" s="60">
        <v>0</v>
      </c>
      <c r="Z184" s="60">
        <v>0</v>
      </c>
      <c r="AA184" s="60">
        <v>0</v>
      </c>
      <c r="AB184" s="60">
        <v>0</v>
      </c>
      <c r="AC184" s="60">
        <v>0</v>
      </c>
      <c r="AD184" s="60">
        <v>0</v>
      </c>
      <c r="AE184" s="60">
        <v>0</v>
      </c>
      <c r="AF184" s="60">
        <v>0</v>
      </c>
      <c r="AG184" s="60">
        <v>0</v>
      </c>
      <c r="AH184" s="60">
        <v>0</v>
      </c>
      <c r="AI184" s="60">
        <v>0</v>
      </c>
      <c r="AJ184" s="60">
        <v>0</v>
      </c>
      <c r="AK184" s="60">
        <v>0</v>
      </c>
      <c r="AL184" s="60">
        <v>0</v>
      </c>
      <c r="AM184" s="60">
        <v>0</v>
      </c>
    </row>
    <row r="185" spans="1:39" ht="15.75" hidden="1" outlineLevel="1" thickBot="1">
      <c r="A185" s="59" t="s">
        <v>107</v>
      </c>
      <c r="B185" s="60">
        <v>0</v>
      </c>
      <c r="C185" s="60">
        <v>0</v>
      </c>
      <c r="D185" s="60">
        <v>0</v>
      </c>
      <c r="E185" s="60">
        <v>0</v>
      </c>
      <c r="F185" s="60">
        <v>0</v>
      </c>
      <c r="G185" s="60">
        <v>0</v>
      </c>
      <c r="H185" s="60">
        <v>0</v>
      </c>
      <c r="I185" s="60">
        <v>0</v>
      </c>
      <c r="J185" s="60">
        <v>0</v>
      </c>
      <c r="K185" s="60">
        <v>0</v>
      </c>
      <c r="L185" s="60">
        <v>0</v>
      </c>
      <c r="M185" s="60">
        <v>0</v>
      </c>
      <c r="N185" s="60">
        <v>0</v>
      </c>
      <c r="O185" s="60">
        <v>0</v>
      </c>
      <c r="P185" s="60">
        <v>0</v>
      </c>
      <c r="Q185" s="60">
        <v>0</v>
      </c>
      <c r="R185" s="60">
        <v>0</v>
      </c>
      <c r="S185" s="60">
        <v>0</v>
      </c>
      <c r="T185" s="60">
        <v>0</v>
      </c>
      <c r="U185" s="60">
        <v>0</v>
      </c>
      <c r="V185" s="60">
        <v>0</v>
      </c>
      <c r="W185" s="60">
        <v>0</v>
      </c>
      <c r="X185" s="60">
        <v>0</v>
      </c>
      <c r="Y185" s="60">
        <v>0</v>
      </c>
      <c r="Z185" s="60">
        <v>0</v>
      </c>
      <c r="AA185" s="60">
        <v>0</v>
      </c>
      <c r="AB185" s="60">
        <v>0</v>
      </c>
      <c r="AC185" s="60">
        <v>0</v>
      </c>
      <c r="AD185" s="60">
        <v>0</v>
      </c>
      <c r="AE185" s="60">
        <v>0</v>
      </c>
      <c r="AF185" s="60">
        <v>0</v>
      </c>
      <c r="AG185" s="60">
        <v>0</v>
      </c>
      <c r="AH185" s="60">
        <v>0</v>
      </c>
      <c r="AI185" s="60">
        <v>0</v>
      </c>
      <c r="AJ185" s="60">
        <v>0</v>
      </c>
      <c r="AK185" s="60">
        <v>0</v>
      </c>
      <c r="AL185" s="60">
        <v>0</v>
      </c>
      <c r="AM185" s="60">
        <v>0</v>
      </c>
    </row>
    <row r="186" spans="1:39" ht="15.75" hidden="1" outlineLevel="1" thickBot="1">
      <c r="A186" s="61" t="s">
        <v>108</v>
      </c>
      <c r="B186" s="62">
        <v>0</v>
      </c>
      <c r="C186" s="62">
        <v>0</v>
      </c>
      <c r="D186" s="62">
        <v>0</v>
      </c>
      <c r="E186" s="62">
        <v>0</v>
      </c>
      <c r="F186" s="62">
        <v>0</v>
      </c>
      <c r="G186" s="62">
        <v>0</v>
      </c>
      <c r="H186" s="62">
        <v>0</v>
      </c>
      <c r="I186" s="62">
        <v>0</v>
      </c>
      <c r="J186" s="62">
        <v>0</v>
      </c>
      <c r="K186" s="62">
        <v>0</v>
      </c>
      <c r="L186" s="62">
        <v>0</v>
      </c>
      <c r="M186" s="62">
        <v>0</v>
      </c>
      <c r="N186" s="62">
        <v>0</v>
      </c>
      <c r="O186" s="62">
        <v>0</v>
      </c>
      <c r="P186" s="62">
        <v>0</v>
      </c>
      <c r="Q186" s="62">
        <v>0</v>
      </c>
      <c r="R186" s="62">
        <v>0</v>
      </c>
      <c r="S186" s="62">
        <v>0</v>
      </c>
      <c r="T186" s="62">
        <v>0</v>
      </c>
      <c r="U186" s="62">
        <v>0</v>
      </c>
      <c r="V186" s="62">
        <v>0</v>
      </c>
      <c r="W186" s="62">
        <v>0</v>
      </c>
      <c r="X186" s="62">
        <v>0</v>
      </c>
      <c r="Y186" s="62">
        <v>0</v>
      </c>
      <c r="Z186" s="62">
        <v>0</v>
      </c>
      <c r="AA186" s="62">
        <v>0</v>
      </c>
      <c r="AB186" s="62">
        <v>0</v>
      </c>
      <c r="AC186" s="62">
        <v>0</v>
      </c>
      <c r="AD186" s="62">
        <v>0</v>
      </c>
      <c r="AE186" s="62">
        <v>0</v>
      </c>
      <c r="AF186" s="62">
        <v>0</v>
      </c>
      <c r="AG186" s="62">
        <v>0</v>
      </c>
      <c r="AH186" s="62">
        <v>0</v>
      </c>
      <c r="AI186" s="62">
        <v>0</v>
      </c>
      <c r="AJ186" s="62">
        <v>0</v>
      </c>
      <c r="AK186" s="62">
        <v>0</v>
      </c>
      <c r="AL186" s="62">
        <v>0</v>
      </c>
      <c r="AM186" s="62">
        <v>0</v>
      </c>
    </row>
    <row r="187" spans="1:39" ht="17.25" collapsed="1" thickTop="1" thickBot="1">
      <c r="A187" s="65" t="s">
        <v>114</v>
      </c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</row>
    <row r="188" spans="1:39" ht="16.5" hidden="1" outlineLevel="1" thickTop="1" thickBot="1">
      <c r="A188" s="57" t="s">
        <v>41</v>
      </c>
      <c r="B188" s="58">
        <v>2013</v>
      </c>
      <c r="C188" s="58">
        <v>2014</v>
      </c>
      <c r="D188" s="58">
        <v>2015</v>
      </c>
      <c r="E188" s="58">
        <v>2016</v>
      </c>
      <c r="F188" s="58">
        <v>2017</v>
      </c>
      <c r="G188" s="58">
        <v>2018</v>
      </c>
      <c r="H188" s="58">
        <v>2019</v>
      </c>
      <c r="I188" s="58">
        <v>2020</v>
      </c>
      <c r="J188" s="58">
        <v>2021</v>
      </c>
      <c r="K188" s="58">
        <v>2022</v>
      </c>
      <c r="L188" s="58">
        <v>2023</v>
      </c>
      <c r="M188" s="58">
        <v>2024</v>
      </c>
      <c r="N188" s="58">
        <v>2025</v>
      </c>
      <c r="O188" s="58">
        <v>2026</v>
      </c>
      <c r="P188" s="58">
        <v>2027</v>
      </c>
      <c r="Q188" s="58">
        <v>2028</v>
      </c>
      <c r="R188" s="58">
        <v>2029</v>
      </c>
      <c r="S188" s="58">
        <v>2030</v>
      </c>
      <c r="T188" s="58">
        <v>2031</v>
      </c>
      <c r="U188" s="58">
        <v>2032</v>
      </c>
      <c r="V188" s="58">
        <v>2033</v>
      </c>
      <c r="W188" s="58">
        <v>2034</v>
      </c>
      <c r="X188" s="58">
        <v>2035</v>
      </c>
      <c r="Y188" s="58">
        <v>2036</v>
      </c>
      <c r="Z188" s="58">
        <v>2037</v>
      </c>
      <c r="AA188" s="58">
        <v>2038</v>
      </c>
      <c r="AB188" s="58">
        <v>2039</v>
      </c>
      <c r="AC188" s="58">
        <v>2040</v>
      </c>
      <c r="AD188" s="58">
        <v>2041</v>
      </c>
      <c r="AE188" s="58">
        <v>2042</v>
      </c>
      <c r="AF188" s="58">
        <v>2043</v>
      </c>
      <c r="AG188" s="58">
        <v>2044</v>
      </c>
      <c r="AH188" s="58">
        <v>2045</v>
      </c>
      <c r="AI188" s="58">
        <v>2046</v>
      </c>
      <c r="AJ188" s="58">
        <v>2047</v>
      </c>
      <c r="AK188" s="58">
        <v>2048</v>
      </c>
      <c r="AL188" s="58">
        <v>2049</v>
      </c>
      <c r="AM188" s="58">
        <v>2050</v>
      </c>
    </row>
    <row r="189" spans="1:39" ht="16.5" hidden="1" outlineLevel="1" thickTop="1" thickBot="1">
      <c r="A189" s="59" t="s">
        <v>83</v>
      </c>
      <c r="B189" s="60">
        <v>0</v>
      </c>
      <c r="C189" s="60">
        <v>0</v>
      </c>
      <c r="D189" s="60">
        <v>0</v>
      </c>
      <c r="E189" s="60">
        <v>0</v>
      </c>
      <c r="F189" s="60">
        <v>0</v>
      </c>
      <c r="G189" s="60">
        <v>0</v>
      </c>
      <c r="H189" s="60">
        <v>0</v>
      </c>
      <c r="I189" s="60">
        <v>0</v>
      </c>
      <c r="J189" s="60">
        <v>0</v>
      </c>
      <c r="K189" s="60">
        <v>0</v>
      </c>
      <c r="L189" s="60">
        <v>0</v>
      </c>
      <c r="M189" s="60">
        <v>0</v>
      </c>
      <c r="N189" s="60">
        <v>0</v>
      </c>
      <c r="O189" s="60">
        <v>0</v>
      </c>
      <c r="P189" s="60">
        <v>0</v>
      </c>
      <c r="Q189" s="60">
        <v>0</v>
      </c>
      <c r="R189" s="60">
        <v>0</v>
      </c>
      <c r="S189" s="60">
        <v>0</v>
      </c>
      <c r="T189" s="60">
        <v>0</v>
      </c>
      <c r="U189" s="60">
        <v>0</v>
      </c>
      <c r="V189" s="60">
        <v>0</v>
      </c>
      <c r="W189" s="60">
        <v>0</v>
      </c>
      <c r="X189" s="60">
        <v>0</v>
      </c>
      <c r="Y189" s="60">
        <v>0</v>
      </c>
      <c r="Z189" s="60">
        <v>0</v>
      </c>
      <c r="AA189" s="60">
        <v>0</v>
      </c>
      <c r="AB189" s="60">
        <v>0</v>
      </c>
      <c r="AC189" s="60">
        <v>0</v>
      </c>
      <c r="AD189" s="60">
        <v>0</v>
      </c>
      <c r="AE189" s="60">
        <v>0</v>
      </c>
      <c r="AF189" s="60">
        <v>0</v>
      </c>
      <c r="AG189" s="60">
        <v>0</v>
      </c>
      <c r="AH189" s="60">
        <v>0</v>
      </c>
      <c r="AI189" s="60">
        <v>0</v>
      </c>
      <c r="AJ189" s="60">
        <v>0</v>
      </c>
      <c r="AK189" s="60">
        <v>0</v>
      </c>
      <c r="AL189" s="60">
        <v>0</v>
      </c>
      <c r="AM189" s="60">
        <v>0</v>
      </c>
    </row>
    <row r="190" spans="1:39" ht="15.75" hidden="1" outlineLevel="1" thickBot="1">
      <c r="A190" s="59" t="s">
        <v>84</v>
      </c>
      <c r="B190" s="60">
        <v>0</v>
      </c>
      <c r="C190" s="60">
        <v>0</v>
      </c>
      <c r="D190" s="60">
        <v>0</v>
      </c>
      <c r="E190" s="60">
        <v>0</v>
      </c>
      <c r="F190" s="60">
        <v>0</v>
      </c>
      <c r="G190" s="60">
        <v>0</v>
      </c>
      <c r="H190" s="60">
        <v>0</v>
      </c>
      <c r="I190" s="60">
        <v>0</v>
      </c>
      <c r="J190" s="60">
        <v>0</v>
      </c>
      <c r="K190" s="60">
        <v>0</v>
      </c>
      <c r="L190" s="60">
        <v>0</v>
      </c>
      <c r="M190" s="60">
        <v>0</v>
      </c>
      <c r="N190" s="60">
        <v>0</v>
      </c>
      <c r="O190" s="60">
        <v>0</v>
      </c>
      <c r="P190" s="60">
        <v>0</v>
      </c>
      <c r="Q190" s="60">
        <v>0</v>
      </c>
      <c r="R190" s="60">
        <v>0</v>
      </c>
      <c r="S190" s="60">
        <v>0</v>
      </c>
      <c r="T190" s="60">
        <v>0</v>
      </c>
      <c r="U190" s="60">
        <v>0</v>
      </c>
      <c r="V190" s="60">
        <v>0</v>
      </c>
      <c r="W190" s="60">
        <v>0</v>
      </c>
      <c r="X190" s="60">
        <v>0</v>
      </c>
      <c r="Y190" s="60">
        <v>0</v>
      </c>
      <c r="Z190" s="60">
        <v>0</v>
      </c>
      <c r="AA190" s="60">
        <v>0</v>
      </c>
      <c r="AB190" s="60">
        <v>0</v>
      </c>
      <c r="AC190" s="60">
        <v>0</v>
      </c>
      <c r="AD190" s="60">
        <v>0</v>
      </c>
      <c r="AE190" s="60">
        <v>0</v>
      </c>
      <c r="AF190" s="60">
        <v>0</v>
      </c>
      <c r="AG190" s="60">
        <v>0</v>
      </c>
      <c r="AH190" s="60">
        <v>0</v>
      </c>
      <c r="AI190" s="60">
        <v>0</v>
      </c>
      <c r="AJ190" s="60">
        <v>0</v>
      </c>
      <c r="AK190" s="60">
        <v>0</v>
      </c>
      <c r="AL190" s="60">
        <v>0</v>
      </c>
      <c r="AM190" s="60">
        <v>0</v>
      </c>
    </row>
    <row r="191" spans="1:39" ht="15.75" hidden="1" outlineLevel="1" thickBot="1">
      <c r="A191" s="59" t="s">
        <v>85</v>
      </c>
      <c r="B191" s="60">
        <v>0</v>
      </c>
      <c r="C191" s="60">
        <v>0</v>
      </c>
      <c r="D191" s="60">
        <v>0</v>
      </c>
      <c r="E191" s="60">
        <v>0</v>
      </c>
      <c r="F191" s="60">
        <v>0</v>
      </c>
      <c r="G191" s="60">
        <v>0</v>
      </c>
      <c r="H191" s="60">
        <v>0</v>
      </c>
      <c r="I191" s="60">
        <v>0</v>
      </c>
      <c r="J191" s="60">
        <v>0</v>
      </c>
      <c r="K191" s="60">
        <v>0</v>
      </c>
      <c r="L191" s="60">
        <v>0</v>
      </c>
      <c r="M191" s="60">
        <v>0</v>
      </c>
      <c r="N191" s="60">
        <v>0</v>
      </c>
      <c r="O191" s="60">
        <v>0</v>
      </c>
      <c r="P191" s="60">
        <v>0</v>
      </c>
      <c r="Q191" s="60">
        <v>0</v>
      </c>
      <c r="R191" s="60">
        <v>0</v>
      </c>
      <c r="S191" s="60">
        <v>0</v>
      </c>
      <c r="T191" s="60">
        <v>0</v>
      </c>
      <c r="U191" s="60">
        <v>0</v>
      </c>
      <c r="V191" s="60">
        <v>0</v>
      </c>
      <c r="W191" s="60">
        <v>0</v>
      </c>
      <c r="X191" s="60">
        <v>0</v>
      </c>
      <c r="Y191" s="60">
        <v>0</v>
      </c>
      <c r="Z191" s="60">
        <v>0</v>
      </c>
      <c r="AA191" s="60">
        <v>0</v>
      </c>
      <c r="AB191" s="60">
        <v>0</v>
      </c>
      <c r="AC191" s="60">
        <v>0</v>
      </c>
      <c r="AD191" s="60">
        <v>0</v>
      </c>
      <c r="AE191" s="60">
        <v>0</v>
      </c>
      <c r="AF191" s="60">
        <v>0</v>
      </c>
      <c r="AG191" s="60">
        <v>0</v>
      </c>
      <c r="AH191" s="60">
        <v>0</v>
      </c>
      <c r="AI191" s="60">
        <v>0</v>
      </c>
      <c r="AJ191" s="60">
        <v>0</v>
      </c>
      <c r="AK191" s="60">
        <v>0</v>
      </c>
      <c r="AL191" s="60">
        <v>0</v>
      </c>
      <c r="AM191" s="60">
        <v>0</v>
      </c>
    </row>
    <row r="192" spans="1:39" ht="15.75" hidden="1" outlineLevel="1" thickBot="1">
      <c r="A192" s="59" t="s">
        <v>86</v>
      </c>
      <c r="B192" s="60">
        <v>0</v>
      </c>
      <c r="C192" s="60">
        <v>0</v>
      </c>
      <c r="D192" s="60">
        <v>0</v>
      </c>
      <c r="E192" s="60">
        <v>0</v>
      </c>
      <c r="F192" s="60">
        <v>0</v>
      </c>
      <c r="G192" s="60">
        <v>0</v>
      </c>
      <c r="H192" s="60">
        <v>0</v>
      </c>
      <c r="I192" s="60">
        <v>0</v>
      </c>
      <c r="J192" s="60">
        <v>0</v>
      </c>
      <c r="K192" s="60">
        <v>0</v>
      </c>
      <c r="L192" s="60">
        <v>0</v>
      </c>
      <c r="M192" s="60">
        <v>0</v>
      </c>
      <c r="N192" s="60">
        <v>0</v>
      </c>
      <c r="O192" s="60">
        <v>0</v>
      </c>
      <c r="P192" s="60">
        <v>0</v>
      </c>
      <c r="Q192" s="60">
        <v>0</v>
      </c>
      <c r="R192" s="60">
        <v>0</v>
      </c>
      <c r="S192" s="60">
        <v>0</v>
      </c>
      <c r="T192" s="60">
        <v>0</v>
      </c>
      <c r="U192" s="60">
        <v>0</v>
      </c>
      <c r="V192" s="60">
        <v>0</v>
      </c>
      <c r="W192" s="60">
        <v>0</v>
      </c>
      <c r="X192" s="60">
        <v>0</v>
      </c>
      <c r="Y192" s="60">
        <v>0</v>
      </c>
      <c r="Z192" s="60">
        <v>0</v>
      </c>
      <c r="AA192" s="60">
        <v>0</v>
      </c>
      <c r="AB192" s="60">
        <v>0</v>
      </c>
      <c r="AC192" s="60">
        <v>0</v>
      </c>
      <c r="AD192" s="60">
        <v>0</v>
      </c>
      <c r="AE192" s="60">
        <v>0</v>
      </c>
      <c r="AF192" s="60">
        <v>0</v>
      </c>
      <c r="AG192" s="60">
        <v>0</v>
      </c>
      <c r="AH192" s="60">
        <v>0</v>
      </c>
      <c r="AI192" s="60">
        <v>0</v>
      </c>
      <c r="AJ192" s="60">
        <v>0</v>
      </c>
      <c r="AK192" s="60">
        <v>0</v>
      </c>
      <c r="AL192" s="60">
        <v>0</v>
      </c>
      <c r="AM192" s="60">
        <v>0</v>
      </c>
    </row>
    <row r="193" spans="1:39" ht="15.75" hidden="1" outlineLevel="1" thickBot="1">
      <c r="A193" s="59" t="s">
        <v>87</v>
      </c>
      <c r="B193" s="60">
        <v>0</v>
      </c>
      <c r="C193" s="60">
        <v>0</v>
      </c>
      <c r="D193" s="60">
        <v>0</v>
      </c>
      <c r="E193" s="60">
        <v>0</v>
      </c>
      <c r="F193" s="60">
        <v>0</v>
      </c>
      <c r="G193" s="60">
        <v>0</v>
      </c>
      <c r="H193" s="60">
        <v>0</v>
      </c>
      <c r="I193" s="60">
        <v>0</v>
      </c>
      <c r="J193" s="60">
        <v>0</v>
      </c>
      <c r="K193" s="60">
        <v>0</v>
      </c>
      <c r="L193" s="60">
        <v>0</v>
      </c>
      <c r="M193" s="60">
        <v>0</v>
      </c>
      <c r="N193" s="60">
        <v>0</v>
      </c>
      <c r="O193" s="60">
        <v>0</v>
      </c>
      <c r="P193" s="60">
        <v>0</v>
      </c>
      <c r="Q193" s="60">
        <v>0</v>
      </c>
      <c r="R193" s="60">
        <v>0</v>
      </c>
      <c r="S193" s="60">
        <v>0</v>
      </c>
      <c r="T193" s="60">
        <v>0</v>
      </c>
      <c r="U193" s="60">
        <v>0</v>
      </c>
      <c r="V193" s="60">
        <v>0</v>
      </c>
      <c r="W193" s="60">
        <v>0</v>
      </c>
      <c r="X193" s="60">
        <v>0</v>
      </c>
      <c r="Y193" s="60">
        <v>0</v>
      </c>
      <c r="Z193" s="60">
        <v>0</v>
      </c>
      <c r="AA193" s="60">
        <v>0</v>
      </c>
      <c r="AB193" s="60">
        <v>0</v>
      </c>
      <c r="AC193" s="60">
        <v>0</v>
      </c>
      <c r="AD193" s="60">
        <v>0</v>
      </c>
      <c r="AE193" s="60">
        <v>0</v>
      </c>
      <c r="AF193" s="60">
        <v>0</v>
      </c>
      <c r="AG193" s="60">
        <v>0</v>
      </c>
      <c r="AH193" s="60">
        <v>0</v>
      </c>
      <c r="AI193" s="60">
        <v>0</v>
      </c>
      <c r="AJ193" s="60">
        <v>0</v>
      </c>
      <c r="AK193" s="60">
        <v>0</v>
      </c>
      <c r="AL193" s="60">
        <v>0</v>
      </c>
      <c r="AM193" s="60">
        <v>0</v>
      </c>
    </row>
    <row r="194" spans="1:39" ht="15.75" hidden="1" outlineLevel="1" thickBot="1">
      <c r="A194" s="59" t="s">
        <v>88</v>
      </c>
      <c r="B194" s="60">
        <v>0</v>
      </c>
      <c r="C194" s="60">
        <v>0</v>
      </c>
      <c r="D194" s="60">
        <v>0</v>
      </c>
      <c r="E194" s="60">
        <v>0</v>
      </c>
      <c r="F194" s="60">
        <v>0</v>
      </c>
      <c r="G194" s="60">
        <v>0</v>
      </c>
      <c r="H194" s="60">
        <v>0</v>
      </c>
      <c r="I194" s="60">
        <v>0</v>
      </c>
      <c r="J194" s="60">
        <v>0</v>
      </c>
      <c r="K194" s="60">
        <v>0</v>
      </c>
      <c r="L194" s="60">
        <v>0</v>
      </c>
      <c r="M194" s="60">
        <v>0</v>
      </c>
      <c r="N194" s="60">
        <v>0</v>
      </c>
      <c r="O194" s="60">
        <v>0</v>
      </c>
      <c r="P194" s="60">
        <v>0</v>
      </c>
      <c r="Q194" s="60">
        <v>0</v>
      </c>
      <c r="R194" s="60">
        <v>0</v>
      </c>
      <c r="S194" s="60">
        <v>0</v>
      </c>
      <c r="T194" s="60">
        <v>0</v>
      </c>
      <c r="U194" s="60">
        <v>0</v>
      </c>
      <c r="V194" s="60">
        <v>0</v>
      </c>
      <c r="W194" s="60">
        <v>0</v>
      </c>
      <c r="X194" s="60">
        <v>0</v>
      </c>
      <c r="Y194" s="60">
        <v>0</v>
      </c>
      <c r="Z194" s="60">
        <v>0</v>
      </c>
      <c r="AA194" s="60">
        <v>0</v>
      </c>
      <c r="AB194" s="60">
        <v>0</v>
      </c>
      <c r="AC194" s="60">
        <v>0</v>
      </c>
      <c r="AD194" s="60">
        <v>0</v>
      </c>
      <c r="AE194" s="60">
        <v>0</v>
      </c>
      <c r="AF194" s="60">
        <v>0</v>
      </c>
      <c r="AG194" s="60">
        <v>0</v>
      </c>
      <c r="AH194" s="60">
        <v>0</v>
      </c>
      <c r="AI194" s="60">
        <v>0</v>
      </c>
      <c r="AJ194" s="60">
        <v>0</v>
      </c>
      <c r="AK194" s="60">
        <v>0</v>
      </c>
      <c r="AL194" s="60">
        <v>0</v>
      </c>
      <c r="AM194" s="60">
        <v>0</v>
      </c>
    </row>
    <row r="195" spans="1:39" ht="15.75" hidden="1" outlineLevel="1" thickBot="1">
      <c r="A195" s="59" t="s">
        <v>89</v>
      </c>
      <c r="B195" s="60">
        <v>0</v>
      </c>
      <c r="C195" s="60">
        <v>0</v>
      </c>
      <c r="D195" s="60">
        <v>0</v>
      </c>
      <c r="E195" s="60">
        <v>0</v>
      </c>
      <c r="F195" s="60">
        <v>0</v>
      </c>
      <c r="G195" s="60">
        <v>0</v>
      </c>
      <c r="H195" s="60">
        <v>0</v>
      </c>
      <c r="I195" s="60">
        <v>0</v>
      </c>
      <c r="J195" s="60">
        <v>0</v>
      </c>
      <c r="K195" s="60">
        <v>0</v>
      </c>
      <c r="L195" s="60">
        <v>0</v>
      </c>
      <c r="M195" s="60">
        <v>0</v>
      </c>
      <c r="N195" s="60">
        <v>0</v>
      </c>
      <c r="O195" s="60">
        <v>0</v>
      </c>
      <c r="P195" s="60">
        <v>0</v>
      </c>
      <c r="Q195" s="60">
        <v>0</v>
      </c>
      <c r="R195" s="60">
        <v>0</v>
      </c>
      <c r="S195" s="60">
        <v>0</v>
      </c>
      <c r="T195" s="60">
        <v>0</v>
      </c>
      <c r="U195" s="60">
        <v>0</v>
      </c>
      <c r="V195" s="60">
        <v>0</v>
      </c>
      <c r="W195" s="60">
        <v>0</v>
      </c>
      <c r="X195" s="60">
        <v>0</v>
      </c>
      <c r="Y195" s="60">
        <v>0</v>
      </c>
      <c r="Z195" s="60">
        <v>0</v>
      </c>
      <c r="AA195" s="60">
        <v>0</v>
      </c>
      <c r="AB195" s="60">
        <v>0</v>
      </c>
      <c r="AC195" s="60">
        <v>0</v>
      </c>
      <c r="AD195" s="60">
        <v>0</v>
      </c>
      <c r="AE195" s="60">
        <v>0</v>
      </c>
      <c r="AF195" s="60">
        <v>0</v>
      </c>
      <c r="AG195" s="60">
        <v>0</v>
      </c>
      <c r="AH195" s="60">
        <v>0</v>
      </c>
      <c r="AI195" s="60">
        <v>0</v>
      </c>
      <c r="AJ195" s="60">
        <v>0</v>
      </c>
      <c r="AK195" s="60">
        <v>0</v>
      </c>
      <c r="AL195" s="60">
        <v>0</v>
      </c>
      <c r="AM195" s="60">
        <v>0</v>
      </c>
    </row>
    <row r="196" spans="1:39" ht="15.75" hidden="1" outlineLevel="1" thickBot="1">
      <c r="A196" s="59" t="s">
        <v>90</v>
      </c>
      <c r="B196" s="60">
        <v>0</v>
      </c>
      <c r="C196" s="60">
        <v>0</v>
      </c>
      <c r="D196" s="60">
        <v>0</v>
      </c>
      <c r="E196" s="60">
        <v>0</v>
      </c>
      <c r="F196" s="60">
        <v>0</v>
      </c>
      <c r="G196" s="60">
        <v>0</v>
      </c>
      <c r="H196" s="60">
        <v>0</v>
      </c>
      <c r="I196" s="60">
        <v>0</v>
      </c>
      <c r="J196" s="60">
        <v>0</v>
      </c>
      <c r="K196" s="60">
        <v>0</v>
      </c>
      <c r="L196" s="60">
        <v>0</v>
      </c>
      <c r="M196" s="60">
        <v>0</v>
      </c>
      <c r="N196" s="60">
        <v>0</v>
      </c>
      <c r="O196" s="60">
        <v>0</v>
      </c>
      <c r="P196" s="60">
        <v>0</v>
      </c>
      <c r="Q196" s="60">
        <v>0</v>
      </c>
      <c r="R196" s="60">
        <v>0</v>
      </c>
      <c r="S196" s="60">
        <v>0</v>
      </c>
      <c r="T196" s="60">
        <v>0</v>
      </c>
      <c r="U196" s="60">
        <v>0</v>
      </c>
      <c r="V196" s="60">
        <v>0</v>
      </c>
      <c r="W196" s="60">
        <v>0</v>
      </c>
      <c r="X196" s="60">
        <v>0</v>
      </c>
      <c r="Y196" s="60">
        <v>0</v>
      </c>
      <c r="Z196" s="60">
        <v>0</v>
      </c>
      <c r="AA196" s="60">
        <v>0</v>
      </c>
      <c r="AB196" s="60">
        <v>0</v>
      </c>
      <c r="AC196" s="60">
        <v>0</v>
      </c>
      <c r="AD196" s="60">
        <v>0</v>
      </c>
      <c r="AE196" s="60">
        <v>0</v>
      </c>
      <c r="AF196" s="60">
        <v>0</v>
      </c>
      <c r="AG196" s="60">
        <v>0</v>
      </c>
      <c r="AH196" s="60">
        <v>0</v>
      </c>
      <c r="AI196" s="60">
        <v>0</v>
      </c>
      <c r="AJ196" s="60">
        <v>0</v>
      </c>
      <c r="AK196" s="60">
        <v>0</v>
      </c>
      <c r="AL196" s="60">
        <v>0</v>
      </c>
      <c r="AM196" s="60">
        <v>0</v>
      </c>
    </row>
    <row r="197" spans="1:39" ht="15.75" hidden="1" outlineLevel="1" thickBot="1">
      <c r="A197" s="59" t="s">
        <v>91</v>
      </c>
      <c r="B197" s="60">
        <v>0</v>
      </c>
      <c r="C197" s="60">
        <v>0</v>
      </c>
      <c r="D197" s="60">
        <v>0</v>
      </c>
      <c r="E197" s="60">
        <v>0</v>
      </c>
      <c r="F197" s="60">
        <v>0</v>
      </c>
      <c r="G197" s="60">
        <v>0</v>
      </c>
      <c r="H197" s="60">
        <v>0</v>
      </c>
      <c r="I197" s="60">
        <v>0</v>
      </c>
      <c r="J197" s="60">
        <v>0</v>
      </c>
      <c r="K197" s="60">
        <v>0</v>
      </c>
      <c r="L197" s="60">
        <v>0</v>
      </c>
      <c r="M197" s="60">
        <v>0</v>
      </c>
      <c r="N197" s="60">
        <v>0</v>
      </c>
      <c r="O197" s="60">
        <v>0</v>
      </c>
      <c r="P197" s="60">
        <v>0</v>
      </c>
      <c r="Q197" s="60">
        <v>0</v>
      </c>
      <c r="R197" s="60">
        <v>0</v>
      </c>
      <c r="S197" s="60">
        <v>0</v>
      </c>
      <c r="T197" s="60">
        <v>0</v>
      </c>
      <c r="U197" s="60">
        <v>0</v>
      </c>
      <c r="V197" s="60">
        <v>0</v>
      </c>
      <c r="W197" s="60">
        <v>0</v>
      </c>
      <c r="X197" s="60">
        <v>0</v>
      </c>
      <c r="Y197" s="60">
        <v>0</v>
      </c>
      <c r="Z197" s="60">
        <v>0</v>
      </c>
      <c r="AA197" s="60">
        <v>0</v>
      </c>
      <c r="AB197" s="60">
        <v>0</v>
      </c>
      <c r="AC197" s="60">
        <v>0</v>
      </c>
      <c r="AD197" s="60">
        <v>0</v>
      </c>
      <c r="AE197" s="60">
        <v>0</v>
      </c>
      <c r="AF197" s="60">
        <v>0</v>
      </c>
      <c r="AG197" s="60">
        <v>0</v>
      </c>
      <c r="AH197" s="60">
        <v>0</v>
      </c>
      <c r="AI197" s="60">
        <v>0</v>
      </c>
      <c r="AJ197" s="60">
        <v>0</v>
      </c>
      <c r="AK197" s="60">
        <v>0</v>
      </c>
      <c r="AL197" s="60">
        <v>0</v>
      </c>
      <c r="AM197" s="60">
        <v>0</v>
      </c>
    </row>
    <row r="198" spans="1:39" ht="15.75" hidden="1" outlineLevel="1" thickBot="1">
      <c r="A198" s="59" t="s">
        <v>92</v>
      </c>
      <c r="B198" s="60">
        <v>0</v>
      </c>
      <c r="C198" s="60">
        <v>0</v>
      </c>
      <c r="D198" s="60">
        <v>0</v>
      </c>
      <c r="E198" s="60">
        <v>0</v>
      </c>
      <c r="F198" s="60">
        <v>0</v>
      </c>
      <c r="G198" s="60">
        <v>0</v>
      </c>
      <c r="H198" s="60">
        <v>0</v>
      </c>
      <c r="I198" s="60">
        <v>0</v>
      </c>
      <c r="J198" s="60">
        <v>0</v>
      </c>
      <c r="K198" s="60">
        <v>0</v>
      </c>
      <c r="L198" s="60">
        <v>0</v>
      </c>
      <c r="M198" s="60">
        <v>0</v>
      </c>
      <c r="N198" s="60">
        <v>0</v>
      </c>
      <c r="O198" s="60">
        <v>0</v>
      </c>
      <c r="P198" s="60">
        <v>0</v>
      </c>
      <c r="Q198" s="60">
        <v>0</v>
      </c>
      <c r="R198" s="60">
        <v>0</v>
      </c>
      <c r="S198" s="60">
        <v>0</v>
      </c>
      <c r="T198" s="60">
        <v>0</v>
      </c>
      <c r="U198" s="60">
        <v>0</v>
      </c>
      <c r="V198" s="60">
        <v>0</v>
      </c>
      <c r="W198" s="60">
        <v>0</v>
      </c>
      <c r="X198" s="60">
        <v>0</v>
      </c>
      <c r="Y198" s="60">
        <v>0</v>
      </c>
      <c r="Z198" s="60">
        <v>0</v>
      </c>
      <c r="AA198" s="60">
        <v>0</v>
      </c>
      <c r="AB198" s="60">
        <v>0</v>
      </c>
      <c r="AC198" s="60">
        <v>0</v>
      </c>
      <c r="AD198" s="60">
        <v>0</v>
      </c>
      <c r="AE198" s="60">
        <v>0</v>
      </c>
      <c r="AF198" s="60">
        <v>0</v>
      </c>
      <c r="AG198" s="60">
        <v>0</v>
      </c>
      <c r="AH198" s="60">
        <v>0</v>
      </c>
      <c r="AI198" s="60">
        <v>0</v>
      </c>
      <c r="AJ198" s="60">
        <v>0</v>
      </c>
      <c r="AK198" s="60">
        <v>0</v>
      </c>
      <c r="AL198" s="60">
        <v>0</v>
      </c>
      <c r="AM198" s="60">
        <v>0</v>
      </c>
    </row>
    <row r="199" spans="1:39" ht="15.75" hidden="1" outlineLevel="1" thickBot="1">
      <c r="A199" s="59" t="s">
        <v>93</v>
      </c>
      <c r="B199" s="60">
        <v>0</v>
      </c>
      <c r="C199" s="60">
        <v>0</v>
      </c>
      <c r="D199" s="60">
        <v>0</v>
      </c>
      <c r="E199" s="60">
        <v>0</v>
      </c>
      <c r="F199" s="60">
        <v>0</v>
      </c>
      <c r="G199" s="60">
        <v>0</v>
      </c>
      <c r="H199" s="60">
        <v>0</v>
      </c>
      <c r="I199" s="60">
        <v>0</v>
      </c>
      <c r="J199" s="60">
        <v>0</v>
      </c>
      <c r="K199" s="60">
        <v>0</v>
      </c>
      <c r="L199" s="60">
        <v>0</v>
      </c>
      <c r="M199" s="60">
        <v>0</v>
      </c>
      <c r="N199" s="60">
        <v>0</v>
      </c>
      <c r="O199" s="60">
        <v>0</v>
      </c>
      <c r="P199" s="60">
        <v>0</v>
      </c>
      <c r="Q199" s="60">
        <v>0</v>
      </c>
      <c r="R199" s="60">
        <v>0</v>
      </c>
      <c r="S199" s="60">
        <v>0</v>
      </c>
      <c r="T199" s="60">
        <v>0</v>
      </c>
      <c r="U199" s="60">
        <v>0</v>
      </c>
      <c r="V199" s="60">
        <v>0</v>
      </c>
      <c r="W199" s="60">
        <v>0</v>
      </c>
      <c r="X199" s="60">
        <v>0</v>
      </c>
      <c r="Y199" s="60">
        <v>0</v>
      </c>
      <c r="Z199" s="60">
        <v>0</v>
      </c>
      <c r="AA199" s="60">
        <v>0</v>
      </c>
      <c r="AB199" s="60">
        <v>0</v>
      </c>
      <c r="AC199" s="60">
        <v>0</v>
      </c>
      <c r="AD199" s="60">
        <v>0</v>
      </c>
      <c r="AE199" s="60">
        <v>0</v>
      </c>
      <c r="AF199" s="60">
        <v>0</v>
      </c>
      <c r="AG199" s="60">
        <v>0</v>
      </c>
      <c r="AH199" s="60">
        <v>0</v>
      </c>
      <c r="AI199" s="60">
        <v>0</v>
      </c>
      <c r="AJ199" s="60">
        <v>0</v>
      </c>
      <c r="AK199" s="60">
        <v>0</v>
      </c>
      <c r="AL199" s="60">
        <v>0</v>
      </c>
      <c r="AM199" s="60">
        <v>0</v>
      </c>
    </row>
    <row r="200" spans="1:39" ht="15.75" hidden="1" outlineLevel="1" thickBot="1">
      <c r="A200" s="59" t="s">
        <v>94</v>
      </c>
      <c r="B200" s="60">
        <v>0</v>
      </c>
      <c r="C200" s="60">
        <v>0</v>
      </c>
      <c r="D200" s="60">
        <v>0</v>
      </c>
      <c r="E200" s="60">
        <v>0</v>
      </c>
      <c r="F200" s="60">
        <v>0</v>
      </c>
      <c r="G200" s="60">
        <v>0</v>
      </c>
      <c r="H200" s="60">
        <v>0</v>
      </c>
      <c r="I200" s="60">
        <v>0</v>
      </c>
      <c r="J200" s="60">
        <v>0</v>
      </c>
      <c r="K200" s="60">
        <v>0</v>
      </c>
      <c r="L200" s="60">
        <v>0</v>
      </c>
      <c r="M200" s="60">
        <v>0</v>
      </c>
      <c r="N200" s="60">
        <v>0</v>
      </c>
      <c r="O200" s="60">
        <v>0</v>
      </c>
      <c r="P200" s="60">
        <v>0</v>
      </c>
      <c r="Q200" s="60">
        <v>0</v>
      </c>
      <c r="R200" s="60">
        <v>0</v>
      </c>
      <c r="S200" s="60">
        <v>0</v>
      </c>
      <c r="T200" s="60">
        <v>0</v>
      </c>
      <c r="U200" s="60">
        <v>0</v>
      </c>
      <c r="V200" s="60">
        <v>0</v>
      </c>
      <c r="W200" s="60">
        <v>0</v>
      </c>
      <c r="X200" s="60">
        <v>0</v>
      </c>
      <c r="Y200" s="60">
        <v>0</v>
      </c>
      <c r="Z200" s="60">
        <v>0</v>
      </c>
      <c r="AA200" s="60">
        <v>0</v>
      </c>
      <c r="AB200" s="60">
        <v>0</v>
      </c>
      <c r="AC200" s="60">
        <v>0</v>
      </c>
      <c r="AD200" s="60">
        <v>0</v>
      </c>
      <c r="AE200" s="60">
        <v>0</v>
      </c>
      <c r="AF200" s="60">
        <v>0</v>
      </c>
      <c r="AG200" s="60">
        <v>0</v>
      </c>
      <c r="AH200" s="60">
        <v>0</v>
      </c>
      <c r="AI200" s="60">
        <v>0</v>
      </c>
      <c r="AJ200" s="60">
        <v>0</v>
      </c>
      <c r="AK200" s="60">
        <v>0</v>
      </c>
      <c r="AL200" s="60">
        <v>0</v>
      </c>
      <c r="AM200" s="60">
        <v>0</v>
      </c>
    </row>
    <row r="201" spans="1:39" ht="15.75" hidden="1" outlineLevel="1" thickBot="1">
      <c r="A201" s="59" t="s">
        <v>95</v>
      </c>
      <c r="B201" s="60">
        <v>0</v>
      </c>
      <c r="C201" s="60">
        <v>0</v>
      </c>
      <c r="D201" s="60">
        <v>0</v>
      </c>
      <c r="E201" s="60">
        <v>0</v>
      </c>
      <c r="F201" s="60">
        <v>0</v>
      </c>
      <c r="G201" s="60">
        <v>0</v>
      </c>
      <c r="H201" s="60">
        <v>0</v>
      </c>
      <c r="I201" s="60">
        <v>0</v>
      </c>
      <c r="J201" s="60">
        <v>0</v>
      </c>
      <c r="K201" s="60">
        <v>0</v>
      </c>
      <c r="L201" s="60">
        <v>0</v>
      </c>
      <c r="M201" s="60">
        <v>0</v>
      </c>
      <c r="N201" s="60">
        <v>0</v>
      </c>
      <c r="O201" s="60">
        <v>0</v>
      </c>
      <c r="P201" s="60">
        <v>0</v>
      </c>
      <c r="Q201" s="60">
        <v>0</v>
      </c>
      <c r="R201" s="60">
        <v>0</v>
      </c>
      <c r="S201" s="60">
        <v>0</v>
      </c>
      <c r="T201" s="60">
        <v>0</v>
      </c>
      <c r="U201" s="60">
        <v>0</v>
      </c>
      <c r="V201" s="60">
        <v>0</v>
      </c>
      <c r="W201" s="60">
        <v>0</v>
      </c>
      <c r="X201" s="60">
        <v>0</v>
      </c>
      <c r="Y201" s="60">
        <v>0</v>
      </c>
      <c r="Z201" s="60">
        <v>0</v>
      </c>
      <c r="AA201" s="60">
        <v>0</v>
      </c>
      <c r="AB201" s="60">
        <v>0</v>
      </c>
      <c r="AC201" s="60">
        <v>0</v>
      </c>
      <c r="AD201" s="60">
        <v>0</v>
      </c>
      <c r="AE201" s="60">
        <v>0</v>
      </c>
      <c r="AF201" s="60">
        <v>0</v>
      </c>
      <c r="AG201" s="60">
        <v>0</v>
      </c>
      <c r="AH201" s="60">
        <v>0</v>
      </c>
      <c r="AI201" s="60">
        <v>0</v>
      </c>
      <c r="AJ201" s="60">
        <v>0</v>
      </c>
      <c r="AK201" s="60">
        <v>0</v>
      </c>
      <c r="AL201" s="60">
        <v>0</v>
      </c>
      <c r="AM201" s="60">
        <v>0</v>
      </c>
    </row>
    <row r="202" spans="1:39" ht="15.75" hidden="1" outlineLevel="1" thickBot="1">
      <c r="A202" s="59" t="s">
        <v>96</v>
      </c>
      <c r="B202" s="60">
        <v>0</v>
      </c>
      <c r="C202" s="60">
        <v>0</v>
      </c>
      <c r="D202" s="60">
        <v>0</v>
      </c>
      <c r="E202" s="60">
        <v>0</v>
      </c>
      <c r="F202" s="60">
        <v>0</v>
      </c>
      <c r="G202" s="60">
        <v>0</v>
      </c>
      <c r="H202" s="60">
        <v>0</v>
      </c>
      <c r="I202" s="60">
        <v>0</v>
      </c>
      <c r="J202" s="60">
        <v>0</v>
      </c>
      <c r="K202" s="60">
        <v>0</v>
      </c>
      <c r="L202" s="60">
        <v>0</v>
      </c>
      <c r="M202" s="60">
        <v>0</v>
      </c>
      <c r="N202" s="60">
        <v>0</v>
      </c>
      <c r="O202" s="60">
        <v>0</v>
      </c>
      <c r="P202" s="60">
        <v>0</v>
      </c>
      <c r="Q202" s="60">
        <v>0</v>
      </c>
      <c r="R202" s="60">
        <v>0</v>
      </c>
      <c r="S202" s="60">
        <v>0</v>
      </c>
      <c r="T202" s="60">
        <v>0</v>
      </c>
      <c r="U202" s="60">
        <v>0</v>
      </c>
      <c r="V202" s="60">
        <v>0</v>
      </c>
      <c r="W202" s="60">
        <v>0</v>
      </c>
      <c r="X202" s="60">
        <v>0</v>
      </c>
      <c r="Y202" s="60">
        <v>0</v>
      </c>
      <c r="Z202" s="60">
        <v>0</v>
      </c>
      <c r="AA202" s="60">
        <v>0</v>
      </c>
      <c r="AB202" s="60">
        <v>0</v>
      </c>
      <c r="AC202" s="60">
        <v>0</v>
      </c>
      <c r="AD202" s="60">
        <v>0</v>
      </c>
      <c r="AE202" s="60">
        <v>0</v>
      </c>
      <c r="AF202" s="60">
        <v>0</v>
      </c>
      <c r="AG202" s="60">
        <v>0</v>
      </c>
      <c r="AH202" s="60">
        <v>0</v>
      </c>
      <c r="AI202" s="60">
        <v>0</v>
      </c>
      <c r="AJ202" s="60">
        <v>0</v>
      </c>
      <c r="AK202" s="60">
        <v>0</v>
      </c>
      <c r="AL202" s="60">
        <v>0</v>
      </c>
      <c r="AM202" s="60">
        <v>0</v>
      </c>
    </row>
    <row r="203" spans="1:39" ht="15.75" hidden="1" outlineLevel="1" thickBot="1">
      <c r="A203" s="59" t="s">
        <v>97</v>
      </c>
      <c r="B203" s="60">
        <v>0</v>
      </c>
      <c r="C203" s="60">
        <v>0</v>
      </c>
      <c r="D203" s="60">
        <v>0</v>
      </c>
      <c r="E203" s="60">
        <v>0</v>
      </c>
      <c r="F203" s="60">
        <v>0</v>
      </c>
      <c r="G203" s="60">
        <v>0</v>
      </c>
      <c r="H203" s="60">
        <v>0</v>
      </c>
      <c r="I203" s="60">
        <v>0</v>
      </c>
      <c r="J203" s="60">
        <v>0</v>
      </c>
      <c r="K203" s="60">
        <v>0</v>
      </c>
      <c r="L203" s="60">
        <v>0</v>
      </c>
      <c r="M203" s="60">
        <v>0</v>
      </c>
      <c r="N203" s="60">
        <v>0</v>
      </c>
      <c r="O203" s="60">
        <v>0</v>
      </c>
      <c r="P203" s="60">
        <v>0</v>
      </c>
      <c r="Q203" s="60">
        <v>0</v>
      </c>
      <c r="R203" s="60">
        <v>0</v>
      </c>
      <c r="S203" s="60">
        <v>0</v>
      </c>
      <c r="T203" s="60">
        <v>0</v>
      </c>
      <c r="U203" s="60">
        <v>0</v>
      </c>
      <c r="V203" s="60">
        <v>0</v>
      </c>
      <c r="W203" s="60">
        <v>0</v>
      </c>
      <c r="X203" s="60">
        <v>0</v>
      </c>
      <c r="Y203" s="60">
        <v>0</v>
      </c>
      <c r="Z203" s="60">
        <v>0</v>
      </c>
      <c r="AA203" s="60">
        <v>0</v>
      </c>
      <c r="AB203" s="60">
        <v>0</v>
      </c>
      <c r="AC203" s="60">
        <v>0</v>
      </c>
      <c r="AD203" s="60">
        <v>0</v>
      </c>
      <c r="AE203" s="60">
        <v>0</v>
      </c>
      <c r="AF203" s="60">
        <v>0</v>
      </c>
      <c r="AG203" s="60">
        <v>0</v>
      </c>
      <c r="AH203" s="60">
        <v>0</v>
      </c>
      <c r="AI203" s="60">
        <v>0</v>
      </c>
      <c r="AJ203" s="60">
        <v>0</v>
      </c>
      <c r="AK203" s="60">
        <v>0</v>
      </c>
      <c r="AL203" s="60">
        <v>0</v>
      </c>
      <c r="AM203" s="60">
        <v>0</v>
      </c>
    </row>
    <row r="204" spans="1:39" ht="15.75" hidden="1" outlineLevel="1" thickBot="1">
      <c r="A204" s="59" t="s">
        <v>98</v>
      </c>
      <c r="B204" s="60">
        <v>0</v>
      </c>
      <c r="C204" s="60">
        <v>0</v>
      </c>
      <c r="D204" s="60">
        <v>0</v>
      </c>
      <c r="E204" s="60">
        <v>0</v>
      </c>
      <c r="F204" s="60">
        <v>0</v>
      </c>
      <c r="G204" s="60">
        <v>0</v>
      </c>
      <c r="H204" s="60">
        <v>0</v>
      </c>
      <c r="I204" s="60">
        <v>0</v>
      </c>
      <c r="J204" s="60">
        <v>0</v>
      </c>
      <c r="K204" s="60">
        <v>0</v>
      </c>
      <c r="L204" s="60">
        <v>0</v>
      </c>
      <c r="M204" s="60">
        <v>0</v>
      </c>
      <c r="N204" s="60">
        <v>0</v>
      </c>
      <c r="O204" s="60">
        <v>0</v>
      </c>
      <c r="P204" s="60">
        <v>0</v>
      </c>
      <c r="Q204" s="60">
        <v>0</v>
      </c>
      <c r="R204" s="60">
        <v>0</v>
      </c>
      <c r="S204" s="60">
        <v>0</v>
      </c>
      <c r="T204" s="60">
        <v>0</v>
      </c>
      <c r="U204" s="60">
        <v>0</v>
      </c>
      <c r="V204" s="60">
        <v>0</v>
      </c>
      <c r="W204" s="60">
        <v>0</v>
      </c>
      <c r="X204" s="60">
        <v>0</v>
      </c>
      <c r="Y204" s="60">
        <v>0</v>
      </c>
      <c r="Z204" s="60">
        <v>0</v>
      </c>
      <c r="AA204" s="60">
        <v>0</v>
      </c>
      <c r="AB204" s="60">
        <v>0</v>
      </c>
      <c r="AC204" s="60">
        <v>0</v>
      </c>
      <c r="AD204" s="60">
        <v>0</v>
      </c>
      <c r="AE204" s="60">
        <v>0</v>
      </c>
      <c r="AF204" s="60">
        <v>0</v>
      </c>
      <c r="AG204" s="60">
        <v>0</v>
      </c>
      <c r="AH204" s="60">
        <v>0</v>
      </c>
      <c r="AI204" s="60">
        <v>0</v>
      </c>
      <c r="AJ204" s="60">
        <v>0</v>
      </c>
      <c r="AK204" s="60">
        <v>0</v>
      </c>
      <c r="AL204" s="60">
        <v>0</v>
      </c>
      <c r="AM204" s="60">
        <v>0</v>
      </c>
    </row>
    <row r="205" spans="1:39" ht="15.75" hidden="1" outlineLevel="1" thickBot="1">
      <c r="A205" s="59" t="s">
        <v>99</v>
      </c>
      <c r="B205" s="60">
        <v>0</v>
      </c>
      <c r="C205" s="60">
        <v>0</v>
      </c>
      <c r="D205" s="60">
        <v>0</v>
      </c>
      <c r="E205" s="60">
        <v>0</v>
      </c>
      <c r="F205" s="60">
        <v>0</v>
      </c>
      <c r="G205" s="60">
        <v>0</v>
      </c>
      <c r="H205" s="60">
        <v>0</v>
      </c>
      <c r="I205" s="60">
        <v>0</v>
      </c>
      <c r="J205" s="60">
        <v>0</v>
      </c>
      <c r="K205" s="60">
        <v>0</v>
      </c>
      <c r="L205" s="60">
        <v>0</v>
      </c>
      <c r="M205" s="60">
        <v>0</v>
      </c>
      <c r="N205" s="60">
        <v>0</v>
      </c>
      <c r="O205" s="60">
        <v>0</v>
      </c>
      <c r="P205" s="60">
        <v>0</v>
      </c>
      <c r="Q205" s="60">
        <v>0</v>
      </c>
      <c r="R205" s="60">
        <v>0</v>
      </c>
      <c r="S205" s="60">
        <v>0</v>
      </c>
      <c r="T205" s="60">
        <v>0</v>
      </c>
      <c r="U205" s="60">
        <v>0</v>
      </c>
      <c r="V205" s="60">
        <v>0</v>
      </c>
      <c r="W205" s="60">
        <v>0</v>
      </c>
      <c r="X205" s="60">
        <v>0</v>
      </c>
      <c r="Y205" s="60">
        <v>0</v>
      </c>
      <c r="Z205" s="60">
        <v>0</v>
      </c>
      <c r="AA205" s="60">
        <v>0</v>
      </c>
      <c r="AB205" s="60">
        <v>0</v>
      </c>
      <c r="AC205" s="60">
        <v>0</v>
      </c>
      <c r="AD205" s="60">
        <v>0</v>
      </c>
      <c r="AE205" s="60">
        <v>0</v>
      </c>
      <c r="AF205" s="60">
        <v>0</v>
      </c>
      <c r="AG205" s="60">
        <v>0</v>
      </c>
      <c r="AH205" s="60">
        <v>0</v>
      </c>
      <c r="AI205" s="60">
        <v>0</v>
      </c>
      <c r="AJ205" s="60">
        <v>0</v>
      </c>
      <c r="AK205" s="60">
        <v>0</v>
      </c>
      <c r="AL205" s="60">
        <v>0</v>
      </c>
      <c r="AM205" s="60">
        <v>0</v>
      </c>
    </row>
    <row r="206" spans="1:39" ht="15.75" hidden="1" outlineLevel="1" thickBot="1">
      <c r="A206" s="59" t="s">
        <v>100</v>
      </c>
      <c r="B206" s="60">
        <v>0</v>
      </c>
      <c r="C206" s="60">
        <v>0</v>
      </c>
      <c r="D206" s="60">
        <v>0</v>
      </c>
      <c r="E206" s="60">
        <v>0</v>
      </c>
      <c r="F206" s="60">
        <v>0</v>
      </c>
      <c r="G206" s="60">
        <v>0</v>
      </c>
      <c r="H206" s="60">
        <v>0</v>
      </c>
      <c r="I206" s="60">
        <v>0</v>
      </c>
      <c r="J206" s="60">
        <v>0</v>
      </c>
      <c r="K206" s="60">
        <v>0</v>
      </c>
      <c r="L206" s="60">
        <v>0</v>
      </c>
      <c r="M206" s="60">
        <v>0</v>
      </c>
      <c r="N206" s="60">
        <v>0</v>
      </c>
      <c r="O206" s="60">
        <v>0</v>
      </c>
      <c r="P206" s="60">
        <v>0</v>
      </c>
      <c r="Q206" s="60">
        <v>0</v>
      </c>
      <c r="R206" s="60">
        <v>0</v>
      </c>
      <c r="S206" s="60">
        <v>0</v>
      </c>
      <c r="T206" s="60">
        <v>0</v>
      </c>
      <c r="U206" s="60">
        <v>0</v>
      </c>
      <c r="V206" s="60">
        <v>0</v>
      </c>
      <c r="W206" s="60">
        <v>0</v>
      </c>
      <c r="X206" s="60">
        <v>0</v>
      </c>
      <c r="Y206" s="60">
        <v>0</v>
      </c>
      <c r="Z206" s="60">
        <v>0</v>
      </c>
      <c r="AA206" s="60">
        <v>0</v>
      </c>
      <c r="AB206" s="60">
        <v>0</v>
      </c>
      <c r="AC206" s="60">
        <v>0</v>
      </c>
      <c r="AD206" s="60">
        <v>0</v>
      </c>
      <c r="AE206" s="60">
        <v>0</v>
      </c>
      <c r="AF206" s="60">
        <v>0</v>
      </c>
      <c r="AG206" s="60">
        <v>0</v>
      </c>
      <c r="AH206" s="60">
        <v>0</v>
      </c>
      <c r="AI206" s="60">
        <v>0</v>
      </c>
      <c r="AJ206" s="60">
        <v>0</v>
      </c>
      <c r="AK206" s="60">
        <v>0</v>
      </c>
      <c r="AL206" s="60">
        <v>0</v>
      </c>
      <c r="AM206" s="60">
        <v>0</v>
      </c>
    </row>
    <row r="207" spans="1:39" ht="15.75" hidden="1" outlineLevel="1" thickBot="1">
      <c r="A207" s="59" t="s">
        <v>101</v>
      </c>
      <c r="B207" s="60">
        <v>0</v>
      </c>
      <c r="C207" s="60">
        <v>0</v>
      </c>
      <c r="D207" s="60">
        <v>0</v>
      </c>
      <c r="E207" s="60">
        <v>0</v>
      </c>
      <c r="F207" s="60">
        <v>0</v>
      </c>
      <c r="G207" s="60">
        <v>0</v>
      </c>
      <c r="H207" s="60">
        <v>0</v>
      </c>
      <c r="I207" s="60">
        <v>0</v>
      </c>
      <c r="J207" s="60">
        <v>0</v>
      </c>
      <c r="K207" s="60">
        <v>0</v>
      </c>
      <c r="L207" s="60">
        <v>0</v>
      </c>
      <c r="M207" s="60">
        <v>0</v>
      </c>
      <c r="N207" s="60">
        <v>0</v>
      </c>
      <c r="O207" s="60">
        <v>0</v>
      </c>
      <c r="P207" s="60">
        <v>0</v>
      </c>
      <c r="Q207" s="60">
        <v>0</v>
      </c>
      <c r="R207" s="60">
        <v>0</v>
      </c>
      <c r="S207" s="60">
        <v>0</v>
      </c>
      <c r="T207" s="60">
        <v>0</v>
      </c>
      <c r="U207" s="60">
        <v>0</v>
      </c>
      <c r="V207" s="60">
        <v>0</v>
      </c>
      <c r="W207" s="60">
        <v>0</v>
      </c>
      <c r="X207" s="60">
        <v>0</v>
      </c>
      <c r="Y207" s="60">
        <v>0</v>
      </c>
      <c r="Z207" s="60">
        <v>0</v>
      </c>
      <c r="AA207" s="60">
        <v>0</v>
      </c>
      <c r="AB207" s="60">
        <v>0</v>
      </c>
      <c r="AC207" s="60">
        <v>0</v>
      </c>
      <c r="AD207" s="60">
        <v>0</v>
      </c>
      <c r="AE207" s="60">
        <v>0</v>
      </c>
      <c r="AF207" s="60">
        <v>0</v>
      </c>
      <c r="AG207" s="60">
        <v>0</v>
      </c>
      <c r="AH207" s="60">
        <v>0</v>
      </c>
      <c r="AI207" s="60">
        <v>0</v>
      </c>
      <c r="AJ207" s="60">
        <v>0</v>
      </c>
      <c r="AK207" s="60">
        <v>0</v>
      </c>
      <c r="AL207" s="60">
        <v>0</v>
      </c>
      <c r="AM207" s="60">
        <v>0</v>
      </c>
    </row>
    <row r="208" spans="1:39" ht="15.75" hidden="1" outlineLevel="1" thickBot="1">
      <c r="A208" s="59" t="s">
        <v>102</v>
      </c>
      <c r="B208" s="60">
        <v>0.41</v>
      </c>
      <c r="C208" s="60">
        <v>0.42</v>
      </c>
      <c r="D208" s="60">
        <v>0.43</v>
      </c>
      <c r="E208" s="60">
        <v>0.45</v>
      </c>
      <c r="F208" s="60">
        <v>0.46</v>
      </c>
      <c r="G208" s="60">
        <v>0.46</v>
      </c>
      <c r="H208" s="60">
        <v>0.48</v>
      </c>
      <c r="I208" s="60">
        <v>0.46</v>
      </c>
      <c r="J208" s="60">
        <v>0.38</v>
      </c>
      <c r="K208" s="60">
        <v>0.4</v>
      </c>
      <c r="L208" s="60">
        <v>0.41</v>
      </c>
      <c r="M208" s="60">
        <v>0.41</v>
      </c>
      <c r="N208" s="60">
        <v>0.41</v>
      </c>
      <c r="O208" s="60">
        <v>0.41</v>
      </c>
      <c r="P208" s="60">
        <v>0.41</v>
      </c>
      <c r="Q208" s="60">
        <v>0.42</v>
      </c>
      <c r="R208" s="60">
        <v>0.42</v>
      </c>
      <c r="S208" s="60">
        <v>0.42</v>
      </c>
      <c r="T208" s="60">
        <v>0.42</v>
      </c>
      <c r="U208" s="60">
        <v>0.42</v>
      </c>
      <c r="V208" s="60">
        <v>0.43</v>
      </c>
      <c r="W208" s="60">
        <v>0.43</v>
      </c>
      <c r="X208" s="60">
        <v>0.43</v>
      </c>
      <c r="Y208" s="60">
        <v>0.43</v>
      </c>
      <c r="Z208" s="60">
        <v>0.44</v>
      </c>
      <c r="AA208" s="60">
        <v>0.44</v>
      </c>
      <c r="AB208" s="60">
        <v>0.44</v>
      </c>
      <c r="AC208" s="60">
        <v>0.44</v>
      </c>
      <c r="AD208" s="60">
        <v>0.44</v>
      </c>
      <c r="AE208" s="60">
        <v>0.45</v>
      </c>
      <c r="AF208" s="60">
        <v>0.45</v>
      </c>
      <c r="AG208" s="60">
        <v>0.45</v>
      </c>
      <c r="AH208" s="60">
        <v>0.45</v>
      </c>
      <c r="AI208" s="60">
        <v>0.45</v>
      </c>
      <c r="AJ208" s="60">
        <v>0.46</v>
      </c>
      <c r="AK208" s="60">
        <v>0.46</v>
      </c>
      <c r="AL208" s="60">
        <v>0.46</v>
      </c>
      <c r="AM208" s="60">
        <v>0.46</v>
      </c>
    </row>
    <row r="209" spans="1:39" ht="15.75" hidden="1" outlineLevel="1" thickBot="1">
      <c r="A209" s="59" t="s">
        <v>103</v>
      </c>
      <c r="B209" s="60">
        <v>0</v>
      </c>
      <c r="C209" s="60">
        <v>0</v>
      </c>
      <c r="D209" s="60">
        <v>0</v>
      </c>
      <c r="E209" s="60">
        <v>0</v>
      </c>
      <c r="F209" s="60">
        <v>0</v>
      </c>
      <c r="G209" s="60">
        <v>0</v>
      </c>
      <c r="H209" s="60">
        <v>0</v>
      </c>
      <c r="I209" s="60">
        <v>0</v>
      </c>
      <c r="J209" s="60">
        <v>0</v>
      </c>
      <c r="K209" s="60">
        <v>0</v>
      </c>
      <c r="L209" s="60">
        <v>0</v>
      </c>
      <c r="M209" s="60">
        <v>0</v>
      </c>
      <c r="N209" s="60">
        <v>0</v>
      </c>
      <c r="O209" s="60">
        <v>0</v>
      </c>
      <c r="P209" s="60">
        <v>0</v>
      </c>
      <c r="Q209" s="60">
        <v>0</v>
      </c>
      <c r="R209" s="60">
        <v>0</v>
      </c>
      <c r="S209" s="60">
        <v>0</v>
      </c>
      <c r="T209" s="60">
        <v>0</v>
      </c>
      <c r="U209" s="60">
        <v>0</v>
      </c>
      <c r="V209" s="60">
        <v>0</v>
      </c>
      <c r="W209" s="60">
        <v>0</v>
      </c>
      <c r="X209" s="60">
        <v>0</v>
      </c>
      <c r="Y209" s="60">
        <v>0</v>
      </c>
      <c r="Z209" s="60">
        <v>0</v>
      </c>
      <c r="AA209" s="60">
        <v>0</v>
      </c>
      <c r="AB209" s="60">
        <v>0</v>
      </c>
      <c r="AC209" s="60">
        <v>0</v>
      </c>
      <c r="AD209" s="60">
        <v>0</v>
      </c>
      <c r="AE209" s="60">
        <v>0</v>
      </c>
      <c r="AF209" s="60">
        <v>0</v>
      </c>
      <c r="AG209" s="60">
        <v>0</v>
      </c>
      <c r="AH209" s="60">
        <v>0</v>
      </c>
      <c r="AI209" s="60">
        <v>0</v>
      </c>
      <c r="AJ209" s="60">
        <v>0</v>
      </c>
      <c r="AK209" s="60">
        <v>0</v>
      </c>
      <c r="AL209" s="60">
        <v>0</v>
      </c>
      <c r="AM209" s="60">
        <v>0</v>
      </c>
    </row>
    <row r="210" spans="1:39" ht="15.75" hidden="1" outlineLevel="1" thickBot="1">
      <c r="A210" s="59" t="s">
        <v>44</v>
      </c>
      <c r="B210" s="60">
        <v>0</v>
      </c>
      <c r="C210" s="60">
        <v>0</v>
      </c>
      <c r="D210" s="60">
        <v>0</v>
      </c>
      <c r="E210" s="60">
        <v>0</v>
      </c>
      <c r="F210" s="60">
        <v>0</v>
      </c>
      <c r="G210" s="60">
        <v>0</v>
      </c>
      <c r="H210" s="60">
        <v>0</v>
      </c>
      <c r="I210" s="60">
        <v>0</v>
      </c>
      <c r="J210" s="60">
        <v>0</v>
      </c>
      <c r="K210" s="60">
        <v>0</v>
      </c>
      <c r="L210" s="60">
        <v>0</v>
      </c>
      <c r="M210" s="60">
        <v>0</v>
      </c>
      <c r="N210" s="60">
        <v>0</v>
      </c>
      <c r="O210" s="60">
        <v>0</v>
      </c>
      <c r="P210" s="60">
        <v>0</v>
      </c>
      <c r="Q210" s="60">
        <v>0</v>
      </c>
      <c r="R210" s="60">
        <v>0</v>
      </c>
      <c r="S210" s="60">
        <v>0</v>
      </c>
      <c r="T210" s="60">
        <v>0</v>
      </c>
      <c r="U210" s="60">
        <v>0</v>
      </c>
      <c r="V210" s="60">
        <v>0</v>
      </c>
      <c r="W210" s="60">
        <v>0</v>
      </c>
      <c r="X210" s="60">
        <v>0</v>
      </c>
      <c r="Y210" s="60">
        <v>0</v>
      </c>
      <c r="Z210" s="60">
        <v>0</v>
      </c>
      <c r="AA210" s="60">
        <v>0</v>
      </c>
      <c r="AB210" s="60">
        <v>0</v>
      </c>
      <c r="AC210" s="60">
        <v>0</v>
      </c>
      <c r="AD210" s="60">
        <v>0</v>
      </c>
      <c r="AE210" s="60">
        <v>0</v>
      </c>
      <c r="AF210" s="60">
        <v>0</v>
      </c>
      <c r="AG210" s="60">
        <v>0</v>
      </c>
      <c r="AH210" s="60">
        <v>0</v>
      </c>
      <c r="AI210" s="60">
        <v>0</v>
      </c>
      <c r="AJ210" s="60">
        <v>0</v>
      </c>
      <c r="AK210" s="60">
        <v>0</v>
      </c>
      <c r="AL210" s="60">
        <v>0</v>
      </c>
      <c r="AM210" s="60">
        <v>0</v>
      </c>
    </row>
    <row r="211" spans="1:39" ht="15.75" hidden="1" outlineLevel="1" thickBot="1">
      <c r="A211" s="59" t="s">
        <v>45</v>
      </c>
      <c r="B211" s="60">
        <v>1.29</v>
      </c>
      <c r="C211" s="60">
        <v>1.33</v>
      </c>
      <c r="D211" s="60">
        <v>1.37</v>
      </c>
      <c r="E211" s="60">
        <v>1.43</v>
      </c>
      <c r="F211" s="60">
        <v>1.45</v>
      </c>
      <c r="G211" s="60">
        <v>1.48</v>
      </c>
      <c r="H211" s="60">
        <v>1.64</v>
      </c>
      <c r="I211" s="60">
        <v>1.36</v>
      </c>
      <c r="J211" s="60">
        <v>1.27</v>
      </c>
      <c r="K211" s="60">
        <v>1.27</v>
      </c>
      <c r="L211" s="60">
        <v>1.27</v>
      </c>
      <c r="M211" s="60">
        <v>1.27</v>
      </c>
      <c r="N211" s="60">
        <v>1.26</v>
      </c>
      <c r="O211" s="60">
        <v>1.26</v>
      </c>
      <c r="P211" s="60">
        <v>1.25</v>
      </c>
      <c r="Q211" s="60">
        <v>1.25</v>
      </c>
      <c r="R211" s="60">
        <v>1.25</v>
      </c>
      <c r="S211" s="60">
        <v>1.24</v>
      </c>
      <c r="T211" s="60">
        <v>1.24</v>
      </c>
      <c r="U211" s="60">
        <v>1.24</v>
      </c>
      <c r="V211" s="60">
        <v>1.23</v>
      </c>
      <c r="W211" s="60">
        <v>1.23</v>
      </c>
      <c r="X211" s="60">
        <v>1.23</v>
      </c>
      <c r="Y211" s="60">
        <v>1.22</v>
      </c>
      <c r="Z211" s="60">
        <v>1.22</v>
      </c>
      <c r="AA211" s="60">
        <v>1.21</v>
      </c>
      <c r="AB211" s="60">
        <v>1.21</v>
      </c>
      <c r="AC211" s="60">
        <v>1.21</v>
      </c>
      <c r="AD211" s="60">
        <v>1.2</v>
      </c>
      <c r="AE211" s="60">
        <v>1.2</v>
      </c>
      <c r="AF211" s="60">
        <v>1.2</v>
      </c>
      <c r="AG211" s="60">
        <v>1.19</v>
      </c>
      <c r="AH211" s="60">
        <v>1.19</v>
      </c>
      <c r="AI211" s="60">
        <v>1.19</v>
      </c>
      <c r="AJ211" s="60">
        <v>1.18</v>
      </c>
      <c r="AK211" s="60">
        <v>1.18</v>
      </c>
      <c r="AL211" s="60">
        <v>1.17</v>
      </c>
      <c r="AM211" s="60">
        <v>1.17</v>
      </c>
    </row>
    <row r="212" spans="1:39" ht="15.75" hidden="1" outlineLevel="1" thickBot="1">
      <c r="A212" s="59" t="s">
        <v>104</v>
      </c>
      <c r="B212" s="60">
        <v>5.15</v>
      </c>
      <c r="C212" s="60">
        <v>1.07</v>
      </c>
      <c r="D212" s="60">
        <v>5.25</v>
      </c>
      <c r="E212" s="60">
        <v>10.199999999999999</v>
      </c>
      <c r="F212" s="60">
        <v>8.7899999999999991</v>
      </c>
      <c r="G212" s="60">
        <v>2.64</v>
      </c>
      <c r="H212" s="60">
        <v>4.12</v>
      </c>
      <c r="I212" s="60">
        <v>4.13</v>
      </c>
      <c r="J212" s="60">
        <v>5.0999999999999996</v>
      </c>
      <c r="K212" s="60">
        <v>4.93</v>
      </c>
      <c r="L212" s="60">
        <v>4.76</v>
      </c>
      <c r="M212" s="60">
        <v>4.58</v>
      </c>
      <c r="N212" s="60">
        <v>4.41</v>
      </c>
      <c r="O212" s="60">
        <v>4.2300000000000004</v>
      </c>
      <c r="P212" s="60">
        <v>4.05</v>
      </c>
      <c r="Q212" s="60">
        <v>3.88</v>
      </c>
      <c r="R212" s="60">
        <v>3.7</v>
      </c>
      <c r="S212" s="60">
        <v>3.52</v>
      </c>
      <c r="T212" s="60">
        <v>3.35</v>
      </c>
      <c r="U212" s="60">
        <v>3.17</v>
      </c>
      <c r="V212" s="60">
        <v>3</v>
      </c>
      <c r="W212" s="60">
        <v>2.82</v>
      </c>
      <c r="X212" s="60">
        <v>2.64</v>
      </c>
      <c r="Y212" s="60">
        <v>2.4700000000000002</v>
      </c>
      <c r="Z212" s="60">
        <v>2.29</v>
      </c>
      <c r="AA212" s="60">
        <v>2.11</v>
      </c>
      <c r="AB212" s="60">
        <v>1.94</v>
      </c>
      <c r="AC212" s="60">
        <v>1.76</v>
      </c>
      <c r="AD212" s="60">
        <v>1.59</v>
      </c>
      <c r="AE212" s="60">
        <v>1.41</v>
      </c>
      <c r="AF212" s="60">
        <v>1.23</v>
      </c>
      <c r="AG212" s="60">
        <v>1.06</v>
      </c>
      <c r="AH212" s="60">
        <v>0.88</v>
      </c>
      <c r="AI212" s="60">
        <v>0.7</v>
      </c>
      <c r="AJ212" s="60">
        <v>0.53</v>
      </c>
      <c r="AK212" s="60">
        <v>0.35</v>
      </c>
      <c r="AL212" s="60">
        <v>0.18</v>
      </c>
      <c r="AM212" s="60">
        <v>0</v>
      </c>
    </row>
    <row r="213" spans="1:39" ht="15.75" hidden="1" outlineLevel="1" thickBot="1">
      <c r="A213" s="59" t="s">
        <v>105</v>
      </c>
      <c r="B213" s="60">
        <v>0</v>
      </c>
      <c r="C213" s="60">
        <v>0</v>
      </c>
      <c r="D213" s="60">
        <v>0</v>
      </c>
      <c r="E213" s="60">
        <v>0</v>
      </c>
      <c r="F213" s="60">
        <v>0</v>
      </c>
      <c r="G213" s="60">
        <v>0</v>
      </c>
      <c r="H213" s="60">
        <v>0</v>
      </c>
      <c r="I213" s="60">
        <v>0</v>
      </c>
      <c r="J213" s="60">
        <v>0</v>
      </c>
      <c r="K213" s="60">
        <v>0</v>
      </c>
      <c r="L213" s="60">
        <v>0</v>
      </c>
      <c r="M213" s="60">
        <v>0</v>
      </c>
      <c r="N213" s="60">
        <v>0</v>
      </c>
      <c r="O213" s="60">
        <v>0</v>
      </c>
      <c r="P213" s="60">
        <v>0</v>
      </c>
      <c r="Q213" s="60">
        <v>0</v>
      </c>
      <c r="R213" s="60">
        <v>0</v>
      </c>
      <c r="S213" s="60">
        <v>0</v>
      </c>
      <c r="T213" s="60">
        <v>0</v>
      </c>
      <c r="U213" s="60">
        <v>0</v>
      </c>
      <c r="V213" s="60">
        <v>0</v>
      </c>
      <c r="W213" s="60">
        <v>0</v>
      </c>
      <c r="X213" s="60">
        <v>0</v>
      </c>
      <c r="Y213" s="60">
        <v>0</v>
      </c>
      <c r="Z213" s="60">
        <v>0</v>
      </c>
      <c r="AA213" s="60">
        <v>0</v>
      </c>
      <c r="AB213" s="60">
        <v>0</v>
      </c>
      <c r="AC213" s="60">
        <v>0</v>
      </c>
      <c r="AD213" s="60">
        <v>0</v>
      </c>
      <c r="AE213" s="60">
        <v>0</v>
      </c>
      <c r="AF213" s="60">
        <v>0</v>
      </c>
      <c r="AG213" s="60">
        <v>0</v>
      </c>
      <c r="AH213" s="60">
        <v>0</v>
      </c>
      <c r="AI213" s="60">
        <v>0</v>
      </c>
      <c r="AJ213" s="60">
        <v>0</v>
      </c>
      <c r="AK213" s="60">
        <v>0</v>
      </c>
      <c r="AL213" s="60">
        <v>0</v>
      </c>
      <c r="AM213" s="60">
        <v>0</v>
      </c>
    </row>
    <row r="214" spans="1:39" ht="15.75" hidden="1" outlineLevel="1" thickBot="1">
      <c r="A214" s="59" t="s">
        <v>106</v>
      </c>
      <c r="B214" s="60">
        <v>32.659999999999997</v>
      </c>
      <c r="C214" s="60">
        <v>30.97</v>
      </c>
      <c r="D214" s="60">
        <v>31.97</v>
      </c>
      <c r="E214" s="60">
        <v>35.42</v>
      </c>
      <c r="F214" s="60">
        <v>33.950000000000003</v>
      </c>
      <c r="G214" s="60">
        <v>35.22</v>
      </c>
      <c r="H214" s="60">
        <v>36.43</v>
      </c>
      <c r="I214" s="60">
        <v>31.57</v>
      </c>
      <c r="J214" s="60">
        <v>38.69</v>
      </c>
      <c r="K214" s="60">
        <v>39.29</v>
      </c>
      <c r="L214" s="60">
        <v>39.659999999999997</v>
      </c>
      <c r="M214" s="60">
        <v>40.03</v>
      </c>
      <c r="N214" s="60">
        <v>40.409999999999997</v>
      </c>
      <c r="O214" s="60">
        <v>40.78</v>
      </c>
      <c r="P214" s="60">
        <v>41.15</v>
      </c>
      <c r="Q214" s="60">
        <v>41.52</v>
      </c>
      <c r="R214" s="60">
        <v>41.89</v>
      </c>
      <c r="S214" s="60">
        <v>42.26</v>
      </c>
      <c r="T214" s="60">
        <v>42.64</v>
      </c>
      <c r="U214" s="60">
        <v>43.01</v>
      </c>
      <c r="V214" s="60">
        <v>43.38</v>
      </c>
      <c r="W214" s="60">
        <v>43.55</v>
      </c>
      <c r="X214" s="60">
        <v>43.44</v>
      </c>
      <c r="Y214" s="60">
        <v>43.33</v>
      </c>
      <c r="Z214" s="60">
        <v>43.22</v>
      </c>
      <c r="AA214" s="60">
        <v>43.11</v>
      </c>
      <c r="AB214" s="60">
        <v>43</v>
      </c>
      <c r="AC214" s="60">
        <v>42.89</v>
      </c>
      <c r="AD214" s="60">
        <v>42.78</v>
      </c>
      <c r="AE214" s="60">
        <v>42.67</v>
      </c>
      <c r="AF214" s="60">
        <v>42.56</v>
      </c>
      <c r="AG214" s="60">
        <v>42.45</v>
      </c>
      <c r="AH214" s="60">
        <v>42.34</v>
      </c>
      <c r="AI214" s="60">
        <v>42.23</v>
      </c>
      <c r="AJ214" s="60">
        <v>42.12</v>
      </c>
      <c r="AK214" s="60">
        <v>42.01</v>
      </c>
      <c r="AL214" s="60">
        <v>41.9</v>
      </c>
      <c r="AM214" s="60">
        <v>41.79</v>
      </c>
    </row>
    <row r="215" spans="1:39" ht="15.75" hidden="1" outlineLevel="1" thickBot="1">
      <c r="A215" s="59" t="s">
        <v>46</v>
      </c>
      <c r="B215" s="60">
        <v>10.3</v>
      </c>
      <c r="C215" s="60">
        <v>10.96</v>
      </c>
      <c r="D215" s="60">
        <v>10.9</v>
      </c>
      <c r="E215" s="60">
        <v>11.93</v>
      </c>
      <c r="F215" s="60">
        <v>11.58</v>
      </c>
      <c r="G215" s="60">
        <v>11.85</v>
      </c>
      <c r="H215" s="60">
        <v>12.28</v>
      </c>
      <c r="I215" s="60">
        <v>11.6</v>
      </c>
      <c r="J215" s="60">
        <v>12.25</v>
      </c>
      <c r="K215" s="60">
        <v>16.84</v>
      </c>
      <c r="L215" s="60">
        <v>17.82</v>
      </c>
      <c r="M215" s="60">
        <v>18.79</v>
      </c>
      <c r="N215" s="60">
        <v>19.77</v>
      </c>
      <c r="O215" s="60">
        <v>20.74</v>
      </c>
      <c r="P215" s="60">
        <v>21.72</v>
      </c>
      <c r="Q215" s="60">
        <v>22.69</v>
      </c>
      <c r="R215" s="60">
        <v>23.67</v>
      </c>
      <c r="S215" s="60">
        <v>24.65</v>
      </c>
      <c r="T215" s="60">
        <v>25.62</v>
      </c>
      <c r="U215" s="60">
        <v>26.6</v>
      </c>
      <c r="V215" s="60">
        <v>27.57</v>
      </c>
      <c r="W215" s="60">
        <v>28.76</v>
      </c>
      <c r="X215" s="60">
        <v>30.21</v>
      </c>
      <c r="Y215" s="60">
        <v>31.67</v>
      </c>
      <c r="Z215" s="60">
        <v>33.130000000000003</v>
      </c>
      <c r="AA215" s="60">
        <v>34.58</v>
      </c>
      <c r="AB215" s="60">
        <v>36.04</v>
      </c>
      <c r="AC215" s="60">
        <v>37.5</v>
      </c>
      <c r="AD215" s="60">
        <v>38.96</v>
      </c>
      <c r="AE215" s="60">
        <v>40.409999999999997</v>
      </c>
      <c r="AF215" s="60">
        <v>41.87</v>
      </c>
      <c r="AG215" s="60">
        <v>43.33</v>
      </c>
      <c r="AH215" s="60">
        <v>44.79</v>
      </c>
      <c r="AI215" s="60">
        <v>46.24</v>
      </c>
      <c r="AJ215" s="60">
        <v>47.7</v>
      </c>
      <c r="AK215" s="60">
        <v>49.16</v>
      </c>
      <c r="AL215" s="60">
        <v>50.62</v>
      </c>
      <c r="AM215" s="60">
        <v>52.07</v>
      </c>
    </row>
    <row r="216" spans="1:39" ht="15.75" hidden="1" outlineLevel="1" thickBot="1">
      <c r="A216" s="59" t="s">
        <v>107</v>
      </c>
      <c r="B216" s="60">
        <v>0</v>
      </c>
      <c r="C216" s="60">
        <v>0</v>
      </c>
      <c r="D216" s="60">
        <v>0</v>
      </c>
      <c r="E216" s="60">
        <v>0</v>
      </c>
      <c r="F216" s="60">
        <v>0</v>
      </c>
      <c r="G216" s="60">
        <v>0</v>
      </c>
      <c r="H216" s="60">
        <v>0</v>
      </c>
      <c r="I216" s="60">
        <v>0</v>
      </c>
      <c r="J216" s="60">
        <v>0</v>
      </c>
      <c r="K216" s="60">
        <v>0</v>
      </c>
      <c r="L216" s="60">
        <v>0</v>
      </c>
      <c r="M216" s="60">
        <v>0</v>
      </c>
      <c r="N216" s="60">
        <v>0</v>
      </c>
      <c r="O216" s="60">
        <v>0</v>
      </c>
      <c r="P216" s="60">
        <v>0</v>
      </c>
      <c r="Q216" s="60">
        <v>0</v>
      </c>
      <c r="R216" s="60">
        <v>0</v>
      </c>
      <c r="S216" s="60">
        <v>0</v>
      </c>
      <c r="T216" s="60">
        <v>0</v>
      </c>
      <c r="U216" s="60">
        <v>0</v>
      </c>
      <c r="V216" s="60">
        <v>0</v>
      </c>
      <c r="W216" s="60">
        <v>0</v>
      </c>
      <c r="X216" s="60">
        <v>0</v>
      </c>
      <c r="Y216" s="60">
        <v>0</v>
      </c>
      <c r="Z216" s="60">
        <v>0</v>
      </c>
      <c r="AA216" s="60">
        <v>0</v>
      </c>
      <c r="AB216" s="60">
        <v>0</v>
      </c>
      <c r="AC216" s="60">
        <v>0</v>
      </c>
      <c r="AD216" s="60">
        <v>0</v>
      </c>
      <c r="AE216" s="60">
        <v>0</v>
      </c>
      <c r="AF216" s="60">
        <v>0</v>
      </c>
      <c r="AG216" s="60">
        <v>0</v>
      </c>
      <c r="AH216" s="60">
        <v>0</v>
      </c>
      <c r="AI216" s="60">
        <v>0</v>
      </c>
      <c r="AJ216" s="60">
        <v>0</v>
      </c>
      <c r="AK216" s="60">
        <v>0</v>
      </c>
      <c r="AL216" s="60">
        <v>0</v>
      </c>
      <c r="AM216" s="60">
        <v>0</v>
      </c>
    </row>
    <row r="217" spans="1:39" ht="15.75" hidden="1" outlineLevel="1" thickBot="1">
      <c r="A217" s="61" t="s">
        <v>108</v>
      </c>
      <c r="B217" s="62">
        <v>0</v>
      </c>
      <c r="C217" s="62">
        <v>0</v>
      </c>
      <c r="D217" s="62">
        <v>0</v>
      </c>
      <c r="E217" s="62">
        <v>0</v>
      </c>
      <c r="F217" s="62">
        <v>0</v>
      </c>
      <c r="G217" s="62">
        <v>0</v>
      </c>
      <c r="H217" s="62">
        <v>0</v>
      </c>
      <c r="I217" s="62">
        <v>0</v>
      </c>
      <c r="J217" s="62">
        <v>0</v>
      </c>
      <c r="K217" s="62">
        <v>0</v>
      </c>
      <c r="L217" s="62">
        <v>0</v>
      </c>
      <c r="M217" s="62">
        <v>0</v>
      </c>
      <c r="N217" s="62">
        <v>0</v>
      </c>
      <c r="O217" s="62">
        <v>0</v>
      </c>
      <c r="P217" s="62">
        <v>0</v>
      </c>
      <c r="Q217" s="62">
        <v>0</v>
      </c>
      <c r="R217" s="62">
        <v>0</v>
      </c>
      <c r="S217" s="62">
        <v>0</v>
      </c>
      <c r="T217" s="62">
        <v>0</v>
      </c>
      <c r="U217" s="62">
        <v>0</v>
      </c>
      <c r="V217" s="62">
        <v>0</v>
      </c>
      <c r="W217" s="62">
        <v>0</v>
      </c>
      <c r="X217" s="62">
        <v>0</v>
      </c>
      <c r="Y217" s="62">
        <v>0</v>
      </c>
      <c r="Z217" s="62">
        <v>0</v>
      </c>
      <c r="AA217" s="62">
        <v>0</v>
      </c>
      <c r="AB217" s="62">
        <v>0</v>
      </c>
      <c r="AC217" s="62">
        <v>0</v>
      </c>
      <c r="AD217" s="62">
        <v>0</v>
      </c>
      <c r="AE217" s="62">
        <v>0</v>
      </c>
      <c r="AF217" s="62">
        <v>0</v>
      </c>
      <c r="AG217" s="62">
        <v>0</v>
      </c>
      <c r="AH217" s="62">
        <v>0</v>
      </c>
      <c r="AI217" s="62">
        <v>0</v>
      </c>
      <c r="AJ217" s="62">
        <v>0</v>
      </c>
      <c r="AK217" s="62">
        <v>0</v>
      </c>
      <c r="AL217" s="62">
        <v>0</v>
      </c>
      <c r="AM217" s="62">
        <v>0</v>
      </c>
    </row>
    <row r="218" spans="1:39" ht="33" thickTop="1" thickBot="1">
      <c r="A218" s="65" t="s">
        <v>115</v>
      </c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</row>
    <row r="219" spans="1:39" ht="16.5" outlineLevel="1" thickTop="1" thickBot="1">
      <c r="A219" s="57" t="s">
        <v>41</v>
      </c>
      <c r="B219" s="58">
        <v>2013</v>
      </c>
      <c r="C219" s="58">
        <v>2014</v>
      </c>
      <c r="D219" s="58">
        <v>2015</v>
      </c>
      <c r="E219" s="58">
        <v>2016</v>
      </c>
      <c r="F219" s="58">
        <v>2017</v>
      </c>
      <c r="G219" s="58">
        <v>2018</v>
      </c>
      <c r="H219" s="58">
        <v>2019</v>
      </c>
      <c r="I219" s="58">
        <v>2020</v>
      </c>
      <c r="J219" s="58">
        <v>2021</v>
      </c>
      <c r="K219" s="58">
        <v>2022</v>
      </c>
      <c r="L219" s="58">
        <v>2023</v>
      </c>
      <c r="M219" s="58">
        <v>2024</v>
      </c>
      <c r="N219" s="58">
        <v>2025</v>
      </c>
      <c r="O219" s="58">
        <v>2026</v>
      </c>
      <c r="P219" s="58">
        <v>2027</v>
      </c>
      <c r="Q219" s="58">
        <v>2028</v>
      </c>
      <c r="R219" s="58">
        <v>2029</v>
      </c>
      <c r="S219" s="58">
        <v>2030</v>
      </c>
      <c r="T219" s="58">
        <v>2031</v>
      </c>
      <c r="U219" s="58">
        <v>2032</v>
      </c>
      <c r="V219" s="58">
        <v>2033</v>
      </c>
      <c r="W219" s="58">
        <v>2034</v>
      </c>
      <c r="X219" s="58">
        <v>2035</v>
      </c>
      <c r="Y219" s="58">
        <v>2036</v>
      </c>
      <c r="Z219" s="58">
        <v>2037</v>
      </c>
      <c r="AA219" s="58">
        <v>2038</v>
      </c>
      <c r="AB219" s="58">
        <v>2039</v>
      </c>
      <c r="AC219" s="58">
        <v>2040</v>
      </c>
      <c r="AD219" s="58">
        <v>2041</v>
      </c>
      <c r="AE219" s="58">
        <v>2042</v>
      </c>
      <c r="AF219" s="58">
        <v>2043</v>
      </c>
      <c r="AG219" s="58">
        <v>2044</v>
      </c>
      <c r="AH219" s="58">
        <v>2045</v>
      </c>
      <c r="AI219" s="58">
        <v>2046</v>
      </c>
      <c r="AJ219" s="58">
        <v>2047</v>
      </c>
      <c r="AK219" s="58">
        <v>2048</v>
      </c>
      <c r="AL219" s="58">
        <v>2049</v>
      </c>
      <c r="AM219" s="58">
        <v>2050</v>
      </c>
    </row>
    <row r="220" spans="1:39" ht="16.5" outlineLevel="1" thickTop="1" thickBot="1">
      <c r="A220" s="59" t="s">
        <v>83</v>
      </c>
      <c r="B220" s="60">
        <v>0</v>
      </c>
      <c r="C220" s="60">
        <v>0</v>
      </c>
      <c r="D220" s="60">
        <v>0</v>
      </c>
      <c r="E220" s="60">
        <v>0</v>
      </c>
      <c r="F220" s="60">
        <v>0</v>
      </c>
      <c r="G220" s="60">
        <v>0</v>
      </c>
      <c r="H220" s="60">
        <v>0</v>
      </c>
      <c r="I220" s="60">
        <v>0</v>
      </c>
      <c r="J220" s="60">
        <v>0</v>
      </c>
      <c r="K220" s="60">
        <v>0</v>
      </c>
      <c r="L220" s="60">
        <v>0</v>
      </c>
      <c r="M220" s="60">
        <v>0</v>
      </c>
      <c r="N220" s="60">
        <v>0</v>
      </c>
      <c r="O220" s="60">
        <v>0</v>
      </c>
      <c r="P220" s="60">
        <v>0</v>
      </c>
      <c r="Q220" s="60">
        <v>0</v>
      </c>
      <c r="R220" s="60">
        <v>0</v>
      </c>
      <c r="S220" s="60">
        <v>0</v>
      </c>
      <c r="T220" s="60">
        <v>0</v>
      </c>
      <c r="U220" s="60">
        <v>0</v>
      </c>
      <c r="V220" s="60">
        <v>0</v>
      </c>
      <c r="W220" s="60">
        <v>0</v>
      </c>
      <c r="X220" s="60">
        <v>0</v>
      </c>
      <c r="Y220" s="60">
        <v>0</v>
      </c>
      <c r="Z220" s="60">
        <v>0</v>
      </c>
      <c r="AA220" s="60">
        <v>0</v>
      </c>
      <c r="AB220" s="60">
        <v>0</v>
      </c>
      <c r="AC220" s="60">
        <v>0</v>
      </c>
      <c r="AD220" s="60">
        <v>0</v>
      </c>
      <c r="AE220" s="60">
        <v>0</v>
      </c>
      <c r="AF220" s="60">
        <v>0</v>
      </c>
      <c r="AG220" s="60">
        <v>0</v>
      </c>
      <c r="AH220" s="60">
        <v>0</v>
      </c>
      <c r="AI220" s="60">
        <v>0</v>
      </c>
      <c r="AJ220" s="60">
        <v>0</v>
      </c>
      <c r="AK220" s="60">
        <v>0</v>
      </c>
      <c r="AL220" s="60">
        <v>0</v>
      </c>
      <c r="AM220" s="60">
        <v>0</v>
      </c>
    </row>
    <row r="221" spans="1:39" ht="15.75" outlineLevel="1" thickBot="1">
      <c r="A221" s="59" t="s">
        <v>84</v>
      </c>
      <c r="B221" s="60">
        <v>0</v>
      </c>
      <c r="C221" s="60">
        <v>0</v>
      </c>
      <c r="D221" s="60">
        <v>0</v>
      </c>
      <c r="E221" s="60">
        <v>0</v>
      </c>
      <c r="F221" s="60">
        <v>0</v>
      </c>
      <c r="G221" s="60">
        <v>0</v>
      </c>
      <c r="H221" s="60">
        <v>0</v>
      </c>
      <c r="I221" s="60">
        <v>0</v>
      </c>
      <c r="J221" s="60">
        <v>0</v>
      </c>
      <c r="K221" s="60">
        <v>0</v>
      </c>
      <c r="L221" s="60">
        <v>0</v>
      </c>
      <c r="M221" s="60">
        <v>0</v>
      </c>
      <c r="N221" s="60">
        <v>0</v>
      </c>
      <c r="O221" s="60">
        <v>0</v>
      </c>
      <c r="P221" s="60">
        <v>0</v>
      </c>
      <c r="Q221" s="60">
        <v>0</v>
      </c>
      <c r="R221" s="60">
        <v>0</v>
      </c>
      <c r="S221" s="60">
        <v>0</v>
      </c>
      <c r="T221" s="60">
        <v>0</v>
      </c>
      <c r="U221" s="60">
        <v>0</v>
      </c>
      <c r="V221" s="60">
        <v>0</v>
      </c>
      <c r="W221" s="60">
        <v>0</v>
      </c>
      <c r="X221" s="60">
        <v>0</v>
      </c>
      <c r="Y221" s="60">
        <v>0</v>
      </c>
      <c r="Z221" s="60">
        <v>0</v>
      </c>
      <c r="AA221" s="60">
        <v>0</v>
      </c>
      <c r="AB221" s="60">
        <v>0</v>
      </c>
      <c r="AC221" s="60">
        <v>0</v>
      </c>
      <c r="AD221" s="60">
        <v>0</v>
      </c>
      <c r="AE221" s="60">
        <v>0</v>
      </c>
      <c r="AF221" s="60">
        <v>0</v>
      </c>
      <c r="AG221" s="60">
        <v>0</v>
      </c>
      <c r="AH221" s="60">
        <v>0</v>
      </c>
      <c r="AI221" s="60">
        <v>0</v>
      </c>
      <c r="AJ221" s="60">
        <v>0</v>
      </c>
      <c r="AK221" s="60">
        <v>0</v>
      </c>
      <c r="AL221" s="60">
        <v>0</v>
      </c>
      <c r="AM221" s="60">
        <v>0</v>
      </c>
    </row>
    <row r="222" spans="1:39" ht="15.75" outlineLevel="1" thickBot="1">
      <c r="A222" s="59" t="s">
        <v>85</v>
      </c>
      <c r="B222" s="60">
        <v>0</v>
      </c>
      <c r="C222" s="60">
        <v>0</v>
      </c>
      <c r="D222" s="60">
        <v>0</v>
      </c>
      <c r="E222" s="60">
        <v>0</v>
      </c>
      <c r="F222" s="60">
        <v>0</v>
      </c>
      <c r="G222" s="60">
        <v>0</v>
      </c>
      <c r="H222" s="60">
        <v>0</v>
      </c>
      <c r="I222" s="60">
        <v>0</v>
      </c>
      <c r="J222" s="60">
        <v>0</v>
      </c>
      <c r="K222" s="60">
        <v>0</v>
      </c>
      <c r="L222" s="60">
        <v>0</v>
      </c>
      <c r="M222" s="60">
        <v>0</v>
      </c>
      <c r="N222" s="60">
        <v>0</v>
      </c>
      <c r="O222" s="60">
        <v>0</v>
      </c>
      <c r="P222" s="60">
        <v>0</v>
      </c>
      <c r="Q222" s="60">
        <v>0</v>
      </c>
      <c r="R222" s="60">
        <v>0</v>
      </c>
      <c r="S222" s="60">
        <v>0</v>
      </c>
      <c r="T222" s="60">
        <v>0</v>
      </c>
      <c r="U222" s="60">
        <v>0</v>
      </c>
      <c r="V222" s="60">
        <v>0</v>
      </c>
      <c r="W222" s="60">
        <v>0</v>
      </c>
      <c r="X222" s="60">
        <v>0</v>
      </c>
      <c r="Y222" s="60">
        <v>0</v>
      </c>
      <c r="Z222" s="60">
        <v>0</v>
      </c>
      <c r="AA222" s="60">
        <v>0</v>
      </c>
      <c r="AB222" s="60">
        <v>0</v>
      </c>
      <c r="AC222" s="60">
        <v>0</v>
      </c>
      <c r="AD222" s="60">
        <v>0</v>
      </c>
      <c r="AE222" s="60">
        <v>0</v>
      </c>
      <c r="AF222" s="60">
        <v>0</v>
      </c>
      <c r="AG222" s="60">
        <v>0</v>
      </c>
      <c r="AH222" s="60">
        <v>0</v>
      </c>
      <c r="AI222" s="60">
        <v>0</v>
      </c>
      <c r="AJ222" s="60">
        <v>0</v>
      </c>
      <c r="AK222" s="60">
        <v>0</v>
      </c>
      <c r="AL222" s="60">
        <v>0</v>
      </c>
      <c r="AM222" s="60">
        <v>0</v>
      </c>
    </row>
    <row r="223" spans="1:39" ht="15.75" outlineLevel="1" thickBot="1">
      <c r="A223" s="59" t="s">
        <v>86</v>
      </c>
      <c r="B223" s="60">
        <v>0</v>
      </c>
      <c r="C223" s="60">
        <v>0</v>
      </c>
      <c r="D223" s="60">
        <v>0</v>
      </c>
      <c r="E223" s="60">
        <v>0</v>
      </c>
      <c r="F223" s="60">
        <v>0</v>
      </c>
      <c r="G223" s="60">
        <v>0</v>
      </c>
      <c r="H223" s="60">
        <v>0</v>
      </c>
      <c r="I223" s="60">
        <v>0</v>
      </c>
      <c r="J223" s="60">
        <v>0</v>
      </c>
      <c r="K223" s="60">
        <v>0</v>
      </c>
      <c r="L223" s="60">
        <v>0</v>
      </c>
      <c r="M223" s="60">
        <v>0</v>
      </c>
      <c r="N223" s="60">
        <v>0</v>
      </c>
      <c r="O223" s="60">
        <v>0</v>
      </c>
      <c r="P223" s="60">
        <v>0</v>
      </c>
      <c r="Q223" s="60">
        <v>0</v>
      </c>
      <c r="R223" s="60">
        <v>0</v>
      </c>
      <c r="S223" s="60">
        <v>0</v>
      </c>
      <c r="T223" s="60">
        <v>0</v>
      </c>
      <c r="U223" s="60">
        <v>0</v>
      </c>
      <c r="V223" s="60">
        <v>0</v>
      </c>
      <c r="W223" s="60">
        <v>0</v>
      </c>
      <c r="X223" s="60">
        <v>0</v>
      </c>
      <c r="Y223" s="60">
        <v>0</v>
      </c>
      <c r="Z223" s="60">
        <v>0</v>
      </c>
      <c r="AA223" s="60">
        <v>0</v>
      </c>
      <c r="AB223" s="60">
        <v>0</v>
      </c>
      <c r="AC223" s="60">
        <v>0</v>
      </c>
      <c r="AD223" s="60">
        <v>0</v>
      </c>
      <c r="AE223" s="60">
        <v>0</v>
      </c>
      <c r="AF223" s="60">
        <v>0</v>
      </c>
      <c r="AG223" s="60">
        <v>0</v>
      </c>
      <c r="AH223" s="60">
        <v>0</v>
      </c>
      <c r="AI223" s="60">
        <v>0</v>
      </c>
      <c r="AJ223" s="60">
        <v>0</v>
      </c>
      <c r="AK223" s="60">
        <v>0</v>
      </c>
      <c r="AL223" s="60">
        <v>0</v>
      </c>
      <c r="AM223" s="60">
        <v>0</v>
      </c>
    </row>
    <row r="224" spans="1:39" ht="15.75" outlineLevel="1" thickBot="1">
      <c r="A224" s="59" t="s">
        <v>87</v>
      </c>
      <c r="B224" s="60">
        <v>0</v>
      </c>
      <c r="C224" s="60">
        <v>0</v>
      </c>
      <c r="D224" s="60">
        <v>0</v>
      </c>
      <c r="E224" s="60">
        <v>0</v>
      </c>
      <c r="F224" s="60">
        <v>0</v>
      </c>
      <c r="G224" s="60">
        <v>0</v>
      </c>
      <c r="H224" s="60">
        <v>0</v>
      </c>
      <c r="I224" s="60">
        <v>0</v>
      </c>
      <c r="J224" s="60">
        <v>0</v>
      </c>
      <c r="K224" s="60">
        <v>0</v>
      </c>
      <c r="L224" s="60">
        <v>0</v>
      </c>
      <c r="M224" s="60">
        <v>0</v>
      </c>
      <c r="N224" s="60">
        <v>0</v>
      </c>
      <c r="O224" s="60">
        <v>0</v>
      </c>
      <c r="P224" s="60">
        <v>0</v>
      </c>
      <c r="Q224" s="60">
        <v>0</v>
      </c>
      <c r="R224" s="60">
        <v>0</v>
      </c>
      <c r="S224" s="60">
        <v>0</v>
      </c>
      <c r="T224" s="60">
        <v>0</v>
      </c>
      <c r="U224" s="60">
        <v>0</v>
      </c>
      <c r="V224" s="60">
        <v>0</v>
      </c>
      <c r="W224" s="60">
        <v>0</v>
      </c>
      <c r="X224" s="60">
        <v>0</v>
      </c>
      <c r="Y224" s="60">
        <v>0</v>
      </c>
      <c r="Z224" s="60">
        <v>0</v>
      </c>
      <c r="AA224" s="60">
        <v>0</v>
      </c>
      <c r="AB224" s="60">
        <v>0</v>
      </c>
      <c r="AC224" s="60">
        <v>0</v>
      </c>
      <c r="AD224" s="60">
        <v>0</v>
      </c>
      <c r="AE224" s="60">
        <v>0</v>
      </c>
      <c r="AF224" s="60">
        <v>0</v>
      </c>
      <c r="AG224" s="60">
        <v>0</v>
      </c>
      <c r="AH224" s="60">
        <v>0</v>
      </c>
      <c r="AI224" s="60">
        <v>0</v>
      </c>
      <c r="AJ224" s="60">
        <v>0</v>
      </c>
      <c r="AK224" s="60">
        <v>0</v>
      </c>
      <c r="AL224" s="60">
        <v>0</v>
      </c>
      <c r="AM224" s="60">
        <v>0</v>
      </c>
    </row>
    <row r="225" spans="1:39" ht="15.75" outlineLevel="1" thickBot="1">
      <c r="A225" s="59" t="s">
        <v>88</v>
      </c>
      <c r="B225" s="60">
        <v>0</v>
      </c>
      <c r="C225" s="60">
        <v>0</v>
      </c>
      <c r="D225" s="60">
        <v>0</v>
      </c>
      <c r="E225" s="60">
        <v>0</v>
      </c>
      <c r="F225" s="60">
        <v>0</v>
      </c>
      <c r="G225" s="60">
        <v>0</v>
      </c>
      <c r="H225" s="60">
        <v>0</v>
      </c>
      <c r="I225" s="60">
        <v>0</v>
      </c>
      <c r="J225" s="60">
        <v>0</v>
      </c>
      <c r="K225" s="60">
        <v>0</v>
      </c>
      <c r="L225" s="60">
        <v>0</v>
      </c>
      <c r="M225" s="60">
        <v>0</v>
      </c>
      <c r="N225" s="60">
        <v>0</v>
      </c>
      <c r="O225" s="60">
        <v>0</v>
      </c>
      <c r="P225" s="60">
        <v>0</v>
      </c>
      <c r="Q225" s="60">
        <v>0</v>
      </c>
      <c r="R225" s="60">
        <v>0</v>
      </c>
      <c r="S225" s="60">
        <v>0</v>
      </c>
      <c r="T225" s="60">
        <v>0</v>
      </c>
      <c r="U225" s="60">
        <v>0</v>
      </c>
      <c r="V225" s="60">
        <v>0</v>
      </c>
      <c r="W225" s="60">
        <v>0</v>
      </c>
      <c r="X225" s="60">
        <v>0</v>
      </c>
      <c r="Y225" s="60">
        <v>0</v>
      </c>
      <c r="Z225" s="60">
        <v>0</v>
      </c>
      <c r="AA225" s="60">
        <v>0</v>
      </c>
      <c r="AB225" s="60">
        <v>0</v>
      </c>
      <c r="AC225" s="60">
        <v>0</v>
      </c>
      <c r="AD225" s="60">
        <v>0</v>
      </c>
      <c r="AE225" s="60">
        <v>0</v>
      </c>
      <c r="AF225" s="60">
        <v>0</v>
      </c>
      <c r="AG225" s="60">
        <v>0</v>
      </c>
      <c r="AH225" s="60">
        <v>0</v>
      </c>
      <c r="AI225" s="60">
        <v>0</v>
      </c>
      <c r="AJ225" s="60">
        <v>0</v>
      </c>
      <c r="AK225" s="60">
        <v>0</v>
      </c>
      <c r="AL225" s="60">
        <v>0</v>
      </c>
      <c r="AM225" s="60">
        <v>0</v>
      </c>
    </row>
    <row r="226" spans="1:39" ht="15.75" outlineLevel="1" thickBot="1">
      <c r="A226" s="59" t="s">
        <v>89</v>
      </c>
      <c r="B226" s="60">
        <v>0</v>
      </c>
      <c r="C226" s="60">
        <v>0</v>
      </c>
      <c r="D226" s="60">
        <v>0</v>
      </c>
      <c r="E226" s="60">
        <v>0</v>
      </c>
      <c r="F226" s="60">
        <v>0</v>
      </c>
      <c r="G226" s="60">
        <v>0</v>
      </c>
      <c r="H226" s="60">
        <v>0</v>
      </c>
      <c r="I226" s="60">
        <v>0</v>
      </c>
      <c r="J226" s="60">
        <v>0</v>
      </c>
      <c r="K226" s="60">
        <v>0</v>
      </c>
      <c r="L226" s="60">
        <v>0</v>
      </c>
      <c r="M226" s="60">
        <v>0</v>
      </c>
      <c r="N226" s="60">
        <v>0</v>
      </c>
      <c r="O226" s="60">
        <v>0</v>
      </c>
      <c r="P226" s="60">
        <v>0</v>
      </c>
      <c r="Q226" s="60">
        <v>0</v>
      </c>
      <c r="R226" s="60">
        <v>0</v>
      </c>
      <c r="S226" s="60">
        <v>0</v>
      </c>
      <c r="T226" s="60">
        <v>0</v>
      </c>
      <c r="U226" s="60">
        <v>0</v>
      </c>
      <c r="V226" s="60">
        <v>0</v>
      </c>
      <c r="W226" s="60">
        <v>0</v>
      </c>
      <c r="X226" s="60">
        <v>0</v>
      </c>
      <c r="Y226" s="60">
        <v>0</v>
      </c>
      <c r="Z226" s="60">
        <v>0</v>
      </c>
      <c r="AA226" s="60">
        <v>0</v>
      </c>
      <c r="AB226" s="60">
        <v>0</v>
      </c>
      <c r="AC226" s="60">
        <v>0</v>
      </c>
      <c r="AD226" s="60">
        <v>0</v>
      </c>
      <c r="AE226" s="60">
        <v>0</v>
      </c>
      <c r="AF226" s="60">
        <v>0</v>
      </c>
      <c r="AG226" s="60">
        <v>0</v>
      </c>
      <c r="AH226" s="60">
        <v>0</v>
      </c>
      <c r="AI226" s="60">
        <v>0</v>
      </c>
      <c r="AJ226" s="60">
        <v>0</v>
      </c>
      <c r="AK226" s="60">
        <v>0</v>
      </c>
      <c r="AL226" s="60">
        <v>0</v>
      </c>
      <c r="AM226" s="60">
        <v>0</v>
      </c>
    </row>
    <row r="227" spans="1:39" ht="15.75" outlineLevel="1" thickBot="1">
      <c r="A227" s="59" t="s">
        <v>90</v>
      </c>
      <c r="B227" s="60">
        <v>0</v>
      </c>
      <c r="C227" s="60">
        <v>0</v>
      </c>
      <c r="D227" s="60">
        <v>0</v>
      </c>
      <c r="E227" s="60">
        <v>0</v>
      </c>
      <c r="F227" s="60">
        <v>0</v>
      </c>
      <c r="G227" s="60">
        <v>0</v>
      </c>
      <c r="H227" s="60">
        <v>0</v>
      </c>
      <c r="I227" s="60">
        <v>0</v>
      </c>
      <c r="J227" s="60">
        <v>0</v>
      </c>
      <c r="K227" s="60">
        <v>0</v>
      </c>
      <c r="L227" s="60">
        <v>0</v>
      </c>
      <c r="M227" s="60">
        <v>0</v>
      </c>
      <c r="N227" s="60">
        <v>0</v>
      </c>
      <c r="O227" s="60">
        <v>0</v>
      </c>
      <c r="P227" s="60">
        <v>0</v>
      </c>
      <c r="Q227" s="60">
        <v>0</v>
      </c>
      <c r="R227" s="60">
        <v>0</v>
      </c>
      <c r="S227" s="60">
        <v>0</v>
      </c>
      <c r="T227" s="60">
        <v>0</v>
      </c>
      <c r="U227" s="60">
        <v>0</v>
      </c>
      <c r="V227" s="60">
        <v>0</v>
      </c>
      <c r="W227" s="60">
        <v>0</v>
      </c>
      <c r="X227" s="60">
        <v>0</v>
      </c>
      <c r="Y227" s="60">
        <v>0</v>
      </c>
      <c r="Z227" s="60">
        <v>0</v>
      </c>
      <c r="AA227" s="60">
        <v>0</v>
      </c>
      <c r="AB227" s="60">
        <v>0</v>
      </c>
      <c r="AC227" s="60">
        <v>0</v>
      </c>
      <c r="AD227" s="60">
        <v>0</v>
      </c>
      <c r="AE227" s="60">
        <v>0</v>
      </c>
      <c r="AF227" s="60">
        <v>0</v>
      </c>
      <c r="AG227" s="60">
        <v>0</v>
      </c>
      <c r="AH227" s="60">
        <v>0</v>
      </c>
      <c r="AI227" s="60">
        <v>0</v>
      </c>
      <c r="AJ227" s="60">
        <v>0</v>
      </c>
      <c r="AK227" s="60">
        <v>0</v>
      </c>
      <c r="AL227" s="60">
        <v>0</v>
      </c>
      <c r="AM227" s="60">
        <v>0</v>
      </c>
    </row>
    <row r="228" spans="1:39" ht="15.75" outlineLevel="1" thickBot="1">
      <c r="A228" s="59" t="s">
        <v>91</v>
      </c>
      <c r="B228" s="60">
        <v>0</v>
      </c>
      <c r="C228" s="60">
        <v>0</v>
      </c>
      <c r="D228" s="60">
        <v>0</v>
      </c>
      <c r="E228" s="60">
        <v>0</v>
      </c>
      <c r="F228" s="60">
        <v>0</v>
      </c>
      <c r="G228" s="60">
        <v>0</v>
      </c>
      <c r="H228" s="60">
        <v>0</v>
      </c>
      <c r="I228" s="60">
        <v>0</v>
      </c>
      <c r="J228" s="60">
        <v>0</v>
      </c>
      <c r="K228" s="60">
        <v>0</v>
      </c>
      <c r="L228" s="60">
        <v>0</v>
      </c>
      <c r="M228" s="60">
        <v>0</v>
      </c>
      <c r="N228" s="60">
        <v>0</v>
      </c>
      <c r="O228" s="60">
        <v>0</v>
      </c>
      <c r="P228" s="60">
        <v>0</v>
      </c>
      <c r="Q228" s="60">
        <v>0</v>
      </c>
      <c r="R228" s="60">
        <v>0</v>
      </c>
      <c r="S228" s="60">
        <v>0</v>
      </c>
      <c r="T228" s="60">
        <v>0</v>
      </c>
      <c r="U228" s="60">
        <v>0</v>
      </c>
      <c r="V228" s="60">
        <v>0</v>
      </c>
      <c r="W228" s="60">
        <v>0</v>
      </c>
      <c r="X228" s="60">
        <v>0</v>
      </c>
      <c r="Y228" s="60">
        <v>0</v>
      </c>
      <c r="Z228" s="60">
        <v>0</v>
      </c>
      <c r="AA228" s="60">
        <v>0</v>
      </c>
      <c r="AB228" s="60">
        <v>0</v>
      </c>
      <c r="AC228" s="60">
        <v>0</v>
      </c>
      <c r="AD228" s="60">
        <v>0</v>
      </c>
      <c r="AE228" s="60">
        <v>0</v>
      </c>
      <c r="AF228" s="60">
        <v>0</v>
      </c>
      <c r="AG228" s="60">
        <v>0</v>
      </c>
      <c r="AH228" s="60">
        <v>0</v>
      </c>
      <c r="AI228" s="60">
        <v>0</v>
      </c>
      <c r="AJ228" s="60">
        <v>0</v>
      </c>
      <c r="AK228" s="60">
        <v>0</v>
      </c>
      <c r="AL228" s="60">
        <v>0</v>
      </c>
      <c r="AM228" s="60">
        <v>0</v>
      </c>
    </row>
    <row r="229" spans="1:39" ht="15.75" outlineLevel="1" thickBot="1">
      <c r="A229" s="59" t="s">
        <v>92</v>
      </c>
      <c r="B229" s="60">
        <v>0</v>
      </c>
      <c r="C229" s="60">
        <v>0</v>
      </c>
      <c r="D229" s="60">
        <v>0</v>
      </c>
      <c r="E229" s="60">
        <v>0</v>
      </c>
      <c r="F229" s="60">
        <v>0</v>
      </c>
      <c r="G229" s="60">
        <v>0</v>
      </c>
      <c r="H229" s="60">
        <v>0</v>
      </c>
      <c r="I229" s="60">
        <v>0</v>
      </c>
      <c r="J229" s="60">
        <v>0</v>
      </c>
      <c r="K229" s="60">
        <v>0</v>
      </c>
      <c r="L229" s="60">
        <v>0</v>
      </c>
      <c r="M229" s="60">
        <v>0</v>
      </c>
      <c r="N229" s="60">
        <v>0</v>
      </c>
      <c r="O229" s="60">
        <v>0</v>
      </c>
      <c r="P229" s="60">
        <v>0</v>
      </c>
      <c r="Q229" s="60">
        <v>0</v>
      </c>
      <c r="R229" s="60">
        <v>0</v>
      </c>
      <c r="S229" s="60">
        <v>0</v>
      </c>
      <c r="T229" s="60">
        <v>0</v>
      </c>
      <c r="U229" s="60">
        <v>0</v>
      </c>
      <c r="V229" s="60">
        <v>0</v>
      </c>
      <c r="W229" s="60">
        <v>0</v>
      </c>
      <c r="X229" s="60">
        <v>0</v>
      </c>
      <c r="Y229" s="60">
        <v>0</v>
      </c>
      <c r="Z229" s="60">
        <v>0</v>
      </c>
      <c r="AA229" s="60">
        <v>0</v>
      </c>
      <c r="AB229" s="60">
        <v>0</v>
      </c>
      <c r="AC229" s="60">
        <v>0</v>
      </c>
      <c r="AD229" s="60">
        <v>0</v>
      </c>
      <c r="AE229" s="60">
        <v>0</v>
      </c>
      <c r="AF229" s="60">
        <v>0</v>
      </c>
      <c r="AG229" s="60">
        <v>0</v>
      </c>
      <c r="AH229" s="60">
        <v>0</v>
      </c>
      <c r="AI229" s="60">
        <v>0</v>
      </c>
      <c r="AJ229" s="60">
        <v>0</v>
      </c>
      <c r="AK229" s="60">
        <v>0</v>
      </c>
      <c r="AL229" s="60">
        <v>0</v>
      </c>
      <c r="AM229" s="60">
        <v>0</v>
      </c>
    </row>
    <row r="230" spans="1:39" ht="15.75" outlineLevel="1" thickBot="1">
      <c r="A230" s="59" t="s">
        <v>93</v>
      </c>
      <c r="B230" s="60">
        <v>0</v>
      </c>
      <c r="C230" s="60">
        <v>0</v>
      </c>
      <c r="D230" s="60">
        <v>0</v>
      </c>
      <c r="E230" s="60">
        <v>0</v>
      </c>
      <c r="F230" s="60">
        <v>0</v>
      </c>
      <c r="G230" s="60">
        <v>0</v>
      </c>
      <c r="H230" s="60">
        <v>0</v>
      </c>
      <c r="I230" s="60">
        <v>0</v>
      </c>
      <c r="J230" s="60">
        <v>0</v>
      </c>
      <c r="K230" s="60">
        <v>0</v>
      </c>
      <c r="L230" s="60">
        <v>0</v>
      </c>
      <c r="M230" s="60">
        <v>0</v>
      </c>
      <c r="N230" s="60">
        <v>0</v>
      </c>
      <c r="O230" s="60">
        <v>0</v>
      </c>
      <c r="P230" s="60">
        <v>0</v>
      </c>
      <c r="Q230" s="60">
        <v>0</v>
      </c>
      <c r="R230" s="60">
        <v>0</v>
      </c>
      <c r="S230" s="60">
        <v>0</v>
      </c>
      <c r="T230" s="60">
        <v>0</v>
      </c>
      <c r="U230" s="60">
        <v>0</v>
      </c>
      <c r="V230" s="60">
        <v>0</v>
      </c>
      <c r="W230" s="60">
        <v>0</v>
      </c>
      <c r="X230" s="60">
        <v>0</v>
      </c>
      <c r="Y230" s="60">
        <v>0</v>
      </c>
      <c r="Z230" s="60">
        <v>0</v>
      </c>
      <c r="AA230" s="60">
        <v>0</v>
      </c>
      <c r="AB230" s="60">
        <v>0</v>
      </c>
      <c r="AC230" s="60">
        <v>0</v>
      </c>
      <c r="AD230" s="60">
        <v>0</v>
      </c>
      <c r="AE230" s="60">
        <v>0</v>
      </c>
      <c r="AF230" s="60">
        <v>0</v>
      </c>
      <c r="AG230" s="60">
        <v>0</v>
      </c>
      <c r="AH230" s="60">
        <v>0</v>
      </c>
      <c r="AI230" s="60">
        <v>0</v>
      </c>
      <c r="AJ230" s="60">
        <v>0</v>
      </c>
      <c r="AK230" s="60">
        <v>0</v>
      </c>
      <c r="AL230" s="60">
        <v>0</v>
      </c>
      <c r="AM230" s="60">
        <v>0</v>
      </c>
    </row>
    <row r="231" spans="1:39" ht="15.75" outlineLevel="1" thickBot="1">
      <c r="A231" s="59" t="s">
        <v>94</v>
      </c>
      <c r="B231" s="60">
        <v>0</v>
      </c>
      <c r="C231" s="60">
        <v>0</v>
      </c>
      <c r="D231" s="60">
        <v>0</v>
      </c>
      <c r="E231" s="60">
        <v>0</v>
      </c>
      <c r="F231" s="60">
        <v>0</v>
      </c>
      <c r="G231" s="60">
        <v>0</v>
      </c>
      <c r="H231" s="60">
        <v>0</v>
      </c>
      <c r="I231" s="60">
        <v>0</v>
      </c>
      <c r="J231" s="60">
        <v>0</v>
      </c>
      <c r="K231" s="60">
        <v>0</v>
      </c>
      <c r="L231" s="60">
        <v>0</v>
      </c>
      <c r="M231" s="60">
        <v>0</v>
      </c>
      <c r="N231" s="60">
        <v>0</v>
      </c>
      <c r="O231" s="60">
        <v>0</v>
      </c>
      <c r="P231" s="60">
        <v>0</v>
      </c>
      <c r="Q231" s="60">
        <v>0</v>
      </c>
      <c r="R231" s="60">
        <v>0</v>
      </c>
      <c r="S231" s="60">
        <v>0</v>
      </c>
      <c r="T231" s="60">
        <v>0</v>
      </c>
      <c r="U231" s="60">
        <v>0</v>
      </c>
      <c r="V231" s="60">
        <v>0</v>
      </c>
      <c r="W231" s="60">
        <v>0</v>
      </c>
      <c r="X231" s="60">
        <v>0</v>
      </c>
      <c r="Y231" s="60">
        <v>0</v>
      </c>
      <c r="Z231" s="60">
        <v>0</v>
      </c>
      <c r="AA231" s="60">
        <v>0</v>
      </c>
      <c r="AB231" s="60">
        <v>0</v>
      </c>
      <c r="AC231" s="60">
        <v>0</v>
      </c>
      <c r="AD231" s="60">
        <v>0</v>
      </c>
      <c r="AE231" s="60">
        <v>0</v>
      </c>
      <c r="AF231" s="60">
        <v>0</v>
      </c>
      <c r="AG231" s="60">
        <v>0</v>
      </c>
      <c r="AH231" s="60">
        <v>0</v>
      </c>
      <c r="AI231" s="60">
        <v>0</v>
      </c>
      <c r="AJ231" s="60">
        <v>0</v>
      </c>
      <c r="AK231" s="60">
        <v>0</v>
      </c>
      <c r="AL231" s="60">
        <v>0</v>
      </c>
      <c r="AM231" s="60">
        <v>0</v>
      </c>
    </row>
    <row r="232" spans="1:39" ht="15.75" outlineLevel="1" thickBot="1">
      <c r="A232" s="59" t="s">
        <v>95</v>
      </c>
      <c r="B232" s="60">
        <v>0</v>
      </c>
      <c r="C232" s="60">
        <v>0</v>
      </c>
      <c r="D232" s="60">
        <v>0</v>
      </c>
      <c r="E232" s="60">
        <v>0</v>
      </c>
      <c r="F232" s="60">
        <v>0</v>
      </c>
      <c r="G232" s="60">
        <v>0</v>
      </c>
      <c r="H232" s="60">
        <v>0</v>
      </c>
      <c r="I232" s="60">
        <v>0</v>
      </c>
      <c r="J232" s="60">
        <v>0</v>
      </c>
      <c r="K232" s="60">
        <v>0</v>
      </c>
      <c r="L232" s="60">
        <v>0</v>
      </c>
      <c r="M232" s="60">
        <v>0</v>
      </c>
      <c r="N232" s="60">
        <v>0</v>
      </c>
      <c r="O232" s="60">
        <v>0</v>
      </c>
      <c r="P232" s="60">
        <v>0</v>
      </c>
      <c r="Q232" s="60">
        <v>0</v>
      </c>
      <c r="R232" s="60">
        <v>0</v>
      </c>
      <c r="S232" s="60">
        <v>0</v>
      </c>
      <c r="T232" s="60">
        <v>0</v>
      </c>
      <c r="U232" s="60">
        <v>0</v>
      </c>
      <c r="V232" s="60">
        <v>0</v>
      </c>
      <c r="W232" s="60">
        <v>0</v>
      </c>
      <c r="X232" s="60">
        <v>0</v>
      </c>
      <c r="Y232" s="60">
        <v>0</v>
      </c>
      <c r="Z232" s="60">
        <v>0</v>
      </c>
      <c r="AA232" s="60">
        <v>0</v>
      </c>
      <c r="AB232" s="60">
        <v>0</v>
      </c>
      <c r="AC232" s="60">
        <v>0</v>
      </c>
      <c r="AD232" s="60">
        <v>0</v>
      </c>
      <c r="AE232" s="60">
        <v>0</v>
      </c>
      <c r="AF232" s="60">
        <v>0</v>
      </c>
      <c r="AG232" s="60">
        <v>0</v>
      </c>
      <c r="AH232" s="60">
        <v>0</v>
      </c>
      <c r="AI232" s="60">
        <v>0</v>
      </c>
      <c r="AJ232" s="60">
        <v>0</v>
      </c>
      <c r="AK232" s="60">
        <v>0</v>
      </c>
      <c r="AL232" s="60">
        <v>0</v>
      </c>
      <c r="AM232" s="60">
        <v>0</v>
      </c>
    </row>
    <row r="233" spans="1:39" ht="15.75" outlineLevel="1" thickBot="1">
      <c r="A233" s="59" t="s">
        <v>96</v>
      </c>
      <c r="B233" s="60">
        <v>0</v>
      </c>
      <c r="C233" s="60">
        <v>0</v>
      </c>
      <c r="D233" s="60">
        <v>0</v>
      </c>
      <c r="E233" s="60">
        <v>0</v>
      </c>
      <c r="F233" s="60">
        <v>0</v>
      </c>
      <c r="G233" s="60">
        <v>0</v>
      </c>
      <c r="H233" s="60">
        <v>0</v>
      </c>
      <c r="I233" s="60">
        <v>0</v>
      </c>
      <c r="J233" s="60">
        <v>0</v>
      </c>
      <c r="K233" s="60">
        <v>0</v>
      </c>
      <c r="L233" s="60">
        <v>0</v>
      </c>
      <c r="M233" s="60">
        <v>0</v>
      </c>
      <c r="N233" s="60">
        <v>0</v>
      </c>
      <c r="O233" s="60">
        <v>0</v>
      </c>
      <c r="P233" s="60">
        <v>0</v>
      </c>
      <c r="Q233" s="60">
        <v>0</v>
      </c>
      <c r="R233" s="60">
        <v>0</v>
      </c>
      <c r="S233" s="60">
        <v>0</v>
      </c>
      <c r="T233" s="60">
        <v>0</v>
      </c>
      <c r="U233" s="60">
        <v>0</v>
      </c>
      <c r="V233" s="60">
        <v>0</v>
      </c>
      <c r="W233" s="60">
        <v>0</v>
      </c>
      <c r="X233" s="60">
        <v>0</v>
      </c>
      <c r="Y233" s="60">
        <v>0</v>
      </c>
      <c r="Z233" s="60">
        <v>0</v>
      </c>
      <c r="AA233" s="60">
        <v>0</v>
      </c>
      <c r="AB233" s="60">
        <v>0</v>
      </c>
      <c r="AC233" s="60">
        <v>0</v>
      </c>
      <c r="AD233" s="60">
        <v>0</v>
      </c>
      <c r="AE233" s="60">
        <v>0</v>
      </c>
      <c r="AF233" s="60">
        <v>0</v>
      </c>
      <c r="AG233" s="60">
        <v>0</v>
      </c>
      <c r="AH233" s="60">
        <v>0</v>
      </c>
      <c r="AI233" s="60">
        <v>0</v>
      </c>
      <c r="AJ233" s="60">
        <v>0</v>
      </c>
      <c r="AK233" s="60">
        <v>0</v>
      </c>
      <c r="AL233" s="60">
        <v>0</v>
      </c>
      <c r="AM233" s="60">
        <v>0</v>
      </c>
    </row>
    <row r="234" spans="1:39" ht="15.75" outlineLevel="1" thickBot="1">
      <c r="A234" s="59" t="s">
        <v>97</v>
      </c>
      <c r="B234" s="60">
        <v>0</v>
      </c>
      <c r="C234" s="60">
        <v>0</v>
      </c>
      <c r="D234" s="60">
        <v>0</v>
      </c>
      <c r="E234" s="60">
        <v>0</v>
      </c>
      <c r="F234" s="60">
        <v>0</v>
      </c>
      <c r="G234" s="60">
        <v>0</v>
      </c>
      <c r="H234" s="60">
        <v>0</v>
      </c>
      <c r="I234" s="60">
        <v>0</v>
      </c>
      <c r="J234" s="60">
        <v>0</v>
      </c>
      <c r="K234" s="60">
        <v>0</v>
      </c>
      <c r="L234" s="60">
        <v>0</v>
      </c>
      <c r="M234" s="60">
        <v>0</v>
      </c>
      <c r="N234" s="60">
        <v>0</v>
      </c>
      <c r="O234" s="60">
        <v>0</v>
      </c>
      <c r="P234" s="60">
        <v>0</v>
      </c>
      <c r="Q234" s="60">
        <v>0</v>
      </c>
      <c r="R234" s="60">
        <v>0</v>
      </c>
      <c r="S234" s="60">
        <v>0</v>
      </c>
      <c r="T234" s="60">
        <v>0</v>
      </c>
      <c r="U234" s="60">
        <v>0</v>
      </c>
      <c r="V234" s="60">
        <v>0</v>
      </c>
      <c r="W234" s="60">
        <v>0</v>
      </c>
      <c r="X234" s="60">
        <v>0</v>
      </c>
      <c r="Y234" s="60">
        <v>0</v>
      </c>
      <c r="Z234" s="60">
        <v>0</v>
      </c>
      <c r="AA234" s="60">
        <v>0</v>
      </c>
      <c r="AB234" s="60">
        <v>0</v>
      </c>
      <c r="AC234" s="60">
        <v>0</v>
      </c>
      <c r="AD234" s="60">
        <v>0</v>
      </c>
      <c r="AE234" s="60">
        <v>0</v>
      </c>
      <c r="AF234" s="60">
        <v>0</v>
      </c>
      <c r="AG234" s="60">
        <v>0</v>
      </c>
      <c r="AH234" s="60">
        <v>0</v>
      </c>
      <c r="AI234" s="60">
        <v>0</v>
      </c>
      <c r="AJ234" s="60">
        <v>0</v>
      </c>
      <c r="AK234" s="60">
        <v>0</v>
      </c>
      <c r="AL234" s="60">
        <v>0</v>
      </c>
      <c r="AM234" s="60">
        <v>0</v>
      </c>
    </row>
    <row r="235" spans="1:39" ht="15.75" outlineLevel="1" thickBot="1">
      <c r="A235" s="59" t="s">
        <v>98</v>
      </c>
      <c r="B235" s="60">
        <v>0</v>
      </c>
      <c r="C235" s="60">
        <v>0</v>
      </c>
      <c r="D235" s="60">
        <v>0</v>
      </c>
      <c r="E235" s="60">
        <v>0</v>
      </c>
      <c r="F235" s="60">
        <v>0</v>
      </c>
      <c r="G235" s="60">
        <v>0</v>
      </c>
      <c r="H235" s="60">
        <v>0</v>
      </c>
      <c r="I235" s="60">
        <v>0</v>
      </c>
      <c r="J235" s="60">
        <v>0</v>
      </c>
      <c r="K235" s="60">
        <v>0</v>
      </c>
      <c r="L235" s="60">
        <v>0</v>
      </c>
      <c r="M235" s="60">
        <v>0</v>
      </c>
      <c r="N235" s="60">
        <v>0</v>
      </c>
      <c r="O235" s="60">
        <v>0</v>
      </c>
      <c r="P235" s="60">
        <v>0</v>
      </c>
      <c r="Q235" s="60">
        <v>0</v>
      </c>
      <c r="R235" s="60">
        <v>0</v>
      </c>
      <c r="S235" s="60">
        <v>0</v>
      </c>
      <c r="T235" s="60">
        <v>0</v>
      </c>
      <c r="U235" s="60">
        <v>0</v>
      </c>
      <c r="V235" s="60">
        <v>0</v>
      </c>
      <c r="W235" s="60">
        <v>0</v>
      </c>
      <c r="X235" s="60">
        <v>0</v>
      </c>
      <c r="Y235" s="60">
        <v>0</v>
      </c>
      <c r="Z235" s="60">
        <v>0</v>
      </c>
      <c r="AA235" s="60">
        <v>0</v>
      </c>
      <c r="AB235" s="60">
        <v>0</v>
      </c>
      <c r="AC235" s="60">
        <v>0</v>
      </c>
      <c r="AD235" s="60">
        <v>0</v>
      </c>
      <c r="AE235" s="60">
        <v>0</v>
      </c>
      <c r="AF235" s="60">
        <v>0</v>
      </c>
      <c r="AG235" s="60">
        <v>0</v>
      </c>
      <c r="AH235" s="60">
        <v>0</v>
      </c>
      <c r="AI235" s="60">
        <v>0</v>
      </c>
      <c r="AJ235" s="60">
        <v>0</v>
      </c>
      <c r="AK235" s="60">
        <v>0</v>
      </c>
      <c r="AL235" s="60">
        <v>0</v>
      </c>
      <c r="AM235" s="60">
        <v>0</v>
      </c>
    </row>
    <row r="236" spans="1:39" ht="15.75" outlineLevel="1" thickBot="1">
      <c r="A236" s="59" t="s">
        <v>99</v>
      </c>
      <c r="B236" s="60">
        <v>0</v>
      </c>
      <c r="C236" s="60">
        <v>0</v>
      </c>
      <c r="D236" s="60">
        <v>0</v>
      </c>
      <c r="E236" s="60">
        <v>0</v>
      </c>
      <c r="F236" s="60">
        <v>0</v>
      </c>
      <c r="G236" s="60">
        <v>0</v>
      </c>
      <c r="H236" s="60">
        <v>0</v>
      </c>
      <c r="I236" s="60">
        <v>0</v>
      </c>
      <c r="J236" s="60">
        <v>0</v>
      </c>
      <c r="K236" s="60">
        <v>0</v>
      </c>
      <c r="L236" s="60">
        <v>0</v>
      </c>
      <c r="M236" s="60">
        <v>0</v>
      </c>
      <c r="N236" s="60">
        <v>0</v>
      </c>
      <c r="O236" s="60">
        <v>0</v>
      </c>
      <c r="P236" s="60">
        <v>0</v>
      </c>
      <c r="Q236" s="60">
        <v>0</v>
      </c>
      <c r="R236" s="60">
        <v>0</v>
      </c>
      <c r="S236" s="60">
        <v>0</v>
      </c>
      <c r="T236" s="60">
        <v>0</v>
      </c>
      <c r="U236" s="60">
        <v>0</v>
      </c>
      <c r="V236" s="60">
        <v>0</v>
      </c>
      <c r="W236" s="60">
        <v>0</v>
      </c>
      <c r="X236" s="60">
        <v>0</v>
      </c>
      <c r="Y236" s="60">
        <v>0</v>
      </c>
      <c r="Z236" s="60">
        <v>0</v>
      </c>
      <c r="AA236" s="60">
        <v>0</v>
      </c>
      <c r="AB236" s="60">
        <v>0</v>
      </c>
      <c r="AC236" s="60">
        <v>0</v>
      </c>
      <c r="AD236" s="60">
        <v>0</v>
      </c>
      <c r="AE236" s="60">
        <v>0</v>
      </c>
      <c r="AF236" s="60">
        <v>0</v>
      </c>
      <c r="AG236" s="60">
        <v>0</v>
      </c>
      <c r="AH236" s="60">
        <v>0</v>
      </c>
      <c r="AI236" s="60">
        <v>0</v>
      </c>
      <c r="AJ236" s="60">
        <v>0</v>
      </c>
      <c r="AK236" s="60">
        <v>0</v>
      </c>
      <c r="AL236" s="60">
        <v>0</v>
      </c>
      <c r="AM236" s="60">
        <v>0</v>
      </c>
    </row>
    <row r="237" spans="1:39" ht="15.75" outlineLevel="1" thickBot="1">
      <c r="A237" s="59" t="s">
        <v>100</v>
      </c>
      <c r="B237" s="60">
        <v>0</v>
      </c>
      <c r="C237" s="60">
        <v>0</v>
      </c>
      <c r="D237" s="60">
        <v>0</v>
      </c>
      <c r="E237" s="60">
        <v>0</v>
      </c>
      <c r="F237" s="60">
        <v>0</v>
      </c>
      <c r="G237" s="60">
        <v>0</v>
      </c>
      <c r="H237" s="60">
        <v>0</v>
      </c>
      <c r="I237" s="60">
        <v>0</v>
      </c>
      <c r="J237" s="60">
        <v>0</v>
      </c>
      <c r="K237" s="60">
        <v>0</v>
      </c>
      <c r="L237" s="60">
        <v>0</v>
      </c>
      <c r="M237" s="60">
        <v>0</v>
      </c>
      <c r="N237" s="60">
        <v>0</v>
      </c>
      <c r="O237" s="60">
        <v>0</v>
      </c>
      <c r="P237" s="60">
        <v>0</v>
      </c>
      <c r="Q237" s="60">
        <v>0</v>
      </c>
      <c r="R237" s="60">
        <v>0</v>
      </c>
      <c r="S237" s="60">
        <v>0</v>
      </c>
      <c r="T237" s="60">
        <v>0</v>
      </c>
      <c r="U237" s="60">
        <v>0</v>
      </c>
      <c r="V237" s="60">
        <v>0</v>
      </c>
      <c r="W237" s="60">
        <v>0</v>
      </c>
      <c r="X237" s="60">
        <v>0</v>
      </c>
      <c r="Y237" s="60">
        <v>0</v>
      </c>
      <c r="Z237" s="60">
        <v>0</v>
      </c>
      <c r="AA237" s="60">
        <v>0</v>
      </c>
      <c r="AB237" s="60">
        <v>0</v>
      </c>
      <c r="AC237" s="60">
        <v>0</v>
      </c>
      <c r="AD237" s="60">
        <v>0</v>
      </c>
      <c r="AE237" s="60">
        <v>0</v>
      </c>
      <c r="AF237" s="60">
        <v>0</v>
      </c>
      <c r="AG237" s="60">
        <v>0</v>
      </c>
      <c r="AH237" s="60">
        <v>0</v>
      </c>
      <c r="AI237" s="60">
        <v>0</v>
      </c>
      <c r="AJ237" s="60">
        <v>0</v>
      </c>
      <c r="AK237" s="60">
        <v>0</v>
      </c>
      <c r="AL237" s="60">
        <v>0</v>
      </c>
      <c r="AM237" s="60">
        <v>0</v>
      </c>
    </row>
    <row r="238" spans="1:39" ht="15.75" outlineLevel="1" thickBot="1">
      <c r="A238" s="59" t="s">
        <v>101</v>
      </c>
      <c r="B238" s="60">
        <v>0.01</v>
      </c>
      <c r="C238" s="60">
        <v>0</v>
      </c>
      <c r="D238" s="60">
        <v>0.01</v>
      </c>
      <c r="E238" s="60">
        <v>0.01</v>
      </c>
      <c r="F238" s="60">
        <v>0.01</v>
      </c>
      <c r="G238" s="60">
        <v>0.01</v>
      </c>
      <c r="H238" s="60">
        <v>0.01</v>
      </c>
      <c r="I238" s="60">
        <v>0.01</v>
      </c>
      <c r="J238" s="60">
        <v>0.01</v>
      </c>
      <c r="K238" s="60">
        <v>0.01</v>
      </c>
      <c r="L238" s="60">
        <v>0.01</v>
      </c>
      <c r="M238" s="60">
        <v>0.01</v>
      </c>
      <c r="N238" s="60">
        <v>0.01</v>
      </c>
      <c r="O238" s="60">
        <v>0.01</v>
      </c>
      <c r="P238" s="60">
        <v>0.01</v>
      </c>
      <c r="Q238" s="60">
        <v>0.01</v>
      </c>
      <c r="R238" s="60">
        <v>0.01</v>
      </c>
      <c r="S238" s="60">
        <v>0.01</v>
      </c>
      <c r="T238" s="60">
        <v>0.01</v>
      </c>
      <c r="U238" s="60">
        <v>0.01</v>
      </c>
      <c r="V238" s="60">
        <v>0.01</v>
      </c>
      <c r="W238" s="60">
        <v>0.01</v>
      </c>
      <c r="X238" s="60">
        <v>0.01</v>
      </c>
      <c r="Y238" s="60">
        <v>0.01</v>
      </c>
      <c r="Z238" s="60">
        <v>0.01</v>
      </c>
      <c r="AA238" s="60">
        <v>0.01</v>
      </c>
      <c r="AB238" s="60">
        <v>0.01</v>
      </c>
      <c r="AC238" s="60">
        <v>0.01</v>
      </c>
      <c r="AD238" s="60">
        <v>0.01</v>
      </c>
      <c r="AE238" s="60">
        <v>0.01</v>
      </c>
      <c r="AF238" s="60">
        <v>0.01</v>
      </c>
      <c r="AG238" s="60">
        <v>0.01</v>
      </c>
      <c r="AH238" s="60">
        <v>0.02</v>
      </c>
      <c r="AI238" s="60">
        <v>0.02</v>
      </c>
      <c r="AJ238" s="60">
        <v>0.02</v>
      </c>
      <c r="AK238" s="60">
        <v>0.02</v>
      </c>
      <c r="AL238" s="60">
        <v>0.02</v>
      </c>
      <c r="AM238" s="60">
        <v>0.02</v>
      </c>
    </row>
    <row r="239" spans="1:39" ht="15.75" outlineLevel="1" thickBot="1">
      <c r="A239" s="59" t="s">
        <v>102</v>
      </c>
      <c r="B239" s="60">
        <v>0.15</v>
      </c>
      <c r="C239" s="60">
        <v>0.15</v>
      </c>
      <c r="D239" s="60">
        <v>0.16</v>
      </c>
      <c r="E239" s="60">
        <v>0.16</v>
      </c>
      <c r="F239" s="60">
        <v>0.16</v>
      </c>
      <c r="G239" s="60">
        <v>0.16</v>
      </c>
      <c r="H239" s="60">
        <v>0.16</v>
      </c>
      <c r="I239" s="60">
        <v>0.15</v>
      </c>
      <c r="J239" s="60">
        <v>0.12</v>
      </c>
      <c r="K239" s="60">
        <v>0.13</v>
      </c>
      <c r="L239" s="60">
        <v>0.13</v>
      </c>
      <c r="M239" s="60">
        <v>0.13</v>
      </c>
      <c r="N239" s="60">
        <v>0.13</v>
      </c>
      <c r="O239" s="60">
        <v>0.13</v>
      </c>
      <c r="P239" s="60">
        <v>0.13</v>
      </c>
      <c r="Q239" s="60">
        <v>0.13</v>
      </c>
      <c r="R239" s="60">
        <v>0.13</v>
      </c>
      <c r="S239" s="60">
        <v>0.13</v>
      </c>
      <c r="T239" s="60">
        <v>0.13</v>
      </c>
      <c r="U239" s="60">
        <v>0.13</v>
      </c>
      <c r="V239" s="60">
        <v>0.13</v>
      </c>
      <c r="W239" s="60">
        <v>0.14000000000000001</v>
      </c>
      <c r="X239" s="60">
        <v>0.14000000000000001</v>
      </c>
      <c r="Y239" s="60">
        <v>0.14000000000000001</v>
      </c>
      <c r="Z239" s="60">
        <v>0.14000000000000001</v>
      </c>
      <c r="AA239" s="60">
        <v>0.14000000000000001</v>
      </c>
      <c r="AB239" s="60">
        <v>0.14000000000000001</v>
      </c>
      <c r="AC239" s="60">
        <v>0.14000000000000001</v>
      </c>
      <c r="AD239" s="60">
        <v>0.14000000000000001</v>
      </c>
      <c r="AE239" s="60">
        <v>0.14000000000000001</v>
      </c>
      <c r="AF239" s="60">
        <v>0.14000000000000001</v>
      </c>
      <c r="AG239" s="60">
        <v>0.14000000000000001</v>
      </c>
      <c r="AH239" s="60">
        <v>0.14000000000000001</v>
      </c>
      <c r="AI239" s="60">
        <v>0.14000000000000001</v>
      </c>
      <c r="AJ239" s="60">
        <v>0.14000000000000001</v>
      </c>
      <c r="AK239" s="60">
        <v>0.14000000000000001</v>
      </c>
      <c r="AL239" s="60">
        <v>0.15</v>
      </c>
      <c r="AM239" s="60">
        <v>0.15</v>
      </c>
    </row>
    <row r="240" spans="1:39" ht="15.75" outlineLevel="1" thickBot="1">
      <c r="A240" s="59" t="s">
        <v>103</v>
      </c>
      <c r="B240" s="60">
        <v>0</v>
      </c>
      <c r="C240" s="60">
        <v>0</v>
      </c>
      <c r="D240" s="60">
        <v>0</v>
      </c>
      <c r="E240" s="60">
        <v>0</v>
      </c>
      <c r="F240" s="60">
        <v>0</v>
      </c>
      <c r="G240" s="60">
        <v>0</v>
      </c>
      <c r="H240" s="60">
        <v>0</v>
      </c>
      <c r="I240" s="60">
        <v>0</v>
      </c>
      <c r="J240" s="60">
        <v>0</v>
      </c>
      <c r="K240" s="60">
        <v>0</v>
      </c>
      <c r="L240" s="60">
        <v>0</v>
      </c>
      <c r="M240" s="60">
        <v>0</v>
      </c>
      <c r="N240" s="60">
        <v>0</v>
      </c>
      <c r="O240" s="60">
        <v>0</v>
      </c>
      <c r="P240" s="60">
        <v>0</v>
      </c>
      <c r="Q240" s="60">
        <v>0</v>
      </c>
      <c r="R240" s="60">
        <v>0</v>
      </c>
      <c r="S240" s="60">
        <v>0</v>
      </c>
      <c r="T240" s="60">
        <v>0</v>
      </c>
      <c r="U240" s="60">
        <v>0</v>
      </c>
      <c r="V240" s="60">
        <v>0</v>
      </c>
      <c r="W240" s="60">
        <v>0</v>
      </c>
      <c r="X240" s="60">
        <v>0</v>
      </c>
      <c r="Y240" s="60">
        <v>0</v>
      </c>
      <c r="Z240" s="60">
        <v>0</v>
      </c>
      <c r="AA240" s="60">
        <v>0</v>
      </c>
      <c r="AB240" s="60">
        <v>0</v>
      </c>
      <c r="AC240" s="60">
        <v>0</v>
      </c>
      <c r="AD240" s="60">
        <v>0</v>
      </c>
      <c r="AE240" s="60">
        <v>0</v>
      </c>
      <c r="AF240" s="60">
        <v>0</v>
      </c>
      <c r="AG240" s="60">
        <v>0</v>
      </c>
      <c r="AH240" s="60">
        <v>0</v>
      </c>
      <c r="AI240" s="60">
        <v>0</v>
      </c>
      <c r="AJ240" s="60">
        <v>0</v>
      </c>
      <c r="AK240" s="60">
        <v>0</v>
      </c>
      <c r="AL240" s="60">
        <v>0</v>
      </c>
      <c r="AM240" s="60">
        <v>0</v>
      </c>
    </row>
    <row r="241" spans="1:39" ht="15.75" outlineLevel="1" thickBot="1">
      <c r="A241" s="59" t="s">
        <v>44</v>
      </c>
      <c r="B241" s="60">
        <v>0</v>
      </c>
      <c r="C241" s="60">
        <v>0</v>
      </c>
      <c r="D241" s="60">
        <v>0</v>
      </c>
      <c r="E241" s="60">
        <v>0</v>
      </c>
      <c r="F241" s="60">
        <v>0</v>
      </c>
      <c r="G241" s="60">
        <v>0</v>
      </c>
      <c r="H241" s="60">
        <v>0</v>
      </c>
      <c r="I241" s="60">
        <v>0</v>
      </c>
      <c r="J241" s="60">
        <v>0</v>
      </c>
      <c r="K241" s="60">
        <v>0</v>
      </c>
      <c r="L241" s="60">
        <v>0</v>
      </c>
      <c r="M241" s="60">
        <v>0</v>
      </c>
      <c r="N241" s="60">
        <v>0</v>
      </c>
      <c r="O241" s="60">
        <v>0</v>
      </c>
      <c r="P241" s="60">
        <v>0</v>
      </c>
      <c r="Q241" s="60">
        <v>0</v>
      </c>
      <c r="R241" s="60">
        <v>0</v>
      </c>
      <c r="S241" s="60">
        <v>0</v>
      </c>
      <c r="T241" s="60">
        <v>0</v>
      </c>
      <c r="U241" s="60">
        <v>0</v>
      </c>
      <c r="V241" s="60">
        <v>0</v>
      </c>
      <c r="W241" s="60">
        <v>0</v>
      </c>
      <c r="X241" s="60">
        <v>0</v>
      </c>
      <c r="Y241" s="60">
        <v>0</v>
      </c>
      <c r="Z241" s="60">
        <v>0</v>
      </c>
      <c r="AA241" s="60">
        <v>0</v>
      </c>
      <c r="AB241" s="60">
        <v>0</v>
      </c>
      <c r="AC241" s="60">
        <v>0</v>
      </c>
      <c r="AD241" s="60">
        <v>0</v>
      </c>
      <c r="AE241" s="60">
        <v>0</v>
      </c>
      <c r="AF241" s="60">
        <v>0</v>
      </c>
      <c r="AG241" s="60">
        <v>0</v>
      </c>
      <c r="AH241" s="60">
        <v>0</v>
      </c>
      <c r="AI241" s="60">
        <v>0</v>
      </c>
      <c r="AJ241" s="60">
        <v>0</v>
      </c>
      <c r="AK241" s="60">
        <v>0</v>
      </c>
      <c r="AL241" s="60">
        <v>0</v>
      </c>
      <c r="AM241" s="60">
        <v>0</v>
      </c>
    </row>
    <row r="242" spans="1:39" ht="15.75" outlineLevel="1" thickBot="1">
      <c r="A242" s="59" t="s">
        <v>45</v>
      </c>
      <c r="B242" s="60">
        <v>0.15</v>
      </c>
      <c r="C242" s="60">
        <v>0.16</v>
      </c>
      <c r="D242" s="60">
        <v>0.16</v>
      </c>
      <c r="E242" s="60">
        <v>0.17</v>
      </c>
      <c r="F242" s="60">
        <v>0.17</v>
      </c>
      <c r="G242" s="60">
        <v>0.17</v>
      </c>
      <c r="H242" s="60">
        <v>0.17</v>
      </c>
      <c r="I242" s="60">
        <v>0.16</v>
      </c>
      <c r="J242" s="60">
        <v>0.14000000000000001</v>
      </c>
      <c r="K242" s="60">
        <v>0.14000000000000001</v>
      </c>
      <c r="L242" s="60">
        <v>0.14000000000000001</v>
      </c>
      <c r="M242" s="60">
        <v>0.14000000000000001</v>
      </c>
      <c r="N242" s="60">
        <v>0.14000000000000001</v>
      </c>
      <c r="O242" s="60">
        <v>0.14000000000000001</v>
      </c>
      <c r="P242" s="60">
        <v>0.14000000000000001</v>
      </c>
      <c r="Q242" s="60">
        <v>0.14000000000000001</v>
      </c>
      <c r="R242" s="60">
        <v>0.14000000000000001</v>
      </c>
      <c r="S242" s="60">
        <v>0.14000000000000001</v>
      </c>
      <c r="T242" s="60">
        <v>0.14000000000000001</v>
      </c>
      <c r="U242" s="60">
        <v>0.14000000000000001</v>
      </c>
      <c r="V242" s="60">
        <v>0.14000000000000001</v>
      </c>
      <c r="W242" s="60">
        <v>0.14000000000000001</v>
      </c>
      <c r="X242" s="60">
        <v>0.14000000000000001</v>
      </c>
      <c r="Y242" s="60">
        <v>0.13</v>
      </c>
      <c r="Z242" s="60">
        <v>0.13</v>
      </c>
      <c r="AA242" s="60">
        <v>0.13</v>
      </c>
      <c r="AB242" s="60">
        <v>0.13</v>
      </c>
      <c r="AC242" s="60">
        <v>0.13</v>
      </c>
      <c r="AD242" s="60">
        <v>0.13</v>
      </c>
      <c r="AE242" s="60">
        <v>0.13</v>
      </c>
      <c r="AF242" s="60">
        <v>0.13</v>
      </c>
      <c r="AG242" s="60">
        <v>0.13</v>
      </c>
      <c r="AH242" s="60">
        <v>0.13</v>
      </c>
      <c r="AI242" s="60">
        <v>0.13</v>
      </c>
      <c r="AJ242" s="60">
        <v>0.13</v>
      </c>
      <c r="AK242" s="60">
        <v>0.13</v>
      </c>
      <c r="AL242" s="60">
        <v>0.13</v>
      </c>
      <c r="AM242" s="60">
        <v>0.13</v>
      </c>
    </row>
    <row r="243" spans="1:39" ht="15.75" outlineLevel="1" thickBot="1">
      <c r="A243" s="59" t="s">
        <v>104</v>
      </c>
      <c r="B243" s="60">
        <v>2.33</v>
      </c>
      <c r="C243" s="60">
        <v>1.54</v>
      </c>
      <c r="D243" s="60">
        <v>1.06</v>
      </c>
      <c r="E243" s="60">
        <v>0.7</v>
      </c>
      <c r="F243" s="60">
        <v>0.46</v>
      </c>
      <c r="G243" s="60">
        <v>0.14000000000000001</v>
      </c>
      <c r="H243" s="60">
        <v>0.22</v>
      </c>
      <c r="I243" s="60">
        <v>0.22</v>
      </c>
      <c r="J243" s="60">
        <v>0.27</v>
      </c>
      <c r="K243" s="60">
        <v>0.26</v>
      </c>
      <c r="L243" s="60">
        <v>0.25</v>
      </c>
      <c r="M243" s="60">
        <v>0.24</v>
      </c>
      <c r="N243" s="60">
        <v>0.23</v>
      </c>
      <c r="O243" s="60">
        <v>0.22</v>
      </c>
      <c r="P243" s="60">
        <v>0.21</v>
      </c>
      <c r="Q243" s="60">
        <v>0.21</v>
      </c>
      <c r="R243" s="60">
        <v>0.2</v>
      </c>
      <c r="S243" s="60">
        <v>0.19</v>
      </c>
      <c r="T243" s="60">
        <v>0.18</v>
      </c>
      <c r="U243" s="60">
        <v>0.17</v>
      </c>
      <c r="V243" s="60">
        <v>0.16</v>
      </c>
      <c r="W243" s="60">
        <v>0.15</v>
      </c>
      <c r="X243" s="60">
        <v>0.14000000000000001</v>
      </c>
      <c r="Y243" s="60">
        <v>0.13</v>
      </c>
      <c r="Z243" s="60">
        <v>0.12</v>
      </c>
      <c r="AA243" s="60">
        <v>0.11</v>
      </c>
      <c r="AB243" s="60">
        <v>0.1</v>
      </c>
      <c r="AC243" s="60">
        <v>0.09</v>
      </c>
      <c r="AD243" s="60">
        <v>0.08</v>
      </c>
      <c r="AE243" s="60">
        <v>7.0000000000000007E-2</v>
      </c>
      <c r="AF243" s="60">
        <v>7.0000000000000007E-2</v>
      </c>
      <c r="AG243" s="60">
        <v>0.06</v>
      </c>
      <c r="AH243" s="60">
        <v>0.05</v>
      </c>
      <c r="AI243" s="60">
        <v>0.04</v>
      </c>
      <c r="AJ243" s="60">
        <v>0.03</v>
      </c>
      <c r="AK243" s="60">
        <v>0.02</v>
      </c>
      <c r="AL243" s="60">
        <v>0.01</v>
      </c>
      <c r="AM243" s="60">
        <v>0</v>
      </c>
    </row>
    <row r="244" spans="1:39" ht="15.75" outlineLevel="1" thickBot="1">
      <c r="A244" s="59" t="s">
        <v>105</v>
      </c>
      <c r="B244" s="60">
        <v>0</v>
      </c>
      <c r="C244" s="60">
        <v>0</v>
      </c>
      <c r="D244" s="60">
        <v>0</v>
      </c>
      <c r="E244" s="60">
        <v>0</v>
      </c>
      <c r="F244" s="60">
        <v>0</v>
      </c>
      <c r="G244" s="60">
        <v>0</v>
      </c>
      <c r="H244" s="60">
        <v>0</v>
      </c>
      <c r="I244" s="60">
        <v>0</v>
      </c>
      <c r="J244" s="60">
        <v>0</v>
      </c>
      <c r="K244" s="60">
        <v>0</v>
      </c>
      <c r="L244" s="60">
        <v>0</v>
      </c>
      <c r="M244" s="60">
        <v>0</v>
      </c>
      <c r="N244" s="60">
        <v>0</v>
      </c>
      <c r="O244" s="60">
        <v>0</v>
      </c>
      <c r="P244" s="60">
        <v>0</v>
      </c>
      <c r="Q244" s="60">
        <v>0</v>
      </c>
      <c r="R244" s="60">
        <v>0</v>
      </c>
      <c r="S244" s="60">
        <v>0</v>
      </c>
      <c r="T244" s="60">
        <v>0</v>
      </c>
      <c r="U244" s="60">
        <v>0</v>
      </c>
      <c r="V244" s="60">
        <v>0</v>
      </c>
      <c r="W244" s="60">
        <v>0</v>
      </c>
      <c r="X244" s="60">
        <v>0</v>
      </c>
      <c r="Y244" s="60">
        <v>0</v>
      </c>
      <c r="Z244" s="60">
        <v>0</v>
      </c>
      <c r="AA244" s="60">
        <v>0</v>
      </c>
      <c r="AB244" s="60">
        <v>0</v>
      </c>
      <c r="AC244" s="60">
        <v>0</v>
      </c>
      <c r="AD244" s="60">
        <v>0</v>
      </c>
      <c r="AE244" s="60">
        <v>0</v>
      </c>
      <c r="AF244" s="60">
        <v>0</v>
      </c>
      <c r="AG244" s="60">
        <v>0</v>
      </c>
      <c r="AH244" s="60">
        <v>0</v>
      </c>
      <c r="AI244" s="60">
        <v>0</v>
      </c>
      <c r="AJ244" s="60">
        <v>0</v>
      </c>
      <c r="AK244" s="60">
        <v>0</v>
      </c>
      <c r="AL244" s="60">
        <v>0</v>
      </c>
      <c r="AM244" s="60">
        <v>0</v>
      </c>
    </row>
    <row r="245" spans="1:39" ht="15.75" outlineLevel="1" thickBot="1">
      <c r="A245" s="59" t="s">
        <v>106</v>
      </c>
      <c r="B245" s="60">
        <v>48.55</v>
      </c>
      <c r="C245" s="60">
        <v>53.01</v>
      </c>
      <c r="D245" s="60">
        <v>53.42</v>
      </c>
      <c r="E245" s="60">
        <v>58.49</v>
      </c>
      <c r="F245" s="60">
        <v>45.78</v>
      </c>
      <c r="G245" s="60">
        <v>46.49</v>
      </c>
      <c r="H245" s="60">
        <v>47.07</v>
      </c>
      <c r="I245" s="60">
        <v>40.79</v>
      </c>
      <c r="J245" s="60">
        <v>52.91</v>
      </c>
      <c r="K245" s="60">
        <v>52.86</v>
      </c>
      <c r="L245" s="60">
        <v>52.6</v>
      </c>
      <c r="M245" s="60">
        <v>52.35</v>
      </c>
      <c r="N245" s="60">
        <v>52.1</v>
      </c>
      <c r="O245" s="60">
        <v>51.84</v>
      </c>
      <c r="P245" s="60">
        <v>51.59</v>
      </c>
      <c r="Q245" s="60">
        <v>51.34</v>
      </c>
      <c r="R245" s="60">
        <v>51.08</v>
      </c>
      <c r="S245" s="60">
        <v>50.83</v>
      </c>
      <c r="T245" s="60">
        <v>50.58</v>
      </c>
      <c r="U245" s="60">
        <v>50.32</v>
      </c>
      <c r="V245" s="60">
        <v>50.07</v>
      </c>
      <c r="W245" s="60">
        <v>49.82</v>
      </c>
      <c r="X245" s="60">
        <v>49.56</v>
      </c>
      <c r="Y245" s="60">
        <v>49.31</v>
      </c>
      <c r="Z245" s="60">
        <v>49.06</v>
      </c>
      <c r="AA245" s="60">
        <v>48.8</v>
      </c>
      <c r="AB245" s="60">
        <v>48.55</v>
      </c>
      <c r="AC245" s="60">
        <v>48.3</v>
      </c>
      <c r="AD245" s="60">
        <v>48.04</v>
      </c>
      <c r="AE245" s="60">
        <v>47.79</v>
      </c>
      <c r="AF245" s="60">
        <v>47.54</v>
      </c>
      <c r="AG245" s="60">
        <v>47.28</v>
      </c>
      <c r="AH245" s="60">
        <v>47.03</v>
      </c>
      <c r="AI245" s="60">
        <v>46.78</v>
      </c>
      <c r="AJ245" s="60">
        <v>46.52</v>
      </c>
      <c r="AK245" s="60">
        <v>46.27</v>
      </c>
      <c r="AL245" s="60">
        <v>46.02</v>
      </c>
      <c r="AM245" s="60">
        <v>45.76</v>
      </c>
    </row>
    <row r="246" spans="1:39" ht="15.75" outlineLevel="1" thickBot="1">
      <c r="A246" s="59" t="s">
        <v>46</v>
      </c>
      <c r="B246" s="60">
        <v>5.18</v>
      </c>
      <c r="C246" s="60">
        <v>4.25</v>
      </c>
      <c r="D246" s="60">
        <v>4.49</v>
      </c>
      <c r="E246" s="60">
        <v>4.8</v>
      </c>
      <c r="F246" s="60">
        <v>4.5599999999999996</v>
      </c>
      <c r="G246" s="60">
        <v>4.6500000000000004</v>
      </c>
      <c r="H246" s="60">
        <v>4.57</v>
      </c>
      <c r="I246" s="60">
        <v>4.28</v>
      </c>
      <c r="J246" s="60">
        <v>4.5599999999999996</v>
      </c>
      <c r="K246" s="60">
        <v>4.5599999999999996</v>
      </c>
      <c r="L246" s="60">
        <v>4.53</v>
      </c>
      <c r="M246" s="60">
        <v>4.51</v>
      </c>
      <c r="N246" s="60">
        <v>4.49</v>
      </c>
      <c r="O246" s="60">
        <v>4.47</v>
      </c>
      <c r="P246" s="60">
        <v>4.45</v>
      </c>
      <c r="Q246" s="60">
        <v>4.42</v>
      </c>
      <c r="R246" s="60">
        <v>4.4000000000000004</v>
      </c>
      <c r="S246" s="60">
        <v>4.38</v>
      </c>
      <c r="T246" s="60">
        <v>4.3600000000000003</v>
      </c>
      <c r="U246" s="60">
        <v>4.34</v>
      </c>
      <c r="V246" s="60">
        <v>4.32</v>
      </c>
      <c r="W246" s="60">
        <v>4.29</v>
      </c>
      <c r="X246" s="60">
        <v>4.2699999999999996</v>
      </c>
      <c r="Y246" s="60">
        <v>4.25</v>
      </c>
      <c r="Z246" s="60">
        <v>4.2300000000000004</v>
      </c>
      <c r="AA246" s="60">
        <v>4.21</v>
      </c>
      <c r="AB246" s="60">
        <v>4.18</v>
      </c>
      <c r="AC246" s="60">
        <v>4.16</v>
      </c>
      <c r="AD246" s="60">
        <v>4.1399999999999997</v>
      </c>
      <c r="AE246" s="60">
        <v>4.12</v>
      </c>
      <c r="AF246" s="60">
        <v>4.0999999999999996</v>
      </c>
      <c r="AG246" s="60">
        <v>4.08</v>
      </c>
      <c r="AH246" s="60">
        <v>4.05</v>
      </c>
      <c r="AI246" s="60">
        <v>4.03</v>
      </c>
      <c r="AJ246" s="60">
        <v>4.01</v>
      </c>
      <c r="AK246" s="60">
        <v>3.99</v>
      </c>
      <c r="AL246" s="60">
        <v>3.97</v>
      </c>
      <c r="AM246" s="60">
        <v>3.94</v>
      </c>
    </row>
    <row r="247" spans="1:39" ht="15.75" outlineLevel="1" thickBot="1">
      <c r="A247" s="59" t="s">
        <v>107</v>
      </c>
      <c r="B247" s="60">
        <v>0</v>
      </c>
      <c r="C247" s="60">
        <v>0</v>
      </c>
      <c r="D247" s="60">
        <v>0</v>
      </c>
      <c r="E247" s="60">
        <v>0</v>
      </c>
      <c r="F247" s="60">
        <v>0</v>
      </c>
      <c r="G247" s="60">
        <v>0</v>
      </c>
      <c r="H247" s="60">
        <v>0</v>
      </c>
      <c r="I247" s="60">
        <v>0</v>
      </c>
      <c r="J247" s="60">
        <v>0</v>
      </c>
      <c r="K247" s="60">
        <v>0</v>
      </c>
      <c r="L247" s="60">
        <v>0</v>
      </c>
      <c r="M247" s="60">
        <v>0</v>
      </c>
      <c r="N247" s="60">
        <v>0</v>
      </c>
      <c r="O247" s="60">
        <v>0</v>
      </c>
      <c r="P247" s="60">
        <v>0</v>
      </c>
      <c r="Q247" s="60">
        <v>0</v>
      </c>
      <c r="R247" s="60">
        <v>0</v>
      </c>
      <c r="S247" s="60">
        <v>0</v>
      </c>
      <c r="T247" s="60">
        <v>0</v>
      </c>
      <c r="U247" s="60">
        <v>0</v>
      </c>
      <c r="V247" s="60">
        <v>0</v>
      </c>
      <c r="W247" s="60">
        <v>0</v>
      </c>
      <c r="X247" s="60">
        <v>0</v>
      </c>
      <c r="Y247" s="60">
        <v>0</v>
      </c>
      <c r="Z247" s="60">
        <v>0</v>
      </c>
      <c r="AA247" s="60">
        <v>0</v>
      </c>
      <c r="AB247" s="60">
        <v>0</v>
      </c>
      <c r="AC247" s="60">
        <v>0</v>
      </c>
      <c r="AD247" s="60">
        <v>0</v>
      </c>
      <c r="AE247" s="60">
        <v>0</v>
      </c>
      <c r="AF247" s="60">
        <v>0</v>
      </c>
      <c r="AG247" s="60">
        <v>0</v>
      </c>
      <c r="AH247" s="60">
        <v>0</v>
      </c>
      <c r="AI247" s="60">
        <v>0</v>
      </c>
      <c r="AJ247" s="60">
        <v>0</v>
      </c>
      <c r="AK247" s="60">
        <v>0</v>
      </c>
      <c r="AL247" s="60">
        <v>0</v>
      </c>
      <c r="AM247" s="60">
        <v>0</v>
      </c>
    </row>
    <row r="248" spans="1:39" ht="15.75" outlineLevel="1" thickBot="1">
      <c r="A248" s="61" t="s">
        <v>108</v>
      </c>
      <c r="B248" s="62">
        <v>0</v>
      </c>
      <c r="C248" s="62">
        <v>0</v>
      </c>
      <c r="D248" s="62">
        <v>0</v>
      </c>
      <c r="E248" s="62">
        <v>0</v>
      </c>
      <c r="F248" s="62">
        <v>0</v>
      </c>
      <c r="G248" s="62">
        <v>0</v>
      </c>
      <c r="H248" s="62">
        <v>0</v>
      </c>
      <c r="I248" s="62">
        <v>0</v>
      </c>
      <c r="J248" s="62">
        <v>0</v>
      </c>
      <c r="K248" s="62">
        <v>0</v>
      </c>
      <c r="L248" s="62">
        <v>0</v>
      </c>
      <c r="M248" s="62">
        <v>0</v>
      </c>
      <c r="N248" s="62">
        <v>0</v>
      </c>
      <c r="O248" s="62">
        <v>0</v>
      </c>
      <c r="P248" s="62">
        <v>0</v>
      </c>
      <c r="Q248" s="62">
        <v>0</v>
      </c>
      <c r="R248" s="62">
        <v>0</v>
      </c>
      <c r="S248" s="62">
        <v>0</v>
      </c>
      <c r="T248" s="62">
        <v>0</v>
      </c>
      <c r="U248" s="62">
        <v>0</v>
      </c>
      <c r="V248" s="62">
        <v>0</v>
      </c>
      <c r="W248" s="62">
        <v>0</v>
      </c>
      <c r="X248" s="62">
        <v>0</v>
      </c>
      <c r="Y248" s="62">
        <v>0</v>
      </c>
      <c r="Z248" s="62">
        <v>0</v>
      </c>
      <c r="AA248" s="62">
        <v>0</v>
      </c>
      <c r="AB248" s="62">
        <v>0</v>
      </c>
      <c r="AC248" s="62">
        <v>0</v>
      </c>
      <c r="AD248" s="62">
        <v>0</v>
      </c>
      <c r="AE248" s="62">
        <v>0</v>
      </c>
      <c r="AF248" s="62">
        <v>0</v>
      </c>
      <c r="AG248" s="62">
        <v>0</v>
      </c>
      <c r="AH248" s="62">
        <v>0</v>
      </c>
      <c r="AI248" s="62">
        <v>0</v>
      </c>
      <c r="AJ248" s="62">
        <v>0</v>
      </c>
      <c r="AK248" s="62">
        <v>0</v>
      </c>
      <c r="AL248" s="62">
        <v>0</v>
      </c>
      <c r="AM248" s="62">
        <v>0</v>
      </c>
    </row>
    <row r="249" spans="1:39" ht="17.25" collapsed="1" thickTop="1" thickBot="1">
      <c r="A249" s="65" t="s">
        <v>116</v>
      </c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</row>
    <row r="250" spans="1:39" ht="16.5" hidden="1" outlineLevel="1" thickTop="1" thickBot="1">
      <c r="A250" s="57" t="s">
        <v>41</v>
      </c>
      <c r="B250" s="58">
        <v>2013</v>
      </c>
      <c r="C250" s="58">
        <v>2014</v>
      </c>
      <c r="D250" s="58">
        <v>2015</v>
      </c>
      <c r="E250" s="58">
        <v>2016</v>
      </c>
      <c r="F250" s="58">
        <v>2017</v>
      </c>
      <c r="G250" s="58">
        <v>2018</v>
      </c>
      <c r="H250" s="58">
        <v>2019</v>
      </c>
      <c r="I250" s="58">
        <v>2020</v>
      </c>
      <c r="J250" s="58">
        <v>2021</v>
      </c>
      <c r="K250" s="58">
        <v>2022</v>
      </c>
      <c r="L250" s="58">
        <v>2023</v>
      </c>
      <c r="M250" s="58">
        <v>2024</v>
      </c>
      <c r="N250" s="58">
        <v>2025</v>
      </c>
      <c r="O250" s="58">
        <v>2026</v>
      </c>
      <c r="P250" s="58">
        <v>2027</v>
      </c>
      <c r="Q250" s="58">
        <v>2028</v>
      </c>
      <c r="R250" s="58">
        <v>2029</v>
      </c>
      <c r="S250" s="58">
        <v>2030</v>
      </c>
      <c r="T250" s="58">
        <v>2031</v>
      </c>
      <c r="U250" s="58">
        <v>2032</v>
      </c>
      <c r="V250" s="58">
        <v>2033</v>
      </c>
      <c r="W250" s="58">
        <v>2034</v>
      </c>
      <c r="X250" s="58">
        <v>2035</v>
      </c>
      <c r="Y250" s="58">
        <v>2036</v>
      </c>
      <c r="Z250" s="58">
        <v>2037</v>
      </c>
      <c r="AA250" s="58">
        <v>2038</v>
      </c>
      <c r="AB250" s="58">
        <v>2039</v>
      </c>
      <c r="AC250" s="58">
        <v>2040</v>
      </c>
      <c r="AD250" s="58">
        <v>2041</v>
      </c>
      <c r="AE250" s="58">
        <v>2042</v>
      </c>
      <c r="AF250" s="58">
        <v>2043</v>
      </c>
      <c r="AG250" s="58">
        <v>2044</v>
      </c>
      <c r="AH250" s="58">
        <v>2045</v>
      </c>
      <c r="AI250" s="58">
        <v>2046</v>
      </c>
      <c r="AJ250" s="58">
        <v>2047</v>
      </c>
      <c r="AK250" s="58">
        <v>2048</v>
      </c>
      <c r="AL250" s="58">
        <v>2049</v>
      </c>
      <c r="AM250" s="58">
        <v>2050</v>
      </c>
    </row>
    <row r="251" spans="1:39" ht="16.5" hidden="1" outlineLevel="1" thickTop="1" thickBot="1">
      <c r="A251" s="59" t="s">
        <v>83</v>
      </c>
      <c r="B251" s="60">
        <v>0</v>
      </c>
      <c r="C251" s="60">
        <v>0</v>
      </c>
      <c r="D251" s="60">
        <v>0</v>
      </c>
      <c r="E251" s="60">
        <v>0</v>
      </c>
      <c r="F251" s="60">
        <v>0</v>
      </c>
      <c r="G251" s="60">
        <v>0</v>
      </c>
      <c r="H251" s="60">
        <v>0</v>
      </c>
      <c r="I251" s="60">
        <v>0</v>
      </c>
      <c r="J251" s="60">
        <v>0</v>
      </c>
      <c r="K251" s="60">
        <v>0</v>
      </c>
      <c r="L251" s="60">
        <v>0</v>
      </c>
      <c r="M251" s="60">
        <v>0</v>
      </c>
      <c r="N251" s="60">
        <v>0</v>
      </c>
      <c r="O251" s="60">
        <v>0</v>
      </c>
      <c r="P251" s="60">
        <v>0</v>
      </c>
      <c r="Q251" s="60">
        <v>0</v>
      </c>
      <c r="R251" s="60">
        <v>0</v>
      </c>
      <c r="S251" s="60">
        <v>0</v>
      </c>
      <c r="T251" s="60">
        <v>0</v>
      </c>
      <c r="U251" s="60">
        <v>0</v>
      </c>
      <c r="V251" s="60">
        <v>0</v>
      </c>
      <c r="W251" s="60">
        <v>0</v>
      </c>
      <c r="X251" s="60">
        <v>0</v>
      </c>
      <c r="Y251" s="60">
        <v>0</v>
      </c>
      <c r="Z251" s="60">
        <v>0</v>
      </c>
      <c r="AA251" s="60">
        <v>0</v>
      </c>
      <c r="AB251" s="60">
        <v>0</v>
      </c>
      <c r="AC251" s="60">
        <v>0</v>
      </c>
      <c r="AD251" s="60">
        <v>0</v>
      </c>
      <c r="AE251" s="60">
        <v>0</v>
      </c>
      <c r="AF251" s="60">
        <v>0</v>
      </c>
      <c r="AG251" s="60">
        <v>0</v>
      </c>
      <c r="AH251" s="60">
        <v>0</v>
      </c>
      <c r="AI251" s="60">
        <v>0</v>
      </c>
      <c r="AJ251" s="60">
        <v>0</v>
      </c>
      <c r="AK251" s="60">
        <v>0</v>
      </c>
      <c r="AL251" s="60">
        <v>0</v>
      </c>
      <c r="AM251" s="60">
        <v>0</v>
      </c>
    </row>
    <row r="252" spans="1:39" ht="15.75" hidden="1" outlineLevel="1" thickBot="1">
      <c r="A252" s="59" t="s">
        <v>84</v>
      </c>
      <c r="B252" s="60">
        <v>0</v>
      </c>
      <c r="C252" s="60">
        <v>0</v>
      </c>
      <c r="D252" s="60">
        <v>0</v>
      </c>
      <c r="E252" s="60">
        <v>0</v>
      </c>
      <c r="F252" s="60">
        <v>0</v>
      </c>
      <c r="G252" s="60">
        <v>0</v>
      </c>
      <c r="H252" s="60">
        <v>0</v>
      </c>
      <c r="I252" s="60">
        <v>0</v>
      </c>
      <c r="J252" s="60">
        <v>0</v>
      </c>
      <c r="K252" s="60">
        <v>0</v>
      </c>
      <c r="L252" s="60">
        <v>0</v>
      </c>
      <c r="M252" s="60">
        <v>0</v>
      </c>
      <c r="N252" s="60">
        <v>0</v>
      </c>
      <c r="O252" s="60">
        <v>0</v>
      </c>
      <c r="P252" s="60">
        <v>0</v>
      </c>
      <c r="Q252" s="60">
        <v>0</v>
      </c>
      <c r="R252" s="60">
        <v>0</v>
      </c>
      <c r="S252" s="60">
        <v>0</v>
      </c>
      <c r="T252" s="60">
        <v>0</v>
      </c>
      <c r="U252" s="60">
        <v>0</v>
      </c>
      <c r="V252" s="60">
        <v>0</v>
      </c>
      <c r="W252" s="60">
        <v>0</v>
      </c>
      <c r="X252" s="60">
        <v>0</v>
      </c>
      <c r="Y252" s="60">
        <v>0</v>
      </c>
      <c r="Z252" s="60">
        <v>0</v>
      </c>
      <c r="AA252" s="60">
        <v>0</v>
      </c>
      <c r="AB252" s="60">
        <v>0</v>
      </c>
      <c r="AC252" s="60">
        <v>0</v>
      </c>
      <c r="AD252" s="60">
        <v>0</v>
      </c>
      <c r="AE252" s="60">
        <v>0</v>
      </c>
      <c r="AF252" s="60">
        <v>0</v>
      </c>
      <c r="AG252" s="60">
        <v>0</v>
      </c>
      <c r="AH252" s="60">
        <v>0</v>
      </c>
      <c r="AI252" s="60">
        <v>0</v>
      </c>
      <c r="AJ252" s="60">
        <v>0</v>
      </c>
      <c r="AK252" s="60">
        <v>0</v>
      </c>
      <c r="AL252" s="60">
        <v>0</v>
      </c>
      <c r="AM252" s="60">
        <v>0</v>
      </c>
    </row>
    <row r="253" spans="1:39" ht="15.75" hidden="1" outlineLevel="1" thickBot="1">
      <c r="A253" s="59" t="s">
        <v>85</v>
      </c>
      <c r="B253" s="60">
        <v>0</v>
      </c>
      <c r="C253" s="60">
        <v>0</v>
      </c>
      <c r="D253" s="60">
        <v>0</v>
      </c>
      <c r="E253" s="60">
        <v>0</v>
      </c>
      <c r="F253" s="60">
        <v>0</v>
      </c>
      <c r="G253" s="60">
        <v>0</v>
      </c>
      <c r="H253" s="60">
        <v>0</v>
      </c>
      <c r="I253" s="60">
        <v>0</v>
      </c>
      <c r="J253" s="60">
        <v>0</v>
      </c>
      <c r="K253" s="60">
        <v>0</v>
      </c>
      <c r="L253" s="60">
        <v>0</v>
      </c>
      <c r="M253" s="60">
        <v>0</v>
      </c>
      <c r="N253" s="60">
        <v>0</v>
      </c>
      <c r="O253" s="60">
        <v>0</v>
      </c>
      <c r="P253" s="60">
        <v>0</v>
      </c>
      <c r="Q253" s="60">
        <v>0</v>
      </c>
      <c r="R253" s="60">
        <v>0</v>
      </c>
      <c r="S253" s="60">
        <v>0</v>
      </c>
      <c r="T253" s="60">
        <v>0</v>
      </c>
      <c r="U253" s="60">
        <v>0</v>
      </c>
      <c r="V253" s="60">
        <v>0</v>
      </c>
      <c r="W253" s="60">
        <v>0</v>
      </c>
      <c r="X253" s="60">
        <v>0</v>
      </c>
      <c r="Y253" s="60">
        <v>0</v>
      </c>
      <c r="Z253" s="60">
        <v>0</v>
      </c>
      <c r="AA253" s="60">
        <v>0</v>
      </c>
      <c r="AB253" s="60">
        <v>0</v>
      </c>
      <c r="AC253" s="60">
        <v>0</v>
      </c>
      <c r="AD253" s="60">
        <v>0</v>
      </c>
      <c r="AE253" s="60">
        <v>0</v>
      </c>
      <c r="AF253" s="60">
        <v>0</v>
      </c>
      <c r="AG253" s="60">
        <v>0</v>
      </c>
      <c r="AH253" s="60">
        <v>0</v>
      </c>
      <c r="AI253" s="60">
        <v>0</v>
      </c>
      <c r="AJ253" s="60">
        <v>0</v>
      </c>
      <c r="AK253" s="60">
        <v>0</v>
      </c>
      <c r="AL253" s="60">
        <v>0</v>
      </c>
      <c r="AM253" s="60">
        <v>0</v>
      </c>
    </row>
    <row r="254" spans="1:39" ht="15.75" hidden="1" outlineLevel="1" thickBot="1">
      <c r="A254" s="59" t="s">
        <v>86</v>
      </c>
      <c r="B254" s="60">
        <v>0</v>
      </c>
      <c r="C254" s="60">
        <v>0</v>
      </c>
      <c r="D254" s="60">
        <v>0</v>
      </c>
      <c r="E254" s="60">
        <v>0</v>
      </c>
      <c r="F254" s="60">
        <v>0</v>
      </c>
      <c r="G254" s="60">
        <v>0</v>
      </c>
      <c r="H254" s="60">
        <v>0</v>
      </c>
      <c r="I254" s="60">
        <v>0</v>
      </c>
      <c r="J254" s="60">
        <v>0</v>
      </c>
      <c r="K254" s="60">
        <v>0</v>
      </c>
      <c r="L254" s="60">
        <v>0</v>
      </c>
      <c r="M254" s="60">
        <v>0</v>
      </c>
      <c r="N254" s="60">
        <v>0</v>
      </c>
      <c r="O254" s="60">
        <v>0</v>
      </c>
      <c r="P254" s="60">
        <v>0</v>
      </c>
      <c r="Q254" s="60">
        <v>0</v>
      </c>
      <c r="R254" s="60">
        <v>0</v>
      </c>
      <c r="S254" s="60">
        <v>0</v>
      </c>
      <c r="T254" s="60">
        <v>0</v>
      </c>
      <c r="U254" s="60">
        <v>0</v>
      </c>
      <c r="V254" s="60">
        <v>0</v>
      </c>
      <c r="W254" s="60">
        <v>0</v>
      </c>
      <c r="X254" s="60">
        <v>0</v>
      </c>
      <c r="Y254" s="60">
        <v>0</v>
      </c>
      <c r="Z254" s="60">
        <v>0</v>
      </c>
      <c r="AA254" s="60">
        <v>0</v>
      </c>
      <c r="AB254" s="60">
        <v>0</v>
      </c>
      <c r="AC254" s="60">
        <v>0</v>
      </c>
      <c r="AD254" s="60">
        <v>0</v>
      </c>
      <c r="AE254" s="60">
        <v>0</v>
      </c>
      <c r="AF254" s="60">
        <v>0</v>
      </c>
      <c r="AG254" s="60">
        <v>0</v>
      </c>
      <c r="AH254" s="60">
        <v>0</v>
      </c>
      <c r="AI254" s="60">
        <v>0</v>
      </c>
      <c r="AJ254" s="60">
        <v>0</v>
      </c>
      <c r="AK254" s="60">
        <v>0</v>
      </c>
      <c r="AL254" s="60">
        <v>0</v>
      </c>
      <c r="AM254" s="60">
        <v>0</v>
      </c>
    </row>
    <row r="255" spans="1:39" ht="15.75" hidden="1" outlineLevel="1" thickBot="1">
      <c r="A255" s="59" t="s">
        <v>87</v>
      </c>
      <c r="B255" s="60">
        <v>0</v>
      </c>
      <c r="C255" s="60">
        <v>0</v>
      </c>
      <c r="D255" s="60">
        <v>0</v>
      </c>
      <c r="E255" s="60">
        <v>0</v>
      </c>
      <c r="F255" s="60">
        <v>0</v>
      </c>
      <c r="G255" s="60">
        <v>0</v>
      </c>
      <c r="H255" s="60">
        <v>0</v>
      </c>
      <c r="I255" s="60">
        <v>0</v>
      </c>
      <c r="J255" s="60">
        <v>0</v>
      </c>
      <c r="K255" s="60">
        <v>0</v>
      </c>
      <c r="L255" s="60">
        <v>0</v>
      </c>
      <c r="M255" s="60">
        <v>0</v>
      </c>
      <c r="N255" s="60">
        <v>0</v>
      </c>
      <c r="O255" s="60">
        <v>0</v>
      </c>
      <c r="P255" s="60">
        <v>0</v>
      </c>
      <c r="Q255" s="60">
        <v>0</v>
      </c>
      <c r="R255" s="60">
        <v>0</v>
      </c>
      <c r="S255" s="60">
        <v>0</v>
      </c>
      <c r="T255" s="60">
        <v>0</v>
      </c>
      <c r="U255" s="60">
        <v>0</v>
      </c>
      <c r="V255" s="60">
        <v>0</v>
      </c>
      <c r="W255" s="60">
        <v>0</v>
      </c>
      <c r="X255" s="60">
        <v>0</v>
      </c>
      <c r="Y255" s="60">
        <v>0</v>
      </c>
      <c r="Z255" s="60">
        <v>0</v>
      </c>
      <c r="AA255" s="60">
        <v>0</v>
      </c>
      <c r="AB255" s="60">
        <v>0</v>
      </c>
      <c r="AC255" s="60">
        <v>0</v>
      </c>
      <c r="AD255" s="60">
        <v>0</v>
      </c>
      <c r="AE255" s="60">
        <v>0</v>
      </c>
      <c r="AF255" s="60">
        <v>0</v>
      </c>
      <c r="AG255" s="60">
        <v>0</v>
      </c>
      <c r="AH255" s="60">
        <v>0</v>
      </c>
      <c r="AI255" s="60">
        <v>0</v>
      </c>
      <c r="AJ255" s="60">
        <v>0</v>
      </c>
      <c r="AK255" s="60">
        <v>0</v>
      </c>
      <c r="AL255" s="60">
        <v>0</v>
      </c>
      <c r="AM255" s="60">
        <v>0</v>
      </c>
    </row>
    <row r="256" spans="1:39" ht="15.75" hidden="1" outlineLevel="1" thickBot="1">
      <c r="A256" s="59" t="s">
        <v>88</v>
      </c>
      <c r="B256" s="60">
        <v>0</v>
      </c>
      <c r="C256" s="60">
        <v>0</v>
      </c>
      <c r="D256" s="60">
        <v>0</v>
      </c>
      <c r="E256" s="60">
        <v>0</v>
      </c>
      <c r="F256" s="60">
        <v>0</v>
      </c>
      <c r="G256" s="60">
        <v>0</v>
      </c>
      <c r="H256" s="60">
        <v>0</v>
      </c>
      <c r="I256" s="60">
        <v>0</v>
      </c>
      <c r="J256" s="60">
        <v>0</v>
      </c>
      <c r="K256" s="60">
        <v>0</v>
      </c>
      <c r="L256" s="60">
        <v>0</v>
      </c>
      <c r="M256" s="60">
        <v>0</v>
      </c>
      <c r="N256" s="60">
        <v>0</v>
      </c>
      <c r="O256" s="60">
        <v>0</v>
      </c>
      <c r="P256" s="60">
        <v>0</v>
      </c>
      <c r="Q256" s="60">
        <v>0</v>
      </c>
      <c r="R256" s="60">
        <v>0</v>
      </c>
      <c r="S256" s="60">
        <v>0</v>
      </c>
      <c r="T256" s="60">
        <v>0</v>
      </c>
      <c r="U256" s="60">
        <v>0</v>
      </c>
      <c r="V256" s="60">
        <v>0</v>
      </c>
      <c r="W256" s="60">
        <v>0</v>
      </c>
      <c r="X256" s="60">
        <v>0</v>
      </c>
      <c r="Y256" s="60">
        <v>0</v>
      </c>
      <c r="Z256" s="60">
        <v>0</v>
      </c>
      <c r="AA256" s="60">
        <v>0</v>
      </c>
      <c r="AB256" s="60">
        <v>0</v>
      </c>
      <c r="AC256" s="60">
        <v>0</v>
      </c>
      <c r="AD256" s="60">
        <v>0</v>
      </c>
      <c r="AE256" s="60">
        <v>0</v>
      </c>
      <c r="AF256" s="60">
        <v>0</v>
      </c>
      <c r="AG256" s="60">
        <v>0</v>
      </c>
      <c r="AH256" s="60">
        <v>0</v>
      </c>
      <c r="AI256" s="60">
        <v>0</v>
      </c>
      <c r="AJ256" s="60">
        <v>0</v>
      </c>
      <c r="AK256" s="60">
        <v>0</v>
      </c>
      <c r="AL256" s="60">
        <v>0</v>
      </c>
      <c r="AM256" s="60">
        <v>0</v>
      </c>
    </row>
    <row r="257" spans="1:39" ht="15.75" hidden="1" outlineLevel="1" thickBot="1">
      <c r="A257" s="59" t="s">
        <v>89</v>
      </c>
      <c r="B257" s="60">
        <v>0</v>
      </c>
      <c r="C257" s="60">
        <v>0</v>
      </c>
      <c r="D257" s="60">
        <v>0</v>
      </c>
      <c r="E257" s="60">
        <v>0</v>
      </c>
      <c r="F257" s="60">
        <v>0</v>
      </c>
      <c r="G257" s="60">
        <v>0</v>
      </c>
      <c r="H257" s="60">
        <v>0</v>
      </c>
      <c r="I257" s="60">
        <v>0</v>
      </c>
      <c r="J257" s="60">
        <v>0</v>
      </c>
      <c r="K257" s="60">
        <v>0</v>
      </c>
      <c r="L257" s="60">
        <v>0</v>
      </c>
      <c r="M257" s="60">
        <v>0</v>
      </c>
      <c r="N257" s="60">
        <v>0</v>
      </c>
      <c r="O257" s="60">
        <v>0</v>
      </c>
      <c r="P257" s="60">
        <v>0</v>
      </c>
      <c r="Q257" s="60">
        <v>0</v>
      </c>
      <c r="R257" s="60">
        <v>0</v>
      </c>
      <c r="S257" s="60">
        <v>0</v>
      </c>
      <c r="T257" s="60">
        <v>0</v>
      </c>
      <c r="U257" s="60">
        <v>0</v>
      </c>
      <c r="V257" s="60">
        <v>0</v>
      </c>
      <c r="W257" s="60">
        <v>0</v>
      </c>
      <c r="X257" s="60">
        <v>0</v>
      </c>
      <c r="Y257" s="60">
        <v>0</v>
      </c>
      <c r="Z257" s="60">
        <v>0</v>
      </c>
      <c r="AA257" s="60">
        <v>0</v>
      </c>
      <c r="AB257" s="60">
        <v>0</v>
      </c>
      <c r="AC257" s="60">
        <v>0</v>
      </c>
      <c r="AD257" s="60">
        <v>0</v>
      </c>
      <c r="AE257" s="60">
        <v>0</v>
      </c>
      <c r="AF257" s="60">
        <v>0</v>
      </c>
      <c r="AG257" s="60">
        <v>0</v>
      </c>
      <c r="AH257" s="60">
        <v>0</v>
      </c>
      <c r="AI257" s="60">
        <v>0</v>
      </c>
      <c r="AJ257" s="60">
        <v>0</v>
      </c>
      <c r="AK257" s="60">
        <v>0</v>
      </c>
      <c r="AL257" s="60">
        <v>0</v>
      </c>
      <c r="AM257" s="60">
        <v>0</v>
      </c>
    </row>
    <row r="258" spans="1:39" ht="15.75" hidden="1" outlineLevel="1" thickBot="1">
      <c r="A258" s="59" t="s">
        <v>90</v>
      </c>
      <c r="B258" s="60">
        <v>0</v>
      </c>
      <c r="C258" s="60">
        <v>0</v>
      </c>
      <c r="D258" s="60">
        <v>0</v>
      </c>
      <c r="E258" s="60">
        <v>0</v>
      </c>
      <c r="F258" s="60">
        <v>0</v>
      </c>
      <c r="G258" s="60">
        <v>0</v>
      </c>
      <c r="H258" s="60">
        <v>0</v>
      </c>
      <c r="I258" s="60">
        <v>0</v>
      </c>
      <c r="J258" s="60">
        <v>0</v>
      </c>
      <c r="K258" s="60">
        <v>0</v>
      </c>
      <c r="L258" s="60">
        <v>0</v>
      </c>
      <c r="M258" s="60">
        <v>0</v>
      </c>
      <c r="N258" s="60">
        <v>0</v>
      </c>
      <c r="O258" s="60">
        <v>0</v>
      </c>
      <c r="P258" s="60">
        <v>0</v>
      </c>
      <c r="Q258" s="60">
        <v>0</v>
      </c>
      <c r="R258" s="60">
        <v>0</v>
      </c>
      <c r="S258" s="60">
        <v>0</v>
      </c>
      <c r="T258" s="60">
        <v>0</v>
      </c>
      <c r="U258" s="60">
        <v>0</v>
      </c>
      <c r="V258" s="60">
        <v>0</v>
      </c>
      <c r="W258" s="60">
        <v>0</v>
      </c>
      <c r="X258" s="60">
        <v>0</v>
      </c>
      <c r="Y258" s="60">
        <v>0</v>
      </c>
      <c r="Z258" s="60">
        <v>0</v>
      </c>
      <c r="AA258" s="60">
        <v>0</v>
      </c>
      <c r="AB258" s="60">
        <v>0</v>
      </c>
      <c r="AC258" s="60">
        <v>0</v>
      </c>
      <c r="AD258" s="60">
        <v>0</v>
      </c>
      <c r="AE258" s="60">
        <v>0</v>
      </c>
      <c r="AF258" s="60">
        <v>0</v>
      </c>
      <c r="AG258" s="60">
        <v>0</v>
      </c>
      <c r="AH258" s="60">
        <v>0</v>
      </c>
      <c r="AI258" s="60">
        <v>0</v>
      </c>
      <c r="AJ258" s="60">
        <v>0</v>
      </c>
      <c r="AK258" s="60">
        <v>0</v>
      </c>
      <c r="AL258" s="60">
        <v>0</v>
      </c>
      <c r="AM258" s="60">
        <v>0</v>
      </c>
    </row>
    <row r="259" spans="1:39" ht="15.75" hidden="1" outlineLevel="1" thickBot="1">
      <c r="A259" s="59" t="s">
        <v>91</v>
      </c>
      <c r="B259" s="60">
        <v>0</v>
      </c>
      <c r="C259" s="60">
        <v>0</v>
      </c>
      <c r="D259" s="60">
        <v>0</v>
      </c>
      <c r="E259" s="60">
        <v>0</v>
      </c>
      <c r="F259" s="60">
        <v>0</v>
      </c>
      <c r="G259" s="60">
        <v>0</v>
      </c>
      <c r="H259" s="60">
        <v>0</v>
      </c>
      <c r="I259" s="60">
        <v>0</v>
      </c>
      <c r="J259" s="60">
        <v>0</v>
      </c>
      <c r="K259" s="60">
        <v>0</v>
      </c>
      <c r="L259" s="60">
        <v>0</v>
      </c>
      <c r="M259" s="60">
        <v>0</v>
      </c>
      <c r="N259" s="60">
        <v>0</v>
      </c>
      <c r="O259" s="60">
        <v>0</v>
      </c>
      <c r="P259" s="60">
        <v>0</v>
      </c>
      <c r="Q259" s="60">
        <v>0</v>
      </c>
      <c r="R259" s="60">
        <v>0</v>
      </c>
      <c r="S259" s="60">
        <v>0</v>
      </c>
      <c r="T259" s="60">
        <v>0</v>
      </c>
      <c r="U259" s="60">
        <v>0</v>
      </c>
      <c r="V259" s="60">
        <v>0</v>
      </c>
      <c r="W259" s="60">
        <v>0</v>
      </c>
      <c r="X259" s="60">
        <v>0</v>
      </c>
      <c r="Y259" s="60">
        <v>0</v>
      </c>
      <c r="Z259" s="60">
        <v>0</v>
      </c>
      <c r="AA259" s="60">
        <v>0</v>
      </c>
      <c r="AB259" s="60">
        <v>0</v>
      </c>
      <c r="AC259" s="60">
        <v>0</v>
      </c>
      <c r="AD259" s="60">
        <v>0</v>
      </c>
      <c r="AE259" s="60">
        <v>0</v>
      </c>
      <c r="AF259" s="60">
        <v>0</v>
      </c>
      <c r="AG259" s="60">
        <v>0</v>
      </c>
      <c r="AH259" s="60">
        <v>0</v>
      </c>
      <c r="AI259" s="60">
        <v>0</v>
      </c>
      <c r="AJ259" s="60">
        <v>0</v>
      </c>
      <c r="AK259" s="60">
        <v>0</v>
      </c>
      <c r="AL259" s="60">
        <v>0</v>
      </c>
      <c r="AM259" s="60">
        <v>0</v>
      </c>
    </row>
    <row r="260" spans="1:39" ht="15.75" hidden="1" outlineLevel="1" thickBot="1">
      <c r="A260" s="59" t="s">
        <v>92</v>
      </c>
      <c r="B260" s="60">
        <v>118.59</v>
      </c>
      <c r="C260" s="60">
        <v>67.33</v>
      </c>
      <c r="D260" s="60">
        <v>65.599999999999994</v>
      </c>
      <c r="E260" s="60">
        <v>66.06</v>
      </c>
      <c r="F260" s="60">
        <v>70.540000000000006</v>
      </c>
      <c r="G260" s="60">
        <v>74.010000000000005</v>
      </c>
      <c r="H260" s="60">
        <v>71.3</v>
      </c>
      <c r="I260" s="60">
        <v>62.85</v>
      </c>
      <c r="J260" s="60">
        <v>72.97</v>
      </c>
      <c r="K260" s="60">
        <v>72.510000000000005</v>
      </c>
      <c r="L260" s="60">
        <v>71.64</v>
      </c>
      <c r="M260" s="60">
        <v>70.78</v>
      </c>
      <c r="N260" s="60">
        <v>69.91</v>
      </c>
      <c r="O260" s="60">
        <v>69.05</v>
      </c>
      <c r="P260" s="60">
        <v>68.19</v>
      </c>
      <c r="Q260" s="60">
        <v>67.319999999999993</v>
      </c>
      <c r="R260" s="60">
        <v>66.459999999999994</v>
      </c>
      <c r="S260" s="60">
        <v>65.59</v>
      </c>
      <c r="T260" s="60">
        <v>64.73</v>
      </c>
      <c r="U260" s="60">
        <v>63.86</v>
      </c>
      <c r="V260" s="60">
        <v>63</v>
      </c>
      <c r="W260" s="60">
        <v>62.13</v>
      </c>
      <c r="X260" s="60">
        <v>61.27</v>
      </c>
      <c r="Y260" s="60">
        <v>60.4</v>
      </c>
      <c r="Z260" s="60">
        <v>59.54</v>
      </c>
      <c r="AA260" s="60">
        <v>58.67</v>
      </c>
      <c r="AB260" s="60">
        <v>57.81</v>
      </c>
      <c r="AC260" s="60">
        <v>56.95</v>
      </c>
      <c r="AD260" s="60">
        <v>56.08</v>
      </c>
      <c r="AE260" s="60">
        <v>55.22</v>
      </c>
      <c r="AF260" s="60">
        <v>54.35</v>
      </c>
      <c r="AG260" s="60">
        <v>53.49</v>
      </c>
      <c r="AH260" s="60">
        <v>52.62</v>
      </c>
      <c r="AI260" s="60">
        <v>51.76</v>
      </c>
      <c r="AJ260" s="60">
        <v>50.89</v>
      </c>
      <c r="AK260" s="60">
        <v>50.03</v>
      </c>
      <c r="AL260" s="60">
        <v>49.16</v>
      </c>
      <c r="AM260" s="60">
        <v>48.3</v>
      </c>
    </row>
    <row r="261" spans="1:39" ht="15.75" hidden="1" outlineLevel="1" thickBot="1">
      <c r="A261" s="59" t="s">
        <v>93</v>
      </c>
      <c r="B261" s="60">
        <v>0</v>
      </c>
      <c r="C261" s="60">
        <v>0</v>
      </c>
      <c r="D261" s="60">
        <v>0</v>
      </c>
      <c r="E261" s="60">
        <v>0</v>
      </c>
      <c r="F261" s="60">
        <v>0</v>
      </c>
      <c r="G261" s="60">
        <v>0</v>
      </c>
      <c r="H261" s="60">
        <v>0</v>
      </c>
      <c r="I261" s="60">
        <v>0</v>
      </c>
      <c r="J261" s="60">
        <v>0</v>
      </c>
      <c r="K261" s="60">
        <v>0</v>
      </c>
      <c r="L261" s="60">
        <v>0</v>
      </c>
      <c r="M261" s="60">
        <v>0</v>
      </c>
      <c r="N261" s="60">
        <v>0</v>
      </c>
      <c r="O261" s="60">
        <v>0</v>
      </c>
      <c r="P261" s="60">
        <v>0</v>
      </c>
      <c r="Q261" s="60">
        <v>0</v>
      </c>
      <c r="R261" s="60">
        <v>0</v>
      </c>
      <c r="S261" s="60">
        <v>0</v>
      </c>
      <c r="T261" s="60">
        <v>0</v>
      </c>
      <c r="U261" s="60">
        <v>0</v>
      </c>
      <c r="V261" s="60">
        <v>0</v>
      </c>
      <c r="W261" s="60">
        <v>0</v>
      </c>
      <c r="X261" s="60">
        <v>0</v>
      </c>
      <c r="Y261" s="60">
        <v>0</v>
      </c>
      <c r="Z261" s="60">
        <v>0</v>
      </c>
      <c r="AA261" s="60">
        <v>0</v>
      </c>
      <c r="AB261" s="60">
        <v>0</v>
      </c>
      <c r="AC261" s="60">
        <v>0</v>
      </c>
      <c r="AD261" s="60">
        <v>0</v>
      </c>
      <c r="AE261" s="60">
        <v>0</v>
      </c>
      <c r="AF261" s="60">
        <v>0</v>
      </c>
      <c r="AG261" s="60">
        <v>0</v>
      </c>
      <c r="AH261" s="60">
        <v>0</v>
      </c>
      <c r="AI261" s="60">
        <v>0</v>
      </c>
      <c r="AJ261" s="60">
        <v>0</v>
      </c>
      <c r="AK261" s="60">
        <v>0</v>
      </c>
      <c r="AL261" s="60">
        <v>0</v>
      </c>
      <c r="AM261" s="60">
        <v>0</v>
      </c>
    </row>
    <row r="262" spans="1:39" ht="15.75" hidden="1" outlineLevel="1" thickBot="1">
      <c r="A262" s="59" t="s">
        <v>94</v>
      </c>
      <c r="B262" s="60">
        <v>0</v>
      </c>
      <c r="C262" s="60">
        <v>0</v>
      </c>
      <c r="D262" s="60">
        <v>0</v>
      </c>
      <c r="E262" s="60">
        <v>0</v>
      </c>
      <c r="F262" s="60">
        <v>0</v>
      </c>
      <c r="G262" s="60">
        <v>0</v>
      </c>
      <c r="H262" s="60">
        <v>0</v>
      </c>
      <c r="I262" s="60">
        <v>0</v>
      </c>
      <c r="J262" s="60">
        <v>0</v>
      </c>
      <c r="K262" s="60">
        <v>0</v>
      </c>
      <c r="L262" s="60">
        <v>0</v>
      </c>
      <c r="M262" s="60">
        <v>0</v>
      </c>
      <c r="N262" s="60">
        <v>0</v>
      </c>
      <c r="O262" s="60">
        <v>0</v>
      </c>
      <c r="P262" s="60">
        <v>0</v>
      </c>
      <c r="Q262" s="60">
        <v>0</v>
      </c>
      <c r="R262" s="60">
        <v>0</v>
      </c>
      <c r="S262" s="60">
        <v>0</v>
      </c>
      <c r="T262" s="60">
        <v>0</v>
      </c>
      <c r="U262" s="60">
        <v>0</v>
      </c>
      <c r="V262" s="60">
        <v>0</v>
      </c>
      <c r="W262" s="60">
        <v>0</v>
      </c>
      <c r="X262" s="60">
        <v>0</v>
      </c>
      <c r="Y262" s="60">
        <v>0</v>
      </c>
      <c r="Z262" s="60">
        <v>0</v>
      </c>
      <c r="AA262" s="60">
        <v>0</v>
      </c>
      <c r="AB262" s="60">
        <v>0</v>
      </c>
      <c r="AC262" s="60">
        <v>0</v>
      </c>
      <c r="AD262" s="60">
        <v>0</v>
      </c>
      <c r="AE262" s="60">
        <v>0</v>
      </c>
      <c r="AF262" s="60">
        <v>0</v>
      </c>
      <c r="AG262" s="60">
        <v>0</v>
      </c>
      <c r="AH262" s="60">
        <v>0</v>
      </c>
      <c r="AI262" s="60">
        <v>0</v>
      </c>
      <c r="AJ262" s="60">
        <v>0</v>
      </c>
      <c r="AK262" s="60">
        <v>0</v>
      </c>
      <c r="AL262" s="60">
        <v>0</v>
      </c>
      <c r="AM262" s="60">
        <v>0</v>
      </c>
    </row>
    <row r="263" spans="1:39" ht="15.75" hidden="1" outlineLevel="1" thickBot="1">
      <c r="A263" s="59" t="s">
        <v>95</v>
      </c>
      <c r="B263" s="60">
        <v>0</v>
      </c>
      <c r="C263" s="60">
        <v>0</v>
      </c>
      <c r="D263" s="60">
        <v>0</v>
      </c>
      <c r="E263" s="60">
        <v>0</v>
      </c>
      <c r="F263" s="60">
        <v>0</v>
      </c>
      <c r="G263" s="60">
        <v>0</v>
      </c>
      <c r="H263" s="60">
        <v>0</v>
      </c>
      <c r="I263" s="60">
        <v>0</v>
      </c>
      <c r="J263" s="60">
        <v>0</v>
      </c>
      <c r="K263" s="60">
        <v>0</v>
      </c>
      <c r="L263" s="60">
        <v>0</v>
      </c>
      <c r="M263" s="60">
        <v>0</v>
      </c>
      <c r="N263" s="60">
        <v>0</v>
      </c>
      <c r="O263" s="60">
        <v>0</v>
      </c>
      <c r="P263" s="60">
        <v>0</v>
      </c>
      <c r="Q263" s="60">
        <v>0</v>
      </c>
      <c r="R263" s="60">
        <v>0</v>
      </c>
      <c r="S263" s="60">
        <v>0</v>
      </c>
      <c r="T263" s="60">
        <v>0</v>
      </c>
      <c r="U263" s="60">
        <v>0</v>
      </c>
      <c r="V263" s="60">
        <v>0</v>
      </c>
      <c r="W263" s="60">
        <v>0</v>
      </c>
      <c r="X263" s="60">
        <v>0</v>
      </c>
      <c r="Y263" s="60">
        <v>0</v>
      </c>
      <c r="Z263" s="60">
        <v>0</v>
      </c>
      <c r="AA263" s="60">
        <v>0</v>
      </c>
      <c r="AB263" s="60">
        <v>0</v>
      </c>
      <c r="AC263" s="60">
        <v>0</v>
      </c>
      <c r="AD263" s="60">
        <v>0</v>
      </c>
      <c r="AE263" s="60">
        <v>0</v>
      </c>
      <c r="AF263" s="60">
        <v>0</v>
      </c>
      <c r="AG263" s="60">
        <v>0</v>
      </c>
      <c r="AH263" s="60">
        <v>0</v>
      </c>
      <c r="AI263" s="60">
        <v>0</v>
      </c>
      <c r="AJ263" s="60">
        <v>0</v>
      </c>
      <c r="AK263" s="60">
        <v>0</v>
      </c>
      <c r="AL263" s="60">
        <v>0</v>
      </c>
      <c r="AM263" s="60">
        <v>0</v>
      </c>
    </row>
    <row r="264" spans="1:39" ht="15.75" hidden="1" outlineLevel="1" thickBot="1">
      <c r="A264" s="59" t="s">
        <v>96</v>
      </c>
      <c r="B264" s="60">
        <v>0</v>
      </c>
      <c r="C264" s="60">
        <v>0</v>
      </c>
      <c r="D264" s="60">
        <v>0</v>
      </c>
      <c r="E264" s="60">
        <v>0</v>
      </c>
      <c r="F264" s="60">
        <v>0</v>
      </c>
      <c r="G264" s="60">
        <v>0</v>
      </c>
      <c r="H264" s="60">
        <v>0</v>
      </c>
      <c r="I264" s="60">
        <v>0</v>
      </c>
      <c r="J264" s="60">
        <v>0</v>
      </c>
      <c r="K264" s="60">
        <v>0</v>
      </c>
      <c r="L264" s="60">
        <v>0</v>
      </c>
      <c r="M264" s="60">
        <v>0</v>
      </c>
      <c r="N264" s="60">
        <v>0</v>
      </c>
      <c r="O264" s="60">
        <v>0</v>
      </c>
      <c r="P264" s="60">
        <v>0</v>
      </c>
      <c r="Q264" s="60">
        <v>0</v>
      </c>
      <c r="R264" s="60">
        <v>0</v>
      </c>
      <c r="S264" s="60">
        <v>0</v>
      </c>
      <c r="T264" s="60">
        <v>0</v>
      </c>
      <c r="U264" s="60">
        <v>0</v>
      </c>
      <c r="V264" s="60">
        <v>0</v>
      </c>
      <c r="W264" s="60">
        <v>0</v>
      </c>
      <c r="X264" s="60">
        <v>0</v>
      </c>
      <c r="Y264" s="60">
        <v>0</v>
      </c>
      <c r="Z264" s="60">
        <v>0</v>
      </c>
      <c r="AA264" s="60">
        <v>0</v>
      </c>
      <c r="AB264" s="60">
        <v>0</v>
      </c>
      <c r="AC264" s="60">
        <v>0</v>
      </c>
      <c r="AD264" s="60">
        <v>0</v>
      </c>
      <c r="AE264" s="60">
        <v>0</v>
      </c>
      <c r="AF264" s="60">
        <v>0</v>
      </c>
      <c r="AG264" s="60">
        <v>0</v>
      </c>
      <c r="AH264" s="60">
        <v>0</v>
      </c>
      <c r="AI264" s="60">
        <v>0</v>
      </c>
      <c r="AJ264" s="60">
        <v>0</v>
      </c>
      <c r="AK264" s="60">
        <v>0</v>
      </c>
      <c r="AL264" s="60">
        <v>0</v>
      </c>
      <c r="AM264" s="60">
        <v>0</v>
      </c>
    </row>
    <row r="265" spans="1:39" ht="15.75" hidden="1" outlineLevel="1" thickBot="1">
      <c r="A265" s="59" t="s">
        <v>97</v>
      </c>
      <c r="B265" s="60">
        <v>0</v>
      </c>
      <c r="C265" s="60">
        <v>0</v>
      </c>
      <c r="D265" s="60">
        <v>0</v>
      </c>
      <c r="E265" s="60">
        <v>0</v>
      </c>
      <c r="F265" s="60">
        <v>0</v>
      </c>
      <c r="G265" s="60">
        <v>0</v>
      </c>
      <c r="H265" s="60">
        <v>0</v>
      </c>
      <c r="I265" s="60">
        <v>0</v>
      </c>
      <c r="J265" s="60">
        <v>0</v>
      </c>
      <c r="K265" s="60">
        <v>0</v>
      </c>
      <c r="L265" s="60">
        <v>0</v>
      </c>
      <c r="M265" s="60">
        <v>0</v>
      </c>
      <c r="N265" s="60">
        <v>0</v>
      </c>
      <c r="O265" s="60">
        <v>0</v>
      </c>
      <c r="P265" s="60">
        <v>0</v>
      </c>
      <c r="Q265" s="60">
        <v>0</v>
      </c>
      <c r="R265" s="60">
        <v>0</v>
      </c>
      <c r="S265" s="60">
        <v>0</v>
      </c>
      <c r="T265" s="60">
        <v>0</v>
      </c>
      <c r="U265" s="60">
        <v>0</v>
      </c>
      <c r="V265" s="60">
        <v>0</v>
      </c>
      <c r="W265" s="60">
        <v>0</v>
      </c>
      <c r="X265" s="60">
        <v>0</v>
      </c>
      <c r="Y265" s="60">
        <v>0</v>
      </c>
      <c r="Z265" s="60">
        <v>0</v>
      </c>
      <c r="AA265" s="60">
        <v>0</v>
      </c>
      <c r="AB265" s="60">
        <v>0</v>
      </c>
      <c r="AC265" s="60">
        <v>0</v>
      </c>
      <c r="AD265" s="60">
        <v>0</v>
      </c>
      <c r="AE265" s="60">
        <v>0</v>
      </c>
      <c r="AF265" s="60">
        <v>0</v>
      </c>
      <c r="AG265" s="60">
        <v>0</v>
      </c>
      <c r="AH265" s="60">
        <v>0</v>
      </c>
      <c r="AI265" s="60">
        <v>0</v>
      </c>
      <c r="AJ265" s="60">
        <v>0</v>
      </c>
      <c r="AK265" s="60">
        <v>0</v>
      </c>
      <c r="AL265" s="60">
        <v>0</v>
      </c>
      <c r="AM265" s="60">
        <v>0</v>
      </c>
    </row>
    <row r="266" spans="1:39" ht="15.75" hidden="1" outlineLevel="1" thickBot="1">
      <c r="A266" s="59" t="s">
        <v>98</v>
      </c>
      <c r="B266" s="60">
        <v>0</v>
      </c>
      <c r="C266" s="60">
        <v>0</v>
      </c>
      <c r="D266" s="60">
        <v>0</v>
      </c>
      <c r="E266" s="60">
        <v>0</v>
      </c>
      <c r="F266" s="60">
        <v>0</v>
      </c>
      <c r="G266" s="60">
        <v>0</v>
      </c>
      <c r="H266" s="60">
        <v>0</v>
      </c>
      <c r="I266" s="60">
        <v>0</v>
      </c>
      <c r="J266" s="60">
        <v>0</v>
      </c>
      <c r="K266" s="60">
        <v>0</v>
      </c>
      <c r="L266" s="60">
        <v>0</v>
      </c>
      <c r="M266" s="60">
        <v>0</v>
      </c>
      <c r="N266" s="60">
        <v>0</v>
      </c>
      <c r="O266" s="60">
        <v>0</v>
      </c>
      <c r="P266" s="60">
        <v>0</v>
      </c>
      <c r="Q266" s="60">
        <v>0</v>
      </c>
      <c r="R266" s="60">
        <v>0</v>
      </c>
      <c r="S266" s="60">
        <v>0</v>
      </c>
      <c r="T266" s="60">
        <v>0</v>
      </c>
      <c r="U266" s="60">
        <v>0</v>
      </c>
      <c r="V266" s="60">
        <v>0</v>
      </c>
      <c r="W266" s="60">
        <v>0</v>
      </c>
      <c r="X266" s="60">
        <v>0</v>
      </c>
      <c r="Y266" s="60">
        <v>0</v>
      </c>
      <c r="Z266" s="60">
        <v>0</v>
      </c>
      <c r="AA266" s="60">
        <v>0</v>
      </c>
      <c r="AB266" s="60">
        <v>0</v>
      </c>
      <c r="AC266" s="60">
        <v>0</v>
      </c>
      <c r="AD266" s="60">
        <v>0</v>
      </c>
      <c r="AE266" s="60">
        <v>0</v>
      </c>
      <c r="AF266" s="60">
        <v>0</v>
      </c>
      <c r="AG266" s="60">
        <v>0</v>
      </c>
      <c r="AH266" s="60">
        <v>0</v>
      </c>
      <c r="AI266" s="60">
        <v>0</v>
      </c>
      <c r="AJ266" s="60">
        <v>0</v>
      </c>
      <c r="AK266" s="60">
        <v>0</v>
      </c>
      <c r="AL266" s="60">
        <v>0</v>
      </c>
      <c r="AM266" s="60">
        <v>0</v>
      </c>
    </row>
    <row r="267" spans="1:39" ht="15.75" hidden="1" outlineLevel="1" thickBot="1">
      <c r="A267" s="59" t="s">
        <v>99</v>
      </c>
      <c r="B267" s="60">
        <v>0</v>
      </c>
      <c r="C267" s="60">
        <v>0</v>
      </c>
      <c r="D267" s="60">
        <v>0</v>
      </c>
      <c r="E267" s="60">
        <v>0</v>
      </c>
      <c r="F267" s="60">
        <v>0</v>
      </c>
      <c r="G267" s="60">
        <v>0</v>
      </c>
      <c r="H267" s="60">
        <v>0</v>
      </c>
      <c r="I267" s="60">
        <v>0</v>
      </c>
      <c r="J267" s="60">
        <v>0</v>
      </c>
      <c r="K267" s="60">
        <v>0</v>
      </c>
      <c r="L267" s="60">
        <v>0</v>
      </c>
      <c r="M267" s="60">
        <v>0</v>
      </c>
      <c r="N267" s="60">
        <v>0</v>
      </c>
      <c r="O267" s="60">
        <v>0</v>
      </c>
      <c r="P267" s="60">
        <v>0</v>
      </c>
      <c r="Q267" s="60">
        <v>0</v>
      </c>
      <c r="R267" s="60">
        <v>0</v>
      </c>
      <c r="S267" s="60">
        <v>0</v>
      </c>
      <c r="T267" s="60">
        <v>0</v>
      </c>
      <c r="U267" s="60">
        <v>0</v>
      </c>
      <c r="V267" s="60">
        <v>0</v>
      </c>
      <c r="W267" s="60">
        <v>0</v>
      </c>
      <c r="X267" s="60">
        <v>0</v>
      </c>
      <c r="Y267" s="60">
        <v>0</v>
      </c>
      <c r="Z267" s="60">
        <v>0</v>
      </c>
      <c r="AA267" s="60">
        <v>0</v>
      </c>
      <c r="AB267" s="60">
        <v>0</v>
      </c>
      <c r="AC267" s="60">
        <v>0</v>
      </c>
      <c r="AD267" s="60">
        <v>0</v>
      </c>
      <c r="AE267" s="60">
        <v>0</v>
      </c>
      <c r="AF267" s="60">
        <v>0</v>
      </c>
      <c r="AG267" s="60">
        <v>0</v>
      </c>
      <c r="AH267" s="60">
        <v>0</v>
      </c>
      <c r="AI267" s="60">
        <v>0</v>
      </c>
      <c r="AJ267" s="60">
        <v>0</v>
      </c>
      <c r="AK267" s="60">
        <v>0</v>
      </c>
      <c r="AL267" s="60">
        <v>0</v>
      </c>
      <c r="AM267" s="60">
        <v>0</v>
      </c>
    </row>
    <row r="268" spans="1:39" ht="15.75" hidden="1" outlineLevel="1" thickBot="1">
      <c r="A268" s="59" t="s">
        <v>100</v>
      </c>
      <c r="B268" s="60">
        <v>0</v>
      </c>
      <c r="C268" s="60">
        <v>0</v>
      </c>
      <c r="D268" s="60">
        <v>0</v>
      </c>
      <c r="E268" s="60">
        <v>0</v>
      </c>
      <c r="F268" s="60">
        <v>0</v>
      </c>
      <c r="G268" s="60">
        <v>0</v>
      </c>
      <c r="H268" s="60">
        <v>0</v>
      </c>
      <c r="I268" s="60">
        <v>0</v>
      </c>
      <c r="J268" s="60">
        <v>0</v>
      </c>
      <c r="K268" s="60">
        <v>0</v>
      </c>
      <c r="L268" s="60">
        <v>0</v>
      </c>
      <c r="M268" s="60">
        <v>0</v>
      </c>
      <c r="N268" s="60">
        <v>0</v>
      </c>
      <c r="O268" s="60">
        <v>0</v>
      </c>
      <c r="P268" s="60">
        <v>0</v>
      </c>
      <c r="Q268" s="60">
        <v>0</v>
      </c>
      <c r="R268" s="60">
        <v>0</v>
      </c>
      <c r="S268" s="60">
        <v>0</v>
      </c>
      <c r="T268" s="60">
        <v>0</v>
      </c>
      <c r="U268" s="60">
        <v>0</v>
      </c>
      <c r="V268" s="60">
        <v>0</v>
      </c>
      <c r="W268" s="60">
        <v>0</v>
      </c>
      <c r="X268" s="60">
        <v>0</v>
      </c>
      <c r="Y268" s="60">
        <v>0</v>
      </c>
      <c r="Z268" s="60">
        <v>0</v>
      </c>
      <c r="AA268" s="60">
        <v>0</v>
      </c>
      <c r="AB268" s="60">
        <v>0</v>
      </c>
      <c r="AC268" s="60">
        <v>0</v>
      </c>
      <c r="AD268" s="60">
        <v>0</v>
      </c>
      <c r="AE268" s="60">
        <v>0</v>
      </c>
      <c r="AF268" s="60">
        <v>0</v>
      </c>
      <c r="AG268" s="60">
        <v>0</v>
      </c>
      <c r="AH268" s="60">
        <v>0</v>
      </c>
      <c r="AI268" s="60">
        <v>0</v>
      </c>
      <c r="AJ268" s="60">
        <v>0</v>
      </c>
      <c r="AK268" s="60">
        <v>0</v>
      </c>
      <c r="AL268" s="60">
        <v>0</v>
      </c>
      <c r="AM268" s="60">
        <v>0</v>
      </c>
    </row>
    <row r="269" spans="1:39" ht="15.75" hidden="1" outlineLevel="1" thickBot="1">
      <c r="A269" s="59" t="s">
        <v>101</v>
      </c>
      <c r="B269" s="60">
        <v>0</v>
      </c>
      <c r="C269" s="60">
        <v>0</v>
      </c>
      <c r="D269" s="60">
        <v>0</v>
      </c>
      <c r="E269" s="60">
        <v>0</v>
      </c>
      <c r="F269" s="60">
        <v>0</v>
      </c>
      <c r="G269" s="60">
        <v>0</v>
      </c>
      <c r="H269" s="60">
        <v>0</v>
      </c>
      <c r="I269" s="60">
        <v>0</v>
      </c>
      <c r="J269" s="60">
        <v>0</v>
      </c>
      <c r="K269" s="60">
        <v>0</v>
      </c>
      <c r="L269" s="60">
        <v>0</v>
      </c>
      <c r="M269" s="60">
        <v>0</v>
      </c>
      <c r="N269" s="60">
        <v>0</v>
      </c>
      <c r="O269" s="60">
        <v>0</v>
      </c>
      <c r="P269" s="60">
        <v>0</v>
      </c>
      <c r="Q269" s="60">
        <v>0</v>
      </c>
      <c r="R269" s="60">
        <v>0</v>
      </c>
      <c r="S269" s="60">
        <v>0</v>
      </c>
      <c r="T269" s="60">
        <v>0</v>
      </c>
      <c r="U269" s="60">
        <v>0</v>
      </c>
      <c r="V269" s="60">
        <v>0</v>
      </c>
      <c r="W269" s="60">
        <v>0</v>
      </c>
      <c r="X269" s="60">
        <v>0</v>
      </c>
      <c r="Y269" s="60">
        <v>0</v>
      </c>
      <c r="Z269" s="60">
        <v>0</v>
      </c>
      <c r="AA269" s="60">
        <v>0</v>
      </c>
      <c r="AB269" s="60">
        <v>0</v>
      </c>
      <c r="AC269" s="60">
        <v>0</v>
      </c>
      <c r="AD269" s="60">
        <v>0</v>
      </c>
      <c r="AE269" s="60">
        <v>0</v>
      </c>
      <c r="AF269" s="60">
        <v>0</v>
      </c>
      <c r="AG269" s="60">
        <v>0</v>
      </c>
      <c r="AH269" s="60">
        <v>0</v>
      </c>
      <c r="AI269" s="60">
        <v>0</v>
      </c>
      <c r="AJ269" s="60">
        <v>0</v>
      </c>
      <c r="AK269" s="60">
        <v>0</v>
      </c>
      <c r="AL269" s="60">
        <v>0</v>
      </c>
      <c r="AM269" s="60">
        <v>0</v>
      </c>
    </row>
    <row r="270" spans="1:39" ht="15.75" hidden="1" outlineLevel="1" thickBot="1">
      <c r="A270" s="59" t="s">
        <v>102</v>
      </c>
      <c r="B270" s="60">
        <v>0</v>
      </c>
      <c r="C270" s="60">
        <v>0</v>
      </c>
      <c r="D270" s="60">
        <v>0</v>
      </c>
      <c r="E270" s="60">
        <v>0</v>
      </c>
      <c r="F270" s="60">
        <v>0</v>
      </c>
      <c r="G270" s="60">
        <v>0</v>
      </c>
      <c r="H270" s="60">
        <v>0</v>
      </c>
      <c r="I270" s="60">
        <v>0</v>
      </c>
      <c r="J270" s="60">
        <v>0</v>
      </c>
      <c r="K270" s="60">
        <v>0</v>
      </c>
      <c r="L270" s="60">
        <v>0</v>
      </c>
      <c r="M270" s="60">
        <v>0</v>
      </c>
      <c r="N270" s="60">
        <v>0</v>
      </c>
      <c r="O270" s="60">
        <v>0</v>
      </c>
      <c r="P270" s="60">
        <v>0</v>
      </c>
      <c r="Q270" s="60">
        <v>0</v>
      </c>
      <c r="R270" s="60">
        <v>0</v>
      </c>
      <c r="S270" s="60">
        <v>0</v>
      </c>
      <c r="T270" s="60">
        <v>0</v>
      </c>
      <c r="U270" s="60">
        <v>0</v>
      </c>
      <c r="V270" s="60">
        <v>0</v>
      </c>
      <c r="W270" s="60">
        <v>0</v>
      </c>
      <c r="X270" s="60">
        <v>0</v>
      </c>
      <c r="Y270" s="60">
        <v>0</v>
      </c>
      <c r="Z270" s="60">
        <v>0</v>
      </c>
      <c r="AA270" s="60">
        <v>0</v>
      </c>
      <c r="AB270" s="60">
        <v>0</v>
      </c>
      <c r="AC270" s="60">
        <v>0</v>
      </c>
      <c r="AD270" s="60">
        <v>0</v>
      </c>
      <c r="AE270" s="60">
        <v>0</v>
      </c>
      <c r="AF270" s="60">
        <v>0</v>
      </c>
      <c r="AG270" s="60">
        <v>0</v>
      </c>
      <c r="AH270" s="60">
        <v>0</v>
      </c>
      <c r="AI270" s="60">
        <v>0</v>
      </c>
      <c r="AJ270" s="60">
        <v>0</v>
      </c>
      <c r="AK270" s="60">
        <v>0</v>
      </c>
      <c r="AL270" s="60">
        <v>0</v>
      </c>
      <c r="AM270" s="60">
        <v>0</v>
      </c>
    </row>
    <row r="271" spans="1:39" ht="15.75" hidden="1" outlineLevel="1" thickBot="1">
      <c r="A271" s="59" t="s">
        <v>103</v>
      </c>
      <c r="B271" s="60">
        <v>0</v>
      </c>
      <c r="C271" s="60">
        <v>0</v>
      </c>
      <c r="D271" s="60">
        <v>0</v>
      </c>
      <c r="E271" s="60">
        <v>0</v>
      </c>
      <c r="F271" s="60">
        <v>0</v>
      </c>
      <c r="G271" s="60">
        <v>0</v>
      </c>
      <c r="H271" s="60">
        <v>0</v>
      </c>
      <c r="I271" s="60">
        <v>0</v>
      </c>
      <c r="J271" s="60">
        <v>0</v>
      </c>
      <c r="K271" s="60">
        <v>0</v>
      </c>
      <c r="L271" s="60">
        <v>0</v>
      </c>
      <c r="M271" s="60">
        <v>0</v>
      </c>
      <c r="N271" s="60">
        <v>0</v>
      </c>
      <c r="O271" s="60">
        <v>0</v>
      </c>
      <c r="P271" s="60">
        <v>0</v>
      </c>
      <c r="Q271" s="60">
        <v>0</v>
      </c>
      <c r="R271" s="60">
        <v>0</v>
      </c>
      <c r="S271" s="60">
        <v>0</v>
      </c>
      <c r="T271" s="60">
        <v>0</v>
      </c>
      <c r="U271" s="60">
        <v>0</v>
      </c>
      <c r="V271" s="60">
        <v>0</v>
      </c>
      <c r="W271" s="60">
        <v>0</v>
      </c>
      <c r="X271" s="60">
        <v>0</v>
      </c>
      <c r="Y271" s="60">
        <v>0</v>
      </c>
      <c r="Z271" s="60">
        <v>0</v>
      </c>
      <c r="AA271" s="60">
        <v>0</v>
      </c>
      <c r="AB271" s="60">
        <v>0</v>
      </c>
      <c r="AC271" s="60">
        <v>0</v>
      </c>
      <c r="AD271" s="60">
        <v>0</v>
      </c>
      <c r="AE271" s="60">
        <v>0</v>
      </c>
      <c r="AF271" s="60">
        <v>0</v>
      </c>
      <c r="AG271" s="60">
        <v>0</v>
      </c>
      <c r="AH271" s="60">
        <v>0</v>
      </c>
      <c r="AI271" s="60">
        <v>0</v>
      </c>
      <c r="AJ271" s="60">
        <v>0</v>
      </c>
      <c r="AK271" s="60">
        <v>0</v>
      </c>
      <c r="AL271" s="60">
        <v>0</v>
      </c>
      <c r="AM271" s="60">
        <v>0</v>
      </c>
    </row>
    <row r="272" spans="1:39" ht="15.75" hidden="1" outlineLevel="1" thickBot="1">
      <c r="A272" s="59" t="s">
        <v>44</v>
      </c>
      <c r="B272" s="60">
        <v>0</v>
      </c>
      <c r="C272" s="60">
        <v>0</v>
      </c>
      <c r="D272" s="60">
        <v>0</v>
      </c>
      <c r="E272" s="60">
        <v>0</v>
      </c>
      <c r="F272" s="60">
        <v>0</v>
      </c>
      <c r="G272" s="60">
        <v>0</v>
      </c>
      <c r="H272" s="60">
        <v>0</v>
      </c>
      <c r="I272" s="60">
        <v>0</v>
      </c>
      <c r="J272" s="60">
        <v>0</v>
      </c>
      <c r="K272" s="60">
        <v>0</v>
      </c>
      <c r="L272" s="60">
        <v>0</v>
      </c>
      <c r="M272" s="60">
        <v>0</v>
      </c>
      <c r="N272" s="60">
        <v>0</v>
      </c>
      <c r="O272" s="60">
        <v>0</v>
      </c>
      <c r="P272" s="60">
        <v>0</v>
      </c>
      <c r="Q272" s="60">
        <v>0</v>
      </c>
      <c r="R272" s="60">
        <v>0</v>
      </c>
      <c r="S272" s="60">
        <v>0</v>
      </c>
      <c r="T272" s="60">
        <v>0</v>
      </c>
      <c r="U272" s="60">
        <v>0</v>
      </c>
      <c r="V272" s="60">
        <v>0</v>
      </c>
      <c r="W272" s="60">
        <v>0</v>
      </c>
      <c r="X272" s="60">
        <v>0</v>
      </c>
      <c r="Y272" s="60">
        <v>0</v>
      </c>
      <c r="Z272" s="60">
        <v>0</v>
      </c>
      <c r="AA272" s="60">
        <v>0</v>
      </c>
      <c r="AB272" s="60">
        <v>0</v>
      </c>
      <c r="AC272" s="60">
        <v>0</v>
      </c>
      <c r="AD272" s="60">
        <v>0</v>
      </c>
      <c r="AE272" s="60">
        <v>0</v>
      </c>
      <c r="AF272" s="60">
        <v>0</v>
      </c>
      <c r="AG272" s="60">
        <v>0</v>
      </c>
      <c r="AH272" s="60">
        <v>0</v>
      </c>
      <c r="AI272" s="60">
        <v>0</v>
      </c>
      <c r="AJ272" s="60">
        <v>0</v>
      </c>
      <c r="AK272" s="60">
        <v>0</v>
      </c>
      <c r="AL272" s="60">
        <v>0</v>
      </c>
      <c r="AM272" s="60">
        <v>0</v>
      </c>
    </row>
    <row r="273" spans="1:39" ht="15.75" hidden="1" outlineLevel="1" thickBot="1">
      <c r="A273" s="59" t="s">
        <v>45</v>
      </c>
      <c r="B273" s="60">
        <v>0</v>
      </c>
      <c r="C273" s="60">
        <v>0.01</v>
      </c>
      <c r="D273" s="60">
        <v>0.01</v>
      </c>
      <c r="E273" s="60">
        <v>0.01</v>
      </c>
      <c r="F273" s="60">
        <v>0.01</v>
      </c>
      <c r="G273" s="60">
        <v>0.01</v>
      </c>
      <c r="H273" s="60">
        <v>0.01</v>
      </c>
      <c r="I273" s="60">
        <v>0.01</v>
      </c>
      <c r="J273" s="60">
        <v>0.01</v>
      </c>
      <c r="K273" s="60">
        <v>0.01</v>
      </c>
      <c r="L273" s="60">
        <v>0.01</v>
      </c>
      <c r="M273" s="60">
        <v>0.01</v>
      </c>
      <c r="N273" s="60">
        <v>0.01</v>
      </c>
      <c r="O273" s="60">
        <v>0.01</v>
      </c>
      <c r="P273" s="60">
        <v>0.01</v>
      </c>
      <c r="Q273" s="60">
        <v>0.01</v>
      </c>
      <c r="R273" s="60">
        <v>0.01</v>
      </c>
      <c r="S273" s="60">
        <v>0.01</v>
      </c>
      <c r="T273" s="60">
        <v>0.01</v>
      </c>
      <c r="U273" s="60">
        <v>0.01</v>
      </c>
      <c r="V273" s="60">
        <v>0.01</v>
      </c>
      <c r="W273" s="60">
        <v>0.01</v>
      </c>
      <c r="X273" s="60">
        <v>0.01</v>
      </c>
      <c r="Y273" s="60">
        <v>0.01</v>
      </c>
      <c r="Z273" s="60">
        <v>0.01</v>
      </c>
      <c r="AA273" s="60">
        <v>0.01</v>
      </c>
      <c r="AB273" s="60">
        <v>0.01</v>
      </c>
      <c r="AC273" s="60">
        <v>0.01</v>
      </c>
      <c r="AD273" s="60">
        <v>0.01</v>
      </c>
      <c r="AE273" s="60">
        <v>0.01</v>
      </c>
      <c r="AF273" s="60">
        <v>0.01</v>
      </c>
      <c r="AG273" s="60">
        <v>0.01</v>
      </c>
      <c r="AH273" s="60">
        <v>0.01</v>
      </c>
      <c r="AI273" s="60">
        <v>0.01</v>
      </c>
      <c r="AJ273" s="60">
        <v>0.01</v>
      </c>
      <c r="AK273" s="60">
        <v>0.01</v>
      </c>
      <c r="AL273" s="60">
        <v>0.01</v>
      </c>
      <c r="AM273" s="60">
        <v>0.01</v>
      </c>
    </row>
    <row r="274" spans="1:39" ht="15.75" hidden="1" outlineLevel="1" thickBot="1">
      <c r="A274" s="59" t="s">
        <v>104</v>
      </c>
      <c r="B274" s="60">
        <v>3.48</v>
      </c>
      <c r="C274" s="60">
        <v>1.32</v>
      </c>
      <c r="D274" s="60">
        <v>0.74</v>
      </c>
      <c r="E274" s="60">
        <v>1.24</v>
      </c>
      <c r="F274" s="60">
        <v>1.22</v>
      </c>
      <c r="G274" s="60">
        <v>0.37</v>
      </c>
      <c r="H274" s="60">
        <v>0.56999999999999995</v>
      </c>
      <c r="I274" s="60">
        <v>0.66</v>
      </c>
      <c r="J274" s="60">
        <v>0.81</v>
      </c>
      <c r="K274" s="60">
        <v>0.78</v>
      </c>
      <c r="L274" s="60">
        <v>0.76</v>
      </c>
      <c r="M274" s="60">
        <v>0.73</v>
      </c>
      <c r="N274" s="60">
        <v>0.7</v>
      </c>
      <c r="O274" s="60">
        <v>0.67</v>
      </c>
      <c r="P274" s="60">
        <v>0.64</v>
      </c>
      <c r="Q274" s="60">
        <v>0.62</v>
      </c>
      <c r="R274" s="60">
        <v>0.59</v>
      </c>
      <c r="S274" s="60">
        <v>0.56000000000000005</v>
      </c>
      <c r="T274" s="60">
        <v>0.53</v>
      </c>
      <c r="U274" s="60">
        <v>0.5</v>
      </c>
      <c r="V274" s="60">
        <v>0.48</v>
      </c>
      <c r="W274" s="60">
        <v>0.45</v>
      </c>
      <c r="X274" s="60">
        <v>0.42</v>
      </c>
      <c r="Y274" s="60">
        <v>0.39</v>
      </c>
      <c r="Z274" s="60">
        <v>0.36</v>
      </c>
      <c r="AA274" s="60">
        <v>0.34</v>
      </c>
      <c r="AB274" s="60">
        <v>0.31</v>
      </c>
      <c r="AC274" s="60">
        <v>0.28000000000000003</v>
      </c>
      <c r="AD274" s="60">
        <v>0.25</v>
      </c>
      <c r="AE274" s="60">
        <v>0.22</v>
      </c>
      <c r="AF274" s="60">
        <v>0.2</v>
      </c>
      <c r="AG274" s="60">
        <v>0.17</v>
      </c>
      <c r="AH274" s="60">
        <v>0.14000000000000001</v>
      </c>
      <c r="AI274" s="60">
        <v>0.11</v>
      </c>
      <c r="AJ274" s="60">
        <v>0.08</v>
      </c>
      <c r="AK274" s="60">
        <v>0.06</v>
      </c>
      <c r="AL274" s="60">
        <v>0.03</v>
      </c>
      <c r="AM274" s="60">
        <v>0</v>
      </c>
    </row>
    <row r="275" spans="1:39" ht="15.75" hidden="1" outlineLevel="1" thickBot="1">
      <c r="A275" s="59" t="s">
        <v>105</v>
      </c>
      <c r="B275" s="60">
        <v>0</v>
      </c>
      <c r="C275" s="60">
        <v>0</v>
      </c>
      <c r="D275" s="60">
        <v>0</v>
      </c>
      <c r="E275" s="60">
        <v>0</v>
      </c>
      <c r="F275" s="60">
        <v>0</v>
      </c>
      <c r="G275" s="60">
        <v>0</v>
      </c>
      <c r="H275" s="60">
        <v>0</v>
      </c>
      <c r="I275" s="60">
        <v>0</v>
      </c>
      <c r="J275" s="60">
        <v>0</v>
      </c>
      <c r="K275" s="60">
        <v>0</v>
      </c>
      <c r="L275" s="60">
        <v>0</v>
      </c>
      <c r="M275" s="60">
        <v>0</v>
      </c>
      <c r="N275" s="60">
        <v>0</v>
      </c>
      <c r="O275" s="60">
        <v>0</v>
      </c>
      <c r="P275" s="60">
        <v>0</v>
      </c>
      <c r="Q275" s="60">
        <v>0</v>
      </c>
      <c r="R275" s="60">
        <v>0</v>
      </c>
      <c r="S275" s="60">
        <v>0</v>
      </c>
      <c r="T275" s="60">
        <v>0</v>
      </c>
      <c r="U275" s="60">
        <v>0</v>
      </c>
      <c r="V275" s="60">
        <v>0</v>
      </c>
      <c r="W275" s="60">
        <v>0</v>
      </c>
      <c r="X275" s="60">
        <v>0</v>
      </c>
      <c r="Y275" s="60">
        <v>0</v>
      </c>
      <c r="Z275" s="60">
        <v>0</v>
      </c>
      <c r="AA275" s="60">
        <v>0</v>
      </c>
      <c r="AB275" s="60">
        <v>0</v>
      </c>
      <c r="AC275" s="60">
        <v>0</v>
      </c>
      <c r="AD275" s="60">
        <v>0</v>
      </c>
      <c r="AE275" s="60">
        <v>0</v>
      </c>
      <c r="AF275" s="60">
        <v>0</v>
      </c>
      <c r="AG275" s="60">
        <v>0</v>
      </c>
      <c r="AH275" s="60">
        <v>0</v>
      </c>
      <c r="AI275" s="60">
        <v>0</v>
      </c>
      <c r="AJ275" s="60">
        <v>0</v>
      </c>
      <c r="AK275" s="60">
        <v>0</v>
      </c>
      <c r="AL275" s="60">
        <v>0</v>
      </c>
      <c r="AM275" s="60">
        <v>0</v>
      </c>
    </row>
    <row r="276" spans="1:39" ht="15.75" hidden="1" outlineLevel="1" thickBot="1">
      <c r="A276" s="59" t="s">
        <v>106</v>
      </c>
      <c r="B276" s="60">
        <v>0</v>
      </c>
      <c r="C276" s="60">
        <v>0</v>
      </c>
      <c r="D276" s="60">
        <v>0</v>
      </c>
      <c r="E276" s="60">
        <v>0</v>
      </c>
      <c r="F276" s="60">
        <v>0</v>
      </c>
      <c r="G276" s="60">
        <v>0</v>
      </c>
      <c r="H276" s="60">
        <v>0</v>
      </c>
      <c r="I276" s="60">
        <v>0</v>
      </c>
      <c r="J276" s="60">
        <v>0</v>
      </c>
      <c r="K276" s="60">
        <v>0</v>
      </c>
      <c r="L276" s="60">
        <v>0</v>
      </c>
      <c r="M276" s="60">
        <v>0</v>
      </c>
      <c r="N276" s="60">
        <v>0</v>
      </c>
      <c r="O276" s="60">
        <v>0</v>
      </c>
      <c r="P276" s="60">
        <v>0</v>
      </c>
      <c r="Q276" s="60">
        <v>0</v>
      </c>
      <c r="R276" s="60">
        <v>0</v>
      </c>
      <c r="S276" s="60">
        <v>0</v>
      </c>
      <c r="T276" s="60">
        <v>0</v>
      </c>
      <c r="U276" s="60">
        <v>0</v>
      </c>
      <c r="V276" s="60">
        <v>0</v>
      </c>
      <c r="W276" s="60">
        <v>0</v>
      </c>
      <c r="X276" s="60">
        <v>0</v>
      </c>
      <c r="Y276" s="60">
        <v>0</v>
      </c>
      <c r="Z276" s="60">
        <v>0</v>
      </c>
      <c r="AA276" s="60">
        <v>0</v>
      </c>
      <c r="AB276" s="60">
        <v>0</v>
      </c>
      <c r="AC276" s="60">
        <v>0</v>
      </c>
      <c r="AD276" s="60">
        <v>0</v>
      </c>
      <c r="AE276" s="60">
        <v>0</v>
      </c>
      <c r="AF276" s="60">
        <v>0</v>
      </c>
      <c r="AG276" s="60">
        <v>0</v>
      </c>
      <c r="AH276" s="60">
        <v>0</v>
      </c>
      <c r="AI276" s="60">
        <v>0</v>
      </c>
      <c r="AJ276" s="60">
        <v>0</v>
      </c>
      <c r="AK276" s="60">
        <v>0</v>
      </c>
      <c r="AL276" s="60">
        <v>0</v>
      </c>
      <c r="AM276" s="60">
        <v>0</v>
      </c>
    </row>
    <row r="277" spans="1:39" ht="15.75" hidden="1" outlineLevel="1" thickBot="1">
      <c r="A277" s="59" t="s">
        <v>46</v>
      </c>
      <c r="B277" s="60">
        <v>4.1399999999999997</v>
      </c>
      <c r="C277" s="60">
        <v>3.51</v>
      </c>
      <c r="D277" s="60">
        <v>3.55</v>
      </c>
      <c r="E277" s="60">
        <v>3.79</v>
      </c>
      <c r="F277" s="60">
        <v>3.79</v>
      </c>
      <c r="G277" s="60">
        <v>3.86</v>
      </c>
      <c r="H277" s="60">
        <v>3.95</v>
      </c>
      <c r="I277" s="60">
        <v>4.09</v>
      </c>
      <c r="J277" s="60">
        <v>3.94</v>
      </c>
      <c r="K277" s="60">
        <v>3.94</v>
      </c>
      <c r="L277" s="60">
        <v>3.91</v>
      </c>
      <c r="M277" s="60">
        <v>3.88</v>
      </c>
      <c r="N277" s="60">
        <v>3.85</v>
      </c>
      <c r="O277" s="60">
        <v>3.82</v>
      </c>
      <c r="P277" s="60">
        <v>3.79</v>
      </c>
      <c r="Q277" s="60">
        <v>3.77</v>
      </c>
      <c r="R277" s="60">
        <v>3.74</v>
      </c>
      <c r="S277" s="60">
        <v>3.71</v>
      </c>
      <c r="T277" s="60">
        <v>3.68</v>
      </c>
      <c r="U277" s="60">
        <v>3.65</v>
      </c>
      <c r="V277" s="60">
        <v>3.62</v>
      </c>
      <c r="W277" s="60">
        <v>3.6</v>
      </c>
      <c r="X277" s="60">
        <v>3.57</v>
      </c>
      <c r="Y277" s="60">
        <v>3.54</v>
      </c>
      <c r="Z277" s="60">
        <v>3.51</v>
      </c>
      <c r="AA277" s="60">
        <v>3.48</v>
      </c>
      <c r="AB277" s="60">
        <v>3.45</v>
      </c>
      <c r="AC277" s="60">
        <v>3.43</v>
      </c>
      <c r="AD277" s="60">
        <v>3.4</v>
      </c>
      <c r="AE277" s="60">
        <v>3.37</v>
      </c>
      <c r="AF277" s="60">
        <v>3.34</v>
      </c>
      <c r="AG277" s="60">
        <v>3.31</v>
      </c>
      <c r="AH277" s="60">
        <v>3.28</v>
      </c>
      <c r="AI277" s="60">
        <v>3.25</v>
      </c>
      <c r="AJ277" s="60">
        <v>3.23</v>
      </c>
      <c r="AK277" s="60">
        <v>3.2</v>
      </c>
      <c r="AL277" s="60">
        <v>3.17</v>
      </c>
      <c r="AM277" s="60">
        <v>3.14</v>
      </c>
    </row>
    <row r="278" spans="1:39" ht="15.75" hidden="1" outlineLevel="1" thickBot="1">
      <c r="A278" s="59" t="s">
        <v>107</v>
      </c>
      <c r="B278" s="60">
        <v>0</v>
      </c>
      <c r="C278" s="60">
        <v>0</v>
      </c>
      <c r="D278" s="60">
        <v>0</v>
      </c>
      <c r="E278" s="60">
        <v>0</v>
      </c>
      <c r="F278" s="60">
        <v>0</v>
      </c>
      <c r="G278" s="60">
        <v>0</v>
      </c>
      <c r="H278" s="60">
        <v>0</v>
      </c>
      <c r="I278" s="60">
        <v>0</v>
      </c>
      <c r="J278" s="60">
        <v>0</v>
      </c>
      <c r="K278" s="60">
        <v>0</v>
      </c>
      <c r="L278" s="60">
        <v>0</v>
      </c>
      <c r="M278" s="60">
        <v>0</v>
      </c>
      <c r="N278" s="60">
        <v>0</v>
      </c>
      <c r="O278" s="60">
        <v>0</v>
      </c>
      <c r="P278" s="60">
        <v>0</v>
      </c>
      <c r="Q278" s="60">
        <v>0</v>
      </c>
      <c r="R278" s="60">
        <v>0</v>
      </c>
      <c r="S278" s="60">
        <v>0</v>
      </c>
      <c r="T278" s="60">
        <v>0</v>
      </c>
      <c r="U278" s="60">
        <v>0</v>
      </c>
      <c r="V278" s="60">
        <v>0</v>
      </c>
      <c r="W278" s="60">
        <v>0</v>
      </c>
      <c r="X278" s="60">
        <v>0</v>
      </c>
      <c r="Y278" s="60">
        <v>0</v>
      </c>
      <c r="Z278" s="60">
        <v>0</v>
      </c>
      <c r="AA278" s="60">
        <v>0</v>
      </c>
      <c r="AB278" s="60">
        <v>0</v>
      </c>
      <c r="AC278" s="60">
        <v>0</v>
      </c>
      <c r="AD278" s="60">
        <v>0</v>
      </c>
      <c r="AE278" s="60">
        <v>0</v>
      </c>
      <c r="AF278" s="60">
        <v>0</v>
      </c>
      <c r="AG278" s="60">
        <v>0</v>
      </c>
      <c r="AH278" s="60">
        <v>0</v>
      </c>
      <c r="AI278" s="60">
        <v>0</v>
      </c>
      <c r="AJ278" s="60">
        <v>0</v>
      </c>
      <c r="AK278" s="60">
        <v>0</v>
      </c>
      <c r="AL278" s="60">
        <v>0</v>
      </c>
      <c r="AM278" s="60">
        <v>0</v>
      </c>
    </row>
    <row r="279" spans="1:39" ht="15.75" hidden="1" outlineLevel="1" thickBot="1">
      <c r="A279" s="61" t="s">
        <v>108</v>
      </c>
      <c r="B279" s="62">
        <v>0</v>
      </c>
      <c r="C279" s="62">
        <v>0</v>
      </c>
      <c r="D279" s="62">
        <v>0</v>
      </c>
      <c r="E279" s="62">
        <v>0</v>
      </c>
      <c r="F279" s="62">
        <v>0</v>
      </c>
      <c r="G279" s="62">
        <v>0</v>
      </c>
      <c r="H279" s="62">
        <v>0</v>
      </c>
      <c r="I279" s="62">
        <v>0</v>
      </c>
      <c r="J279" s="62">
        <v>0</v>
      </c>
      <c r="K279" s="62">
        <v>0</v>
      </c>
      <c r="L279" s="62">
        <v>0</v>
      </c>
      <c r="M279" s="62">
        <v>0</v>
      </c>
      <c r="N279" s="62">
        <v>0</v>
      </c>
      <c r="O279" s="62">
        <v>0</v>
      </c>
      <c r="P279" s="62">
        <v>0</v>
      </c>
      <c r="Q279" s="62">
        <v>0</v>
      </c>
      <c r="R279" s="62">
        <v>0</v>
      </c>
      <c r="S279" s="62">
        <v>0</v>
      </c>
      <c r="T279" s="62">
        <v>0</v>
      </c>
      <c r="U279" s="62">
        <v>0</v>
      </c>
      <c r="V279" s="62">
        <v>0</v>
      </c>
      <c r="W279" s="62">
        <v>0</v>
      </c>
      <c r="X279" s="62">
        <v>0</v>
      </c>
      <c r="Y279" s="62">
        <v>0</v>
      </c>
      <c r="Z279" s="62">
        <v>0</v>
      </c>
      <c r="AA279" s="62">
        <v>0</v>
      </c>
      <c r="AB279" s="62">
        <v>0</v>
      </c>
      <c r="AC279" s="62">
        <v>0</v>
      </c>
      <c r="AD279" s="62">
        <v>0</v>
      </c>
      <c r="AE279" s="62">
        <v>0</v>
      </c>
      <c r="AF279" s="62">
        <v>0</v>
      </c>
      <c r="AG279" s="62">
        <v>0</v>
      </c>
      <c r="AH279" s="62">
        <v>0</v>
      </c>
      <c r="AI279" s="62">
        <v>0</v>
      </c>
      <c r="AJ279" s="62">
        <v>0</v>
      </c>
      <c r="AK279" s="62">
        <v>0</v>
      </c>
      <c r="AL279" s="62">
        <v>0</v>
      </c>
      <c r="AM279" s="62">
        <v>0</v>
      </c>
    </row>
    <row r="280" spans="1:39" ht="17.25" collapsed="1" thickTop="1" thickBot="1">
      <c r="A280" s="65" t="s">
        <v>117</v>
      </c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</row>
    <row r="281" spans="1:39" ht="16.5" hidden="1" outlineLevel="1" thickTop="1" thickBot="1">
      <c r="A281" s="57" t="s">
        <v>41</v>
      </c>
      <c r="B281" s="58">
        <v>2013</v>
      </c>
      <c r="C281" s="58">
        <v>2014</v>
      </c>
      <c r="D281" s="58">
        <v>2015</v>
      </c>
      <c r="E281" s="58">
        <v>2016</v>
      </c>
      <c r="F281" s="58">
        <v>2017</v>
      </c>
      <c r="G281" s="58">
        <v>2018</v>
      </c>
      <c r="H281" s="58">
        <v>2019</v>
      </c>
      <c r="I281" s="58">
        <v>2020</v>
      </c>
      <c r="J281" s="58">
        <v>2021</v>
      </c>
      <c r="K281" s="58">
        <v>2022</v>
      </c>
      <c r="L281" s="58">
        <v>2023</v>
      </c>
      <c r="M281" s="58">
        <v>2024</v>
      </c>
      <c r="N281" s="58">
        <v>2025</v>
      </c>
      <c r="O281" s="58">
        <v>2026</v>
      </c>
      <c r="P281" s="58">
        <v>2027</v>
      </c>
      <c r="Q281" s="58">
        <v>2028</v>
      </c>
      <c r="R281" s="58">
        <v>2029</v>
      </c>
      <c r="S281" s="58">
        <v>2030</v>
      </c>
      <c r="T281" s="58">
        <v>2031</v>
      </c>
      <c r="U281" s="58">
        <v>2032</v>
      </c>
      <c r="V281" s="58">
        <v>2033</v>
      </c>
      <c r="W281" s="58">
        <v>2034</v>
      </c>
      <c r="X281" s="58">
        <v>2035</v>
      </c>
      <c r="Y281" s="58">
        <v>2036</v>
      </c>
      <c r="Z281" s="58">
        <v>2037</v>
      </c>
      <c r="AA281" s="58">
        <v>2038</v>
      </c>
      <c r="AB281" s="58">
        <v>2039</v>
      </c>
      <c r="AC281" s="58">
        <v>2040</v>
      </c>
      <c r="AD281" s="58">
        <v>2041</v>
      </c>
      <c r="AE281" s="58">
        <v>2042</v>
      </c>
      <c r="AF281" s="58">
        <v>2043</v>
      </c>
      <c r="AG281" s="58">
        <v>2044</v>
      </c>
      <c r="AH281" s="58">
        <v>2045</v>
      </c>
      <c r="AI281" s="58">
        <v>2046</v>
      </c>
      <c r="AJ281" s="58">
        <v>2047</v>
      </c>
      <c r="AK281" s="58">
        <v>2048</v>
      </c>
      <c r="AL281" s="58">
        <v>2049</v>
      </c>
      <c r="AM281" s="58">
        <v>2050</v>
      </c>
    </row>
    <row r="282" spans="1:39" ht="16.5" hidden="1" outlineLevel="1" thickTop="1" thickBot="1">
      <c r="A282" s="59" t="s">
        <v>83</v>
      </c>
      <c r="B282" s="60">
        <v>0</v>
      </c>
      <c r="C282" s="60">
        <v>0</v>
      </c>
      <c r="D282" s="60">
        <v>0</v>
      </c>
      <c r="E282" s="60">
        <v>0</v>
      </c>
      <c r="F282" s="60">
        <v>0</v>
      </c>
      <c r="G282" s="60">
        <v>0</v>
      </c>
      <c r="H282" s="60">
        <v>0</v>
      </c>
      <c r="I282" s="60">
        <v>0</v>
      </c>
      <c r="J282" s="60">
        <v>0</v>
      </c>
      <c r="K282" s="60">
        <v>0</v>
      </c>
      <c r="L282" s="60">
        <v>0</v>
      </c>
      <c r="M282" s="60">
        <v>0</v>
      </c>
      <c r="N282" s="60">
        <v>0</v>
      </c>
      <c r="O282" s="60">
        <v>0</v>
      </c>
      <c r="P282" s="60">
        <v>0</v>
      </c>
      <c r="Q282" s="60">
        <v>0</v>
      </c>
      <c r="R282" s="60">
        <v>0</v>
      </c>
      <c r="S282" s="60">
        <v>0</v>
      </c>
      <c r="T282" s="60">
        <v>0</v>
      </c>
      <c r="U282" s="60">
        <v>0</v>
      </c>
      <c r="V282" s="60">
        <v>0</v>
      </c>
      <c r="W282" s="60">
        <v>0</v>
      </c>
      <c r="X282" s="60">
        <v>0</v>
      </c>
      <c r="Y282" s="60">
        <v>0</v>
      </c>
      <c r="Z282" s="60">
        <v>0</v>
      </c>
      <c r="AA282" s="60">
        <v>0</v>
      </c>
      <c r="AB282" s="60">
        <v>0</v>
      </c>
      <c r="AC282" s="60">
        <v>0</v>
      </c>
      <c r="AD282" s="60">
        <v>0</v>
      </c>
      <c r="AE282" s="60">
        <v>0</v>
      </c>
      <c r="AF282" s="60">
        <v>0</v>
      </c>
      <c r="AG282" s="60">
        <v>0</v>
      </c>
      <c r="AH282" s="60">
        <v>0</v>
      </c>
      <c r="AI282" s="60">
        <v>0</v>
      </c>
      <c r="AJ282" s="60">
        <v>0</v>
      </c>
      <c r="AK282" s="60">
        <v>0</v>
      </c>
      <c r="AL282" s="60">
        <v>0</v>
      </c>
      <c r="AM282" s="60">
        <v>0</v>
      </c>
    </row>
    <row r="283" spans="1:39" ht="15.75" hidden="1" outlineLevel="1" thickBot="1">
      <c r="A283" s="59" t="s">
        <v>84</v>
      </c>
      <c r="B283" s="60">
        <v>0</v>
      </c>
      <c r="C283" s="60">
        <v>0</v>
      </c>
      <c r="D283" s="60">
        <v>0</v>
      </c>
      <c r="E283" s="60">
        <v>0</v>
      </c>
      <c r="F283" s="60">
        <v>0</v>
      </c>
      <c r="G283" s="60">
        <v>0</v>
      </c>
      <c r="H283" s="60">
        <v>0</v>
      </c>
      <c r="I283" s="60">
        <v>0</v>
      </c>
      <c r="J283" s="60">
        <v>0</v>
      </c>
      <c r="K283" s="60">
        <v>0</v>
      </c>
      <c r="L283" s="60">
        <v>0</v>
      </c>
      <c r="M283" s="60">
        <v>0</v>
      </c>
      <c r="N283" s="60">
        <v>0</v>
      </c>
      <c r="O283" s="60">
        <v>0</v>
      </c>
      <c r="P283" s="60">
        <v>0</v>
      </c>
      <c r="Q283" s="60">
        <v>0</v>
      </c>
      <c r="R283" s="60">
        <v>0</v>
      </c>
      <c r="S283" s="60">
        <v>0</v>
      </c>
      <c r="T283" s="60">
        <v>0</v>
      </c>
      <c r="U283" s="60">
        <v>0</v>
      </c>
      <c r="V283" s="60">
        <v>0</v>
      </c>
      <c r="W283" s="60">
        <v>0</v>
      </c>
      <c r="X283" s="60">
        <v>0</v>
      </c>
      <c r="Y283" s="60">
        <v>0</v>
      </c>
      <c r="Z283" s="60">
        <v>0</v>
      </c>
      <c r="AA283" s="60">
        <v>0</v>
      </c>
      <c r="AB283" s="60">
        <v>0</v>
      </c>
      <c r="AC283" s="60">
        <v>0</v>
      </c>
      <c r="AD283" s="60">
        <v>0</v>
      </c>
      <c r="AE283" s="60">
        <v>0</v>
      </c>
      <c r="AF283" s="60">
        <v>0</v>
      </c>
      <c r="AG283" s="60">
        <v>0</v>
      </c>
      <c r="AH283" s="60">
        <v>0</v>
      </c>
      <c r="AI283" s="60">
        <v>0</v>
      </c>
      <c r="AJ283" s="60">
        <v>0</v>
      </c>
      <c r="AK283" s="60">
        <v>0</v>
      </c>
      <c r="AL283" s="60">
        <v>0</v>
      </c>
      <c r="AM283" s="60">
        <v>0</v>
      </c>
    </row>
    <row r="284" spans="1:39" ht="15.75" hidden="1" outlineLevel="1" thickBot="1">
      <c r="A284" s="59" t="s">
        <v>85</v>
      </c>
      <c r="B284" s="60">
        <v>0</v>
      </c>
      <c r="C284" s="60">
        <v>0</v>
      </c>
      <c r="D284" s="60">
        <v>0</v>
      </c>
      <c r="E284" s="60">
        <v>0</v>
      </c>
      <c r="F284" s="60">
        <v>0</v>
      </c>
      <c r="G284" s="60">
        <v>0</v>
      </c>
      <c r="H284" s="60">
        <v>0</v>
      </c>
      <c r="I284" s="60">
        <v>0</v>
      </c>
      <c r="J284" s="60">
        <v>0</v>
      </c>
      <c r="K284" s="60">
        <v>0</v>
      </c>
      <c r="L284" s="60">
        <v>0</v>
      </c>
      <c r="M284" s="60">
        <v>0</v>
      </c>
      <c r="N284" s="60">
        <v>0</v>
      </c>
      <c r="O284" s="60">
        <v>0</v>
      </c>
      <c r="P284" s="60">
        <v>0</v>
      </c>
      <c r="Q284" s="60">
        <v>0</v>
      </c>
      <c r="R284" s="60">
        <v>0</v>
      </c>
      <c r="S284" s="60">
        <v>0</v>
      </c>
      <c r="T284" s="60">
        <v>0</v>
      </c>
      <c r="U284" s="60">
        <v>0</v>
      </c>
      <c r="V284" s="60">
        <v>0</v>
      </c>
      <c r="W284" s="60">
        <v>0</v>
      </c>
      <c r="X284" s="60">
        <v>0</v>
      </c>
      <c r="Y284" s="60">
        <v>0</v>
      </c>
      <c r="Z284" s="60">
        <v>0</v>
      </c>
      <c r="AA284" s="60">
        <v>0</v>
      </c>
      <c r="AB284" s="60">
        <v>0</v>
      </c>
      <c r="AC284" s="60">
        <v>0</v>
      </c>
      <c r="AD284" s="60">
        <v>0</v>
      </c>
      <c r="AE284" s="60">
        <v>0</v>
      </c>
      <c r="AF284" s="60">
        <v>0</v>
      </c>
      <c r="AG284" s="60">
        <v>0</v>
      </c>
      <c r="AH284" s="60">
        <v>0</v>
      </c>
      <c r="AI284" s="60">
        <v>0</v>
      </c>
      <c r="AJ284" s="60">
        <v>0</v>
      </c>
      <c r="AK284" s="60">
        <v>0</v>
      </c>
      <c r="AL284" s="60">
        <v>0</v>
      </c>
      <c r="AM284" s="60">
        <v>0</v>
      </c>
    </row>
    <row r="285" spans="1:39" ht="15.75" hidden="1" outlineLevel="1" thickBot="1">
      <c r="A285" s="59" t="s">
        <v>86</v>
      </c>
      <c r="B285" s="60">
        <v>0</v>
      </c>
      <c r="C285" s="60">
        <v>0</v>
      </c>
      <c r="D285" s="60">
        <v>0</v>
      </c>
      <c r="E285" s="60">
        <v>0</v>
      </c>
      <c r="F285" s="60">
        <v>0</v>
      </c>
      <c r="G285" s="60">
        <v>0</v>
      </c>
      <c r="H285" s="60">
        <v>0</v>
      </c>
      <c r="I285" s="60">
        <v>0</v>
      </c>
      <c r="J285" s="60">
        <v>0</v>
      </c>
      <c r="K285" s="60">
        <v>0</v>
      </c>
      <c r="L285" s="60">
        <v>0</v>
      </c>
      <c r="M285" s="60">
        <v>0</v>
      </c>
      <c r="N285" s="60">
        <v>0</v>
      </c>
      <c r="O285" s="60">
        <v>0</v>
      </c>
      <c r="P285" s="60">
        <v>0</v>
      </c>
      <c r="Q285" s="60">
        <v>0</v>
      </c>
      <c r="R285" s="60">
        <v>0</v>
      </c>
      <c r="S285" s="60">
        <v>0</v>
      </c>
      <c r="T285" s="60">
        <v>0</v>
      </c>
      <c r="U285" s="60">
        <v>0</v>
      </c>
      <c r="V285" s="60">
        <v>0</v>
      </c>
      <c r="W285" s="60">
        <v>0</v>
      </c>
      <c r="X285" s="60">
        <v>0</v>
      </c>
      <c r="Y285" s="60">
        <v>0</v>
      </c>
      <c r="Z285" s="60">
        <v>0</v>
      </c>
      <c r="AA285" s="60">
        <v>0</v>
      </c>
      <c r="AB285" s="60">
        <v>0</v>
      </c>
      <c r="AC285" s="60">
        <v>0</v>
      </c>
      <c r="AD285" s="60">
        <v>0</v>
      </c>
      <c r="AE285" s="60">
        <v>0</v>
      </c>
      <c r="AF285" s="60">
        <v>0</v>
      </c>
      <c r="AG285" s="60">
        <v>0</v>
      </c>
      <c r="AH285" s="60">
        <v>0</v>
      </c>
      <c r="AI285" s="60">
        <v>0</v>
      </c>
      <c r="AJ285" s="60">
        <v>0</v>
      </c>
      <c r="AK285" s="60">
        <v>0</v>
      </c>
      <c r="AL285" s="60">
        <v>0</v>
      </c>
      <c r="AM285" s="60">
        <v>0</v>
      </c>
    </row>
    <row r="286" spans="1:39" ht="15.75" hidden="1" outlineLevel="1" thickBot="1">
      <c r="A286" s="59" t="s">
        <v>87</v>
      </c>
      <c r="B286" s="60">
        <v>0</v>
      </c>
      <c r="C286" s="60">
        <v>0</v>
      </c>
      <c r="D286" s="60">
        <v>0</v>
      </c>
      <c r="E286" s="60">
        <v>0</v>
      </c>
      <c r="F286" s="60">
        <v>0</v>
      </c>
      <c r="G286" s="60">
        <v>0</v>
      </c>
      <c r="H286" s="60">
        <v>0</v>
      </c>
      <c r="I286" s="60">
        <v>0</v>
      </c>
      <c r="J286" s="60">
        <v>0</v>
      </c>
      <c r="K286" s="60">
        <v>0</v>
      </c>
      <c r="L286" s="60">
        <v>0</v>
      </c>
      <c r="M286" s="60">
        <v>0</v>
      </c>
      <c r="N286" s="60">
        <v>0</v>
      </c>
      <c r="O286" s="60">
        <v>0</v>
      </c>
      <c r="P286" s="60">
        <v>0</v>
      </c>
      <c r="Q286" s="60">
        <v>0</v>
      </c>
      <c r="R286" s="60">
        <v>0</v>
      </c>
      <c r="S286" s="60">
        <v>0</v>
      </c>
      <c r="T286" s="60">
        <v>0</v>
      </c>
      <c r="U286" s="60">
        <v>0</v>
      </c>
      <c r="V286" s="60">
        <v>0</v>
      </c>
      <c r="W286" s="60">
        <v>0</v>
      </c>
      <c r="X286" s="60">
        <v>0</v>
      </c>
      <c r="Y286" s="60">
        <v>0</v>
      </c>
      <c r="Z286" s="60">
        <v>0</v>
      </c>
      <c r="AA286" s="60">
        <v>0</v>
      </c>
      <c r="AB286" s="60">
        <v>0</v>
      </c>
      <c r="AC286" s="60">
        <v>0</v>
      </c>
      <c r="AD286" s="60">
        <v>0</v>
      </c>
      <c r="AE286" s="60">
        <v>0</v>
      </c>
      <c r="AF286" s="60">
        <v>0</v>
      </c>
      <c r="AG286" s="60">
        <v>0</v>
      </c>
      <c r="AH286" s="60">
        <v>0</v>
      </c>
      <c r="AI286" s="60">
        <v>0</v>
      </c>
      <c r="AJ286" s="60">
        <v>0</v>
      </c>
      <c r="AK286" s="60">
        <v>0</v>
      </c>
      <c r="AL286" s="60">
        <v>0</v>
      </c>
      <c r="AM286" s="60">
        <v>0</v>
      </c>
    </row>
    <row r="287" spans="1:39" ht="15.75" hidden="1" outlineLevel="1" thickBot="1">
      <c r="A287" s="59" t="s">
        <v>88</v>
      </c>
      <c r="B287" s="60">
        <v>0</v>
      </c>
      <c r="C287" s="60">
        <v>0</v>
      </c>
      <c r="D287" s="60">
        <v>0</v>
      </c>
      <c r="E287" s="60">
        <v>0</v>
      </c>
      <c r="F287" s="60">
        <v>0</v>
      </c>
      <c r="G287" s="60">
        <v>0</v>
      </c>
      <c r="H287" s="60">
        <v>0</v>
      </c>
      <c r="I287" s="60">
        <v>0</v>
      </c>
      <c r="J287" s="60">
        <v>0</v>
      </c>
      <c r="K287" s="60">
        <v>0</v>
      </c>
      <c r="L287" s="60">
        <v>0</v>
      </c>
      <c r="M287" s="60">
        <v>0</v>
      </c>
      <c r="N287" s="60">
        <v>0</v>
      </c>
      <c r="O287" s="60">
        <v>0</v>
      </c>
      <c r="P287" s="60">
        <v>0</v>
      </c>
      <c r="Q287" s="60">
        <v>0</v>
      </c>
      <c r="R287" s="60">
        <v>0</v>
      </c>
      <c r="S287" s="60">
        <v>0</v>
      </c>
      <c r="T287" s="60">
        <v>0</v>
      </c>
      <c r="U287" s="60">
        <v>0</v>
      </c>
      <c r="V287" s="60">
        <v>0</v>
      </c>
      <c r="W287" s="60">
        <v>0</v>
      </c>
      <c r="X287" s="60">
        <v>0</v>
      </c>
      <c r="Y287" s="60">
        <v>0</v>
      </c>
      <c r="Z287" s="60">
        <v>0</v>
      </c>
      <c r="AA287" s="60">
        <v>0</v>
      </c>
      <c r="AB287" s="60">
        <v>0</v>
      </c>
      <c r="AC287" s="60">
        <v>0</v>
      </c>
      <c r="AD287" s="60">
        <v>0</v>
      </c>
      <c r="AE287" s="60">
        <v>0</v>
      </c>
      <c r="AF287" s="60">
        <v>0</v>
      </c>
      <c r="AG287" s="60">
        <v>0</v>
      </c>
      <c r="AH287" s="60">
        <v>0</v>
      </c>
      <c r="AI287" s="60">
        <v>0</v>
      </c>
      <c r="AJ287" s="60">
        <v>0</v>
      </c>
      <c r="AK287" s="60">
        <v>0</v>
      </c>
      <c r="AL287" s="60">
        <v>0</v>
      </c>
      <c r="AM287" s="60">
        <v>0</v>
      </c>
    </row>
    <row r="288" spans="1:39" ht="15.75" hidden="1" outlineLevel="1" thickBot="1">
      <c r="A288" s="59" t="s">
        <v>89</v>
      </c>
      <c r="B288" s="60">
        <v>0</v>
      </c>
      <c r="C288" s="60">
        <v>0</v>
      </c>
      <c r="D288" s="60">
        <v>0</v>
      </c>
      <c r="E288" s="60">
        <v>0</v>
      </c>
      <c r="F288" s="60">
        <v>0</v>
      </c>
      <c r="G288" s="60">
        <v>0</v>
      </c>
      <c r="H288" s="60">
        <v>0</v>
      </c>
      <c r="I288" s="60">
        <v>0</v>
      </c>
      <c r="J288" s="60">
        <v>0</v>
      </c>
      <c r="K288" s="60">
        <v>0</v>
      </c>
      <c r="L288" s="60">
        <v>0</v>
      </c>
      <c r="M288" s="60">
        <v>0</v>
      </c>
      <c r="N288" s="60">
        <v>0</v>
      </c>
      <c r="O288" s="60">
        <v>0</v>
      </c>
      <c r="P288" s="60">
        <v>0</v>
      </c>
      <c r="Q288" s="60">
        <v>0</v>
      </c>
      <c r="R288" s="60">
        <v>0</v>
      </c>
      <c r="S288" s="60">
        <v>0</v>
      </c>
      <c r="T288" s="60">
        <v>0</v>
      </c>
      <c r="U288" s="60">
        <v>0</v>
      </c>
      <c r="V288" s="60">
        <v>0</v>
      </c>
      <c r="W288" s="60">
        <v>0</v>
      </c>
      <c r="X288" s="60">
        <v>0</v>
      </c>
      <c r="Y288" s="60">
        <v>0</v>
      </c>
      <c r="Z288" s="60">
        <v>0</v>
      </c>
      <c r="AA288" s="60">
        <v>0</v>
      </c>
      <c r="AB288" s="60">
        <v>0</v>
      </c>
      <c r="AC288" s="60">
        <v>0</v>
      </c>
      <c r="AD288" s="60">
        <v>0</v>
      </c>
      <c r="AE288" s="60">
        <v>0</v>
      </c>
      <c r="AF288" s="60">
        <v>0</v>
      </c>
      <c r="AG288" s="60">
        <v>0</v>
      </c>
      <c r="AH288" s="60">
        <v>0</v>
      </c>
      <c r="AI288" s="60">
        <v>0</v>
      </c>
      <c r="AJ288" s="60">
        <v>0</v>
      </c>
      <c r="AK288" s="60">
        <v>0</v>
      </c>
      <c r="AL288" s="60">
        <v>0</v>
      </c>
      <c r="AM288" s="60">
        <v>0</v>
      </c>
    </row>
    <row r="289" spans="1:39" ht="15.75" hidden="1" outlineLevel="1" thickBot="1">
      <c r="A289" s="59" t="s">
        <v>90</v>
      </c>
      <c r="B289" s="60">
        <v>0</v>
      </c>
      <c r="C289" s="60">
        <v>0</v>
      </c>
      <c r="D289" s="60">
        <v>0</v>
      </c>
      <c r="E289" s="60">
        <v>0</v>
      </c>
      <c r="F289" s="60">
        <v>0</v>
      </c>
      <c r="G289" s="60">
        <v>0</v>
      </c>
      <c r="H289" s="60">
        <v>0</v>
      </c>
      <c r="I289" s="60">
        <v>0</v>
      </c>
      <c r="J289" s="60">
        <v>0</v>
      </c>
      <c r="K289" s="60">
        <v>0</v>
      </c>
      <c r="L289" s="60">
        <v>0</v>
      </c>
      <c r="M289" s="60">
        <v>0</v>
      </c>
      <c r="N289" s="60">
        <v>0</v>
      </c>
      <c r="O289" s="60">
        <v>0</v>
      </c>
      <c r="P289" s="60">
        <v>0</v>
      </c>
      <c r="Q289" s="60">
        <v>0</v>
      </c>
      <c r="R289" s="60">
        <v>0</v>
      </c>
      <c r="S289" s="60">
        <v>0</v>
      </c>
      <c r="T289" s="60">
        <v>0</v>
      </c>
      <c r="U289" s="60">
        <v>0</v>
      </c>
      <c r="V289" s="60">
        <v>0</v>
      </c>
      <c r="W289" s="60">
        <v>0</v>
      </c>
      <c r="X289" s="60">
        <v>0</v>
      </c>
      <c r="Y289" s="60">
        <v>0</v>
      </c>
      <c r="Z289" s="60">
        <v>0</v>
      </c>
      <c r="AA289" s="60">
        <v>0</v>
      </c>
      <c r="AB289" s="60">
        <v>0</v>
      </c>
      <c r="AC289" s="60">
        <v>0</v>
      </c>
      <c r="AD289" s="60">
        <v>0</v>
      </c>
      <c r="AE289" s="60">
        <v>0</v>
      </c>
      <c r="AF289" s="60">
        <v>0</v>
      </c>
      <c r="AG289" s="60">
        <v>0</v>
      </c>
      <c r="AH289" s="60">
        <v>0</v>
      </c>
      <c r="AI289" s="60">
        <v>0</v>
      </c>
      <c r="AJ289" s="60">
        <v>0</v>
      </c>
      <c r="AK289" s="60">
        <v>0</v>
      </c>
      <c r="AL289" s="60">
        <v>0</v>
      </c>
      <c r="AM289" s="60">
        <v>0</v>
      </c>
    </row>
    <row r="290" spans="1:39" ht="15.75" hidden="1" outlineLevel="1" thickBot="1">
      <c r="A290" s="59" t="s">
        <v>91</v>
      </c>
      <c r="B290" s="60">
        <v>0</v>
      </c>
      <c r="C290" s="60">
        <v>0</v>
      </c>
      <c r="D290" s="60">
        <v>0</v>
      </c>
      <c r="E290" s="60">
        <v>0</v>
      </c>
      <c r="F290" s="60">
        <v>0</v>
      </c>
      <c r="G290" s="60">
        <v>0</v>
      </c>
      <c r="H290" s="60">
        <v>0</v>
      </c>
      <c r="I290" s="60">
        <v>0</v>
      </c>
      <c r="J290" s="60">
        <v>0</v>
      </c>
      <c r="K290" s="60">
        <v>0</v>
      </c>
      <c r="L290" s="60">
        <v>0</v>
      </c>
      <c r="M290" s="60">
        <v>0</v>
      </c>
      <c r="N290" s="60">
        <v>0</v>
      </c>
      <c r="O290" s="60">
        <v>0</v>
      </c>
      <c r="P290" s="60">
        <v>0</v>
      </c>
      <c r="Q290" s="60">
        <v>0</v>
      </c>
      <c r="R290" s="60">
        <v>0</v>
      </c>
      <c r="S290" s="60">
        <v>0</v>
      </c>
      <c r="T290" s="60">
        <v>0</v>
      </c>
      <c r="U290" s="60">
        <v>0</v>
      </c>
      <c r="V290" s="60">
        <v>0</v>
      </c>
      <c r="W290" s="60">
        <v>0</v>
      </c>
      <c r="X290" s="60">
        <v>0</v>
      </c>
      <c r="Y290" s="60">
        <v>0</v>
      </c>
      <c r="Z290" s="60">
        <v>0</v>
      </c>
      <c r="AA290" s="60">
        <v>0</v>
      </c>
      <c r="AB290" s="60">
        <v>0</v>
      </c>
      <c r="AC290" s="60">
        <v>0</v>
      </c>
      <c r="AD290" s="60">
        <v>0</v>
      </c>
      <c r="AE290" s="60">
        <v>0</v>
      </c>
      <c r="AF290" s="60">
        <v>0</v>
      </c>
      <c r="AG290" s="60">
        <v>0</v>
      </c>
      <c r="AH290" s="60">
        <v>0</v>
      </c>
      <c r="AI290" s="60">
        <v>0</v>
      </c>
      <c r="AJ290" s="60">
        <v>0</v>
      </c>
      <c r="AK290" s="60">
        <v>0</v>
      </c>
      <c r="AL290" s="60">
        <v>0</v>
      </c>
      <c r="AM290" s="60">
        <v>0</v>
      </c>
    </row>
    <row r="291" spans="1:39" ht="15.75" hidden="1" outlineLevel="1" thickBot="1">
      <c r="A291" s="59" t="s">
        <v>92</v>
      </c>
      <c r="B291" s="60">
        <v>0</v>
      </c>
      <c r="C291" s="60">
        <v>0</v>
      </c>
      <c r="D291" s="60">
        <v>0</v>
      </c>
      <c r="E291" s="60">
        <v>0</v>
      </c>
      <c r="F291" s="60">
        <v>0</v>
      </c>
      <c r="G291" s="60">
        <v>0</v>
      </c>
      <c r="H291" s="60">
        <v>0</v>
      </c>
      <c r="I291" s="60">
        <v>0</v>
      </c>
      <c r="J291" s="60">
        <v>0</v>
      </c>
      <c r="K291" s="60">
        <v>0</v>
      </c>
      <c r="L291" s="60">
        <v>0</v>
      </c>
      <c r="M291" s="60">
        <v>0</v>
      </c>
      <c r="N291" s="60">
        <v>0</v>
      </c>
      <c r="O291" s="60">
        <v>0</v>
      </c>
      <c r="P291" s="60">
        <v>0</v>
      </c>
      <c r="Q291" s="60">
        <v>0</v>
      </c>
      <c r="R291" s="60">
        <v>0</v>
      </c>
      <c r="S291" s="60">
        <v>0</v>
      </c>
      <c r="T291" s="60">
        <v>0</v>
      </c>
      <c r="U291" s="60">
        <v>0</v>
      </c>
      <c r="V291" s="60">
        <v>0</v>
      </c>
      <c r="W291" s="60">
        <v>0</v>
      </c>
      <c r="X291" s="60">
        <v>0</v>
      </c>
      <c r="Y291" s="60">
        <v>0</v>
      </c>
      <c r="Z291" s="60">
        <v>0</v>
      </c>
      <c r="AA291" s="60">
        <v>0</v>
      </c>
      <c r="AB291" s="60">
        <v>0</v>
      </c>
      <c r="AC291" s="60">
        <v>0</v>
      </c>
      <c r="AD291" s="60">
        <v>0</v>
      </c>
      <c r="AE291" s="60">
        <v>0</v>
      </c>
      <c r="AF291" s="60">
        <v>0</v>
      </c>
      <c r="AG291" s="60">
        <v>0</v>
      </c>
      <c r="AH291" s="60">
        <v>0</v>
      </c>
      <c r="AI291" s="60">
        <v>0</v>
      </c>
      <c r="AJ291" s="60">
        <v>0</v>
      </c>
      <c r="AK291" s="60">
        <v>0</v>
      </c>
      <c r="AL291" s="60">
        <v>0</v>
      </c>
      <c r="AM291" s="60">
        <v>0</v>
      </c>
    </row>
    <row r="292" spans="1:39" ht="15.75" hidden="1" outlineLevel="1" thickBot="1">
      <c r="A292" s="59" t="s">
        <v>93</v>
      </c>
      <c r="B292" s="60">
        <v>0</v>
      </c>
      <c r="C292" s="60">
        <v>0</v>
      </c>
      <c r="D292" s="60">
        <v>0</v>
      </c>
      <c r="E292" s="60">
        <v>0</v>
      </c>
      <c r="F292" s="60">
        <v>0</v>
      </c>
      <c r="G292" s="60">
        <v>0</v>
      </c>
      <c r="H292" s="60">
        <v>0</v>
      </c>
      <c r="I292" s="60">
        <v>0</v>
      </c>
      <c r="J292" s="60">
        <v>0</v>
      </c>
      <c r="K292" s="60">
        <v>0</v>
      </c>
      <c r="L292" s="60">
        <v>0</v>
      </c>
      <c r="M292" s="60">
        <v>0</v>
      </c>
      <c r="N292" s="60">
        <v>0</v>
      </c>
      <c r="O292" s="60">
        <v>0</v>
      </c>
      <c r="P292" s="60">
        <v>0</v>
      </c>
      <c r="Q292" s="60">
        <v>0</v>
      </c>
      <c r="R292" s="60">
        <v>0</v>
      </c>
      <c r="S292" s="60">
        <v>0</v>
      </c>
      <c r="T292" s="60">
        <v>0</v>
      </c>
      <c r="U292" s="60">
        <v>0</v>
      </c>
      <c r="V292" s="60">
        <v>0</v>
      </c>
      <c r="W292" s="60">
        <v>0</v>
      </c>
      <c r="X292" s="60">
        <v>0</v>
      </c>
      <c r="Y292" s="60">
        <v>0</v>
      </c>
      <c r="Z292" s="60">
        <v>0</v>
      </c>
      <c r="AA292" s="60">
        <v>0</v>
      </c>
      <c r="AB292" s="60">
        <v>0</v>
      </c>
      <c r="AC292" s="60">
        <v>0</v>
      </c>
      <c r="AD292" s="60">
        <v>0</v>
      </c>
      <c r="AE292" s="60">
        <v>0</v>
      </c>
      <c r="AF292" s="60">
        <v>0</v>
      </c>
      <c r="AG292" s="60">
        <v>0</v>
      </c>
      <c r="AH292" s="60">
        <v>0</v>
      </c>
      <c r="AI292" s="60">
        <v>0</v>
      </c>
      <c r="AJ292" s="60">
        <v>0</v>
      </c>
      <c r="AK292" s="60">
        <v>0</v>
      </c>
      <c r="AL292" s="60">
        <v>0</v>
      </c>
      <c r="AM292" s="60">
        <v>0</v>
      </c>
    </row>
    <row r="293" spans="1:39" ht="15.75" hidden="1" outlineLevel="1" thickBot="1">
      <c r="A293" s="59" t="s">
        <v>94</v>
      </c>
      <c r="B293" s="60">
        <v>0</v>
      </c>
      <c r="C293" s="60">
        <v>0</v>
      </c>
      <c r="D293" s="60">
        <v>0</v>
      </c>
      <c r="E293" s="60">
        <v>0</v>
      </c>
      <c r="F293" s="60">
        <v>0</v>
      </c>
      <c r="G293" s="60">
        <v>0</v>
      </c>
      <c r="H293" s="60">
        <v>0</v>
      </c>
      <c r="I293" s="60">
        <v>0</v>
      </c>
      <c r="J293" s="60">
        <v>0</v>
      </c>
      <c r="K293" s="60">
        <v>0</v>
      </c>
      <c r="L293" s="60">
        <v>0</v>
      </c>
      <c r="M293" s="60">
        <v>0</v>
      </c>
      <c r="N293" s="60">
        <v>0</v>
      </c>
      <c r="O293" s="60">
        <v>0</v>
      </c>
      <c r="P293" s="60">
        <v>0</v>
      </c>
      <c r="Q293" s="60">
        <v>0</v>
      </c>
      <c r="R293" s="60">
        <v>0</v>
      </c>
      <c r="S293" s="60">
        <v>0</v>
      </c>
      <c r="T293" s="60">
        <v>0</v>
      </c>
      <c r="U293" s="60">
        <v>0</v>
      </c>
      <c r="V293" s="60">
        <v>0</v>
      </c>
      <c r="W293" s="60">
        <v>0</v>
      </c>
      <c r="X293" s="60">
        <v>0</v>
      </c>
      <c r="Y293" s="60">
        <v>0</v>
      </c>
      <c r="Z293" s="60">
        <v>0</v>
      </c>
      <c r="AA293" s="60">
        <v>0</v>
      </c>
      <c r="AB293" s="60">
        <v>0</v>
      </c>
      <c r="AC293" s="60">
        <v>0</v>
      </c>
      <c r="AD293" s="60">
        <v>0</v>
      </c>
      <c r="AE293" s="60">
        <v>0</v>
      </c>
      <c r="AF293" s="60">
        <v>0</v>
      </c>
      <c r="AG293" s="60">
        <v>0</v>
      </c>
      <c r="AH293" s="60">
        <v>0</v>
      </c>
      <c r="AI293" s="60">
        <v>0</v>
      </c>
      <c r="AJ293" s="60">
        <v>0</v>
      </c>
      <c r="AK293" s="60">
        <v>0</v>
      </c>
      <c r="AL293" s="60">
        <v>0</v>
      </c>
      <c r="AM293" s="60">
        <v>0</v>
      </c>
    </row>
    <row r="294" spans="1:39" ht="15.75" hidden="1" outlineLevel="1" thickBot="1">
      <c r="A294" s="59" t="s">
        <v>95</v>
      </c>
      <c r="B294" s="60">
        <v>0</v>
      </c>
      <c r="C294" s="60">
        <v>0</v>
      </c>
      <c r="D294" s="60">
        <v>0</v>
      </c>
      <c r="E294" s="60">
        <v>0</v>
      </c>
      <c r="F294" s="60">
        <v>0</v>
      </c>
      <c r="G294" s="60">
        <v>0</v>
      </c>
      <c r="H294" s="60">
        <v>0</v>
      </c>
      <c r="I294" s="60">
        <v>0</v>
      </c>
      <c r="J294" s="60">
        <v>0</v>
      </c>
      <c r="K294" s="60">
        <v>0</v>
      </c>
      <c r="L294" s="60">
        <v>0</v>
      </c>
      <c r="M294" s="60">
        <v>0</v>
      </c>
      <c r="N294" s="60">
        <v>0</v>
      </c>
      <c r="O294" s="60">
        <v>0</v>
      </c>
      <c r="P294" s="60">
        <v>0</v>
      </c>
      <c r="Q294" s="60">
        <v>0</v>
      </c>
      <c r="R294" s="60">
        <v>0</v>
      </c>
      <c r="S294" s="60">
        <v>0</v>
      </c>
      <c r="T294" s="60">
        <v>0</v>
      </c>
      <c r="U294" s="60">
        <v>0</v>
      </c>
      <c r="V294" s="60">
        <v>0</v>
      </c>
      <c r="W294" s="60">
        <v>0</v>
      </c>
      <c r="X294" s="60">
        <v>0</v>
      </c>
      <c r="Y294" s="60">
        <v>0</v>
      </c>
      <c r="Z294" s="60">
        <v>0</v>
      </c>
      <c r="AA294" s="60">
        <v>0</v>
      </c>
      <c r="AB294" s="60">
        <v>0</v>
      </c>
      <c r="AC294" s="60">
        <v>0</v>
      </c>
      <c r="AD294" s="60">
        <v>0</v>
      </c>
      <c r="AE294" s="60">
        <v>0</v>
      </c>
      <c r="AF294" s="60">
        <v>0</v>
      </c>
      <c r="AG294" s="60">
        <v>0</v>
      </c>
      <c r="AH294" s="60">
        <v>0</v>
      </c>
      <c r="AI294" s="60">
        <v>0</v>
      </c>
      <c r="AJ294" s="60">
        <v>0</v>
      </c>
      <c r="AK294" s="60">
        <v>0</v>
      </c>
      <c r="AL294" s="60">
        <v>0</v>
      </c>
      <c r="AM294" s="60">
        <v>0</v>
      </c>
    </row>
    <row r="295" spans="1:39" ht="15.75" hidden="1" outlineLevel="1" thickBot="1">
      <c r="A295" s="59" t="s">
        <v>96</v>
      </c>
      <c r="B295" s="60">
        <v>0</v>
      </c>
      <c r="C295" s="60">
        <v>0</v>
      </c>
      <c r="D295" s="60">
        <v>0</v>
      </c>
      <c r="E295" s="60">
        <v>0</v>
      </c>
      <c r="F295" s="60">
        <v>0</v>
      </c>
      <c r="G295" s="60">
        <v>0</v>
      </c>
      <c r="H295" s="60">
        <v>0</v>
      </c>
      <c r="I295" s="60">
        <v>0</v>
      </c>
      <c r="J295" s="60">
        <v>0</v>
      </c>
      <c r="K295" s="60">
        <v>0</v>
      </c>
      <c r="L295" s="60">
        <v>0</v>
      </c>
      <c r="M295" s="60">
        <v>0</v>
      </c>
      <c r="N295" s="60">
        <v>0</v>
      </c>
      <c r="O295" s="60">
        <v>0</v>
      </c>
      <c r="P295" s="60">
        <v>0</v>
      </c>
      <c r="Q295" s="60">
        <v>0</v>
      </c>
      <c r="R295" s="60">
        <v>0</v>
      </c>
      <c r="S295" s="60">
        <v>0</v>
      </c>
      <c r="T295" s="60">
        <v>0</v>
      </c>
      <c r="U295" s="60">
        <v>0</v>
      </c>
      <c r="V295" s="60">
        <v>0</v>
      </c>
      <c r="W295" s="60">
        <v>0</v>
      </c>
      <c r="X295" s="60">
        <v>0</v>
      </c>
      <c r="Y295" s="60">
        <v>0</v>
      </c>
      <c r="Z295" s="60">
        <v>0</v>
      </c>
      <c r="AA295" s="60">
        <v>0</v>
      </c>
      <c r="AB295" s="60">
        <v>0</v>
      </c>
      <c r="AC295" s="60">
        <v>0</v>
      </c>
      <c r="AD295" s="60">
        <v>0</v>
      </c>
      <c r="AE295" s="60">
        <v>0</v>
      </c>
      <c r="AF295" s="60">
        <v>0</v>
      </c>
      <c r="AG295" s="60">
        <v>0</v>
      </c>
      <c r="AH295" s="60">
        <v>0</v>
      </c>
      <c r="AI295" s="60">
        <v>0</v>
      </c>
      <c r="AJ295" s="60">
        <v>0</v>
      </c>
      <c r="AK295" s="60">
        <v>0</v>
      </c>
      <c r="AL295" s="60">
        <v>0</v>
      </c>
      <c r="AM295" s="60">
        <v>0</v>
      </c>
    </row>
    <row r="296" spans="1:39" ht="15.75" hidden="1" outlineLevel="1" thickBot="1">
      <c r="A296" s="59" t="s">
        <v>97</v>
      </c>
      <c r="B296" s="60">
        <v>0</v>
      </c>
      <c r="C296" s="60">
        <v>0</v>
      </c>
      <c r="D296" s="60">
        <v>0</v>
      </c>
      <c r="E296" s="60">
        <v>0</v>
      </c>
      <c r="F296" s="60">
        <v>0</v>
      </c>
      <c r="G296" s="60">
        <v>0</v>
      </c>
      <c r="H296" s="60">
        <v>0</v>
      </c>
      <c r="I296" s="60">
        <v>0</v>
      </c>
      <c r="J296" s="60">
        <v>0</v>
      </c>
      <c r="K296" s="60">
        <v>0</v>
      </c>
      <c r="L296" s="60">
        <v>0</v>
      </c>
      <c r="M296" s="60">
        <v>0</v>
      </c>
      <c r="N296" s="60">
        <v>0</v>
      </c>
      <c r="O296" s="60">
        <v>0</v>
      </c>
      <c r="P296" s="60">
        <v>0</v>
      </c>
      <c r="Q296" s="60">
        <v>0</v>
      </c>
      <c r="R296" s="60">
        <v>0</v>
      </c>
      <c r="S296" s="60">
        <v>0</v>
      </c>
      <c r="T296" s="60">
        <v>0</v>
      </c>
      <c r="U296" s="60">
        <v>0</v>
      </c>
      <c r="V296" s="60">
        <v>0</v>
      </c>
      <c r="W296" s="60">
        <v>0</v>
      </c>
      <c r="X296" s="60">
        <v>0</v>
      </c>
      <c r="Y296" s="60">
        <v>0</v>
      </c>
      <c r="Z296" s="60">
        <v>0</v>
      </c>
      <c r="AA296" s="60">
        <v>0</v>
      </c>
      <c r="AB296" s="60">
        <v>0</v>
      </c>
      <c r="AC296" s="60">
        <v>0</v>
      </c>
      <c r="AD296" s="60">
        <v>0</v>
      </c>
      <c r="AE296" s="60">
        <v>0</v>
      </c>
      <c r="AF296" s="60">
        <v>0</v>
      </c>
      <c r="AG296" s="60">
        <v>0</v>
      </c>
      <c r="AH296" s="60">
        <v>0</v>
      </c>
      <c r="AI296" s="60">
        <v>0</v>
      </c>
      <c r="AJ296" s="60">
        <v>0</v>
      </c>
      <c r="AK296" s="60">
        <v>0</v>
      </c>
      <c r="AL296" s="60">
        <v>0</v>
      </c>
      <c r="AM296" s="60">
        <v>0</v>
      </c>
    </row>
    <row r="297" spans="1:39" ht="15.75" hidden="1" outlineLevel="1" thickBot="1">
      <c r="A297" s="59" t="s">
        <v>98</v>
      </c>
      <c r="B297" s="60">
        <v>0</v>
      </c>
      <c r="C297" s="60">
        <v>0</v>
      </c>
      <c r="D297" s="60">
        <v>0</v>
      </c>
      <c r="E297" s="60">
        <v>0</v>
      </c>
      <c r="F297" s="60">
        <v>0</v>
      </c>
      <c r="G297" s="60">
        <v>0</v>
      </c>
      <c r="H297" s="60">
        <v>0</v>
      </c>
      <c r="I297" s="60">
        <v>0</v>
      </c>
      <c r="J297" s="60">
        <v>0</v>
      </c>
      <c r="K297" s="60">
        <v>0</v>
      </c>
      <c r="L297" s="60">
        <v>0</v>
      </c>
      <c r="M297" s="60">
        <v>0</v>
      </c>
      <c r="N297" s="60">
        <v>0</v>
      </c>
      <c r="O297" s="60">
        <v>0</v>
      </c>
      <c r="P297" s="60">
        <v>0</v>
      </c>
      <c r="Q297" s="60">
        <v>0</v>
      </c>
      <c r="R297" s="60">
        <v>0</v>
      </c>
      <c r="S297" s="60">
        <v>0</v>
      </c>
      <c r="T297" s="60">
        <v>0</v>
      </c>
      <c r="U297" s="60">
        <v>0</v>
      </c>
      <c r="V297" s="60">
        <v>0</v>
      </c>
      <c r="W297" s="60">
        <v>0</v>
      </c>
      <c r="X297" s="60">
        <v>0</v>
      </c>
      <c r="Y297" s="60">
        <v>0</v>
      </c>
      <c r="Z297" s="60">
        <v>0</v>
      </c>
      <c r="AA297" s="60">
        <v>0</v>
      </c>
      <c r="AB297" s="60">
        <v>0</v>
      </c>
      <c r="AC297" s="60">
        <v>0</v>
      </c>
      <c r="AD297" s="60">
        <v>0</v>
      </c>
      <c r="AE297" s="60">
        <v>0</v>
      </c>
      <c r="AF297" s="60">
        <v>0</v>
      </c>
      <c r="AG297" s="60">
        <v>0</v>
      </c>
      <c r="AH297" s="60">
        <v>0</v>
      </c>
      <c r="AI297" s="60">
        <v>0</v>
      </c>
      <c r="AJ297" s="60">
        <v>0</v>
      </c>
      <c r="AK297" s="60">
        <v>0</v>
      </c>
      <c r="AL297" s="60">
        <v>0</v>
      </c>
      <c r="AM297" s="60">
        <v>0</v>
      </c>
    </row>
    <row r="298" spans="1:39" ht="15.75" hidden="1" outlineLevel="1" thickBot="1">
      <c r="A298" s="59" t="s">
        <v>99</v>
      </c>
      <c r="B298" s="60">
        <v>0</v>
      </c>
      <c r="C298" s="60">
        <v>0</v>
      </c>
      <c r="D298" s="60">
        <v>0</v>
      </c>
      <c r="E298" s="60">
        <v>0</v>
      </c>
      <c r="F298" s="60">
        <v>0</v>
      </c>
      <c r="G298" s="60">
        <v>0</v>
      </c>
      <c r="H298" s="60">
        <v>0</v>
      </c>
      <c r="I298" s="60">
        <v>0</v>
      </c>
      <c r="J298" s="60">
        <v>0</v>
      </c>
      <c r="K298" s="60">
        <v>0</v>
      </c>
      <c r="L298" s="60">
        <v>0</v>
      </c>
      <c r="M298" s="60">
        <v>0</v>
      </c>
      <c r="N298" s="60">
        <v>0</v>
      </c>
      <c r="O298" s="60">
        <v>0</v>
      </c>
      <c r="P298" s="60">
        <v>0</v>
      </c>
      <c r="Q298" s="60">
        <v>0</v>
      </c>
      <c r="R298" s="60">
        <v>0</v>
      </c>
      <c r="S298" s="60">
        <v>0</v>
      </c>
      <c r="T298" s="60">
        <v>0</v>
      </c>
      <c r="U298" s="60">
        <v>0</v>
      </c>
      <c r="V298" s="60">
        <v>0</v>
      </c>
      <c r="W298" s="60">
        <v>0</v>
      </c>
      <c r="X298" s="60">
        <v>0</v>
      </c>
      <c r="Y298" s="60">
        <v>0</v>
      </c>
      <c r="Z298" s="60">
        <v>0</v>
      </c>
      <c r="AA298" s="60">
        <v>0</v>
      </c>
      <c r="AB298" s="60">
        <v>0</v>
      </c>
      <c r="AC298" s="60">
        <v>0</v>
      </c>
      <c r="AD298" s="60">
        <v>0</v>
      </c>
      <c r="AE298" s="60">
        <v>0</v>
      </c>
      <c r="AF298" s="60">
        <v>0</v>
      </c>
      <c r="AG298" s="60">
        <v>0</v>
      </c>
      <c r="AH298" s="60">
        <v>0</v>
      </c>
      <c r="AI298" s="60">
        <v>0</v>
      </c>
      <c r="AJ298" s="60">
        <v>0</v>
      </c>
      <c r="AK298" s="60">
        <v>0</v>
      </c>
      <c r="AL298" s="60">
        <v>0</v>
      </c>
      <c r="AM298" s="60">
        <v>0</v>
      </c>
    </row>
    <row r="299" spans="1:39" ht="15.75" hidden="1" outlineLevel="1" thickBot="1">
      <c r="A299" s="59" t="s">
        <v>100</v>
      </c>
      <c r="B299" s="60">
        <v>0</v>
      </c>
      <c r="C299" s="60">
        <v>0</v>
      </c>
      <c r="D299" s="60">
        <v>0</v>
      </c>
      <c r="E299" s="60">
        <v>0</v>
      </c>
      <c r="F299" s="60">
        <v>0</v>
      </c>
      <c r="G299" s="60">
        <v>0</v>
      </c>
      <c r="H299" s="60">
        <v>0</v>
      </c>
      <c r="I299" s="60">
        <v>0</v>
      </c>
      <c r="J299" s="60">
        <v>0</v>
      </c>
      <c r="K299" s="60">
        <v>0</v>
      </c>
      <c r="L299" s="60">
        <v>0</v>
      </c>
      <c r="M299" s="60">
        <v>0</v>
      </c>
      <c r="N299" s="60">
        <v>0</v>
      </c>
      <c r="O299" s="60">
        <v>0</v>
      </c>
      <c r="P299" s="60">
        <v>0</v>
      </c>
      <c r="Q299" s="60">
        <v>0</v>
      </c>
      <c r="R299" s="60">
        <v>0</v>
      </c>
      <c r="S299" s="60">
        <v>0</v>
      </c>
      <c r="T299" s="60">
        <v>0</v>
      </c>
      <c r="U299" s="60">
        <v>0</v>
      </c>
      <c r="V299" s="60">
        <v>0</v>
      </c>
      <c r="W299" s="60">
        <v>0</v>
      </c>
      <c r="X299" s="60">
        <v>0</v>
      </c>
      <c r="Y299" s="60">
        <v>0</v>
      </c>
      <c r="Z299" s="60">
        <v>0</v>
      </c>
      <c r="AA299" s="60">
        <v>0</v>
      </c>
      <c r="AB299" s="60">
        <v>0</v>
      </c>
      <c r="AC299" s="60">
        <v>0</v>
      </c>
      <c r="AD299" s="60">
        <v>0</v>
      </c>
      <c r="AE299" s="60">
        <v>0</v>
      </c>
      <c r="AF299" s="60">
        <v>0</v>
      </c>
      <c r="AG299" s="60">
        <v>0</v>
      </c>
      <c r="AH299" s="60">
        <v>0</v>
      </c>
      <c r="AI299" s="60">
        <v>0</v>
      </c>
      <c r="AJ299" s="60">
        <v>0</v>
      </c>
      <c r="AK299" s="60">
        <v>0</v>
      </c>
      <c r="AL299" s="60">
        <v>0</v>
      </c>
      <c r="AM299" s="60">
        <v>0</v>
      </c>
    </row>
    <row r="300" spans="1:39" ht="15.75" hidden="1" outlineLevel="1" thickBot="1">
      <c r="A300" s="59" t="s">
        <v>101</v>
      </c>
      <c r="B300" s="60">
        <v>0</v>
      </c>
      <c r="C300" s="60">
        <v>0</v>
      </c>
      <c r="D300" s="60">
        <v>0</v>
      </c>
      <c r="E300" s="60">
        <v>0</v>
      </c>
      <c r="F300" s="60">
        <v>0</v>
      </c>
      <c r="G300" s="60">
        <v>0</v>
      </c>
      <c r="H300" s="60">
        <v>0</v>
      </c>
      <c r="I300" s="60">
        <v>0</v>
      </c>
      <c r="J300" s="60">
        <v>0</v>
      </c>
      <c r="K300" s="60">
        <v>0</v>
      </c>
      <c r="L300" s="60">
        <v>0</v>
      </c>
      <c r="M300" s="60">
        <v>0</v>
      </c>
      <c r="N300" s="60">
        <v>0</v>
      </c>
      <c r="O300" s="60">
        <v>0</v>
      </c>
      <c r="P300" s="60">
        <v>0</v>
      </c>
      <c r="Q300" s="60">
        <v>0</v>
      </c>
      <c r="R300" s="60">
        <v>0</v>
      </c>
      <c r="S300" s="60">
        <v>0</v>
      </c>
      <c r="T300" s="60">
        <v>0</v>
      </c>
      <c r="U300" s="60">
        <v>0</v>
      </c>
      <c r="V300" s="60">
        <v>0</v>
      </c>
      <c r="W300" s="60">
        <v>0</v>
      </c>
      <c r="X300" s="60">
        <v>0</v>
      </c>
      <c r="Y300" s="60">
        <v>0</v>
      </c>
      <c r="Z300" s="60">
        <v>0</v>
      </c>
      <c r="AA300" s="60">
        <v>0</v>
      </c>
      <c r="AB300" s="60">
        <v>0</v>
      </c>
      <c r="AC300" s="60">
        <v>0</v>
      </c>
      <c r="AD300" s="60">
        <v>0</v>
      </c>
      <c r="AE300" s="60">
        <v>0</v>
      </c>
      <c r="AF300" s="60">
        <v>0</v>
      </c>
      <c r="AG300" s="60">
        <v>0</v>
      </c>
      <c r="AH300" s="60">
        <v>0</v>
      </c>
      <c r="AI300" s="60">
        <v>0</v>
      </c>
      <c r="AJ300" s="60">
        <v>0</v>
      </c>
      <c r="AK300" s="60">
        <v>0</v>
      </c>
      <c r="AL300" s="60">
        <v>0</v>
      </c>
      <c r="AM300" s="60">
        <v>0</v>
      </c>
    </row>
    <row r="301" spans="1:39" ht="15.75" hidden="1" outlineLevel="1" thickBot="1">
      <c r="A301" s="59" t="s">
        <v>102</v>
      </c>
      <c r="B301" s="60">
        <v>0.81</v>
      </c>
      <c r="C301" s="60">
        <v>0.84</v>
      </c>
      <c r="D301" s="60">
        <v>0.88</v>
      </c>
      <c r="E301" s="60">
        <v>0.91</v>
      </c>
      <c r="F301" s="60">
        <v>0.97</v>
      </c>
      <c r="G301" s="60">
        <v>1.1200000000000001</v>
      </c>
      <c r="H301" s="60">
        <v>1.1399999999999999</v>
      </c>
      <c r="I301" s="60">
        <v>0.97</v>
      </c>
      <c r="J301" s="60">
        <v>0.8</v>
      </c>
      <c r="K301" s="60">
        <v>0.85</v>
      </c>
      <c r="L301" s="60">
        <v>0.85</v>
      </c>
      <c r="M301" s="60">
        <v>0.86</v>
      </c>
      <c r="N301" s="60">
        <v>0.86</v>
      </c>
      <c r="O301" s="60">
        <v>0.87</v>
      </c>
      <c r="P301" s="60">
        <v>0.87</v>
      </c>
      <c r="Q301" s="60">
        <v>0.88</v>
      </c>
      <c r="R301" s="60">
        <v>0.88</v>
      </c>
      <c r="S301" s="60">
        <v>0.89</v>
      </c>
      <c r="T301" s="60">
        <v>0.89</v>
      </c>
      <c r="U301" s="60">
        <v>0.89</v>
      </c>
      <c r="V301" s="60">
        <v>0.9</v>
      </c>
      <c r="W301" s="60">
        <v>0.9</v>
      </c>
      <c r="X301" s="60">
        <v>0.91</v>
      </c>
      <c r="Y301" s="60">
        <v>0.91</v>
      </c>
      <c r="Z301" s="60">
        <v>0.92</v>
      </c>
      <c r="AA301" s="60">
        <v>0.92</v>
      </c>
      <c r="AB301" s="60">
        <v>0.93</v>
      </c>
      <c r="AC301" s="60">
        <v>0.93</v>
      </c>
      <c r="AD301" s="60">
        <v>0.94</v>
      </c>
      <c r="AE301" s="60">
        <v>0.94</v>
      </c>
      <c r="AF301" s="60">
        <v>0.94</v>
      </c>
      <c r="AG301" s="60">
        <v>0.95</v>
      </c>
      <c r="AH301" s="60">
        <v>0.95</v>
      </c>
      <c r="AI301" s="60">
        <v>0.96</v>
      </c>
      <c r="AJ301" s="60">
        <v>0.96</v>
      </c>
      <c r="AK301" s="60">
        <v>0.97</v>
      </c>
      <c r="AL301" s="60">
        <v>0.97</v>
      </c>
      <c r="AM301" s="60">
        <v>0.98</v>
      </c>
    </row>
    <row r="302" spans="1:39" ht="15.75" hidden="1" outlineLevel="1" thickBot="1">
      <c r="A302" s="59" t="s">
        <v>103</v>
      </c>
      <c r="B302" s="60">
        <v>0</v>
      </c>
      <c r="C302" s="60">
        <v>0</v>
      </c>
      <c r="D302" s="60">
        <v>0</v>
      </c>
      <c r="E302" s="60">
        <v>0</v>
      </c>
      <c r="F302" s="60">
        <v>0</v>
      </c>
      <c r="G302" s="60">
        <v>0</v>
      </c>
      <c r="H302" s="60">
        <v>0</v>
      </c>
      <c r="I302" s="60">
        <v>0</v>
      </c>
      <c r="J302" s="60">
        <v>0</v>
      </c>
      <c r="K302" s="60">
        <v>0</v>
      </c>
      <c r="L302" s="60">
        <v>0</v>
      </c>
      <c r="M302" s="60">
        <v>0</v>
      </c>
      <c r="N302" s="60">
        <v>0</v>
      </c>
      <c r="O302" s="60">
        <v>0</v>
      </c>
      <c r="P302" s="60">
        <v>0</v>
      </c>
      <c r="Q302" s="60">
        <v>0</v>
      </c>
      <c r="R302" s="60">
        <v>0</v>
      </c>
      <c r="S302" s="60">
        <v>0</v>
      </c>
      <c r="T302" s="60">
        <v>0</v>
      </c>
      <c r="U302" s="60">
        <v>0</v>
      </c>
      <c r="V302" s="60">
        <v>0</v>
      </c>
      <c r="W302" s="60">
        <v>0</v>
      </c>
      <c r="X302" s="60">
        <v>0</v>
      </c>
      <c r="Y302" s="60">
        <v>0</v>
      </c>
      <c r="Z302" s="60">
        <v>0</v>
      </c>
      <c r="AA302" s="60">
        <v>0</v>
      </c>
      <c r="AB302" s="60">
        <v>0</v>
      </c>
      <c r="AC302" s="60">
        <v>0</v>
      </c>
      <c r="AD302" s="60">
        <v>0</v>
      </c>
      <c r="AE302" s="60">
        <v>0</v>
      </c>
      <c r="AF302" s="60">
        <v>0</v>
      </c>
      <c r="AG302" s="60">
        <v>0</v>
      </c>
      <c r="AH302" s="60">
        <v>0</v>
      </c>
      <c r="AI302" s="60">
        <v>0</v>
      </c>
      <c r="AJ302" s="60">
        <v>0</v>
      </c>
      <c r="AK302" s="60">
        <v>0</v>
      </c>
      <c r="AL302" s="60">
        <v>0</v>
      </c>
      <c r="AM302" s="60">
        <v>0</v>
      </c>
    </row>
    <row r="303" spans="1:39" ht="15.75" hidden="1" outlineLevel="1" thickBot="1">
      <c r="A303" s="59" t="s">
        <v>44</v>
      </c>
      <c r="B303" s="60">
        <v>0</v>
      </c>
      <c r="C303" s="60">
        <v>0</v>
      </c>
      <c r="D303" s="60">
        <v>0</v>
      </c>
      <c r="E303" s="60">
        <v>0</v>
      </c>
      <c r="F303" s="60">
        <v>0</v>
      </c>
      <c r="G303" s="60">
        <v>0</v>
      </c>
      <c r="H303" s="60">
        <v>0</v>
      </c>
      <c r="I303" s="60">
        <v>0</v>
      </c>
      <c r="J303" s="60">
        <v>0</v>
      </c>
      <c r="K303" s="60">
        <v>0</v>
      </c>
      <c r="L303" s="60">
        <v>0</v>
      </c>
      <c r="M303" s="60">
        <v>0</v>
      </c>
      <c r="N303" s="60">
        <v>0</v>
      </c>
      <c r="O303" s="60">
        <v>0</v>
      </c>
      <c r="P303" s="60">
        <v>0</v>
      </c>
      <c r="Q303" s="60">
        <v>0</v>
      </c>
      <c r="R303" s="60">
        <v>0</v>
      </c>
      <c r="S303" s="60">
        <v>0</v>
      </c>
      <c r="T303" s="60">
        <v>0</v>
      </c>
      <c r="U303" s="60">
        <v>0</v>
      </c>
      <c r="V303" s="60">
        <v>0</v>
      </c>
      <c r="W303" s="60">
        <v>0</v>
      </c>
      <c r="X303" s="60">
        <v>0</v>
      </c>
      <c r="Y303" s="60">
        <v>0</v>
      </c>
      <c r="Z303" s="60">
        <v>0</v>
      </c>
      <c r="AA303" s="60">
        <v>0</v>
      </c>
      <c r="AB303" s="60">
        <v>0</v>
      </c>
      <c r="AC303" s="60">
        <v>0</v>
      </c>
      <c r="AD303" s="60">
        <v>0</v>
      </c>
      <c r="AE303" s="60">
        <v>0</v>
      </c>
      <c r="AF303" s="60">
        <v>0</v>
      </c>
      <c r="AG303" s="60">
        <v>0</v>
      </c>
      <c r="AH303" s="60">
        <v>0</v>
      </c>
      <c r="AI303" s="60">
        <v>0</v>
      </c>
      <c r="AJ303" s="60">
        <v>0</v>
      </c>
      <c r="AK303" s="60">
        <v>0</v>
      </c>
      <c r="AL303" s="60">
        <v>0</v>
      </c>
      <c r="AM303" s="60">
        <v>0</v>
      </c>
    </row>
    <row r="304" spans="1:39" ht="15.75" hidden="1" outlineLevel="1" thickBot="1">
      <c r="A304" s="59" t="s">
        <v>45</v>
      </c>
      <c r="B304" s="60">
        <v>0.14000000000000001</v>
      </c>
      <c r="C304" s="60">
        <v>0.14000000000000001</v>
      </c>
      <c r="D304" s="60">
        <v>0.15</v>
      </c>
      <c r="E304" s="60">
        <v>0.16</v>
      </c>
      <c r="F304" s="60">
        <v>0.17</v>
      </c>
      <c r="G304" s="60">
        <v>0.18</v>
      </c>
      <c r="H304" s="60">
        <v>0.18</v>
      </c>
      <c r="I304" s="60">
        <v>0.17</v>
      </c>
      <c r="J304" s="60">
        <v>0.15</v>
      </c>
      <c r="K304" s="60">
        <v>0.15</v>
      </c>
      <c r="L304" s="60">
        <v>0.15</v>
      </c>
      <c r="M304" s="60">
        <v>0.15</v>
      </c>
      <c r="N304" s="60">
        <v>0.15</v>
      </c>
      <c r="O304" s="60">
        <v>0.15</v>
      </c>
      <c r="P304" s="60">
        <v>0.15</v>
      </c>
      <c r="Q304" s="60">
        <v>0.15</v>
      </c>
      <c r="R304" s="60">
        <v>0.15</v>
      </c>
      <c r="S304" s="60">
        <v>0.15</v>
      </c>
      <c r="T304" s="60">
        <v>0.15</v>
      </c>
      <c r="U304" s="60">
        <v>0.15</v>
      </c>
      <c r="V304" s="60">
        <v>0.15</v>
      </c>
      <c r="W304" s="60">
        <v>0.15</v>
      </c>
      <c r="X304" s="60">
        <v>0.14000000000000001</v>
      </c>
      <c r="Y304" s="60">
        <v>0.14000000000000001</v>
      </c>
      <c r="Z304" s="60">
        <v>0.14000000000000001</v>
      </c>
      <c r="AA304" s="60">
        <v>0.14000000000000001</v>
      </c>
      <c r="AB304" s="60">
        <v>0.14000000000000001</v>
      </c>
      <c r="AC304" s="60">
        <v>0.14000000000000001</v>
      </c>
      <c r="AD304" s="60">
        <v>0.14000000000000001</v>
      </c>
      <c r="AE304" s="60">
        <v>0.14000000000000001</v>
      </c>
      <c r="AF304" s="60">
        <v>0.14000000000000001</v>
      </c>
      <c r="AG304" s="60">
        <v>0.14000000000000001</v>
      </c>
      <c r="AH304" s="60">
        <v>0.14000000000000001</v>
      </c>
      <c r="AI304" s="60">
        <v>0.14000000000000001</v>
      </c>
      <c r="AJ304" s="60">
        <v>0.14000000000000001</v>
      </c>
      <c r="AK304" s="60">
        <v>0.14000000000000001</v>
      </c>
      <c r="AL304" s="60">
        <v>0.14000000000000001</v>
      </c>
      <c r="AM304" s="60">
        <v>0.14000000000000001</v>
      </c>
    </row>
    <row r="305" spans="1:39" ht="15.75" hidden="1" outlineLevel="1" thickBot="1">
      <c r="A305" s="59" t="s">
        <v>104</v>
      </c>
      <c r="B305" s="60">
        <v>2.08</v>
      </c>
      <c r="C305" s="60">
        <v>1.4</v>
      </c>
      <c r="D305" s="60">
        <v>0.95</v>
      </c>
      <c r="E305" s="60">
        <v>0.64</v>
      </c>
      <c r="F305" s="60">
        <v>0.44</v>
      </c>
      <c r="G305" s="60">
        <v>0.13</v>
      </c>
      <c r="H305" s="60">
        <v>0.21</v>
      </c>
      <c r="I305" s="60">
        <v>0.21</v>
      </c>
      <c r="J305" s="60">
        <v>0.26</v>
      </c>
      <c r="K305" s="60">
        <v>0.25</v>
      </c>
      <c r="L305" s="60">
        <v>0.24</v>
      </c>
      <c r="M305" s="60">
        <v>0.23</v>
      </c>
      <c r="N305" s="60">
        <v>0.22</v>
      </c>
      <c r="O305" s="60">
        <v>0.22</v>
      </c>
      <c r="P305" s="60">
        <v>0.21</v>
      </c>
      <c r="Q305" s="60">
        <v>0.2</v>
      </c>
      <c r="R305" s="60">
        <v>0.19</v>
      </c>
      <c r="S305" s="60">
        <v>0.18</v>
      </c>
      <c r="T305" s="60">
        <v>0.17</v>
      </c>
      <c r="U305" s="60">
        <v>0.16</v>
      </c>
      <c r="V305" s="60">
        <v>0.15</v>
      </c>
      <c r="W305" s="60">
        <v>0.14000000000000001</v>
      </c>
      <c r="X305" s="60">
        <v>0.13</v>
      </c>
      <c r="Y305" s="60">
        <v>0.13</v>
      </c>
      <c r="Z305" s="60">
        <v>0.12</v>
      </c>
      <c r="AA305" s="60">
        <v>0.11</v>
      </c>
      <c r="AB305" s="60">
        <v>0.1</v>
      </c>
      <c r="AC305" s="60">
        <v>0.09</v>
      </c>
      <c r="AD305" s="60">
        <v>0.08</v>
      </c>
      <c r="AE305" s="60">
        <v>7.0000000000000007E-2</v>
      </c>
      <c r="AF305" s="60">
        <v>0.06</v>
      </c>
      <c r="AG305" s="60">
        <v>0.05</v>
      </c>
      <c r="AH305" s="60">
        <v>0.04</v>
      </c>
      <c r="AI305" s="60">
        <v>0.04</v>
      </c>
      <c r="AJ305" s="60">
        <v>0.03</v>
      </c>
      <c r="AK305" s="60">
        <v>0.02</v>
      </c>
      <c r="AL305" s="60">
        <v>0.01</v>
      </c>
      <c r="AM305" s="60">
        <v>0</v>
      </c>
    </row>
    <row r="306" spans="1:39" ht="15.75" hidden="1" outlineLevel="1" thickBot="1">
      <c r="A306" s="59" t="s">
        <v>105</v>
      </c>
      <c r="B306" s="60">
        <v>0</v>
      </c>
      <c r="C306" s="60">
        <v>0</v>
      </c>
      <c r="D306" s="60">
        <v>0</v>
      </c>
      <c r="E306" s="60">
        <v>0</v>
      </c>
      <c r="F306" s="60">
        <v>0</v>
      </c>
      <c r="G306" s="60">
        <v>0</v>
      </c>
      <c r="H306" s="60">
        <v>0</v>
      </c>
      <c r="I306" s="60">
        <v>0</v>
      </c>
      <c r="J306" s="60">
        <v>0</v>
      </c>
      <c r="K306" s="60">
        <v>0</v>
      </c>
      <c r="L306" s="60">
        <v>0</v>
      </c>
      <c r="M306" s="60">
        <v>0</v>
      </c>
      <c r="N306" s="60">
        <v>0</v>
      </c>
      <c r="O306" s="60">
        <v>0</v>
      </c>
      <c r="P306" s="60">
        <v>0</v>
      </c>
      <c r="Q306" s="60">
        <v>0</v>
      </c>
      <c r="R306" s="60">
        <v>0</v>
      </c>
      <c r="S306" s="60">
        <v>0</v>
      </c>
      <c r="T306" s="60">
        <v>0</v>
      </c>
      <c r="U306" s="60">
        <v>0</v>
      </c>
      <c r="V306" s="60">
        <v>0</v>
      </c>
      <c r="W306" s="60">
        <v>0</v>
      </c>
      <c r="X306" s="60">
        <v>0</v>
      </c>
      <c r="Y306" s="60">
        <v>0</v>
      </c>
      <c r="Z306" s="60">
        <v>0</v>
      </c>
      <c r="AA306" s="60">
        <v>0</v>
      </c>
      <c r="AB306" s="60">
        <v>0</v>
      </c>
      <c r="AC306" s="60">
        <v>0</v>
      </c>
      <c r="AD306" s="60">
        <v>0</v>
      </c>
      <c r="AE306" s="60">
        <v>0</v>
      </c>
      <c r="AF306" s="60">
        <v>0</v>
      </c>
      <c r="AG306" s="60">
        <v>0</v>
      </c>
      <c r="AH306" s="60">
        <v>0</v>
      </c>
      <c r="AI306" s="60">
        <v>0</v>
      </c>
      <c r="AJ306" s="60">
        <v>0</v>
      </c>
      <c r="AK306" s="60">
        <v>0</v>
      </c>
      <c r="AL306" s="60">
        <v>0</v>
      </c>
      <c r="AM306" s="60">
        <v>0</v>
      </c>
    </row>
    <row r="307" spans="1:39" ht="15.75" hidden="1" outlineLevel="1" thickBot="1">
      <c r="A307" s="59" t="s">
        <v>106</v>
      </c>
      <c r="B307" s="60">
        <v>15.26</v>
      </c>
      <c r="C307" s="60">
        <v>13.69</v>
      </c>
      <c r="D307" s="60">
        <v>15.16</v>
      </c>
      <c r="E307" s="60">
        <v>16.989999999999998</v>
      </c>
      <c r="F307" s="60">
        <v>18.309999999999999</v>
      </c>
      <c r="G307" s="60">
        <v>20.329999999999998</v>
      </c>
      <c r="H307" s="60">
        <v>22.66</v>
      </c>
      <c r="I307" s="60">
        <v>19.64</v>
      </c>
      <c r="J307" s="60">
        <v>20.29</v>
      </c>
      <c r="K307" s="60">
        <v>21.34</v>
      </c>
      <c r="L307" s="60">
        <v>22.28</v>
      </c>
      <c r="M307" s="60">
        <v>23.23</v>
      </c>
      <c r="N307" s="60">
        <v>24.18</v>
      </c>
      <c r="O307" s="60">
        <v>25.12</v>
      </c>
      <c r="P307" s="60">
        <v>26.07</v>
      </c>
      <c r="Q307" s="60">
        <v>27.01</v>
      </c>
      <c r="R307" s="60">
        <v>27.96</v>
      </c>
      <c r="S307" s="60">
        <v>28.91</v>
      </c>
      <c r="T307" s="60">
        <v>29.85</v>
      </c>
      <c r="U307" s="60">
        <v>30.8</v>
      </c>
      <c r="V307" s="60">
        <v>31.74</v>
      </c>
      <c r="W307" s="60">
        <v>32.69</v>
      </c>
      <c r="X307" s="60">
        <v>33.64</v>
      </c>
      <c r="Y307" s="60">
        <v>34.58</v>
      </c>
      <c r="Z307" s="60">
        <v>35.53</v>
      </c>
      <c r="AA307" s="60">
        <v>36.479999999999997</v>
      </c>
      <c r="AB307" s="60">
        <v>37.42</v>
      </c>
      <c r="AC307" s="60">
        <v>38.369999999999997</v>
      </c>
      <c r="AD307" s="60">
        <v>39.31</v>
      </c>
      <c r="AE307" s="60">
        <v>40.26</v>
      </c>
      <c r="AF307" s="60">
        <v>41.21</v>
      </c>
      <c r="AG307" s="60">
        <v>42.15</v>
      </c>
      <c r="AH307" s="60">
        <v>43.1</v>
      </c>
      <c r="AI307" s="60">
        <v>44.05</v>
      </c>
      <c r="AJ307" s="60">
        <v>44.99</v>
      </c>
      <c r="AK307" s="60">
        <v>45.94</v>
      </c>
      <c r="AL307" s="60">
        <v>46.88</v>
      </c>
      <c r="AM307" s="60">
        <v>47.83</v>
      </c>
    </row>
    <row r="308" spans="1:39" ht="15.75" hidden="1" outlineLevel="1" thickBot="1">
      <c r="A308" s="59" t="s">
        <v>46</v>
      </c>
      <c r="B308" s="60">
        <v>4.18</v>
      </c>
      <c r="C308" s="60">
        <v>3.8</v>
      </c>
      <c r="D308" s="60">
        <v>3.96</v>
      </c>
      <c r="E308" s="60">
        <v>4.34</v>
      </c>
      <c r="F308" s="60">
        <v>4.4000000000000004</v>
      </c>
      <c r="G308" s="60">
        <v>4.5</v>
      </c>
      <c r="H308" s="60">
        <v>4.7</v>
      </c>
      <c r="I308" s="60">
        <v>4.37</v>
      </c>
      <c r="J308" s="60">
        <v>4.6900000000000004</v>
      </c>
      <c r="K308" s="60">
        <v>4.93</v>
      </c>
      <c r="L308" s="60">
        <v>5.15</v>
      </c>
      <c r="M308" s="60">
        <v>5.37</v>
      </c>
      <c r="N308" s="60">
        <v>5.59</v>
      </c>
      <c r="O308" s="60">
        <v>5.81</v>
      </c>
      <c r="P308" s="60">
        <v>6.03</v>
      </c>
      <c r="Q308" s="60">
        <v>6.24</v>
      </c>
      <c r="R308" s="60">
        <v>6.46</v>
      </c>
      <c r="S308" s="60">
        <v>6.68</v>
      </c>
      <c r="T308" s="60">
        <v>6.9</v>
      </c>
      <c r="U308" s="60">
        <v>7.12</v>
      </c>
      <c r="V308" s="60">
        <v>7.34</v>
      </c>
      <c r="W308" s="60">
        <v>7.56</v>
      </c>
      <c r="X308" s="60">
        <v>7.78</v>
      </c>
      <c r="Y308" s="60">
        <v>7.99</v>
      </c>
      <c r="Z308" s="60">
        <v>8.2100000000000009</v>
      </c>
      <c r="AA308" s="60">
        <v>8.43</v>
      </c>
      <c r="AB308" s="60">
        <v>8.65</v>
      </c>
      <c r="AC308" s="60">
        <v>8.8699999999999992</v>
      </c>
      <c r="AD308" s="60">
        <v>9.09</v>
      </c>
      <c r="AE308" s="60">
        <v>9.31</v>
      </c>
      <c r="AF308" s="60">
        <v>9.52</v>
      </c>
      <c r="AG308" s="60">
        <v>9.74</v>
      </c>
      <c r="AH308" s="60">
        <v>9.9600000000000009</v>
      </c>
      <c r="AI308" s="60">
        <v>10.18</v>
      </c>
      <c r="AJ308" s="60">
        <v>10.4</v>
      </c>
      <c r="AK308" s="60">
        <v>10.62</v>
      </c>
      <c r="AL308" s="60">
        <v>10.84</v>
      </c>
      <c r="AM308" s="60">
        <v>11.06</v>
      </c>
    </row>
    <row r="309" spans="1:39" ht="15.75" hidden="1" outlineLevel="1" thickBot="1">
      <c r="A309" s="59" t="s">
        <v>107</v>
      </c>
      <c r="B309" s="60">
        <v>0</v>
      </c>
      <c r="C309" s="60">
        <v>0</v>
      </c>
      <c r="D309" s="60">
        <v>0</v>
      </c>
      <c r="E309" s="60">
        <v>0</v>
      </c>
      <c r="F309" s="60">
        <v>0</v>
      </c>
      <c r="G309" s="60">
        <v>0</v>
      </c>
      <c r="H309" s="60">
        <v>0</v>
      </c>
      <c r="I309" s="60">
        <v>0</v>
      </c>
      <c r="J309" s="60">
        <v>0</v>
      </c>
      <c r="K309" s="60">
        <v>0</v>
      </c>
      <c r="L309" s="60">
        <v>0</v>
      </c>
      <c r="M309" s="60">
        <v>0</v>
      </c>
      <c r="N309" s="60">
        <v>0</v>
      </c>
      <c r="O309" s="60">
        <v>0</v>
      </c>
      <c r="P309" s="60">
        <v>0</v>
      </c>
      <c r="Q309" s="60">
        <v>0</v>
      </c>
      <c r="R309" s="60">
        <v>0</v>
      </c>
      <c r="S309" s="60">
        <v>0</v>
      </c>
      <c r="T309" s="60">
        <v>0</v>
      </c>
      <c r="U309" s="60">
        <v>0</v>
      </c>
      <c r="V309" s="60">
        <v>0</v>
      </c>
      <c r="W309" s="60">
        <v>0</v>
      </c>
      <c r="X309" s="60">
        <v>0</v>
      </c>
      <c r="Y309" s="60">
        <v>0</v>
      </c>
      <c r="Z309" s="60">
        <v>0</v>
      </c>
      <c r="AA309" s="60">
        <v>0</v>
      </c>
      <c r="AB309" s="60">
        <v>0</v>
      </c>
      <c r="AC309" s="60">
        <v>0</v>
      </c>
      <c r="AD309" s="60">
        <v>0</v>
      </c>
      <c r="AE309" s="60">
        <v>0</v>
      </c>
      <c r="AF309" s="60">
        <v>0</v>
      </c>
      <c r="AG309" s="60">
        <v>0</v>
      </c>
      <c r="AH309" s="60">
        <v>0</v>
      </c>
      <c r="AI309" s="60">
        <v>0</v>
      </c>
      <c r="AJ309" s="60">
        <v>0</v>
      </c>
      <c r="AK309" s="60">
        <v>0</v>
      </c>
      <c r="AL309" s="60">
        <v>0</v>
      </c>
      <c r="AM309" s="60">
        <v>0</v>
      </c>
    </row>
    <row r="310" spans="1:39" ht="15.75" hidden="1" outlineLevel="1" thickBot="1">
      <c r="A310" s="61" t="s">
        <v>108</v>
      </c>
      <c r="B310" s="62">
        <v>0</v>
      </c>
      <c r="C310" s="62">
        <v>0</v>
      </c>
      <c r="D310" s="62">
        <v>0</v>
      </c>
      <c r="E310" s="62">
        <v>0</v>
      </c>
      <c r="F310" s="62">
        <v>0</v>
      </c>
      <c r="G310" s="62">
        <v>0</v>
      </c>
      <c r="H310" s="62">
        <v>0</v>
      </c>
      <c r="I310" s="62">
        <v>0</v>
      </c>
      <c r="J310" s="62">
        <v>0</v>
      </c>
      <c r="K310" s="62">
        <v>0</v>
      </c>
      <c r="L310" s="62">
        <v>0</v>
      </c>
      <c r="M310" s="62">
        <v>0</v>
      </c>
      <c r="N310" s="62">
        <v>0</v>
      </c>
      <c r="O310" s="62">
        <v>0</v>
      </c>
      <c r="P310" s="62">
        <v>0</v>
      </c>
      <c r="Q310" s="62">
        <v>0</v>
      </c>
      <c r="R310" s="62">
        <v>0</v>
      </c>
      <c r="S310" s="62">
        <v>0</v>
      </c>
      <c r="T310" s="62">
        <v>0</v>
      </c>
      <c r="U310" s="62">
        <v>0</v>
      </c>
      <c r="V310" s="62">
        <v>0</v>
      </c>
      <c r="W310" s="62">
        <v>0</v>
      </c>
      <c r="X310" s="62">
        <v>0</v>
      </c>
      <c r="Y310" s="62">
        <v>0</v>
      </c>
      <c r="Z310" s="62">
        <v>0</v>
      </c>
      <c r="AA310" s="62">
        <v>0</v>
      </c>
      <c r="AB310" s="62">
        <v>0</v>
      </c>
      <c r="AC310" s="62">
        <v>0</v>
      </c>
      <c r="AD310" s="62">
        <v>0</v>
      </c>
      <c r="AE310" s="62">
        <v>0</v>
      </c>
      <c r="AF310" s="62">
        <v>0</v>
      </c>
      <c r="AG310" s="62">
        <v>0</v>
      </c>
      <c r="AH310" s="62">
        <v>0</v>
      </c>
      <c r="AI310" s="62">
        <v>0</v>
      </c>
      <c r="AJ310" s="62">
        <v>0</v>
      </c>
      <c r="AK310" s="62">
        <v>0</v>
      </c>
      <c r="AL310" s="62">
        <v>0</v>
      </c>
      <c r="AM310" s="62">
        <v>0</v>
      </c>
    </row>
    <row r="311" spans="1:39" ht="17.25" collapsed="1" thickTop="1" thickBot="1">
      <c r="A311" s="65" t="s">
        <v>118</v>
      </c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</row>
    <row r="312" spans="1:39" ht="16.5" hidden="1" outlineLevel="1" thickTop="1" thickBot="1">
      <c r="A312" s="57" t="s">
        <v>41</v>
      </c>
      <c r="B312" s="58">
        <v>2013</v>
      </c>
      <c r="C312" s="58">
        <v>2014</v>
      </c>
      <c r="D312" s="58">
        <v>2015</v>
      </c>
      <c r="E312" s="58">
        <v>2016</v>
      </c>
      <c r="F312" s="58">
        <v>2017</v>
      </c>
      <c r="G312" s="58">
        <v>2018</v>
      </c>
      <c r="H312" s="58">
        <v>2019</v>
      </c>
      <c r="I312" s="58">
        <v>2020</v>
      </c>
      <c r="J312" s="58">
        <v>2021</v>
      </c>
      <c r="K312" s="58">
        <v>2022</v>
      </c>
      <c r="L312" s="58">
        <v>2023</v>
      </c>
      <c r="M312" s="58">
        <v>2024</v>
      </c>
      <c r="N312" s="58">
        <v>2025</v>
      </c>
      <c r="O312" s="58">
        <v>2026</v>
      </c>
      <c r="P312" s="58">
        <v>2027</v>
      </c>
      <c r="Q312" s="58">
        <v>2028</v>
      </c>
      <c r="R312" s="58">
        <v>2029</v>
      </c>
      <c r="S312" s="58">
        <v>2030</v>
      </c>
      <c r="T312" s="58">
        <v>2031</v>
      </c>
      <c r="U312" s="58">
        <v>2032</v>
      </c>
      <c r="V312" s="58">
        <v>2033</v>
      </c>
      <c r="W312" s="58">
        <v>2034</v>
      </c>
      <c r="X312" s="58">
        <v>2035</v>
      </c>
      <c r="Y312" s="58">
        <v>2036</v>
      </c>
      <c r="Z312" s="58">
        <v>2037</v>
      </c>
      <c r="AA312" s="58">
        <v>2038</v>
      </c>
      <c r="AB312" s="58">
        <v>2039</v>
      </c>
      <c r="AC312" s="58">
        <v>2040</v>
      </c>
      <c r="AD312" s="58">
        <v>2041</v>
      </c>
      <c r="AE312" s="58">
        <v>2042</v>
      </c>
      <c r="AF312" s="58">
        <v>2043</v>
      </c>
      <c r="AG312" s="58">
        <v>2044</v>
      </c>
      <c r="AH312" s="58">
        <v>2045</v>
      </c>
      <c r="AI312" s="58">
        <v>2046</v>
      </c>
      <c r="AJ312" s="58">
        <v>2047</v>
      </c>
      <c r="AK312" s="58">
        <v>2048</v>
      </c>
      <c r="AL312" s="58">
        <v>2049</v>
      </c>
      <c r="AM312" s="58">
        <v>2050</v>
      </c>
    </row>
    <row r="313" spans="1:39" ht="16.5" hidden="1" outlineLevel="1" thickTop="1" thickBot="1">
      <c r="A313" s="59" t="s">
        <v>83</v>
      </c>
      <c r="B313" s="60">
        <v>0</v>
      </c>
      <c r="C313" s="60">
        <v>0</v>
      </c>
      <c r="D313" s="60">
        <v>0</v>
      </c>
      <c r="E313" s="60">
        <v>0</v>
      </c>
      <c r="F313" s="60">
        <v>0</v>
      </c>
      <c r="G313" s="60">
        <v>0</v>
      </c>
      <c r="H313" s="60">
        <v>0</v>
      </c>
      <c r="I313" s="60">
        <v>0</v>
      </c>
      <c r="J313" s="60">
        <v>0</v>
      </c>
      <c r="K313" s="60">
        <v>0</v>
      </c>
      <c r="L313" s="60">
        <v>0</v>
      </c>
      <c r="M313" s="60">
        <v>0</v>
      </c>
      <c r="N313" s="60">
        <v>0</v>
      </c>
      <c r="O313" s="60">
        <v>0</v>
      </c>
      <c r="P313" s="60">
        <v>0</v>
      </c>
      <c r="Q313" s="60">
        <v>0</v>
      </c>
      <c r="R313" s="60">
        <v>0</v>
      </c>
      <c r="S313" s="60">
        <v>0</v>
      </c>
      <c r="T313" s="60">
        <v>0</v>
      </c>
      <c r="U313" s="60">
        <v>0</v>
      </c>
      <c r="V313" s="60">
        <v>0</v>
      </c>
      <c r="W313" s="60">
        <v>0</v>
      </c>
      <c r="X313" s="60">
        <v>0</v>
      </c>
      <c r="Y313" s="60">
        <v>0</v>
      </c>
      <c r="Z313" s="60">
        <v>0</v>
      </c>
      <c r="AA313" s="60">
        <v>0</v>
      </c>
      <c r="AB313" s="60">
        <v>0</v>
      </c>
      <c r="AC313" s="60">
        <v>0</v>
      </c>
      <c r="AD313" s="60">
        <v>0</v>
      </c>
      <c r="AE313" s="60">
        <v>0</v>
      </c>
      <c r="AF313" s="60">
        <v>0</v>
      </c>
      <c r="AG313" s="60">
        <v>0</v>
      </c>
      <c r="AH313" s="60">
        <v>0</v>
      </c>
      <c r="AI313" s="60">
        <v>0</v>
      </c>
      <c r="AJ313" s="60">
        <v>0</v>
      </c>
      <c r="AK313" s="60">
        <v>0</v>
      </c>
      <c r="AL313" s="60">
        <v>0</v>
      </c>
      <c r="AM313" s="60">
        <v>0</v>
      </c>
    </row>
    <row r="314" spans="1:39" ht="15.75" hidden="1" outlineLevel="1" thickBot="1">
      <c r="A314" s="59" t="s">
        <v>84</v>
      </c>
      <c r="B314" s="60">
        <v>0</v>
      </c>
      <c r="C314" s="60">
        <v>0</v>
      </c>
      <c r="D314" s="60">
        <v>0</v>
      </c>
      <c r="E314" s="60">
        <v>0</v>
      </c>
      <c r="F314" s="60">
        <v>0</v>
      </c>
      <c r="G314" s="60">
        <v>0</v>
      </c>
      <c r="H314" s="60">
        <v>0</v>
      </c>
      <c r="I314" s="60">
        <v>0</v>
      </c>
      <c r="J314" s="60">
        <v>0</v>
      </c>
      <c r="K314" s="60">
        <v>0</v>
      </c>
      <c r="L314" s="60">
        <v>0</v>
      </c>
      <c r="M314" s="60">
        <v>0</v>
      </c>
      <c r="N314" s="60">
        <v>0</v>
      </c>
      <c r="O314" s="60">
        <v>0</v>
      </c>
      <c r="P314" s="60">
        <v>0</v>
      </c>
      <c r="Q314" s="60">
        <v>0</v>
      </c>
      <c r="R314" s="60">
        <v>0</v>
      </c>
      <c r="S314" s="60">
        <v>0</v>
      </c>
      <c r="T314" s="60">
        <v>0</v>
      </c>
      <c r="U314" s="60">
        <v>0</v>
      </c>
      <c r="V314" s="60">
        <v>0</v>
      </c>
      <c r="W314" s="60">
        <v>0</v>
      </c>
      <c r="X314" s="60">
        <v>0</v>
      </c>
      <c r="Y314" s="60">
        <v>0</v>
      </c>
      <c r="Z314" s="60">
        <v>0</v>
      </c>
      <c r="AA314" s="60">
        <v>0</v>
      </c>
      <c r="AB314" s="60">
        <v>0</v>
      </c>
      <c r="AC314" s="60">
        <v>0</v>
      </c>
      <c r="AD314" s="60">
        <v>0</v>
      </c>
      <c r="AE314" s="60">
        <v>0</v>
      </c>
      <c r="AF314" s="60">
        <v>0</v>
      </c>
      <c r="AG314" s="60">
        <v>0</v>
      </c>
      <c r="AH314" s="60">
        <v>0</v>
      </c>
      <c r="AI314" s="60">
        <v>0</v>
      </c>
      <c r="AJ314" s="60">
        <v>0</v>
      </c>
      <c r="AK314" s="60">
        <v>0</v>
      </c>
      <c r="AL314" s="60">
        <v>0</v>
      </c>
      <c r="AM314" s="60">
        <v>0</v>
      </c>
    </row>
    <row r="315" spans="1:39" ht="15.75" hidden="1" outlineLevel="1" thickBot="1">
      <c r="A315" s="59" t="s">
        <v>85</v>
      </c>
      <c r="B315" s="60">
        <v>0</v>
      </c>
      <c r="C315" s="60">
        <v>0</v>
      </c>
      <c r="D315" s="60">
        <v>0</v>
      </c>
      <c r="E315" s="60">
        <v>0</v>
      </c>
      <c r="F315" s="60">
        <v>0</v>
      </c>
      <c r="G315" s="60">
        <v>0</v>
      </c>
      <c r="H315" s="60">
        <v>0</v>
      </c>
      <c r="I315" s="60">
        <v>0</v>
      </c>
      <c r="J315" s="60">
        <v>0</v>
      </c>
      <c r="K315" s="60">
        <v>0</v>
      </c>
      <c r="L315" s="60">
        <v>0</v>
      </c>
      <c r="M315" s="60">
        <v>0</v>
      </c>
      <c r="N315" s="60">
        <v>0</v>
      </c>
      <c r="O315" s="60">
        <v>0</v>
      </c>
      <c r="P315" s="60">
        <v>0</v>
      </c>
      <c r="Q315" s="60">
        <v>0</v>
      </c>
      <c r="R315" s="60">
        <v>0</v>
      </c>
      <c r="S315" s="60">
        <v>0</v>
      </c>
      <c r="T315" s="60">
        <v>0</v>
      </c>
      <c r="U315" s="60">
        <v>0</v>
      </c>
      <c r="V315" s="60">
        <v>0</v>
      </c>
      <c r="W315" s="60">
        <v>0</v>
      </c>
      <c r="X315" s="60">
        <v>0</v>
      </c>
      <c r="Y315" s="60">
        <v>0</v>
      </c>
      <c r="Z315" s="60">
        <v>0</v>
      </c>
      <c r="AA315" s="60">
        <v>0</v>
      </c>
      <c r="AB315" s="60">
        <v>0</v>
      </c>
      <c r="AC315" s="60">
        <v>0</v>
      </c>
      <c r="AD315" s="60">
        <v>0</v>
      </c>
      <c r="AE315" s="60">
        <v>0</v>
      </c>
      <c r="AF315" s="60">
        <v>0</v>
      </c>
      <c r="AG315" s="60">
        <v>0</v>
      </c>
      <c r="AH315" s="60">
        <v>0</v>
      </c>
      <c r="AI315" s="60">
        <v>0</v>
      </c>
      <c r="AJ315" s="60">
        <v>0</v>
      </c>
      <c r="AK315" s="60">
        <v>0</v>
      </c>
      <c r="AL315" s="60">
        <v>0</v>
      </c>
      <c r="AM315" s="60">
        <v>0</v>
      </c>
    </row>
    <row r="316" spans="1:39" ht="15.75" hidden="1" outlineLevel="1" thickBot="1">
      <c r="A316" s="59" t="s">
        <v>86</v>
      </c>
      <c r="B316" s="60">
        <v>0</v>
      </c>
      <c r="C316" s="60">
        <v>0</v>
      </c>
      <c r="D316" s="60">
        <v>0</v>
      </c>
      <c r="E316" s="60">
        <v>0</v>
      </c>
      <c r="F316" s="60">
        <v>0</v>
      </c>
      <c r="G316" s="60">
        <v>0</v>
      </c>
      <c r="H316" s="60">
        <v>0</v>
      </c>
      <c r="I316" s="60">
        <v>0</v>
      </c>
      <c r="J316" s="60">
        <v>0</v>
      </c>
      <c r="K316" s="60">
        <v>0</v>
      </c>
      <c r="L316" s="60">
        <v>0</v>
      </c>
      <c r="M316" s="60">
        <v>0</v>
      </c>
      <c r="N316" s="60">
        <v>0</v>
      </c>
      <c r="O316" s="60">
        <v>0</v>
      </c>
      <c r="P316" s="60">
        <v>0</v>
      </c>
      <c r="Q316" s="60">
        <v>0</v>
      </c>
      <c r="R316" s="60">
        <v>0</v>
      </c>
      <c r="S316" s="60">
        <v>0</v>
      </c>
      <c r="T316" s="60">
        <v>0</v>
      </c>
      <c r="U316" s="60">
        <v>0</v>
      </c>
      <c r="V316" s="60">
        <v>0</v>
      </c>
      <c r="W316" s="60">
        <v>0</v>
      </c>
      <c r="X316" s="60">
        <v>0</v>
      </c>
      <c r="Y316" s="60">
        <v>0</v>
      </c>
      <c r="Z316" s="60">
        <v>0</v>
      </c>
      <c r="AA316" s="60">
        <v>0</v>
      </c>
      <c r="AB316" s="60">
        <v>0</v>
      </c>
      <c r="AC316" s="60">
        <v>0</v>
      </c>
      <c r="AD316" s="60">
        <v>0</v>
      </c>
      <c r="AE316" s="60">
        <v>0</v>
      </c>
      <c r="AF316" s="60">
        <v>0</v>
      </c>
      <c r="AG316" s="60">
        <v>0</v>
      </c>
      <c r="AH316" s="60">
        <v>0</v>
      </c>
      <c r="AI316" s="60">
        <v>0</v>
      </c>
      <c r="AJ316" s="60">
        <v>0</v>
      </c>
      <c r="AK316" s="60">
        <v>0</v>
      </c>
      <c r="AL316" s="60">
        <v>0</v>
      </c>
      <c r="AM316" s="60">
        <v>0</v>
      </c>
    </row>
    <row r="317" spans="1:39" ht="15.75" hidden="1" outlineLevel="1" thickBot="1">
      <c r="A317" s="59" t="s">
        <v>87</v>
      </c>
      <c r="B317" s="60">
        <v>0</v>
      </c>
      <c r="C317" s="60">
        <v>0</v>
      </c>
      <c r="D317" s="60">
        <v>0</v>
      </c>
      <c r="E317" s="60">
        <v>0</v>
      </c>
      <c r="F317" s="60">
        <v>0</v>
      </c>
      <c r="G317" s="60">
        <v>0</v>
      </c>
      <c r="H317" s="60">
        <v>0</v>
      </c>
      <c r="I317" s="60">
        <v>0</v>
      </c>
      <c r="J317" s="60">
        <v>0</v>
      </c>
      <c r="K317" s="60">
        <v>0</v>
      </c>
      <c r="L317" s="60">
        <v>0</v>
      </c>
      <c r="M317" s="60">
        <v>0</v>
      </c>
      <c r="N317" s="60">
        <v>0</v>
      </c>
      <c r="O317" s="60">
        <v>0</v>
      </c>
      <c r="P317" s="60">
        <v>0</v>
      </c>
      <c r="Q317" s="60">
        <v>0</v>
      </c>
      <c r="R317" s="60">
        <v>0</v>
      </c>
      <c r="S317" s="60">
        <v>0</v>
      </c>
      <c r="T317" s="60">
        <v>0</v>
      </c>
      <c r="U317" s="60">
        <v>0</v>
      </c>
      <c r="V317" s="60">
        <v>0</v>
      </c>
      <c r="W317" s="60">
        <v>0</v>
      </c>
      <c r="X317" s="60">
        <v>0</v>
      </c>
      <c r="Y317" s="60">
        <v>0</v>
      </c>
      <c r="Z317" s="60">
        <v>0</v>
      </c>
      <c r="AA317" s="60">
        <v>0</v>
      </c>
      <c r="AB317" s="60">
        <v>0</v>
      </c>
      <c r="AC317" s="60">
        <v>0</v>
      </c>
      <c r="AD317" s="60">
        <v>0</v>
      </c>
      <c r="AE317" s="60">
        <v>0</v>
      </c>
      <c r="AF317" s="60">
        <v>0</v>
      </c>
      <c r="AG317" s="60">
        <v>0</v>
      </c>
      <c r="AH317" s="60">
        <v>0</v>
      </c>
      <c r="AI317" s="60">
        <v>0</v>
      </c>
      <c r="AJ317" s="60">
        <v>0</v>
      </c>
      <c r="AK317" s="60">
        <v>0</v>
      </c>
      <c r="AL317" s="60">
        <v>0</v>
      </c>
      <c r="AM317" s="60">
        <v>0</v>
      </c>
    </row>
    <row r="318" spans="1:39" ht="15.75" hidden="1" outlineLevel="1" thickBot="1">
      <c r="A318" s="59" t="s">
        <v>88</v>
      </c>
      <c r="B318" s="60">
        <v>0</v>
      </c>
      <c r="C318" s="60">
        <v>0</v>
      </c>
      <c r="D318" s="60">
        <v>0</v>
      </c>
      <c r="E318" s="60">
        <v>0</v>
      </c>
      <c r="F318" s="60">
        <v>0</v>
      </c>
      <c r="G318" s="60">
        <v>0</v>
      </c>
      <c r="H318" s="60">
        <v>0</v>
      </c>
      <c r="I318" s="60">
        <v>0</v>
      </c>
      <c r="J318" s="60">
        <v>0</v>
      </c>
      <c r="K318" s="60">
        <v>0</v>
      </c>
      <c r="L318" s="60">
        <v>0</v>
      </c>
      <c r="M318" s="60">
        <v>0</v>
      </c>
      <c r="N318" s="60">
        <v>0</v>
      </c>
      <c r="O318" s="60">
        <v>0</v>
      </c>
      <c r="P318" s="60">
        <v>0</v>
      </c>
      <c r="Q318" s="60">
        <v>0</v>
      </c>
      <c r="R318" s="60">
        <v>0</v>
      </c>
      <c r="S318" s="60">
        <v>0</v>
      </c>
      <c r="T318" s="60">
        <v>0</v>
      </c>
      <c r="U318" s="60">
        <v>0</v>
      </c>
      <c r="V318" s="60">
        <v>0</v>
      </c>
      <c r="W318" s="60">
        <v>0</v>
      </c>
      <c r="X318" s="60">
        <v>0</v>
      </c>
      <c r="Y318" s="60">
        <v>0</v>
      </c>
      <c r="Z318" s="60">
        <v>0</v>
      </c>
      <c r="AA318" s="60">
        <v>0</v>
      </c>
      <c r="AB318" s="60">
        <v>0</v>
      </c>
      <c r="AC318" s="60">
        <v>0</v>
      </c>
      <c r="AD318" s="60">
        <v>0</v>
      </c>
      <c r="AE318" s="60">
        <v>0</v>
      </c>
      <c r="AF318" s="60">
        <v>0</v>
      </c>
      <c r="AG318" s="60">
        <v>0</v>
      </c>
      <c r="AH318" s="60">
        <v>0</v>
      </c>
      <c r="AI318" s="60">
        <v>0</v>
      </c>
      <c r="AJ318" s="60">
        <v>0</v>
      </c>
      <c r="AK318" s="60">
        <v>0</v>
      </c>
      <c r="AL318" s="60">
        <v>0</v>
      </c>
      <c r="AM318" s="60">
        <v>0</v>
      </c>
    </row>
    <row r="319" spans="1:39" ht="15.75" hidden="1" outlineLevel="1" thickBot="1">
      <c r="A319" s="59" t="s">
        <v>89</v>
      </c>
      <c r="B319" s="60">
        <v>0</v>
      </c>
      <c r="C319" s="60">
        <v>0</v>
      </c>
      <c r="D319" s="60">
        <v>0</v>
      </c>
      <c r="E319" s="60">
        <v>0</v>
      </c>
      <c r="F319" s="60">
        <v>0</v>
      </c>
      <c r="G319" s="60">
        <v>0</v>
      </c>
      <c r="H319" s="60">
        <v>0</v>
      </c>
      <c r="I319" s="60">
        <v>0</v>
      </c>
      <c r="J319" s="60">
        <v>0</v>
      </c>
      <c r="K319" s="60">
        <v>0</v>
      </c>
      <c r="L319" s="60">
        <v>0</v>
      </c>
      <c r="M319" s="60">
        <v>0</v>
      </c>
      <c r="N319" s="60">
        <v>0</v>
      </c>
      <c r="O319" s="60">
        <v>0</v>
      </c>
      <c r="P319" s="60">
        <v>0</v>
      </c>
      <c r="Q319" s="60">
        <v>0</v>
      </c>
      <c r="R319" s="60">
        <v>0</v>
      </c>
      <c r="S319" s="60">
        <v>0</v>
      </c>
      <c r="T319" s="60">
        <v>0</v>
      </c>
      <c r="U319" s="60">
        <v>0</v>
      </c>
      <c r="V319" s="60">
        <v>0</v>
      </c>
      <c r="W319" s="60">
        <v>0</v>
      </c>
      <c r="X319" s="60">
        <v>0</v>
      </c>
      <c r="Y319" s="60">
        <v>0</v>
      </c>
      <c r="Z319" s="60">
        <v>0</v>
      </c>
      <c r="AA319" s="60">
        <v>0</v>
      </c>
      <c r="AB319" s="60">
        <v>0</v>
      </c>
      <c r="AC319" s="60">
        <v>0</v>
      </c>
      <c r="AD319" s="60">
        <v>0</v>
      </c>
      <c r="AE319" s="60">
        <v>0</v>
      </c>
      <c r="AF319" s="60">
        <v>0</v>
      </c>
      <c r="AG319" s="60">
        <v>0</v>
      </c>
      <c r="AH319" s="60">
        <v>0</v>
      </c>
      <c r="AI319" s="60">
        <v>0</v>
      </c>
      <c r="AJ319" s="60">
        <v>0</v>
      </c>
      <c r="AK319" s="60">
        <v>0</v>
      </c>
      <c r="AL319" s="60">
        <v>0</v>
      </c>
      <c r="AM319" s="60">
        <v>0</v>
      </c>
    </row>
    <row r="320" spans="1:39" ht="15.75" hidden="1" outlineLevel="1" thickBot="1">
      <c r="A320" s="59" t="s">
        <v>90</v>
      </c>
      <c r="B320" s="60">
        <v>0</v>
      </c>
      <c r="C320" s="60">
        <v>0</v>
      </c>
      <c r="D320" s="60">
        <v>0</v>
      </c>
      <c r="E320" s="60">
        <v>0</v>
      </c>
      <c r="F320" s="60">
        <v>0</v>
      </c>
      <c r="G320" s="60">
        <v>0</v>
      </c>
      <c r="H320" s="60">
        <v>0</v>
      </c>
      <c r="I320" s="60">
        <v>0</v>
      </c>
      <c r="J320" s="60">
        <v>0</v>
      </c>
      <c r="K320" s="60">
        <v>0</v>
      </c>
      <c r="L320" s="60">
        <v>0</v>
      </c>
      <c r="M320" s="60">
        <v>0</v>
      </c>
      <c r="N320" s="60">
        <v>0</v>
      </c>
      <c r="O320" s="60">
        <v>0</v>
      </c>
      <c r="P320" s="60">
        <v>0</v>
      </c>
      <c r="Q320" s="60">
        <v>0</v>
      </c>
      <c r="R320" s="60">
        <v>0</v>
      </c>
      <c r="S320" s="60">
        <v>0</v>
      </c>
      <c r="T320" s="60">
        <v>0</v>
      </c>
      <c r="U320" s="60">
        <v>0</v>
      </c>
      <c r="V320" s="60">
        <v>0</v>
      </c>
      <c r="W320" s="60">
        <v>0</v>
      </c>
      <c r="X320" s="60">
        <v>0</v>
      </c>
      <c r="Y320" s="60">
        <v>0</v>
      </c>
      <c r="Z320" s="60">
        <v>0</v>
      </c>
      <c r="AA320" s="60">
        <v>0</v>
      </c>
      <c r="AB320" s="60">
        <v>0</v>
      </c>
      <c r="AC320" s="60">
        <v>0</v>
      </c>
      <c r="AD320" s="60">
        <v>0</v>
      </c>
      <c r="AE320" s="60">
        <v>0</v>
      </c>
      <c r="AF320" s="60">
        <v>0</v>
      </c>
      <c r="AG320" s="60">
        <v>0</v>
      </c>
      <c r="AH320" s="60">
        <v>0</v>
      </c>
      <c r="AI320" s="60">
        <v>0</v>
      </c>
      <c r="AJ320" s="60">
        <v>0</v>
      </c>
      <c r="AK320" s="60">
        <v>0</v>
      </c>
      <c r="AL320" s="60">
        <v>0</v>
      </c>
      <c r="AM320" s="60">
        <v>0</v>
      </c>
    </row>
    <row r="321" spans="1:39" ht="15.75" hidden="1" outlineLevel="1" thickBot="1">
      <c r="A321" s="59" t="s">
        <v>91</v>
      </c>
      <c r="B321" s="60">
        <v>0</v>
      </c>
      <c r="C321" s="60">
        <v>0</v>
      </c>
      <c r="D321" s="60">
        <v>0</v>
      </c>
      <c r="E321" s="60">
        <v>0</v>
      </c>
      <c r="F321" s="60">
        <v>0</v>
      </c>
      <c r="G321" s="60">
        <v>0</v>
      </c>
      <c r="H321" s="60">
        <v>0</v>
      </c>
      <c r="I321" s="60">
        <v>0</v>
      </c>
      <c r="J321" s="60">
        <v>0</v>
      </c>
      <c r="K321" s="60">
        <v>0</v>
      </c>
      <c r="L321" s="60">
        <v>0</v>
      </c>
      <c r="M321" s="60">
        <v>0</v>
      </c>
      <c r="N321" s="60">
        <v>0</v>
      </c>
      <c r="O321" s="60">
        <v>0</v>
      </c>
      <c r="P321" s="60">
        <v>0</v>
      </c>
      <c r="Q321" s="60">
        <v>0</v>
      </c>
      <c r="R321" s="60">
        <v>0</v>
      </c>
      <c r="S321" s="60">
        <v>0</v>
      </c>
      <c r="T321" s="60">
        <v>0</v>
      </c>
      <c r="U321" s="60">
        <v>0</v>
      </c>
      <c r="V321" s="60">
        <v>0</v>
      </c>
      <c r="W321" s="60">
        <v>0</v>
      </c>
      <c r="X321" s="60">
        <v>0</v>
      </c>
      <c r="Y321" s="60">
        <v>0</v>
      </c>
      <c r="Z321" s="60">
        <v>0</v>
      </c>
      <c r="AA321" s="60">
        <v>0</v>
      </c>
      <c r="AB321" s="60">
        <v>0</v>
      </c>
      <c r="AC321" s="60">
        <v>0</v>
      </c>
      <c r="AD321" s="60">
        <v>0</v>
      </c>
      <c r="AE321" s="60">
        <v>0</v>
      </c>
      <c r="AF321" s="60">
        <v>0</v>
      </c>
      <c r="AG321" s="60">
        <v>0</v>
      </c>
      <c r="AH321" s="60">
        <v>0</v>
      </c>
      <c r="AI321" s="60">
        <v>0</v>
      </c>
      <c r="AJ321" s="60">
        <v>0</v>
      </c>
      <c r="AK321" s="60">
        <v>0</v>
      </c>
      <c r="AL321" s="60">
        <v>0</v>
      </c>
      <c r="AM321" s="60">
        <v>0</v>
      </c>
    </row>
    <row r="322" spans="1:39" ht="15.75" hidden="1" outlineLevel="1" thickBot="1">
      <c r="A322" s="59" t="s">
        <v>92</v>
      </c>
      <c r="B322" s="60">
        <v>0</v>
      </c>
      <c r="C322" s="60">
        <v>0</v>
      </c>
      <c r="D322" s="60">
        <v>0</v>
      </c>
      <c r="E322" s="60">
        <v>0</v>
      </c>
      <c r="F322" s="60">
        <v>0</v>
      </c>
      <c r="G322" s="60">
        <v>0</v>
      </c>
      <c r="H322" s="60">
        <v>0</v>
      </c>
      <c r="I322" s="60">
        <v>0</v>
      </c>
      <c r="J322" s="60">
        <v>0</v>
      </c>
      <c r="K322" s="60">
        <v>0</v>
      </c>
      <c r="L322" s="60">
        <v>0</v>
      </c>
      <c r="M322" s="60">
        <v>0</v>
      </c>
      <c r="N322" s="60">
        <v>0</v>
      </c>
      <c r="O322" s="60">
        <v>0</v>
      </c>
      <c r="P322" s="60">
        <v>0</v>
      </c>
      <c r="Q322" s="60">
        <v>0</v>
      </c>
      <c r="R322" s="60">
        <v>0</v>
      </c>
      <c r="S322" s="60">
        <v>0</v>
      </c>
      <c r="T322" s="60">
        <v>0</v>
      </c>
      <c r="U322" s="60">
        <v>0</v>
      </c>
      <c r="V322" s="60">
        <v>0</v>
      </c>
      <c r="W322" s="60">
        <v>0</v>
      </c>
      <c r="X322" s="60">
        <v>0</v>
      </c>
      <c r="Y322" s="60">
        <v>0</v>
      </c>
      <c r="Z322" s="60">
        <v>0</v>
      </c>
      <c r="AA322" s="60">
        <v>0</v>
      </c>
      <c r="AB322" s="60">
        <v>0</v>
      </c>
      <c r="AC322" s="60">
        <v>0</v>
      </c>
      <c r="AD322" s="60">
        <v>0</v>
      </c>
      <c r="AE322" s="60">
        <v>0</v>
      </c>
      <c r="AF322" s="60">
        <v>0</v>
      </c>
      <c r="AG322" s="60">
        <v>0</v>
      </c>
      <c r="AH322" s="60">
        <v>0</v>
      </c>
      <c r="AI322" s="60">
        <v>0</v>
      </c>
      <c r="AJ322" s="60">
        <v>0</v>
      </c>
      <c r="AK322" s="60">
        <v>0</v>
      </c>
      <c r="AL322" s="60">
        <v>0</v>
      </c>
      <c r="AM322" s="60">
        <v>0</v>
      </c>
    </row>
    <row r="323" spans="1:39" ht="15.75" hidden="1" outlineLevel="1" thickBot="1">
      <c r="A323" s="59" t="s">
        <v>93</v>
      </c>
      <c r="B323" s="60">
        <v>0</v>
      </c>
      <c r="C323" s="60">
        <v>0</v>
      </c>
      <c r="D323" s="60">
        <v>0</v>
      </c>
      <c r="E323" s="60">
        <v>0</v>
      </c>
      <c r="F323" s="60">
        <v>0</v>
      </c>
      <c r="G323" s="60">
        <v>0</v>
      </c>
      <c r="H323" s="60">
        <v>0</v>
      </c>
      <c r="I323" s="60">
        <v>0</v>
      </c>
      <c r="J323" s="60">
        <v>0</v>
      </c>
      <c r="K323" s="60">
        <v>0</v>
      </c>
      <c r="L323" s="60">
        <v>0</v>
      </c>
      <c r="M323" s="60">
        <v>0</v>
      </c>
      <c r="N323" s="60">
        <v>0</v>
      </c>
      <c r="O323" s="60">
        <v>0</v>
      </c>
      <c r="P323" s="60">
        <v>0</v>
      </c>
      <c r="Q323" s="60">
        <v>0</v>
      </c>
      <c r="R323" s="60">
        <v>0</v>
      </c>
      <c r="S323" s="60">
        <v>0</v>
      </c>
      <c r="T323" s="60">
        <v>0</v>
      </c>
      <c r="U323" s="60">
        <v>0</v>
      </c>
      <c r="V323" s="60">
        <v>0</v>
      </c>
      <c r="W323" s="60">
        <v>0</v>
      </c>
      <c r="X323" s="60">
        <v>0</v>
      </c>
      <c r="Y323" s="60">
        <v>0</v>
      </c>
      <c r="Z323" s="60">
        <v>0</v>
      </c>
      <c r="AA323" s="60">
        <v>0</v>
      </c>
      <c r="AB323" s="60">
        <v>0</v>
      </c>
      <c r="AC323" s="60">
        <v>0</v>
      </c>
      <c r="AD323" s="60">
        <v>0</v>
      </c>
      <c r="AE323" s="60">
        <v>0</v>
      </c>
      <c r="AF323" s="60">
        <v>0</v>
      </c>
      <c r="AG323" s="60">
        <v>0</v>
      </c>
      <c r="AH323" s="60">
        <v>0</v>
      </c>
      <c r="AI323" s="60">
        <v>0</v>
      </c>
      <c r="AJ323" s="60">
        <v>0</v>
      </c>
      <c r="AK323" s="60">
        <v>0</v>
      </c>
      <c r="AL323" s="60">
        <v>0</v>
      </c>
      <c r="AM323" s="60">
        <v>0</v>
      </c>
    </row>
    <row r="324" spans="1:39" ht="15.75" hidden="1" outlineLevel="1" thickBot="1">
      <c r="A324" s="59" t="s">
        <v>94</v>
      </c>
      <c r="B324" s="60">
        <v>0</v>
      </c>
      <c r="C324" s="60">
        <v>0</v>
      </c>
      <c r="D324" s="60">
        <v>0</v>
      </c>
      <c r="E324" s="60">
        <v>0</v>
      </c>
      <c r="F324" s="60">
        <v>0</v>
      </c>
      <c r="G324" s="60">
        <v>0</v>
      </c>
      <c r="H324" s="60">
        <v>0</v>
      </c>
      <c r="I324" s="60">
        <v>0</v>
      </c>
      <c r="J324" s="60">
        <v>0</v>
      </c>
      <c r="K324" s="60">
        <v>0</v>
      </c>
      <c r="L324" s="60">
        <v>0</v>
      </c>
      <c r="M324" s="60">
        <v>0</v>
      </c>
      <c r="N324" s="60">
        <v>0</v>
      </c>
      <c r="O324" s="60">
        <v>0</v>
      </c>
      <c r="P324" s="60">
        <v>0</v>
      </c>
      <c r="Q324" s="60">
        <v>0</v>
      </c>
      <c r="R324" s="60">
        <v>0</v>
      </c>
      <c r="S324" s="60">
        <v>0</v>
      </c>
      <c r="T324" s="60">
        <v>0</v>
      </c>
      <c r="U324" s="60">
        <v>0</v>
      </c>
      <c r="V324" s="60">
        <v>0</v>
      </c>
      <c r="W324" s="60">
        <v>0</v>
      </c>
      <c r="X324" s="60">
        <v>0</v>
      </c>
      <c r="Y324" s="60">
        <v>0</v>
      </c>
      <c r="Z324" s="60">
        <v>0</v>
      </c>
      <c r="AA324" s="60">
        <v>0</v>
      </c>
      <c r="AB324" s="60">
        <v>0</v>
      </c>
      <c r="AC324" s="60">
        <v>0</v>
      </c>
      <c r="AD324" s="60">
        <v>0</v>
      </c>
      <c r="AE324" s="60">
        <v>0</v>
      </c>
      <c r="AF324" s="60">
        <v>0</v>
      </c>
      <c r="AG324" s="60">
        <v>0</v>
      </c>
      <c r="AH324" s="60">
        <v>0</v>
      </c>
      <c r="AI324" s="60">
        <v>0</v>
      </c>
      <c r="AJ324" s="60">
        <v>0</v>
      </c>
      <c r="AK324" s="60">
        <v>0</v>
      </c>
      <c r="AL324" s="60">
        <v>0</v>
      </c>
      <c r="AM324" s="60">
        <v>0</v>
      </c>
    </row>
    <row r="325" spans="1:39" ht="15.75" hidden="1" outlineLevel="1" thickBot="1">
      <c r="A325" s="59" t="s">
        <v>95</v>
      </c>
      <c r="B325" s="60">
        <v>0</v>
      </c>
      <c r="C325" s="60">
        <v>0</v>
      </c>
      <c r="D325" s="60">
        <v>0</v>
      </c>
      <c r="E325" s="60">
        <v>0</v>
      </c>
      <c r="F325" s="60">
        <v>0</v>
      </c>
      <c r="G325" s="60">
        <v>0</v>
      </c>
      <c r="H325" s="60">
        <v>0</v>
      </c>
      <c r="I325" s="60">
        <v>0</v>
      </c>
      <c r="J325" s="60">
        <v>0</v>
      </c>
      <c r="K325" s="60">
        <v>0</v>
      </c>
      <c r="L325" s="60">
        <v>0</v>
      </c>
      <c r="M325" s="60">
        <v>0</v>
      </c>
      <c r="N325" s="60">
        <v>0</v>
      </c>
      <c r="O325" s="60">
        <v>0</v>
      </c>
      <c r="P325" s="60">
        <v>0</v>
      </c>
      <c r="Q325" s="60">
        <v>0</v>
      </c>
      <c r="R325" s="60">
        <v>0</v>
      </c>
      <c r="S325" s="60">
        <v>0</v>
      </c>
      <c r="T325" s="60">
        <v>0</v>
      </c>
      <c r="U325" s="60">
        <v>0</v>
      </c>
      <c r="V325" s="60">
        <v>0</v>
      </c>
      <c r="W325" s="60">
        <v>0</v>
      </c>
      <c r="X325" s="60">
        <v>0</v>
      </c>
      <c r="Y325" s="60">
        <v>0</v>
      </c>
      <c r="Z325" s="60">
        <v>0</v>
      </c>
      <c r="AA325" s="60">
        <v>0</v>
      </c>
      <c r="AB325" s="60">
        <v>0</v>
      </c>
      <c r="AC325" s="60">
        <v>0</v>
      </c>
      <c r="AD325" s="60">
        <v>0</v>
      </c>
      <c r="AE325" s="60">
        <v>0</v>
      </c>
      <c r="AF325" s="60">
        <v>0</v>
      </c>
      <c r="AG325" s="60">
        <v>0</v>
      </c>
      <c r="AH325" s="60">
        <v>0</v>
      </c>
      <c r="AI325" s="60">
        <v>0</v>
      </c>
      <c r="AJ325" s="60">
        <v>0</v>
      </c>
      <c r="AK325" s="60">
        <v>0</v>
      </c>
      <c r="AL325" s="60">
        <v>0</v>
      </c>
      <c r="AM325" s="60">
        <v>0</v>
      </c>
    </row>
    <row r="326" spans="1:39" ht="15.75" hidden="1" outlineLevel="1" thickBot="1">
      <c r="A326" s="59" t="s">
        <v>96</v>
      </c>
      <c r="B326" s="60">
        <v>0</v>
      </c>
      <c r="C326" s="60">
        <v>0</v>
      </c>
      <c r="D326" s="60">
        <v>0</v>
      </c>
      <c r="E326" s="60">
        <v>0</v>
      </c>
      <c r="F326" s="60">
        <v>0</v>
      </c>
      <c r="G326" s="60">
        <v>0</v>
      </c>
      <c r="H326" s="60">
        <v>0</v>
      </c>
      <c r="I326" s="60">
        <v>0</v>
      </c>
      <c r="J326" s="60">
        <v>0</v>
      </c>
      <c r="K326" s="60">
        <v>0</v>
      </c>
      <c r="L326" s="60">
        <v>0</v>
      </c>
      <c r="M326" s="60">
        <v>0</v>
      </c>
      <c r="N326" s="60">
        <v>0</v>
      </c>
      <c r="O326" s="60">
        <v>0</v>
      </c>
      <c r="P326" s="60">
        <v>0</v>
      </c>
      <c r="Q326" s="60">
        <v>0</v>
      </c>
      <c r="R326" s="60">
        <v>0</v>
      </c>
      <c r="S326" s="60">
        <v>0</v>
      </c>
      <c r="T326" s="60">
        <v>0</v>
      </c>
      <c r="U326" s="60">
        <v>0</v>
      </c>
      <c r="V326" s="60">
        <v>0</v>
      </c>
      <c r="W326" s="60">
        <v>0</v>
      </c>
      <c r="X326" s="60">
        <v>0</v>
      </c>
      <c r="Y326" s="60">
        <v>0</v>
      </c>
      <c r="Z326" s="60">
        <v>0</v>
      </c>
      <c r="AA326" s="60">
        <v>0</v>
      </c>
      <c r="AB326" s="60">
        <v>0</v>
      </c>
      <c r="AC326" s="60">
        <v>0</v>
      </c>
      <c r="AD326" s="60">
        <v>0</v>
      </c>
      <c r="AE326" s="60">
        <v>0</v>
      </c>
      <c r="AF326" s="60">
        <v>0</v>
      </c>
      <c r="AG326" s="60">
        <v>0</v>
      </c>
      <c r="AH326" s="60">
        <v>0</v>
      </c>
      <c r="AI326" s="60">
        <v>0</v>
      </c>
      <c r="AJ326" s="60">
        <v>0</v>
      </c>
      <c r="AK326" s="60">
        <v>0</v>
      </c>
      <c r="AL326" s="60">
        <v>0</v>
      </c>
      <c r="AM326" s="60">
        <v>0</v>
      </c>
    </row>
    <row r="327" spans="1:39" ht="15.75" hidden="1" outlineLevel="1" thickBot="1">
      <c r="A327" s="59" t="s">
        <v>97</v>
      </c>
      <c r="B327" s="60">
        <v>0</v>
      </c>
      <c r="C327" s="60">
        <v>0</v>
      </c>
      <c r="D327" s="60">
        <v>0</v>
      </c>
      <c r="E327" s="60">
        <v>0</v>
      </c>
      <c r="F327" s="60">
        <v>0</v>
      </c>
      <c r="G327" s="60">
        <v>0</v>
      </c>
      <c r="H327" s="60">
        <v>0</v>
      </c>
      <c r="I327" s="60">
        <v>0</v>
      </c>
      <c r="J327" s="60">
        <v>0</v>
      </c>
      <c r="K327" s="60">
        <v>0</v>
      </c>
      <c r="L327" s="60">
        <v>0</v>
      </c>
      <c r="M327" s="60">
        <v>0</v>
      </c>
      <c r="N327" s="60">
        <v>0</v>
      </c>
      <c r="O327" s="60">
        <v>0</v>
      </c>
      <c r="P327" s="60">
        <v>0</v>
      </c>
      <c r="Q327" s="60">
        <v>0</v>
      </c>
      <c r="R327" s="60">
        <v>0</v>
      </c>
      <c r="S327" s="60">
        <v>0</v>
      </c>
      <c r="T327" s="60">
        <v>0</v>
      </c>
      <c r="U327" s="60">
        <v>0</v>
      </c>
      <c r="V327" s="60">
        <v>0</v>
      </c>
      <c r="W327" s="60">
        <v>0</v>
      </c>
      <c r="X327" s="60">
        <v>0</v>
      </c>
      <c r="Y327" s="60">
        <v>0</v>
      </c>
      <c r="Z327" s="60">
        <v>0</v>
      </c>
      <c r="AA327" s="60">
        <v>0</v>
      </c>
      <c r="AB327" s="60">
        <v>0</v>
      </c>
      <c r="AC327" s="60">
        <v>0</v>
      </c>
      <c r="AD327" s="60">
        <v>0</v>
      </c>
      <c r="AE327" s="60">
        <v>0</v>
      </c>
      <c r="AF327" s="60">
        <v>0</v>
      </c>
      <c r="AG327" s="60">
        <v>0</v>
      </c>
      <c r="AH327" s="60">
        <v>0</v>
      </c>
      <c r="AI327" s="60">
        <v>0</v>
      </c>
      <c r="AJ327" s="60">
        <v>0</v>
      </c>
      <c r="AK327" s="60">
        <v>0</v>
      </c>
      <c r="AL327" s="60">
        <v>0</v>
      </c>
      <c r="AM327" s="60">
        <v>0</v>
      </c>
    </row>
    <row r="328" spans="1:39" ht="15.75" hidden="1" outlineLevel="1" thickBot="1">
      <c r="A328" s="59" t="s">
        <v>98</v>
      </c>
      <c r="B328" s="60">
        <v>0</v>
      </c>
      <c r="C328" s="60">
        <v>0</v>
      </c>
      <c r="D328" s="60">
        <v>0</v>
      </c>
      <c r="E328" s="60">
        <v>0</v>
      </c>
      <c r="F328" s="60">
        <v>0</v>
      </c>
      <c r="G328" s="60">
        <v>0</v>
      </c>
      <c r="H328" s="60">
        <v>0</v>
      </c>
      <c r="I328" s="60">
        <v>0</v>
      </c>
      <c r="J328" s="60">
        <v>0</v>
      </c>
      <c r="K328" s="60">
        <v>0</v>
      </c>
      <c r="L328" s="60">
        <v>0</v>
      </c>
      <c r="M328" s="60">
        <v>0</v>
      </c>
      <c r="N328" s="60">
        <v>0</v>
      </c>
      <c r="O328" s="60">
        <v>0</v>
      </c>
      <c r="P328" s="60">
        <v>0</v>
      </c>
      <c r="Q328" s="60">
        <v>0</v>
      </c>
      <c r="R328" s="60">
        <v>0</v>
      </c>
      <c r="S328" s="60">
        <v>0</v>
      </c>
      <c r="T328" s="60">
        <v>0</v>
      </c>
      <c r="U328" s="60">
        <v>0</v>
      </c>
      <c r="V328" s="60">
        <v>0</v>
      </c>
      <c r="W328" s="60">
        <v>0</v>
      </c>
      <c r="X328" s="60">
        <v>0</v>
      </c>
      <c r="Y328" s="60">
        <v>0</v>
      </c>
      <c r="Z328" s="60">
        <v>0</v>
      </c>
      <c r="AA328" s="60">
        <v>0</v>
      </c>
      <c r="AB328" s="60">
        <v>0</v>
      </c>
      <c r="AC328" s="60">
        <v>0</v>
      </c>
      <c r="AD328" s="60">
        <v>0</v>
      </c>
      <c r="AE328" s="60">
        <v>0</v>
      </c>
      <c r="AF328" s="60">
        <v>0</v>
      </c>
      <c r="AG328" s="60">
        <v>0</v>
      </c>
      <c r="AH328" s="60">
        <v>0</v>
      </c>
      <c r="AI328" s="60">
        <v>0</v>
      </c>
      <c r="AJ328" s="60">
        <v>0</v>
      </c>
      <c r="AK328" s="60">
        <v>0</v>
      </c>
      <c r="AL328" s="60">
        <v>0</v>
      </c>
      <c r="AM328" s="60">
        <v>0</v>
      </c>
    </row>
    <row r="329" spans="1:39" ht="15.75" hidden="1" outlineLevel="1" thickBot="1">
      <c r="A329" s="59" t="s">
        <v>99</v>
      </c>
      <c r="B329" s="60">
        <v>0</v>
      </c>
      <c r="C329" s="60">
        <v>0</v>
      </c>
      <c r="D329" s="60">
        <v>0</v>
      </c>
      <c r="E329" s="60">
        <v>0</v>
      </c>
      <c r="F329" s="60">
        <v>0</v>
      </c>
      <c r="G329" s="60">
        <v>0</v>
      </c>
      <c r="H329" s="60">
        <v>0</v>
      </c>
      <c r="I329" s="60">
        <v>0</v>
      </c>
      <c r="J329" s="60">
        <v>0</v>
      </c>
      <c r="K329" s="60">
        <v>0</v>
      </c>
      <c r="L329" s="60">
        <v>0</v>
      </c>
      <c r="M329" s="60">
        <v>0</v>
      </c>
      <c r="N329" s="60">
        <v>0</v>
      </c>
      <c r="O329" s="60">
        <v>0</v>
      </c>
      <c r="P329" s="60">
        <v>0</v>
      </c>
      <c r="Q329" s="60">
        <v>0</v>
      </c>
      <c r="R329" s="60">
        <v>0</v>
      </c>
      <c r="S329" s="60">
        <v>0</v>
      </c>
      <c r="T329" s="60">
        <v>0</v>
      </c>
      <c r="U329" s="60">
        <v>0</v>
      </c>
      <c r="V329" s="60">
        <v>0</v>
      </c>
      <c r="W329" s="60">
        <v>0</v>
      </c>
      <c r="X329" s="60">
        <v>0</v>
      </c>
      <c r="Y329" s="60">
        <v>0</v>
      </c>
      <c r="Z329" s="60">
        <v>0</v>
      </c>
      <c r="AA329" s="60">
        <v>0</v>
      </c>
      <c r="AB329" s="60">
        <v>0</v>
      </c>
      <c r="AC329" s="60">
        <v>0</v>
      </c>
      <c r="AD329" s="60">
        <v>0</v>
      </c>
      <c r="AE329" s="60">
        <v>0</v>
      </c>
      <c r="AF329" s="60">
        <v>0</v>
      </c>
      <c r="AG329" s="60">
        <v>0</v>
      </c>
      <c r="AH329" s="60">
        <v>0</v>
      </c>
      <c r="AI329" s="60">
        <v>0</v>
      </c>
      <c r="AJ329" s="60">
        <v>0</v>
      </c>
      <c r="AK329" s="60">
        <v>0</v>
      </c>
      <c r="AL329" s="60">
        <v>0</v>
      </c>
      <c r="AM329" s="60">
        <v>0</v>
      </c>
    </row>
    <row r="330" spans="1:39" ht="15.75" hidden="1" outlineLevel="1" thickBot="1">
      <c r="A330" s="59" t="s">
        <v>100</v>
      </c>
      <c r="B330" s="60">
        <v>0</v>
      </c>
      <c r="C330" s="60">
        <v>0</v>
      </c>
      <c r="D330" s="60">
        <v>0</v>
      </c>
      <c r="E330" s="60">
        <v>0</v>
      </c>
      <c r="F330" s="60">
        <v>0</v>
      </c>
      <c r="G330" s="60">
        <v>0</v>
      </c>
      <c r="H330" s="60">
        <v>0</v>
      </c>
      <c r="I330" s="60">
        <v>0</v>
      </c>
      <c r="J330" s="60">
        <v>0</v>
      </c>
      <c r="K330" s="60">
        <v>0</v>
      </c>
      <c r="L330" s="60">
        <v>0</v>
      </c>
      <c r="M330" s="60">
        <v>0</v>
      </c>
      <c r="N330" s="60">
        <v>0</v>
      </c>
      <c r="O330" s="60">
        <v>0</v>
      </c>
      <c r="P330" s="60">
        <v>0</v>
      </c>
      <c r="Q330" s="60">
        <v>0</v>
      </c>
      <c r="R330" s="60">
        <v>0</v>
      </c>
      <c r="S330" s="60">
        <v>0</v>
      </c>
      <c r="T330" s="60">
        <v>0</v>
      </c>
      <c r="U330" s="60">
        <v>0</v>
      </c>
      <c r="V330" s="60">
        <v>0</v>
      </c>
      <c r="W330" s="60">
        <v>0</v>
      </c>
      <c r="X330" s="60">
        <v>0</v>
      </c>
      <c r="Y330" s="60">
        <v>0</v>
      </c>
      <c r="Z330" s="60">
        <v>0</v>
      </c>
      <c r="AA330" s="60">
        <v>0</v>
      </c>
      <c r="AB330" s="60">
        <v>0</v>
      </c>
      <c r="AC330" s="60">
        <v>0</v>
      </c>
      <c r="AD330" s="60">
        <v>0</v>
      </c>
      <c r="AE330" s="60">
        <v>0</v>
      </c>
      <c r="AF330" s="60">
        <v>0</v>
      </c>
      <c r="AG330" s="60">
        <v>0</v>
      </c>
      <c r="AH330" s="60">
        <v>0</v>
      </c>
      <c r="AI330" s="60">
        <v>0</v>
      </c>
      <c r="AJ330" s="60">
        <v>0</v>
      </c>
      <c r="AK330" s="60">
        <v>0</v>
      </c>
      <c r="AL330" s="60">
        <v>0</v>
      </c>
      <c r="AM330" s="60">
        <v>0</v>
      </c>
    </row>
    <row r="331" spans="1:39" ht="15.75" hidden="1" outlineLevel="1" thickBot="1">
      <c r="A331" s="59" t="s">
        <v>101</v>
      </c>
      <c r="B331" s="60">
        <v>0</v>
      </c>
      <c r="C331" s="60">
        <v>0</v>
      </c>
      <c r="D331" s="60">
        <v>0</v>
      </c>
      <c r="E331" s="60">
        <v>0</v>
      </c>
      <c r="F331" s="60">
        <v>0</v>
      </c>
      <c r="G331" s="60">
        <v>0</v>
      </c>
      <c r="H331" s="60">
        <v>0</v>
      </c>
      <c r="I331" s="60">
        <v>0</v>
      </c>
      <c r="J331" s="60">
        <v>0</v>
      </c>
      <c r="K331" s="60">
        <v>0</v>
      </c>
      <c r="L331" s="60">
        <v>0</v>
      </c>
      <c r="M331" s="60">
        <v>0</v>
      </c>
      <c r="N331" s="60">
        <v>0</v>
      </c>
      <c r="O331" s="60">
        <v>0</v>
      </c>
      <c r="P331" s="60">
        <v>0</v>
      </c>
      <c r="Q331" s="60">
        <v>0</v>
      </c>
      <c r="R331" s="60">
        <v>0</v>
      </c>
      <c r="S331" s="60">
        <v>0</v>
      </c>
      <c r="T331" s="60">
        <v>0</v>
      </c>
      <c r="U331" s="60">
        <v>0</v>
      </c>
      <c r="V331" s="60">
        <v>0</v>
      </c>
      <c r="W331" s="60">
        <v>0</v>
      </c>
      <c r="X331" s="60">
        <v>0</v>
      </c>
      <c r="Y331" s="60">
        <v>0</v>
      </c>
      <c r="Z331" s="60">
        <v>0</v>
      </c>
      <c r="AA331" s="60">
        <v>0</v>
      </c>
      <c r="AB331" s="60">
        <v>0</v>
      </c>
      <c r="AC331" s="60">
        <v>0</v>
      </c>
      <c r="AD331" s="60">
        <v>0</v>
      </c>
      <c r="AE331" s="60">
        <v>0</v>
      </c>
      <c r="AF331" s="60">
        <v>0</v>
      </c>
      <c r="AG331" s="60">
        <v>0</v>
      </c>
      <c r="AH331" s="60">
        <v>0</v>
      </c>
      <c r="AI331" s="60">
        <v>0</v>
      </c>
      <c r="AJ331" s="60">
        <v>0</v>
      </c>
      <c r="AK331" s="60">
        <v>0</v>
      </c>
      <c r="AL331" s="60">
        <v>0</v>
      </c>
      <c r="AM331" s="60">
        <v>0</v>
      </c>
    </row>
    <row r="332" spans="1:39" ht="15.75" hidden="1" outlineLevel="1" thickBot="1">
      <c r="A332" s="59" t="s">
        <v>102</v>
      </c>
      <c r="B332" s="60">
        <v>0.55000000000000004</v>
      </c>
      <c r="C332" s="60">
        <v>0.61</v>
      </c>
      <c r="D332" s="60">
        <v>0.66</v>
      </c>
      <c r="E332" s="60">
        <v>0.67</v>
      </c>
      <c r="F332" s="60">
        <v>0.66</v>
      </c>
      <c r="G332" s="60">
        <v>0.69</v>
      </c>
      <c r="H332" s="60">
        <v>0.72</v>
      </c>
      <c r="I332" s="60">
        <v>0.56000000000000005</v>
      </c>
      <c r="J332" s="60">
        <v>0.46</v>
      </c>
      <c r="K332" s="60">
        <v>0.49</v>
      </c>
      <c r="L332" s="60">
        <v>0.49</v>
      </c>
      <c r="M332" s="60">
        <v>0.49</v>
      </c>
      <c r="N332" s="60">
        <v>0.5</v>
      </c>
      <c r="O332" s="60">
        <v>0.5</v>
      </c>
      <c r="P332" s="60">
        <v>0.5</v>
      </c>
      <c r="Q332" s="60">
        <v>0.5</v>
      </c>
      <c r="R332" s="60">
        <v>0.51</v>
      </c>
      <c r="S332" s="60">
        <v>0.51</v>
      </c>
      <c r="T332" s="60">
        <v>0.51</v>
      </c>
      <c r="U332" s="60">
        <v>0.51</v>
      </c>
      <c r="V332" s="60">
        <v>0.52</v>
      </c>
      <c r="W332" s="60">
        <v>0.52</v>
      </c>
      <c r="X332" s="60">
        <v>0.52</v>
      </c>
      <c r="Y332" s="60">
        <v>0.52</v>
      </c>
      <c r="Z332" s="60">
        <v>0.53</v>
      </c>
      <c r="AA332" s="60">
        <v>0.53</v>
      </c>
      <c r="AB332" s="60">
        <v>0.53</v>
      </c>
      <c r="AC332" s="60">
        <v>0.54</v>
      </c>
      <c r="AD332" s="60">
        <v>0.54</v>
      </c>
      <c r="AE332" s="60">
        <v>0.54</v>
      </c>
      <c r="AF332" s="60">
        <v>0.54</v>
      </c>
      <c r="AG332" s="60">
        <v>0.55000000000000004</v>
      </c>
      <c r="AH332" s="60">
        <v>0.55000000000000004</v>
      </c>
      <c r="AI332" s="60">
        <v>0.55000000000000004</v>
      </c>
      <c r="AJ332" s="60">
        <v>0.55000000000000004</v>
      </c>
      <c r="AK332" s="60">
        <v>0.56000000000000005</v>
      </c>
      <c r="AL332" s="60">
        <v>0.56000000000000005</v>
      </c>
      <c r="AM332" s="60">
        <v>0.56000000000000005</v>
      </c>
    </row>
    <row r="333" spans="1:39" ht="15.75" hidden="1" outlineLevel="1" thickBot="1">
      <c r="A333" s="59" t="s">
        <v>103</v>
      </c>
      <c r="B333" s="60">
        <v>0</v>
      </c>
      <c r="C333" s="60">
        <v>0</v>
      </c>
      <c r="D333" s="60">
        <v>0</v>
      </c>
      <c r="E333" s="60">
        <v>0</v>
      </c>
      <c r="F333" s="60">
        <v>0</v>
      </c>
      <c r="G333" s="60">
        <v>0</v>
      </c>
      <c r="H333" s="60">
        <v>0</v>
      </c>
      <c r="I333" s="60">
        <v>0</v>
      </c>
      <c r="J333" s="60">
        <v>0</v>
      </c>
      <c r="K333" s="60">
        <v>0</v>
      </c>
      <c r="L333" s="60">
        <v>0</v>
      </c>
      <c r="M333" s="60">
        <v>0</v>
      </c>
      <c r="N333" s="60">
        <v>0</v>
      </c>
      <c r="O333" s="60">
        <v>0</v>
      </c>
      <c r="P333" s="60">
        <v>0</v>
      </c>
      <c r="Q333" s="60">
        <v>0</v>
      </c>
      <c r="R333" s="60">
        <v>0</v>
      </c>
      <c r="S333" s="60">
        <v>0</v>
      </c>
      <c r="T333" s="60">
        <v>0</v>
      </c>
      <c r="U333" s="60">
        <v>0</v>
      </c>
      <c r="V333" s="60">
        <v>0</v>
      </c>
      <c r="W333" s="60">
        <v>0</v>
      </c>
      <c r="X333" s="60">
        <v>0</v>
      </c>
      <c r="Y333" s="60">
        <v>0</v>
      </c>
      <c r="Z333" s="60">
        <v>0</v>
      </c>
      <c r="AA333" s="60">
        <v>0</v>
      </c>
      <c r="AB333" s="60">
        <v>0</v>
      </c>
      <c r="AC333" s="60">
        <v>0</v>
      </c>
      <c r="AD333" s="60">
        <v>0</v>
      </c>
      <c r="AE333" s="60">
        <v>0</v>
      </c>
      <c r="AF333" s="60">
        <v>0</v>
      </c>
      <c r="AG333" s="60">
        <v>0</v>
      </c>
      <c r="AH333" s="60">
        <v>0</v>
      </c>
      <c r="AI333" s="60">
        <v>0</v>
      </c>
      <c r="AJ333" s="60">
        <v>0</v>
      </c>
      <c r="AK333" s="60">
        <v>0</v>
      </c>
      <c r="AL333" s="60">
        <v>0</v>
      </c>
      <c r="AM333" s="60">
        <v>0</v>
      </c>
    </row>
    <row r="334" spans="1:39" ht="15.75" hidden="1" outlineLevel="1" thickBot="1">
      <c r="A334" s="59" t="s">
        <v>44</v>
      </c>
      <c r="B334" s="60">
        <v>0</v>
      </c>
      <c r="C334" s="60">
        <v>0</v>
      </c>
      <c r="D334" s="60">
        <v>0</v>
      </c>
      <c r="E334" s="60">
        <v>0</v>
      </c>
      <c r="F334" s="60">
        <v>0</v>
      </c>
      <c r="G334" s="60">
        <v>0</v>
      </c>
      <c r="H334" s="60">
        <v>0</v>
      </c>
      <c r="I334" s="60">
        <v>0</v>
      </c>
      <c r="J334" s="60">
        <v>0</v>
      </c>
      <c r="K334" s="60">
        <v>0</v>
      </c>
      <c r="L334" s="60">
        <v>0</v>
      </c>
      <c r="M334" s="60">
        <v>0</v>
      </c>
      <c r="N334" s="60">
        <v>0</v>
      </c>
      <c r="O334" s="60">
        <v>0</v>
      </c>
      <c r="P334" s="60">
        <v>0</v>
      </c>
      <c r="Q334" s="60">
        <v>0</v>
      </c>
      <c r="R334" s="60">
        <v>0</v>
      </c>
      <c r="S334" s="60">
        <v>0</v>
      </c>
      <c r="T334" s="60">
        <v>0</v>
      </c>
      <c r="U334" s="60">
        <v>0</v>
      </c>
      <c r="V334" s="60">
        <v>0</v>
      </c>
      <c r="W334" s="60">
        <v>0</v>
      </c>
      <c r="X334" s="60">
        <v>0</v>
      </c>
      <c r="Y334" s="60">
        <v>0</v>
      </c>
      <c r="Z334" s="60">
        <v>0</v>
      </c>
      <c r="AA334" s="60">
        <v>0</v>
      </c>
      <c r="AB334" s="60">
        <v>0</v>
      </c>
      <c r="AC334" s="60">
        <v>0</v>
      </c>
      <c r="AD334" s="60">
        <v>0</v>
      </c>
      <c r="AE334" s="60">
        <v>0</v>
      </c>
      <c r="AF334" s="60">
        <v>0</v>
      </c>
      <c r="AG334" s="60">
        <v>0</v>
      </c>
      <c r="AH334" s="60">
        <v>0</v>
      </c>
      <c r="AI334" s="60">
        <v>0</v>
      </c>
      <c r="AJ334" s="60">
        <v>0</v>
      </c>
      <c r="AK334" s="60">
        <v>0</v>
      </c>
      <c r="AL334" s="60">
        <v>0</v>
      </c>
      <c r="AM334" s="60">
        <v>0</v>
      </c>
    </row>
    <row r="335" spans="1:39" ht="15.75" hidden="1" outlineLevel="1" thickBot="1">
      <c r="A335" s="59" t="s">
        <v>45</v>
      </c>
      <c r="B335" s="60">
        <v>0.82</v>
      </c>
      <c r="C335" s="60">
        <v>0.92</v>
      </c>
      <c r="D335" s="60">
        <v>0.99</v>
      </c>
      <c r="E335" s="60">
        <v>1</v>
      </c>
      <c r="F335" s="60">
        <v>1.06</v>
      </c>
      <c r="G335" s="60">
        <v>1.22</v>
      </c>
      <c r="H335" s="60">
        <v>1.19</v>
      </c>
      <c r="I335" s="60">
        <v>0.91</v>
      </c>
      <c r="J335" s="60">
        <v>0.79</v>
      </c>
      <c r="K335" s="60">
        <v>0.79</v>
      </c>
      <c r="L335" s="60">
        <v>0.79</v>
      </c>
      <c r="M335" s="60">
        <v>0.79</v>
      </c>
      <c r="N335" s="60">
        <v>0.79</v>
      </c>
      <c r="O335" s="60">
        <v>0.78</v>
      </c>
      <c r="P335" s="60">
        <v>0.78</v>
      </c>
      <c r="Q335" s="60">
        <v>0.78</v>
      </c>
      <c r="R335" s="60">
        <v>0.78</v>
      </c>
      <c r="S335" s="60">
        <v>0.77</v>
      </c>
      <c r="T335" s="60">
        <v>0.77</v>
      </c>
      <c r="U335" s="60">
        <v>0.77</v>
      </c>
      <c r="V335" s="60">
        <v>0.77</v>
      </c>
      <c r="W335" s="60">
        <v>0.76</v>
      </c>
      <c r="X335" s="60">
        <v>0.76</v>
      </c>
      <c r="Y335" s="60">
        <v>0.76</v>
      </c>
      <c r="Z335" s="60">
        <v>0.76</v>
      </c>
      <c r="AA335" s="60">
        <v>0.76</v>
      </c>
      <c r="AB335" s="60">
        <v>0.75</v>
      </c>
      <c r="AC335" s="60">
        <v>0.75</v>
      </c>
      <c r="AD335" s="60">
        <v>0.75</v>
      </c>
      <c r="AE335" s="60">
        <v>0.75</v>
      </c>
      <c r="AF335" s="60">
        <v>0.74</v>
      </c>
      <c r="AG335" s="60">
        <v>0.74</v>
      </c>
      <c r="AH335" s="60">
        <v>0.74</v>
      </c>
      <c r="AI335" s="60">
        <v>0.74</v>
      </c>
      <c r="AJ335" s="60">
        <v>0.74</v>
      </c>
      <c r="AK335" s="60">
        <v>0.73</v>
      </c>
      <c r="AL335" s="60">
        <v>0.73</v>
      </c>
      <c r="AM335" s="60">
        <v>0.73</v>
      </c>
    </row>
    <row r="336" spans="1:39" ht="15.75" hidden="1" outlineLevel="1" thickBot="1">
      <c r="A336" s="59" t="s">
        <v>104</v>
      </c>
      <c r="B336" s="60">
        <v>0</v>
      </c>
      <c r="C336" s="60">
        <v>0</v>
      </c>
      <c r="D336" s="60">
        <v>0</v>
      </c>
      <c r="E336" s="60">
        <v>0</v>
      </c>
      <c r="F336" s="60">
        <v>0</v>
      </c>
      <c r="G336" s="60">
        <v>0</v>
      </c>
      <c r="H336" s="60">
        <v>0</v>
      </c>
      <c r="I336" s="60">
        <v>0</v>
      </c>
      <c r="J336" s="60">
        <v>0</v>
      </c>
      <c r="K336" s="60">
        <v>0</v>
      </c>
      <c r="L336" s="60">
        <v>0</v>
      </c>
      <c r="M336" s="60">
        <v>0</v>
      </c>
      <c r="N336" s="60">
        <v>0</v>
      </c>
      <c r="O336" s="60">
        <v>0</v>
      </c>
      <c r="P336" s="60">
        <v>0</v>
      </c>
      <c r="Q336" s="60">
        <v>0</v>
      </c>
      <c r="R336" s="60">
        <v>0</v>
      </c>
      <c r="S336" s="60">
        <v>0</v>
      </c>
      <c r="T336" s="60">
        <v>0</v>
      </c>
      <c r="U336" s="60">
        <v>0</v>
      </c>
      <c r="V336" s="60">
        <v>0</v>
      </c>
      <c r="W336" s="60">
        <v>0</v>
      </c>
      <c r="X336" s="60">
        <v>0</v>
      </c>
      <c r="Y336" s="60">
        <v>0</v>
      </c>
      <c r="Z336" s="60">
        <v>0</v>
      </c>
      <c r="AA336" s="60">
        <v>0</v>
      </c>
      <c r="AB336" s="60">
        <v>0</v>
      </c>
      <c r="AC336" s="60">
        <v>0</v>
      </c>
      <c r="AD336" s="60">
        <v>0</v>
      </c>
      <c r="AE336" s="60">
        <v>0</v>
      </c>
      <c r="AF336" s="60">
        <v>0</v>
      </c>
      <c r="AG336" s="60">
        <v>0</v>
      </c>
      <c r="AH336" s="60">
        <v>0</v>
      </c>
      <c r="AI336" s="60">
        <v>0</v>
      </c>
      <c r="AJ336" s="60">
        <v>0</v>
      </c>
      <c r="AK336" s="60">
        <v>0</v>
      </c>
      <c r="AL336" s="60">
        <v>0</v>
      </c>
      <c r="AM336" s="60">
        <v>0</v>
      </c>
    </row>
    <row r="337" spans="1:39" ht="15.75" hidden="1" outlineLevel="1" thickBot="1">
      <c r="A337" s="59" t="s">
        <v>105</v>
      </c>
      <c r="B337" s="60">
        <v>0</v>
      </c>
      <c r="C337" s="60">
        <v>0</v>
      </c>
      <c r="D337" s="60">
        <v>0</v>
      </c>
      <c r="E337" s="60">
        <v>0</v>
      </c>
      <c r="F337" s="60">
        <v>0</v>
      </c>
      <c r="G337" s="60">
        <v>0</v>
      </c>
      <c r="H337" s="60">
        <v>0</v>
      </c>
      <c r="I337" s="60">
        <v>0</v>
      </c>
      <c r="J337" s="60">
        <v>0</v>
      </c>
      <c r="K337" s="60">
        <v>0</v>
      </c>
      <c r="L337" s="60">
        <v>0</v>
      </c>
      <c r="M337" s="60">
        <v>0</v>
      </c>
      <c r="N337" s="60">
        <v>0</v>
      </c>
      <c r="O337" s="60">
        <v>0</v>
      </c>
      <c r="P337" s="60">
        <v>0</v>
      </c>
      <c r="Q337" s="60">
        <v>0</v>
      </c>
      <c r="R337" s="60">
        <v>0</v>
      </c>
      <c r="S337" s="60">
        <v>0</v>
      </c>
      <c r="T337" s="60">
        <v>0</v>
      </c>
      <c r="U337" s="60">
        <v>0</v>
      </c>
      <c r="V337" s="60">
        <v>0</v>
      </c>
      <c r="W337" s="60">
        <v>0</v>
      </c>
      <c r="X337" s="60">
        <v>0</v>
      </c>
      <c r="Y337" s="60">
        <v>0</v>
      </c>
      <c r="Z337" s="60">
        <v>0</v>
      </c>
      <c r="AA337" s="60">
        <v>0</v>
      </c>
      <c r="AB337" s="60">
        <v>0</v>
      </c>
      <c r="AC337" s="60">
        <v>0</v>
      </c>
      <c r="AD337" s="60">
        <v>0</v>
      </c>
      <c r="AE337" s="60">
        <v>0</v>
      </c>
      <c r="AF337" s="60">
        <v>0</v>
      </c>
      <c r="AG337" s="60">
        <v>0</v>
      </c>
      <c r="AH337" s="60">
        <v>0</v>
      </c>
      <c r="AI337" s="60">
        <v>0</v>
      </c>
      <c r="AJ337" s="60">
        <v>0</v>
      </c>
      <c r="AK337" s="60">
        <v>0</v>
      </c>
      <c r="AL337" s="60">
        <v>0</v>
      </c>
      <c r="AM337" s="60">
        <v>0</v>
      </c>
    </row>
    <row r="338" spans="1:39" ht="15.75" hidden="1" outlineLevel="1" thickBot="1">
      <c r="A338" s="59" t="s">
        <v>106</v>
      </c>
      <c r="B338" s="60">
        <v>4.74</v>
      </c>
      <c r="C338" s="60">
        <v>5.61</v>
      </c>
      <c r="D338" s="60">
        <v>5.71</v>
      </c>
      <c r="E338" s="60">
        <v>6.11</v>
      </c>
      <c r="F338" s="60">
        <v>5.97</v>
      </c>
      <c r="G338" s="60">
        <v>6.55</v>
      </c>
      <c r="H338" s="60">
        <v>7.23</v>
      </c>
      <c r="I338" s="60">
        <v>6.27</v>
      </c>
      <c r="J338" s="60">
        <v>9.67</v>
      </c>
      <c r="K338" s="60">
        <v>9.9499999999999993</v>
      </c>
      <c r="L338" s="60">
        <v>10.36</v>
      </c>
      <c r="M338" s="60">
        <v>10.78</v>
      </c>
      <c r="N338" s="60">
        <v>11.19</v>
      </c>
      <c r="O338" s="60">
        <v>11.6</v>
      </c>
      <c r="P338" s="60">
        <v>12.02</v>
      </c>
      <c r="Q338" s="60">
        <v>12.43</v>
      </c>
      <c r="R338" s="60">
        <v>12.84</v>
      </c>
      <c r="S338" s="60">
        <v>13.26</v>
      </c>
      <c r="T338" s="60">
        <v>13.67</v>
      </c>
      <c r="U338" s="60">
        <v>14.09</v>
      </c>
      <c r="V338" s="60">
        <v>14.5</v>
      </c>
      <c r="W338" s="60">
        <v>14.91</v>
      </c>
      <c r="X338" s="60">
        <v>15.33</v>
      </c>
      <c r="Y338" s="60">
        <v>15.74</v>
      </c>
      <c r="Z338" s="60">
        <v>16.16</v>
      </c>
      <c r="AA338" s="60">
        <v>16.57</v>
      </c>
      <c r="AB338" s="60">
        <v>16.98</v>
      </c>
      <c r="AC338" s="60">
        <v>17.399999999999999</v>
      </c>
      <c r="AD338" s="60">
        <v>17.809999999999999</v>
      </c>
      <c r="AE338" s="60">
        <v>18.23</v>
      </c>
      <c r="AF338" s="60">
        <v>18.64</v>
      </c>
      <c r="AG338" s="60">
        <v>19.05</v>
      </c>
      <c r="AH338" s="60">
        <v>19.47</v>
      </c>
      <c r="AI338" s="60">
        <v>19.88</v>
      </c>
      <c r="AJ338" s="60">
        <v>20.3</v>
      </c>
      <c r="AK338" s="60">
        <v>20.71</v>
      </c>
      <c r="AL338" s="60">
        <v>21.12</v>
      </c>
      <c r="AM338" s="60">
        <v>21.54</v>
      </c>
    </row>
    <row r="339" spans="1:39" ht="15.75" hidden="1" outlineLevel="1" thickBot="1">
      <c r="A339" s="59" t="s">
        <v>46</v>
      </c>
      <c r="B339" s="60">
        <v>8.3000000000000007</v>
      </c>
      <c r="C339" s="60">
        <v>8.5299999999999994</v>
      </c>
      <c r="D339" s="60">
        <v>9.2100000000000009</v>
      </c>
      <c r="E339" s="60">
        <v>9.6199999999999992</v>
      </c>
      <c r="F339" s="60">
        <v>9.59</v>
      </c>
      <c r="G339" s="60">
        <v>9.9</v>
      </c>
      <c r="H339" s="60">
        <v>10.210000000000001</v>
      </c>
      <c r="I339" s="60">
        <v>10.61</v>
      </c>
      <c r="J339" s="60">
        <v>10.18</v>
      </c>
      <c r="K339" s="60">
        <v>10.47</v>
      </c>
      <c r="L339" s="60">
        <v>10.91</v>
      </c>
      <c r="M339" s="60">
        <v>11.34</v>
      </c>
      <c r="N339" s="60">
        <v>11.78</v>
      </c>
      <c r="O339" s="60">
        <v>12.22</v>
      </c>
      <c r="P339" s="60">
        <v>12.65</v>
      </c>
      <c r="Q339" s="60">
        <v>13.09</v>
      </c>
      <c r="R339" s="60">
        <v>13.52</v>
      </c>
      <c r="S339" s="60">
        <v>13.96</v>
      </c>
      <c r="T339" s="60">
        <v>14.39</v>
      </c>
      <c r="U339" s="60">
        <v>14.83</v>
      </c>
      <c r="V339" s="60">
        <v>15.27</v>
      </c>
      <c r="W339" s="60">
        <v>15.7</v>
      </c>
      <c r="X339" s="60">
        <v>16.14</v>
      </c>
      <c r="Y339" s="60">
        <v>16.57</v>
      </c>
      <c r="Z339" s="60">
        <v>17.010000000000002</v>
      </c>
      <c r="AA339" s="60">
        <v>17.440000000000001</v>
      </c>
      <c r="AB339" s="60">
        <v>17.88</v>
      </c>
      <c r="AC339" s="60">
        <v>18.32</v>
      </c>
      <c r="AD339" s="60">
        <v>18.75</v>
      </c>
      <c r="AE339" s="60">
        <v>19.190000000000001</v>
      </c>
      <c r="AF339" s="60">
        <v>19.62</v>
      </c>
      <c r="AG339" s="60">
        <v>20.059999999999999</v>
      </c>
      <c r="AH339" s="60">
        <v>20.49</v>
      </c>
      <c r="AI339" s="60">
        <v>20.93</v>
      </c>
      <c r="AJ339" s="60">
        <v>21.37</v>
      </c>
      <c r="AK339" s="60">
        <v>21.8</v>
      </c>
      <c r="AL339" s="60">
        <v>22.24</v>
      </c>
      <c r="AM339" s="60">
        <v>22.67</v>
      </c>
    </row>
    <row r="340" spans="1:39" ht="15.75" hidden="1" outlineLevel="1" thickBot="1">
      <c r="A340" s="59" t="s">
        <v>107</v>
      </c>
      <c r="B340" s="60">
        <v>0</v>
      </c>
      <c r="C340" s="60">
        <v>0</v>
      </c>
      <c r="D340" s="60">
        <v>0</v>
      </c>
      <c r="E340" s="60">
        <v>0</v>
      </c>
      <c r="F340" s="60">
        <v>0</v>
      </c>
      <c r="G340" s="60">
        <v>0</v>
      </c>
      <c r="H340" s="60">
        <v>0</v>
      </c>
      <c r="I340" s="60">
        <v>0</v>
      </c>
      <c r="J340" s="60">
        <v>0</v>
      </c>
      <c r="K340" s="60">
        <v>0</v>
      </c>
      <c r="L340" s="60">
        <v>0</v>
      </c>
      <c r="M340" s="60">
        <v>0</v>
      </c>
      <c r="N340" s="60">
        <v>0</v>
      </c>
      <c r="O340" s="60">
        <v>0</v>
      </c>
      <c r="P340" s="60">
        <v>0</v>
      </c>
      <c r="Q340" s="60">
        <v>0</v>
      </c>
      <c r="R340" s="60">
        <v>0</v>
      </c>
      <c r="S340" s="60">
        <v>0</v>
      </c>
      <c r="T340" s="60">
        <v>0</v>
      </c>
      <c r="U340" s="60">
        <v>0</v>
      </c>
      <c r="V340" s="60">
        <v>0</v>
      </c>
      <c r="W340" s="60">
        <v>0</v>
      </c>
      <c r="X340" s="60">
        <v>0</v>
      </c>
      <c r="Y340" s="60">
        <v>0</v>
      </c>
      <c r="Z340" s="60">
        <v>0</v>
      </c>
      <c r="AA340" s="60">
        <v>0</v>
      </c>
      <c r="AB340" s="60">
        <v>0</v>
      </c>
      <c r="AC340" s="60">
        <v>0</v>
      </c>
      <c r="AD340" s="60">
        <v>0</v>
      </c>
      <c r="AE340" s="60">
        <v>0</v>
      </c>
      <c r="AF340" s="60">
        <v>0</v>
      </c>
      <c r="AG340" s="60">
        <v>0</v>
      </c>
      <c r="AH340" s="60">
        <v>0</v>
      </c>
      <c r="AI340" s="60">
        <v>0</v>
      </c>
      <c r="AJ340" s="60">
        <v>0</v>
      </c>
      <c r="AK340" s="60">
        <v>0</v>
      </c>
      <c r="AL340" s="60">
        <v>0</v>
      </c>
      <c r="AM340" s="60">
        <v>0</v>
      </c>
    </row>
    <row r="341" spans="1:39" ht="15.75" hidden="1" outlineLevel="1" thickBot="1">
      <c r="A341" s="61" t="s">
        <v>108</v>
      </c>
      <c r="B341" s="62">
        <v>0</v>
      </c>
      <c r="C341" s="62">
        <v>0</v>
      </c>
      <c r="D341" s="62">
        <v>0</v>
      </c>
      <c r="E341" s="62">
        <v>0</v>
      </c>
      <c r="F341" s="62">
        <v>0</v>
      </c>
      <c r="G341" s="62">
        <v>0</v>
      </c>
      <c r="H341" s="62">
        <v>0</v>
      </c>
      <c r="I341" s="62">
        <v>0</v>
      </c>
      <c r="J341" s="62">
        <v>0</v>
      </c>
      <c r="K341" s="62">
        <v>0</v>
      </c>
      <c r="L341" s="62">
        <v>0</v>
      </c>
      <c r="M341" s="62">
        <v>0</v>
      </c>
      <c r="N341" s="62">
        <v>0</v>
      </c>
      <c r="O341" s="62">
        <v>0</v>
      </c>
      <c r="P341" s="62">
        <v>0</v>
      </c>
      <c r="Q341" s="62">
        <v>0</v>
      </c>
      <c r="R341" s="62">
        <v>0</v>
      </c>
      <c r="S341" s="62">
        <v>0</v>
      </c>
      <c r="T341" s="62">
        <v>0</v>
      </c>
      <c r="U341" s="62">
        <v>0</v>
      </c>
      <c r="V341" s="62">
        <v>0</v>
      </c>
      <c r="W341" s="62">
        <v>0</v>
      </c>
      <c r="X341" s="62">
        <v>0</v>
      </c>
      <c r="Y341" s="62">
        <v>0</v>
      </c>
      <c r="Z341" s="62">
        <v>0</v>
      </c>
      <c r="AA341" s="62">
        <v>0</v>
      </c>
      <c r="AB341" s="62">
        <v>0</v>
      </c>
      <c r="AC341" s="62">
        <v>0</v>
      </c>
      <c r="AD341" s="62">
        <v>0</v>
      </c>
      <c r="AE341" s="62">
        <v>0</v>
      </c>
      <c r="AF341" s="62">
        <v>0</v>
      </c>
      <c r="AG341" s="62">
        <v>0</v>
      </c>
      <c r="AH341" s="62">
        <v>0</v>
      </c>
      <c r="AI341" s="62">
        <v>0</v>
      </c>
      <c r="AJ341" s="62">
        <v>0</v>
      </c>
      <c r="AK341" s="62">
        <v>0</v>
      </c>
      <c r="AL341" s="62">
        <v>0</v>
      </c>
      <c r="AM341" s="62">
        <v>0</v>
      </c>
    </row>
    <row r="342" spans="1:39" ht="17.25" collapsed="1" thickTop="1" thickBot="1">
      <c r="A342" s="65" t="s">
        <v>119</v>
      </c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</row>
    <row r="343" spans="1:39" ht="16.5" hidden="1" outlineLevel="1" thickTop="1" thickBot="1">
      <c r="A343" s="57" t="s">
        <v>41</v>
      </c>
      <c r="B343" s="58">
        <v>2013</v>
      </c>
      <c r="C343" s="58">
        <v>2014</v>
      </c>
      <c r="D343" s="58">
        <v>2015</v>
      </c>
      <c r="E343" s="58">
        <v>2016</v>
      </c>
      <c r="F343" s="58">
        <v>2017</v>
      </c>
      <c r="G343" s="58">
        <v>2018</v>
      </c>
      <c r="H343" s="58">
        <v>2019</v>
      </c>
      <c r="I343" s="58">
        <v>2020</v>
      </c>
      <c r="J343" s="58">
        <v>2021</v>
      </c>
      <c r="K343" s="58">
        <v>2022</v>
      </c>
      <c r="L343" s="58">
        <v>2023</v>
      </c>
      <c r="M343" s="58">
        <v>2024</v>
      </c>
      <c r="N343" s="58">
        <v>2025</v>
      </c>
      <c r="O343" s="58">
        <v>2026</v>
      </c>
      <c r="P343" s="58">
        <v>2027</v>
      </c>
      <c r="Q343" s="58">
        <v>2028</v>
      </c>
      <c r="R343" s="58">
        <v>2029</v>
      </c>
      <c r="S343" s="58">
        <v>2030</v>
      </c>
      <c r="T343" s="58">
        <v>2031</v>
      </c>
      <c r="U343" s="58">
        <v>2032</v>
      </c>
      <c r="V343" s="58">
        <v>2033</v>
      </c>
      <c r="W343" s="58">
        <v>2034</v>
      </c>
      <c r="X343" s="58">
        <v>2035</v>
      </c>
      <c r="Y343" s="58">
        <v>2036</v>
      </c>
      <c r="Z343" s="58">
        <v>2037</v>
      </c>
      <c r="AA343" s="58">
        <v>2038</v>
      </c>
      <c r="AB343" s="58">
        <v>2039</v>
      </c>
      <c r="AC343" s="58">
        <v>2040</v>
      </c>
      <c r="AD343" s="58">
        <v>2041</v>
      </c>
      <c r="AE343" s="58">
        <v>2042</v>
      </c>
      <c r="AF343" s="58">
        <v>2043</v>
      </c>
      <c r="AG343" s="58">
        <v>2044</v>
      </c>
      <c r="AH343" s="58">
        <v>2045</v>
      </c>
      <c r="AI343" s="58">
        <v>2046</v>
      </c>
      <c r="AJ343" s="58">
        <v>2047</v>
      </c>
      <c r="AK343" s="58">
        <v>2048</v>
      </c>
      <c r="AL343" s="58">
        <v>2049</v>
      </c>
      <c r="AM343" s="58">
        <v>2050</v>
      </c>
    </row>
    <row r="344" spans="1:39" ht="16.5" hidden="1" outlineLevel="1" thickTop="1" thickBot="1">
      <c r="A344" s="59" t="s">
        <v>83</v>
      </c>
      <c r="B344" s="60">
        <v>0</v>
      </c>
      <c r="C344" s="60">
        <v>0</v>
      </c>
      <c r="D344" s="60">
        <v>0</v>
      </c>
      <c r="E344" s="60">
        <v>0</v>
      </c>
      <c r="F344" s="60">
        <v>0</v>
      </c>
      <c r="G344" s="60">
        <v>0</v>
      </c>
      <c r="H344" s="60">
        <v>0</v>
      </c>
      <c r="I344" s="60">
        <v>0</v>
      </c>
      <c r="J344" s="60">
        <v>0</v>
      </c>
      <c r="K344" s="60">
        <v>0</v>
      </c>
      <c r="L344" s="60">
        <v>0</v>
      </c>
      <c r="M344" s="60">
        <v>0</v>
      </c>
      <c r="N344" s="60">
        <v>0</v>
      </c>
      <c r="O344" s="60">
        <v>0</v>
      </c>
      <c r="P344" s="60">
        <v>0</v>
      </c>
      <c r="Q344" s="60">
        <v>0</v>
      </c>
      <c r="R344" s="60">
        <v>0</v>
      </c>
      <c r="S344" s="60">
        <v>0</v>
      </c>
      <c r="T344" s="60">
        <v>0</v>
      </c>
      <c r="U344" s="60">
        <v>0</v>
      </c>
      <c r="V344" s="60">
        <v>0</v>
      </c>
      <c r="W344" s="60">
        <v>0</v>
      </c>
      <c r="X344" s="60">
        <v>0</v>
      </c>
      <c r="Y344" s="60">
        <v>0</v>
      </c>
      <c r="Z344" s="60">
        <v>0</v>
      </c>
      <c r="AA344" s="60">
        <v>0</v>
      </c>
      <c r="AB344" s="60">
        <v>0</v>
      </c>
      <c r="AC344" s="60">
        <v>0</v>
      </c>
      <c r="AD344" s="60">
        <v>0</v>
      </c>
      <c r="AE344" s="60">
        <v>0</v>
      </c>
      <c r="AF344" s="60">
        <v>0</v>
      </c>
      <c r="AG344" s="60">
        <v>0</v>
      </c>
      <c r="AH344" s="60">
        <v>0</v>
      </c>
      <c r="AI344" s="60">
        <v>0</v>
      </c>
      <c r="AJ344" s="60">
        <v>0</v>
      </c>
      <c r="AK344" s="60">
        <v>0</v>
      </c>
      <c r="AL344" s="60">
        <v>0</v>
      </c>
      <c r="AM344" s="60">
        <v>0</v>
      </c>
    </row>
    <row r="345" spans="1:39" ht="15.75" hidden="1" outlineLevel="1" thickBot="1">
      <c r="A345" s="59" t="s">
        <v>84</v>
      </c>
      <c r="B345" s="60">
        <v>0</v>
      </c>
      <c r="C345" s="60">
        <v>0</v>
      </c>
      <c r="D345" s="60">
        <v>0</v>
      </c>
      <c r="E345" s="60">
        <v>0</v>
      </c>
      <c r="F345" s="60">
        <v>0</v>
      </c>
      <c r="G345" s="60">
        <v>0</v>
      </c>
      <c r="H345" s="60">
        <v>0</v>
      </c>
      <c r="I345" s="60">
        <v>0</v>
      </c>
      <c r="J345" s="60">
        <v>0</v>
      </c>
      <c r="K345" s="60">
        <v>0</v>
      </c>
      <c r="L345" s="60">
        <v>0</v>
      </c>
      <c r="M345" s="60">
        <v>0</v>
      </c>
      <c r="N345" s="60">
        <v>0</v>
      </c>
      <c r="O345" s="60">
        <v>0</v>
      </c>
      <c r="P345" s="60">
        <v>0</v>
      </c>
      <c r="Q345" s="60">
        <v>0</v>
      </c>
      <c r="R345" s="60">
        <v>0</v>
      </c>
      <c r="S345" s="60">
        <v>0</v>
      </c>
      <c r="T345" s="60">
        <v>0</v>
      </c>
      <c r="U345" s="60">
        <v>0</v>
      </c>
      <c r="V345" s="60">
        <v>0</v>
      </c>
      <c r="W345" s="60">
        <v>0</v>
      </c>
      <c r="X345" s="60">
        <v>0</v>
      </c>
      <c r="Y345" s="60">
        <v>0</v>
      </c>
      <c r="Z345" s="60">
        <v>0</v>
      </c>
      <c r="AA345" s="60">
        <v>0</v>
      </c>
      <c r="AB345" s="60">
        <v>0</v>
      </c>
      <c r="AC345" s="60">
        <v>0</v>
      </c>
      <c r="AD345" s="60">
        <v>0</v>
      </c>
      <c r="AE345" s="60">
        <v>0</v>
      </c>
      <c r="AF345" s="60">
        <v>0</v>
      </c>
      <c r="AG345" s="60">
        <v>0</v>
      </c>
      <c r="AH345" s="60">
        <v>0</v>
      </c>
      <c r="AI345" s="60">
        <v>0</v>
      </c>
      <c r="AJ345" s="60">
        <v>0</v>
      </c>
      <c r="AK345" s="60">
        <v>0</v>
      </c>
      <c r="AL345" s="60">
        <v>0</v>
      </c>
      <c r="AM345" s="60">
        <v>0</v>
      </c>
    </row>
    <row r="346" spans="1:39" ht="15.75" hidden="1" outlineLevel="1" thickBot="1">
      <c r="A346" s="59" t="s">
        <v>85</v>
      </c>
      <c r="B346" s="60">
        <v>0</v>
      </c>
      <c r="C346" s="60">
        <v>0</v>
      </c>
      <c r="D346" s="60">
        <v>0</v>
      </c>
      <c r="E346" s="60">
        <v>0</v>
      </c>
      <c r="F346" s="60">
        <v>0</v>
      </c>
      <c r="G346" s="60">
        <v>0</v>
      </c>
      <c r="H346" s="60">
        <v>0</v>
      </c>
      <c r="I346" s="60">
        <v>0</v>
      </c>
      <c r="J346" s="60">
        <v>0</v>
      </c>
      <c r="K346" s="60">
        <v>0</v>
      </c>
      <c r="L346" s="60">
        <v>0</v>
      </c>
      <c r="M346" s="60">
        <v>0</v>
      </c>
      <c r="N346" s="60">
        <v>0</v>
      </c>
      <c r="O346" s="60">
        <v>0</v>
      </c>
      <c r="P346" s="60">
        <v>0</v>
      </c>
      <c r="Q346" s="60">
        <v>0</v>
      </c>
      <c r="R346" s="60">
        <v>0</v>
      </c>
      <c r="S346" s="60">
        <v>0</v>
      </c>
      <c r="T346" s="60">
        <v>0</v>
      </c>
      <c r="U346" s="60">
        <v>0</v>
      </c>
      <c r="V346" s="60">
        <v>0</v>
      </c>
      <c r="W346" s="60">
        <v>0</v>
      </c>
      <c r="X346" s="60">
        <v>0</v>
      </c>
      <c r="Y346" s="60">
        <v>0</v>
      </c>
      <c r="Z346" s="60">
        <v>0</v>
      </c>
      <c r="AA346" s="60">
        <v>0</v>
      </c>
      <c r="AB346" s="60">
        <v>0</v>
      </c>
      <c r="AC346" s="60">
        <v>0</v>
      </c>
      <c r="AD346" s="60">
        <v>0</v>
      </c>
      <c r="AE346" s="60">
        <v>0</v>
      </c>
      <c r="AF346" s="60">
        <v>0</v>
      </c>
      <c r="AG346" s="60">
        <v>0</v>
      </c>
      <c r="AH346" s="60">
        <v>0</v>
      </c>
      <c r="AI346" s="60">
        <v>0</v>
      </c>
      <c r="AJ346" s="60">
        <v>0</v>
      </c>
      <c r="AK346" s="60">
        <v>0</v>
      </c>
      <c r="AL346" s="60">
        <v>0</v>
      </c>
      <c r="AM346" s="60">
        <v>0</v>
      </c>
    </row>
    <row r="347" spans="1:39" ht="15.75" hidden="1" outlineLevel="1" thickBot="1">
      <c r="A347" s="59" t="s">
        <v>86</v>
      </c>
      <c r="B347" s="60">
        <v>0</v>
      </c>
      <c r="C347" s="60">
        <v>0</v>
      </c>
      <c r="D347" s="60">
        <v>0</v>
      </c>
      <c r="E347" s="60">
        <v>0</v>
      </c>
      <c r="F347" s="60">
        <v>0</v>
      </c>
      <c r="G347" s="60">
        <v>0</v>
      </c>
      <c r="H347" s="60">
        <v>0</v>
      </c>
      <c r="I347" s="60">
        <v>0</v>
      </c>
      <c r="J347" s="60">
        <v>0</v>
      </c>
      <c r="K347" s="60">
        <v>0</v>
      </c>
      <c r="L347" s="60">
        <v>0</v>
      </c>
      <c r="M347" s="60">
        <v>0</v>
      </c>
      <c r="N347" s="60">
        <v>0</v>
      </c>
      <c r="O347" s="60">
        <v>0</v>
      </c>
      <c r="P347" s="60">
        <v>0</v>
      </c>
      <c r="Q347" s="60">
        <v>0</v>
      </c>
      <c r="R347" s="60">
        <v>0</v>
      </c>
      <c r="S347" s="60">
        <v>0</v>
      </c>
      <c r="T347" s="60">
        <v>0</v>
      </c>
      <c r="U347" s="60">
        <v>0</v>
      </c>
      <c r="V347" s="60">
        <v>0</v>
      </c>
      <c r="W347" s="60">
        <v>0</v>
      </c>
      <c r="X347" s="60">
        <v>0</v>
      </c>
      <c r="Y347" s="60">
        <v>0</v>
      </c>
      <c r="Z347" s="60">
        <v>0</v>
      </c>
      <c r="AA347" s="60">
        <v>0</v>
      </c>
      <c r="AB347" s="60">
        <v>0</v>
      </c>
      <c r="AC347" s="60">
        <v>0</v>
      </c>
      <c r="AD347" s="60">
        <v>0</v>
      </c>
      <c r="AE347" s="60">
        <v>0</v>
      </c>
      <c r="AF347" s="60">
        <v>0</v>
      </c>
      <c r="AG347" s="60">
        <v>0</v>
      </c>
      <c r="AH347" s="60">
        <v>0</v>
      </c>
      <c r="AI347" s="60">
        <v>0</v>
      </c>
      <c r="AJ347" s="60">
        <v>0</v>
      </c>
      <c r="AK347" s="60">
        <v>0</v>
      </c>
      <c r="AL347" s="60">
        <v>0</v>
      </c>
      <c r="AM347" s="60">
        <v>0</v>
      </c>
    </row>
    <row r="348" spans="1:39" ht="15.75" hidden="1" outlineLevel="1" thickBot="1">
      <c r="A348" s="59" t="s">
        <v>87</v>
      </c>
      <c r="B348" s="60">
        <v>0</v>
      </c>
      <c r="C348" s="60">
        <v>0</v>
      </c>
      <c r="D348" s="60">
        <v>0</v>
      </c>
      <c r="E348" s="60">
        <v>0</v>
      </c>
      <c r="F348" s="60">
        <v>0</v>
      </c>
      <c r="G348" s="60">
        <v>0</v>
      </c>
      <c r="H348" s="60">
        <v>0</v>
      </c>
      <c r="I348" s="60">
        <v>0</v>
      </c>
      <c r="J348" s="60">
        <v>0</v>
      </c>
      <c r="K348" s="60">
        <v>0</v>
      </c>
      <c r="L348" s="60">
        <v>0</v>
      </c>
      <c r="M348" s="60">
        <v>0</v>
      </c>
      <c r="N348" s="60">
        <v>0</v>
      </c>
      <c r="O348" s="60">
        <v>0</v>
      </c>
      <c r="P348" s="60">
        <v>0</v>
      </c>
      <c r="Q348" s="60">
        <v>0</v>
      </c>
      <c r="R348" s="60">
        <v>0</v>
      </c>
      <c r="S348" s="60">
        <v>0</v>
      </c>
      <c r="T348" s="60">
        <v>0</v>
      </c>
      <c r="U348" s="60">
        <v>0</v>
      </c>
      <c r="V348" s="60">
        <v>0</v>
      </c>
      <c r="W348" s="60">
        <v>0</v>
      </c>
      <c r="X348" s="60">
        <v>0</v>
      </c>
      <c r="Y348" s="60">
        <v>0</v>
      </c>
      <c r="Z348" s="60">
        <v>0</v>
      </c>
      <c r="AA348" s="60">
        <v>0</v>
      </c>
      <c r="AB348" s="60">
        <v>0</v>
      </c>
      <c r="AC348" s="60">
        <v>0</v>
      </c>
      <c r="AD348" s="60">
        <v>0</v>
      </c>
      <c r="AE348" s="60">
        <v>0</v>
      </c>
      <c r="AF348" s="60">
        <v>0</v>
      </c>
      <c r="AG348" s="60">
        <v>0</v>
      </c>
      <c r="AH348" s="60">
        <v>0</v>
      </c>
      <c r="AI348" s="60">
        <v>0</v>
      </c>
      <c r="AJ348" s="60">
        <v>0</v>
      </c>
      <c r="AK348" s="60">
        <v>0</v>
      </c>
      <c r="AL348" s="60">
        <v>0</v>
      </c>
      <c r="AM348" s="60">
        <v>0</v>
      </c>
    </row>
    <row r="349" spans="1:39" ht="15.75" hidden="1" outlineLevel="1" thickBot="1">
      <c r="A349" s="59" t="s">
        <v>88</v>
      </c>
      <c r="B349" s="60">
        <v>0</v>
      </c>
      <c r="C349" s="60">
        <v>0</v>
      </c>
      <c r="D349" s="60">
        <v>0</v>
      </c>
      <c r="E349" s="60">
        <v>0</v>
      </c>
      <c r="F349" s="60">
        <v>0</v>
      </c>
      <c r="G349" s="60">
        <v>0</v>
      </c>
      <c r="H349" s="60">
        <v>0</v>
      </c>
      <c r="I349" s="60">
        <v>0</v>
      </c>
      <c r="J349" s="60">
        <v>0</v>
      </c>
      <c r="K349" s="60">
        <v>0</v>
      </c>
      <c r="L349" s="60">
        <v>0</v>
      </c>
      <c r="M349" s="60">
        <v>0</v>
      </c>
      <c r="N349" s="60">
        <v>0</v>
      </c>
      <c r="O349" s="60">
        <v>0</v>
      </c>
      <c r="P349" s="60">
        <v>0</v>
      </c>
      <c r="Q349" s="60">
        <v>0</v>
      </c>
      <c r="R349" s="60">
        <v>0</v>
      </c>
      <c r="S349" s="60">
        <v>0</v>
      </c>
      <c r="T349" s="60">
        <v>0</v>
      </c>
      <c r="U349" s="60">
        <v>0</v>
      </c>
      <c r="V349" s="60">
        <v>0</v>
      </c>
      <c r="W349" s="60">
        <v>0</v>
      </c>
      <c r="X349" s="60">
        <v>0</v>
      </c>
      <c r="Y349" s="60">
        <v>0</v>
      </c>
      <c r="Z349" s="60">
        <v>0</v>
      </c>
      <c r="AA349" s="60">
        <v>0</v>
      </c>
      <c r="AB349" s="60">
        <v>0</v>
      </c>
      <c r="AC349" s="60">
        <v>0</v>
      </c>
      <c r="AD349" s="60">
        <v>0</v>
      </c>
      <c r="AE349" s="60">
        <v>0</v>
      </c>
      <c r="AF349" s="60">
        <v>0</v>
      </c>
      <c r="AG349" s="60">
        <v>0</v>
      </c>
      <c r="AH349" s="60">
        <v>0</v>
      </c>
      <c r="AI349" s="60">
        <v>0</v>
      </c>
      <c r="AJ349" s="60">
        <v>0</v>
      </c>
      <c r="AK349" s="60">
        <v>0</v>
      </c>
      <c r="AL349" s="60">
        <v>0</v>
      </c>
      <c r="AM349" s="60">
        <v>0</v>
      </c>
    </row>
    <row r="350" spans="1:39" ht="15.75" hidden="1" outlineLevel="1" thickBot="1">
      <c r="A350" s="59" t="s">
        <v>89</v>
      </c>
      <c r="B350" s="60">
        <v>0</v>
      </c>
      <c r="C350" s="60">
        <v>0</v>
      </c>
      <c r="D350" s="60">
        <v>0</v>
      </c>
      <c r="E350" s="60">
        <v>0</v>
      </c>
      <c r="F350" s="60">
        <v>0</v>
      </c>
      <c r="G350" s="60">
        <v>0</v>
      </c>
      <c r="H350" s="60">
        <v>0</v>
      </c>
      <c r="I350" s="60">
        <v>0</v>
      </c>
      <c r="J350" s="60">
        <v>0</v>
      </c>
      <c r="K350" s="60">
        <v>0</v>
      </c>
      <c r="L350" s="60">
        <v>0</v>
      </c>
      <c r="M350" s="60">
        <v>0</v>
      </c>
      <c r="N350" s="60">
        <v>0</v>
      </c>
      <c r="O350" s="60">
        <v>0</v>
      </c>
      <c r="P350" s="60">
        <v>0</v>
      </c>
      <c r="Q350" s="60">
        <v>0</v>
      </c>
      <c r="R350" s="60">
        <v>0</v>
      </c>
      <c r="S350" s="60">
        <v>0</v>
      </c>
      <c r="T350" s="60">
        <v>0</v>
      </c>
      <c r="U350" s="60">
        <v>0</v>
      </c>
      <c r="V350" s="60">
        <v>0</v>
      </c>
      <c r="W350" s="60">
        <v>0</v>
      </c>
      <c r="X350" s="60">
        <v>0</v>
      </c>
      <c r="Y350" s="60">
        <v>0</v>
      </c>
      <c r="Z350" s="60">
        <v>0</v>
      </c>
      <c r="AA350" s="60">
        <v>0</v>
      </c>
      <c r="AB350" s="60">
        <v>0</v>
      </c>
      <c r="AC350" s="60">
        <v>0</v>
      </c>
      <c r="AD350" s="60">
        <v>0</v>
      </c>
      <c r="AE350" s="60">
        <v>0</v>
      </c>
      <c r="AF350" s="60">
        <v>0</v>
      </c>
      <c r="AG350" s="60">
        <v>0</v>
      </c>
      <c r="AH350" s="60">
        <v>0</v>
      </c>
      <c r="AI350" s="60">
        <v>0</v>
      </c>
      <c r="AJ350" s="60">
        <v>0</v>
      </c>
      <c r="AK350" s="60">
        <v>0</v>
      </c>
      <c r="AL350" s="60">
        <v>0</v>
      </c>
      <c r="AM350" s="60">
        <v>0</v>
      </c>
    </row>
    <row r="351" spans="1:39" ht="15.75" hidden="1" outlineLevel="1" thickBot="1">
      <c r="A351" s="59" t="s">
        <v>90</v>
      </c>
      <c r="B351" s="60">
        <v>0</v>
      </c>
      <c r="C351" s="60">
        <v>0</v>
      </c>
      <c r="D351" s="60">
        <v>0</v>
      </c>
      <c r="E351" s="60">
        <v>0</v>
      </c>
      <c r="F351" s="60">
        <v>0</v>
      </c>
      <c r="G351" s="60">
        <v>0</v>
      </c>
      <c r="H351" s="60">
        <v>0</v>
      </c>
      <c r="I351" s="60">
        <v>0</v>
      </c>
      <c r="J351" s="60">
        <v>0</v>
      </c>
      <c r="K351" s="60">
        <v>0</v>
      </c>
      <c r="L351" s="60">
        <v>0</v>
      </c>
      <c r="M351" s="60">
        <v>0</v>
      </c>
      <c r="N351" s="60">
        <v>0</v>
      </c>
      <c r="O351" s="60">
        <v>0</v>
      </c>
      <c r="P351" s="60">
        <v>0</v>
      </c>
      <c r="Q351" s="60">
        <v>0</v>
      </c>
      <c r="R351" s="60">
        <v>0</v>
      </c>
      <c r="S351" s="60">
        <v>0</v>
      </c>
      <c r="T351" s="60">
        <v>0</v>
      </c>
      <c r="U351" s="60">
        <v>0</v>
      </c>
      <c r="V351" s="60">
        <v>0</v>
      </c>
      <c r="W351" s="60">
        <v>0</v>
      </c>
      <c r="X351" s="60">
        <v>0</v>
      </c>
      <c r="Y351" s="60">
        <v>0</v>
      </c>
      <c r="Z351" s="60">
        <v>0</v>
      </c>
      <c r="AA351" s="60">
        <v>0</v>
      </c>
      <c r="AB351" s="60">
        <v>0</v>
      </c>
      <c r="AC351" s="60">
        <v>0</v>
      </c>
      <c r="AD351" s="60">
        <v>0</v>
      </c>
      <c r="AE351" s="60">
        <v>0</v>
      </c>
      <c r="AF351" s="60">
        <v>0</v>
      </c>
      <c r="AG351" s="60">
        <v>0</v>
      </c>
      <c r="AH351" s="60">
        <v>0</v>
      </c>
      <c r="AI351" s="60">
        <v>0</v>
      </c>
      <c r="AJ351" s="60">
        <v>0</v>
      </c>
      <c r="AK351" s="60">
        <v>0</v>
      </c>
      <c r="AL351" s="60">
        <v>0</v>
      </c>
      <c r="AM351" s="60">
        <v>0</v>
      </c>
    </row>
    <row r="352" spans="1:39" ht="15.75" hidden="1" outlineLevel="1" thickBot="1">
      <c r="A352" s="59" t="s">
        <v>91</v>
      </c>
      <c r="B352" s="60">
        <v>0</v>
      </c>
      <c r="C352" s="60">
        <v>0</v>
      </c>
      <c r="D352" s="60">
        <v>0</v>
      </c>
      <c r="E352" s="60">
        <v>0</v>
      </c>
      <c r="F352" s="60">
        <v>0</v>
      </c>
      <c r="G352" s="60">
        <v>0</v>
      </c>
      <c r="H352" s="60">
        <v>0</v>
      </c>
      <c r="I352" s="60">
        <v>0</v>
      </c>
      <c r="J352" s="60">
        <v>0</v>
      </c>
      <c r="K352" s="60">
        <v>0</v>
      </c>
      <c r="L352" s="60">
        <v>0</v>
      </c>
      <c r="M352" s="60">
        <v>0</v>
      </c>
      <c r="N352" s="60">
        <v>0</v>
      </c>
      <c r="O352" s="60">
        <v>0</v>
      </c>
      <c r="P352" s="60">
        <v>0</v>
      </c>
      <c r="Q352" s="60">
        <v>0</v>
      </c>
      <c r="R352" s="60">
        <v>0</v>
      </c>
      <c r="S352" s="60">
        <v>0</v>
      </c>
      <c r="T352" s="60">
        <v>0</v>
      </c>
      <c r="U352" s="60">
        <v>0</v>
      </c>
      <c r="V352" s="60">
        <v>0</v>
      </c>
      <c r="W352" s="60">
        <v>0</v>
      </c>
      <c r="X352" s="60">
        <v>0</v>
      </c>
      <c r="Y352" s="60">
        <v>0</v>
      </c>
      <c r="Z352" s="60">
        <v>0</v>
      </c>
      <c r="AA352" s="60">
        <v>0</v>
      </c>
      <c r="AB352" s="60">
        <v>0</v>
      </c>
      <c r="AC352" s="60">
        <v>0</v>
      </c>
      <c r="AD352" s="60">
        <v>0</v>
      </c>
      <c r="AE352" s="60">
        <v>0</v>
      </c>
      <c r="AF352" s="60">
        <v>0</v>
      </c>
      <c r="AG352" s="60">
        <v>0</v>
      </c>
      <c r="AH352" s="60">
        <v>0</v>
      </c>
      <c r="AI352" s="60">
        <v>0</v>
      </c>
      <c r="AJ352" s="60">
        <v>0</v>
      </c>
      <c r="AK352" s="60">
        <v>0</v>
      </c>
      <c r="AL352" s="60">
        <v>0</v>
      </c>
      <c r="AM352" s="60">
        <v>0</v>
      </c>
    </row>
    <row r="353" spans="1:39" ht="15.75" hidden="1" outlineLevel="1" thickBot="1">
      <c r="A353" s="59" t="s">
        <v>92</v>
      </c>
      <c r="B353" s="60">
        <v>0</v>
      </c>
      <c r="C353" s="60">
        <v>0</v>
      </c>
      <c r="D353" s="60">
        <v>0</v>
      </c>
      <c r="E353" s="60">
        <v>0</v>
      </c>
      <c r="F353" s="60">
        <v>0</v>
      </c>
      <c r="G353" s="60">
        <v>0</v>
      </c>
      <c r="H353" s="60">
        <v>0</v>
      </c>
      <c r="I353" s="60">
        <v>0</v>
      </c>
      <c r="J353" s="60">
        <v>0</v>
      </c>
      <c r="K353" s="60">
        <v>0</v>
      </c>
      <c r="L353" s="60">
        <v>0</v>
      </c>
      <c r="M353" s="60">
        <v>0</v>
      </c>
      <c r="N353" s="60">
        <v>0</v>
      </c>
      <c r="O353" s="60">
        <v>0</v>
      </c>
      <c r="P353" s="60">
        <v>0</v>
      </c>
      <c r="Q353" s="60">
        <v>0</v>
      </c>
      <c r="R353" s="60">
        <v>0</v>
      </c>
      <c r="S353" s="60">
        <v>0</v>
      </c>
      <c r="T353" s="60">
        <v>0</v>
      </c>
      <c r="U353" s="60">
        <v>0</v>
      </c>
      <c r="V353" s="60">
        <v>0</v>
      </c>
      <c r="W353" s="60">
        <v>0</v>
      </c>
      <c r="X353" s="60">
        <v>0</v>
      </c>
      <c r="Y353" s="60">
        <v>0</v>
      </c>
      <c r="Z353" s="60">
        <v>0</v>
      </c>
      <c r="AA353" s="60">
        <v>0</v>
      </c>
      <c r="AB353" s="60">
        <v>0</v>
      </c>
      <c r="AC353" s="60">
        <v>0</v>
      </c>
      <c r="AD353" s="60">
        <v>0</v>
      </c>
      <c r="AE353" s="60">
        <v>0</v>
      </c>
      <c r="AF353" s="60">
        <v>0</v>
      </c>
      <c r="AG353" s="60">
        <v>0</v>
      </c>
      <c r="AH353" s="60">
        <v>0</v>
      </c>
      <c r="AI353" s="60">
        <v>0</v>
      </c>
      <c r="AJ353" s="60">
        <v>0</v>
      </c>
      <c r="AK353" s="60">
        <v>0</v>
      </c>
      <c r="AL353" s="60">
        <v>0</v>
      </c>
      <c r="AM353" s="60">
        <v>0</v>
      </c>
    </row>
    <row r="354" spans="1:39" ht="15.75" hidden="1" outlineLevel="1" thickBot="1">
      <c r="A354" s="59" t="s">
        <v>93</v>
      </c>
      <c r="B354" s="60">
        <v>0</v>
      </c>
      <c r="C354" s="60">
        <v>0</v>
      </c>
      <c r="D354" s="60">
        <v>0</v>
      </c>
      <c r="E354" s="60">
        <v>0</v>
      </c>
      <c r="F354" s="60">
        <v>0</v>
      </c>
      <c r="G354" s="60">
        <v>0</v>
      </c>
      <c r="H354" s="60">
        <v>0</v>
      </c>
      <c r="I354" s="60">
        <v>0</v>
      </c>
      <c r="J354" s="60">
        <v>0</v>
      </c>
      <c r="K354" s="60">
        <v>0</v>
      </c>
      <c r="L354" s="60">
        <v>0</v>
      </c>
      <c r="M354" s="60">
        <v>0</v>
      </c>
      <c r="N354" s="60">
        <v>0</v>
      </c>
      <c r="O354" s="60">
        <v>0</v>
      </c>
      <c r="P354" s="60">
        <v>0</v>
      </c>
      <c r="Q354" s="60">
        <v>0</v>
      </c>
      <c r="R354" s="60">
        <v>0</v>
      </c>
      <c r="S354" s="60">
        <v>0</v>
      </c>
      <c r="T354" s="60">
        <v>0</v>
      </c>
      <c r="U354" s="60">
        <v>0</v>
      </c>
      <c r="V354" s="60">
        <v>0</v>
      </c>
      <c r="W354" s="60">
        <v>0</v>
      </c>
      <c r="X354" s="60">
        <v>0</v>
      </c>
      <c r="Y354" s="60">
        <v>0</v>
      </c>
      <c r="Z354" s="60">
        <v>0</v>
      </c>
      <c r="AA354" s="60">
        <v>0</v>
      </c>
      <c r="AB354" s="60">
        <v>0</v>
      </c>
      <c r="AC354" s="60">
        <v>0</v>
      </c>
      <c r="AD354" s="60">
        <v>0</v>
      </c>
      <c r="AE354" s="60">
        <v>0</v>
      </c>
      <c r="AF354" s="60">
        <v>0</v>
      </c>
      <c r="AG354" s="60">
        <v>0</v>
      </c>
      <c r="AH354" s="60">
        <v>0</v>
      </c>
      <c r="AI354" s="60">
        <v>0</v>
      </c>
      <c r="AJ354" s="60">
        <v>0</v>
      </c>
      <c r="AK354" s="60">
        <v>0</v>
      </c>
      <c r="AL354" s="60">
        <v>0</v>
      </c>
      <c r="AM354" s="60">
        <v>0</v>
      </c>
    </row>
    <row r="355" spans="1:39" ht="15.75" hidden="1" outlineLevel="1" thickBot="1">
      <c r="A355" s="59" t="s">
        <v>94</v>
      </c>
      <c r="B355" s="60">
        <v>0</v>
      </c>
      <c r="C355" s="60">
        <v>0</v>
      </c>
      <c r="D355" s="60">
        <v>0</v>
      </c>
      <c r="E355" s="60">
        <v>0</v>
      </c>
      <c r="F355" s="60">
        <v>0</v>
      </c>
      <c r="G355" s="60">
        <v>0</v>
      </c>
      <c r="H355" s="60">
        <v>0</v>
      </c>
      <c r="I355" s="60">
        <v>0</v>
      </c>
      <c r="J355" s="60">
        <v>0</v>
      </c>
      <c r="K355" s="60">
        <v>0</v>
      </c>
      <c r="L355" s="60">
        <v>0</v>
      </c>
      <c r="M355" s="60">
        <v>0</v>
      </c>
      <c r="N355" s="60">
        <v>0</v>
      </c>
      <c r="O355" s="60">
        <v>0</v>
      </c>
      <c r="P355" s="60">
        <v>0</v>
      </c>
      <c r="Q355" s="60">
        <v>0</v>
      </c>
      <c r="R355" s="60">
        <v>0</v>
      </c>
      <c r="S355" s="60">
        <v>0</v>
      </c>
      <c r="T355" s="60">
        <v>0</v>
      </c>
      <c r="U355" s="60">
        <v>0</v>
      </c>
      <c r="V355" s="60">
        <v>0</v>
      </c>
      <c r="W355" s="60">
        <v>0</v>
      </c>
      <c r="X355" s="60">
        <v>0</v>
      </c>
      <c r="Y355" s="60">
        <v>0</v>
      </c>
      <c r="Z355" s="60">
        <v>0</v>
      </c>
      <c r="AA355" s="60">
        <v>0</v>
      </c>
      <c r="AB355" s="60">
        <v>0</v>
      </c>
      <c r="AC355" s="60">
        <v>0</v>
      </c>
      <c r="AD355" s="60">
        <v>0</v>
      </c>
      <c r="AE355" s="60">
        <v>0</v>
      </c>
      <c r="AF355" s="60">
        <v>0</v>
      </c>
      <c r="AG355" s="60">
        <v>0</v>
      </c>
      <c r="AH355" s="60">
        <v>0</v>
      </c>
      <c r="AI355" s="60">
        <v>0</v>
      </c>
      <c r="AJ355" s="60">
        <v>0</v>
      </c>
      <c r="AK355" s="60">
        <v>0</v>
      </c>
      <c r="AL355" s="60">
        <v>0</v>
      </c>
      <c r="AM355" s="60">
        <v>0</v>
      </c>
    </row>
    <row r="356" spans="1:39" ht="15.75" hidden="1" outlineLevel="1" thickBot="1">
      <c r="A356" s="59" t="s">
        <v>95</v>
      </c>
      <c r="B356" s="60">
        <v>0</v>
      </c>
      <c r="C356" s="60">
        <v>0</v>
      </c>
      <c r="D356" s="60">
        <v>0</v>
      </c>
      <c r="E356" s="60">
        <v>0</v>
      </c>
      <c r="F356" s="60">
        <v>0</v>
      </c>
      <c r="G356" s="60">
        <v>0</v>
      </c>
      <c r="H356" s="60">
        <v>0</v>
      </c>
      <c r="I356" s="60">
        <v>0</v>
      </c>
      <c r="J356" s="60">
        <v>0</v>
      </c>
      <c r="K356" s="60">
        <v>0</v>
      </c>
      <c r="L356" s="60">
        <v>0</v>
      </c>
      <c r="M356" s="60">
        <v>0</v>
      </c>
      <c r="N356" s="60">
        <v>0</v>
      </c>
      <c r="O356" s="60">
        <v>0</v>
      </c>
      <c r="P356" s="60">
        <v>0</v>
      </c>
      <c r="Q356" s="60">
        <v>0</v>
      </c>
      <c r="R356" s="60">
        <v>0</v>
      </c>
      <c r="S356" s="60">
        <v>0</v>
      </c>
      <c r="T356" s="60">
        <v>0</v>
      </c>
      <c r="U356" s="60">
        <v>0</v>
      </c>
      <c r="V356" s="60">
        <v>0</v>
      </c>
      <c r="W356" s="60">
        <v>0</v>
      </c>
      <c r="X356" s="60">
        <v>0</v>
      </c>
      <c r="Y356" s="60">
        <v>0</v>
      </c>
      <c r="Z356" s="60">
        <v>0</v>
      </c>
      <c r="AA356" s="60">
        <v>0</v>
      </c>
      <c r="AB356" s="60">
        <v>0</v>
      </c>
      <c r="AC356" s="60">
        <v>0</v>
      </c>
      <c r="AD356" s="60">
        <v>0</v>
      </c>
      <c r="AE356" s="60">
        <v>0</v>
      </c>
      <c r="AF356" s="60">
        <v>0</v>
      </c>
      <c r="AG356" s="60">
        <v>0</v>
      </c>
      <c r="AH356" s="60">
        <v>0</v>
      </c>
      <c r="AI356" s="60">
        <v>0</v>
      </c>
      <c r="AJ356" s="60">
        <v>0</v>
      </c>
      <c r="AK356" s="60">
        <v>0</v>
      </c>
      <c r="AL356" s="60">
        <v>0</v>
      </c>
      <c r="AM356" s="60">
        <v>0</v>
      </c>
    </row>
    <row r="357" spans="1:39" ht="15.75" hidden="1" outlineLevel="1" thickBot="1">
      <c r="A357" s="59" t="s">
        <v>96</v>
      </c>
      <c r="B357" s="60">
        <v>0</v>
      </c>
      <c r="C357" s="60">
        <v>0</v>
      </c>
      <c r="D357" s="60">
        <v>0</v>
      </c>
      <c r="E357" s="60">
        <v>0</v>
      </c>
      <c r="F357" s="60">
        <v>0</v>
      </c>
      <c r="G357" s="60">
        <v>0</v>
      </c>
      <c r="H357" s="60">
        <v>0</v>
      </c>
      <c r="I357" s="60">
        <v>0</v>
      </c>
      <c r="J357" s="60">
        <v>0</v>
      </c>
      <c r="K357" s="60">
        <v>0</v>
      </c>
      <c r="L357" s="60">
        <v>0</v>
      </c>
      <c r="M357" s="60">
        <v>0</v>
      </c>
      <c r="N357" s="60">
        <v>0</v>
      </c>
      <c r="O357" s="60">
        <v>0</v>
      </c>
      <c r="P357" s="60">
        <v>0</v>
      </c>
      <c r="Q357" s="60">
        <v>0</v>
      </c>
      <c r="R357" s="60">
        <v>0</v>
      </c>
      <c r="S357" s="60">
        <v>0</v>
      </c>
      <c r="T357" s="60">
        <v>0</v>
      </c>
      <c r="U357" s="60">
        <v>0</v>
      </c>
      <c r="V357" s="60">
        <v>0</v>
      </c>
      <c r="W357" s="60">
        <v>0</v>
      </c>
      <c r="X357" s="60">
        <v>0</v>
      </c>
      <c r="Y357" s="60">
        <v>0</v>
      </c>
      <c r="Z357" s="60">
        <v>0</v>
      </c>
      <c r="AA357" s="60">
        <v>0</v>
      </c>
      <c r="AB357" s="60">
        <v>0</v>
      </c>
      <c r="AC357" s="60">
        <v>0</v>
      </c>
      <c r="AD357" s="60">
        <v>0</v>
      </c>
      <c r="AE357" s="60">
        <v>0</v>
      </c>
      <c r="AF357" s="60">
        <v>0</v>
      </c>
      <c r="AG357" s="60">
        <v>0</v>
      </c>
      <c r="AH357" s="60">
        <v>0</v>
      </c>
      <c r="AI357" s="60">
        <v>0</v>
      </c>
      <c r="AJ357" s="60">
        <v>0</v>
      </c>
      <c r="AK357" s="60">
        <v>0</v>
      </c>
      <c r="AL357" s="60">
        <v>0</v>
      </c>
      <c r="AM357" s="60">
        <v>0</v>
      </c>
    </row>
    <row r="358" spans="1:39" ht="15.75" hidden="1" outlineLevel="1" thickBot="1">
      <c r="A358" s="59" t="s">
        <v>97</v>
      </c>
      <c r="B358" s="60">
        <v>0</v>
      </c>
      <c r="C358" s="60">
        <v>0</v>
      </c>
      <c r="D358" s="60">
        <v>0</v>
      </c>
      <c r="E358" s="60">
        <v>0</v>
      </c>
      <c r="F358" s="60">
        <v>0</v>
      </c>
      <c r="G358" s="60">
        <v>0</v>
      </c>
      <c r="H358" s="60">
        <v>0</v>
      </c>
      <c r="I358" s="60">
        <v>0</v>
      </c>
      <c r="J358" s="60">
        <v>0</v>
      </c>
      <c r="K358" s="60">
        <v>0</v>
      </c>
      <c r="L358" s="60">
        <v>0</v>
      </c>
      <c r="M358" s="60">
        <v>0</v>
      </c>
      <c r="N358" s="60">
        <v>0</v>
      </c>
      <c r="O358" s="60">
        <v>0</v>
      </c>
      <c r="P358" s="60">
        <v>0</v>
      </c>
      <c r="Q358" s="60">
        <v>0</v>
      </c>
      <c r="R358" s="60">
        <v>0</v>
      </c>
      <c r="S358" s="60">
        <v>0</v>
      </c>
      <c r="T358" s="60">
        <v>0</v>
      </c>
      <c r="U358" s="60">
        <v>0</v>
      </c>
      <c r="V358" s="60">
        <v>0</v>
      </c>
      <c r="W358" s="60">
        <v>0</v>
      </c>
      <c r="X358" s="60">
        <v>0</v>
      </c>
      <c r="Y358" s="60">
        <v>0</v>
      </c>
      <c r="Z358" s="60">
        <v>0</v>
      </c>
      <c r="AA358" s="60">
        <v>0</v>
      </c>
      <c r="AB358" s="60">
        <v>0</v>
      </c>
      <c r="AC358" s="60">
        <v>0</v>
      </c>
      <c r="AD358" s="60">
        <v>0</v>
      </c>
      <c r="AE358" s="60">
        <v>0</v>
      </c>
      <c r="AF358" s="60">
        <v>0</v>
      </c>
      <c r="AG358" s="60">
        <v>0</v>
      </c>
      <c r="AH358" s="60">
        <v>0</v>
      </c>
      <c r="AI358" s="60">
        <v>0</v>
      </c>
      <c r="AJ358" s="60">
        <v>0</v>
      </c>
      <c r="AK358" s="60">
        <v>0</v>
      </c>
      <c r="AL358" s="60">
        <v>0</v>
      </c>
      <c r="AM358" s="60">
        <v>0</v>
      </c>
    </row>
    <row r="359" spans="1:39" ht="15.75" hidden="1" outlineLevel="1" thickBot="1">
      <c r="A359" s="59" t="s">
        <v>98</v>
      </c>
      <c r="B359" s="60">
        <v>0</v>
      </c>
      <c r="C359" s="60">
        <v>0</v>
      </c>
      <c r="D359" s="60">
        <v>0</v>
      </c>
      <c r="E359" s="60">
        <v>0</v>
      </c>
      <c r="F359" s="60">
        <v>0</v>
      </c>
      <c r="G359" s="60">
        <v>0</v>
      </c>
      <c r="H359" s="60">
        <v>0</v>
      </c>
      <c r="I359" s="60">
        <v>0</v>
      </c>
      <c r="J359" s="60">
        <v>0</v>
      </c>
      <c r="K359" s="60">
        <v>0</v>
      </c>
      <c r="L359" s="60">
        <v>0</v>
      </c>
      <c r="M359" s="60">
        <v>0</v>
      </c>
      <c r="N359" s="60">
        <v>0</v>
      </c>
      <c r="O359" s="60">
        <v>0</v>
      </c>
      <c r="P359" s="60">
        <v>0</v>
      </c>
      <c r="Q359" s="60">
        <v>0</v>
      </c>
      <c r="R359" s="60">
        <v>0</v>
      </c>
      <c r="S359" s="60">
        <v>0</v>
      </c>
      <c r="T359" s="60">
        <v>0</v>
      </c>
      <c r="U359" s="60">
        <v>0</v>
      </c>
      <c r="V359" s="60">
        <v>0</v>
      </c>
      <c r="W359" s="60">
        <v>0</v>
      </c>
      <c r="X359" s="60">
        <v>0</v>
      </c>
      <c r="Y359" s="60">
        <v>0</v>
      </c>
      <c r="Z359" s="60">
        <v>0</v>
      </c>
      <c r="AA359" s="60">
        <v>0</v>
      </c>
      <c r="AB359" s="60">
        <v>0</v>
      </c>
      <c r="AC359" s="60">
        <v>0</v>
      </c>
      <c r="AD359" s="60">
        <v>0</v>
      </c>
      <c r="AE359" s="60">
        <v>0</v>
      </c>
      <c r="AF359" s="60">
        <v>0</v>
      </c>
      <c r="AG359" s="60">
        <v>0</v>
      </c>
      <c r="AH359" s="60">
        <v>0</v>
      </c>
      <c r="AI359" s="60">
        <v>0</v>
      </c>
      <c r="AJ359" s="60">
        <v>0</v>
      </c>
      <c r="AK359" s="60">
        <v>0</v>
      </c>
      <c r="AL359" s="60">
        <v>0</v>
      </c>
      <c r="AM359" s="60">
        <v>0</v>
      </c>
    </row>
    <row r="360" spans="1:39" ht="15.75" hidden="1" outlineLevel="1" thickBot="1">
      <c r="A360" s="59" t="s">
        <v>99</v>
      </c>
      <c r="B360" s="60">
        <v>0</v>
      </c>
      <c r="C360" s="60">
        <v>0</v>
      </c>
      <c r="D360" s="60">
        <v>0</v>
      </c>
      <c r="E360" s="60">
        <v>0</v>
      </c>
      <c r="F360" s="60">
        <v>0</v>
      </c>
      <c r="G360" s="60">
        <v>0</v>
      </c>
      <c r="H360" s="60">
        <v>0</v>
      </c>
      <c r="I360" s="60">
        <v>0</v>
      </c>
      <c r="J360" s="60">
        <v>0</v>
      </c>
      <c r="K360" s="60">
        <v>0</v>
      </c>
      <c r="L360" s="60">
        <v>0</v>
      </c>
      <c r="M360" s="60">
        <v>0</v>
      </c>
      <c r="N360" s="60">
        <v>0</v>
      </c>
      <c r="O360" s="60">
        <v>0</v>
      </c>
      <c r="P360" s="60">
        <v>0</v>
      </c>
      <c r="Q360" s="60">
        <v>0</v>
      </c>
      <c r="R360" s="60">
        <v>0</v>
      </c>
      <c r="S360" s="60">
        <v>0</v>
      </c>
      <c r="T360" s="60">
        <v>0</v>
      </c>
      <c r="U360" s="60">
        <v>0</v>
      </c>
      <c r="V360" s="60">
        <v>0</v>
      </c>
      <c r="W360" s="60">
        <v>0</v>
      </c>
      <c r="X360" s="60">
        <v>0</v>
      </c>
      <c r="Y360" s="60">
        <v>0</v>
      </c>
      <c r="Z360" s="60">
        <v>0</v>
      </c>
      <c r="AA360" s="60">
        <v>0</v>
      </c>
      <c r="AB360" s="60">
        <v>0</v>
      </c>
      <c r="AC360" s="60">
        <v>0</v>
      </c>
      <c r="AD360" s="60">
        <v>0</v>
      </c>
      <c r="AE360" s="60">
        <v>0</v>
      </c>
      <c r="AF360" s="60">
        <v>0</v>
      </c>
      <c r="AG360" s="60">
        <v>0</v>
      </c>
      <c r="AH360" s="60">
        <v>0</v>
      </c>
      <c r="AI360" s="60">
        <v>0</v>
      </c>
      <c r="AJ360" s="60">
        <v>0</v>
      </c>
      <c r="AK360" s="60">
        <v>0</v>
      </c>
      <c r="AL360" s="60">
        <v>0</v>
      </c>
      <c r="AM360" s="60">
        <v>0</v>
      </c>
    </row>
    <row r="361" spans="1:39" ht="15.75" hidden="1" outlineLevel="1" thickBot="1">
      <c r="A361" s="59" t="s">
        <v>100</v>
      </c>
      <c r="B361" s="60">
        <v>0</v>
      </c>
      <c r="C361" s="60">
        <v>0</v>
      </c>
      <c r="D361" s="60">
        <v>0</v>
      </c>
      <c r="E361" s="60">
        <v>0</v>
      </c>
      <c r="F361" s="60">
        <v>0</v>
      </c>
      <c r="G361" s="60">
        <v>0</v>
      </c>
      <c r="H361" s="60">
        <v>0</v>
      </c>
      <c r="I361" s="60">
        <v>0</v>
      </c>
      <c r="J361" s="60">
        <v>0</v>
      </c>
      <c r="K361" s="60">
        <v>0</v>
      </c>
      <c r="L361" s="60">
        <v>0</v>
      </c>
      <c r="M361" s="60">
        <v>0</v>
      </c>
      <c r="N361" s="60">
        <v>0</v>
      </c>
      <c r="O361" s="60">
        <v>0</v>
      </c>
      <c r="P361" s="60">
        <v>0</v>
      </c>
      <c r="Q361" s="60">
        <v>0</v>
      </c>
      <c r="R361" s="60">
        <v>0</v>
      </c>
      <c r="S361" s="60">
        <v>0</v>
      </c>
      <c r="T361" s="60">
        <v>0</v>
      </c>
      <c r="U361" s="60">
        <v>0</v>
      </c>
      <c r="V361" s="60">
        <v>0</v>
      </c>
      <c r="W361" s="60">
        <v>0</v>
      </c>
      <c r="X361" s="60">
        <v>0</v>
      </c>
      <c r="Y361" s="60">
        <v>0</v>
      </c>
      <c r="Z361" s="60">
        <v>0</v>
      </c>
      <c r="AA361" s="60">
        <v>0</v>
      </c>
      <c r="AB361" s="60">
        <v>0</v>
      </c>
      <c r="AC361" s="60">
        <v>0</v>
      </c>
      <c r="AD361" s="60">
        <v>0</v>
      </c>
      <c r="AE361" s="60">
        <v>0</v>
      </c>
      <c r="AF361" s="60">
        <v>0</v>
      </c>
      <c r="AG361" s="60">
        <v>0</v>
      </c>
      <c r="AH361" s="60">
        <v>0</v>
      </c>
      <c r="AI361" s="60">
        <v>0</v>
      </c>
      <c r="AJ361" s="60">
        <v>0</v>
      </c>
      <c r="AK361" s="60">
        <v>0</v>
      </c>
      <c r="AL361" s="60">
        <v>0</v>
      </c>
      <c r="AM361" s="60">
        <v>0</v>
      </c>
    </row>
    <row r="362" spans="1:39" ht="15.75" hidden="1" outlineLevel="1" thickBot="1">
      <c r="A362" s="59" t="s">
        <v>101</v>
      </c>
      <c r="B362" s="60">
        <v>0</v>
      </c>
      <c r="C362" s="60">
        <v>0</v>
      </c>
      <c r="D362" s="60">
        <v>0</v>
      </c>
      <c r="E362" s="60">
        <v>0</v>
      </c>
      <c r="F362" s="60">
        <v>0</v>
      </c>
      <c r="G362" s="60">
        <v>0</v>
      </c>
      <c r="H362" s="60">
        <v>0</v>
      </c>
      <c r="I362" s="60">
        <v>0</v>
      </c>
      <c r="J362" s="60">
        <v>0</v>
      </c>
      <c r="K362" s="60">
        <v>0</v>
      </c>
      <c r="L362" s="60">
        <v>0</v>
      </c>
      <c r="M362" s="60">
        <v>0</v>
      </c>
      <c r="N362" s="60">
        <v>0</v>
      </c>
      <c r="O362" s="60">
        <v>0</v>
      </c>
      <c r="P362" s="60">
        <v>0</v>
      </c>
      <c r="Q362" s="60">
        <v>0</v>
      </c>
      <c r="R362" s="60">
        <v>0</v>
      </c>
      <c r="S362" s="60">
        <v>0</v>
      </c>
      <c r="T362" s="60">
        <v>0</v>
      </c>
      <c r="U362" s="60">
        <v>0</v>
      </c>
      <c r="V362" s="60">
        <v>0</v>
      </c>
      <c r="W362" s="60">
        <v>0</v>
      </c>
      <c r="X362" s="60">
        <v>0</v>
      </c>
      <c r="Y362" s="60">
        <v>0</v>
      </c>
      <c r="Z362" s="60">
        <v>0</v>
      </c>
      <c r="AA362" s="60">
        <v>0</v>
      </c>
      <c r="AB362" s="60">
        <v>0</v>
      </c>
      <c r="AC362" s="60">
        <v>0</v>
      </c>
      <c r="AD362" s="60">
        <v>0</v>
      </c>
      <c r="AE362" s="60">
        <v>0</v>
      </c>
      <c r="AF362" s="60">
        <v>0</v>
      </c>
      <c r="AG362" s="60">
        <v>0</v>
      </c>
      <c r="AH362" s="60">
        <v>0</v>
      </c>
      <c r="AI362" s="60">
        <v>0</v>
      </c>
      <c r="AJ362" s="60">
        <v>0</v>
      </c>
      <c r="AK362" s="60">
        <v>0</v>
      </c>
      <c r="AL362" s="60">
        <v>0</v>
      </c>
      <c r="AM362" s="60">
        <v>0</v>
      </c>
    </row>
    <row r="363" spans="1:39" ht="15.75" hidden="1" outlineLevel="1" thickBot="1">
      <c r="A363" s="59" t="s">
        <v>102</v>
      </c>
      <c r="B363" s="60">
        <v>0</v>
      </c>
      <c r="C363" s="60">
        <v>0</v>
      </c>
      <c r="D363" s="60">
        <v>0</v>
      </c>
      <c r="E363" s="60">
        <v>0</v>
      </c>
      <c r="F363" s="60">
        <v>0</v>
      </c>
      <c r="G363" s="60">
        <v>0</v>
      </c>
      <c r="H363" s="60">
        <v>0</v>
      </c>
      <c r="I363" s="60">
        <v>0</v>
      </c>
      <c r="J363" s="60">
        <v>0</v>
      </c>
      <c r="K363" s="60">
        <v>0</v>
      </c>
      <c r="L363" s="60">
        <v>0</v>
      </c>
      <c r="M363" s="60">
        <v>0</v>
      </c>
      <c r="N363" s="60">
        <v>0</v>
      </c>
      <c r="O363" s="60">
        <v>0</v>
      </c>
      <c r="P363" s="60">
        <v>0</v>
      </c>
      <c r="Q363" s="60">
        <v>0</v>
      </c>
      <c r="R363" s="60">
        <v>0</v>
      </c>
      <c r="S363" s="60">
        <v>0</v>
      </c>
      <c r="T363" s="60">
        <v>0</v>
      </c>
      <c r="U363" s="60">
        <v>0</v>
      </c>
      <c r="V363" s="60">
        <v>0</v>
      </c>
      <c r="W363" s="60">
        <v>0</v>
      </c>
      <c r="X363" s="60">
        <v>0</v>
      </c>
      <c r="Y363" s="60">
        <v>0</v>
      </c>
      <c r="Z363" s="60">
        <v>0</v>
      </c>
      <c r="AA363" s="60">
        <v>0</v>
      </c>
      <c r="AB363" s="60">
        <v>0</v>
      </c>
      <c r="AC363" s="60">
        <v>0</v>
      </c>
      <c r="AD363" s="60">
        <v>0</v>
      </c>
      <c r="AE363" s="60">
        <v>0</v>
      </c>
      <c r="AF363" s="60">
        <v>0</v>
      </c>
      <c r="AG363" s="60">
        <v>0</v>
      </c>
      <c r="AH363" s="60">
        <v>0</v>
      </c>
      <c r="AI363" s="60">
        <v>0</v>
      </c>
      <c r="AJ363" s="60">
        <v>0</v>
      </c>
      <c r="AK363" s="60">
        <v>0</v>
      </c>
      <c r="AL363" s="60">
        <v>0</v>
      </c>
      <c r="AM363" s="60">
        <v>0</v>
      </c>
    </row>
    <row r="364" spans="1:39" ht="15.75" hidden="1" outlineLevel="1" thickBot="1">
      <c r="A364" s="59" t="s">
        <v>103</v>
      </c>
      <c r="B364" s="60">
        <v>0</v>
      </c>
      <c r="C364" s="60">
        <v>0</v>
      </c>
      <c r="D364" s="60">
        <v>0</v>
      </c>
      <c r="E364" s="60">
        <v>0</v>
      </c>
      <c r="F364" s="60">
        <v>0</v>
      </c>
      <c r="G364" s="60">
        <v>0</v>
      </c>
      <c r="H364" s="60">
        <v>0</v>
      </c>
      <c r="I364" s="60">
        <v>0</v>
      </c>
      <c r="J364" s="60">
        <v>0</v>
      </c>
      <c r="K364" s="60">
        <v>0</v>
      </c>
      <c r="L364" s="60">
        <v>0</v>
      </c>
      <c r="M364" s="60">
        <v>0</v>
      </c>
      <c r="N364" s="60">
        <v>0</v>
      </c>
      <c r="O364" s="60">
        <v>0</v>
      </c>
      <c r="P364" s="60">
        <v>0</v>
      </c>
      <c r="Q364" s="60">
        <v>0</v>
      </c>
      <c r="R364" s="60">
        <v>0</v>
      </c>
      <c r="S364" s="60">
        <v>0</v>
      </c>
      <c r="T364" s="60">
        <v>0</v>
      </c>
      <c r="U364" s="60">
        <v>0</v>
      </c>
      <c r="V364" s="60">
        <v>0</v>
      </c>
      <c r="W364" s="60">
        <v>0</v>
      </c>
      <c r="X364" s="60">
        <v>0</v>
      </c>
      <c r="Y364" s="60">
        <v>0</v>
      </c>
      <c r="Z364" s="60">
        <v>0</v>
      </c>
      <c r="AA364" s="60">
        <v>0</v>
      </c>
      <c r="AB364" s="60">
        <v>0</v>
      </c>
      <c r="AC364" s="60">
        <v>0</v>
      </c>
      <c r="AD364" s="60">
        <v>0</v>
      </c>
      <c r="AE364" s="60">
        <v>0</v>
      </c>
      <c r="AF364" s="60">
        <v>0</v>
      </c>
      <c r="AG364" s="60">
        <v>0</v>
      </c>
      <c r="AH364" s="60">
        <v>0</v>
      </c>
      <c r="AI364" s="60">
        <v>0</v>
      </c>
      <c r="AJ364" s="60">
        <v>0</v>
      </c>
      <c r="AK364" s="60">
        <v>0</v>
      </c>
      <c r="AL364" s="60">
        <v>0</v>
      </c>
      <c r="AM364" s="60">
        <v>0</v>
      </c>
    </row>
    <row r="365" spans="1:39" ht="15.75" hidden="1" outlineLevel="1" thickBot="1">
      <c r="A365" s="59" t="s">
        <v>44</v>
      </c>
      <c r="B365" s="60">
        <v>0</v>
      </c>
      <c r="C365" s="60">
        <v>0</v>
      </c>
      <c r="D365" s="60">
        <v>0</v>
      </c>
      <c r="E365" s="60">
        <v>0</v>
      </c>
      <c r="F365" s="60">
        <v>0</v>
      </c>
      <c r="G365" s="60">
        <v>0</v>
      </c>
      <c r="H365" s="60">
        <v>0</v>
      </c>
      <c r="I365" s="60">
        <v>0</v>
      </c>
      <c r="J365" s="60">
        <v>0</v>
      </c>
      <c r="K365" s="60">
        <v>0</v>
      </c>
      <c r="L365" s="60">
        <v>0</v>
      </c>
      <c r="M365" s="60">
        <v>0</v>
      </c>
      <c r="N365" s="60">
        <v>0</v>
      </c>
      <c r="O365" s="60">
        <v>0</v>
      </c>
      <c r="P365" s="60">
        <v>0</v>
      </c>
      <c r="Q365" s="60">
        <v>0</v>
      </c>
      <c r="R365" s="60">
        <v>0</v>
      </c>
      <c r="S365" s="60">
        <v>0</v>
      </c>
      <c r="T365" s="60">
        <v>0</v>
      </c>
      <c r="U365" s="60">
        <v>0</v>
      </c>
      <c r="V365" s="60">
        <v>0</v>
      </c>
      <c r="W365" s="60">
        <v>0</v>
      </c>
      <c r="X365" s="60">
        <v>0</v>
      </c>
      <c r="Y365" s="60">
        <v>0</v>
      </c>
      <c r="Z365" s="60">
        <v>0</v>
      </c>
      <c r="AA365" s="60">
        <v>0</v>
      </c>
      <c r="AB365" s="60">
        <v>0</v>
      </c>
      <c r="AC365" s="60">
        <v>0</v>
      </c>
      <c r="AD365" s="60">
        <v>0</v>
      </c>
      <c r="AE365" s="60">
        <v>0</v>
      </c>
      <c r="AF365" s="60">
        <v>0</v>
      </c>
      <c r="AG365" s="60">
        <v>0</v>
      </c>
      <c r="AH365" s="60">
        <v>0</v>
      </c>
      <c r="AI365" s="60">
        <v>0</v>
      </c>
      <c r="AJ365" s="60">
        <v>0</v>
      </c>
      <c r="AK365" s="60">
        <v>0</v>
      </c>
      <c r="AL365" s="60">
        <v>0</v>
      </c>
      <c r="AM365" s="60">
        <v>0</v>
      </c>
    </row>
    <row r="366" spans="1:39" ht="15.75" hidden="1" outlineLevel="1" thickBot="1">
      <c r="A366" s="59" t="s">
        <v>45</v>
      </c>
      <c r="B366" s="60">
        <v>10.96</v>
      </c>
      <c r="C366" s="60">
        <v>10.039999999999999</v>
      </c>
      <c r="D366" s="60">
        <v>11.96</v>
      </c>
      <c r="E366" s="60">
        <v>11.95</v>
      </c>
      <c r="F366" s="60">
        <v>11.19</v>
      </c>
      <c r="G366" s="60">
        <v>11.59</v>
      </c>
      <c r="H366" s="60">
        <v>13.38</v>
      </c>
      <c r="I366" s="60">
        <v>11.14</v>
      </c>
      <c r="J366" s="60">
        <v>12.32</v>
      </c>
      <c r="K366" s="60">
        <v>12.35</v>
      </c>
      <c r="L366" s="60">
        <v>12.31</v>
      </c>
      <c r="M366" s="60">
        <v>12.28</v>
      </c>
      <c r="N366" s="60">
        <v>12.24</v>
      </c>
      <c r="O366" s="60">
        <v>12.21</v>
      </c>
      <c r="P366" s="60">
        <v>12.17</v>
      </c>
      <c r="Q366" s="60">
        <v>12.14</v>
      </c>
      <c r="R366" s="60">
        <v>12.1</v>
      </c>
      <c r="S366" s="60">
        <v>12.07</v>
      </c>
      <c r="T366" s="60">
        <v>12.03</v>
      </c>
      <c r="U366" s="60">
        <v>11.99</v>
      </c>
      <c r="V366" s="60">
        <v>11.96</v>
      </c>
      <c r="W366" s="60">
        <v>11.92</v>
      </c>
      <c r="X366" s="60">
        <v>11.89</v>
      </c>
      <c r="Y366" s="60">
        <v>11.85</v>
      </c>
      <c r="Z366" s="60">
        <v>11.82</v>
      </c>
      <c r="AA366" s="60">
        <v>11.78</v>
      </c>
      <c r="AB366" s="60">
        <v>11.75</v>
      </c>
      <c r="AC366" s="60">
        <v>11.71</v>
      </c>
      <c r="AD366" s="60">
        <v>11.68</v>
      </c>
      <c r="AE366" s="60">
        <v>11.64</v>
      </c>
      <c r="AF366" s="60">
        <v>11.61</v>
      </c>
      <c r="AG366" s="60">
        <v>11.57</v>
      </c>
      <c r="AH366" s="60">
        <v>11.53</v>
      </c>
      <c r="AI366" s="60">
        <v>11.5</v>
      </c>
      <c r="AJ366" s="60">
        <v>11.46</v>
      </c>
      <c r="AK366" s="60">
        <v>11.43</v>
      </c>
      <c r="AL366" s="60">
        <v>11.39</v>
      </c>
      <c r="AM366" s="60">
        <v>11.36</v>
      </c>
    </row>
    <row r="367" spans="1:39" ht="15.75" hidden="1" outlineLevel="1" thickBot="1">
      <c r="A367" s="59" t="s">
        <v>104</v>
      </c>
      <c r="B367" s="60">
        <v>0</v>
      </c>
      <c r="C367" s="60">
        <v>0</v>
      </c>
      <c r="D367" s="60">
        <v>0</v>
      </c>
      <c r="E367" s="60">
        <v>0</v>
      </c>
      <c r="F367" s="60">
        <v>0</v>
      </c>
      <c r="G367" s="60">
        <v>0</v>
      </c>
      <c r="H367" s="60">
        <v>0</v>
      </c>
      <c r="I367" s="60">
        <v>0</v>
      </c>
      <c r="J367" s="60">
        <v>0</v>
      </c>
      <c r="K367" s="60">
        <v>0</v>
      </c>
      <c r="L367" s="60">
        <v>0</v>
      </c>
      <c r="M367" s="60">
        <v>0</v>
      </c>
      <c r="N367" s="60">
        <v>0</v>
      </c>
      <c r="O367" s="60">
        <v>0</v>
      </c>
      <c r="P367" s="60">
        <v>0</v>
      </c>
      <c r="Q367" s="60">
        <v>0</v>
      </c>
      <c r="R367" s="60">
        <v>0</v>
      </c>
      <c r="S367" s="60">
        <v>0</v>
      </c>
      <c r="T367" s="60">
        <v>0</v>
      </c>
      <c r="U367" s="60">
        <v>0</v>
      </c>
      <c r="V367" s="60">
        <v>0</v>
      </c>
      <c r="W367" s="60">
        <v>0</v>
      </c>
      <c r="X367" s="60">
        <v>0</v>
      </c>
      <c r="Y367" s="60">
        <v>0</v>
      </c>
      <c r="Z367" s="60">
        <v>0</v>
      </c>
      <c r="AA367" s="60">
        <v>0</v>
      </c>
      <c r="AB367" s="60">
        <v>0</v>
      </c>
      <c r="AC367" s="60">
        <v>0</v>
      </c>
      <c r="AD367" s="60">
        <v>0</v>
      </c>
      <c r="AE367" s="60">
        <v>0</v>
      </c>
      <c r="AF367" s="60">
        <v>0</v>
      </c>
      <c r="AG367" s="60">
        <v>0</v>
      </c>
      <c r="AH367" s="60">
        <v>0</v>
      </c>
      <c r="AI367" s="60">
        <v>0</v>
      </c>
      <c r="AJ367" s="60">
        <v>0</v>
      </c>
      <c r="AK367" s="60">
        <v>0</v>
      </c>
      <c r="AL367" s="60">
        <v>0</v>
      </c>
      <c r="AM367" s="60">
        <v>0</v>
      </c>
    </row>
    <row r="368" spans="1:39" ht="15.75" hidden="1" outlineLevel="1" thickBot="1">
      <c r="A368" s="59" t="s">
        <v>105</v>
      </c>
      <c r="B368" s="60">
        <v>0</v>
      </c>
      <c r="C368" s="60">
        <v>0</v>
      </c>
      <c r="D368" s="60">
        <v>0</v>
      </c>
      <c r="E368" s="60">
        <v>0</v>
      </c>
      <c r="F368" s="60">
        <v>0</v>
      </c>
      <c r="G368" s="60">
        <v>0</v>
      </c>
      <c r="H368" s="60">
        <v>0</v>
      </c>
      <c r="I368" s="60">
        <v>0</v>
      </c>
      <c r="J368" s="60">
        <v>0</v>
      </c>
      <c r="K368" s="60">
        <v>0</v>
      </c>
      <c r="L368" s="60">
        <v>0</v>
      </c>
      <c r="M368" s="60">
        <v>0</v>
      </c>
      <c r="N368" s="60">
        <v>0</v>
      </c>
      <c r="O368" s="60">
        <v>0</v>
      </c>
      <c r="P368" s="60">
        <v>0</v>
      </c>
      <c r="Q368" s="60">
        <v>0</v>
      </c>
      <c r="R368" s="60">
        <v>0</v>
      </c>
      <c r="S368" s="60">
        <v>0</v>
      </c>
      <c r="T368" s="60">
        <v>0</v>
      </c>
      <c r="U368" s="60">
        <v>0</v>
      </c>
      <c r="V368" s="60">
        <v>0</v>
      </c>
      <c r="W368" s="60">
        <v>0</v>
      </c>
      <c r="X368" s="60">
        <v>0</v>
      </c>
      <c r="Y368" s="60">
        <v>0</v>
      </c>
      <c r="Z368" s="60">
        <v>0</v>
      </c>
      <c r="AA368" s="60">
        <v>0</v>
      </c>
      <c r="AB368" s="60">
        <v>0</v>
      </c>
      <c r="AC368" s="60">
        <v>0</v>
      </c>
      <c r="AD368" s="60">
        <v>0</v>
      </c>
      <c r="AE368" s="60">
        <v>0</v>
      </c>
      <c r="AF368" s="60">
        <v>0</v>
      </c>
      <c r="AG368" s="60">
        <v>0</v>
      </c>
      <c r="AH368" s="60">
        <v>0</v>
      </c>
      <c r="AI368" s="60">
        <v>0</v>
      </c>
      <c r="AJ368" s="60">
        <v>0</v>
      </c>
      <c r="AK368" s="60">
        <v>0</v>
      </c>
      <c r="AL368" s="60">
        <v>0</v>
      </c>
      <c r="AM368" s="60">
        <v>0</v>
      </c>
    </row>
    <row r="369" spans="1:39" ht="15.75" hidden="1" outlineLevel="1" thickBot="1">
      <c r="A369" s="59" t="s">
        <v>106</v>
      </c>
      <c r="B369" s="60">
        <v>0</v>
      </c>
      <c r="C369" s="60">
        <v>0</v>
      </c>
      <c r="D369" s="60">
        <v>0</v>
      </c>
      <c r="E369" s="60">
        <v>0</v>
      </c>
      <c r="F369" s="60">
        <v>0</v>
      </c>
      <c r="G369" s="60">
        <v>0</v>
      </c>
      <c r="H369" s="60">
        <v>0</v>
      </c>
      <c r="I369" s="60">
        <v>0</v>
      </c>
      <c r="J369" s="60">
        <v>0</v>
      </c>
      <c r="K369" s="60">
        <v>0</v>
      </c>
      <c r="L369" s="60">
        <v>0</v>
      </c>
      <c r="M369" s="60">
        <v>0</v>
      </c>
      <c r="N369" s="60">
        <v>0</v>
      </c>
      <c r="O369" s="60">
        <v>0</v>
      </c>
      <c r="P369" s="60">
        <v>0</v>
      </c>
      <c r="Q369" s="60">
        <v>0</v>
      </c>
      <c r="R369" s="60">
        <v>0</v>
      </c>
      <c r="S369" s="60">
        <v>0</v>
      </c>
      <c r="T369" s="60">
        <v>0</v>
      </c>
      <c r="U369" s="60">
        <v>0</v>
      </c>
      <c r="V369" s="60">
        <v>0</v>
      </c>
      <c r="W369" s="60">
        <v>0</v>
      </c>
      <c r="X369" s="60">
        <v>0</v>
      </c>
      <c r="Y369" s="60">
        <v>0</v>
      </c>
      <c r="Z369" s="60">
        <v>0</v>
      </c>
      <c r="AA369" s="60">
        <v>0</v>
      </c>
      <c r="AB369" s="60">
        <v>0</v>
      </c>
      <c r="AC369" s="60">
        <v>0</v>
      </c>
      <c r="AD369" s="60">
        <v>0</v>
      </c>
      <c r="AE369" s="60">
        <v>0</v>
      </c>
      <c r="AF369" s="60">
        <v>0</v>
      </c>
      <c r="AG369" s="60">
        <v>0</v>
      </c>
      <c r="AH369" s="60">
        <v>0</v>
      </c>
      <c r="AI369" s="60">
        <v>0</v>
      </c>
      <c r="AJ369" s="60">
        <v>0</v>
      </c>
      <c r="AK369" s="60">
        <v>0</v>
      </c>
      <c r="AL369" s="60">
        <v>0</v>
      </c>
      <c r="AM369" s="60">
        <v>0</v>
      </c>
    </row>
    <row r="370" spans="1:39" ht="15.75" hidden="1" outlineLevel="1" thickBot="1">
      <c r="A370" s="59" t="s">
        <v>46</v>
      </c>
      <c r="B370" s="60">
        <v>1.77</v>
      </c>
      <c r="C370" s="60">
        <v>1.84</v>
      </c>
      <c r="D370" s="60">
        <v>1.87</v>
      </c>
      <c r="E370" s="60">
        <v>2</v>
      </c>
      <c r="F370" s="60">
        <v>2</v>
      </c>
      <c r="G370" s="60">
        <v>2.0299999999999998</v>
      </c>
      <c r="H370" s="60">
        <v>2.06</v>
      </c>
      <c r="I370" s="60">
        <v>2.1</v>
      </c>
      <c r="J370" s="60">
        <v>2.0499999999999998</v>
      </c>
      <c r="K370" s="60">
        <v>2.4</v>
      </c>
      <c r="L370" s="60">
        <v>2.63</v>
      </c>
      <c r="M370" s="60">
        <v>2.85</v>
      </c>
      <c r="N370" s="60">
        <v>3.08</v>
      </c>
      <c r="O370" s="60">
        <v>3.31</v>
      </c>
      <c r="P370" s="60">
        <v>3.54</v>
      </c>
      <c r="Q370" s="60">
        <v>3.77</v>
      </c>
      <c r="R370" s="60">
        <v>4</v>
      </c>
      <c r="S370" s="60">
        <v>4.22</v>
      </c>
      <c r="T370" s="60">
        <v>4.45</v>
      </c>
      <c r="U370" s="60">
        <v>4.68</v>
      </c>
      <c r="V370" s="60">
        <v>4.91</v>
      </c>
      <c r="W370" s="60">
        <v>5.14</v>
      </c>
      <c r="X370" s="60">
        <v>5.37</v>
      </c>
      <c r="Y370" s="60">
        <v>5.59</v>
      </c>
      <c r="Z370" s="60">
        <v>5.82</v>
      </c>
      <c r="AA370" s="60">
        <v>6.05</v>
      </c>
      <c r="AB370" s="60">
        <v>6.28</v>
      </c>
      <c r="AC370" s="60">
        <v>6.51</v>
      </c>
      <c r="AD370" s="60">
        <v>6.74</v>
      </c>
      <c r="AE370" s="60">
        <v>6.96</v>
      </c>
      <c r="AF370" s="60">
        <v>7.19</v>
      </c>
      <c r="AG370" s="60">
        <v>7.42</v>
      </c>
      <c r="AH370" s="60">
        <v>7.65</v>
      </c>
      <c r="AI370" s="60">
        <v>7.88</v>
      </c>
      <c r="AJ370" s="60">
        <v>8.11</v>
      </c>
      <c r="AK370" s="60">
        <v>8.34</v>
      </c>
      <c r="AL370" s="60">
        <v>8.56</v>
      </c>
      <c r="AM370" s="60">
        <v>8.7899999999999991</v>
      </c>
    </row>
    <row r="371" spans="1:39" ht="15.75" hidden="1" outlineLevel="1" thickBot="1">
      <c r="A371" s="59" t="s">
        <v>107</v>
      </c>
      <c r="B371" s="60">
        <v>0</v>
      </c>
      <c r="C371" s="60">
        <v>0</v>
      </c>
      <c r="D371" s="60">
        <v>0</v>
      </c>
      <c r="E371" s="60">
        <v>0</v>
      </c>
      <c r="F371" s="60">
        <v>0</v>
      </c>
      <c r="G371" s="60">
        <v>0</v>
      </c>
      <c r="H371" s="60">
        <v>0</v>
      </c>
      <c r="I371" s="60">
        <v>0</v>
      </c>
      <c r="J371" s="60">
        <v>0</v>
      </c>
      <c r="K371" s="60">
        <v>0</v>
      </c>
      <c r="L371" s="60">
        <v>0</v>
      </c>
      <c r="M371" s="60">
        <v>0</v>
      </c>
      <c r="N371" s="60">
        <v>0</v>
      </c>
      <c r="O371" s="60">
        <v>0</v>
      </c>
      <c r="P371" s="60">
        <v>0</v>
      </c>
      <c r="Q371" s="60">
        <v>0</v>
      </c>
      <c r="R371" s="60">
        <v>0</v>
      </c>
      <c r="S371" s="60">
        <v>0</v>
      </c>
      <c r="T371" s="60">
        <v>0</v>
      </c>
      <c r="U371" s="60">
        <v>0</v>
      </c>
      <c r="V371" s="60">
        <v>0</v>
      </c>
      <c r="W371" s="60">
        <v>0</v>
      </c>
      <c r="X371" s="60">
        <v>0</v>
      </c>
      <c r="Y371" s="60">
        <v>0</v>
      </c>
      <c r="Z371" s="60">
        <v>0</v>
      </c>
      <c r="AA371" s="60">
        <v>0</v>
      </c>
      <c r="AB371" s="60">
        <v>0</v>
      </c>
      <c r="AC371" s="60">
        <v>0</v>
      </c>
      <c r="AD371" s="60">
        <v>0</v>
      </c>
      <c r="AE371" s="60">
        <v>0</v>
      </c>
      <c r="AF371" s="60">
        <v>0</v>
      </c>
      <c r="AG371" s="60">
        <v>0</v>
      </c>
      <c r="AH371" s="60">
        <v>0</v>
      </c>
      <c r="AI371" s="60">
        <v>0</v>
      </c>
      <c r="AJ371" s="60">
        <v>0</v>
      </c>
      <c r="AK371" s="60">
        <v>0</v>
      </c>
      <c r="AL371" s="60">
        <v>0</v>
      </c>
      <c r="AM371" s="60">
        <v>0</v>
      </c>
    </row>
    <row r="372" spans="1:39" ht="15.75" hidden="1" outlineLevel="1" thickBot="1">
      <c r="A372" s="61" t="s">
        <v>108</v>
      </c>
      <c r="B372" s="62">
        <v>0</v>
      </c>
      <c r="C372" s="62">
        <v>0</v>
      </c>
      <c r="D372" s="62">
        <v>0</v>
      </c>
      <c r="E372" s="62">
        <v>0</v>
      </c>
      <c r="F372" s="62">
        <v>0</v>
      </c>
      <c r="G372" s="62">
        <v>0</v>
      </c>
      <c r="H372" s="62">
        <v>0</v>
      </c>
      <c r="I372" s="62">
        <v>0</v>
      </c>
      <c r="J372" s="62">
        <v>0</v>
      </c>
      <c r="K372" s="62">
        <v>0</v>
      </c>
      <c r="L372" s="62">
        <v>0</v>
      </c>
      <c r="M372" s="62">
        <v>0</v>
      </c>
      <c r="N372" s="62">
        <v>0</v>
      </c>
      <c r="O372" s="62">
        <v>0</v>
      </c>
      <c r="P372" s="62">
        <v>0</v>
      </c>
      <c r="Q372" s="62">
        <v>0</v>
      </c>
      <c r="R372" s="62">
        <v>0</v>
      </c>
      <c r="S372" s="62">
        <v>0</v>
      </c>
      <c r="T372" s="62">
        <v>0</v>
      </c>
      <c r="U372" s="62">
        <v>0</v>
      </c>
      <c r="V372" s="62">
        <v>0</v>
      </c>
      <c r="W372" s="62">
        <v>0</v>
      </c>
      <c r="X372" s="62">
        <v>0</v>
      </c>
      <c r="Y372" s="62">
        <v>0</v>
      </c>
      <c r="Z372" s="62">
        <v>0</v>
      </c>
      <c r="AA372" s="62">
        <v>0</v>
      </c>
      <c r="AB372" s="62">
        <v>0</v>
      </c>
      <c r="AC372" s="62">
        <v>0</v>
      </c>
      <c r="AD372" s="62">
        <v>0</v>
      </c>
      <c r="AE372" s="62">
        <v>0</v>
      </c>
      <c r="AF372" s="62">
        <v>0</v>
      </c>
      <c r="AG372" s="62">
        <v>0</v>
      </c>
      <c r="AH372" s="62">
        <v>0</v>
      </c>
      <c r="AI372" s="62">
        <v>0</v>
      </c>
      <c r="AJ372" s="62">
        <v>0</v>
      </c>
      <c r="AK372" s="62">
        <v>0</v>
      </c>
      <c r="AL372" s="62">
        <v>0</v>
      </c>
      <c r="AM372" s="62">
        <v>0</v>
      </c>
    </row>
    <row r="373" spans="1:39" ht="48.75" collapsed="1" thickTop="1" thickBot="1">
      <c r="A373" s="65" t="s">
        <v>120</v>
      </c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</row>
    <row r="374" spans="1:39" ht="16.5" hidden="1" outlineLevel="1" thickTop="1" thickBot="1">
      <c r="A374" s="57" t="s">
        <v>41</v>
      </c>
      <c r="B374" s="58">
        <v>2013</v>
      </c>
      <c r="C374" s="58">
        <v>2014</v>
      </c>
      <c r="D374" s="58">
        <v>2015</v>
      </c>
      <c r="E374" s="58">
        <v>2016</v>
      </c>
      <c r="F374" s="58">
        <v>2017</v>
      </c>
      <c r="G374" s="58">
        <v>2018</v>
      </c>
      <c r="H374" s="58">
        <v>2019</v>
      </c>
      <c r="I374" s="58">
        <v>2020</v>
      </c>
      <c r="J374" s="58">
        <v>2021</v>
      </c>
      <c r="K374" s="58">
        <v>2022</v>
      </c>
      <c r="L374" s="58">
        <v>2023</v>
      </c>
      <c r="M374" s="58">
        <v>2024</v>
      </c>
      <c r="N374" s="58">
        <v>2025</v>
      </c>
      <c r="O374" s="58">
        <v>2026</v>
      </c>
      <c r="P374" s="58">
        <v>2027</v>
      </c>
      <c r="Q374" s="58">
        <v>2028</v>
      </c>
      <c r="R374" s="58">
        <v>2029</v>
      </c>
      <c r="S374" s="58">
        <v>2030</v>
      </c>
      <c r="T374" s="58">
        <v>2031</v>
      </c>
      <c r="U374" s="58">
        <v>2032</v>
      </c>
      <c r="V374" s="58">
        <v>2033</v>
      </c>
      <c r="W374" s="58">
        <v>2034</v>
      </c>
      <c r="X374" s="58">
        <v>2035</v>
      </c>
      <c r="Y374" s="58">
        <v>2036</v>
      </c>
      <c r="Z374" s="58">
        <v>2037</v>
      </c>
      <c r="AA374" s="58">
        <v>2038</v>
      </c>
      <c r="AB374" s="58">
        <v>2039</v>
      </c>
      <c r="AC374" s="58">
        <v>2040</v>
      </c>
      <c r="AD374" s="58">
        <v>2041</v>
      </c>
      <c r="AE374" s="58">
        <v>2042</v>
      </c>
      <c r="AF374" s="58">
        <v>2043</v>
      </c>
      <c r="AG374" s="58">
        <v>2044</v>
      </c>
      <c r="AH374" s="58">
        <v>2045</v>
      </c>
      <c r="AI374" s="58">
        <v>2046</v>
      </c>
      <c r="AJ374" s="58">
        <v>2047</v>
      </c>
      <c r="AK374" s="58">
        <v>2048</v>
      </c>
      <c r="AL374" s="58">
        <v>2049</v>
      </c>
      <c r="AM374" s="58">
        <v>2050</v>
      </c>
    </row>
    <row r="375" spans="1:39" ht="16.5" hidden="1" outlineLevel="1" thickTop="1" thickBot="1">
      <c r="A375" s="59" t="s">
        <v>83</v>
      </c>
      <c r="B375" s="60">
        <v>0</v>
      </c>
      <c r="C375" s="60">
        <v>0</v>
      </c>
      <c r="D375" s="60">
        <v>0</v>
      </c>
      <c r="E375" s="60">
        <v>0</v>
      </c>
      <c r="F375" s="60">
        <v>0</v>
      </c>
      <c r="G375" s="60">
        <v>0</v>
      </c>
      <c r="H375" s="60">
        <v>0</v>
      </c>
      <c r="I375" s="60">
        <v>0</v>
      </c>
      <c r="J375" s="60">
        <v>0</v>
      </c>
      <c r="K375" s="60">
        <v>0</v>
      </c>
      <c r="L375" s="60">
        <v>0</v>
      </c>
      <c r="M375" s="60">
        <v>0</v>
      </c>
      <c r="N375" s="60">
        <v>0</v>
      </c>
      <c r="O375" s="60">
        <v>0</v>
      </c>
      <c r="P375" s="60">
        <v>0</v>
      </c>
      <c r="Q375" s="60">
        <v>0</v>
      </c>
      <c r="R375" s="60">
        <v>0</v>
      </c>
      <c r="S375" s="60">
        <v>0</v>
      </c>
      <c r="T375" s="60">
        <v>0</v>
      </c>
      <c r="U375" s="60">
        <v>0</v>
      </c>
      <c r="V375" s="60">
        <v>0</v>
      </c>
      <c r="W375" s="60">
        <v>0</v>
      </c>
      <c r="X375" s="60">
        <v>0</v>
      </c>
      <c r="Y375" s="60">
        <v>0</v>
      </c>
      <c r="Z375" s="60">
        <v>0</v>
      </c>
      <c r="AA375" s="60">
        <v>0</v>
      </c>
      <c r="AB375" s="60">
        <v>0</v>
      </c>
      <c r="AC375" s="60">
        <v>0</v>
      </c>
      <c r="AD375" s="60">
        <v>0</v>
      </c>
      <c r="AE375" s="60">
        <v>0</v>
      </c>
      <c r="AF375" s="60">
        <v>0</v>
      </c>
      <c r="AG375" s="60">
        <v>0</v>
      </c>
      <c r="AH375" s="60">
        <v>0</v>
      </c>
      <c r="AI375" s="60">
        <v>0</v>
      </c>
      <c r="AJ375" s="60">
        <v>0</v>
      </c>
      <c r="AK375" s="60">
        <v>0</v>
      </c>
      <c r="AL375" s="60">
        <v>0</v>
      </c>
      <c r="AM375" s="60">
        <v>0</v>
      </c>
    </row>
    <row r="376" spans="1:39" ht="15.75" hidden="1" outlineLevel="1" thickBot="1">
      <c r="A376" s="59" t="s">
        <v>84</v>
      </c>
      <c r="B376" s="60">
        <v>0</v>
      </c>
      <c r="C376" s="60">
        <v>0</v>
      </c>
      <c r="D376" s="60">
        <v>0</v>
      </c>
      <c r="E376" s="60">
        <v>0</v>
      </c>
      <c r="F376" s="60">
        <v>0</v>
      </c>
      <c r="G376" s="60">
        <v>0</v>
      </c>
      <c r="H376" s="60">
        <v>0</v>
      </c>
      <c r="I376" s="60">
        <v>0</v>
      </c>
      <c r="J376" s="60">
        <v>0</v>
      </c>
      <c r="K376" s="60">
        <v>0</v>
      </c>
      <c r="L376" s="60">
        <v>0</v>
      </c>
      <c r="M376" s="60">
        <v>0</v>
      </c>
      <c r="N376" s="60">
        <v>0</v>
      </c>
      <c r="O376" s="60">
        <v>0</v>
      </c>
      <c r="P376" s="60">
        <v>0</v>
      </c>
      <c r="Q376" s="60">
        <v>0</v>
      </c>
      <c r="R376" s="60">
        <v>0</v>
      </c>
      <c r="S376" s="60">
        <v>0</v>
      </c>
      <c r="T376" s="60">
        <v>0</v>
      </c>
      <c r="U376" s="60">
        <v>0</v>
      </c>
      <c r="V376" s="60">
        <v>0</v>
      </c>
      <c r="W376" s="60">
        <v>0</v>
      </c>
      <c r="X376" s="60">
        <v>0</v>
      </c>
      <c r="Y376" s="60">
        <v>0</v>
      </c>
      <c r="Z376" s="60">
        <v>0</v>
      </c>
      <c r="AA376" s="60">
        <v>0</v>
      </c>
      <c r="AB376" s="60">
        <v>0</v>
      </c>
      <c r="AC376" s="60">
        <v>0</v>
      </c>
      <c r="AD376" s="60">
        <v>0</v>
      </c>
      <c r="AE376" s="60">
        <v>0</v>
      </c>
      <c r="AF376" s="60">
        <v>0</v>
      </c>
      <c r="AG376" s="60">
        <v>0</v>
      </c>
      <c r="AH376" s="60">
        <v>0</v>
      </c>
      <c r="AI376" s="60">
        <v>0</v>
      </c>
      <c r="AJ376" s="60">
        <v>0</v>
      </c>
      <c r="AK376" s="60">
        <v>0</v>
      </c>
      <c r="AL376" s="60">
        <v>0</v>
      </c>
      <c r="AM376" s="60">
        <v>0</v>
      </c>
    </row>
    <row r="377" spans="1:39" ht="15.75" hidden="1" outlineLevel="1" thickBot="1">
      <c r="A377" s="59" t="s">
        <v>85</v>
      </c>
      <c r="B377" s="60">
        <v>0</v>
      </c>
      <c r="C377" s="60">
        <v>0</v>
      </c>
      <c r="D377" s="60">
        <v>0</v>
      </c>
      <c r="E377" s="60">
        <v>0</v>
      </c>
      <c r="F377" s="60">
        <v>0</v>
      </c>
      <c r="G377" s="60">
        <v>0</v>
      </c>
      <c r="H377" s="60">
        <v>0</v>
      </c>
      <c r="I377" s="60">
        <v>0</v>
      </c>
      <c r="J377" s="60">
        <v>0</v>
      </c>
      <c r="K377" s="60">
        <v>0</v>
      </c>
      <c r="L377" s="60">
        <v>0</v>
      </c>
      <c r="M377" s="60">
        <v>0</v>
      </c>
      <c r="N377" s="60">
        <v>0</v>
      </c>
      <c r="O377" s="60">
        <v>0</v>
      </c>
      <c r="P377" s="60">
        <v>0</v>
      </c>
      <c r="Q377" s="60">
        <v>0</v>
      </c>
      <c r="R377" s="60">
        <v>0</v>
      </c>
      <c r="S377" s="60">
        <v>0</v>
      </c>
      <c r="T377" s="60">
        <v>0</v>
      </c>
      <c r="U377" s="60">
        <v>0</v>
      </c>
      <c r="V377" s="60">
        <v>0</v>
      </c>
      <c r="W377" s="60">
        <v>0</v>
      </c>
      <c r="X377" s="60">
        <v>0</v>
      </c>
      <c r="Y377" s="60">
        <v>0</v>
      </c>
      <c r="Z377" s="60">
        <v>0</v>
      </c>
      <c r="AA377" s="60">
        <v>0</v>
      </c>
      <c r="AB377" s="60">
        <v>0</v>
      </c>
      <c r="AC377" s="60">
        <v>0</v>
      </c>
      <c r="AD377" s="60">
        <v>0</v>
      </c>
      <c r="AE377" s="60">
        <v>0</v>
      </c>
      <c r="AF377" s="60">
        <v>0</v>
      </c>
      <c r="AG377" s="60">
        <v>0</v>
      </c>
      <c r="AH377" s="60">
        <v>0</v>
      </c>
      <c r="AI377" s="60">
        <v>0</v>
      </c>
      <c r="AJ377" s="60">
        <v>0</v>
      </c>
      <c r="AK377" s="60">
        <v>0</v>
      </c>
      <c r="AL377" s="60">
        <v>0</v>
      </c>
      <c r="AM377" s="60">
        <v>0</v>
      </c>
    </row>
    <row r="378" spans="1:39" ht="15.75" hidden="1" outlineLevel="1" thickBot="1">
      <c r="A378" s="59" t="s">
        <v>86</v>
      </c>
      <c r="B378" s="60">
        <v>0</v>
      </c>
      <c r="C378" s="60">
        <v>0</v>
      </c>
      <c r="D378" s="60">
        <v>0</v>
      </c>
      <c r="E378" s="60">
        <v>0</v>
      </c>
      <c r="F378" s="60">
        <v>0</v>
      </c>
      <c r="G378" s="60">
        <v>0</v>
      </c>
      <c r="H378" s="60">
        <v>0</v>
      </c>
      <c r="I378" s="60">
        <v>0</v>
      </c>
      <c r="J378" s="60">
        <v>0</v>
      </c>
      <c r="K378" s="60">
        <v>0</v>
      </c>
      <c r="L378" s="60">
        <v>0</v>
      </c>
      <c r="M378" s="60">
        <v>0</v>
      </c>
      <c r="N378" s="60">
        <v>0</v>
      </c>
      <c r="O378" s="60">
        <v>0</v>
      </c>
      <c r="P378" s="60">
        <v>0</v>
      </c>
      <c r="Q378" s="60">
        <v>0</v>
      </c>
      <c r="R378" s="60">
        <v>0</v>
      </c>
      <c r="S378" s="60">
        <v>0</v>
      </c>
      <c r="T378" s="60">
        <v>0</v>
      </c>
      <c r="U378" s="60">
        <v>0</v>
      </c>
      <c r="V378" s="60">
        <v>0</v>
      </c>
      <c r="W378" s="60">
        <v>0</v>
      </c>
      <c r="X378" s="60">
        <v>0</v>
      </c>
      <c r="Y378" s="60">
        <v>0</v>
      </c>
      <c r="Z378" s="60">
        <v>0</v>
      </c>
      <c r="AA378" s="60">
        <v>0</v>
      </c>
      <c r="AB378" s="60">
        <v>0</v>
      </c>
      <c r="AC378" s="60">
        <v>0</v>
      </c>
      <c r="AD378" s="60">
        <v>0</v>
      </c>
      <c r="AE378" s="60">
        <v>0</v>
      </c>
      <c r="AF378" s="60">
        <v>0</v>
      </c>
      <c r="AG378" s="60">
        <v>0</v>
      </c>
      <c r="AH378" s="60">
        <v>0</v>
      </c>
      <c r="AI378" s="60">
        <v>0</v>
      </c>
      <c r="AJ378" s="60">
        <v>0</v>
      </c>
      <c r="AK378" s="60">
        <v>0</v>
      </c>
      <c r="AL378" s="60">
        <v>0</v>
      </c>
      <c r="AM378" s="60">
        <v>0</v>
      </c>
    </row>
    <row r="379" spans="1:39" ht="15.75" hidden="1" outlineLevel="1" thickBot="1">
      <c r="A379" s="59" t="s">
        <v>87</v>
      </c>
      <c r="B379" s="60">
        <v>0</v>
      </c>
      <c r="C379" s="60">
        <v>0</v>
      </c>
      <c r="D379" s="60">
        <v>0</v>
      </c>
      <c r="E379" s="60">
        <v>0</v>
      </c>
      <c r="F379" s="60">
        <v>0</v>
      </c>
      <c r="G379" s="60">
        <v>0</v>
      </c>
      <c r="H379" s="60">
        <v>0</v>
      </c>
      <c r="I379" s="60">
        <v>0</v>
      </c>
      <c r="J379" s="60">
        <v>0</v>
      </c>
      <c r="K379" s="60">
        <v>0</v>
      </c>
      <c r="L379" s="60">
        <v>0</v>
      </c>
      <c r="M379" s="60">
        <v>0</v>
      </c>
      <c r="N379" s="60">
        <v>0</v>
      </c>
      <c r="O379" s="60">
        <v>0</v>
      </c>
      <c r="P379" s="60">
        <v>0</v>
      </c>
      <c r="Q379" s="60">
        <v>0</v>
      </c>
      <c r="R379" s="60">
        <v>0</v>
      </c>
      <c r="S379" s="60">
        <v>0</v>
      </c>
      <c r="T379" s="60">
        <v>0</v>
      </c>
      <c r="U379" s="60">
        <v>0</v>
      </c>
      <c r="V379" s="60">
        <v>0</v>
      </c>
      <c r="W379" s="60">
        <v>0</v>
      </c>
      <c r="X379" s="60">
        <v>0</v>
      </c>
      <c r="Y379" s="60">
        <v>0</v>
      </c>
      <c r="Z379" s="60">
        <v>0</v>
      </c>
      <c r="AA379" s="60">
        <v>0</v>
      </c>
      <c r="AB379" s="60">
        <v>0</v>
      </c>
      <c r="AC379" s="60">
        <v>0</v>
      </c>
      <c r="AD379" s="60">
        <v>0</v>
      </c>
      <c r="AE379" s="60">
        <v>0</v>
      </c>
      <c r="AF379" s="60">
        <v>0</v>
      </c>
      <c r="AG379" s="60">
        <v>0</v>
      </c>
      <c r="AH379" s="60">
        <v>0</v>
      </c>
      <c r="AI379" s="60">
        <v>0</v>
      </c>
      <c r="AJ379" s="60">
        <v>0</v>
      </c>
      <c r="AK379" s="60">
        <v>0</v>
      </c>
      <c r="AL379" s="60">
        <v>0</v>
      </c>
      <c r="AM379" s="60">
        <v>0</v>
      </c>
    </row>
    <row r="380" spans="1:39" ht="15.75" hidden="1" outlineLevel="1" thickBot="1">
      <c r="A380" s="59" t="s">
        <v>88</v>
      </c>
      <c r="B380" s="60">
        <v>0</v>
      </c>
      <c r="C380" s="60">
        <v>0</v>
      </c>
      <c r="D380" s="60">
        <v>0</v>
      </c>
      <c r="E380" s="60">
        <v>0</v>
      </c>
      <c r="F380" s="60">
        <v>0</v>
      </c>
      <c r="G380" s="60">
        <v>0</v>
      </c>
      <c r="H380" s="60">
        <v>0</v>
      </c>
      <c r="I380" s="60">
        <v>0</v>
      </c>
      <c r="J380" s="60">
        <v>0</v>
      </c>
      <c r="K380" s="60">
        <v>0</v>
      </c>
      <c r="L380" s="60">
        <v>0</v>
      </c>
      <c r="M380" s="60">
        <v>0</v>
      </c>
      <c r="N380" s="60">
        <v>0</v>
      </c>
      <c r="O380" s="60">
        <v>0</v>
      </c>
      <c r="P380" s="60">
        <v>0</v>
      </c>
      <c r="Q380" s="60">
        <v>0</v>
      </c>
      <c r="R380" s="60">
        <v>0</v>
      </c>
      <c r="S380" s="60">
        <v>0</v>
      </c>
      <c r="T380" s="60">
        <v>0</v>
      </c>
      <c r="U380" s="60">
        <v>0</v>
      </c>
      <c r="V380" s="60">
        <v>0</v>
      </c>
      <c r="W380" s="60">
        <v>0</v>
      </c>
      <c r="X380" s="60">
        <v>0</v>
      </c>
      <c r="Y380" s="60">
        <v>0</v>
      </c>
      <c r="Z380" s="60">
        <v>0</v>
      </c>
      <c r="AA380" s="60">
        <v>0</v>
      </c>
      <c r="AB380" s="60">
        <v>0</v>
      </c>
      <c r="AC380" s="60">
        <v>0</v>
      </c>
      <c r="AD380" s="60">
        <v>0</v>
      </c>
      <c r="AE380" s="60">
        <v>0</v>
      </c>
      <c r="AF380" s="60">
        <v>0</v>
      </c>
      <c r="AG380" s="60">
        <v>0</v>
      </c>
      <c r="AH380" s="60">
        <v>0</v>
      </c>
      <c r="AI380" s="60">
        <v>0</v>
      </c>
      <c r="AJ380" s="60">
        <v>0</v>
      </c>
      <c r="AK380" s="60">
        <v>0</v>
      </c>
      <c r="AL380" s="60">
        <v>0</v>
      </c>
      <c r="AM380" s="60">
        <v>0</v>
      </c>
    </row>
    <row r="381" spans="1:39" ht="15.75" hidden="1" outlineLevel="1" thickBot="1">
      <c r="A381" s="59" t="s">
        <v>89</v>
      </c>
      <c r="B381" s="60">
        <v>0</v>
      </c>
      <c r="C381" s="60">
        <v>0</v>
      </c>
      <c r="D381" s="60">
        <v>0</v>
      </c>
      <c r="E381" s="60">
        <v>0</v>
      </c>
      <c r="F381" s="60">
        <v>0</v>
      </c>
      <c r="G381" s="60">
        <v>0</v>
      </c>
      <c r="H381" s="60">
        <v>0</v>
      </c>
      <c r="I381" s="60">
        <v>0</v>
      </c>
      <c r="J381" s="60">
        <v>0</v>
      </c>
      <c r="K381" s="60">
        <v>0</v>
      </c>
      <c r="L381" s="60">
        <v>0</v>
      </c>
      <c r="M381" s="60">
        <v>0</v>
      </c>
      <c r="N381" s="60">
        <v>0</v>
      </c>
      <c r="O381" s="60">
        <v>0</v>
      </c>
      <c r="P381" s="60">
        <v>0</v>
      </c>
      <c r="Q381" s="60">
        <v>0</v>
      </c>
      <c r="R381" s="60">
        <v>0</v>
      </c>
      <c r="S381" s="60">
        <v>0</v>
      </c>
      <c r="T381" s="60">
        <v>0</v>
      </c>
      <c r="U381" s="60">
        <v>0</v>
      </c>
      <c r="V381" s="60">
        <v>0</v>
      </c>
      <c r="W381" s="60">
        <v>0</v>
      </c>
      <c r="X381" s="60">
        <v>0</v>
      </c>
      <c r="Y381" s="60">
        <v>0</v>
      </c>
      <c r="Z381" s="60">
        <v>0</v>
      </c>
      <c r="AA381" s="60">
        <v>0</v>
      </c>
      <c r="AB381" s="60">
        <v>0</v>
      </c>
      <c r="AC381" s="60">
        <v>0</v>
      </c>
      <c r="AD381" s="60">
        <v>0</v>
      </c>
      <c r="AE381" s="60">
        <v>0</v>
      </c>
      <c r="AF381" s="60">
        <v>0</v>
      </c>
      <c r="AG381" s="60">
        <v>0</v>
      </c>
      <c r="AH381" s="60">
        <v>0</v>
      </c>
      <c r="AI381" s="60">
        <v>0</v>
      </c>
      <c r="AJ381" s="60">
        <v>0</v>
      </c>
      <c r="AK381" s="60">
        <v>0</v>
      </c>
      <c r="AL381" s="60">
        <v>0</v>
      </c>
      <c r="AM381" s="60">
        <v>0</v>
      </c>
    </row>
    <row r="382" spans="1:39" ht="15.75" hidden="1" outlineLevel="1" thickBot="1">
      <c r="A382" s="59" t="s">
        <v>90</v>
      </c>
      <c r="B382" s="60">
        <v>0</v>
      </c>
      <c r="C382" s="60">
        <v>0</v>
      </c>
      <c r="D382" s="60">
        <v>0</v>
      </c>
      <c r="E382" s="60">
        <v>0</v>
      </c>
      <c r="F382" s="60">
        <v>0</v>
      </c>
      <c r="G382" s="60">
        <v>0</v>
      </c>
      <c r="H382" s="60">
        <v>0</v>
      </c>
      <c r="I382" s="60">
        <v>0</v>
      </c>
      <c r="J382" s="60">
        <v>0</v>
      </c>
      <c r="K382" s="60">
        <v>0</v>
      </c>
      <c r="L382" s="60">
        <v>0</v>
      </c>
      <c r="M382" s="60">
        <v>0</v>
      </c>
      <c r="N382" s="60">
        <v>0</v>
      </c>
      <c r="O382" s="60">
        <v>0</v>
      </c>
      <c r="P382" s="60">
        <v>0</v>
      </c>
      <c r="Q382" s="60">
        <v>0</v>
      </c>
      <c r="R382" s="60">
        <v>0</v>
      </c>
      <c r="S382" s="60">
        <v>0</v>
      </c>
      <c r="T382" s="60">
        <v>0</v>
      </c>
      <c r="U382" s="60">
        <v>0</v>
      </c>
      <c r="V382" s="60">
        <v>0</v>
      </c>
      <c r="W382" s="60">
        <v>0</v>
      </c>
      <c r="X382" s="60">
        <v>0</v>
      </c>
      <c r="Y382" s="60">
        <v>0</v>
      </c>
      <c r="Z382" s="60">
        <v>0</v>
      </c>
      <c r="AA382" s="60">
        <v>0</v>
      </c>
      <c r="AB382" s="60">
        <v>0</v>
      </c>
      <c r="AC382" s="60">
        <v>0</v>
      </c>
      <c r="AD382" s="60">
        <v>0</v>
      </c>
      <c r="AE382" s="60">
        <v>0</v>
      </c>
      <c r="AF382" s="60">
        <v>0</v>
      </c>
      <c r="AG382" s="60">
        <v>0</v>
      </c>
      <c r="AH382" s="60">
        <v>0</v>
      </c>
      <c r="AI382" s="60">
        <v>0</v>
      </c>
      <c r="AJ382" s="60">
        <v>0</v>
      </c>
      <c r="AK382" s="60">
        <v>0</v>
      </c>
      <c r="AL382" s="60">
        <v>0</v>
      </c>
      <c r="AM382" s="60">
        <v>0</v>
      </c>
    </row>
    <row r="383" spans="1:39" ht="15.75" hidden="1" outlineLevel="1" thickBot="1">
      <c r="A383" s="59" t="s">
        <v>91</v>
      </c>
      <c r="B383" s="60">
        <v>0</v>
      </c>
      <c r="C383" s="60">
        <v>0</v>
      </c>
      <c r="D383" s="60">
        <v>0</v>
      </c>
      <c r="E383" s="60">
        <v>0</v>
      </c>
      <c r="F383" s="60">
        <v>0</v>
      </c>
      <c r="G383" s="60">
        <v>0</v>
      </c>
      <c r="H383" s="60">
        <v>0</v>
      </c>
      <c r="I383" s="60">
        <v>0</v>
      </c>
      <c r="J383" s="60">
        <v>0</v>
      </c>
      <c r="K383" s="60">
        <v>0</v>
      </c>
      <c r="L383" s="60">
        <v>0</v>
      </c>
      <c r="M383" s="60">
        <v>0</v>
      </c>
      <c r="N383" s="60">
        <v>0</v>
      </c>
      <c r="O383" s="60">
        <v>0</v>
      </c>
      <c r="P383" s="60">
        <v>0</v>
      </c>
      <c r="Q383" s="60">
        <v>0</v>
      </c>
      <c r="R383" s="60">
        <v>0</v>
      </c>
      <c r="S383" s="60">
        <v>0</v>
      </c>
      <c r="T383" s="60">
        <v>0</v>
      </c>
      <c r="U383" s="60">
        <v>0</v>
      </c>
      <c r="V383" s="60">
        <v>0</v>
      </c>
      <c r="W383" s="60">
        <v>0</v>
      </c>
      <c r="X383" s="60">
        <v>0</v>
      </c>
      <c r="Y383" s="60">
        <v>0</v>
      </c>
      <c r="Z383" s="60">
        <v>0</v>
      </c>
      <c r="AA383" s="60">
        <v>0</v>
      </c>
      <c r="AB383" s="60">
        <v>0</v>
      </c>
      <c r="AC383" s="60">
        <v>0</v>
      </c>
      <c r="AD383" s="60">
        <v>0</v>
      </c>
      <c r="AE383" s="60">
        <v>0</v>
      </c>
      <c r="AF383" s="60">
        <v>0</v>
      </c>
      <c r="AG383" s="60">
        <v>0</v>
      </c>
      <c r="AH383" s="60">
        <v>0</v>
      </c>
      <c r="AI383" s="60">
        <v>0</v>
      </c>
      <c r="AJ383" s="60">
        <v>0</v>
      </c>
      <c r="AK383" s="60">
        <v>0</v>
      </c>
      <c r="AL383" s="60">
        <v>0</v>
      </c>
      <c r="AM383" s="60">
        <v>0</v>
      </c>
    </row>
    <row r="384" spans="1:39" ht="15.75" hidden="1" outlineLevel="1" thickBot="1">
      <c r="A384" s="59" t="s">
        <v>92</v>
      </c>
      <c r="B384" s="60">
        <v>0</v>
      </c>
      <c r="C384" s="60">
        <v>0</v>
      </c>
      <c r="D384" s="60">
        <v>0</v>
      </c>
      <c r="E384" s="60">
        <v>0</v>
      </c>
      <c r="F384" s="60">
        <v>0</v>
      </c>
      <c r="G384" s="60">
        <v>0</v>
      </c>
      <c r="H384" s="60">
        <v>0</v>
      </c>
      <c r="I384" s="60">
        <v>0</v>
      </c>
      <c r="J384" s="60">
        <v>0</v>
      </c>
      <c r="K384" s="60">
        <v>0</v>
      </c>
      <c r="L384" s="60">
        <v>0</v>
      </c>
      <c r="M384" s="60">
        <v>0</v>
      </c>
      <c r="N384" s="60">
        <v>0</v>
      </c>
      <c r="O384" s="60">
        <v>0</v>
      </c>
      <c r="P384" s="60">
        <v>0</v>
      </c>
      <c r="Q384" s="60">
        <v>0</v>
      </c>
      <c r="R384" s="60">
        <v>0</v>
      </c>
      <c r="S384" s="60">
        <v>0</v>
      </c>
      <c r="T384" s="60">
        <v>0</v>
      </c>
      <c r="U384" s="60">
        <v>0</v>
      </c>
      <c r="V384" s="60">
        <v>0</v>
      </c>
      <c r="W384" s="60">
        <v>0</v>
      </c>
      <c r="X384" s="60">
        <v>0</v>
      </c>
      <c r="Y384" s="60">
        <v>0</v>
      </c>
      <c r="Z384" s="60">
        <v>0</v>
      </c>
      <c r="AA384" s="60">
        <v>0</v>
      </c>
      <c r="AB384" s="60">
        <v>0</v>
      </c>
      <c r="AC384" s="60">
        <v>0</v>
      </c>
      <c r="AD384" s="60">
        <v>0</v>
      </c>
      <c r="AE384" s="60">
        <v>0</v>
      </c>
      <c r="AF384" s="60">
        <v>0</v>
      </c>
      <c r="AG384" s="60">
        <v>0</v>
      </c>
      <c r="AH384" s="60">
        <v>0</v>
      </c>
      <c r="AI384" s="60">
        <v>0</v>
      </c>
      <c r="AJ384" s="60">
        <v>0</v>
      </c>
      <c r="AK384" s="60">
        <v>0</v>
      </c>
      <c r="AL384" s="60">
        <v>0</v>
      </c>
      <c r="AM384" s="60">
        <v>0</v>
      </c>
    </row>
    <row r="385" spans="1:39" ht="15.75" hidden="1" outlineLevel="1" thickBot="1">
      <c r="A385" s="59" t="s">
        <v>93</v>
      </c>
      <c r="B385" s="60">
        <v>0</v>
      </c>
      <c r="C385" s="60">
        <v>0</v>
      </c>
      <c r="D385" s="60">
        <v>0</v>
      </c>
      <c r="E385" s="60">
        <v>0</v>
      </c>
      <c r="F385" s="60">
        <v>0</v>
      </c>
      <c r="G385" s="60">
        <v>0</v>
      </c>
      <c r="H385" s="60">
        <v>0</v>
      </c>
      <c r="I385" s="60">
        <v>0</v>
      </c>
      <c r="J385" s="60">
        <v>0</v>
      </c>
      <c r="K385" s="60">
        <v>0</v>
      </c>
      <c r="L385" s="60">
        <v>0</v>
      </c>
      <c r="M385" s="60">
        <v>0</v>
      </c>
      <c r="N385" s="60">
        <v>0</v>
      </c>
      <c r="O385" s="60">
        <v>0</v>
      </c>
      <c r="P385" s="60">
        <v>0</v>
      </c>
      <c r="Q385" s="60">
        <v>0</v>
      </c>
      <c r="R385" s="60">
        <v>0</v>
      </c>
      <c r="S385" s="60">
        <v>0</v>
      </c>
      <c r="T385" s="60">
        <v>0</v>
      </c>
      <c r="U385" s="60">
        <v>0</v>
      </c>
      <c r="V385" s="60">
        <v>0</v>
      </c>
      <c r="W385" s="60">
        <v>0</v>
      </c>
      <c r="X385" s="60">
        <v>0</v>
      </c>
      <c r="Y385" s="60">
        <v>0</v>
      </c>
      <c r="Z385" s="60">
        <v>0</v>
      </c>
      <c r="AA385" s="60">
        <v>0</v>
      </c>
      <c r="AB385" s="60">
        <v>0</v>
      </c>
      <c r="AC385" s="60">
        <v>0</v>
      </c>
      <c r="AD385" s="60">
        <v>0</v>
      </c>
      <c r="AE385" s="60">
        <v>0</v>
      </c>
      <c r="AF385" s="60">
        <v>0</v>
      </c>
      <c r="AG385" s="60">
        <v>0</v>
      </c>
      <c r="AH385" s="60">
        <v>0</v>
      </c>
      <c r="AI385" s="60">
        <v>0</v>
      </c>
      <c r="AJ385" s="60">
        <v>0</v>
      </c>
      <c r="AK385" s="60">
        <v>0</v>
      </c>
      <c r="AL385" s="60">
        <v>0</v>
      </c>
      <c r="AM385" s="60">
        <v>0</v>
      </c>
    </row>
    <row r="386" spans="1:39" ht="15.75" hidden="1" outlineLevel="1" thickBot="1">
      <c r="A386" s="59" t="s">
        <v>94</v>
      </c>
      <c r="B386" s="60">
        <v>0</v>
      </c>
      <c r="C386" s="60">
        <v>0</v>
      </c>
      <c r="D386" s="60">
        <v>0</v>
      </c>
      <c r="E386" s="60">
        <v>0</v>
      </c>
      <c r="F386" s="60">
        <v>0</v>
      </c>
      <c r="G386" s="60">
        <v>0</v>
      </c>
      <c r="H386" s="60">
        <v>0</v>
      </c>
      <c r="I386" s="60">
        <v>0</v>
      </c>
      <c r="J386" s="60">
        <v>0</v>
      </c>
      <c r="K386" s="60">
        <v>0</v>
      </c>
      <c r="L386" s="60">
        <v>0</v>
      </c>
      <c r="M386" s="60">
        <v>0</v>
      </c>
      <c r="N386" s="60">
        <v>0</v>
      </c>
      <c r="O386" s="60">
        <v>0</v>
      </c>
      <c r="P386" s="60">
        <v>0</v>
      </c>
      <c r="Q386" s="60">
        <v>0</v>
      </c>
      <c r="R386" s="60">
        <v>0</v>
      </c>
      <c r="S386" s="60">
        <v>0</v>
      </c>
      <c r="T386" s="60">
        <v>0</v>
      </c>
      <c r="U386" s="60">
        <v>0</v>
      </c>
      <c r="V386" s="60">
        <v>0</v>
      </c>
      <c r="W386" s="60">
        <v>0</v>
      </c>
      <c r="X386" s="60">
        <v>0</v>
      </c>
      <c r="Y386" s="60">
        <v>0</v>
      </c>
      <c r="Z386" s="60">
        <v>0</v>
      </c>
      <c r="AA386" s="60">
        <v>0</v>
      </c>
      <c r="AB386" s="60">
        <v>0</v>
      </c>
      <c r="AC386" s="60">
        <v>0</v>
      </c>
      <c r="AD386" s="60">
        <v>0</v>
      </c>
      <c r="AE386" s="60">
        <v>0</v>
      </c>
      <c r="AF386" s="60">
        <v>0</v>
      </c>
      <c r="AG386" s="60">
        <v>0</v>
      </c>
      <c r="AH386" s="60">
        <v>0</v>
      </c>
      <c r="AI386" s="60">
        <v>0</v>
      </c>
      <c r="AJ386" s="60">
        <v>0</v>
      </c>
      <c r="AK386" s="60">
        <v>0</v>
      </c>
      <c r="AL386" s="60">
        <v>0</v>
      </c>
      <c r="AM386" s="60">
        <v>0</v>
      </c>
    </row>
    <row r="387" spans="1:39" ht="15.75" hidden="1" outlineLevel="1" thickBot="1">
      <c r="A387" s="59" t="s">
        <v>95</v>
      </c>
      <c r="B387" s="60">
        <v>0</v>
      </c>
      <c r="C387" s="60">
        <v>0</v>
      </c>
      <c r="D387" s="60">
        <v>0</v>
      </c>
      <c r="E387" s="60">
        <v>0</v>
      </c>
      <c r="F387" s="60">
        <v>0</v>
      </c>
      <c r="G387" s="60">
        <v>0</v>
      </c>
      <c r="H387" s="60">
        <v>0</v>
      </c>
      <c r="I387" s="60">
        <v>0</v>
      </c>
      <c r="J387" s="60">
        <v>0</v>
      </c>
      <c r="K387" s="60">
        <v>0</v>
      </c>
      <c r="L387" s="60">
        <v>0</v>
      </c>
      <c r="M387" s="60">
        <v>0</v>
      </c>
      <c r="N387" s="60">
        <v>0</v>
      </c>
      <c r="O387" s="60">
        <v>0</v>
      </c>
      <c r="P387" s="60">
        <v>0</v>
      </c>
      <c r="Q387" s="60">
        <v>0</v>
      </c>
      <c r="R387" s="60">
        <v>0</v>
      </c>
      <c r="S387" s="60">
        <v>0</v>
      </c>
      <c r="T387" s="60">
        <v>0</v>
      </c>
      <c r="U387" s="60">
        <v>0</v>
      </c>
      <c r="V387" s="60">
        <v>0</v>
      </c>
      <c r="W387" s="60">
        <v>0</v>
      </c>
      <c r="X387" s="60">
        <v>0</v>
      </c>
      <c r="Y387" s="60">
        <v>0</v>
      </c>
      <c r="Z387" s="60">
        <v>0</v>
      </c>
      <c r="AA387" s="60">
        <v>0</v>
      </c>
      <c r="AB387" s="60">
        <v>0</v>
      </c>
      <c r="AC387" s="60">
        <v>0</v>
      </c>
      <c r="AD387" s="60">
        <v>0</v>
      </c>
      <c r="AE387" s="60">
        <v>0</v>
      </c>
      <c r="AF387" s="60">
        <v>0</v>
      </c>
      <c r="AG387" s="60">
        <v>0</v>
      </c>
      <c r="AH387" s="60">
        <v>0</v>
      </c>
      <c r="AI387" s="60">
        <v>0</v>
      </c>
      <c r="AJ387" s="60">
        <v>0</v>
      </c>
      <c r="AK387" s="60">
        <v>0</v>
      </c>
      <c r="AL387" s="60">
        <v>0</v>
      </c>
      <c r="AM387" s="60">
        <v>0</v>
      </c>
    </row>
    <row r="388" spans="1:39" ht="15.75" hidden="1" outlineLevel="1" thickBot="1">
      <c r="A388" s="59" t="s">
        <v>96</v>
      </c>
      <c r="B388" s="60">
        <v>0</v>
      </c>
      <c r="C388" s="60">
        <v>0</v>
      </c>
      <c r="D388" s="60">
        <v>0</v>
      </c>
      <c r="E388" s="60">
        <v>0</v>
      </c>
      <c r="F388" s="60">
        <v>0</v>
      </c>
      <c r="G388" s="60">
        <v>0</v>
      </c>
      <c r="H388" s="60">
        <v>0</v>
      </c>
      <c r="I388" s="60">
        <v>0</v>
      </c>
      <c r="J388" s="60">
        <v>0</v>
      </c>
      <c r="K388" s="60">
        <v>0</v>
      </c>
      <c r="L388" s="60">
        <v>0</v>
      </c>
      <c r="M388" s="60">
        <v>0</v>
      </c>
      <c r="N388" s="60">
        <v>0</v>
      </c>
      <c r="O388" s="60">
        <v>0</v>
      </c>
      <c r="P388" s="60">
        <v>0</v>
      </c>
      <c r="Q388" s="60">
        <v>0</v>
      </c>
      <c r="R388" s="60">
        <v>0</v>
      </c>
      <c r="S388" s="60">
        <v>0</v>
      </c>
      <c r="T388" s="60">
        <v>0</v>
      </c>
      <c r="U388" s="60">
        <v>0</v>
      </c>
      <c r="V388" s="60">
        <v>0</v>
      </c>
      <c r="W388" s="60">
        <v>0</v>
      </c>
      <c r="X388" s="60">
        <v>0</v>
      </c>
      <c r="Y388" s="60">
        <v>0</v>
      </c>
      <c r="Z388" s="60">
        <v>0</v>
      </c>
      <c r="AA388" s="60">
        <v>0</v>
      </c>
      <c r="AB388" s="60">
        <v>0</v>
      </c>
      <c r="AC388" s="60">
        <v>0</v>
      </c>
      <c r="AD388" s="60">
        <v>0</v>
      </c>
      <c r="AE388" s="60">
        <v>0</v>
      </c>
      <c r="AF388" s="60">
        <v>0</v>
      </c>
      <c r="AG388" s="60">
        <v>0</v>
      </c>
      <c r="AH388" s="60">
        <v>0</v>
      </c>
      <c r="AI388" s="60">
        <v>0</v>
      </c>
      <c r="AJ388" s="60">
        <v>0</v>
      </c>
      <c r="AK388" s="60">
        <v>0</v>
      </c>
      <c r="AL388" s="60">
        <v>0</v>
      </c>
      <c r="AM388" s="60">
        <v>0</v>
      </c>
    </row>
    <row r="389" spans="1:39" ht="15.75" hidden="1" outlineLevel="1" thickBot="1">
      <c r="A389" s="59" t="s">
        <v>97</v>
      </c>
      <c r="B389" s="60">
        <v>0</v>
      </c>
      <c r="C389" s="60">
        <v>0</v>
      </c>
      <c r="D389" s="60">
        <v>0</v>
      </c>
      <c r="E389" s="60">
        <v>0</v>
      </c>
      <c r="F389" s="60">
        <v>0</v>
      </c>
      <c r="G389" s="60">
        <v>0</v>
      </c>
      <c r="H389" s="60">
        <v>0</v>
      </c>
      <c r="I389" s="60">
        <v>0</v>
      </c>
      <c r="J389" s="60">
        <v>0</v>
      </c>
      <c r="K389" s="60">
        <v>0</v>
      </c>
      <c r="L389" s="60">
        <v>0</v>
      </c>
      <c r="M389" s="60">
        <v>0</v>
      </c>
      <c r="N389" s="60">
        <v>0</v>
      </c>
      <c r="O389" s="60">
        <v>0</v>
      </c>
      <c r="P389" s="60">
        <v>0</v>
      </c>
      <c r="Q389" s="60">
        <v>0</v>
      </c>
      <c r="R389" s="60">
        <v>0</v>
      </c>
      <c r="S389" s="60">
        <v>0</v>
      </c>
      <c r="T389" s="60">
        <v>0</v>
      </c>
      <c r="U389" s="60">
        <v>0</v>
      </c>
      <c r="V389" s="60">
        <v>0</v>
      </c>
      <c r="W389" s="60">
        <v>0</v>
      </c>
      <c r="X389" s="60">
        <v>0</v>
      </c>
      <c r="Y389" s="60">
        <v>0</v>
      </c>
      <c r="Z389" s="60">
        <v>0</v>
      </c>
      <c r="AA389" s="60">
        <v>0</v>
      </c>
      <c r="AB389" s="60">
        <v>0</v>
      </c>
      <c r="AC389" s="60">
        <v>0</v>
      </c>
      <c r="AD389" s="60">
        <v>0</v>
      </c>
      <c r="AE389" s="60">
        <v>0</v>
      </c>
      <c r="AF389" s="60">
        <v>0</v>
      </c>
      <c r="AG389" s="60">
        <v>0</v>
      </c>
      <c r="AH389" s="60">
        <v>0</v>
      </c>
      <c r="AI389" s="60">
        <v>0</v>
      </c>
      <c r="AJ389" s="60">
        <v>0</v>
      </c>
      <c r="AK389" s="60">
        <v>0</v>
      </c>
      <c r="AL389" s="60">
        <v>0</v>
      </c>
      <c r="AM389" s="60">
        <v>0</v>
      </c>
    </row>
    <row r="390" spans="1:39" ht="15.75" hidden="1" outlineLevel="1" thickBot="1">
      <c r="A390" s="59" t="s">
        <v>98</v>
      </c>
      <c r="B390" s="60">
        <v>0</v>
      </c>
      <c r="C390" s="60">
        <v>0</v>
      </c>
      <c r="D390" s="60">
        <v>0</v>
      </c>
      <c r="E390" s="60">
        <v>0</v>
      </c>
      <c r="F390" s="60">
        <v>0</v>
      </c>
      <c r="G390" s="60">
        <v>0</v>
      </c>
      <c r="H390" s="60">
        <v>0</v>
      </c>
      <c r="I390" s="60">
        <v>0</v>
      </c>
      <c r="J390" s="60">
        <v>0</v>
      </c>
      <c r="K390" s="60">
        <v>0</v>
      </c>
      <c r="L390" s="60">
        <v>0</v>
      </c>
      <c r="M390" s="60">
        <v>0</v>
      </c>
      <c r="N390" s="60">
        <v>0</v>
      </c>
      <c r="O390" s="60">
        <v>0</v>
      </c>
      <c r="P390" s="60">
        <v>0</v>
      </c>
      <c r="Q390" s="60">
        <v>0</v>
      </c>
      <c r="R390" s="60">
        <v>0</v>
      </c>
      <c r="S390" s="60">
        <v>0</v>
      </c>
      <c r="T390" s="60">
        <v>0</v>
      </c>
      <c r="U390" s="60">
        <v>0</v>
      </c>
      <c r="V390" s="60">
        <v>0</v>
      </c>
      <c r="W390" s="60">
        <v>0</v>
      </c>
      <c r="X390" s="60">
        <v>0</v>
      </c>
      <c r="Y390" s="60">
        <v>0</v>
      </c>
      <c r="Z390" s="60">
        <v>0</v>
      </c>
      <c r="AA390" s="60">
        <v>0</v>
      </c>
      <c r="AB390" s="60">
        <v>0</v>
      </c>
      <c r="AC390" s="60">
        <v>0</v>
      </c>
      <c r="AD390" s="60">
        <v>0</v>
      </c>
      <c r="AE390" s="60">
        <v>0</v>
      </c>
      <c r="AF390" s="60">
        <v>0</v>
      </c>
      <c r="AG390" s="60">
        <v>0</v>
      </c>
      <c r="AH390" s="60">
        <v>0</v>
      </c>
      <c r="AI390" s="60">
        <v>0</v>
      </c>
      <c r="AJ390" s="60">
        <v>0</v>
      </c>
      <c r="AK390" s="60">
        <v>0</v>
      </c>
      <c r="AL390" s="60">
        <v>0</v>
      </c>
      <c r="AM390" s="60">
        <v>0</v>
      </c>
    </row>
    <row r="391" spans="1:39" ht="15.75" hidden="1" outlineLevel="1" thickBot="1">
      <c r="A391" s="59" t="s">
        <v>99</v>
      </c>
      <c r="B391" s="60">
        <v>0</v>
      </c>
      <c r="C391" s="60">
        <v>0</v>
      </c>
      <c r="D391" s="60">
        <v>0</v>
      </c>
      <c r="E391" s="60">
        <v>0</v>
      </c>
      <c r="F391" s="60">
        <v>0</v>
      </c>
      <c r="G391" s="60">
        <v>0</v>
      </c>
      <c r="H391" s="60">
        <v>0</v>
      </c>
      <c r="I391" s="60">
        <v>0</v>
      </c>
      <c r="J391" s="60">
        <v>0</v>
      </c>
      <c r="K391" s="60">
        <v>0</v>
      </c>
      <c r="L391" s="60">
        <v>0</v>
      </c>
      <c r="M391" s="60">
        <v>0</v>
      </c>
      <c r="N391" s="60">
        <v>0</v>
      </c>
      <c r="O391" s="60">
        <v>0</v>
      </c>
      <c r="P391" s="60">
        <v>0</v>
      </c>
      <c r="Q391" s="60">
        <v>0</v>
      </c>
      <c r="R391" s="60">
        <v>0</v>
      </c>
      <c r="S391" s="60">
        <v>0</v>
      </c>
      <c r="T391" s="60">
        <v>0</v>
      </c>
      <c r="U391" s="60">
        <v>0</v>
      </c>
      <c r="V391" s="60">
        <v>0</v>
      </c>
      <c r="W391" s="60">
        <v>0</v>
      </c>
      <c r="X391" s="60">
        <v>0</v>
      </c>
      <c r="Y391" s="60">
        <v>0</v>
      </c>
      <c r="Z391" s="60">
        <v>0</v>
      </c>
      <c r="AA391" s="60">
        <v>0</v>
      </c>
      <c r="AB391" s="60">
        <v>0</v>
      </c>
      <c r="AC391" s="60">
        <v>0</v>
      </c>
      <c r="AD391" s="60">
        <v>0</v>
      </c>
      <c r="AE391" s="60">
        <v>0</v>
      </c>
      <c r="AF391" s="60">
        <v>0</v>
      </c>
      <c r="AG391" s="60">
        <v>0</v>
      </c>
      <c r="AH391" s="60">
        <v>0</v>
      </c>
      <c r="AI391" s="60">
        <v>0</v>
      </c>
      <c r="AJ391" s="60">
        <v>0</v>
      </c>
      <c r="AK391" s="60">
        <v>0</v>
      </c>
      <c r="AL391" s="60">
        <v>0</v>
      </c>
      <c r="AM391" s="60">
        <v>0</v>
      </c>
    </row>
    <row r="392" spans="1:39" ht="15.75" hidden="1" outlineLevel="1" thickBot="1">
      <c r="A392" s="59" t="s">
        <v>100</v>
      </c>
      <c r="B392" s="60">
        <v>0</v>
      </c>
      <c r="C392" s="60">
        <v>0</v>
      </c>
      <c r="D392" s="60">
        <v>0</v>
      </c>
      <c r="E392" s="60">
        <v>0</v>
      </c>
      <c r="F392" s="60">
        <v>0</v>
      </c>
      <c r="G392" s="60">
        <v>0</v>
      </c>
      <c r="H392" s="60">
        <v>0</v>
      </c>
      <c r="I392" s="60">
        <v>0</v>
      </c>
      <c r="J392" s="60">
        <v>0</v>
      </c>
      <c r="K392" s="60">
        <v>0</v>
      </c>
      <c r="L392" s="60">
        <v>0</v>
      </c>
      <c r="M392" s="60">
        <v>0</v>
      </c>
      <c r="N392" s="60">
        <v>0</v>
      </c>
      <c r="O392" s="60">
        <v>0</v>
      </c>
      <c r="P392" s="60">
        <v>0</v>
      </c>
      <c r="Q392" s="60">
        <v>0</v>
      </c>
      <c r="R392" s="60">
        <v>0</v>
      </c>
      <c r="S392" s="60">
        <v>0</v>
      </c>
      <c r="T392" s="60">
        <v>0</v>
      </c>
      <c r="U392" s="60">
        <v>0</v>
      </c>
      <c r="V392" s="60">
        <v>0</v>
      </c>
      <c r="W392" s="60">
        <v>0</v>
      </c>
      <c r="X392" s="60">
        <v>0</v>
      </c>
      <c r="Y392" s="60">
        <v>0</v>
      </c>
      <c r="Z392" s="60">
        <v>0</v>
      </c>
      <c r="AA392" s="60">
        <v>0</v>
      </c>
      <c r="AB392" s="60">
        <v>0</v>
      </c>
      <c r="AC392" s="60">
        <v>0</v>
      </c>
      <c r="AD392" s="60">
        <v>0</v>
      </c>
      <c r="AE392" s="60">
        <v>0</v>
      </c>
      <c r="AF392" s="60">
        <v>0</v>
      </c>
      <c r="AG392" s="60">
        <v>0</v>
      </c>
      <c r="AH392" s="60">
        <v>0</v>
      </c>
      <c r="AI392" s="60">
        <v>0</v>
      </c>
      <c r="AJ392" s="60">
        <v>0</v>
      </c>
      <c r="AK392" s="60">
        <v>0</v>
      </c>
      <c r="AL392" s="60">
        <v>0</v>
      </c>
      <c r="AM392" s="60">
        <v>0</v>
      </c>
    </row>
    <row r="393" spans="1:39" ht="15.75" hidden="1" outlineLevel="1" thickBot="1">
      <c r="A393" s="59" t="s">
        <v>101</v>
      </c>
      <c r="B393" s="60">
        <v>0</v>
      </c>
      <c r="C393" s="60">
        <v>0</v>
      </c>
      <c r="D393" s="60">
        <v>0</v>
      </c>
      <c r="E393" s="60">
        <v>0</v>
      </c>
      <c r="F393" s="60">
        <v>0</v>
      </c>
      <c r="G393" s="60">
        <v>0</v>
      </c>
      <c r="H393" s="60">
        <v>0</v>
      </c>
      <c r="I393" s="60">
        <v>0</v>
      </c>
      <c r="J393" s="60">
        <v>0</v>
      </c>
      <c r="K393" s="60">
        <v>0</v>
      </c>
      <c r="L393" s="60">
        <v>0</v>
      </c>
      <c r="M393" s="60">
        <v>0</v>
      </c>
      <c r="N393" s="60">
        <v>0</v>
      </c>
      <c r="O393" s="60">
        <v>0</v>
      </c>
      <c r="P393" s="60">
        <v>0</v>
      </c>
      <c r="Q393" s="60">
        <v>0</v>
      </c>
      <c r="R393" s="60">
        <v>0</v>
      </c>
      <c r="S393" s="60">
        <v>0</v>
      </c>
      <c r="T393" s="60">
        <v>0</v>
      </c>
      <c r="U393" s="60">
        <v>0</v>
      </c>
      <c r="V393" s="60">
        <v>0</v>
      </c>
      <c r="W393" s="60">
        <v>0</v>
      </c>
      <c r="X393" s="60">
        <v>0</v>
      </c>
      <c r="Y393" s="60">
        <v>0</v>
      </c>
      <c r="Z393" s="60">
        <v>0</v>
      </c>
      <c r="AA393" s="60">
        <v>0</v>
      </c>
      <c r="AB393" s="60">
        <v>0</v>
      </c>
      <c r="AC393" s="60">
        <v>0</v>
      </c>
      <c r="AD393" s="60">
        <v>0</v>
      </c>
      <c r="AE393" s="60">
        <v>0</v>
      </c>
      <c r="AF393" s="60">
        <v>0</v>
      </c>
      <c r="AG393" s="60">
        <v>0</v>
      </c>
      <c r="AH393" s="60">
        <v>0</v>
      </c>
      <c r="AI393" s="60">
        <v>0</v>
      </c>
      <c r="AJ393" s="60">
        <v>0</v>
      </c>
      <c r="AK393" s="60">
        <v>0</v>
      </c>
      <c r="AL393" s="60">
        <v>0</v>
      </c>
      <c r="AM393" s="60">
        <v>0</v>
      </c>
    </row>
    <row r="394" spans="1:39" ht="15.75" hidden="1" outlineLevel="1" thickBot="1">
      <c r="A394" s="59" t="s">
        <v>102</v>
      </c>
      <c r="B394" s="60">
        <v>1.28</v>
      </c>
      <c r="C394" s="60">
        <v>1.37</v>
      </c>
      <c r="D394" s="60">
        <v>1.53</v>
      </c>
      <c r="E394" s="60">
        <v>1.61</v>
      </c>
      <c r="F394" s="60">
        <v>1.89</v>
      </c>
      <c r="G394" s="60">
        <v>2.02</v>
      </c>
      <c r="H394" s="60">
        <v>2.09</v>
      </c>
      <c r="I394" s="60">
        <v>1.81</v>
      </c>
      <c r="J394" s="60">
        <v>1.5</v>
      </c>
      <c r="K394" s="60">
        <v>1.59</v>
      </c>
      <c r="L394" s="60">
        <v>1.6</v>
      </c>
      <c r="M394" s="60">
        <v>1.61</v>
      </c>
      <c r="N394" s="60">
        <v>1.62</v>
      </c>
      <c r="O394" s="60">
        <v>1.63</v>
      </c>
      <c r="P394" s="60">
        <v>1.64</v>
      </c>
      <c r="Q394" s="60">
        <v>1.64</v>
      </c>
      <c r="R394" s="60">
        <v>1.65</v>
      </c>
      <c r="S394" s="60">
        <v>1.66</v>
      </c>
      <c r="T394" s="60">
        <v>1.67</v>
      </c>
      <c r="U394" s="60">
        <v>1.68</v>
      </c>
      <c r="V394" s="60">
        <v>1.69</v>
      </c>
      <c r="W394" s="60">
        <v>1.69</v>
      </c>
      <c r="X394" s="60">
        <v>1.7</v>
      </c>
      <c r="Y394" s="60">
        <v>1.71</v>
      </c>
      <c r="Z394" s="60">
        <v>1.72</v>
      </c>
      <c r="AA394" s="60">
        <v>1.73</v>
      </c>
      <c r="AB394" s="60">
        <v>1.74</v>
      </c>
      <c r="AC394" s="60">
        <v>1.74</v>
      </c>
      <c r="AD394" s="60">
        <v>1.75</v>
      </c>
      <c r="AE394" s="60">
        <v>1.76</v>
      </c>
      <c r="AF394" s="60">
        <v>1.77</v>
      </c>
      <c r="AG394" s="60">
        <v>1.78</v>
      </c>
      <c r="AH394" s="60">
        <v>1.79</v>
      </c>
      <c r="AI394" s="60">
        <v>1.8</v>
      </c>
      <c r="AJ394" s="60">
        <v>1.8</v>
      </c>
      <c r="AK394" s="60">
        <v>1.81</v>
      </c>
      <c r="AL394" s="60">
        <v>1.82</v>
      </c>
      <c r="AM394" s="60">
        <v>1.83</v>
      </c>
    </row>
    <row r="395" spans="1:39" ht="15.75" hidden="1" outlineLevel="1" thickBot="1">
      <c r="A395" s="59" t="s">
        <v>103</v>
      </c>
      <c r="B395" s="60">
        <v>0</v>
      </c>
      <c r="C395" s="60">
        <v>0</v>
      </c>
      <c r="D395" s="60">
        <v>0</v>
      </c>
      <c r="E395" s="60">
        <v>0</v>
      </c>
      <c r="F395" s="60">
        <v>0</v>
      </c>
      <c r="G395" s="60">
        <v>0</v>
      </c>
      <c r="H395" s="60">
        <v>0</v>
      </c>
      <c r="I395" s="60">
        <v>0</v>
      </c>
      <c r="J395" s="60">
        <v>0</v>
      </c>
      <c r="K395" s="60">
        <v>0</v>
      </c>
      <c r="L395" s="60">
        <v>0</v>
      </c>
      <c r="M395" s="60">
        <v>0</v>
      </c>
      <c r="N395" s="60">
        <v>0</v>
      </c>
      <c r="O395" s="60">
        <v>0</v>
      </c>
      <c r="P395" s="60">
        <v>0</v>
      </c>
      <c r="Q395" s="60">
        <v>0</v>
      </c>
      <c r="R395" s="60">
        <v>0</v>
      </c>
      <c r="S395" s="60">
        <v>0</v>
      </c>
      <c r="T395" s="60">
        <v>0</v>
      </c>
      <c r="U395" s="60">
        <v>0</v>
      </c>
      <c r="V395" s="60">
        <v>0</v>
      </c>
      <c r="W395" s="60">
        <v>0</v>
      </c>
      <c r="X395" s="60">
        <v>0</v>
      </c>
      <c r="Y395" s="60">
        <v>0</v>
      </c>
      <c r="Z395" s="60">
        <v>0</v>
      </c>
      <c r="AA395" s="60">
        <v>0</v>
      </c>
      <c r="AB395" s="60">
        <v>0</v>
      </c>
      <c r="AC395" s="60">
        <v>0</v>
      </c>
      <c r="AD395" s="60">
        <v>0</v>
      </c>
      <c r="AE395" s="60">
        <v>0</v>
      </c>
      <c r="AF395" s="60">
        <v>0</v>
      </c>
      <c r="AG395" s="60">
        <v>0</v>
      </c>
      <c r="AH395" s="60">
        <v>0</v>
      </c>
      <c r="AI395" s="60">
        <v>0</v>
      </c>
      <c r="AJ395" s="60">
        <v>0</v>
      </c>
      <c r="AK395" s="60">
        <v>0</v>
      </c>
      <c r="AL395" s="60">
        <v>0</v>
      </c>
      <c r="AM395" s="60">
        <v>0</v>
      </c>
    </row>
    <row r="396" spans="1:39" ht="15.75" hidden="1" outlineLevel="1" thickBot="1">
      <c r="A396" s="59" t="s">
        <v>44</v>
      </c>
      <c r="B396" s="60">
        <v>0</v>
      </c>
      <c r="C396" s="60">
        <v>0</v>
      </c>
      <c r="D396" s="60">
        <v>0</v>
      </c>
      <c r="E396" s="60">
        <v>0</v>
      </c>
      <c r="F396" s="60">
        <v>0</v>
      </c>
      <c r="G396" s="60">
        <v>0</v>
      </c>
      <c r="H396" s="60">
        <v>0</v>
      </c>
      <c r="I396" s="60">
        <v>0</v>
      </c>
      <c r="J396" s="60">
        <v>0</v>
      </c>
      <c r="K396" s="60">
        <v>0</v>
      </c>
      <c r="L396" s="60">
        <v>0</v>
      </c>
      <c r="M396" s="60">
        <v>0</v>
      </c>
      <c r="N396" s="60">
        <v>0</v>
      </c>
      <c r="O396" s="60">
        <v>0</v>
      </c>
      <c r="P396" s="60">
        <v>0</v>
      </c>
      <c r="Q396" s="60">
        <v>0</v>
      </c>
      <c r="R396" s="60">
        <v>0</v>
      </c>
      <c r="S396" s="60">
        <v>0</v>
      </c>
      <c r="T396" s="60">
        <v>0</v>
      </c>
      <c r="U396" s="60">
        <v>0</v>
      </c>
      <c r="V396" s="60">
        <v>0</v>
      </c>
      <c r="W396" s="60">
        <v>0</v>
      </c>
      <c r="X396" s="60">
        <v>0</v>
      </c>
      <c r="Y396" s="60">
        <v>0</v>
      </c>
      <c r="Z396" s="60">
        <v>0</v>
      </c>
      <c r="AA396" s="60">
        <v>0</v>
      </c>
      <c r="AB396" s="60">
        <v>0</v>
      </c>
      <c r="AC396" s="60">
        <v>0</v>
      </c>
      <c r="AD396" s="60">
        <v>0</v>
      </c>
      <c r="AE396" s="60">
        <v>0</v>
      </c>
      <c r="AF396" s="60">
        <v>0</v>
      </c>
      <c r="AG396" s="60">
        <v>0</v>
      </c>
      <c r="AH396" s="60">
        <v>0</v>
      </c>
      <c r="AI396" s="60">
        <v>0</v>
      </c>
      <c r="AJ396" s="60">
        <v>0</v>
      </c>
      <c r="AK396" s="60">
        <v>0</v>
      </c>
      <c r="AL396" s="60">
        <v>0</v>
      </c>
      <c r="AM396" s="60">
        <v>0</v>
      </c>
    </row>
    <row r="397" spans="1:39" ht="15.75" hidden="1" outlineLevel="1" thickBot="1">
      <c r="A397" s="59" t="s">
        <v>45</v>
      </c>
      <c r="B397" s="60">
        <v>3.55</v>
      </c>
      <c r="C397" s="60">
        <v>3.67</v>
      </c>
      <c r="D397" s="60">
        <v>3.82</v>
      </c>
      <c r="E397" s="60">
        <v>3.98</v>
      </c>
      <c r="F397" s="60">
        <v>3.96</v>
      </c>
      <c r="G397" s="60">
        <v>4.45</v>
      </c>
      <c r="H397" s="60">
        <v>4.2300000000000004</v>
      </c>
      <c r="I397" s="60">
        <v>3.33</v>
      </c>
      <c r="J397" s="60">
        <v>3.42</v>
      </c>
      <c r="K397" s="60">
        <v>3.43</v>
      </c>
      <c r="L397" s="60">
        <v>3.42</v>
      </c>
      <c r="M397" s="60">
        <v>3.41</v>
      </c>
      <c r="N397" s="60">
        <v>3.4</v>
      </c>
      <c r="O397" s="60">
        <v>3.39</v>
      </c>
      <c r="P397" s="60">
        <v>3.38</v>
      </c>
      <c r="Q397" s="60">
        <v>3.37</v>
      </c>
      <c r="R397" s="60">
        <v>3.36</v>
      </c>
      <c r="S397" s="60">
        <v>3.35</v>
      </c>
      <c r="T397" s="60">
        <v>3.34</v>
      </c>
      <c r="U397" s="60">
        <v>3.33</v>
      </c>
      <c r="V397" s="60">
        <v>3.32</v>
      </c>
      <c r="W397" s="60">
        <v>3.31</v>
      </c>
      <c r="X397" s="60">
        <v>3.3</v>
      </c>
      <c r="Y397" s="60">
        <v>3.29</v>
      </c>
      <c r="Z397" s="60">
        <v>3.28</v>
      </c>
      <c r="AA397" s="60">
        <v>3.27</v>
      </c>
      <c r="AB397" s="60">
        <v>3.26</v>
      </c>
      <c r="AC397" s="60">
        <v>3.25</v>
      </c>
      <c r="AD397" s="60">
        <v>3.24</v>
      </c>
      <c r="AE397" s="60">
        <v>3.23</v>
      </c>
      <c r="AF397" s="60">
        <v>3.22</v>
      </c>
      <c r="AG397" s="60">
        <v>3.21</v>
      </c>
      <c r="AH397" s="60">
        <v>3.2</v>
      </c>
      <c r="AI397" s="60">
        <v>3.19</v>
      </c>
      <c r="AJ397" s="60">
        <v>3.18</v>
      </c>
      <c r="AK397" s="60">
        <v>3.17</v>
      </c>
      <c r="AL397" s="60">
        <v>3.16</v>
      </c>
      <c r="AM397" s="60">
        <v>3.15</v>
      </c>
    </row>
    <row r="398" spans="1:39" ht="15.75" hidden="1" outlineLevel="1" thickBot="1">
      <c r="A398" s="59" t="s">
        <v>104</v>
      </c>
      <c r="B398" s="60">
        <v>0.67</v>
      </c>
      <c r="C398" s="60">
        <v>0.45</v>
      </c>
      <c r="D398" s="60">
        <v>0.31</v>
      </c>
      <c r="E398" s="60">
        <v>0.21</v>
      </c>
      <c r="F398" s="60">
        <v>0.14000000000000001</v>
      </c>
      <c r="G398" s="60">
        <v>0.04</v>
      </c>
      <c r="H398" s="60">
        <v>7.0000000000000007E-2</v>
      </c>
      <c r="I398" s="60">
        <v>7.0000000000000007E-2</v>
      </c>
      <c r="J398" s="60">
        <v>0.09</v>
      </c>
      <c r="K398" s="60">
        <v>0.09</v>
      </c>
      <c r="L398" s="60">
        <v>0.08</v>
      </c>
      <c r="M398" s="60">
        <v>0.08</v>
      </c>
      <c r="N398" s="60">
        <v>0.08</v>
      </c>
      <c r="O398" s="60">
        <v>7.0000000000000007E-2</v>
      </c>
      <c r="P398" s="60">
        <v>7.0000000000000007E-2</v>
      </c>
      <c r="Q398" s="60">
        <v>7.0000000000000007E-2</v>
      </c>
      <c r="R398" s="60">
        <v>7.0000000000000007E-2</v>
      </c>
      <c r="S398" s="60">
        <v>0.06</v>
      </c>
      <c r="T398" s="60">
        <v>0.06</v>
      </c>
      <c r="U398" s="60">
        <v>0.06</v>
      </c>
      <c r="V398" s="60">
        <v>0.05</v>
      </c>
      <c r="W398" s="60">
        <v>0.05</v>
      </c>
      <c r="X398" s="60">
        <v>0.05</v>
      </c>
      <c r="Y398" s="60">
        <v>0.04</v>
      </c>
      <c r="Z398" s="60">
        <v>0.04</v>
      </c>
      <c r="AA398" s="60">
        <v>0.04</v>
      </c>
      <c r="AB398" s="60">
        <v>0.03</v>
      </c>
      <c r="AC398" s="60">
        <v>0.03</v>
      </c>
      <c r="AD398" s="60">
        <v>0.03</v>
      </c>
      <c r="AE398" s="60">
        <v>0.02</v>
      </c>
      <c r="AF398" s="60">
        <v>0.02</v>
      </c>
      <c r="AG398" s="60">
        <v>0.02</v>
      </c>
      <c r="AH398" s="60">
        <v>0.02</v>
      </c>
      <c r="AI398" s="60">
        <v>0.01</v>
      </c>
      <c r="AJ398" s="60">
        <v>0.01</v>
      </c>
      <c r="AK398" s="60">
        <v>0.01</v>
      </c>
      <c r="AL398" s="60">
        <v>0</v>
      </c>
      <c r="AM398" s="60">
        <v>0</v>
      </c>
    </row>
    <row r="399" spans="1:39" ht="15.75" hidden="1" outlineLevel="1" thickBot="1">
      <c r="A399" s="59" t="s">
        <v>105</v>
      </c>
      <c r="B399" s="60">
        <v>0</v>
      </c>
      <c r="C399" s="60">
        <v>0</v>
      </c>
      <c r="D399" s="60">
        <v>0</v>
      </c>
      <c r="E399" s="60">
        <v>0</v>
      </c>
      <c r="F399" s="60">
        <v>0</v>
      </c>
      <c r="G399" s="60">
        <v>0</v>
      </c>
      <c r="H399" s="60">
        <v>0</v>
      </c>
      <c r="I399" s="60">
        <v>0</v>
      </c>
      <c r="J399" s="60">
        <v>0</v>
      </c>
      <c r="K399" s="60">
        <v>0</v>
      </c>
      <c r="L399" s="60">
        <v>0</v>
      </c>
      <c r="M399" s="60">
        <v>0</v>
      </c>
      <c r="N399" s="60">
        <v>0</v>
      </c>
      <c r="O399" s="60">
        <v>0</v>
      </c>
      <c r="P399" s="60">
        <v>0</v>
      </c>
      <c r="Q399" s="60">
        <v>0</v>
      </c>
      <c r="R399" s="60">
        <v>0</v>
      </c>
      <c r="S399" s="60">
        <v>0</v>
      </c>
      <c r="T399" s="60">
        <v>0</v>
      </c>
      <c r="U399" s="60">
        <v>0</v>
      </c>
      <c r="V399" s="60">
        <v>0</v>
      </c>
      <c r="W399" s="60">
        <v>0</v>
      </c>
      <c r="X399" s="60">
        <v>0</v>
      </c>
      <c r="Y399" s="60">
        <v>0</v>
      </c>
      <c r="Z399" s="60">
        <v>0</v>
      </c>
      <c r="AA399" s="60">
        <v>0</v>
      </c>
      <c r="AB399" s="60">
        <v>0</v>
      </c>
      <c r="AC399" s="60">
        <v>0</v>
      </c>
      <c r="AD399" s="60">
        <v>0</v>
      </c>
      <c r="AE399" s="60">
        <v>0</v>
      </c>
      <c r="AF399" s="60">
        <v>0</v>
      </c>
      <c r="AG399" s="60">
        <v>0</v>
      </c>
      <c r="AH399" s="60">
        <v>0</v>
      </c>
      <c r="AI399" s="60">
        <v>0</v>
      </c>
      <c r="AJ399" s="60">
        <v>0</v>
      </c>
      <c r="AK399" s="60">
        <v>0</v>
      </c>
      <c r="AL399" s="60">
        <v>0</v>
      </c>
      <c r="AM399" s="60">
        <v>0</v>
      </c>
    </row>
    <row r="400" spans="1:39" ht="15.75" hidden="1" outlineLevel="1" thickBot="1">
      <c r="A400" s="59" t="s">
        <v>106</v>
      </c>
      <c r="B400" s="60">
        <v>0.96</v>
      </c>
      <c r="C400" s="60">
        <v>1.08</v>
      </c>
      <c r="D400" s="60">
        <v>1.3</v>
      </c>
      <c r="E400" s="60">
        <v>1.46</v>
      </c>
      <c r="F400" s="60">
        <v>1.45</v>
      </c>
      <c r="G400" s="60">
        <v>1.6</v>
      </c>
      <c r="H400" s="60">
        <v>1.75</v>
      </c>
      <c r="I400" s="60">
        <v>1.52</v>
      </c>
      <c r="J400" s="60">
        <v>2.34</v>
      </c>
      <c r="K400" s="60">
        <v>2.54</v>
      </c>
      <c r="L400" s="60">
        <v>2.61</v>
      </c>
      <c r="M400" s="60">
        <v>2.68</v>
      </c>
      <c r="N400" s="60">
        <v>2.75</v>
      </c>
      <c r="O400" s="60">
        <v>2.82</v>
      </c>
      <c r="P400" s="60">
        <v>2.88</v>
      </c>
      <c r="Q400" s="60">
        <v>2.95</v>
      </c>
      <c r="R400" s="60">
        <v>3.02</v>
      </c>
      <c r="S400" s="60">
        <v>3.09</v>
      </c>
      <c r="T400" s="60">
        <v>3.16</v>
      </c>
      <c r="U400" s="60">
        <v>3.23</v>
      </c>
      <c r="V400" s="60">
        <v>3.29</v>
      </c>
      <c r="W400" s="60">
        <v>3.36</v>
      </c>
      <c r="X400" s="60">
        <v>3.43</v>
      </c>
      <c r="Y400" s="60">
        <v>3.5</v>
      </c>
      <c r="Z400" s="60">
        <v>3.57</v>
      </c>
      <c r="AA400" s="60">
        <v>3.63</v>
      </c>
      <c r="AB400" s="60">
        <v>3.7</v>
      </c>
      <c r="AC400" s="60">
        <v>3.77</v>
      </c>
      <c r="AD400" s="60">
        <v>3.84</v>
      </c>
      <c r="AE400" s="60">
        <v>3.91</v>
      </c>
      <c r="AF400" s="60">
        <v>3.97</v>
      </c>
      <c r="AG400" s="60">
        <v>4.04</v>
      </c>
      <c r="AH400" s="60">
        <v>4.1100000000000003</v>
      </c>
      <c r="AI400" s="60">
        <v>4.18</v>
      </c>
      <c r="AJ400" s="60">
        <v>4.25</v>
      </c>
      <c r="AK400" s="60">
        <v>4.3099999999999996</v>
      </c>
      <c r="AL400" s="60">
        <v>4.38</v>
      </c>
      <c r="AM400" s="60">
        <v>4.45</v>
      </c>
    </row>
    <row r="401" spans="1:39" ht="15.75" hidden="1" outlineLevel="1" thickBot="1">
      <c r="A401" s="59" t="s">
        <v>46</v>
      </c>
      <c r="B401" s="60">
        <v>3.06</v>
      </c>
      <c r="C401" s="60">
        <v>3.16</v>
      </c>
      <c r="D401" s="60">
        <v>3.3</v>
      </c>
      <c r="E401" s="60">
        <v>3.61</v>
      </c>
      <c r="F401" s="60">
        <v>3.66</v>
      </c>
      <c r="G401" s="60">
        <v>3.7</v>
      </c>
      <c r="H401" s="60">
        <v>3.91</v>
      </c>
      <c r="I401" s="60">
        <v>3.64</v>
      </c>
      <c r="J401" s="60">
        <v>3.9</v>
      </c>
      <c r="K401" s="60">
        <v>4.24</v>
      </c>
      <c r="L401" s="60">
        <v>4.3499999999999996</v>
      </c>
      <c r="M401" s="60">
        <v>4.47</v>
      </c>
      <c r="N401" s="60">
        <v>4.58</v>
      </c>
      <c r="O401" s="60">
        <v>4.6900000000000004</v>
      </c>
      <c r="P401" s="60">
        <v>4.8099999999999996</v>
      </c>
      <c r="Q401" s="60">
        <v>4.92</v>
      </c>
      <c r="R401" s="60">
        <v>5.04</v>
      </c>
      <c r="S401" s="60">
        <v>5.15</v>
      </c>
      <c r="T401" s="60">
        <v>5.26</v>
      </c>
      <c r="U401" s="60">
        <v>5.38</v>
      </c>
      <c r="V401" s="60">
        <v>5.49</v>
      </c>
      <c r="W401" s="60">
        <v>5.6</v>
      </c>
      <c r="X401" s="60">
        <v>5.72</v>
      </c>
      <c r="Y401" s="60">
        <v>5.83</v>
      </c>
      <c r="Z401" s="60">
        <v>5.94</v>
      </c>
      <c r="AA401" s="60">
        <v>6.06</v>
      </c>
      <c r="AB401" s="60">
        <v>6.17</v>
      </c>
      <c r="AC401" s="60">
        <v>6.28</v>
      </c>
      <c r="AD401" s="60">
        <v>6.4</v>
      </c>
      <c r="AE401" s="60">
        <v>6.51</v>
      </c>
      <c r="AF401" s="60">
        <v>6.62</v>
      </c>
      <c r="AG401" s="60">
        <v>6.74</v>
      </c>
      <c r="AH401" s="60">
        <v>6.85</v>
      </c>
      <c r="AI401" s="60">
        <v>6.96</v>
      </c>
      <c r="AJ401" s="60">
        <v>7.08</v>
      </c>
      <c r="AK401" s="60">
        <v>7.19</v>
      </c>
      <c r="AL401" s="60">
        <v>7.3</v>
      </c>
      <c r="AM401" s="60">
        <v>7.42</v>
      </c>
    </row>
    <row r="402" spans="1:39" ht="15.75" hidden="1" outlineLevel="1" thickBot="1">
      <c r="A402" s="59" t="s">
        <v>107</v>
      </c>
      <c r="B402" s="60">
        <v>0</v>
      </c>
      <c r="C402" s="60">
        <v>0</v>
      </c>
      <c r="D402" s="60">
        <v>0</v>
      </c>
      <c r="E402" s="60">
        <v>0</v>
      </c>
      <c r="F402" s="60">
        <v>0</v>
      </c>
      <c r="G402" s="60">
        <v>0</v>
      </c>
      <c r="H402" s="60">
        <v>0</v>
      </c>
      <c r="I402" s="60">
        <v>0</v>
      </c>
      <c r="J402" s="60">
        <v>0</v>
      </c>
      <c r="K402" s="60">
        <v>0</v>
      </c>
      <c r="L402" s="60">
        <v>0</v>
      </c>
      <c r="M402" s="60">
        <v>0</v>
      </c>
      <c r="N402" s="60">
        <v>0</v>
      </c>
      <c r="O402" s="60">
        <v>0</v>
      </c>
      <c r="P402" s="60">
        <v>0</v>
      </c>
      <c r="Q402" s="60">
        <v>0</v>
      </c>
      <c r="R402" s="60">
        <v>0</v>
      </c>
      <c r="S402" s="60">
        <v>0</v>
      </c>
      <c r="T402" s="60">
        <v>0</v>
      </c>
      <c r="U402" s="60">
        <v>0</v>
      </c>
      <c r="V402" s="60">
        <v>0</v>
      </c>
      <c r="W402" s="60">
        <v>0</v>
      </c>
      <c r="X402" s="60">
        <v>0</v>
      </c>
      <c r="Y402" s="60">
        <v>0</v>
      </c>
      <c r="Z402" s="60">
        <v>0</v>
      </c>
      <c r="AA402" s="60">
        <v>0</v>
      </c>
      <c r="AB402" s="60">
        <v>0</v>
      </c>
      <c r="AC402" s="60">
        <v>0</v>
      </c>
      <c r="AD402" s="60">
        <v>0</v>
      </c>
      <c r="AE402" s="60">
        <v>0</v>
      </c>
      <c r="AF402" s="60">
        <v>0</v>
      </c>
      <c r="AG402" s="60">
        <v>0</v>
      </c>
      <c r="AH402" s="60">
        <v>0</v>
      </c>
      <c r="AI402" s="60">
        <v>0</v>
      </c>
      <c r="AJ402" s="60">
        <v>0</v>
      </c>
      <c r="AK402" s="60">
        <v>0</v>
      </c>
      <c r="AL402" s="60">
        <v>0</v>
      </c>
      <c r="AM402" s="60">
        <v>0</v>
      </c>
    </row>
    <row r="403" spans="1:39" ht="15.75" hidden="1" outlineLevel="1" thickBot="1">
      <c r="A403" s="61" t="s">
        <v>108</v>
      </c>
      <c r="B403" s="62">
        <v>0</v>
      </c>
      <c r="C403" s="62">
        <v>0</v>
      </c>
      <c r="D403" s="62">
        <v>0</v>
      </c>
      <c r="E403" s="62">
        <v>0</v>
      </c>
      <c r="F403" s="62">
        <v>0</v>
      </c>
      <c r="G403" s="62">
        <v>0</v>
      </c>
      <c r="H403" s="62">
        <v>0</v>
      </c>
      <c r="I403" s="62">
        <v>0</v>
      </c>
      <c r="J403" s="62">
        <v>0</v>
      </c>
      <c r="K403" s="62">
        <v>0</v>
      </c>
      <c r="L403" s="62">
        <v>0</v>
      </c>
      <c r="M403" s="62">
        <v>0</v>
      </c>
      <c r="N403" s="62">
        <v>0</v>
      </c>
      <c r="O403" s="62">
        <v>0</v>
      </c>
      <c r="P403" s="62">
        <v>0</v>
      </c>
      <c r="Q403" s="62">
        <v>0</v>
      </c>
      <c r="R403" s="62">
        <v>0</v>
      </c>
      <c r="S403" s="62">
        <v>0</v>
      </c>
      <c r="T403" s="62">
        <v>0</v>
      </c>
      <c r="U403" s="62">
        <v>0</v>
      </c>
      <c r="V403" s="62">
        <v>0</v>
      </c>
      <c r="W403" s="62">
        <v>0</v>
      </c>
      <c r="X403" s="62">
        <v>0</v>
      </c>
      <c r="Y403" s="62">
        <v>0</v>
      </c>
      <c r="Z403" s="62">
        <v>0</v>
      </c>
      <c r="AA403" s="62">
        <v>0</v>
      </c>
      <c r="AB403" s="62">
        <v>0</v>
      </c>
      <c r="AC403" s="62">
        <v>0</v>
      </c>
      <c r="AD403" s="62">
        <v>0</v>
      </c>
      <c r="AE403" s="62">
        <v>0</v>
      </c>
      <c r="AF403" s="62">
        <v>0</v>
      </c>
      <c r="AG403" s="62">
        <v>0</v>
      </c>
      <c r="AH403" s="62">
        <v>0</v>
      </c>
      <c r="AI403" s="62">
        <v>0</v>
      </c>
      <c r="AJ403" s="62">
        <v>0</v>
      </c>
      <c r="AK403" s="62">
        <v>0</v>
      </c>
      <c r="AL403" s="62">
        <v>0</v>
      </c>
      <c r="AM403" s="62">
        <v>0</v>
      </c>
    </row>
    <row r="404" spans="1:39" ht="17.25" collapsed="1" thickTop="1" thickBot="1">
      <c r="A404" s="65" t="s">
        <v>121</v>
      </c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</row>
    <row r="405" spans="1:39" ht="16.5" hidden="1" outlineLevel="1" thickTop="1" thickBot="1">
      <c r="A405" s="57" t="s">
        <v>41</v>
      </c>
      <c r="B405" s="58">
        <v>2013</v>
      </c>
      <c r="C405" s="58">
        <v>2014</v>
      </c>
      <c r="D405" s="58">
        <v>2015</v>
      </c>
      <c r="E405" s="58">
        <v>2016</v>
      </c>
      <c r="F405" s="58">
        <v>2017</v>
      </c>
      <c r="G405" s="58">
        <v>2018</v>
      </c>
      <c r="H405" s="58">
        <v>2019</v>
      </c>
      <c r="I405" s="58">
        <v>2020</v>
      </c>
      <c r="J405" s="58">
        <v>2021</v>
      </c>
      <c r="K405" s="58">
        <v>2022</v>
      </c>
      <c r="L405" s="58">
        <v>2023</v>
      </c>
      <c r="M405" s="58">
        <v>2024</v>
      </c>
      <c r="N405" s="58">
        <v>2025</v>
      </c>
      <c r="O405" s="58">
        <v>2026</v>
      </c>
      <c r="P405" s="58">
        <v>2027</v>
      </c>
      <c r="Q405" s="58">
        <v>2028</v>
      </c>
      <c r="R405" s="58">
        <v>2029</v>
      </c>
      <c r="S405" s="58">
        <v>2030</v>
      </c>
      <c r="T405" s="58">
        <v>2031</v>
      </c>
      <c r="U405" s="58">
        <v>2032</v>
      </c>
      <c r="V405" s="58">
        <v>2033</v>
      </c>
      <c r="W405" s="58">
        <v>2034</v>
      </c>
      <c r="X405" s="58">
        <v>2035</v>
      </c>
      <c r="Y405" s="58">
        <v>2036</v>
      </c>
      <c r="Z405" s="58">
        <v>2037</v>
      </c>
      <c r="AA405" s="58">
        <v>2038</v>
      </c>
      <c r="AB405" s="58">
        <v>2039</v>
      </c>
      <c r="AC405" s="58">
        <v>2040</v>
      </c>
      <c r="AD405" s="58">
        <v>2041</v>
      </c>
      <c r="AE405" s="58">
        <v>2042</v>
      </c>
      <c r="AF405" s="58">
        <v>2043</v>
      </c>
      <c r="AG405" s="58">
        <v>2044</v>
      </c>
      <c r="AH405" s="58">
        <v>2045</v>
      </c>
      <c r="AI405" s="58">
        <v>2046</v>
      </c>
      <c r="AJ405" s="58">
        <v>2047</v>
      </c>
      <c r="AK405" s="58">
        <v>2048</v>
      </c>
      <c r="AL405" s="58">
        <v>2049</v>
      </c>
      <c r="AM405" s="58">
        <v>2050</v>
      </c>
    </row>
    <row r="406" spans="1:39" ht="16.5" hidden="1" outlineLevel="1" thickTop="1" thickBot="1">
      <c r="A406" s="59" t="s">
        <v>83</v>
      </c>
      <c r="B406" s="60">
        <v>0</v>
      </c>
      <c r="C406" s="60">
        <v>0</v>
      </c>
      <c r="D406" s="60">
        <v>0</v>
      </c>
      <c r="E406" s="60">
        <v>0</v>
      </c>
      <c r="F406" s="60">
        <v>0</v>
      </c>
      <c r="G406" s="60">
        <v>0</v>
      </c>
      <c r="H406" s="60">
        <v>0</v>
      </c>
      <c r="I406" s="60">
        <v>0</v>
      </c>
      <c r="J406" s="60">
        <v>0</v>
      </c>
      <c r="K406" s="60">
        <v>0</v>
      </c>
      <c r="L406" s="60">
        <v>0</v>
      </c>
      <c r="M406" s="60">
        <v>0</v>
      </c>
      <c r="N406" s="60">
        <v>0</v>
      </c>
      <c r="O406" s="60">
        <v>0</v>
      </c>
      <c r="P406" s="60">
        <v>0</v>
      </c>
      <c r="Q406" s="60">
        <v>0</v>
      </c>
      <c r="R406" s="60">
        <v>0</v>
      </c>
      <c r="S406" s="60">
        <v>0</v>
      </c>
      <c r="T406" s="60">
        <v>0</v>
      </c>
      <c r="U406" s="60">
        <v>0</v>
      </c>
      <c r="V406" s="60">
        <v>0</v>
      </c>
      <c r="W406" s="60">
        <v>0</v>
      </c>
      <c r="X406" s="60">
        <v>0</v>
      </c>
      <c r="Y406" s="60">
        <v>0</v>
      </c>
      <c r="Z406" s="60">
        <v>0</v>
      </c>
      <c r="AA406" s="60">
        <v>0</v>
      </c>
      <c r="AB406" s="60">
        <v>0</v>
      </c>
      <c r="AC406" s="60">
        <v>0</v>
      </c>
      <c r="AD406" s="60">
        <v>0</v>
      </c>
      <c r="AE406" s="60">
        <v>0</v>
      </c>
      <c r="AF406" s="60">
        <v>0</v>
      </c>
      <c r="AG406" s="60">
        <v>0</v>
      </c>
      <c r="AH406" s="60">
        <v>0</v>
      </c>
      <c r="AI406" s="60">
        <v>0</v>
      </c>
      <c r="AJ406" s="60">
        <v>0</v>
      </c>
      <c r="AK406" s="60">
        <v>0</v>
      </c>
      <c r="AL406" s="60">
        <v>0</v>
      </c>
      <c r="AM406" s="60">
        <v>0</v>
      </c>
    </row>
    <row r="407" spans="1:39" ht="15.75" hidden="1" outlineLevel="1" thickBot="1">
      <c r="A407" s="59" t="s">
        <v>84</v>
      </c>
      <c r="B407" s="60">
        <v>0</v>
      </c>
      <c r="C407" s="60">
        <v>0</v>
      </c>
      <c r="D407" s="60">
        <v>0</v>
      </c>
      <c r="E407" s="60">
        <v>0</v>
      </c>
      <c r="F407" s="60">
        <v>0</v>
      </c>
      <c r="G407" s="60">
        <v>0</v>
      </c>
      <c r="H407" s="60">
        <v>0</v>
      </c>
      <c r="I407" s="60">
        <v>0</v>
      </c>
      <c r="J407" s="60">
        <v>0</v>
      </c>
      <c r="K407" s="60">
        <v>0</v>
      </c>
      <c r="L407" s="60">
        <v>0</v>
      </c>
      <c r="M407" s="60">
        <v>0</v>
      </c>
      <c r="N407" s="60">
        <v>0</v>
      </c>
      <c r="O407" s="60">
        <v>0</v>
      </c>
      <c r="P407" s="60">
        <v>0</v>
      </c>
      <c r="Q407" s="60">
        <v>0</v>
      </c>
      <c r="R407" s="60">
        <v>0</v>
      </c>
      <c r="S407" s="60">
        <v>0</v>
      </c>
      <c r="T407" s="60">
        <v>0</v>
      </c>
      <c r="U407" s="60">
        <v>0</v>
      </c>
      <c r="V407" s="60">
        <v>0</v>
      </c>
      <c r="W407" s="60">
        <v>0</v>
      </c>
      <c r="X407" s="60">
        <v>0</v>
      </c>
      <c r="Y407" s="60">
        <v>0</v>
      </c>
      <c r="Z407" s="60">
        <v>0</v>
      </c>
      <c r="AA407" s="60">
        <v>0</v>
      </c>
      <c r="AB407" s="60">
        <v>0</v>
      </c>
      <c r="AC407" s="60">
        <v>0</v>
      </c>
      <c r="AD407" s="60">
        <v>0</v>
      </c>
      <c r="AE407" s="60">
        <v>0</v>
      </c>
      <c r="AF407" s="60">
        <v>0</v>
      </c>
      <c r="AG407" s="60">
        <v>0</v>
      </c>
      <c r="AH407" s="60">
        <v>0</v>
      </c>
      <c r="AI407" s="60">
        <v>0</v>
      </c>
      <c r="AJ407" s="60">
        <v>0</v>
      </c>
      <c r="AK407" s="60">
        <v>0</v>
      </c>
      <c r="AL407" s="60">
        <v>0</v>
      </c>
      <c r="AM407" s="60">
        <v>0</v>
      </c>
    </row>
    <row r="408" spans="1:39" ht="15.75" hidden="1" outlineLevel="1" thickBot="1">
      <c r="A408" s="59" t="s">
        <v>85</v>
      </c>
      <c r="B408" s="60">
        <v>0</v>
      </c>
      <c r="C408" s="60">
        <v>0</v>
      </c>
      <c r="D408" s="60">
        <v>0</v>
      </c>
      <c r="E408" s="60">
        <v>0</v>
      </c>
      <c r="F408" s="60">
        <v>0</v>
      </c>
      <c r="G408" s="60">
        <v>0</v>
      </c>
      <c r="H408" s="60">
        <v>0</v>
      </c>
      <c r="I408" s="60">
        <v>0</v>
      </c>
      <c r="J408" s="60">
        <v>0</v>
      </c>
      <c r="K408" s="60">
        <v>0</v>
      </c>
      <c r="L408" s="60">
        <v>0</v>
      </c>
      <c r="M408" s="60">
        <v>0</v>
      </c>
      <c r="N408" s="60">
        <v>0</v>
      </c>
      <c r="O408" s="60">
        <v>0</v>
      </c>
      <c r="P408" s="60">
        <v>0</v>
      </c>
      <c r="Q408" s="60">
        <v>0</v>
      </c>
      <c r="R408" s="60">
        <v>0</v>
      </c>
      <c r="S408" s="60">
        <v>0</v>
      </c>
      <c r="T408" s="60">
        <v>0</v>
      </c>
      <c r="U408" s="60">
        <v>0</v>
      </c>
      <c r="V408" s="60">
        <v>0</v>
      </c>
      <c r="W408" s="60">
        <v>0</v>
      </c>
      <c r="X408" s="60">
        <v>0</v>
      </c>
      <c r="Y408" s="60">
        <v>0</v>
      </c>
      <c r="Z408" s="60">
        <v>0</v>
      </c>
      <c r="AA408" s="60">
        <v>0</v>
      </c>
      <c r="AB408" s="60">
        <v>0</v>
      </c>
      <c r="AC408" s="60">
        <v>0</v>
      </c>
      <c r="AD408" s="60">
        <v>0</v>
      </c>
      <c r="AE408" s="60">
        <v>0</v>
      </c>
      <c r="AF408" s="60">
        <v>0</v>
      </c>
      <c r="AG408" s="60">
        <v>0</v>
      </c>
      <c r="AH408" s="60">
        <v>0</v>
      </c>
      <c r="AI408" s="60">
        <v>0</v>
      </c>
      <c r="AJ408" s="60">
        <v>0</v>
      </c>
      <c r="AK408" s="60">
        <v>0</v>
      </c>
      <c r="AL408" s="60">
        <v>0</v>
      </c>
      <c r="AM408" s="60">
        <v>0</v>
      </c>
    </row>
    <row r="409" spans="1:39" ht="15.75" hidden="1" outlineLevel="1" thickBot="1">
      <c r="A409" s="59" t="s">
        <v>86</v>
      </c>
      <c r="B409" s="60">
        <v>0</v>
      </c>
      <c r="C409" s="60">
        <v>0</v>
      </c>
      <c r="D409" s="60">
        <v>0</v>
      </c>
      <c r="E409" s="60">
        <v>0</v>
      </c>
      <c r="F409" s="60">
        <v>0</v>
      </c>
      <c r="G409" s="60">
        <v>0</v>
      </c>
      <c r="H409" s="60">
        <v>0</v>
      </c>
      <c r="I409" s="60">
        <v>0</v>
      </c>
      <c r="J409" s="60">
        <v>0</v>
      </c>
      <c r="K409" s="60">
        <v>0</v>
      </c>
      <c r="L409" s="60">
        <v>0</v>
      </c>
      <c r="M409" s="60">
        <v>0</v>
      </c>
      <c r="N409" s="60">
        <v>0</v>
      </c>
      <c r="O409" s="60">
        <v>0</v>
      </c>
      <c r="P409" s="60">
        <v>0</v>
      </c>
      <c r="Q409" s="60">
        <v>0</v>
      </c>
      <c r="R409" s="60">
        <v>0</v>
      </c>
      <c r="S409" s="60">
        <v>0</v>
      </c>
      <c r="T409" s="60">
        <v>0</v>
      </c>
      <c r="U409" s="60">
        <v>0</v>
      </c>
      <c r="V409" s="60">
        <v>0</v>
      </c>
      <c r="W409" s="60">
        <v>0</v>
      </c>
      <c r="X409" s="60">
        <v>0</v>
      </c>
      <c r="Y409" s="60">
        <v>0</v>
      </c>
      <c r="Z409" s="60">
        <v>0</v>
      </c>
      <c r="AA409" s="60">
        <v>0</v>
      </c>
      <c r="AB409" s="60">
        <v>0</v>
      </c>
      <c r="AC409" s="60">
        <v>0</v>
      </c>
      <c r="AD409" s="60">
        <v>0</v>
      </c>
      <c r="AE409" s="60">
        <v>0</v>
      </c>
      <c r="AF409" s="60">
        <v>0</v>
      </c>
      <c r="AG409" s="60">
        <v>0</v>
      </c>
      <c r="AH409" s="60">
        <v>0</v>
      </c>
      <c r="AI409" s="60">
        <v>0</v>
      </c>
      <c r="AJ409" s="60">
        <v>0</v>
      </c>
      <c r="AK409" s="60">
        <v>0</v>
      </c>
      <c r="AL409" s="60">
        <v>0</v>
      </c>
      <c r="AM409" s="60">
        <v>0</v>
      </c>
    </row>
    <row r="410" spans="1:39" ht="15.75" hidden="1" outlineLevel="1" thickBot="1">
      <c r="A410" s="59" t="s">
        <v>87</v>
      </c>
      <c r="B410" s="60">
        <v>0</v>
      </c>
      <c r="C410" s="60">
        <v>0</v>
      </c>
      <c r="D410" s="60">
        <v>0</v>
      </c>
      <c r="E410" s="60">
        <v>0</v>
      </c>
      <c r="F410" s="60">
        <v>0</v>
      </c>
      <c r="G410" s="60">
        <v>0</v>
      </c>
      <c r="H410" s="60">
        <v>0</v>
      </c>
      <c r="I410" s="60">
        <v>0</v>
      </c>
      <c r="J410" s="60">
        <v>0</v>
      </c>
      <c r="K410" s="60">
        <v>0</v>
      </c>
      <c r="L410" s="60">
        <v>0</v>
      </c>
      <c r="M410" s="60">
        <v>0</v>
      </c>
      <c r="N410" s="60">
        <v>0</v>
      </c>
      <c r="O410" s="60">
        <v>0</v>
      </c>
      <c r="P410" s="60">
        <v>0</v>
      </c>
      <c r="Q410" s="60">
        <v>0</v>
      </c>
      <c r="R410" s="60">
        <v>0</v>
      </c>
      <c r="S410" s="60">
        <v>0</v>
      </c>
      <c r="T410" s="60">
        <v>0</v>
      </c>
      <c r="U410" s="60">
        <v>0</v>
      </c>
      <c r="V410" s="60">
        <v>0</v>
      </c>
      <c r="W410" s="60">
        <v>0</v>
      </c>
      <c r="X410" s="60">
        <v>0</v>
      </c>
      <c r="Y410" s="60">
        <v>0</v>
      </c>
      <c r="Z410" s="60">
        <v>0</v>
      </c>
      <c r="AA410" s="60">
        <v>0</v>
      </c>
      <c r="AB410" s="60">
        <v>0</v>
      </c>
      <c r="AC410" s="60">
        <v>0</v>
      </c>
      <c r="AD410" s="60">
        <v>0</v>
      </c>
      <c r="AE410" s="60">
        <v>0</v>
      </c>
      <c r="AF410" s="60">
        <v>0</v>
      </c>
      <c r="AG410" s="60">
        <v>0</v>
      </c>
      <c r="AH410" s="60">
        <v>0</v>
      </c>
      <c r="AI410" s="60">
        <v>0</v>
      </c>
      <c r="AJ410" s="60">
        <v>0</v>
      </c>
      <c r="AK410" s="60">
        <v>0</v>
      </c>
      <c r="AL410" s="60">
        <v>0</v>
      </c>
      <c r="AM410" s="60">
        <v>0</v>
      </c>
    </row>
    <row r="411" spans="1:39" ht="15.75" hidden="1" outlineLevel="1" thickBot="1">
      <c r="A411" s="59" t="s">
        <v>88</v>
      </c>
      <c r="B411" s="60">
        <v>0</v>
      </c>
      <c r="C411" s="60">
        <v>0</v>
      </c>
      <c r="D411" s="60">
        <v>0</v>
      </c>
      <c r="E411" s="60">
        <v>0</v>
      </c>
      <c r="F411" s="60">
        <v>0</v>
      </c>
      <c r="G411" s="60">
        <v>0</v>
      </c>
      <c r="H411" s="60">
        <v>0</v>
      </c>
      <c r="I411" s="60">
        <v>0</v>
      </c>
      <c r="J411" s="60">
        <v>0</v>
      </c>
      <c r="K411" s="60">
        <v>0</v>
      </c>
      <c r="L411" s="60">
        <v>0</v>
      </c>
      <c r="M411" s="60">
        <v>0</v>
      </c>
      <c r="N411" s="60">
        <v>0</v>
      </c>
      <c r="O411" s="60">
        <v>0</v>
      </c>
      <c r="P411" s="60">
        <v>0</v>
      </c>
      <c r="Q411" s="60">
        <v>0</v>
      </c>
      <c r="R411" s="60">
        <v>0</v>
      </c>
      <c r="S411" s="60">
        <v>0</v>
      </c>
      <c r="T411" s="60">
        <v>0</v>
      </c>
      <c r="U411" s="60">
        <v>0</v>
      </c>
      <c r="V411" s="60">
        <v>0</v>
      </c>
      <c r="W411" s="60">
        <v>0</v>
      </c>
      <c r="X411" s="60">
        <v>0</v>
      </c>
      <c r="Y411" s="60">
        <v>0</v>
      </c>
      <c r="Z411" s="60">
        <v>0</v>
      </c>
      <c r="AA411" s="60">
        <v>0</v>
      </c>
      <c r="AB411" s="60">
        <v>0</v>
      </c>
      <c r="AC411" s="60">
        <v>0</v>
      </c>
      <c r="AD411" s="60">
        <v>0</v>
      </c>
      <c r="AE411" s="60">
        <v>0</v>
      </c>
      <c r="AF411" s="60">
        <v>0</v>
      </c>
      <c r="AG411" s="60">
        <v>0</v>
      </c>
      <c r="AH411" s="60">
        <v>0</v>
      </c>
      <c r="AI411" s="60">
        <v>0</v>
      </c>
      <c r="AJ411" s="60">
        <v>0</v>
      </c>
      <c r="AK411" s="60">
        <v>0</v>
      </c>
      <c r="AL411" s="60">
        <v>0</v>
      </c>
      <c r="AM411" s="60">
        <v>0</v>
      </c>
    </row>
    <row r="412" spans="1:39" ht="15.75" hidden="1" outlineLevel="1" thickBot="1">
      <c r="A412" s="59" t="s">
        <v>89</v>
      </c>
      <c r="B412" s="60">
        <v>0</v>
      </c>
      <c r="C412" s="60">
        <v>0</v>
      </c>
      <c r="D412" s="60">
        <v>0</v>
      </c>
      <c r="E412" s="60">
        <v>0</v>
      </c>
      <c r="F412" s="60">
        <v>0</v>
      </c>
      <c r="G412" s="60">
        <v>0</v>
      </c>
      <c r="H412" s="60">
        <v>0</v>
      </c>
      <c r="I412" s="60">
        <v>0</v>
      </c>
      <c r="J412" s="60">
        <v>0</v>
      </c>
      <c r="K412" s="60">
        <v>0</v>
      </c>
      <c r="L412" s="60">
        <v>0</v>
      </c>
      <c r="M412" s="60">
        <v>0</v>
      </c>
      <c r="N412" s="60">
        <v>0</v>
      </c>
      <c r="O412" s="60">
        <v>0</v>
      </c>
      <c r="P412" s="60">
        <v>0</v>
      </c>
      <c r="Q412" s="60">
        <v>0</v>
      </c>
      <c r="R412" s="60">
        <v>0</v>
      </c>
      <c r="S412" s="60">
        <v>0</v>
      </c>
      <c r="T412" s="60">
        <v>0</v>
      </c>
      <c r="U412" s="60">
        <v>0</v>
      </c>
      <c r="V412" s="60">
        <v>0</v>
      </c>
      <c r="W412" s="60">
        <v>0</v>
      </c>
      <c r="X412" s="60">
        <v>0</v>
      </c>
      <c r="Y412" s="60">
        <v>0</v>
      </c>
      <c r="Z412" s="60">
        <v>0</v>
      </c>
      <c r="AA412" s="60">
        <v>0</v>
      </c>
      <c r="AB412" s="60">
        <v>0</v>
      </c>
      <c r="AC412" s="60">
        <v>0</v>
      </c>
      <c r="AD412" s="60">
        <v>0</v>
      </c>
      <c r="AE412" s="60">
        <v>0</v>
      </c>
      <c r="AF412" s="60">
        <v>0</v>
      </c>
      <c r="AG412" s="60">
        <v>0</v>
      </c>
      <c r="AH412" s="60">
        <v>0</v>
      </c>
      <c r="AI412" s="60">
        <v>0</v>
      </c>
      <c r="AJ412" s="60">
        <v>0</v>
      </c>
      <c r="AK412" s="60">
        <v>0</v>
      </c>
      <c r="AL412" s="60">
        <v>0</v>
      </c>
      <c r="AM412" s="60">
        <v>0</v>
      </c>
    </row>
    <row r="413" spans="1:39" ht="15.75" hidden="1" outlineLevel="1" thickBot="1">
      <c r="A413" s="59" t="s">
        <v>90</v>
      </c>
      <c r="B413" s="60">
        <v>0</v>
      </c>
      <c r="C413" s="60">
        <v>0</v>
      </c>
      <c r="D413" s="60">
        <v>0</v>
      </c>
      <c r="E413" s="60">
        <v>0</v>
      </c>
      <c r="F413" s="60">
        <v>0</v>
      </c>
      <c r="G413" s="60">
        <v>0</v>
      </c>
      <c r="H413" s="60">
        <v>0</v>
      </c>
      <c r="I413" s="60">
        <v>0</v>
      </c>
      <c r="J413" s="60">
        <v>0</v>
      </c>
      <c r="K413" s="60">
        <v>0</v>
      </c>
      <c r="L413" s="60">
        <v>0</v>
      </c>
      <c r="M413" s="60">
        <v>0</v>
      </c>
      <c r="N413" s="60">
        <v>0</v>
      </c>
      <c r="O413" s="60">
        <v>0</v>
      </c>
      <c r="P413" s="60">
        <v>0</v>
      </c>
      <c r="Q413" s="60">
        <v>0</v>
      </c>
      <c r="R413" s="60">
        <v>0</v>
      </c>
      <c r="S413" s="60">
        <v>0</v>
      </c>
      <c r="T413" s="60">
        <v>0</v>
      </c>
      <c r="U413" s="60">
        <v>0</v>
      </c>
      <c r="V413" s="60">
        <v>0</v>
      </c>
      <c r="W413" s="60">
        <v>0</v>
      </c>
      <c r="X413" s="60">
        <v>0</v>
      </c>
      <c r="Y413" s="60">
        <v>0</v>
      </c>
      <c r="Z413" s="60">
        <v>0</v>
      </c>
      <c r="AA413" s="60">
        <v>0</v>
      </c>
      <c r="AB413" s="60">
        <v>0</v>
      </c>
      <c r="AC413" s="60">
        <v>0</v>
      </c>
      <c r="AD413" s="60">
        <v>0</v>
      </c>
      <c r="AE413" s="60">
        <v>0</v>
      </c>
      <c r="AF413" s="60">
        <v>0</v>
      </c>
      <c r="AG413" s="60">
        <v>0</v>
      </c>
      <c r="AH413" s="60">
        <v>0</v>
      </c>
      <c r="AI413" s="60">
        <v>0</v>
      </c>
      <c r="AJ413" s="60">
        <v>0</v>
      </c>
      <c r="AK413" s="60">
        <v>0</v>
      </c>
      <c r="AL413" s="60">
        <v>0</v>
      </c>
      <c r="AM413" s="60">
        <v>0</v>
      </c>
    </row>
    <row r="414" spans="1:39" ht="15.75" hidden="1" outlineLevel="1" thickBot="1">
      <c r="A414" s="59" t="s">
        <v>91</v>
      </c>
      <c r="B414" s="60">
        <v>0</v>
      </c>
      <c r="C414" s="60">
        <v>0</v>
      </c>
      <c r="D414" s="60">
        <v>0</v>
      </c>
      <c r="E414" s="60">
        <v>0</v>
      </c>
      <c r="F414" s="60">
        <v>0</v>
      </c>
      <c r="G414" s="60">
        <v>0</v>
      </c>
      <c r="H414" s="60">
        <v>0</v>
      </c>
      <c r="I414" s="60">
        <v>0</v>
      </c>
      <c r="J414" s="60">
        <v>0</v>
      </c>
      <c r="K414" s="60">
        <v>0</v>
      </c>
      <c r="L414" s="60">
        <v>0</v>
      </c>
      <c r="M414" s="60">
        <v>0</v>
      </c>
      <c r="N414" s="60">
        <v>0</v>
      </c>
      <c r="O414" s="60">
        <v>0</v>
      </c>
      <c r="P414" s="60">
        <v>0</v>
      </c>
      <c r="Q414" s="60">
        <v>0</v>
      </c>
      <c r="R414" s="60">
        <v>0</v>
      </c>
      <c r="S414" s="60">
        <v>0</v>
      </c>
      <c r="T414" s="60">
        <v>0</v>
      </c>
      <c r="U414" s="60">
        <v>0</v>
      </c>
      <c r="V414" s="60">
        <v>0</v>
      </c>
      <c r="W414" s="60">
        <v>0</v>
      </c>
      <c r="X414" s="60">
        <v>0</v>
      </c>
      <c r="Y414" s="60">
        <v>0</v>
      </c>
      <c r="Z414" s="60">
        <v>0</v>
      </c>
      <c r="AA414" s="60">
        <v>0</v>
      </c>
      <c r="AB414" s="60">
        <v>0</v>
      </c>
      <c r="AC414" s="60">
        <v>0</v>
      </c>
      <c r="AD414" s="60">
        <v>0</v>
      </c>
      <c r="AE414" s="60">
        <v>0</v>
      </c>
      <c r="AF414" s="60">
        <v>0</v>
      </c>
      <c r="AG414" s="60">
        <v>0</v>
      </c>
      <c r="AH414" s="60">
        <v>0</v>
      </c>
      <c r="AI414" s="60">
        <v>0</v>
      </c>
      <c r="AJ414" s="60">
        <v>0</v>
      </c>
      <c r="AK414" s="60">
        <v>0</v>
      </c>
      <c r="AL414" s="60">
        <v>0</v>
      </c>
      <c r="AM414" s="60">
        <v>0</v>
      </c>
    </row>
    <row r="415" spans="1:39" ht="15.75" hidden="1" outlineLevel="1" thickBot="1">
      <c r="A415" s="59" t="s">
        <v>92</v>
      </c>
      <c r="B415" s="60">
        <v>0</v>
      </c>
      <c r="C415" s="60">
        <v>0</v>
      </c>
      <c r="D415" s="60">
        <v>0</v>
      </c>
      <c r="E415" s="60">
        <v>0</v>
      </c>
      <c r="F415" s="60">
        <v>0</v>
      </c>
      <c r="G415" s="60">
        <v>0</v>
      </c>
      <c r="H415" s="60">
        <v>0</v>
      </c>
      <c r="I415" s="60">
        <v>0</v>
      </c>
      <c r="J415" s="60">
        <v>0</v>
      </c>
      <c r="K415" s="60">
        <v>0</v>
      </c>
      <c r="L415" s="60">
        <v>0</v>
      </c>
      <c r="M415" s="60">
        <v>0</v>
      </c>
      <c r="N415" s="60">
        <v>0</v>
      </c>
      <c r="O415" s="60">
        <v>0</v>
      </c>
      <c r="P415" s="60">
        <v>0</v>
      </c>
      <c r="Q415" s="60">
        <v>0</v>
      </c>
      <c r="R415" s="60">
        <v>0</v>
      </c>
      <c r="S415" s="60">
        <v>0</v>
      </c>
      <c r="T415" s="60">
        <v>0</v>
      </c>
      <c r="U415" s="60">
        <v>0</v>
      </c>
      <c r="V415" s="60">
        <v>0</v>
      </c>
      <c r="W415" s="60">
        <v>0</v>
      </c>
      <c r="X415" s="60">
        <v>0</v>
      </c>
      <c r="Y415" s="60">
        <v>0</v>
      </c>
      <c r="Z415" s="60">
        <v>0</v>
      </c>
      <c r="AA415" s="60">
        <v>0</v>
      </c>
      <c r="AB415" s="60">
        <v>0</v>
      </c>
      <c r="AC415" s="60">
        <v>0</v>
      </c>
      <c r="AD415" s="60">
        <v>0</v>
      </c>
      <c r="AE415" s="60">
        <v>0</v>
      </c>
      <c r="AF415" s="60">
        <v>0</v>
      </c>
      <c r="AG415" s="60">
        <v>0</v>
      </c>
      <c r="AH415" s="60">
        <v>0</v>
      </c>
      <c r="AI415" s="60">
        <v>0</v>
      </c>
      <c r="AJ415" s="60">
        <v>0</v>
      </c>
      <c r="AK415" s="60">
        <v>0</v>
      </c>
      <c r="AL415" s="60">
        <v>0</v>
      </c>
      <c r="AM415" s="60">
        <v>0</v>
      </c>
    </row>
    <row r="416" spans="1:39" ht="15.75" hidden="1" outlineLevel="1" thickBot="1">
      <c r="A416" s="59" t="s">
        <v>93</v>
      </c>
      <c r="B416" s="60">
        <v>0</v>
      </c>
      <c r="C416" s="60">
        <v>0</v>
      </c>
      <c r="D416" s="60">
        <v>0</v>
      </c>
      <c r="E416" s="60">
        <v>0</v>
      </c>
      <c r="F416" s="60">
        <v>0</v>
      </c>
      <c r="G416" s="60">
        <v>0</v>
      </c>
      <c r="H416" s="60">
        <v>0</v>
      </c>
      <c r="I416" s="60">
        <v>0</v>
      </c>
      <c r="J416" s="60">
        <v>0</v>
      </c>
      <c r="K416" s="60">
        <v>0</v>
      </c>
      <c r="L416" s="60">
        <v>0</v>
      </c>
      <c r="M416" s="60">
        <v>0</v>
      </c>
      <c r="N416" s="60">
        <v>0</v>
      </c>
      <c r="O416" s="60">
        <v>0</v>
      </c>
      <c r="P416" s="60">
        <v>0</v>
      </c>
      <c r="Q416" s="60">
        <v>0</v>
      </c>
      <c r="R416" s="60">
        <v>0</v>
      </c>
      <c r="S416" s="60">
        <v>0</v>
      </c>
      <c r="T416" s="60">
        <v>0</v>
      </c>
      <c r="U416" s="60">
        <v>0</v>
      </c>
      <c r="V416" s="60">
        <v>0</v>
      </c>
      <c r="W416" s="60">
        <v>0</v>
      </c>
      <c r="X416" s="60">
        <v>0</v>
      </c>
      <c r="Y416" s="60">
        <v>0</v>
      </c>
      <c r="Z416" s="60">
        <v>0</v>
      </c>
      <c r="AA416" s="60">
        <v>0</v>
      </c>
      <c r="AB416" s="60">
        <v>0</v>
      </c>
      <c r="AC416" s="60">
        <v>0</v>
      </c>
      <c r="AD416" s="60">
        <v>0</v>
      </c>
      <c r="AE416" s="60">
        <v>0</v>
      </c>
      <c r="AF416" s="60">
        <v>0</v>
      </c>
      <c r="AG416" s="60">
        <v>0</v>
      </c>
      <c r="AH416" s="60">
        <v>0</v>
      </c>
      <c r="AI416" s="60">
        <v>0</v>
      </c>
      <c r="AJ416" s="60">
        <v>0</v>
      </c>
      <c r="AK416" s="60">
        <v>0</v>
      </c>
      <c r="AL416" s="60">
        <v>0</v>
      </c>
      <c r="AM416" s="60">
        <v>0</v>
      </c>
    </row>
    <row r="417" spans="1:39" ht="15.75" hidden="1" outlineLevel="1" thickBot="1">
      <c r="A417" s="59" t="s">
        <v>94</v>
      </c>
      <c r="B417" s="60">
        <v>0</v>
      </c>
      <c r="C417" s="60">
        <v>0</v>
      </c>
      <c r="D417" s="60">
        <v>0</v>
      </c>
      <c r="E417" s="60">
        <v>0</v>
      </c>
      <c r="F417" s="60">
        <v>0</v>
      </c>
      <c r="G417" s="60">
        <v>0</v>
      </c>
      <c r="H417" s="60">
        <v>0</v>
      </c>
      <c r="I417" s="60">
        <v>0</v>
      </c>
      <c r="J417" s="60">
        <v>0</v>
      </c>
      <c r="K417" s="60">
        <v>0</v>
      </c>
      <c r="L417" s="60">
        <v>0</v>
      </c>
      <c r="M417" s="60">
        <v>0</v>
      </c>
      <c r="N417" s="60">
        <v>0</v>
      </c>
      <c r="O417" s="60">
        <v>0</v>
      </c>
      <c r="P417" s="60">
        <v>0</v>
      </c>
      <c r="Q417" s="60">
        <v>0</v>
      </c>
      <c r="R417" s="60">
        <v>0</v>
      </c>
      <c r="S417" s="60">
        <v>0</v>
      </c>
      <c r="T417" s="60">
        <v>0</v>
      </c>
      <c r="U417" s="60">
        <v>0</v>
      </c>
      <c r="V417" s="60">
        <v>0</v>
      </c>
      <c r="W417" s="60">
        <v>0</v>
      </c>
      <c r="X417" s="60">
        <v>0</v>
      </c>
      <c r="Y417" s="60">
        <v>0</v>
      </c>
      <c r="Z417" s="60">
        <v>0</v>
      </c>
      <c r="AA417" s="60">
        <v>0</v>
      </c>
      <c r="AB417" s="60">
        <v>0</v>
      </c>
      <c r="AC417" s="60">
        <v>0</v>
      </c>
      <c r="AD417" s="60">
        <v>0</v>
      </c>
      <c r="AE417" s="60">
        <v>0</v>
      </c>
      <c r="AF417" s="60">
        <v>0</v>
      </c>
      <c r="AG417" s="60">
        <v>0</v>
      </c>
      <c r="AH417" s="60">
        <v>0</v>
      </c>
      <c r="AI417" s="60">
        <v>0</v>
      </c>
      <c r="AJ417" s="60">
        <v>0</v>
      </c>
      <c r="AK417" s="60">
        <v>0</v>
      </c>
      <c r="AL417" s="60">
        <v>0</v>
      </c>
      <c r="AM417" s="60">
        <v>0</v>
      </c>
    </row>
    <row r="418" spans="1:39" ht="15.75" hidden="1" outlineLevel="1" thickBot="1">
      <c r="A418" s="59" t="s">
        <v>95</v>
      </c>
      <c r="B418" s="60">
        <v>0</v>
      </c>
      <c r="C418" s="60">
        <v>0</v>
      </c>
      <c r="D418" s="60">
        <v>0</v>
      </c>
      <c r="E418" s="60">
        <v>0</v>
      </c>
      <c r="F418" s="60">
        <v>0</v>
      </c>
      <c r="G418" s="60">
        <v>0</v>
      </c>
      <c r="H418" s="60">
        <v>0</v>
      </c>
      <c r="I418" s="60">
        <v>0</v>
      </c>
      <c r="J418" s="60">
        <v>0</v>
      </c>
      <c r="K418" s="60">
        <v>0</v>
      </c>
      <c r="L418" s="60">
        <v>0</v>
      </c>
      <c r="M418" s="60">
        <v>0</v>
      </c>
      <c r="N418" s="60">
        <v>0</v>
      </c>
      <c r="O418" s="60">
        <v>0</v>
      </c>
      <c r="P418" s="60">
        <v>0</v>
      </c>
      <c r="Q418" s="60">
        <v>0</v>
      </c>
      <c r="R418" s="60">
        <v>0</v>
      </c>
      <c r="S418" s="60">
        <v>0</v>
      </c>
      <c r="T418" s="60">
        <v>0</v>
      </c>
      <c r="U418" s="60">
        <v>0</v>
      </c>
      <c r="V418" s="60">
        <v>0</v>
      </c>
      <c r="W418" s="60">
        <v>0</v>
      </c>
      <c r="X418" s="60">
        <v>0</v>
      </c>
      <c r="Y418" s="60">
        <v>0</v>
      </c>
      <c r="Z418" s="60">
        <v>0</v>
      </c>
      <c r="AA418" s="60">
        <v>0</v>
      </c>
      <c r="AB418" s="60">
        <v>0</v>
      </c>
      <c r="AC418" s="60">
        <v>0</v>
      </c>
      <c r="AD418" s="60">
        <v>0</v>
      </c>
      <c r="AE418" s="60">
        <v>0</v>
      </c>
      <c r="AF418" s="60">
        <v>0</v>
      </c>
      <c r="AG418" s="60">
        <v>0</v>
      </c>
      <c r="AH418" s="60">
        <v>0</v>
      </c>
      <c r="AI418" s="60">
        <v>0</v>
      </c>
      <c r="AJ418" s="60">
        <v>0</v>
      </c>
      <c r="AK418" s="60">
        <v>0</v>
      </c>
      <c r="AL418" s="60">
        <v>0</v>
      </c>
      <c r="AM418" s="60">
        <v>0</v>
      </c>
    </row>
    <row r="419" spans="1:39" ht="15.75" hidden="1" outlineLevel="1" thickBot="1">
      <c r="A419" s="59" t="s">
        <v>96</v>
      </c>
      <c r="B419" s="60">
        <v>0</v>
      </c>
      <c r="C419" s="60">
        <v>0</v>
      </c>
      <c r="D419" s="60">
        <v>0</v>
      </c>
      <c r="E419" s="60">
        <v>0</v>
      </c>
      <c r="F419" s="60">
        <v>0</v>
      </c>
      <c r="G419" s="60">
        <v>0</v>
      </c>
      <c r="H419" s="60">
        <v>0</v>
      </c>
      <c r="I419" s="60">
        <v>0</v>
      </c>
      <c r="J419" s="60">
        <v>0</v>
      </c>
      <c r="K419" s="60">
        <v>0</v>
      </c>
      <c r="L419" s="60">
        <v>0</v>
      </c>
      <c r="M419" s="60">
        <v>0</v>
      </c>
      <c r="N419" s="60">
        <v>0</v>
      </c>
      <c r="O419" s="60">
        <v>0</v>
      </c>
      <c r="P419" s="60">
        <v>0</v>
      </c>
      <c r="Q419" s="60">
        <v>0</v>
      </c>
      <c r="R419" s="60">
        <v>0</v>
      </c>
      <c r="S419" s="60">
        <v>0</v>
      </c>
      <c r="T419" s="60">
        <v>0</v>
      </c>
      <c r="U419" s="60">
        <v>0</v>
      </c>
      <c r="V419" s="60">
        <v>0</v>
      </c>
      <c r="W419" s="60">
        <v>0</v>
      </c>
      <c r="X419" s="60">
        <v>0</v>
      </c>
      <c r="Y419" s="60">
        <v>0</v>
      </c>
      <c r="Z419" s="60">
        <v>0</v>
      </c>
      <c r="AA419" s="60">
        <v>0</v>
      </c>
      <c r="AB419" s="60">
        <v>0</v>
      </c>
      <c r="AC419" s="60">
        <v>0</v>
      </c>
      <c r="AD419" s="60">
        <v>0</v>
      </c>
      <c r="AE419" s="60">
        <v>0</v>
      </c>
      <c r="AF419" s="60">
        <v>0</v>
      </c>
      <c r="AG419" s="60">
        <v>0</v>
      </c>
      <c r="AH419" s="60">
        <v>0</v>
      </c>
      <c r="AI419" s="60">
        <v>0</v>
      </c>
      <c r="AJ419" s="60">
        <v>0</v>
      </c>
      <c r="AK419" s="60">
        <v>0</v>
      </c>
      <c r="AL419" s="60">
        <v>0</v>
      </c>
      <c r="AM419" s="60">
        <v>0</v>
      </c>
    </row>
    <row r="420" spans="1:39" ht="15.75" hidden="1" outlineLevel="1" thickBot="1">
      <c r="A420" s="59" t="s">
        <v>97</v>
      </c>
      <c r="B420" s="60">
        <v>0</v>
      </c>
      <c r="C420" s="60">
        <v>0</v>
      </c>
      <c r="D420" s="60">
        <v>0</v>
      </c>
      <c r="E420" s="60">
        <v>0</v>
      </c>
      <c r="F420" s="60">
        <v>0</v>
      </c>
      <c r="G420" s="60">
        <v>0</v>
      </c>
      <c r="H420" s="60">
        <v>0</v>
      </c>
      <c r="I420" s="60">
        <v>0</v>
      </c>
      <c r="J420" s="60">
        <v>0</v>
      </c>
      <c r="K420" s="60">
        <v>0</v>
      </c>
      <c r="L420" s="60">
        <v>0</v>
      </c>
      <c r="M420" s="60">
        <v>0</v>
      </c>
      <c r="N420" s="60">
        <v>0</v>
      </c>
      <c r="O420" s="60">
        <v>0</v>
      </c>
      <c r="P420" s="60">
        <v>0</v>
      </c>
      <c r="Q420" s="60">
        <v>0</v>
      </c>
      <c r="R420" s="60">
        <v>0</v>
      </c>
      <c r="S420" s="60">
        <v>0</v>
      </c>
      <c r="T420" s="60">
        <v>0</v>
      </c>
      <c r="U420" s="60">
        <v>0</v>
      </c>
      <c r="V420" s="60">
        <v>0</v>
      </c>
      <c r="W420" s="60">
        <v>0</v>
      </c>
      <c r="X420" s="60">
        <v>0</v>
      </c>
      <c r="Y420" s="60">
        <v>0</v>
      </c>
      <c r="Z420" s="60">
        <v>0</v>
      </c>
      <c r="AA420" s="60">
        <v>0</v>
      </c>
      <c r="AB420" s="60">
        <v>0</v>
      </c>
      <c r="AC420" s="60">
        <v>0</v>
      </c>
      <c r="AD420" s="60">
        <v>0</v>
      </c>
      <c r="AE420" s="60">
        <v>0</v>
      </c>
      <c r="AF420" s="60">
        <v>0</v>
      </c>
      <c r="AG420" s="60">
        <v>0</v>
      </c>
      <c r="AH420" s="60">
        <v>0</v>
      </c>
      <c r="AI420" s="60">
        <v>0</v>
      </c>
      <c r="AJ420" s="60">
        <v>0</v>
      </c>
      <c r="AK420" s="60">
        <v>0</v>
      </c>
      <c r="AL420" s="60">
        <v>0</v>
      </c>
      <c r="AM420" s="60">
        <v>0</v>
      </c>
    </row>
    <row r="421" spans="1:39" ht="15.75" hidden="1" outlineLevel="1" thickBot="1">
      <c r="A421" s="59" t="s">
        <v>98</v>
      </c>
      <c r="B421" s="60">
        <v>0</v>
      </c>
      <c r="C421" s="60">
        <v>0</v>
      </c>
      <c r="D421" s="60">
        <v>0</v>
      </c>
      <c r="E421" s="60">
        <v>0</v>
      </c>
      <c r="F421" s="60">
        <v>0</v>
      </c>
      <c r="G421" s="60">
        <v>0</v>
      </c>
      <c r="H421" s="60">
        <v>0</v>
      </c>
      <c r="I421" s="60">
        <v>0</v>
      </c>
      <c r="J421" s="60">
        <v>0</v>
      </c>
      <c r="K421" s="60">
        <v>0</v>
      </c>
      <c r="L421" s="60">
        <v>0</v>
      </c>
      <c r="M421" s="60">
        <v>0</v>
      </c>
      <c r="N421" s="60">
        <v>0</v>
      </c>
      <c r="O421" s="60">
        <v>0</v>
      </c>
      <c r="P421" s="60">
        <v>0</v>
      </c>
      <c r="Q421" s="60">
        <v>0</v>
      </c>
      <c r="R421" s="60">
        <v>0</v>
      </c>
      <c r="S421" s="60">
        <v>0</v>
      </c>
      <c r="T421" s="60">
        <v>0</v>
      </c>
      <c r="U421" s="60">
        <v>0</v>
      </c>
      <c r="V421" s="60">
        <v>0</v>
      </c>
      <c r="W421" s="60">
        <v>0</v>
      </c>
      <c r="X421" s="60">
        <v>0</v>
      </c>
      <c r="Y421" s="60">
        <v>0</v>
      </c>
      <c r="Z421" s="60">
        <v>0</v>
      </c>
      <c r="AA421" s="60">
        <v>0</v>
      </c>
      <c r="AB421" s="60">
        <v>0</v>
      </c>
      <c r="AC421" s="60">
        <v>0</v>
      </c>
      <c r="AD421" s="60">
        <v>0</v>
      </c>
      <c r="AE421" s="60">
        <v>0</v>
      </c>
      <c r="AF421" s="60">
        <v>0</v>
      </c>
      <c r="AG421" s="60">
        <v>0</v>
      </c>
      <c r="AH421" s="60">
        <v>0</v>
      </c>
      <c r="AI421" s="60">
        <v>0</v>
      </c>
      <c r="AJ421" s="60">
        <v>0</v>
      </c>
      <c r="AK421" s="60">
        <v>0</v>
      </c>
      <c r="AL421" s="60">
        <v>0</v>
      </c>
      <c r="AM421" s="60">
        <v>0</v>
      </c>
    </row>
    <row r="422" spans="1:39" ht="15.75" hidden="1" outlineLevel="1" thickBot="1">
      <c r="A422" s="59" t="s">
        <v>99</v>
      </c>
      <c r="B422" s="60">
        <v>0</v>
      </c>
      <c r="C422" s="60">
        <v>0</v>
      </c>
      <c r="D422" s="60">
        <v>0</v>
      </c>
      <c r="E422" s="60">
        <v>0</v>
      </c>
      <c r="F422" s="60">
        <v>0</v>
      </c>
      <c r="G422" s="60">
        <v>0</v>
      </c>
      <c r="H422" s="60">
        <v>0</v>
      </c>
      <c r="I422" s="60">
        <v>0</v>
      </c>
      <c r="J422" s="60">
        <v>0</v>
      </c>
      <c r="K422" s="60">
        <v>0</v>
      </c>
      <c r="L422" s="60">
        <v>0</v>
      </c>
      <c r="M422" s="60">
        <v>0</v>
      </c>
      <c r="N422" s="60">
        <v>0</v>
      </c>
      <c r="O422" s="60">
        <v>0</v>
      </c>
      <c r="P422" s="60">
        <v>0</v>
      </c>
      <c r="Q422" s="60">
        <v>0</v>
      </c>
      <c r="R422" s="60">
        <v>0</v>
      </c>
      <c r="S422" s="60">
        <v>0</v>
      </c>
      <c r="T422" s="60">
        <v>0</v>
      </c>
      <c r="U422" s="60">
        <v>0</v>
      </c>
      <c r="V422" s="60">
        <v>0</v>
      </c>
      <c r="W422" s="60">
        <v>0</v>
      </c>
      <c r="X422" s="60">
        <v>0</v>
      </c>
      <c r="Y422" s="60">
        <v>0</v>
      </c>
      <c r="Z422" s="60">
        <v>0</v>
      </c>
      <c r="AA422" s="60">
        <v>0</v>
      </c>
      <c r="AB422" s="60">
        <v>0</v>
      </c>
      <c r="AC422" s="60">
        <v>0</v>
      </c>
      <c r="AD422" s="60">
        <v>0</v>
      </c>
      <c r="AE422" s="60">
        <v>0</v>
      </c>
      <c r="AF422" s="60">
        <v>0</v>
      </c>
      <c r="AG422" s="60">
        <v>0</v>
      </c>
      <c r="AH422" s="60">
        <v>0</v>
      </c>
      <c r="AI422" s="60">
        <v>0</v>
      </c>
      <c r="AJ422" s="60">
        <v>0</v>
      </c>
      <c r="AK422" s="60">
        <v>0</v>
      </c>
      <c r="AL422" s="60">
        <v>0</v>
      </c>
      <c r="AM422" s="60">
        <v>0</v>
      </c>
    </row>
    <row r="423" spans="1:39" ht="15.75" hidden="1" outlineLevel="1" thickBot="1">
      <c r="A423" s="59" t="s">
        <v>100</v>
      </c>
      <c r="B423" s="60">
        <v>0</v>
      </c>
      <c r="C423" s="60">
        <v>0</v>
      </c>
      <c r="D423" s="60">
        <v>0</v>
      </c>
      <c r="E423" s="60">
        <v>0</v>
      </c>
      <c r="F423" s="60">
        <v>0</v>
      </c>
      <c r="G423" s="60">
        <v>0</v>
      </c>
      <c r="H423" s="60">
        <v>0</v>
      </c>
      <c r="I423" s="60">
        <v>0</v>
      </c>
      <c r="J423" s="60">
        <v>0</v>
      </c>
      <c r="K423" s="60">
        <v>0</v>
      </c>
      <c r="L423" s="60">
        <v>0</v>
      </c>
      <c r="M423" s="60">
        <v>0</v>
      </c>
      <c r="N423" s="60">
        <v>0</v>
      </c>
      <c r="O423" s="60">
        <v>0</v>
      </c>
      <c r="P423" s="60">
        <v>0</v>
      </c>
      <c r="Q423" s="60">
        <v>0</v>
      </c>
      <c r="R423" s="60">
        <v>0</v>
      </c>
      <c r="S423" s="60">
        <v>0</v>
      </c>
      <c r="T423" s="60">
        <v>0</v>
      </c>
      <c r="U423" s="60">
        <v>0</v>
      </c>
      <c r="V423" s="60">
        <v>0</v>
      </c>
      <c r="W423" s="60">
        <v>0</v>
      </c>
      <c r="X423" s="60">
        <v>0</v>
      </c>
      <c r="Y423" s="60">
        <v>0</v>
      </c>
      <c r="Z423" s="60">
        <v>0</v>
      </c>
      <c r="AA423" s="60">
        <v>0</v>
      </c>
      <c r="AB423" s="60">
        <v>0</v>
      </c>
      <c r="AC423" s="60">
        <v>0</v>
      </c>
      <c r="AD423" s="60">
        <v>0</v>
      </c>
      <c r="AE423" s="60">
        <v>0</v>
      </c>
      <c r="AF423" s="60">
        <v>0</v>
      </c>
      <c r="AG423" s="60">
        <v>0</v>
      </c>
      <c r="AH423" s="60">
        <v>0</v>
      </c>
      <c r="AI423" s="60">
        <v>0</v>
      </c>
      <c r="AJ423" s="60">
        <v>0</v>
      </c>
      <c r="AK423" s="60">
        <v>0</v>
      </c>
      <c r="AL423" s="60">
        <v>0</v>
      </c>
      <c r="AM423" s="60">
        <v>0</v>
      </c>
    </row>
    <row r="424" spans="1:39" ht="15.75" hidden="1" outlineLevel="1" thickBot="1">
      <c r="A424" s="59" t="s">
        <v>101</v>
      </c>
      <c r="B424" s="60">
        <v>0</v>
      </c>
      <c r="C424" s="60">
        <v>0</v>
      </c>
      <c r="D424" s="60">
        <v>0</v>
      </c>
      <c r="E424" s="60">
        <v>0</v>
      </c>
      <c r="F424" s="60">
        <v>0</v>
      </c>
      <c r="G424" s="60">
        <v>0</v>
      </c>
      <c r="H424" s="60">
        <v>0</v>
      </c>
      <c r="I424" s="60">
        <v>0</v>
      </c>
      <c r="J424" s="60">
        <v>0</v>
      </c>
      <c r="K424" s="60">
        <v>0</v>
      </c>
      <c r="L424" s="60">
        <v>0</v>
      </c>
      <c r="M424" s="60">
        <v>0</v>
      </c>
      <c r="N424" s="60">
        <v>0</v>
      </c>
      <c r="O424" s="60">
        <v>0</v>
      </c>
      <c r="P424" s="60">
        <v>0</v>
      </c>
      <c r="Q424" s="60">
        <v>0</v>
      </c>
      <c r="R424" s="60">
        <v>0</v>
      </c>
      <c r="S424" s="60">
        <v>0</v>
      </c>
      <c r="T424" s="60">
        <v>0</v>
      </c>
      <c r="U424" s="60">
        <v>0</v>
      </c>
      <c r="V424" s="60">
        <v>0</v>
      </c>
      <c r="W424" s="60">
        <v>0</v>
      </c>
      <c r="X424" s="60">
        <v>0</v>
      </c>
      <c r="Y424" s="60">
        <v>0</v>
      </c>
      <c r="Z424" s="60">
        <v>0</v>
      </c>
      <c r="AA424" s="60">
        <v>0</v>
      </c>
      <c r="AB424" s="60">
        <v>0</v>
      </c>
      <c r="AC424" s="60">
        <v>0</v>
      </c>
      <c r="AD424" s="60">
        <v>0</v>
      </c>
      <c r="AE424" s="60">
        <v>0</v>
      </c>
      <c r="AF424" s="60">
        <v>0</v>
      </c>
      <c r="AG424" s="60">
        <v>0</v>
      </c>
      <c r="AH424" s="60">
        <v>0</v>
      </c>
      <c r="AI424" s="60">
        <v>0</v>
      </c>
      <c r="AJ424" s="60">
        <v>0</v>
      </c>
      <c r="AK424" s="60">
        <v>0</v>
      </c>
      <c r="AL424" s="60">
        <v>0</v>
      </c>
      <c r="AM424" s="60">
        <v>0</v>
      </c>
    </row>
    <row r="425" spans="1:39" ht="15.75" hidden="1" outlineLevel="1" thickBot="1">
      <c r="A425" s="59" t="s">
        <v>102</v>
      </c>
      <c r="B425" s="60">
        <v>0.02</v>
      </c>
      <c r="C425" s="60">
        <v>0.02</v>
      </c>
      <c r="D425" s="60">
        <v>0.02</v>
      </c>
      <c r="E425" s="60">
        <v>0.02</v>
      </c>
      <c r="F425" s="60">
        <v>0.02</v>
      </c>
      <c r="G425" s="60">
        <v>0.02</v>
      </c>
      <c r="H425" s="60">
        <v>0.02</v>
      </c>
      <c r="I425" s="60">
        <v>0.03</v>
      </c>
      <c r="J425" s="60">
        <v>0.02</v>
      </c>
      <c r="K425" s="60">
        <v>0.02</v>
      </c>
      <c r="L425" s="60">
        <v>0.02</v>
      </c>
      <c r="M425" s="60">
        <v>0.02</v>
      </c>
      <c r="N425" s="60">
        <v>0.02</v>
      </c>
      <c r="O425" s="60">
        <v>0.02</v>
      </c>
      <c r="P425" s="60">
        <v>0.02</v>
      </c>
      <c r="Q425" s="60">
        <v>0.02</v>
      </c>
      <c r="R425" s="60">
        <v>0.02</v>
      </c>
      <c r="S425" s="60">
        <v>0.02</v>
      </c>
      <c r="T425" s="60">
        <v>0.02</v>
      </c>
      <c r="U425" s="60">
        <v>0.02</v>
      </c>
      <c r="V425" s="60">
        <v>0.02</v>
      </c>
      <c r="W425" s="60">
        <v>0.02</v>
      </c>
      <c r="X425" s="60">
        <v>0.03</v>
      </c>
      <c r="Y425" s="60">
        <v>0.03</v>
      </c>
      <c r="Z425" s="60">
        <v>0.03</v>
      </c>
      <c r="AA425" s="60">
        <v>0.03</v>
      </c>
      <c r="AB425" s="60">
        <v>0.03</v>
      </c>
      <c r="AC425" s="60">
        <v>0.03</v>
      </c>
      <c r="AD425" s="60">
        <v>0.03</v>
      </c>
      <c r="AE425" s="60">
        <v>0.03</v>
      </c>
      <c r="AF425" s="60">
        <v>0.03</v>
      </c>
      <c r="AG425" s="60">
        <v>0.03</v>
      </c>
      <c r="AH425" s="60">
        <v>0.03</v>
      </c>
      <c r="AI425" s="60">
        <v>0.03</v>
      </c>
      <c r="AJ425" s="60">
        <v>0.03</v>
      </c>
      <c r="AK425" s="60">
        <v>0.03</v>
      </c>
      <c r="AL425" s="60">
        <v>0.03</v>
      </c>
      <c r="AM425" s="60">
        <v>0.03</v>
      </c>
    </row>
    <row r="426" spans="1:39" ht="15.75" hidden="1" outlineLevel="1" thickBot="1">
      <c r="A426" s="59" t="s">
        <v>103</v>
      </c>
      <c r="B426" s="60">
        <v>0</v>
      </c>
      <c r="C426" s="60">
        <v>0</v>
      </c>
      <c r="D426" s="60">
        <v>0</v>
      </c>
      <c r="E426" s="60">
        <v>0</v>
      </c>
      <c r="F426" s="60">
        <v>0</v>
      </c>
      <c r="G426" s="60">
        <v>0</v>
      </c>
      <c r="H426" s="60">
        <v>0</v>
      </c>
      <c r="I426" s="60">
        <v>0</v>
      </c>
      <c r="J426" s="60">
        <v>0</v>
      </c>
      <c r="K426" s="60">
        <v>0</v>
      </c>
      <c r="L426" s="60">
        <v>0</v>
      </c>
      <c r="M426" s="60">
        <v>0</v>
      </c>
      <c r="N426" s="60">
        <v>0</v>
      </c>
      <c r="O426" s="60">
        <v>0</v>
      </c>
      <c r="P426" s="60">
        <v>0</v>
      </c>
      <c r="Q426" s="60">
        <v>0</v>
      </c>
      <c r="R426" s="60">
        <v>0</v>
      </c>
      <c r="S426" s="60">
        <v>0</v>
      </c>
      <c r="T426" s="60">
        <v>0</v>
      </c>
      <c r="U426" s="60">
        <v>0</v>
      </c>
      <c r="V426" s="60">
        <v>0</v>
      </c>
      <c r="W426" s="60">
        <v>0</v>
      </c>
      <c r="X426" s="60">
        <v>0</v>
      </c>
      <c r="Y426" s="60">
        <v>0</v>
      </c>
      <c r="Z426" s="60">
        <v>0</v>
      </c>
      <c r="AA426" s="60">
        <v>0</v>
      </c>
      <c r="AB426" s="60">
        <v>0</v>
      </c>
      <c r="AC426" s="60">
        <v>0</v>
      </c>
      <c r="AD426" s="60">
        <v>0</v>
      </c>
      <c r="AE426" s="60">
        <v>0</v>
      </c>
      <c r="AF426" s="60">
        <v>0</v>
      </c>
      <c r="AG426" s="60">
        <v>0</v>
      </c>
      <c r="AH426" s="60">
        <v>0</v>
      </c>
      <c r="AI426" s="60">
        <v>0</v>
      </c>
      <c r="AJ426" s="60">
        <v>0</v>
      </c>
      <c r="AK426" s="60">
        <v>0</v>
      </c>
      <c r="AL426" s="60">
        <v>0</v>
      </c>
      <c r="AM426" s="60">
        <v>0</v>
      </c>
    </row>
    <row r="427" spans="1:39" ht="15.75" hidden="1" outlineLevel="1" thickBot="1">
      <c r="A427" s="59" t="s">
        <v>44</v>
      </c>
      <c r="B427" s="60">
        <v>0</v>
      </c>
      <c r="C427" s="60">
        <v>0</v>
      </c>
      <c r="D427" s="60">
        <v>0</v>
      </c>
      <c r="E427" s="60">
        <v>0</v>
      </c>
      <c r="F427" s="60">
        <v>0</v>
      </c>
      <c r="G427" s="60">
        <v>0</v>
      </c>
      <c r="H427" s="60">
        <v>0</v>
      </c>
      <c r="I427" s="60">
        <v>0</v>
      </c>
      <c r="J427" s="60">
        <v>0</v>
      </c>
      <c r="K427" s="60">
        <v>0</v>
      </c>
      <c r="L427" s="60">
        <v>0</v>
      </c>
      <c r="M427" s="60">
        <v>0</v>
      </c>
      <c r="N427" s="60">
        <v>0</v>
      </c>
      <c r="O427" s="60">
        <v>0</v>
      </c>
      <c r="P427" s="60">
        <v>0</v>
      </c>
      <c r="Q427" s="60">
        <v>0</v>
      </c>
      <c r="R427" s="60">
        <v>0</v>
      </c>
      <c r="S427" s="60">
        <v>0</v>
      </c>
      <c r="T427" s="60">
        <v>0</v>
      </c>
      <c r="U427" s="60">
        <v>0</v>
      </c>
      <c r="V427" s="60">
        <v>0</v>
      </c>
      <c r="W427" s="60">
        <v>0</v>
      </c>
      <c r="X427" s="60">
        <v>0</v>
      </c>
      <c r="Y427" s="60">
        <v>0</v>
      </c>
      <c r="Z427" s="60">
        <v>0</v>
      </c>
      <c r="AA427" s="60">
        <v>0</v>
      </c>
      <c r="AB427" s="60">
        <v>0</v>
      </c>
      <c r="AC427" s="60">
        <v>0</v>
      </c>
      <c r="AD427" s="60">
        <v>0</v>
      </c>
      <c r="AE427" s="60">
        <v>0</v>
      </c>
      <c r="AF427" s="60">
        <v>0</v>
      </c>
      <c r="AG427" s="60">
        <v>0</v>
      </c>
      <c r="AH427" s="60">
        <v>0</v>
      </c>
      <c r="AI427" s="60">
        <v>0</v>
      </c>
      <c r="AJ427" s="60">
        <v>0</v>
      </c>
      <c r="AK427" s="60">
        <v>0</v>
      </c>
      <c r="AL427" s="60">
        <v>0</v>
      </c>
      <c r="AM427" s="60">
        <v>0</v>
      </c>
    </row>
    <row r="428" spans="1:39" ht="15.75" hidden="1" outlineLevel="1" thickBot="1">
      <c r="A428" s="59" t="s">
        <v>45</v>
      </c>
      <c r="B428" s="60">
        <v>1.94</v>
      </c>
      <c r="C428" s="60">
        <v>2.04</v>
      </c>
      <c r="D428" s="60">
        <v>2.15</v>
      </c>
      <c r="E428" s="60">
        <v>2.19</v>
      </c>
      <c r="F428" s="60">
        <v>2.08</v>
      </c>
      <c r="G428" s="60">
        <v>2.1</v>
      </c>
      <c r="H428" s="60">
        <v>2.31</v>
      </c>
      <c r="I428" s="60">
        <v>2.0099999999999998</v>
      </c>
      <c r="J428" s="60">
        <v>1.75</v>
      </c>
      <c r="K428" s="60">
        <v>1.78</v>
      </c>
      <c r="L428" s="60">
        <v>1.81</v>
      </c>
      <c r="M428" s="60">
        <v>1.84</v>
      </c>
      <c r="N428" s="60">
        <v>1.87</v>
      </c>
      <c r="O428" s="60">
        <v>1.9</v>
      </c>
      <c r="P428" s="60">
        <v>1.93</v>
      </c>
      <c r="Q428" s="60">
        <v>1.97</v>
      </c>
      <c r="R428" s="60">
        <v>2</v>
      </c>
      <c r="S428" s="60">
        <v>2.0299999999999998</v>
      </c>
      <c r="T428" s="60">
        <v>2.06</v>
      </c>
      <c r="U428" s="60">
        <v>2.09</v>
      </c>
      <c r="V428" s="60">
        <v>2.12</v>
      </c>
      <c r="W428" s="60">
        <v>2.16</v>
      </c>
      <c r="X428" s="60">
        <v>2.19</v>
      </c>
      <c r="Y428" s="60">
        <v>2.2200000000000002</v>
      </c>
      <c r="Z428" s="60">
        <v>2.25</v>
      </c>
      <c r="AA428" s="60">
        <v>2.2799999999999998</v>
      </c>
      <c r="AB428" s="60">
        <v>2.31</v>
      </c>
      <c r="AC428" s="60">
        <v>2.35</v>
      </c>
      <c r="AD428" s="60">
        <v>2.38</v>
      </c>
      <c r="AE428" s="60">
        <v>2.41</v>
      </c>
      <c r="AF428" s="60">
        <v>2.44</v>
      </c>
      <c r="AG428" s="60">
        <v>2.4700000000000002</v>
      </c>
      <c r="AH428" s="60">
        <v>2.5</v>
      </c>
      <c r="AI428" s="60">
        <v>2.54</v>
      </c>
      <c r="AJ428" s="60">
        <v>2.57</v>
      </c>
      <c r="AK428" s="60">
        <v>2.6</v>
      </c>
      <c r="AL428" s="60">
        <v>2.63</v>
      </c>
      <c r="AM428" s="60">
        <v>2.66</v>
      </c>
    </row>
    <row r="429" spans="1:39" ht="15.75" hidden="1" outlineLevel="1" thickBot="1">
      <c r="A429" s="59" t="s">
        <v>104</v>
      </c>
      <c r="B429" s="60">
        <v>0.51</v>
      </c>
      <c r="C429" s="60">
        <v>0.48</v>
      </c>
      <c r="D429" s="60">
        <v>0.71</v>
      </c>
      <c r="E429" s="60">
        <v>0.91</v>
      </c>
      <c r="F429" s="60">
        <v>0.9</v>
      </c>
      <c r="G429" s="60">
        <v>0.27</v>
      </c>
      <c r="H429" s="60">
        <v>0.42</v>
      </c>
      <c r="I429" s="60">
        <v>0.42</v>
      </c>
      <c r="J429" s="60">
        <v>0.52</v>
      </c>
      <c r="K429" s="60">
        <v>0.5</v>
      </c>
      <c r="L429" s="60">
        <v>0.49</v>
      </c>
      <c r="M429" s="60">
        <v>0.47</v>
      </c>
      <c r="N429" s="60">
        <v>0.45</v>
      </c>
      <c r="O429" s="60">
        <v>0.43</v>
      </c>
      <c r="P429" s="60">
        <v>0.41</v>
      </c>
      <c r="Q429" s="60">
        <v>0.4</v>
      </c>
      <c r="R429" s="60">
        <v>0.38</v>
      </c>
      <c r="S429" s="60">
        <v>0.36</v>
      </c>
      <c r="T429" s="60">
        <v>0.34</v>
      </c>
      <c r="U429" s="60">
        <v>0.32</v>
      </c>
      <c r="V429" s="60">
        <v>0.31</v>
      </c>
      <c r="W429" s="60">
        <v>0.28999999999999998</v>
      </c>
      <c r="X429" s="60">
        <v>0.27</v>
      </c>
      <c r="Y429" s="60">
        <v>0.25</v>
      </c>
      <c r="Z429" s="60">
        <v>0.23</v>
      </c>
      <c r="AA429" s="60">
        <v>0.22</v>
      </c>
      <c r="AB429" s="60">
        <v>0.2</v>
      </c>
      <c r="AC429" s="60">
        <v>0.18</v>
      </c>
      <c r="AD429" s="60">
        <v>0.16</v>
      </c>
      <c r="AE429" s="60">
        <v>0.14000000000000001</v>
      </c>
      <c r="AF429" s="60">
        <v>0.13</v>
      </c>
      <c r="AG429" s="60">
        <v>0.11</v>
      </c>
      <c r="AH429" s="60">
        <v>0.09</v>
      </c>
      <c r="AI429" s="60">
        <v>7.0000000000000007E-2</v>
      </c>
      <c r="AJ429" s="60">
        <v>0.05</v>
      </c>
      <c r="AK429" s="60">
        <v>0.04</v>
      </c>
      <c r="AL429" s="60">
        <v>0.02</v>
      </c>
      <c r="AM429" s="60">
        <v>0</v>
      </c>
    </row>
    <row r="430" spans="1:39" ht="15.75" hidden="1" outlineLevel="1" thickBot="1">
      <c r="A430" s="59" t="s">
        <v>105</v>
      </c>
      <c r="B430" s="60">
        <v>0</v>
      </c>
      <c r="C430" s="60">
        <v>0</v>
      </c>
      <c r="D430" s="60">
        <v>0</v>
      </c>
      <c r="E430" s="60">
        <v>0</v>
      </c>
      <c r="F430" s="60">
        <v>0</v>
      </c>
      <c r="G430" s="60">
        <v>0</v>
      </c>
      <c r="H430" s="60">
        <v>0</v>
      </c>
      <c r="I430" s="60">
        <v>0</v>
      </c>
      <c r="J430" s="60">
        <v>0</v>
      </c>
      <c r="K430" s="60">
        <v>0</v>
      </c>
      <c r="L430" s="60">
        <v>0</v>
      </c>
      <c r="M430" s="60">
        <v>0</v>
      </c>
      <c r="N430" s="60">
        <v>0</v>
      </c>
      <c r="O430" s="60">
        <v>0</v>
      </c>
      <c r="P430" s="60">
        <v>0</v>
      </c>
      <c r="Q430" s="60">
        <v>0</v>
      </c>
      <c r="R430" s="60">
        <v>0</v>
      </c>
      <c r="S430" s="60">
        <v>0</v>
      </c>
      <c r="T430" s="60">
        <v>0</v>
      </c>
      <c r="U430" s="60">
        <v>0</v>
      </c>
      <c r="V430" s="60">
        <v>0</v>
      </c>
      <c r="W430" s="60">
        <v>0</v>
      </c>
      <c r="X430" s="60">
        <v>0</v>
      </c>
      <c r="Y430" s="60">
        <v>0</v>
      </c>
      <c r="Z430" s="60">
        <v>0</v>
      </c>
      <c r="AA430" s="60">
        <v>0</v>
      </c>
      <c r="AB430" s="60">
        <v>0</v>
      </c>
      <c r="AC430" s="60">
        <v>0</v>
      </c>
      <c r="AD430" s="60">
        <v>0</v>
      </c>
      <c r="AE430" s="60">
        <v>0</v>
      </c>
      <c r="AF430" s="60">
        <v>0</v>
      </c>
      <c r="AG430" s="60">
        <v>0</v>
      </c>
      <c r="AH430" s="60">
        <v>0</v>
      </c>
      <c r="AI430" s="60">
        <v>0</v>
      </c>
      <c r="AJ430" s="60">
        <v>0</v>
      </c>
      <c r="AK430" s="60">
        <v>0</v>
      </c>
      <c r="AL430" s="60">
        <v>0</v>
      </c>
      <c r="AM430" s="60">
        <v>0</v>
      </c>
    </row>
    <row r="431" spans="1:39" ht="15.75" hidden="1" outlineLevel="1" thickBot="1">
      <c r="A431" s="59" t="s">
        <v>106</v>
      </c>
      <c r="B431" s="60">
        <v>5.46</v>
      </c>
      <c r="C431" s="60">
        <v>5.75</v>
      </c>
      <c r="D431" s="60">
        <v>6.03</v>
      </c>
      <c r="E431" s="60">
        <v>6.17</v>
      </c>
      <c r="F431" s="60">
        <v>5.64</v>
      </c>
      <c r="G431" s="60">
        <v>5.71</v>
      </c>
      <c r="H431" s="60">
        <v>5.18</v>
      </c>
      <c r="I431" s="60">
        <v>5.45</v>
      </c>
      <c r="J431" s="60">
        <v>8.41</v>
      </c>
      <c r="K431" s="60">
        <v>8.5399999999999991</v>
      </c>
      <c r="L431" s="60">
        <v>8.69</v>
      </c>
      <c r="M431" s="60">
        <v>8.84</v>
      </c>
      <c r="N431" s="60">
        <v>8.99</v>
      </c>
      <c r="O431" s="60">
        <v>9.15</v>
      </c>
      <c r="P431" s="60">
        <v>9.3000000000000007</v>
      </c>
      <c r="Q431" s="60">
        <v>9.4499999999999993</v>
      </c>
      <c r="R431" s="60">
        <v>9.6</v>
      </c>
      <c r="S431" s="60">
        <v>9.75</v>
      </c>
      <c r="T431" s="60">
        <v>9.91</v>
      </c>
      <c r="U431" s="60">
        <v>10.06</v>
      </c>
      <c r="V431" s="60">
        <v>10.210000000000001</v>
      </c>
      <c r="W431" s="60">
        <v>10.36</v>
      </c>
      <c r="X431" s="60">
        <v>10.51</v>
      </c>
      <c r="Y431" s="60">
        <v>10.67</v>
      </c>
      <c r="Z431" s="60">
        <v>10.82</v>
      </c>
      <c r="AA431" s="60">
        <v>10.97</v>
      </c>
      <c r="AB431" s="60">
        <v>11.12</v>
      </c>
      <c r="AC431" s="60">
        <v>11.28</v>
      </c>
      <c r="AD431" s="60">
        <v>11.43</v>
      </c>
      <c r="AE431" s="60">
        <v>11.58</v>
      </c>
      <c r="AF431" s="60">
        <v>11.73</v>
      </c>
      <c r="AG431" s="60">
        <v>11.88</v>
      </c>
      <c r="AH431" s="60">
        <v>12.04</v>
      </c>
      <c r="AI431" s="60">
        <v>12.19</v>
      </c>
      <c r="AJ431" s="60">
        <v>12.34</v>
      </c>
      <c r="AK431" s="60">
        <v>12.49</v>
      </c>
      <c r="AL431" s="60">
        <v>12.64</v>
      </c>
      <c r="AM431" s="60">
        <v>12.8</v>
      </c>
    </row>
    <row r="432" spans="1:39" ht="15.75" hidden="1" outlineLevel="1" thickBot="1">
      <c r="A432" s="59" t="s">
        <v>46</v>
      </c>
      <c r="B432" s="60">
        <v>1.65</v>
      </c>
      <c r="C432" s="60">
        <v>1.73</v>
      </c>
      <c r="D432" s="60">
        <v>1.82</v>
      </c>
      <c r="E432" s="60">
        <v>1.95</v>
      </c>
      <c r="F432" s="60">
        <v>1.79</v>
      </c>
      <c r="G432" s="60">
        <v>1.81</v>
      </c>
      <c r="H432" s="60">
        <v>1.65</v>
      </c>
      <c r="I432" s="60">
        <v>1.73</v>
      </c>
      <c r="J432" s="60">
        <v>1.65</v>
      </c>
      <c r="K432" s="60">
        <v>1.67</v>
      </c>
      <c r="L432" s="60">
        <v>1.7</v>
      </c>
      <c r="M432" s="60">
        <v>1.73</v>
      </c>
      <c r="N432" s="60">
        <v>1.76</v>
      </c>
      <c r="O432" s="60">
        <v>1.79</v>
      </c>
      <c r="P432" s="60">
        <v>1.82</v>
      </c>
      <c r="Q432" s="60">
        <v>1.85</v>
      </c>
      <c r="R432" s="60">
        <v>1.88</v>
      </c>
      <c r="S432" s="60">
        <v>1.91</v>
      </c>
      <c r="T432" s="60">
        <v>1.94</v>
      </c>
      <c r="U432" s="60">
        <v>1.97</v>
      </c>
      <c r="V432" s="60">
        <v>2</v>
      </c>
      <c r="W432" s="60">
        <v>2.0299999999999998</v>
      </c>
      <c r="X432" s="60">
        <v>2.06</v>
      </c>
      <c r="Y432" s="60">
        <v>2.09</v>
      </c>
      <c r="Z432" s="60">
        <v>2.12</v>
      </c>
      <c r="AA432" s="60">
        <v>2.15</v>
      </c>
      <c r="AB432" s="60">
        <v>2.1800000000000002</v>
      </c>
      <c r="AC432" s="60">
        <v>2.21</v>
      </c>
      <c r="AD432" s="60">
        <v>2.2400000000000002</v>
      </c>
      <c r="AE432" s="60">
        <v>2.27</v>
      </c>
      <c r="AF432" s="60">
        <v>2.2999999999999998</v>
      </c>
      <c r="AG432" s="60">
        <v>2.33</v>
      </c>
      <c r="AH432" s="60">
        <v>2.36</v>
      </c>
      <c r="AI432" s="60">
        <v>2.39</v>
      </c>
      <c r="AJ432" s="60">
        <v>2.42</v>
      </c>
      <c r="AK432" s="60">
        <v>2.4500000000000002</v>
      </c>
      <c r="AL432" s="60">
        <v>2.48</v>
      </c>
      <c r="AM432" s="60">
        <v>2.5099999999999998</v>
      </c>
    </row>
    <row r="433" spans="1:39" ht="15.75" hidden="1" outlineLevel="1" thickBot="1">
      <c r="A433" s="59" t="s">
        <v>107</v>
      </c>
      <c r="B433" s="60">
        <v>0</v>
      </c>
      <c r="C433" s="60">
        <v>0</v>
      </c>
      <c r="D433" s="60">
        <v>0</v>
      </c>
      <c r="E433" s="60">
        <v>0</v>
      </c>
      <c r="F433" s="60">
        <v>0</v>
      </c>
      <c r="G433" s="60">
        <v>0</v>
      </c>
      <c r="H433" s="60">
        <v>0</v>
      </c>
      <c r="I433" s="60">
        <v>0</v>
      </c>
      <c r="J433" s="60">
        <v>0</v>
      </c>
      <c r="K433" s="60">
        <v>0</v>
      </c>
      <c r="L433" s="60">
        <v>0</v>
      </c>
      <c r="M433" s="60">
        <v>0</v>
      </c>
      <c r="N433" s="60">
        <v>0</v>
      </c>
      <c r="O433" s="60">
        <v>0</v>
      </c>
      <c r="P433" s="60">
        <v>0</v>
      </c>
      <c r="Q433" s="60">
        <v>0</v>
      </c>
      <c r="R433" s="60">
        <v>0</v>
      </c>
      <c r="S433" s="60">
        <v>0</v>
      </c>
      <c r="T433" s="60">
        <v>0</v>
      </c>
      <c r="U433" s="60">
        <v>0</v>
      </c>
      <c r="V433" s="60">
        <v>0</v>
      </c>
      <c r="W433" s="60">
        <v>0</v>
      </c>
      <c r="X433" s="60">
        <v>0</v>
      </c>
      <c r="Y433" s="60">
        <v>0</v>
      </c>
      <c r="Z433" s="60">
        <v>0</v>
      </c>
      <c r="AA433" s="60">
        <v>0</v>
      </c>
      <c r="AB433" s="60">
        <v>0</v>
      </c>
      <c r="AC433" s="60">
        <v>0</v>
      </c>
      <c r="AD433" s="60">
        <v>0</v>
      </c>
      <c r="AE433" s="60">
        <v>0</v>
      </c>
      <c r="AF433" s="60">
        <v>0</v>
      </c>
      <c r="AG433" s="60">
        <v>0</v>
      </c>
      <c r="AH433" s="60">
        <v>0</v>
      </c>
      <c r="AI433" s="60">
        <v>0</v>
      </c>
      <c r="AJ433" s="60">
        <v>0</v>
      </c>
      <c r="AK433" s="60">
        <v>0</v>
      </c>
      <c r="AL433" s="60">
        <v>0</v>
      </c>
      <c r="AM433" s="60">
        <v>0</v>
      </c>
    </row>
    <row r="434" spans="1:39" ht="15.75" hidden="1" outlineLevel="1" thickBot="1">
      <c r="A434" s="61" t="s">
        <v>108</v>
      </c>
      <c r="B434" s="62">
        <v>0</v>
      </c>
      <c r="C434" s="62">
        <v>0</v>
      </c>
      <c r="D434" s="62">
        <v>0</v>
      </c>
      <c r="E434" s="62">
        <v>0</v>
      </c>
      <c r="F434" s="62">
        <v>0</v>
      </c>
      <c r="G434" s="62">
        <v>0</v>
      </c>
      <c r="H434" s="62">
        <v>0</v>
      </c>
      <c r="I434" s="62">
        <v>0</v>
      </c>
      <c r="J434" s="62">
        <v>0</v>
      </c>
      <c r="K434" s="62">
        <v>0</v>
      </c>
      <c r="L434" s="62">
        <v>0</v>
      </c>
      <c r="M434" s="62">
        <v>0</v>
      </c>
      <c r="N434" s="62">
        <v>0</v>
      </c>
      <c r="O434" s="62">
        <v>0</v>
      </c>
      <c r="P434" s="62">
        <v>0</v>
      </c>
      <c r="Q434" s="62">
        <v>0</v>
      </c>
      <c r="R434" s="62">
        <v>0</v>
      </c>
      <c r="S434" s="62">
        <v>0</v>
      </c>
      <c r="T434" s="62">
        <v>0</v>
      </c>
      <c r="U434" s="62">
        <v>0</v>
      </c>
      <c r="V434" s="62">
        <v>0</v>
      </c>
      <c r="W434" s="62">
        <v>0</v>
      </c>
      <c r="X434" s="62">
        <v>0</v>
      </c>
      <c r="Y434" s="62">
        <v>0</v>
      </c>
      <c r="Z434" s="62">
        <v>0</v>
      </c>
      <c r="AA434" s="62">
        <v>0</v>
      </c>
      <c r="AB434" s="62">
        <v>0</v>
      </c>
      <c r="AC434" s="62">
        <v>0</v>
      </c>
      <c r="AD434" s="62">
        <v>0</v>
      </c>
      <c r="AE434" s="62">
        <v>0</v>
      </c>
      <c r="AF434" s="62">
        <v>0</v>
      </c>
      <c r="AG434" s="62">
        <v>0</v>
      </c>
      <c r="AH434" s="62">
        <v>0</v>
      </c>
      <c r="AI434" s="62">
        <v>0</v>
      </c>
      <c r="AJ434" s="62">
        <v>0</v>
      </c>
      <c r="AK434" s="62">
        <v>0</v>
      </c>
      <c r="AL434" s="62">
        <v>0</v>
      </c>
      <c r="AM434" s="62">
        <v>0</v>
      </c>
    </row>
    <row r="435" spans="1:39" ht="17.25" collapsed="1" thickTop="1" thickBot="1">
      <c r="A435" s="65" t="s">
        <v>122</v>
      </c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</row>
    <row r="436" spans="1:39" ht="16.5" hidden="1" outlineLevel="1" thickTop="1" thickBot="1">
      <c r="A436" s="57" t="s">
        <v>41</v>
      </c>
      <c r="B436" s="58">
        <v>2013</v>
      </c>
      <c r="C436" s="58">
        <v>2014</v>
      </c>
      <c r="D436" s="58">
        <v>2015</v>
      </c>
      <c r="E436" s="58">
        <v>2016</v>
      </c>
      <c r="F436" s="58">
        <v>2017</v>
      </c>
      <c r="G436" s="58">
        <v>2018</v>
      </c>
      <c r="H436" s="58">
        <v>2019</v>
      </c>
      <c r="I436" s="58">
        <v>2020</v>
      </c>
      <c r="J436" s="58">
        <v>2021</v>
      </c>
      <c r="K436" s="58">
        <v>2022</v>
      </c>
      <c r="L436" s="58">
        <v>2023</v>
      </c>
      <c r="M436" s="58">
        <v>2024</v>
      </c>
      <c r="N436" s="58">
        <v>2025</v>
      </c>
      <c r="O436" s="58">
        <v>2026</v>
      </c>
      <c r="P436" s="58">
        <v>2027</v>
      </c>
      <c r="Q436" s="58">
        <v>2028</v>
      </c>
      <c r="R436" s="58">
        <v>2029</v>
      </c>
      <c r="S436" s="58">
        <v>2030</v>
      </c>
      <c r="T436" s="58">
        <v>2031</v>
      </c>
      <c r="U436" s="58">
        <v>2032</v>
      </c>
      <c r="V436" s="58">
        <v>2033</v>
      </c>
      <c r="W436" s="58">
        <v>2034</v>
      </c>
      <c r="X436" s="58">
        <v>2035</v>
      </c>
      <c r="Y436" s="58">
        <v>2036</v>
      </c>
      <c r="Z436" s="58">
        <v>2037</v>
      </c>
      <c r="AA436" s="58">
        <v>2038</v>
      </c>
      <c r="AB436" s="58">
        <v>2039</v>
      </c>
      <c r="AC436" s="58">
        <v>2040</v>
      </c>
      <c r="AD436" s="58">
        <v>2041</v>
      </c>
      <c r="AE436" s="58">
        <v>2042</v>
      </c>
      <c r="AF436" s="58">
        <v>2043</v>
      </c>
      <c r="AG436" s="58">
        <v>2044</v>
      </c>
      <c r="AH436" s="58">
        <v>2045</v>
      </c>
      <c r="AI436" s="58">
        <v>2046</v>
      </c>
      <c r="AJ436" s="58">
        <v>2047</v>
      </c>
      <c r="AK436" s="58">
        <v>2048</v>
      </c>
      <c r="AL436" s="58">
        <v>2049</v>
      </c>
      <c r="AM436" s="58">
        <v>2050</v>
      </c>
    </row>
    <row r="437" spans="1:39" ht="16.5" hidden="1" outlineLevel="1" thickTop="1" thickBot="1">
      <c r="A437" s="59" t="s">
        <v>83</v>
      </c>
      <c r="B437" s="60">
        <v>0</v>
      </c>
      <c r="C437" s="60">
        <v>0</v>
      </c>
      <c r="D437" s="60">
        <v>0</v>
      </c>
      <c r="E437" s="60">
        <v>0</v>
      </c>
      <c r="F437" s="60">
        <v>0</v>
      </c>
      <c r="G437" s="60">
        <v>0</v>
      </c>
      <c r="H437" s="60">
        <v>0</v>
      </c>
      <c r="I437" s="60">
        <v>0</v>
      </c>
      <c r="J437" s="60">
        <v>0</v>
      </c>
      <c r="K437" s="60">
        <v>0</v>
      </c>
      <c r="L437" s="60">
        <v>0</v>
      </c>
      <c r="M437" s="60">
        <v>0</v>
      </c>
      <c r="N437" s="60">
        <v>0</v>
      </c>
      <c r="O437" s="60">
        <v>0</v>
      </c>
      <c r="P437" s="60">
        <v>0</v>
      </c>
      <c r="Q437" s="60">
        <v>0</v>
      </c>
      <c r="R437" s="60">
        <v>0</v>
      </c>
      <c r="S437" s="60">
        <v>0</v>
      </c>
      <c r="T437" s="60">
        <v>0</v>
      </c>
      <c r="U437" s="60">
        <v>0</v>
      </c>
      <c r="V437" s="60">
        <v>0</v>
      </c>
      <c r="W437" s="60">
        <v>0</v>
      </c>
      <c r="X437" s="60">
        <v>0</v>
      </c>
      <c r="Y437" s="60">
        <v>0</v>
      </c>
      <c r="Z437" s="60">
        <v>0</v>
      </c>
      <c r="AA437" s="60">
        <v>0</v>
      </c>
      <c r="AB437" s="60">
        <v>0</v>
      </c>
      <c r="AC437" s="60">
        <v>0</v>
      </c>
      <c r="AD437" s="60">
        <v>0</v>
      </c>
      <c r="AE437" s="60">
        <v>0</v>
      </c>
      <c r="AF437" s="60">
        <v>0</v>
      </c>
      <c r="AG437" s="60">
        <v>0</v>
      </c>
      <c r="AH437" s="60">
        <v>0</v>
      </c>
      <c r="AI437" s="60">
        <v>0</v>
      </c>
      <c r="AJ437" s="60">
        <v>0</v>
      </c>
      <c r="AK437" s="60">
        <v>0</v>
      </c>
      <c r="AL437" s="60">
        <v>0</v>
      </c>
      <c r="AM437" s="60">
        <v>0</v>
      </c>
    </row>
    <row r="438" spans="1:39" ht="15.75" hidden="1" outlineLevel="1" thickBot="1">
      <c r="A438" s="59" t="s">
        <v>84</v>
      </c>
      <c r="B438" s="60">
        <v>0</v>
      </c>
      <c r="C438" s="60">
        <v>0</v>
      </c>
      <c r="D438" s="60">
        <v>0</v>
      </c>
      <c r="E438" s="60">
        <v>0</v>
      </c>
      <c r="F438" s="60">
        <v>0</v>
      </c>
      <c r="G438" s="60">
        <v>0</v>
      </c>
      <c r="H438" s="60">
        <v>0</v>
      </c>
      <c r="I438" s="60">
        <v>0</v>
      </c>
      <c r="J438" s="60">
        <v>0</v>
      </c>
      <c r="K438" s="60">
        <v>0</v>
      </c>
      <c r="L438" s="60">
        <v>0</v>
      </c>
      <c r="M438" s="60">
        <v>0</v>
      </c>
      <c r="N438" s="60">
        <v>0</v>
      </c>
      <c r="O438" s="60">
        <v>0</v>
      </c>
      <c r="P438" s="60">
        <v>0</v>
      </c>
      <c r="Q438" s="60">
        <v>0</v>
      </c>
      <c r="R438" s="60">
        <v>0</v>
      </c>
      <c r="S438" s="60">
        <v>0</v>
      </c>
      <c r="T438" s="60">
        <v>0</v>
      </c>
      <c r="U438" s="60">
        <v>0</v>
      </c>
      <c r="V438" s="60">
        <v>0</v>
      </c>
      <c r="W438" s="60">
        <v>0</v>
      </c>
      <c r="X438" s="60">
        <v>0</v>
      </c>
      <c r="Y438" s="60">
        <v>0</v>
      </c>
      <c r="Z438" s="60">
        <v>0</v>
      </c>
      <c r="AA438" s="60">
        <v>0</v>
      </c>
      <c r="AB438" s="60">
        <v>0</v>
      </c>
      <c r="AC438" s="60">
        <v>0</v>
      </c>
      <c r="AD438" s="60">
        <v>0</v>
      </c>
      <c r="AE438" s="60">
        <v>0</v>
      </c>
      <c r="AF438" s="60">
        <v>0</v>
      </c>
      <c r="AG438" s="60">
        <v>0</v>
      </c>
      <c r="AH438" s="60">
        <v>0</v>
      </c>
      <c r="AI438" s="60">
        <v>0</v>
      </c>
      <c r="AJ438" s="60">
        <v>0</v>
      </c>
      <c r="AK438" s="60">
        <v>0</v>
      </c>
      <c r="AL438" s="60">
        <v>0</v>
      </c>
      <c r="AM438" s="60">
        <v>0</v>
      </c>
    </row>
    <row r="439" spans="1:39" ht="15.75" hidden="1" outlineLevel="1" thickBot="1">
      <c r="A439" s="59" t="s">
        <v>85</v>
      </c>
      <c r="B439" s="60">
        <v>0</v>
      </c>
      <c r="C439" s="60">
        <v>0</v>
      </c>
      <c r="D439" s="60">
        <v>0</v>
      </c>
      <c r="E439" s="60">
        <v>0</v>
      </c>
      <c r="F439" s="60">
        <v>0</v>
      </c>
      <c r="G439" s="60">
        <v>0</v>
      </c>
      <c r="H439" s="60">
        <v>0</v>
      </c>
      <c r="I439" s="60">
        <v>0</v>
      </c>
      <c r="J439" s="60">
        <v>0</v>
      </c>
      <c r="K439" s="60">
        <v>0</v>
      </c>
      <c r="L439" s="60">
        <v>0</v>
      </c>
      <c r="M439" s="60">
        <v>0</v>
      </c>
      <c r="N439" s="60">
        <v>0</v>
      </c>
      <c r="O439" s="60">
        <v>0</v>
      </c>
      <c r="P439" s="60">
        <v>0</v>
      </c>
      <c r="Q439" s="60">
        <v>0</v>
      </c>
      <c r="R439" s="60">
        <v>0</v>
      </c>
      <c r="S439" s="60">
        <v>0</v>
      </c>
      <c r="T439" s="60">
        <v>0</v>
      </c>
      <c r="U439" s="60">
        <v>0</v>
      </c>
      <c r="V439" s="60">
        <v>0</v>
      </c>
      <c r="W439" s="60">
        <v>0</v>
      </c>
      <c r="X439" s="60">
        <v>0</v>
      </c>
      <c r="Y439" s="60">
        <v>0</v>
      </c>
      <c r="Z439" s="60">
        <v>0</v>
      </c>
      <c r="AA439" s="60">
        <v>0</v>
      </c>
      <c r="AB439" s="60">
        <v>0</v>
      </c>
      <c r="AC439" s="60">
        <v>0</v>
      </c>
      <c r="AD439" s="60">
        <v>0</v>
      </c>
      <c r="AE439" s="60">
        <v>0</v>
      </c>
      <c r="AF439" s="60">
        <v>0</v>
      </c>
      <c r="AG439" s="60">
        <v>0</v>
      </c>
      <c r="AH439" s="60">
        <v>0</v>
      </c>
      <c r="AI439" s="60">
        <v>0</v>
      </c>
      <c r="AJ439" s="60">
        <v>0</v>
      </c>
      <c r="AK439" s="60">
        <v>0</v>
      </c>
      <c r="AL439" s="60">
        <v>0</v>
      </c>
      <c r="AM439" s="60">
        <v>0</v>
      </c>
    </row>
    <row r="440" spans="1:39" ht="15.75" hidden="1" outlineLevel="1" thickBot="1">
      <c r="A440" s="59" t="s">
        <v>86</v>
      </c>
      <c r="B440" s="60">
        <v>0</v>
      </c>
      <c r="C440" s="60">
        <v>0</v>
      </c>
      <c r="D440" s="60">
        <v>0</v>
      </c>
      <c r="E440" s="60">
        <v>0</v>
      </c>
      <c r="F440" s="60">
        <v>0</v>
      </c>
      <c r="G440" s="60">
        <v>0</v>
      </c>
      <c r="H440" s="60">
        <v>0</v>
      </c>
      <c r="I440" s="60">
        <v>0</v>
      </c>
      <c r="J440" s="60">
        <v>0</v>
      </c>
      <c r="K440" s="60">
        <v>0</v>
      </c>
      <c r="L440" s="60">
        <v>0</v>
      </c>
      <c r="M440" s="60">
        <v>0</v>
      </c>
      <c r="N440" s="60">
        <v>0</v>
      </c>
      <c r="O440" s="60">
        <v>0</v>
      </c>
      <c r="P440" s="60">
        <v>0</v>
      </c>
      <c r="Q440" s="60">
        <v>0</v>
      </c>
      <c r="R440" s="60">
        <v>0</v>
      </c>
      <c r="S440" s="60">
        <v>0</v>
      </c>
      <c r="T440" s="60">
        <v>0</v>
      </c>
      <c r="U440" s="60">
        <v>0</v>
      </c>
      <c r="V440" s="60">
        <v>0</v>
      </c>
      <c r="W440" s="60">
        <v>0</v>
      </c>
      <c r="X440" s="60">
        <v>0</v>
      </c>
      <c r="Y440" s="60">
        <v>0</v>
      </c>
      <c r="Z440" s="60">
        <v>0</v>
      </c>
      <c r="AA440" s="60">
        <v>0</v>
      </c>
      <c r="AB440" s="60">
        <v>0</v>
      </c>
      <c r="AC440" s="60">
        <v>0</v>
      </c>
      <c r="AD440" s="60">
        <v>0</v>
      </c>
      <c r="AE440" s="60">
        <v>0</v>
      </c>
      <c r="AF440" s="60">
        <v>0</v>
      </c>
      <c r="AG440" s="60">
        <v>0</v>
      </c>
      <c r="AH440" s="60">
        <v>0</v>
      </c>
      <c r="AI440" s="60">
        <v>0</v>
      </c>
      <c r="AJ440" s="60">
        <v>0</v>
      </c>
      <c r="AK440" s="60">
        <v>0</v>
      </c>
      <c r="AL440" s="60">
        <v>0</v>
      </c>
      <c r="AM440" s="60">
        <v>0</v>
      </c>
    </row>
    <row r="441" spans="1:39" ht="15.75" hidden="1" outlineLevel="1" thickBot="1">
      <c r="A441" s="59" t="s">
        <v>87</v>
      </c>
      <c r="B441" s="60">
        <v>0</v>
      </c>
      <c r="C441" s="60">
        <v>0</v>
      </c>
      <c r="D441" s="60">
        <v>0</v>
      </c>
      <c r="E441" s="60">
        <v>0</v>
      </c>
      <c r="F441" s="60">
        <v>0</v>
      </c>
      <c r="G441" s="60">
        <v>0</v>
      </c>
      <c r="H441" s="60">
        <v>0</v>
      </c>
      <c r="I441" s="60">
        <v>0</v>
      </c>
      <c r="J441" s="60">
        <v>0</v>
      </c>
      <c r="K441" s="60">
        <v>0</v>
      </c>
      <c r="L441" s="60">
        <v>0</v>
      </c>
      <c r="M441" s="60">
        <v>0</v>
      </c>
      <c r="N441" s="60">
        <v>0</v>
      </c>
      <c r="O441" s="60">
        <v>0</v>
      </c>
      <c r="P441" s="60">
        <v>0</v>
      </c>
      <c r="Q441" s="60">
        <v>0</v>
      </c>
      <c r="R441" s="60">
        <v>0</v>
      </c>
      <c r="S441" s="60">
        <v>0</v>
      </c>
      <c r="T441" s="60">
        <v>0</v>
      </c>
      <c r="U441" s="60">
        <v>0</v>
      </c>
      <c r="V441" s="60">
        <v>0</v>
      </c>
      <c r="W441" s="60">
        <v>0</v>
      </c>
      <c r="X441" s="60">
        <v>0</v>
      </c>
      <c r="Y441" s="60">
        <v>0</v>
      </c>
      <c r="Z441" s="60">
        <v>0</v>
      </c>
      <c r="AA441" s="60">
        <v>0</v>
      </c>
      <c r="AB441" s="60">
        <v>0</v>
      </c>
      <c r="AC441" s="60">
        <v>0</v>
      </c>
      <c r="AD441" s="60">
        <v>0</v>
      </c>
      <c r="AE441" s="60">
        <v>0</v>
      </c>
      <c r="AF441" s="60">
        <v>0</v>
      </c>
      <c r="AG441" s="60">
        <v>0</v>
      </c>
      <c r="AH441" s="60">
        <v>0</v>
      </c>
      <c r="AI441" s="60">
        <v>0</v>
      </c>
      <c r="AJ441" s="60">
        <v>0</v>
      </c>
      <c r="AK441" s="60">
        <v>0</v>
      </c>
      <c r="AL441" s="60">
        <v>0</v>
      </c>
      <c r="AM441" s="60">
        <v>0</v>
      </c>
    </row>
    <row r="442" spans="1:39" ht="15.75" hidden="1" outlineLevel="1" thickBot="1">
      <c r="A442" s="59" t="s">
        <v>88</v>
      </c>
      <c r="B442" s="60">
        <v>0</v>
      </c>
      <c r="C442" s="60">
        <v>0</v>
      </c>
      <c r="D442" s="60">
        <v>0</v>
      </c>
      <c r="E442" s="60">
        <v>0</v>
      </c>
      <c r="F442" s="60">
        <v>0</v>
      </c>
      <c r="G442" s="60">
        <v>0</v>
      </c>
      <c r="H442" s="60">
        <v>0</v>
      </c>
      <c r="I442" s="60">
        <v>0</v>
      </c>
      <c r="J442" s="60">
        <v>0</v>
      </c>
      <c r="K442" s="60">
        <v>0</v>
      </c>
      <c r="L442" s="60">
        <v>0</v>
      </c>
      <c r="M442" s="60">
        <v>0</v>
      </c>
      <c r="N442" s="60">
        <v>0</v>
      </c>
      <c r="O442" s="60">
        <v>0</v>
      </c>
      <c r="P442" s="60">
        <v>0</v>
      </c>
      <c r="Q442" s="60">
        <v>0</v>
      </c>
      <c r="R442" s="60">
        <v>0</v>
      </c>
      <c r="S442" s="60">
        <v>0</v>
      </c>
      <c r="T442" s="60">
        <v>0</v>
      </c>
      <c r="U442" s="60">
        <v>0</v>
      </c>
      <c r="V442" s="60">
        <v>0</v>
      </c>
      <c r="W442" s="60">
        <v>0</v>
      </c>
      <c r="X442" s="60">
        <v>0</v>
      </c>
      <c r="Y442" s="60">
        <v>0</v>
      </c>
      <c r="Z442" s="60">
        <v>0</v>
      </c>
      <c r="AA442" s="60">
        <v>0</v>
      </c>
      <c r="AB442" s="60">
        <v>0</v>
      </c>
      <c r="AC442" s="60">
        <v>0</v>
      </c>
      <c r="AD442" s="60">
        <v>0</v>
      </c>
      <c r="AE442" s="60">
        <v>0</v>
      </c>
      <c r="AF442" s="60">
        <v>0</v>
      </c>
      <c r="AG442" s="60">
        <v>0</v>
      </c>
      <c r="AH442" s="60">
        <v>0</v>
      </c>
      <c r="AI442" s="60">
        <v>0</v>
      </c>
      <c r="AJ442" s="60">
        <v>0</v>
      </c>
      <c r="AK442" s="60">
        <v>0</v>
      </c>
      <c r="AL442" s="60">
        <v>0</v>
      </c>
      <c r="AM442" s="60">
        <v>0</v>
      </c>
    </row>
    <row r="443" spans="1:39" ht="15.75" hidden="1" outlineLevel="1" thickBot="1">
      <c r="A443" s="59" t="s">
        <v>89</v>
      </c>
      <c r="B443" s="60">
        <v>0</v>
      </c>
      <c r="C443" s="60">
        <v>0</v>
      </c>
      <c r="D443" s="60">
        <v>0</v>
      </c>
      <c r="E443" s="60">
        <v>0</v>
      </c>
      <c r="F443" s="60">
        <v>0</v>
      </c>
      <c r="G443" s="60">
        <v>0</v>
      </c>
      <c r="H443" s="60">
        <v>0</v>
      </c>
      <c r="I443" s="60">
        <v>0</v>
      </c>
      <c r="J443" s="60">
        <v>0</v>
      </c>
      <c r="K443" s="60">
        <v>0</v>
      </c>
      <c r="L443" s="60">
        <v>0</v>
      </c>
      <c r="M443" s="60">
        <v>0</v>
      </c>
      <c r="N443" s="60">
        <v>0</v>
      </c>
      <c r="O443" s="60">
        <v>0</v>
      </c>
      <c r="P443" s="60">
        <v>0</v>
      </c>
      <c r="Q443" s="60">
        <v>0</v>
      </c>
      <c r="R443" s="60">
        <v>0</v>
      </c>
      <c r="S443" s="60">
        <v>0</v>
      </c>
      <c r="T443" s="60">
        <v>0</v>
      </c>
      <c r="U443" s="60">
        <v>0</v>
      </c>
      <c r="V443" s="60">
        <v>0</v>
      </c>
      <c r="W443" s="60">
        <v>0</v>
      </c>
      <c r="X443" s="60">
        <v>0</v>
      </c>
      <c r="Y443" s="60">
        <v>0</v>
      </c>
      <c r="Z443" s="60">
        <v>0</v>
      </c>
      <c r="AA443" s="60">
        <v>0</v>
      </c>
      <c r="AB443" s="60">
        <v>0</v>
      </c>
      <c r="AC443" s="60">
        <v>0</v>
      </c>
      <c r="AD443" s="60">
        <v>0</v>
      </c>
      <c r="AE443" s="60">
        <v>0</v>
      </c>
      <c r="AF443" s="60">
        <v>0</v>
      </c>
      <c r="AG443" s="60">
        <v>0</v>
      </c>
      <c r="AH443" s="60">
        <v>0</v>
      </c>
      <c r="AI443" s="60">
        <v>0</v>
      </c>
      <c r="AJ443" s="60">
        <v>0</v>
      </c>
      <c r="AK443" s="60">
        <v>0</v>
      </c>
      <c r="AL443" s="60">
        <v>0</v>
      </c>
      <c r="AM443" s="60">
        <v>0</v>
      </c>
    </row>
    <row r="444" spans="1:39" ht="15.75" hidden="1" outlineLevel="1" thickBot="1">
      <c r="A444" s="59" t="s">
        <v>90</v>
      </c>
      <c r="B444" s="60">
        <v>0</v>
      </c>
      <c r="C444" s="60">
        <v>0</v>
      </c>
      <c r="D444" s="60">
        <v>0</v>
      </c>
      <c r="E444" s="60">
        <v>0</v>
      </c>
      <c r="F444" s="60">
        <v>0</v>
      </c>
      <c r="G444" s="60">
        <v>0</v>
      </c>
      <c r="H444" s="60">
        <v>0</v>
      </c>
      <c r="I444" s="60">
        <v>0</v>
      </c>
      <c r="J444" s="60">
        <v>0</v>
      </c>
      <c r="K444" s="60">
        <v>0</v>
      </c>
      <c r="L444" s="60">
        <v>0</v>
      </c>
      <c r="M444" s="60">
        <v>0</v>
      </c>
      <c r="N444" s="60">
        <v>0</v>
      </c>
      <c r="O444" s="60">
        <v>0</v>
      </c>
      <c r="P444" s="60">
        <v>0</v>
      </c>
      <c r="Q444" s="60">
        <v>0</v>
      </c>
      <c r="R444" s="60">
        <v>0</v>
      </c>
      <c r="S444" s="60">
        <v>0</v>
      </c>
      <c r="T444" s="60">
        <v>0</v>
      </c>
      <c r="U444" s="60">
        <v>0</v>
      </c>
      <c r="V444" s="60">
        <v>0</v>
      </c>
      <c r="W444" s="60">
        <v>0</v>
      </c>
      <c r="X444" s="60">
        <v>0</v>
      </c>
      <c r="Y444" s="60">
        <v>0</v>
      </c>
      <c r="Z444" s="60">
        <v>0</v>
      </c>
      <c r="AA444" s="60">
        <v>0</v>
      </c>
      <c r="AB444" s="60">
        <v>0</v>
      </c>
      <c r="AC444" s="60">
        <v>0</v>
      </c>
      <c r="AD444" s="60">
        <v>0</v>
      </c>
      <c r="AE444" s="60">
        <v>0</v>
      </c>
      <c r="AF444" s="60">
        <v>0</v>
      </c>
      <c r="AG444" s="60">
        <v>0</v>
      </c>
      <c r="AH444" s="60">
        <v>0</v>
      </c>
      <c r="AI444" s="60">
        <v>0</v>
      </c>
      <c r="AJ444" s="60">
        <v>0</v>
      </c>
      <c r="AK444" s="60">
        <v>0</v>
      </c>
      <c r="AL444" s="60">
        <v>0</v>
      </c>
      <c r="AM444" s="60">
        <v>0</v>
      </c>
    </row>
    <row r="445" spans="1:39" ht="15.75" hidden="1" outlineLevel="1" thickBot="1">
      <c r="A445" s="59" t="s">
        <v>91</v>
      </c>
      <c r="B445" s="60">
        <v>0</v>
      </c>
      <c r="C445" s="60">
        <v>0</v>
      </c>
      <c r="D445" s="60">
        <v>0</v>
      </c>
      <c r="E445" s="60">
        <v>0</v>
      </c>
      <c r="F445" s="60">
        <v>0</v>
      </c>
      <c r="G445" s="60">
        <v>0</v>
      </c>
      <c r="H445" s="60">
        <v>0</v>
      </c>
      <c r="I445" s="60">
        <v>0</v>
      </c>
      <c r="J445" s="60">
        <v>0</v>
      </c>
      <c r="K445" s="60">
        <v>0</v>
      </c>
      <c r="L445" s="60">
        <v>0</v>
      </c>
      <c r="M445" s="60">
        <v>0</v>
      </c>
      <c r="N445" s="60">
        <v>0</v>
      </c>
      <c r="O445" s="60">
        <v>0</v>
      </c>
      <c r="P445" s="60">
        <v>0</v>
      </c>
      <c r="Q445" s="60">
        <v>0</v>
      </c>
      <c r="R445" s="60">
        <v>0</v>
      </c>
      <c r="S445" s="60">
        <v>0</v>
      </c>
      <c r="T445" s="60">
        <v>0</v>
      </c>
      <c r="U445" s="60">
        <v>0</v>
      </c>
      <c r="V445" s="60">
        <v>0</v>
      </c>
      <c r="W445" s="60">
        <v>0</v>
      </c>
      <c r="X445" s="60">
        <v>0</v>
      </c>
      <c r="Y445" s="60">
        <v>0</v>
      </c>
      <c r="Z445" s="60">
        <v>0</v>
      </c>
      <c r="AA445" s="60">
        <v>0</v>
      </c>
      <c r="AB445" s="60">
        <v>0</v>
      </c>
      <c r="AC445" s="60">
        <v>0</v>
      </c>
      <c r="AD445" s="60">
        <v>0</v>
      </c>
      <c r="AE445" s="60">
        <v>0</v>
      </c>
      <c r="AF445" s="60">
        <v>0</v>
      </c>
      <c r="AG445" s="60">
        <v>0</v>
      </c>
      <c r="AH445" s="60">
        <v>0</v>
      </c>
      <c r="AI445" s="60">
        <v>0</v>
      </c>
      <c r="AJ445" s="60">
        <v>0</v>
      </c>
      <c r="AK445" s="60">
        <v>0</v>
      </c>
      <c r="AL445" s="60">
        <v>0</v>
      </c>
      <c r="AM445" s="60">
        <v>0</v>
      </c>
    </row>
    <row r="446" spans="1:39" ht="15.75" hidden="1" outlineLevel="1" thickBot="1">
      <c r="A446" s="59" t="s">
        <v>92</v>
      </c>
      <c r="B446" s="60">
        <v>0</v>
      </c>
      <c r="C446" s="60">
        <v>0</v>
      </c>
      <c r="D446" s="60">
        <v>0</v>
      </c>
      <c r="E446" s="60">
        <v>0</v>
      </c>
      <c r="F446" s="60">
        <v>0</v>
      </c>
      <c r="G446" s="60">
        <v>0</v>
      </c>
      <c r="H446" s="60">
        <v>0</v>
      </c>
      <c r="I446" s="60">
        <v>0</v>
      </c>
      <c r="J446" s="60">
        <v>0</v>
      </c>
      <c r="K446" s="60">
        <v>0</v>
      </c>
      <c r="L446" s="60">
        <v>0</v>
      </c>
      <c r="M446" s="60">
        <v>0</v>
      </c>
      <c r="N446" s="60">
        <v>0</v>
      </c>
      <c r="O446" s="60">
        <v>0</v>
      </c>
      <c r="P446" s="60">
        <v>0</v>
      </c>
      <c r="Q446" s="60">
        <v>0</v>
      </c>
      <c r="R446" s="60">
        <v>0</v>
      </c>
      <c r="S446" s="60">
        <v>0</v>
      </c>
      <c r="T446" s="60">
        <v>0</v>
      </c>
      <c r="U446" s="60">
        <v>0</v>
      </c>
      <c r="V446" s="60">
        <v>0</v>
      </c>
      <c r="W446" s="60">
        <v>0</v>
      </c>
      <c r="X446" s="60">
        <v>0</v>
      </c>
      <c r="Y446" s="60">
        <v>0</v>
      </c>
      <c r="Z446" s="60">
        <v>0</v>
      </c>
      <c r="AA446" s="60">
        <v>0</v>
      </c>
      <c r="AB446" s="60">
        <v>0</v>
      </c>
      <c r="AC446" s="60">
        <v>0</v>
      </c>
      <c r="AD446" s="60">
        <v>0</v>
      </c>
      <c r="AE446" s="60">
        <v>0</v>
      </c>
      <c r="AF446" s="60">
        <v>0</v>
      </c>
      <c r="AG446" s="60">
        <v>0</v>
      </c>
      <c r="AH446" s="60">
        <v>0</v>
      </c>
      <c r="AI446" s="60">
        <v>0</v>
      </c>
      <c r="AJ446" s="60">
        <v>0</v>
      </c>
      <c r="AK446" s="60">
        <v>0</v>
      </c>
      <c r="AL446" s="60">
        <v>0</v>
      </c>
      <c r="AM446" s="60">
        <v>0</v>
      </c>
    </row>
    <row r="447" spans="1:39" ht="15.75" hidden="1" outlineLevel="1" thickBot="1">
      <c r="A447" s="59" t="s">
        <v>93</v>
      </c>
      <c r="B447" s="60">
        <v>0</v>
      </c>
      <c r="C447" s="60">
        <v>0</v>
      </c>
      <c r="D447" s="60">
        <v>0</v>
      </c>
      <c r="E447" s="60">
        <v>0</v>
      </c>
      <c r="F447" s="60">
        <v>0</v>
      </c>
      <c r="G447" s="60">
        <v>0</v>
      </c>
      <c r="H447" s="60">
        <v>0</v>
      </c>
      <c r="I447" s="60">
        <v>0</v>
      </c>
      <c r="J447" s="60">
        <v>0</v>
      </c>
      <c r="K447" s="60">
        <v>0</v>
      </c>
      <c r="L447" s="60">
        <v>0</v>
      </c>
      <c r="M447" s="60">
        <v>0</v>
      </c>
      <c r="N447" s="60">
        <v>0</v>
      </c>
      <c r="O447" s="60">
        <v>0</v>
      </c>
      <c r="P447" s="60">
        <v>0</v>
      </c>
      <c r="Q447" s="60">
        <v>0</v>
      </c>
      <c r="R447" s="60">
        <v>0</v>
      </c>
      <c r="S447" s="60">
        <v>0</v>
      </c>
      <c r="T447" s="60">
        <v>0</v>
      </c>
      <c r="U447" s="60">
        <v>0</v>
      </c>
      <c r="V447" s="60">
        <v>0</v>
      </c>
      <c r="W447" s="60">
        <v>0</v>
      </c>
      <c r="X447" s="60">
        <v>0</v>
      </c>
      <c r="Y447" s="60">
        <v>0</v>
      </c>
      <c r="Z447" s="60">
        <v>0</v>
      </c>
      <c r="AA447" s="60">
        <v>0</v>
      </c>
      <c r="AB447" s="60">
        <v>0</v>
      </c>
      <c r="AC447" s="60">
        <v>0</v>
      </c>
      <c r="AD447" s="60">
        <v>0</v>
      </c>
      <c r="AE447" s="60">
        <v>0</v>
      </c>
      <c r="AF447" s="60">
        <v>0</v>
      </c>
      <c r="AG447" s="60">
        <v>0</v>
      </c>
      <c r="AH447" s="60">
        <v>0</v>
      </c>
      <c r="AI447" s="60">
        <v>0</v>
      </c>
      <c r="AJ447" s="60">
        <v>0</v>
      </c>
      <c r="AK447" s="60">
        <v>0</v>
      </c>
      <c r="AL447" s="60">
        <v>0</v>
      </c>
      <c r="AM447" s="60">
        <v>0</v>
      </c>
    </row>
    <row r="448" spans="1:39" ht="15.75" hidden="1" outlineLevel="1" thickBot="1">
      <c r="A448" s="59" t="s">
        <v>94</v>
      </c>
      <c r="B448" s="60">
        <v>0</v>
      </c>
      <c r="C448" s="60">
        <v>0</v>
      </c>
      <c r="D448" s="60">
        <v>0</v>
      </c>
      <c r="E448" s="60">
        <v>0</v>
      </c>
      <c r="F448" s="60">
        <v>0</v>
      </c>
      <c r="G448" s="60">
        <v>0</v>
      </c>
      <c r="H448" s="60">
        <v>0</v>
      </c>
      <c r="I448" s="60">
        <v>0</v>
      </c>
      <c r="J448" s="60">
        <v>0</v>
      </c>
      <c r="K448" s="60">
        <v>0</v>
      </c>
      <c r="L448" s="60">
        <v>0</v>
      </c>
      <c r="M448" s="60">
        <v>0</v>
      </c>
      <c r="N448" s="60">
        <v>0</v>
      </c>
      <c r="O448" s="60">
        <v>0</v>
      </c>
      <c r="P448" s="60">
        <v>0</v>
      </c>
      <c r="Q448" s="60">
        <v>0</v>
      </c>
      <c r="R448" s="60">
        <v>0</v>
      </c>
      <c r="S448" s="60">
        <v>0</v>
      </c>
      <c r="T448" s="60">
        <v>0</v>
      </c>
      <c r="U448" s="60">
        <v>0</v>
      </c>
      <c r="V448" s="60">
        <v>0</v>
      </c>
      <c r="W448" s="60">
        <v>0</v>
      </c>
      <c r="X448" s="60">
        <v>0</v>
      </c>
      <c r="Y448" s="60">
        <v>0</v>
      </c>
      <c r="Z448" s="60">
        <v>0</v>
      </c>
      <c r="AA448" s="60">
        <v>0</v>
      </c>
      <c r="AB448" s="60">
        <v>0</v>
      </c>
      <c r="AC448" s="60">
        <v>0</v>
      </c>
      <c r="AD448" s="60">
        <v>0</v>
      </c>
      <c r="AE448" s="60">
        <v>0</v>
      </c>
      <c r="AF448" s="60">
        <v>0</v>
      </c>
      <c r="AG448" s="60">
        <v>0</v>
      </c>
      <c r="AH448" s="60">
        <v>0</v>
      </c>
      <c r="AI448" s="60">
        <v>0</v>
      </c>
      <c r="AJ448" s="60">
        <v>0</v>
      </c>
      <c r="AK448" s="60">
        <v>0</v>
      </c>
      <c r="AL448" s="60">
        <v>0</v>
      </c>
      <c r="AM448" s="60">
        <v>0</v>
      </c>
    </row>
    <row r="449" spans="1:39" ht="15.75" hidden="1" outlineLevel="1" thickBot="1">
      <c r="A449" s="59" t="s">
        <v>95</v>
      </c>
      <c r="B449" s="60">
        <v>0</v>
      </c>
      <c r="C449" s="60">
        <v>0</v>
      </c>
      <c r="D449" s="60">
        <v>0</v>
      </c>
      <c r="E449" s="60">
        <v>0</v>
      </c>
      <c r="F449" s="60">
        <v>0</v>
      </c>
      <c r="G449" s="60">
        <v>0</v>
      </c>
      <c r="H449" s="60">
        <v>0</v>
      </c>
      <c r="I449" s="60">
        <v>0</v>
      </c>
      <c r="J449" s="60">
        <v>0</v>
      </c>
      <c r="K449" s="60">
        <v>0</v>
      </c>
      <c r="L449" s="60">
        <v>0</v>
      </c>
      <c r="M449" s="60">
        <v>0</v>
      </c>
      <c r="N449" s="60">
        <v>0</v>
      </c>
      <c r="O449" s="60">
        <v>0</v>
      </c>
      <c r="P449" s="60">
        <v>0</v>
      </c>
      <c r="Q449" s="60">
        <v>0</v>
      </c>
      <c r="R449" s="60">
        <v>0</v>
      </c>
      <c r="S449" s="60">
        <v>0</v>
      </c>
      <c r="T449" s="60">
        <v>0</v>
      </c>
      <c r="U449" s="60">
        <v>0</v>
      </c>
      <c r="V449" s="60">
        <v>0</v>
      </c>
      <c r="W449" s="60">
        <v>0</v>
      </c>
      <c r="X449" s="60">
        <v>0</v>
      </c>
      <c r="Y449" s="60">
        <v>0</v>
      </c>
      <c r="Z449" s="60">
        <v>0</v>
      </c>
      <c r="AA449" s="60">
        <v>0</v>
      </c>
      <c r="AB449" s="60">
        <v>0</v>
      </c>
      <c r="AC449" s="60">
        <v>0</v>
      </c>
      <c r="AD449" s="60">
        <v>0</v>
      </c>
      <c r="AE449" s="60">
        <v>0</v>
      </c>
      <c r="AF449" s="60">
        <v>0</v>
      </c>
      <c r="AG449" s="60">
        <v>0</v>
      </c>
      <c r="AH449" s="60">
        <v>0</v>
      </c>
      <c r="AI449" s="60">
        <v>0</v>
      </c>
      <c r="AJ449" s="60">
        <v>0</v>
      </c>
      <c r="AK449" s="60">
        <v>0</v>
      </c>
      <c r="AL449" s="60">
        <v>0</v>
      </c>
      <c r="AM449" s="60">
        <v>0</v>
      </c>
    </row>
    <row r="450" spans="1:39" ht="15.75" hidden="1" outlineLevel="1" thickBot="1">
      <c r="A450" s="59" t="s">
        <v>96</v>
      </c>
      <c r="B450" s="60">
        <v>0</v>
      </c>
      <c r="C450" s="60">
        <v>0</v>
      </c>
      <c r="D450" s="60">
        <v>0</v>
      </c>
      <c r="E450" s="60">
        <v>0</v>
      </c>
      <c r="F450" s="60">
        <v>0</v>
      </c>
      <c r="G450" s="60">
        <v>0</v>
      </c>
      <c r="H450" s="60">
        <v>0</v>
      </c>
      <c r="I450" s="60">
        <v>0</v>
      </c>
      <c r="J450" s="60">
        <v>0</v>
      </c>
      <c r="K450" s="60">
        <v>0</v>
      </c>
      <c r="L450" s="60">
        <v>0</v>
      </c>
      <c r="M450" s="60">
        <v>0</v>
      </c>
      <c r="N450" s="60">
        <v>0</v>
      </c>
      <c r="O450" s="60">
        <v>0</v>
      </c>
      <c r="P450" s="60">
        <v>0</v>
      </c>
      <c r="Q450" s="60">
        <v>0</v>
      </c>
      <c r="R450" s="60">
        <v>0</v>
      </c>
      <c r="S450" s="60">
        <v>0</v>
      </c>
      <c r="T450" s="60">
        <v>0</v>
      </c>
      <c r="U450" s="60">
        <v>0</v>
      </c>
      <c r="V450" s="60">
        <v>0</v>
      </c>
      <c r="W450" s="60">
        <v>0</v>
      </c>
      <c r="X450" s="60">
        <v>0</v>
      </c>
      <c r="Y450" s="60">
        <v>0</v>
      </c>
      <c r="Z450" s="60">
        <v>0</v>
      </c>
      <c r="AA450" s="60">
        <v>0</v>
      </c>
      <c r="AB450" s="60">
        <v>0</v>
      </c>
      <c r="AC450" s="60">
        <v>0</v>
      </c>
      <c r="AD450" s="60">
        <v>0</v>
      </c>
      <c r="AE450" s="60">
        <v>0</v>
      </c>
      <c r="AF450" s="60">
        <v>0</v>
      </c>
      <c r="AG450" s="60">
        <v>0</v>
      </c>
      <c r="AH450" s="60">
        <v>0</v>
      </c>
      <c r="AI450" s="60">
        <v>0</v>
      </c>
      <c r="AJ450" s="60">
        <v>0</v>
      </c>
      <c r="AK450" s="60">
        <v>0</v>
      </c>
      <c r="AL450" s="60">
        <v>0</v>
      </c>
      <c r="AM450" s="60">
        <v>0</v>
      </c>
    </row>
    <row r="451" spans="1:39" ht="15.75" hidden="1" outlineLevel="1" thickBot="1">
      <c r="A451" s="59" t="s">
        <v>97</v>
      </c>
      <c r="B451" s="60">
        <v>0</v>
      </c>
      <c r="C451" s="60">
        <v>0</v>
      </c>
      <c r="D451" s="60">
        <v>0</v>
      </c>
      <c r="E451" s="60">
        <v>0</v>
      </c>
      <c r="F451" s="60">
        <v>0</v>
      </c>
      <c r="G451" s="60">
        <v>0</v>
      </c>
      <c r="H451" s="60">
        <v>0</v>
      </c>
      <c r="I451" s="60">
        <v>0</v>
      </c>
      <c r="J451" s="60">
        <v>0</v>
      </c>
      <c r="K451" s="60">
        <v>0</v>
      </c>
      <c r="L451" s="60">
        <v>0</v>
      </c>
      <c r="M451" s="60">
        <v>0</v>
      </c>
      <c r="N451" s="60">
        <v>0</v>
      </c>
      <c r="O451" s="60">
        <v>0</v>
      </c>
      <c r="P451" s="60">
        <v>0</v>
      </c>
      <c r="Q451" s="60">
        <v>0</v>
      </c>
      <c r="R451" s="60">
        <v>0</v>
      </c>
      <c r="S451" s="60">
        <v>0</v>
      </c>
      <c r="T451" s="60">
        <v>0</v>
      </c>
      <c r="U451" s="60">
        <v>0</v>
      </c>
      <c r="V451" s="60">
        <v>0</v>
      </c>
      <c r="W451" s="60">
        <v>0</v>
      </c>
      <c r="X451" s="60">
        <v>0</v>
      </c>
      <c r="Y451" s="60">
        <v>0</v>
      </c>
      <c r="Z451" s="60">
        <v>0</v>
      </c>
      <c r="AA451" s="60">
        <v>0</v>
      </c>
      <c r="AB451" s="60">
        <v>0</v>
      </c>
      <c r="AC451" s="60">
        <v>0</v>
      </c>
      <c r="AD451" s="60">
        <v>0</v>
      </c>
      <c r="AE451" s="60">
        <v>0</v>
      </c>
      <c r="AF451" s="60">
        <v>0</v>
      </c>
      <c r="AG451" s="60">
        <v>0</v>
      </c>
      <c r="AH451" s="60">
        <v>0</v>
      </c>
      <c r="AI451" s="60">
        <v>0</v>
      </c>
      <c r="AJ451" s="60">
        <v>0</v>
      </c>
      <c r="AK451" s="60">
        <v>0</v>
      </c>
      <c r="AL451" s="60">
        <v>0</v>
      </c>
      <c r="AM451" s="60">
        <v>0</v>
      </c>
    </row>
    <row r="452" spans="1:39" ht="15.75" hidden="1" outlineLevel="1" thickBot="1">
      <c r="A452" s="59" t="s">
        <v>98</v>
      </c>
      <c r="B452" s="60">
        <v>0</v>
      </c>
      <c r="C452" s="60">
        <v>0</v>
      </c>
      <c r="D452" s="60">
        <v>0</v>
      </c>
      <c r="E452" s="60">
        <v>0</v>
      </c>
      <c r="F452" s="60">
        <v>0</v>
      </c>
      <c r="G452" s="60">
        <v>0</v>
      </c>
      <c r="H452" s="60">
        <v>0</v>
      </c>
      <c r="I452" s="60">
        <v>0</v>
      </c>
      <c r="J452" s="60">
        <v>0</v>
      </c>
      <c r="K452" s="60">
        <v>0</v>
      </c>
      <c r="L452" s="60">
        <v>0</v>
      </c>
      <c r="M452" s="60">
        <v>0</v>
      </c>
      <c r="N452" s="60">
        <v>0</v>
      </c>
      <c r="O452" s="60">
        <v>0</v>
      </c>
      <c r="P452" s="60">
        <v>0</v>
      </c>
      <c r="Q452" s="60">
        <v>0</v>
      </c>
      <c r="R452" s="60">
        <v>0</v>
      </c>
      <c r="S452" s="60">
        <v>0</v>
      </c>
      <c r="T452" s="60">
        <v>0</v>
      </c>
      <c r="U452" s="60">
        <v>0</v>
      </c>
      <c r="V452" s="60">
        <v>0</v>
      </c>
      <c r="W452" s="60">
        <v>0</v>
      </c>
      <c r="X452" s="60">
        <v>0</v>
      </c>
      <c r="Y452" s="60">
        <v>0</v>
      </c>
      <c r="Z452" s="60">
        <v>0</v>
      </c>
      <c r="AA452" s="60">
        <v>0</v>
      </c>
      <c r="AB452" s="60">
        <v>0</v>
      </c>
      <c r="AC452" s="60">
        <v>0</v>
      </c>
      <c r="AD452" s="60">
        <v>0</v>
      </c>
      <c r="AE452" s="60">
        <v>0</v>
      </c>
      <c r="AF452" s="60">
        <v>0</v>
      </c>
      <c r="AG452" s="60">
        <v>0</v>
      </c>
      <c r="AH452" s="60">
        <v>0</v>
      </c>
      <c r="AI452" s="60">
        <v>0</v>
      </c>
      <c r="AJ452" s="60">
        <v>0</v>
      </c>
      <c r="AK452" s="60">
        <v>0</v>
      </c>
      <c r="AL452" s="60">
        <v>0</v>
      </c>
      <c r="AM452" s="60">
        <v>0</v>
      </c>
    </row>
    <row r="453" spans="1:39" ht="15.75" hidden="1" outlineLevel="1" thickBot="1">
      <c r="A453" s="59" t="s">
        <v>99</v>
      </c>
      <c r="B453" s="60">
        <v>0</v>
      </c>
      <c r="C453" s="60">
        <v>0</v>
      </c>
      <c r="D453" s="60">
        <v>0</v>
      </c>
      <c r="E453" s="60">
        <v>0</v>
      </c>
      <c r="F453" s="60">
        <v>0</v>
      </c>
      <c r="G453" s="60">
        <v>0</v>
      </c>
      <c r="H453" s="60">
        <v>0</v>
      </c>
      <c r="I453" s="60">
        <v>0</v>
      </c>
      <c r="J453" s="60">
        <v>0</v>
      </c>
      <c r="K453" s="60">
        <v>0</v>
      </c>
      <c r="L453" s="60">
        <v>0</v>
      </c>
      <c r="M453" s="60">
        <v>0</v>
      </c>
      <c r="N453" s="60">
        <v>0</v>
      </c>
      <c r="O453" s="60">
        <v>0</v>
      </c>
      <c r="P453" s="60">
        <v>0</v>
      </c>
      <c r="Q453" s="60">
        <v>0</v>
      </c>
      <c r="R453" s="60">
        <v>0</v>
      </c>
      <c r="S453" s="60">
        <v>0</v>
      </c>
      <c r="T453" s="60">
        <v>0</v>
      </c>
      <c r="U453" s="60">
        <v>0</v>
      </c>
      <c r="V453" s="60">
        <v>0</v>
      </c>
      <c r="W453" s="60">
        <v>0</v>
      </c>
      <c r="X453" s="60">
        <v>0</v>
      </c>
      <c r="Y453" s="60">
        <v>0</v>
      </c>
      <c r="Z453" s="60">
        <v>0</v>
      </c>
      <c r="AA453" s="60">
        <v>0</v>
      </c>
      <c r="AB453" s="60">
        <v>0</v>
      </c>
      <c r="AC453" s="60">
        <v>0</v>
      </c>
      <c r="AD453" s="60">
        <v>0</v>
      </c>
      <c r="AE453" s="60">
        <v>0</v>
      </c>
      <c r="AF453" s="60">
        <v>0</v>
      </c>
      <c r="AG453" s="60">
        <v>0</v>
      </c>
      <c r="AH453" s="60">
        <v>0</v>
      </c>
      <c r="AI453" s="60">
        <v>0</v>
      </c>
      <c r="AJ453" s="60">
        <v>0</v>
      </c>
      <c r="AK453" s="60">
        <v>0</v>
      </c>
      <c r="AL453" s="60">
        <v>0</v>
      </c>
      <c r="AM453" s="60">
        <v>0</v>
      </c>
    </row>
    <row r="454" spans="1:39" ht="15.75" hidden="1" outlineLevel="1" thickBot="1">
      <c r="A454" s="59" t="s">
        <v>100</v>
      </c>
      <c r="B454" s="60">
        <v>0</v>
      </c>
      <c r="C454" s="60">
        <v>0</v>
      </c>
      <c r="D454" s="60">
        <v>0</v>
      </c>
      <c r="E454" s="60">
        <v>0</v>
      </c>
      <c r="F454" s="60">
        <v>0</v>
      </c>
      <c r="G454" s="60">
        <v>0</v>
      </c>
      <c r="H454" s="60">
        <v>0</v>
      </c>
      <c r="I454" s="60">
        <v>0</v>
      </c>
      <c r="J454" s="60">
        <v>0</v>
      </c>
      <c r="K454" s="60">
        <v>0</v>
      </c>
      <c r="L454" s="60">
        <v>0</v>
      </c>
      <c r="M454" s="60">
        <v>0</v>
      </c>
      <c r="N454" s="60">
        <v>0</v>
      </c>
      <c r="O454" s="60">
        <v>0</v>
      </c>
      <c r="P454" s="60">
        <v>0</v>
      </c>
      <c r="Q454" s="60">
        <v>0</v>
      </c>
      <c r="R454" s="60">
        <v>0</v>
      </c>
      <c r="S454" s="60">
        <v>0</v>
      </c>
      <c r="T454" s="60">
        <v>0</v>
      </c>
      <c r="U454" s="60">
        <v>0</v>
      </c>
      <c r="V454" s="60">
        <v>0</v>
      </c>
      <c r="W454" s="60">
        <v>0</v>
      </c>
      <c r="X454" s="60">
        <v>0</v>
      </c>
      <c r="Y454" s="60">
        <v>0</v>
      </c>
      <c r="Z454" s="60">
        <v>0</v>
      </c>
      <c r="AA454" s="60">
        <v>0</v>
      </c>
      <c r="AB454" s="60">
        <v>0</v>
      </c>
      <c r="AC454" s="60">
        <v>0</v>
      </c>
      <c r="AD454" s="60">
        <v>0</v>
      </c>
      <c r="AE454" s="60">
        <v>0</v>
      </c>
      <c r="AF454" s="60">
        <v>0</v>
      </c>
      <c r="AG454" s="60">
        <v>0</v>
      </c>
      <c r="AH454" s="60">
        <v>0</v>
      </c>
      <c r="AI454" s="60">
        <v>0</v>
      </c>
      <c r="AJ454" s="60">
        <v>0</v>
      </c>
      <c r="AK454" s="60">
        <v>0</v>
      </c>
      <c r="AL454" s="60">
        <v>0</v>
      </c>
      <c r="AM454" s="60">
        <v>0</v>
      </c>
    </row>
    <row r="455" spans="1:39" ht="15.75" hidden="1" outlineLevel="1" thickBot="1">
      <c r="A455" s="59" t="s">
        <v>101</v>
      </c>
      <c r="B455" s="60">
        <v>0</v>
      </c>
      <c r="C455" s="60">
        <v>0</v>
      </c>
      <c r="D455" s="60">
        <v>0</v>
      </c>
      <c r="E455" s="60">
        <v>0</v>
      </c>
      <c r="F455" s="60">
        <v>0</v>
      </c>
      <c r="G455" s="60">
        <v>0</v>
      </c>
      <c r="H455" s="60">
        <v>0</v>
      </c>
      <c r="I455" s="60">
        <v>0</v>
      </c>
      <c r="J455" s="60">
        <v>0</v>
      </c>
      <c r="K455" s="60">
        <v>0</v>
      </c>
      <c r="L455" s="60">
        <v>0</v>
      </c>
      <c r="M455" s="60">
        <v>0</v>
      </c>
      <c r="N455" s="60">
        <v>0</v>
      </c>
      <c r="O455" s="60">
        <v>0</v>
      </c>
      <c r="P455" s="60">
        <v>0</v>
      </c>
      <c r="Q455" s="60">
        <v>0</v>
      </c>
      <c r="R455" s="60">
        <v>0</v>
      </c>
      <c r="S455" s="60">
        <v>0</v>
      </c>
      <c r="T455" s="60">
        <v>0</v>
      </c>
      <c r="U455" s="60">
        <v>0</v>
      </c>
      <c r="V455" s="60">
        <v>0</v>
      </c>
      <c r="W455" s="60">
        <v>0</v>
      </c>
      <c r="X455" s="60">
        <v>0</v>
      </c>
      <c r="Y455" s="60">
        <v>0</v>
      </c>
      <c r="Z455" s="60">
        <v>0</v>
      </c>
      <c r="AA455" s="60">
        <v>0</v>
      </c>
      <c r="AB455" s="60">
        <v>0</v>
      </c>
      <c r="AC455" s="60">
        <v>0</v>
      </c>
      <c r="AD455" s="60">
        <v>0</v>
      </c>
      <c r="AE455" s="60">
        <v>0</v>
      </c>
      <c r="AF455" s="60">
        <v>0</v>
      </c>
      <c r="AG455" s="60">
        <v>0</v>
      </c>
      <c r="AH455" s="60">
        <v>0</v>
      </c>
      <c r="AI455" s="60">
        <v>0</v>
      </c>
      <c r="AJ455" s="60">
        <v>0</v>
      </c>
      <c r="AK455" s="60">
        <v>0</v>
      </c>
      <c r="AL455" s="60">
        <v>0</v>
      </c>
      <c r="AM455" s="60">
        <v>0</v>
      </c>
    </row>
    <row r="456" spans="1:39" ht="15.75" hidden="1" outlineLevel="1" thickBot="1">
      <c r="A456" s="59" t="s">
        <v>102</v>
      </c>
      <c r="B456" s="60">
        <v>0</v>
      </c>
      <c r="C456" s="60">
        <v>0</v>
      </c>
      <c r="D456" s="60">
        <v>0</v>
      </c>
      <c r="E456" s="60">
        <v>0</v>
      </c>
      <c r="F456" s="60">
        <v>0</v>
      </c>
      <c r="G456" s="60">
        <v>0</v>
      </c>
      <c r="H456" s="60">
        <v>0</v>
      </c>
      <c r="I456" s="60">
        <v>0</v>
      </c>
      <c r="J456" s="60">
        <v>0</v>
      </c>
      <c r="K456" s="60">
        <v>0</v>
      </c>
      <c r="L456" s="60">
        <v>0</v>
      </c>
      <c r="M456" s="60">
        <v>0</v>
      </c>
      <c r="N456" s="60">
        <v>0</v>
      </c>
      <c r="O456" s="60">
        <v>0</v>
      </c>
      <c r="P456" s="60">
        <v>0</v>
      </c>
      <c r="Q456" s="60">
        <v>0</v>
      </c>
      <c r="R456" s="60">
        <v>0</v>
      </c>
      <c r="S456" s="60">
        <v>0</v>
      </c>
      <c r="T456" s="60">
        <v>0</v>
      </c>
      <c r="U456" s="60">
        <v>0</v>
      </c>
      <c r="V456" s="60">
        <v>0</v>
      </c>
      <c r="W456" s="60">
        <v>0</v>
      </c>
      <c r="X456" s="60">
        <v>0</v>
      </c>
      <c r="Y456" s="60">
        <v>0</v>
      </c>
      <c r="Z456" s="60">
        <v>0</v>
      </c>
      <c r="AA456" s="60">
        <v>0</v>
      </c>
      <c r="AB456" s="60">
        <v>0</v>
      </c>
      <c r="AC456" s="60">
        <v>0</v>
      </c>
      <c r="AD456" s="60">
        <v>0</v>
      </c>
      <c r="AE456" s="60">
        <v>0</v>
      </c>
      <c r="AF456" s="60">
        <v>0</v>
      </c>
      <c r="AG456" s="60">
        <v>0</v>
      </c>
      <c r="AH456" s="60">
        <v>0</v>
      </c>
      <c r="AI456" s="60">
        <v>0</v>
      </c>
      <c r="AJ456" s="60">
        <v>0</v>
      </c>
      <c r="AK456" s="60">
        <v>0</v>
      </c>
      <c r="AL456" s="60">
        <v>0</v>
      </c>
      <c r="AM456" s="60">
        <v>0</v>
      </c>
    </row>
    <row r="457" spans="1:39" ht="15.75" hidden="1" outlineLevel="1" thickBot="1">
      <c r="A457" s="59" t="s">
        <v>103</v>
      </c>
      <c r="B457" s="60">
        <v>0</v>
      </c>
      <c r="C457" s="60">
        <v>0</v>
      </c>
      <c r="D457" s="60">
        <v>0</v>
      </c>
      <c r="E457" s="60">
        <v>0</v>
      </c>
      <c r="F457" s="60">
        <v>0</v>
      </c>
      <c r="G457" s="60">
        <v>0</v>
      </c>
      <c r="H457" s="60">
        <v>0</v>
      </c>
      <c r="I457" s="60">
        <v>0</v>
      </c>
      <c r="J457" s="60">
        <v>0</v>
      </c>
      <c r="K457" s="60">
        <v>0</v>
      </c>
      <c r="L457" s="60">
        <v>0</v>
      </c>
      <c r="M457" s="60">
        <v>0</v>
      </c>
      <c r="N457" s="60">
        <v>0</v>
      </c>
      <c r="O457" s="60">
        <v>0</v>
      </c>
      <c r="P457" s="60">
        <v>0</v>
      </c>
      <c r="Q457" s="60">
        <v>0</v>
      </c>
      <c r="R457" s="60">
        <v>0</v>
      </c>
      <c r="S457" s="60">
        <v>0</v>
      </c>
      <c r="T457" s="60">
        <v>0</v>
      </c>
      <c r="U457" s="60">
        <v>0</v>
      </c>
      <c r="V457" s="60">
        <v>0</v>
      </c>
      <c r="W457" s="60">
        <v>0</v>
      </c>
      <c r="X457" s="60">
        <v>0</v>
      </c>
      <c r="Y457" s="60">
        <v>0</v>
      </c>
      <c r="Z457" s="60">
        <v>0</v>
      </c>
      <c r="AA457" s="60">
        <v>0</v>
      </c>
      <c r="AB457" s="60">
        <v>0</v>
      </c>
      <c r="AC457" s="60">
        <v>0</v>
      </c>
      <c r="AD457" s="60">
        <v>0</v>
      </c>
      <c r="AE457" s="60">
        <v>0</v>
      </c>
      <c r="AF457" s="60">
        <v>0</v>
      </c>
      <c r="AG457" s="60">
        <v>0</v>
      </c>
      <c r="AH457" s="60">
        <v>0</v>
      </c>
      <c r="AI457" s="60">
        <v>0</v>
      </c>
      <c r="AJ457" s="60">
        <v>0</v>
      </c>
      <c r="AK457" s="60">
        <v>0</v>
      </c>
      <c r="AL457" s="60">
        <v>0</v>
      </c>
      <c r="AM457" s="60">
        <v>0</v>
      </c>
    </row>
    <row r="458" spans="1:39" ht="15.75" hidden="1" outlineLevel="1" thickBot="1">
      <c r="A458" s="59" t="s">
        <v>44</v>
      </c>
      <c r="B458" s="60">
        <v>0</v>
      </c>
      <c r="C458" s="60">
        <v>0</v>
      </c>
      <c r="D458" s="60">
        <v>0</v>
      </c>
      <c r="E458" s="60">
        <v>0</v>
      </c>
      <c r="F458" s="60">
        <v>0</v>
      </c>
      <c r="G458" s="60">
        <v>0</v>
      </c>
      <c r="H458" s="60">
        <v>0</v>
      </c>
      <c r="I458" s="60">
        <v>0</v>
      </c>
      <c r="J458" s="60">
        <v>0</v>
      </c>
      <c r="K458" s="60">
        <v>0</v>
      </c>
      <c r="L458" s="60">
        <v>0</v>
      </c>
      <c r="M458" s="60">
        <v>0</v>
      </c>
      <c r="N458" s="60">
        <v>0</v>
      </c>
      <c r="O458" s="60">
        <v>0</v>
      </c>
      <c r="P458" s="60">
        <v>0</v>
      </c>
      <c r="Q458" s="60">
        <v>0</v>
      </c>
      <c r="R458" s="60">
        <v>0</v>
      </c>
      <c r="S458" s="60">
        <v>0</v>
      </c>
      <c r="T458" s="60">
        <v>0</v>
      </c>
      <c r="U458" s="60">
        <v>0</v>
      </c>
      <c r="V458" s="60">
        <v>0</v>
      </c>
      <c r="W458" s="60">
        <v>0</v>
      </c>
      <c r="X458" s="60">
        <v>0</v>
      </c>
      <c r="Y458" s="60">
        <v>0</v>
      </c>
      <c r="Z458" s="60">
        <v>0</v>
      </c>
      <c r="AA458" s="60">
        <v>0</v>
      </c>
      <c r="AB458" s="60">
        <v>0</v>
      </c>
      <c r="AC458" s="60">
        <v>0</v>
      </c>
      <c r="AD458" s="60">
        <v>0</v>
      </c>
      <c r="AE458" s="60">
        <v>0</v>
      </c>
      <c r="AF458" s="60">
        <v>0</v>
      </c>
      <c r="AG458" s="60">
        <v>0</v>
      </c>
      <c r="AH458" s="60">
        <v>0</v>
      </c>
      <c r="AI458" s="60">
        <v>0</v>
      </c>
      <c r="AJ458" s="60">
        <v>0</v>
      </c>
      <c r="AK458" s="60">
        <v>0</v>
      </c>
      <c r="AL458" s="60">
        <v>0</v>
      </c>
      <c r="AM458" s="60">
        <v>0</v>
      </c>
    </row>
    <row r="459" spans="1:39" ht="15.75" hidden="1" outlineLevel="1" thickBot="1">
      <c r="A459" s="59" t="s">
        <v>45</v>
      </c>
      <c r="B459" s="60">
        <v>0.16</v>
      </c>
      <c r="C459" s="60">
        <v>0.15</v>
      </c>
      <c r="D459" s="60">
        <v>0.16</v>
      </c>
      <c r="E459" s="60">
        <v>0.16</v>
      </c>
      <c r="F459" s="60">
        <v>0.16</v>
      </c>
      <c r="G459" s="60">
        <v>0.16</v>
      </c>
      <c r="H459" s="60">
        <v>0.16</v>
      </c>
      <c r="I459" s="60">
        <v>0.16</v>
      </c>
      <c r="J459" s="60">
        <v>0.14000000000000001</v>
      </c>
      <c r="K459" s="60">
        <v>0.14000000000000001</v>
      </c>
      <c r="L459" s="60">
        <v>0.13</v>
      </c>
      <c r="M459" s="60">
        <v>0.13</v>
      </c>
      <c r="N459" s="60">
        <v>0.12</v>
      </c>
      <c r="O459" s="60">
        <v>0.12</v>
      </c>
      <c r="P459" s="60">
        <v>0.11</v>
      </c>
      <c r="Q459" s="60">
        <v>0.11</v>
      </c>
      <c r="R459" s="60">
        <v>0.1</v>
      </c>
      <c r="S459" s="60">
        <v>0.1</v>
      </c>
      <c r="T459" s="60">
        <v>0.09</v>
      </c>
      <c r="U459" s="60">
        <v>0.09</v>
      </c>
      <c r="V459" s="60">
        <v>0.08</v>
      </c>
      <c r="W459" s="60">
        <v>7.0000000000000007E-2</v>
      </c>
      <c r="X459" s="60">
        <v>7.0000000000000007E-2</v>
      </c>
      <c r="Y459" s="60">
        <v>0.06</v>
      </c>
      <c r="Z459" s="60">
        <v>0.06</v>
      </c>
      <c r="AA459" s="60">
        <v>0.05</v>
      </c>
      <c r="AB459" s="60">
        <v>0.05</v>
      </c>
      <c r="AC459" s="60">
        <v>0.04</v>
      </c>
      <c r="AD459" s="60">
        <v>0.04</v>
      </c>
      <c r="AE459" s="60">
        <v>0.03</v>
      </c>
      <c r="AF459" s="60">
        <v>0.03</v>
      </c>
      <c r="AG459" s="60">
        <v>0.02</v>
      </c>
      <c r="AH459" s="60">
        <v>0.02</v>
      </c>
      <c r="AI459" s="60">
        <v>0.01</v>
      </c>
      <c r="AJ459" s="60">
        <v>0</v>
      </c>
      <c r="AK459" s="60">
        <v>0</v>
      </c>
      <c r="AL459" s="60">
        <v>0</v>
      </c>
      <c r="AM459" s="60">
        <v>0</v>
      </c>
    </row>
    <row r="460" spans="1:39" ht="15.75" hidden="1" outlineLevel="1" thickBot="1">
      <c r="A460" s="59" t="s">
        <v>104</v>
      </c>
      <c r="B460" s="60">
        <v>0</v>
      </c>
      <c r="C460" s="60">
        <v>0</v>
      </c>
      <c r="D460" s="60">
        <v>0</v>
      </c>
      <c r="E460" s="60">
        <v>0</v>
      </c>
      <c r="F460" s="60">
        <v>0</v>
      </c>
      <c r="G460" s="60">
        <v>0</v>
      </c>
      <c r="H460" s="60">
        <v>0</v>
      </c>
      <c r="I460" s="60">
        <v>0</v>
      </c>
      <c r="J460" s="60">
        <v>0</v>
      </c>
      <c r="K460" s="60">
        <v>0</v>
      </c>
      <c r="L460" s="60">
        <v>0</v>
      </c>
      <c r="M460" s="60">
        <v>0</v>
      </c>
      <c r="N460" s="60">
        <v>0</v>
      </c>
      <c r="O460" s="60">
        <v>0</v>
      </c>
      <c r="P460" s="60">
        <v>0</v>
      </c>
      <c r="Q460" s="60">
        <v>0</v>
      </c>
      <c r="R460" s="60">
        <v>0</v>
      </c>
      <c r="S460" s="60">
        <v>0</v>
      </c>
      <c r="T460" s="60">
        <v>0</v>
      </c>
      <c r="U460" s="60">
        <v>0</v>
      </c>
      <c r="V460" s="60">
        <v>0</v>
      </c>
      <c r="W460" s="60">
        <v>0</v>
      </c>
      <c r="X460" s="60">
        <v>0</v>
      </c>
      <c r="Y460" s="60">
        <v>0</v>
      </c>
      <c r="Z460" s="60">
        <v>0</v>
      </c>
      <c r="AA460" s="60">
        <v>0</v>
      </c>
      <c r="AB460" s="60">
        <v>0</v>
      </c>
      <c r="AC460" s="60">
        <v>0</v>
      </c>
      <c r="AD460" s="60">
        <v>0</v>
      </c>
      <c r="AE460" s="60">
        <v>0</v>
      </c>
      <c r="AF460" s="60">
        <v>0</v>
      </c>
      <c r="AG460" s="60">
        <v>0</v>
      </c>
      <c r="AH460" s="60">
        <v>0</v>
      </c>
      <c r="AI460" s="60">
        <v>0</v>
      </c>
      <c r="AJ460" s="60">
        <v>0</v>
      </c>
      <c r="AK460" s="60">
        <v>0</v>
      </c>
      <c r="AL460" s="60">
        <v>0</v>
      </c>
      <c r="AM460" s="60">
        <v>0</v>
      </c>
    </row>
    <row r="461" spans="1:39" ht="15.75" hidden="1" outlineLevel="1" thickBot="1">
      <c r="A461" s="59" t="s">
        <v>105</v>
      </c>
      <c r="B461" s="60">
        <v>0</v>
      </c>
      <c r="C461" s="60">
        <v>0</v>
      </c>
      <c r="D461" s="60">
        <v>0</v>
      </c>
      <c r="E461" s="60">
        <v>0</v>
      </c>
      <c r="F461" s="60">
        <v>0</v>
      </c>
      <c r="G461" s="60">
        <v>0</v>
      </c>
      <c r="H461" s="60">
        <v>0</v>
      </c>
      <c r="I461" s="60">
        <v>0</v>
      </c>
      <c r="J461" s="60">
        <v>0</v>
      </c>
      <c r="K461" s="60">
        <v>0</v>
      </c>
      <c r="L461" s="60">
        <v>0</v>
      </c>
      <c r="M461" s="60">
        <v>0</v>
      </c>
      <c r="N461" s="60">
        <v>0</v>
      </c>
      <c r="O461" s="60">
        <v>0</v>
      </c>
      <c r="P461" s="60">
        <v>0</v>
      </c>
      <c r="Q461" s="60">
        <v>0</v>
      </c>
      <c r="R461" s="60">
        <v>0</v>
      </c>
      <c r="S461" s="60">
        <v>0</v>
      </c>
      <c r="T461" s="60">
        <v>0</v>
      </c>
      <c r="U461" s="60">
        <v>0</v>
      </c>
      <c r="V461" s="60">
        <v>0</v>
      </c>
      <c r="W461" s="60">
        <v>0</v>
      </c>
      <c r="X461" s="60">
        <v>0</v>
      </c>
      <c r="Y461" s="60">
        <v>0</v>
      </c>
      <c r="Z461" s="60">
        <v>0</v>
      </c>
      <c r="AA461" s="60">
        <v>0</v>
      </c>
      <c r="AB461" s="60">
        <v>0</v>
      </c>
      <c r="AC461" s="60">
        <v>0</v>
      </c>
      <c r="AD461" s="60">
        <v>0</v>
      </c>
      <c r="AE461" s="60">
        <v>0</v>
      </c>
      <c r="AF461" s="60">
        <v>0</v>
      </c>
      <c r="AG461" s="60">
        <v>0</v>
      </c>
      <c r="AH461" s="60">
        <v>0</v>
      </c>
      <c r="AI461" s="60">
        <v>0</v>
      </c>
      <c r="AJ461" s="60">
        <v>0</v>
      </c>
      <c r="AK461" s="60">
        <v>0</v>
      </c>
      <c r="AL461" s="60">
        <v>0</v>
      </c>
      <c r="AM461" s="60">
        <v>0</v>
      </c>
    </row>
    <row r="462" spans="1:39" ht="15.75" hidden="1" outlineLevel="1" thickBot="1">
      <c r="A462" s="59" t="s">
        <v>106</v>
      </c>
      <c r="B462" s="60">
        <v>0.52</v>
      </c>
      <c r="C462" s="60">
        <v>0.5</v>
      </c>
      <c r="D462" s="60">
        <v>0.38</v>
      </c>
      <c r="E462" s="60">
        <v>0.39</v>
      </c>
      <c r="F462" s="60">
        <v>0</v>
      </c>
      <c r="G462" s="60">
        <v>0.32</v>
      </c>
      <c r="H462" s="60">
        <v>0.25</v>
      </c>
      <c r="I462" s="60">
        <v>0.22</v>
      </c>
      <c r="J462" s="60">
        <v>0.34</v>
      </c>
      <c r="K462" s="60">
        <v>0.34</v>
      </c>
      <c r="L462" s="60">
        <v>0.33</v>
      </c>
      <c r="M462" s="60">
        <v>0.31</v>
      </c>
      <c r="N462" s="60">
        <v>0.3</v>
      </c>
      <c r="O462" s="60">
        <v>0.28999999999999998</v>
      </c>
      <c r="P462" s="60">
        <v>0.27</v>
      </c>
      <c r="Q462" s="60">
        <v>0.26</v>
      </c>
      <c r="R462" s="60">
        <v>0.25</v>
      </c>
      <c r="S462" s="60">
        <v>0.23</v>
      </c>
      <c r="T462" s="60">
        <v>0.22</v>
      </c>
      <c r="U462" s="60">
        <v>0.21</v>
      </c>
      <c r="V462" s="60">
        <v>0.19</v>
      </c>
      <c r="W462" s="60">
        <v>0.18</v>
      </c>
      <c r="X462" s="60">
        <v>0.17</v>
      </c>
      <c r="Y462" s="60">
        <v>0.16</v>
      </c>
      <c r="Z462" s="60">
        <v>0.14000000000000001</v>
      </c>
      <c r="AA462" s="60">
        <v>0.13</v>
      </c>
      <c r="AB462" s="60">
        <v>0.12</v>
      </c>
      <c r="AC462" s="60">
        <v>0.1</v>
      </c>
      <c r="AD462" s="60">
        <v>0.09</v>
      </c>
      <c r="AE462" s="60">
        <v>0.08</v>
      </c>
      <c r="AF462" s="60">
        <v>0.06</v>
      </c>
      <c r="AG462" s="60">
        <v>0.05</v>
      </c>
      <c r="AH462" s="60">
        <v>0.04</v>
      </c>
      <c r="AI462" s="60">
        <v>0.03</v>
      </c>
      <c r="AJ462" s="60">
        <v>0.01</v>
      </c>
      <c r="AK462" s="60">
        <v>0</v>
      </c>
      <c r="AL462" s="60">
        <v>0</v>
      </c>
      <c r="AM462" s="60">
        <v>0</v>
      </c>
    </row>
    <row r="463" spans="1:39" ht="15.75" hidden="1" outlineLevel="1" thickBot="1">
      <c r="A463" s="59" t="s">
        <v>46</v>
      </c>
      <c r="B463" s="60">
        <v>0.47</v>
      </c>
      <c r="C463" s="60">
        <v>0.73</v>
      </c>
      <c r="D463" s="60">
        <v>0.74</v>
      </c>
      <c r="E463" s="60">
        <v>0.75</v>
      </c>
      <c r="F463" s="60">
        <v>0.75</v>
      </c>
      <c r="G463" s="60">
        <v>0.75</v>
      </c>
      <c r="H463" s="60">
        <v>0.77</v>
      </c>
      <c r="I463" s="60">
        <v>0.81</v>
      </c>
      <c r="J463" s="60">
        <v>0.77</v>
      </c>
      <c r="K463" s="60">
        <v>0.77</v>
      </c>
      <c r="L463" s="60">
        <v>0.74</v>
      </c>
      <c r="M463" s="60">
        <v>0.71</v>
      </c>
      <c r="N463" s="60">
        <v>0.68</v>
      </c>
      <c r="O463" s="60">
        <v>0.65</v>
      </c>
      <c r="P463" s="60">
        <v>0.62</v>
      </c>
      <c r="Q463" s="60">
        <v>0.59</v>
      </c>
      <c r="R463" s="60">
        <v>0.56000000000000005</v>
      </c>
      <c r="S463" s="60">
        <v>0.53</v>
      </c>
      <c r="T463" s="60">
        <v>0.5</v>
      </c>
      <c r="U463" s="60">
        <v>0.47</v>
      </c>
      <c r="V463" s="60">
        <v>0.44</v>
      </c>
      <c r="W463" s="60">
        <v>0.41</v>
      </c>
      <c r="X463" s="60">
        <v>0.38</v>
      </c>
      <c r="Y463" s="60">
        <v>0.35</v>
      </c>
      <c r="Z463" s="60">
        <v>0.32</v>
      </c>
      <c r="AA463" s="60">
        <v>0.28999999999999998</v>
      </c>
      <c r="AB463" s="60">
        <v>0.26</v>
      </c>
      <c r="AC463" s="60">
        <v>0.23</v>
      </c>
      <c r="AD463" s="60">
        <v>0.2</v>
      </c>
      <c r="AE463" s="60">
        <v>0.17</v>
      </c>
      <c r="AF463" s="60">
        <v>0.15</v>
      </c>
      <c r="AG463" s="60">
        <v>0.12</v>
      </c>
      <c r="AH463" s="60">
        <v>0.09</v>
      </c>
      <c r="AI463" s="60">
        <v>0.06</v>
      </c>
      <c r="AJ463" s="60">
        <v>0.03</v>
      </c>
      <c r="AK463" s="60">
        <v>0</v>
      </c>
      <c r="AL463" s="60">
        <v>0</v>
      </c>
      <c r="AM463" s="60">
        <v>0</v>
      </c>
    </row>
    <row r="464" spans="1:39" ht="15.75" hidden="1" outlineLevel="1" thickBot="1">
      <c r="A464" s="59" t="s">
        <v>107</v>
      </c>
      <c r="B464" s="60">
        <v>0</v>
      </c>
      <c r="C464" s="60">
        <v>0</v>
      </c>
      <c r="D464" s="60">
        <v>0</v>
      </c>
      <c r="E464" s="60">
        <v>0</v>
      </c>
      <c r="F464" s="60">
        <v>0</v>
      </c>
      <c r="G464" s="60">
        <v>0</v>
      </c>
      <c r="H464" s="60">
        <v>0</v>
      </c>
      <c r="I464" s="60">
        <v>0</v>
      </c>
      <c r="J464" s="60">
        <v>0</v>
      </c>
      <c r="K464" s="60">
        <v>0</v>
      </c>
      <c r="L464" s="60">
        <v>0</v>
      </c>
      <c r="M464" s="60">
        <v>0</v>
      </c>
      <c r="N464" s="60">
        <v>0</v>
      </c>
      <c r="O464" s="60">
        <v>0</v>
      </c>
      <c r="P464" s="60">
        <v>0</v>
      </c>
      <c r="Q464" s="60">
        <v>0</v>
      </c>
      <c r="R464" s="60">
        <v>0</v>
      </c>
      <c r="S464" s="60">
        <v>0</v>
      </c>
      <c r="T464" s="60">
        <v>0</v>
      </c>
      <c r="U464" s="60">
        <v>0</v>
      </c>
      <c r="V464" s="60">
        <v>0</v>
      </c>
      <c r="W464" s="60">
        <v>0</v>
      </c>
      <c r="X464" s="60">
        <v>0</v>
      </c>
      <c r="Y464" s="60">
        <v>0</v>
      </c>
      <c r="Z464" s="60">
        <v>0</v>
      </c>
      <c r="AA464" s="60">
        <v>0</v>
      </c>
      <c r="AB464" s="60">
        <v>0</v>
      </c>
      <c r="AC464" s="60">
        <v>0</v>
      </c>
      <c r="AD464" s="60">
        <v>0</v>
      </c>
      <c r="AE464" s="60">
        <v>0</v>
      </c>
      <c r="AF464" s="60">
        <v>0</v>
      </c>
      <c r="AG464" s="60">
        <v>0</v>
      </c>
      <c r="AH464" s="60">
        <v>0</v>
      </c>
      <c r="AI464" s="60">
        <v>0</v>
      </c>
      <c r="AJ464" s="60">
        <v>0</v>
      </c>
      <c r="AK464" s="60">
        <v>0</v>
      </c>
      <c r="AL464" s="60">
        <v>0</v>
      </c>
      <c r="AM464" s="60">
        <v>0</v>
      </c>
    </row>
    <row r="465" spans="1:39" ht="15.75" hidden="1" outlineLevel="1" thickBot="1">
      <c r="A465" s="61" t="s">
        <v>108</v>
      </c>
      <c r="B465" s="62">
        <v>0</v>
      </c>
      <c r="C465" s="62">
        <v>0</v>
      </c>
      <c r="D465" s="62">
        <v>0</v>
      </c>
      <c r="E465" s="62">
        <v>0</v>
      </c>
      <c r="F465" s="62">
        <v>0</v>
      </c>
      <c r="G465" s="62">
        <v>0</v>
      </c>
      <c r="H465" s="62">
        <v>0</v>
      </c>
      <c r="I465" s="62">
        <v>0</v>
      </c>
      <c r="J465" s="62">
        <v>0</v>
      </c>
      <c r="K465" s="62">
        <v>0</v>
      </c>
      <c r="L465" s="62">
        <v>0</v>
      </c>
      <c r="M465" s="62">
        <v>0</v>
      </c>
      <c r="N465" s="62">
        <v>0</v>
      </c>
      <c r="O465" s="62">
        <v>0</v>
      </c>
      <c r="P465" s="62">
        <v>0</v>
      </c>
      <c r="Q465" s="62">
        <v>0</v>
      </c>
      <c r="R465" s="62">
        <v>0</v>
      </c>
      <c r="S465" s="62">
        <v>0</v>
      </c>
      <c r="T465" s="62">
        <v>0</v>
      </c>
      <c r="U465" s="62">
        <v>0</v>
      </c>
      <c r="V465" s="62">
        <v>0</v>
      </c>
      <c r="W465" s="62">
        <v>0</v>
      </c>
      <c r="X465" s="62">
        <v>0</v>
      </c>
      <c r="Y465" s="62">
        <v>0</v>
      </c>
      <c r="Z465" s="62">
        <v>0</v>
      </c>
      <c r="AA465" s="62">
        <v>0</v>
      </c>
      <c r="AB465" s="62">
        <v>0</v>
      </c>
      <c r="AC465" s="62">
        <v>0</v>
      </c>
      <c r="AD465" s="62">
        <v>0</v>
      </c>
      <c r="AE465" s="62">
        <v>0</v>
      </c>
      <c r="AF465" s="62">
        <v>0</v>
      </c>
      <c r="AG465" s="62">
        <v>0</v>
      </c>
      <c r="AH465" s="62">
        <v>0</v>
      </c>
      <c r="AI465" s="62">
        <v>0</v>
      </c>
      <c r="AJ465" s="62">
        <v>0</v>
      </c>
      <c r="AK465" s="62">
        <v>0</v>
      </c>
      <c r="AL465" s="62">
        <v>0</v>
      </c>
      <c r="AM465" s="62">
        <v>0</v>
      </c>
    </row>
    <row r="466" spans="1:39" ht="17.25" collapsed="1" thickTop="1" thickBot="1">
      <c r="A466" s="65" t="s">
        <v>123</v>
      </c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</row>
    <row r="467" spans="1:39" ht="16.5" hidden="1" outlineLevel="1" thickTop="1" thickBot="1">
      <c r="A467" s="57" t="s">
        <v>41</v>
      </c>
      <c r="B467" s="58">
        <v>2013</v>
      </c>
      <c r="C467" s="58">
        <v>2014</v>
      </c>
      <c r="D467" s="58">
        <v>2015</v>
      </c>
      <c r="E467" s="58">
        <v>2016</v>
      </c>
      <c r="F467" s="58">
        <v>2017</v>
      </c>
      <c r="G467" s="58">
        <v>2018</v>
      </c>
      <c r="H467" s="58">
        <v>2019</v>
      </c>
      <c r="I467" s="58">
        <v>2020</v>
      </c>
      <c r="J467" s="58">
        <v>2021</v>
      </c>
      <c r="K467" s="58">
        <v>2022</v>
      </c>
      <c r="L467" s="58">
        <v>2023</v>
      </c>
      <c r="M467" s="58">
        <v>2024</v>
      </c>
      <c r="N467" s="58">
        <v>2025</v>
      </c>
      <c r="O467" s="58">
        <v>2026</v>
      </c>
      <c r="P467" s="58">
        <v>2027</v>
      </c>
      <c r="Q467" s="58">
        <v>2028</v>
      </c>
      <c r="R467" s="58">
        <v>2029</v>
      </c>
      <c r="S467" s="58">
        <v>2030</v>
      </c>
      <c r="T467" s="58">
        <v>2031</v>
      </c>
      <c r="U467" s="58">
        <v>2032</v>
      </c>
      <c r="V467" s="58">
        <v>2033</v>
      </c>
      <c r="W467" s="58">
        <v>2034</v>
      </c>
      <c r="X467" s="58">
        <v>2035</v>
      </c>
      <c r="Y467" s="58">
        <v>2036</v>
      </c>
      <c r="Z467" s="58">
        <v>2037</v>
      </c>
      <c r="AA467" s="58">
        <v>2038</v>
      </c>
      <c r="AB467" s="58">
        <v>2039</v>
      </c>
      <c r="AC467" s="58">
        <v>2040</v>
      </c>
      <c r="AD467" s="58">
        <v>2041</v>
      </c>
      <c r="AE467" s="58">
        <v>2042</v>
      </c>
      <c r="AF467" s="58">
        <v>2043</v>
      </c>
      <c r="AG467" s="58">
        <v>2044</v>
      </c>
      <c r="AH467" s="58">
        <v>2045</v>
      </c>
      <c r="AI467" s="58">
        <v>2046</v>
      </c>
      <c r="AJ467" s="58">
        <v>2047</v>
      </c>
      <c r="AK467" s="58">
        <v>2048</v>
      </c>
      <c r="AL467" s="58">
        <v>2049</v>
      </c>
      <c r="AM467" s="58">
        <v>2050</v>
      </c>
    </row>
    <row r="468" spans="1:39" ht="16.5" hidden="1" outlineLevel="1" thickTop="1" thickBot="1">
      <c r="A468" s="59" t="s">
        <v>83</v>
      </c>
      <c r="B468" s="60">
        <v>0</v>
      </c>
      <c r="C468" s="60">
        <v>0</v>
      </c>
      <c r="D468" s="60">
        <v>0</v>
      </c>
      <c r="E468" s="60">
        <v>0</v>
      </c>
      <c r="F468" s="60">
        <v>0</v>
      </c>
      <c r="G468" s="60">
        <v>0</v>
      </c>
      <c r="H468" s="60">
        <v>0</v>
      </c>
      <c r="I468" s="60">
        <v>0</v>
      </c>
      <c r="J468" s="60">
        <v>0</v>
      </c>
      <c r="K468" s="60">
        <v>0</v>
      </c>
      <c r="L468" s="60">
        <v>0</v>
      </c>
      <c r="M468" s="60">
        <v>0</v>
      </c>
      <c r="N468" s="60">
        <v>0</v>
      </c>
      <c r="O468" s="60">
        <v>0</v>
      </c>
      <c r="P468" s="60">
        <v>0</v>
      </c>
      <c r="Q468" s="60">
        <v>0</v>
      </c>
      <c r="R468" s="60">
        <v>0</v>
      </c>
      <c r="S468" s="60">
        <v>0</v>
      </c>
      <c r="T468" s="60">
        <v>0</v>
      </c>
      <c r="U468" s="60">
        <v>0</v>
      </c>
      <c r="V468" s="60">
        <v>0</v>
      </c>
      <c r="W468" s="60">
        <v>0</v>
      </c>
      <c r="X468" s="60">
        <v>0</v>
      </c>
      <c r="Y468" s="60">
        <v>0</v>
      </c>
      <c r="Z468" s="60">
        <v>0</v>
      </c>
      <c r="AA468" s="60">
        <v>0</v>
      </c>
      <c r="AB468" s="60">
        <v>0</v>
      </c>
      <c r="AC468" s="60">
        <v>0</v>
      </c>
      <c r="AD468" s="60">
        <v>0</v>
      </c>
      <c r="AE468" s="60">
        <v>0</v>
      </c>
      <c r="AF468" s="60">
        <v>0</v>
      </c>
      <c r="AG468" s="60">
        <v>0</v>
      </c>
      <c r="AH468" s="60">
        <v>0</v>
      </c>
      <c r="AI468" s="60">
        <v>0</v>
      </c>
      <c r="AJ468" s="60">
        <v>0</v>
      </c>
      <c r="AK468" s="60">
        <v>0</v>
      </c>
      <c r="AL468" s="60">
        <v>0</v>
      </c>
      <c r="AM468" s="60">
        <v>0</v>
      </c>
    </row>
    <row r="469" spans="1:39" ht="15.75" hidden="1" outlineLevel="1" thickBot="1">
      <c r="A469" s="59" t="s">
        <v>84</v>
      </c>
      <c r="B469" s="60">
        <v>0</v>
      </c>
      <c r="C469" s="60">
        <v>0</v>
      </c>
      <c r="D469" s="60">
        <v>0</v>
      </c>
      <c r="E469" s="60">
        <v>0</v>
      </c>
      <c r="F469" s="60">
        <v>0</v>
      </c>
      <c r="G469" s="60">
        <v>0</v>
      </c>
      <c r="H469" s="60">
        <v>0</v>
      </c>
      <c r="I469" s="60">
        <v>0</v>
      </c>
      <c r="J469" s="60">
        <v>0</v>
      </c>
      <c r="K469" s="60">
        <v>0</v>
      </c>
      <c r="L469" s="60">
        <v>0</v>
      </c>
      <c r="M469" s="60">
        <v>0</v>
      </c>
      <c r="N469" s="60">
        <v>0</v>
      </c>
      <c r="O469" s="60">
        <v>0</v>
      </c>
      <c r="P469" s="60">
        <v>0</v>
      </c>
      <c r="Q469" s="60">
        <v>0</v>
      </c>
      <c r="R469" s="60">
        <v>0</v>
      </c>
      <c r="S469" s="60">
        <v>0</v>
      </c>
      <c r="T469" s="60">
        <v>0</v>
      </c>
      <c r="U469" s="60">
        <v>0</v>
      </c>
      <c r="V469" s="60">
        <v>0</v>
      </c>
      <c r="W469" s="60">
        <v>0</v>
      </c>
      <c r="X469" s="60">
        <v>0</v>
      </c>
      <c r="Y469" s="60">
        <v>0</v>
      </c>
      <c r="Z469" s="60">
        <v>0</v>
      </c>
      <c r="AA469" s="60">
        <v>0</v>
      </c>
      <c r="AB469" s="60">
        <v>0</v>
      </c>
      <c r="AC469" s="60">
        <v>0</v>
      </c>
      <c r="AD469" s="60">
        <v>0</v>
      </c>
      <c r="AE469" s="60">
        <v>0</v>
      </c>
      <c r="AF469" s="60">
        <v>0</v>
      </c>
      <c r="AG469" s="60">
        <v>0</v>
      </c>
      <c r="AH469" s="60">
        <v>0</v>
      </c>
      <c r="AI469" s="60">
        <v>0</v>
      </c>
      <c r="AJ469" s="60">
        <v>0</v>
      </c>
      <c r="AK469" s="60">
        <v>0</v>
      </c>
      <c r="AL469" s="60">
        <v>0</v>
      </c>
      <c r="AM469" s="60">
        <v>0</v>
      </c>
    </row>
    <row r="470" spans="1:39" ht="15.75" hidden="1" outlineLevel="1" thickBot="1">
      <c r="A470" s="59" t="s">
        <v>85</v>
      </c>
      <c r="B470" s="60">
        <v>0</v>
      </c>
      <c r="C470" s="60">
        <v>0</v>
      </c>
      <c r="D470" s="60">
        <v>0</v>
      </c>
      <c r="E470" s="60">
        <v>0</v>
      </c>
      <c r="F470" s="60">
        <v>0</v>
      </c>
      <c r="G470" s="60">
        <v>0</v>
      </c>
      <c r="H470" s="60">
        <v>0</v>
      </c>
      <c r="I470" s="60">
        <v>0</v>
      </c>
      <c r="J470" s="60">
        <v>0</v>
      </c>
      <c r="K470" s="60">
        <v>0</v>
      </c>
      <c r="L470" s="60">
        <v>0</v>
      </c>
      <c r="M470" s="60">
        <v>0</v>
      </c>
      <c r="N470" s="60">
        <v>0</v>
      </c>
      <c r="O470" s="60">
        <v>0</v>
      </c>
      <c r="P470" s="60">
        <v>0</v>
      </c>
      <c r="Q470" s="60">
        <v>0</v>
      </c>
      <c r="R470" s="60">
        <v>0</v>
      </c>
      <c r="S470" s="60">
        <v>0</v>
      </c>
      <c r="T470" s="60">
        <v>0</v>
      </c>
      <c r="U470" s="60">
        <v>0</v>
      </c>
      <c r="V470" s="60">
        <v>0</v>
      </c>
      <c r="W470" s="60">
        <v>0</v>
      </c>
      <c r="X470" s="60">
        <v>0</v>
      </c>
      <c r="Y470" s="60">
        <v>0</v>
      </c>
      <c r="Z470" s="60">
        <v>0</v>
      </c>
      <c r="AA470" s="60">
        <v>0</v>
      </c>
      <c r="AB470" s="60">
        <v>0</v>
      </c>
      <c r="AC470" s="60">
        <v>0</v>
      </c>
      <c r="AD470" s="60">
        <v>0</v>
      </c>
      <c r="AE470" s="60">
        <v>0</v>
      </c>
      <c r="AF470" s="60">
        <v>0</v>
      </c>
      <c r="AG470" s="60">
        <v>0</v>
      </c>
      <c r="AH470" s="60">
        <v>0</v>
      </c>
      <c r="AI470" s="60">
        <v>0</v>
      </c>
      <c r="AJ470" s="60">
        <v>0</v>
      </c>
      <c r="AK470" s="60">
        <v>0</v>
      </c>
      <c r="AL470" s="60">
        <v>0</v>
      </c>
      <c r="AM470" s="60">
        <v>0</v>
      </c>
    </row>
    <row r="471" spans="1:39" ht="15.75" hidden="1" outlineLevel="1" thickBot="1">
      <c r="A471" s="59" t="s">
        <v>86</v>
      </c>
      <c r="B471" s="60">
        <v>0</v>
      </c>
      <c r="C471" s="60">
        <v>0</v>
      </c>
      <c r="D471" s="60">
        <v>0</v>
      </c>
      <c r="E471" s="60">
        <v>0</v>
      </c>
      <c r="F471" s="60">
        <v>0</v>
      </c>
      <c r="G471" s="60">
        <v>0</v>
      </c>
      <c r="H471" s="60">
        <v>0</v>
      </c>
      <c r="I471" s="60">
        <v>0</v>
      </c>
      <c r="J471" s="60">
        <v>0</v>
      </c>
      <c r="K471" s="60">
        <v>0</v>
      </c>
      <c r="L471" s="60">
        <v>0</v>
      </c>
      <c r="M471" s="60">
        <v>0</v>
      </c>
      <c r="N471" s="60">
        <v>0</v>
      </c>
      <c r="O471" s="60">
        <v>0</v>
      </c>
      <c r="P471" s="60">
        <v>0</v>
      </c>
      <c r="Q471" s="60">
        <v>0</v>
      </c>
      <c r="R471" s="60">
        <v>0</v>
      </c>
      <c r="S471" s="60">
        <v>0</v>
      </c>
      <c r="T471" s="60">
        <v>0</v>
      </c>
      <c r="U471" s="60">
        <v>0</v>
      </c>
      <c r="V471" s="60">
        <v>0</v>
      </c>
      <c r="W471" s="60">
        <v>0</v>
      </c>
      <c r="X471" s="60">
        <v>0</v>
      </c>
      <c r="Y471" s="60">
        <v>0</v>
      </c>
      <c r="Z471" s="60">
        <v>0</v>
      </c>
      <c r="AA471" s="60">
        <v>0</v>
      </c>
      <c r="AB471" s="60">
        <v>0</v>
      </c>
      <c r="AC471" s="60">
        <v>0</v>
      </c>
      <c r="AD471" s="60">
        <v>0</v>
      </c>
      <c r="AE471" s="60">
        <v>0</v>
      </c>
      <c r="AF471" s="60">
        <v>0</v>
      </c>
      <c r="AG471" s="60">
        <v>0</v>
      </c>
      <c r="AH471" s="60">
        <v>0</v>
      </c>
      <c r="AI471" s="60">
        <v>0</v>
      </c>
      <c r="AJ471" s="60">
        <v>0</v>
      </c>
      <c r="AK471" s="60">
        <v>0</v>
      </c>
      <c r="AL471" s="60">
        <v>0</v>
      </c>
      <c r="AM471" s="60">
        <v>0</v>
      </c>
    </row>
    <row r="472" spans="1:39" ht="15.75" hidden="1" outlineLevel="1" thickBot="1">
      <c r="A472" s="59" t="s">
        <v>87</v>
      </c>
      <c r="B472" s="60">
        <v>0</v>
      </c>
      <c r="C472" s="60">
        <v>0</v>
      </c>
      <c r="D472" s="60">
        <v>0</v>
      </c>
      <c r="E472" s="60">
        <v>0</v>
      </c>
      <c r="F472" s="60">
        <v>0</v>
      </c>
      <c r="G472" s="60">
        <v>0</v>
      </c>
      <c r="H472" s="60">
        <v>0</v>
      </c>
      <c r="I472" s="60">
        <v>0</v>
      </c>
      <c r="J472" s="60">
        <v>0</v>
      </c>
      <c r="K472" s="60">
        <v>0</v>
      </c>
      <c r="L472" s="60">
        <v>0</v>
      </c>
      <c r="M472" s="60">
        <v>0</v>
      </c>
      <c r="N472" s="60">
        <v>0</v>
      </c>
      <c r="O472" s="60">
        <v>0</v>
      </c>
      <c r="P472" s="60">
        <v>0</v>
      </c>
      <c r="Q472" s="60">
        <v>0</v>
      </c>
      <c r="R472" s="60">
        <v>0</v>
      </c>
      <c r="S472" s="60">
        <v>0</v>
      </c>
      <c r="T472" s="60">
        <v>0</v>
      </c>
      <c r="U472" s="60">
        <v>0</v>
      </c>
      <c r="V472" s="60">
        <v>0</v>
      </c>
      <c r="W472" s="60">
        <v>0</v>
      </c>
      <c r="X472" s="60">
        <v>0</v>
      </c>
      <c r="Y472" s="60">
        <v>0</v>
      </c>
      <c r="Z472" s="60">
        <v>0</v>
      </c>
      <c r="AA472" s="60">
        <v>0</v>
      </c>
      <c r="AB472" s="60">
        <v>0</v>
      </c>
      <c r="AC472" s="60">
        <v>0</v>
      </c>
      <c r="AD472" s="60">
        <v>0</v>
      </c>
      <c r="AE472" s="60">
        <v>0</v>
      </c>
      <c r="AF472" s="60">
        <v>0</v>
      </c>
      <c r="AG472" s="60">
        <v>0</v>
      </c>
      <c r="AH472" s="60">
        <v>0</v>
      </c>
      <c r="AI472" s="60">
        <v>0</v>
      </c>
      <c r="AJ472" s="60">
        <v>0</v>
      </c>
      <c r="AK472" s="60">
        <v>0</v>
      </c>
      <c r="AL472" s="60">
        <v>0</v>
      </c>
      <c r="AM472" s="60">
        <v>0</v>
      </c>
    </row>
    <row r="473" spans="1:39" ht="15.75" hidden="1" outlineLevel="1" thickBot="1">
      <c r="A473" s="59" t="s">
        <v>88</v>
      </c>
      <c r="B473" s="60">
        <v>0</v>
      </c>
      <c r="C473" s="60">
        <v>0</v>
      </c>
      <c r="D473" s="60">
        <v>0</v>
      </c>
      <c r="E473" s="60">
        <v>0</v>
      </c>
      <c r="F473" s="60">
        <v>0</v>
      </c>
      <c r="G473" s="60">
        <v>0</v>
      </c>
      <c r="H473" s="60">
        <v>0</v>
      </c>
      <c r="I473" s="60">
        <v>0</v>
      </c>
      <c r="J473" s="60">
        <v>0</v>
      </c>
      <c r="K473" s="60">
        <v>0</v>
      </c>
      <c r="L473" s="60">
        <v>0</v>
      </c>
      <c r="M473" s="60">
        <v>0</v>
      </c>
      <c r="N473" s="60">
        <v>0</v>
      </c>
      <c r="O473" s="60">
        <v>0</v>
      </c>
      <c r="P473" s="60">
        <v>0</v>
      </c>
      <c r="Q473" s="60">
        <v>0</v>
      </c>
      <c r="R473" s="60">
        <v>0</v>
      </c>
      <c r="S473" s="60">
        <v>0</v>
      </c>
      <c r="T473" s="60">
        <v>0</v>
      </c>
      <c r="U473" s="60">
        <v>0</v>
      </c>
      <c r="V473" s="60">
        <v>0</v>
      </c>
      <c r="W473" s="60">
        <v>0</v>
      </c>
      <c r="X473" s="60">
        <v>0</v>
      </c>
      <c r="Y473" s="60">
        <v>0</v>
      </c>
      <c r="Z473" s="60">
        <v>0</v>
      </c>
      <c r="AA473" s="60">
        <v>0</v>
      </c>
      <c r="AB473" s="60">
        <v>0</v>
      </c>
      <c r="AC473" s="60">
        <v>0</v>
      </c>
      <c r="AD473" s="60">
        <v>0</v>
      </c>
      <c r="AE473" s="60">
        <v>0</v>
      </c>
      <c r="AF473" s="60">
        <v>0</v>
      </c>
      <c r="AG473" s="60">
        <v>0</v>
      </c>
      <c r="AH473" s="60">
        <v>0</v>
      </c>
      <c r="AI473" s="60">
        <v>0</v>
      </c>
      <c r="AJ473" s="60">
        <v>0</v>
      </c>
      <c r="AK473" s="60">
        <v>0</v>
      </c>
      <c r="AL473" s="60">
        <v>0</v>
      </c>
      <c r="AM473" s="60">
        <v>0</v>
      </c>
    </row>
    <row r="474" spans="1:39" ht="15.75" hidden="1" outlineLevel="1" thickBot="1">
      <c r="A474" s="59" t="s">
        <v>89</v>
      </c>
      <c r="B474" s="60">
        <v>0</v>
      </c>
      <c r="C474" s="60">
        <v>0</v>
      </c>
      <c r="D474" s="60">
        <v>0</v>
      </c>
      <c r="E474" s="60">
        <v>0</v>
      </c>
      <c r="F474" s="60">
        <v>0</v>
      </c>
      <c r="G474" s="60">
        <v>0</v>
      </c>
      <c r="H474" s="60">
        <v>0</v>
      </c>
      <c r="I474" s="60">
        <v>0</v>
      </c>
      <c r="J474" s="60">
        <v>0</v>
      </c>
      <c r="K474" s="60">
        <v>0</v>
      </c>
      <c r="L474" s="60">
        <v>0</v>
      </c>
      <c r="M474" s="60">
        <v>0</v>
      </c>
      <c r="N474" s="60">
        <v>0</v>
      </c>
      <c r="O474" s="60">
        <v>0</v>
      </c>
      <c r="P474" s="60">
        <v>0</v>
      </c>
      <c r="Q474" s="60">
        <v>0</v>
      </c>
      <c r="R474" s="60">
        <v>0</v>
      </c>
      <c r="S474" s="60">
        <v>0</v>
      </c>
      <c r="T474" s="60">
        <v>0</v>
      </c>
      <c r="U474" s="60">
        <v>0</v>
      </c>
      <c r="V474" s="60">
        <v>0</v>
      </c>
      <c r="W474" s="60">
        <v>0</v>
      </c>
      <c r="X474" s="60">
        <v>0</v>
      </c>
      <c r="Y474" s="60">
        <v>0</v>
      </c>
      <c r="Z474" s="60">
        <v>0</v>
      </c>
      <c r="AA474" s="60">
        <v>0</v>
      </c>
      <c r="AB474" s="60">
        <v>0</v>
      </c>
      <c r="AC474" s="60">
        <v>0</v>
      </c>
      <c r="AD474" s="60">
        <v>0</v>
      </c>
      <c r="AE474" s="60">
        <v>0</v>
      </c>
      <c r="AF474" s="60">
        <v>0</v>
      </c>
      <c r="AG474" s="60">
        <v>0</v>
      </c>
      <c r="AH474" s="60">
        <v>0</v>
      </c>
      <c r="AI474" s="60">
        <v>0</v>
      </c>
      <c r="AJ474" s="60">
        <v>0</v>
      </c>
      <c r="AK474" s="60">
        <v>0</v>
      </c>
      <c r="AL474" s="60">
        <v>0</v>
      </c>
      <c r="AM474" s="60">
        <v>0</v>
      </c>
    </row>
    <row r="475" spans="1:39" ht="15.75" hidden="1" outlineLevel="1" thickBot="1">
      <c r="A475" s="59" t="s">
        <v>90</v>
      </c>
      <c r="B475" s="60">
        <v>0</v>
      </c>
      <c r="C475" s="60">
        <v>0</v>
      </c>
      <c r="D475" s="60">
        <v>0</v>
      </c>
      <c r="E475" s="60">
        <v>0</v>
      </c>
      <c r="F475" s="60">
        <v>0</v>
      </c>
      <c r="G475" s="60">
        <v>0</v>
      </c>
      <c r="H475" s="60">
        <v>0</v>
      </c>
      <c r="I475" s="60">
        <v>0</v>
      </c>
      <c r="J475" s="60">
        <v>0</v>
      </c>
      <c r="K475" s="60">
        <v>0</v>
      </c>
      <c r="L475" s="60">
        <v>0</v>
      </c>
      <c r="M475" s="60">
        <v>0</v>
      </c>
      <c r="N475" s="60">
        <v>0</v>
      </c>
      <c r="O475" s="60">
        <v>0</v>
      </c>
      <c r="P475" s="60">
        <v>0</v>
      </c>
      <c r="Q475" s="60">
        <v>0</v>
      </c>
      <c r="R475" s="60">
        <v>0</v>
      </c>
      <c r="S475" s="60">
        <v>0</v>
      </c>
      <c r="T475" s="60">
        <v>0</v>
      </c>
      <c r="U475" s="60">
        <v>0</v>
      </c>
      <c r="V475" s="60">
        <v>0</v>
      </c>
      <c r="W475" s="60">
        <v>0</v>
      </c>
      <c r="X475" s="60">
        <v>0</v>
      </c>
      <c r="Y475" s="60">
        <v>0</v>
      </c>
      <c r="Z475" s="60">
        <v>0</v>
      </c>
      <c r="AA475" s="60">
        <v>0</v>
      </c>
      <c r="AB475" s="60">
        <v>0</v>
      </c>
      <c r="AC475" s="60">
        <v>0</v>
      </c>
      <c r="AD475" s="60">
        <v>0</v>
      </c>
      <c r="AE475" s="60">
        <v>0</v>
      </c>
      <c r="AF475" s="60">
        <v>0</v>
      </c>
      <c r="AG475" s="60">
        <v>0</v>
      </c>
      <c r="AH475" s="60">
        <v>0</v>
      </c>
      <c r="AI475" s="60">
        <v>0</v>
      </c>
      <c r="AJ475" s="60">
        <v>0</v>
      </c>
      <c r="AK475" s="60">
        <v>0</v>
      </c>
      <c r="AL475" s="60">
        <v>0</v>
      </c>
      <c r="AM475" s="60">
        <v>0</v>
      </c>
    </row>
    <row r="476" spans="1:39" ht="15.75" hidden="1" outlineLevel="1" thickBot="1">
      <c r="A476" s="59" t="s">
        <v>91</v>
      </c>
      <c r="B476" s="60">
        <v>0</v>
      </c>
      <c r="C476" s="60">
        <v>0</v>
      </c>
      <c r="D476" s="60">
        <v>0</v>
      </c>
      <c r="E476" s="60">
        <v>0</v>
      </c>
      <c r="F476" s="60">
        <v>0</v>
      </c>
      <c r="G476" s="60">
        <v>0</v>
      </c>
      <c r="H476" s="60">
        <v>0</v>
      </c>
      <c r="I476" s="60">
        <v>0</v>
      </c>
      <c r="J476" s="60">
        <v>0</v>
      </c>
      <c r="K476" s="60">
        <v>0</v>
      </c>
      <c r="L476" s="60">
        <v>0</v>
      </c>
      <c r="M476" s="60">
        <v>0</v>
      </c>
      <c r="N476" s="60">
        <v>0</v>
      </c>
      <c r="O476" s="60">
        <v>0</v>
      </c>
      <c r="P476" s="60">
        <v>0</v>
      </c>
      <c r="Q476" s="60">
        <v>0</v>
      </c>
      <c r="R476" s="60">
        <v>0</v>
      </c>
      <c r="S476" s="60">
        <v>0</v>
      </c>
      <c r="T476" s="60">
        <v>0</v>
      </c>
      <c r="U476" s="60">
        <v>0</v>
      </c>
      <c r="V476" s="60">
        <v>0</v>
      </c>
      <c r="W476" s="60">
        <v>0</v>
      </c>
      <c r="X476" s="60">
        <v>0</v>
      </c>
      <c r="Y476" s="60">
        <v>0</v>
      </c>
      <c r="Z476" s="60">
        <v>0</v>
      </c>
      <c r="AA476" s="60">
        <v>0</v>
      </c>
      <c r="AB476" s="60">
        <v>0</v>
      </c>
      <c r="AC476" s="60">
        <v>0</v>
      </c>
      <c r="AD476" s="60">
        <v>0</v>
      </c>
      <c r="AE476" s="60">
        <v>0</v>
      </c>
      <c r="AF476" s="60">
        <v>0</v>
      </c>
      <c r="AG476" s="60">
        <v>0</v>
      </c>
      <c r="AH476" s="60">
        <v>0</v>
      </c>
      <c r="AI476" s="60">
        <v>0</v>
      </c>
      <c r="AJ476" s="60">
        <v>0</v>
      </c>
      <c r="AK476" s="60">
        <v>0</v>
      </c>
      <c r="AL476" s="60">
        <v>0</v>
      </c>
      <c r="AM476" s="60">
        <v>0</v>
      </c>
    </row>
    <row r="477" spans="1:39" ht="15.75" hidden="1" outlineLevel="1" thickBot="1">
      <c r="A477" s="59" t="s">
        <v>92</v>
      </c>
      <c r="B477" s="60">
        <v>0</v>
      </c>
      <c r="C477" s="60">
        <v>0</v>
      </c>
      <c r="D477" s="60">
        <v>0</v>
      </c>
      <c r="E477" s="60">
        <v>0</v>
      </c>
      <c r="F477" s="60">
        <v>0</v>
      </c>
      <c r="G477" s="60">
        <v>0</v>
      </c>
      <c r="H477" s="60">
        <v>0</v>
      </c>
      <c r="I477" s="60">
        <v>0</v>
      </c>
      <c r="J477" s="60">
        <v>0</v>
      </c>
      <c r="K477" s="60">
        <v>0</v>
      </c>
      <c r="L477" s="60">
        <v>0</v>
      </c>
      <c r="M477" s="60">
        <v>0</v>
      </c>
      <c r="N477" s="60">
        <v>0</v>
      </c>
      <c r="O477" s="60">
        <v>0</v>
      </c>
      <c r="P477" s="60">
        <v>0</v>
      </c>
      <c r="Q477" s="60">
        <v>0</v>
      </c>
      <c r="R477" s="60">
        <v>0</v>
      </c>
      <c r="S477" s="60">
        <v>0</v>
      </c>
      <c r="T477" s="60">
        <v>0</v>
      </c>
      <c r="U477" s="60">
        <v>0</v>
      </c>
      <c r="V477" s="60">
        <v>0</v>
      </c>
      <c r="W477" s="60">
        <v>0</v>
      </c>
      <c r="X477" s="60">
        <v>0</v>
      </c>
      <c r="Y477" s="60">
        <v>0</v>
      </c>
      <c r="Z477" s="60">
        <v>0</v>
      </c>
      <c r="AA477" s="60">
        <v>0</v>
      </c>
      <c r="AB477" s="60">
        <v>0</v>
      </c>
      <c r="AC477" s="60">
        <v>0</v>
      </c>
      <c r="AD477" s="60">
        <v>0</v>
      </c>
      <c r="AE477" s="60">
        <v>0</v>
      </c>
      <c r="AF477" s="60">
        <v>0</v>
      </c>
      <c r="AG477" s="60">
        <v>0</v>
      </c>
      <c r="AH477" s="60">
        <v>0</v>
      </c>
      <c r="AI477" s="60">
        <v>0</v>
      </c>
      <c r="AJ477" s="60">
        <v>0</v>
      </c>
      <c r="AK477" s="60">
        <v>0</v>
      </c>
      <c r="AL477" s="60">
        <v>0</v>
      </c>
      <c r="AM477" s="60">
        <v>0</v>
      </c>
    </row>
    <row r="478" spans="1:39" ht="15.75" hidden="1" outlineLevel="1" thickBot="1">
      <c r="A478" s="59" t="s">
        <v>93</v>
      </c>
      <c r="B478" s="60">
        <v>0</v>
      </c>
      <c r="C478" s="60">
        <v>0</v>
      </c>
      <c r="D478" s="60">
        <v>0</v>
      </c>
      <c r="E478" s="60">
        <v>0</v>
      </c>
      <c r="F478" s="60">
        <v>0</v>
      </c>
      <c r="G478" s="60">
        <v>0</v>
      </c>
      <c r="H478" s="60">
        <v>0</v>
      </c>
      <c r="I478" s="60">
        <v>0</v>
      </c>
      <c r="J478" s="60">
        <v>0</v>
      </c>
      <c r="K478" s="60">
        <v>0</v>
      </c>
      <c r="L478" s="60">
        <v>0</v>
      </c>
      <c r="M478" s="60">
        <v>0</v>
      </c>
      <c r="N478" s="60">
        <v>0</v>
      </c>
      <c r="O478" s="60">
        <v>0</v>
      </c>
      <c r="P478" s="60">
        <v>0</v>
      </c>
      <c r="Q478" s="60">
        <v>0</v>
      </c>
      <c r="R478" s="60">
        <v>0</v>
      </c>
      <c r="S478" s="60">
        <v>0</v>
      </c>
      <c r="T478" s="60">
        <v>0</v>
      </c>
      <c r="U478" s="60">
        <v>0</v>
      </c>
      <c r="V478" s="60">
        <v>0</v>
      </c>
      <c r="W478" s="60">
        <v>0</v>
      </c>
      <c r="X478" s="60">
        <v>0</v>
      </c>
      <c r="Y478" s="60">
        <v>0</v>
      </c>
      <c r="Z478" s="60">
        <v>0</v>
      </c>
      <c r="AA478" s="60">
        <v>0</v>
      </c>
      <c r="AB478" s="60">
        <v>0</v>
      </c>
      <c r="AC478" s="60">
        <v>0</v>
      </c>
      <c r="AD478" s="60">
        <v>0</v>
      </c>
      <c r="AE478" s="60">
        <v>0</v>
      </c>
      <c r="AF478" s="60">
        <v>0</v>
      </c>
      <c r="AG478" s="60">
        <v>0</v>
      </c>
      <c r="AH478" s="60">
        <v>0</v>
      </c>
      <c r="AI478" s="60">
        <v>0</v>
      </c>
      <c r="AJ478" s="60">
        <v>0</v>
      </c>
      <c r="AK478" s="60">
        <v>0</v>
      </c>
      <c r="AL478" s="60">
        <v>0</v>
      </c>
      <c r="AM478" s="60">
        <v>0</v>
      </c>
    </row>
    <row r="479" spans="1:39" ht="15.75" hidden="1" outlineLevel="1" thickBot="1">
      <c r="A479" s="59" t="s">
        <v>94</v>
      </c>
      <c r="B479" s="60">
        <v>0</v>
      </c>
      <c r="C479" s="60">
        <v>0</v>
      </c>
      <c r="D479" s="60">
        <v>0</v>
      </c>
      <c r="E479" s="60">
        <v>0</v>
      </c>
      <c r="F479" s="60">
        <v>0</v>
      </c>
      <c r="G479" s="60">
        <v>0</v>
      </c>
      <c r="H479" s="60">
        <v>0</v>
      </c>
      <c r="I479" s="60">
        <v>0</v>
      </c>
      <c r="J479" s="60">
        <v>0</v>
      </c>
      <c r="K479" s="60">
        <v>0</v>
      </c>
      <c r="L479" s="60">
        <v>0</v>
      </c>
      <c r="M479" s="60">
        <v>0</v>
      </c>
      <c r="N479" s="60">
        <v>0</v>
      </c>
      <c r="O479" s="60">
        <v>0</v>
      </c>
      <c r="P479" s="60">
        <v>0</v>
      </c>
      <c r="Q479" s="60">
        <v>0</v>
      </c>
      <c r="R479" s="60">
        <v>0</v>
      </c>
      <c r="S479" s="60">
        <v>0</v>
      </c>
      <c r="T479" s="60">
        <v>0</v>
      </c>
      <c r="U479" s="60">
        <v>0</v>
      </c>
      <c r="V479" s="60">
        <v>0</v>
      </c>
      <c r="W479" s="60">
        <v>0</v>
      </c>
      <c r="X479" s="60">
        <v>0</v>
      </c>
      <c r="Y479" s="60">
        <v>0</v>
      </c>
      <c r="Z479" s="60">
        <v>0</v>
      </c>
      <c r="AA479" s="60">
        <v>0</v>
      </c>
      <c r="AB479" s="60">
        <v>0</v>
      </c>
      <c r="AC479" s="60">
        <v>0</v>
      </c>
      <c r="AD479" s="60">
        <v>0</v>
      </c>
      <c r="AE479" s="60">
        <v>0</v>
      </c>
      <c r="AF479" s="60">
        <v>0</v>
      </c>
      <c r="AG479" s="60">
        <v>0</v>
      </c>
      <c r="AH479" s="60">
        <v>0</v>
      </c>
      <c r="AI479" s="60">
        <v>0</v>
      </c>
      <c r="AJ479" s="60">
        <v>0</v>
      </c>
      <c r="AK479" s="60">
        <v>0</v>
      </c>
      <c r="AL479" s="60">
        <v>0</v>
      </c>
      <c r="AM479" s="60">
        <v>0</v>
      </c>
    </row>
    <row r="480" spans="1:39" ht="15.75" hidden="1" outlineLevel="1" thickBot="1">
      <c r="A480" s="59" t="s">
        <v>95</v>
      </c>
      <c r="B480" s="60">
        <v>0</v>
      </c>
      <c r="C480" s="60">
        <v>0</v>
      </c>
      <c r="D480" s="60">
        <v>0</v>
      </c>
      <c r="E480" s="60">
        <v>0</v>
      </c>
      <c r="F480" s="60">
        <v>0</v>
      </c>
      <c r="G480" s="60">
        <v>0</v>
      </c>
      <c r="H480" s="60">
        <v>0</v>
      </c>
      <c r="I480" s="60">
        <v>0</v>
      </c>
      <c r="J480" s="60">
        <v>0</v>
      </c>
      <c r="K480" s="60">
        <v>0</v>
      </c>
      <c r="L480" s="60">
        <v>0</v>
      </c>
      <c r="M480" s="60">
        <v>0</v>
      </c>
      <c r="N480" s="60">
        <v>0</v>
      </c>
      <c r="O480" s="60">
        <v>0</v>
      </c>
      <c r="P480" s="60">
        <v>0</v>
      </c>
      <c r="Q480" s="60">
        <v>0</v>
      </c>
      <c r="R480" s="60">
        <v>0</v>
      </c>
      <c r="S480" s="60">
        <v>0</v>
      </c>
      <c r="T480" s="60">
        <v>0</v>
      </c>
      <c r="U480" s="60">
        <v>0</v>
      </c>
      <c r="V480" s="60">
        <v>0</v>
      </c>
      <c r="W480" s="60">
        <v>0</v>
      </c>
      <c r="X480" s="60">
        <v>0</v>
      </c>
      <c r="Y480" s="60">
        <v>0</v>
      </c>
      <c r="Z480" s="60">
        <v>0</v>
      </c>
      <c r="AA480" s="60">
        <v>0</v>
      </c>
      <c r="AB480" s="60">
        <v>0</v>
      </c>
      <c r="AC480" s="60">
        <v>0</v>
      </c>
      <c r="AD480" s="60">
        <v>0</v>
      </c>
      <c r="AE480" s="60">
        <v>0</v>
      </c>
      <c r="AF480" s="60">
        <v>0</v>
      </c>
      <c r="AG480" s="60">
        <v>0</v>
      </c>
      <c r="AH480" s="60">
        <v>0</v>
      </c>
      <c r="AI480" s="60">
        <v>0</v>
      </c>
      <c r="AJ480" s="60">
        <v>0</v>
      </c>
      <c r="AK480" s="60">
        <v>0</v>
      </c>
      <c r="AL480" s="60">
        <v>0</v>
      </c>
      <c r="AM480" s="60">
        <v>0</v>
      </c>
    </row>
    <row r="481" spans="1:39" ht="15.75" hidden="1" outlineLevel="1" thickBot="1">
      <c r="A481" s="59" t="s">
        <v>96</v>
      </c>
      <c r="B481" s="60">
        <v>0</v>
      </c>
      <c r="C481" s="60">
        <v>0</v>
      </c>
      <c r="D481" s="60">
        <v>0</v>
      </c>
      <c r="E481" s="60">
        <v>0</v>
      </c>
      <c r="F481" s="60">
        <v>0</v>
      </c>
      <c r="G481" s="60">
        <v>0</v>
      </c>
      <c r="H481" s="60">
        <v>0</v>
      </c>
      <c r="I481" s="60">
        <v>0</v>
      </c>
      <c r="J481" s="60">
        <v>0</v>
      </c>
      <c r="K481" s="60">
        <v>0</v>
      </c>
      <c r="L481" s="60">
        <v>0</v>
      </c>
      <c r="M481" s="60">
        <v>0</v>
      </c>
      <c r="N481" s="60">
        <v>0</v>
      </c>
      <c r="O481" s="60">
        <v>0</v>
      </c>
      <c r="P481" s="60">
        <v>0</v>
      </c>
      <c r="Q481" s="60">
        <v>0</v>
      </c>
      <c r="R481" s="60">
        <v>0</v>
      </c>
      <c r="S481" s="60">
        <v>0</v>
      </c>
      <c r="T481" s="60">
        <v>0</v>
      </c>
      <c r="U481" s="60">
        <v>0</v>
      </c>
      <c r="V481" s="60">
        <v>0</v>
      </c>
      <c r="W481" s="60">
        <v>0</v>
      </c>
      <c r="X481" s="60">
        <v>0</v>
      </c>
      <c r="Y481" s="60">
        <v>0</v>
      </c>
      <c r="Z481" s="60">
        <v>0</v>
      </c>
      <c r="AA481" s="60">
        <v>0</v>
      </c>
      <c r="AB481" s="60">
        <v>0</v>
      </c>
      <c r="AC481" s="60">
        <v>0</v>
      </c>
      <c r="AD481" s="60">
        <v>0</v>
      </c>
      <c r="AE481" s="60">
        <v>0</v>
      </c>
      <c r="AF481" s="60">
        <v>0</v>
      </c>
      <c r="AG481" s="60">
        <v>0</v>
      </c>
      <c r="AH481" s="60">
        <v>0</v>
      </c>
      <c r="AI481" s="60">
        <v>0</v>
      </c>
      <c r="AJ481" s="60">
        <v>0</v>
      </c>
      <c r="AK481" s="60">
        <v>0</v>
      </c>
      <c r="AL481" s="60">
        <v>0</v>
      </c>
      <c r="AM481" s="60">
        <v>0</v>
      </c>
    </row>
    <row r="482" spans="1:39" ht="15.75" hidden="1" outlineLevel="1" thickBot="1">
      <c r="A482" s="59" t="s">
        <v>97</v>
      </c>
      <c r="B482" s="60">
        <v>0</v>
      </c>
      <c r="C482" s="60">
        <v>0</v>
      </c>
      <c r="D482" s="60">
        <v>0</v>
      </c>
      <c r="E482" s="60">
        <v>0</v>
      </c>
      <c r="F482" s="60">
        <v>0</v>
      </c>
      <c r="G482" s="60">
        <v>0</v>
      </c>
      <c r="H482" s="60">
        <v>0</v>
      </c>
      <c r="I482" s="60">
        <v>0</v>
      </c>
      <c r="J482" s="60">
        <v>0</v>
      </c>
      <c r="K482" s="60">
        <v>0</v>
      </c>
      <c r="L482" s="60">
        <v>0</v>
      </c>
      <c r="M482" s="60">
        <v>0</v>
      </c>
      <c r="N482" s="60">
        <v>0</v>
      </c>
      <c r="O482" s="60">
        <v>0</v>
      </c>
      <c r="P482" s="60">
        <v>0</v>
      </c>
      <c r="Q482" s="60">
        <v>0</v>
      </c>
      <c r="R482" s="60">
        <v>0</v>
      </c>
      <c r="S482" s="60">
        <v>0</v>
      </c>
      <c r="T482" s="60">
        <v>0</v>
      </c>
      <c r="U482" s="60">
        <v>0</v>
      </c>
      <c r="V482" s="60">
        <v>0</v>
      </c>
      <c r="W482" s="60">
        <v>0</v>
      </c>
      <c r="X482" s="60">
        <v>0</v>
      </c>
      <c r="Y482" s="60">
        <v>0</v>
      </c>
      <c r="Z482" s="60">
        <v>0</v>
      </c>
      <c r="AA482" s="60">
        <v>0</v>
      </c>
      <c r="AB482" s="60">
        <v>0</v>
      </c>
      <c r="AC482" s="60">
        <v>0</v>
      </c>
      <c r="AD482" s="60">
        <v>0</v>
      </c>
      <c r="AE482" s="60">
        <v>0</v>
      </c>
      <c r="AF482" s="60">
        <v>0</v>
      </c>
      <c r="AG482" s="60">
        <v>0</v>
      </c>
      <c r="AH482" s="60">
        <v>0</v>
      </c>
      <c r="AI482" s="60">
        <v>0</v>
      </c>
      <c r="AJ482" s="60">
        <v>0</v>
      </c>
      <c r="AK482" s="60">
        <v>0</v>
      </c>
      <c r="AL482" s="60">
        <v>0</v>
      </c>
      <c r="AM482" s="60">
        <v>0</v>
      </c>
    </row>
    <row r="483" spans="1:39" ht="15.75" hidden="1" outlineLevel="1" thickBot="1">
      <c r="A483" s="59" t="s">
        <v>98</v>
      </c>
      <c r="B483" s="60">
        <v>0</v>
      </c>
      <c r="C483" s="60">
        <v>0</v>
      </c>
      <c r="D483" s="60">
        <v>0</v>
      </c>
      <c r="E483" s="60">
        <v>0</v>
      </c>
      <c r="F483" s="60">
        <v>0</v>
      </c>
      <c r="G483" s="60">
        <v>0</v>
      </c>
      <c r="H483" s="60">
        <v>0</v>
      </c>
      <c r="I483" s="60">
        <v>0</v>
      </c>
      <c r="J483" s="60">
        <v>0</v>
      </c>
      <c r="K483" s="60">
        <v>0</v>
      </c>
      <c r="L483" s="60">
        <v>0</v>
      </c>
      <c r="M483" s="60">
        <v>0</v>
      </c>
      <c r="N483" s="60">
        <v>0</v>
      </c>
      <c r="O483" s="60">
        <v>0</v>
      </c>
      <c r="P483" s="60">
        <v>0</v>
      </c>
      <c r="Q483" s="60">
        <v>0</v>
      </c>
      <c r="R483" s="60">
        <v>0</v>
      </c>
      <c r="S483" s="60">
        <v>0</v>
      </c>
      <c r="T483" s="60">
        <v>0</v>
      </c>
      <c r="U483" s="60">
        <v>0</v>
      </c>
      <c r="V483" s="60">
        <v>0</v>
      </c>
      <c r="W483" s="60">
        <v>0</v>
      </c>
      <c r="X483" s="60">
        <v>0</v>
      </c>
      <c r="Y483" s="60">
        <v>0</v>
      </c>
      <c r="Z483" s="60">
        <v>0</v>
      </c>
      <c r="AA483" s="60">
        <v>0</v>
      </c>
      <c r="AB483" s="60">
        <v>0</v>
      </c>
      <c r="AC483" s="60">
        <v>0</v>
      </c>
      <c r="AD483" s="60">
        <v>0</v>
      </c>
      <c r="AE483" s="60">
        <v>0</v>
      </c>
      <c r="AF483" s="60">
        <v>0</v>
      </c>
      <c r="AG483" s="60">
        <v>0</v>
      </c>
      <c r="AH483" s="60">
        <v>0</v>
      </c>
      <c r="AI483" s="60">
        <v>0</v>
      </c>
      <c r="AJ483" s="60">
        <v>0</v>
      </c>
      <c r="AK483" s="60">
        <v>0</v>
      </c>
      <c r="AL483" s="60">
        <v>0</v>
      </c>
      <c r="AM483" s="60">
        <v>0</v>
      </c>
    </row>
    <row r="484" spans="1:39" ht="15.75" hidden="1" outlineLevel="1" thickBot="1">
      <c r="A484" s="59" t="s">
        <v>99</v>
      </c>
      <c r="B484" s="60">
        <v>0</v>
      </c>
      <c r="C484" s="60">
        <v>0</v>
      </c>
      <c r="D484" s="60">
        <v>0</v>
      </c>
      <c r="E484" s="60">
        <v>0</v>
      </c>
      <c r="F484" s="60">
        <v>0</v>
      </c>
      <c r="G484" s="60">
        <v>0</v>
      </c>
      <c r="H484" s="60">
        <v>0</v>
      </c>
      <c r="I484" s="60">
        <v>0</v>
      </c>
      <c r="J484" s="60">
        <v>0</v>
      </c>
      <c r="K484" s="60">
        <v>0</v>
      </c>
      <c r="L484" s="60">
        <v>0</v>
      </c>
      <c r="M484" s="60">
        <v>0</v>
      </c>
      <c r="N484" s="60">
        <v>0</v>
      </c>
      <c r="O484" s="60">
        <v>0</v>
      </c>
      <c r="P484" s="60">
        <v>0</v>
      </c>
      <c r="Q484" s="60">
        <v>0</v>
      </c>
      <c r="R484" s="60">
        <v>0</v>
      </c>
      <c r="S484" s="60">
        <v>0</v>
      </c>
      <c r="T484" s="60">
        <v>0</v>
      </c>
      <c r="U484" s="60">
        <v>0</v>
      </c>
      <c r="V484" s="60">
        <v>0</v>
      </c>
      <c r="W484" s="60">
        <v>0</v>
      </c>
      <c r="X484" s="60">
        <v>0</v>
      </c>
      <c r="Y484" s="60">
        <v>0</v>
      </c>
      <c r="Z484" s="60">
        <v>0</v>
      </c>
      <c r="AA484" s="60">
        <v>0</v>
      </c>
      <c r="AB484" s="60">
        <v>0</v>
      </c>
      <c r="AC484" s="60">
        <v>0</v>
      </c>
      <c r="AD484" s="60">
        <v>0</v>
      </c>
      <c r="AE484" s="60">
        <v>0</v>
      </c>
      <c r="AF484" s="60">
        <v>0</v>
      </c>
      <c r="AG484" s="60">
        <v>0</v>
      </c>
      <c r="AH484" s="60">
        <v>0</v>
      </c>
      <c r="AI484" s="60">
        <v>0</v>
      </c>
      <c r="AJ484" s="60">
        <v>0</v>
      </c>
      <c r="AK484" s="60">
        <v>0</v>
      </c>
      <c r="AL484" s="60">
        <v>0</v>
      </c>
      <c r="AM484" s="60">
        <v>0</v>
      </c>
    </row>
    <row r="485" spans="1:39" ht="15.75" hidden="1" outlineLevel="1" thickBot="1">
      <c r="A485" s="59" t="s">
        <v>100</v>
      </c>
      <c r="B485" s="60">
        <v>0</v>
      </c>
      <c r="C485" s="60">
        <v>0</v>
      </c>
      <c r="D485" s="60">
        <v>0</v>
      </c>
      <c r="E485" s="60">
        <v>0</v>
      </c>
      <c r="F485" s="60">
        <v>0</v>
      </c>
      <c r="G485" s="60">
        <v>0</v>
      </c>
      <c r="H485" s="60">
        <v>0</v>
      </c>
      <c r="I485" s="60">
        <v>0</v>
      </c>
      <c r="J485" s="60">
        <v>0</v>
      </c>
      <c r="K485" s="60">
        <v>0</v>
      </c>
      <c r="L485" s="60">
        <v>0</v>
      </c>
      <c r="M485" s="60">
        <v>0</v>
      </c>
      <c r="N485" s="60">
        <v>0</v>
      </c>
      <c r="O485" s="60">
        <v>0</v>
      </c>
      <c r="P485" s="60">
        <v>0</v>
      </c>
      <c r="Q485" s="60">
        <v>0</v>
      </c>
      <c r="R485" s="60">
        <v>0</v>
      </c>
      <c r="S485" s="60">
        <v>0</v>
      </c>
      <c r="T485" s="60">
        <v>0</v>
      </c>
      <c r="U485" s="60">
        <v>0</v>
      </c>
      <c r="V485" s="60">
        <v>0</v>
      </c>
      <c r="W485" s="60">
        <v>0</v>
      </c>
      <c r="X485" s="60">
        <v>0</v>
      </c>
      <c r="Y485" s="60">
        <v>0</v>
      </c>
      <c r="Z485" s="60">
        <v>0</v>
      </c>
      <c r="AA485" s="60">
        <v>0</v>
      </c>
      <c r="AB485" s="60">
        <v>0</v>
      </c>
      <c r="AC485" s="60">
        <v>0</v>
      </c>
      <c r="AD485" s="60">
        <v>0</v>
      </c>
      <c r="AE485" s="60">
        <v>0</v>
      </c>
      <c r="AF485" s="60">
        <v>0</v>
      </c>
      <c r="AG485" s="60">
        <v>0</v>
      </c>
      <c r="AH485" s="60">
        <v>0</v>
      </c>
      <c r="AI485" s="60">
        <v>0</v>
      </c>
      <c r="AJ485" s="60">
        <v>0</v>
      </c>
      <c r="AK485" s="60">
        <v>0</v>
      </c>
      <c r="AL485" s="60">
        <v>0</v>
      </c>
      <c r="AM485" s="60">
        <v>0</v>
      </c>
    </row>
    <row r="486" spans="1:39" ht="15.75" hidden="1" outlineLevel="1" thickBot="1">
      <c r="A486" s="59" t="s">
        <v>101</v>
      </c>
      <c r="B486" s="60">
        <v>0</v>
      </c>
      <c r="C486" s="60">
        <v>0</v>
      </c>
      <c r="D486" s="60">
        <v>0</v>
      </c>
      <c r="E486" s="60">
        <v>0</v>
      </c>
      <c r="F486" s="60">
        <v>0</v>
      </c>
      <c r="G486" s="60">
        <v>0</v>
      </c>
      <c r="H486" s="60">
        <v>0</v>
      </c>
      <c r="I486" s="60">
        <v>0</v>
      </c>
      <c r="J486" s="60">
        <v>0</v>
      </c>
      <c r="K486" s="60">
        <v>0</v>
      </c>
      <c r="L486" s="60">
        <v>0</v>
      </c>
      <c r="M486" s="60">
        <v>0</v>
      </c>
      <c r="N486" s="60">
        <v>0</v>
      </c>
      <c r="O486" s="60">
        <v>0</v>
      </c>
      <c r="P486" s="60">
        <v>0</v>
      </c>
      <c r="Q486" s="60">
        <v>0</v>
      </c>
      <c r="R486" s="60">
        <v>0</v>
      </c>
      <c r="S486" s="60">
        <v>0</v>
      </c>
      <c r="T486" s="60">
        <v>0</v>
      </c>
      <c r="U486" s="60">
        <v>0</v>
      </c>
      <c r="V486" s="60">
        <v>0</v>
      </c>
      <c r="W486" s="60">
        <v>0</v>
      </c>
      <c r="X486" s="60">
        <v>0</v>
      </c>
      <c r="Y486" s="60">
        <v>0</v>
      </c>
      <c r="Z486" s="60">
        <v>0</v>
      </c>
      <c r="AA486" s="60">
        <v>0</v>
      </c>
      <c r="AB486" s="60">
        <v>0</v>
      </c>
      <c r="AC486" s="60">
        <v>0</v>
      </c>
      <c r="AD486" s="60">
        <v>0</v>
      </c>
      <c r="AE486" s="60">
        <v>0</v>
      </c>
      <c r="AF486" s="60">
        <v>0</v>
      </c>
      <c r="AG486" s="60">
        <v>0</v>
      </c>
      <c r="AH486" s="60">
        <v>0</v>
      </c>
      <c r="AI486" s="60">
        <v>0</v>
      </c>
      <c r="AJ486" s="60">
        <v>0</v>
      </c>
      <c r="AK486" s="60">
        <v>0</v>
      </c>
      <c r="AL486" s="60">
        <v>0</v>
      </c>
      <c r="AM486" s="60">
        <v>0</v>
      </c>
    </row>
    <row r="487" spans="1:39" ht="15.75" hidden="1" outlineLevel="1" thickBot="1">
      <c r="A487" s="59" t="s">
        <v>102</v>
      </c>
      <c r="B487" s="60">
        <v>0</v>
      </c>
      <c r="C487" s="60">
        <v>0</v>
      </c>
      <c r="D487" s="60">
        <v>0</v>
      </c>
      <c r="E487" s="60">
        <v>0</v>
      </c>
      <c r="F487" s="60">
        <v>0</v>
      </c>
      <c r="G487" s="60">
        <v>0</v>
      </c>
      <c r="H487" s="60">
        <v>0</v>
      </c>
      <c r="I487" s="60">
        <v>0</v>
      </c>
      <c r="J487" s="60">
        <v>0</v>
      </c>
      <c r="K487" s="60">
        <v>0</v>
      </c>
      <c r="L487" s="60">
        <v>0</v>
      </c>
      <c r="M487" s="60">
        <v>0</v>
      </c>
      <c r="N487" s="60">
        <v>0</v>
      </c>
      <c r="O487" s="60">
        <v>0</v>
      </c>
      <c r="P487" s="60">
        <v>0</v>
      </c>
      <c r="Q487" s="60">
        <v>0</v>
      </c>
      <c r="R487" s="60">
        <v>0</v>
      </c>
      <c r="S487" s="60">
        <v>0</v>
      </c>
      <c r="T487" s="60">
        <v>0</v>
      </c>
      <c r="U487" s="60">
        <v>0</v>
      </c>
      <c r="V487" s="60">
        <v>0</v>
      </c>
      <c r="W487" s="60">
        <v>0</v>
      </c>
      <c r="X487" s="60">
        <v>0</v>
      </c>
      <c r="Y487" s="60">
        <v>0</v>
      </c>
      <c r="Z487" s="60">
        <v>0</v>
      </c>
      <c r="AA487" s="60">
        <v>0</v>
      </c>
      <c r="AB487" s="60">
        <v>0</v>
      </c>
      <c r="AC487" s="60">
        <v>0</v>
      </c>
      <c r="AD487" s="60">
        <v>0</v>
      </c>
      <c r="AE487" s="60">
        <v>0</v>
      </c>
      <c r="AF487" s="60">
        <v>0</v>
      </c>
      <c r="AG487" s="60">
        <v>0</v>
      </c>
      <c r="AH487" s="60">
        <v>0</v>
      </c>
      <c r="AI487" s="60">
        <v>0</v>
      </c>
      <c r="AJ487" s="60">
        <v>0</v>
      </c>
      <c r="AK487" s="60">
        <v>0</v>
      </c>
      <c r="AL487" s="60">
        <v>0</v>
      </c>
      <c r="AM487" s="60">
        <v>0</v>
      </c>
    </row>
    <row r="488" spans="1:39" ht="15.75" hidden="1" outlineLevel="1" thickBot="1">
      <c r="A488" s="59" t="s">
        <v>103</v>
      </c>
      <c r="B488" s="60">
        <v>0</v>
      </c>
      <c r="C488" s="60">
        <v>0</v>
      </c>
      <c r="D488" s="60">
        <v>0</v>
      </c>
      <c r="E488" s="60">
        <v>0</v>
      </c>
      <c r="F488" s="60">
        <v>0</v>
      </c>
      <c r="G488" s="60">
        <v>0</v>
      </c>
      <c r="H488" s="60">
        <v>0</v>
      </c>
      <c r="I488" s="60">
        <v>0</v>
      </c>
      <c r="J488" s="60">
        <v>0</v>
      </c>
      <c r="K488" s="60">
        <v>0</v>
      </c>
      <c r="L488" s="60">
        <v>0</v>
      </c>
      <c r="M488" s="60">
        <v>0</v>
      </c>
      <c r="N488" s="60">
        <v>0</v>
      </c>
      <c r="O488" s="60">
        <v>0</v>
      </c>
      <c r="P488" s="60">
        <v>0</v>
      </c>
      <c r="Q488" s="60">
        <v>0</v>
      </c>
      <c r="R488" s="60">
        <v>0</v>
      </c>
      <c r="S488" s="60">
        <v>0</v>
      </c>
      <c r="T488" s="60">
        <v>0</v>
      </c>
      <c r="U488" s="60">
        <v>0</v>
      </c>
      <c r="V488" s="60">
        <v>0</v>
      </c>
      <c r="W488" s="60">
        <v>0</v>
      </c>
      <c r="X488" s="60">
        <v>0</v>
      </c>
      <c r="Y488" s="60">
        <v>0</v>
      </c>
      <c r="Z488" s="60">
        <v>0</v>
      </c>
      <c r="AA488" s="60">
        <v>0</v>
      </c>
      <c r="AB488" s="60">
        <v>0</v>
      </c>
      <c r="AC488" s="60">
        <v>0</v>
      </c>
      <c r="AD488" s="60">
        <v>0</v>
      </c>
      <c r="AE488" s="60">
        <v>0</v>
      </c>
      <c r="AF488" s="60">
        <v>0</v>
      </c>
      <c r="AG488" s="60">
        <v>0</v>
      </c>
      <c r="AH488" s="60">
        <v>0</v>
      </c>
      <c r="AI488" s="60">
        <v>0</v>
      </c>
      <c r="AJ488" s="60">
        <v>0</v>
      </c>
      <c r="AK488" s="60">
        <v>0</v>
      </c>
      <c r="AL488" s="60">
        <v>0</v>
      </c>
      <c r="AM488" s="60">
        <v>0</v>
      </c>
    </row>
    <row r="489" spans="1:39" ht="15.75" hidden="1" outlineLevel="1" thickBot="1">
      <c r="A489" s="59" t="s">
        <v>44</v>
      </c>
      <c r="B489" s="60">
        <v>0</v>
      </c>
      <c r="C489" s="60">
        <v>0</v>
      </c>
      <c r="D489" s="60">
        <v>0</v>
      </c>
      <c r="E489" s="60">
        <v>0</v>
      </c>
      <c r="F489" s="60">
        <v>0</v>
      </c>
      <c r="G489" s="60">
        <v>0</v>
      </c>
      <c r="H489" s="60">
        <v>0</v>
      </c>
      <c r="I489" s="60">
        <v>0</v>
      </c>
      <c r="J489" s="60">
        <v>0</v>
      </c>
      <c r="K489" s="60">
        <v>0</v>
      </c>
      <c r="L489" s="60">
        <v>0</v>
      </c>
      <c r="M489" s="60">
        <v>0</v>
      </c>
      <c r="N489" s="60">
        <v>0</v>
      </c>
      <c r="O489" s="60">
        <v>0</v>
      </c>
      <c r="P489" s="60">
        <v>0</v>
      </c>
      <c r="Q489" s="60">
        <v>0</v>
      </c>
      <c r="R489" s="60">
        <v>0</v>
      </c>
      <c r="S489" s="60">
        <v>0</v>
      </c>
      <c r="T489" s="60">
        <v>0</v>
      </c>
      <c r="U489" s="60">
        <v>0</v>
      </c>
      <c r="V489" s="60">
        <v>0</v>
      </c>
      <c r="W489" s="60">
        <v>0</v>
      </c>
      <c r="X489" s="60">
        <v>0</v>
      </c>
      <c r="Y489" s="60">
        <v>0</v>
      </c>
      <c r="Z489" s="60">
        <v>0</v>
      </c>
      <c r="AA489" s="60">
        <v>0</v>
      </c>
      <c r="AB489" s="60">
        <v>0</v>
      </c>
      <c r="AC489" s="60">
        <v>0</v>
      </c>
      <c r="AD489" s="60">
        <v>0</v>
      </c>
      <c r="AE489" s="60">
        <v>0</v>
      </c>
      <c r="AF489" s="60">
        <v>0</v>
      </c>
      <c r="AG489" s="60">
        <v>0</v>
      </c>
      <c r="AH489" s="60">
        <v>0</v>
      </c>
      <c r="AI489" s="60">
        <v>0</v>
      </c>
      <c r="AJ489" s="60">
        <v>0</v>
      </c>
      <c r="AK489" s="60">
        <v>0</v>
      </c>
      <c r="AL489" s="60">
        <v>0</v>
      </c>
      <c r="AM489" s="60">
        <v>0</v>
      </c>
    </row>
    <row r="490" spans="1:39" ht="15.75" hidden="1" outlineLevel="1" thickBot="1">
      <c r="A490" s="59" t="s">
        <v>45</v>
      </c>
      <c r="B490" s="60">
        <v>0</v>
      </c>
      <c r="C490" s="60">
        <v>0</v>
      </c>
      <c r="D490" s="60">
        <v>0</v>
      </c>
      <c r="E490" s="60">
        <v>0</v>
      </c>
      <c r="F490" s="60">
        <v>0</v>
      </c>
      <c r="G490" s="60">
        <v>0</v>
      </c>
      <c r="H490" s="60">
        <v>0</v>
      </c>
      <c r="I490" s="60">
        <v>0</v>
      </c>
      <c r="J490" s="60">
        <v>0</v>
      </c>
      <c r="K490" s="60">
        <v>0</v>
      </c>
      <c r="L490" s="60">
        <v>0</v>
      </c>
      <c r="M490" s="60">
        <v>0</v>
      </c>
      <c r="N490" s="60">
        <v>0</v>
      </c>
      <c r="O490" s="60">
        <v>0</v>
      </c>
      <c r="P490" s="60">
        <v>0</v>
      </c>
      <c r="Q490" s="60">
        <v>0</v>
      </c>
      <c r="R490" s="60">
        <v>0</v>
      </c>
      <c r="S490" s="60">
        <v>0</v>
      </c>
      <c r="T490" s="60">
        <v>0</v>
      </c>
      <c r="U490" s="60">
        <v>0</v>
      </c>
      <c r="V490" s="60">
        <v>0</v>
      </c>
      <c r="W490" s="60">
        <v>0</v>
      </c>
      <c r="X490" s="60">
        <v>0</v>
      </c>
      <c r="Y490" s="60">
        <v>0</v>
      </c>
      <c r="Z490" s="60">
        <v>0</v>
      </c>
      <c r="AA490" s="60">
        <v>0</v>
      </c>
      <c r="AB490" s="60">
        <v>0</v>
      </c>
      <c r="AC490" s="60">
        <v>0</v>
      </c>
      <c r="AD490" s="60">
        <v>0</v>
      </c>
      <c r="AE490" s="60">
        <v>0</v>
      </c>
      <c r="AF490" s="60">
        <v>0</v>
      </c>
      <c r="AG490" s="60">
        <v>0</v>
      </c>
      <c r="AH490" s="60">
        <v>0</v>
      </c>
      <c r="AI490" s="60">
        <v>0</v>
      </c>
      <c r="AJ490" s="60">
        <v>0</v>
      </c>
      <c r="AK490" s="60">
        <v>0</v>
      </c>
      <c r="AL490" s="60">
        <v>0</v>
      </c>
      <c r="AM490" s="60">
        <v>0</v>
      </c>
    </row>
    <row r="491" spans="1:39" ht="15.75" hidden="1" outlineLevel="1" thickBot="1">
      <c r="A491" s="59" t="s">
        <v>104</v>
      </c>
      <c r="B491" s="60">
        <v>0.01</v>
      </c>
      <c r="C491" s="60">
        <v>0.01</v>
      </c>
      <c r="D491" s="60">
        <v>0.01</v>
      </c>
      <c r="E491" s="60">
        <v>0.01</v>
      </c>
      <c r="F491" s="60">
        <v>0</v>
      </c>
      <c r="G491" s="60">
        <v>0</v>
      </c>
      <c r="H491" s="60">
        <v>0</v>
      </c>
      <c r="I491" s="60">
        <v>0</v>
      </c>
      <c r="J491" s="60">
        <v>0</v>
      </c>
      <c r="K491" s="60">
        <v>0</v>
      </c>
      <c r="L491" s="60">
        <v>0</v>
      </c>
      <c r="M491" s="60">
        <v>0</v>
      </c>
      <c r="N491" s="60">
        <v>0</v>
      </c>
      <c r="O491" s="60">
        <v>0</v>
      </c>
      <c r="P491" s="60">
        <v>0</v>
      </c>
      <c r="Q491" s="60">
        <v>0</v>
      </c>
      <c r="R491" s="60">
        <v>0</v>
      </c>
      <c r="S491" s="60">
        <v>0</v>
      </c>
      <c r="T491" s="60">
        <v>0</v>
      </c>
      <c r="U491" s="60">
        <v>0</v>
      </c>
      <c r="V491" s="60">
        <v>0</v>
      </c>
      <c r="W491" s="60">
        <v>0</v>
      </c>
      <c r="X491" s="60">
        <v>0</v>
      </c>
      <c r="Y491" s="60">
        <v>0</v>
      </c>
      <c r="Z491" s="60">
        <v>0</v>
      </c>
      <c r="AA491" s="60">
        <v>0</v>
      </c>
      <c r="AB491" s="60">
        <v>0</v>
      </c>
      <c r="AC491" s="60">
        <v>0</v>
      </c>
      <c r="AD491" s="60">
        <v>0</v>
      </c>
      <c r="AE491" s="60">
        <v>0</v>
      </c>
      <c r="AF491" s="60">
        <v>0</v>
      </c>
      <c r="AG491" s="60">
        <v>0</v>
      </c>
      <c r="AH491" s="60">
        <v>0</v>
      </c>
      <c r="AI491" s="60">
        <v>0</v>
      </c>
      <c r="AJ491" s="60">
        <v>0</v>
      </c>
      <c r="AK491" s="60">
        <v>0</v>
      </c>
      <c r="AL491" s="60">
        <v>0</v>
      </c>
      <c r="AM491" s="60">
        <v>0</v>
      </c>
    </row>
    <row r="492" spans="1:39" ht="15.75" hidden="1" outlineLevel="1" thickBot="1">
      <c r="A492" s="59" t="s">
        <v>105</v>
      </c>
      <c r="B492" s="60">
        <v>0</v>
      </c>
      <c r="C492" s="60">
        <v>0</v>
      </c>
      <c r="D492" s="60">
        <v>0</v>
      </c>
      <c r="E492" s="60">
        <v>0</v>
      </c>
      <c r="F492" s="60">
        <v>0</v>
      </c>
      <c r="G492" s="60">
        <v>0</v>
      </c>
      <c r="H492" s="60">
        <v>0</v>
      </c>
      <c r="I492" s="60">
        <v>0</v>
      </c>
      <c r="J492" s="60">
        <v>0</v>
      </c>
      <c r="K492" s="60">
        <v>0</v>
      </c>
      <c r="L492" s="60">
        <v>0</v>
      </c>
      <c r="M492" s="60">
        <v>0</v>
      </c>
      <c r="N492" s="60">
        <v>0</v>
      </c>
      <c r="O492" s="60">
        <v>0</v>
      </c>
      <c r="P492" s="60">
        <v>0</v>
      </c>
      <c r="Q492" s="60">
        <v>0</v>
      </c>
      <c r="R492" s="60">
        <v>0</v>
      </c>
      <c r="S492" s="60">
        <v>0</v>
      </c>
      <c r="T492" s="60">
        <v>0</v>
      </c>
      <c r="U492" s="60">
        <v>0</v>
      </c>
      <c r="V492" s="60">
        <v>0</v>
      </c>
      <c r="W492" s="60">
        <v>0</v>
      </c>
      <c r="X492" s="60">
        <v>0</v>
      </c>
      <c r="Y492" s="60">
        <v>0</v>
      </c>
      <c r="Z492" s="60">
        <v>0</v>
      </c>
      <c r="AA492" s="60">
        <v>0</v>
      </c>
      <c r="AB492" s="60">
        <v>0</v>
      </c>
      <c r="AC492" s="60">
        <v>0</v>
      </c>
      <c r="AD492" s="60">
        <v>0</v>
      </c>
      <c r="AE492" s="60">
        <v>0</v>
      </c>
      <c r="AF492" s="60">
        <v>0</v>
      </c>
      <c r="AG492" s="60">
        <v>0</v>
      </c>
      <c r="AH492" s="60">
        <v>0</v>
      </c>
      <c r="AI492" s="60">
        <v>0</v>
      </c>
      <c r="AJ492" s="60">
        <v>0</v>
      </c>
      <c r="AK492" s="60">
        <v>0</v>
      </c>
      <c r="AL492" s="60">
        <v>0</v>
      </c>
      <c r="AM492" s="60">
        <v>0</v>
      </c>
    </row>
    <row r="493" spans="1:39" ht="15.75" hidden="1" outlineLevel="1" thickBot="1">
      <c r="A493" s="59" t="s">
        <v>106</v>
      </c>
      <c r="B493" s="60">
        <v>0.27</v>
      </c>
      <c r="C493" s="60">
        <v>0.23</v>
      </c>
      <c r="D493" s="60">
        <v>0.3</v>
      </c>
      <c r="E493" s="60">
        <v>0.32</v>
      </c>
      <c r="F493" s="60">
        <v>0.32</v>
      </c>
      <c r="G493" s="60">
        <v>0.32</v>
      </c>
      <c r="H493" s="60">
        <v>0.32</v>
      </c>
      <c r="I493" s="60">
        <v>0.28000000000000003</v>
      </c>
      <c r="J493" s="60">
        <v>0.43</v>
      </c>
      <c r="K493" s="60">
        <v>0.37</v>
      </c>
      <c r="L493" s="60">
        <v>0.38</v>
      </c>
      <c r="M493" s="60">
        <v>0.38</v>
      </c>
      <c r="N493" s="60">
        <v>0.38</v>
      </c>
      <c r="O493" s="60">
        <v>0.39</v>
      </c>
      <c r="P493" s="60">
        <v>0.39</v>
      </c>
      <c r="Q493" s="60">
        <v>0.4</v>
      </c>
      <c r="R493" s="60">
        <v>0.4</v>
      </c>
      <c r="S493" s="60">
        <v>0.41</v>
      </c>
      <c r="T493" s="60">
        <v>0.41</v>
      </c>
      <c r="U493" s="60">
        <v>0.42</v>
      </c>
      <c r="V493" s="60">
        <v>0.42</v>
      </c>
      <c r="W493" s="60">
        <v>0.43</v>
      </c>
      <c r="X493" s="60">
        <v>0.43</v>
      </c>
      <c r="Y493" s="60">
        <v>0.44</v>
      </c>
      <c r="Z493" s="60">
        <v>0.44</v>
      </c>
      <c r="AA493" s="60">
        <v>0.44</v>
      </c>
      <c r="AB493" s="60">
        <v>0.45</v>
      </c>
      <c r="AC493" s="60">
        <v>0.45</v>
      </c>
      <c r="AD493" s="60">
        <v>0.46</v>
      </c>
      <c r="AE493" s="60">
        <v>0.46</v>
      </c>
      <c r="AF493" s="60">
        <v>0.47</v>
      </c>
      <c r="AG493" s="60">
        <v>0.47</v>
      </c>
      <c r="AH493" s="60">
        <v>0.48</v>
      </c>
      <c r="AI493" s="60">
        <v>0.48</v>
      </c>
      <c r="AJ493" s="60">
        <v>0.49</v>
      </c>
      <c r="AK493" s="60">
        <v>0.49</v>
      </c>
      <c r="AL493" s="60">
        <v>0.5</v>
      </c>
      <c r="AM493" s="60">
        <v>0.5</v>
      </c>
    </row>
    <row r="494" spans="1:39" ht="15.75" hidden="1" outlineLevel="1" thickBot="1">
      <c r="A494" s="59" t="s">
        <v>46</v>
      </c>
      <c r="B494" s="60">
        <v>0.24</v>
      </c>
      <c r="C494" s="60">
        <v>0.25</v>
      </c>
      <c r="D494" s="60">
        <v>0.26</v>
      </c>
      <c r="E494" s="60">
        <v>0.28000000000000003</v>
      </c>
      <c r="F494" s="60">
        <v>0.27</v>
      </c>
      <c r="G494" s="60">
        <v>0.28000000000000003</v>
      </c>
      <c r="H494" s="60">
        <v>0.28999999999999998</v>
      </c>
      <c r="I494" s="60">
        <v>0.27</v>
      </c>
      <c r="J494" s="60">
        <v>0.28999999999999998</v>
      </c>
      <c r="K494" s="60">
        <v>0.25</v>
      </c>
      <c r="L494" s="60">
        <v>0.25</v>
      </c>
      <c r="M494" s="60">
        <v>0.26</v>
      </c>
      <c r="N494" s="60">
        <v>0.26</v>
      </c>
      <c r="O494" s="60">
        <v>0.26</v>
      </c>
      <c r="P494" s="60">
        <v>0.27</v>
      </c>
      <c r="Q494" s="60">
        <v>0.27</v>
      </c>
      <c r="R494" s="60">
        <v>0.27</v>
      </c>
      <c r="S494" s="60">
        <v>0.28000000000000003</v>
      </c>
      <c r="T494" s="60">
        <v>0.28000000000000003</v>
      </c>
      <c r="U494" s="60">
        <v>0.28000000000000003</v>
      </c>
      <c r="V494" s="60">
        <v>0.28000000000000003</v>
      </c>
      <c r="W494" s="60">
        <v>0.28999999999999998</v>
      </c>
      <c r="X494" s="60">
        <v>0.28999999999999998</v>
      </c>
      <c r="Y494" s="60">
        <v>0.28999999999999998</v>
      </c>
      <c r="Z494" s="60">
        <v>0.3</v>
      </c>
      <c r="AA494" s="60">
        <v>0.3</v>
      </c>
      <c r="AB494" s="60">
        <v>0.3</v>
      </c>
      <c r="AC494" s="60">
        <v>0.31</v>
      </c>
      <c r="AD494" s="60">
        <v>0.31</v>
      </c>
      <c r="AE494" s="60">
        <v>0.31</v>
      </c>
      <c r="AF494" s="60">
        <v>0.32</v>
      </c>
      <c r="AG494" s="60">
        <v>0.32</v>
      </c>
      <c r="AH494" s="60">
        <v>0.32</v>
      </c>
      <c r="AI494" s="60">
        <v>0.33</v>
      </c>
      <c r="AJ494" s="60">
        <v>0.33</v>
      </c>
      <c r="AK494" s="60">
        <v>0.33</v>
      </c>
      <c r="AL494" s="60">
        <v>0.33</v>
      </c>
      <c r="AM494" s="60">
        <v>0.34</v>
      </c>
    </row>
    <row r="495" spans="1:39" ht="15.75" hidden="1" outlineLevel="1" thickBot="1">
      <c r="A495" s="59" t="s">
        <v>107</v>
      </c>
      <c r="B495" s="60">
        <v>0</v>
      </c>
      <c r="C495" s="60">
        <v>0</v>
      </c>
      <c r="D495" s="60">
        <v>0</v>
      </c>
      <c r="E495" s="60">
        <v>0</v>
      </c>
      <c r="F495" s="60">
        <v>0</v>
      </c>
      <c r="G495" s="60">
        <v>0</v>
      </c>
      <c r="H495" s="60">
        <v>0</v>
      </c>
      <c r="I495" s="60">
        <v>0</v>
      </c>
      <c r="J495" s="60">
        <v>0</v>
      </c>
      <c r="K495" s="60">
        <v>0</v>
      </c>
      <c r="L495" s="60">
        <v>0</v>
      </c>
      <c r="M495" s="60">
        <v>0</v>
      </c>
      <c r="N495" s="60">
        <v>0</v>
      </c>
      <c r="O495" s="60">
        <v>0</v>
      </c>
      <c r="P495" s="60">
        <v>0</v>
      </c>
      <c r="Q495" s="60">
        <v>0</v>
      </c>
      <c r="R495" s="60">
        <v>0</v>
      </c>
      <c r="S495" s="60">
        <v>0</v>
      </c>
      <c r="T495" s="60">
        <v>0</v>
      </c>
      <c r="U495" s="60">
        <v>0</v>
      </c>
      <c r="V495" s="60">
        <v>0</v>
      </c>
      <c r="W495" s="60">
        <v>0</v>
      </c>
      <c r="X495" s="60">
        <v>0</v>
      </c>
      <c r="Y495" s="60">
        <v>0</v>
      </c>
      <c r="Z495" s="60">
        <v>0</v>
      </c>
      <c r="AA495" s="60">
        <v>0</v>
      </c>
      <c r="AB495" s="60">
        <v>0</v>
      </c>
      <c r="AC495" s="60">
        <v>0</v>
      </c>
      <c r="AD495" s="60">
        <v>0</v>
      </c>
      <c r="AE495" s="60">
        <v>0</v>
      </c>
      <c r="AF495" s="60">
        <v>0</v>
      </c>
      <c r="AG495" s="60">
        <v>0</v>
      </c>
      <c r="AH495" s="60">
        <v>0</v>
      </c>
      <c r="AI495" s="60">
        <v>0</v>
      </c>
      <c r="AJ495" s="60">
        <v>0</v>
      </c>
      <c r="AK495" s="60">
        <v>0</v>
      </c>
      <c r="AL495" s="60">
        <v>0</v>
      </c>
      <c r="AM495" s="60">
        <v>0</v>
      </c>
    </row>
    <row r="496" spans="1:39" ht="15.75" hidden="1" outlineLevel="1" thickBot="1">
      <c r="A496" s="61" t="s">
        <v>108</v>
      </c>
      <c r="B496" s="62">
        <v>0</v>
      </c>
      <c r="C496" s="62">
        <v>0</v>
      </c>
      <c r="D496" s="62">
        <v>0</v>
      </c>
      <c r="E496" s="62">
        <v>0</v>
      </c>
      <c r="F496" s="62">
        <v>0</v>
      </c>
      <c r="G496" s="62">
        <v>0</v>
      </c>
      <c r="H496" s="62">
        <v>0</v>
      </c>
      <c r="I496" s="62">
        <v>0</v>
      </c>
      <c r="J496" s="62">
        <v>0</v>
      </c>
      <c r="K496" s="62">
        <v>0</v>
      </c>
      <c r="L496" s="62">
        <v>0</v>
      </c>
      <c r="M496" s="62">
        <v>0</v>
      </c>
      <c r="N496" s="62">
        <v>0</v>
      </c>
      <c r="O496" s="62">
        <v>0</v>
      </c>
      <c r="P496" s="62">
        <v>0</v>
      </c>
      <c r="Q496" s="62">
        <v>0</v>
      </c>
      <c r="R496" s="62">
        <v>0</v>
      </c>
      <c r="S496" s="62">
        <v>0</v>
      </c>
      <c r="T496" s="62">
        <v>0</v>
      </c>
      <c r="U496" s="62">
        <v>0</v>
      </c>
      <c r="V496" s="62">
        <v>0</v>
      </c>
      <c r="W496" s="62">
        <v>0</v>
      </c>
      <c r="X496" s="62">
        <v>0</v>
      </c>
      <c r="Y496" s="62">
        <v>0</v>
      </c>
      <c r="Z496" s="62">
        <v>0</v>
      </c>
      <c r="AA496" s="62">
        <v>0</v>
      </c>
      <c r="AB496" s="62">
        <v>0</v>
      </c>
      <c r="AC496" s="62">
        <v>0</v>
      </c>
      <c r="AD496" s="62">
        <v>0</v>
      </c>
      <c r="AE496" s="62">
        <v>0</v>
      </c>
      <c r="AF496" s="62">
        <v>0</v>
      </c>
      <c r="AG496" s="62">
        <v>0</v>
      </c>
      <c r="AH496" s="62">
        <v>0</v>
      </c>
      <c r="AI496" s="62">
        <v>0</v>
      </c>
      <c r="AJ496" s="62">
        <v>0</v>
      </c>
      <c r="AK496" s="62">
        <v>0</v>
      </c>
      <c r="AL496" s="62">
        <v>0</v>
      </c>
      <c r="AM496" s="62">
        <v>0</v>
      </c>
    </row>
    <row r="497" spans="1:39" ht="17.25" collapsed="1" thickTop="1" thickBot="1">
      <c r="A497" s="65" t="s">
        <v>124</v>
      </c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 spans="1:39" ht="16.5" hidden="1" outlineLevel="1" thickTop="1" thickBot="1">
      <c r="A498" s="57" t="s">
        <v>41</v>
      </c>
      <c r="B498" s="58">
        <v>2013</v>
      </c>
      <c r="C498" s="58">
        <v>2014</v>
      </c>
      <c r="D498" s="58">
        <v>2015</v>
      </c>
      <c r="E498" s="58">
        <v>2016</v>
      </c>
      <c r="F498" s="58">
        <v>2017</v>
      </c>
      <c r="G498" s="58">
        <v>2018</v>
      </c>
      <c r="H498" s="58">
        <v>2019</v>
      </c>
      <c r="I498" s="58">
        <v>2020</v>
      </c>
      <c r="J498" s="58">
        <v>2021</v>
      </c>
      <c r="K498" s="58">
        <v>2022</v>
      </c>
      <c r="L498" s="58">
        <v>2023</v>
      </c>
      <c r="M498" s="58">
        <v>2024</v>
      </c>
      <c r="N498" s="58">
        <v>2025</v>
      </c>
      <c r="O498" s="58">
        <v>2026</v>
      </c>
      <c r="P498" s="58">
        <v>2027</v>
      </c>
      <c r="Q498" s="58">
        <v>2028</v>
      </c>
      <c r="R498" s="58">
        <v>2029</v>
      </c>
      <c r="S498" s="58">
        <v>2030</v>
      </c>
      <c r="T498" s="58">
        <v>2031</v>
      </c>
      <c r="U498" s="58">
        <v>2032</v>
      </c>
      <c r="V498" s="58">
        <v>2033</v>
      </c>
      <c r="W498" s="58">
        <v>2034</v>
      </c>
      <c r="X498" s="58">
        <v>2035</v>
      </c>
      <c r="Y498" s="58">
        <v>2036</v>
      </c>
      <c r="Z498" s="58">
        <v>2037</v>
      </c>
      <c r="AA498" s="58">
        <v>2038</v>
      </c>
      <c r="AB498" s="58">
        <v>2039</v>
      </c>
      <c r="AC498" s="58">
        <v>2040</v>
      </c>
      <c r="AD498" s="58">
        <v>2041</v>
      </c>
      <c r="AE498" s="58">
        <v>2042</v>
      </c>
      <c r="AF498" s="58">
        <v>2043</v>
      </c>
      <c r="AG498" s="58">
        <v>2044</v>
      </c>
      <c r="AH498" s="58">
        <v>2045</v>
      </c>
      <c r="AI498" s="58">
        <v>2046</v>
      </c>
      <c r="AJ498" s="58">
        <v>2047</v>
      </c>
      <c r="AK498" s="58">
        <v>2048</v>
      </c>
      <c r="AL498" s="58">
        <v>2049</v>
      </c>
      <c r="AM498" s="58">
        <v>2050</v>
      </c>
    </row>
    <row r="499" spans="1:39" ht="16.5" hidden="1" outlineLevel="1" thickTop="1" thickBot="1">
      <c r="A499" s="59" t="s">
        <v>83</v>
      </c>
      <c r="B499" s="60">
        <v>94.21</v>
      </c>
      <c r="C499" s="60">
        <v>71.010000000000005</v>
      </c>
      <c r="D499" s="60">
        <v>78.17</v>
      </c>
      <c r="E499" s="60">
        <v>56.95</v>
      </c>
      <c r="F499" s="60">
        <v>230.39</v>
      </c>
      <c r="G499" s="60">
        <v>179.62</v>
      </c>
      <c r="H499" s="60">
        <v>114.03</v>
      </c>
      <c r="I499" s="60">
        <v>11.42</v>
      </c>
      <c r="J499" s="60">
        <v>34.74</v>
      </c>
      <c r="K499" s="60">
        <v>34.479999999999997</v>
      </c>
      <c r="L499" s="60">
        <v>34.119999999999997</v>
      </c>
      <c r="M499" s="60">
        <v>33.75</v>
      </c>
      <c r="N499" s="60">
        <v>33.39</v>
      </c>
      <c r="O499" s="60">
        <v>33.020000000000003</v>
      </c>
      <c r="P499" s="60">
        <v>32.659999999999997</v>
      </c>
      <c r="Q499" s="60">
        <v>32.29</v>
      </c>
      <c r="R499" s="60">
        <v>31.93</v>
      </c>
      <c r="S499" s="60">
        <v>31.56</v>
      </c>
      <c r="T499" s="60">
        <v>31.2</v>
      </c>
      <c r="U499" s="60">
        <v>30.83</v>
      </c>
      <c r="V499" s="60">
        <v>30.47</v>
      </c>
      <c r="W499" s="60">
        <v>30.1</v>
      </c>
      <c r="X499" s="60">
        <v>29.74</v>
      </c>
      <c r="Y499" s="60">
        <v>29.37</v>
      </c>
      <c r="Z499" s="60">
        <v>29.01</v>
      </c>
      <c r="AA499" s="60">
        <v>28.64</v>
      </c>
      <c r="AB499" s="60">
        <v>28.27</v>
      </c>
      <c r="AC499" s="60">
        <v>27.91</v>
      </c>
      <c r="AD499" s="60">
        <v>27.54</v>
      </c>
      <c r="AE499" s="60">
        <v>27.18</v>
      </c>
      <c r="AF499" s="60">
        <v>26.81</v>
      </c>
      <c r="AG499" s="60">
        <v>26.45</v>
      </c>
      <c r="AH499" s="60">
        <v>26.08</v>
      </c>
      <c r="AI499" s="60">
        <v>25.72</v>
      </c>
      <c r="AJ499" s="60">
        <v>25.35</v>
      </c>
      <c r="AK499" s="60">
        <v>24.99</v>
      </c>
      <c r="AL499" s="60">
        <v>24.62</v>
      </c>
      <c r="AM499" s="60">
        <v>24.26</v>
      </c>
    </row>
    <row r="500" spans="1:39" ht="15.75" hidden="1" outlineLevel="1" thickBot="1">
      <c r="A500" s="59" t="s">
        <v>84</v>
      </c>
      <c r="B500" s="60">
        <v>0</v>
      </c>
      <c r="C500" s="60">
        <v>0</v>
      </c>
      <c r="D500" s="60">
        <v>0</v>
      </c>
      <c r="E500" s="60">
        <v>0</v>
      </c>
      <c r="F500" s="60">
        <v>0</v>
      </c>
      <c r="G500" s="60">
        <v>0</v>
      </c>
      <c r="H500" s="60">
        <v>0</v>
      </c>
      <c r="I500" s="60">
        <v>0</v>
      </c>
      <c r="J500" s="60">
        <v>0</v>
      </c>
      <c r="K500" s="60">
        <v>0</v>
      </c>
      <c r="L500" s="60">
        <v>0</v>
      </c>
      <c r="M500" s="60">
        <v>0</v>
      </c>
      <c r="N500" s="60">
        <v>0</v>
      </c>
      <c r="O500" s="60">
        <v>0</v>
      </c>
      <c r="P500" s="60">
        <v>0</v>
      </c>
      <c r="Q500" s="60">
        <v>0</v>
      </c>
      <c r="R500" s="60">
        <v>0</v>
      </c>
      <c r="S500" s="60">
        <v>0</v>
      </c>
      <c r="T500" s="60">
        <v>0</v>
      </c>
      <c r="U500" s="60">
        <v>0</v>
      </c>
      <c r="V500" s="60">
        <v>0</v>
      </c>
      <c r="W500" s="60">
        <v>0</v>
      </c>
      <c r="X500" s="60">
        <v>0</v>
      </c>
      <c r="Y500" s="60">
        <v>0</v>
      </c>
      <c r="Z500" s="60">
        <v>0</v>
      </c>
      <c r="AA500" s="60">
        <v>0</v>
      </c>
      <c r="AB500" s="60">
        <v>0</v>
      </c>
      <c r="AC500" s="60">
        <v>0</v>
      </c>
      <c r="AD500" s="60">
        <v>0</v>
      </c>
      <c r="AE500" s="60">
        <v>0</v>
      </c>
      <c r="AF500" s="60">
        <v>0</v>
      </c>
      <c r="AG500" s="60">
        <v>0</v>
      </c>
      <c r="AH500" s="60">
        <v>0</v>
      </c>
      <c r="AI500" s="60">
        <v>0</v>
      </c>
      <c r="AJ500" s="60">
        <v>0</v>
      </c>
      <c r="AK500" s="60">
        <v>0</v>
      </c>
      <c r="AL500" s="60">
        <v>0</v>
      </c>
      <c r="AM500" s="60">
        <v>0</v>
      </c>
    </row>
    <row r="501" spans="1:39" ht="15.75" hidden="1" outlineLevel="1" thickBot="1">
      <c r="A501" s="59" t="s">
        <v>85</v>
      </c>
      <c r="B501" s="60">
        <v>0</v>
      </c>
      <c r="C501" s="60">
        <v>0</v>
      </c>
      <c r="D501" s="60">
        <v>0</v>
      </c>
      <c r="E501" s="60">
        <v>0</v>
      </c>
      <c r="F501" s="60">
        <v>0</v>
      </c>
      <c r="G501" s="60">
        <v>0</v>
      </c>
      <c r="H501" s="60">
        <v>0</v>
      </c>
      <c r="I501" s="60">
        <v>0</v>
      </c>
      <c r="J501" s="60">
        <v>0</v>
      </c>
      <c r="K501" s="60">
        <v>0</v>
      </c>
      <c r="L501" s="60">
        <v>0</v>
      </c>
      <c r="M501" s="60">
        <v>0</v>
      </c>
      <c r="N501" s="60">
        <v>0</v>
      </c>
      <c r="O501" s="60">
        <v>0</v>
      </c>
      <c r="P501" s="60">
        <v>0</v>
      </c>
      <c r="Q501" s="60">
        <v>0</v>
      </c>
      <c r="R501" s="60">
        <v>0</v>
      </c>
      <c r="S501" s="60">
        <v>0</v>
      </c>
      <c r="T501" s="60">
        <v>0</v>
      </c>
      <c r="U501" s="60">
        <v>0</v>
      </c>
      <c r="V501" s="60">
        <v>0</v>
      </c>
      <c r="W501" s="60">
        <v>0</v>
      </c>
      <c r="X501" s="60">
        <v>0</v>
      </c>
      <c r="Y501" s="60">
        <v>0</v>
      </c>
      <c r="Z501" s="60">
        <v>0</v>
      </c>
      <c r="AA501" s="60">
        <v>0</v>
      </c>
      <c r="AB501" s="60">
        <v>0</v>
      </c>
      <c r="AC501" s="60">
        <v>0</v>
      </c>
      <c r="AD501" s="60">
        <v>0</v>
      </c>
      <c r="AE501" s="60">
        <v>0</v>
      </c>
      <c r="AF501" s="60">
        <v>0</v>
      </c>
      <c r="AG501" s="60">
        <v>0</v>
      </c>
      <c r="AH501" s="60">
        <v>0</v>
      </c>
      <c r="AI501" s="60">
        <v>0</v>
      </c>
      <c r="AJ501" s="60">
        <v>0</v>
      </c>
      <c r="AK501" s="60">
        <v>0</v>
      </c>
      <c r="AL501" s="60">
        <v>0</v>
      </c>
      <c r="AM501" s="60">
        <v>0</v>
      </c>
    </row>
    <row r="502" spans="1:39" ht="15.75" hidden="1" outlineLevel="1" thickBot="1">
      <c r="A502" s="59" t="s">
        <v>86</v>
      </c>
      <c r="B502" s="60">
        <v>0</v>
      </c>
      <c r="C502" s="60">
        <v>0</v>
      </c>
      <c r="D502" s="60">
        <v>0</v>
      </c>
      <c r="E502" s="60">
        <v>0</v>
      </c>
      <c r="F502" s="60">
        <v>0</v>
      </c>
      <c r="G502" s="60">
        <v>0</v>
      </c>
      <c r="H502" s="60">
        <v>0</v>
      </c>
      <c r="I502" s="60">
        <v>0</v>
      </c>
      <c r="J502" s="60">
        <v>0</v>
      </c>
      <c r="K502" s="60">
        <v>0</v>
      </c>
      <c r="L502" s="60">
        <v>0</v>
      </c>
      <c r="M502" s="60">
        <v>0</v>
      </c>
      <c r="N502" s="60">
        <v>0</v>
      </c>
      <c r="O502" s="60">
        <v>0</v>
      </c>
      <c r="P502" s="60">
        <v>0</v>
      </c>
      <c r="Q502" s="60">
        <v>0</v>
      </c>
      <c r="R502" s="60">
        <v>0</v>
      </c>
      <c r="S502" s="60">
        <v>0</v>
      </c>
      <c r="T502" s="60">
        <v>0</v>
      </c>
      <c r="U502" s="60">
        <v>0</v>
      </c>
      <c r="V502" s="60">
        <v>0</v>
      </c>
      <c r="W502" s="60">
        <v>0</v>
      </c>
      <c r="X502" s="60">
        <v>0</v>
      </c>
      <c r="Y502" s="60">
        <v>0</v>
      </c>
      <c r="Z502" s="60">
        <v>0</v>
      </c>
      <c r="AA502" s="60">
        <v>0</v>
      </c>
      <c r="AB502" s="60">
        <v>0</v>
      </c>
      <c r="AC502" s="60">
        <v>0</v>
      </c>
      <c r="AD502" s="60">
        <v>0</v>
      </c>
      <c r="AE502" s="60">
        <v>0</v>
      </c>
      <c r="AF502" s="60">
        <v>0</v>
      </c>
      <c r="AG502" s="60">
        <v>0</v>
      </c>
      <c r="AH502" s="60">
        <v>0</v>
      </c>
      <c r="AI502" s="60">
        <v>0</v>
      </c>
      <c r="AJ502" s="60">
        <v>0</v>
      </c>
      <c r="AK502" s="60">
        <v>0</v>
      </c>
      <c r="AL502" s="60">
        <v>0</v>
      </c>
      <c r="AM502" s="60">
        <v>0</v>
      </c>
    </row>
    <row r="503" spans="1:39" ht="15.75" hidden="1" outlineLevel="1" thickBot="1">
      <c r="A503" s="59" t="s">
        <v>87</v>
      </c>
      <c r="B503" s="60">
        <v>0</v>
      </c>
      <c r="C503" s="60">
        <v>0</v>
      </c>
      <c r="D503" s="60">
        <v>0</v>
      </c>
      <c r="E503" s="60">
        <v>0</v>
      </c>
      <c r="F503" s="60">
        <v>0</v>
      </c>
      <c r="G503" s="60">
        <v>0</v>
      </c>
      <c r="H503" s="60">
        <v>0</v>
      </c>
      <c r="I503" s="60">
        <v>0</v>
      </c>
      <c r="J503" s="60">
        <v>0</v>
      </c>
      <c r="K503" s="60">
        <v>0</v>
      </c>
      <c r="L503" s="60">
        <v>0</v>
      </c>
      <c r="M503" s="60">
        <v>0</v>
      </c>
      <c r="N503" s="60">
        <v>0</v>
      </c>
      <c r="O503" s="60">
        <v>0</v>
      </c>
      <c r="P503" s="60">
        <v>0</v>
      </c>
      <c r="Q503" s="60">
        <v>0</v>
      </c>
      <c r="R503" s="60">
        <v>0</v>
      </c>
      <c r="S503" s="60">
        <v>0</v>
      </c>
      <c r="T503" s="60">
        <v>0</v>
      </c>
      <c r="U503" s="60">
        <v>0</v>
      </c>
      <c r="V503" s="60">
        <v>0</v>
      </c>
      <c r="W503" s="60">
        <v>0</v>
      </c>
      <c r="X503" s="60">
        <v>0</v>
      </c>
      <c r="Y503" s="60">
        <v>0</v>
      </c>
      <c r="Z503" s="60">
        <v>0</v>
      </c>
      <c r="AA503" s="60">
        <v>0</v>
      </c>
      <c r="AB503" s="60">
        <v>0</v>
      </c>
      <c r="AC503" s="60">
        <v>0</v>
      </c>
      <c r="AD503" s="60">
        <v>0</v>
      </c>
      <c r="AE503" s="60">
        <v>0</v>
      </c>
      <c r="AF503" s="60">
        <v>0</v>
      </c>
      <c r="AG503" s="60">
        <v>0</v>
      </c>
      <c r="AH503" s="60">
        <v>0</v>
      </c>
      <c r="AI503" s="60">
        <v>0</v>
      </c>
      <c r="AJ503" s="60">
        <v>0</v>
      </c>
      <c r="AK503" s="60">
        <v>0</v>
      </c>
      <c r="AL503" s="60">
        <v>0</v>
      </c>
      <c r="AM503" s="60">
        <v>0</v>
      </c>
    </row>
    <row r="504" spans="1:39" ht="15.75" hidden="1" outlineLevel="1" thickBot="1">
      <c r="A504" s="59" t="s">
        <v>88</v>
      </c>
      <c r="B504" s="60">
        <v>0</v>
      </c>
      <c r="C504" s="60">
        <v>0</v>
      </c>
      <c r="D504" s="60">
        <v>0</v>
      </c>
      <c r="E504" s="60">
        <v>0</v>
      </c>
      <c r="F504" s="60">
        <v>0</v>
      </c>
      <c r="G504" s="60">
        <v>0</v>
      </c>
      <c r="H504" s="60">
        <v>0</v>
      </c>
      <c r="I504" s="60">
        <v>0</v>
      </c>
      <c r="J504" s="60">
        <v>0</v>
      </c>
      <c r="K504" s="60">
        <v>0</v>
      </c>
      <c r="L504" s="60">
        <v>0</v>
      </c>
      <c r="M504" s="60">
        <v>0</v>
      </c>
      <c r="N504" s="60">
        <v>0</v>
      </c>
      <c r="O504" s="60">
        <v>0</v>
      </c>
      <c r="P504" s="60">
        <v>0</v>
      </c>
      <c r="Q504" s="60">
        <v>0</v>
      </c>
      <c r="R504" s="60">
        <v>0</v>
      </c>
      <c r="S504" s="60">
        <v>0</v>
      </c>
      <c r="T504" s="60">
        <v>0</v>
      </c>
      <c r="U504" s="60">
        <v>0</v>
      </c>
      <c r="V504" s="60">
        <v>0</v>
      </c>
      <c r="W504" s="60">
        <v>0</v>
      </c>
      <c r="X504" s="60">
        <v>0</v>
      </c>
      <c r="Y504" s="60">
        <v>0</v>
      </c>
      <c r="Z504" s="60">
        <v>0</v>
      </c>
      <c r="AA504" s="60">
        <v>0</v>
      </c>
      <c r="AB504" s="60">
        <v>0</v>
      </c>
      <c r="AC504" s="60">
        <v>0</v>
      </c>
      <c r="AD504" s="60">
        <v>0</v>
      </c>
      <c r="AE504" s="60">
        <v>0</v>
      </c>
      <c r="AF504" s="60">
        <v>0</v>
      </c>
      <c r="AG504" s="60">
        <v>0</v>
      </c>
      <c r="AH504" s="60">
        <v>0</v>
      </c>
      <c r="AI504" s="60">
        <v>0</v>
      </c>
      <c r="AJ504" s="60">
        <v>0</v>
      </c>
      <c r="AK504" s="60">
        <v>0</v>
      </c>
      <c r="AL504" s="60">
        <v>0</v>
      </c>
      <c r="AM504" s="60">
        <v>0</v>
      </c>
    </row>
    <row r="505" spans="1:39" ht="15.75" hidden="1" outlineLevel="1" thickBot="1">
      <c r="A505" s="59" t="s">
        <v>89</v>
      </c>
      <c r="B505" s="60">
        <v>0.38</v>
      </c>
      <c r="C505" s="60">
        <v>0.42</v>
      </c>
      <c r="D505" s="60">
        <v>0.5</v>
      </c>
      <c r="E505" s="60">
        <v>0.56000000000000005</v>
      </c>
      <c r="F505" s="60">
        <v>0.6</v>
      </c>
      <c r="G505" s="60">
        <v>0.67</v>
      </c>
      <c r="H505" s="60">
        <v>0.74</v>
      </c>
      <c r="I505" s="60">
        <v>1.3</v>
      </c>
      <c r="J505" s="60">
        <v>2.14</v>
      </c>
      <c r="K505" s="60">
        <v>2.4</v>
      </c>
      <c r="L505" s="60">
        <v>2.46</v>
      </c>
      <c r="M505" s="60">
        <v>2.5299999999999998</v>
      </c>
      <c r="N505" s="60">
        <v>2.59</v>
      </c>
      <c r="O505" s="60">
        <v>2.65</v>
      </c>
      <c r="P505" s="60">
        <v>2.72</v>
      </c>
      <c r="Q505" s="60">
        <v>2.78</v>
      </c>
      <c r="R505" s="60">
        <v>2.84</v>
      </c>
      <c r="S505" s="60">
        <v>2.91</v>
      </c>
      <c r="T505" s="60">
        <v>2.97</v>
      </c>
      <c r="U505" s="60">
        <v>3.03</v>
      </c>
      <c r="V505" s="60">
        <v>3.1</v>
      </c>
      <c r="W505" s="60">
        <v>3.16</v>
      </c>
      <c r="X505" s="60">
        <v>3.22</v>
      </c>
      <c r="Y505" s="60">
        <v>3.29</v>
      </c>
      <c r="Z505" s="60">
        <v>3.35</v>
      </c>
      <c r="AA505" s="60">
        <v>3.41</v>
      </c>
      <c r="AB505" s="60">
        <v>3.48</v>
      </c>
      <c r="AC505" s="60">
        <v>3.54</v>
      </c>
      <c r="AD505" s="60">
        <v>3.6</v>
      </c>
      <c r="AE505" s="60">
        <v>3.67</v>
      </c>
      <c r="AF505" s="60">
        <v>3.73</v>
      </c>
      <c r="AG505" s="60">
        <v>3.79</v>
      </c>
      <c r="AH505" s="60">
        <v>3.85</v>
      </c>
      <c r="AI505" s="60">
        <v>3.92</v>
      </c>
      <c r="AJ505" s="60">
        <v>3.98</v>
      </c>
      <c r="AK505" s="60">
        <v>4.04</v>
      </c>
      <c r="AL505" s="60">
        <v>4.1100000000000003</v>
      </c>
      <c r="AM505" s="60">
        <v>4.17</v>
      </c>
    </row>
    <row r="506" spans="1:39" ht="15.75" hidden="1" outlineLevel="1" thickBot="1">
      <c r="A506" s="59" t="s">
        <v>90</v>
      </c>
      <c r="B506" s="60">
        <v>0</v>
      </c>
      <c r="C506" s="60">
        <v>0</v>
      </c>
      <c r="D506" s="60">
        <v>0</v>
      </c>
      <c r="E506" s="60">
        <v>0</v>
      </c>
      <c r="F506" s="60">
        <v>0</v>
      </c>
      <c r="G506" s="60">
        <v>0</v>
      </c>
      <c r="H506" s="60">
        <v>0</v>
      </c>
      <c r="I506" s="60">
        <v>0</v>
      </c>
      <c r="J506" s="60">
        <v>0</v>
      </c>
      <c r="K506" s="60">
        <v>0</v>
      </c>
      <c r="L506" s="60">
        <v>0</v>
      </c>
      <c r="M506" s="60">
        <v>0</v>
      </c>
      <c r="N506" s="60">
        <v>0</v>
      </c>
      <c r="O506" s="60">
        <v>0</v>
      </c>
      <c r="P506" s="60">
        <v>0</v>
      </c>
      <c r="Q506" s="60">
        <v>0</v>
      </c>
      <c r="R506" s="60">
        <v>0</v>
      </c>
      <c r="S506" s="60">
        <v>0</v>
      </c>
      <c r="T506" s="60">
        <v>0</v>
      </c>
      <c r="U506" s="60">
        <v>0</v>
      </c>
      <c r="V506" s="60">
        <v>0</v>
      </c>
      <c r="W506" s="60">
        <v>0</v>
      </c>
      <c r="X506" s="60">
        <v>0</v>
      </c>
      <c r="Y506" s="60">
        <v>0</v>
      </c>
      <c r="Z506" s="60">
        <v>0</v>
      </c>
      <c r="AA506" s="60">
        <v>0</v>
      </c>
      <c r="AB506" s="60">
        <v>0</v>
      </c>
      <c r="AC506" s="60">
        <v>0</v>
      </c>
      <c r="AD506" s="60">
        <v>0</v>
      </c>
      <c r="AE506" s="60">
        <v>0</v>
      </c>
      <c r="AF506" s="60">
        <v>0</v>
      </c>
      <c r="AG506" s="60">
        <v>0</v>
      </c>
      <c r="AH506" s="60">
        <v>0</v>
      </c>
      <c r="AI506" s="60">
        <v>0</v>
      </c>
      <c r="AJ506" s="60">
        <v>0</v>
      </c>
      <c r="AK506" s="60">
        <v>0</v>
      </c>
      <c r="AL506" s="60">
        <v>0</v>
      </c>
      <c r="AM506" s="60">
        <v>0</v>
      </c>
    </row>
    <row r="507" spans="1:39" ht="15.75" hidden="1" outlineLevel="1" thickBot="1">
      <c r="A507" s="59" t="s">
        <v>91</v>
      </c>
      <c r="B507" s="60">
        <v>0</v>
      </c>
      <c r="C507" s="60">
        <v>0</v>
      </c>
      <c r="D507" s="60">
        <v>0</v>
      </c>
      <c r="E507" s="60">
        <v>0</v>
      </c>
      <c r="F507" s="60">
        <v>0</v>
      </c>
      <c r="G507" s="60">
        <v>0</v>
      </c>
      <c r="H507" s="60">
        <v>0</v>
      </c>
      <c r="I507" s="60">
        <v>0</v>
      </c>
      <c r="J507" s="60">
        <v>0</v>
      </c>
      <c r="K507" s="60">
        <v>0</v>
      </c>
      <c r="L507" s="60">
        <v>0</v>
      </c>
      <c r="M507" s="60">
        <v>0</v>
      </c>
      <c r="N507" s="60">
        <v>0</v>
      </c>
      <c r="O507" s="60">
        <v>0</v>
      </c>
      <c r="P507" s="60">
        <v>0</v>
      </c>
      <c r="Q507" s="60">
        <v>0</v>
      </c>
      <c r="R507" s="60">
        <v>0</v>
      </c>
      <c r="S507" s="60">
        <v>0</v>
      </c>
      <c r="T507" s="60">
        <v>0</v>
      </c>
      <c r="U507" s="60">
        <v>0</v>
      </c>
      <c r="V507" s="60">
        <v>0</v>
      </c>
      <c r="W507" s="60">
        <v>0</v>
      </c>
      <c r="X507" s="60">
        <v>0</v>
      </c>
      <c r="Y507" s="60">
        <v>0</v>
      </c>
      <c r="Z507" s="60">
        <v>0</v>
      </c>
      <c r="AA507" s="60">
        <v>0</v>
      </c>
      <c r="AB507" s="60">
        <v>0</v>
      </c>
      <c r="AC507" s="60">
        <v>0</v>
      </c>
      <c r="AD507" s="60">
        <v>0</v>
      </c>
      <c r="AE507" s="60">
        <v>0</v>
      </c>
      <c r="AF507" s="60">
        <v>0</v>
      </c>
      <c r="AG507" s="60">
        <v>0</v>
      </c>
      <c r="AH507" s="60">
        <v>0</v>
      </c>
      <c r="AI507" s="60">
        <v>0</v>
      </c>
      <c r="AJ507" s="60">
        <v>0</v>
      </c>
      <c r="AK507" s="60">
        <v>0</v>
      </c>
      <c r="AL507" s="60">
        <v>0</v>
      </c>
      <c r="AM507" s="60">
        <v>0</v>
      </c>
    </row>
    <row r="508" spans="1:39" ht="15.75" hidden="1" outlineLevel="1" thickBot="1">
      <c r="A508" s="59" t="s">
        <v>92</v>
      </c>
      <c r="B508" s="60">
        <v>8.49</v>
      </c>
      <c r="C508" s="60">
        <v>11.38</v>
      </c>
      <c r="D508" s="60">
        <v>8.41</v>
      </c>
      <c r="E508" s="60">
        <v>10.18</v>
      </c>
      <c r="F508" s="60">
        <v>12.15</v>
      </c>
      <c r="G508" s="60">
        <v>22.05</v>
      </c>
      <c r="H508" s="60">
        <v>6.22</v>
      </c>
      <c r="I508" s="60">
        <v>18.05</v>
      </c>
      <c r="J508" s="60">
        <v>20.96</v>
      </c>
      <c r="K508" s="60">
        <v>20.66</v>
      </c>
      <c r="L508" s="60">
        <v>21.25</v>
      </c>
      <c r="M508" s="60">
        <v>21.85</v>
      </c>
      <c r="N508" s="60">
        <v>22.45</v>
      </c>
      <c r="O508" s="60">
        <v>23.04</v>
      </c>
      <c r="P508" s="60">
        <v>23.64</v>
      </c>
      <c r="Q508" s="60">
        <v>24.24</v>
      </c>
      <c r="R508" s="60">
        <v>24.83</v>
      </c>
      <c r="S508" s="60">
        <v>25.43</v>
      </c>
      <c r="T508" s="60">
        <v>26.03</v>
      </c>
      <c r="U508" s="60">
        <v>26.62</v>
      </c>
      <c r="V508" s="60">
        <v>27.22</v>
      </c>
      <c r="W508" s="60">
        <v>27.82</v>
      </c>
      <c r="X508" s="60">
        <v>28.41</v>
      </c>
      <c r="Y508" s="60">
        <v>29.01</v>
      </c>
      <c r="Z508" s="60">
        <v>29.61</v>
      </c>
      <c r="AA508" s="60">
        <v>30.2</v>
      </c>
      <c r="AB508" s="60">
        <v>30.8</v>
      </c>
      <c r="AC508" s="60">
        <v>31.4</v>
      </c>
      <c r="AD508" s="60">
        <v>31.99</v>
      </c>
      <c r="AE508" s="60">
        <v>32.590000000000003</v>
      </c>
      <c r="AF508" s="60">
        <v>33.19</v>
      </c>
      <c r="AG508" s="60">
        <v>33.78</v>
      </c>
      <c r="AH508" s="60">
        <v>34.380000000000003</v>
      </c>
      <c r="AI508" s="60">
        <v>34.979999999999997</v>
      </c>
      <c r="AJ508" s="60">
        <v>35.57</v>
      </c>
      <c r="AK508" s="60">
        <v>36.17</v>
      </c>
      <c r="AL508" s="60">
        <v>36.770000000000003</v>
      </c>
      <c r="AM508" s="60">
        <v>37.36</v>
      </c>
    </row>
    <row r="509" spans="1:39" ht="15.75" hidden="1" outlineLevel="1" thickBot="1">
      <c r="A509" s="59" t="s">
        <v>93</v>
      </c>
      <c r="B509" s="60">
        <v>28.38</v>
      </c>
      <c r="C509" s="60">
        <v>28.24</v>
      </c>
      <c r="D509" s="60">
        <v>28.1</v>
      </c>
      <c r="E509" s="60">
        <v>27.96</v>
      </c>
      <c r="F509" s="60">
        <v>27.82</v>
      </c>
      <c r="G509" s="60">
        <v>27.68</v>
      </c>
      <c r="H509" s="60">
        <v>27.54</v>
      </c>
      <c r="I509" s="60">
        <v>27.4</v>
      </c>
      <c r="J509" s="60">
        <v>27.27</v>
      </c>
      <c r="K509" s="60">
        <v>27.2</v>
      </c>
      <c r="L509" s="60">
        <v>27.06</v>
      </c>
      <c r="M509" s="60">
        <v>26.92</v>
      </c>
      <c r="N509" s="60">
        <v>26.78</v>
      </c>
      <c r="O509" s="60">
        <v>26.64</v>
      </c>
      <c r="P509" s="60">
        <v>26.5</v>
      </c>
      <c r="Q509" s="60">
        <v>26.36</v>
      </c>
      <c r="R509" s="60">
        <v>26.23</v>
      </c>
      <c r="S509" s="60">
        <v>26.09</v>
      </c>
      <c r="T509" s="60">
        <v>25.95</v>
      </c>
      <c r="U509" s="60">
        <v>25.81</v>
      </c>
      <c r="V509" s="60">
        <v>25.67</v>
      </c>
      <c r="W509" s="60">
        <v>25.53</v>
      </c>
      <c r="X509" s="60">
        <v>25.39</v>
      </c>
      <c r="Y509" s="60">
        <v>25.25</v>
      </c>
      <c r="Z509" s="60">
        <v>25.11</v>
      </c>
      <c r="AA509" s="60">
        <v>24.98</v>
      </c>
      <c r="AB509" s="60">
        <v>24.84</v>
      </c>
      <c r="AC509" s="60">
        <v>24.7</v>
      </c>
      <c r="AD509" s="60">
        <v>24.56</v>
      </c>
      <c r="AE509" s="60">
        <v>24.42</v>
      </c>
      <c r="AF509" s="60">
        <v>24.28</v>
      </c>
      <c r="AG509" s="60">
        <v>24.14</v>
      </c>
      <c r="AH509" s="60">
        <v>24</v>
      </c>
      <c r="AI509" s="60">
        <v>23.86</v>
      </c>
      <c r="AJ509" s="60">
        <v>23.73</v>
      </c>
      <c r="AK509" s="60">
        <v>23.59</v>
      </c>
      <c r="AL509" s="60">
        <v>23.45</v>
      </c>
      <c r="AM509" s="60">
        <v>23.31</v>
      </c>
    </row>
    <row r="510" spans="1:39" ht="15.75" hidden="1" outlineLevel="1" thickBot="1">
      <c r="A510" s="59" t="s">
        <v>94</v>
      </c>
      <c r="B510" s="60">
        <v>0</v>
      </c>
      <c r="C510" s="60">
        <v>0</v>
      </c>
      <c r="D510" s="60">
        <v>0</v>
      </c>
      <c r="E510" s="60">
        <v>0</v>
      </c>
      <c r="F510" s="60">
        <v>0</v>
      </c>
      <c r="G510" s="60">
        <v>0</v>
      </c>
      <c r="H510" s="60">
        <v>0</v>
      </c>
      <c r="I510" s="60">
        <v>0</v>
      </c>
      <c r="J510" s="60">
        <v>0</v>
      </c>
      <c r="K510" s="60">
        <v>0</v>
      </c>
      <c r="L510" s="60">
        <v>0</v>
      </c>
      <c r="M510" s="60">
        <v>0</v>
      </c>
      <c r="N510" s="60">
        <v>0</v>
      </c>
      <c r="O510" s="60">
        <v>0</v>
      </c>
      <c r="P510" s="60">
        <v>0</v>
      </c>
      <c r="Q510" s="60">
        <v>0</v>
      </c>
      <c r="R510" s="60">
        <v>0</v>
      </c>
      <c r="S510" s="60">
        <v>0</v>
      </c>
      <c r="T510" s="60">
        <v>0</v>
      </c>
      <c r="U510" s="60">
        <v>0</v>
      </c>
      <c r="V510" s="60">
        <v>0</v>
      </c>
      <c r="W510" s="60">
        <v>0</v>
      </c>
      <c r="X510" s="60">
        <v>0</v>
      </c>
      <c r="Y510" s="60">
        <v>0</v>
      </c>
      <c r="Z510" s="60">
        <v>0</v>
      </c>
      <c r="AA510" s="60">
        <v>0</v>
      </c>
      <c r="AB510" s="60">
        <v>0</v>
      </c>
      <c r="AC510" s="60">
        <v>0</v>
      </c>
      <c r="AD510" s="60">
        <v>0</v>
      </c>
      <c r="AE510" s="60">
        <v>0</v>
      </c>
      <c r="AF510" s="60">
        <v>0</v>
      </c>
      <c r="AG510" s="60">
        <v>0</v>
      </c>
      <c r="AH510" s="60">
        <v>0</v>
      </c>
      <c r="AI510" s="60">
        <v>0</v>
      </c>
      <c r="AJ510" s="60">
        <v>0</v>
      </c>
      <c r="AK510" s="60">
        <v>0</v>
      </c>
      <c r="AL510" s="60">
        <v>0</v>
      </c>
      <c r="AM510" s="60">
        <v>0</v>
      </c>
    </row>
    <row r="511" spans="1:39" ht="15.75" hidden="1" outlineLevel="1" thickBot="1">
      <c r="A511" s="59" t="s">
        <v>95</v>
      </c>
      <c r="B511" s="60">
        <v>0</v>
      </c>
      <c r="C511" s="60">
        <v>0</v>
      </c>
      <c r="D511" s="60">
        <v>0</v>
      </c>
      <c r="E511" s="60">
        <v>0</v>
      </c>
      <c r="F511" s="60">
        <v>0</v>
      </c>
      <c r="G511" s="60">
        <v>0</v>
      </c>
      <c r="H511" s="60">
        <v>0</v>
      </c>
      <c r="I511" s="60">
        <v>0</v>
      </c>
      <c r="J511" s="60">
        <v>0</v>
      </c>
      <c r="K511" s="60">
        <v>0</v>
      </c>
      <c r="L511" s="60">
        <v>0</v>
      </c>
      <c r="M511" s="60">
        <v>0</v>
      </c>
      <c r="N511" s="60">
        <v>0</v>
      </c>
      <c r="O511" s="60">
        <v>0</v>
      </c>
      <c r="P511" s="60">
        <v>0</v>
      </c>
      <c r="Q511" s="60">
        <v>0</v>
      </c>
      <c r="R511" s="60">
        <v>0</v>
      </c>
      <c r="S511" s="60">
        <v>0</v>
      </c>
      <c r="T511" s="60">
        <v>0</v>
      </c>
      <c r="U511" s="60">
        <v>0</v>
      </c>
      <c r="V511" s="60">
        <v>0</v>
      </c>
      <c r="W511" s="60">
        <v>0</v>
      </c>
      <c r="X511" s="60">
        <v>0</v>
      </c>
      <c r="Y511" s="60">
        <v>0</v>
      </c>
      <c r="Z511" s="60">
        <v>0</v>
      </c>
      <c r="AA511" s="60">
        <v>0</v>
      </c>
      <c r="AB511" s="60">
        <v>0</v>
      </c>
      <c r="AC511" s="60">
        <v>0</v>
      </c>
      <c r="AD511" s="60">
        <v>0</v>
      </c>
      <c r="AE511" s="60">
        <v>0</v>
      </c>
      <c r="AF511" s="60">
        <v>0</v>
      </c>
      <c r="AG511" s="60">
        <v>0</v>
      </c>
      <c r="AH511" s="60">
        <v>0</v>
      </c>
      <c r="AI511" s="60">
        <v>0</v>
      </c>
      <c r="AJ511" s="60">
        <v>0</v>
      </c>
      <c r="AK511" s="60">
        <v>0</v>
      </c>
      <c r="AL511" s="60">
        <v>0</v>
      </c>
      <c r="AM511" s="60">
        <v>0</v>
      </c>
    </row>
    <row r="512" spans="1:39" ht="15.75" hidden="1" outlineLevel="1" thickBot="1">
      <c r="A512" s="59" t="s">
        <v>96</v>
      </c>
      <c r="B512" s="60">
        <v>0</v>
      </c>
      <c r="C512" s="60">
        <v>0</v>
      </c>
      <c r="D512" s="60">
        <v>0</v>
      </c>
      <c r="E512" s="60">
        <v>0</v>
      </c>
      <c r="F512" s="60">
        <v>0</v>
      </c>
      <c r="G512" s="60">
        <v>0</v>
      </c>
      <c r="H512" s="60">
        <v>0</v>
      </c>
      <c r="I512" s="60">
        <v>0</v>
      </c>
      <c r="J512" s="60">
        <v>0</v>
      </c>
      <c r="K512" s="60">
        <v>0</v>
      </c>
      <c r="L512" s="60">
        <v>0</v>
      </c>
      <c r="M512" s="60">
        <v>0</v>
      </c>
      <c r="N512" s="60">
        <v>0</v>
      </c>
      <c r="O512" s="60">
        <v>0</v>
      </c>
      <c r="P512" s="60">
        <v>0</v>
      </c>
      <c r="Q512" s="60">
        <v>0</v>
      </c>
      <c r="R512" s="60">
        <v>0</v>
      </c>
      <c r="S512" s="60">
        <v>0</v>
      </c>
      <c r="T512" s="60">
        <v>0</v>
      </c>
      <c r="U512" s="60">
        <v>0</v>
      </c>
      <c r="V512" s="60">
        <v>0</v>
      </c>
      <c r="W512" s="60">
        <v>0</v>
      </c>
      <c r="X512" s="60">
        <v>0</v>
      </c>
      <c r="Y512" s="60">
        <v>0</v>
      </c>
      <c r="Z512" s="60">
        <v>0</v>
      </c>
      <c r="AA512" s="60">
        <v>0</v>
      </c>
      <c r="AB512" s="60">
        <v>0</v>
      </c>
      <c r="AC512" s="60">
        <v>0</v>
      </c>
      <c r="AD512" s="60">
        <v>0</v>
      </c>
      <c r="AE512" s="60">
        <v>0</v>
      </c>
      <c r="AF512" s="60">
        <v>0</v>
      </c>
      <c r="AG512" s="60">
        <v>0</v>
      </c>
      <c r="AH512" s="60">
        <v>0</v>
      </c>
      <c r="AI512" s="60">
        <v>0</v>
      </c>
      <c r="AJ512" s="60">
        <v>0</v>
      </c>
      <c r="AK512" s="60">
        <v>0</v>
      </c>
      <c r="AL512" s="60">
        <v>0</v>
      </c>
      <c r="AM512" s="60">
        <v>0</v>
      </c>
    </row>
    <row r="513" spans="1:39" ht="15.75" hidden="1" outlineLevel="1" thickBot="1">
      <c r="A513" s="59" t="s">
        <v>97</v>
      </c>
      <c r="B513" s="60">
        <v>0</v>
      </c>
      <c r="C513" s="60">
        <v>0</v>
      </c>
      <c r="D513" s="60">
        <v>0</v>
      </c>
      <c r="E513" s="60">
        <v>0</v>
      </c>
      <c r="F513" s="60">
        <v>0</v>
      </c>
      <c r="G513" s="60">
        <v>0</v>
      </c>
      <c r="H513" s="60">
        <v>0</v>
      </c>
      <c r="I513" s="60">
        <v>0</v>
      </c>
      <c r="J513" s="60">
        <v>0</v>
      </c>
      <c r="K513" s="60">
        <v>0</v>
      </c>
      <c r="L513" s="60">
        <v>0</v>
      </c>
      <c r="M513" s="60">
        <v>0</v>
      </c>
      <c r="N513" s="60">
        <v>0</v>
      </c>
      <c r="O513" s="60">
        <v>0</v>
      </c>
      <c r="P513" s="60">
        <v>0</v>
      </c>
      <c r="Q513" s="60">
        <v>0</v>
      </c>
      <c r="R513" s="60">
        <v>0</v>
      </c>
      <c r="S513" s="60">
        <v>0</v>
      </c>
      <c r="T513" s="60">
        <v>0</v>
      </c>
      <c r="U513" s="60">
        <v>0</v>
      </c>
      <c r="V513" s="60">
        <v>0</v>
      </c>
      <c r="W513" s="60">
        <v>0</v>
      </c>
      <c r="X513" s="60">
        <v>0</v>
      </c>
      <c r="Y513" s="60">
        <v>0</v>
      </c>
      <c r="Z513" s="60">
        <v>0</v>
      </c>
      <c r="AA513" s="60">
        <v>0</v>
      </c>
      <c r="AB513" s="60">
        <v>0</v>
      </c>
      <c r="AC513" s="60">
        <v>0</v>
      </c>
      <c r="AD513" s="60">
        <v>0</v>
      </c>
      <c r="AE513" s="60">
        <v>0</v>
      </c>
      <c r="AF513" s="60">
        <v>0</v>
      </c>
      <c r="AG513" s="60">
        <v>0</v>
      </c>
      <c r="AH513" s="60">
        <v>0</v>
      </c>
      <c r="AI513" s="60">
        <v>0</v>
      </c>
      <c r="AJ513" s="60">
        <v>0</v>
      </c>
      <c r="AK513" s="60">
        <v>0</v>
      </c>
      <c r="AL513" s="60">
        <v>0</v>
      </c>
      <c r="AM513" s="60">
        <v>0</v>
      </c>
    </row>
    <row r="514" spans="1:39" ht="15.75" hidden="1" outlineLevel="1" thickBot="1">
      <c r="A514" s="59" t="s">
        <v>98</v>
      </c>
      <c r="B514" s="60">
        <v>0.93</v>
      </c>
      <c r="C514" s="60">
        <v>0.93</v>
      </c>
      <c r="D514" s="60">
        <v>0.92</v>
      </c>
      <c r="E514" s="60">
        <v>0.92</v>
      </c>
      <c r="F514" s="60">
        <v>0.91</v>
      </c>
      <c r="G514" s="60">
        <v>0.91</v>
      </c>
      <c r="H514" s="60">
        <v>0.9</v>
      </c>
      <c r="I514" s="60">
        <v>0.9</v>
      </c>
      <c r="J514" s="60">
        <v>0.9</v>
      </c>
      <c r="K514" s="60">
        <v>0.98</v>
      </c>
      <c r="L514" s="60">
        <v>0.97</v>
      </c>
      <c r="M514" s="60">
        <v>0.97</v>
      </c>
      <c r="N514" s="60">
        <v>0.96</v>
      </c>
      <c r="O514" s="60">
        <v>0.96</v>
      </c>
      <c r="P514" s="60">
        <v>0.95</v>
      </c>
      <c r="Q514" s="60">
        <v>0.95</v>
      </c>
      <c r="R514" s="60">
        <v>0.94</v>
      </c>
      <c r="S514" s="60">
        <v>0.94</v>
      </c>
      <c r="T514" s="60">
        <v>0.94</v>
      </c>
      <c r="U514" s="60">
        <v>0.93</v>
      </c>
      <c r="V514" s="60">
        <v>0.93</v>
      </c>
      <c r="W514" s="60">
        <v>0.92</v>
      </c>
      <c r="X514" s="60">
        <v>0.92</v>
      </c>
      <c r="Y514" s="60">
        <v>0.91</v>
      </c>
      <c r="Z514" s="60">
        <v>0.91</v>
      </c>
      <c r="AA514" s="60">
        <v>0.9</v>
      </c>
      <c r="AB514" s="60">
        <v>0.9</v>
      </c>
      <c r="AC514" s="60">
        <v>0.89</v>
      </c>
      <c r="AD514" s="60">
        <v>0.89</v>
      </c>
      <c r="AE514" s="60">
        <v>0.88</v>
      </c>
      <c r="AF514" s="60">
        <v>0.88</v>
      </c>
      <c r="AG514" s="60">
        <v>0.88</v>
      </c>
      <c r="AH514" s="60">
        <v>0.87</v>
      </c>
      <c r="AI514" s="60">
        <v>0.87</v>
      </c>
      <c r="AJ514" s="60">
        <v>0.86</v>
      </c>
      <c r="AK514" s="60">
        <v>0.86</v>
      </c>
      <c r="AL514" s="60">
        <v>0.85</v>
      </c>
      <c r="AM514" s="60">
        <v>0.85</v>
      </c>
    </row>
    <row r="515" spans="1:39" ht="15.75" hidden="1" outlineLevel="1" thickBot="1">
      <c r="A515" s="59" t="s">
        <v>99</v>
      </c>
      <c r="B515" s="60">
        <v>20.92</v>
      </c>
      <c r="C515" s="60">
        <v>20.82</v>
      </c>
      <c r="D515" s="60">
        <v>20.72</v>
      </c>
      <c r="E515" s="60">
        <v>20.61</v>
      </c>
      <c r="F515" s="60">
        <v>20.51</v>
      </c>
      <c r="G515" s="60">
        <v>20.41</v>
      </c>
      <c r="H515" s="60">
        <v>20.3</v>
      </c>
      <c r="I515" s="60">
        <v>20.2</v>
      </c>
      <c r="J515" s="60">
        <v>20.12</v>
      </c>
      <c r="K515" s="60">
        <v>20.13</v>
      </c>
      <c r="L515" s="60">
        <v>20.02</v>
      </c>
      <c r="M515" s="60">
        <v>19.920000000000002</v>
      </c>
      <c r="N515" s="60">
        <v>19.82</v>
      </c>
      <c r="O515" s="60">
        <v>19.72</v>
      </c>
      <c r="P515" s="60">
        <v>19.62</v>
      </c>
      <c r="Q515" s="60">
        <v>19.510000000000002</v>
      </c>
      <c r="R515" s="60">
        <v>19.41</v>
      </c>
      <c r="S515" s="60">
        <v>19.309999999999999</v>
      </c>
      <c r="T515" s="60">
        <v>19.21</v>
      </c>
      <c r="U515" s="60">
        <v>19.11</v>
      </c>
      <c r="V515" s="60">
        <v>19</v>
      </c>
      <c r="W515" s="60">
        <v>18.899999999999999</v>
      </c>
      <c r="X515" s="60">
        <v>18.8</v>
      </c>
      <c r="Y515" s="60">
        <v>18.7</v>
      </c>
      <c r="Z515" s="60">
        <v>18.600000000000001</v>
      </c>
      <c r="AA515" s="60">
        <v>18.489999999999998</v>
      </c>
      <c r="AB515" s="60">
        <v>18.39</v>
      </c>
      <c r="AC515" s="60">
        <v>18.29</v>
      </c>
      <c r="AD515" s="60">
        <v>18.190000000000001</v>
      </c>
      <c r="AE515" s="60">
        <v>18.079999999999998</v>
      </c>
      <c r="AF515" s="60">
        <v>17.98</v>
      </c>
      <c r="AG515" s="60">
        <v>17.88</v>
      </c>
      <c r="AH515" s="60">
        <v>17.78</v>
      </c>
      <c r="AI515" s="60">
        <v>17.68</v>
      </c>
      <c r="AJ515" s="60">
        <v>17.57</v>
      </c>
      <c r="AK515" s="60">
        <v>17.47</v>
      </c>
      <c r="AL515" s="60">
        <v>17.37</v>
      </c>
      <c r="AM515" s="60">
        <v>17.27</v>
      </c>
    </row>
    <row r="516" spans="1:39" ht="15.75" hidden="1" outlineLevel="1" thickBot="1">
      <c r="A516" s="59" t="s">
        <v>100</v>
      </c>
      <c r="B516" s="60">
        <v>0</v>
      </c>
      <c r="C516" s="60">
        <v>0</v>
      </c>
      <c r="D516" s="60">
        <v>0</v>
      </c>
      <c r="E516" s="60">
        <v>0</v>
      </c>
      <c r="F516" s="60">
        <v>0</v>
      </c>
      <c r="G516" s="60">
        <v>0</v>
      </c>
      <c r="H516" s="60">
        <v>0</v>
      </c>
      <c r="I516" s="60">
        <v>0</v>
      </c>
      <c r="J516" s="60">
        <v>0</v>
      </c>
      <c r="K516" s="60">
        <v>0</v>
      </c>
      <c r="L516" s="60">
        <v>0</v>
      </c>
      <c r="M516" s="60">
        <v>0</v>
      </c>
      <c r="N516" s="60">
        <v>0</v>
      </c>
      <c r="O516" s="60">
        <v>0</v>
      </c>
      <c r="P516" s="60">
        <v>0</v>
      </c>
      <c r="Q516" s="60">
        <v>0</v>
      </c>
      <c r="R516" s="60">
        <v>0</v>
      </c>
      <c r="S516" s="60">
        <v>0</v>
      </c>
      <c r="T516" s="60">
        <v>0</v>
      </c>
      <c r="U516" s="60">
        <v>0</v>
      </c>
      <c r="V516" s="60">
        <v>0</v>
      </c>
      <c r="W516" s="60">
        <v>0</v>
      </c>
      <c r="X516" s="60">
        <v>0</v>
      </c>
      <c r="Y516" s="60">
        <v>0</v>
      </c>
      <c r="Z516" s="60">
        <v>0</v>
      </c>
      <c r="AA516" s="60">
        <v>0</v>
      </c>
      <c r="AB516" s="60">
        <v>0</v>
      </c>
      <c r="AC516" s="60">
        <v>0</v>
      </c>
      <c r="AD516" s="60">
        <v>0</v>
      </c>
      <c r="AE516" s="60">
        <v>0</v>
      </c>
      <c r="AF516" s="60">
        <v>0</v>
      </c>
      <c r="AG516" s="60">
        <v>0</v>
      </c>
      <c r="AH516" s="60">
        <v>0</v>
      </c>
      <c r="AI516" s="60">
        <v>0</v>
      </c>
      <c r="AJ516" s="60">
        <v>0</v>
      </c>
      <c r="AK516" s="60">
        <v>0</v>
      </c>
      <c r="AL516" s="60">
        <v>0</v>
      </c>
      <c r="AM516" s="60">
        <v>0</v>
      </c>
    </row>
    <row r="517" spans="1:39" ht="15.75" hidden="1" outlineLevel="1" thickBot="1">
      <c r="A517" s="59" t="s">
        <v>101</v>
      </c>
      <c r="B517" s="60">
        <v>5.98</v>
      </c>
      <c r="C517" s="60">
        <v>3.48</v>
      </c>
      <c r="D517" s="60">
        <v>5.0599999999999996</v>
      </c>
      <c r="E517" s="60">
        <v>5.54</v>
      </c>
      <c r="F517" s="60">
        <v>14.54</v>
      </c>
      <c r="G517" s="60">
        <v>16.34</v>
      </c>
      <c r="H517" s="60">
        <v>18.77</v>
      </c>
      <c r="I517" s="60">
        <v>11.09</v>
      </c>
      <c r="J517" s="60">
        <v>11.13</v>
      </c>
      <c r="K517" s="60">
        <v>11.26</v>
      </c>
      <c r="L517" s="60">
        <v>11.5</v>
      </c>
      <c r="M517" s="60">
        <v>11.74</v>
      </c>
      <c r="N517" s="60">
        <v>11.98</v>
      </c>
      <c r="O517" s="60">
        <v>12.22</v>
      </c>
      <c r="P517" s="60">
        <v>12.46</v>
      </c>
      <c r="Q517" s="60">
        <v>12.7</v>
      </c>
      <c r="R517" s="60">
        <v>12.94</v>
      </c>
      <c r="S517" s="60">
        <v>13.18</v>
      </c>
      <c r="T517" s="60">
        <v>13.42</v>
      </c>
      <c r="U517" s="60">
        <v>13.67</v>
      </c>
      <c r="V517" s="60">
        <v>13.91</v>
      </c>
      <c r="W517" s="60">
        <v>14.15</v>
      </c>
      <c r="X517" s="60">
        <v>14.39</v>
      </c>
      <c r="Y517" s="60">
        <v>14.63</v>
      </c>
      <c r="Z517" s="60">
        <v>14.87</v>
      </c>
      <c r="AA517" s="60">
        <v>15.11</v>
      </c>
      <c r="AB517" s="60">
        <v>15.35</v>
      </c>
      <c r="AC517" s="60">
        <v>15.59</v>
      </c>
      <c r="AD517" s="60">
        <v>15.83</v>
      </c>
      <c r="AE517" s="60">
        <v>16.07</v>
      </c>
      <c r="AF517" s="60">
        <v>16.309999999999999</v>
      </c>
      <c r="AG517" s="60">
        <v>16.559999999999999</v>
      </c>
      <c r="AH517" s="60">
        <v>16.8</v>
      </c>
      <c r="AI517" s="60">
        <v>17.04</v>
      </c>
      <c r="AJ517" s="60">
        <v>17.28</v>
      </c>
      <c r="AK517" s="60">
        <v>17.52</v>
      </c>
      <c r="AL517" s="60">
        <v>17.760000000000002</v>
      </c>
      <c r="AM517" s="60">
        <v>18</v>
      </c>
    </row>
    <row r="518" spans="1:39" ht="15.75" hidden="1" outlineLevel="1" thickBot="1">
      <c r="A518" s="59" t="s">
        <v>102</v>
      </c>
      <c r="B518" s="60">
        <v>30.58</v>
      </c>
      <c r="C518" s="60">
        <v>30.14</v>
      </c>
      <c r="D518" s="60">
        <v>35.29</v>
      </c>
      <c r="E518" s="60">
        <v>34.229999999999997</v>
      </c>
      <c r="F518" s="60">
        <v>33.28</v>
      </c>
      <c r="G518" s="60">
        <v>33.450000000000003</v>
      </c>
      <c r="H518" s="60">
        <v>33.57</v>
      </c>
      <c r="I518" s="60">
        <v>28.7</v>
      </c>
      <c r="J518" s="60">
        <v>23.81</v>
      </c>
      <c r="K518" s="60">
        <v>25.29</v>
      </c>
      <c r="L518" s="60">
        <v>25.42</v>
      </c>
      <c r="M518" s="60">
        <v>25.56</v>
      </c>
      <c r="N518" s="60">
        <v>25.69</v>
      </c>
      <c r="O518" s="60">
        <v>25.83</v>
      </c>
      <c r="P518" s="60">
        <v>25.96</v>
      </c>
      <c r="Q518" s="60">
        <v>26.09</v>
      </c>
      <c r="R518" s="60">
        <v>26.23</v>
      </c>
      <c r="S518" s="60">
        <v>26.36</v>
      </c>
      <c r="T518" s="60">
        <v>26.49</v>
      </c>
      <c r="U518" s="60">
        <v>26.63</v>
      </c>
      <c r="V518" s="60">
        <v>26.76</v>
      </c>
      <c r="W518" s="60">
        <v>26.9</v>
      </c>
      <c r="X518" s="60">
        <v>27.03</v>
      </c>
      <c r="Y518" s="60">
        <v>27.16</v>
      </c>
      <c r="Z518" s="60">
        <v>27.3</v>
      </c>
      <c r="AA518" s="60">
        <v>27.43</v>
      </c>
      <c r="AB518" s="60">
        <v>27.56</v>
      </c>
      <c r="AC518" s="60">
        <v>27.7</v>
      </c>
      <c r="AD518" s="60">
        <v>27.83</v>
      </c>
      <c r="AE518" s="60">
        <v>27.97</v>
      </c>
      <c r="AF518" s="60">
        <v>28.1</v>
      </c>
      <c r="AG518" s="60">
        <v>28.23</v>
      </c>
      <c r="AH518" s="60">
        <v>28.37</v>
      </c>
      <c r="AI518" s="60">
        <v>28.5</v>
      </c>
      <c r="AJ518" s="60">
        <v>28.63</v>
      </c>
      <c r="AK518" s="60">
        <v>28.77</v>
      </c>
      <c r="AL518" s="60">
        <v>28.9</v>
      </c>
      <c r="AM518" s="60">
        <v>29.04</v>
      </c>
    </row>
    <row r="519" spans="1:39" ht="15.75" hidden="1" outlineLevel="1" thickBot="1">
      <c r="A519" s="59" t="s">
        <v>103</v>
      </c>
      <c r="B519" s="60">
        <v>0.85</v>
      </c>
      <c r="C519" s="60">
        <v>1.05</v>
      </c>
      <c r="D519" s="60">
        <v>0.99</v>
      </c>
      <c r="E519" s="60">
        <v>1.1499999999999999</v>
      </c>
      <c r="F519" s="60">
        <v>1.17</v>
      </c>
      <c r="G519" s="60">
        <v>1.18</v>
      </c>
      <c r="H519" s="60">
        <v>1.29</v>
      </c>
      <c r="I519" s="60">
        <v>1.47</v>
      </c>
      <c r="J519" s="60">
        <v>1.47</v>
      </c>
      <c r="K519" s="60">
        <v>1.33</v>
      </c>
      <c r="L519" s="60">
        <v>1.32</v>
      </c>
      <c r="M519" s="60">
        <v>1.31</v>
      </c>
      <c r="N519" s="60">
        <v>1.29</v>
      </c>
      <c r="O519" s="60">
        <v>1.28</v>
      </c>
      <c r="P519" s="60">
        <v>1.27</v>
      </c>
      <c r="Q519" s="60">
        <v>1.26</v>
      </c>
      <c r="R519" s="60">
        <v>1.24</v>
      </c>
      <c r="S519" s="60">
        <v>1.23</v>
      </c>
      <c r="T519" s="60">
        <v>1.22</v>
      </c>
      <c r="U519" s="60">
        <v>1.2</v>
      </c>
      <c r="V519" s="60">
        <v>1.19</v>
      </c>
      <c r="W519" s="60">
        <v>1.18</v>
      </c>
      <c r="X519" s="60">
        <v>1.17</v>
      </c>
      <c r="Y519" s="60">
        <v>1.1499999999999999</v>
      </c>
      <c r="Z519" s="60">
        <v>1.1399999999999999</v>
      </c>
      <c r="AA519" s="60">
        <v>1.1299999999999999</v>
      </c>
      <c r="AB519" s="60">
        <v>1.1100000000000001</v>
      </c>
      <c r="AC519" s="60">
        <v>1.1000000000000001</v>
      </c>
      <c r="AD519" s="60">
        <v>1.0900000000000001</v>
      </c>
      <c r="AE519" s="60">
        <v>1.08</v>
      </c>
      <c r="AF519" s="60">
        <v>1.06</v>
      </c>
      <c r="AG519" s="60">
        <v>1.05</v>
      </c>
      <c r="AH519" s="60">
        <v>1.04</v>
      </c>
      <c r="AI519" s="60">
        <v>1.02</v>
      </c>
      <c r="AJ519" s="60">
        <v>1.01</v>
      </c>
      <c r="AK519" s="60">
        <v>1</v>
      </c>
      <c r="AL519" s="60">
        <v>0.99</v>
      </c>
      <c r="AM519" s="60">
        <v>0.97</v>
      </c>
    </row>
    <row r="520" spans="1:39" ht="15.75" hidden="1" outlineLevel="1" thickBot="1">
      <c r="A520" s="59" t="s">
        <v>44</v>
      </c>
      <c r="B520" s="60">
        <v>0</v>
      </c>
      <c r="C520" s="60">
        <v>0</v>
      </c>
      <c r="D520" s="60">
        <v>0</v>
      </c>
      <c r="E520" s="60">
        <v>0</v>
      </c>
      <c r="F520" s="60">
        <v>0</v>
      </c>
      <c r="G520" s="60">
        <v>0</v>
      </c>
      <c r="H520" s="60">
        <v>0</v>
      </c>
      <c r="I520" s="60">
        <v>0</v>
      </c>
      <c r="J520" s="60">
        <v>0</v>
      </c>
      <c r="K520" s="60">
        <v>0</v>
      </c>
      <c r="L520" s="60">
        <v>0</v>
      </c>
      <c r="M520" s="60">
        <v>0</v>
      </c>
      <c r="N520" s="60">
        <v>0</v>
      </c>
      <c r="O520" s="60">
        <v>0</v>
      </c>
      <c r="P520" s="60">
        <v>0</v>
      </c>
      <c r="Q520" s="60">
        <v>0</v>
      </c>
      <c r="R520" s="60">
        <v>0</v>
      </c>
      <c r="S520" s="60">
        <v>0</v>
      </c>
      <c r="T520" s="60">
        <v>0</v>
      </c>
      <c r="U520" s="60">
        <v>0</v>
      </c>
      <c r="V520" s="60">
        <v>0</v>
      </c>
      <c r="W520" s="60">
        <v>0</v>
      </c>
      <c r="X520" s="60">
        <v>0</v>
      </c>
      <c r="Y520" s="60">
        <v>0</v>
      </c>
      <c r="Z520" s="60">
        <v>0</v>
      </c>
      <c r="AA520" s="60">
        <v>0</v>
      </c>
      <c r="AB520" s="60">
        <v>0</v>
      </c>
      <c r="AC520" s="60">
        <v>0</v>
      </c>
      <c r="AD520" s="60">
        <v>0</v>
      </c>
      <c r="AE520" s="60">
        <v>0</v>
      </c>
      <c r="AF520" s="60">
        <v>0</v>
      </c>
      <c r="AG520" s="60">
        <v>0</v>
      </c>
      <c r="AH520" s="60">
        <v>0</v>
      </c>
      <c r="AI520" s="60">
        <v>0</v>
      </c>
      <c r="AJ520" s="60">
        <v>0</v>
      </c>
      <c r="AK520" s="60">
        <v>0</v>
      </c>
      <c r="AL520" s="60">
        <v>0</v>
      </c>
      <c r="AM520" s="60">
        <v>0</v>
      </c>
    </row>
    <row r="521" spans="1:39" ht="15.75" hidden="1" outlineLevel="1" thickBot="1">
      <c r="A521" s="59" t="s">
        <v>45</v>
      </c>
      <c r="B521" s="60">
        <v>35.36</v>
      </c>
      <c r="C521" s="60">
        <v>31.42</v>
      </c>
      <c r="D521" s="60">
        <v>42.65</v>
      </c>
      <c r="E521" s="60">
        <v>51.36</v>
      </c>
      <c r="F521" s="60">
        <v>26.63</v>
      </c>
      <c r="G521" s="60">
        <v>28.63</v>
      </c>
      <c r="H521" s="60">
        <v>30.55</v>
      </c>
      <c r="I521" s="60">
        <v>25.65</v>
      </c>
      <c r="J521" s="60">
        <v>27.57</v>
      </c>
      <c r="K521" s="60">
        <v>27.63</v>
      </c>
      <c r="L521" s="60">
        <v>27.56</v>
      </c>
      <c r="M521" s="60">
        <v>27.48</v>
      </c>
      <c r="N521" s="60">
        <v>27.4</v>
      </c>
      <c r="O521" s="60">
        <v>27.32</v>
      </c>
      <c r="P521" s="60">
        <v>27.24</v>
      </c>
      <c r="Q521" s="60">
        <v>27.16</v>
      </c>
      <c r="R521" s="60">
        <v>27.08</v>
      </c>
      <c r="S521" s="60">
        <v>27</v>
      </c>
      <c r="T521" s="60">
        <v>26.92</v>
      </c>
      <c r="U521" s="60">
        <v>26.84</v>
      </c>
      <c r="V521" s="60">
        <v>26.76</v>
      </c>
      <c r="W521" s="60">
        <v>26.68</v>
      </c>
      <c r="X521" s="60">
        <v>26.6</v>
      </c>
      <c r="Y521" s="60">
        <v>26.53</v>
      </c>
      <c r="Z521" s="60">
        <v>26.45</v>
      </c>
      <c r="AA521" s="60">
        <v>26.37</v>
      </c>
      <c r="AB521" s="60">
        <v>26.29</v>
      </c>
      <c r="AC521" s="60">
        <v>26.21</v>
      </c>
      <c r="AD521" s="60">
        <v>26.13</v>
      </c>
      <c r="AE521" s="60">
        <v>26.05</v>
      </c>
      <c r="AF521" s="60">
        <v>25.97</v>
      </c>
      <c r="AG521" s="60">
        <v>25.89</v>
      </c>
      <c r="AH521" s="60">
        <v>25.81</v>
      </c>
      <c r="AI521" s="60">
        <v>25.73</v>
      </c>
      <c r="AJ521" s="60">
        <v>25.65</v>
      </c>
      <c r="AK521" s="60">
        <v>25.58</v>
      </c>
      <c r="AL521" s="60">
        <v>25.49</v>
      </c>
      <c r="AM521" s="60">
        <v>25.41</v>
      </c>
    </row>
    <row r="522" spans="1:39" ht="15.75" hidden="1" outlineLevel="1" thickBot="1">
      <c r="A522" s="59" t="s">
        <v>104</v>
      </c>
      <c r="B522" s="60">
        <v>1.01</v>
      </c>
      <c r="C522" s="60">
        <v>1.5</v>
      </c>
      <c r="D522" s="60">
        <v>4.91</v>
      </c>
      <c r="E522" s="60">
        <v>10.130000000000001</v>
      </c>
      <c r="F522" s="60">
        <v>8.7899999999999991</v>
      </c>
      <c r="G522" s="60">
        <v>2.64</v>
      </c>
      <c r="H522" s="60">
        <v>4.12</v>
      </c>
      <c r="I522" s="60">
        <v>1.24</v>
      </c>
      <c r="J522" s="60">
        <v>1.53</v>
      </c>
      <c r="K522" s="60">
        <v>1.48</v>
      </c>
      <c r="L522" s="60">
        <v>1.43</v>
      </c>
      <c r="M522" s="60">
        <v>1.37</v>
      </c>
      <c r="N522" s="60">
        <v>1.32</v>
      </c>
      <c r="O522" s="60">
        <v>1.27</v>
      </c>
      <c r="P522" s="60">
        <v>1.22</v>
      </c>
      <c r="Q522" s="60">
        <v>1.1599999999999999</v>
      </c>
      <c r="R522" s="60">
        <v>1.1100000000000001</v>
      </c>
      <c r="S522" s="60">
        <v>1.06</v>
      </c>
      <c r="T522" s="60">
        <v>1</v>
      </c>
      <c r="U522" s="60">
        <v>0.95</v>
      </c>
      <c r="V522" s="60">
        <v>0.9</v>
      </c>
      <c r="W522" s="60">
        <v>0.85</v>
      </c>
      <c r="X522" s="60">
        <v>0.79</v>
      </c>
      <c r="Y522" s="60">
        <v>0.74</v>
      </c>
      <c r="Z522" s="60">
        <v>0.69</v>
      </c>
      <c r="AA522" s="60">
        <v>0.63</v>
      </c>
      <c r="AB522" s="60">
        <v>0.57999999999999996</v>
      </c>
      <c r="AC522" s="60">
        <v>0.53</v>
      </c>
      <c r="AD522" s="60">
        <v>0.48</v>
      </c>
      <c r="AE522" s="60">
        <v>0.42</v>
      </c>
      <c r="AF522" s="60">
        <v>0.37</v>
      </c>
      <c r="AG522" s="60">
        <v>0.32</v>
      </c>
      <c r="AH522" s="60">
        <v>0.26</v>
      </c>
      <c r="AI522" s="60">
        <v>0.21</v>
      </c>
      <c r="AJ522" s="60">
        <v>0.16</v>
      </c>
      <c r="AK522" s="60">
        <v>0.11</v>
      </c>
      <c r="AL522" s="60">
        <v>0.05</v>
      </c>
      <c r="AM522" s="60">
        <v>0</v>
      </c>
    </row>
    <row r="523" spans="1:39" ht="15.75" hidden="1" outlineLevel="1" thickBot="1">
      <c r="A523" s="59" t="s">
        <v>105</v>
      </c>
      <c r="B523" s="60">
        <v>0</v>
      </c>
      <c r="C523" s="60">
        <v>0</v>
      </c>
      <c r="D523" s="60">
        <v>0</v>
      </c>
      <c r="E523" s="60">
        <v>0</v>
      </c>
      <c r="F523" s="60">
        <v>0</v>
      </c>
      <c r="G523" s="60">
        <v>0</v>
      </c>
      <c r="H523" s="60">
        <v>0</v>
      </c>
      <c r="I523" s="60">
        <v>0</v>
      </c>
      <c r="J523" s="60">
        <v>0</v>
      </c>
      <c r="K523" s="60">
        <v>0</v>
      </c>
      <c r="L523" s="60">
        <v>0</v>
      </c>
      <c r="M523" s="60">
        <v>0</v>
      </c>
      <c r="N523" s="60">
        <v>0</v>
      </c>
      <c r="O523" s="60">
        <v>0</v>
      </c>
      <c r="P523" s="60">
        <v>0</v>
      </c>
      <c r="Q523" s="60">
        <v>0</v>
      </c>
      <c r="R523" s="60">
        <v>0</v>
      </c>
      <c r="S523" s="60">
        <v>0</v>
      </c>
      <c r="T523" s="60">
        <v>0</v>
      </c>
      <c r="U523" s="60">
        <v>0</v>
      </c>
      <c r="V523" s="60">
        <v>0</v>
      </c>
      <c r="W523" s="60">
        <v>0</v>
      </c>
      <c r="X523" s="60">
        <v>0</v>
      </c>
      <c r="Y523" s="60">
        <v>0</v>
      </c>
      <c r="Z523" s="60">
        <v>0</v>
      </c>
      <c r="AA523" s="60">
        <v>0</v>
      </c>
      <c r="AB523" s="60">
        <v>0</v>
      </c>
      <c r="AC523" s="60">
        <v>0</v>
      </c>
      <c r="AD523" s="60">
        <v>0</v>
      </c>
      <c r="AE523" s="60">
        <v>0</v>
      </c>
      <c r="AF523" s="60">
        <v>0</v>
      </c>
      <c r="AG523" s="60">
        <v>0</v>
      </c>
      <c r="AH523" s="60">
        <v>0</v>
      </c>
      <c r="AI523" s="60">
        <v>0</v>
      </c>
      <c r="AJ523" s="60">
        <v>0</v>
      </c>
      <c r="AK523" s="60">
        <v>0</v>
      </c>
      <c r="AL523" s="60">
        <v>0</v>
      </c>
      <c r="AM523" s="60">
        <v>0</v>
      </c>
    </row>
    <row r="524" spans="1:39" ht="15.75" hidden="1" outlineLevel="1" thickBot="1">
      <c r="A524" s="59" t="s">
        <v>106</v>
      </c>
      <c r="B524" s="60">
        <v>178.71</v>
      </c>
      <c r="C524" s="60">
        <v>183.79</v>
      </c>
      <c r="D524" s="60">
        <v>194.44</v>
      </c>
      <c r="E524" s="60">
        <v>212.35</v>
      </c>
      <c r="F524" s="60">
        <v>257.77999999999997</v>
      </c>
      <c r="G524" s="60">
        <v>89.7</v>
      </c>
      <c r="H524" s="60">
        <v>82.7</v>
      </c>
      <c r="I524" s="60">
        <v>32.86</v>
      </c>
      <c r="J524" s="60">
        <v>50.68</v>
      </c>
      <c r="K524" s="60">
        <v>51.47</v>
      </c>
      <c r="L524" s="60">
        <v>51.95</v>
      </c>
      <c r="M524" s="60">
        <v>52.44</v>
      </c>
      <c r="N524" s="60">
        <v>52.93</v>
      </c>
      <c r="O524" s="60">
        <v>53.41</v>
      </c>
      <c r="P524" s="60">
        <v>53.9</v>
      </c>
      <c r="Q524" s="60">
        <v>54.39</v>
      </c>
      <c r="R524" s="60">
        <v>54.88</v>
      </c>
      <c r="S524" s="60">
        <v>55.36</v>
      </c>
      <c r="T524" s="60">
        <v>55.85</v>
      </c>
      <c r="U524" s="60">
        <v>56.34</v>
      </c>
      <c r="V524" s="60">
        <v>56.82</v>
      </c>
      <c r="W524" s="60">
        <v>57.04</v>
      </c>
      <c r="X524" s="60">
        <v>56.9</v>
      </c>
      <c r="Y524" s="60">
        <v>56.75</v>
      </c>
      <c r="Z524" s="60">
        <v>56.61</v>
      </c>
      <c r="AA524" s="60">
        <v>56.47</v>
      </c>
      <c r="AB524" s="60">
        <v>56.32</v>
      </c>
      <c r="AC524" s="60">
        <v>56.18</v>
      </c>
      <c r="AD524" s="60">
        <v>56.04</v>
      </c>
      <c r="AE524" s="60">
        <v>55.89</v>
      </c>
      <c r="AF524" s="60">
        <v>55.75</v>
      </c>
      <c r="AG524" s="60">
        <v>55.61</v>
      </c>
      <c r="AH524" s="60">
        <v>55.46</v>
      </c>
      <c r="AI524" s="60">
        <v>55.32</v>
      </c>
      <c r="AJ524" s="60">
        <v>55.18</v>
      </c>
      <c r="AK524" s="60">
        <v>55.03</v>
      </c>
      <c r="AL524" s="60">
        <v>54.89</v>
      </c>
      <c r="AM524" s="60">
        <v>54.74</v>
      </c>
    </row>
    <row r="525" spans="1:39" ht="15.75" hidden="1" outlineLevel="1" thickBot="1">
      <c r="A525" s="59" t="s">
        <v>46</v>
      </c>
      <c r="B525" s="60">
        <v>384.38</v>
      </c>
      <c r="C525" s="60">
        <v>396.58</v>
      </c>
      <c r="D525" s="60">
        <v>399.71</v>
      </c>
      <c r="E525" s="60">
        <v>395.1</v>
      </c>
      <c r="F525" s="60">
        <v>407.71</v>
      </c>
      <c r="G525" s="60">
        <v>441.3</v>
      </c>
      <c r="H525" s="60">
        <v>455.96</v>
      </c>
      <c r="I525" s="60">
        <v>440.94</v>
      </c>
      <c r="J525" s="60">
        <v>463.47</v>
      </c>
      <c r="K525" s="60">
        <v>486.71</v>
      </c>
      <c r="L525" s="60">
        <v>486.64</v>
      </c>
      <c r="M525" s="60">
        <v>486.56</v>
      </c>
      <c r="N525" s="60">
        <v>486.48</v>
      </c>
      <c r="O525" s="60">
        <v>486.41</v>
      </c>
      <c r="P525" s="60">
        <v>486.33</v>
      </c>
      <c r="Q525" s="60">
        <v>486.25</v>
      </c>
      <c r="R525" s="60">
        <v>486.18</v>
      </c>
      <c r="S525" s="60">
        <v>486.1</v>
      </c>
      <c r="T525" s="60">
        <v>486.02</v>
      </c>
      <c r="U525" s="60">
        <v>485.95</v>
      </c>
      <c r="V525" s="60">
        <v>485.87</v>
      </c>
      <c r="W525" s="60">
        <v>483.68</v>
      </c>
      <c r="X525" s="60">
        <v>478.67</v>
      </c>
      <c r="Y525" s="60">
        <v>473.65</v>
      </c>
      <c r="Z525" s="60">
        <v>468.63</v>
      </c>
      <c r="AA525" s="60">
        <v>463.62</v>
      </c>
      <c r="AB525" s="60">
        <v>458.6</v>
      </c>
      <c r="AC525" s="60">
        <v>453.59</v>
      </c>
      <c r="AD525" s="60">
        <v>448.57</v>
      </c>
      <c r="AE525" s="60">
        <v>443.55</v>
      </c>
      <c r="AF525" s="60">
        <v>438.54</v>
      </c>
      <c r="AG525" s="60">
        <v>433.52</v>
      </c>
      <c r="AH525" s="60">
        <v>428.5</v>
      </c>
      <c r="AI525" s="60">
        <v>423.49</v>
      </c>
      <c r="AJ525" s="60">
        <v>418.47</v>
      </c>
      <c r="AK525" s="60">
        <v>413.45</v>
      </c>
      <c r="AL525" s="60">
        <v>408.39</v>
      </c>
      <c r="AM525" s="60">
        <v>403.33</v>
      </c>
    </row>
    <row r="526" spans="1:39" ht="15.75" hidden="1" outlineLevel="1" thickBot="1">
      <c r="A526" s="59" t="s">
        <v>107</v>
      </c>
      <c r="B526" s="60">
        <v>0</v>
      </c>
      <c r="C526" s="60">
        <v>0</v>
      </c>
      <c r="D526" s="60">
        <v>0</v>
      </c>
      <c r="E526" s="60">
        <v>0</v>
      </c>
      <c r="F526" s="60">
        <v>0</v>
      </c>
      <c r="G526" s="60">
        <v>0</v>
      </c>
      <c r="H526" s="60">
        <v>0</v>
      </c>
      <c r="I526" s="60">
        <v>0</v>
      </c>
      <c r="J526" s="60">
        <v>0</v>
      </c>
      <c r="K526" s="60">
        <v>0</v>
      </c>
      <c r="L526" s="60">
        <v>0</v>
      </c>
      <c r="M526" s="60">
        <v>0</v>
      </c>
      <c r="N526" s="60">
        <v>0</v>
      </c>
      <c r="O526" s="60">
        <v>0</v>
      </c>
      <c r="P526" s="60">
        <v>0</v>
      </c>
      <c r="Q526" s="60">
        <v>0</v>
      </c>
      <c r="R526" s="60">
        <v>0</v>
      </c>
      <c r="S526" s="60">
        <v>0</v>
      </c>
      <c r="T526" s="60">
        <v>0</v>
      </c>
      <c r="U526" s="60">
        <v>0</v>
      </c>
      <c r="V526" s="60">
        <v>0</v>
      </c>
      <c r="W526" s="60">
        <v>0</v>
      </c>
      <c r="X526" s="60">
        <v>0</v>
      </c>
      <c r="Y526" s="60">
        <v>0</v>
      </c>
      <c r="Z526" s="60">
        <v>0</v>
      </c>
      <c r="AA526" s="60">
        <v>0</v>
      </c>
      <c r="AB526" s="60">
        <v>0</v>
      </c>
      <c r="AC526" s="60">
        <v>0</v>
      </c>
      <c r="AD526" s="60">
        <v>0</v>
      </c>
      <c r="AE526" s="60">
        <v>0</v>
      </c>
      <c r="AF526" s="60">
        <v>0</v>
      </c>
      <c r="AG526" s="60">
        <v>0</v>
      </c>
      <c r="AH526" s="60">
        <v>0</v>
      </c>
      <c r="AI526" s="60">
        <v>0</v>
      </c>
      <c r="AJ526" s="60">
        <v>0</v>
      </c>
      <c r="AK526" s="60">
        <v>0</v>
      </c>
      <c r="AL526" s="60">
        <v>0</v>
      </c>
      <c r="AM526" s="60">
        <v>0</v>
      </c>
    </row>
    <row r="527" spans="1:39" ht="15.75" hidden="1" outlineLevel="1" thickBot="1">
      <c r="A527" s="61" t="s">
        <v>108</v>
      </c>
      <c r="B527" s="62">
        <v>0</v>
      </c>
      <c r="C527" s="62">
        <v>0</v>
      </c>
      <c r="D527" s="62">
        <v>0</v>
      </c>
      <c r="E527" s="62">
        <v>0</v>
      </c>
      <c r="F527" s="62">
        <v>0</v>
      </c>
      <c r="G527" s="62">
        <v>0</v>
      </c>
      <c r="H527" s="62">
        <v>0</v>
      </c>
      <c r="I527" s="62">
        <v>0</v>
      </c>
      <c r="J527" s="62">
        <v>0</v>
      </c>
      <c r="K527" s="62">
        <v>0</v>
      </c>
      <c r="L527" s="62">
        <v>0</v>
      </c>
      <c r="M527" s="62">
        <v>0</v>
      </c>
      <c r="N527" s="62">
        <v>0</v>
      </c>
      <c r="O527" s="62">
        <v>0</v>
      </c>
      <c r="P527" s="62">
        <v>0</v>
      </c>
      <c r="Q527" s="62">
        <v>0</v>
      </c>
      <c r="R527" s="62">
        <v>0</v>
      </c>
      <c r="S527" s="62">
        <v>0</v>
      </c>
      <c r="T527" s="62">
        <v>0</v>
      </c>
      <c r="U527" s="62">
        <v>0</v>
      </c>
      <c r="V527" s="62">
        <v>0</v>
      </c>
      <c r="W527" s="62">
        <v>0</v>
      </c>
      <c r="X527" s="62">
        <v>0</v>
      </c>
      <c r="Y527" s="62">
        <v>0</v>
      </c>
      <c r="Z527" s="62">
        <v>0</v>
      </c>
      <c r="AA527" s="62">
        <v>0</v>
      </c>
      <c r="AB527" s="62">
        <v>0</v>
      </c>
      <c r="AC527" s="62">
        <v>0</v>
      </c>
      <c r="AD527" s="62">
        <v>0</v>
      </c>
      <c r="AE527" s="62">
        <v>0</v>
      </c>
      <c r="AF527" s="62">
        <v>0</v>
      </c>
      <c r="AG527" s="62">
        <v>0</v>
      </c>
      <c r="AH527" s="62">
        <v>0</v>
      </c>
      <c r="AI527" s="62">
        <v>0</v>
      </c>
      <c r="AJ527" s="62">
        <v>0</v>
      </c>
      <c r="AK527" s="62">
        <v>0</v>
      </c>
      <c r="AL527" s="62">
        <v>0</v>
      </c>
      <c r="AM527" s="62">
        <v>0</v>
      </c>
    </row>
    <row r="528" spans="1:39" ht="15.75" thickTop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79BD-9A1A-45CD-B789-99994E7DAC3B}">
  <sheetPr>
    <tabColor theme="0"/>
    <outlinePr summaryBelow="0"/>
  </sheetPr>
  <dimension ref="A1:BH643"/>
  <sheetViews>
    <sheetView workbookViewId="0"/>
  </sheetViews>
  <sheetFormatPr defaultColWidth="11.42578125" defaultRowHeight="15" outlineLevelRow="2"/>
  <cols>
    <col min="3" max="3" width="9.85546875" customWidth="1"/>
  </cols>
  <sheetData>
    <row r="1" spans="1:60" outlineLevel="1"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>
        <v>2026</v>
      </c>
      <c r="Q1">
        <v>2027</v>
      </c>
      <c r="R1">
        <v>2028</v>
      </c>
      <c r="S1">
        <v>2029</v>
      </c>
      <c r="T1">
        <v>2030</v>
      </c>
      <c r="U1">
        <v>2031</v>
      </c>
      <c r="V1">
        <v>2032</v>
      </c>
      <c r="W1">
        <v>2033</v>
      </c>
      <c r="X1">
        <v>2034</v>
      </c>
      <c r="Y1">
        <v>2035</v>
      </c>
      <c r="Z1">
        <v>2036</v>
      </c>
      <c r="AA1">
        <v>2037</v>
      </c>
      <c r="AB1">
        <v>2038</v>
      </c>
      <c r="AC1">
        <v>2039</v>
      </c>
      <c r="AD1">
        <v>2040</v>
      </c>
      <c r="AE1">
        <v>2041</v>
      </c>
      <c r="AF1">
        <v>2042</v>
      </c>
      <c r="AG1">
        <v>2043</v>
      </c>
      <c r="AH1">
        <v>2044</v>
      </c>
      <c r="AI1">
        <v>2045</v>
      </c>
      <c r="AJ1">
        <v>2046</v>
      </c>
      <c r="AK1">
        <v>2047</v>
      </c>
      <c r="AL1">
        <v>2048</v>
      </c>
      <c r="AM1">
        <v>2049</v>
      </c>
      <c r="AN1">
        <v>2050</v>
      </c>
      <c r="AO1">
        <v>2051</v>
      </c>
      <c r="AP1">
        <v>2052</v>
      </c>
      <c r="AQ1">
        <v>2053</v>
      </c>
      <c r="AR1">
        <v>2054</v>
      </c>
      <c r="AS1">
        <v>2055</v>
      </c>
      <c r="AT1">
        <v>2056</v>
      </c>
      <c r="AU1">
        <v>2057</v>
      </c>
      <c r="AV1">
        <v>2058</v>
      </c>
      <c r="AW1">
        <v>2059</v>
      </c>
      <c r="AX1">
        <v>2060</v>
      </c>
      <c r="AY1">
        <v>2061</v>
      </c>
      <c r="AZ1">
        <v>2062</v>
      </c>
      <c r="BA1">
        <v>2063</v>
      </c>
      <c r="BB1">
        <v>2064</v>
      </c>
      <c r="BC1">
        <v>2065</v>
      </c>
      <c r="BD1">
        <v>2066</v>
      </c>
      <c r="BE1">
        <v>2067</v>
      </c>
      <c r="BF1">
        <v>2068</v>
      </c>
      <c r="BG1">
        <v>2069</v>
      </c>
      <c r="BH1">
        <v>2070</v>
      </c>
    </row>
    <row r="2" spans="1:60" collapsed="1">
      <c r="A2" t="s">
        <v>125</v>
      </c>
      <c r="C2">
        <f>SUM(C3:C27)</f>
        <v>581.34999999999991</v>
      </c>
      <c r="D2">
        <f t="shared" ref="D2:BH2" si="0">SUM(D3:D27)</f>
        <v>592.75000000000011</v>
      </c>
      <c r="E2">
        <f t="shared" si="0"/>
        <v>590.4</v>
      </c>
      <c r="F2">
        <f t="shared" si="0"/>
        <v>593.79</v>
      </c>
      <c r="G2">
        <f t="shared" si="0"/>
        <v>606.33999999999992</v>
      </c>
      <c r="H2">
        <f t="shared" si="0"/>
        <v>642.65000000000009</v>
      </c>
      <c r="I2">
        <f t="shared" si="0"/>
        <v>655.48</v>
      </c>
      <c r="J2">
        <f t="shared" si="0"/>
        <v>652</v>
      </c>
      <c r="K2">
        <f t="shared" si="0"/>
        <v>673.19</v>
      </c>
      <c r="L2">
        <f t="shared" si="0"/>
        <v>698.86099999999999</v>
      </c>
      <c r="M2">
        <f t="shared" si="0"/>
        <v>711.69650000000001</v>
      </c>
      <c r="N2">
        <f t="shared" si="0"/>
        <v>725.06137671255487</v>
      </c>
      <c r="O2">
        <f t="shared" si="0"/>
        <v>738.40626316397618</v>
      </c>
      <c r="P2">
        <f t="shared" si="0"/>
        <v>751.77113013766461</v>
      </c>
      <c r="Q2">
        <f t="shared" si="0"/>
        <v>765.14600685021946</v>
      </c>
      <c r="R2">
        <f t="shared" si="0"/>
        <v>778.48089330164066</v>
      </c>
      <c r="S2">
        <f t="shared" si="0"/>
        <v>791.8557602753292</v>
      </c>
      <c r="T2">
        <f t="shared" si="0"/>
        <v>805.2206467267506</v>
      </c>
      <c r="U2">
        <f t="shared" si="0"/>
        <v>818.58553317817177</v>
      </c>
      <c r="V2">
        <f t="shared" si="0"/>
        <v>832.00039041299385</v>
      </c>
      <c r="W2">
        <f t="shared" si="0"/>
        <v>845.36527686441514</v>
      </c>
      <c r="X2">
        <f t="shared" si="0"/>
        <v>858.56246168829023</v>
      </c>
      <c r="Y2">
        <f t="shared" si="0"/>
        <v>871.46276294939082</v>
      </c>
      <c r="Z2">
        <f t="shared" si="0"/>
        <v>884.33307394935787</v>
      </c>
      <c r="AA2">
        <f t="shared" si="0"/>
        <v>897.24336547159226</v>
      </c>
      <c r="AB2">
        <f t="shared" si="0"/>
        <v>910.13366673269275</v>
      </c>
      <c r="AC2">
        <f t="shared" si="0"/>
        <v>923.03398747152619</v>
      </c>
      <c r="AD2">
        <f t="shared" si="0"/>
        <v>935.95426925489414</v>
      </c>
      <c r="AE2">
        <f t="shared" si="0"/>
        <v>948.84457051599486</v>
      </c>
      <c r="AF2">
        <f t="shared" si="0"/>
        <v>961.71488151596191</v>
      </c>
      <c r="AG2">
        <f t="shared" si="0"/>
        <v>974.60518277706251</v>
      </c>
      <c r="AH2">
        <f t="shared" si="0"/>
        <v>987.51547429929678</v>
      </c>
      <c r="AI2">
        <f t="shared" si="0"/>
        <v>1000.3957852992638</v>
      </c>
      <c r="AJ2">
        <f t="shared" si="0"/>
        <v>1013.3060865603644</v>
      </c>
      <c r="AK2">
        <f t="shared" si="0"/>
        <v>1026.2163878214649</v>
      </c>
      <c r="AL2">
        <f t="shared" si="0"/>
        <v>1039.1166793436992</v>
      </c>
      <c r="AM2">
        <f t="shared" si="0"/>
        <v>1051.9670390379979</v>
      </c>
      <c r="AN2">
        <f t="shared" si="0"/>
        <v>1064.8273889934303</v>
      </c>
      <c r="AO2">
        <f t="shared" si="0"/>
        <v>1064.8273889934303</v>
      </c>
      <c r="AP2">
        <f t="shared" si="0"/>
        <v>1064.8273889934303</v>
      </c>
      <c r="AQ2">
        <f t="shared" si="0"/>
        <v>1064.8273889934303</v>
      </c>
      <c r="AR2">
        <f t="shared" si="0"/>
        <v>1064.8273889934303</v>
      </c>
      <c r="AS2">
        <f t="shared" si="0"/>
        <v>1064.8273889934303</v>
      </c>
      <c r="AT2">
        <f t="shared" si="0"/>
        <v>1064.8273889934303</v>
      </c>
      <c r="AU2">
        <f t="shared" si="0"/>
        <v>1064.8273889934303</v>
      </c>
      <c r="AV2">
        <f t="shared" si="0"/>
        <v>1064.8273889934303</v>
      </c>
      <c r="AW2">
        <f t="shared" si="0"/>
        <v>1064.8273889934303</v>
      </c>
      <c r="AX2">
        <f t="shared" si="0"/>
        <v>1064.8273889934303</v>
      </c>
      <c r="AY2">
        <f t="shared" si="0"/>
        <v>1064.8273889934303</v>
      </c>
      <c r="AZ2">
        <f t="shared" si="0"/>
        <v>1064.8273889934303</v>
      </c>
      <c r="BA2">
        <f t="shared" si="0"/>
        <v>1064.8273889934303</v>
      </c>
      <c r="BB2">
        <f t="shared" si="0"/>
        <v>1064.8273889934303</v>
      </c>
      <c r="BC2">
        <f t="shared" si="0"/>
        <v>1064.8273889934303</v>
      </c>
      <c r="BD2">
        <f t="shared" si="0"/>
        <v>1064.8273889934303</v>
      </c>
      <c r="BE2">
        <f t="shared" si="0"/>
        <v>1064.8273889934303</v>
      </c>
      <c r="BF2">
        <f t="shared" si="0"/>
        <v>1064.8273889934303</v>
      </c>
      <c r="BG2">
        <f t="shared" si="0"/>
        <v>1064.8273889934303</v>
      </c>
      <c r="BH2">
        <f t="shared" si="0"/>
        <v>1064.8273889934303</v>
      </c>
    </row>
    <row r="3" spans="1:60" hidden="1" outlineLevel="1">
      <c r="B3" t="s">
        <v>126</v>
      </c>
      <c r="C3">
        <f>C243</f>
        <v>37.5</v>
      </c>
      <c r="D3">
        <f t="shared" ref="D3:BH3" si="1">D243</f>
        <v>36.849999999999994</v>
      </c>
      <c r="E3">
        <f t="shared" si="1"/>
        <v>36.950000000000003</v>
      </c>
      <c r="F3">
        <f t="shared" si="1"/>
        <v>41.53</v>
      </c>
      <c r="G3">
        <f t="shared" si="1"/>
        <v>41.44</v>
      </c>
      <c r="H3">
        <f t="shared" si="1"/>
        <v>40.67</v>
      </c>
      <c r="I3">
        <f t="shared" si="1"/>
        <v>40.78</v>
      </c>
      <c r="J3">
        <f t="shared" si="1"/>
        <v>51.24</v>
      </c>
      <c r="K3">
        <f t="shared" si="1"/>
        <v>49.400000000000006</v>
      </c>
      <c r="L3">
        <f t="shared" si="1"/>
        <v>50.221000000000004</v>
      </c>
      <c r="M3">
        <f t="shared" si="1"/>
        <v>51.566500000000005</v>
      </c>
      <c r="N3">
        <f t="shared" si="1"/>
        <v>52.911999999999999</v>
      </c>
      <c r="O3">
        <f t="shared" si="1"/>
        <v>54.2575</v>
      </c>
      <c r="P3">
        <f t="shared" si="1"/>
        <v>55.603000000000002</v>
      </c>
      <c r="Q3">
        <f t="shared" si="1"/>
        <v>56.948499999999996</v>
      </c>
      <c r="R3">
        <f t="shared" si="1"/>
        <v>58.294000000000004</v>
      </c>
      <c r="S3">
        <f t="shared" si="1"/>
        <v>59.639500000000005</v>
      </c>
      <c r="T3">
        <f t="shared" si="1"/>
        <v>60.984999999999999</v>
      </c>
      <c r="U3">
        <f t="shared" si="1"/>
        <v>62.360500000000002</v>
      </c>
      <c r="V3">
        <f t="shared" si="1"/>
        <v>63.736000000000004</v>
      </c>
      <c r="W3">
        <f t="shared" si="1"/>
        <v>65.111500000000007</v>
      </c>
      <c r="X3">
        <f t="shared" si="1"/>
        <v>66.486999999999995</v>
      </c>
      <c r="Y3">
        <f t="shared" si="1"/>
        <v>67.862499999999997</v>
      </c>
      <c r="Z3">
        <f t="shared" si="1"/>
        <v>69.238</v>
      </c>
      <c r="AA3">
        <f t="shared" si="1"/>
        <v>70.613500000000002</v>
      </c>
      <c r="AB3">
        <f t="shared" si="1"/>
        <v>71.989000000000004</v>
      </c>
      <c r="AC3">
        <f t="shared" si="1"/>
        <v>73.364500000000007</v>
      </c>
      <c r="AD3">
        <f t="shared" si="1"/>
        <v>74.739999999999995</v>
      </c>
      <c r="AE3">
        <f t="shared" si="1"/>
        <v>76.115499999999997</v>
      </c>
      <c r="AF3">
        <f t="shared" si="1"/>
        <v>77.491</v>
      </c>
      <c r="AG3">
        <f t="shared" si="1"/>
        <v>78.866500000000002</v>
      </c>
      <c r="AH3">
        <f t="shared" si="1"/>
        <v>80.242000000000004</v>
      </c>
      <c r="AI3">
        <f t="shared" si="1"/>
        <v>81.617500000000007</v>
      </c>
      <c r="AJ3">
        <f t="shared" si="1"/>
        <v>82.992999999999995</v>
      </c>
      <c r="AK3">
        <f t="shared" si="1"/>
        <v>84.368499999999997</v>
      </c>
      <c r="AL3">
        <f t="shared" si="1"/>
        <v>85.744</v>
      </c>
      <c r="AM3">
        <f t="shared" si="1"/>
        <v>87.119500000000002</v>
      </c>
      <c r="AN3">
        <f t="shared" si="1"/>
        <v>88.495000000000005</v>
      </c>
      <c r="AO3">
        <f t="shared" si="1"/>
        <v>88.495000000000005</v>
      </c>
      <c r="AP3">
        <f t="shared" si="1"/>
        <v>88.495000000000005</v>
      </c>
      <c r="AQ3">
        <f t="shared" si="1"/>
        <v>88.495000000000005</v>
      </c>
      <c r="AR3">
        <f t="shared" si="1"/>
        <v>88.495000000000005</v>
      </c>
      <c r="AS3">
        <f t="shared" si="1"/>
        <v>88.495000000000005</v>
      </c>
      <c r="AT3">
        <f t="shared" si="1"/>
        <v>88.495000000000005</v>
      </c>
      <c r="AU3">
        <f t="shared" si="1"/>
        <v>88.495000000000005</v>
      </c>
      <c r="AV3">
        <f t="shared" si="1"/>
        <v>88.495000000000005</v>
      </c>
      <c r="AW3">
        <f t="shared" si="1"/>
        <v>88.495000000000005</v>
      </c>
      <c r="AX3">
        <f t="shared" si="1"/>
        <v>88.495000000000005</v>
      </c>
      <c r="AY3">
        <f t="shared" si="1"/>
        <v>88.495000000000005</v>
      </c>
      <c r="AZ3">
        <f t="shared" si="1"/>
        <v>88.495000000000005</v>
      </c>
      <c r="BA3">
        <f t="shared" si="1"/>
        <v>88.495000000000005</v>
      </c>
      <c r="BB3">
        <f t="shared" si="1"/>
        <v>88.495000000000005</v>
      </c>
      <c r="BC3">
        <f t="shared" si="1"/>
        <v>88.495000000000005</v>
      </c>
      <c r="BD3">
        <f t="shared" si="1"/>
        <v>88.495000000000005</v>
      </c>
      <c r="BE3">
        <f t="shared" si="1"/>
        <v>88.495000000000005</v>
      </c>
      <c r="BF3">
        <f t="shared" si="1"/>
        <v>88.495000000000005</v>
      </c>
      <c r="BG3">
        <f t="shared" si="1"/>
        <v>88.495000000000005</v>
      </c>
      <c r="BH3">
        <f t="shared" si="1"/>
        <v>88.495000000000005</v>
      </c>
    </row>
    <row r="4" spans="1:60" hidden="1" outlineLevel="1">
      <c r="B4" t="s">
        <v>127</v>
      </c>
      <c r="C4">
        <f>C250</f>
        <v>5.4434999999999993</v>
      </c>
      <c r="D4">
        <f t="shared" ref="D4:BH4" si="2">D250</f>
        <v>5.6775000000000002</v>
      </c>
      <c r="E4">
        <f t="shared" si="2"/>
        <v>5.7164999999999999</v>
      </c>
      <c r="F4">
        <f t="shared" si="2"/>
        <v>6.0945</v>
      </c>
      <c r="G4">
        <f t="shared" si="2"/>
        <v>6.4724999999999993</v>
      </c>
      <c r="H4">
        <f t="shared" si="2"/>
        <v>6.9314999999999998</v>
      </c>
      <c r="I4">
        <f t="shared" si="2"/>
        <v>6.9314999999999998</v>
      </c>
      <c r="J4">
        <f t="shared" si="2"/>
        <v>7.0934999999999997</v>
      </c>
      <c r="K4">
        <f t="shared" si="2"/>
        <v>6.9135</v>
      </c>
      <c r="L4">
        <f t="shared" si="2"/>
        <v>7.4219999999999988</v>
      </c>
      <c r="M4">
        <f t="shared" si="2"/>
        <v>7.7565</v>
      </c>
      <c r="N4">
        <f t="shared" si="2"/>
        <v>8.0909999999999993</v>
      </c>
      <c r="O4">
        <f t="shared" si="2"/>
        <v>8.4239999999999995</v>
      </c>
      <c r="P4">
        <f t="shared" si="2"/>
        <v>8.7584999999999997</v>
      </c>
      <c r="Q4">
        <f t="shared" si="2"/>
        <v>9.093</v>
      </c>
      <c r="R4">
        <f t="shared" si="2"/>
        <v>9.4275000000000002</v>
      </c>
      <c r="S4">
        <f t="shared" si="2"/>
        <v>9.7619999999999987</v>
      </c>
      <c r="T4">
        <f t="shared" si="2"/>
        <v>10.096500000000001</v>
      </c>
      <c r="U4">
        <f t="shared" si="2"/>
        <v>10.431000000000001</v>
      </c>
      <c r="V4">
        <f t="shared" si="2"/>
        <v>10.764000000000001</v>
      </c>
      <c r="W4">
        <f t="shared" si="2"/>
        <v>11.0985</v>
      </c>
      <c r="X4">
        <f t="shared" si="2"/>
        <v>11.444999999999999</v>
      </c>
      <c r="Y4">
        <f t="shared" si="2"/>
        <v>11.808</v>
      </c>
      <c r="Z4">
        <f t="shared" si="2"/>
        <v>12.170999999999999</v>
      </c>
      <c r="AA4">
        <f t="shared" si="2"/>
        <v>12.534000000000001</v>
      </c>
      <c r="AB4">
        <f t="shared" si="2"/>
        <v>12.897</v>
      </c>
      <c r="AC4">
        <f t="shared" si="2"/>
        <v>13.26</v>
      </c>
      <c r="AD4">
        <f t="shared" si="2"/>
        <v>13.622999999999999</v>
      </c>
      <c r="AE4">
        <f t="shared" si="2"/>
        <v>13.984500000000001</v>
      </c>
      <c r="AF4">
        <f t="shared" si="2"/>
        <v>14.3475</v>
      </c>
      <c r="AG4">
        <f t="shared" si="2"/>
        <v>14.710499999999998</v>
      </c>
      <c r="AH4">
        <f t="shared" si="2"/>
        <v>15.073499999999999</v>
      </c>
      <c r="AI4">
        <f t="shared" si="2"/>
        <v>15.436499999999999</v>
      </c>
      <c r="AJ4">
        <f t="shared" si="2"/>
        <v>15.799499999999998</v>
      </c>
      <c r="AK4">
        <f t="shared" si="2"/>
        <v>16.162499999999998</v>
      </c>
      <c r="AL4">
        <f t="shared" si="2"/>
        <v>16.525500000000001</v>
      </c>
      <c r="AM4">
        <f t="shared" si="2"/>
        <v>16.888500000000001</v>
      </c>
      <c r="AN4">
        <f t="shared" si="2"/>
        <v>17.2515</v>
      </c>
      <c r="AO4">
        <f t="shared" si="2"/>
        <v>17.2515</v>
      </c>
      <c r="AP4">
        <f t="shared" si="2"/>
        <v>17.2515</v>
      </c>
      <c r="AQ4">
        <f t="shared" si="2"/>
        <v>17.2515</v>
      </c>
      <c r="AR4">
        <f t="shared" si="2"/>
        <v>17.2515</v>
      </c>
      <c r="AS4">
        <f t="shared" si="2"/>
        <v>17.2515</v>
      </c>
      <c r="AT4">
        <f t="shared" si="2"/>
        <v>17.2515</v>
      </c>
      <c r="AU4">
        <f t="shared" si="2"/>
        <v>17.2515</v>
      </c>
      <c r="AV4">
        <f t="shared" si="2"/>
        <v>17.2515</v>
      </c>
      <c r="AW4">
        <f t="shared" si="2"/>
        <v>17.2515</v>
      </c>
      <c r="AX4">
        <f t="shared" si="2"/>
        <v>17.2515</v>
      </c>
      <c r="AY4">
        <f t="shared" si="2"/>
        <v>17.2515</v>
      </c>
      <c r="AZ4">
        <f t="shared" si="2"/>
        <v>17.2515</v>
      </c>
      <c r="BA4">
        <f t="shared" si="2"/>
        <v>17.2515</v>
      </c>
      <c r="BB4">
        <f t="shared" si="2"/>
        <v>17.2515</v>
      </c>
      <c r="BC4">
        <f t="shared" si="2"/>
        <v>17.2515</v>
      </c>
      <c r="BD4">
        <f t="shared" si="2"/>
        <v>17.2515</v>
      </c>
      <c r="BE4">
        <f t="shared" si="2"/>
        <v>17.2515</v>
      </c>
      <c r="BF4">
        <f t="shared" si="2"/>
        <v>17.2515</v>
      </c>
      <c r="BG4">
        <f t="shared" si="2"/>
        <v>17.2515</v>
      </c>
      <c r="BH4">
        <f t="shared" si="2"/>
        <v>17.2515</v>
      </c>
    </row>
    <row r="5" spans="1:60" hidden="1" outlineLevel="1">
      <c r="B5" t="s">
        <v>128</v>
      </c>
    </row>
    <row r="6" spans="1:60" hidden="1" outlineLevel="1">
      <c r="B6" t="s">
        <v>129</v>
      </c>
      <c r="C6">
        <f>C257</f>
        <v>30.846499999999999</v>
      </c>
      <c r="D6">
        <f t="shared" ref="D6:BH6" si="3">D257</f>
        <v>32.172499999999999</v>
      </c>
      <c r="E6">
        <f t="shared" si="3"/>
        <v>32.393499999999996</v>
      </c>
      <c r="F6">
        <f t="shared" si="3"/>
        <v>34.535499999999999</v>
      </c>
      <c r="G6">
        <f t="shared" si="3"/>
        <v>36.677499999999995</v>
      </c>
      <c r="H6">
        <f t="shared" si="3"/>
        <v>39.278500000000001</v>
      </c>
      <c r="I6">
        <f t="shared" si="3"/>
        <v>39.278500000000001</v>
      </c>
      <c r="J6">
        <f t="shared" si="3"/>
        <v>40.1965</v>
      </c>
      <c r="K6">
        <f t="shared" si="3"/>
        <v>39.176500000000004</v>
      </c>
      <c r="L6">
        <f t="shared" si="3"/>
        <v>42.057999999999993</v>
      </c>
      <c r="M6">
        <f t="shared" si="3"/>
        <v>43.953499999999998</v>
      </c>
      <c r="N6">
        <f t="shared" si="3"/>
        <v>45.848999999999997</v>
      </c>
      <c r="O6">
        <f t="shared" si="3"/>
        <v>47.735999999999997</v>
      </c>
      <c r="P6">
        <f t="shared" si="3"/>
        <v>49.631500000000003</v>
      </c>
      <c r="Q6">
        <f t="shared" si="3"/>
        <v>51.526999999999994</v>
      </c>
      <c r="R6">
        <f t="shared" si="3"/>
        <v>53.422499999999999</v>
      </c>
      <c r="S6">
        <f t="shared" si="3"/>
        <v>55.317999999999998</v>
      </c>
      <c r="T6">
        <f t="shared" si="3"/>
        <v>57.213500000000003</v>
      </c>
      <c r="U6">
        <f t="shared" si="3"/>
        <v>59.109000000000002</v>
      </c>
      <c r="V6">
        <f t="shared" si="3"/>
        <v>60.996000000000002</v>
      </c>
      <c r="W6">
        <f t="shared" si="3"/>
        <v>62.891499999999994</v>
      </c>
      <c r="X6">
        <f t="shared" si="3"/>
        <v>64.85499999999999</v>
      </c>
      <c r="Y6">
        <f t="shared" si="3"/>
        <v>66.911999999999992</v>
      </c>
      <c r="Z6">
        <f t="shared" si="3"/>
        <v>68.968999999999994</v>
      </c>
      <c r="AA6">
        <f t="shared" si="3"/>
        <v>71.025999999999996</v>
      </c>
      <c r="AB6">
        <f t="shared" si="3"/>
        <v>73.082999999999998</v>
      </c>
      <c r="AC6">
        <f t="shared" si="3"/>
        <v>75.14</v>
      </c>
      <c r="AD6">
        <f t="shared" si="3"/>
        <v>77.196999999999989</v>
      </c>
      <c r="AE6">
        <f t="shared" si="3"/>
        <v>79.245500000000007</v>
      </c>
      <c r="AF6">
        <f t="shared" si="3"/>
        <v>81.302500000000009</v>
      </c>
      <c r="AG6">
        <f t="shared" si="3"/>
        <v>83.359499999999997</v>
      </c>
      <c r="AH6">
        <f t="shared" si="3"/>
        <v>85.416499999999999</v>
      </c>
      <c r="AI6">
        <f t="shared" si="3"/>
        <v>87.473500000000001</v>
      </c>
      <c r="AJ6">
        <f t="shared" si="3"/>
        <v>89.530499999999989</v>
      </c>
      <c r="AK6">
        <f t="shared" si="3"/>
        <v>91.587499999999991</v>
      </c>
      <c r="AL6">
        <f t="shared" si="3"/>
        <v>93.644499999999994</v>
      </c>
      <c r="AM6">
        <f t="shared" si="3"/>
        <v>95.701499999999996</v>
      </c>
      <c r="AN6">
        <f t="shared" si="3"/>
        <v>97.758499999999998</v>
      </c>
      <c r="AO6">
        <f t="shared" si="3"/>
        <v>97.758499999999998</v>
      </c>
      <c r="AP6">
        <f t="shared" si="3"/>
        <v>97.758499999999998</v>
      </c>
      <c r="AQ6">
        <f t="shared" si="3"/>
        <v>97.758499999999998</v>
      </c>
      <c r="AR6">
        <f t="shared" si="3"/>
        <v>97.758499999999998</v>
      </c>
      <c r="AS6">
        <f t="shared" si="3"/>
        <v>97.758499999999998</v>
      </c>
      <c r="AT6">
        <f t="shared" si="3"/>
        <v>97.758499999999998</v>
      </c>
      <c r="AU6">
        <f t="shared" si="3"/>
        <v>97.758499999999998</v>
      </c>
      <c r="AV6">
        <f t="shared" si="3"/>
        <v>97.758499999999998</v>
      </c>
      <c r="AW6">
        <f t="shared" si="3"/>
        <v>97.758499999999998</v>
      </c>
      <c r="AX6">
        <f t="shared" si="3"/>
        <v>97.758499999999998</v>
      </c>
      <c r="AY6">
        <f t="shared" si="3"/>
        <v>97.758499999999998</v>
      </c>
      <c r="AZ6">
        <f t="shared" si="3"/>
        <v>97.758499999999998</v>
      </c>
      <c r="BA6">
        <f t="shared" si="3"/>
        <v>97.758499999999998</v>
      </c>
      <c r="BB6">
        <f t="shared" si="3"/>
        <v>97.758499999999998</v>
      </c>
      <c r="BC6">
        <f t="shared" si="3"/>
        <v>97.758499999999998</v>
      </c>
      <c r="BD6">
        <f t="shared" si="3"/>
        <v>97.758499999999998</v>
      </c>
      <c r="BE6">
        <f t="shared" si="3"/>
        <v>97.758499999999998</v>
      </c>
      <c r="BF6">
        <f t="shared" si="3"/>
        <v>97.758499999999998</v>
      </c>
      <c r="BG6">
        <f t="shared" si="3"/>
        <v>97.758499999999998</v>
      </c>
      <c r="BH6">
        <f t="shared" si="3"/>
        <v>97.758499999999998</v>
      </c>
    </row>
    <row r="7" spans="1:60" hidden="1" outlineLevel="1">
      <c r="B7" t="s">
        <v>130</v>
      </c>
      <c r="C7">
        <f>C262</f>
        <v>11.620000000000001</v>
      </c>
      <c r="D7">
        <f t="shared" ref="D7:BH7" si="4">D262</f>
        <v>10.719999999999999</v>
      </c>
      <c r="E7">
        <f t="shared" si="4"/>
        <v>11.069999999999999</v>
      </c>
      <c r="F7">
        <f t="shared" si="4"/>
        <v>12.019999999999998</v>
      </c>
      <c r="G7">
        <f t="shared" si="4"/>
        <v>12.120000000000001</v>
      </c>
      <c r="H7">
        <f t="shared" si="4"/>
        <v>12.339999999999998</v>
      </c>
      <c r="I7">
        <f t="shared" si="4"/>
        <v>12.85</v>
      </c>
      <c r="J7">
        <f t="shared" si="4"/>
        <v>12.370000000000001</v>
      </c>
      <c r="K7">
        <f t="shared" si="4"/>
        <v>12.82</v>
      </c>
      <c r="L7">
        <f t="shared" si="4"/>
        <v>13.36</v>
      </c>
      <c r="M7">
        <f t="shared" si="4"/>
        <v>13.66</v>
      </c>
      <c r="N7">
        <f t="shared" si="4"/>
        <v>13.979999999999999</v>
      </c>
      <c r="O7">
        <f t="shared" si="4"/>
        <v>14.28</v>
      </c>
      <c r="P7">
        <f t="shared" si="4"/>
        <v>14.58</v>
      </c>
      <c r="Q7">
        <f t="shared" si="4"/>
        <v>14.899999999999999</v>
      </c>
      <c r="R7">
        <f t="shared" si="4"/>
        <v>15.2</v>
      </c>
      <c r="S7">
        <f t="shared" si="4"/>
        <v>15.509999999999998</v>
      </c>
      <c r="T7">
        <f t="shared" si="4"/>
        <v>15.82</v>
      </c>
      <c r="U7">
        <f t="shared" si="4"/>
        <v>16.12</v>
      </c>
      <c r="V7">
        <f t="shared" si="4"/>
        <v>16.43</v>
      </c>
      <c r="W7">
        <f t="shared" si="4"/>
        <v>16.730000000000004</v>
      </c>
      <c r="X7">
        <f t="shared" si="4"/>
        <v>17.049999999999997</v>
      </c>
      <c r="Y7">
        <f t="shared" si="4"/>
        <v>17.36</v>
      </c>
      <c r="Z7">
        <f t="shared" si="4"/>
        <v>17.649999999999999</v>
      </c>
      <c r="AA7">
        <f t="shared" si="4"/>
        <v>17.96</v>
      </c>
      <c r="AB7">
        <f t="shared" si="4"/>
        <v>18.27</v>
      </c>
      <c r="AC7">
        <f t="shared" si="4"/>
        <v>18.570000000000004</v>
      </c>
      <c r="AD7">
        <f t="shared" si="4"/>
        <v>18.889999999999997</v>
      </c>
      <c r="AE7">
        <f t="shared" si="4"/>
        <v>19.2</v>
      </c>
      <c r="AF7">
        <f t="shared" si="4"/>
        <v>19.499999999999996</v>
      </c>
      <c r="AG7">
        <f t="shared" si="4"/>
        <v>19.8</v>
      </c>
      <c r="AH7">
        <f t="shared" si="4"/>
        <v>20.11</v>
      </c>
      <c r="AI7">
        <f t="shared" si="4"/>
        <v>20.41</v>
      </c>
      <c r="AJ7">
        <f t="shared" si="4"/>
        <v>20.72</v>
      </c>
      <c r="AK7">
        <f t="shared" si="4"/>
        <v>21.04</v>
      </c>
      <c r="AL7">
        <f t="shared" si="4"/>
        <v>21.34</v>
      </c>
      <c r="AM7">
        <f t="shared" si="4"/>
        <v>21.639999999999997</v>
      </c>
      <c r="AN7">
        <f t="shared" si="4"/>
        <v>21.96</v>
      </c>
      <c r="AO7">
        <f t="shared" si="4"/>
        <v>21.96</v>
      </c>
      <c r="AP7">
        <f t="shared" si="4"/>
        <v>21.96</v>
      </c>
      <c r="AQ7">
        <f t="shared" si="4"/>
        <v>21.96</v>
      </c>
      <c r="AR7">
        <f t="shared" si="4"/>
        <v>21.96</v>
      </c>
      <c r="AS7">
        <f t="shared" si="4"/>
        <v>21.96</v>
      </c>
      <c r="AT7">
        <f t="shared" si="4"/>
        <v>21.96</v>
      </c>
      <c r="AU7">
        <f t="shared" si="4"/>
        <v>21.96</v>
      </c>
      <c r="AV7">
        <f t="shared" si="4"/>
        <v>21.96</v>
      </c>
      <c r="AW7">
        <f t="shared" si="4"/>
        <v>21.96</v>
      </c>
      <c r="AX7">
        <f t="shared" si="4"/>
        <v>21.96</v>
      </c>
      <c r="AY7">
        <f t="shared" si="4"/>
        <v>21.96</v>
      </c>
      <c r="AZ7">
        <f t="shared" si="4"/>
        <v>21.96</v>
      </c>
      <c r="BA7">
        <f t="shared" si="4"/>
        <v>21.96</v>
      </c>
      <c r="BB7">
        <f t="shared" si="4"/>
        <v>21.96</v>
      </c>
      <c r="BC7">
        <f t="shared" si="4"/>
        <v>21.96</v>
      </c>
      <c r="BD7">
        <f t="shared" si="4"/>
        <v>21.96</v>
      </c>
      <c r="BE7">
        <f t="shared" si="4"/>
        <v>21.96</v>
      </c>
      <c r="BF7">
        <f t="shared" si="4"/>
        <v>21.96</v>
      </c>
      <c r="BG7">
        <f t="shared" si="4"/>
        <v>21.96</v>
      </c>
      <c r="BH7">
        <f t="shared" si="4"/>
        <v>21.96</v>
      </c>
    </row>
    <row r="8" spans="1:60" hidden="1" outlineLevel="1">
      <c r="B8" t="s">
        <v>131</v>
      </c>
      <c r="C8">
        <f>C271</f>
        <v>3.81</v>
      </c>
      <c r="D8">
        <f t="shared" ref="D8:BH8" si="5">D271</f>
        <v>3.78</v>
      </c>
      <c r="E8">
        <f t="shared" si="5"/>
        <v>3.99</v>
      </c>
      <c r="F8">
        <f t="shared" si="5"/>
        <v>4</v>
      </c>
      <c r="G8">
        <f t="shared" si="5"/>
        <v>3.91</v>
      </c>
      <c r="H8">
        <f t="shared" si="5"/>
        <v>4.01</v>
      </c>
      <c r="I8">
        <f t="shared" si="5"/>
        <v>3.78</v>
      </c>
      <c r="J8">
        <f t="shared" si="5"/>
        <v>2.69</v>
      </c>
      <c r="K8">
        <f t="shared" si="5"/>
        <v>3.58</v>
      </c>
      <c r="L8">
        <f t="shared" si="5"/>
        <v>0.45</v>
      </c>
      <c r="M8">
        <f t="shared" si="5"/>
        <v>3.45</v>
      </c>
      <c r="N8">
        <f t="shared" si="5"/>
        <v>3.4536446469248299</v>
      </c>
      <c r="O8">
        <f t="shared" si="5"/>
        <v>3.4572323462414585</v>
      </c>
      <c r="P8">
        <f t="shared" si="5"/>
        <v>3.4609339407744879</v>
      </c>
      <c r="Q8">
        <f t="shared" si="5"/>
        <v>3.4645785876993171</v>
      </c>
      <c r="R8">
        <f t="shared" si="5"/>
        <v>3.4681662870159462</v>
      </c>
      <c r="S8">
        <f t="shared" si="5"/>
        <v>3.4718678815489765</v>
      </c>
      <c r="T8">
        <f t="shared" si="5"/>
        <v>3.4754555808656047</v>
      </c>
      <c r="U8">
        <f t="shared" si="5"/>
        <v>3.4790432801822333</v>
      </c>
      <c r="V8">
        <f t="shared" si="5"/>
        <v>3.4828018223234638</v>
      </c>
      <c r="W8">
        <f t="shared" si="5"/>
        <v>3.4863895216400929</v>
      </c>
      <c r="X8">
        <f t="shared" si="5"/>
        <v>3.476537585421414</v>
      </c>
      <c r="Y8">
        <f t="shared" si="5"/>
        <v>3.4484624145785894</v>
      </c>
      <c r="Z8">
        <f t="shared" si="5"/>
        <v>3.4203302961275646</v>
      </c>
      <c r="AA8">
        <f t="shared" si="5"/>
        <v>3.3923120728929406</v>
      </c>
      <c r="AB8">
        <f t="shared" si="5"/>
        <v>3.3642369020501155</v>
      </c>
      <c r="AC8">
        <f t="shared" si="5"/>
        <v>3.3360478359908905</v>
      </c>
      <c r="AD8">
        <f t="shared" si="5"/>
        <v>3.3080865603644662</v>
      </c>
      <c r="AE8">
        <f t="shared" si="5"/>
        <v>3.2800113895216416</v>
      </c>
      <c r="AF8">
        <f t="shared" si="5"/>
        <v>3.2518792710706164</v>
      </c>
      <c r="AG8">
        <f t="shared" si="5"/>
        <v>3.2238041002277922</v>
      </c>
      <c r="AH8">
        <f t="shared" si="5"/>
        <v>3.1957858769931673</v>
      </c>
      <c r="AI8">
        <f t="shared" si="5"/>
        <v>3.1676537585421425</v>
      </c>
      <c r="AJ8">
        <f t="shared" si="5"/>
        <v>3.1395785876993174</v>
      </c>
      <c r="AK8">
        <f t="shared" si="5"/>
        <v>3.1115034168564932</v>
      </c>
      <c r="AL8">
        <f t="shared" si="5"/>
        <v>3.0834851936218692</v>
      </c>
      <c r="AM8">
        <f t="shared" si="5"/>
        <v>3.0550683371298422</v>
      </c>
      <c r="AN8">
        <f t="shared" si="5"/>
        <v>3.0267084282460153</v>
      </c>
      <c r="AO8">
        <f t="shared" si="5"/>
        <v>3.0267084282460153</v>
      </c>
      <c r="AP8">
        <f t="shared" si="5"/>
        <v>3.0267084282460153</v>
      </c>
      <c r="AQ8">
        <f t="shared" si="5"/>
        <v>3.0267084282460153</v>
      </c>
      <c r="AR8">
        <f t="shared" si="5"/>
        <v>3.0267084282460153</v>
      </c>
      <c r="AS8">
        <f t="shared" si="5"/>
        <v>3.0267084282460153</v>
      </c>
      <c r="AT8">
        <f t="shared" si="5"/>
        <v>3.0267084282460153</v>
      </c>
      <c r="AU8">
        <f t="shared" si="5"/>
        <v>3.0267084282460153</v>
      </c>
      <c r="AV8">
        <f t="shared" si="5"/>
        <v>3.0267084282460153</v>
      </c>
      <c r="AW8">
        <f t="shared" si="5"/>
        <v>3.0267084282460153</v>
      </c>
      <c r="AX8">
        <f t="shared" si="5"/>
        <v>3.0267084282460153</v>
      </c>
      <c r="AY8">
        <f t="shared" si="5"/>
        <v>3.0267084282460153</v>
      </c>
      <c r="AZ8">
        <f t="shared" si="5"/>
        <v>3.0267084282460153</v>
      </c>
      <c r="BA8">
        <f t="shared" si="5"/>
        <v>3.0267084282460153</v>
      </c>
      <c r="BB8">
        <f t="shared" si="5"/>
        <v>3.0267084282460153</v>
      </c>
      <c r="BC8">
        <f t="shared" si="5"/>
        <v>3.0267084282460153</v>
      </c>
      <c r="BD8">
        <f t="shared" si="5"/>
        <v>3.0267084282460153</v>
      </c>
      <c r="BE8">
        <f t="shared" si="5"/>
        <v>3.0267084282460153</v>
      </c>
      <c r="BF8">
        <f t="shared" si="5"/>
        <v>3.0267084282460153</v>
      </c>
      <c r="BG8">
        <f t="shared" si="5"/>
        <v>3.0267084282460153</v>
      </c>
      <c r="BH8">
        <f t="shared" si="5"/>
        <v>3.0267084282460153</v>
      </c>
    </row>
    <row r="9" spans="1:60" hidden="1" outlineLevel="1">
      <c r="B9" t="s">
        <v>132</v>
      </c>
    </row>
    <row r="10" spans="1:60" hidden="1" outlineLevel="1">
      <c r="B10" t="s">
        <v>133</v>
      </c>
      <c r="C10">
        <f>C278</f>
        <v>10.3</v>
      </c>
      <c r="D10">
        <f t="shared" ref="D10:BH10" si="6">D278</f>
        <v>10.96</v>
      </c>
      <c r="E10">
        <f t="shared" si="6"/>
        <v>10.9</v>
      </c>
      <c r="F10">
        <f t="shared" si="6"/>
        <v>11.93</v>
      </c>
      <c r="G10">
        <f t="shared" si="6"/>
        <v>11.58</v>
      </c>
      <c r="H10">
        <f t="shared" si="6"/>
        <v>11.85</v>
      </c>
      <c r="I10">
        <f t="shared" si="6"/>
        <v>12.28</v>
      </c>
      <c r="J10">
        <f t="shared" si="6"/>
        <v>11.6</v>
      </c>
      <c r="K10">
        <f t="shared" si="6"/>
        <v>12.25</v>
      </c>
      <c r="L10">
        <f t="shared" si="6"/>
        <v>16.84</v>
      </c>
      <c r="M10">
        <f t="shared" si="6"/>
        <v>17.82</v>
      </c>
      <c r="N10">
        <f t="shared" si="6"/>
        <v>18.79</v>
      </c>
      <c r="O10">
        <f t="shared" si="6"/>
        <v>19.77</v>
      </c>
      <c r="P10">
        <f t="shared" si="6"/>
        <v>20.74</v>
      </c>
      <c r="Q10">
        <f t="shared" si="6"/>
        <v>21.72</v>
      </c>
      <c r="R10">
        <f t="shared" si="6"/>
        <v>22.69</v>
      </c>
      <c r="S10">
        <f t="shared" si="6"/>
        <v>23.67</v>
      </c>
      <c r="T10">
        <f t="shared" si="6"/>
        <v>24.65</v>
      </c>
      <c r="U10">
        <f t="shared" si="6"/>
        <v>25.62</v>
      </c>
      <c r="V10">
        <f t="shared" si="6"/>
        <v>26.6</v>
      </c>
      <c r="W10">
        <f t="shared" si="6"/>
        <v>27.57</v>
      </c>
      <c r="X10">
        <f t="shared" si="6"/>
        <v>28.76</v>
      </c>
      <c r="Y10">
        <f t="shared" si="6"/>
        <v>30.21</v>
      </c>
      <c r="Z10">
        <f t="shared" si="6"/>
        <v>31.67</v>
      </c>
      <c r="AA10">
        <f t="shared" si="6"/>
        <v>33.130000000000003</v>
      </c>
      <c r="AB10">
        <f t="shared" si="6"/>
        <v>34.58</v>
      </c>
      <c r="AC10">
        <f t="shared" si="6"/>
        <v>36.04</v>
      </c>
      <c r="AD10">
        <f t="shared" si="6"/>
        <v>37.5</v>
      </c>
      <c r="AE10">
        <f t="shared" si="6"/>
        <v>38.96</v>
      </c>
      <c r="AF10">
        <f t="shared" si="6"/>
        <v>40.409999999999997</v>
      </c>
      <c r="AG10">
        <f t="shared" si="6"/>
        <v>41.87</v>
      </c>
      <c r="AH10">
        <f t="shared" si="6"/>
        <v>43.33</v>
      </c>
      <c r="AI10">
        <f t="shared" si="6"/>
        <v>44.79</v>
      </c>
      <c r="AJ10">
        <f t="shared" si="6"/>
        <v>46.24</v>
      </c>
      <c r="AK10">
        <f t="shared" si="6"/>
        <v>47.7</v>
      </c>
      <c r="AL10">
        <f t="shared" si="6"/>
        <v>49.16</v>
      </c>
      <c r="AM10">
        <f t="shared" si="6"/>
        <v>50.62</v>
      </c>
      <c r="AN10">
        <f t="shared" si="6"/>
        <v>52.07</v>
      </c>
      <c r="AO10">
        <f t="shared" si="6"/>
        <v>52.07</v>
      </c>
      <c r="AP10">
        <f t="shared" si="6"/>
        <v>52.07</v>
      </c>
      <c r="AQ10">
        <f t="shared" si="6"/>
        <v>52.07</v>
      </c>
      <c r="AR10">
        <f t="shared" si="6"/>
        <v>52.07</v>
      </c>
      <c r="AS10">
        <f t="shared" si="6"/>
        <v>52.07</v>
      </c>
      <c r="AT10">
        <f t="shared" si="6"/>
        <v>52.07</v>
      </c>
      <c r="AU10">
        <f t="shared" si="6"/>
        <v>52.07</v>
      </c>
      <c r="AV10">
        <f t="shared" si="6"/>
        <v>52.07</v>
      </c>
      <c r="AW10">
        <f t="shared" si="6"/>
        <v>52.07</v>
      </c>
      <c r="AX10">
        <f t="shared" si="6"/>
        <v>52.07</v>
      </c>
      <c r="AY10">
        <f t="shared" si="6"/>
        <v>52.07</v>
      </c>
      <c r="AZ10">
        <f t="shared" si="6"/>
        <v>52.07</v>
      </c>
      <c r="BA10">
        <f t="shared" si="6"/>
        <v>52.07</v>
      </c>
      <c r="BB10">
        <f t="shared" si="6"/>
        <v>52.07</v>
      </c>
      <c r="BC10">
        <f t="shared" si="6"/>
        <v>52.07</v>
      </c>
      <c r="BD10">
        <f t="shared" si="6"/>
        <v>52.07</v>
      </c>
      <c r="BE10">
        <f t="shared" si="6"/>
        <v>52.07</v>
      </c>
      <c r="BF10">
        <f t="shared" si="6"/>
        <v>52.07</v>
      </c>
      <c r="BG10">
        <f t="shared" si="6"/>
        <v>52.07</v>
      </c>
      <c r="BH10">
        <f t="shared" si="6"/>
        <v>52.07</v>
      </c>
    </row>
    <row r="11" spans="1:60" hidden="1" outlineLevel="1">
      <c r="B11" t="s">
        <v>134</v>
      </c>
    </row>
    <row r="12" spans="1:60" hidden="1" outlineLevel="1">
      <c r="B12" t="s">
        <v>135</v>
      </c>
      <c r="C12">
        <f>C287</f>
        <v>17.12</v>
      </c>
      <c r="D12">
        <f t="shared" ref="D12:BH12" si="7">D287</f>
        <v>17.059999999999999</v>
      </c>
      <c r="E12">
        <f t="shared" si="7"/>
        <v>16.68</v>
      </c>
      <c r="F12">
        <f t="shared" si="7"/>
        <v>16.86</v>
      </c>
      <c r="G12">
        <f t="shared" si="7"/>
        <v>15.8</v>
      </c>
      <c r="H12">
        <f t="shared" si="7"/>
        <v>15.52</v>
      </c>
      <c r="I12">
        <f t="shared" si="7"/>
        <v>14.79</v>
      </c>
      <c r="J12">
        <f t="shared" si="7"/>
        <v>13.95</v>
      </c>
      <c r="K12">
        <f t="shared" si="7"/>
        <v>14.75</v>
      </c>
      <c r="L12">
        <f t="shared" si="7"/>
        <v>11.09</v>
      </c>
      <c r="M12">
        <f t="shared" si="7"/>
        <v>12.93</v>
      </c>
      <c r="N12">
        <f t="shared" si="7"/>
        <v>14.78</v>
      </c>
      <c r="O12">
        <f t="shared" si="7"/>
        <v>16.63</v>
      </c>
      <c r="P12">
        <f t="shared" si="7"/>
        <v>18.47</v>
      </c>
      <c r="Q12">
        <f t="shared" si="7"/>
        <v>20.32</v>
      </c>
      <c r="R12">
        <f t="shared" si="7"/>
        <v>22.16</v>
      </c>
      <c r="S12">
        <f t="shared" si="7"/>
        <v>24.01</v>
      </c>
      <c r="T12">
        <f t="shared" si="7"/>
        <v>25.85</v>
      </c>
      <c r="U12">
        <f t="shared" si="7"/>
        <v>27.7</v>
      </c>
      <c r="V12">
        <f t="shared" si="7"/>
        <v>29.55</v>
      </c>
      <c r="W12">
        <f t="shared" si="7"/>
        <v>31.39</v>
      </c>
      <c r="X12">
        <f t="shared" si="7"/>
        <v>33.78</v>
      </c>
      <c r="Y12">
        <f t="shared" si="7"/>
        <v>36.880000000000003</v>
      </c>
      <c r="Z12">
        <f t="shared" si="7"/>
        <v>39.99</v>
      </c>
      <c r="AA12">
        <f t="shared" si="7"/>
        <v>43.09</v>
      </c>
      <c r="AB12">
        <f t="shared" si="7"/>
        <v>46.2</v>
      </c>
      <c r="AC12">
        <f t="shared" si="7"/>
        <v>49.31</v>
      </c>
      <c r="AD12">
        <f t="shared" si="7"/>
        <v>52.41</v>
      </c>
      <c r="AE12">
        <f t="shared" si="7"/>
        <v>55.52</v>
      </c>
      <c r="AF12">
        <f t="shared" si="7"/>
        <v>58.62</v>
      </c>
      <c r="AG12">
        <f t="shared" si="7"/>
        <v>61.73</v>
      </c>
      <c r="AH12">
        <f t="shared" si="7"/>
        <v>64.83</v>
      </c>
      <c r="AI12">
        <f t="shared" si="7"/>
        <v>67.94</v>
      </c>
      <c r="AJ12">
        <f t="shared" si="7"/>
        <v>71.05</v>
      </c>
      <c r="AK12">
        <f t="shared" si="7"/>
        <v>74.150000000000006</v>
      </c>
      <c r="AL12">
        <f t="shared" si="7"/>
        <v>77.260000000000005</v>
      </c>
      <c r="AM12">
        <f t="shared" si="7"/>
        <v>80.37</v>
      </c>
      <c r="AN12">
        <f t="shared" si="7"/>
        <v>83.48</v>
      </c>
      <c r="AO12">
        <f t="shared" si="7"/>
        <v>83.48</v>
      </c>
      <c r="AP12">
        <f t="shared" si="7"/>
        <v>83.48</v>
      </c>
      <c r="AQ12">
        <f t="shared" si="7"/>
        <v>83.48</v>
      </c>
      <c r="AR12">
        <f t="shared" si="7"/>
        <v>83.48</v>
      </c>
      <c r="AS12">
        <f t="shared" si="7"/>
        <v>83.48</v>
      </c>
      <c r="AT12">
        <f t="shared" si="7"/>
        <v>83.48</v>
      </c>
      <c r="AU12">
        <f t="shared" si="7"/>
        <v>83.48</v>
      </c>
      <c r="AV12">
        <f t="shared" si="7"/>
        <v>83.48</v>
      </c>
      <c r="AW12">
        <f t="shared" si="7"/>
        <v>83.48</v>
      </c>
      <c r="AX12">
        <f t="shared" si="7"/>
        <v>83.48</v>
      </c>
      <c r="AY12">
        <f t="shared" si="7"/>
        <v>83.48</v>
      </c>
      <c r="AZ12">
        <f t="shared" si="7"/>
        <v>83.48</v>
      </c>
      <c r="BA12">
        <f t="shared" si="7"/>
        <v>83.48</v>
      </c>
      <c r="BB12">
        <f t="shared" si="7"/>
        <v>83.48</v>
      </c>
      <c r="BC12">
        <f t="shared" si="7"/>
        <v>83.48</v>
      </c>
      <c r="BD12">
        <f t="shared" si="7"/>
        <v>83.48</v>
      </c>
      <c r="BE12">
        <f t="shared" si="7"/>
        <v>83.48</v>
      </c>
      <c r="BF12">
        <f t="shared" si="7"/>
        <v>83.48</v>
      </c>
      <c r="BG12">
        <f t="shared" si="7"/>
        <v>83.48</v>
      </c>
      <c r="BH12">
        <f t="shared" si="7"/>
        <v>83.48</v>
      </c>
    </row>
    <row r="13" spans="1:60" hidden="1" outlineLevel="1">
      <c r="B13" t="s">
        <v>136</v>
      </c>
      <c r="C13">
        <f>C293</f>
        <v>1.65</v>
      </c>
      <c r="D13">
        <f t="shared" ref="D13:BH13" si="8">D293</f>
        <v>1.73</v>
      </c>
      <c r="E13">
        <f t="shared" si="8"/>
        <v>1.82</v>
      </c>
      <c r="F13">
        <f t="shared" si="8"/>
        <v>1.95</v>
      </c>
      <c r="G13">
        <f t="shared" si="8"/>
        <v>1.79</v>
      </c>
      <c r="H13">
        <f t="shared" si="8"/>
        <v>1.81</v>
      </c>
      <c r="I13">
        <f t="shared" si="8"/>
        <v>1.65</v>
      </c>
      <c r="J13">
        <f t="shared" si="8"/>
        <v>1.73</v>
      </c>
      <c r="K13">
        <f t="shared" si="8"/>
        <v>1.65</v>
      </c>
      <c r="L13">
        <f t="shared" si="8"/>
        <v>1.67</v>
      </c>
      <c r="M13">
        <f t="shared" si="8"/>
        <v>1.7</v>
      </c>
      <c r="N13">
        <f t="shared" si="8"/>
        <v>1.73</v>
      </c>
      <c r="O13">
        <f t="shared" si="8"/>
        <v>1.76</v>
      </c>
      <c r="P13">
        <f t="shared" si="8"/>
        <v>1.79</v>
      </c>
      <c r="Q13">
        <f t="shared" si="8"/>
        <v>1.82</v>
      </c>
      <c r="R13">
        <f t="shared" si="8"/>
        <v>1.85</v>
      </c>
      <c r="S13">
        <f t="shared" si="8"/>
        <v>1.88</v>
      </c>
      <c r="T13">
        <f t="shared" si="8"/>
        <v>1.91</v>
      </c>
      <c r="U13">
        <f t="shared" si="8"/>
        <v>1.94</v>
      </c>
      <c r="V13">
        <f t="shared" si="8"/>
        <v>1.97</v>
      </c>
      <c r="W13">
        <f t="shared" si="8"/>
        <v>2</v>
      </c>
      <c r="X13">
        <f t="shared" si="8"/>
        <v>2.0299999999999998</v>
      </c>
      <c r="Y13">
        <f t="shared" si="8"/>
        <v>2.06</v>
      </c>
      <c r="Z13">
        <f t="shared" si="8"/>
        <v>2.09</v>
      </c>
      <c r="AA13">
        <f t="shared" si="8"/>
        <v>2.12</v>
      </c>
      <c r="AB13">
        <f t="shared" si="8"/>
        <v>2.15</v>
      </c>
      <c r="AC13">
        <f t="shared" si="8"/>
        <v>2.1800000000000002</v>
      </c>
      <c r="AD13">
        <f t="shared" si="8"/>
        <v>2.21</v>
      </c>
      <c r="AE13">
        <f t="shared" si="8"/>
        <v>2.2400000000000002</v>
      </c>
      <c r="AF13">
        <f t="shared" si="8"/>
        <v>2.27</v>
      </c>
      <c r="AG13">
        <f t="shared" si="8"/>
        <v>2.2999999999999998</v>
      </c>
      <c r="AH13">
        <f t="shared" si="8"/>
        <v>2.33</v>
      </c>
      <c r="AI13">
        <f t="shared" si="8"/>
        <v>2.36</v>
      </c>
      <c r="AJ13">
        <f t="shared" si="8"/>
        <v>2.39</v>
      </c>
      <c r="AK13">
        <f t="shared" si="8"/>
        <v>2.42</v>
      </c>
      <c r="AL13">
        <f t="shared" si="8"/>
        <v>2.4500000000000002</v>
      </c>
      <c r="AM13">
        <f t="shared" si="8"/>
        <v>2.48</v>
      </c>
      <c r="AN13">
        <f t="shared" si="8"/>
        <v>2.5099999999999998</v>
      </c>
      <c r="AO13">
        <f t="shared" si="8"/>
        <v>2.5099999999999998</v>
      </c>
      <c r="AP13">
        <f t="shared" si="8"/>
        <v>2.5099999999999998</v>
      </c>
      <c r="AQ13">
        <f t="shared" si="8"/>
        <v>2.5099999999999998</v>
      </c>
      <c r="AR13">
        <f t="shared" si="8"/>
        <v>2.5099999999999998</v>
      </c>
      <c r="AS13">
        <f t="shared" si="8"/>
        <v>2.5099999999999998</v>
      </c>
      <c r="AT13">
        <f t="shared" si="8"/>
        <v>2.5099999999999998</v>
      </c>
      <c r="AU13">
        <f t="shared" si="8"/>
        <v>2.5099999999999998</v>
      </c>
      <c r="AV13">
        <f t="shared" si="8"/>
        <v>2.5099999999999998</v>
      </c>
      <c r="AW13">
        <f t="shared" si="8"/>
        <v>2.5099999999999998</v>
      </c>
      <c r="AX13">
        <f t="shared" si="8"/>
        <v>2.5099999999999998</v>
      </c>
      <c r="AY13">
        <f t="shared" si="8"/>
        <v>2.5099999999999998</v>
      </c>
      <c r="AZ13">
        <f t="shared" si="8"/>
        <v>2.5099999999999998</v>
      </c>
      <c r="BA13">
        <f t="shared" si="8"/>
        <v>2.5099999999999998</v>
      </c>
      <c r="BB13">
        <f t="shared" si="8"/>
        <v>2.5099999999999998</v>
      </c>
      <c r="BC13">
        <f t="shared" si="8"/>
        <v>2.5099999999999998</v>
      </c>
      <c r="BD13">
        <f t="shared" si="8"/>
        <v>2.5099999999999998</v>
      </c>
      <c r="BE13">
        <f t="shared" si="8"/>
        <v>2.5099999999999998</v>
      </c>
      <c r="BF13">
        <f t="shared" si="8"/>
        <v>2.5099999999999998</v>
      </c>
      <c r="BG13">
        <f t="shared" si="8"/>
        <v>2.5099999999999998</v>
      </c>
      <c r="BH13">
        <f t="shared" si="8"/>
        <v>2.5099999999999998</v>
      </c>
    </row>
    <row r="14" spans="1:60" hidden="1" outlineLevel="1">
      <c r="B14" t="s">
        <v>137</v>
      </c>
      <c r="C14">
        <f>C300</f>
        <v>5.18</v>
      </c>
      <c r="D14">
        <f t="shared" ref="D14:BH14" si="9">D300</f>
        <v>4.25</v>
      </c>
      <c r="E14">
        <f t="shared" si="9"/>
        <v>4.49</v>
      </c>
      <c r="F14">
        <f t="shared" si="9"/>
        <v>4.8</v>
      </c>
      <c r="G14">
        <f t="shared" si="9"/>
        <v>4.5599999999999996</v>
      </c>
      <c r="H14">
        <f t="shared" si="9"/>
        <v>4.6500000000000004</v>
      </c>
      <c r="I14">
        <f t="shared" si="9"/>
        <v>4.57</v>
      </c>
      <c r="J14">
        <f t="shared" si="9"/>
        <v>4.28</v>
      </c>
      <c r="K14">
        <f t="shared" si="9"/>
        <v>4.5599999999999996</v>
      </c>
      <c r="L14">
        <f t="shared" si="9"/>
        <v>4.5599999999999996</v>
      </c>
      <c r="M14">
        <f t="shared" si="9"/>
        <v>4.53</v>
      </c>
      <c r="N14">
        <f t="shared" si="9"/>
        <v>4.51</v>
      </c>
      <c r="O14">
        <f t="shared" si="9"/>
        <v>4.49</v>
      </c>
      <c r="P14">
        <f t="shared" si="9"/>
        <v>4.47</v>
      </c>
      <c r="Q14">
        <f t="shared" si="9"/>
        <v>4.45</v>
      </c>
      <c r="R14">
        <f t="shared" si="9"/>
        <v>4.42</v>
      </c>
      <c r="S14">
        <f t="shared" si="9"/>
        <v>4.4000000000000004</v>
      </c>
      <c r="T14">
        <f t="shared" si="9"/>
        <v>4.38</v>
      </c>
      <c r="U14">
        <f t="shared" si="9"/>
        <v>4.3600000000000003</v>
      </c>
      <c r="V14">
        <f t="shared" si="9"/>
        <v>4.34</v>
      </c>
      <c r="W14">
        <f t="shared" si="9"/>
        <v>4.32</v>
      </c>
      <c r="X14">
        <f t="shared" si="9"/>
        <v>4.29</v>
      </c>
      <c r="Y14">
        <f t="shared" si="9"/>
        <v>4.2699999999999996</v>
      </c>
      <c r="Z14">
        <f t="shared" si="9"/>
        <v>4.25</v>
      </c>
      <c r="AA14">
        <f t="shared" si="9"/>
        <v>4.2300000000000004</v>
      </c>
      <c r="AB14">
        <f t="shared" si="9"/>
        <v>4.21</v>
      </c>
      <c r="AC14">
        <f t="shared" si="9"/>
        <v>4.18</v>
      </c>
      <c r="AD14">
        <f t="shared" si="9"/>
        <v>4.16</v>
      </c>
      <c r="AE14">
        <f t="shared" si="9"/>
        <v>4.1399999999999997</v>
      </c>
      <c r="AF14">
        <f t="shared" si="9"/>
        <v>4.12</v>
      </c>
      <c r="AG14">
        <f t="shared" si="9"/>
        <v>4.0999999999999996</v>
      </c>
      <c r="AH14">
        <f t="shared" si="9"/>
        <v>4.08</v>
      </c>
      <c r="AI14">
        <f t="shared" si="9"/>
        <v>4.05</v>
      </c>
      <c r="AJ14">
        <f t="shared" si="9"/>
        <v>4.03</v>
      </c>
      <c r="AK14">
        <f t="shared" si="9"/>
        <v>4.01</v>
      </c>
      <c r="AL14">
        <f t="shared" si="9"/>
        <v>3.99</v>
      </c>
      <c r="AM14">
        <f t="shared" si="9"/>
        <v>3.97</v>
      </c>
      <c r="AN14">
        <f t="shared" si="9"/>
        <v>3.94</v>
      </c>
      <c r="AO14">
        <f t="shared" si="9"/>
        <v>3.94</v>
      </c>
      <c r="AP14">
        <f t="shared" si="9"/>
        <v>3.94</v>
      </c>
      <c r="AQ14">
        <f t="shared" si="9"/>
        <v>3.94</v>
      </c>
      <c r="AR14">
        <f t="shared" si="9"/>
        <v>3.94</v>
      </c>
      <c r="AS14">
        <f t="shared" si="9"/>
        <v>3.94</v>
      </c>
      <c r="AT14">
        <f t="shared" si="9"/>
        <v>3.94</v>
      </c>
      <c r="AU14">
        <f t="shared" si="9"/>
        <v>3.94</v>
      </c>
      <c r="AV14">
        <f t="shared" si="9"/>
        <v>3.94</v>
      </c>
      <c r="AW14">
        <f t="shared" si="9"/>
        <v>3.94</v>
      </c>
      <c r="AX14">
        <f t="shared" si="9"/>
        <v>3.94</v>
      </c>
      <c r="AY14">
        <f t="shared" si="9"/>
        <v>3.94</v>
      </c>
      <c r="AZ14">
        <f t="shared" si="9"/>
        <v>3.94</v>
      </c>
      <c r="BA14">
        <f t="shared" si="9"/>
        <v>3.94</v>
      </c>
      <c r="BB14">
        <f t="shared" si="9"/>
        <v>3.94</v>
      </c>
      <c r="BC14">
        <f t="shared" si="9"/>
        <v>3.94</v>
      </c>
      <c r="BD14">
        <f t="shared" si="9"/>
        <v>3.94</v>
      </c>
      <c r="BE14">
        <f t="shared" si="9"/>
        <v>3.94</v>
      </c>
      <c r="BF14">
        <f t="shared" si="9"/>
        <v>3.94</v>
      </c>
      <c r="BG14">
        <f t="shared" si="9"/>
        <v>3.94</v>
      </c>
      <c r="BH14">
        <f t="shared" si="9"/>
        <v>3.94</v>
      </c>
    </row>
    <row r="15" spans="1:60" hidden="1" outlineLevel="1">
      <c r="B15" t="s">
        <v>138</v>
      </c>
      <c r="C15">
        <f>C307</f>
        <v>36.130000000000003</v>
      </c>
      <c r="D15">
        <f t="shared" ref="D15:BH15" si="10">D307</f>
        <v>37.01</v>
      </c>
      <c r="E15">
        <f t="shared" si="10"/>
        <v>36.869999999999997</v>
      </c>
      <c r="F15">
        <f t="shared" si="10"/>
        <v>37.28</v>
      </c>
      <c r="G15">
        <f t="shared" si="10"/>
        <v>36.729999999999997</v>
      </c>
      <c r="H15">
        <f t="shared" si="10"/>
        <v>37.01</v>
      </c>
      <c r="I15">
        <f t="shared" si="10"/>
        <v>36.29</v>
      </c>
      <c r="J15">
        <f t="shared" si="10"/>
        <v>37.520000000000003</v>
      </c>
      <c r="K15">
        <f t="shared" si="10"/>
        <v>37.19</v>
      </c>
      <c r="L15">
        <f t="shared" si="10"/>
        <v>36.99</v>
      </c>
      <c r="M15">
        <f t="shared" si="10"/>
        <v>40.28</v>
      </c>
      <c r="N15">
        <f t="shared" si="10"/>
        <v>43.57</v>
      </c>
      <c r="O15">
        <f t="shared" si="10"/>
        <v>46.85</v>
      </c>
      <c r="P15">
        <f t="shared" si="10"/>
        <v>50.14</v>
      </c>
      <c r="Q15">
        <f t="shared" si="10"/>
        <v>53.42</v>
      </c>
      <c r="R15">
        <f t="shared" si="10"/>
        <v>56.71</v>
      </c>
      <c r="S15">
        <f t="shared" si="10"/>
        <v>59.99</v>
      </c>
      <c r="T15">
        <f t="shared" si="10"/>
        <v>63.28</v>
      </c>
      <c r="U15">
        <f t="shared" si="10"/>
        <v>66.56</v>
      </c>
      <c r="V15">
        <f t="shared" si="10"/>
        <v>69.849999999999994</v>
      </c>
      <c r="W15">
        <f t="shared" si="10"/>
        <v>73.13</v>
      </c>
      <c r="X15">
        <f t="shared" si="10"/>
        <v>76.489999999999995</v>
      </c>
      <c r="Y15">
        <f t="shared" si="10"/>
        <v>79.930000000000007</v>
      </c>
      <c r="Z15">
        <f t="shared" si="10"/>
        <v>83.38</v>
      </c>
      <c r="AA15">
        <f t="shared" si="10"/>
        <v>86.83</v>
      </c>
      <c r="AB15">
        <f t="shared" si="10"/>
        <v>90.27</v>
      </c>
      <c r="AC15">
        <f t="shared" si="10"/>
        <v>93.72</v>
      </c>
      <c r="AD15">
        <f t="shared" si="10"/>
        <v>97.17</v>
      </c>
      <c r="AE15">
        <f t="shared" si="10"/>
        <v>100.61</v>
      </c>
      <c r="AF15">
        <f t="shared" si="10"/>
        <v>104.06</v>
      </c>
      <c r="AG15">
        <f t="shared" si="10"/>
        <v>107.5</v>
      </c>
      <c r="AH15">
        <f t="shared" si="10"/>
        <v>110.95</v>
      </c>
      <c r="AI15">
        <f t="shared" si="10"/>
        <v>114.4</v>
      </c>
      <c r="AJ15">
        <f t="shared" si="10"/>
        <v>117.84</v>
      </c>
      <c r="AK15">
        <f t="shared" si="10"/>
        <v>121.29</v>
      </c>
      <c r="AL15">
        <f t="shared" si="10"/>
        <v>124.74</v>
      </c>
      <c r="AM15">
        <f t="shared" si="10"/>
        <v>128.18</v>
      </c>
      <c r="AN15">
        <f t="shared" si="10"/>
        <v>131.63</v>
      </c>
      <c r="AO15">
        <f t="shared" si="10"/>
        <v>131.63</v>
      </c>
      <c r="AP15">
        <f t="shared" si="10"/>
        <v>131.63</v>
      </c>
      <c r="AQ15">
        <f t="shared" si="10"/>
        <v>131.63</v>
      </c>
      <c r="AR15">
        <f t="shared" si="10"/>
        <v>131.63</v>
      </c>
      <c r="AS15">
        <f t="shared" si="10"/>
        <v>131.63</v>
      </c>
      <c r="AT15">
        <f t="shared" si="10"/>
        <v>131.63</v>
      </c>
      <c r="AU15">
        <f t="shared" si="10"/>
        <v>131.63</v>
      </c>
      <c r="AV15">
        <f t="shared" si="10"/>
        <v>131.63</v>
      </c>
      <c r="AW15">
        <f t="shared" si="10"/>
        <v>131.63</v>
      </c>
      <c r="AX15">
        <f t="shared" si="10"/>
        <v>131.63</v>
      </c>
      <c r="AY15">
        <f t="shared" si="10"/>
        <v>131.63</v>
      </c>
      <c r="AZ15">
        <f t="shared" si="10"/>
        <v>131.63</v>
      </c>
      <c r="BA15">
        <f t="shared" si="10"/>
        <v>131.63</v>
      </c>
      <c r="BB15">
        <f t="shared" si="10"/>
        <v>131.63</v>
      </c>
      <c r="BC15">
        <f t="shared" si="10"/>
        <v>131.63</v>
      </c>
      <c r="BD15">
        <f t="shared" si="10"/>
        <v>131.63</v>
      </c>
      <c r="BE15">
        <f t="shared" si="10"/>
        <v>131.63</v>
      </c>
      <c r="BF15">
        <f t="shared" si="10"/>
        <v>131.63</v>
      </c>
      <c r="BG15">
        <f t="shared" si="10"/>
        <v>131.63</v>
      </c>
      <c r="BH15">
        <f t="shared" si="10"/>
        <v>131.63</v>
      </c>
    </row>
    <row r="16" spans="1:60" hidden="1" outlineLevel="1">
      <c r="B16" t="s">
        <v>139</v>
      </c>
      <c r="C16">
        <f>C315</f>
        <v>31.58</v>
      </c>
      <c r="D16">
        <f t="shared" ref="D16:BH16" si="11">D315</f>
        <v>29.85</v>
      </c>
      <c r="E16">
        <f t="shared" si="11"/>
        <v>23.22</v>
      </c>
      <c r="F16">
        <f t="shared" si="11"/>
        <v>20.63</v>
      </c>
      <c r="G16">
        <f t="shared" si="11"/>
        <v>20.46</v>
      </c>
      <c r="H16">
        <f t="shared" si="11"/>
        <v>19.989999999999998</v>
      </c>
      <c r="I16">
        <f t="shared" si="11"/>
        <v>18.43</v>
      </c>
      <c r="J16">
        <f t="shared" si="11"/>
        <v>18.91</v>
      </c>
      <c r="K16">
        <f t="shared" si="11"/>
        <v>19.38</v>
      </c>
      <c r="L16">
        <f t="shared" si="11"/>
        <v>15.14</v>
      </c>
      <c r="M16">
        <f t="shared" si="11"/>
        <v>17.91</v>
      </c>
      <c r="N16">
        <f t="shared" si="11"/>
        <v>20.69</v>
      </c>
      <c r="O16">
        <f t="shared" si="11"/>
        <v>23.46</v>
      </c>
      <c r="P16">
        <f t="shared" si="11"/>
        <v>26.24</v>
      </c>
      <c r="Q16">
        <f t="shared" si="11"/>
        <v>29.02</v>
      </c>
      <c r="R16">
        <f t="shared" si="11"/>
        <v>31.79</v>
      </c>
      <c r="S16">
        <f t="shared" si="11"/>
        <v>34.57</v>
      </c>
      <c r="T16">
        <f t="shared" si="11"/>
        <v>37.35</v>
      </c>
      <c r="U16">
        <f t="shared" si="11"/>
        <v>40.119999999999997</v>
      </c>
      <c r="V16">
        <f t="shared" si="11"/>
        <v>42.9</v>
      </c>
      <c r="W16">
        <f t="shared" si="11"/>
        <v>45.67</v>
      </c>
      <c r="X16">
        <f t="shared" si="11"/>
        <v>49.45</v>
      </c>
      <c r="Y16">
        <f t="shared" si="11"/>
        <v>54.58</v>
      </c>
      <c r="Z16">
        <f t="shared" si="11"/>
        <v>59.7</v>
      </c>
      <c r="AA16">
        <f t="shared" si="11"/>
        <v>64.83</v>
      </c>
      <c r="AB16">
        <f t="shared" si="11"/>
        <v>69.95</v>
      </c>
      <c r="AC16">
        <f t="shared" si="11"/>
        <v>75.08</v>
      </c>
      <c r="AD16">
        <f t="shared" si="11"/>
        <v>80.2</v>
      </c>
      <c r="AE16">
        <f t="shared" si="11"/>
        <v>85.33</v>
      </c>
      <c r="AF16">
        <f t="shared" si="11"/>
        <v>90.45</v>
      </c>
      <c r="AG16">
        <f t="shared" si="11"/>
        <v>95.57</v>
      </c>
      <c r="AH16">
        <f t="shared" si="11"/>
        <v>100.7</v>
      </c>
      <c r="AI16">
        <f t="shared" si="11"/>
        <v>105.82</v>
      </c>
      <c r="AJ16">
        <f t="shared" si="11"/>
        <v>110.95</v>
      </c>
      <c r="AK16">
        <f t="shared" si="11"/>
        <v>116.07</v>
      </c>
      <c r="AL16">
        <f t="shared" si="11"/>
        <v>121.2</v>
      </c>
      <c r="AM16">
        <f t="shared" si="11"/>
        <v>126.33</v>
      </c>
      <c r="AN16">
        <f t="shared" si="11"/>
        <v>131.46</v>
      </c>
      <c r="AO16">
        <f t="shared" si="11"/>
        <v>131.46</v>
      </c>
      <c r="AP16">
        <f t="shared" si="11"/>
        <v>131.46</v>
      </c>
      <c r="AQ16">
        <f t="shared" si="11"/>
        <v>131.46</v>
      </c>
      <c r="AR16">
        <f t="shared" si="11"/>
        <v>131.46</v>
      </c>
      <c r="AS16">
        <f t="shared" si="11"/>
        <v>131.46</v>
      </c>
      <c r="AT16">
        <f t="shared" si="11"/>
        <v>131.46</v>
      </c>
      <c r="AU16">
        <f t="shared" si="11"/>
        <v>131.46</v>
      </c>
      <c r="AV16">
        <f t="shared" si="11"/>
        <v>131.46</v>
      </c>
      <c r="AW16">
        <f t="shared" si="11"/>
        <v>131.46</v>
      </c>
      <c r="AX16">
        <f t="shared" si="11"/>
        <v>131.46</v>
      </c>
      <c r="AY16">
        <f t="shared" si="11"/>
        <v>131.46</v>
      </c>
      <c r="AZ16">
        <f t="shared" si="11"/>
        <v>131.46</v>
      </c>
      <c r="BA16">
        <f t="shared" si="11"/>
        <v>131.46</v>
      </c>
      <c r="BB16">
        <f t="shared" si="11"/>
        <v>131.46</v>
      </c>
      <c r="BC16">
        <f t="shared" si="11"/>
        <v>131.46</v>
      </c>
      <c r="BD16">
        <f t="shared" si="11"/>
        <v>131.46</v>
      </c>
      <c r="BE16">
        <f t="shared" si="11"/>
        <v>131.46</v>
      </c>
      <c r="BF16">
        <f t="shared" si="11"/>
        <v>131.46</v>
      </c>
      <c r="BG16">
        <f t="shared" si="11"/>
        <v>131.46</v>
      </c>
      <c r="BH16">
        <f t="shared" si="11"/>
        <v>131.46</v>
      </c>
    </row>
    <row r="17" spans="1:60" hidden="1" outlineLevel="1">
      <c r="B17" t="s">
        <v>140</v>
      </c>
    </row>
    <row r="18" spans="1:60" hidden="1" outlineLevel="1">
      <c r="B18" t="s">
        <v>141</v>
      </c>
    </row>
    <row r="19" spans="1:60" hidden="1" outlineLevel="1">
      <c r="B19" t="s">
        <v>142</v>
      </c>
      <c r="C19">
        <f>C321</f>
        <v>0.73</v>
      </c>
      <c r="D19">
        <f t="shared" ref="D19:BH19" si="12">D321</f>
        <v>0.84</v>
      </c>
      <c r="E19">
        <f t="shared" si="12"/>
        <v>0.91</v>
      </c>
      <c r="F19">
        <f t="shared" si="12"/>
        <v>0.93</v>
      </c>
      <c r="G19">
        <f t="shared" si="12"/>
        <v>0.97</v>
      </c>
      <c r="H19">
        <f t="shared" si="12"/>
        <v>0.96</v>
      </c>
      <c r="I19">
        <f t="shared" si="12"/>
        <v>1.01</v>
      </c>
      <c r="J19">
        <f t="shared" si="12"/>
        <v>0.93</v>
      </c>
      <c r="K19">
        <f t="shared" si="12"/>
        <v>1.02</v>
      </c>
      <c r="L19">
        <f t="shared" si="12"/>
        <v>1.37</v>
      </c>
      <c r="M19">
        <f t="shared" si="12"/>
        <v>0.9</v>
      </c>
      <c r="N19">
        <f t="shared" si="12"/>
        <v>0.90095077745865126</v>
      </c>
      <c r="O19">
        <f t="shared" si="12"/>
        <v>0.90188669901951091</v>
      </c>
      <c r="P19">
        <f t="shared" si="12"/>
        <v>0.9028523323759533</v>
      </c>
      <c r="Q19">
        <f t="shared" si="12"/>
        <v>0.90380310983460443</v>
      </c>
      <c r="R19">
        <f t="shared" si="12"/>
        <v>0.90473903139546408</v>
      </c>
      <c r="S19">
        <f t="shared" si="12"/>
        <v>0.9057046647519067</v>
      </c>
      <c r="T19">
        <f t="shared" si="12"/>
        <v>0.90664058631276623</v>
      </c>
      <c r="U19">
        <f t="shared" si="12"/>
        <v>0.90757650787362576</v>
      </c>
      <c r="V19">
        <f t="shared" si="12"/>
        <v>0.90855699712785976</v>
      </c>
      <c r="W19">
        <f t="shared" si="12"/>
        <v>0.90949291868871929</v>
      </c>
      <c r="X19">
        <f t="shared" si="12"/>
        <v>0.90692284837080306</v>
      </c>
      <c r="Y19">
        <f t="shared" si="12"/>
        <v>0.89959889075963129</v>
      </c>
      <c r="Z19">
        <f t="shared" si="12"/>
        <v>0.89226007725066836</v>
      </c>
      <c r="AA19">
        <f t="shared" si="12"/>
        <v>0.88495097553728819</v>
      </c>
      <c r="AB19">
        <f t="shared" si="12"/>
        <v>0.87762701792611653</v>
      </c>
      <c r="AC19">
        <f t="shared" si="12"/>
        <v>0.87027334851936222</v>
      </c>
      <c r="AD19">
        <f t="shared" si="12"/>
        <v>0.86297910270377332</v>
      </c>
      <c r="AE19">
        <f t="shared" si="12"/>
        <v>0.85565514509260177</v>
      </c>
      <c r="AF19">
        <f t="shared" si="12"/>
        <v>0.84831633158363862</v>
      </c>
      <c r="AG19">
        <f t="shared" si="12"/>
        <v>0.84099237397246707</v>
      </c>
      <c r="AH19">
        <f t="shared" si="12"/>
        <v>0.83368327225908678</v>
      </c>
      <c r="AI19">
        <f t="shared" si="12"/>
        <v>0.82634445875012374</v>
      </c>
      <c r="AJ19">
        <f t="shared" si="12"/>
        <v>0.81902050113895197</v>
      </c>
      <c r="AK19">
        <f t="shared" si="12"/>
        <v>0.81169654352778031</v>
      </c>
      <c r="AL19">
        <f t="shared" si="12"/>
        <v>0.80438744181440014</v>
      </c>
      <c r="AM19">
        <f t="shared" si="12"/>
        <v>0.79697434881647999</v>
      </c>
      <c r="AN19">
        <f t="shared" si="12"/>
        <v>0.78957611171635123</v>
      </c>
      <c r="AO19">
        <f t="shared" si="12"/>
        <v>0.78957611171635123</v>
      </c>
      <c r="AP19">
        <f t="shared" si="12"/>
        <v>0.78957611171635123</v>
      </c>
      <c r="AQ19">
        <f t="shared" si="12"/>
        <v>0.78957611171635123</v>
      </c>
      <c r="AR19">
        <f t="shared" si="12"/>
        <v>0.78957611171635123</v>
      </c>
      <c r="AS19">
        <f t="shared" si="12"/>
        <v>0.78957611171635123</v>
      </c>
      <c r="AT19">
        <f t="shared" si="12"/>
        <v>0.78957611171635123</v>
      </c>
      <c r="AU19">
        <f t="shared" si="12"/>
        <v>0.78957611171635123</v>
      </c>
      <c r="AV19">
        <f t="shared" si="12"/>
        <v>0.78957611171635123</v>
      </c>
      <c r="AW19">
        <f t="shared" si="12"/>
        <v>0.78957611171635123</v>
      </c>
      <c r="AX19">
        <f t="shared" si="12"/>
        <v>0.78957611171635123</v>
      </c>
      <c r="AY19">
        <f t="shared" si="12"/>
        <v>0.78957611171635123</v>
      </c>
      <c r="AZ19">
        <f t="shared" si="12"/>
        <v>0.78957611171635123</v>
      </c>
      <c r="BA19">
        <f t="shared" si="12"/>
        <v>0.78957611171635123</v>
      </c>
      <c r="BB19">
        <f t="shared" si="12"/>
        <v>0.78957611171635123</v>
      </c>
      <c r="BC19">
        <f t="shared" si="12"/>
        <v>0.78957611171635123</v>
      </c>
      <c r="BD19">
        <f t="shared" si="12"/>
        <v>0.78957611171635123</v>
      </c>
      <c r="BE19">
        <f t="shared" si="12"/>
        <v>0.78957611171635123</v>
      </c>
      <c r="BF19">
        <f t="shared" si="12"/>
        <v>0.78957611171635123</v>
      </c>
      <c r="BG19">
        <f t="shared" si="12"/>
        <v>0.78957611171635123</v>
      </c>
      <c r="BH19">
        <f t="shared" si="12"/>
        <v>0.78957611171635123</v>
      </c>
    </row>
    <row r="20" spans="1:60" hidden="1" outlineLevel="1">
      <c r="B20" t="s">
        <v>143</v>
      </c>
      <c r="C20">
        <f>C326</f>
        <v>0.23</v>
      </c>
      <c r="D20">
        <f t="shared" ref="D20:BH20" si="13">D326</f>
        <v>0.24</v>
      </c>
      <c r="E20">
        <f t="shared" si="13"/>
        <v>0.25</v>
      </c>
      <c r="F20">
        <f t="shared" si="13"/>
        <v>0.26</v>
      </c>
      <c r="G20">
        <f t="shared" si="13"/>
        <v>0.27</v>
      </c>
      <c r="H20">
        <f t="shared" si="13"/>
        <v>0.27</v>
      </c>
      <c r="I20">
        <f t="shared" si="13"/>
        <v>0.27</v>
      </c>
      <c r="J20">
        <f t="shared" si="13"/>
        <v>0.26</v>
      </c>
      <c r="K20">
        <f t="shared" si="13"/>
        <v>0.31</v>
      </c>
      <c r="L20">
        <f t="shared" si="13"/>
        <v>0.11</v>
      </c>
      <c r="M20">
        <f t="shared" si="13"/>
        <v>0.3</v>
      </c>
      <c r="N20">
        <f t="shared" si="13"/>
        <v>0.30031692581955044</v>
      </c>
      <c r="O20">
        <f t="shared" si="13"/>
        <v>0.3006288996731703</v>
      </c>
      <c r="P20">
        <f t="shared" si="13"/>
        <v>0.30095077745865112</v>
      </c>
      <c r="Q20">
        <f t="shared" si="13"/>
        <v>0.30126770327820146</v>
      </c>
      <c r="R20">
        <f t="shared" si="13"/>
        <v>0.30157967713182138</v>
      </c>
      <c r="S20">
        <f t="shared" si="13"/>
        <v>0.30190155491730225</v>
      </c>
      <c r="T20">
        <f t="shared" si="13"/>
        <v>0.30221352877092206</v>
      </c>
      <c r="U20">
        <f t="shared" si="13"/>
        <v>0.30252550262454198</v>
      </c>
      <c r="V20">
        <f t="shared" si="13"/>
        <v>0.30285233237595333</v>
      </c>
      <c r="W20">
        <f t="shared" si="13"/>
        <v>0.30316430622957319</v>
      </c>
      <c r="X20">
        <f t="shared" si="13"/>
        <v>0.30230761612360113</v>
      </c>
      <c r="Y20">
        <f t="shared" si="13"/>
        <v>0.29986629691987721</v>
      </c>
      <c r="Z20">
        <f t="shared" si="13"/>
        <v>0.29742002575022286</v>
      </c>
      <c r="AA20">
        <f t="shared" si="13"/>
        <v>0.29498365851242947</v>
      </c>
      <c r="AB20">
        <f t="shared" si="13"/>
        <v>0.29254233930870555</v>
      </c>
      <c r="AC20">
        <f t="shared" si="13"/>
        <v>0.29009111617312078</v>
      </c>
      <c r="AD20">
        <f t="shared" si="13"/>
        <v>0.28765970090125781</v>
      </c>
      <c r="AE20">
        <f t="shared" si="13"/>
        <v>0.285218381697534</v>
      </c>
      <c r="AF20">
        <f t="shared" si="13"/>
        <v>0.28277211052787965</v>
      </c>
      <c r="AG20">
        <f t="shared" si="13"/>
        <v>0.28033079132415578</v>
      </c>
      <c r="AH20">
        <f t="shared" si="13"/>
        <v>0.27789442408636233</v>
      </c>
      <c r="AI20">
        <f t="shared" si="13"/>
        <v>0.27544815291670799</v>
      </c>
      <c r="AJ20">
        <f t="shared" si="13"/>
        <v>0.27300683371298406</v>
      </c>
      <c r="AK20">
        <f t="shared" si="13"/>
        <v>0.2705655145092602</v>
      </c>
      <c r="AL20">
        <f t="shared" si="13"/>
        <v>0.26812914727146681</v>
      </c>
      <c r="AM20">
        <f t="shared" si="13"/>
        <v>0.26565811627216007</v>
      </c>
      <c r="AN20">
        <f t="shared" si="13"/>
        <v>0.26319203723878382</v>
      </c>
      <c r="AO20">
        <f t="shared" si="13"/>
        <v>0.26319203723878382</v>
      </c>
      <c r="AP20">
        <f t="shared" si="13"/>
        <v>0.26319203723878382</v>
      </c>
      <c r="AQ20">
        <f t="shared" si="13"/>
        <v>0.26319203723878382</v>
      </c>
      <c r="AR20">
        <f t="shared" si="13"/>
        <v>0.26319203723878382</v>
      </c>
      <c r="AS20">
        <f t="shared" si="13"/>
        <v>0.26319203723878382</v>
      </c>
      <c r="AT20">
        <f t="shared" si="13"/>
        <v>0.26319203723878382</v>
      </c>
      <c r="AU20">
        <f t="shared" si="13"/>
        <v>0.26319203723878382</v>
      </c>
      <c r="AV20">
        <f t="shared" si="13"/>
        <v>0.26319203723878382</v>
      </c>
      <c r="AW20">
        <f t="shared" si="13"/>
        <v>0.26319203723878382</v>
      </c>
      <c r="AX20">
        <f t="shared" si="13"/>
        <v>0.26319203723878382</v>
      </c>
      <c r="AY20">
        <f t="shared" si="13"/>
        <v>0.26319203723878382</v>
      </c>
      <c r="AZ20">
        <f t="shared" si="13"/>
        <v>0.26319203723878382</v>
      </c>
      <c r="BA20">
        <f t="shared" si="13"/>
        <v>0.26319203723878382</v>
      </c>
      <c r="BB20">
        <f t="shared" si="13"/>
        <v>0.26319203723878382</v>
      </c>
      <c r="BC20">
        <f t="shared" si="13"/>
        <v>0.26319203723878382</v>
      </c>
      <c r="BD20">
        <f t="shared" si="13"/>
        <v>0.26319203723878382</v>
      </c>
      <c r="BE20">
        <f t="shared" si="13"/>
        <v>0.26319203723878382</v>
      </c>
      <c r="BF20">
        <f t="shared" si="13"/>
        <v>0.26319203723878382</v>
      </c>
      <c r="BG20">
        <f t="shared" si="13"/>
        <v>0.26319203723878382</v>
      </c>
      <c r="BH20">
        <f t="shared" si="13"/>
        <v>0.26319203723878382</v>
      </c>
    </row>
    <row r="21" spans="1:60" hidden="1" outlineLevel="1">
      <c r="B21" t="s">
        <v>144</v>
      </c>
    </row>
    <row r="22" spans="1:60" hidden="1" outlineLevel="1">
      <c r="B22" t="s">
        <v>145</v>
      </c>
      <c r="C22">
        <f>C332</f>
        <v>8.3000000000000007</v>
      </c>
      <c r="D22">
        <f t="shared" ref="D22:BH22" si="14">D332</f>
        <v>8.5299999999999994</v>
      </c>
      <c r="E22">
        <f t="shared" si="14"/>
        <v>9.2100000000000009</v>
      </c>
      <c r="F22">
        <f t="shared" si="14"/>
        <v>9.6199999999999992</v>
      </c>
      <c r="G22">
        <f t="shared" si="14"/>
        <v>9.59</v>
      </c>
      <c r="H22">
        <f t="shared" si="14"/>
        <v>9.9</v>
      </c>
      <c r="I22">
        <f t="shared" si="14"/>
        <v>10.210000000000001</v>
      </c>
      <c r="J22">
        <f t="shared" si="14"/>
        <v>10.61</v>
      </c>
      <c r="K22">
        <f t="shared" si="14"/>
        <v>10.18</v>
      </c>
      <c r="L22">
        <f t="shared" si="14"/>
        <v>10.47</v>
      </c>
      <c r="M22">
        <f t="shared" si="14"/>
        <v>10.91</v>
      </c>
      <c r="N22">
        <f t="shared" si="14"/>
        <v>11.34</v>
      </c>
      <c r="O22">
        <f t="shared" si="14"/>
        <v>11.78</v>
      </c>
      <c r="P22">
        <f t="shared" si="14"/>
        <v>12.22</v>
      </c>
      <c r="Q22">
        <f t="shared" si="14"/>
        <v>12.65</v>
      </c>
      <c r="R22">
        <f t="shared" si="14"/>
        <v>13.09</v>
      </c>
      <c r="S22">
        <f t="shared" si="14"/>
        <v>13.52</v>
      </c>
      <c r="T22">
        <f t="shared" si="14"/>
        <v>13.96</v>
      </c>
      <c r="U22">
        <f t="shared" si="14"/>
        <v>14.39</v>
      </c>
      <c r="V22">
        <f t="shared" si="14"/>
        <v>14.83</v>
      </c>
      <c r="W22">
        <f t="shared" si="14"/>
        <v>15.27</v>
      </c>
      <c r="X22">
        <f t="shared" si="14"/>
        <v>15.7</v>
      </c>
      <c r="Y22">
        <f t="shared" si="14"/>
        <v>16.14</v>
      </c>
      <c r="Z22">
        <f t="shared" si="14"/>
        <v>16.57</v>
      </c>
      <c r="AA22">
        <f t="shared" si="14"/>
        <v>17.010000000000002</v>
      </c>
      <c r="AB22">
        <f t="shared" si="14"/>
        <v>17.440000000000001</v>
      </c>
      <c r="AC22">
        <f t="shared" si="14"/>
        <v>17.88</v>
      </c>
      <c r="AD22">
        <f t="shared" si="14"/>
        <v>18.32</v>
      </c>
      <c r="AE22">
        <f t="shared" si="14"/>
        <v>18.75</v>
      </c>
      <c r="AF22">
        <f t="shared" si="14"/>
        <v>19.190000000000001</v>
      </c>
      <c r="AG22">
        <f t="shared" si="14"/>
        <v>19.62</v>
      </c>
      <c r="AH22">
        <f t="shared" si="14"/>
        <v>20.059999999999999</v>
      </c>
      <c r="AI22">
        <f t="shared" si="14"/>
        <v>20.49</v>
      </c>
      <c r="AJ22">
        <f t="shared" si="14"/>
        <v>20.93</v>
      </c>
      <c r="AK22">
        <f t="shared" si="14"/>
        <v>21.37</v>
      </c>
      <c r="AL22">
        <f t="shared" si="14"/>
        <v>21.8</v>
      </c>
      <c r="AM22">
        <f t="shared" si="14"/>
        <v>22.24</v>
      </c>
      <c r="AN22">
        <f t="shared" si="14"/>
        <v>22.67</v>
      </c>
      <c r="AO22">
        <f t="shared" si="14"/>
        <v>22.67</v>
      </c>
      <c r="AP22">
        <f t="shared" si="14"/>
        <v>22.67</v>
      </c>
      <c r="AQ22">
        <f t="shared" si="14"/>
        <v>22.67</v>
      </c>
      <c r="AR22">
        <f t="shared" si="14"/>
        <v>22.67</v>
      </c>
      <c r="AS22">
        <f t="shared" si="14"/>
        <v>22.67</v>
      </c>
      <c r="AT22">
        <f t="shared" si="14"/>
        <v>22.67</v>
      </c>
      <c r="AU22">
        <f t="shared" si="14"/>
        <v>22.67</v>
      </c>
      <c r="AV22">
        <f t="shared" si="14"/>
        <v>22.67</v>
      </c>
      <c r="AW22">
        <f t="shared" si="14"/>
        <v>22.67</v>
      </c>
      <c r="AX22">
        <f t="shared" si="14"/>
        <v>22.67</v>
      </c>
      <c r="AY22">
        <f t="shared" si="14"/>
        <v>22.67</v>
      </c>
      <c r="AZ22">
        <f t="shared" si="14"/>
        <v>22.67</v>
      </c>
      <c r="BA22">
        <f t="shared" si="14"/>
        <v>22.67</v>
      </c>
      <c r="BB22">
        <f t="shared" si="14"/>
        <v>22.67</v>
      </c>
      <c r="BC22">
        <f t="shared" si="14"/>
        <v>22.67</v>
      </c>
      <c r="BD22">
        <f t="shared" si="14"/>
        <v>22.67</v>
      </c>
      <c r="BE22">
        <f t="shared" si="14"/>
        <v>22.67</v>
      </c>
      <c r="BF22">
        <f t="shared" si="14"/>
        <v>22.67</v>
      </c>
      <c r="BG22">
        <f t="shared" si="14"/>
        <v>22.67</v>
      </c>
      <c r="BH22">
        <f t="shared" si="14"/>
        <v>22.67</v>
      </c>
    </row>
    <row r="23" spans="1:60" hidden="1" outlineLevel="1">
      <c r="B23" t="s">
        <v>146</v>
      </c>
    </row>
    <row r="24" spans="1:60" hidden="1" outlineLevel="1">
      <c r="B24" t="s">
        <v>147</v>
      </c>
      <c r="C24">
        <f>C350</f>
        <v>379.13999999999993</v>
      </c>
      <c r="D24">
        <f t="shared" ref="D24:BH24" si="15">D350</f>
        <v>391.24</v>
      </c>
      <c r="E24">
        <f t="shared" si="15"/>
        <v>394.05999999999995</v>
      </c>
      <c r="F24">
        <f t="shared" si="15"/>
        <v>389.35</v>
      </c>
      <c r="G24">
        <f t="shared" si="15"/>
        <v>401.96999999999997</v>
      </c>
      <c r="H24">
        <f t="shared" si="15"/>
        <v>435.43000000000006</v>
      </c>
      <c r="I24">
        <f t="shared" si="15"/>
        <v>450.3</v>
      </c>
      <c r="J24">
        <f t="shared" si="15"/>
        <v>436.52</v>
      </c>
      <c r="K24">
        <f t="shared" si="15"/>
        <v>457.96000000000004</v>
      </c>
      <c r="L24">
        <f t="shared" si="15"/>
        <v>484.71</v>
      </c>
      <c r="M24">
        <f t="shared" si="15"/>
        <v>481.40000000000003</v>
      </c>
      <c r="N24">
        <f t="shared" si="15"/>
        <v>481.31446436235183</v>
      </c>
      <c r="O24">
        <f t="shared" si="15"/>
        <v>481.22901521904203</v>
      </c>
      <c r="P24">
        <f t="shared" si="15"/>
        <v>481.15339308705558</v>
      </c>
      <c r="Q24">
        <f t="shared" si="15"/>
        <v>481.06785744940743</v>
      </c>
      <c r="R24">
        <f t="shared" si="15"/>
        <v>480.98240830609751</v>
      </c>
      <c r="S24">
        <f t="shared" si="15"/>
        <v>480.90678617411112</v>
      </c>
      <c r="T24">
        <f t="shared" si="15"/>
        <v>480.8213370308012</v>
      </c>
      <c r="U24">
        <f t="shared" si="15"/>
        <v>480.73588788749134</v>
      </c>
      <c r="V24">
        <f t="shared" si="15"/>
        <v>480.66017926116672</v>
      </c>
      <c r="W24">
        <f t="shared" si="15"/>
        <v>480.5747301178568</v>
      </c>
      <c r="X24">
        <f t="shared" si="15"/>
        <v>478.39969363837446</v>
      </c>
      <c r="Y24">
        <f t="shared" si="15"/>
        <v>473.43233534713278</v>
      </c>
      <c r="Z24">
        <f t="shared" si="15"/>
        <v>468.4550635502294</v>
      </c>
      <c r="AA24">
        <f t="shared" si="15"/>
        <v>463.47761876464961</v>
      </c>
      <c r="AB24">
        <f t="shared" si="15"/>
        <v>458.51026047340798</v>
      </c>
      <c r="AC24">
        <f t="shared" si="15"/>
        <v>453.53307517084284</v>
      </c>
      <c r="AD24">
        <f t="shared" si="15"/>
        <v>448.56554389092469</v>
      </c>
      <c r="AE24">
        <f t="shared" si="15"/>
        <v>443.58818559968307</v>
      </c>
      <c r="AF24">
        <f t="shared" si="15"/>
        <v>438.61091380277969</v>
      </c>
      <c r="AG24">
        <f t="shared" si="15"/>
        <v>433.64355551153812</v>
      </c>
      <c r="AH24">
        <f t="shared" si="15"/>
        <v>428.66611072595822</v>
      </c>
      <c r="AI24">
        <f t="shared" si="15"/>
        <v>423.6888389290549</v>
      </c>
      <c r="AJ24">
        <f t="shared" si="15"/>
        <v>418.72148063781322</v>
      </c>
      <c r="AK24">
        <f t="shared" si="15"/>
        <v>413.7441223465716</v>
      </c>
      <c r="AL24">
        <f t="shared" si="15"/>
        <v>408.7666775609917</v>
      </c>
      <c r="AM24">
        <f t="shared" si="15"/>
        <v>403.74983823577958</v>
      </c>
      <c r="AN24">
        <f t="shared" si="15"/>
        <v>398.73291241622917</v>
      </c>
      <c r="AO24">
        <f t="shared" si="15"/>
        <v>398.73291241622917</v>
      </c>
      <c r="AP24">
        <f t="shared" si="15"/>
        <v>398.73291241622917</v>
      </c>
      <c r="AQ24">
        <f t="shared" si="15"/>
        <v>398.73291241622917</v>
      </c>
      <c r="AR24">
        <f t="shared" si="15"/>
        <v>398.73291241622917</v>
      </c>
      <c r="AS24">
        <f t="shared" si="15"/>
        <v>398.73291241622917</v>
      </c>
      <c r="AT24">
        <f t="shared" si="15"/>
        <v>398.73291241622917</v>
      </c>
      <c r="AU24">
        <f t="shared" si="15"/>
        <v>398.73291241622917</v>
      </c>
      <c r="AV24">
        <f t="shared" si="15"/>
        <v>398.73291241622917</v>
      </c>
      <c r="AW24">
        <f t="shared" si="15"/>
        <v>398.73291241622917</v>
      </c>
      <c r="AX24">
        <f t="shared" si="15"/>
        <v>398.73291241622917</v>
      </c>
      <c r="AY24">
        <f t="shared" si="15"/>
        <v>398.73291241622917</v>
      </c>
      <c r="AZ24">
        <f t="shared" si="15"/>
        <v>398.73291241622917</v>
      </c>
      <c r="BA24">
        <f t="shared" si="15"/>
        <v>398.73291241622917</v>
      </c>
      <c r="BB24">
        <f t="shared" si="15"/>
        <v>398.73291241622917</v>
      </c>
      <c r="BC24">
        <f t="shared" si="15"/>
        <v>398.73291241622917</v>
      </c>
      <c r="BD24">
        <f t="shared" si="15"/>
        <v>398.73291241622917</v>
      </c>
      <c r="BE24">
        <f t="shared" si="15"/>
        <v>398.73291241622917</v>
      </c>
      <c r="BF24">
        <f t="shared" si="15"/>
        <v>398.73291241622917</v>
      </c>
      <c r="BG24">
        <f t="shared" si="15"/>
        <v>398.73291241622917</v>
      </c>
      <c r="BH24">
        <f t="shared" si="15"/>
        <v>398.73291241622917</v>
      </c>
    </row>
    <row r="25" spans="1:60" hidden="1" outlineLevel="1">
      <c r="B25" t="s">
        <v>148</v>
      </c>
    </row>
    <row r="26" spans="1:60" hidden="1" outlineLevel="1">
      <c r="B26" t="s">
        <v>149</v>
      </c>
    </row>
    <row r="27" spans="1:60" hidden="1" outlineLevel="1">
      <c r="B27" t="s">
        <v>150</v>
      </c>
      <c r="C27">
        <f>C357</f>
        <v>1.77</v>
      </c>
      <c r="D27">
        <f t="shared" ref="D27:BH27" si="16">D357</f>
        <v>1.84</v>
      </c>
      <c r="E27">
        <f t="shared" si="16"/>
        <v>1.87</v>
      </c>
      <c r="F27">
        <f t="shared" si="16"/>
        <v>2</v>
      </c>
      <c r="G27">
        <f t="shared" si="16"/>
        <v>2</v>
      </c>
      <c r="H27">
        <f t="shared" si="16"/>
        <v>2.0299999999999998</v>
      </c>
      <c r="I27">
        <f t="shared" si="16"/>
        <v>2.06</v>
      </c>
      <c r="J27">
        <f t="shared" si="16"/>
        <v>2.1</v>
      </c>
      <c r="K27">
        <f t="shared" si="16"/>
        <v>2.0499999999999998</v>
      </c>
      <c r="L27">
        <f t="shared" si="16"/>
        <v>2.4</v>
      </c>
      <c r="M27">
        <f t="shared" si="16"/>
        <v>2.63</v>
      </c>
      <c r="N27">
        <f t="shared" si="16"/>
        <v>2.85</v>
      </c>
      <c r="O27">
        <f t="shared" si="16"/>
        <v>3.08</v>
      </c>
      <c r="P27">
        <f t="shared" si="16"/>
        <v>3.31</v>
      </c>
      <c r="Q27">
        <f t="shared" si="16"/>
        <v>3.54</v>
      </c>
      <c r="R27">
        <f t="shared" si="16"/>
        <v>3.77</v>
      </c>
      <c r="S27">
        <f t="shared" si="16"/>
        <v>4</v>
      </c>
      <c r="T27">
        <f t="shared" si="16"/>
        <v>4.22</v>
      </c>
      <c r="U27">
        <f t="shared" si="16"/>
        <v>4.45</v>
      </c>
      <c r="V27">
        <f t="shared" si="16"/>
        <v>4.68</v>
      </c>
      <c r="W27">
        <f t="shared" si="16"/>
        <v>4.91</v>
      </c>
      <c r="X27">
        <f t="shared" si="16"/>
        <v>5.14</v>
      </c>
      <c r="Y27">
        <f t="shared" si="16"/>
        <v>5.37</v>
      </c>
      <c r="Z27">
        <f t="shared" si="16"/>
        <v>5.59</v>
      </c>
      <c r="AA27">
        <f t="shared" si="16"/>
        <v>5.82</v>
      </c>
      <c r="AB27">
        <f t="shared" si="16"/>
        <v>6.05</v>
      </c>
      <c r="AC27">
        <f t="shared" si="16"/>
        <v>6.28</v>
      </c>
      <c r="AD27">
        <f t="shared" si="16"/>
        <v>6.51</v>
      </c>
      <c r="AE27">
        <f t="shared" si="16"/>
        <v>6.74</v>
      </c>
      <c r="AF27">
        <f t="shared" si="16"/>
        <v>6.96</v>
      </c>
      <c r="AG27">
        <f t="shared" si="16"/>
        <v>7.19</v>
      </c>
      <c r="AH27">
        <f t="shared" si="16"/>
        <v>7.42</v>
      </c>
      <c r="AI27">
        <f t="shared" si="16"/>
        <v>7.65</v>
      </c>
      <c r="AJ27">
        <f t="shared" si="16"/>
        <v>7.88</v>
      </c>
      <c r="AK27">
        <f t="shared" si="16"/>
        <v>8.11</v>
      </c>
      <c r="AL27">
        <f t="shared" si="16"/>
        <v>8.34</v>
      </c>
      <c r="AM27">
        <f t="shared" si="16"/>
        <v>8.56</v>
      </c>
      <c r="AN27">
        <f t="shared" si="16"/>
        <v>8.7899999999999991</v>
      </c>
      <c r="AO27">
        <f t="shared" si="16"/>
        <v>8.7899999999999991</v>
      </c>
      <c r="AP27">
        <f t="shared" si="16"/>
        <v>8.7899999999999991</v>
      </c>
      <c r="AQ27">
        <f t="shared" si="16"/>
        <v>8.7899999999999991</v>
      </c>
      <c r="AR27">
        <f t="shared" si="16"/>
        <v>8.7899999999999991</v>
      </c>
      <c r="AS27">
        <f t="shared" si="16"/>
        <v>8.7899999999999991</v>
      </c>
      <c r="AT27">
        <f t="shared" si="16"/>
        <v>8.7899999999999991</v>
      </c>
      <c r="AU27">
        <f t="shared" si="16"/>
        <v>8.7899999999999991</v>
      </c>
      <c r="AV27">
        <f t="shared" si="16"/>
        <v>8.7899999999999991</v>
      </c>
      <c r="AW27">
        <f t="shared" si="16"/>
        <v>8.7899999999999991</v>
      </c>
      <c r="AX27">
        <f t="shared" si="16"/>
        <v>8.7899999999999991</v>
      </c>
      <c r="AY27">
        <f t="shared" si="16"/>
        <v>8.7899999999999991</v>
      </c>
      <c r="AZ27">
        <f t="shared" si="16"/>
        <v>8.7899999999999991</v>
      </c>
      <c r="BA27">
        <f t="shared" si="16"/>
        <v>8.7899999999999991</v>
      </c>
      <c r="BB27">
        <f t="shared" si="16"/>
        <v>8.7899999999999991</v>
      </c>
      <c r="BC27">
        <f t="shared" si="16"/>
        <v>8.7899999999999991</v>
      </c>
      <c r="BD27">
        <f t="shared" si="16"/>
        <v>8.7899999999999991</v>
      </c>
      <c r="BE27">
        <f t="shared" si="16"/>
        <v>8.7899999999999991</v>
      </c>
      <c r="BF27">
        <f t="shared" si="16"/>
        <v>8.7899999999999991</v>
      </c>
      <c r="BG27">
        <f t="shared" si="16"/>
        <v>8.7899999999999991</v>
      </c>
      <c r="BH27">
        <f t="shared" si="16"/>
        <v>8.7899999999999991</v>
      </c>
    </row>
    <row r="28" spans="1:60" collapsed="1">
      <c r="A28" t="s">
        <v>151</v>
      </c>
      <c r="C28">
        <f>SUM(C29:C53)</f>
        <v>165.2</v>
      </c>
      <c r="D28">
        <f t="shared" ref="D28:BH28" si="17">SUM(D29:D53)</f>
        <v>145.71</v>
      </c>
      <c r="E28">
        <f t="shared" si="17"/>
        <v>147.93</v>
      </c>
      <c r="F28">
        <f t="shared" si="17"/>
        <v>127.29</v>
      </c>
      <c r="G28">
        <f t="shared" si="17"/>
        <v>301.19</v>
      </c>
      <c r="H28">
        <f t="shared" si="17"/>
        <v>234.36</v>
      </c>
      <c r="I28">
        <f t="shared" si="17"/>
        <v>178.72</v>
      </c>
      <c r="J28">
        <f t="shared" si="17"/>
        <v>65.510000000000005</v>
      </c>
      <c r="K28">
        <f t="shared" si="17"/>
        <v>112.12</v>
      </c>
      <c r="L28">
        <f t="shared" si="17"/>
        <v>111.13999999999999</v>
      </c>
      <c r="M28">
        <f t="shared" si="17"/>
        <v>109.00999999999999</v>
      </c>
      <c r="N28">
        <f t="shared" si="17"/>
        <v>106.88</v>
      </c>
      <c r="O28">
        <f t="shared" si="17"/>
        <v>104.75</v>
      </c>
      <c r="P28">
        <f t="shared" si="17"/>
        <v>102.62</v>
      </c>
      <c r="Q28">
        <f t="shared" si="17"/>
        <v>100.49</v>
      </c>
      <c r="R28">
        <f t="shared" si="17"/>
        <v>98.359999999999985</v>
      </c>
      <c r="S28">
        <f t="shared" si="17"/>
        <v>96.22999999999999</v>
      </c>
      <c r="T28">
        <f t="shared" si="17"/>
        <v>94.100000000000009</v>
      </c>
      <c r="U28">
        <f t="shared" si="17"/>
        <v>91.97</v>
      </c>
      <c r="V28">
        <f t="shared" si="17"/>
        <v>89.84</v>
      </c>
      <c r="W28">
        <f t="shared" si="17"/>
        <v>87.710000000000008</v>
      </c>
      <c r="X28">
        <f t="shared" si="17"/>
        <v>85.580000000000013</v>
      </c>
      <c r="Y28">
        <f t="shared" si="17"/>
        <v>83.449999999999989</v>
      </c>
      <c r="Z28">
        <f t="shared" si="17"/>
        <v>81.320000000000007</v>
      </c>
      <c r="AA28">
        <f t="shared" si="17"/>
        <v>79.19</v>
      </c>
      <c r="AB28">
        <f t="shared" si="17"/>
        <v>77.06</v>
      </c>
      <c r="AC28">
        <f t="shared" si="17"/>
        <v>74.929999999999993</v>
      </c>
      <c r="AD28">
        <f t="shared" si="17"/>
        <v>72.8</v>
      </c>
      <c r="AE28">
        <f t="shared" si="17"/>
        <v>70.669999999999987</v>
      </c>
      <c r="AF28">
        <f t="shared" si="17"/>
        <v>68.539999999999992</v>
      </c>
      <c r="AG28">
        <f t="shared" si="17"/>
        <v>66.41</v>
      </c>
      <c r="AH28">
        <f t="shared" si="17"/>
        <v>64.28</v>
      </c>
      <c r="AI28">
        <f t="shared" si="17"/>
        <v>62.15</v>
      </c>
      <c r="AJ28">
        <f t="shared" si="17"/>
        <v>60.019999999999996</v>
      </c>
      <c r="AK28">
        <f t="shared" si="17"/>
        <v>57.89</v>
      </c>
      <c r="AL28">
        <f t="shared" si="17"/>
        <v>55.760000000000005</v>
      </c>
      <c r="AM28">
        <f t="shared" si="17"/>
        <v>53.63</v>
      </c>
      <c r="AN28">
        <f t="shared" si="17"/>
        <v>51.5</v>
      </c>
      <c r="AO28">
        <f t="shared" si="17"/>
        <v>51.5</v>
      </c>
      <c r="AP28">
        <f t="shared" si="17"/>
        <v>51.5</v>
      </c>
      <c r="AQ28">
        <f t="shared" si="17"/>
        <v>51.5</v>
      </c>
      <c r="AR28">
        <f t="shared" si="17"/>
        <v>51.5</v>
      </c>
      <c r="AS28">
        <f t="shared" si="17"/>
        <v>51.5</v>
      </c>
      <c r="AT28">
        <f t="shared" si="17"/>
        <v>51.5</v>
      </c>
      <c r="AU28">
        <f t="shared" si="17"/>
        <v>51.5</v>
      </c>
      <c r="AV28">
        <f t="shared" si="17"/>
        <v>51.5</v>
      </c>
      <c r="AW28">
        <f t="shared" si="17"/>
        <v>51.5</v>
      </c>
      <c r="AX28">
        <f t="shared" si="17"/>
        <v>51.5</v>
      </c>
      <c r="AY28">
        <f t="shared" si="17"/>
        <v>51.5</v>
      </c>
      <c r="AZ28">
        <f t="shared" si="17"/>
        <v>51.5</v>
      </c>
      <c r="BA28">
        <f t="shared" si="17"/>
        <v>51.5</v>
      </c>
      <c r="BB28">
        <f t="shared" si="17"/>
        <v>51.5</v>
      </c>
      <c r="BC28">
        <f t="shared" si="17"/>
        <v>51.5</v>
      </c>
      <c r="BD28">
        <f t="shared" si="17"/>
        <v>51.5</v>
      </c>
      <c r="BE28">
        <f t="shared" si="17"/>
        <v>51.5</v>
      </c>
      <c r="BF28">
        <f t="shared" si="17"/>
        <v>51.5</v>
      </c>
      <c r="BG28">
        <f t="shared" si="17"/>
        <v>51.5</v>
      </c>
      <c r="BH28">
        <f t="shared" si="17"/>
        <v>51.5</v>
      </c>
    </row>
    <row r="29" spans="1:60" hidden="1" outlineLevel="1">
      <c r="B29" t="s">
        <v>126</v>
      </c>
    </row>
    <row r="30" spans="1:60" hidden="1" outlineLevel="1">
      <c r="B30" t="s">
        <v>127</v>
      </c>
    </row>
    <row r="31" spans="1:60" hidden="1" outlineLevel="1">
      <c r="B31" t="s">
        <v>128</v>
      </c>
    </row>
    <row r="32" spans="1:60" hidden="1" outlineLevel="1">
      <c r="B32" t="s">
        <v>129</v>
      </c>
    </row>
    <row r="33" spans="2:60" hidden="1" outlineLevel="1">
      <c r="B33" t="s">
        <v>130</v>
      </c>
    </row>
    <row r="34" spans="2:60" hidden="1" outlineLevel="1">
      <c r="B34" t="s">
        <v>131</v>
      </c>
    </row>
    <row r="35" spans="2:60" hidden="1" outlineLevel="1">
      <c r="B35" t="s">
        <v>132</v>
      </c>
    </row>
    <row r="36" spans="2:60" hidden="1" outlineLevel="1">
      <c r="B36" t="s">
        <v>133</v>
      </c>
    </row>
    <row r="37" spans="2:60" hidden="1" outlineLevel="1">
      <c r="B37" t="s">
        <v>134</v>
      </c>
    </row>
    <row r="38" spans="2:60" hidden="1" outlineLevel="1">
      <c r="B38" t="s">
        <v>135</v>
      </c>
    </row>
    <row r="39" spans="2:60" hidden="1" outlineLevel="1">
      <c r="B39" t="s">
        <v>136</v>
      </c>
    </row>
    <row r="40" spans="2:60" hidden="1" outlineLevel="1">
      <c r="B40" t="s">
        <v>137</v>
      </c>
    </row>
    <row r="41" spans="2:60" hidden="1" outlineLevel="1">
      <c r="B41" t="s">
        <v>138</v>
      </c>
      <c r="C41">
        <f>C302</f>
        <v>5.86</v>
      </c>
      <c r="D41">
        <f t="shared" ref="D41:BH41" si="18">D302</f>
        <v>6</v>
      </c>
      <c r="E41">
        <f t="shared" si="18"/>
        <v>6.41</v>
      </c>
      <c r="F41">
        <f t="shared" si="18"/>
        <v>6.82</v>
      </c>
      <c r="G41">
        <f t="shared" si="18"/>
        <v>7.05</v>
      </c>
      <c r="H41">
        <f t="shared" si="18"/>
        <v>7.31</v>
      </c>
      <c r="I41">
        <f t="shared" si="18"/>
        <v>7.66</v>
      </c>
      <c r="J41">
        <f t="shared" si="18"/>
        <v>9.5299999999999994</v>
      </c>
      <c r="K41">
        <f t="shared" si="18"/>
        <v>28.99</v>
      </c>
      <c r="L41">
        <f t="shared" si="18"/>
        <v>28.78</v>
      </c>
      <c r="M41">
        <f t="shared" si="18"/>
        <v>28.47</v>
      </c>
      <c r="N41">
        <f t="shared" si="18"/>
        <v>28.17</v>
      </c>
      <c r="O41">
        <f t="shared" si="18"/>
        <v>27.86</v>
      </c>
      <c r="P41">
        <f t="shared" si="18"/>
        <v>27.56</v>
      </c>
      <c r="Q41">
        <f t="shared" si="18"/>
        <v>27.25</v>
      </c>
      <c r="R41">
        <f t="shared" si="18"/>
        <v>26.95</v>
      </c>
      <c r="S41">
        <f t="shared" si="18"/>
        <v>26.64</v>
      </c>
      <c r="T41">
        <f t="shared" si="18"/>
        <v>26.34</v>
      </c>
      <c r="U41">
        <f t="shared" si="18"/>
        <v>26.03</v>
      </c>
      <c r="V41">
        <f t="shared" si="18"/>
        <v>25.73</v>
      </c>
      <c r="W41">
        <f t="shared" si="18"/>
        <v>25.42</v>
      </c>
      <c r="X41">
        <f t="shared" si="18"/>
        <v>25.12</v>
      </c>
      <c r="Y41">
        <f t="shared" si="18"/>
        <v>24.81</v>
      </c>
      <c r="Z41">
        <f t="shared" si="18"/>
        <v>24.51</v>
      </c>
      <c r="AA41">
        <f t="shared" si="18"/>
        <v>24.2</v>
      </c>
      <c r="AB41">
        <f t="shared" si="18"/>
        <v>23.9</v>
      </c>
      <c r="AC41">
        <f t="shared" si="18"/>
        <v>23.6</v>
      </c>
      <c r="AD41">
        <f t="shared" si="18"/>
        <v>23.29</v>
      </c>
      <c r="AE41">
        <f t="shared" si="18"/>
        <v>22.99</v>
      </c>
      <c r="AF41">
        <f t="shared" si="18"/>
        <v>22.68</v>
      </c>
      <c r="AG41">
        <f t="shared" si="18"/>
        <v>22.38</v>
      </c>
      <c r="AH41">
        <f t="shared" si="18"/>
        <v>22.07</v>
      </c>
      <c r="AI41">
        <f t="shared" si="18"/>
        <v>21.77</v>
      </c>
      <c r="AJ41">
        <f t="shared" si="18"/>
        <v>21.46</v>
      </c>
      <c r="AK41">
        <f t="shared" si="18"/>
        <v>21.16</v>
      </c>
      <c r="AL41">
        <f t="shared" si="18"/>
        <v>20.85</v>
      </c>
      <c r="AM41">
        <f t="shared" si="18"/>
        <v>20.55</v>
      </c>
      <c r="AN41">
        <f t="shared" si="18"/>
        <v>20.239999999999998</v>
      </c>
      <c r="AO41">
        <f t="shared" si="18"/>
        <v>20.239999999999998</v>
      </c>
      <c r="AP41">
        <f t="shared" si="18"/>
        <v>20.239999999999998</v>
      </c>
      <c r="AQ41">
        <f t="shared" si="18"/>
        <v>20.239999999999998</v>
      </c>
      <c r="AR41">
        <f t="shared" si="18"/>
        <v>20.239999999999998</v>
      </c>
      <c r="AS41">
        <f t="shared" si="18"/>
        <v>20.239999999999998</v>
      </c>
      <c r="AT41">
        <f t="shared" si="18"/>
        <v>20.239999999999998</v>
      </c>
      <c r="AU41">
        <f t="shared" si="18"/>
        <v>20.239999999999998</v>
      </c>
      <c r="AV41">
        <f t="shared" si="18"/>
        <v>20.239999999999998</v>
      </c>
      <c r="AW41">
        <f t="shared" si="18"/>
        <v>20.239999999999998</v>
      </c>
      <c r="AX41">
        <f t="shared" si="18"/>
        <v>20.239999999999998</v>
      </c>
      <c r="AY41">
        <f t="shared" si="18"/>
        <v>20.239999999999998</v>
      </c>
      <c r="AZ41">
        <f t="shared" si="18"/>
        <v>20.239999999999998</v>
      </c>
      <c r="BA41">
        <f t="shared" si="18"/>
        <v>20.239999999999998</v>
      </c>
      <c r="BB41">
        <f t="shared" si="18"/>
        <v>20.239999999999998</v>
      </c>
      <c r="BC41">
        <f t="shared" si="18"/>
        <v>20.239999999999998</v>
      </c>
      <c r="BD41">
        <f t="shared" si="18"/>
        <v>20.239999999999998</v>
      </c>
      <c r="BE41">
        <f t="shared" si="18"/>
        <v>20.239999999999998</v>
      </c>
      <c r="BF41">
        <f t="shared" si="18"/>
        <v>20.239999999999998</v>
      </c>
      <c r="BG41">
        <f t="shared" si="18"/>
        <v>20.239999999999998</v>
      </c>
      <c r="BH41">
        <f t="shared" si="18"/>
        <v>20.239999999999998</v>
      </c>
    </row>
    <row r="42" spans="2:60" hidden="1" outlineLevel="1">
      <c r="B42" t="s">
        <v>139</v>
      </c>
      <c r="C42">
        <f>C309</f>
        <v>65.13</v>
      </c>
      <c r="D42">
        <f t="shared" ref="D42:BH42" si="19">D309</f>
        <v>68.7</v>
      </c>
      <c r="E42">
        <f t="shared" si="19"/>
        <v>63.35</v>
      </c>
      <c r="F42">
        <f t="shared" si="19"/>
        <v>63.52</v>
      </c>
      <c r="G42">
        <f t="shared" si="19"/>
        <v>63.75</v>
      </c>
      <c r="H42">
        <f t="shared" si="19"/>
        <v>47.43</v>
      </c>
      <c r="I42">
        <f t="shared" si="19"/>
        <v>57.03</v>
      </c>
      <c r="J42">
        <f t="shared" si="19"/>
        <v>44.56</v>
      </c>
      <c r="K42">
        <f t="shared" si="19"/>
        <v>48.39</v>
      </c>
      <c r="L42">
        <f t="shared" si="19"/>
        <v>47.88</v>
      </c>
      <c r="M42">
        <f t="shared" si="19"/>
        <v>46.42</v>
      </c>
      <c r="N42">
        <f t="shared" si="19"/>
        <v>44.96</v>
      </c>
      <c r="O42">
        <f t="shared" si="19"/>
        <v>43.5</v>
      </c>
      <c r="P42">
        <f t="shared" si="19"/>
        <v>42.04</v>
      </c>
      <c r="Q42">
        <f t="shared" si="19"/>
        <v>40.58</v>
      </c>
      <c r="R42">
        <f t="shared" si="19"/>
        <v>39.119999999999997</v>
      </c>
      <c r="S42">
        <f t="shared" si="19"/>
        <v>37.659999999999997</v>
      </c>
      <c r="T42">
        <f t="shared" si="19"/>
        <v>36.200000000000003</v>
      </c>
      <c r="U42">
        <f t="shared" si="19"/>
        <v>34.74</v>
      </c>
      <c r="V42">
        <f t="shared" si="19"/>
        <v>33.28</v>
      </c>
      <c r="W42">
        <f t="shared" si="19"/>
        <v>31.82</v>
      </c>
      <c r="X42">
        <f t="shared" si="19"/>
        <v>30.36</v>
      </c>
      <c r="Y42">
        <f t="shared" si="19"/>
        <v>28.9</v>
      </c>
      <c r="Z42">
        <f t="shared" si="19"/>
        <v>27.44</v>
      </c>
      <c r="AA42">
        <f t="shared" si="19"/>
        <v>25.98</v>
      </c>
      <c r="AB42">
        <f t="shared" si="19"/>
        <v>24.52</v>
      </c>
      <c r="AC42">
        <f t="shared" si="19"/>
        <v>23.06</v>
      </c>
      <c r="AD42">
        <f t="shared" si="19"/>
        <v>21.6</v>
      </c>
      <c r="AE42">
        <f t="shared" si="19"/>
        <v>20.14</v>
      </c>
      <c r="AF42">
        <f t="shared" si="19"/>
        <v>18.68</v>
      </c>
      <c r="AG42">
        <f t="shared" si="19"/>
        <v>17.22</v>
      </c>
      <c r="AH42">
        <f t="shared" si="19"/>
        <v>15.76</v>
      </c>
      <c r="AI42">
        <f t="shared" si="19"/>
        <v>14.3</v>
      </c>
      <c r="AJ42">
        <f t="shared" si="19"/>
        <v>12.84</v>
      </c>
      <c r="AK42">
        <f t="shared" si="19"/>
        <v>11.38</v>
      </c>
      <c r="AL42">
        <f t="shared" si="19"/>
        <v>9.92</v>
      </c>
      <c r="AM42">
        <f t="shared" si="19"/>
        <v>8.4600000000000009</v>
      </c>
      <c r="AN42">
        <f t="shared" si="19"/>
        <v>7</v>
      </c>
      <c r="AO42">
        <f t="shared" si="19"/>
        <v>7</v>
      </c>
      <c r="AP42">
        <f t="shared" si="19"/>
        <v>7</v>
      </c>
      <c r="AQ42">
        <f t="shared" si="19"/>
        <v>7</v>
      </c>
      <c r="AR42">
        <f t="shared" si="19"/>
        <v>7</v>
      </c>
      <c r="AS42">
        <f t="shared" si="19"/>
        <v>7</v>
      </c>
      <c r="AT42">
        <f t="shared" si="19"/>
        <v>7</v>
      </c>
      <c r="AU42">
        <f t="shared" si="19"/>
        <v>7</v>
      </c>
      <c r="AV42">
        <f t="shared" si="19"/>
        <v>7</v>
      </c>
      <c r="AW42">
        <f t="shared" si="19"/>
        <v>7</v>
      </c>
      <c r="AX42">
        <f t="shared" si="19"/>
        <v>7</v>
      </c>
      <c r="AY42">
        <f t="shared" si="19"/>
        <v>7</v>
      </c>
      <c r="AZ42">
        <f t="shared" si="19"/>
        <v>7</v>
      </c>
      <c r="BA42">
        <f t="shared" si="19"/>
        <v>7</v>
      </c>
      <c r="BB42">
        <f t="shared" si="19"/>
        <v>7</v>
      </c>
      <c r="BC42">
        <f t="shared" si="19"/>
        <v>7</v>
      </c>
      <c r="BD42">
        <f t="shared" si="19"/>
        <v>7</v>
      </c>
      <c r="BE42">
        <f t="shared" si="19"/>
        <v>7</v>
      </c>
      <c r="BF42">
        <f t="shared" si="19"/>
        <v>7</v>
      </c>
      <c r="BG42">
        <f t="shared" si="19"/>
        <v>7</v>
      </c>
      <c r="BH42">
        <f t="shared" si="19"/>
        <v>7</v>
      </c>
    </row>
    <row r="43" spans="2:60" hidden="1" outlineLevel="1">
      <c r="B43" t="s">
        <v>140</v>
      </c>
    </row>
    <row r="44" spans="2:60" hidden="1" outlineLevel="1">
      <c r="B44" t="s">
        <v>141</v>
      </c>
    </row>
    <row r="45" spans="2:60" hidden="1" outlineLevel="1">
      <c r="B45" t="s">
        <v>142</v>
      </c>
    </row>
    <row r="46" spans="2:60" hidden="1" outlineLevel="1">
      <c r="B46" t="s">
        <v>143</v>
      </c>
    </row>
    <row r="47" spans="2:60" hidden="1" outlineLevel="1">
      <c r="B47" t="s">
        <v>144</v>
      </c>
    </row>
    <row r="48" spans="2:60" hidden="1" outlineLevel="1">
      <c r="B48" t="s">
        <v>145</v>
      </c>
    </row>
    <row r="49" spans="1:60" hidden="1" outlineLevel="1">
      <c r="B49" t="s">
        <v>146</v>
      </c>
    </row>
    <row r="50" spans="1:60" hidden="1" outlineLevel="1">
      <c r="B50" t="s">
        <v>147</v>
      </c>
      <c r="C50">
        <f>C335+C341</f>
        <v>94.21</v>
      </c>
      <c r="D50">
        <f t="shared" ref="D50:BH50" si="20">D335+D341</f>
        <v>71.010000000000005</v>
      </c>
      <c r="E50">
        <f t="shared" si="20"/>
        <v>78.17</v>
      </c>
      <c r="F50">
        <f t="shared" si="20"/>
        <v>56.95</v>
      </c>
      <c r="G50">
        <f t="shared" si="20"/>
        <v>230.39</v>
      </c>
      <c r="H50">
        <f t="shared" si="20"/>
        <v>179.62</v>
      </c>
      <c r="I50">
        <f t="shared" si="20"/>
        <v>114.03</v>
      </c>
      <c r="J50">
        <f t="shared" si="20"/>
        <v>11.42</v>
      </c>
      <c r="K50">
        <f t="shared" si="20"/>
        <v>34.74</v>
      </c>
      <c r="L50">
        <f t="shared" si="20"/>
        <v>34.479999999999997</v>
      </c>
      <c r="M50">
        <f t="shared" si="20"/>
        <v>34.119999999999997</v>
      </c>
      <c r="N50">
        <f t="shared" si="20"/>
        <v>33.75</v>
      </c>
      <c r="O50">
        <f t="shared" si="20"/>
        <v>33.39</v>
      </c>
      <c r="P50">
        <f t="shared" si="20"/>
        <v>33.020000000000003</v>
      </c>
      <c r="Q50">
        <f t="shared" si="20"/>
        <v>32.659999999999997</v>
      </c>
      <c r="R50">
        <f t="shared" si="20"/>
        <v>32.29</v>
      </c>
      <c r="S50">
        <f t="shared" si="20"/>
        <v>31.93</v>
      </c>
      <c r="T50">
        <f t="shared" si="20"/>
        <v>31.56</v>
      </c>
      <c r="U50">
        <f t="shared" si="20"/>
        <v>31.2</v>
      </c>
      <c r="V50">
        <f t="shared" si="20"/>
        <v>30.83</v>
      </c>
      <c r="W50">
        <f t="shared" si="20"/>
        <v>30.47</v>
      </c>
      <c r="X50">
        <f t="shared" si="20"/>
        <v>30.1</v>
      </c>
      <c r="Y50">
        <f t="shared" si="20"/>
        <v>29.74</v>
      </c>
      <c r="Z50">
        <f t="shared" si="20"/>
        <v>29.37</v>
      </c>
      <c r="AA50">
        <f t="shared" si="20"/>
        <v>29.01</v>
      </c>
      <c r="AB50">
        <f t="shared" si="20"/>
        <v>28.64</v>
      </c>
      <c r="AC50">
        <f t="shared" si="20"/>
        <v>28.27</v>
      </c>
      <c r="AD50">
        <f t="shared" si="20"/>
        <v>27.91</v>
      </c>
      <c r="AE50">
        <f t="shared" si="20"/>
        <v>27.54</v>
      </c>
      <c r="AF50">
        <f t="shared" si="20"/>
        <v>27.18</v>
      </c>
      <c r="AG50">
        <f t="shared" si="20"/>
        <v>26.81</v>
      </c>
      <c r="AH50">
        <f t="shared" si="20"/>
        <v>26.45</v>
      </c>
      <c r="AI50">
        <f t="shared" si="20"/>
        <v>26.08</v>
      </c>
      <c r="AJ50">
        <f t="shared" si="20"/>
        <v>25.72</v>
      </c>
      <c r="AK50">
        <f t="shared" si="20"/>
        <v>25.35</v>
      </c>
      <c r="AL50">
        <f t="shared" si="20"/>
        <v>24.99</v>
      </c>
      <c r="AM50">
        <f t="shared" si="20"/>
        <v>24.62</v>
      </c>
      <c r="AN50">
        <f t="shared" si="20"/>
        <v>24.26</v>
      </c>
      <c r="AO50">
        <f t="shared" si="20"/>
        <v>24.26</v>
      </c>
      <c r="AP50">
        <f t="shared" si="20"/>
        <v>24.26</v>
      </c>
      <c r="AQ50">
        <f t="shared" si="20"/>
        <v>24.26</v>
      </c>
      <c r="AR50">
        <f t="shared" si="20"/>
        <v>24.26</v>
      </c>
      <c r="AS50">
        <f t="shared" si="20"/>
        <v>24.26</v>
      </c>
      <c r="AT50">
        <f t="shared" si="20"/>
        <v>24.26</v>
      </c>
      <c r="AU50">
        <f t="shared" si="20"/>
        <v>24.26</v>
      </c>
      <c r="AV50">
        <f t="shared" si="20"/>
        <v>24.26</v>
      </c>
      <c r="AW50">
        <f t="shared" si="20"/>
        <v>24.26</v>
      </c>
      <c r="AX50">
        <f t="shared" si="20"/>
        <v>24.26</v>
      </c>
      <c r="AY50">
        <f t="shared" si="20"/>
        <v>24.26</v>
      </c>
      <c r="AZ50">
        <f t="shared" si="20"/>
        <v>24.26</v>
      </c>
      <c r="BA50">
        <f t="shared" si="20"/>
        <v>24.26</v>
      </c>
      <c r="BB50">
        <f t="shared" si="20"/>
        <v>24.26</v>
      </c>
      <c r="BC50">
        <f t="shared" si="20"/>
        <v>24.26</v>
      </c>
      <c r="BD50">
        <f t="shared" si="20"/>
        <v>24.26</v>
      </c>
      <c r="BE50">
        <f t="shared" si="20"/>
        <v>24.26</v>
      </c>
      <c r="BF50">
        <f t="shared" si="20"/>
        <v>24.26</v>
      </c>
      <c r="BG50">
        <f t="shared" si="20"/>
        <v>24.26</v>
      </c>
      <c r="BH50">
        <f t="shared" si="20"/>
        <v>24.26</v>
      </c>
    </row>
    <row r="51" spans="1:60" hidden="1" outlineLevel="1">
      <c r="B51" t="s">
        <v>148</v>
      </c>
    </row>
    <row r="52" spans="1:60" hidden="1" outlineLevel="1">
      <c r="B52" t="s">
        <v>149</v>
      </c>
    </row>
    <row r="53" spans="1:60" hidden="1" outlineLevel="1">
      <c r="B53" t="s">
        <v>150</v>
      </c>
    </row>
    <row r="54" spans="1:60" collapsed="1">
      <c r="A54" t="s">
        <v>152</v>
      </c>
      <c r="C54">
        <f>SUM(C55:C79)</f>
        <v>1205.125</v>
      </c>
      <c r="D54">
        <f t="shared" ref="D54:BH54" si="21">SUM(D55:D79)</f>
        <v>1216.4850000000001</v>
      </c>
      <c r="E54">
        <f t="shared" si="21"/>
        <v>1205.4349999999999</v>
      </c>
      <c r="F54">
        <f t="shared" si="21"/>
        <v>1250.28</v>
      </c>
      <c r="G54">
        <f t="shared" si="21"/>
        <v>1371.9299999999998</v>
      </c>
      <c r="H54">
        <f t="shared" si="21"/>
        <v>1018.2900000000002</v>
      </c>
      <c r="I54">
        <f t="shared" si="21"/>
        <v>983.33499999999981</v>
      </c>
      <c r="J54">
        <f t="shared" si="21"/>
        <v>945.61500000000001</v>
      </c>
      <c r="K54">
        <f t="shared" si="21"/>
        <v>1254.3249999999998</v>
      </c>
      <c r="L54">
        <f t="shared" si="21"/>
        <v>1223.1648116092297</v>
      </c>
      <c r="M54">
        <f t="shared" si="21"/>
        <v>1254.5882805626297</v>
      </c>
      <c r="N54">
        <f t="shared" si="21"/>
        <v>1285.1030801500162</v>
      </c>
      <c r="O54">
        <f t="shared" si="21"/>
        <v>1313.0751807364641</v>
      </c>
      <c r="P54">
        <f t="shared" si="21"/>
        <v>1336.3058801189563</v>
      </c>
      <c r="Q54">
        <f t="shared" si="21"/>
        <v>1358.2177049738941</v>
      </c>
      <c r="R54">
        <f t="shared" si="21"/>
        <v>1374.4203452132895</v>
      </c>
      <c r="S54">
        <f t="shared" si="21"/>
        <v>1386.3366351124014</v>
      </c>
      <c r="T54">
        <f t="shared" si="21"/>
        <v>1396.5142292282399</v>
      </c>
      <c r="U54">
        <f t="shared" si="21"/>
        <v>1405.663019589133</v>
      </c>
      <c r="V54">
        <f t="shared" si="21"/>
        <v>1414.4568970704402</v>
      </c>
      <c r="W54">
        <f t="shared" si="21"/>
        <v>1422.7359255634951</v>
      </c>
      <c r="X54">
        <f t="shared" si="21"/>
        <v>1428.2045037939638</v>
      </c>
      <c r="Y54">
        <f t="shared" si="21"/>
        <v>1430.0942709340518</v>
      </c>
      <c r="Z54">
        <f t="shared" si="21"/>
        <v>1431.2457904294827</v>
      </c>
      <c r="AA54">
        <f t="shared" si="21"/>
        <v>1431.6417864887176</v>
      </c>
      <c r="AB54">
        <f t="shared" si="21"/>
        <v>1431.6833734219958</v>
      </c>
      <c r="AC54">
        <f t="shared" si="21"/>
        <v>1431.3119437936214</v>
      </c>
      <c r="AD54">
        <f t="shared" si="21"/>
        <v>1430.5153806216417</v>
      </c>
      <c r="AE54">
        <f t="shared" si="21"/>
        <v>1429.1221444168809</v>
      </c>
      <c r="AF54">
        <f t="shared" si="21"/>
        <v>1427.16303389841</v>
      </c>
      <c r="AG54">
        <f t="shared" si="21"/>
        <v>1424.6457301816135</v>
      </c>
      <c r="AH54">
        <f t="shared" si="21"/>
        <v>1421.521790582744</v>
      </c>
      <c r="AI54">
        <f t="shared" si="21"/>
        <v>1417.865422325091</v>
      </c>
      <c r="AJ54">
        <f t="shared" si="21"/>
        <v>1415.180151307361</v>
      </c>
      <c r="AK54">
        <f t="shared" si="21"/>
        <v>1410.21669006248</v>
      </c>
      <c r="AL54">
        <f t="shared" si="21"/>
        <v>1404.33508168352</v>
      </c>
      <c r="AM54">
        <f t="shared" si="21"/>
        <v>1397.5880369976621</v>
      </c>
      <c r="AN54">
        <f t="shared" si="21"/>
        <v>1391.7756908197771</v>
      </c>
      <c r="AO54">
        <f t="shared" si="21"/>
        <v>1391.7756908197771</v>
      </c>
      <c r="AP54">
        <f t="shared" si="21"/>
        <v>1391.7756908197771</v>
      </c>
      <c r="AQ54">
        <f t="shared" si="21"/>
        <v>1391.7756908197771</v>
      </c>
      <c r="AR54">
        <f t="shared" si="21"/>
        <v>1391.7756908197771</v>
      </c>
      <c r="AS54">
        <f t="shared" si="21"/>
        <v>1391.7756908197771</v>
      </c>
      <c r="AT54">
        <f t="shared" si="21"/>
        <v>1391.7756908197771</v>
      </c>
      <c r="AU54">
        <f t="shared" si="21"/>
        <v>1391.7756908197771</v>
      </c>
      <c r="AV54">
        <f t="shared" si="21"/>
        <v>1391.7756908197771</v>
      </c>
      <c r="AW54">
        <f t="shared" si="21"/>
        <v>1391.7756908197771</v>
      </c>
      <c r="AX54">
        <f t="shared" si="21"/>
        <v>1391.7756908197771</v>
      </c>
      <c r="AY54">
        <f t="shared" si="21"/>
        <v>1391.7756908197771</v>
      </c>
      <c r="AZ54">
        <f t="shared" si="21"/>
        <v>1391.7756908197771</v>
      </c>
      <c r="BA54">
        <f t="shared" si="21"/>
        <v>1391.7756908197771</v>
      </c>
      <c r="BB54">
        <f t="shared" si="21"/>
        <v>1391.7756908197771</v>
      </c>
      <c r="BC54">
        <f t="shared" si="21"/>
        <v>1391.7756908197771</v>
      </c>
      <c r="BD54">
        <f t="shared" si="21"/>
        <v>1391.7756908197771</v>
      </c>
      <c r="BE54">
        <f t="shared" si="21"/>
        <v>1391.7756908197771</v>
      </c>
      <c r="BF54">
        <f t="shared" si="21"/>
        <v>1391.7756908197771</v>
      </c>
      <c r="BG54">
        <f t="shared" si="21"/>
        <v>1391.7756908197771</v>
      </c>
      <c r="BH54">
        <f t="shared" si="21"/>
        <v>1391.7756908197771</v>
      </c>
    </row>
    <row r="55" spans="1:60" hidden="1" outlineLevel="1">
      <c r="B55" t="s">
        <v>126</v>
      </c>
      <c r="C55">
        <f>C244</f>
        <v>0.52</v>
      </c>
      <c r="D55">
        <f t="shared" ref="D55:BH55" si="22">D244</f>
        <v>0.5</v>
      </c>
      <c r="E55">
        <f t="shared" si="22"/>
        <v>0.38</v>
      </c>
      <c r="F55">
        <f t="shared" si="22"/>
        <v>0.39</v>
      </c>
      <c r="G55">
        <f t="shared" si="22"/>
        <v>0</v>
      </c>
      <c r="H55">
        <f t="shared" si="22"/>
        <v>0.32</v>
      </c>
      <c r="I55">
        <f t="shared" si="22"/>
        <v>0.25</v>
      </c>
      <c r="J55">
        <f t="shared" si="22"/>
        <v>0.22</v>
      </c>
      <c r="K55">
        <f t="shared" si="22"/>
        <v>0.34</v>
      </c>
      <c r="L55">
        <f t="shared" si="22"/>
        <v>0.34</v>
      </c>
      <c r="M55">
        <f t="shared" si="22"/>
        <v>0.33</v>
      </c>
      <c r="N55">
        <f t="shared" si="22"/>
        <v>0.31</v>
      </c>
      <c r="O55">
        <f t="shared" si="22"/>
        <v>0.3</v>
      </c>
      <c r="P55">
        <f t="shared" si="22"/>
        <v>0.28999999999999998</v>
      </c>
      <c r="Q55">
        <f t="shared" si="22"/>
        <v>0.27</v>
      </c>
      <c r="R55">
        <f t="shared" si="22"/>
        <v>0.26</v>
      </c>
      <c r="S55">
        <f t="shared" si="22"/>
        <v>0.25</v>
      </c>
      <c r="T55">
        <f t="shared" si="22"/>
        <v>0.23</v>
      </c>
      <c r="U55">
        <f t="shared" si="22"/>
        <v>0.23</v>
      </c>
      <c r="V55">
        <f t="shared" si="22"/>
        <v>0.23</v>
      </c>
      <c r="W55">
        <f t="shared" si="22"/>
        <v>0.23</v>
      </c>
      <c r="X55">
        <f t="shared" si="22"/>
        <v>0.23</v>
      </c>
      <c r="Y55">
        <f t="shared" si="22"/>
        <v>0.23</v>
      </c>
      <c r="Z55">
        <f t="shared" si="22"/>
        <v>0.23</v>
      </c>
      <c r="AA55">
        <f t="shared" si="22"/>
        <v>0.23</v>
      </c>
      <c r="AB55">
        <f t="shared" si="22"/>
        <v>0.23</v>
      </c>
      <c r="AC55">
        <f t="shared" si="22"/>
        <v>0.23</v>
      </c>
      <c r="AD55">
        <f t="shared" si="22"/>
        <v>0.23</v>
      </c>
      <c r="AE55">
        <f t="shared" si="22"/>
        <v>0.23</v>
      </c>
      <c r="AF55">
        <f t="shared" si="22"/>
        <v>0.23</v>
      </c>
      <c r="AG55">
        <f t="shared" si="22"/>
        <v>0.23</v>
      </c>
      <c r="AH55">
        <f t="shared" si="22"/>
        <v>0.23</v>
      </c>
      <c r="AI55">
        <f t="shared" si="22"/>
        <v>0.23</v>
      </c>
      <c r="AJ55">
        <f t="shared" si="22"/>
        <v>0.23</v>
      </c>
      <c r="AK55">
        <f t="shared" si="22"/>
        <v>0.23</v>
      </c>
      <c r="AL55">
        <f t="shared" si="22"/>
        <v>0.23</v>
      </c>
      <c r="AM55">
        <f t="shared" si="22"/>
        <v>0.23</v>
      </c>
      <c r="AN55">
        <f t="shared" si="22"/>
        <v>0.23</v>
      </c>
      <c r="AO55">
        <f t="shared" si="22"/>
        <v>0.23</v>
      </c>
      <c r="AP55">
        <f t="shared" si="22"/>
        <v>0.23</v>
      </c>
      <c r="AQ55">
        <f t="shared" si="22"/>
        <v>0.23</v>
      </c>
      <c r="AR55">
        <f t="shared" si="22"/>
        <v>0.23</v>
      </c>
      <c r="AS55">
        <f t="shared" si="22"/>
        <v>0.23</v>
      </c>
      <c r="AT55">
        <f t="shared" si="22"/>
        <v>0.23</v>
      </c>
      <c r="AU55">
        <f t="shared" si="22"/>
        <v>0.23</v>
      </c>
      <c r="AV55">
        <f t="shared" si="22"/>
        <v>0.23</v>
      </c>
      <c r="AW55">
        <f t="shared" si="22"/>
        <v>0.23</v>
      </c>
      <c r="AX55">
        <f t="shared" si="22"/>
        <v>0.23</v>
      </c>
      <c r="AY55">
        <f t="shared" si="22"/>
        <v>0.23</v>
      </c>
      <c r="AZ55">
        <f t="shared" si="22"/>
        <v>0.23</v>
      </c>
      <c r="BA55">
        <f t="shared" si="22"/>
        <v>0.23</v>
      </c>
      <c r="BB55">
        <f t="shared" si="22"/>
        <v>0.23</v>
      </c>
      <c r="BC55">
        <f t="shared" si="22"/>
        <v>0.23</v>
      </c>
      <c r="BD55">
        <f t="shared" si="22"/>
        <v>0.23</v>
      </c>
      <c r="BE55">
        <f t="shared" si="22"/>
        <v>0.23</v>
      </c>
      <c r="BF55">
        <f t="shared" si="22"/>
        <v>0.23</v>
      </c>
      <c r="BG55">
        <f t="shared" si="22"/>
        <v>0.23</v>
      </c>
      <c r="BH55">
        <f t="shared" si="22"/>
        <v>0.23</v>
      </c>
    </row>
    <row r="56" spans="1:60" hidden="1" outlineLevel="1">
      <c r="B56" t="s">
        <v>127</v>
      </c>
      <c r="C56">
        <f>C249</f>
        <v>1.3904999999999998</v>
      </c>
      <c r="D56">
        <f t="shared" ref="D56:BH56" si="23">D249</f>
        <v>1.008</v>
      </c>
      <c r="E56">
        <f t="shared" si="23"/>
        <v>1.5149999999999999</v>
      </c>
      <c r="F56">
        <f t="shared" si="23"/>
        <v>1.599</v>
      </c>
      <c r="G56">
        <f t="shared" si="23"/>
        <v>1.776</v>
      </c>
      <c r="H56">
        <f t="shared" si="23"/>
        <v>1.845</v>
      </c>
      <c r="I56">
        <f t="shared" si="23"/>
        <v>1.9409999999999998</v>
      </c>
      <c r="J56">
        <f t="shared" si="23"/>
        <v>1.6815</v>
      </c>
      <c r="K56">
        <f t="shared" si="23"/>
        <v>2.2934999999999999</v>
      </c>
      <c r="L56">
        <f t="shared" si="23"/>
        <v>2.3294999999999999</v>
      </c>
      <c r="M56">
        <f t="shared" si="23"/>
        <v>2.3504999999999998</v>
      </c>
      <c r="N56">
        <f t="shared" si="23"/>
        <v>2.3729999999999998</v>
      </c>
      <c r="O56">
        <f t="shared" si="23"/>
        <v>2.3955000000000002</v>
      </c>
      <c r="P56">
        <f t="shared" si="23"/>
        <v>2.4164999999999996</v>
      </c>
      <c r="Q56">
        <f t="shared" si="23"/>
        <v>2.4390000000000001</v>
      </c>
      <c r="R56">
        <f t="shared" si="23"/>
        <v>2.4615</v>
      </c>
      <c r="S56">
        <f t="shared" si="23"/>
        <v>2.4839999999999995</v>
      </c>
      <c r="T56">
        <f t="shared" si="23"/>
        <v>2.5049999999999999</v>
      </c>
      <c r="U56">
        <f t="shared" si="23"/>
        <v>2.5275000000000003</v>
      </c>
      <c r="V56">
        <f t="shared" si="23"/>
        <v>2.5499999999999998</v>
      </c>
      <c r="W56">
        <f t="shared" si="23"/>
        <v>2.5710000000000002</v>
      </c>
      <c r="X56">
        <f t="shared" si="23"/>
        <v>2.5815000000000001</v>
      </c>
      <c r="Y56">
        <f t="shared" si="23"/>
        <v>2.5755000000000003</v>
      </c>
      <c r="Z56">
        <f t="shared" si="23"/>
        <v>2.5680000000000001</v>
      </c>
      <c r="AA56">
        <f t="shared" si="23"/>
        <v>2.5619999999999998</v>
      </c>
      <c r="AB56">
        <f t="shared" si="23"/>
        <v>2.5559999999999996</v>
      </c>
      <c r="AC56">
        <f t="shared" si="23"/>
        <v>2.5484999999999998</v>
      </c>
      <c r="AD56">
        <f t="shared" si="23"/>
        <v>2.5425</v>
      </c>
      <c r="AE56">
        <f t="shared" si="23"/>
        <v>2.5364999999999998</v>
      </c>
      <c r="AF56">
        <f t="shared" si="23"/>
        <v>2.5289999999999999</v>
      </c>
      <c r="AG56">
        <f t="shared" si="23"/>
        <v>2.5230000000000001</v>
      </c>
      <c r="AH56">
        <f t="shared" si="23"/>
        <v>2.5169999999999999</v>
      </c>
      <c r="AI56">
        <f t="shared" si="23"/>
        <v>2.5095000000000001</v>
      </c>
      <c r="AJ56">
        <f t="shared" si="23"/>
        <v>2.5035000000000003</v>
      </c>
      <c r="AK56">
        <f t="shared" si="23"/>
        <v>2.4974999999999996</v>
      </c>
      <c r="AL56">
        <f t="shared" si="23"/>
        <v>2.4900000000000002</v>
      </c>
      <c r="AM56">
        <f t="shared" si="23"/>
        <v>2.4839999999999995</v>
      </c>
      <c r="AN56">
        <f t="shared" si="23"/>
        <v>2.4779999999999998</v>
      </c>
      <c r="AO56">
        <f t="shared" si="23"/>
        <v>2.4779999999999998</v>
      </c>
      <c r="AP56">
        <f t="shared" si="23"/>
        <v>2.4779999999999998</v>
      </c>
      <c r="AQ56">
        <f t="shared" si="23"/>
        <v>2.4779999999999998</v>
      </c>
      <c r="AR56">
        <f t="shared" si="23"/>
        <v>2.4779999999999998</v>
      </c>
      <c r="AS56">
        <f t="shared" si="23"/>
        <v>2.4779999999999998</v>
      </c>
      <c r="AT56">
        <f t="shared" si="23"/>
        <v>2.4779999999999998</v>
      </c>
      <c r="AU56">
        <f t="shared" si="23"/>
        <v>2.4779999999999998</v>
      </c>
      <c r="AV56">
        <f t="shared" si="23"/>
        <v>2.4779999999999998</v>
      </c>
      <c r="AW56">
        <f t="shared" si="23"/>
        <v>2.4779999999999998</v>
      </c>
      <c r="AX56">
        <f t="shared" si="23"/>
        <v>2.4779999999999998</v>
      </c>
      <c r="AY56">
        <f t="shared" si="23"/>
        <v>2.4779999999999998</v>
      </c>
      <c r="AZ56">
        <f t="shared" si="23"/>
        <v>2.4779999999999998</v>
      </c>
      <c r="BA56">
        <f t="shared" si="23"/>
        <v>2.4779999999999998</v>
      </c>
      <c r="BB56">
        <f t="shared" si="23"/>
        <v>2.4779999999999998</v>
      </c>
      <c r="BC56">
        <f t="shared" si="23"/>
        <v>2.4779999999999998</v>
      </c>
      <c r="BD56">
        <f t="shared" si="23"/>
        <v>2.4779999999999998</v>
      </c>
      <c r="BE56">
        <f t="shared" si="23"/>
        <v>2.4779999999999998</v>
      </c>
      <c r="BF56">
        <f t="shared" si="23"/>
        <v>2.4779999999999998</v>
      </c>
      <c r="BG56">
        <f t="shared" si="23"/>
        <v>2.4779999999999998</v>
      </c>
      <c r="BH56">
        <f t="shared" si="23"/>
        <v>2.4779999999999998</v>
      </c>
    </row>
    <row r="57" spans="1:60" hidden="1" outlineLevel="1">
      <c r="B57" t="s">
        <v>128</v>
      </c>
    </row>
    <row r="58" spans="1:60" hidden="1" outlineLevel="1">
      <c r="B58" t="s">
        <v>129</v>
      </c>
      <c r="C58">
        <f>C256</f>
        <v>7.8794999999999993</v>
      </c>
      <c r="D58">
        <f t="shared" ref="D58:BH58" si="24">D256</f>
        <v>5.7119999999999997</v>
      </c>
      <c r="E58">
        <f t="shared" si="24"/>
        <v>8.5849999999999991</v>
      </c>
      <c r="F58">
        <f t="shared" si="24"/>
        <v>9.0609999999999999</v>
      </c>
      <c r="G58">
        <f t="shared" si="24"/>
        <v>10.064</v>
      </c>
      <c r="H58">
        <f t="shared" si="24"/>
        <v>10.455</v>
      </c>
      <c r="I58">
        <f t="shared" si="24"/>
        <v>10.998999999999999</v>
      </c>
      <c r="J58">
        <f t="shared" si="24"/>
        <v>9.5285000000000011</v>
      </c>
      <c r="K58">
        <f t="shared" si="24"/>
        <v>12.996499999999999</v>
      </c>
      <c r="L58">
        <f t="shared" si="24"/>
        <v>13.2005</v>
      </c>
      <c r="M58">
        <f t="shared" si="24"/>
        <v>13.3195</v>
      </c>
      <c r="N58">
        <f t="shared" si="24"/>
        <v>13.446999999999999</v>
      </c>
      <c r="O58">
        <f t="shared" si="24"/>
        <v>13.5745</v>
      </c>
      <c r="P58">
        <f t="shared" si="24"/>
        <v>13.693499999999998</v>
      </c>
      <c r="Q58">
        <f t="shared" si="24"/>
        <v>13.821000000000002</v>
      </c>
      <c r="R58">
        <f t="shared" si="24"/>
        <v>13.948499999999999</v>
      </c>
      <c r="S58">
        <f t="shared" si="24"/>
        <v>14.075999999999999</v>
      </c>
      <c r="T58">
        <f t="shared" si="24"/>
        <v>14.194999999999999</v>
      </c>
      <c r="U58">
        <f t="shared" si="24"/>
        <v>14.322500000000002</v>
      </c>
      <c r="V58">
        <f t="shared" si="24"/>
        <v>14.45</v>
      </c>
      <c r="W58">
        <f t="shared" si="24"/>
        <v>14.569000000000001</v>
      </c>
      <c r="X58">
        <f t="shared" si="24"/>
        <v>14.628500000000001</v>
      </c>
      <c r="Y58">
        <f t="shared" si="24"/>
        <v>14.594500000000002</v>
      </c>
      <c r="Z58">
        <f t="shared" si="24"/>
        <v>14.552</v>
      </c>
      <c r="AA58">
        <f t="shared" si="24"/>
        <v>14.517999999999999</v>
      </c>
      <c r="AB58">
        <f t="shared" si="24"/>
        <v>14.483999999999998</v>
      </c>
      <c r="AC58">
        <f t="shared" si="24"/>
        <v>14.441499999999998</v>
      </c>
      <c r="AD58">
        <f t="shared" si="24"/>
        <v>14.407499999999999</v>
      </c>
      <c r="AE58">
        <f t="shared" si="24"/>
        <v>14.3735</v>
      </c>
      <c r="AF58">
        <f t="shared" si="24"/>
        <v>14.331</v>
      </c>
      <c r="AG58">
        <f t="shared" si="24"/>
        <v>14.297000000000001</v>
      </c>
      <c r="AH58">
        <f t="shared" si="24"/>
        <v>14.263</v>
      </c>
      <c r="AI58">
        <f t="shared" si="24"/>
        <v>14.220499999999999</v>
      </c>
      <c r="AJ58">
        <f t="shared" si="24"/>
        <v>14.186500000000001</v>
      </c>
      <c r="AK58">
        <f t="shared" si="24"/>
        <v>14.152499999999998</v>
      </c>
      <c r="AL58">
        <f t="shared" si="24"/>
        <v>14.110000000000001</v>
      </c>
      <c r="AM58">
        <f t="shared" si="24"/>
        <v>14.075999999999999</v>
      </c>
      <c r="AN58">
        <f t="shared" si="24"/>
        <v>14.042</v>
      </c>
      <c r="AO58">
        <f t="shared" si="24"/>
        <v>14.042</v>
      </c>
      <c r="AP58">
        <f t="shared" si="24"/>
        <v>14.042</v>
      </c>
      <c r="AQ58">
        <f t="shared" si="24"/>
        <v>14.042</v>
      </c>
      <c r="AR58">
        <f t="shared" si="24"/>
        <v>14.042</v>
      </c>
      <c r="AS58">
        <f t="shared" si="24"/>
        <v>14.042</v>
      </c>
      <c r="AT58">
        <f t="shared" si="24"/>
        <v>14.042</v>
      </c>
      <c r="AU58">
        <f t="shared" si="24"/>
        <v>14.042</v>
      </c>
      <c r="AV58">
        <f t="shared" si="24"/>
        <v>14.042</v>
      </c>
      <c r="AW58">
        <f t="shared" si="24"/>
        <v>14.042</v>
      </c>
      <c r="AX58">
        <f t="shared" si="24"/>
        <v>14.042</v>
      </c>
      <c r="AY58">
        <f t="shared" si="24"/>
        <v>14.042</v>
      </c>
      <c r="AZ58">
        <f t="shared" si="24"/>
        <v>14.042</v>
      </c>
      <c r="BA58">
        <f t="shared" si="24"/>
        <v>14.042</v>
      </c>
      <c r="BB58">
        <f t="shared" si="24"/>
        <v>14.042</v>
      </c>
      <c r="BC58">
        <f t="shared" si="24"/>
        <v>14.042</v>
      </c>
      <c r="BD58">
        <f t="shared" si="24"/>
        <v>14.042</v>
      </c>
      <c r="BE58">
        <f t="shared" si="24"/>
        <v>14.042</v>
      </c>
      <c r="BF58">
        <f t="shared" si="24"/>
        <v>14.042</v>
      </c>
      <c r="BG58">
        <f t="shared" si="24"/>
        <v>14.042</v>
      </c>
      <c r="BH58">
        <f t="shared" si="24"/>
        <v>14.042</v>
      </c>
    </row>
    <row r="59" spans="1:60" hidden="1" outlineLevel="1">
      <c r="B59" t="s">
        <v>130</v>
      </c>
      <c r="C59">
        <f>C264</f>
        <v>16.489999999999998</v>
      </c>
      <c r="D59">
        <f t="shared" ref="D59:BH59" si="25">D264</f>
        <v>15</v>
      </c>
      <c r="E59">
        <f t="shared" si="25"/>
        <v>16.760000000000002</v>
      </c>
      <c r="F59">
        <f t="shared" si="25"/>
        <v>18.77</v>
      </c>
      <c r="G59">
        <f t="shared" si="25"/>
        <v>20.079999999999998</v>
      </c>
      <c r="H59">
        <f t="shared" si="25"/>
        <v>22.25</v>
      </c>
      <c r="I59">
        <f t="shared" si="25"/>
        <v>24.73</v>
      </c>
      <c r="J59">
        <f t="shared" si="25"/>
        <v>21.44</v>
      </c>
      <c r="K59">
        <f t="shared" si="25"/>
        <v>23.06</v>
      </c>
      <c r="L59">
        <f t="shared" si="25"/>
        <v>24.25</v>
      </c>
      <c r="M59">
        <f t="shared" si="25"/>
        <v>25.27</v>
      </c>
      <c r="N59">
        <f t="shared" si="25"/>
        <v>26.29</v>
      </c>
      <c r="O59">
        <f t="shared" si="25"/>
        <v>27.31</v>
      </c>
      <c r="P59">
        <f t="shared" si="25"/>
        <v>28.330000000000002</v>
      </c>
      <c r="Q59">
        <f t="shared" si="25"/>
        <v>29.34</v>
      </c>
      <c r="R59">
        <f t="shared" si="25"/>
        <v>30.36</v>
      </c>
      <c r="S59">
        <f t="shared" si="25"/>
        <v>31.38</v>
      </c>
      <c r="T59">
        <f t="shared" si="25"/>
        <v>32.409999999999997</v>
      </c>
      <c r="U59">
        <f t="shared" si="25"/>
        <v>33.42</v>
      </c>
      <c r="V59">
        <f t="shared" si="25"/>
        <v>34.450000000000003</v>
      </c>
      <c r="W59">
        <f t="shared" si="25"/>
        <v>35.450000000000003</v>
      </c>
      <c r="X59">
        <f t="shared" si="25"/>
        <v>36.479999999999997</v>
      </c>
      <c r="Y59">
        <f t="shared" si="25"/>
        <v>37.5</v>
      </c>
      <c r="Z59">
        <f t="shared" si="25"/>
        <v>38.519999999999996</v>
      </c>
      <c r="AA59">
        <f t="shared" si="25"/>
        <v>39.54</v>
      </c>
      <c r="AB59">
        <f t="shared" si="25"/>
        <v>40.549999999999997</v>
      </c>
      <c r="AC59">
        <f t="shared" si="25"/>
        <v>41.570000000000007</v>
      </c>
      <c r="AD59">
        <f t="shared" si="25"/>
        <v>42.59</v>
      </c>
      <c r="AE59">
        <f t="shared" si="25"/>
        <v>43.610000000000007</v>
      </c>
      <c r="AF59">
        <f t="shared" si="25"/>
        <v>44.63</v>
      </c>
      <c r="AG59">
        <f t="shared" si="25"/>
        <v>45.65</v>
      </c>
      <c r="AH59">
        <f t="shared" si="25"/>
        <v>46.66</v>
      </c>
      <c r="AI59">
        <f t="shared" si="25"/>
        <v>47.69</v>
      </c>
      <c r="AJ59">
        <f t="shared" si="25"/>
        <v>48.709999999999994</v>
      </c>
      <c r="AK59">
        <f t="shared" si="25"/>
        <v>49.730000000000004</v>
      </c>
      <c r="AL59">
        <f t="shared" si="25"/>
        <v>50.74</v>
      </c>
      <c r="AM59">
        <f t="shared" si="25"/>
        <v>51.760000000000005</v>
      </c>
      <c r="AN59">
        <f t="shared" si="25"/>
        <v>52.78</v>
      </c>
      <c r="AO59">
        <f t="shared" si="25"/>
        <v>52.78</v>
      </c>
      <c r="AP59">
        <f t="shared" si="25"/>
        <v>52.78</v>
      </c>
      <c r="AQ59">
        <f t="shared" si="25"/>
        <v>52.78</v>
      </c>
      <c r="AR59">
        <f t="shared" si="25"/>
        <v>52.78</v>
      </c>
      <c r="AS59">
        <f t="shared" si="25"/>
        <v>52.78</v>
      </c>
      <c r="AT59">
        <f t="shared" si="25"/>
        <v>52.78</v>
      </c>
      <c r="AU59">
        <f t="shared" si="25"/>
        <v>52.78</v>
      </c>
      <c r="AV59">
        <f t="shared" si="25"/>
        <v>52.78</v>
      </c>
      <c r="AW59">
        <f t="shared" si="25"/>
        <v>52.78</v>
      </c>
      <c r="AX59">
        <f t="shared" si="25"/>
        <v>52.78</v>
      </c>
      <c r="AY59">
        <f t="shared" si="25"/>
        <v>52.78</v>
      </c>
      <c r="AZ59">
        <f t="shared" si="25"/>
        <v>52.78</v>
      </c>
      <c r="BA59">
        <f t="shared" si="25"/>
        <v>52.78</v>
      </c>
      <c r="BB59">
        <f t="shared" si="25"/>
        <v>52.78</v>
      </c>
      <c r="BC59">
        <f t="shared" si="25"/>
        <v>52.78</v>
      </c>
      <c r="BD59">
        <f t="shared" si="25"/>
        <v>52.78</v>
      </c>
      <c r="BE59">
        <f t="shared" si="25"/>
        <v>52.78</v>
      </c>
      <c r="BF59">
        <f t="shared" si="25"/>
        <v>52.78</v>
      </c>
      <c r="BG59">
        <f t="shared" si="25"/>
        <v>52.78</v>
      </c>
      <c r="BH59">
        <f t="shared" si="25"/>
        <v>52.78</v>
      </c>
    </row>
    <row r="60" spans="1:60" hidden="1" outlineLevel="1">
      <c r="B60" t="s">
        <v>131</v>
      </c>
      <c r="C60">
        <f>C270</f>
        <v>8.6199999999999992</v>
      </c>
      <c r="D60">
        <f t="shared" ref="D60:BH60" si="26">D270</f>
        <v>8.5500000000000007</v>
      </c>
      <c r="E60">
        <f t="shared" si="26"/>
        <v>9.02</v>
      </c>
      <c r="F60">
        <f t="shared" si="26"/>
        <v>9.06</v>
      </c>
      <c r="G60">
        <f t="shared" si="26"/>
        <v>8.85</v>
      </c>
      <c r="H60">
        <f t="shared" si="26"/>
        <v>9.06</v>
      </c>
      <c r="I60">
        <f t="shared" si="26"/>
        <v>8.5399999999999991</v>
      </c>
      <c r="J60">
        <f t="shared" si="26"/>
        <v>6.07</v>
      </c>
      <c r="K60">
        <f t="shared" si="26"/>
        <v>8.08</v>
      </c>
      <c r="L60">
        <f t="shared" si="26"/>
        <v>8.11</v>
      </c>
      <c r="M60">
        <f t="shared" si="26"/>
        <v>7.8</v>
      </c>
      <c r="N60">
        <f t="shared" si="26"/>
        <v>7.80824007130831</v>
      </c>
      <c r="O60">
        <f t="shared" si="26"/>
        <v>7.8163513915024279</v>
      </c>
      <c r="P60">
        <f t="shared" si="26"/>
        <v>7.8247202139249286</v>
      </c>
      <c r="Q60">
        <f t="shared" si="26"/>
        <v>7.8329602852332378</v>
      </c>
      <c r="R60">
        <f t="shared" si="26"/>
        <v>7.8410716054273539</v>
      </c>
      <c r="S60">
        <f t="shared" si="26"/>
        <v>7.8494404278498573</v>
      </c>
      <c r="T60">
        <f t="shared" si="26"/>
        <v>7.8575517480439725</v>
      </c>
      <c r="U60">
        <f t="shared" si="26"/>
        <v>7.8656630682380895</v>
      </c>
      <c r="V60">
        <f t="shared" si="26"/>
        <v>7.8741606417747843</v>
      </c>
      <c r="W60">
        <f t="shared" si="26"/>
        <v>7.8822719619689003</v>
      </c>
      <c r="X60">
        <f t="shared" si="26"/>
        <v>7.8599980192136254</v>
      </c>
      <c r="Y60">
        <f t="shared" si="26"/>
        <v>7.7965237199168032</v>
      </c>
      <c r="Z60">
        <f t="shared" si="26"/>
        <v>7.7329206695057904</v>
      </c>
      <c r="AA60">
        <f t="shared" si="26"/>
        <v>7.6695751213231631</v>
      </c>
      <c r="AB60">
        <f t="shared" si="26"/>
        <v>7.6061008220263417</v>
      </c>
      <c r="AC60">
        <f t="shared" si="26"/>
        <v>7.5423690205011367</v>
      </c>
      <c r="AD60">
        <f t="shared" si="26"/>
        <v>7.4791522234326999</v>
      </c>
      <c r="AE60">
        <f t="shared" si="26"/>
        <v>7.4156779241358795</v>
      </c>
      <c r="AF60">
        <f t="shared" si="26"/>
        <v>7.3520748737248658</v>
      </c>
      <c r="AG60">
        <f t="shared" si="26"/>
        <v>7.2886005744280462</v>
      </c>
      <c r="AH60">
        <f t="shared" si="26"/>
        <v>7.2252550262454172</v>
      </c>
      <c r="AI60">
        <f t="shared" si="26"/>
        <v>7.1616519758344053</v>
      </c>
      <c r="AJ60">
        <f t="shared" si="26"/>
        <v>7.0981776765375839</v>
      </c>
      <c r="AK60">
        <f t="shared" si="26"/>
        <v>7.0347033772407643</v>
      </c>
      <c r="AL60">
        <f t="shared" si="26"/>
        <v>6.9713578290581362</v>
      </c>
      <c r="AM60">
        <f t="shared" si="26"/>
        <v>6.907111023076161</v>
      </c>
      <c r="AN60">
        <f t="shared" si="26"/>
        <v>6.8429929682083781</v>
      </c>
      <c r="AO60">
        <f t="shared" si="26"/>
        <v>6.8429929682083781</v>
      </c>
      <c r="AP60">
        <f t="shared" si="26"/>
        <v>6.8429929682083781</v>
      </c>
      <c r="AQ60">
        <f t="shared" si="26"/>
        <v>6.8429929682083781</v>
      </c>
      <c r="AR60">
        <f t="shared" si="26"/>
        <v>6.8429929682083781</v>
      </c>
      <c r="AS60">
        <f t="shared" si="26"/>
        <v>6.8429929682083781</v>
      </c>
      <c r="AT60">
        <f t="shared" si="26"/>
        <v>6.8429929682083781</v>
      </c>
      <c r="AU60">
        <f t="shared" si="26"/>
        <v>6.8429929682083781</v>
      </c>
      <c r="AV60">
        <f t="shared" si="26"/>
        <v>6.8429929682083781</v>
      </c>
      <c r="AW60">
        <f t="shared" si="26"/>
        <v>6.8429929682083781</v>
      </c>
      <c r="AX60">
        <f t="shared" si="26"/>
        <v>6.8429929682083781</v>
      </c>
      <c r="AY60">
        <f t="shared" si="26"/>
        <v>6.8429929682083781</v>
      </c>
      <c r="AZ60">
        <f t="shared" si="26"/>
        <v>6.8429929682083781</v>
      </c>
      <c r="BA60">
        <f t="shared" si="26"/>
        <v>6.8429929682083781</v>
      </c>
      <c r="BB60">
        <f t="shared" si="26"/>
        <v>6.8429929682083781</v>
      </c>
      <c r="BC60">
        <f t="shared" si="26"/>
        <v>6.8429929682083781</v>
      </c>
      <c r="BD60">
        <f t="shared" si="26"/>
        <v>6.8429929682083781</v>
      </c>
      <c r="BE60">
        <f t="shared" si="26"/>
        <v>6.8429929682083781</v>
      </c>
      <c r="BF60">
        <f t="shared" si="26"/>
        <v>6.8429929682083781</v>
      </c>
      <c r="BG60">
        <f t="shared" si="26"/>
        <v>6.8429929682083781</v>
      </c>
      <c r="BH60">
        <f t="shared" si="26"/>
        <v>6.8429929682083781</v>
      </c>
    </row>
    <row r="61" spans="1:60" hidden="1" outlineLevel="1">
      <c r="B61" t="s">
        <v>132</v>
      </c>
    </row>
    <row r="62" spans="1:60" hidden="1" outlineLevel="1">
      <c r="B62" t="s">
        <v>133</v>
      </c>
      <c r="C62">
        <f>C277</f>
        <v>32.659999999999997</v>
      </c>
      <c r="D62">
        <f t="shared" ref="D62:BH62" si="27">D277</f>
        <v>30.97</v>
      </c>
      <c r="E62">
        <f t="shared" si="27"/>
        <v>31.97</v>
      </c>
      <c r="F62">
        <f t="shared" si="27"/>
        <v>35.42</v>
      </c>
      <c r="G62">
        <f t="shared" si="27"/>
        <v>33.950000000000003</v>
      </c>
      <c r="H62">
        <f t="shared" si="27"/>
        <v>35.22</v>
      </c>
      <c r="I62">
        <f t="shared" si="27"/>
        <v>36.43</v>
      </c>
      <c r="J62">
        <f t="shared" si="27"/>
        <v>31.57</v>
      </c>
      <c r="K62">
        <f t="shared" si="27"/>
        <v>38.69</v>
      </c>
      <c r="L62">
        <f t="shared" si="27"/>
        <v>39.29</v>
      </c>
      <c r="M62">
        <f t="shared" si="27"/>
        <v>39.659999999999997</v>
      </c>
      <c r="N62">
        <f t="shared" si="27"/>
        <v>40.03</v>
      </c>
      <c r="O62">
        <f t="shared" si="27"/>
        <v>40.409999999999997</v>
      </c>
      <c r="P62">
        <f t="shared" si="27"/>
        <v>40.78</v>
      </c>
      <c r="Q62">
        <f t="shared" si="27"/>
        <v>41.15</v>
      </c>
      <c r="R62">
        <f t="shared" si="27"/>
        <v>41.52</v>
      </c>
      <c r="S62">
        <f t="shared" si="27"/>
        <v>41.89</v>
      </c>
      <c r="T62">
        <f t="shared" si="27"/>
        <v>42.26</v>
      </c>
      <c r="U62">
        <f t="shared" si="27"/>
        <v>42.64</v>
      </c>
      <c r="V62">
        <f t="shared" si="27"/>
        <v>43.01</v>
      </c>
      <c r="W62">
        <f t="shared" si="27"/>
        <v>43.38</v>
      </c>
      <c r="X62">
        <f t="shared" si="27"/>
        <v>43.55</v>
      </c>
      <c r="Y62">
        <f t="shared" si="27"/>
        <v>43.44</v>
      </c>
      <c r="Z62">
        <f t="shared" si="27"/>
        <v>43.33</v>
      </c>
      <c r="AA62">
        <f t="shared" si="27"/>
        <v>43.22</v>
      </c>
      <c r="AB62">
        <f t="shared" si="27"/>
        <v>43.11</v>
      </c>
      <c r="AC62">
        <f t="shared" si="27"/>
        <v>43</v>
      </c>
      <c r="AD62">
        <f t="shared" si="27"/>
        <v>42.89</v>
      </c>
      <c r="AE62">
        <f t="shared" si="27"/>
        <v>42.78</v>
      </c>
      <c r="AF62">
        <f t="shared" si="27"/>
        <v>42.67</v>
      </c>
      <c r="AG62">
        <f t="shared" si="27"/>
        <v>42.56</v>
      </c>
      <c r="AH62">
        <f t="shared" si="27"/>
        <v>42.45</v>
      </c>
      <c r="AI62">
        <f t="shared" si="27"/>
        <v>42.34</v>
      </c>
      <c r="AJ62">
        <f t="shared" si="27"/>
        <v>42.23</v>
      </c>
      <c r="AK62">
        <f t="shared" si="27"/>
        <v>42.12</v>
      </c>
      <c r="AL62">
        <f t="shared" si="27"/>
        <v>42.01</v>
      </c>
      <c r="AM62">
        <f t="shared" si="27"/>
        <v>41.9</v>
      </c>
      <c r="AN62">
        <f t="shared" si="27"/>
        <v>41.79</v>
      </c>
      <c r="AO62">
        <f t="shared" si="27"/>
        <v>41.79</v>
      </c>
      <c r="AP62">
        <f t="shared" si="27"/>
        <v>41.79</v>
      </c>
      <c r="AQ62">
        <f t="shared" si="27"/>
        <v>41.79</v>
      </c>
      <c r="AR62">
        <f t="shared" si="27"/>
        <v>41.79</v>
      </c>
      <c r="AS62">
        <f t="shared" si="27"/>
        <v>41.79</v>
      </c>
      <c r="AT62">
        <f t="shared" si="27"/>
        <v>41.79</v>
      </c>
      <c r="AU62">
        <f t="shared" si="27"/>
        <v>41.79</v>
      </c>
      <c r="AV62">
        <f t="shared" si="27"/>
        <v>41.79</v>
      </c>
      <c r="AW62">
        <f t="shared" si="27"/>
        <v>41.79</v>
      </c>
      <c r="AX62">
        <f t="shared" si="27"/>
        <v>41.79</v>
      </c>
      <c r="AY62">
        <f t="shared" si="27"/>
        <v>41.79</v>
      </c>
      <c r="AZ62">
        <f t="shared" si="27"/>
        <v>41.79</v>
      </c>
      <c r="BA62">
        <f t="shared" si="27"/>
        <v>41.79</v>
      </c>
      <c r="BB62">
        <f t="shared" si="27"/>
        <v>41.79</v>
      </c>
      <c r="BC62">
        <f t="shared" si="27"/>
        <v>41.79</v>
      </c>
      <c r="BD62">
        <f t="shared" si="27"/>
        <v>41.79</v>
      </c>
      <c r="BE62">
        <f t="shared" si="27"/>
        <v>41.79</v>
      </c>
      <c r="BF62">
        <f t="shared" si="27"/>
        <v>41.79</v>
      </c>
      <c r="BG62">
        <f t="shared" si="27"/>
        <v>41.79</v>
      </c>
      <c r="BH62">
        <f t="shared" si="27"/>
        <v>41.79</v>
      </c>
    </row>
    <row r="63" spans="1:60" hidden="1" outlineLevel="1">
      <c r="B63" t="s">
        <v>134</v>
      </c>
      <c r="C63">
        <f>0.5*C$280</f>
        <v>150.11500000000009</v>
      </c>
      <c r="D63">
        <f t="shared" ref="D63:BH63" si="28">0.5*D$280</f>
        <v>145.48500000000004</v>
      </c>
      <c r="E63">
        <f t="shared" si="28"/>
        <v>54.224999999999959</v>
      </c>
      <c r="F63">
        <f t="shared" si="28"/>
        <v>41.209999999999894</v>
      </c>
      <c r="G63">
        <f t="shared" si="28"/>
        <v>60.729999999999848</v>
      </c>
      <c r="H63">
        <f t="shared" si="28"/>
        <v>10.210000000000246</v>
      </c>
      <c r="I63">
        <f t="shared" si="28"/>
        <v>25.634999999999962</v>
      </c>
      <c r="J63">
        <f t="shared" si="28"/>
        <v>20.105000000000025</v>
      </c>
      <c r="K63">
        <f t="shared" si="28"/>
        <v>70.064999999999984</v>
      </c>
      <c r="L63">
        <f t="shared" si="28"/>
        <v>61.754811609229755</v>
      </c>
      <c r="M63">
        <f t="shared" si="28"/>
        <v>62.318280562629745</v>
      </c>
      <c r="N63">
        <f t="shared" si="28"/>
        <v>64.163270305508007</v>
      </c>
      <c r="O63">
        <f t="shared" si="28"/>
        <v>65.735558076267665</v>
      </c>
      <c r="P63">
        <f t="shared" si="28"/>
        <v>68.966450585431545</v>
      </c>
      <c r="Q63">
        <f t="shared" si="28"/>
        <v>73.958465595861171</v>
      </c>
      <c r="R63">
        <f t="shared" si="28"/>
        <v>76.111293019568535</v>
      </c>
      <c r="S63">
        <f t="shared" si="28"/>
        <v>76.267776045351752</v>
      </c>
      <c r="T63">
        <f t="shared" si="28"/>
        <v>76.26555734550243</v>
      </c>
      <c r="U63">
        <f t="shared" si="28"/>
        <v>76.08453489070763</v>
      </c>
      <c r="V63">
        <f t="shared" si="28"/>
        <v>75.70860846986568</v>
      </c>
      <c r="W63">
        <f t="shared" si="28"/>
        <v>75.157824147232787</v>
      </c>
      <c r="X63">
        <f t="shared" si="28"/>
        <v>74.235888363637798</v>
      </c>
      <c r="Y63">
        <f t="shared" si="28"/>
        <v>72.944190712203806</v>
      </c>
      <c r="Z63">
        <f t="shared" si="28"/>
        <v>71.284242444932545</v>
      </c>
      <c r="AA63">
        <f t="shared" si="28"/>
        <v>69.248776683824843</v>
      </c>
      <c r="AB63">
        <f t="shared" si="28"/>
        <v>67.218898825581022</v>
      </c>
      <c r="AC63">
        <f t="shared" si="28"/>
        <v>65.185998463325319</v>
      </c>
      <c r="AD63">
        <f t="shared" si="28"/>
        <v>63.147976442182696</v>
      </c>
      <c r="AE63">
        <f t="shared" si="28"/>
        <v>61.113275445899596</v>
      </c>
      <c r="AF63">
        <f t="shared" si="28"/>
        <v>59.082697164726781</v>
      </c>
      <c r="AG63">
        <f t="shared" si="28"/>
        <v>57.053928656407884</v>
      </c>
      <c r="AH63">
        <f t="shared" si="28"/>
        <v>55.00852723719585</v>
      </c>
      <c r="AI63">
        <f t="shared" si="28"/>
        <v>52.980691216840789</v>
      </c>
      <c r="AJ63">
        <f t="shared" si="28"/>
        <v>50.953955407588595</v>
      </c>
      <c r="AK63">
        <f t="shared" si="28"/>
        <v>48.909029371185504</v>
      </c>
      <c r="AL63">
        <f t="shared" si="28"/>
        <v>46.875959171882997</v>
      </c>
      <c r="AM63">
        <f t="shared" si="28"/>
        <v>44.83743186742565</v>
      </c>
      <c r="AN63">
        <f t="shared" si="28"/>
        <v>42.803606042120393</v>
      </c>
      <c r="AO63">
        <f t="shared" si="28"/>
        <v>42.803606042120393</v>
      </c>
      <c r="AP63">
        <f t="shared" si="28"/>
        <v>42.803606042120393</v>
      </c>
      <c r="AQ63">
        <f t="shared" si="28"/>
        <v>42.803606042120393</v>
      </c>
      <c r="AR63">
        <f t="shared" si="28"/>
        <v>42.803606042120393</v>
      </c>
      <c r="AS63">
        <f t="shared" si="28"/>
        <v>42.803606042120393</v>
      </c>
      <c r="AT63">
        <f t="shared" si="28"/>
        <v>42.803606042120393</v>
      </c>
      <c r="AU63">
        <f t="shared" si="28"/>
        <v>42.803606042120393</v>
      </c>
      <c r="AV63">
        <f t="shared" si="28"/>
        <v>42.803606042120393</v>
      </c>
      <c r="AW63">
        <f t="shared" si="28"/>
        <v>42.803606042120393</v>
      </c>
      <c r="AX63">
        <f t="shared" si="28"/>
        <v>42.803606042120393</v>
      </c>
      <c r="AY63">
        <f t="shared" si="28"/>
        <v>42.803606042120393</v>
      </c>
      <c r="AZ63">
        <f t="shared" si="28"/>
        <v>42.803606042120393</v>
      </c>
      <c r="BA63">
        <f t="shared" si="28"/>
        <v>42.803606042120393</v>
      </c>
      <c r="BB63">
        <f t="shared" si="28"/>
        <v>42.803606042120393</v>
      </c>
      <c r="BC63">
        <f t="shared" si="28"/>
        <v>42.803606042120393</v>
      </c>
      <c r="BD63">
        <f t="shared" si="28"/>
        <v>42.803606042120393</v>
      </c>
      <c r="BE63">
        <f t="shared" si="28"/>
        <v>42.803606042120393</v>
      </c>
      <c r="BF63">
        <f t="shared" si="28"/>
        <v>42.803606042120393</v>
      </c>
      <c r="BG63">
        <f t="shared" si="28"/>
        <v>42.803606042120393</v>
      </c>
      <c r="BH63">
        <f t="shared" si="28"/>
        <v>42.803606042120393</v>
      </c>
    </row>
    <row r="64" spans="1:60" hidden="1" outlineLevel="1">
      <c r="B64" t="s">
        <v>135</v>
      </c>
      <c r="C64">
        <f>C286</f>
        <v>66.290000000000006</v>
      </c>
      <c r="D64">
        <f t="shared" ref="D64:BH64" si="29">D286</f>
        <v>78.48</v>
      </c>
      <c r="E64">
        <f t="shared" si="29"/>
        <v>71.38</v>
      </c>
      <c r="F64">
        <f t="shared" si="29"/>
        <v>73.900000000000006</v>
      </c>
      <c r="G64">
        <f t="shared" si="29"/>
        <v>81.38</v>
      </c>
      <c r="H64">
        <f t="shared" si="29"/>
        <v>85.74</v>
      </c>
      <c r="I64">
        <f t="shared" si="29"/>
        <v>80.739999999999995</v>
      </c>
      <c r="J64">
        <f t="shared" si="29"/>
        <v>78.64</v>
      </c>
      <c r="K64">
        <f t="shared" si="29"/>
        <v>101.28</v>
      </c>
      <c r="L64">
        <f t="shared" si="29"/>
        <v>102.85</v>
      </c>
      <c r="M64">
        <f t="shared" si="29"/>
        <v>103.82</v>
      </c>
      <c r="N64">
        <f t="shared" si="29"/>
        <v>104.8</v>
      </c>
      <c r="O64">
        <f t="shared" si="29"/>
        <v>105.77</v>
      </c>
      <c r="P64">
        <f t="shared" si="29"/>
        <v>106.74</v>
      </c>
      <c r="Q64">
        <f t="shared" si="29"/>
        <v>107.72</v>
      </c>
      <c r="R64">
        <f t="shared" si="29"/>
        <v>108.69</v>
      </c>
      <c r="S64">
        <f t="shared" si="29"/>
        <v>109.66</v>
      </c>
      <c r="T64">
        <f t="shared" si="29"/>
        <v>110.64</v>
      </c>
      <c r="U64">
        <f t="shared" si="29"/>
        <v>111.61</v>
      </c>
      <c r="V64">
        <f t="shared" si="29"/>
        <v>112.58</v>
      </c>
      <c r="W64">
        <f t="shared" si="29"/>
        <v>113.56</v>
      </c>
      <c r="X64">
        <f t="shared" si="29"/>
        <v>113.99</v>
      </c>
      <c r="Y64">
        <f t="shared" si="29"/>
        <v>113.71</v>
      </c>
      <c r="Z64">
        <f t="shared" si="29"/>
        <v>113.42</v>
      </c>
      <c r="AA64">
        <f t="shared" si="29"/>
        <v>113.13</v>
      </c>
      <c r="AB64">
        <f t="shared" si="29"/>
        <v>112.85</v>
      </c>
      <c r="AC64">
        <f t="shared" si="29"/>
        <v>112.56</v>
      </c>
      <c r="AD64">
        <f t="shared" si="29"/>
        <v>112.27</v>
      </c>
      <c r="AE64">
        <f t="shared" si="29"/>
        <v>111.99</v>
      </c>
      <c r="AF64">
        <f t="shared" si="29"/>
        <v>111.7</v>
      </c>
      <c r="AG64">
        <f t="shared" si="29"/>
        <v>111.41</v>
      </c>
      <c r="AH64">
        <f t="shared" si="29"/>
        <v>111.13</v>
      </c>
      <c r="AI64">
        <f t="shared" si="29"/>
        <v>110.84</v>
      </c>
      <c r="AJ64">
        <f t="shared" si="29"/>
        <v>110.55</v>
      </c>
      <c r="AK64">
        <f t="shared" si="29"/>
        <v>110.27</v>
      </c>
      <c r="AL64">
        <f t="shared" si="29"/>
        <v>109.98</v>
      </c>
      <c r="AM64">
        <f t="shared" si="29"/>
        <v>109.69</v>
      </c>
      <c r="AN64">
        <f t="shared" si="29"/>
        <v>109.4</v>
      </c>
      <c r="AO64">
        <f t="shared" si="29"/>
        <v>109.4</v>
      </c>
      <c r="AP64">
        <f t="shared" si="29"/>
        <v>109.4</v>
      </c>
      <c r="AQ64">
        <f t="shared" si="29"/>
        <v>109.4</v>
      </c>
      <c r="AR64">
        <f t="shared" si="29"/>
        <v>109.4</v>
      </c>
      <c r="AS64">
        <f t="shared" si="29"/>
        <v>109.4</v>
      </c>
      <c r="AT64">
        <f t="shared" si="29"/>
        <v>109.4</v>
      </c>
      <c r="AU64">
        <f t="shared" si="29"/>
        <v>109.4</v>
      </c>
      <c r="AV64">
        <f t="shared" si="29"/>
        <v>109.4</v>
      </c>
      <c r="AW64">
        <f t="shared" si="29"/>
        <v>109.4</v>
      </c>
      <c r="AX64">
        <f t="shared" si="29"/>
        <v>109.4</v>
      </c>
      <c r="AY64">
        <f t="shared" si="29"/>
        <v>109.4</v>
      </c>
      <c r="AZ64">
        <f t="shared" si="29"/>
        <v>109.4</v>
      </c>
      <c r="BA64">
        <f t="shared" si="29"/>
        <v>109.4</v>
      </c>
      <c r="BB64">
        <f t="shared" si="29"/>
        <v>109.4</v>
      </c>
      <c r="BC64">
        <f t="shared" si="29"/>
        <v>109.4</v>
      </c>
      <c r="BD64">
        <f t="shared" si="29"/>
        <v>109.4</v>
      </c>
      <c r="BE64">
        <f t="shared" si="29"/>
        <v>109.4</v>
      </c>
      <c r="BF64">
        <f t="shared" si="29"/>
        <v>109.4</v>
      </c>
      <c r="BG64">
        <f t="shared" si="29"/>
        <v>109.4</v>
      </c>
      <c r="BH64">
        <f t="shared" si="29"/>
        <v>109.4</v>
      </c>
    </row>
    <row r="65" spans="1:60" hidden="1" outlineLevel="1">
      <c r="B65" t="s">
        <v>136</v>
      </c>
      <c r="C65">
        <f>C292</f>
        <v>5.46</v>
      </c>
      <c r="D65">
        <f t="shared" ref="D65:BH65" si="30">D292</f>
        <v>5.75</v>
      </c>
      <c r="E65">
        <f t="shared" si="30"/>
        <v>6.03</v>
      </c>
      <c r="F65">
        <f t="shared" si="30"/>
        <v>6.17</v>
      </c>
      <c r="G65">
        <f t="shared" si="30"/>
        <v>5.64</v>
      </c>
      <c r="H65">
        <f t="shared" si="30"/>
        <v>5.71</v>
      </c>
      <c r="I65">
        <f t="shared" si="30"/>
        <v>5.18</v>
      </c>
      <c r="J65">
        <f t="shared" si="30"/>
        <v>5.45</v>
      </c>
      <c r="K65">
        <f t="shared" si="30"/>
        <v>8.41</v>
      </c>
      <c r="L65">
        <f t="shared" si="30"/>
        <v>8.5399999999999991</v>
      </c>
      <c r="M65">
        <f t="shared" si="30"/>
        <v>8.69</v>
      </c>
      <c r="N65">
        <f t="shared" si="30"/>
        <v>8.84</v>
      </c>
      <c r="O65">
        <f t="shared" si="30"/>
        <v>8.99</v>
      </c>
      <c r="P65">
        <f t="shared" si="30"/>
        <v>9.15</v>
      </c>
      <c r="Q65">
        <f t="shared" si="30"/>
        <v>9.3000000000000007</v>
      </c>
      <c r="R65">
        <f t="shared" si="30"/>
        <v>9.4499999999999993</v>
      </c>
      <c r="S65">
        <f t="shared" si="30"/>
        <v>9.6</v>
      </c>
      <c r="T65">
        <f t="shared" si="30"/>
        <v>9.75</v>
      </c>
      <c r="U65">
        <f t="shared" si="30"/>
        <v>9.91</v>
      </c>
      <c r="V65">
        <f t="shared" si="30"/>
        <v>10.06</v>
      </c>
      <c r="W65">
        <f t="shared" si="30"/>
        <v>10.210000000000001</v>
      </c>
      <c r="X65">
        <f t="shared" si="30"/>
        <v>10.36</v>
      </c>
      <c r="Y65">
        <f t="shared" si="30"/>
        <v>10.51</v>
      </c>
      <c r="Z65">
        <f t="shared" si="30"/>
        <v>10.67</v>
      </c>
      <c r="AA65">
        <f t="shared" si="30"/>
        <v>10.82</v>
      </c>
      <c r="AB65">
        <f t="shared" si="30"/>
        <v>10.97</v>
      </c>
      <c r="AC65">
        <f t="shared" si="30"/>
        <v>11.12</v>
      </c>
      <c r="AD65">
        <f t="shared" si="30"/>
        <v>11.28</v>
      </c>
      <c r="AE65">
        <f t="shared" si="30"/>
        <v>11.43</v>
      </c>
      <c r="AF65">
        <f t="shared" si="30"/>
        <v>11.58</v>
      </c>
      <c r="AG65">
        <f t="shared" si="30"/>
        <v>11.73</v>
      </c>
      <c r="AH65">
        <f t="shared" si="30"/>
        <v>11.88</v>
      </c>
      <c r="AI65">
        <f t="shared" si="30"/>
        <v>12.04</v>
      </c>
      <c r="AJ65">
        <f t="shared" si="30"/>
        <v>12.19</v>
      </c>
      <c r="AK65">
        <f t="shared" si="30"/>
        <v>12.34</v>
      </c>
      <c r="AL65">
        <f t="shared" si="30"/>
        <v>12.49</v>
      </c>
      <c r="AM65">
        <f t="shared" si="30"/>
        <v>12.64</v>
      </c>
      <c r="AN65">
        <f t="shared" si="30"/>
        <v>12.8</v>
      </c>
      <c r="AO65">
        <f t="shared" si="30"/>
        <v>12.8</v>
      </c>
      <c r="AP65">
        <f t="shared" si="30"/>
        <v>12.8</v>
      </c>
      <c r="AQ65">
        <f t="shared" si="30"/>
        <v>12.8</v>
      </c>
      <c r="AR65">
        <f t="shared" si="30"/>
        <v>12.8</v>
      </c>
      <c r="AS65">
        <f t="shared" si="30"/>
        <v>12.8</v>
      </c>
      <c r="AT65">
        <f t="shared" si="30"/>
        <v>12.8</v>
      </c>
      <c r="AU65">
        <f t="shared" si="30"/>
        <v>12.8</v>
      </c>
      <c r="AV65">
        <f t="shared" si="30"/>
        <v>12.8</v>
      </c>
      <c r="AW65">
        <f t="shared" si="30"/>
        <v>12.8</v>
      </c>
      <c r="AX65">
        <f t="shared" si="30"/>
        <v>12.8</v>
      </c>
      <c r="AY65">
        <f t="shared" si="30"/>
        <v>12.8</v>
      </c>
      <c r="AZ65">
        <f t="shared" si="30"/>
        <v>12.8</v>
      </c>
      <c r="BA65">
        <f t="shared" si="30"/>
        <v>12.8</v>
      </c>
      <c r="BB65">
        <f t="shared" si="30"/>
        <v>12.8</v>
      </c>
      <c r="BC65">
        <f t="shared" si="30"/>
        <v>12.8</v>
      </c>
      <c r="BD65">
        <f t="shared" si="30"/>
        <v>12.8</v>
      </c>
      <c r="BE65">
        <f t="shared" si="30"/>
        <v>12.8</v>
      </c>
      <c r="BF65">
        <f t="shared" si="30"/>
        <v>12.8</v>
      </c>
      <c r="BG65">
        <f t="shared" si="30"/>
        <v>12.8</v>
      </c>
      <c r="BH65">
        <f t="shared" si="30"/>
        <v>12.8</v>
      </c>
    </row>
    <row r="66" spans="1:60" hidden="1" outlineLevel="1">
      <c r="B66" t="s">
        <v>137</v>
      </c>
      <c r="C66">
        <f>C299</f>
        <v>48.55</v>
      </c>
      <c r="D66">
        <f t="shared" ref="D66:BH66" si="31">D299</f>
        <v>53.01</v>
      </c>
      <c r="E66">
        <f t="shared" si="31"/>
        <v>53.42</v>
      </c>
      <c r="F66">
        <f t="shared" si="31"/>
        <v>58.49</v>
      </c>
      <c r="G66">
        <f t="shared" si="31"/>
        <v>45.78</v>
      </c>
      <c r="H66">
        <f t="shared" si="31"/>
        <v>46.49</v>
      </c>
      <c r="I66">
        <f t="shared" si="31"/>
        <v>47.07</v>
      </c>
      <c r="J66">
        <f t="shared" si="31"/>
        <v>40.79</v>
      </c>
      <c r="K66">
        <f t="shared" si="31"/>
        <v>52.91</v>
      </c>
      <c r="L66">
        <f t="shared" si="31"/>
        <v>52.86</v>
      </c>
      <c r="M66">
        <f t="shared" si="31"/>
        <v>52.6</v>
      </c>
      <c r="N66">
        <f t="shared" si="31"/>
        <v>52.35</v>
      </c>
      <c r="O66">
        <f t="shared" si="31"/>
        <v>52.1</v>
      </c>
      <c r="P66">
        <f t="shared" si="31"/>
        <v>51.84</v>
      </c>
      <c r="Q66">
        <f t="shared" si="31"/>
        <v>51.59</v>
      </c>
      <c r="R66">
        <f t="shared" si="31"/>
        <v>51.34</v>
      </c>
      <c r="S66">
        <f t="shared" si="31"/>
        <v>51.08</v>
      </c>
      <c r="T66">
        <f t="shared" si="31"/>
        <v>50.83</v>
      </c>
      <c r="U66">
        <f t="shared" si="31"/>
        <v>50.58</v>
      </c>
      <c r="V66">
        <f t="shared" si="31"/>
        <v>50.32</v>
      </c>
      <c r="W66">
        <f t="shared" si="31"/>
        <v>50.07</v>
      </c>
      <c r="X66">
        <f t="shared" si="31"/>
        <v>49.82</v>
      </c>
      <c r="Y66">
        <f t="shared" si="31"/>
        <v>49.56</v>
      </c>
      <c r="Z66">
        <f t="shared" si="31"/>
        <v>49.31</v>
      </c>
      <c r="AA66">
        <f t="shared" si="31"/>
        <v>49.06</v>
      </c>
      <c r="AB66">
        <f t="shared" si="31"/>
        <v>48.8</v>
      </c>
      <c r="AC66">
        <f t="shared" si="31"/>
        <v>48.55</v>
      </c>
      <c r="AD66">
        <f t="shared" si="31"/>
        <v>48.3</v>
      </c>
      <c r="AE66">
        <f t="shared" si="31"/>
        <v>48.04</v>
      </c>
      <c r="AF66">
        <f t="shared" si="31"/>
        <v>47.79</v>
      </c>
      <c r="AG66">
        <f t="shared" si="31"/>
        <v>47.54</v>
      </c>
      <c r="AH66">
        <f t="shared" si="31"/>
        <v>47.28</v>
      </c>
      <c r="AI66">
        <f t="shared" si="31"/>
        <v>47.03</v>
      </c>
      <c r="AJ66">
        <f t="shared" si="31"/>
        <v>46.78</v>
      </c>
      <c r="AK66">
        <f t="shared" si="31"/>
        <v>46.52</v>
      </c>
      <c r="AL66">
        <f t="shared" si="31"/>
        <v>46.27</v>
      </c>
      <c r="AM66">
        <f t="shared" si="31"/>
        <v>46.02</v>
      </c>
      <c r="AN66">
        <f t="shared" si="31"/>
        <v>45.76</v>
      </c>
      <c r="AO66">
        <f t="shared" si="31"/>
        <v>45.76</v>
      </c>
      <c r="AP66">
        <f t="shared" si="31"/>
        <v>45.76</v>
      </c>
      <c r="AQ66">
        <f t="shared" si="31"/>
        <v>45.76</v>
      </c>
      <c r="AR66">
        <f t="shared" si="31"/>
        <v>45.76</v>
      </c>
      <c r="AS66">
        <f t="shared" si="31"/>
        <v>45.76</v>
      </c>
      <c r="AT66">
        <f t="shared" si="31"/>
        <v>45.76</v>
      </c>
      <c r="AU66">
        <f t="shared" si="31"/>
        <v>45.76</v>
      </c>
      <c r="AV66">
        <f t="shared" si="31"/>
        <v>45.76</v>
      </c>
      <c r="AW66">
        <f t="shared" si="31"/>
        <v>45.76</v>
      </c>
      <c r="AX66">
        <f t="shared" si="31"/>
        <v>45.76</v>
      </c>
      <c r="AY66">
        <f t="shared" si="31"/>
        <v>45.76</v>
      </c>
      <c r="AZ66">
        <f t="shared" si="31"/>
        <v>45.76</v>
      </c>
      <c r="BA66">
        <f t="shared" si="31"/>
        <v>45.76</v>
      </c>
      <c r="BB66">
        <f t="shared" si="31"/>
        <v>45.76</v>
      </c>
      <c r="BC66">
        <f t="shared" si="31"/>
        <v>45.76</v>
      </c>
      <c r="BD66">
        <f t="shared" si="31"/>
        <v>45.76</v>
      </c>
      <c r="BE66">
        <f t="shared" si="31"/>
        <v>45.76</v>
      </c>
      <c r="BF66">
        <f t="shared" si="31"/>
        <v>45.76</v>
      </c>
      <c r="BG66">
        <f t="shared" si="31"/>
        <v>45.76</v>
      </c>
      <c r="BH66">
        <f t="shared" si="31"/>
        <v>45.76</v>
      </c>
    </row>
    <row r="67" spans="1:60" hidden="1" outlineLevel="1">
      <c r="B67" t="s">
        <v>138</v>
      </c>
      <c r="C67">
        <f>C306</f>
        <v>4.42</v>
      </c>
      <c r="D67">
        <f t="shared" ref="D67:BH67" si="32">D306</f>
        <v>5.25</v>
      </c>
      <c r="E67">
        <f t="shared" si="32"/>
        <v>9.24</v>
      </c>
      <c r="F67">
        <f t="shared" si="32"/>
        <v>10.119999999999999</v>
      </c>
      <c r="G67">
        <f t="shared" si="32"/>
        <v>9.74</v>
      </c>
      <c r="H67">
        <f t="shared" si="32"/>
        <v>10.63</v>
      </c>
      <c r="I67">
        <f t="shared" si="32"/>
        <v>11.92</v>
      </c>
      <c r="J67">
        <f t="shared" si="32"/>
        <v>10.33</v>
      </c>
      <c r="K67">
        <f t="shared" si="32"/>
        <v>12.93</v>
      </c>
      <c r="L67">
        <f t="shared" si="32"/>
        <v>13.13</v>
      </c>
      <c r="M67">
        <f t="shared" si="32"/>
        <v>13.25</v>
      </c>
      <c r="N67">
        <f t="shared" si="32"/>
        <v>13.38</v>
      </c>
      <c r="O67">
        <f t="shared" si="32"/>
        <v>13.5</v>
      </c>
      <c r="P67">
        <f t="shared" si="32"/>
        <v>13.63</v>
      </c>
      <c r="Q67">
        <f t="shared" si="32"/>
        <v>13.75</v>
      </c>
      <c r="R67">
        <f t="shared" si="32"/>
        <v>13.88</v>
      </c>
      <c r="S67">
        <f t="shared" si="32"/>
        <v>14</v>
      </c>
      <c r="T67">
        <f t="shared" si="32"/>
        <v>14.12</v>
      </c>
      <c r="U67">
        <f t="shared" si="32"/>
        <v>14.25</v>
      </c>
      <c r="V67">
        <f t="shared" si="32"/>
        <v>14.37</v>
      </c>
      <c r="W67">
        <f t="shared" si="32"/>
        <v>14.5</v>
      </c>
      <c r="X67">
        <f t="shared" si="32"/>
        <v>14.55</v>
      </c>
      <c r="Y67">
        <f t="shared" si="32"/>
        <v>14.52</v>
      </c>
      <c r="Z67">
        <f t="shared" si="32"/>
        <v>14.48</v>
      </c>
      <c r="AA67">
        <f t="shared" si="32"/>
        <v>14.44</v>
      </c>
      <c r="AB67">
        <f t="shared" si="32"/>
        <v>14.41</v>
      </c>
      <c r="AC67">
        <f t="shared" si="32"/>
        <v>14.37</v>
      </c>
      <c r="AD67">
        <f t="shared" si="32"/>
        <v>14.33</v>
      </c>
      <c r="AE67">
        <f t="shared" si="32"/>
        <v>14.3</v>
      </c>
      <c r="AF67">
        <f t="shared" si="32"/>
        <v>14.26</v>
      </c>
      <c r="AG67">
        <f t="shared" si="32"/>
        <v>14.22</v>
      </c>
      <c r="AH67">
        <f t="shared" si="32"/>
        <v>14.19</v>
      </c>
      <c r="AI67">
        <f t="shared" si="32"/>
        <v>14.15</v>
      </c>
      <c r="AJ67">
        <f t="shared" si="32"/>
        <v>14.11</v>
      </c>
      <c r="AK67">
        <f t="shared" si="32"/>
        <v>14.08</v>
      </c>
      <c r="AL67">
        <f t="shared" si="32"/>
        <v>14.04</v>
      </c>
      <c r="AM67">
        <f t="shared" si="32"/>
        <v>14</v>
      </c>
      <c r="AN67">
        <f t="shared" si="32"/>
        <v>13.97</v>
      </c>
      <c r="AO67">
        <f t="shared" si="32"/>
        <v>13.97</v>
      </c>
      <c r="AP67">
        <f t="shared" si="32"/>
        <v>13.97</v>
      </c>
      <c r="AQ67">
        <f t="shared" si="32"/>
        <v>13.97</v>
      </c>
      <c r="AR67">
        <f t="shared" si="32"/>
        <v>13.97</v>
      </c>
      <c r="AS67">
        <f t="shared" si="32"/>
        <v>13.97</v>
      </c>
      <c r="AT67">
        <f t="shared" si="32"/>
        <v>13.97</v>
      </c>
      <c r="AU67">
        <f t="shared" si="32"/>
        <v>13.97</v>
      </c>
      <c r="AV67">
        <f t="shared" si="32"/>
        <v>13.97</v>
      </c>
      <c r="AW67">
        <f t="shared" si="32"/>
        <v>13.97</v>
      </c>
      <c r="AX67">
        <f t="shared" si="32"/>
        <v>13.97</v>
      </c>
      <c r="AY67">
        <f t="shared" si="32"/>
        <v>13.97</v>
      </c>
      <c r="AZ67">
        <f t="shared" si="32"/>
        <v>13.97</v>
      </c>
      <c r="BA67">
        <f t="shared" si="32"/>
        <v>13.97</v>
      </c>
      <c r="BB67">
        <f t="shared" si="32"/>
        <v>13.97</v>
      </c>
      <c r="BC67">
        <f t="shared" si="32"/>
        <v>13.97</v>
      </c>
      <c r="BD67">
        <f t="shared" si="32"/>
        <v>13.97</v>
      </c>
      <c r="BE67">
        <f t="shared" si="32"/>
        <v>13.97</v>
      </c>
      <c r="BF67">
        <f t="shared" si="32"/>
        <v>13.97</v>
      </c>
      <c r="BG67">
        <f t="shared" si="32"/>
        <v>13.97</v>
      </c>
      <c r="BH67">
        <f t="shared" si="32"/>
        <v>13.97</v>
      </c>
    </row>
    <row r="68" spans="1:60" hidden="1" outlineLevel="1">
      <c r="B68" t="s">
        <v>139</v>
      </c>
      <c r="C68">
        <f>C314</f>
        <v>115.28</v>
      </c>
      <c r="D68">
        <f t="shared" ref="D68:BH68" si="33">D314</f>
        <v>119.9</v>
      </c>
      <c r="E68">
        <f t="shared" si="33"/>
        <v>139.91999999999999</v>
      </c>
      <c r="F68">
        <f t="shared" si="33"/>
        <v>153.79</v>
      </c>
      <c r="G68">
        <f t="shared" si="33"/>
        <v>158.38</v>
      </c>
      <c r="H68">
        <f t="shared" si="33"/>
        <v>164.21</v>
      </c>
      <c r="I68">
        <f t="shared" si="33"/>
        <v>157.29</v>
      </c>
      <c r="J68">
        <f t="shared" si="33"/>
        <v>148.34</v>
      </c>
      <c r="K68">
        <f t="shared" si="33"/>
        <v>188.77</v>
      </c>
      <c r="L68">
        <f t="shared" si="33"/>
        <v>191.7</v>
      </c>
      <c r="M68">
        <f t="shared" si="33"/>
        <v>193.51</v>
      </c>
      <c r="N68">
        <f t="shared" si="33"/>
        <v>195.32</v>
      </c>
      <c r="O68">
        <f t="shared" si="33"/>
        <v>197.14</v>
      </c>
      <c r="P68">
        <f t="shared" si="33"/>
        <v>198.95</v>
      </c>
      <c r="Q68">
        <f t="shared" si="33"/>
        <v>200.77</v>
      </c>
      <c r="R68">
        <f t="shared" si="33"/>
        <v>202.58</v>
      </c>
      <c r="S68">
        <f t="shared" si="33"/>
        <v>204.4</v>
      </c>
      <c r="T68">
        <f t="shared" si="33"/>
        <v>206.21</v>
      </c>
      <c r="U68">
        <f t="shared" si="33"/>
        <v>208.02</v>
      </c>
      <c r="V68">
        <f t="shared" si="33"/>
        <v>209.84</v>
      </c>
      <c r="W68">
        <f t="shared" si="33"/>
        <v>211.65</v>
      </c>
      <c r="X68">
        <f t="shared" si="33"/>
        <v>212.46</v>
      </c>
      <c r="Y68">
        <f t="shared" si="33"/>
        <v>211.93</v>
      </c>
      <c r="Z68">
        <f t="shared" si="33"/>
        <v>211.4</v>
      </c>
      <c r="AA68">
        <f t="shared" si="33"/>
        <v>210.86</v>
      </c>
      <c r="AB68">
        <f t="shared" si="33"/>
        <v>210.33</v>
      </c>
      <c r="AC68">
        <f t="shared" si="33"/>
        <v>209.79</v>
      </c>
      <c r="AD68">
        <f t="shared" si="33"/>
        <v>209.26</v>
      </c>
      <c r="AE68">
        <f t="shared" si="33"/>
        <v>208.72</v>
      </c>
      <c r="AF68">
        <f t="shared" si="33"/>
        <v>208.19</v>
      </c>
      <c r="AG68">
        <f t="shared" si="33"/>
        <v>207.66</v>
      </c>
      <c r="AH68">
        <f t="shared" si="33"/>
        <v>207.12</v>
      </c>
      <c r="AI68">
        <f t="shared" si="33"/>
        <v>206.59</v>
      </c>
      <c r="AJ68">
        <f t="shared" si="33"/>
        <v>206.05</v>
      </c>
      <c r="AK68">
        <f t="shared" si="33"/>
        <v>205.52</v>
      </c>
      <c r="AL68">
        <f t="shared" si="33"/>
        <v>204.98</v>
      </c>
      <c r="AM68">
        <f t="shared" si="33"/>
        <v>204.44</v>
      </c>
      <c r="AN68">
        <f t="shared" si="33"/>
        <v>203.9</v>
      </c>
      <c r="AO68">
        <f t="shared" si="33"/>
        <v>203.9</v>
      </c>
      <c r="AP68">
        <f t="shared" si="33"/>
        <v>203.9</v>
      </c>
      <c r="AQ68">
        <f t="shared" si="33"/>
        <v>203.9</v>
      </c>
      <c r="AR68">
        <f t="shared" si="33"/>
        <v>203.9</v>
      </c>
      <c r="AS68">
        <f t="shared" si="33"/>
        <v>203.9</v>
      </c>
      <c r="AT68">
        <f t="shared" si="33"/>
        <v>203.9</v>
      </c>
      <c r="AU68">
        <f t="shared" si="33"/>
        <v>203.9</v>
      </c>
      <c r="AV68">
        <f t="shared" si="33"/>
        <v>203.9</v>
      </c>
      <c r="AW68">
        <f t="shared" si="33"/>
        <v>203.9</v>
      </c>
      <c r="AX68">
        <f t="shared" si="33"/>
        <v>203.9</v>
      </c>
      <c r="AY68">
        <f t="shared" si="33"/>
        <v>203.9</v>
      </c>
      <c r="AZ68">
        <f t="shared" si="33"/>
        <v>203.9</v>
      </c>
      <c r="BA68">
        <f t="shared" si="33"/>
        <v>203.9</v>
      </c>
      <c r="BB68">
        <f t="shared" si="33"/>
        <v>203.9</v>
      </c>
      <c r="BC68">
        <f t="shared" si="33"/>
        <v>203.9</v>
      </c>
      <c r="BD68">
        <f t="shared" si="33"/>
        <v>203.9</v>
      </c>
      <c r="BE68">
        <f t="shared" si="33"/>
        <v>203.9</v>
      </c>
      <c r="BF68">
        <f t="shared" si="33"/>
        <v>203.9</v>
      </c>
      <c r="BG68">
        <f t="shared" si="33"/>
        <v>203.9</v>
      </c>
      <c r="BH68">
        <f t="shared" si="33"/>
        <v>203.9</v>
      </c>
    </row>
    <row r="69" spans="1:60" hidden="1" outlineLevel="1">
      <c r="B69" t="s">
        <v>140</v>
      </c>
    </row>
    <row r="70" spans="1:60" hidden="1" outlineLevel="1">
      <c r="B70" t="s">
        <v>141</v>
      </c>
    </row>
    <row r="71" spans="1:60" hidden="1" outlineLevel="1">
      <c r="B71" t="s">
        <v>142</v>
      </c>
      <c r="C71">
        <f>C320</f>
        <v>0.02</v>
      </c>
      <c r="D71">
        <f t="shared" ref="D71:BH71" si="34">D320</f>
        <v>0.03</v>
      </c>
      <c r="E71">
        <f t="shared" si="34"/>
        <v>0.03</v>
      </c>
      <c r="F71">
        <f t="shared" si="34"/>
        <v>0.03</v>
      </c>
      <c r="G71">
        <f t="shared" si="34"/>
        <v>0.03</v>
      </c>
      <c r="H71">
        <f t="shared" si="34"/>
        <v>0.03</v>
      </c>
      <c r="I71">
        <f t="shared" si="34"/>
        <v>0.03</v>
      </c>
      <c r="J71">
        <f t="shared" si="34"/>
        <v>0.03</v>
      </c>
      <c r="K71">
        <f t="shared" si="34"/>
        <v>0.03</v>
      </c>
      <c r="L71">
        <f t="shared" si="34"/>
        <v>0.03</v>
      </c>
      <c r="M71">
        <f t="shared" si="34"/>
        <v>0.03</v>
      </c>
      <c r="N71">
        <f t="shared" si="34"/>
        <v>3.0031692581955038E-2</v>
      </c>
      <c r="O71">
        <f t="shared" si="34"/>
        <v>3.0062889967317027E-2</v>
      </c>
      <c r="P71">
        <f t="shared" si="34"/>
        <v>3.0095077745865111E-2</v>
      </c>
      <c r="Q71">
        <f t="shared" si="34"/>
        <v>3.0126770327820147E-2</v>
      </c>
      <c r="R71">
        <f t="shared" si="34"/>
        <v>3.0157967713182136E-2</v>
      </c>
      <c r="S71">
        <f t="shared" si="34"/>
        <v>3.0190155491730226E-2</v>
      </c>
      <c r="T71">
        <f t="shared" si="34"/>
        <v>3.0221352877092208E-2</v>
      </c>
      <c r="U71">
        <f t="shared" si="34"/>
        <v>3.0252550262454197E-2</v>
      </c>
      <c r="V71">
        <f t="shared" si="34"/>
        <v>3.0285233237595331E-2</v>
      </c>
      <c r="W71">
        <f t="shared" si="34"/>
        <v>3.031643062295732E-2</v>
      </c>
      <c r="X71">
        <f t="shared" si="34"/>
        <v>3.0230761612360112E-2</v>
      </c>
      <c r="Y71">
        <f t="shared" si="34"/>
        <v>2.9986629691987721E-2</v>
      </c>
      <c r="Z71">
        <f t="shared" si="34"/>
        <v>2.974200257502229E-2</v>
      </c>
      <c r="AA71">
        <f t="shared" si="34"/>
        <v>2.9498365851242953E-2</v>
      </c>
      <c r="AB71">
        <f t="shared" si="34"/>
        <v>2.9254233930870566E-2</v>
      </c>
      <c r="AC71">
        <f t="shared" si="34"/>
        <v>2.9009111617312087E-2</v>
      </c>
      <c r="AD71">
        <f t="shared" si="34"/>
        <v>2.8765970090125791E-2</v>
      </c>
      <c r="AE71">
        <f t="shared" si="34"/>
        <v>2.8521838169753403E-2</v>
      </c>
      <c r="AF71">
        <f t="shared" si="34"/>
        <v>2.8277211052787962E-2</v>
      </c>
      <c r="AG71">
        <f t="shared" si="34"/>
        <v>2.8033079132415574E-2</v>
      </c>
      <c r="AH71">
        <f t="shared" si="34"/>
        <v>2.778944240863623E-2</v>
      </c>
      <c r="AI71">
        <f t="shared" si="34"/>
        <v>2.7544815291670799E-2</v>
      </c>
      <c r="AJ71">
        <f t="shared" si="34"/>
        <v>2.7300683371298408E-2</v>
      </c>
      <c r="AK71">
        <f t="shared" si="34"/>
        <v>2.7056551450926024E-2</v>
      </c>
      <c r="AL71">
        <f t="shared" si="34"/>
        <v>2.6812914727146687E-2</v>
      </c>
      <c r="AM71">
        <f t="shared" si="34"/>
        <v>2.6565811627216013E-2</v>
      </c>
      <c r="AN71">
        <f t="shared" si="34"/>
        <v>2.6319203723878387E-2</v>
      </c>
      <c r="AO71">
        <f t="shared" si="34"/>
        <v>2.6319203723878387E-2</v>
      </c>
      <c r="AP71">
        <f t="shared" si="34"/>
        <v>2.6319203723878387E-2</v>
      </c>
      <c r="AQ71">
        <f t="shared" si="34"/>
        <v>2.6319203723878387E-2</v>
      </c>
      <c r="AR71">
        <f t="shared" si="34"/>
        <v>2.6319203723878387E-2</v>
      </c>
      <c r="AS71">
        <f t="shared" si="34"/>
        <v>2.6319203723878387E-2</v>
      </c>
      <c r="AT71">
        <f t="shared" si="34"/>
        <v>2.6319203723878387E-2</v>
      </c>
      <c r="AU71">
        <f t="shared" si="34"/>
        <v>2.6319203723878387E-2</v>
      </c>
      <c r="AV71">
        <f t="shared" si="34"/>
        <v>2.6319203723878387E-2</v>
      </c>
      <c r="AW71">
        <f t="shared" si="34"/>
        <v>2.6319203723878387E-2</v>
      </c>
      <c r="AX71">
        <f t="shared" si="34"/>
        <v>2.6319203723878387E-2</v>
      </c>
      <c r="AY71">
        <f t="shared" si="34"/>
        <v>2.6319203723878387E-2</v>
      </c>
      <c r="AZ71">
        <f t="shared" si="34"/>
        <v>2.6319203723878387E-2</v>
      </c>
      <c r="BA71">
        <f t="shared" si="34"/>
        <v>2.6319203723878387E-2</v>
      </c>
      <c r="BB71">
        <f t="shared" si="34"/>
        <v>2.6319203723878387E-2</v>
      </c>
      <c r="BC71">
        <f t="shared" si="34"/>
        <v>2.6319203723878387E-2</v>
      </c>
      <c r="BD71">
        <f t="shared" si="34"/>
        <v>2.6319203723878387E-2</v>
      </c>
      <c r="BE71">
        <f t="shared" si="34"/>
        <v>2.6319203723878387E-2</v>
      </c>
      <c r="BF71">
        <f t="shared" si="34"/>
        <v>2.6319203723878387E-2</v>
      </c>
      <c r="BG71">
        <f t="shared" si="34"/>
        <v>2.6319203723878387E-2</v>
      </c>
      <c r="BH71">
        <f t="shared" si="34"/>
        <v>2.6319203723878387E-2</v>
      </c>
    </row>
    <row r="72" spans="1:60" hidden="1" outlineLevel="1">
      <c r="B72" t="s">
        <v>143</v>
      </c>
      <c r="C72">
        <f>C325</f>
        <v>0.04</v>
      </c>
      <c r="D72">
        <f t="shared" ref="D72:BH72" si="35">D325</f>
        <v>0.04</v>
      </c>
      <c r="E72">
        <f t="shared" si="35"/>
        <v>0.04</v>
      </c>
      <c r="F72">
        <f t="shared" si="35"/>
        <v>0.04</v>
      </c>
      <c r="G72">
        <f t="shared" si="35"/>
        <v>0.04</v>
      </c>
      <c r="H72">
        <f t="shared" si="35"/>
        <v>0.04</v>
      </c>
      <c r="I72">
        <f t="shared" si="35"/>
        <v>0.04</v>
      </c>
      <c r="J72">
        <f t="shared" si="35"/>
        <v>0.04</v>
      </c>
      <c r="K72">
        <f t="shared" si="35"/>
        <v>0.05</v>
      </c>
      <c r="L72">
        <f t="shared" si="35"/>
        <v>0.05</v>
      </c>
      <c r="M72">
        <f t="shared" si="35"/>
        <v>0.05</v>
      </c>
      <c r="N72">
        <f t="shared" si="35"/>
        <v>5.0052820969925069E-2</v>
      </c>
      <c r="O72">
        <f t="shared" si="35"/>
        <v>5.0104816612195048E-2</v>
      </c>
      <c r="P72">
        <f t="shared" si="35"/>
        <v>5.0158462909775187E-2</v>
      </c>
      <c r="Q72">
        <f t="shared" si="35"/>
        <v>5.0211283879700246E-2</v>
      </c>
      <c r="R72">
        <f t="shared" si="35"/>
        <v>5.0263279521970225E-2</v>
      </c>
      <c r="S72">
        <f t="shared" si="35"/>
        <v>5.0316925819550377E-2</v>
      </c>
      <c r="T72">
        <f t="shared" si="35"/>
        <v>5.036892146182035E-2</v>
      </c>
      <c r="U72">
        <f t="shared" si="35"/>
        <v>5.0420917104090336E-2</v>
      </c>
      <c r="V72">
        <f t="shared" si="35"/>
        <v>5.0475388729325561E-2</v>
      </c>
      <c r="W72">
        <f t="shared" si="35"/>
        <v>5.0527384371595541E-2</v>
      </c>
      <c r="X72">
        <f t="shared" si="35"/>
        <v>5.0384602687266855E-2</v>
      </c>
      <c r="Y72">
        <f t="shared" si="35"/>
        <v>4.9977716153312868E-2</v>
      </c>
      <c r="Z72">
        <f t="shared" si="35"/>
        <v>4.9570004291703815E-2</v>
      </c>
      <c r="AA72">
        <f t="shared" si="35"/>
        <v>4.9163943085404921E-2</v>
      </c>
      <c r="AB72">
        <f t="shared" si="35"/>
        <v>4.8757056551450934E-2</v>
      </c>
      <c r="AC72">
        <f t="shared" si="35"/>
        <v>4.8348519362186801E-2</v>
      </c>
      <c r="AD72">
        <f t="shared" si="35"/>
        <v>4.7943283483542973E-2</v>
      </c>
      <c r="AE72">
        <f t="shared" si="35"/>
        <v>4.7536396949588992E-2</v>
      </c>
      <c r="AF72">
        <f t="shared" si="35"/>
        <v>4.7128685087979925E-2</v>
      </c>
      <c r="AG72">
        <f t="shared" si="35"/>
        <v>4.6721798554025952E-2</v>
      </c>
      <c r="AH72">
        <f t="shared" si="35"/>
        <v>4.6315737347727044E-2</v>
      </c>
      <c r="AI72">
        <f t="shared" si="35"/>
        <v>4.5908025486117991E-2</v>
      </c>
      <c r="AJ72">
        <f t="shared" si="35"/>
        <v>4.5501138952164004E-2</v>
      </c>
      <c r="AK72">
        <f t="shared" si="35"/>
        <v>4.5094252418210024E-2</v>
      </c>
      <c r="AL72">
        <f t="shared" si="35"/>
        <v>4.468819121191113E-2</v>
      </c>
      <c r="AM72">
        <f t="shared" si="35"/>
        <v>4.4276352712026679E-2</v>
      </c>
      <c r="AN72">
        <f t="shared" si="35"/>
        <v>4.38653395397973E-2</v>
      </c>
      <c r="AO72">
        <f t="shared" si="35"/>
        <v>4.38653395397973E-2</v>
      </c>
      <c r="AP72">
        <f t="shared" si="35"/>
        <v>4.38653395397973E-2</v>
      </c>
      <c r="AQ72">
        <f t="shared" si="35"/>
        <v>4.38653395397973E-2</v>
      </c>
      <c r="AR72">
        <f t="shared" si="35"/>
        <v>4.38653395397973E-2</v>
      </c>
      <c r="AS72">
        <f t="shared" si="35"/>
        <v>4.38653395397973E-2</v>
      </c>
      <c r="AT72">
        <f t="shared" si="35"/>
        <v>4.38653395397973E-2</v>
      </c>
      <c r="AU72">
        <f t="shared" si="35"/>
        <v>4.38653395397973E-2</v>
      </c>
      <c r="AV72">
        <f t="shared" si="35"/>
        <v>4.38653395397973E-2</v>
      </c>
      <c r="AW72">
        <f t="shared" si="35"/>
        <v>4.38653395397973E-2</v>
      </c>
      <c r="AX72">
        <f t="shared" si="35"/>
        <v>4.38653395397973E-2</v>
      </c>
      <c r="AY72">
        <f t="shared" si="35"/>
        <v>4.38653395397973E-2</v>
      </c>
      <c r="AZ72">
        <f t="shared" si="35"/>
        <v>4.38653395397973E-2</v>
      </c>
      <c r="BA72">
        <f t="shared" si="35"/>
        <v>4.38653395397973E-2</v>
      </c>
      <c r="BB72">
        <f t="shared" si="35"/>
        <v>4.38653395397973E-2</v>
      </c>
      <c r="BC72">
        <f t="shared" si="35"/>
        <v>4.38653395397973E-2</v>
      </c>
      <c r="BD72">
        <f t="shared" si="35"/>
        <v>4.38653395397973E-2</v>
      </c>
      <c r="BE72">
        <f t="shared" si="35"/>
        <v>4.38653395397973E-2</v>
      </c>
      <c r="BF72">
        <f t="shared" si="35"/>
        <v>4.38653395397973E-2</v>
      </c>
      <c r="BG72">
        <f t="shared" si="35"/>
        <v>4.38653395397973E-2</v>
      </c>
      <c r="BH72">
        <f t="shared" si="35"/>
        <v>4.38653395397973E-2</v>
      </c>
    </row>
    <row r="73" spans="1:60" hidden="1" outlineLevel="1">
      <c r="B73" t="s">
        <v>144</v>
      </c>
    </row>
    <row r="74" spans="1:60" hidden="1" outlineLevel="1">
      <c r="B74" t="s">
        <v>145</v>
      </c>
      <c r="C74">
        <f>C331</f>
        <v>4.74</v>
      </c>
      <c r="D74">
        <f t="shared" ref="D74:BH74" si="36">D331</f>
        <v>5.61</v>
      </c>
      <c r="E74">
        <f t="shared" si="36"/>
        <v>5.71</v>
      </c>
      <c r="F74">
        <f t="shared" si="36"/>
        <v>6.11</v>
      </c>
      <c r="G74">
        <f t="shared" si="36"/>
        <v>5.97</v>
      </c>
      <c r="H74">
        <f t="shared" si="36"/>
        <v>6.55</v>
      </c>
      <c r="I74">
        <f t="shared" si="36"/>
        <v>7.23</v>
      </c>
      <c r="J74">
        <f t="shared" si="36"/>
        <v>6.27</v>
      </c>
      <c r="K74">
        <f t="shared" si="36"/>
        <v>9.67</v>
      </c>
      <c r="L74">
        <f t="shared" si="36"/>
        <v>9.9499999999999993</v>
      </c>
      <c r="M74">
        <f t="shared" si="36"/>
        <v>10.36</v>
      </c>
      <c r="N74">
        <f t="shared" si="36"/>
        <v>10.78</v>
      </c>
      <c r="O74">
        <f t="shared" si="36"/>
        <v>11.19</v>
      </c>
      <c r="P74">
        <f t="shared" si="36"/>
        <v>11.6</v>
      </c>
      <c r="Q74">
        <f t="shared" si="36"/>
        <v>12.02</v>
      </c>
      <c r="R74">
        <f t="shared" si="36"/>
        <v>12.43</v>
      </c>
      <c r="S74">
        <f t="shared" si="36"/>
        <v>12.84</v>
      </c>
      <c r="T74">
        <f t="shared" si="36"/>
        <v>13.26</v>
      </c>
      <c r="U74">
        <f t="shared" si="36"/>
        <v>13.67</v>
      </c>
      <c r="V74">
        <f t="shared" si="36"/>
        <v>14.09</v>
      </c>
      <c r="W74">
        <f t="shared" si="36"/>
        <v>14.5</v>
      </c>
      <c r="X74">
        <f t="shared" si="36"/>
        <v>14.91</v>
      </c>
      <c r="Y74">
        <f t="shared" si="36"/>
        <v>15.33</v>
      </c>
      <c r="Z74">
        <f t="shared" si="36"/>
        <v>15.74</v>
      </c>
      <c r="AA74">
        <f t="shared" si="36"/>
        <v>16.16</v>
      </c>
      <c r="AB74">
        <f t="shared" si="36"/>
        <v>16.57</v>
      </c>
      <c r="AC74">
        <f t="shared" si="36"/>
        <v>16.98</v>
      </c>
      <c r="AD74">
        <f t="shared" si="36"/>
        <v>17.399999999999999</v>
      </c>
      <c r="AE74">
        <f t="shared" si="36"/>
        <v>17.809999999999999</v>
      </c>
      <c r="AF74">
        <f t="shared" si="36"/>
        <v>18.23</v>
      </c>
      <c r="AG74">
        <f t="shared" si="36"/>
        <v>18.64</v>
      </c>
      <c r="AH74">
        <f t="shared" si="36"/>
        <v>19.05</v>
      </c>
      <c r="AI74">
        <f t="shared" si="36"/>
        <v>19.47</v>
      </c>
      <c r="AJ74">
        <f t="shared" si="36"/>
        <v>19.88</v>
      </c>
      <c r="AK74">
        <f t="shared" si="36"/>
        <v>20.3</v>
      </c>
      <c r="AL74">
        <f t="shared" si="36"/>
        <v>20.71</v>
      </c>
      <c r="AM74">
        <f t="shared" si="36"/>
        <v>21.12</v>
      </c>
      <c r="AN74">
        <f t="shared" si="36"/>
        <v>21.54</v>
      </c>
      <c r="AO74">
        <f t="shared" si="36"/>
        <v>21.54</v>
      </c>
      <c r="AP74">
        <f t="shared" si="36"/>
        <v>21.54</v>
      </c>
      <c r="AQ74">
        <f t="shared" si="36"/>
        <v>21.54</v>
      </c>
      <c r="AR74">
        <f t="shared" si="36"/>
        <v>21.54</v>
      </c>
      <c r="AS74">
        <f t="shared" si="36"/>
        <v>21.54</v>
      </c>
      <c r="AT74">
        <f t="shared" si="36"/>
        <v>21.54</v>
      </c>
      <c r="AU74">
        <f t="shared" si="36"/>
        <v>21.54</v>
      </c>
      <c r="AV74">
        <f t="shared" si="36"/>
        <v>21.54</v>
      </c>
      <c r="AW74">
        <f t="shared" si="36"/>
        <v>21.54</v>
      </c>
      <c r="AX74">
        <f t="shared" si="36"/>
        <v>21.54</v>
      </c>
      <c r="AY74">
        <f t="shared" si="36"/>
        <v>21.54</v>
      </c>
      <c r="AZ74">
        <f t="shared" si="36"/>
        <v>21.54</v>
      </c>
      <c r="BA74">
        <f t="shared" si="36"/>
        <v>21.54</v>
      </c>
      <c r="BB74">
        <f t="shared" si="36"/>
        <v>21.54</v>
      </c>
      <c r="BC74">
        <f t="shared" si="36"/>
        <v>21.54</v>
      </c>
      <c r="BD74">
        <f t="shared" si="36"/>
        <v>21.54</v>
      </c>
      <c r="BE74">
        <f t="shared" si="36"/>
        <v>21.54</v>
      </c>
      <c r="BF74">
        <f t="shared" si="36"/>
        <v>21.54</v>
      </c>
      <c r="BG74">
        <f t="shared" si="36"/>
        <v>21.54</v>
      </c>
      <c r="BH74">
        <f t="shared" si="36"/>
        <v>21.54</v>
      </c>
    </row>
    <row r="75" spans="1:60" hidden="1" outlineLevel="1">
      <c r="B75" t="s">
        <v>146</v>
      </c>
    </row>
    <row r="76" spans="1:60" hidden="1" outlineLevel="1">
      <c r="B76" t="s">
        <v>147</v>
      </c>
      <c r="C76">
        <f>C349</f>
        <v>169.89000000000001</v>
      </c>
      <c r="D76">
        <f t="shared" ref="D76:BH76" si="37">D349</f>
        <v>175.01999999999998</v>
      </c>
      <c r="E76">
        <f t="shared" si="37"/>
        <v>185.19</v>
      </c>
      <c r="F76">
        <f t="shared" si="37"/>
        <v>203.05</v>
      </c>
      <c r="G76">
        <f t="shared" si="37"/>
        <v>248.67999999999998</v>
      </c>
      <c r="H76">
        <f t="shared" si="37"/>
        <v>80.36999999999999</v>
      </c>
      <c r="I76">
        <f t="shared" si="37"/>
        <v>73.899999999999991</v>
      </c>
      <c r="J76">
        <f t="shared" si="37"/>
        <v>26.549999999999997</v>
      </c>
      <c r="K76">
        <f t="shared" si="37"/>
        <v>42.330000000000005</v>
      </c>
      <c r="L76">
        <f t="shared" si="37"/>
        <v>43.1</v>
      </c>
      <c r="M76">
        <f t="shared" si="37"/>
        <v>43.890000000000008</v>
      </c>
      <c r="N76">
        <f t="shared" si="37"/>
        <v>44.371485259648075</v>
      </c>
      <c r="O76">
        <f t="shared" si="37"/>
        <v>44.85310356211415</v>
      </c>
      <c r="P76">
        <f t="shared" si="37"/>
        <v>45.324455778944241</v>
      </c>
      <c r="Q76">
        <f t="shared" si="37"/>
        <v>45.80594103859233</v>
      </c>
      <c r="R76">
        <f t="shared" si="37"/>
        <v>46.287559341058405</v>
      </c>
      <c r="S76">
        <f t="shared" si="37"/>
        <v>46.76891155788848</v>
      </c>
      <c r="T76">
        <f t="shared" si="37"/>
        <v>47.240529860354563</v>
      </c>
      <c r="U76">
        <f t="shared" si="37"/>
        <v>47.722148162820638</v>
      </c>
      <c r="V76">
        <f t="shared" si="37"/>
        <v>48.203367336832727</v>
      </c>
      <c r="W76">
        <f t="shared" si="37"/>
        <v>48.674985639298797</v>
      </c>
      <c r="X76">
        <f t="shared" si="37"/>
        <v>48.918002046812589</v>
      </c>
      <c r="Y76">
        <f t="shared" si="37"/>
        <v>48.843592156085961</v>
      </c>
      <c r="Z76">
        <f t="shared" si="37"/>
        <v>48.759315308177356</v>
      </c>
      <c r="AA76">
        <f t="shared" si="37"/>
        <v>48.684772374632729</v>
      </c>
      <c r="AB76">
        <f t="shared" si="37"/>
        <v>48.610362483906108</v>
      </c>
      <c r="AC76">
        <f t="shared" si="37"/>
        <v>48.526218678815496</v>
      </c>
      <c r="AD76">
        <f t="shared" si="37"/>
        <v>48.451542702452876</v>
      </c>
      <c r="AE76">
        <f t="shared" si="37"/>
        <v>48.377132811726263</v>
      </c>
      <c r="AF76">
        <f t="shared" si="37"/>
        <v>48.292855963817644</v>
      </c>
      <c r="AG76">
        <f t="shared" si="37"/>
        <v>48.218446073091023</v>
      </c>
      <c r="AH76">
        <f t="shared" si="37"/>
        <v>48.143903139546403</v>
      </c>
      <c r="AI76">
        <f t="shared" si="37"/>
        <v>48.059626291637784</v>
      </c>
      <c r="AJ76">
        <f t="shared" si="37"/>
        <v>47.985216400911163</v>
      </c>
      <c r="AK76">
        <f t="shared" si="37"/>
        <v>47.910806510184543</v>
      </c>
      <c r="AL76">
        <f t="shared" si="37"/>
        <v>47.826263576639931</v>
      </c>
      <c r="AM76">
        <f t="shared" si="37"/>
        <v>47.752651942821302</v>
      </c>
      <c r="AN76">
        <f t="shared" si="37"/>
        <v>47.668907266184675</v>
      </c>
      <c r="AO76">
        <f t="shared" si="37"/>
        <v>47.668907266184675</v>
      </c>
      <c r="AP76">
        <f t="shared" si="37"/>
        <v>47.668907266184675</v>
      </c>
      <c r="AQ76">
        <f t="shared" si="37"/>
        <v>47.668907266184675</v>
      </c>
      <c r="AR76">
        <f t="shared" si="37"/>
        <v>47.668907266184675</v>
      </c>
      <c r="AS76">
        <f t="shared" si="37"/>
        <v>47.668907266184675</v>
      </c>
      <c r="AT76">
        <f t="shared" si="37"/>
        <v>47.668907266184675</v>
      </c>
      <c r="AU76">
        <f t="shared" si="37"/>
        <v>47.668907266184675</v>
      </c>
      <c r="AV76">
        <f t="shared" si="37"/>
        <v>47.668907266184675</v>
      </c>
      <c r="AW76">
        <f t="shared" si="37"/>
        <v>47.668907266184675</v>
      </c>
      <c r="AX76">
        <f t="shared" si="37"/>
        <v>47.668907266184675</v>
      </c>
      <c r="AY76">
        <f t="shared" si="37"/>
        <v>47.668907266184675</v>
      </c>
      <c r="AZ76">
        <f t="shared" si="37"/>
        <v>47.668907266184675</v>
      </c>
      <c r="BA76">
        <f t="shared" si="37"/>
        <v>47.668907266184675</v>
      </c>
      <c r="BB76">
        <f t="shared" si="37"/>
        <v>47.668907266184675</v>
      </c>
      <c r="BC76">
        <f t="shared" si="37"/>
        <v>47.668907266184675</v>
      </c>
      <c r="BD76">
        <f t="shared" si="37"/>
        <v>47.668907266184675</v>
      </c>
      <c r="BE76">
        <f t="shared" si="37"/>
        <v>47.668907266184675</v>
      </c>
      <c r="BF76">
        <f t="shared" si="37"/>
        <v>47.668907266184675</v>
      </c>
      <c r="BG76">
        <f t="shared" si="37"/>
        <v>47.668907266184675</v>
      </c>
      <c r="BH76">
        <f t="shared" si="37"/>
        <v>47.668907266184675</v>
      </c>
    </row>
    <row r="77" spans="1:60" hidden="1" outlineLevel="1">
      <c r="B77" t="s">
        <v>148</v>
      </c>
      <c r="C77">
        <f>C353</f>
        <v>572.76</v>
      </c>
      <c r="D77">
        <f>D353</f>
        <v>566.16999999999996</v>
      </c>
      <c r="E77">
        <f>E353</f>
        <v>612.02</v>
      </c>
      <c r="F77">
        <f>F353</f>
        <v>623.07000000000005</v>
      </c>
      <c r="G77">
        <f>G353</f>
        <v>680.83999999999992</v>
      </c>
      <c r="H77">
        <f>H353</f>
        <v>529.16</v>
      </c>
      <c r="I77">
        <f>I353</f>
        <v>491.40999999999997</v>
      </c>
      <c r="J77">
        <f>J353</f>
        <v>538.55999999999995</v>
      </c>
      <c r="K77">
        <f>K353</f>
        <v>682.42</v>
      </c>
      <c r="L77">
        <f>L353</f>
        <v>651.68000000000006</v>
      </c>
      <c r="M77">
        <f>M353</f>
        <v>677.34</v>
      </c>
      <c r="N77">
        <f>N353</f>
        <v>700.76</v>
      </c>
      <c r="O77">
        <f>O353</f>
        <v>721.91000000000008</v>
      </c>
      <c r="P77">
        <f>P353</f>
        <v>736.69</v>
      </c>
      <c r="Q77">
        <f>Q353</f>
        <v>748.37</v>
      </c>
      <c r="R77">
        <f>R353</f>
        <v>757.18000000000006</v>
      </c>
      <c r="S77">
        <f>S353</f>
        <v>763.71</v>
      </c>
      <c r="T77">
        <f>T353</f>
        <v>768.66000000000008</v>
      </c>
      <c r="U77">
        <f>U353</f>
        <v>772.73</v>
      </c>
      <c r="V77">
        <f>V353</f>
        <v>776.6400000000001</v>
      </c>
      <c r="W77">
        <f>W353</f>
        <v>780.25</v>
      </c>
      <c r="X77">
        <f>X353</f>
        <v>783.55</v>
      </c>
      <c r="Y77">
        <f>Y353</f>
        <v>786.53</v>
      </c>
      <c r="Z77">
        <f>Z353</f>
        <v>789.17000000000007</v>
      </c>
      <c r="AA77">
        <f>AA353</f>
        <v>791.42000000000007</v>
      </c>
      <c r="AB77">
        <f>AB353</f>
        <v>793.31</v>
      </c>
      <c r="AC77">
        <f>AC353</f>
        <v>794.81999999999994</v>
      </c>
      <c r="AD77">
        <f>AD353</f>
        <v>795.86</v>
      </c>
      <c r="AE77">
        <f>AE353</f>
        <v>796.31999999999994</v>
      </c>
      <c r="AF77">
        <f>AF353</f>
        <v>796.22</v>
      </c>
      <c r="AG77">
        <f>AG353</f>
        <v>795.55</v>
      </c>
      <c r="AH77">
        <f>AH353</f>
        <v>794.3</v>
      </c>
      <c r="AI77">
        <f>AI353</f>
        <v>792.48</v>
      </c>
      <c r="AJ77">
        <f>AJ353</f>
        <v>791.65</v>
      </c>
      <c r="AK77">
        <f>AK353</f>
        <v>788.53</v>
      </c>
      <c r="AL77">
        <f>AL353</f>
        <v>784.54</v>
      </c>
      <c r="AM77">
        <f>AM353</f>
        <v>779.66</v>
      </c>
      <c r="AN77">
        <f>AN353</f>
        <v>775.7</v>
      </c>
      <c r="AO77">
        <f>AO353</f>
        <v>775.7</v>
      </c>
      <c r="AP77">
        <f>AP353</f>
        <v>775.7</v>
      </c>
      <c r="AQ77">
        <f>AQ353</f>
        <v>775.7</v>
      </c>
      <c r="AR77">
        <f>AR353</f>
        <v>775.7</v>
      </c>
      <c r="AS77">
        <f>AS353</f>
        <v>775.7</v>
      </c>
      <c r="AT77">
        <f>AT353</f>
        <v>775.7</v>
      </c>
      <c r="AU77">
        <f>AU353</f>
        <v>775.7</v>
      </c>
      <c r="AV77">
        <f>AV353</f>
        <v>775.7</v>
      </c>
      <c r="AW77">
        <f>AW353</f>
        <v>775.7</v>
      </c>
      <c r="AX77">
        <f>AX353</f>
        <v>775.7</v>
      </c>
      <c r="AY77">
        <f>AY353</f>
        <v>775.7</v>
      </c>
      <c r="AZ77">
        <f>AZ353</f>
        <v>775.7</v>
      </c>
      <c r="BA77">
        <f>BA353</f>
        <v>775.7</v>
      </c>
      <c r="BB77">
        <f>BB353</f>
        <v>775.7</v>
      </c>
      <c r="BC77">
        <f>BC353</f>
        <v>775.7</v>
      </c>
      <c r="BD77">
        <f>BD353</f>
        <v>775.7</v>
      </c>
      <c r="BE77">
        <f>BE353</f>
        <v>775.7</v>
      </c>
      <c r="BF77">
        <f>BF353</f>
        <v>775.7</v>
      </c>
      <c r="BG77">
        <f>BG353</f>
        <v>775.7</v>
      </c>
      <c r="BH77">
        <f>BH353</f>
        <v>775.7</v>
      </c>
    </row>
    <row r="78" spans="1:60" hidden="1" outlineLevel="1">
      <c r="B78" t="s">
        <v>149</v>
      </c>
    </row>
    <row r="79" spans="1:60" hidden="1" outlineLevel="1">
      <c r="B79" t="s">
        <v>150</v>
      </c>
    </row>
    <row r="80" spans="1:60" collapsed="1">
      <c r="A80" t="s">
        <v>153</v>
      </c>
      <c r="C80">
        <f>SUM(C81:C105)</f>
        <v>179.64000000000001</v>
      </c>
      <c r="D80">
        <f t="shared" ref="D80:BH80" si="38">SUM(D81:D105)</f>
        <v>177.25999999999996</v>
      </c>
      <c r="E80">
        <f t="shared" si="38"/>
        <v>211.12000000000003</v>
      </c>
      <c r="F80">
        <f t="shared" si="38"/>
        <v>217.46999999999997</v>
      </c>
      <c r="G80">
        <f t="shared" si="38"/>
        <v>192.82</v>
      </c>
      <c r="H80">
        <f t="shared" si="38"/>
        <v>200.95999999999995</v>
      </c>
      <c r="I80">
        <f t="shared" si="38"/>
        <v>206.22999999999996</v>
      </c>
      <c r="J80">
        <f t="shared" si="38"/>
        <v>179.13999999999993</v>
      </c>
      <c r="K80">
        <f t="shared" si="38"/>
        <v>179.92</v>
      </c>
      <c r="L80">
        <f t="shared" si="38"/>
        <v>182.59499999999994</v>
      </c>
      <c r="M80">
        <f t="shared" si="38"/>
        <v>184.59550000000002</v>
      </c>
      <c r="N80">
        <f t="shared" si="38"/>
        <v>186.60599999999999</v>
      </c>
      <c r="O80">
        <f t="shared" si="38"/>
        <v>188.58649999999997</v>
      </c>
      <c r="P80">
        <f t="shared" si="38"/>
        <v>190.58700000000002</v>
      </c>
      <c r="Q80">
        <f t="shared" si="38"/>
        <v>192.55749999999998</v>
      </c>
      <c r="R80">
        <f t="shared" si="38"/>
        <v>194.58800000000002</v>
      </c>
      <c r="S80">
        <f t="shared" si="38"/>
        <v>196.57849999999996</v>
      </c>
      <c r="T80">
        <f t="shared" si="38"/>
        <v>198.57899999999998</v>
      </c>
      <c r="U80">
        <f t="shared" si="38"/>
        <v>200.5795</v>
      </c>
      <c r="V80">
        <f t="shared" si="38"/>
        <v>202.57999999999998</v>
      </c>
      <c r="W80">
        <f t="shared" si="38"/>
        <v>204.58049999999997</v>
      </c>
      <c r="X80">
        <f t="shared" si="38"/>
        <v>206.58099999999996</v>
      </c>
      <c r="Y80">
        <f t="shared" si="38"/>
        <v>208.58149999999995</v>
      </c>
      <c r="Z80">
        <f t="shared" si="38"/>
        <v>210.57199999999997</v>
      </c>
      <c r="AA80">
        <f t="shared" si="38"/>
        <v>212.58249999999998</v>
      </c>
      <c r="AB80">
        <f t="shared" si="38"/>
        <v>214.57299999999998</v>
      </c>
      <c r="AC80">
        <f t="shared" si="38"/>
        <v>216.58350000000002</v>
      </c>
      <c r="AD80">
        <f t="shared" si="38"/>
        <v>218.59399999999997</v>
      </c>
      <c r="AE80">
        <f t="shared" si="38"/>
        <v>220.59449999999995</v>
      </c>
      <c r="AF80">
        <f t="shared" si="38"/>
        <v>222.59499999999997</v>
      </c>
      <c r="AG80">
        <f t="shared" si="38"/>
        <v>224.58550000000002</v>
      </c>
      <c r="AH80">
        <f t="shared" si="38"/>
        <v>226.57600000000002</v>
      </c>
      <c r="AI80">
        <f t="shared" si="38"/>
        <v>228.57650000000001</v>
      </c>
      <c r="AJ80">
        <f t="shared" si="38"/>
        <v>230.59700000000007</v>
      </c>
      <c r="AK80">
        <f t="shared" si="38"/>
        <v>232.58750000000003</v>
      </c>
      <c r="AL80">
        <f t="shared" si="38"/>
        <v>234.61799999999999</v>
      </c>
      <c r="AM80">
        <f t="shared" si="38"/>
        <v>236.59849999999994</v>
      </c>
      <c r="AN80">
        <f t="shared" si="38"/>
        <v>238.59899999999999</v>
      </c>
      <c r="AO80">
        <f t="shared" si="38"/>
        <v>238.59899999999999</v>
      </c>
      <c r="AP80">
        <f t="shared" si="38"/>
        <v>238.59899999999999</v>
      </c>
      <c r="AQ80">
        <f t="shared" si="38"/>
        <v>238.59899999999999</v>
      </c>
      <c r="AR80">
        <f t="shared" si="38"/>
        <v>238.59899999999999</v>
      </c>
      <c r="AS80">
        <f t="shared" si="38"/>
        <v>238.59899999999999</v>
      </c>
      <c r="AT80">
        <f t="shared" si="38"/>
        <v>238.59899999999999</v>
      </c>
      <c r="AU80">
        <f t="shared" si="38"/>
        <v>238.59899999999999</v>
      </c>
      <c r="AV80">
        <f t="shared" si="38"/>
        <v>238.59899999999999</v>
      </c>
      <c r="AW80">
        <f t="shared" si="38"/>
        <v>238.59899999999999</v>
      </c>
      <c r="AX80">
        <f t="shared" si="38"/>
        <v>238.59899999999999</v>
      </c>
      <c r="AY80">
        <f t="shared" si="38"/>
        <v>238.59899999999999</v>
      </c>
      <c r="AZ80">
        <f t="shared" si="38"/>
        <v>238.59899999999999</v>
      </c>
      <c r="BA80">
        <f t="shared" si="38"/>
        <v>238.59899999999999</v>
      </c>
      <c r="BB80">
        <f t="shared" si="38"/>
        <v>238.59899999999999</v>
      </c>
      <c r="BC80">
        <f t="shared" si="38"/>
        <v>238.59899999999999</v>
      </c>
      <c r="BD80">
        <f t="shared" si="38"/>
        <v>238.59899999999999</v>
      </c>
      <c r="BE80">
        <f t="shared" si="38"/>
        <v>238.59899999999999</v>
      </c>
      <c r="BF80">
        <f t="shared" si="38"/>
        <v>238.59899999999999</v>
      </c>
      <c r="BG80">
        <f t="shared" si="38"/>
        <v>238.59899999999999</v>
      </c>
      <c r="BH80">
        <f t="shared" si="38"/>
        <v>238.59899999999999</v>
      </c>
    </row>
    <row r="81" spans="2:60" hidden="1" outlineLevel="1">
      <c r="B81" t="s">
        <v>126</v>
      </c>
      <c r="C81">
        <f>C242</f>
        <v>115.71</v>
      </c>
      <c r="D81">
        <f t="shared" ref="D81:BH81" si="39">D242</f>
        <v>117.43</v>
      </c>
      <c r="E81">
        <f t="shared" si="39"/>
        <v>137</v>
      </c>
      <c r="F81">
        <f t="shared" si="39"/>
        <v>134.47</v>
      </c>
      <c r="G81">
        <f t="shared" si="39"/>
        <v>135.44</v>
      </c>
      <c r="H81">
        <f t="shared" si="39"/>
        <v>140.10999999999999</v>
      </c>
      <c r="I81">
        <f t="shared" si="39"/>
        <v>141.26</v>
      </c>
      <c r="J81">
        <f t="shared" si="39"/>
        <v>127.5</v>
      </c>
      <c r="K81">
        <f t="shared" si="39"/>
        <v>125.88</v>
      </c>
      <c r="L81">
        <f t="shared" si="39"/>
        <v>128.40499999999997</v>
      </c>
      <c r="M81">
        <f t="shared" si="39"/>
        <v>130.5155</v>
      </c>
      <c r="N81">
        <f t="shared" si="39"/>
        <v>132.636</v>
      </c>
      <c r="O81">
        <f t="shared" si="39"/>
        <v>134.7465</v>
      </c>
      <c r="P81">
        <f t="shared" si="39"/>
        <v>136.86700000000002</v>
      </c>
      <c r="Q81">
        <f t="shared" si="39"/>
        <v>138.97750000000002</v>
      </c>
      <c r="R81">
        <f t="shared" si="39"/>
        <v>141.09800000000001</v>
      </c>
      <c r="S81">
        <f t="shared" si="39"/>
        <v>143.20849999999999</v>
      </c>
      <c r="T81">
        <f t="shared" si="39"/>
        <v>145.32900000000001</v>
      </c>
      <c r="U81">
        <f t="shared" si="39"/>
        <v>147.4495</v>
      </c>
      <c r="V81">
        <f t="shared" si="39"/>
        <v>149.57</v>
      </c>
      <c r="W81">
        <f t="shared" si="39"/>
        <v>151.69049999999999</v>
      </c>
      <c r="X81">
        <f t="shared" si="39"/>
        <v>153.81100000000001</v>
      </c>
      <c r="Y81">
        <f t="shared" si="39"/>
        <v>155.9315</v>
      </c>
      <c r="Z81">
        <f t="shared" si="39"/>
        <v>158.05199999999999</v>
      </c>
      <c r="AA81">
        <f t="shared" si="39"/>
        <v>160.17249999999999</v>
      </c>
      <c r="AB81">
        <f t="shared" si="39"/>
        <v>162.29300000000001</v>
      </c>
      <c r="AC81">
        <f t="shared" si="39"/>
        <v>164.4135</v>
      </c>
      <c r="AD81">
        <f t="shared" si="39"/>
        <v>166.53399999999999</v>
      </c>
      <c r="AE81">
        <f t="shared" si="39"/>
        <v>168.65449999999998</v>
      </c>
      <c r="AF81">
        <f t="shared" si="39"/>
        <v>170.77500000000001</v>
      </c>
      <c r="AG81">
        <f t="shared" si="39"/>
        <v>172.8955</v>
      </c>
      <c r="AH81">
        <f t="shared" si="39"/>
        <v>175.01599999999999</v>
      </c>
      <c r="AI81">
        <f t="shared" si="39"/>
        <v>177.13649999999998</v>
      </c>
      <c r="AJ81">
        <f t="shared" si="39"/>
        <v>179.25700000000001</v>
      </c>
      <c r="AK81">
        <f t="shared" si="39"/>
        <v>181.3775</v>
      </c>
      <c r="AL81">
        <f t="shared" si="39"/>
        <v>183.49799999999999</v>
      </c>
      <c r="AM81">
        <f t="shared" si="39"/>
        <v>185.61849999999998</v>
      </c>
      <c r="AN81">
        <f t="shared" si="39"/>
        <v>187.739</v>
      </c>
      <c r="AO81">
        <f t="shared" si="39"/>
        <v>187.739</v>
      </c>
      <c r="AP81">
        <f t="shared" si="39"/>
        <v>187.739</v>
      </c>
      <c r="AQ81">
        <f t="shared" si="39"/>
        <v>187.739</v>
      </c>
      <c r="AR81">
        <f t="shared" si="39"/>
        <v>187.739</v>
      </c>
      <c r="AS81">
        <f t="shared" si="39"/>
        <v>187.739</v>
      </c>
      <c r="AT81">
        <f t="shared" si="39"/>
        <v>187.739</v>
      </c>
      <c r="AU81">
        <f t="shared" si="39"/>
        <v>187.739</v>
      </c>
      <c r="AV81">
        <f t="shared" si="39"/>
        <v>187.739</v>
      </c>
      <c r="AW81">
        <f t="shared" si="39"/>
        <v>187.739</v>
      </c>
      <c r="AX81">
        <f t="shared" si="39"/>
        <v>187.739</v>
      </c>
      <c r="AY81">
        <f t="shared" si="39"/>
        <v>187.739</v>
      </c>
      <c r="AZ81">
        <f t="shared" si="39"/>
        <v>187.739</v>
      </c>
      <c r="BA81">
        <f t="shared" si="39"/>
        <v>187.739</v>
      </c>
      <c r="BB81">
        <f t="shared" si="39"/>
        <v>187.739</v>
      </c>
      <c r="BC81">
        <f t="shared" si="39"/>
        <v>187.739</v>
      </c>
      <c r="BD81">
        <f t="shared" si="39"/>
        <v>187.739</v>
      </c>
      <c r="BE81">
        <f t="shared" si="39"/>
        <v>187.739</v>
      </c>
      <c r="BF81">
        <f t="shared" si="39"/>
        <v>187.739</v>
      </c>
      <c r="BG81">
        <f t="shared" si="39"/>
        <v>187.739</v>
      </c>
      <c r="BH81">
        <f t="shared" si="39"/>
        <v>187.739</v>
      </c>
    </row>
    <row r="82" spans="2:60" hidden="1" outlineLevel="1">
      <c r="B82" t="s">
        <v>127</v>
      </c>
      <c r="C82">
        <f>C247</f>
        <v>0.65549999999999997</v>
      </c>
      <c r="D82">
        <f t="shared" ref="D82:BH82" si="40">D247</f>
        <v>0.6885</v>
      </c>
      <c r="E82">
        <f t="shared" si="40"/>
        <v>0.82499999999999996</v>
      </c>
      <c r="F82">
        <f t="shared" si="40"/>
        <v>0.84750000000000003</v>
      </c>
      <c r="G82">
        <f t="shared" si="40"/>
        <v>0.89400000000000002</v>
      </c>
      <c r="H82">
        <f t="shared" si="40"/>
        <v>0.96750000000000003</v>
      </c>
      <c r="I82">
        <f t="shared" si="40"/>
        <v>1.032</v>
      </c>
      <c r="J82">
        <f t="shared" si="40"/>
        <v>0.48899999999999993</v>
      </c>
      <c r="K82">
        <f t="shared" si="40"/>
        <v>0.46499999999999997</v>
      </c>
      <c r="L82">
        <f t="shared" si="40"/>
        <v>0.46649999999999997</v>
      </c>
      <c r="M82">
        <f t="shared" si="40"/>
        <v>0.46499999999999997</v>
      </c>
      <c r="N82">
        <f t="shared" si="40"/>
        <v>0.46349999999999997</v>
      </c>
      <c r="O82">
        <f t="shared" si="40"/>
        <v>0.46199999999999997</v>
      </c>
      <c r="P82">
        <f t="shared" si="40"/>
        <v>0.46049999999999996</v>
      </c>
      <c r="Q82">
        <f t="shared" si="40"/>
        <v>0.45899999999999996</v>
      </c>
      <c r="R82">
        <f t="shared" si="40"/>
        <v>0.45749999999999996</v>
      </c>
      <c r="S82">
        <f t="shared" si="40"/>
        <v>0.45599999999999996</v>
      </c>
      <c r="T82">
        <f t="shared" si="40"/>
        <v>0.45599999999999996</v>
      </c>
      <c r="U82">
        <f t="shared" si="40"/>
        <v>0.45449999999999996</v>
      </c>
      <c r="V82">
        <f t="shared" si="40"/>
        <v>0.45299999999999996</v>
      </c>
      <c r="W82">
        <f t="shared" si="40"/>
        <v>0.45149999999999996</v>
      </c>
      <c r="X82">
        <f t="shared" si="40"/>
        <v>0.44999999999999996</v>
      </c>
      <c r="Y82">
        <f t="shared" si="40"/>
        <v>0.44850000000000001</v>
      </c>
      <c r="Z82">
        <f t="shared" si="40"/>
        <v>0.44700000000000001</v>
      </c>
      <c r="AA82">
        <f t="shared" si="40"/>
        <v>0.44550000000000001</v>
      </c>
      <c r="AB82">
        <f t="shared" si="40"/>
        <v>0.44400000000000001</v>
      </c>
      <c r="AC82">
        <f t="shared" si="40"/>
        <v>0.44400000000000001</v>
      </c>
      <c r="AD82">
        <f t="shared" si="40"/>
        <v>0.4425</v>
      </c>
      <c r="AE82">
        <f t="shared" si="40"/>
        <v>0.441</v>
      </c>
      <c r="AF82">
        <f t="shared" si="40"/>
        <v>0.4395</v>
      </c>
      <c r="AG82">
        <f t="shared" si="40"/>
        <v>0.438</v>
      </c>
      <c r="AH82">
        <f t="shared" si="40"/>
        <v>0.4365</v>
      </c>
      <c r="AI82">
        <f t="shared" si="40"/>
        <v>0.435</v>
      </c>
      <c r="AJ82">
        <f t="shared" si="40"/>
        <v>0.4335</v>
      </c>
      <c r="AK82">
        <f t="shared" si="40"/>
        <v>0.432</v>
      </c>
      <c r="AL82">
        <f t="shared" si="40"/>
        <v>0.432</v>
      </c>
      <c r="AM82">
        <f t="shared" si="40"/>
        <v>0.43049999999999999</v>
      </c>
      <c r="AN82">
        <f t="shared" si="40"/>
        <v>0.42899999999999999</v>
      </c>
      <c r="AO82">
        <f t="shared" si="40"/>
        <v>0.42899999999999999</v>
      </c>
      <c r="AP82">
        <f t="shared" si="40"/>
        <v>0.42899999999999999</v>
      </c>
      <c r="AQ82">
        <f t="shared" si="40"/>
        <v>0.42899999999999999</v>
      </c>
      <c r="AR82">
        <f t="shared" si="40"/>
        <v>0.42899999999999999</v>
      </c>
      <c r="AS82">
        <f t="shared" si="40"/>
        <v>0.42899999999999999</v>
      </c>
      <c r="AT82">
        <f t="shared" si="40"/>
        <v>0.42899999999999999</v>
      </c>
      <c r="AU82">
        <f t="shared" si="40"/>
        <v>0.42899999999999999</v>
      </c>
      <c r="AV82">
        <f t="shared" si="40"/>
        <v>0.42899999999999999</v>
      </c>
      <c r="AW82">
        <f t="shared" si="40"/>
        <v>0.42899999999999999</v>
      </c>
      <c r="AX82">
        <f t="shared" si="40"/>
        <v>0.42899999999999999</v>
      </c>
      <c r="AY82">
        <f t="shared" si="40"/>
        <v>0.42899999999999999</v>
      </c>
      <c r="AZ82">
        <f t="shared" si="40"/>
        <v>0.42899999999999999</v>
      </c>
      <c r="BA82">
        <f t="shared" si="40"/>
        <v>0.42899999999999999</v>
      </c>
      <c r="BB82">
        <f t="shared" si="40"/>
        <v>0.42899999999999999</v>
      </c>
      <c r="BC82">
        <f t="shared" si="40"/>
        <v>0.42899999999999999</v>
      </c>
      <c r="BD82">
        <f t="shared" si="40"/>
        <v>0.42899999999999999</v>
      </c>
      <c r="BE82">
        <f t="shared" si="40"/>
        <v>0.42899999999999999</v>
      </c>
      <c r="BF82">
        <f t="shared" si="40"/>
        <v>0.42899999999999999</v>
      </c>
      <c r="BG82">
        <f t="shared" si="40"/>
        <v>0.42899999999999999</v>
      </c>
      <c r="BH82">
        <f t="shared" si="40"/>
        <v>0.42899999999999999</v>
      </c>
    </row>
    <row r="83" spans="2:60" hidden="1" outlineLevel="1">
      <c r="B83" t="s">
        <v>128</v>
      </c>
    </row>
    <row r="84" spans="2:60" hidden="1" outlineLevel="1">
      <c r="B84" t="s">
        <v>129</v>
      </c>
      <c r="C84">
        <f>C254</f>
        <v>3.7145000000000001</v>
      </c>
      <c r="D84">
        <f t="shared" ref="D84:BH84" si="41">D254</f>
        <v>3.9015</v>
      </c>
      <c r="E84">
        <f t="shared" si="41"/>
        <v>4.6749999999999998</v>
      </c>
      <c r="F84">
        <f t="shared" si="41"/>
        <v>4.8025000000000002</v>
      </c>
      <c r="G84">
        <f t="shared" si="41"/>
        <v>5.0659999999999998</v>
      </c>
      <c r="H84">
        <f t="shared" si="41"/>
        <v>5.4824999999999999</v>
      </c>
      <c r="I84">
        <f t="shared" si="41"/>
        <v>5.8479999999999999</v>
      </c>
      <c r="J84">
        <f t="shared" si="41"/>
        <v>2.7709999999999999</v>
      </c>
      <c r="K84">
        <f t="shared" si="41"/>
        <v>2.6349999999999998</v>
      </c>
      <c r="L84">
        <f t="shared" si="41"/>
        <v>2.6435</v>
      </c>
      <c r="M84">
        <f t="shared" si="41"/>
        <v>2.6349999999999998</v>
      </c>
      <c r="N84">
        <f t="shared" si="41"/>
        <v>2.6264999999999996</v>
      </c>
      <c r="O84">
        <f t="shared" si="41"/>
        <v>2.6179999999999999</v>
      </c>
      <c r="P84">
        <f t="shared" si="41"/>
        <v>2.6094999999999997</v>
      </c>
      <c r="Q84">
        <f t="shared" si="41"/>
        <v>2.601</v>
      </c>
      <c r="R84">
        <f t="shared" si="41"/>
        <v>2.5924999999999998</v>
      </c>
      <c r="S84">
        <f t="shared" si="41"/>
        <v>2.5840000000000001</v>
      </c>
      <c r="T84">
        <f t="shared" si="41"/>
        <v>2.5840000000000001</v>
      </c>
      <c r="U84">
        <f t="shared" si="41"/>
        <v>2.5754999999999999</v>
      </c>
      <c r="V84">
        <f t="shared" si="41"/>
        <v>2.5669999999999997</v>
      </c>
      <c r="W84">
        <f t="shared" si="41"/>
        <v>2.5584999999999996</v>
      </c>
      <c r="X84">
        <f t="shared" si="41"/>
        <v>2.5499999999999998</v>
      </c>
      <c r="Y84">
        <f t="shared" si="41"/>
        <v>2.5415000000000001</v>
      </c>
      <c r="Z84">
        <f t="shared" si="41"/>
        <v>2.5329999999999999</v>
      </c>
      <c r="AA84">
        <f t="shared" si="41"/>
        <v>2.5245000000000002</v>
      </c>
      <c r="AB84">
        <f t="shared" si="41"/>
        <v>2.516</v>
      </c>
      <c r="AC84">
        <f t="shared" si="41"/>
        <v>2.516</v>
      </c>
      <c r="AD84">
        <f t="shared" si="41"/>
        <v>2.5075000000000003</v>
      </c>
      <c r="AE84">
        <f t="shared" si="41"/>
        <v>2.4990000000000001</v>
      </c>
      <c r="AF84">
        <f t="shared" si="41"/>
        <v>2.4904999999999999</v>
      </c>
      <c r="AG84">
        <f t="shared" si="41"/>
        <v>2.4819999999999998</v>
      </c>
      <c r="AH84">
        <f t="shared" si="41"/>
        <v>2.4735</v>
      </c>
      <c r="AI84">
        <f t="shared" si="41"/>
        <v>2.4649999999999999</v>
      </c>
      <c r="AJ84">
        <f t="shared" si="41"/>
        <v>2.4565000000000001</v>
      </c>
      <c r="AK84">
        <f t="shared" si="41"/>
        <v>2.448</v>
      </c>
      <c r="AL84">
        <f t="shared" si="41"/>
        <v>2.448</v>
      </c>
      <c r="AM84">
        <f t="shared" si="41"/>
        <v>2.4395000000000002</v>
      </c>
      <c r="AN84">
        <f t="shared" si="41"/>
        <v>2.431</v>
      </c>
      <c r="AO84">
        <f t="shared" si="41"/>
        <v>2.431</v>
      </c>
      <c r="AP84">
        <f t="shared" si="41"/>
        <v>2.431</v>
      </c>
      <c r="AQ84">
        <f t="shared" si="41"/>
        <v>2.431</v>
      </c>
      <c r="AR84">
        <f t="shared" si="41"/>
        <v>2.431</v>
      </c>
      <c r="AS84">
        <f t="shared" si="41"/>
        <v>2.431</v>
      </c>
      <c r="AT84">
        <f t="shared" si="41"/>
        <v>2.431</v>
      </c>
      <c r="AU84">
        <f t="shared" si="41"/>
        <v>2.431</v>
      </c>
      <c r="AV84">
        <f t="shared" si="41"/>
        <v>2.431</v>
      </c>
      <c r="AW84">
        <f t="shared" si="41"/>
        <v>2.431</v>
      </c>
      <c r="AX84">
        <f t="shared" si="41"/>
        <v>2.431</v>
      </c>
      <c r="AY84">
        <f t="shared" si="41"/>
        <v>2.431</v>
      </c>
      <c r="AZ84">
        <f t="shared" si="41"/>
        <v>2.431</v>
      </c>
      <c r="BA84">
        <f t="shared" si="41"/>
        <v>2.431</v>
      </c>
      <c r="BB84">
        <f t="shared" si="41"/>
        <v>2.431</v>
      </c>
      <c r="BC84">
        <f t="shared" si="41"/>
        <v>2.431</v>
      </c>
      <c r="BD84">
        <f t="shared" si="41"/>
        <v>2.431</v>
      </c>
      <c r="BE84">
        <f t="shared" si="41"/>
        <v>2.431</v>
      </c>
      <c r="BF84">
        <f t="shared" si="41"/>
        <v>2.431</v>
      </c>
      <c r="BG84">
        <f t="shared" si="41"/>
        <v>2.431</v>
      </c>
      <c r="BH84">
        <f t="shared" si="41"/>
        <v>2.431</v>
      </c>
    </row>
    <row r="85" spans="2:60" hidden="1" outlineLevel="1">
      <c r="B85" t="s">
        <v>130</v>
      </c>
      <c r="C85">
        <f>C260</f>
        <v>3.69</v>
      </c>
      <c r="D85">
        <f t="shared" ref="D85:BH85" si="42">D260</f>
        <v>3.82</v>
      </c>
      <c r="E85">
        <f t="shared" si="42"/>
        <v>3.98</v>
      </c>
      <c r="F85">
        <f t="shared" si="42"/>
        <v>4.1500000000000004</v>
      </c>
      <c r="G85">
        <f t="shared" si="42"/>
        <v>4.1399999999999997</v>
      </c>
      <c r="H85">
        <f t="shared" si="42"/>
        <v>4.6400000000000006</v>
      </c>
      <c r="I85">
        <f t="shared" si="42"/>
        <v>4.4200000000000008</v>
      </c>
      <c r="J85">
        <f t="shared" si="42"/>
        <v>3.5100000000000002</v>
      </c>
      <c r="K85">
        <f t="shared" si="42"/>
        <v>3.58</v>
      </c>
      <c r="L85">
        <f t="shared" si="42"/>
        <v>3.5900000000000003</v>
      </c>
      <c r="M85">
        <f t="shared" si="42"/>
        <v>3.58</v>
      </c>
      <c r="N85">
        <f t="shared" si="42"/>
        <v>3.5700000000000003</v>
      </c>
      <c r="O85">
        <f t="shared" si="42"/>
        <v>3.56</v>
      </c>
      <c r="P85">
        <f t="shared" si="42"/>
        <v>3.5500000000000003</v>
      </c>
      <c r="Q85">
        <f t="shared" si="42"/>
        <v>3.54</v>
      </c>
      <c r="R85">
        <f t="shared" si="42"/>
        <v>3.5300000000000002</v>
      </c>
      <c r="S85">
        <f t="shared" si="42"/>
        <v>3.52</v>
      </c>
      <c r="T85">
        <f t="shared" si="42"/>
        <v>3.5100000000000002</v>
      </c>
      <c r="U85">
        <f t="shared" si="42"/>
        <v>3.5</v>
      </c>
      <c r="V85">
        <f t="shared" si="42"/>
        <v>3.49</v>
      </c>
      <c r="W85">
        <f t="shared" si="42"/>
        <v>3.48</v>
      </c>
      <c r="X85">
        <f t="shared" si="42"/>
        <v>3.47</v>
      </c>
      <c r="Y85">
        <f t="shared" si="42"/>
        <v>3.4499999999999997</v>
      </c>
      <c r="Z85">
        <f t="shared" si="42"/>
        <v>3.44</v>
      </c>
      <c r="AA85">
        <f t="shared" si="42"/>
        <v>3.4299999999999997</v>
      </c>
      <c r="AB85">
        <f t="shared" si="42"/>
        <v>3.42</v>
      </c>
      <c r="AC85">
        <f t="shared" si="42"/>
        <v>3.4099999999999997</v>
      </c>
      <c r="AD85">
        <f t="shared" si="42"/>
        <v>3.4</v>
      </c>
      <c r="AE85">
        <f t="shared" si="42"/>
        <v>3.39</v>
      </c>
      <c r="AF85">
        <f t="shared" si="42"/>
        <v>3.38</v>
      </c>
      <c r="AG85">
        <f t="shared" si="42"/>
        <v>3.37</v>
      </c>
      <c r="AH85">
        <f t="shared" si="42"/>
        <v>3.36</v>
      </c>
      <c r="AI85">
        <f t="shared" si="42"/>
        <v>3.35</v>
      </c>
      <c r="AJ85">
        <f t="shared" si="42"/>
        <v>3.34</v>
      </c>
      <c r="AK85">
        <f t="shared" si="42"/>
        <v>3.33</v>
      </c>
      <c r="AL85">
        <f t="shared" si="42"/>
        <v>3.32</v>
      </c>
      <c r="AM85">
        <f t="shared" si="42"/>
        <v>3.31</v>
      </c>
      <c r="AN85">
        <f t="shared" si="42"/>
        <v>3.3</v>
      </c>
      <c r="AO85">
        <f t="shared" si="42"/>
        <v>3.3</v>
      </c>
      <c r="AP85">
        <f t="shared" si="42"/>
        <v>3.3</v>
      </c>
      <c r="AQ85">
        <f t="shared" si="42"/>
        <v>3.3</v>
      </c>
      <c r="AR85">
        <f t="shared" si="42"/>
        <v>3.3</v>
      </c>
      <c r="AS85">
        <f t="shared" si="42"/>
        <v>3.3</v>
      </c>
      <c r="AT85">
        <f t="shared" si="42"/>
        <v>3.3</v>
      </c>
      <c r="AU85">
        <f t="shared" si="42"/>
        <v>3.3</v>
      </c>
      <c r="AV85">
        <f t="shared" si="42"/>
        <v>3.3</v>
      </c>
      <c r="AW85">
        <f t="shared" si="42"/>
        <v>3.3</v>
      </c>
      <c r="AX85">
        <f t="shared" si="42"/>
        <v>3.3</v>
      </c>
      <c r="AY85">
        <f t="shared" si="42"/>
        <v>3.3</v>
      </c>
      <c r="AZ85">
        <f t="shared" si="42"/>
        <v>3.3</v>
      </c>
      <c r="BA85">
        <f t="shared" si="42"/>
        <v>3.3</v>
      </c>
      <c r="BB85">
        <f t="shared" si="42"/>
        <v>3.3</v>
      </c>
      <c r="BC85">
        <f t="shared" si="42"/>
        <v>3.3</v>
      </c>
      <c r="BD85">
        <f t="shared" si="42"/>
        <v>3.3</v>
      </c>
      <c r="BE85">
        <f t="shared" si="42"/>
        <v>3.3</v>
      </c>
      <c r="BF85">
        <f t="shared" si="42"/>
        <v>3.3</v>
      </c>
      <c r="BG85">
        <f t="shared" si="42"/>
        <v>3.3</v>
      </c>
      <c r="BH85">
        <f t="shared" si="42"/>
        <v>3.3</v>
      </c>
    </row>
    <row r="86" spans="2:60" hidden="1" outlineLevel="1">
      <c r="B86" t="s">
        <v>131</v>
      </c>
      <c r="C86">
        <f>C267</f>
        <v>0.77</v>
      </c>
      <c r="D86">
        <f t="shared" ref="D86:BH86" si="43">D267</f>
        <v>0.76</v>
      </c>
      <c r="E86">
        <f t="shared" si="43"/>
        <v>0.8</v>
      </c>
      <c r="F86">
        <f t="shared" si="43"/>
        <v>0.81</v>
      </c>
      <c r="G86">
        <f t="shared" si="43"/>
        <v>0.79</v>
      </c>
      <c r="H86">
        <f t="shared" si="43"/>
        <v>0.81</v>
      </c>
      <c r="I86">
        <f t="shared" si="43"/>
        <v>0.76</v>
      </c>
      <c r="J86">
        <f t="shared" si="43"/>
        <v>0.54</v>
      </c>
      <c r="K86">
        <f t="shared" si="43"/>
        <v>0.72</v>
      </c>
      <c r="L86">
        <f t="shared" si="43"/>
        <v>0.72</v>
      </c>
      <c r="M86">
        <f t="shared" si="43"/>
        <v>0.65</v>
      </c>
      <c r="N86">
        <f t="shared" si="43"/>
        <v>0.65068667260902591</v>
      </c>
      <c r="O86">
        <f t="shared" si="43"/>
        <v>0.65136261595853573</v>
      </c>
      <c r="P86">
        <f t="shared" si="43"/>
        <v>0.65206001782707756</v>
      </c>
      <c r="Q86">
        <f t="shared" si="43"/>
        <v>0.65274669043610334</v>
      </c>
      <c r="R86">
        <f t="shared" si="43"/>
        <v>0.65342263378561316</v>
      </c>
      <c r="S86">
        <f t="shared" si="43"/>
        <v>0.65412003565415511</v>
      </c>
      <c r="T86">
        <f t="shared" si="43"/>
        <v>0.65479597900366471</v>
      </c>
      <c r="U86">
        <f t="shared" si="43"/>
        <v>0.65547192235317442</v>
      </c>
      <c r="V86">
        <f t="shared" si="43"/>
        <v>0.65618005348123232</v>
      </c>
      <c r="W86">
        <f t="shared" si="43"/>
        <v>0.65685599683074203</v>
      </c>
      <c r="X86">
        <f t="shared" si="43"/>
        <v>0.65499983493446912</v>
      </c>
      <c r="Y86">
        <f t="shared" si="43"/>
        <v>0.64971030999306734</v>
      </c>
      <c r="Z86">
        <f t="shared" si="43"/>
        <v>0.64441005579214961</v>
      </c>
      <c r="AA86">
        <f t="shared" si="43"/>
        <v>0.639131260110264</v>
      </c>
      <c r="AB86">
        <f t="shared" si="43"/>
        <v>0.63384173516886222</v>
      </c>
      <c r="AC86">
        <f t="shared" si="43"/>
        <v>0.62853075170842843</v>
      </c>
      <c r="AD86">
        <f t="shared" si="43"/>
        <v>0.62326268528605866</v>
      </c>
      <c r="AE86">
        <f t="shared" si="43"/>
        <v>0.61797316034465699</v>
      </c>
      <c r="AF86">
        <f t="shared" si="43"/>
        <v>0.61267290614373915</v>
      </c>
      <c r="AG86">
        <f t="shared" si="43"/>
        <v>0.60738338120233737</v>
      </c>
      <c r="AH86">
        <f t="shared" si="43"/>
        <v>0.60210458552045154</v>
      </c>
      <c r="AI86">
        <f t="shared" si="43"/>
        <v>0.59680433131953381</v>
      </c>
      <c r="AJ86">
        <f t="shared" si="43"/>
        <v>0.59151480637813203</v>
      </c>
      <c r="AK86">
        <f t="shared" si="43"/>
        <v>0.58622528143673036</v>
      </c>
      <c r="AL86">
        <f t="shared" si="43"/>
        <v>0.58094648575484475</v>
      </c>
      <c r="AM86">
        <f t="shared" si="43"/>
        <v>0.57559258525634682</v>
      </c>
      <c r="AN86">
        <f t="shared" si="43"/>
        <v>0.57024941401736495</v>
      </c>
      <c r="AO86">
        <f t="shared" si="43"/>
        <v>0.57024941401736495</v>
      </c>
      <c r="AP86">
        <f t="shared" si="43"/>
        <v>0.57024941401736495</v>
      </c>
      <c r="AQ86">
        <f t="shared" si="43"/>
        <v>0.57024941401736495</v>
      </c>
      <c r="AR86">
        <f t="shared" si="43"/>
        <v>0.57024941401736495</v>
      </c>
      <c r="AS86">
        <f t="shared" si="43"/>
        <v>0.57024941401736495</v>
      </c>
      <c r="AT86">
        <f t="shared" si="43"/>
        <v>0.57024941401736495</v>
      </c>
      <c r="AU86">
        <f t="shared" si="43"/>
        <v>0.57024941401736495</v>
      </c>
      <c r="AV86">
        <f t="shared" si="43"/>
        <v>0.57024941401736495</v>
      </c>
      <c r="AW86">
        <f t="shared" si="43"/>
        <v>0.57024941401736495</v>
      </c>
      <c r="AX86">
        <f t="shared" si="43"/>
        <v>0.57024941401736495</v>
      </c>
      <c r="AY86">
        <f t="shared" si="43"/>
        <v>0.57024941401736495</v>
      </c>
      <c r="AZ86">
        <f t="shared" si="43"/>
        <v>0.57024941401736495</v>
      </c>
      <c r="BA86">
        <f t="shared" si="43"/>
        <v>0.57024941401736495</v>
      </c>
      <c r="BB86">
        <f t="shared" si="43"/>
        <v>0.57024941401736495</v>
      </c>
      <c r="BC86">
        <f t="shared" si="43"/>
        <v>0.57024941401736495</v>
      </c>
      <c r="BD86">
        <f t="shared" si="43"/>
        <v>0.57024941401736495</v>
      </c>
      <c r="BE86">
        <f t="shared" si="43"/>
        <v>0.57024941401736495</v>
      </c>
      <c r="BF86">
        <f t="shared" si="43"/>
        <v>0.57024941401736495</v>
      </c>
      <c r="BG86">
        <f t="shared" si="43"/>
        <v>0.57024941401736495</v>
      </c>
      <c r="BH86">
        <f t="shared" si="43"/>
        <v>0.57024941401736495</v>
      </c>
    </row>
    <row r="87" spans="2:60" hidden="1" outlineLevel="1">
      <c r="B87" t="s">
        <v>132</v>
      </c>
    </row>
    <row r="88" spans="2:60" hidden="1" outlineLevel="1">
      <c r="B88" t="s">
        <v>133</v>
      </c>
      <c r="C88">
        <f>C275</f>
        <v>1.29</v>
      </c>
      <c r="D88">
        <f t="shared" ref="D88:BH88" si="44">D275</f>
        <v>1.33</v>
      </c>
      <c r="E88">
        <f t="shared" si="44"/>
        <v>1.37</v>
      </c>
      <c r="F88">
        <f t="shared" si="44"/>
        <v>1.43</v>
      </c>
      <c r="G88">
        <f t="shared" si="44"/>
        <v>1.45</v>
      </c>
      <c r="H88">
        <f t="shared" si="44"/>
        <v>1.48</v>
      </c>
      <c r="I88">
        <f t="shared" si="44"/>
        <v>1.64</v>
      </c>
      <c r="J88">
        <f t="shared" si="44"/>
        <v>1.36</v>
      </c>
      <c r="K88">
        <f t="shared" si="44"/>
        <v>1.27</v>
      </c>
      <c r="L88">
        <f t="shared" si="44"/>
        <v>1.27</v>
      </c>
      <c r="M88">
        <f t="shared" si="44"/>
        <v>1.27</v>
      </c>
      <c r="N88">
        <f t="shared" si="44"/>
        <v>1.27</v>
      </c>
      <c r="O88">
        <f t="shared" si="44"/>
        <v>1.26</v>
      </c>
      <c r="P88">
        <f t="shared" si="44"/>
        <v>1.26</v>
      </c>
      <c r="Q88">
        <f t="shared" si="44"/>
        <v>1.25</v>
      </c>
      <c r="R88">
        <f t="shared" si="44"/>
        <v>1.25</v>
      </c>
      <c r="S88">
        <f t="shared" si="44"/>
        <v>1.25</v>
      </c>
      <c r="T88">
        <f t="shared" si="44"/>
        <v>1.24</v>
      </c>
      <c r="U88">
        <f t="shared" si="44"/>
        <v>1.24</v>
      </c>
      <c r="V88">
        <f t="shared" si="44"/>
        <v>1.24</v>
      </c>
      <c r="W88">
        <f t="shared" si="44"/>
        <v>1.23</v>
      </c>
      <c r="X88">
        <f t="shared" si="44"/>
        <v>1.23</v>
      </c>
      <c r="Y88">
        <f t="shared" si="44"/>
        <v>1.23</v>
      </c>
      <c r="Z88">
        <f t="shared" si="44"/>
        <v>1.22</v>
      </c>
      <c r="AA88">
        <f t="shared" si="44"/>
        <v>1.22</v>
      </c>
      <c r="AB88">
        <f t="shared" si="44"/>
        <v>1.21</v>
      </c>
      <c r="AC88">
        <f t="shared" si="44"/>
        <v>1.21</v>
      </c>
      <c r="AD88">
        <f t="shared" si="44"/>
        <v>1.21</v>
      </c>
      <c r="AE88">
        <f t="shared" si="44"/>
        <v>1.2</v>
      </c>
      <c r="AF88">
        <f t="shared" si="44"/>
        <v>1.2</v>
      </c>
      <c r="AG88">
        <f t="shared" si="44"/>
        <v>1.2</v>
      </c>
      <c r="AH88">
        <f t="shared" si="44"/>
        <v>1.19</v>
      </c>
      <c r="AI88">
        <f t="shared" si="44"/>
        <v>1.19</v>
      </c>
      <c r="AJ88">
        <f t="shared" si="44"/>
        <v>1.19</v>
      </c>
      <c r="AK88">
        <f t="shared" si="44"/>
        <v>1.18</v>
      </c>
      <c r="AL88">
        <f t="shared" si="44"/>
        <v>1.18</v>
      </c>
      <c r="AM88">
        <f t="shared" si="44"/>
        <v>1.17</v>
      </c>
      <c r="AN88">
        <f t="shared" si="44"/>
        <v>1.17</v>
      </c>
      <c r="AO88">
        <f t="shared" si="44"/>
        <v>1.17</v>
      </c>
      <c r="AP88">
        <f t="shared" si="44"/>
        <v>1.17</v>
      </c>
      <c r="AQ88">
        <f t="shared" si="44"/>
        <v>1.17</v>
      </c>
      <c r="AR88">
        <f t="shared" si="44"/>
        <v>1.17</v>
      </c>
      <c r="AS88">
        <f t="shared" si="44"/>
        <v>1.17</v>
      </c>
      <c r="AT88">
        <f t="shared" si="44"/>
        <v>1.17</v>
      </c>
      <c r="AU88">
        <f t="shared" si="44"/>
        <v>1.17</v>
      </c>
      <c r="AV88">
        <f t="shared" si="44"/>
        <v>1.17</v>
      </c>
      <c r="AW88">
        <f t="shared" si="44"/>
        <v>1.17</v>
      </c>
      <c r="AX88">
        <f t="shared" si="44"/>
        <v>1.17</v>
      </c>
      <c r="AY88">
        <f t="shared" si="44"/>
        <v>1.17</v>
      </c>
      <c r="AZ88">
        <f t="shared" si="44"/>
        <v>1.17</v>
      </c>
      <c r="BA88">
        <f t="shared" si="44"/>
        <v>1.17</v>
      </c>
      <c r="BB88">
        <f t="shared" si="44"/>
        <v>1.17</v>
      </c>
      <c r="BC88">
        <f t="shared" si="44"/>
        <v>1.17</v>
      </c>
      <c r="BD88">
        <f t="shared" si="44"/>
        <v>1.17</v>
      </c>
      <c r="BE88">
        <f t="shared" si="44"/>
        <v>1.17</v>
      </c>
      <c r="BF88">
        <f t="shared" si="44"/>
        <v>1.17</v>
      </c>
      <c r="BG88">
        <f t="shared" si="44"/>
        <v>1.17</v>
      </c>
      <c r="BH88">
        <f t="shared" si="44"/>
        <v>1.17</v>
      </c>
    </row>
    <row r="89" spans="2:60" hidden="1" outlineLevel="1">
      <c r="B89" t="s">
        <v>134</v>
      </c>
    </row>
    <row r="90" spans="2:60" hidden="1" outlineLevel="1">
      <c r="B90" t="s">
        <v>135</v>
      </c>
      <c r="C90">
        <f>C284</f>
        <v>4.2</v>
      </c>
      <c r="D90">
        <f t="shared" ref="D90:BH90" si="45">D284</f>
        <v>4.18</v>
      </c>
      <c r="E90">
        <f t="shared" si="45"/>
        <v>4.09</v>
      </c>
      <c r="F90">
        <f t="shared" si="45"/>
        <v>3.91</v>
      </c>
      <c r="G90">
        <f t="shared" si="45"/>
        <v>3.86</v>
      </c>
      <c r="H90">
        <f t="shared" si="45"/>
        <v>3.73</v>
      </c>
      <c r="I90">
        <f t="shared" si="45"/>
        <v>3.67</v>
      </c>
      <c r="J90">
        <f t="shared" si="45"/>
        <v>3.01</v>
      </c>
      <c r="K90">
        <f t="shared" si="45"/>
        <v>2.97</v>
      </c>
      <c r="L90">
        <f t="shared" si="45"/>
        <v>2.98</v>
      </c>
      <c r="M90">
        <f t="shared" si="45"/>
        <v>2.97</v>
      </c>
      <c r="N90">
        <f t="shared" si="45"/>
        <v>2.96</v>
      </c>
      <c r="O90">
        <f t="shared" si="45"/>
        <v>2.95</v>
      </c>
      <c r="P90">
        <f t="shared" si="45"/>
        <v>2.94</v>
      </c>
      <c r="Q90">
        <f t="shared" si="45"/>
        <v>2.93</v>
      </c>
      <c r="R90">
        <f t="shared" si="45"/>
        <v>2.93</v>
      </c>
      <c r="S90">
        <f t="shared" si="45"/>
        <v>2.92</v>
      </c>
      <c r="T90">
        <f t="shared" si="45"/>
        <v>2.91</v>
      </c>
      <c r="U90">
        <f t="shared" si="45"/>
        <v>2.9</v>
      </c>
      <c r="V90">
        <f t="shared" si="45"/>
        <v>2.89</v>
      </c>
      <c r="W90">
        <f t="shared" si="45"/>
        <v>2.88</v>
      </c>
      <c r="X90">
        <f t="shared" si="45"/>
        <v>2.87</v>
      </c>
      <c r="Y90">
        <f t="shared" si="45"/>
        <v>2.87</v>
      </c>
      <c r="Z90">
        <f t="shared" si="45"/>
        <v>2.86</v>
      </c>
      <c r="AA90">
        <f t="shared" si="45"/>
        <v>2.85</v>
      </c>
      <c r="AB90">
        <f t="shared" si="45"/>
        <v>2.84</v>
      </c>
      <c r="AC90">
        <f t="shared" si="45"/>
        <v>2.83</v>
      </c>
      <c r="AD90">
        <f t="shared" si="45"/>
        <v>2.82</v>
      </c>
      <c r="AE90">
        <f t="shared" si="45"/>
        <v>2.81</v>
      </c>
      <c r="AF90">
        <f t="shared" si="45"/>
        <v>2.81</v>
      </c>
      <c r="AG90">
        <f t="shared" si="45"/>
        <v>2.8</v>
      </c>
      <c r="AH90">
        <f t="shared" si="45"/>
        <v>2.79</v>
      </c>
      <c r="AI90">
        <f t="shared" si="45"/>
        <v>2.78</v>
      </c>
      <c r="AJ90">
        <f t="shared" si="45"/>
        <v>2.77</v>
      </c>
      <c r="AK90">
        <f t="shared" si="45"/>
        <v>2.76</v>
      </c>
      <c r="AL90">
        <f t="shared" si="45"/>
        <v>2.76</v>
      </c>
      <c r="AM90">
        <f t="shared" si="45"/>
        <v>2.75</v>
      </c>
      <c r="AN90">
        <f t="shared" si="45"/>
        <v>2.74</v>
      </c>
      <c r="AO90">
        <f t="shared" si="45"/>
        <v>2.74</v>
      </c>
      <c r="AP90">
        <f t="shared" si="45"/>
        <v>2.74</v>
      </c>
      <c r="AQ90">
        <f t="shared" si="45"/>
        <v>2.74</v>
      </c>
      <c r="AR90">
        <f t="shared" si="45"/>
        <v>2.74</v>
      </c>
      <c r="AS90">
        <f t="shared" si="45"/>
        <v>2.74</v>
      </c>
      <c r="AT90">
        <f t="shared" si="45"/>
        <v>2.74</v>
      </c>
      <c r="AU90">
        <f t="shared" si="45"/>
        <v>2.74</v>
      </c>
      <c r="AV90">
        <f t="shared" si="45"/>
        <v>2.74</v>
      </c>
      <c r="AW90">
        <f t="shared" si="45"/>
        <v>2.74</v>
      </c>
      <c r="AX90">
        <f t="shared" si="45"/>
        <v>2.74</v>
      </c>
      <c r="AY90">
        <f t="shared" si="45"/>
        <v>2.74</v>
      </c>
      <c r="AZ90">
        <f t="shared" si="45"/>
        <v>2.74</v>
      </c>
      <c r="BA90">
        <f t="shared" si="45"/>
        <v>2.74</v>
      </c>
      <c r="BB90">
        <f t="shared" si="45"/>
        <v>2.74</v>
      </c>
      <c r="BC90">
        <f t="shared" si="45"/>
        <v>2.74</v>
      </c>
      <c r="BD90">
        <f t="shared" si="45"/>
        <v>2.74</v>
      </c>
      <c r="BE90">
        <f t="shared" si="45"/>
        <v>2.74</v>
      </c>
      <c r="BF90">
        <f t="shared" si="45"/>
        <v>2.74</v>
      </c>
      <c r="BG90">
        <f t="shared" si="45"/>
        <v>2.74</v>
      </c>
      <c r="BH90">
        <f t="shared" si="45"/>
        <v>2.74</v>
      </c>
    </row>
    <row r="91" spans="2:60" hidden="1" outlineLevel="1">
      <c r="B91" t="s">
        <v>136</v>
      </c>
      <c r="C91">
        <f>C290</f>
        <v>1.94</v>
      </c>
      <c r="D91">
        <f t="shared" ref="D91:BH91" si="46">D290</f>
        <v>2.04</v>
      </c>
      <c r="E91">
        <f t="shared" si="46"/>
        <v>2.15</v>
      </c>
      <c r="F91">
        <f t="shared" si="46"/>
        <v>2.19</v>
      </c>
      <c r="G91">
        <f t="shared" si="46"/>
        <v>2.08</v>
      </c>
      <c r="H91">
        <f t="shared" si="46"/>
        <v>2.1</v>
      </c>
      <c r="I91">
        <f t="shared" si="46"/>
        <v>2.31</v>
      </c>
      <c r="J91">
        <f t="shared" si="46"/>
        <v>2.0099999999999998</v>
      </c>
      <c r="K91">
        <f t="shared" si="46"/>
        <v>1.75</v>
      </c>
      <c r="L91">
        <f t="shared" si="46"/>
        <v>1.78</v>
      </c>
      <c r="M91">
        <f t="shared" si="46"/>
        <v>1.81</v>
      </c>
      <c r="N91">
        <f t="shared" si="46"/>
        <v>1.84</v>
      </c>
      <c r="O91">
        <f t="shared" si="46"/>
        <v>1.87</v>
      </c>
      <c r="P91">
        <f t="shared" si="46"/>
        <v>1.9</v>
      </c>
      <c r="Q91">
        <f t="shared" si="46"/>
        <v>1.93</v>
      </c>
      <c r="R91">
        <f t="shared" si="46"/>
        <v>1.97</v>
      </c>
      <c r="S91">
        <f t="shared" si="46"/>
        <v>2</v>
      </c>
      <c r="T91">
        <f t="shared" si="46"/>
        <v>2.0299999999999998</v>
      </c>
      <c r="U91">
        <f t="shared" si="46"/>
        <v>2.06</v>
      </c>
      <c r="V91">
        <f t="shared" si="46"/>
        <v>2.09</v>
      </c>
      <c r="W91">
        <f t="shared" si="46"/>
        <v>2.12</v>
      </c>
      <c r="X91">
        <f t="shared" si="46"/>
        <v>2.16</v>
      </c>
      <c r="Y91">
        <f t="shared" si="46"/>
        <v>2.19</v>
      </c>
      <c r="Z91">
        <f t="shared" si="46"/>
        <v>2.2200000000000002</v>
      </c>
      <c r="AA91">
        <f t="shared" si="46"/>
        <v>2.25</v>
      </c>
      <c r="AB91">
        <f t="shared" si="46"/>
        <v>2.2799999999999998</v>
      </c>
      <c r="AC91">
        <f t="shared" si="46"/>
        <v>2.31</v>
      </c>
      <c r="AD91">
        <f t="shared" si="46"/>
        <v>2.35</v>
      </c>
      <c r="AE91">
        <f t="shared" si="46"/>
        <v>2.38</v>
      </c>
      <c r="AF91">
        <f t="shared" si="46"/>
        <v>2.41</v>
      </c>
      <c r="AG91">
        <f t="shared" si="46"/>
        <v>2.44</v>
      </c>
      <c r="AH91">
        <f t="shared" si="46"/>
        <v>2.4700000000000002</v>
      </c>
      <c r="AI91">
        <f t="shared" si="46"/>
        <v>2.5</v>
      </c>
      <c r="AJ91">
        <f t="shared" si="46"/>
        <v>2.54</v>
      </c>
      <c r="AK91">
        <f t="shared" si="46"/>
        <v>2.57</v>
      </c>
      <c r="AL91">
        <f t="shared" si="46"/>
        <v>2.6</v>
      </c>
      <c r="AM91">
        <f t="shared" si="46"/>
        <v>2.63</v>
      </c>
      <c r="AN91">
        <f t="shared" si="46"/>
        <v>2.66</v>
      </c>
      <c r="AO91">
        <f t="shared" si="46"/>
        <v>2.66</v>
      </c>
      <c r="AP91">
        <f t="shared" si="46"/>
        <v>2.66</v>
      </c>
      <c r="AQ91">
        <f t="shared" si="46"/>
        <v>2.66</v>
      </c>
      <c r="AR91">
        <f t="shared" si="46"/>
        <v>2.66</v>
      </c>
      <c r="AS91">
        <f t="shared" si="46"/>
        <v>2.66</v>
      </c>
      <c r="AT91">
        <f t="shared" si="46"/>
        <v>2.66</v>
      </c>
      <c r="AU91">
        <f t="shared" si="46"/>
        <v>2.66</v>
      </c>
      <c r="AV91">
        <f t="shared" si="46"/>
        <v>2.66</v>
      </c>
      <c r="AW91">
        <f t="shared" si="46"/>
        <v>2.66</v>
      </c>
      <c r="AX91">
        <f t="shared" si="46"/>
        <v>2.66</v>
      </c>
      <c r="AY91">
        <f t="shared" si="46"/>
        <v>2.66</v>
      </c>
      <c r="AZ91">
        <f t="shared" si="46"/>
        <v>2.66</v>
      </c>
      <c r="BA91">
        <f t="shared" si="46"/>
        <v>2.66</v>
      </c>
      <c r="BB91">
        <f t="shared" si="46"/>
        <v>2.66</v>
      </c>
      <c r="BC91">
        <f t="shared" si="46"/>
        <v>2.66</v>
      </c>
      <c r="BD91">
        <f t="shared" si="46"/>
        <v>2.66</v>
      </c>
      <c r="BE91">
        <f t="shared" si="46"/>
        <v>2.66</v>
      </c>
      <c r="BF91">
        <f t="shared" si="46"/>
        <v>2.66</v>
      </c>
      <c r="BG91">
        <f t="shared" si="46"/>
        <v>2.66</v>
      </c>
      <c r="BH91">
        <f t="shared" si="46"/>
        <v>2.66</v>
      </c>
    </row>
    <row r="92" spans="2:60" hidden="1" outlineLevel="1">
      <c r="B92" t="s">
        <v>137</v>
      </c>
      <c r="C92">
        <f>C297</f>
        <v>0.15</v>
      </c>
      <c r="D92">
        <f t="shared" ref="D92:BH92" si="47">D297</f>
        <v>0.16</v>
      </c>
      <c r="E92">
        <f t="shared" si="47"/>
        <v>0.16</v>
      </c>
      <c r="F92">
        <f t="shared" si="47"/>
        <v>0.17</v>
      </c>
      <c r="G92">
        <f t="shared" si="47"/>
        <v>0.17</v>
      </c>
      <c r="H92">
        <f t="shared" si="47"/>
        <v>0.17</v>
      </c>
      <c r="I92">
        <f t="shared" si="47"/>
        <v>0.17</v>
      </c>
      <c r="J92">
        <f t="shared" si="47"/>
        <v>0.16</v>
      </c>
      <c r="K92">
        <f t="shared" si="47"/>
        <v>0.14000000000000001</v>
      </c>
      <c r="L92">
        <f t="shared" si="47"/>
        <v>0.14000000000000001</v>
      </c>
      <c r="M92">
        <f t="shared" si="47"/>
        <v>0.14000000000000001</v>
      </c>
      <c r="N92">
        <f t="shared" si="47"/>
        <v>0.14000000000000001</v>
      </c>
      <c r="O92">
        <f t="shared" si="47"/>
        <v>0.14000000000000001</v>
      </c>
      <c r="P92">
        <f t="shared" si="47"/>
        <v>0.14000000000000001</v>
      </c>
      <c r="Q92">
        <f t="shared" si="47"/>
        <v>0.14000000000000001</v>
      </c>
      <c r="R92">
        <f t="shared" si="47"/>
        <v>0.14000000000000001</v>
      </c>
      <c r="S92">
        <f t="shared" si="47"/>
        <v>0.14000000000000001</v>
      </c>
      <c r="T92">
        <f t="shared" si="47"/>
        <v>0.14000000000000001</v>
      </c>
      <c r="U92">
        <f t="shared" si="47"/>
        <v>0.14000000000000001</v>
      </c>
      <c r="V92">
        <f t="shared" si="47"/>
        <v>0.14000000000000001</v>
      </c>
      <c r="W92">
        <f t="shared" si="47"/>
        <v>0.14000000000000001</v>
      </c>
      <c r="X92">
        <f t="shared" si="47"/>
        <v>0.14000000000000001</v>
      </c>
      <c r="Y92">
        <f t="shared" si="47"/>
        <v>0.14000000000000001</v>
      </c>
      <c r="Z92">
        <f t="shared" si="47"/>
        <v>0.13</v>
      </c>
      <c r="AA92">
        <f t="shared" si="47"/>
        <v>0.13</v>
      </c>
      <c r="AB92">
        <f t="shared" si="47"/>
        <v>0.13</v>
      </c>
      <c r="AC92">
        <f t="shared" si="47"/>
        <v>0.13</v>
      </c>
      <c r="AD92">
        <f t="shared" si="47"/>
        <v>0.13</v>
      </c>
      <c r="AE92">
        <f t="shared" si="47"/>
        <v>0.13</v>
      </c>
      <c r="AF92">
        <f t="shared" si="47"/>
        <v>0.13</v>
      </c>
      <c r="AG92">
        <f t="shared" si="47"/>
        <v>0.13</v>
      </c>
      <c r="AH92">
        <f t="shared" si="47"/>
        <v>0.13</v>
      </c>
      <c r="AI92">
        <f t="shared" si="47"/>
        <v>0.13</v>
      </c>
      <c r="AJ92">
        <f t="shared" si="47"/>
        <v>0.13</v>
      </c>
      <c r="AK92">
        <f t="shared" si="47"/>
        <v>0.13</v>
      </c>
      <c r="AL92">
        <f t="shared" si="47"/>
        <v>0.13</v>
      </c>
      <c r="AM92">
        <f t="shared" si="47"/>
        <v>0.13</v>
      </c>
      <c r="AN92">
        <f t="shared" si="47"/>
        <v>0.13</v>
      </c>
      <c r="AO92">
        <f t="shared" si="47"/>
        <v>0.13</v>
      </c>
      <c r="AP92">
        <f t="shared" si="47"/>
        <v>0.13</v>
      </c>
      <c r="AQ92">
        <f t="shared" si="47"/>
        <v>0.13</v>
      </c>
      <c r="AR92">
        <f t="shared" si="47"/>
        <v>0.13</v>
      </c>
      <c r="AS92">
        <f t="shared" si="47"/>
        <v>0.13</v>
      </c>
      <c r="AT92">
        <f t="shared" si="47"/>
        <v>0.13</v>
      </c>
      <c r="AU92">
        <f t="shared" si="47"/>
        <v>0.13</v>
      </c>
      <c r="AV92">
        <f t="shared" si="47"/>
        <v>0.13</v>
      </c>
      <c r="AW92">
        <f t="shared" si="47"/>
        <v>0.13</v>
      </c>
      <c r="AX92">
        <f t="shared" si="47"/>
        <v>0.13</v>
      </c>
      <c r="AY92">
        <f t="shared" si="47"/>
        <v>0.13</v>
      </c>
      <c r="AZ92">
        <f t="shared" si="47"/>
        <v>0.13</v>
      </c>
      <c r="BA92">
        <f t="shared" si="47"/>
        <v>0.13</v>
      </c>
      <c r="BB92">
        <f t="shared" si="47"/>
        <v>0.13</v>
      </c>
      <c r="BC92">
        <f t="shared" si="47"/>
        <v>0.13</v>
      </c>
      <c r="BD92">
        <f t="shared" si="47"/>
        <v>0.13</v>
      </c>
      <c r="BE92">
        <f t="shared" si="47"/>
        <v>0.13</v>
      </c>
      <c r="BF92">
        <f t="shared" si="47"/>
        <v>0.13</v>
      </c>
      <c r="BG92">
        <f t="shared" si="47"/>
        <v>0.13</v>
      </c>
      <c r="BH92">
        <f t="shared" si="47"/>
        <v>0.13</v>
      </c>
    </row>
    <row r="93" spans="2:60" hidden="1" outlineLevel="1">
      <c r="B93" t="s">
        <v>138</v>
      </c>
      <c r="C93">
        <f>C304</f>
        <v>0.27</v>
      </c>
      <c r="D93">
        <f t="shared" ref="D93:BH93" si="48">D304</f>
        <v>0.23</v>
      </c>
      <c r="E93">
        <f t="shared" si="48"/>
        <v>0.24</v>
      </c>
      <c r="F93">
        <f t="shared" si="48"/>
        <v>0.1</v>
      </c>
      <c r="G93">
        <f t="shared" si="48"/>
        <v>0.1</v>
      </c>
      <c r="H93">
        <f t="shared" si="48"/>
        <v>0.11</v>
      </c>
      <c r="I93">
        <f t="shared" si="48"/>
        <v>0.11</v>
      </c>
      <c r="J93">
        <f t="shared" si="48"/>
        <v>0.1</v>
      </c>
      <c r="K93">
        <f t="shared" si="48"/>
        <v>0.09</v>
      </c>
      <c r="L93">
        <f t="shared" si="48"/>
        <v>0.09</v>
      </c>
      <c r="M93">
        <f t="shared" si="48"/>
        <v>0.09</v>
      </c>
      <c r="N93">
        <f t="shared" si="48"/>
        <v>0.09</v>
      </c>
      <c r="O93">
        <f t="shared" si="48"/>
        <v>0.09</v>
      </c>
      <c r="P93">
        <f t="shared" si="48"/>
        <v>0.09</v>
      </c>
      <c r="Q93">
        <f t="shared" si="48"/>
        <v>0.09</v>
      </c>
      <c r="R93">
        <f t="shared" si="48"/>
        <v>0.09</v>
      </c>
      <c r="S93">
        <f t="shared" si="48"/>
        <v>0.09</v>
      </c>
      <c r="T93">
        <f t="shared" si="48"/>
        <v>0.09</v>
      </c>
      <c r="U93">
        <f t="shared" si="48"/>
        <v>0.09</v>
      </c>
      <c r="V93">
        <f t="shared" si="48"/>
        <v>0.09</v>
      </c>
      <c r="W93">
        <f t="shared" si="48"/>
        <v>0.09</v>
      </c>
      <c r="X93">
        <f t="shared" si="48"/>
        <v>0.09</v>
      </c>
      <c r="Y93">
        <f t="shared" si="48"/>
        <v>0.09</v>
      </c>
      <c r="Z93">
        <f t="shared" si="48"/>
        <v>0.09</v>
      </c>
      <c r="AA93">
        <f t="shared" si="48"/>
        <v>0.09</v>
      </c>
      <c r="AB93">
        <f t="shared" si="48"/>
        <v>0.09</v>
      </c>
      <c r="AC93">
        <f t="shared" si="48"/>
        <v>0.09</v>
      </c>
      <c r="AD93">
        <f t="shared" si="48"/>
        <v>0.09</v>
      </c>
      <c r="AE93">
        <f t="shared" si="48"/>
        <v>0.09</v>
      </c>
      <c r="AF93">
        <f t="shared" si="48"/>
        <v>0.09</v>
      </c>
      <c r="AG93">
        <f t="shared" si="48"/>
        <v>0.08</v>
      </c>
      <c r="AH93">
        <f t="shared" si="48"/>
        <v>0.08</v>
      </c>
      <c r="AI93">
        <f t="shared" si="48"/>
        <v>0.08</v>
      </c>
      <c r="AJ93">
        <f t="shared" si="48"/>
        <v>0.08</v>
      </c>
      <c r="AK93">
        <f t="shared" si="48"/>
        <v>0.08</v>
      </c>
      <c r="AL93">
        <f t="shared" si="48"/>
        <v>0.08</v>
      </c>
      <c r="AM93">
        <f t="shared" si="48"/>
        <v>0.08</v>
      </c>
      <c r="AN93">
        <f t="shared" si="48"/>
        <v>0.08</v>
      </c>
      <c r="AO93">
        <f t="shared" si="48"/>
        <v>0.08</v>
      </c>
      <c r="AP93">
        <f t="shared" si="48"/>
        <v>0.08</v>
      </c>
      <c r="AQ93">
        <f t="shared" si="48"/>
        <v>0.08</v>
      </c>
      <c r="AR93">
        <f t="shared" si="48"/>
        <v>0.08</v>
      </c>
      <c r="AS93">
        <f t="shared" si="48"/>
        <v>0.08</v>
      </c>
      <c r="AT93">
        <f t="shared" si="48"/>
        <v>0.08</v>
      </c>
      <c r="AU93">
        <f t="shared" si="48"/>
        <v>0.08</v>
      </c>
      <c r="AV93">
        <f t="shared" si="48"/>
        <v>0.08</v>
      </c>
      <c r="AW93">
        <f t="shared" si="48"/>
        <v>0.08</v>
      </c>
      <c r="AX93">
        <f t="shared" si="48"/>
        <v>0.08</v>
      </c>
      <c r="AY93">
        <f t="shared" si="48"/>
        <v>0.08</v>
      </c>
      <c r="AZ93">
        <f t="shared" si="48"/>
        <v>0.08</v>
      </c>
      <c r="BA93">
        <f t="shared" si="48"/>
        <v>0.08</v>
      </c>
      <c r="BB93">
        <f t="shared" si="48"/>
        <v>0.08</v>
      </c>
      <c r="BC93">
        <f t="shared" si="48"/>
        <v>0.08</v>
      </c>
      <c r="BD93">
        <f t="shared" si="48"/>
        <v>0.08</v>
      </c>
      <c r="BE93">
        <f t="shared" si="48"/>
        <v>0.08</v>
      </c>
      <c r="BF93">
        <f t="shared" si="48"/>
        <v>0.08</v>
      </c>
      <c r="BG93">
        <f t="shared" si="48"/>
        <v>0.08</v>
      </c>
      <c r="BH93">
        <f t="shared" si="48"/>
        <v>0.08</v>
      </c>
    </row>
    <row r="94" spans="2:60" hidden="1" outlineLevel="1">
      <c r="B94" t="s">
        <v>139</v>
      </c>
      <c r="C94">
        <f>C312</f>
        <v>0.88</v>
      </c>
      <c r="D94">
        <f t="shared" ref="D94:BH94" si="49">D312</f>
        <v>1.1000000000000001</v>
      </c>
      <c r="E94">
        <f t="shared" si="49"/>
        <v>1.03</v>
      </c>
      <c r="F94">
        <f t="shared" si="49"/>
        <v>1.0900000000000001</v>
      </c>
      <c r="G94">
        <f t="shared" si="49"/>
        <v>0.74</v>
      </c>
      <c r="H94">
        <f t="shared" si="49"/>
        <v>0.73</v>
      </c>
      <c r="I94">
        <f t="shared" si="49"/>
        <v>0.65</v>
      </c>
      <c r="J94">
        <f t="shared" si="49"/>
        <v>0.53</v>
      </c>
      <c r="K94">
        <f t="shared" si="49"/>
        <v>0.46</v>
      </c>
      <c r="L94">
        <f t="shared" si="49"/>
        <v>0.46</v>
      </c>
      <c r="M94">
        <f t="shared" si="49"/>
        <v>0.46</v>
      </c>
      <c r="N94">
        <f t="shared" si="49"/>
        <v>0.46</v>
      </c>
      <c r="O94">
        <f t="shared" si="49"/>
        <v>0.46</v>
      </c>
      <c r="P94">
        <f t="shared" si="49"/>
        <v>0.46</v>
      </c>
      <c r="Q94">
        <f t="shared" si="49"/>
        <v>0.45</v>
      </c>
      <c r="R94">
        <f t="shared" si="49"/>
        <v>0.45</v>
      </c>
      <c r="S94">
        <f t="shared" si="49"/>
        <v>0.45</v>
      </c>
      <c r="T94">
        <f t="shared" si="49"/>
        <v>0.45</v>
      </c>
      <c r="U94">
        <f t="shared" si="49"/>
        <v>0.45</v>
      </c>
      <c r="V94">
        <f t="shared" si="49"/>
        <v>0.45</v>
      </c>
      <c r="W94">
        <f t="shared" si="49"/>
        <v>0.45</v>
      </c>
      <c r="X94">
        <f t="shared" si="49"/>
        <v>0.45</v>
      </c>
      <c r="Y94">
        <f t="shared" si="49"/>
        <v>0.44</v>
      </c>
      <c r="Z94">
        <f t="shared" si="49"/>
        <v>0.44</v>
      </c>
      <c r="AA94">
        <f t="shared" si="49"/>
        <v>0.44</v>
      </c>
      <c r="AB94">
        <f t="shared" si="49"/>
        <v>0.44</v>
      </c>
      <c r="AC94">
        <f t="shared" si="49"/>
        <v>0.44</v>
      </c>
      <c r="AD94">
        <f t="shared" si="49"/>
        <v>0.44</v>
      </c>
      <c r="AE94">
        <f t="shared" si="49"/>
        <v>0.44</v>
      </c>
      <c r="AF94">
        <f t="shared" si="49"/>
        <v>0.43</v>
      </c>
      <c r="AG94">
        <f t="shared" si="49"/>
        <v>0.43</v>
      </c>
      <c r="AH94">
        <f t="shared" si="49"/>
        <v>0.43</v>
      </c>
      <c r="AI94">
        <f t="shared" si="49"/>
        <v>0.43</v>
      </c>
      <c r="AJ94">
        <f t="shared" si="49"/>
        <v>0.43</v>
      </c>
      <c r="AK94">
        <f t="shared" si="49"/>
        <v>0.43</v>
      </c>
      <c r="AL94">
        <f t="shared" si="49"/>
        <v>0.43</v>
      </c>
      <c r="AM94">
        <f t="shared" si="49"/>
        <v>0.43</v>
      </c>
      <c r="AN94">
        <f t="shared" si="49"/>
        <v>0.42</v>
      </c>
      <c r="AO94">
        <f t="shared" si="49"/>
        <v>0.42</v>
      </c>
      <c r="AP94">
        <f t="shared" si="49"/>
        <v>0.42</v>
      </c>
      <c r="AQ94">
        <f t="shared" si="49"/>
        <v>0.42</v>
      </c>
      <c r="AR94">
        <f t="shared" si="49"/>
        <v>0.42</v>
      </c>
      <c r="AS94">
        <f t="shared" si="49"/>
        <v>0.42</v>
      </c>
      <c r="AT94">
        <f t="shared" si="49"/>
        <v>0.42</v>
      </c>
      <c r="AU94">
        <f t="shared" si="49"/>
        <v>0.42</v>
      </c>
      <c r="AV94">
        <f t="shared" si="49"/>
        <v>0.42</v>
      </c>
      <c r="AW94">
        <f t="shared" si="49"/>
        <v>0.42</v>
      </c>
      <c r="AX94">
        <f t="shared" si="49"/>
        <v>0.42</v>
      </c>
      <c r="AY94">
        <f t="shared" si="49"/>
        <v>0.42</v>
      </c>
      <c r="AZ94">
        <f t="shared" si="49"/>
        <v>0.42</v>
      </c>
      <c r="BA94">
        <f t="shared" si="49"/>
        <v>0.42</v>
      </c>
      <c r="BB94">
        <f t="shared" si="49"/>
        <v>0.42</v>
      </c>
      <c r="BC94">
        <f t="shared" si="49"/>
        <v>0.42</v>
      </c>
      <c r="BD94">
        <f t="shared" si="49"/>
        <v>0.42</v>
      </c>
      <c r="BE94">
        <f t="shared" si="49"/>
        <v>0.42</v>
      </c>
      <c r="BF94">
        <f t="shared" si="49"/>
        <v>0.42</v>
      </c>
      <c r="BG94">
        <f t="shared" si="49"/>
        <v>0.42</v>
      </c>
      <c r="BH94">
        <f t="shared" si="49"/>
        <v>0.42</v>
      </c>
    </row>
    <row r="95" spans="2:60" hidden="1" outlineLevel="1">
      <c r="B95" t="s">
        <v>140</v>
      </c>
    </row>
    <row r="96" spans="2:60" hidden="1" outlineLevel="1">
      <c r="B96" t="s">
        <v>141</v>
      </c>
    </row>
    <row r="97" spans="1:60" hidden="1" outlineLevel="1">
      <c r="B97" t="s">
        <v>142</v>
      </c>
    </row>
    <row r="98" spans="1:60" hidden="1" outlineLevel="1">
      <c r="B98" t="s">
        <v>143</v>
      </c>
    </row>
    <row r="99" spans="1:60" hidden="1" outlineLevel="1">
      <c r="B99" t="s">
        <v>144</v>
      </c>
    </row>
    <row r="100" spans="1:60" hidden="1" outlineLevel="1">
      <c r="B100" t="s">
        <v>145</v>
      </c>
      <c r="C100">
        <f>C330</f>
        <v>0.82</v>
      </c>
      <c r="D100">
        <f t="shared" ref="D100:BH100" si="50">D330</f>
        <v>0.92</v>
      </c>
      <c r="E100">
        <f t="shared" si="50"/>
        <v>0.99</v>
      </c>
      <c r="F100">
        <f t="shared" si="50"/>
        <v>1</v>
      </c>
      <c r="G100">
        <f t="shared" si="50"/>
        <v>1.06</v>
      </c>
      <c r="H100">
        <f t="shared" si="50"/>
        <v>1.22</v>
      </c>
      <c r="I100">
        <f t="shared" si="50"/>
        <v>1.19</v>
      </c>
      <c r="J100">
        <f t="shared" si="50"/>
        <v>0.91</v>
      </c>
      <c r="K100">
        <f t="shared" si="50"/>
        <v>0.79</v>
      </c>
      <c r="L100">
        <f t="shared" si="50"/>
        <v>0.79</v>
      </c>
      <c r="M100">
        <f t="shared" si="50"/>
        <v>0.79</v>
      </c>
      <c r="N100">
        <f t="shared" si="50"/>
        <v>0.79</v>
      </c>
      <c r="O100">
        <f t="shared" si="50"/>
        <v>0.79</v>
      </c>
      <c r="P100">
        <f t="shared" si="50"/>
        <v>0.78</v>
      </c>
      <c r="Q100">
        <f t="shared" si="50"/>
        <v>0.78</v>
      </c>
      <c r="R100">
        <f t="shared" si="50"/>
        <v>0.78</v>
      </c>
      <c r="S100">
        <f t="shared" si="50"/>
        <v>0.78</v>
      </c>
      <c r="T100">
        <f t="shared" si="50"/>
        <v>0.77</v>
      </c>
      <c r="U100">
        <f t="shared" si="50"/>
        <v>0.77</v>
      </c>
      <c r="V100">
        <f t="shared" si="50"/>
        <v>0.77</v>
      </c>
      <c r="W100">
        <f t="shared" si="50"/>
        <v>0.77</v>
      </c>
      <c r="X100">
        <f t="shared" si="50"/>
        <v>0.76</v>
      </c>
      <c r="Y100">
        <f t="shared" si="50"/>
        <v>0.76</v>
      </c>
      <c r="Z100">
        <f t="shared" si="50"/>
        <v>0.76</v>
      </c>
      <c r="AA100">
        <f t="shared" si="50"/>
        <v>0.76</v>
      </c>
      <c r="AB100">
        <f t="shared" si="50"/>
        <v>0.76</v>
      </c>
      <c r="AC100">
        <f t="shared" si="50"/>
        <v>0.75</v>
      </c>
      <c r="AD100">
        <f t="shared" si="50"/>
        <v>0.75</v>
      </c>
      <c r="AE100">
        <f t="shared" si="50"/>
        <v>0.75</v>
      </c>
      <c r="AF100">
        <f t="shared" si="50"/>
        <v>0.75</v>
      </c>
      <c r="AG100">
        <f t="shared" si="50"/>
        <v>0.74</v>
      </c>
      <c r="AH100">
        <f t="shared" si="50"/>
        <v>0.74</v>
      </c>
      <c r="AI100">
        <f t="shared" si="50"/>
        <v>0.74</v>
      </c>
      <c r="AJ100">
        <f t="shared" si="50"/>
        <v>0.74</v>
      </c>
      <c r="AK100">
        <f t="shared" si="50"/>
        <v>0.74</v>
      </c>
      <c r="AL100">
        <f t="shared" si="50"/>
        <v>0.73</v>
      </c>
      <c r="AM100">
        <f t="shared" si="50"/>
        <v>0.73</v>
      </c>
      <c r="AN100">
        <f t="shared" si="50"/>
        <v>0.73</v>
      </c>
      <c r="AO100">
        <f t="shared" si="50"/>
        <v>0.73</v>
      </c>
      <c r="AP100">
        <f t="shared" si="50"/>
        <v>0.73</v>
      </c>
      <c r="AQ100">
        <f t="shared" si="50"/>
        <v>0.73</v>
      </c>
      <c r="AR100">
        <f t="shared" si="50"/>
        <v>0.73</v>
      </c>
      <c r="AS100">
        <f t="shared" si="50"/>
        <v>0.73</v>
      </c>
      <c r="AT100">
        <f t="shared" si="50"/>
        <v>0.73</v>
      </c>
      <c r="AU100">
        <f t="shared" si="50"/>
        <v>0.73</v>
      </c>
      <c r="AV100">
        <f t="shared" si="50"/>
        <v>0.73</v>
      </c>
      <c r="AW100">
        <f t="shared" si="50"/>
        <v>0.73</v>
      </c>
      <c r="AX100">
        <f t="shared" si="50"/>
        <v>0.73</v>
      </c>
      <c r="AY100">
        <f t="shared" si="50"/>
        <v>0.73</v>
      </c>
      <c r="AZ100">
        <f t="shared" si="50"/>
        <v>0.73</v>
      </c>
      <c r="BA100">
        <f t="shared" si="50"/>
        <v>0.73</v>
      </c>
      <c r="BB100">
        <f t="shared" si="50"/>
        <v>0.73</v>
      </c>
      <c r="BC100">
        <f t="shared" si="50"/>
        <v>0.73</v>
      </c>
      <c r="BD100">
        <f t="shared" si="50"/>
        <v>0.73</v>
      </c>
      <c r="BE100">
        <f t="shared" si="50"/>
        <v>0.73</v>
      </c>
      <c r="BF100">
        <f t="shared" si="50"/>
        <v>0.73</v>
      </c>
      <c r="BG100">
        <f t="shared" si="50"/>
        <v>0.73</v>
      </c>
      <c r="BH100">
        <f t="shared" si="50"/>
        <v>0.73</v>
      </c>
    </row>
    <row r="101" spans="1:60" hidden="1" outlineLevel="1">
      <c r="B101" t="s">
        <v>146</v>
      </c>
    </row>
    <row r="102" spans="1:60" hidden="1" outlineLevel="1">
      <c r="B102" t="s">
        <v>147</v>
      </c>
      <c r="C102">
        <f>C346</f>
        <v>34.589999999999996</v>
      </c>
      <c r="D102">
        <f t="shared" ref="D102:BH102" si="51">D346</f>
        <v>30.66</v>
      </c>
      <c r="E102">
        <f t="shared" si="51"/>
        <v>41.85</v>
      </c>
      <c r="F102">
        <f t="shared" si="51"/>
        <v>50.55</v>
      </c>
      <c r="G102">
        <f t="shared" si="51"/>
        <v>25.84</v>
      </c>
      <c r="H102">
        <f t="shared" si="51"/>
        <v>27.82</v>
      </c>
      <c r="I102">
        <f t="shared" si="51"/>
        <v>29.79</v>
      </c>
      <c r="J102">
        <f t="shared" si="51"/>
        <v>25.11</v>
      </c>
      <c r="K102">
        <f t="shared" si="51"/>
        <v>26.85</v>
      </c>
      <c r="L102">
        <f t="shared" si="51"/>
        <v>26.91</v>
      </c>
      <c r="M102">
        <f t="shared" si="51"/>
        <v>26.91</v>
      </c>
      <c r="N102">
        <f t="shared" si="51"/>
        <v>26.829313327390974</v>
      </c>
      <c r="O102">
        <f t="shared" si="51"/>
        <v>26.748637384041462</v>
      </c>
      <c r="P102">
        <f t="shared" si="51"/>
        <v>26.667939982172921</v>
      </c>
      <c r="Q102">
        <f t="shared" si="51"/>
        <v>26.587253309563895</v>
      </c>
      <c r="R102">
        <f t="shared" si="51"/>
        <v>26.506577366214387</v>
      </c>
      <c r="S102">
        <f t="shared" si="51"/>
        <v>26.425879964345842</v>
      </c>
      <c r="T102">
        <f t="shared" si="51"/>
        <v>26.345204020996334</v>
      </c>
      <c r="U102">
        <f t="shared" si="51"/>
        <v>26.264528077646826</v>
      </c>
      <c r="V102">
        <f t="shared" si="51"/>
        <v>26.183819946518767</v>
      </c>
      <c r="W102">
        <f t="shared" si="51"/>
        <v>26.103144003169259</v>
      </c>
      <c r="X102">
        <f t="shared" si="51"/>
        <v>26.025000165065531</v>
      </c>
      <c r="Y102">
        <f t="shared" si="51"/>
        <v>25.950289690006933</v>
      </c>
      <c r="Z102">
        <f t="shared" si="51"/>
        <v>25.885589944207851</v>
      </c>
      <c r="AA102">
        <f t="shared" si="51"/>
        <v>25.810868739889735</v>
      </c>
      <c r="AB102">
        <f t="shared" si="51"/>
        <v>25.73615826483114</v>
      </c>
      <c r="AC102">
        <f t="shared" si="51"/>
        <v>25.661469248291571</v>
      </c>
      <c r="AD102">
        <f t="shared" si="51"/>
        <v>25.586737314713943</v>
      </c>
      <c r="AE102">
        <f t="shared" si="51"/>
        <v>25.512026839655341</v>
      </c>
      <c r="AF102">
        <f t="shared" si="51"/>
        <v>25.437327093856261</v>
      </c>
      <c r="AG102">
        <f t="shared" si="51"/>
        <v>25.362616618797663</v>
      </c>
      <c r="AH102">
        <f t="shared" si="51"/>
        <v>25.28789541447955</v>
      </c>
      <c r="AI102">
        <f t="shared" si="51"/>
        <v>25.213195668680466</v>
      </c>
      <c r="AJ102">
        <f t="shared" si="51"/>
        <v>25.138485193621868</v>
      </c>
      <c r="AK102">
        <f t="shared" si="51"/>
        <v>25.06377471856327</v>
      </c>
      <c r="AL102">
        <f t="shared" si="51"/>
        <v>24.999053514245155</v>
      </c>
      <c r="AM102">
        <f t="shared" si="51"/>
        <v>24.91440741474365</v>
      </c>
      <c r="AN102">
        <f t="shared" si="51"/>
        <v>24.839750585982635</v>
      </c>
      <c r="AO102">
        <f t="shared" si="51"/>
        <v>24.839750585982635</v>
      </c>
      <c r="AP102">
        <f t="shared" si="51"/>
        <v>24.839750585982635</v>
      </c>
      <c r="AQ102">
        <f t="shared" si="51"/>
        <v>24.839750585982635</v>
      </c>
      <c r="AR102">
        <f t="shared" si="51"/>
        <v>24.839750585982635</v>
      </c>
      <c r="AS102">
        <f t="shared" si="51"/>
        <v>24.839750585982635</v>
      </c>
      <c r="AT102">
        <f t="shared" si="51"/>
        <v>24.839750585982635</v>
      </c>
      <c r="AU102">
        <f t="shared" si="51"/>
        <v>24.839750585982635</v>
      </c>
      <c r="AV102">
        <f t="shared" si="51"/>
        <v>24.839750585982635</v>
      </c>
      <c r="AW102">
        <f t="shared" si="51"/>
        <v>24.839750585982635</v>
      </c>
      <c r="AX102">
        <f t="shared" si="51"/>
        <v>24.839750585982635</v>
      </c>
      <c r="AY102">
        <f t="shared" si="51"/>
        <v>24.839750585982635</v>
      </c>
      <c r="AZ102">
        <f t="shared" si="51"/>
        <v>24.839750585982635</v>
      </c>
      <c r="BA102">
        <f t="shared" si="51"/>
        <v>24.839750585982635</v>
      </c>
      <c r="BB102">
        <f t="shared" si="51"/>
        <v>24.839750585982635</v>
      </c>
      <c r="BC102">
        <f t="shared" si="51"/>
        <v>24.839750585982635</v>
      </c>
      <c r="BD102">
        <f t="shared" si="51"/>
        <v>24.839750585982635</v>
      </c>
      <c r="BE102">
        <f t="shared" si="51"/>
        <v>24.839750585982635</v>
      </c>
      <c r="BF102">
        <f t="shared" si="51"/>
        <v>24.839750585982635</v>
      </c>
      <c r="BG102">
        <f t="shared" si="51"/>
        <v>24.839750585982635</v>
      </c>
      <c r="BH102">
        <f t="shared" si="51"/>
        <v>24.839750585982635</v>
      </c>
    </row>
    <row r="103" spans="1:60" hidden="1" outlineLevel="1">
      <c r="B103" t="s">
        <v>148</v>
      </c>
    </row>
    <row r="104" spans="1:60" hidden="1" outlineLevel="1">
      <c r="B104" t="s">
        <v>149</v>
      </c>
    </row>
    <row r="105" spans="1:60" hidden="1" outlineLevel="1">
      <c r="B105" t="s">
        <v>150</v>
      </c>
      <c r="C105">
        <f>C356</f>
        <v>10.96</v>
      </c>
      <c r="D105">
        <f t="shared" ref="D105:BH105" si="52">D356</f>
        <v>10.039999999999999</v>
      </c>
      <c r="E105">
        <f t="shared" si="52"/>
        <v>11.96</v>
      </c>
      <c r="F105">
        <f t="shared" si="52"/>
        <v>11.95</v>
      </c>
      <c r="G105">
        <f t="shared" si="52"/>
        <v>11.19</v>
      </c>
      <c r="H105">
        <f t="shared" si="52"/>
        <v>11.59</v>
      </c>
      <c r="I105">
        <f t="shared" si="52"/>
        <v>13.38</v>
      </c>
      <c r="J105">
        <f t="shared" si="52"/>
        <v>11.14</v>
      </c>
      <c r="K105">
        <f t="shared" si="52"/>
        <v>12.32</v>
      </c>
      <c r="L105">
        <f t="shared" si="52"/>
        <v>12.35</v>
      </c>
      <c r="M105">
        <f t="shared" si="52"/>
        <v>12.31</v>
      </c>
      <c r="N105">
        <f t="shared" si="52"/>
        <v>12.28</v>
      </c>
      <c r="O105">
        <f t="shared" si="52"/>
        <v>12.24</v>
      </c>
      <c r="P105">
        <f t="shared" si="52"/>
        <v>12.21</v>
      </c>
      <c r="Q105">
        <f t="shared" si="52"/>
        <v>12.17</v>
      </c>
      <c r="R105">
        <f t="shared" si="52"/>
        <v>12.14</v>
      </c>
      <c r="S105">
        <f t="shared" si="52"/>
        <v>12.1</v>
      </c>
      <c r="T105">
        <f t="shared" si="52"/>
        <v>12.07</v>
      </c>
      <c r="U105">
        <f t="shared" si="52"/>
        <v>12.03</v>
      </c>
      <c r="V105">
        <f t="shared" si="52"/>
        <v>11.99</v>
      </c>
      <c r="W105">
        <f t="shared" si="52"/>
        <v>11.96</v>
      </c>
      <c r="X105">
        <f t="shared" si="52"/>
        <v>11.92</v>
      </c>
      <c r="Y105">
        <f t="shared" si="52"/>
        <v>11.89</v>
      </c>
      <c r="Z105">
        <f t="shared" si="52"/>
        <v>11.85</v>
      </c>
      <c r="AA105">
        <f t="shared" si="52"/>
        <v>11.82</v>
      </c>
      <c r="AB105">
        <f t="shared" si="52"/>
        <v>11.78</v>
      </c>
      <c r="AC105">
        <f t="shared" si="52"/>
        <v>11.75</v>
      </c>
      <c r="AD105">
        <f t="shared" si="52"/>
        <v>11.71</v>
      </c>
      <c r="AE105">
        <f t="shared" si="52"/>
        <v>11.68</v>
      </c>
      <c r="AF105">
        <f t="shared" si="52"/>
        <v>11.64</v>
      </c>
      <c r="AG105">
        <f t="shared" si="52"/>
        <v>11.61</v>
      </c>
      <c r="AH105">
        <f t="shared" si="52"/>
        <v>11.57</v>
      </c>
      <c r="AI105">
        <f t="shared" si="52"/>
        <v>11.53</v>
      </c>
      <c r="AJ105">
        <f t="shared" si="52"/>
        <v>11.5</v>
      </c>
      <c r="AK105">
        <f t="shared" si="52"/>
        <v>11.46</v>
      </c>
      <c r="AL105">
        <f t="shared" si="52"/>
        <v>11.43</v>
      </c>
      <c r="AM105">
        <f t="shared" si="52"/>
        <v>11.39</v>
      </c>
      <c r="AN105">
        <f t="shared" si="52"/>
        <v>11.36</v>
      </c>
      <c r="AO105">
        <f t="shared" si="52"/>
        <v>11.36</v>
      </c>
      <c r="AP105">
        <f t="shared" si="52"/>
        <v>11.36</v>
      </c>
      <c r="AQ105">
        <f t="shared" si="52"/>
        <v>11.36</v>
      </c>
      <c r="AR105">
        <f t="shared" si="52"/>
        <v>11.36</v>
      </c>
      <c r="AS105">
        <f t="shared" si="52"/>
        <v>11.36</v>
      </c>
      <c r="AT105">
        <f t="shared" si="52"/>
        <v>11.36</v>
      </c>
      <c r="AU105">
        <f t="shared" si="52"/>
        <v>11.36</v>
      </c>
      <c r="AV105">
        <f t="shared" si="52"/>
        <v>11.36</v>
      </c>
      <c r="AW105">
        <f t="shared" si="52"/>
        <v>11.36</v>
      </c>
      <c r="AX105">
        <f t="shared" si="52"/>
        <v>11.36</v>
      </c>
      <c r="AY105">
        <f t="shared" si="52"/>
        <v>11.36</v>
      </c>
      <c r="AZ105">
        <f t="shared" si="52"/>
        <v>11.36</v>
      </c>
      <c r="BA105">
        <f t="shared" si="52"/>
        <v>11.36</v>
      </c>
      <c r="BB105">
        <f t="shared" si="52"/>
        <v>11.36</v>
      </c>
      <c r="BC105">
        <f t="shared" si="52"/>
        <v>11.36</v>
      </c>
      <c r="BD105">
        <f t="shared" si="52"/>
        <v>11.36</v>
      </c>
      <c r="BE105">
        <f t="shared" si="52"/>
        <v>11.36</v>
      </c>
      <c r="BF105">
        <f t="shared" si="52"/>
        <v>11.36</v>
      </c>
      <c r="BG105">
        <f t="shared" si="52"/>
        <v>11.36</v>
      </c>
      <c r="BH105">
        <f t="shared" si="52"/>
        <v>11.36</v>
      </c>
    </row>
    <row r="106" spans="1:60" collapsed="1">
      <c r="A106" t="s">
        <v>154</v>
      </c>
      <c r="C106">
        <f>SUM(C107:C131)</f>
        <v>0.38</v>
      </c>
      <c r="D106">
        <f t="shared" ref="D106:BH106" si="53">SUM(D107:D131)</f>
        <v>0.42</v>
      </c>
      <c r="E106">
        <f t="shared" si="53"/>
        <v>0.5</v>
      </c>
      <c r="F106">
        <f t="shared" si="53"/>
        <v>0.56000000000000005</v>
      </c>
      <c r="G106">
        <f t="shared" si="53"/>
        <v>0.6</v>
      </c>
      <c r="H106">
        <f t="shared" si="53"/>
        <v>0.67</v>
      </c>
      <c r="I106">
        <f t="shared" si="53"/>
        <v>0.74</v>
      </c>
      <c r="J106">
        <f t="shared" si="53"/>
        <v>1.3</v>
      </c>
      <c r="K106">
        <f t="shared" si="53"/>
        <v>2.14</v>
      </c>
      <c r="L106">
        <f t="shared" si="53"/>
        <v>2.4</v>
      </c>
      <c r="M106">
        <f t="shared" si="53"/>
        <v>2.46</v>
      </c>
      <c r="N106">
        <f t="shared" si="53"/>
        <v>2.5299999999999998</v>
      </c>
      <c r="O106">
        <f t="shared" si="53"/>
        <v>2.59</v>
      </c>
      <c r="P106">
        <f t="shared" si="53"/>
        <v>2.65</v>
      </c>
      <c r="Q106">
        <f t="shared" si="53"/>
        <v>2.72</v>
      </c>
      <c r="R106">
        <f t="shared" si="53"/>
        <v>2.78</v>
      </c>
      <c r="S106">
        <f t="shared" si="53"/>
        <v>2.84</v>
      </c>
      <c r="T106">
        <f t="shared" si="53"/>
        <v>2.91</v>
      </c>
      <c r="U106">
        <f t="shared" si="53"/>
        <v>2.97</v>
      </c>
      <c r="V106">
        <f t="shared" si="53"/>
        <v>3.03</v>
      </c>
      <c r="W106">
        <f t="shared" si="53"/>
        <v>3.1</v>
      </c>
      <c r="X106">
        <f t="shared" si="53"/>
        <v>3.16</v>
      </c>
      <c r="Y106">
        <f t="shared" si="53"/>
        <v>3.22</v>
      </c>
      <c r="Z106">
        <f t="shared" si="53"/>
        <v>3.29</v>
      </c>
      <c r="AA106">
        <f t="shared" si="53"/>
        <v>3.35</v>
      </c>
      <c r="AB106">
        <f t="shared" si="53"/>
        <v>3.41</v>
      </c>
      <c r="AC106">
        <f t="shared" si="53"/>
        <v>3.48</v>
      </c>
      <c r="AD106">
        <f t="shared" si="53"/>
        <v>3.54</v>
      </c>
      <c r="AE106">
        <f t="shared" si="53"/>
        <v>3.6</v>
      </c>
      <c r="AF106">
        <f t="shared" si="53"/>
        <v>3.67</v>
      </c>
      <c r="AG106">
        <f t="shared" si="53"/>
        <v>3.73</v>
      </c>
      <c r="AH106">
        <f t="shared" si="53"/>
        <v>3.79</v>
      </c>
      <c r="AI106">
        <f t="shared" si="53"/>
        <v>3.85</v>
      </c>
      <c r="AJ106">
        <f t="shared" si="53"/>
        <v>3.92</v>
      </c>
      <c r="AK106">
        <f t="shared" si="53"/>
        <v>3.98</v>
      </c>
      <c r="AL106">
        <f t="shared" si="53"/>
        <v>4.04</v>
      </c>
      <c r="AM106">
        <f t="shared" si="53"/>
        <v>4.1100000000000003</v>
      </c>
      <c r="AN106">
        <f t="shared" si="53"/>
        <v>4.17</v>
      </c>
      <c r="AO106">
        <f t="shared" si="53"/>
        <v>4.17</v>
      </c>
      <c r="AP106">
        <f t="shared" si="53"/>
        <v>4.17</v>
      </c>
      <c r="AQ106">
        <f t="shared" si="53"/>
        <v>4.17</v>
      </c>
      <c r="AR106">
        <f t="shared" si="53"/>
        <v>4.17</v>
      </c>
      <c r="AS106">
        <f t="shared" si="53"/>
        <v>4.17</v>
      </c>
      <c r="AT106">
        <f t="shared" si="53"/>
        <v>4.17</v>
      </c>
      <c r="AU106">
        <f t="shared" si="53"/>
        <v>4.17</v>
      </c>
      <c r="AV106">
        <f t="shared" si="53"/>
        <v>4.17</v>
      </c>
      <c r="AW106">
        <f t="shared" si="53"/>
        <v>4.17</v>
      </c>
      <c r="AX106">
        <f t="shared" si="53"/>
        <v>4.17</v>
      </c>
      <c r="AY106">
        <f t="shared" si="53"/>
        <v>4.17</v>
      </c>
      <c r="AZ106">
        <f t="shared" si="53"/>
        <v>4.17</v>
      </c>
      <c r="BA106">
        <f t="shared" si="53"/>
        <v>4.17</v>
      </c>
      <c r="BB106">
        <f t="shared" si="53"/>
        <v>4.17</v>
      </c>
      <c r="BC106">
        <f t="shared" si="53"/>
        <v>4.17</v>
      </c>
      <c r="BD106">
        <f t="shared" si="53"/>
        <v>4.17</v>
      </c>
      <c r="BE106">
        <f t="shared" si="53"/>
        <v>4.17</v>
      </c>
      <c r="BF106">
        <f t="shared" si="53"/>
        <v>4.17</v>
      </c>
      <c r="BG106">
        <f t="shared" si="53"/>
        <v>4.17</v>
      </c>
      <c r="BH106">
        <f t="shared" si="53"/>
        <v>4.17</v>
      </c>
    </row>
    <row r="107" spans="1:60" hidden="1" outlineLevel="1">
      <c r="B107" t="s">
        <v>126</v>
      </c>
    </row>
    <row r="108" spans="1:60" hidden="1" outlineLevel="1">
      <c r="B108" t="s">
        <v>127</v>
      </c>
    </row>
    <row r="109" spans="1:60" hidden="1" outlineLevel="1">
      <c r="B109" t="s">
        <v>128</v>
      </c>
    </row>
    <row r="110" spans="1:60" hidden="1" outlineLevel="1">
      <c r="B110" t="s">
        <v>129</v>
      </c>
    </row>
    <row r="111" spans="1:60" hidden="1" outlineLevel="1">
      <c r="B111" t="s">
        <v>130</v>
      </c>
    </row>
    <row r="112" spans="1:60" hidden="1" outlineLevel="1">
      <c r="B112" t="s">
        <v>131</v>
      </c>
    </row>
    <row r="113" spans="2:60" hidden="1" outlineLevel="1">
      <c r="B113" t="s">
        <v>132</v>
      </c>
    </row>
    <row r="114" spans="2:60" hidden="1" outlineLevel="1">
      <c r="B114" t="s">
        <v>133</v>
      </c>
    </row>
    <row r="115" spans="2:60" hidden="1" outlineLevel="1">
      <c r="B115" t="s">
        <v>134</v>
      </c>
    </row>
    <row r="116" spans="2:60" hidden="1" outlineLevel="1">
      <c r="B116" t="s">
        <v>135</v>
      </c>
    </row>
    <row r="117" spans="2:60" hidden="1" outlineLevel="1">
      <c r="B117" t="s">
        <v>136</v>
      </c>
    </row>
    <row r="118" spans="2:60" hidden="1" outlineLevel="1">
      <c r="B118" t="s">
        <v>137</v>
      </c>
    </row>
    <row r="119" spans="2:60" hidden="1" outlineLevel="1">
      <c r="B119" t="s">
        <v>138</v>
      </c>
    </row>
    <row r="120" spans="2:60" hidden="1" outlineLevel="1">
      <c r="B120" t="s">
        <v>139</v>
      </c>
    </row>
    <row r="121" spans="2:60" hidden="1" outlineLevel="1">
      <c r="B121" t="s">
        <v>140</v>
      </c>
    </row>
    <row r="122" spans="2:60" hidden="1" outlineLevel="1">
      <c r="B122" t="s">
        <v>141</v>
      </c>
    </row>
    <row r="123" spans="2:60" hidden="1" outlineLevel="1">
      <c r="B123" t="s">
        <v>142</v>
      </c>
    </row>
    <row r="124" spans="2:60" hidden="1" outlineLevel="1">
      <c r="B124" t="s">
        <v>143</v>
      </c>
    </row>
    <row r="125" spans="2:60" hidden="1" outlineLevel="1">
      <c r="B125" t="s">
        <v>144</v>
      </c>
    </row>
    <row r="126" spans="2:60" hidden="1" outlineLevel="1">
      <c r="B126" t="s">
        <v>145</v>
      </c>
    </row>
    <row r="127" spans="2:60" hidden="1" outlineLevel="1">
      <c r="B127" t="s">
        <v>146</v>
      </c>
    </row>
    <row r="128" spans="2:60" hidden="1" outlineLevel="1">
      <c r="B128" t="s">
        <v>147</v>
      </c>
      <c r="C128">
        <f>C336</f>
        <v>0.38</v>
      </c>
      <c r="D128">
        <f t="shared" ref="D128:BH128" si="54">D336</f>
        <v>0.42</v>
      </c>
      <c r="E128">
        <f t="shared" si="54"/>
        <v>0.5</v>
      </c>
      <c r="F128">
        <f t="shared" si="54"/>
        <v>0.56000000000000005</v>
      </c>
      <c r="G128">
        <f t="shared" si="54"/>
        <v>0.6</v>
      </c>
      <c r="H128">
        <f t="shared" si="54"/>
        <v>0.67</v>
      </c>
      <c r="I128">
        <f t="shared" si="54"/>
        <v>0.74</v>
      </c>
      <c r="J128">
        <f t="shared" si="54"/>
        <v>1.3</v>
      </c>
      <c r="K128">
        <f t="shared" si="54"/>
        <v>2.14</v>
      </c>
      <c r="L128">
        <f t="shared" si="54"/>
        <v>2.4</v>
      </c>
      <c r="M128">
        <f t="shared" si="54"/>
        <v>2.46</v>
      </c>
      <c r="N128">
        <f t="shared" si="54"/>
        <v>2.5299999999999998</v>
      </c>
      <c r="O128">
        <f t="shared" si="54"/>
        <v>2.59</v>
      </c>
      <c r="P128">
        <f t="shared" si="54"/>
        <v>2.65</v>
      </c>
      <c r="Q128">
        <f t="shared" si="54"/>
        <v>2.72</v>
      </c>
      <c r="R128">
        <f t="shared" si="54"/>
        <v>2.78</v>
      </c>
      <c r="S128">
        <f t="shared" si="54"/>
        <v>2.84</v>
      </c>
      <c r="T128">
        <f t="shared" si="54"/>
        <v>2.91</v>
      </c>
      <c r="U128">
        <f t="shared" si="54"/>
        <v>2.97</v>
      </c>
      <c r="V128">
        <f t="shared" si="54"/>
        <v>3.03</v>
      </c>
      <c r="W128">
        <f t="shared" si="54"/>
        <v>3.1</v>
      </c>
      <c r="X128">
        <f t="shared" si="54"/>
        <v>3.16</v>
      </c>
      <c r="Y128">
        <f t="shared" si="54"/>
        <v>3.22</v>
      </c>
      <c r="Z128">
        <f t="shared" si="54"/>
        <v>3.29</v>
      </c>
      <c r="AA128">
        <f t="shared" si="54"/>
        <v>3.35</v>
      </c>
      <c r="AB128">
        <f t="shared" si="54"/>
        <v>3.41</v>
      </c>
      <c r="AC128">
        <f t="shared" si="54"/>
        <v>3.48</v>
      </c>
      <c r="AD128">
        <f t="shared" si="54"/>
        <v>3.54</v>
      </c>
      <c r="AE128">
        <f t="shared" si="54"/>
        <v>3.6</v>
      </c>
      <c r="AF128">
        <f t="shared" si="54"/>
        <v>3.67</v>
      </c>
      <c r="AG128">
        <f t="shared" si="54"/>
        <v>3.73</v>
      </c>
      <c r="AH128">
        <f t="shared" si="54"/>
        <v>3.79</v>
      </c>
      <c r="AI128">
        <f t="shared" si="54"/>
        <v>3.85</v>
      </c>
      <c r="AJ128">
        <f t="shared" si="54"/>
        <v>3.92</v>
      </c>
      <c r="AK128">
        <f t="shared" si="54"/>
        <v>3.98</v>
      </c>
      <c r="AL128">
        <f t="shared" si="54"/>
        <v>4.04</v>
      </c>
      <c r="AM128">
        <f t="shared" si="54"/>
        <v>4.1100000000000003</v>
      </c>
      <c r="AN128">
        <f t="shared" si="54"/>
        <v>4.17</v>
      </c>
      <c r="AO128">
        <f t="shared" si="54"/>
        <v>4.17</v>
      </c>
      <c r="AP128">
        <f t="shared" si="54"/>
        <v>4.17</v>
      </c>
      <c r="AQ128">
        <f t="shared" si="54"/>
        <v>4.17</v>
      </c>
      <c r="AR128">
        <f t="shared" si="54"/>
        <v>4.17</v>
      </c>
      <c r="AS128">
        <f t="shared" si="54"/>
        <v>4.17</v>
      </c>
      <c r="AT128">
        <f t="shared" si="54"/>
        <v>4.17</v>
      </c>
      <c r="AU128">
        <f t="shared" si="54"/>
        <v>4.17</v>
      </c>
      <c r="AV128">
        <f t="shared" si="54"/>
        <v>4.17</v>
      </c>
      <c r="AW128">
        <f t="shared" si="54"/>
        <v>4.17</v>
      </c>
      <c r="AX128">
        <f t="shared" si="54"/>
        <v>4.17</v>
      </c>
      <c r="AY128">
        <f t="shared" si="54"/>
        <v>4.17</v>
      </c>
      <c r="AZ128">
        <f t="shared" si="54"/>
        <v>4.17</v>
      </c>
      <c r="BA128">
        <f t="shared" si="54"/>
        <v>4.17</v>
      </c>
      <c r="BB128">
        <f t="shared" si="54"/>
        <v>4.17</v>
      </c>
      <c r="BC128">
        <f t="shared" si="54"/>
        <v>4.17</v>
      </c>
      <c r="BD128">
        <f t="shared" si="54"/>
        <v>4.17</v>
      </c>
      <c r="BE128">
        <f t="shared" si="54"/>
        <v>4.17</v>
      </c>
      <c r="BF128">
        <f t="shared" si="54"/>
        <v>4.17</v>
      </c>
      <c r="BG128">
        <f t="shared" si="54"/>
        <v>4.17</v>
      </c>
      <c r="BH128">
        <f t="shared" si="54"/>
        <v>4.17</v>
      </c>
    </row>
    <row r="129" spans="1:60" hidden="1" outlineLevel="1">
      <c r="B129" t="s">
        <v>148</v>
      </c>
    </row>
    <row r="130" spans="1:60" hidden="1" outlineLevel="1">
      <c r="B130" t="s">
        <v>149</v>
      </c>
    </row>
    <row r="131" spans="1:60" hidden="1" outlineLevel="1">
      <c r="B131" t="s">
        <v>150</v>
      </c>
    </row>
    <row r="132" spans="1:60" collapsed="1">
      <c r="A132" t="s">
        <v>155</v>
      </c>
      <c r="C132">
        <f>SUM(C133:C157)</f>
        <v>177.31</v>
      </c>
      <c r="D132">
        <f t="shared" ref="D132:BH132" si="55">SUM(D133:D157)</f>
        <v>128.69999999999999</v>
      </c>
      <c r="E132">
        <f t="shared" si="55"/>
        <v>123.75</v>
      </c>
      <c r="F132">
        <f t="shared" si="55"/>
        <v>125.73</v>
      </c>
      <c r="G132">
        <f t="shared" si="55"/>
        <v>131.93</v>
      </c>
      <c r="H132">
        <f t="shared" si="55"/>
        <v>145.06</v>
      </c>
      <c r="I132">
        <f t="shared" si="55"/>
        <v>126.25999999999999</v>
      </c>
      <c r="J132">
        <f t="shared" si="55"/>
        <v>129.4</v>
      </c>
      <c r="K132">
        <f t="shared" si="55"/>
        <v>142.22</v>
      </c>
      <c r="L132">
        <f t="shared" si="55"/>
        <v>141.48000000000002</v>
      </c>
      <c r="M132">
        <f t="shared" si="55"/>
        <v>140.94</v>
      </c>
      <c r="N132">
        <f t="shared" si="55"/>
        <v>140.44</v>
      </c>
      <c r="O132">
        <f t="shared" si="55"/>
        <v>139.92000000000002</v>
      </c>
      <c r="P132">
        <f t="shared" si="55"/>
        <v>139.41</v>
      </c>
      <c r="Q132">
        <f t="shared" si="55"/>
        <v>138.9</v>
      </c>
      <c r="R132">
        <f t="shared" si="55"/>
        <v>138.38</v>
      </c>
      <c r="S132">
        <f t="shared" si="55"/>
        <v>137.87</v>
      </c>
      <c r="T132">
        <f t="shared" si="55"/>
        <v>137.36000000000001</v>
      </c>
      <c r="U132">
        <f t="shared" si="55"/>
        <v>136.86000000000001</v>
      </c>
      <c r="V132">
        <f t="shared" si="55"/>
        <v>136.32999999999998</v>
      </c>
      <c r="W132">
        <f t="shared" si="55"/>
        <v>135.82</v>
      </c>
      <c r="X132">
        <f t="shared" si="55"/>
        <v>135.30000000000001</v>
      </c>
      <c r="Y132">
        <f t="shared" si="55"/>
        <v>134.79</v>
      </c>
      <c r="Z132">
        <f t="shared" si="55"/>
        <v>134.27000000000001</v>
      </c>
      <c r="AA132">
        <f t="shared" si="55"/>
        <v>133.76999999999998</v>
      </c>
      <c r="AB132">
        <f t="shared" si="55"/>
        <v>133.24</v>
      </c>
      <c r="AC132">
        <f t="shared" si="55"/>
        <v>132.74</v>
      </c>
      <c r="AD132">
        <f t="shared" si="55"/>
        <v>132.23000000000002</v>
      </c>
      <c r="AE132">
        <f t="shared" si="55"/>
        <v>131.70999999999998</v>
      </c>
      <c r="AF132">
        <f t="shared" si="55"/>
        <v>131.19</v>
      </c>
      <c r="AG132">
        <f t="shared" si="55"/>
        <v>130.68</v>
      </c>
      <c r="AH132">
        <f t="shared" si="55"/>
        <v>130.17000000000002</v>
      </c>
      <c r="AI132">
        <f t="shared" si="55"/>
        <v>129.65</v>
      </c>
      <c r="AJ132">
        <f t="shared" si="55"/>
        <v>129.14999999999998</v>
      </c>
      <c r="AK132">
        <f t="shared" si="55"/>
        <v>128.62</v>
      </c>
      <c r="AL132">
        <f t="shared" si="55"/>
        <v>128.12</v>
      </c>
      <c r="AM132">
        <f t="shared" si="55"/>
        <v>127.6</v>
      </c>
      <c r="AN132">
        <f t="shared" si="55"/>
        <v>127.09</v>
      </c>
      <c r="AO132">
        <f t="shared" si="55"/>
        <v>127.09</v>
      </c>
      <c r="AP132">
        <f t="shared" si="55"/>
        <v>127.09</v>
      </c>
      <c r="AQ132">
        <f t="shared" si="55"/>
        <v>127.09</v>
      </c>
      <c r="AR132">
        <f t="shared" si="55"/>
        <v>127.09</v>
      </c>
      <c r="AS132">
        <f t="shared" si="55"/>
        <v>127.09</v>
      </c>
      <c r="AT132">
        <f t="shared" si="55"/>
        <v>127.09</v>
      </c>
      <c r="AU132">
        <f t="shared" si="55"/>
        <v>127.09</v>
      </c>
      <c r="AV132">
        <f t="shared" si="55"/>
        <v>127.09</v>
      </c>
      <c r="AW132">
        <f t="shared" si="55"/>
        <v>127.09</v>
      </c>
      <c r="AX132">
        <f t="shared" si="55"/>
        <v>127.09</v>
      </c>
      <c r="AY132">
        <f t="shared" si="55"/>
        <v>127.09</v>
      </c>
      <c r="AZ132">
        <f t="shared" si="55"/>
        <v>127.09</v>
      </c>
      <c r="BA132">
        <f t="shared" si="55"/>
        <v>127.09</v>
      </c>
      <c r="BB132">
        <f t="shared" si="55"/>
        <v>127.09</v>
      </c>
      <c r="BC132">
        <f t="shared" si="55"/>
        <v>127.09</v>
      </c>
      <c r="BD132">
        <f t="shared" si="55"/>
        <v>127.09</v>
      </c>
      <c r="BE132">
        <f t="shared" si="55"/>
        <v>127.09</v>
      </c>
      <c r="BF132">
        <f t="shared" si="55"/>
        <v>127.09</v>
      </c>
      <c r="BG132">
        <f t="shared" si="55"/>
        <v>127.09</v>
      </c>
      <c r="BH132">
        <f t="shared" si="55"/>
        <v>127.09</v>
      </c>
    </row>
    <row r="133" spans="1:60" hidden="1" outlineLevel="1">
      <c r="B133" t="s">
        <v>126</v>
      </c>
    </row>
    <row r="134" spans="1:60" hidden="1" outlineLevel="1">
      <c r="B134" t="s">
        <v>127</v>
      </c>
    </row>
    <row r="135" spans="1:60" hidden="1" outlineLevel="1">
      <c r="B135" t="s">
        <v>128</v>
      </c>
    </row>
    <row r="136" spans="1:60" hidden="1" outlineLevel="1">
      <c r="B136" t="s">
        <v>129</v>
      </c>
    </row>
    <row r="137" spans="1:60" hidden="1" outlineLevel="1">
      <c r="B137" t="s">
        <v>130</v>
      </c>
      <c r="C137">
        <f>C259</f>
        <v>118.59</v>
      </c>
      <c r="D137">
        <f t="shared" ref="D137:BH137" si="56">D259</f>
        <v>67.33</v>
      </c>
      <c r="E137">
        <f t="shared" si="56"/>
        <v>65.599999999999994</v>
      </c>
      <c r="F137">
        <f t="shared" si="56"/>
        <v>66.06</v>
      </c>
      <c r="G137">
        <f t="shared" si="56"/>
        <v>70.540000000000006</v>
      </c>
      <c r="H137">
        <f t="shared" si="56"/>
        <v>74.010000000000005</v>
      </c>
      <c r="I137">
        <f t="shared" si="56"/>
        <v>71.3</v>
      </c>
      <c r="J137">
        <f t="shared" si="56"/>
        <v>62.85</v>
      </c>
      <c r="K137">
        <f t="shared" si="56"/>
        <v>72.97</v>
      </c>
      <c r="L137">
        <f t="shared" si="56"/>
        <v>72.510000000000005</v>
      </c>
      <c r="M137">
        <f t="shared" si="56"/>
        <v>71.64</v>
      </c>
      <c r="N137">
        <f t="shared" si="56"/>
        <v>70.78</v>
      </c>
      <c r="O137">
        <f t="shared" si="56"/>
        <v>69.91</v>
      </c>
      <c r="P137">
        <f t="shared" si="56"/>
        <v>69.05</v>
      </c>
      <c r="Q137">
        <f t="shared" si="56"/>
        <v>68.19</v>
      </c>
      <c r="R137">
        <f t="shared" si="56"/>
        <v>67.319999999999993</v>
      </c>
      <c r="S137">
        <f t="shared" si="56"/>
        <v>66.459999999999994</v>
      </c>
      <c r="T137">
        <f t="shared" si="56"/>
        <v>65.59</v>
      </c>
      <c r="U137">
        <f t="shared" si="56"/>
        <v>64.73</v>
      </c>
      <c r="V137">
        <f t="shared" si="56"/>
        <v>63.86</v>
      </c>
      <c r="W137">
        <f t="shared" si="56"/>
        <v>63</v>
      </c>
      <c r="X137">
        <f t="shared" si="56"/>
        <v>62.13</v>
      </c>
      <c r="Y137">
        <f t="shared" si="56"/>
        <v>61.27</v>
      </c>
      <c r="Z137">
        <f t="shared" si="56"/>
        <v>60.4</v>
      </c>
      <c r="AA137">
        <f t="shared" si="56"/>
        <v>59.54</v>
      </c>
      <c r="AB137">
        <f t="shared" si="56"/>
        <v>58.67</v>
      </c>
      <c r="AC137">
        <f t="shared" si="56"/>
        <v>57.81</v>
      </c>
      <c r="AD137">
        <f t="shared" si="56"/>
        <v>56.95</v>
      </c>
      <c r="AE137">
        <f t="shared" si="56"/>
        <v>56.08</v>
      </c>
      <c r="AF137">
        <f t="shared" si="56"/>
        <v>55.22</v>
      </c>
      <c r="AG137">
        <f t="shared" si="56"/>
        <v>54.35</v>
      </c>
      <c r="AH137">
        <f t="shared" si="56"/>
        <v>53.49</v>
      </c>
      <c r="AI137">
        <f t="shared" si="56"/>
        <v>52.62</v>
      </c>
      <c r="AJ137">
        <f t="shared" si="56"/>
        <v>51.76</v>
      </c>
      <c r="AK137">
        <f t="shared" si="56"/>
        <v>50.89</v>
      </c>
      <c r="AL137">
        <f t="shared" si="56"/>
        <v>50.03</v>
      </c>
      <c r="AM137">
        <f t="shared" si="56"/>
        <v>49.16</v>
      </c>
      <c r="AN137">
        <f t="shared" si="56"/>
        <v>48.3</v>
      </c>
      <c r="AO137">
        <f t="shared" si="56"/>
        <v>48.3</v>
      </c>
      <c r="AP137">
        <f t="shared" si="56"/>
        <v>48.3</v>
      </c>
      <c r="AQ137">
        <f t="shared" si="56"/>
        <v>48.3</v>
      </c>
      <c r="AR137">
        <f t="shared" si="56"/>
        <v>48.3</v>
      </c>
      <c r="AS137">
        <f t="shared" si="56"/>
        <v>48.3</v>
      </c>
      <c r="AT137">
        <f t="shared" si="56"/>
        <v>48.3</v>
      </c>
      <c r="AU137">
        <f t="shared" si="56"/>
        <v>48.3</v>
      </c>
      <c r="AV137">
        <f t="shared" si="56"/>
        <v>48.3</v>
      </c>
      <c r="AW137">
        <f t="shared" si="56"/>
        <v>48.3</v>
      </c>
      <c r="AX137">
        <f t="shared" si="56"/>
        <v>48.3</v>
      </c>
      <c r="AY137">
        <f t="shared" si="56"/>
        <v>48.3</v>
      </c>
      <c r="AZ137">
        <f t="shared" si="56"/>
        <v>48.3</v>
      </c>
      <c r="BA137">
        <f t="shared" si="56"/>
        <v>48.3</v>
      </c>
      <c r="BB137">
        <f t="shared" si="56"/>
        <v>48.3</v>
      </c>
      <c r="BC137">
        <f t="shared" si="56"/>
        <v>48.3</v>
      </c>
      <c r="BD137">
        <f t="shared" si="56"/>
        <v>48.3</v>
      </c>
      <c r="BE137">
        <f t="shared" si="56"/>
        <v>48.3</v>
      </c>
      <c r="BF137">
        <f t="shared" si="56"/>
        <v>48.3</v>
      </c>
      <c r="BG137">
        <f t="shared" si="56"/>
        <v>48.3</v>
      </c>
      <c r="BH137">
        <f t="shared" si="56"/>
        <v>48.3</v>
      </c>
    </row>
    <row r="138" spans="1:60" hidden="1" outlineLevel="1">
      <c r="B138" t="s">
        <v>131</v>
      </c>
    </row>
    <row r="139" spans="1:60" hidden="1" outlineLevel="1">
      <c r="B139" t="s">
        <v>132</v>
      </c>
    </row>
    <row r="140" spans="1:60" hidden="1" outlineLevel="1">
      <c r="B140" t="s">
        <v>133</v>
      </c>
    </row>
    <row r="141" spans="1:60" hidden="1" outlineLevel="1">
      <c r="B141" t="s">
        <v>134</v>
      </c>
    </row>
    <row r="142" spans="1:60" hidden="1" outlineLevel="1">
      <c r="B142" t="s">
        <v>135</v>
      </c>
    </row>
    <row r="143" spans="1:60" hidden="1" outlineLevel="1">
      <c r="B143" t="s">
        <v>136</v>
      </c>
    </row>
    <row r="144" spans="1:60" hidden="1" outlineLevel="1">
      <c r="B144" t="s">
        <v>137</v>
      </c>
    </row>
    <row r="145" spans="1:60" hidden="1" outlineLevel="1">
      <c r="B145" t="s">
        <v>138</v>
      </c>
    </row>
    <row r="146" spans="1:60" hidden="1" outlineLevel="1">
      <c r="B146" t="s">
        <v>139</v>
      </c>
    </row>
    <row r="147" spans="1:60" hidden="1" outlineLevel="1">
      <c r="B147" t="s">
        <v>140</v>
      </c>
    </row>
    <row r="148" spans="1:60" hidden="1" outlineLevel="1">
      <c r="B148" t="s">
        <v>141</v>
      </c>
    </row>
    <row r="149" spans="1:60" hidden="1" outlineLevel="1">
      <c r="B149" t="s">
        <v>142</v>
      </c>
    </row>
    <row r="150" spans="1:60" hidden="1" outlineLevel="1">
      <c r="B150" t="s">
        <v>143</v>
      </c>
    </row>
    <row r="151" spans="1:60" hidden="1" outlineLevel="1">
      <c r="B151" t="s">
        <v>144</v>
      </c>
    </row>
    <row r="152" spans="1:60" hidden="1" outlineLevel="1">
      <c r="B152" t="s">
        <v>145</v>
      </c>
    </row>
    <row r="153" spans="1:60" hidden="1" outlineLevel="1">
      <c r="B153" t="s">
        <v>146</v>
      </c>
    </row>
    <row r="154" spans="1:60" hidden="1" outlineLevel="1">
      <c r="B154" t="s">
        <v>147</v>
      </c>
      <c r="C154">
        <f>C337+C338+C339+C340</f>
        <v>58.72</v>
      </c>
      <c r="D154">
        <f t="shared" ref="D154:BH154" si="57">D337+D338+D339+D340</f>
        <v>61.37</v>
      </c>
      <c r="E154">
        <f t="shared" si="57"/>
        <v>58.150000000000006</v>
      </c>
      <c r="F154">
        <f t="shared" si="57"/>
        <v>59.67</v>
      </c>
      <c r="G154">
        <f t="shared" si="57"/>
        <v>61.39</v>
      </c>
      <c r="H154">
        <f t="shared" si="57"/>
        <v>71.05</v>
      </c>
      <c r="I154">
        <f t="shared" si="57"/>
        <v>54.959999999999994</v>
      </c>
      <c r="J154">
        <f t="shared" si="57"/>
        <v>66.55</v>
      </c>
      <c r="K154">
        <f t="shared" si="57"/>
        <v>69.25</v>
      </c>
      <c r="L154">
        <f t="shared" si="57"/>
        <v>68.97</v>
      </c>
      <c r="M154">
        <f t="shared" si="57"/>
        <v>69.3</v>
      </c>
      <c r="N154">
        <f t="shared" si="57"/>
        <v>69.66</v>
      </c>
      <c r="O154">
        <f t="shared" si="57"/>
        <v>70.010000000000005</v>
      </c>
      <c r="P154">
        <f t="shared" si="57"/>
        <v>70.36</v>
      </c>
      <c r="Q154">
        <f t="shared" si="57"/>
        <v>70.710000000000008</v>
      </c>
      <c r="R154">
        <f t="shared" si="57"/>
        <v>71.06</v>
      </c>
      <c r="S154">
        <f t="shared" si="57"/>
        <v>71.41</v>
      </c>
      <c r="T154">
        <f t="shared" si="57"/>
        <v>71.77</v>
      </c>
      <c r="U154">
        <f t="shared" si="57"/>
        <v>72.13</v>
      </c>
      <c r="V154">
        <f t="shared" si="57"/>
        <v>72.47</v>
      </c>
      <c r="W154">
        <f t="shared" si="57"/>
        <v>72.819999999999993</v>
      </c>
      <c r="X154">
        <f t="shared" si="57"/>
        <v>73.17</v>
      </c>
      <c r="Y154">
        <f t="shared" si="57"/>
        <v>73.52</v>
      </c>
      <c r="Z154">
        <f t="shared" si="57"/>
        <v>73.87</v>
      </c>
      <c r="AA154">
        <f t="shared" si="57"/>
        <v>74.22999999999999</v>
      </c>
      <c r="AB154">
        <f t="shared" si="57"/>
        <v>74.569999999999993</v>
      </c>
      <c r="AC154">
        <f t="shared" si="57"/>
        <v>74.930000000000007</v>
      </c>
      <c r="AD154">
        <f t="shared" si="57"/>
        <v>75.28</v>
      </c>
      <c r="AE154">
        <f t="shared" si="57"/>
        <v>75.63</v>
      </c>
      <c r="AF154">
        <f t="shared" si="57"/>
        <v>75.97</v>
      </c>
      <c r="AG154">
        <f t="shared" si="57"/>
        <v>76.33</v>
      </c>
      <c r="AH154">
        <f t="shared" si="57"/>
        <v>76.680000000000007</v>
      </c>
      <c r="AI154">
        <f t="shared" si="57"/>
        <v>77.03</v>
      </c>
      <c r="AJ154">
        <f t="shared" si="57"/>
        <v>77.389999999999986</v>
      </c>
      <c r="AK154">
        <f t="shared" si="57"/>
        <v>77.72999999999999</v>
      </c>
      <c r="AL154">
        <f t="shared" si="57"/>
        <v>78.09</v>
      </c>
      <c r="AM154">
        <f t="shared" si="57"/>
        <v>78.44</v>
      </c>
      <c r="AN154">
        <f t="shared" si="57"/>
        <v>78.790000000000006</v>
      </c>
      <c r="AO154">
        <f t="shared" si="57"/>
        <v>78.790000000000006</v>
      </c>
      <c r="AP154">
        <f t="shared" si="57"/>
        <v>78.790000000000006</v>
      </c>
      <c r="AQ154">
        <f t="shared" si="57"/>
        <v>78.790000000000006</v>
      </c>
      <c r="AR154">
        <f t="shared" si="57"/>
        <v>78.790000000000006</v>
      </c>
      <c r="AS154">
        <f t="shared" si="57"/>
        <v>78.790000000000006</v>
      </c>
      <c r="AT154">
        <f t="shared" si="57"/>
        <v>78.790000000000006</v>
      </c>
      <c r="AU154">
        <f t="shared" si="57"/>
        <v>78.790000000000006</v>
      </c>
      <c r="AV154">
        <f t="shared" si="57"/>
        <v>78.790000000000006</v>
      </c>
      <c r="AW154">
        <f t="shared" si="57"/>
        <v>78.790000000000006</v>
      </c>
      <c r="AX154">
        <f t="shared" si="57"/>
        <v>78.790000000000006</v>
      </c>
      <c r="AY154">
        <f t="shared" si="57"/>
        <v>78.790000000000006</v>
      </c>
      <c r="AZ154">
        <f t="shared" si="57"/>
        <v>78.790000000000006</v>
      </c>
      <c r="BA154">
        <f t="shared" si="57"/>
        <v>78.790000000000006</v>
      </c>
      <c r="BB154">
        <f t="shared" si="57"/>
        <v>78.790000000000006</v>
      </c>
      <c r="BC154">
        <f t="shared" si="57"/>
        <v>78.790000000000006</v>
      </c>
      <c r="BD154">
        <f t="shared" si="57"/>
        <v>78.790000000000006</v>
      </c>
      <c r="BE154">
        <f t="shared" si="57"/>
        <v>78.790000000000006</v>
      </c>
      <c r="BF154">
        <f t="shared" si="57"/>
        <v>78.790000000000006</v>
      </c>
      <c r="BG154">
        <f t="shared" si="57"/>
        <v>78.790000000000006</v>
      </c>
      <c r="BH154">
        <f t="shared" si="57"/>
        <v>78.790000000000006</v>
      </c>
    </row>
    <row r="155" spans="1:60" hidden="1" outlineLevel="1">
      <c r="B155" t="s">
        <v>148</v>
      </c>
    </row>
    <row r="156" spans="1:60" hidden="1" outlineLevel="1">
      <c r="B156" t="s">
        <v>149</v>
      </c>
    </row>
    <row r="157" spans="1:60" hidden="1" outlineLevel="1">
      <c r="B157" t="s">
        <v>150</v>
      </c>
    </row>
    <row r="158" spans="1:60" collapsed="1">
      <c r="A158" t="s">
        <v>156</v>
      </c>
      <c r="C158">
        <f>SUM(C159:C183)</f>
        <v>287.2650000000001</v>
      </c>
      <c r="D158">
        <f t="shared" ref="D158:BH158" si="58">SUM(D159:D183)</f>
        <v>275.53500000000003</v>
      </c>
      <c r="E158">
        <f t="shared" si="58"/>
        <v>205.83499999999992</v>
      </c>
      <c r="F158">
        <f t="shared" si="58"/>
        <v>213.01999999999987</v>
      </c>
      <c r="G158">
        <f t="shared" si="58"/>
        <v>233.05999999999986</v>
      </c>
      <c r="H158">
        <f t="shared" si="58"/>
        <v>164.50000000000023</v>
      </c>
      <c r="I158">
        <f t="shared" si="58"/>
        <v>182.18499999999995</v>
      </c>
      <c r="J158">
        <f t="shared" si="58"/>
        <v>159.81500000000003</v>
      </c>
      <c r="K158">
        <f t="shared" si="58"/>
        <v>212.92499999999995</v>
      </c>
      <c r="L158">
        <f t="shared" si="58"/>
        <v>205.44481160922979</v>
      </c>
      <c r="M158">
        <f t="shared" si="58"/>
        <v>208.24828056262976</v>
      </c>
      <c r="N158">
        <f t="shared" si="58"/>
        <v>212.31311184259826</v>
      </c>
      <c r="O158">
        <f t="shared" si="58"/>
        <v>216.12524362643109</v>
      </c>
      <c r="P158">
        <f t="shared" si="58"/>
        <v>221.59597519670223</v>
      </c>
      <c r="Q158">
        <f t="shared" si="58"/>
        <v>228.81783174422208</v>
      </c>
      <c r="R158">
        <f t="shared" si="58"/>
        <v>233.24050318100262</v>
      </c>
      <c r="S158">
        <f t="shared" si="58"/>
        <v>235.62682526789308</v>
      </c>
      <c r="T158">
        <f t="shared" si="58"/>
        <v>237.83445058111698</v>
      </c>
      <c r="U158">
        <f t="shared" si="58"/>
        <v>239.88327213939533</v>
      </c>
      <c r="V158">
        <f t="shared" si="58"/>
        <v>241.76718230367771</v>
      </c>
      <c r="W158">
        <f t="shared" si="58"/>
        <v>243.46624199411795</v>
      </c>
      <c r="X158">
        <f t="shared" si="58"/>
        <v>244.76473455557604</v>
      </c>
      <c r="Y158">
        <f t="shared" si="58"/>
        <v>245.71425756374384</v>
      </c>
      <c r="Z158">
        <f t="shared" si="58"/>
        <v>246.27553243205745</v>
      </c>
      <c r="AA158">
        <f t="shared" si="58"/>
        <v>246.47128485456858</v>
      </c>
      <c r="AB158">
        <f t="shared" si="58"/>
        <v>246.68262765592667</v>
      </c>
      <c r="AC158">
        <f t="shared" si="58"/>
        <v>246.90095290523877</v>
      </c>
      <c r="AD158">
        <f t="shared" si="58"/>
        <v>247.08414659173206</v>
      </c>
      <c r="AE158">
        <f t="shared" si="58"/>
        <v>247.30066625505086</v>
      </c>
      <c r="AF158">
        <f t="shared" si="58"/>
        <v>247.49131110946283</v>
      </c>
      <c r="AG158">
        <f t="shared" si="58"/>
        <v>247.72376326074578</v>
      </c>
      <c r="AH158">
        <f t="shared" si="58"/>
        <v>247.91958002515264</v>
      </c>
      <c r="AI158">
        <f t="shared" si="58"/>
        <v>248.14296714038244</v>
      </c>
      <c r="AJ158">
        <f t="shared" si="58"/>
        <v>248.34745199073208</v>
      </c>
      <c r="AK158">
        <f t="shared" si="58"/>
        <v>248.53374661393084</v>
      </c>
      <c r="AL158">
        <f t="shared" si="58"/>
        <v>248.76189459824724</v>
      </c>
      <c r="AM158">
        <f t="shared" si="58"/>
        <v>248.95460280928955</v>
      </c>
      <c r="AN158">
        <f t="shared" si="58"/>
        <v>249.14201002350097</v>
      </c>
      <c r="AO158">
        <f t="shared" si="58"/>
        <v>249.14201002350097</v>
      </c>
      <c r="AP158">
        <f t="shared" si="58"/>
        <v>249.14201002350097</v>
      </c>
      <c r="AQ158">
        <f t="shared" si="58"/>
        <v>249.14201002350097</v>
      </c>
      <c r="AR158">
        <f t="shared" si="58"/>
        <v>249.14201002350097</v>
      </c>
      <c r="AS158">
        <f t="shared" si="58"/>
        <v>249.14201002350097</v>
      </c>
      <c r="AT158">
        <f t="shared" si="58"/>
        <v>249.14201002350097</v>
      </c>
      <c r="AU158">
        <f t="shared" si="58"/>
        <v>249.14201002350097</v>
      </c>
      <c r="AV158">
        <f t="shared" si="58"/>
        <v>249.14201002350097</v>
      </c>
      <c r="AW158">
        <f t="shared" si="58"/>
        <v>249.14201002350097</v>
      </c>
      <c r="AX158">
        <f t="shared" si="58"/>
        <v>249.14201002350097</v>
      </c>
      <c r="AY158">
        <f t="shared" si="58"/>
        <v>249.14201002350097</v>
      </c>
      <c r="AZ158">
        <f t="shared" si="58"/>
        <v>249.14201002350097</v>
      </c>
      <c r="BA158">
        <f t="shared" si="58"/>
        <v>249.14201002350097</v>
      </c>
      <c r="BB158">
        <f t="shared" si="58"/>
        <v>249.14201002350097</v>
      </c>
      <c r="BC158">
        <f t="shared" si="58"/>
        <v>249.14201002350097</v>
      </c>
      <c r="BD158">
        <f t="shared" si="58"/>
        <v>249.14201002350097</v>
      </c>
      <c r="BE158">
        <f t="shared" si="58"/>
        <v>249.14201002350097</v>
      </c>
      <c r="BF158">
        <f t="shared" si="58"/>
        <v>249.14201002350097</v>
      </c>
      <c r="BG158">
        <f t="shared" si="58"/>
        <v>249.14201002350097</v>
      </c>
      <c r="BH158">
        <f t="shared" si="58"/>
        <v>249.14201002350097</v>
      </c>
    </row>
    <row r="159" spans="1:60" hidden="1" outlineLevel="1">
      <c r="B159" t="s">
        <v>126</v>
      </c>
    </row>
    <row r="160" spans="1:60" hidden="1" outlineLevel="1">
      <c r="B160" t="s">
        <v>127</v>
      </c>
      <c r="C160">
        <f>C248</f>
        <v>0.33449999999999996</v>
      </c>
      <c r="D160">
        <f t="shared" ref="D160:BH160" si="59">D248</f>
        <v>0.33149999999999996</v>
      </c>
      <c r="E160">
        <f t="shared" si="59"/>
        <v>0.312</v>
      </c>
      <c r="F160">
        <f t="shared" si="59"/>
        <v>0.30299999999999999</v>
      </c>
      <c r="G160">
        <f t="shared" si="59"/>
        <v>0.28649999999999998</v>
      </c>
      <c r="H160">
        <f t="shared" si="59"/>
        <v>0.28499999999999998</v>
      </c>
      <c r="I160">
        <f t="shared" si="59"/>
        <v>0.28949999999999998</v>
      </c>
      <c r="J160">
        <f t="shared" si="59"/>
        <v>0.27150000000000002</v>
      </c>
      <c r="K160">
        <f t="shared" si="59"/>
        <v>0.33449999999999996</v>
      </c>
      <c r="L160">
        <f t="shared" si="59"/>
        <v>0.32400000000000001</v>
      </c>
      <c r="M160">
        <f t="shared" si="59"/>
        <v>0.312</v>
      </c>
      <c r="N160">
        <f t="shared" si="59"/>
        <v>0.3</v>
      </c>
      <c r="O160">
        <f t="shared" si="59"/>
        <v>0.28949999999999998</v>
      </c>
      <c r="P160">
        <f t="shared" si="59"/>
        <v>0.27750000000000002</v>
      </c>
      <c r="Q160">
        <f t="shared" si="59"/>
        <v>0.26550000000000001</v>
      </c>
      <c r="R160">
        <f t="shared" si="59"/>
        <v>0.255</v>
      </c>
      <c r="S160">
        <f t="shared" si="59"/>
        <v>0.24299999999999999</v>
      </c>
      <c r="T160">
        <f t="shared" si="59"/>
        <v>0.23099999999999998</v>
      </c>
      <c r="U160">
        <f t="shared" si="59"/>
        <v>0.219</v>
      </c>
      <c r="V160">
        <f t="shared" si="59"/>
        <v>0.20849999999999999</v>
      </c>
      <c r="W160">
        <f t="shared" si="59"/>
        <v>0.19650000000000001</v>
      </c>
      <c r="X160">
        <f t="shared" si="59"/>
        <v>0.1845</v>
      </c>
      <c r="Y160">
        <f t="shared" si="59"/>
        <v>0.17399999999999999</v>
      </c>
      <c r="Z160">
        <f t="shared" si="59"/>
        <v>0.16200000000000001</v>
      </c>
      <c r="AA160">
        <f t="shared" si="59"/>
        <v>0.15</v>
      </c>
      <c r="AB160">
        <f t="shared" si="59"/>
        <v>0.13800000000000001</v>
      </c>
      <c r="AC160">
        <f t="shared" si="59"/>
        <v>0.1275</v>
      </c>
      <c r="AD160">
        <f t="shared" si="59"/>
        <v>0.11549999999999999</v>
      </c>
      <c r="AE160">
        <f t="shared" si="59"/>
        <v>0.10349999999999999</v>
      </c>
      <c r="AF160">
        <f t="shared" si="59"/>
        <v>9.2999999999999999E-2</v>
      </c>
      <c r="AG160">
        <f t="shared" si="59"/>
        <v>8.1000000000000003E-2</v>
      </c>
      <c r="AH160">
        <f t="shared" si="59"/>
        <v>6.9000000000000006E-2</v>
      </c>
      <c r="AI160">
        <f t="shared" si="59"/>
        <v>5.8499999999999996E-2</v>
      </c>
      <c r="AJ160">
        <f t="shared" si="59"/>
        <v>4.65E-2</v>
      </c>
      <c r="AK160">
        <f t="shared" si="59"/>
        <v>3.4500000000000003E-2</v>
      </c>
      <c r="AL160">
        <f t="shared" si="59"/>
        <v>2.2499999999999999E-2</v>
      </c>
      <c r="AM160">
        <f t="shared" si="59"/>
        <v>1.2E-2</v>
      </c>
      <c r="AN160">
        <f t="shared" si="59"/>
        <v>0</v>
      </c>
      <c r="AO160">
        <f t="shared" si="59"/>
        <v>0</v>
      </c>
      <c r="AP160">
        <f t="shared" si="59"/>
        <v>0</v>
      </c>
      <c r="AQ160">
        <f t="shared" si="59"/>
        <v>0</v>
      </c>
      <c r="AR160">
        <f t="shared" si="59"/>
        <v>0</v>
      </c>
      <c r="AS160">
        <f t="shared" si="59"/>
        <v>0</v>
      </c>
      <c r="AT160">
        <f t="shared" si="59"/>
        <v>0</v>
      </c>
      <c r="AU160">
        <f t="shared" si="59"/>
        <v>0</v>
      </c>
      <c r="AV160">
        <f t="shared" si="59"/>
        <v>0</v>
      </c>
      <c r="AW160">
        <f t="shared" si="59"/>
        <v>0</v>
      </c>
      <c r="AX160">
        <f t="shared" si="59"/>
        <v>0</v>
      </c>
      <c r="AY160">
        <f t="shared" si="59"/>
        <v>0</v>
      </c>
      <c r="AZ160">
        <f t="shared" si="59"/>
        <v>0</v>
      </c>
      <c r="BA160">
        <f t="shared" si="59"/>
        <v>0</v>
      </c>
      <c r="BB160">
        <f t="shared" si="59"/>
        <v>0</v>
      </c>
      <c r="BC160">
        <f t="shared" si="59"/>
        <v>0</v>
      </c>
      <c r="BD160">
        <f t="shared" si="59"/>
        <v>0</v>
      </c>
      <c r="BE160">
        <f t="shared" si="59"/>
        <v>0</v>
      </c>
      <c r="BF160">
        <f t="shared" si="59"/>
        <v>0</v>
      </c>
      <c r="BG160">
        <f t="shared" si="59"/>
        <v>0</v>
      </c>
      <c r="BH160">
        <f t="shared" si="59"/>
        <v>0</v>
      </c>
    </row>
    <row r="161" spans="2:60" hidden="1" outlineLevel="1">
      <c r="B161" t="s">
        <v>128</v>
      </c>
    </row>
    <row r="162" spans="2:60" hidden="1" outlineLevel="1">
      <c r="B162" t="s">
        <v>129</v>
      </c>
      <c r="C162">
        <f>C255</f>
        <v>1.8955</v>
      </c>
      <c r="D162">
        <f t="shared" ref="D162:BH162" si="60">D255</f>
        <v>1.8784999999999998</v>
      </c>
      <c r="E162">
        <f t="shared" si="60"/>
        <v>1.768</v>
      </c>
      <c r="F162">
        <f t="shared" si="60"/>
        <v>1.7169999999999999</v>
      </c>
      <c r="G162">
        <f t="shared" si="60"/>
        <v>1.6234999999999999</v>
      </c>
      <c r="H162">
        <f t="shared" si="60"/>
        <v>1.615</v>
      </c>
      <c r="I162">
        <f t="shared" si="60"/>
        <v>1.6404999999999998</v>
      </c>
      <c r="J162">
        <f t="shared" si="60"/>
        <v>1.5385</v>
      </c>
      <c r="K162">
        <f t="shared" si="60"/>
        <v>1.8955</v>
      </c>
      <c r="L162">
        <f t="shared" si="60"/>
        <v>1.8360000000000001</v>
      </c>
      <c r="M162">
        <f t="shared" si="60"/>
        <v>1.768</v>
      </c>
      <c r="N162">
        <f t="shared" si="60"/>
        <v>1.7</v>
      </c>
      <c r="O162">
        <f t="shared" si="60"/>
        <v>1.6404999999999998</v>
      </c>
      <c r="P162">
        <f t="shared" si="60"/>
        <v>1.5725</v>
      </c>
      <c r="Q162">
        <f t="shared" si="60"/>
        <v>1.5044999999999999</v>
      </c>
      <c r="R162">
        <f t="shared" si="60"/>
        <v>1.4449999999999998</v>
      </c>
      <c r="S162">
        <f t="shared" si="60"/>
        <v>1.377</v>
      </c>
      <c r="T162">
        <f t="shared" si="60"/>
        <v>1.3089999999999999</v>
      </c>
      <c r="U162">
        <f t="shared" si="60"/>
        <v>1.2409999999999999</v>
      </c>
      <c r="V162">
        <f t="shared" si="60"/>
        <v>1.1815</v>
      </c>
      <c r="W162">
        <f t="shared" si="60"/>
        <v>1.1134999999999999</v>
      </c>
      <c r="X162">
        <f t="shared" si="60"/>
        <v>1.0454999999999999</v>
      </c>
      <c r="Y162">
        <f t="shared" si="60"/>
        <v>0.98599999999999988</v>
      </c>
      <c r="Z162">
        <f t="shared" si="60"/>
        <v>0.91800000000000004</v>
      </c>
      <c r="AA162">
        <f t="shared" si="60"/>
        <v>0.85</v>
      </c>
      <c r="AB162">
        <f t="shared" si="60"/>
        <v>0.78200000000000003</v>
      </c>
      <c r="AC162">
        <f t="shared" si="60"/>
        <v>0.72249999999999992</v>
      </c>
      <c r="AD162">
        <f t="shared" si="60"/>
        <v>0.65449999999999997</v>
      </c>
      <c r="AE162">
        <f t="shared" si="60"/>
        <v>0.58649999999999991</v>
      </c>
      <c r="AF162">
        <f t="shared" si="60"/>
        <v>0.52700000000000002</v>
      </c>
      <c r="AG162">
        <f t="shared" si="60"/>
        <v>0.45900000000000002</v>
      </c>
      <c r="AH162">
        <f t="shared" si="60"/>
        <v>0.39100000000000001</v>
      </c>
      <c r="AI162">
        <f t="shared" si="60"/>
        <v>0.33150000000000002</v>
      </c>
      <c r="AJ162">
        <f t="shared" si="60"/>
        <v>0.26350000000000001</v>
      </c>
      <c r="AK162">
        <f t="shared" si="60"/>
        <v>0.19550000000000001</v>
      </c>
      <c r="AL162">
        <f t="shared" si="60"/>
        <v>0.1275</v>
      </c>
      <c r="AM162">
        <f t="shared" si="60"/>
        <v>6.8000000000000005E-2</v>
      </c>
      <c r="AN162">
        <f t="shared" si="60"/>
        <v>0</v>
      </c>
      <c r="AO162">
        <f t="shared" si="60"/>
        <v>0</v>
      </c>
      <c r="AP162">
        <f t="shared" si="60"/>
        <v>0</v>
      </c>
      <c r="AQ162">
        <f t="shared" si="60"/>
        <v>0</v>
      </c>
      <c r="AR162">
        <f t="shared" si="60"/>
        <v>0</v>
      </c>
      <c r="AS162">
        <f t="shared" si="60"/>
        <v>0</v>
      </c>
      <c r="AT162">
        <f t="shared" si="60"/>
        <v>0</v>
      </c>
      <c r="AU162">
        <f t="shared" si="60"/>
        <v>0</v>
      </c>
      <c r="AV162">
        <f t="shared" si="60"/>
        <v>0</v>
      </c>
      <c r="AW162">
        <f t="shared" si="60"/>
        <v>0</v>
      </c>
      <c r="AX162">
        <f t="shared" si="60"/>
        <v>0</v>
      </c>
      <c r="AY162">
        <f t="shared" si="60"/>
        <v>0</v>
      </c>
      <c r="AZ162">
        <f t="shared" si="60"/>
        <v>0</v>
      </c>
      <c r="BA162">
        <f t="shared" si="60"/>
        <v>0</v>
      </c>
      <c r="BB162">
        <f t="shared" si="60"/>
        <v>0</v>
      </c>
      <c r="BC162">
        <f t="shared" si="60"/>
        <v>0</v>
      </c>
      <c r="BD162">
        <f t="shared" si="60"/>
        <v>0</v>
      </c>
      <c r="BE162">
        <f t="shared" si="60"/>
        <v>0</v>
      </c>
      <c r="BF162">
        <f t="shared" si="60"/>
        <v>0</v>
      </c>
      <c r="BG162">
        <f t="shared" si="60"/>
        <v>0</v>
      </c>
      <c r="BH162">
        <f t="shared" si="60"/>
        <v>0</v>
      </c>
    </row>
    <row r="163" spans="2:60" hidden="1" outlineLevel="1">
      <c r="B163" t="s">
        <v>130</v>
      </c>
      <c r="C163">
        <f>C261</f>
        <v>6.24</v>
      </c>
      <c r="D163">
        <f t="shared" ref="D163:BH163" si="61">D261</f>
        <v>3.1799999999999997</v>
      </c>
      <c r="E163">
        <f t="shared" si="61"/>
        <v>2.0099999999999998</v>
      </c>
      <c r="F163">
        <f t="shared" si="61"/>
        <v>2.0999999999999996</v>
      </c>
      <c r="G163">
        <f t="shared" si="61"/>
        <v>1.7999999999999998</v>
      </c>
      <c r="H163">
        <f t="shared" si="61"/>
        <v>0.54</v>
      </c>
      <c r="I163">
        <f t="shared" si="61"/>
        <v>0.84999999999999987</v>
      </c>
      <c r="J163">
        <f t="shared" si="61"/>
        <v>0.94</v>
      </c>
      <c r="K163">
        <f t="shared" si="61"/>
        <v>1.1600000000000001</v>
      </c>
      <c r="L163">
        <f t="shared" si="61"/>
        <v>1.1200000000000001</v>
      </c>
      <c r="M163">
        <f t="shared" si="61"/>
        <v>1.08</v>
      </c>
      <c r="N163">
        <f t="shared" si="61"/>
        <v>1.04</v>
      </c>
      <c r="O163">
        <f t="shared" si="61"/>
        <v>0.99999999999999989</v>
      </c>
      <c r="P163">
        <f t="shared" si="61"/>
        <v>0.96</v>
      </c>
      <c r="Q163">
        <f t="shared" si="61"/>
        <v>0.91999999999999993</v>
      </c>
      <c r="R163">
        <f t="shared" si="61"/>
        <v>0.89000000000000012</v>
      </c>
      <c r="S163">
        <f t="shared" si="61"/>
        <v>0.85000000000000009</v>
      </c>
      <c r="T163">
        <f t="shared" si="61"/>
        <v>0.8</v>
      </c>
      <c r="U163">
        <f t="shared" si="61"/>
        <v>0.76</v>
      </c>
      <c r="V163">
        <f t="shared" si="61"/>
        <v>0.72</v>
      </c>
      <c r="W163">
        <f t="shared" si="61"/>
        <v>0.68</v>
      </c>
      <c r="X163">
        <f t="shared" si="61"/>
        <v>0.64000000000000012</v>
      </c>
      <c r="Y163">
        <f t="shared" si="61"/>
        <v>0.60000000000000009</v>
      </c>
      <c r="Z163">
        <f t="shared" si="61"/>
        <v>0.56000000000000005</v>
      </c>
      <c r="AA163">
        <f t="shared" si="61"/>
        <v>0.52</v>
      </c>
      <c r="AB163">
        <f t="shared" si="61"/>
        <v>0.49</v>
      </c>
      <c r="AC163">
        <f t="shared" si="61"/>
        <v>0.44000000000000006</v>
      </c>
      <c r="AD163">
        <f t="shared" si="61"/>
        <v>0.4</v>
      </c>
      <c r="AE163">
        <f t="shared" si="61"/>
        <v>0.36</v>
      </c>
      <c r="AF163">
        <f t="shared" si="61"/>
        <v>0.31000000000000005</v>
      </c>
      <c r="AG163">
        <f t="shared" si="61"/>
        <v>0.28000000000000003</v>
      </c>
      <c r="AH163">
        <f t="shared" si="61"/>
        <v>0.24000000000000002</v>
      </c>
      <c r="AI163">
        <f t="shared" si="61"/>
        <v>0.2</v>
      </c>
      <c r="AJ163">
        <f t="shared" si="61"/>
        <v>0.16</v>
      </c>
      <c r="AK163">
        <f t="shared" si="61"/>
        <v>0.12</v>
      </c>
      <c r="AL163">
        <f t="shared" si="61"/>
        <v>0.09</v>
      </c>
      <c r="AM163">
        <f t="shared" si="61"/>
        <v>0.04</v>
      </c>
      <c r="AN163">
        <f t="shared" si="61"/>
        <v>0</v>
      </c>
      <c r="AO163">
        <f t="shared" si="61"/>
        <v>0</v>
      </c>
      <c r="AP163">
        <f t="shared" si="61"/>
        <v>0</v>
      </c>
      <c r="AQ163">
        <f t="shared" si="61"/>
        <v>0</v>
      </c>
      <c r="AR163">
        <f t="shared" si="61"/>
        <v>0</v>
      </c>
      <c r="AS163">
        <f t="shared" si="61"/>
        <v>0</v>
      </c>
      <c r="AT163">
        <f t="shared" si="61"/>
        <v>0</v>
      </c>
      <c r="AU163">
        <f t="shared" si="61"/>
        <v>0</v>
      </c>
      <c r="AV163">
        <f t="shared" si="61"/>
        <v>0</v>
      </c>
      <c r="AW163">
        <f t="shared" si="61"/>
        <v>0</v>
      </c>
      <c r="AX163">
        <f t="shared" si="61"/>
        <v>0</v>
      </c>
      <c r="AY163">
        <f t="shared" si="61"/>
        <v>0</v>
      </c>
      <c r="AZ163">
        <f t="shared" si="61"/>
        <v>0</v>
      </c>
      <c r="BA163">
        <f t="shared" si="61"/>
        <v>0</v>
      </c>
      <c r="BB163">
        <f t="shared" si="61"/>
        <v>0</v>
      </c>
      <c r="BC163">
        <f t="shared" si="61"/>
        <v>0</v>
      </c>
      <c r="BD163">
        <f t="shared" si="61"/>
        <v>0</v>
      </c>
      <c r="BE163">
        <f t="shared" si="61"/>
        <v>0</v>
      </c>
      <c r="BF163">
        <f t="shared" si="61"/>
        <v>0</v>
      </c>
      <c r="BG163">
        <f t="shared" si="61"/>
        <v>0</v>
      </c>
      <c r="BH163">
        <f t="shared" si="61"/>
        <v>0</v>
      </c>
    </row>
    <row r="164" spans="2:60" hidden="1" outlineLevel="1">
      <c r="B164" t="s">
        <v>131</v>
      </c>
      <c r="C164">
        <f>C268</f>
        <v>0.03</v>
      </c>
      <c r="D164">
        <f t="shared" ref="D164:BH164" si="62">D268</f>
        <v>0.03</v>
      </c>
      <c r="E164">
        <f t="shared" si="62"/>
        <v>0.03</v>
      </c>
      <c r="F164">
        <f t="shared" si="62"/>
        <v>0.03</v>
      </c>
      <c r="G164">
        <f t="shared" si="62"/>
        <v>0.03</v>
      </c>
      <c r="H164">
        <f t="shared" si="62"/>
        <v>0.03</v>
      </c>
      <c r="I164">
        <f t="shared" si="62"/>
        <v>0.03</v>
      </c>
      <c r="J164">
        <f t="shared" si="62"/>
        <v>0.02</v>
      </c>
      <c r="K164">
        <f t="shared" si="62"/>
        <v>0.03</v>
      </c>
      <c r="L164">
        <f t="shared" si="62"/>
        <v>0.03</v>
      </c>
      <c r="M164">
        <f t="shared" si="62"/>
        <v>0.03</v>
      </c>
      <c r="N164">
        <f t="shared" si="62"/>
        <v>3.0031692581955038E-2</v>
      </c>
      <c r="O164">
        <f t="shared" si="62"/>
        <v>3.0062889967317027E-2</v>
      </c>
      <c r="P164">
        <f t="shared" si="62"/>
        <v>3.0095077745865111E-2</v>
      </c>
      <c r="Q164">
        <f t="shared" si="62"/>
        <v>3.0126770327820147E-2</v>
      </c>
      <c r="R164">
        <f t="shared" si="62"/>
        <v>3.0157967713182136E-2</v>
      </c>
      <c r="S164">
        <f t="shared" si="62"/>
        <v>3.0190155491730226E-2</v>
      </c>
      <c r="T164">
        <f t="shared" si="62"/>
        <v>3.0221352877092208E-2</v>
      </c>
      <c r="U164">
        <f t="shared" si="62"/>
        <v>3.0252550262454197E-2</v>
      </c>
      <c r="V164">
        <f t="shared" si="62"/>
        <v>3.0285233237595331E-2</v>
      </c>
      <c r="W164">
        <f t="shared" si="62"/>
        <v>3.031643062295732E-2</v>
      </c>
      <c r="X164">
        <f t="shared" si="62"/>
        <v>3.0230761612360112E-2</v>
      </c>
      <c r="Y164">
        <f t="shared" si="62"/>
        <v>2.9986629691987721E-2</v>
      </c>
      <c r="Z164">
        <f t="shared" si="62"/>
        <v>2.974200257502229E-2</v>
      </c>
      <c r="AA164">
        <f t="shared" si="62"/>
        <v>2.9498365851242953E-2</v>
      </c>
      <c r="AB164">
        <f t="shared" si="62"/>
        <v>2.9254233930870566E-2</v>
      </c>
      <c r="AC164">
        <f t="shared" si="62"/>
        <v>2.9009111617312087E-2</v>
      </c>
      <c r="AD164">
        <f t="shared" si="62"/>
        <v>2.8765970090125791E-2</v>
      </c>
      <c r="AE164">
        <f t="shared" si="62"/>
        <v>2.8521838169753403E-2</v>
      </c>
      <c r="AF164">
        <f t="shared" si="62"/>
        <v>2.8277211052787962E-2</v>
      </c>
      <c r="AG164">
        <f t="shared" si="62"/>
        <v>2.8033079132415574E-2</v>
      </c>
      <c r="AH164">
        <f t="shared" si="62"/>
        <v>2.778944240863623E-2</v>
      </c>
      <c r="AI164">
        <f t="shared" si="62"/>
        <v>2.7544815291670799E-2</v>
      </c>
      <c r="AJ164">
        <f t="shared" si="62"/>
        <v>2.7300683371298408E-2</v>
      </c>
      <c r="AK164">
        <f t="shared" si="62"/>
        <v>2.7056551450926024E-2</v>
      </c>
      <c r="AL164">
        <f t="shared" si="62"/>
        <v>2.6812914727146687E-2</v>
      </c>
      <c r="AM164">
        <f t="shared" si="62"/>
        <v>2.6565811627216013E-2</v>
      </c>
      <c r="AN164">
        <f t="shared" si="62"/>
        <v>2.6319203723878387E-2</v>
      </c>
      <c r="AO164">
        <f t="shared" si="62"/>
        <v>2.6319203723878387E-2</v>
      </c>
      <c r="AP164">
        <f t="shared" si="62"/>
        <v>2.6319203723878387E-2</v>
      </c>
      <c r="AQ164">
        <f t="shared" si="62"/>
        <v>2.6319203723878387E-2</v>
      </c>
      <c r="AR164">
        <f t="shared" si="62"/>
        <v>2.6319203723878387E-2</v>
      </c>
      <c r="AS164">
        <f t="shared" si="62"/>
        <v>2.6319203723878387E-2</v>
      </c>
      <c r="AT164">
        <f t="shared" si="62"/>
        <v>2.6319203723878387E-2</v>
      </c>
      <c r="AU164">
        <f t="shared" si="62"/>
        <v>2.6319203723878387E-2</v>
      </c>
      <c r="AV164">
        <f t="shared" si="62"/>
        <v>2.6319203723878387E-2</v>
      </c>
      <c r="AW164">
        <f t="shared" si="62"/>
        <v>2.6319203723878387E-2</v>
      </c>
      <c r="AX164">
        <f t="shared" si="62"/>
        <v>2.6319203723878387E-2</v>
      </c>
      <c r="AY164">
        <f t="shared" si="62"/>
        <v>2.6319203723878387E-2</v>
      </c>
      <c r="AZ164">
        <f t="shared" si="62"/>
        <v>2.6319203723878387E-2</v>
      </c>
      <c r="BA164">
        <f t="shared" si="62"/>
        <v>2.6319203723878387E-2</v>
      </c>
      <c r="BB164">
        <f t="shared" si="62"/>
        <v>2.6319203723878387E-2</v>
      </c>
      <c r="BC164">
        <f t="shared" si="62"/>
        <v>2.6319203723878387E-2</v>
      </c>
      <c r="BD164">
        <f t="shared" si="62"/>
        <v>2.6319203723878387E-2</v>
      </c>
      <c r="BE164">
        <f t="shared" si="62"/>
        <v>2.6319203723878387E-2</v>
      </c>
      <c r="BF164">
        <f t="shared" si="62"/>
        <v>2.6319203723878387E-2</v>
      </c>
      <c r="BG164">
        <f t="shared" si="62"/>
        <v>2.6319203723878387E-2</v>
      </c>
      <c r="BH164">
        <f t="shared" si="62"/>
        <v>2.6319203723878387E-2</v>
      </c>
    </row>
    <row r="165" spans="2:60" hidden="1" outlineLevel="1">
      <c r="B165" t="s">
        <v>132</v>
      </c>
    </row>
    <row r="166" spans="2:60" hidden="1" outlineLevel="1">
      <c r="B166" t="s">
        <v>133</v>
      </c>
      <c r="C166">
        <f>C276</f>
        <v>5.15</v>
      </c>
      <c r="D166">
        <f t="shared" ref="D166:BH166" si="63">D276</f>
        <v>1.07</v>
      </c>
      <c r="E166">
        <f t="shared" si="63"/>
        <v>5.25</v>
      </c>
      <c r="F166">
        <f t="shared" si="63"/>
        <v>10.199999999999999</v>
      </c>
      <c r="G166">
        <f t="shared" si="63"/>
        <v>8.7899999999999991</v>
      </c>
      <c r="H166">
        <f t="shared" si="63"/>
        <v>2.64</v>
      </c>
      <c r="I166">
        <f t="shared" si="63"/>
        <v>4.12</v>
      </c>
      <c r="J166">
        <f t="shared" si="63"/>
        <v>4.13</v>
      </c>
      <c r="K166">
        <f t="shared" si="63"/>
        <v>5.0999999999999996</v>
      </c>
      <c r="L166">
        <f t="shared" si="63"/>
        <v>4.93</v>
      </c>
      <c r="M166">
        <f t="shared" si="63"/>
        <v>4.76</v>
      </c>
      <c r="N166">
        <f t="shared" si="63"/>
        <v>4.58</v>
      </c>
      <c r="O166">
        <f t="shared" si="63"/>
        <v>4.41</v>
      </c>
      <c r="P166">
        <f t="shared" si="63"/>
        <v>4.2300000000000004</v>
      </c>
      <c r="Q166">
        <f t="shared" si="63"/>
        <v>4.05</v>
      </c>
      <c r="R166">
        <f t="shared" si="63"/>
        <v>3.88</v>
      </c>
      <c r="S166">
        <f t="shared" si="63"/>
        <v>3.7</v>
      </c>
      <c r="T166">
        <f t="shared" si="63"/>
        <v>3.52</v>
      </c>
      <c r="U166">
        <f t="shared" si="63"/>
        <v>3.35</v>
      </c>
      <c r="V166">
        <f t="shared" si="63"/>
        <v>3.17</v>
      </c>
      <c r="W166">
        <f t="shared" si="63"/>
        <v>3</v>
      </c>
      <c r="X166">
        <f t="shared" si="63"/>
        <v>2.82</v>
      </c>
      <c r="Y166">
        <f t="shared" si="63"/>
        <v>2.64</v>
      </c>
      <c r="Z166">
        <f t="shared" si="63"/>
        <v>2.4700000000000002</v>
      </c>
      <c r="AA166">
        <f t="shared" si="63"/>
        <v>2.29</v>
      </c>
      <c r="AB166">
        <f t="shared" si="63"/>
        <v>2.11</v>
      </c>
      <c r="AC166">
        <f t="shared" si="63"/>
        <v>1.94</v>
      </c>
      <c r="AD166">
        <f t="shared" si="63"/>
        <v>1.76</v>
      </c>
      <c r="AE166">
        <f t="shared" si="63"/>
        <v>1.59</v>
      </c>
      <c r="AF166">
        <f t="shared" si="63"/>
        <v>1.41</v>
      </c>
      <c r="AG166">
        <f t="shared" si="63"/>
        <v>1.23</v>
      </c>
      <c r="AH166">
        <f t="shared" si="63"/>
        <v>1.06</v>
      </c>
      <c r="AI166">
        <f t="shared" si="63"/>
        <v>0.88</v>
      </c>
      <c r="AJ166">
        <f t="shared" si="63"/>
        <v>0.7</v>
      </c>
      <c r="AK166">
        <f t="shared" si="63"/>
        <v>0.53</v>
      </c>
      <c r="AL166">
        <f t="shared" si="63"/>
        <v>0.35</v>
      </c>
      <c r="AM166">
        <f t="shared" si="63"/>
        <v>0.18</v>
      </c>
      <c r="AN166">
        <f t="shared" si="63"/>
        <v>0</v>
      </c>
      <c r="AO166">
        <f t="shared" si="63"/>
        <v>0</v>
      </c>
      <c r="AP166">
        <f t="shared" si="63"/>
        <v>0</v>
      </c>
      <c r="AQ166">
        <f t="shared" si="63"/>
        <v>0</v>
      </c>
      <c r="AR166">
        <f t="shared" si="63"/>
        <v>0</v>
      </c>
      <c r="AS166">
        <f t="shared" si="63"/>
        <v>0</v>
      </c>
      <c r="AT166">
        <f t="shared" si="63"/>
        <v>0</v>
      </c>
      <c r="AU166">
        <f t="shared" si="63"/>
        <v>0</v>
      </c>
      <c r="AV166">
        <f t="shared" si="63"/>
        <v>0</v>
      </c>
      <c r="AW166">
        <f t="shared" si="63"/>
        <v>0</v>
      </c>
      <c r="AX166">
        <f t="shared" si="63"/>
        <v>0</v>
      </c>
      <c r="AY166">
        <f t="shared" si="63"/>
        <v>0</v>
      </c>
      <c r="AZ166">
        <f t="shared" si="63"/>
        <v>0</v>
      </c>
      <c r="BA166">
        <f t="shared" si="63"/>
        <v>0</v>
      </c>
      <c r="BB166">
        <f t="shared" si="63"/>
        <v>0</v>
      </c>
      <c r="BC166">
        <f t="shared" si="63"/>
        <v>0</v>
      </c>
      <c r="BD166">
        <f t="shared" si="63"/>
        <v>0</v>
      </c>
      <c r="BE166">
        <f t="shared" si="63"/>
        <v>0</v>
      </c>
      <c r="BF166">
        <f t="shared" si="63"/>
        <v>0</v>
      </c>
      <c r="BG166">
        <f t="shared" si="63"/>
        <v>0</v>
      </c>
      <c r="BH166">
        <f t="shared" si="63"/>
        <v>0</v>
      </c>
    </row>
    <row r="167" spans="2:60" hidden="1" outlineLevel="1">
      <c r="B167" t="s">
        <v>134</v>
      </c>
      <c r="C167">
        <f>0.5*C$280</f>
        <v>150.11500000000009</v>
      </c>
      <c r="D167">
        <f t="shared" ref="D167:BH167" si="64">0.5*D$280</f>
        <v>145.48500000000004</v>
      </c>
      <c r="E167">
        <f t="shared" si="64"/>
        <v>54.224999999999959</v>
      </c>
      <c r="F167">
        <f t="shared" si="64"/>
        <v>41.209999999999894</v>
      </c>
      <c r="G167">
        <f t="shared" si="64"/>
        <v>60.729999999999848</v>
      </c>
      <c r="H167">
        <f t="shared" si="64"/>
        <v>10.210000000000246</v>
      </c>
      <c r="I167">
        <f t="shared" si="64"/>
        <v>25.634999999999962</v>
      </c>
      <c r="J167">
        <f t="shared" si="64"/>
        <v>20.105000000000025</v>
      </c>
      <c r="K167">
        <f t="shared" si="64"/>
        <v>70.064999999999984</v>
      </c>
      <c r="L167">
        <f t="shared" si="64"/>
        <v>61.754811609229755</v>
      </c>
      <c r="M167">
        <f t="shared" si="64"/>
        <v>62.318280562629745</v>
      </c>
      <c r="N167">
        <f t="shared" si="64"/>
        <v>64.163270305508007</v>
      </c>
      <c r="O167">
        <f t="shared" si="64"/>
        <v>65.735558076267665</v>
      </c>
      <c r="P167">
        <f t="shared" si="64"/>
        <v>68.966450585431545</v>
      </c>
      <c r="Q167">
        <f t="shared" si="64"/>
        <v>73.958465595861171</v>
      </c>
      <c r="R167">
        <f t="shared" si="64"/>
        <v>76.111293019568535</v>
      </c>
      <c r="S167">
        <f t="shared" si="64"/>
        <v>76.267776045351752</v>
      </c>
      <c r="T167">
        <f t="shared" si="64"/>
        <v>76.26555734550243</v>
      </c>
      <c r="U167">
        <f t="shared" si="64"/>
        <v>76.08453489070763</v>
      </c>
      <c r="V167">
        <f t="shared" si="64"/>
        <v>75.70860846986568</v>
      </c>
      <c r="W167">
        <f t="shared" si="64"/>
        <v>75.157824147232787</v>
      </c>
      <c r="X167">
        <f t="shared" si="64"/>
        <v>74.235888363637798</v>
      </c>
      <c r="Y167">
        <f t="shared" si="64"/>
        <v>72.944190712203806</v>
      </c>
      <c r="Z167">
        <f t="shared" si="64"/>
        <v>71.284242444932545</v>
      </c>
      <c r="AA167">
        <f t="shared" si="64"/>
        <v>69.248776683824843</v>
      </c>
      <c r="AB167">
        <f t="shared" si="64"/>
        <v>67.218898825581022</v>
      </c>
      <c r="AC167">
        <f t="shared" si="64"/>
        <v>65.185998463325319</v>
      </c>
      <c r="AD167">
        <f t="shared" si="64"/>
        <v>63.147976442182696</v>
      </c>
      <c r="AE167">
        <f t="shared" si="64"/>
        <v>61.113275445899596</v>
      </c>
      <c r="AF167">
        <f t="shared" si="64"/>
        <v>59.082697164726781</v>
      </c>
      <c r="AG167">
        <f t="shared" si="64"/>
        <v>57.053928656407884</v>
      </c>
      <c r="AH167">
        <f t="shared" si="64"/>
        <v>55.00852723719585</v>
      </c>
      <c r="AI167">
        <f t="shared" si="64"/>
        <v>52.980691216840789</v>
      </c>
      <c r="AJ167">
        <f t="shared" si="64"/>
        <v>50.953955407588595</v>
      </c>
      <c r="AK167">
        <f t="shared" si="64"/>
        <v>48.909029371185504</v>
      </c>
      <c r="AL167">
        <f t="shared" si="64"/>
        <v>46.875959171882997</v>
      </c>
      <c r="AM167">
        <f t="shared" si="64"/>
        <v>44.83743186742565</v>
      </c>
      <c r="AN167">
        <f t="shared" si="64"/>
        <v>42.803606042120393</v>
      </c>
      <c r="AO167">
        <f t="shared" si="64"/>
        <v>42.803606042120393</v>
      </c>
      <c r="AP167">
        <f t="shared" si="64"/>
        <v>42.803606042120393</v>
      </c>
      <c r="AQ167">
        <f t="shared" si="64"/>
        <v>42.803606042120393</v>
      </c>
      <c r="AR167">
        <f t="shared" si="64"/>
        <v>42.803606042120393</v>
      </c>
      <c r="AS167">
        <f t="shared" si="64"/>
        <v>42.803606042120393</v>
      </c>
      <c r="AT167">
        <f t="shared" si="64"/>
        <v>42.803606042120393</v>
      </c>
      <c r="AU167">
        <f t="shared" si="64"/>
        <v>42.803606042120393</v>
      </c>
      <c r="AV167">
        <f t="shared" si="64"/>
        <v>42.803606042120393</v>
      </c>
      <c r="AW167">
        <f t="shared" si="64"/>
        <v>42.803606042120393</v>
      </c>
      <c r="AX167">
        <f t="shared" si="64"/>
        <v>42.803606042120393</v>
      </c>
      <c r="AY167">
        <f t="shared" si="64"/>
        <v>42.803606042120393</v>
      </c>
      <c r="AZ167">
        <f t="shared" si="64"/>
        <v>42.803606042120393</v>
      </c>
      <c r="BA167">
        <f t="shared" si="64"/>
        <v>42.803606042120393</v>
      </c>
      <c r="BB167">
        <f t="shared" si="64"/>
        <v>42.803606042120393</v>
      </c>
      <c r="BC167">
        <f t="shared" si="64"/>
        <v>42.803606042120393</v>
      </c>
      <c r="BD167">
        <f t="shared" si="64"/>
        <v>42.803606042120393</v>
      </c>
      <c r="BE167">
        <f t="shared" si="64"/>
        <v>42.803606042120393</v>
      </c>
      <c r="BF167">
        <f t="shared" si="64"/>
        <v>42.803606042120393</v>
      </c>
      <c r="BG167">
        <f t="shared" si="64"/>
        <v>42.803606042120393</v>
      </c>
      <c r="BH167">
        <f t="shared" si="64"/>
        <v>42.803606042120393</v>
      </c>
    </row>
    <row r="168" spans="2:60" hidden="1" outlineLevel="1">
      <c r="B168" t="s">
        <v>135</v>
      </c>
      <c r="C168">
        <f>C282+C285</f>
        <v>5.28</v>
      </c>
      <c r="D168">
        <f t="shared" ref="D168:BH168" si="65">D282+D285</f>
        <v>2.4500000000000002</v>
      </c>
      <c r="E168">
        <f t="shared" si="65"/>
        <v>3.7800000000000002</v>
      </c>
      <c r="F168">
        <f t="shared" si="65"/>
        <v>9.23</v>
      </c>
      <c r="G168">
        <f t="shared" si="65"/>
        <v>7.7</v>
      </c>
      <c r="H168">
        <f t="shared" si="65"/>
        <v>6.96</v>
      </c>
      <c r="I168">
        <f t="shared" si="65"/>
        <v>8.99</v>
      </c>
      <c r="J168">
        <f t="shared" si="65"/>
        <v>6.77</v>
      </c>
      <c r="K168">
        <f t="shared" si="65"/>
        <v>7.0500000000000007</v>
      </c>
      <c r="L168">
        <f t="shared" si="65"/>
        <v>7.07</v>
      </c>
      <c r="M168">
        <f t="shared" si="65"/>
        <v>7.15</v>
      </c>
      <c r="N168">
        <f t="shared" si="65"/>
        <v>7.22</v>
      </c>
      <c r="O168">
        <f t="shared" si="65"/>
        <v>7.29</v>
      </c>
      <c r="P168">
        <f t="shared" si="65"/>
        <v>7.38</v>
      </c>
      <c r="Q168">
        <f t="shared" si="65"/>
        <v>7.45</v>
      </c>
      <c r="R168">
        <f t="shared" si="65"/>
        <v>7.5200000000000005</v>
      </c>
      <c r="S168">
        <f t="shared" si="65"/>
        <v>7.61</v>
      </c>
      <c r="T168">
        <f t="shared" si="65"/>
        <v>7.68</v>
      </c>
      <c r="U168">
        <f t="shared" si="65"/>
        <v>7.75</v>
      </c>
      <c r="V168">
        <f t="shared" si="65"/>
        <v>7.84</v>
      </c>
      <c r="W168">
        <f t="shared" si="65"/>
        <v>7.91</v>
      </c>
      <c r="X168">
        <f t="shared" si="65"/>
        <v>7.98</v>
      </c>
      <c r="Y168">
        <f t="shared" si="65"/>
        <v>8.06</v>
      </c>
      <c r="Z168">
        <f t="shared" si="65"/>
        <v>8.14</v>
      </c>
      <c r="AA168">
        <f t="shared" si="65"/>
        <v>8.2099999999999991</v>
      </c>
      <c r="AB168">
        <f t="shared" si="65"/>
        <v>8.2799999999999994</v>
      </c>
      <c r="AC168">
        <f t="shared" si="65"/>
        <v>8.3699999999999992</v>
      </c>
      <c r="AD168">
        <f t="shared" si="65"/>
        <v>8.44</v>
      </c>
      <c r="AE168">
        <f t="shared" si="65"/>
        <v>8.51</v>
      </c>
      <c r="AF168">
        <f t="shared" si="65"/>
        <v>8.6000000000000014</v>
      </c>
      <c r="AG168">
        <f t="shared" si="65"/>
        <v>8.67</v>
      </c>
      <c r="AH168">
        <f t="shared" si="65"/>
        <v>8.74</v>
      </c>
      <c r="AI168">
        <f t="shared" si="65"/>
        <v>8.82</v>
      </c>
      <c r="AJ168">
        <f t="shared" si="65"/>
        <v>8.9</v>
      </c>
      <c r="AK168">
        <f t="shared" si="65"/>
        <v>8.9700000000000006</v>
      </c>
      <c r="AL168">
        <f t="shared" si="65"/>
        <v>9.0500000000000007</v>
      </c>
      <c r="AM168">
        <f t="shared" si="65"/>
        <v>9.1300000000000008</v>
      </c>
      <c r="AN168">
        <f t="shared" si="65"/>
        <v>9.1999999999999993</v>
      </c>
      <c r="AO168">
        <f t="shared" si="65"/>
        <v>9.1999999999999993</v>
      </c>
      <c r="AP168">
        <f t="shared" si="65"/>
        <v>9.1999999999999993</v>
      </c>
      <c r="AQ168">
        <f t="shared" si="65"/>
        <v>9.1999999999999993</v>
      </c>
      <c r="AR168">
        <f t="shared" si="65"/>
        <v>9.1999999999999993</v>
      </c>
      <c r="AS168">
        <f t="shared" si="65"/>
        <v>9.1999999999999993</v>
      </c>
      <c r="AT168">
        <f t="shared" si="65"/>
        <v>9.1999999999999993</v>
      </c>
      <c r="AU168">
        <f t="shared" si="65"/>
        <v>9.1999999999999993</v>
      </c>
      <c r="AV168">
        <f t="shared" si="65"/>
        <v>9.1999999999999993</v>
      </c>
      <c r="AW168">
        <f t="shared" si="65"/>
        <v>9.1999999999999993</v>
      </c>
      <c r="AX168">
        <f t="shared" si="65"/>
        <v>9.1999999999999993</v>
      </c>
      <c r="AY168">
        <f t="shared" si="65"/>
        <v>9.1999999999999993</v>
      </c>
      <c r="AZ168">
        <f t="shared" si="65"/>
        <v>9.1999999999999993</v>
      </c>
      <c r="BA168">
        <f t="shared" si="65"/>
        <v>9.1999999999999993</v>
      </c>
      <c r="BB168">
        <f t="shared" si="65"/>
        <v>9.1999999999999993</v>
      </c>
      <c r="BC168">
        <f t="shared" si="65"/>
        <v>9.1999999999999993</v>
      </c>
      <c r="BD168">
        <f t="shared" si="65"/>
        <v>9.1999999999999993</v>
      </c>
      <c r="BE168">
        <f t="shared" si="65"/>
        <v>9.1999999999999993</v>
      </c>
      <c r="BF168">
        <f t="shared" si="65"/>
        <v>9.1999999999999993</v>
      </c>
      <c r="BG168">
        <f t="shared" si="65"/>
        <v>9.1999999999999993</v>
      </c>
      <c r="BH168">
        <f t="shared" si="65"/>
        <v>9.1999999999999993</v>
      </c>
    </row>
    <row r="169" spans="2:60" hidden="1" outlineLevel="1">
      <c r="B169" t="s">
        <v>136</v>
      </c>
      <c r="C169">
        <f>C291</f>
        <v>0.51</v>
      </c>
      <c r="D169">
        <f t="shared" ref="D169:BH169" si="66">D291</f>
        <v>0.48</v>
      </c>
      <c r="E169">
        <f t="shared" si="66"/>
        <v>0.71</v>
      </c>
      <c r="F169">
        <f t="shared" si="66"/>
        <v>0.91</v>
      </c>
      <c r="G169">
        <f t="shared" si="66"/>
        <v>0.9</v>
      </c>
      <c r="H169">
        <f t="shared" si="66"/>
        <v>0.27</v>
      </c>
      <c r="I169">
        <f t="shared" si="66"/>
        <v>0.42</v>
      </c>
      <c r="J169">
        <f t="shared" si="66"/>
        <v>0.42</v>
      </c>
      <c r="K169">
        <f t="shared" si="66"/>
        <v>0.52</v>
      </c>
      <c r="L169">
        <f t="shared" si="66"/>
        <v>0.5</v>
      </c>
      <c r="M169">
        <f t="shared" si="66"/>
        <v>0.49</v>
      </c>
      <c r="N169">
        <f t="shared" si="66"/>
        <v>0.47</v>
      </c>
      <c r="O169">
        <f t="shared" si="66"/>
        <v>0.45</v>
      </c>
      <c r="P169">
        <f t="shared" si="66"/>
        <v>0.43</v>
      </c>
      <c r="Q169">
        <f t="shared" si="66"/>
        <v>0.41</v>
      </c>
      <c r="R169">
        <f t="shared" si="66"/>
        <v>0.4</v>
      </c>
      <c r="S169">
        <f t="shared" si="66"/>
        <v>0.38</v>
      </c>
      <c r="T169">
        <f t="shared" si="66"/>
        <v>0.36</v>
      </c>
      <c r="U169">
        <f t="shared" si="66"/>
        <v>0.34</v>
      </c>
      <c r="V169">
        <f t="shared" si="66"/>
        <v>0.32</v>
      </c>
      <c r="W169">
        <f t="shared" si="66"/>
        <v>0.31</v>
      </c>
      <c r="X169">
        <f t="shared" si="66"/>
        <v>0.28999999999999998</v>
      </c>
      <c r="Y169">
        <f t="shared" si="66"/>
        <v>0.27</v>
      </c>
      <c r="Z169">
        <f t="shared" si="66"/>
        <v>0.25</v>
      </c>
      <c r="AA169">
        <f t="shared" si="66"/>
        <v>0.23</v>
      </c>
      <c r="AB169">
        <f t="shared" si="66"/>
        <v>0.22</v>
      </c>
      <c r="AC169">
        <f t="shared" si="66"/>
        <v>0.2</v>
      </c>
      <c r="AD169">
        <f t="shared" si="66"/>
        <v>0.18</v>
      </c>
      <c r="AE169">
        <f t="shared" si="66"/>
        <v>0.16</v>
      </c>
      <c r="AF169">
        <f t="shared" si="66"/>
        <v>0.14000000000000001</v>
      </c>
      <c r="AG169">
        <f t="shared" si="66"/>
        <v>0.13</v>
      </c>
      <c r="AH169">
        <f t="shared" si="66"/>
        <v>0.11</v>
      </c>
      <c r="AI169">
        <f t="shared" si="66"/>
        <v>0.09</v>
      </c>
      <c r="AJ169">
        <f t="shared" si="66"/>
        <v>7.0000000000000007E-2</v>
      </c>
      <c r="AK169">
        <f t="shared" si="66"/>
        <v>0.05</v>
      </c>
      <c r="AL169">
        <f t="shared" si="66"/>
        <v>0.04</v>
      </c>
      <c r="AM169">
        <f t="shared" si="66"/>
        <v>0.02</v>
      </c>
      <c r="AN169">
        <f t="shared" si="66"/>
        <v>0</v>
      </c>
      <c r="AO169">
        <f t="shared" si="66"/>
        <v>0</v>
      </c>
      <c r="AP169">
        <f t="shared" si="66"/>
        <v>0</v>
      </c>
      <c r="AQ169">
        <f t="shared" si="66"/>
        <v>0</v>
      </c>
      <c r="AR169">
        <f t="shared" si="66"/>
        <v>0</v>
      </c>
      <c r="AS169">
        <f t="shared" si="66"/>
        <v>0</v>
      </c>
      <c r="AT169">
        <f t="shared" si="66"/>
        <v>0</v>
      </c>
      <c r="AU169">
        <f t="shared" si="66"/>
        <v>0</v>
      </c>
      <c r="AV169">
        <f t="shared" si="66"/>
        <v>0</v>
      </c>
      <c r="AW169">
        <f t="shared" si="66"/>
        <v>0</v>
      </c>
      <c r="AX169">
        <f t="shared" si="66"/>
        <v>0</v>
      </c>
      <c r="AY169">
        <f t="shared" si="66"/>
        <v>0</v>
      </c>
      <c r="AZ169">
        <f t="shared" si="66"/>
        <v>0</v>
      </c>
      <c r="BA169">
        <f t="shared" si="66"/>
        <v>0</v>
      </c>
      <c r="BB169">
        <f t="shared" si="66"/>
        <v>0</v>
      </c>
      <c r="BC169">
        <f t="shared" si="66"/>
        <v>0</v>
      </c>
      <c r="BD169">
        <f t="shared" si="66"/>
        <v>0</v>
      </c>
      <c r="BE169">
        <f t="shared" si="66"/>
        <v>0</v>
      </c>
      <c r="BF169">
        <f t="shared" si="66"/>
        <v>0</v>
      </c>
      <c r="BG169">
        <f t="shared" si="66"/>
        <v>0</v>
      </c>
      <c r="BH169">
        <f t="shared" si="66"/>
        <v>0</v>
      </c>
    </row>
    <row r="170" spans="2:60" hidden="1" outlineLevel="1">
      <c r="B170" t="s">
        <v>137</v>
      </c>
      <c r="C170">
        <f>C295+C298</f>
        <v>2.34</v>
      </c>
      <c r="D170">
        <f t="shared" ref="D170:BH170" si="67">D295+D298</f>
        <v>1.54</v>
      </c>
      <c r="E170">
        <f t="shared" si="67"/>
        <v>1.07</v>
      </c>
      <c r="F170">
        <f t="shared" si="67"/>
        <v>0.71</v>
      </c>
      <c r="G170">
        <f t="shared" si="67"/>
        <v>0.47000000000000003</v>
      </c>
      <c r="H170">
        <f t="shared" si="67"/>
        <v>0.15000000000000002</v>
      </c>
      <c r="I170">
        <f t="shared" si="67"/>
        <v>0.23</v>
      </c>
      <c r="J170">
        <f t="shared" si="67"/>
        <v>0.23</v>
      </c>
      <c r="K170">
        <f t="shared" si="67"/>
        <v>0.28000000000000003</v>
      </c>
      <c r="L170">
        <f t="shared" si="67"/>
        <v>0.27</v>
      </c>
      <c r="M170">
        <f t="shared" si="67"/>
        <v>0.26</v>
      </c>
      <c r="N170">
        <f t="shared" si="67"/>
        <v>0.25</v>
      </c>
      <c r="O170">
        <f t="shared" si="67"/>
        <v>0.24000000000000002</v>
      </c>
      <c r="P170">
        <f t="shared" si="67"/>
        <v>0.23</v>
      </c>
      <c r="Q170">
        <f t="shared" si="67"/>
        <v>0.22</v>
      </c>
      <c r="R170">
        <f t="shared" si="67"/>
        <v>0.22</v>
      </c>
      <c r="S170">
        <f t="shared" si="67"/>
        <v>0.21000000000000002</v>
      </c>
      <c r="T170">
        <f t="shared" si="67"/>
        <v>0.2</v>
      </c>
      <c r="U170">
        <f t="shared" si="67"/>
        <v>0.19</v>
      </c>
      <c r="V170">
        <f t="shared" si="67"/>
        <v>0.18000000000000002</v>
      </c>
      <c r="W170">
        <f t="shared" si="67"/>
        <v>0.17</v>
      </c>
      <c r="X170">
        <f t="shared" si="67"/>
        <v>0.16</v>
      </c>
      <c r="Y170">
        <f t="shared" si="67"/>
        <v>0.15000000000000002</v>
      </c>
      <c r="Z170">
        <f t="shared" si="67"/>
        <v>0.14000000000000001</v>
      </c>
      <c r="AA170">
        <f t="shared" si="67"/>
        <v>0.13</v>
      </c>
      <c r="AB170">
        <f t="shared" si="67"/>
        <v>0.12</v>
      </c>
      <c r="AC170">
        <f t="shared" si="67"/>
        <v>0.11</v>
      </c>
      <c r="AD170">
        <f t="shared" si="67"/>
        <v>9.9999999999999992E-2</v>
      </c>
      <c r="AE170">
        <f t="shared" si="67"/>
        <v>0.09</v>
      </c>
      <c r="AF170">
        <f t="shared" si="67"/>
        <v>0.08</v>
      </c>
      <c r="AG170">
        <f t="shared" si="67"/>
        <v>0.08</v>
      </c>
      <c r="AH170">
        <f t="shared" si="67"/>
        <v>6.9999999999999993E-2</v>
      </c>
      <c r="AI170">
        <f t="shared" si="67"/>
        <v>7.0000000000000007E-2</v>
      </c>
      <c r="AJ170">
        <f t="shared" si="67"/>
        <v>0.06</v>
      </c>
      <c r="AK170">
        <f t="shared" si="67"/>
        <v>0.05</v>
      </c>
      <c r="AL170">
        <f t="shared" si="67"/>
        <v>0.04</v>
      </c>
      <c r="AM170">
        <f t="shared" si="67"/>
        <v>0.03</v>
      </c>
      <c r="AN170">
        <f t="shared" si="67"/>
        <v>0.02</v>
      </c>
      <c r="AO170">
        <f t="shared" si="67"/>
        <v>0.02</v>
      </c>
      <c r="AP170">
        <f t="shared" si="67"/>
        <v>0.02</v>
      </c>
      <c r="AQ170">
        <f t="shared" si="67"/>
        <v>0.02</v>
      </c>
      <c r="AR170">
        <f t="shared" si="67"/>
        <v>0.02</v>
      </c>
      <c r="AS170">
        <f t="shared" si="67"/>
        <v>0.02</v>
      </c>
      <c r="AT170">
        <f t="shared" si="67"/>
        <v>0.02</v>
      </c>
      <c r="AU170">
        <f t="shared" si="67"/>
        <v>0.02</v>
      </c>
      <c r="AV170">
        <f t="shared" si="67"/>
        <v>0.02</v>
      </c>
      <c r="AW170">
        <f t="shared" si="67"/>
        <v>0.02</v>
      </c>
      <c r="AX170">
        <f t="shared" si="67"/>
        <v>0.02</v>
      </c>
      <c r="AY170">
        <f t="shared" si="67"/>
        <v>0.02</v>
      </c>
      <c r="AZ170">
        <f t="shared" si="67"/>
        <v>0.02</v>
      </c>
      <c r="BA170">
        <f t="shared" si="67"/>
        <v>0.02</v>
      </c>
      <c r="BB170">
        <f t="shared" si="67"/>
        <v>0.02</v>
      </c>
      <c r="BC170">
        <f t="shared" si="67"/>
        <v>0.02</v>
      </c>
      <c r="BD170">
        <f t="shared" si="67"/>
        <v>0.02</v>
      </c>
      <c r="BE170">
        <f t="shared" si="67"/>
        <v>0.02</v>
      </c>
      <c r="BF170">
        <f t="shared" si="67"/>
        <v>0.02</v>
      </c>
      <c r="BG170">
        <f t="shared" si="67"/>
        <v>0.02</v>
      </c>
      <c r="BH170">
        <f t="shared" si="67"/>
        <v>0.02</v>
      </c>
    </row>
    <row r="171" spans="2:60" hidden="1" outlineLevel="1">
      <c r="B171" t="s">
        <v>138</v>
      </c>
      <c r="C171">
        <f>C303+C305</f>
        <v>102.47999999999999</v>
      </c>
      <c r="D171">
        <f t="shared" ref="D171:BH171" si="68">D303+D305</f>
        <v>110.48</v>
      </c>
      <c r="E171">
        <f t="shared" si="68"/>
        <v>122.35</v>
      </c>
      <c r="F171">
        <f t="shared" si="68"/>
        <v>126.24</v>
      </c>
      <c r="G171">
        <f t="shared" si="68"/>
        <v>121.69</v>
      </c>
      <c r="H171">
        <f t="shared" si="68"/>
        <v>117.28</v>
      </c>
      <c r="I171">
        <f t="shared" si="68"/>
        <v>112.71000000000001</v>
      </c>
      <c r="J171">
        <f t="shared" si="68"/>
        <v>109.24000000000001</v>
      </c>
      <c r="K171">
        <f t="shared" si="68"/>
        <v>109.84</v>
      </c>
      <c r="L171">
        <f t="shared" si="68"/>
        <v>111.03</v>
      </c>
      <c r="M171">
        <f t="shared" si="68"/>
        <v>113.33</v>
      </c>
      <c r="N171">
        <f t="shared" si="68"/>
        <v>115.64</v>
      </c>
      <c r="O171">
        <f t="shared" si="68"/>
        <v>117.95</v>
      </c>
      <c r="P171">
        <f t="shared" si="68"/>
        <v>120.25</v>
      </c>
      <c r="Q171">
        <f t="shared" si="68"/>
        <v>122.56</v>
      </c>
      <c r="R171">
        <f t="shared" si="68"/>
        <v>124.86</v>
      </c>
      <c r="S171">
        <f t="shared" si="68"/>
        <v>127.17</v>
      </c>
      <c r="T171">
        <f t="shared" si="68"/>
        <v>129.47</v>
      </c>
      <c r="U171">
        <f t="shared" si="68"/>
        <v>131.78</v>
      </c>
      <c r="V171">
        <f t="shared" si="68"/>
        <v>134.09</v>
      </c>
      <c r="W171">
        <f t="shared" si="68"/>
        <v>136.38999999999999</v>
      </c>
      <c r="X171">
        <f t="shared" si="68"/>
        <v>138.70000000000002</v>
      </c>
      <c r="Y171">
        <f t="shared" si="68"/>
        <v>141</v>
      </c>
      <c r="Z171">
        <f t="shared" si="68"/>
        <v>143.30000000000001</v>
      </c>
      <c r="AA171">
        <f t="shared" si="68"/>
        <v>145.6</v>
      </c>
      <c r="AB171">
        <f t="shared" si="68"/>
        <v>147.91</v>
      </c>
      <c r="AC171">
        <f t="shared" si="68"/>
        <v>150.22</v>
      </c>
      <c r="AD171">
        <f t="shared" si="68"/>
        <v>152.52000000000001</v>
      </c>
      <c r="AE171">
        <f t="shared" si="68"/>
        <v>154.83000000000001</v>
      </c>
      <c r="AF171">
        <f t="shared" si="68"/>
        <v>157.13</v>
      </c>
      <c r="AG171">
        <f t="shared" si="68"/>
        <v>159.44</v>
      </c>
      <c r="AH171">
        <f t="shared" si="68"/>
        <v>161.75</v>
      </c>
      <c r="AI171">
        <f t="shared" si="68"/>
        <v>164.05</v>
      </c>
      <c r="AJ171">
        <f t="shared" si="68"/>
        <v>166.36</v>
      </c>
      <c r="AK171">
        <f t="shared" si="68"/>
        <v>168.66</v>
      </c>
      <c r="AL171">
        <f t="shared" si="68"/>
        <v>170.97</v>
      </c>
      <c r="AM171">
        <f t="shared" si="68"/>
        <v>173.26999999999998</v>
      </c>
      <c r="AN171">
        <f t="shared" si="68"/>
        <v>175.58</v>
      </c>
      <c r="AO171">
        <f t="shared" si="68"/>
        <v>175.58</v>
      </c>
      <c r="AP171">
        <f t="shared" si="68"/>
        <v>175.58</v>
      </c>
      <c r="AQ171">
        <f t="shared" si="68"/>
        <v>175.58</v>
      </c>
      <c r="AR171">
        <f t="shared" si="68"/>
        <v>175.58</v>
      </c>
      <c r="AS171">
        <f t="shared" si="68"/>
        <v>175.58</v>
      </c>
      <c r="AT171">
        <f t="shared" si="68"/>
        <v>175.58</v>
      </c>
      <c r="AU171">
        <f t="shared" si="68"/>
        <v>175.58</v>
      </c>
      <c r="AV171">
        <f t="shared" si="68"/>
        <v>175.58</v>
      </c>
      <c r="AW171">
        <f t="shared" si="68"/>
        <v>175.58</v>
      </c>
      <c r="AX171">
        <f t="shared" si="68"/>
        <v>175.58</v>
      </c>
      <c r="AY171">
        <f t="shared" si="68"/>
        <v>175.58</v>
      </c>
      <c r="AZ171">
        <f t="shared" si="68"/>
        <v>175.58</v>
      </c>
      <c r="BA171">
        <f t="shared" si="68"/>
        <v>175.58</v>
      </c>
      <c r="BB171">
        <f t="shared" si="68"/>
        <v>175.58</v>
      </c>
      <c r="BC171">
        <f t="shared" si="68"/>
        <v>175.58</v>
      </c>
      <c r="BD171">
        <f t="shared" si="68"/>
        <v>175.58</v>
      </c>
      <c r="BE171">
        <f t="shared" si="68"/>
        <v>175.58</v>
      </c>
      <c r="BF171">
        <f t="shared" si="68"/>
        <v>175.58</v>
      </c>
      <c r="BG171">
        <f t="shared" si="68"/>
        <v>175.58</v>
      </c>
      <c r="BH171">
        <f t="shared" si="68"/>
        <v>175.58</v>
      </c>
    </row>
    <row r="172" spans="2:60" hidden="1" outlineLevel="1">
      <c r="B172" t="s">
        <v>139</v>
      </c>
      <c r="C172">
        <f>C310+C313</f>
        <v>5.1899999999999995</v>
      </c>
      <c r="D172">
        <f t="shared" ref="D172:BH172" si="69">D310+D313</f>
        <v>2.72</v>
      </c>
      <c r="E172">
        <f t="shared" si="69"/>
        <v>3.52</v>
      </c>
      <c r="F172">
        <f t="shared" si="69"/>
        <v>3.71</v>
      </c>
      <c r="G172">
        <f t="shared" si="69"/>
        <v>4.71</v>
      </c>
      <c r="H172">
        <f t="shared" si="69"/>
        <v>4.54</v>
      </c>
      <c r="I172">
        <f t="shared" si="69"/>
        <v>3.2600000000000002</v>
      </c>
      <c r="J172">
        <f t="shared" si="69"/>
        <v>2.4899999999999998</v>
      </c>
      <c r="K172">
        <f t="shared" si="69"/>
        <v>2.69</v>
      </c>
      <c r="L172">
        <f t="shared" si="69"/>
        <v>2.6799999999999997</v>
      </c>
      <c r="M172">
        <f t="shared" si="69"/>
        <v>2.6799999999999997</v>
      </c>
      <c r="N172">
        <f t="shared" si="69"/>
        <v>2.68</v>
      </c>
      <c r="O172">
        <f t="shared" si="69"/>
        <v>2.68</v>
      </c>
      <c r="P172">
        <f t="shared" si="69"/>
        <v>2.68</v>
      </c>
      <c r="Q172">
        <f t="shared" si="69"/>
        <v>2.68</v>
      </c>
      <c r="R172">
        <f t="shared" si="69"/>
        <v>2.69</v>
      </c>
      <c r="S172">
        <f t="shared" si="69"/>
        <v>2.6799999999999997</v>
      </c>
      <c r="T172">
        <f t="shared" si="69"/>
        <v>2.6799999999999997</v>
      </c>
      <c r="U172">
        <f t="shared" si="69"/>
        <v>2.6799999999999997</v>
      </c>
      <c r="V172">
        <f t="shared" si="69"/>
        <v>2.6799999999999997</v>
      </c>
      <c r="W172">
        <f t="shared" si="69"/>
        <v>2.69</v>
      </c>
      <c r="X172">
        <f t="shared" si="69"/>
        <v>2.68</v>
      </c>
      <c r="Y172">
        <f t="shared" si="69"/>
        <v>2.6900000000000004</v>
      </c>
      <c r="Z172">
        <f t="shared" si="69"/>
        <v>2.6799999999999997</v>
      </c>
      <c r="AA172">
        <f t="shared" si="69"/>
        <v>2.69</v>
      </c>
      <c r="AB172">
        <f t="shared" si="69"/>
        <v>2.69</v>
      </c>
      <c r="AC172">
        <f t="shared" si="69"/>
        <v>2.69</v>
      </c>
      <c r="AD172">
        <f t="shared" si="69"/>
        <v>2.69</v>
      </c>
      <c r="AE172">
        <f t="shared" si="69"/>
        <v>2.6999999999999997</v>
      </c>
      <c r="AF172">
        <f t="shared" si="69"/>
        <v>2.6900000000000004</v>
      </c>
      <c r="AG172">
        <f t="shared" si="69"/>
        <v>2.7</v>
      </c>
      <c r="AH172">
        <f t="shared" si="69"/>
        <v>2.69</v>
      </c>
      <c r="AI172">
        <f t="shared" si="69"/>
        <v>2.7</v>
      </c>
      <c r="AJ172">
        <f t="shared" si="69"/>
        <v>2.7</v>
      </c>
      <c r="AK172">
        <f t="shared" si="69"/>
        <v>2.6999999999999997</v>
      </c>
      <c r="AL172">
        <f t="shared" si="69"/>
        <v>2.6999999999999997</v>
      </c>
      <c r="AM172">
        <f t="shared" si="69"/>
        <v>2.7</v>
      </c>
      <c r="AN172">
        <f t="shared" si="69"/>
        <v>2.7</v>
      </c>
      <c r="AO172">
        <f t="shared" si="69"/>
        <v>2.7</v>
      </c>
      <c r="AP172">
        <f t="shared" si="69"/>
        <v>2.7</v>
      </c>
      <c r="AQ172">
        <f t="shared" si="69"/>
        <v>2.7</v>
      </c>
      <c r="AR172">
        <f t="shared" si="69"/>
        <v>2.7</v>
      </c>
      <c r="AS172">
        <f t="shared" si="69"/>
        <v>2.7</v>
      </c>
      <c r="AT172">
        <f t="shared" si="69"/>
        <v>2.7</v>
      </c>
      <c r="AU172">
        <f t="shared" si="69"/>
        <v>2.7</v>
      </c>
      <c r="AV172">
        <f t="shared" si="69"/>
        <v>2.7</v>
      </c>
      <c r="AW172">
        <f t="shared" si="69"/>
        <v>2.7</v>
      </c>
      <c r="AX172">
        <f t="shared" si="69"/>
        <v>2.7</v>
      </c>
      <c r="AY172">
        <f t="shared" si="69"/>
        <v>2.7</v>
      </c>
      <c r="AZ172">
        <f t="shared" si="69"/>
        <v>2.7</v>
      </c>
      <c r="BA172">
        <f t="shared" si="69"/>
        <v>2.7</v>
      </c>
      <c r="BB172">
        <f t="shared" si="69"/>
        <v>2.7</v>
      </c>
      <c r="BC172">
        <f t="shared" si="69"/>
        <v>2.7</v>
      </c>
      <c r="BD172">
        <f t="shared" si="69"/>
        <v>2.7</v>
      </c>
      <c r="BE172">
        <f t="shared" si="69"/>
        <v>2.7</v>
      </c>
      <c r="BF172">
        <f t="shared" si="69"/>
        <v>2.7</v>
      </c>
      <c r="BG172">
        <f t="shared" si="69"/>
        <v>2.7</v>
      </c>
      <c r="BH172">
        <f t="shared" si="69"/>
        <v>2.7</v>
      </c>
    </row>
    <row r="173" spans="2:60" hidden="1" outlineLevel="1">
      <c r="B173" t="s">
        <v>140</v>
      </c>
    </row>
    <row r="174" spans="2:60" hidden="1" outlineLevel="1">
      <c r="B174" t="s">
        <v>141</v>
      </c>
    </row>
    <row r="175" spans="2:60" hidden="1" outlineLevel="1">
      <c r="B175" t="s">
        <v>142</v>
      </c>
      <c r="C175">
        <f>C319</f>
        <v>0.01</v>
      </c>
      <c r="D175">
        <f t="shared" ref="D175:BH175" si="70">D319</f>
        <v>0.01</v>
      </c>
      <c r="E175">
        <f t="shared" si="70"/>
        <v>0.01</v>
      </c>
      <c r="F175">
        <f t="shared" si="70"/>
        <v>0.01</v>
      </c>
      <c r="G175">
        <f t="shared" si="70"/>
        <v>0.01</v>
      </c>
      <c r="H175">
        <f t="shared" si="70"/>
        <v>0.01</v>
      </c>
      <c r="I175">
        <f t="shared" si="70"/>
        <v>0.01</v>
      </c>
      <c r="J175">
        <f t="shared" si="70"/>
        <v>0.01</v>
      </c>
      <c r="K175">
        <f t="shared" si="70"/>
        <v>0.01</v>
      </c>
      <c r="L175">
        <f t="shared" si="70"/>
        <v>0.02</v>
      </c>
      <c r="M175">
        <f t="shared" si="70"/>
        <v>0.02</v>
      </c>
      <c r="N175">
        <f t="shared" si="70"/>
        <v>2.0021128387970027E-2</v>
      </c>
      <c r="O175">
        <f t="shared" si="70"/>
        <v>2.0041926644878021E-2</v>
      </c>
      <c r="P175">
        <f t="shared" si="70"/>
        <v>2.0063385163910076E-2</v>
      </c>
      <c r="Q175">
        <f t="shared" si="70"/>
        <v>2.0084513551880099E-2</v>
      </c>
      <c r="R175">
        <f t="shared" si="70"/>
        <v>2.0105311808788089E-2</v>
      </c>
      <c r="S175">
        <f t="shared" si="70"/>
        <v>2.0126770327820148E-2</v>
      </c>
      <c r="T175">
        <f t="shared" si="70"/>
        <v>2.0147568584728135E-2</v>
      </c>
      <c r="U175">
        <f t="shared" si="70"/>
        <v>2.0168366841636125E-2</v>
      </c>
      <c r="V175">
        <f t="shared" si="70"/>
        <v>2.0190155491730217E-2</v>
      </c>
      <c r="W175">
        <f t="shared" si="70"/>
        <v>2.0210953748638211E-2</v>
      </c>
      <c r="X175">
        <f t="shared" si="70"/>
        <v>2.0153841074906739E-2</v>
      </c>
      <c r="Y175">
        <f t="shared" si="70"/>
        <v>1.9991086461325146E-2</v>
      </c>
      <c r="Z175">
        <f t="shared" si="70"/>
        <v>1.9828001716681528E-2</v>
      </c>
      <c r="AA175">
        <f t="shared" si="70"/>
        <v>1.9665577234161968E-2</v>
      </c>
      <c r="AB175">
        <f t="shared" si="70"/>
        <v>1.9502822620580375E-2</v>
      </c>
      <c r="AC175">
        <f t="shared" si="70"/>
        <v>1.9339407744874724E-2</v>
      </c>
      <c r="AD175">
        <f t="shared" si="70"/>
        <v>1.9177313393417193E-2</v>
      </c>
      <c r="AE175">
        <f t="shared" si="70"/>
        <v>1.90145587798356E-2</v>
      </c>
      <c r="AF175">
        <f t="shared" si="70"/>
        <v>1.8851474035191974E-2</v>
      </c>
      <c r="AG175">
        <f t="shared" si="70"/>
        <v>1.8688719421610385E-2</v>
      </c>
      <c r="AH175">
        <f t="shared" si="70"/>
        <v>1.8526294939090825E-2</v>
      </c>
      <c r="AI175">
        <f t="shared" si="70"/>
        <v>1.8363210194447203E-2</v>
      </c>
      <c r="AJ175">
        <f t="shared" si="70"/>
        <v>1.8200455580865606E-2</v>
      </c>
      <c r="AK175">
        <f t="shared" si="70"/>
        <v>1.8037700967284014E-2</v>
      </c>
      <c r="AL175">
        <f t="shared" si="70"/>
        <v>1.7875276484764457E-2</v>
      </c>
      <c r="AM175">
        <f t="shared" si="70"/>
        <v>1.7710541084810676E-2</v>
      </c>
      <c r="AN175">
        <f t="shared" si="70"/>
        <v>1.7546135815918924E-2</v>
      </c>
      <c r="AO175">
        <f t="shared" si="70"/>
        <v>1.7546135815918924E-2</v>
      </c>
      <c r="AP175">
        <f t="shared" si="70"/>
        <v>1.7546135815918924E-2</v>
      </c>
      <c r="AQ175">
        <f t="shared" si="70"/>
        <v>1.7546135815918924E-2</v>
      </c>
      <c r="AR175">
        <f t="shared" si="70"/>
        <v>1.7546135815918924E-2</v>
      </c>
      <c r="AS175">
        <f t="shared" si="70"/>
        <v>1.7546135815918924E-2</v>
      </c>
      <c r="AT175">
        <f t="shared" si="70"/>
        <v>1.7546135815918924E-2</v>
      </c>
      <c r="AU175">
        <f t="shared" si="70"/>
        <v>1.7546135815918924E-2</v>
      </c>
      <c r="AV175">
        <f t="shared" si="70"/>
        <v>1.7546135815918924E-2</v>
      </c>
      <c r="AW175">
        <f t="shared" si="70"/>
        <v>1.7546135815918924E-2</v>
      </c>
      <c r="AX175">
        <f t="shared" si="70"/>
        <v>1.7546135815918924E-2</v>
      </c>
      <c r="AY175">
        <f t="shared" si="70"/>
        <v>1.7546135815918924E-2</v>
      </c>
      <c r="AZ175">
        <f t="shared" si="70"/>
        <v>1.7546135815918924E-2</v>
      </c>
      <c r="BA175">
        <f t="shared" si="70"/>
        <v>1.7546135815918924E-2</v>
      </c>
      <c r="BB175">
        <f t="shared" si="70"/>
        <v>1.7546135815918924E-2</v>
      </c>
      <c r="BC175">
        <f t="shared" si="70"/>
        <v>1.7546135815918924E-2</v>
      </c>
      <c r="BD175">
        <f t="shared" si="70"/>
        <v>1.7546135815918924E-2</v>
      </c>
      <c r="BE175">
        <f t="shared" si="70"/>
        <v>1.7546135815918924E-2</v>
      </c>
      <c r="BF175">
        <f t="shared" si="70"/>
        <v>1.7546135815918924E-2</v>
      </c>
      <c r="BG175">
        <f t="shared" si="70"/>
        <v>1.7546135815918924E-2</v>
      </c>
      <c r="BH175">
        <f t="shared" si="70"/>
        <v>1.7546135815918924E-2</v>
      </c>
    </row>
    <row r="176" spans="2:60" hidden="1" outlineLevel="1">
      <c r="B176" t="s">
        <v>143</v>
      </c>
      <c r="C176">
        <f>C324</f>
        <v>0.4</v>
      </c>
      <c r="D176">
        <f t="shared" ref="D176:BH176" si="71">D324</f>
        <v>0.42</v>
      </c>
      <c r="E176">
        <f t="shared" si="71"/>
        <v>0.44</v>
      </c>
      <c r="F176">
        <f t="shared" si="71"/>
        <v>0.46</v>
      </c>
      <c r="G176">
        <f t="shared" si="71"/>
        <v>0.47</v>
      </c>
      <c r="H176">
        <f t="shared" si="71"/>
        <v>0.47</v>
      </c>
      <c r="I176">
        <f t="shared" si="71"/>
        <v>0.47</v>
      </c>
      <c r="J176">
        <f t="shared" si="71"/>
        <v>0.46</v>
      </c>
      <c r="K176">
        <f t="shared" si="71"/>
        <v>0.54</v>
      </c>
      <c r="L176">
        <f t="shared" si="71"/>
        <v>0.56000000000000005</v>
      </c>
      <c r="M176">
        <f t="shared" si="71"/>
        <v>0.56999999999999995</v>
      </c>
      <c r="N176">
        <f t="shared" si="71"/>
        <v>0.57060215905714573</v>
      </c>
      <c r="O176">
        <f t="shared" si="71"/>
        <v>0.57119490937902351</v>
      </c>
      <c r="P176">
        <f t="shared" si="71"/>
        <v>0.57180647717143707</v>
      </c>
      <c r="Q176">
        <f t="shared" si="71"/>
        <v>0.57240863622858273</v>
      </c>
      <c r="R176">
        <f t="shared" si="71"/>
        <v>0.57300138655046051</v>
      </c>
      <c r="S176">
        <f t="shared" si="71"/>
        <v>0.57361295434287418</v>
      </c>
      <c r="T176">
        <f t="shared" si="71"/>
        <v>0.57420570466475185</v>
      </c>
      <c r="U176">
        <f t="shared" si="71"/>
        <v>0.57479845498662963</v>
      </c>
      <c r="V176">
        <f t="shared" si="71"/>
        <v>0.57541943151431119</v>
      </c>
      <c r="W176">
        <f t="shared" si="71"/>
        <v>0.57601218183618896</v>
      </c>
      <c r="X176">
        <f t="shared" si="71"/>
        <v>0.57438447063484199</v>
      </c>
      <c r="Y176">
        <f t="shared" si="71"/>
        <v>0.56974596414776657</v>
      </c>
      <c r="Z176">
        <f t="shared" si="71"/>
        <v>0.56509804892542337</v>
      </c>
      <c r="AA176">
        <f t="shared" si="71"/>
        <v>0.56046895117361595</v>
      </c>
      <c r="AB176">
        <f t="shared" si="71"/>
        <v>0.55583044468654053</v>
      </c>
      <c r="AC176">
        <f t="shared" si="71"/>
        <v>0.55117312072892943</v>
      </c>
      <c r="AD176">
        <f t="shared" si="71"/>
        <v>0.54655343171238979</v>
      </c>
      <c r="AE176">
        <f t="shared" si="71"/>
        <v>0.54191492522531448</v>
      </c>
      <c r="AF176">
        <f t="shared" si="71"/>
        <v>0.53726701000297117</v>
      </c>
      <c r="AG176">
        <f t="shared" si="71"/>
        <v>0.53262850351589586</v>
      </c>
      <c r="AH176">
        <f t="shared" si="71"/>
        <v>0.52799940576408833</v>
      </c>
      <c r="AI176">
        <f t="shared" si="71"/>
        <v>0.52335149054174512</v>
      </c>
      <c r="AJ176">
        <f t="shared" si="71"/>
        <v>0.5187129840546697</v>
      </c>
      <c r="AK176">
        <f t="shared" si="71"/>
        <v>0.51407447756759439</v>
      </c>
      <c r="AL176">
        <f t="shared" si="71"/>
        <v>0.50944537981578697</v>
      </c>
      <c r="AM176">
        <f t="shared" si="71"/>
        <v>0.5047504209171042</v>
      </c>
      <c r="AN176">
        <f t="shared" si="71"/>
        <v>0.50006487075368933</v>
      </c>
      <c r="AO176">
        <f t="shared" si="71"/>
        <v>0.50006487075368933</v>
      </c>
      <c r="AP176">
        <f t="shared" si="71"/>
        <v>0.50006487075368933</v>
      </c>
      <c r="AQ176">
        <f t="shared" si="71"/>
        <v>0.50006487075368933</v>
      </c>
      <c r="AR176">
        <f t="shared" si="71"/>
        <v>0.50006487075368933</v>
      </c>
      <c r="AS176">
        <f t="shared" si="71"/>
        <v>0.50006487075368933</v>
      </c>
      <c r="AT176">
        <f t="shared" si="71"/>
        <v>0.50006487075368933</v>
      </c>
      <c r="AU176">
        <f t="shared" si="71"/>
        <v>0.50006487075368933</v>
      </c>
      <c r="AV176">
        <f t="shared" si="71"/>
        <v>0.50006487075368933</v>
      </c>
      <c r="AW176">
        <f t="shared" si="71"/>
        <v>0.50006487075368933</v>
      </c>
      <c r="AX176">
        <f t="shared" si="71"/>
        <v>0.50006487075368933</v>
      </c>
      <c r="AY176">
        <f t="shared" si="71"/>
        <v>0.50006487075368933</v>
      </c>
      <c r="AZ176">
        <f t="shared" si="71"/>
        <v>0.50006487075368933</v>
      </c>
      <c r="BA176">
        <f t="shared" si="71"/>
        <v>0.50006487075368933</v>
      </c>
      <c r="BB176">
        <f t="shared" si="71"/>
        <v>0.50006487075368933</v>
      </c>
      <c r="BC176">
        <f t="shared" si="71"/>
        <v>0.50006487075368933</v>
      </c>
      <c r="BD176">
        <f t="shared" si="71"/>
        <v>0.50006487075368933</v>
      </c>
      <c r="BE176">
        <f t="shared" si="71"/>
        <v>0.50006487075368933</v>
      </c>
      <c r="BF176">
        <f t="shared" si="71"/>
        <v>0.50006487075368933</v>
      </c>
      <c r="BG176">
        <f t="shared" si="71"/>
        <v>0.50006487075368933</v>
      </c>
      <c r="BH176">
        <f t="shared" si="71"/>
        <v>0.50006487075368933</v>
      </c>
    </row>
    <row r="177" spans="1:60" hidden="1" outlineLevel="1">
      <c r="B177" t="s">
        <v>144</v>
      </c>
    </row>
    <row r="178" spans="1:60" hidden="1" outlineLevel="1">
      <c r="B178" t="s">
        <v>145</v>
      </c>
    </row>
    <row r="179" spans="1:60" hidden="1" outlineLevel="1">
      <c r="B179" t="s">
        <v>146</v>
      </c>
    </row>
    <row r="180" spans="1:60" hidden="1" outlineLevel="1">
      <c r="B180" t="s">
        <v>147</v>
      </c>
      <c r="C180">
        <f>C347+C345+C344+C342</f>
        <v>7.2900000000000009</v>
      </c>
      <c r="D180">
        <f t="shared" ref="D180:BH180" si="72">D347+D345+D344+D342</f>
        <v>5.46</v>
      </c>
      <c r="E180">
        <f t="shared" si="72"/>
        <v>10.36</v>
      </c>
      <c r="F180">
        <f t="shared" si="72"/>
        <v>16.190000000000001</v>
      </c>
      <c r="G180">
        <f t="shared" si="72"/>
        <v>23.849999999999998</v>
      </c>
      <c r="H180">
        <f t="shared" si="72"/>
        <v>19.5</v>
      </c>
      <c r="I180">
        <f t="shared" si="72"/>
        <v>23.53</v>
      </c>
      <c r="J180">
        <f t="shared" si="72"/>
        <v>13.19</v>
      </c>
      <c r="K180">
        <f t="shared" si="72"/>
        <v>13.41</v>
      </c>
      <c r="L180">
        <f t="shared" si="72"/>
        <v>13.32</v>
      </c>
      <c r="M180">
        <f t="shared" si="72"/>
        <v>13.48</v>
      </c>
      <c r="N180">
        <f t="shared" si="72"/>
        <v>13.649186557063155</v>
      </c>
      <c r="O180">
        <f t="shared" si="72"/>
        <v>13.818385824172196</v>
      </c>
      <c r="P180">
        <f t="shared" si="72"/>
        <v>13.997559671189464</v>
      </c>
      <c r="Q180">
        <f t="shared" si="72"/>
        <v>14.176746228252618</v>
      </c>
      <c r="R180">
        <f t="shared" si="72"/>
        <v>14.345945495361658</v>
      </c>
      <c r="S180">
        <f t="shared" si="72"/>
        <v>14.515119342378924</v>
      </c>
      <c r="T180">
        <f t="shared" si="72"/>
        <v>14.694318609487967</v>
      </c>
      <c r="U180">
        <f t="shared" si="72"/>
        <v>14.863517876597008</v>
      </c>
      <c r="V180">
        <f t="shared" si="72"/>
        <v>15.042679013568387</v>
      </c>
      <c r="W180">
        <f t="shared" si="72"/>
        <v>15.22187828067743</v>
      </c>
      <c r="X180">
        <f t="shared" si="72"/>
        <v>15.40407711861609</v>
      </c>
      <c r="Y180">
        <f t="shared" si="72"/>
        <v>15.580343171238983</v>
      </c>
      <c r="Z180">
        <f t="shared" si="72"/>
        <v>15.756621933907763</v>
      </c>
      <c r="AA180">
        <f t="shared" si="72"/>
        <v>15.942875276484763</v>
      </c>
      <c r="AB180">
        <f t="shared" si="72"/>
        <v>16.119141329107656</v>
      </c>
      <c r="AC180">
        <f t="shared" si="72"/>
        <v>16.295432801822322</v>
      </c>
      <c r="AD180">
        <f t="shared" si="72"/>
        <v>16.481673434353439</v>
      </c>
      <c r="AE180">
        <f t="shared" si="72"/>
        <v>16.66793948697633</v>
      </c>
      <c r="AF180">
        <f t="shared" si="72"/>
        <v>16.84421824964511</v>
      </c>
      <c r="AG180">
        <f t="shared" si="72"/>
        <v>17.020484302267999</v>
      </c>
      <c r="AH180">
        <f t="shared" si="72"/>
        <v>17.216737644845001</v>
      </c>
      <c r="AI180">
        <f t="shared" si="72"/>
        <v>17.393016407513784</v>
      </c>
      <c r="AJ180">
        <f t="shared" si="72"/>
        <v>17.569282460136673</v>
      </c>
      <c r="AK180">
        <f t="shared" si="72"/>
        <v>17.755548512759567</v>
      </c>
      <c r="AL180">
        <f t="shared" si="72"/>
        <v>17.941801855336568</v>
      </c>
      <c r="AM180">
        <f t="shared" si="72"/>
        <v>18.118144168234792</v>
      </c>
      <c r="AN180">
        <f t="shared" si="72"/>
        <v>18.294473771087123</v>
      </c>
      <c r="AO180">
        <f t="shared" si="72"/>
        <v>18.294473771087123</v>
      </c>
      <c r="AP180">
        <f t="shared" si="72"/>
        <v>18.294473771087123</v>
      </c>
      <c r="AQ180">
        <f t="shared" si="72"/>
        <v>18.294473771087123</v>
      </c>
      <c r="AR180">
        <f t="shared" si="72"/>
        <v>18.294473771087123</v>
      </c>
      <c r="AS180">
        <f t="shared" si="72"/>
        <v>18.294473771087123</v>
      </c>
      <c r="AT180">
        <f t="shared" si="72"/>
        <v>18.294473771087123</v>
      </c>
      <c r="AU180">
        <f t="shared" si="72"/>
        <v>18.294473771087123</v>
      </c>
      <c r="AV180">
        <f t="shared" si="72"/>
        <v>18.294473771087123</v>
      </c>
      <c r="AW180">
        <f t="shared" si="72"/>
        <v>18.294473771087123</v>
      </c>
      <c r="AX180">
        <f t="shared" si="72"/>
        <v>18.294473771087123</v>
      </c>
      <c r="AY180">
        <f t="shared" si="72"/>
        <v>18.294473771087123</v>
      </c>
      <c r="AZ180">
        <f t="shared" si="72"/>
        <v>18.294473771087123</v>
      </c>
      <c r="BA180">
        <f t="shared" si="72"/>
        <v>18.294473771087123</v>
      </c>
      <c r="BB180">
        <f t="shared" si="72"/>
        <v>18.294473771087123</v>
      </c>
      <c r="BC180">
        <f t="shared" si="72"/>
        <v>18.294473771087123</v>
      </c>
      <c r="BD180">
        <f t="shared" si="72"/>
        <v>18.294473771087123</v>
      </c>
      <c r="BE180">
        <f t="shared" si="72"/>
        <v>18.294473771087123</v>
      </c>
      <c r="BF180">
        <f t="shared" si="72"/>
        <v>18.294473771087123</v>
      </c>
      <c r="BG180">
        <f t="shared" si="72"/>
        <v>18.294473771087123</v>
      </c>
      <c r="BH180">
        <f t="shared" si="72"/>
        <v>18.294473771087123</v>
      </c>
    </row>
    <row r="181" spans="1:60" hidden="1" outlineLevel="1">
      <c r="B181" t="s">
        <v>148</v>
      </c>
    </row>
    <row r="182" spans="1:60" hidden="1" outlineLevel="1">
      <c r="B182" t="s">
        <v>149</v>
      </c>
    </row>
    <row r="183" spans="1:60" hidden="1" outlineLevel="1">
      <c r="B183" t="s">
        <v>150</v>
      </c>
    </row>
    <row r="184" spans="1:60" collapsed="1">
      <c r="A184" t="s">
        <v>157</v>
      </c>
      <c r="C184">
        <f>SUM(C185:C209)</f>
        <v>49.989999999999995</v>
      </c>
      <c r="D184">
        <f t="shared" ref="D184:BH184" si="73">SUM(D185:D209)</f>
        <v>48.56</v>
      </c>
      <c r="E184">
        <f t="shared" si="73"/>
        <v>52.3</v>
      </c>
      <c r="F184">
        <f t="shared" si="73"/>
        <v>52.760000000000005</v>
      </c>
      <c r="G184">
        <f t="shared" si="73"/>
        <v>51.800000000000011</v>
      </c>
      <c r="H184">
        <f t="shared" si="73"/>
        <v>51.850000000000009</v>
      </c>
      <c r="I184">
        <f t="shared" si="73"/>
        <v>51.850000000000009</v>
      </c>
      <c r="J184">
        <f t="shared" si="73"/>
        <v>51.230000000000004</v>
      </c>
      <c r="K184">
        <f t="shared" si="73"/>
        <v>42.739999999999995</v>
      </c>
      <c r="L184">
        <f t="shared" si="73"/>
        <v>44.993999999999993</v>
      </c>
      <c r="M184">
        <f t="shared" si="73"/>
        <v>45.078000000000003</v>
      </c>
      <c r="N184">
        <f t="shared" si="73"/>
        <v>45.161989435806021</v>
      </c>
      <c r="O184">
        <f t="shared" si="73"/>
        <v>45.235979036677563</v>
      </c>
      <c r="P184">
        <f t="shared" si="73"/>
        <v>45.329968307418042</v>
      </c>
      <c r="Q184">
        <f t="shared" si="73"/>
        <v>45.393957743224064</v>
      </c>
      <c r="R184">
        <f t="shared" si="73"/>
        <v>45.467947344095606</v>
      </c>
      <c r="S184">
        <f t="shared" si="73"/>
        <v>45.5619366148361</v>
      </c>
      <c r="T184">
        <f t="shared" si="73"/>
        <v>45.635926215707642</v>
      </c>
      <c r="U184">
        <f t="shared" si="73"/>
        <v>45.699915816579178</v>
      </c>
      <c r="V184">
        <f t="shared" si="73"/>
        <v>45.783904922254138</v>
      </c>
      <c r="W184">
        <f t="shared" si="73"/>
        <v>45.877894523125676</v>
      </c>
      <c r="X184">
        <f t="shared" si="73"/>
        <v>45.951923079462546</v>
      </c>
      <c r="Y184">
        <f t="shared" si="73"/>
        <v>46.046004456769339</v>
      </c>
      <c r="Z184">
        <f t="shared" si="73"/>
        <v>46.120085999141665</v>
      </c>
      <c r="AA184">
        <f t="shared" si="73"/>
        <v>46.22416721138292</v>
      </c>
      <c r="AB184">
        <f t="shared" si="73"/>
        <v>46.298248588689717</v>
      </c>
      <c r="AC184">
        <f t="shared" si="73"/>
        <v>46.372330296127565</v>
      </c>
      <c r="AD184">
        <f t="shared" si="73"/>
        <v>46.446411343303289</v>
      </c>
      <c r="AE184">
        <f t="shared" si="73"/>
        <v>46.520492720610079</v>
      </c>
      <c r="AF184">
        <f t="shared" si="73"/>
        <v>46.614574262982401</v>
      </c>
      <c r="AG184">
        <f t="shared" si="73"/>
        <v>46.678655640289193</v>
      </c>
      <c r="AH184">
        <f t="shared" si="73"/>
        <v>46.762736852530452</v>
      </c>
      <c r="AI184">
        <f t="shared" si="73"/>
        <v>46.846818394902783</v>
      </c>
      <c r="AJ184">
        <f t="shared" si="73"/>
        <v>46.920899772209566</v>
      </c>
      <c r="AK184">
        <f t="shared" si="73"/>
        <v>46.984981149516358</v>
      </c>
      <c r="AL184">
        <f t="shared" si="73"/>
        <v>47.08906236175762</v>
      </c>
      <c r="AM184">
        <f t="shared" si="73"/>
        <v>47.163144729457599</v>
      </c>
      <c r="AN184">
        <f t="shared" si="73"/>
        <v>47.247226932092033</v>
      </c>
      <c r="AO184">
        <f t="shared" si="73"/>
        <v>47.247226932092033</v>
      </c>
      <c r="AP184">
        <f t="shared" si="73"/>
        <v>47.247226932092033</v>
      </c>
      <c r="AQ184">
        <f t="shared" si="73"/>
        <v>47.247226932092033</v>
      </c>
      <c r="AR184">
        <f t="shared" si="73"/>
        <v>47.247226932092033</v>
      </c>
      <c r="AS184">
        <f t="shared" si="73"/>
        <v>47.247226932092033</v>
      </c>
      <c r="AT184">
        <f t="shared" si="73"/>
        <v>47.247226932092033</v>
      </c>
      <c r="AU184">
        <f t="shared" si="73"/>
        <v>47.247226932092033</v>
      </c>
      <c r="AV184">
        <f t="shared" si="73"/>
        <v>47.247226932092033</v>
      </c>
      <c r="AW184">
        <f t="shared" si="73"/>
        <v>47.247226932092033</v>
      </c>
      <c r="AX184">
        <f t="shared" si="73"/>
        <v>47.247226932092033</v>
      </c>
      <c r="AY184">
        <f t="shared" si="73"/>
        <v>47.247226932092033</v>
      </c>
      <c r="AZ184">
        <f t="shared" si="73"/>
        <v>47.247226932092033</v>
      </c>
      <c r="BA184">
        <f t="shared" si="73"/>
        <v>47.247226932092033</v>
      </c>
      <c r="BB184">
        <f t="shared" si="73"/>
        <v>47.247226932092033</v>
      </c>
      <c r="BC184">
        <f t="shared" si="73"/>
        <v>47.247226932092033</v>
      </c>
      <c r="BD184">
        <f t="shared" si="73"/>
        <v>47.247226932092033</v>
      </c>
      <c r="BE184">
        <f t="shared" si="73"/>
        <v>47.247226932092033</v>
      </c>
      <c r="BF184">
        <f t="shared" si="73"/>
        <v>47.247226932092033</v>
      </c>
      <c r="BG184">
        <f t="shared" si="73"/>
        <v>47.247226932092033</v>
      </c>
      <c r="BH184">
        <f t="shared" si="73"/>
        <v>47.247226932092033</v>
      </c>
    </row>
    <row r="185" spans="1:60" hidden="1" outlineLevel="1">
      <c r="B185" t="s">
        <v>126</v>
      </c>
      <c r="C185">
        <f>C241</f>
        <v>6.03</v>
      </c>
      <c r="D185">
        <f t="shared" ref="D185:BH185" si="74">D241</f>
        <v>6.08</v>
      </c>
      <c r="E185">
        <f t="shared" si="74"/>
        <v>4.99</v>
      </c>
      <c r="F185">
        <f t="shared" si="74"/>
        <v>5.09</v>
      </c>
      <c r="G185">
        <f t="shared" si="74"/>
        <v>4.93</v>
      </c>
      <c r="H185">
        <f t="shared" si="74"/>
        <v>4.9000000000000004</v>
      </c>
      <c r="I185">
        <f t="shared" si="74"/>
        <v>4.91</v>
      </c>
      <c r="J185">
        <f t="shared" si="74"/>
        <v>4.9000000000000004</v>
      </c>
      <c r="K185">
        <f t="shared" si="74"/>
        <v>4.33</v>
      </c>
      <c r="L185">
        <f t="shared" si="74"/>
        <v>4.2039999999999997</v>
      </c>
      <c r="M185">
        <f t="shared" si="74"/>
        <v>4.0679999999999996</v>
      </c>
      <c r="N185">
        <f t="shared" si="74"/>
        <v>3.9319999999999999</v>
      </c>
      <c r="O185">
        <f t="shared" si="74"/>
        <v>3.7959999999999998</v>
      </c>
      <c r="P185">
        <f t="shared" si="74"/>
        <v>3.66</v>
      </c>
      <c r="Q185">
        <f t="shared" si="74"/>
        <v>3.524</v>
      </c>
      <c r="R185">
        <f t="shared" si="74"/>
        <v>3.3879999999999999</v>
      </c>
      <c r="S185">
        <f t="shared" si="74"/>
        <v>3.2519999999999998</v>
      </c>
      <c r="T185">
        <f t="shared" si="74"/>
        <v>3.1160000000000001</v>
      </c>
      <c r="U185">
        <f t="shared" si="74"/>
        <v>2.98</v>
      </c>
      <c r="V185">
        <f t="shared" si="74"/>
        <v>2.8439999999999999</v>
      </c>
      <c r="W185">
        <f t="shared" si="74"/>
        <v>2.7080000000000002</v>
      </c>
      <c r="X185">
        <f t="shared" si="74"/>
        <v>2.5720000000000001</v>
      </c>
      <c r="Y185">
        <f t="shared" si="74"/>
        <v>2.4359999999999999</v>
      </c>
      <c r="Z185">
        <f t="shared" si="74"/>
        <v>2.2999999999999998</v>
      </c>
      <c r="AA185">
        <f t="shared" si="74"/>
        <v>2.1640000000000001</v>
      </c>
      <c r="AB185">
        <f t="shared" si="74"/>
        <v>2.028</v>
      </c>
      <c r="AC185">
        <f t="shared" si="74"/>
        <v>1.8919999999999999</v>
      </c>
      <c r="AD185">
        <f t="shared" si="74"/>
        <v>1.756</v>
      </c>
      <c r="AE185">
        <f t="shared" si="74"/>
        <v>1.62</v>
      </c>
      <c r="AF185">
        <f t="shared" si="74"/>
        <v>1.484</v>
      </c>
      <c r="AG185">
        <f t="shared" si="74"/>
        <v>1.3480000000000001</v>
      </c>
      <c r="AH185">
        <f t="shared" si="74"/>
        <v>1.212</v>
      </c>
      <c r="AI185">
        <f t="shared" si="74"/>
        <v>1.0760000000000001</v>
      </c>
      <c r="AJ185">
        <f t="shared" si="74"/>
        <v>0.94</v>
      </c>
      <c r="AK185">
        <f t="shared" si="74"/>
        <v>0.80400000000000005</v>
      </c>
      <c r="AL185">
        <f t="shared" si="74"/>
        <v>0.66800000000000004</v>
      </c>
      <c r="AM185">
        <f t="shared" si="74"/>
        <v>0.53200000000000003</v>
      </c>
      <c r="AN185">
        <f t="shared" si="74"/>
        <v>0.39600000000000002</v>
      </c>
      <c r="AO185">
        <f t="shared" si="74"/>
        <v>0.39600000000000002</v>
      </c>
      <c r="AP185">
        <f t="shared" si="74"/>
        <v>0.39600000000000002</v>
      </c>
      <c r="AQ185">
        <f t="shared" si="74"/>
        <v>0.39600000000000002</v>
      </c>
      <c r="AR185">
        <f t="shared" si="74"/>
        <v>0.39600000000000002</v>
      </c>
      <c r="AS185">
        <f t="shared" si="74"/>
        <v>0.39600000000000002</v>
      </c>
      <c r="AT185">
        <f t="shared" si="74"/>
        <v>0.39600000000000002</v>
      </c>
      <c r="AU185">
        <f t="shared" si="74"/>
        <v>0.39600000000000002</v>
      </c>
      <c r="AV185">
        <f t="shared" si="74"/>
        <v>0.39600000000000002</v>
      </c>
      <c r="AW185">
        <f t="shared" si="74"/>
        <v>0.39600000000000002</v>
      </c>
      <c r="AX185">
        <f t="shared" si="74"/>
        <v>0.39600000000000002</v>
      </c>
      <c r="AY185">
        <f t="shared" si="74"/>
        <v>0.39600000000000002</v>
      </c>
      <c r="AZ185">
        <f t="shared" si="74"/>
        <v>0.39600000000000002</v>
      </c>
      <c r="BA185">
        <f t="shared" si="74"/>
        <v>0.39600000000000002</v>
      </c>
      <c r="BB185">
        <f t="shared" si="74"/>
        <v>0.39600000000000002</v>
      </c>
      <c r="BC185">
        <f t="shared" si="74"/>
        <v>0.39600000000000002</v>
      </c>
      <c r="BD185">
        <f t="shared" si="74"/>
        <v>0.39600000000000002</v>
      </c>
      <c r="BE185">
        <f t="shared" si="74"/>
        <v>0.39600000000000002</v>
      </c>
      <c r="BF185">
        <f t="shared" si="74"/>
        <v>0.39600000000000002</v>
      </c>
      <c r="BG185">
        <f t="shared" si="74"/>
        <v>0.39600000000000002</v>
      </c>
      <c r="BH185">
        <f t="shared" si="74"/>
        <v>0.39600000000000002</v>
      </c>
    </row>
    <row r="186" spans="1:60" hidden="1" outlineLevel="1">
      <c r="B186" t="s">
        <v>127</v>
      </c>
      <c r="C186">
        <f>C246</f>
        <v>1.3979999999999999</v>
      </c>
      <c r="D186">
        <f t="shared" ref="D186:BH186" si="75">D246</f>
        <v>1.2135</v>
      </c>
      <c r="E186">
        <f t="shared" si="75"/>
        <v>1.1279999999999999</v>
      </c>
      <c r="F186">
        <f t="shared" si="75"/>
        <v>1.3259999999999998</v>
      </c>
      <c r="G186">
        <f t="shared" si="75"/>
        <v>1.2989999999999999</v>
      </c>
      <c r="H186">
        <f t="shared" si="75"/>
        <v>1.2419999999999998</v>
      </c>
      <c r="I186">
        <f t="shared" si="75"/>
        <v>1.2059999999999997</v>
      </c>
      <c r="J186">
        <f t="shared" si="75"/>
        <v>1.9455</v>
      </c>
      <c r="K186">
        <f t="shared" si="75"/>
        <v>1.6139999999999999</v>
      </c>
      <c r="L186">
        <f t="shared" si="75"/>
        <v>1.7144999999999999</v>
      </c>
      <c r="M186">
        <f t="shared" si="75"/>
        <v>1.7235</v>
      </c>
      <c r="N186">
        <f t="shared" si="75"/>
        <v>1.7325000000000002</v>
      </c>
      <c r="O186">
        <f t="shared" si="75"/>
        <v>1.7414999999999998</v>
      </c>
      <c r="P186">
        <f t="shared" si="75"/>
        <v>1.7504999999999999</v>
      </c>
      <c r="Q186">
        <f t="shared" si="75"/>
        <v>1.7595000000000001</v>
      </c>
      <c r="R186">
        <f t="shared" si="75"/>
        <v>1.7684999999999997</v>
      </c>
      <c r="S186">
        <f t="shared" si="75"/>
        <v>1.7774999999999999</v>
      </c>
      <c r="T186">
        <f t="shared" si="75"/>
        <v>1.7865</v>
      </c>
      <c r="U186">
        <f t="shared" si="75"/>
        <v>1.7955000000000001</v>
      </c>
      <c r="V186">
        <f t="shared" si="75"/>
        <v>1.8044999999999998</v>
      </c>
      <c r="W186">
        <f t="shared" si="75"/>
        <v>1.8134999999999999</v>
      </c>
      <c r="X186">
        <f t="shared" si="75"/>
        <v>1.8225</v>
      </c>
      <c r="Y186">
        <f t="shared" si="75"/>
        <v>1.8315000000000001</v>
      </c>
      <c r="Z186">
        <f t="shared" si="75"/>
        <v>1.8419999999999999</v>
      </c>
      <c r="AA186">
        <f t="shared" si="75"/>
        <v>1.851</v>
      </c>
      <c r="AB186">
        <f t="shared" si="75"/>
        <v>1.8599999999999999</v>
      </c>
      <c r="AC186">
        <f t="shared" si="75"/>
        <v>1.869</v>
      </c>
      <c r="AD186">
        <f t="shared" si="75"/>
        <v>1.8779999999999999</v>
      </c>
      <c r="AE186">
        <f t="shared" si="75"/>
        <v>1.887</v>
      </c>
      <c r="AF186">
        <f t="shared" si="75"/>
        <v>1.8959999999999999</v>
      </c>
      <c r="AG186">
        <f t="shared" si="75"/>
        <v>1.9049999999999998</v>
      </c>
      <c r="AH186">
        <f t="shared" si="75"/>
        <v>1.9139999999999999</v>
      </c>
      <c r="AI186">
        <f t="shared" si="75"/>
        <v>1.923</v>
      </c>
      <c r="AJ186">
        <f t="shared" si="75"/>
        <v>1.9319999999999999</v>
      </c>
      <c r="AK186">
        <f t="shared" si="75"/>
        <v>1.9409999999999998</v>
      </c>
      <c r="AL186">
        <f t="shared" si="75"/>
        <v>1.95</v>
      </c>
      <c r="AM186">
        <f t="shared" si="75"/>
        <v>1.9590000000000001</v>
      </c>
      <c r="AN186">
        <f t="shared" si="75"/>
        <v>1.9679999999999997</v>
      </c>
      <c r="AO186">
        <f t="shared" si="75"/>
        <v>1.9679999999999997</v>
      </c>
      <c r="AP186">
        <f t="shared" si="75"/>
        <v>1.9679999999999997</v>
      </c>
      <c r="AQ186">
        <f t="shared" si="75"/>
        <v>1.9679999999999997</v>
      </c>
      <c r="AR186">
        <f t="shared" si="75"/>
        <v>1.9679999999999997</v>
      </c>
      <c r="AS186">
        <f t="shared" si="75"/>
        <v>1.9679999999999997</v>
      </c>
      <c r="AT186">
        <f t="shared" si="75"/>
        <v>1.9679999999999997</v>
      </c>
      <c r="AU186">
        <f t="shared" si="75"/>
        <v>1.9679999999999997</v>
      </c>
      <c r="AV186">
        <f t="shared" si="75"/>
        <v>1.9679999999999997</v>
      </c>
      <c r="AW186">
        <f t="shared" si="75"/>
        <v>1.9679999999999997</v>
      </c>
      <c r="AX186">
        <f t="shared" si="75"/>
        <v>1.9679999999999997</v>
      </c>
      <c r="AY186">
        <f t="shared" si="75"/>
        <v>1.9679999999999997</v>
      </c>
      <c r="AZ186">
        <f t="shared" si="75"/>
        <v>1.9679999999999997</v>
      </c>
      <c r="BA186">
        <f t="shared" si="75"/>
        <v>1.9679999999999997</v>
      </c>
      <c r="BB186">
        <f t="shared" si="75"/>
        <v>1.9679999999999997</v>
      </c>
      <c r="BC186">
        <f t="shared" si="75"/>
        <v>1.9679999999999997</v>
      </c>
      <c r="BD186">
        <f t="shared" si="75"/>
        <v>1.9679999999999997</v>
      </c>
      <c r="BE186">
        <f t="shared" si="75"/>
        <v>1.9679999999999997</v>
      </c>
      <c r="BF186">
        <f t="shared" si="75"/>
        <v>1.9679999999999997</v>
      </c>
      <c r="BG186">
        <f t="shared" si="75"/>
        <v>1.9679999999999997</v>
      </c>
      <c r="BH186">
        <f t="shared" si="75"/>
        <v>1.9679999999999997</v>
      </c>
    </row>
    <row r="187" spans="1:60" hidden="1" outlineLevel="1">
      <c r="B187" t="s">
        <v>128</v>
      </c>
    </row>
    <row r="188" spans="1:60" hidden="1" outlineLevel="1">
      <c r="B188" t="s">
        <v>129</v>
      </c>
      <c r="C188">
        <f>C253</f>
        <v>7.9219999999999997</v>
      </c>
      <c r="D188">
        <f t="shared" ref="D188:BH188" si="76">D253</f>
        <v>6.8765000000000001</v>
      </c>
      <c r="E188">
        <f t="shared" si="76"/>
        <v>6.3919999999999995</v>
      </c>
      <c r="F188">
        <f t="shared" si="76"/>
        <v>7.5139999999999993</v>
      </c>
      <c r="G188">
        <f t="shared" si="76"/>
        <v>7.3609999999999998</v>
      </c>
      <c r="H188">
        <f t="shared" si="76"/>
        <v>7.0379999999999994</v>
      </c>
      <c r="I188">
        <f t="shared" si="76"/>
        <v>6.8339999999999987</v>
      </c>
      <c r="J188">
        <f t="shared" si="76"/>
        <v>11.0245</v>
      </c>
      <c r="K188">
        <f t="shared" si="76"/>
        <v>9.145999999999999</v>
      </c>
      <c r="L188">
        <f t="shared" si="76"/>
        <v>9.7154999999999987</v>
      </c>
      <c r="M188">
        <f t="shared" si="76"/>
        <v>9.7665000000000006</v>
      </c>
      <c r="N188">
        <f t="shared" si="76"/>
        <v>9.8175000000000008</v>
      </c>
      <c r="O188">
        <f t="shared" si="76"/>
        <v>9.8684999999999992</v>
      </c>
      <c r="P188">
        <f t="shared" si="76"/>
        <v>9.9194999999999993</v>
      </c>
      <c r="Q188">
        <f t="shared" si="76"/>
        <v>9.9704999999999995</v>
      </c>
      <c r="R188">
        <f t="shared" si="76"/>
        <v>10.0215</v>
      </c>
      <c r="S188">
        <f t="shared" si="76"/>
        <v>10.0725</v>
      </c>
      <c r="T188">
        <f t="shared" si="76"/>
        <v>10.1235</v>
      </c>
      <c r="U188">
        <f t="shared" si="76"/>
        <v>10.1745</v>
      </c>
      <c r="V188">
        <f t="shared" si="76"/>
        <v>10.225499999999998</v>
      </c>
      <c r="W188">
        <f t="shared" si="76"/>
        <v>10.2765</v>
      </c>
      <c r="X188">
        <f t="shared" si="76"/>
        <v>10.327500000000001</v>
      </c>
      <c r="Y188">
        <f t="shared" si="76"/>
        <v>10.378500000000001</v>
      </c>
      <c r="Z188">
        <f t="shared" si="76"/>
        <v>10.437999999999999</v>
      </c>
      <c r="AA188">
        <f t="shared" si="76"/>
        <v>10.488999999999999</v>
      </c>
      <c r="AB188">
        <f t="shared" si="76"/>
        <v>10.54</v>
      </c>
      <c r="AC188">
        <f t="shared" si="76"/>
        <v>10.591000000000001</v>
      </c>
      <c r="AD188">
        <f t="shared" si="76"/>
        <v>10.641999999999999</v>
      </c>
      <c r="AE188">
        <f t="shared" si="76"/>
        <v>10.693</v>
      </c>
      <c r="AF188">
        <f t="shared" si="76"/>
        <v>10.744</v>
      </c>
      <c r="AG188">
        <f t="shared" si="76"/>
        <v>10.795</v>
      </c>
      <c r="AH188">
        <f t="shared" si="76"/>
        <v>10.846</v>
      </c>
      <c r="AI188">
        <f t="shared" si="76"/>
        <v>10.897</v>
      </c>
      <c r="AJ188">
        <f t="shared" si="76"/>
        <v>10.948</v>
      </c>
      <c r="AK188">
        <f t="shared" si="76"/>
        <v>10.998999999999999</v>
      </c>
      <c r="AL188">
        <f t="shared" si="76"/>
        <v>11.049999999999999</v>
      </c>
      <c r="AM188">
        <f t="shared" si="76"/>
        <v>11.101000000000001</v>
      </c>
      <c r="AN188">
        <f t="shared" si="76"/>
        <v>11.151999999999999</v>
      </c>
      <c r="AO188">
        <f t="shared" si="76"/>
        <v>11.151999999999999</v>
      </c>
      <c r="AP188">
        <f t="shared" si="76"/>
        <v>11.151999999999999</v>
      </c>
      <c r="AQ188">
        <f t="shared" si="76"/>
        <v>11.151999999999999</v>
      </c>
      <c r="AR188">
        <f t="shared" si="76"/>
        <v>11.151999999999999</v>
      </c>
      <c r="AS188">
        <f t="shared" si="76"/>
        <v>11.151999999999999</v>
      </c>
      <c r="AT188">
        <f t="shared" si="76"/>
        <v>11.151999999999999</v>
      </c>
      <c r="AU188">
        <f t="shared" si="76"/>
        <v>11.151999999999999</v>
      </c>
      <c r="AV188">
        <f t="shared" si="76"/>
        <v>11.151999999999999</v>
      </c>
      <c r="AW188">
        <f t="shared" si="76"/>
        <v>11.151999999999999</v>
      </c>
      <c r="AX188">
        <f t="shared" si="76"/>
        <v>11.151999999999999</v>
      </c>
      <c r="AY188">
        <f t="shared" si="76"/>
        <v>11.151999999999999</v>
      </c>
      <c r="AZ188">
        <f t="shared" si="76"/>
        <v>11.151999999999999</v>
      </c>
      <c r="BA188">
        <f t="shared" si="76"/>
        <v>11.151999999999999</v>
      </c>
      <c r="BB188">
        <f t="shared" si="76"/>
        <v>11.151999999999999</v>
      </c>
      <c r="BC188">
        <f t="shared" si="76"/>
        <v>11.151999999999999</v>
      </c>
      <c r="BD188">
        <f t="shared" si="76"/>
        <v>11.151999999999999</v>
      </c>
      <c r="BE188">
        <f t="shared" si="76"/>
        <v>11.151999999999999</v>
      </c>
      <c r="BF188">
        <f t="shared" si="76"/>
        <v>11.151999999999999</v>
      </c>
      <c r="BG188">
        <f t="shared" si="76"/>
        <v>11.151999999999999</v>
      </c>
      <c r="BH188">
        <f t="shared" si="76"/>
        <v>11.151999999999999</v>
      </c>
    </row>
    <row r="189" spans="1:60" hidden="1" outlineLevel="1">
      <c r="B189" t="s">
        <v>130</v>
      </c>
      <c r="C189">
        <f>C263</f>
        <v>2.09</v>
      </c>
      <c r="D189">
        <f t="shared" ref="D189:BH189" si="77">D263</f>
        <v>2.21</v>
      </c>
      <c r="E189">
        <f t="shared" si="77"/>
        <v>2.41</v>
      </c>
      <c r="F189">
        <f t="shared" si="77"/>
        <v>2.52</v>
      </c>
      <c r="G189">
        <f t="shared" si="77"/>
        <v>2.86</v>
      </c>
      <c r="H189">
        <f t="shared" si="77"/>
        <v>3.14</v>
      </c>
      <c r="I189">
        <f t="shared" si="77"/>
        <v>3.2299999999999995</v>
      </c>
      <c r="J189">
        <f t="shared" si="77"/>
        <v>2.7800000000000002</v>
      </c>
      <c r="K189">
        <f t="shared" si="77"/>
        <v>2.2999999999999998</v>
      </c>
      <c r="L189">
        <f t="shared" si="77"/>
        <v>2.44</v>
      </c>
      <c r="M189">
        <f t="shared" si="77"/>
        <v>2.4500000000000002</v>
      </c>
      <c r="N189">
        <f t="shared" si="77"/>
        <v>2.4700000000000002</v>
      </c>
      <c r="O189">
        <f t="shared" si="77"/>
        <v>2.48</v>
      </c>
      <c r="P189">
        <f t="shared" si="77"/>
        <v>2.5</v>
      </c>
      <c r="Q189">
        <f t="shared" si="77"/>
        <v>2.5099999999999998</v>
      </c>
      <c r="R189">
        <f t="shared" si="77"/>
        <v>2.52</v>
      </c>
      <c r="S189">
        <f t="shared" si="77"/>
        <v>2.5299999999999998</v>
      </c>
      <c r="T189">
        <f t="shared" si="77"/>
        <v>2.5499999999999998</v>
      </c>
      <c r="U189">
        <f t="shared" si="77"/>
        <v>2.56</v>
      </c>
      <c r="V189">
        <f t="shared" si="77"/>
        <v>2.57</v>
      </c>
      <c r="W189">
        <f t="shared" si="77"/>
        <v>2.59</v>
      </c>
      <c r="X189">
        <f t="shared" si="77"/>
        <v>2.59</v>
      </c>
      <c r="Y189">
        <f t="shared" si="77"/>
        <v>2.61</v>
      </c>
      <c r="Z189">
        <f t="shared" si="77"/>
        <v>2.62</v>
      </c>
      <c r="AA189">
        <f t="shared" si="77"/>
        <v>2.64</v>
      </c>
      <c r="AB189">
        <f t="shared" si="77"/>
        <v>2.65</v>
      </c>
      <c r="AC189">
        <f t="shared" si="77"/>
        <v>2.67</v>
      </c>
      <c r="AD189">
        <f t="shared" si="77"/>
        <v>2.67</v>
      </c>
      <c r="AE189">
        <f t="shared" si="77"/>
        <v>2.69</v>
      </c>
      <c r="AF189">
        <f t="shared" si="77"/>
        <v>2.7</v>
      </c>
      <c r="AG189">
        <f t="shared" si="77"/>
        <v>2.71</v>
      </c>
      <c r="AH189">
        <f t="shared" si="77"/>
        <v>2.73</v>
      </c>
      <c r="AI189">
        <f t="shared" si="77"/>
        <v>2.74</v>
      </c>
      <c r="AJ189">
        <f t="shared" si="77"/>
        <v>2.76</v>
      </c>
      <c r="AK189">
        <f t="shared" si="77"/>
        <v>2.76</v>
      </c>
      <c r="AL189">
        <f t="shared" si="77"/>
        <v>2.7800000000000002</v>
      </c>
      <c r="AM189">
        <f t="shared" si="77"/>
        <v>2.79</v>
      </c>
      <c r="AN189">
        <f t="shared" si="77"/>
        <v>2.81</v>
      </c>
      <c r="AO189">
        <f t="shared" si="77"/>
        <v>2.81</v>
      </c>
      <c r="AP189">
        <f t="shared" si="77"/>
        <v>2.81</v>
      </c>
      <c r="AQ189">
        <f t="shared" si="77"/>
        <v>2.81</v>
      </c>
      <c r="AR189">
        <f t="shared" si="77"/>
        <v>2.81</v>
      </c>
      <c r="AS189">
        <f t="shared" si="77"/>
        <v>2.81</v>
      </c>
      <c r="AT189">
        <f t="shared" si="77"/>
        <v>2.81</v>
      </c>
      <c r="AU189">
        <f t="shared" si="77"/>
        <v>2.81</v>
      </c>
      <c r="AV189">
        <f t="shared" si="77"/>
        <v>2.81</v>
      </c>
      <c r="AW189">
        <f t="shared" si="77"/>
        <v>2.81</v>
      </c>
      <c r="AX189">
        <f t="shared" si="77"/>
        <v>2.81</v>
      </c>
      <c r="AY189">
        <f t="shared" si="77"/>
        <v>2.81</v>
      </c>
      <c r="AZ189">
        <f t="shared" si="77"/>
        <v>2.81</v>
      </c>
      <c r="BA189">
        <f t="shared" si="77"/>
        <v>2.81</v>
      </c>
      <c r="BB189">
        <f t="shared" si="77"/>
        <v>2.81</v>
      </c>
      <c r="BC189">
        <f t="shared" si="77"/>
        <v>2.81</v>
      </c>
      <c r="BD189">
        <f t="shared" si="77"/>
        <v>2.81</v>
      </c>
      <c r="BE189">
        <f t="shared" si="77"/>
        <v>2.81</v>
      </c>
      <c r="BF189">
        <f t="shared" si="77"/>
        <v>2.81</v>
      </c>
      <c r="BG189">
        <f t="shared" si="77"/>
        <v>2.81</v>
      </c>
      <c r="BH189">
        <f t="shared" si="77"/>
        <v>2.81</v>
      </c>
    </row>
    <row r="190" spans="1:60" hidden="1" outlineLevel="1">
      <c r="B190" t="s">
        <v>131</v>
      </c>
      <c r="C190">
        <f>C266</f>
        <v>0.03</v>
      </c>
      <c r="D190">
        <f t="shared" ref="D190:BH190" si="78">D266</f>
        <v>0.03</v>
      </c>
      <c r="E190">
        <f t="shared" si="78"/>
        <v>0.03</v>
      </c>
      <c r="F190">
        <f t="shared" si="78"/>
        <v>0.03</v>
      </c>
      <c r="G190">
        <f t="shared" si="78"/>
        <v>0.03</v>
      </c>
      <c r="H190">
        <f t="shared" si="78"/>
        <v>0.03</v>
      </c>
      <c r="I190">
        <f t="shared" si="78"/>
        <v>0.03</v>
      </c>
      <c r="J190">
        <f t="shared" si="78"/>
        <v>0.02</v>
      </c>
      <c r="K190">
        <f t="shared" si="78"/>
        <v>0.03</v>
      </c>
      <c r="L190">
        <f t="shared" si="78"/>
        <v>0.03</v>
      </c>
      <c r="M190">
        <f t="shared" si="78"/>
        <v>0.03</v>
      </c>
      <c r="N190">
        <f t="shared" si="78"/>
        <v>3.0031692581955038E-2</v>
      </c>
      <c r="O190">
        <f t="shared" si="78"/>
        <v>3.0062889967317027E-2</v>
      </c>
      <c r="P190">
        <f t="shared" si="78"/>
        <v>3.0095077745865111E-2</v>
      </c>
      <c r="Q190">
        <f t="shared" si="78"/>
        <v>3.0126770327820147E-2</v>
      </c>
      <c r="R190">
        <f t="shared" si="78"/>
        <v>3.0157967713182136E-2</v>
      </c>
      <c r="S190">
        <f t="shared" si="78"/>
        <v>3.0190155491730226E-2</v>
      </c>
      <c r="T190">
        <f t="shared" si="78"/>
        <v>3.0221352877092208E-2</v>
      </c>
      <c r="U190">
        <f t="shared" si="78"/>
        <v>3.0252550262454197E-2</v>
      </c>
      <c r="V190">
        <f t="shared" si="78"/>
        <v>3.0285233237595331E-2</v>
      </c>
      <c r="W190">
        <f t="shared" si="78"/>
        <v>3.031643062295732E-2</v>
      </c>
      <c r="X190">
        <f t="shared" si="78"/>
        <v>3.0230761612360112E-2</v>
      </c>
      <c r="Y190">
        <f t="shared" si="78"/>
        <v>2.9986629691987721E-2</v>
      </c>
      <c r="Z190">
        <f t="shared" si="78"/>
        <v>2.974200257502229E-2</v>
      </c>
      <c r="AA190">
        <f t="shared" si="78"/>
        <v>2.9498365851242953E-2</v>
      </c>
      <c r="AB190">
        <f t="shared" si="78"/>
        <v>2.9254233930870566E-2</v>
      </c>
      <c r="AC190">
        <f t="shared" si="78"/>
        <v>2.9009111617312087E-2</v>
      </c>
      <c r="AD190">
        <f t="shared" si="78"/>
        <v>2.8765970090125791E-2</v>
      </c>
      <c r="AE190">
        <f t="shared" si="78"/>
        <v>2.8521838169753403E-2</v>
      </c>
      <c r="AF190">
        <f t="shared" si="78"/>
        <v>2.8277211052787962E-2</v>
      </c>
      <c r="AG190">
        <f t="shared" si="78"/>
        <v>2.8033079132415574E-2</v>
      </c>
      <c r="AH190">
        <f t="shared" si="78"/>
        <v>2.778944240863623E-2</v>
      </c>
      <c r="AI190">
        <f t="shared" si="78"/>
        <v>2.7544815291670799E-2</v>
      </c>
      <c r="AJ190">
        <f t="shared" si="78"/>
        <v>2.7300683371298408E-2</v>
      </c>
      <c r="AK190">
        <f t="shared" si="78"/>
        <v>2.7056551450926024E-2</v>
      </c>
      <c r="AL190">
        <f t="shared" si="78"/>
        <v>2.6812914727146687E-2</v>
      </c>
      <c r="AM190">
        <f t="shared" si="78"/>
        <v>2.6565811627216013E-2</v>
      </c>
      <c r="AN190">
        <f t="shared" si="78"/>
        <v>2.6319203723878387E-2</v>
      </c>
      <c r="AO190">
        <f t="shared" si="78"/>
        <v>2.6319203723878387E-2</v>
      </c>
      <c r="AP190">
        <f t="shared" si="78"/>
        <v>2.6319203723878387E-2</v>
      </c>
      <c r="AQ190">
        <f t="shared" si="78"/>
        <v>2.6319203723878387E-2</v>
      </c>
      <c r="AR190">
        <f t="shared" si="78"/>
        <v>2.6319203723878387E-2</v>
      </c>
      <c r="AS190">
        <f t="shared" si="78"/>
        <v>2.6319203723878387E-2</v>
      </c>
      <c r="AT190">
        <f t="shared" si="78"/>
        <v>2.6319203723878387E-2</v>
      </c>
      <c r="AU190">
        <f t="shared" si="78"/>
        <v>2.6319203723878387E-2</v>
      </c>
      <c r="AV190">
        <f t="shared" si="78"/>
        <v>2.6319203723878387E-2</v>
      </c>
      <c r="AW190">
        <f t="shared" si="78"/>
        <v>2.6319203723878387E-2</v>
      </c>
      <c r="AX190">
        <f t="shared" si="78"/>
        <v>2.6319203723878387E-2</v>
      </c>
      <c r="AY190">
        <f t="shared" si="78"/>
        <v>2.6319203723878387E-2</v>
      </c>
      <c r="AZ190">
        <f t="shared" si="78"/>
        <v>2.6319203723878387E-2</v>
      </c>
      <c r="BA190">
        <f t="shared" si="78"/>
        <v>2.6319203723878387E-2</v>
      </c>
      <c r="BB190">
        <f t="shared" si="78"/>
        <v>2.6319203723878387E-2</v>
      </c>
      <c r="BC190">
        <f t="shared" si="78"/>
        <v>2.6319203723878387E-2</v>
      </c>
      <c r="BD190">
        <f t="shared" si="78"/>
        <v>2.6319203723878387E-2</v>
      </c>
      <c r="BE190">
        <f t="shared" si="78"/>
        <v>2.6319203723878387E-2</v>
      </c>
      <c r="BF190">
        <f t="shared" si="78"/>
        <v>2.6319203723878387E-2</v>
      </c>
      <c r="BG190">
        <f t="shared" si="78"/>
        <v>2.6319203723878387E-2</v>
      </c>
      <c r="BH190">
        <f t="shared" si="78"/>
        <v>2.6319203723878387E-2</v>
      </c>
    </row>
    <row r="191" spans="1:60" hidden="1" outlineLevel="1">
      <c r="B191" t="s">
        <v>132</v>
      </c>
    </row>
    <row r="192" spans="1:60" hidden="1" outlineLevel="1">
      <c r="B192" t="s">
        <v>133</v>
      </c>
      <c r="C192">
        <f>C274</f>
        <v>0.41</v>
      </c>
      <c r="D192">
        <f t="shared" ref="D192:BH192" si="79">D274</f>
        <v>0.42</v>
      </c>
      <c r="E192">
        <f t="shared" si="79"/>
        <v>0.43</v>
      </c>
      <c r="F192">
        <f t="shared" si="79"/>
        <v>0.45</v>
      </c>
      <c r="G192">
        <f t="shared" si="79"/>
        <v>0.46</v>
      </c>
      <c r="H192">
        <f t="shared" si="79"/>
        <v>0.46</v>
      </c>
      <c r="I192">
        <f t="shared" si="79"/>
        <v>0.48</v>
      </c>
      <c r="J192">
        <f t="shared" si="79"/>
        <v>0.46</v>
      </c>
      <c r="K192">
        <f t="shared" si="79"/>
        <v>0.38</v>
      </c>
      <c r="L192">
        <f t="shared" si="79"/>
        <v>0.4</v>
      </c>
      <c r="M192">
        <f t="shared" si="79"/>
        <v>0.41</v>
      </c>
      <c r="N192">
        <f t="shared" si="79"/>
        <v>0.41</v>
      </c>
      <c r="O192">
        <f t="shared" si="79"/>
        <v>0.41</v>
      </c>
      <c r="P192">
        <f t="shared" si="79"/>
        <v>0.41</v>
      </c>
      <c r="Q192">
        <f t="shared" si="79"/>
        <v>0.41</v>
      </c>
      <c r="R192">
        <f t="shared" si="79"/>
        <v>0.42</v>
      </c>
      <c r="S192">
        <f t="shared" si="79"/>
        <v>0.42</v>
      </c>
      <c r="T192">
        <f t="shared" si="79"/>
        <v>0.42</v>
      </c>
      <c r="U192">
        <f t="shared" si="79"/>
        <v>0.42</v>
      </c>
      <c r="V192">
        <f t="shared" si="79"/>
        <v>0.42</v>
      </c>
      <c r="W192">
        <f t="shared" si="79"/>
        <v>0.43</v>
      </c>
      <c r="X192">
        <f t="shared" si="79"/>
        <v>0.43</v>
      </c>
      <c r="Y192">
        <f t="shared" si="79"/>
        <v>0.43</v>
      </c>
      <c r="Z192">
        <f t="shared" si="79"/>
        <v>0.43</v>
      </c>
      <c r="AA192">
        <f t="shared" si="79"/>
        <v>0.44</v>
      </c>
      <c r="AB192">
        <f t="shared" si="79"/>
        <v>0.44</v>
      </c>
      <c r="AC192">
        <f t="shared" si="79"/>
        <v>0.44</v>
      </c>
      <c r="AD192">
        <f t="shared" si="79"/>
        <v>0.44</v>
      </c>
      <c r="AE192">
        <f t="shared" si="79"/>
        <v>0.44</v>
      </c>
      <c r="AF192">
        <f t="shared" si="79"/>
        <v>0.45</v>
      </c>
      <c r="AG192">
        <f t="shared" si="79"/>
        <v>0.45</v>
      </c>
      <c r="AH192">
        <f t="shared" si="79"/>
        <v>0.45</v>
      </c>
      <c r="AI192">
        <f t="shared" si="79"/>
        <v>0.45</v>
      </c>
      <c r="AJ192">
        <f t="shared" si="79"/>
        <v>0.45</v>
      </c>
      <c r="AK192">
        <f t="shared" si="79"/>
        <v>0.46</v>
      </c>
      <c r="AL192">
        <f t="shared" si="79"/>
        <v>0.46</v>
      </c>
      <c r="AM192">
        <f t="shared" si="79"/>
        <v>0.46</v>
      </c>
      <c r="AN192">
        <f t="shared" si="79"/>
        <v>0.46</v>
      </c>
      <c r="AO192">
        <f t="shared" si="79"/>
        <v>0.46</v>
      </c>
      <c r="AP192">
        <f t="shared" si="79"/>
        <v>0.46</v>
      </c>
      <c r="AQ192">
        <f t="shared" si="79"/>
        <v>0.46</v>
      </c>
      <c r="AR192">
        <f t="shared" si="79"/>
        <v>0.46</v>
      </c>
      <c r="AS192">
        <f t="shared" si="79"/>
        <v>0.46</v>
      </c>
      <c r="AT192">
        <f t="shared" si="79"/>
        <v>0.46</v>
      </c>
      <c r="AU192">
        <f t="shared" si="79"/>
        <v>0.46</v>
      </c>
      <c r="AV192">
        <f t="shared" si="79"/>
        <v>0.46</v>
      </c>
      <c r="AW192">
        <f t="shared" si="79"/>
        <v>0.46</v>
      </c>
      <c r="AX192">
        <f t="shared" si="79"/>
        <v>0.46</v>
      </c>
      <c r="AY192">
        <f t="shared" si="79"/>
        <v>0.46</v>
      </c>
      <c r="AZ192">
        <f t="shared" si="79"/>
        <v>0.46</v>
      </c>
      <c r="BA192">
        <f t="shared" si="79"/>
        <v>0.46</v>
      </c>
      <c r="BB192">
        <f t="shared" si="79"/>
        <v>0.46</v>
      </c>
      <c r="BC192">
        <f t="shared" si="79"/>
        <v>0.46</v>
      </c>
      <c r="BD192">
        <f t="shared" si="79"/>
        <v>0.46</v>
      </c>
      <c r="BE192">
        <f t="shared" si="79"/>
        <v>0.46</v>
      </c>
      <c r="BF192">
        <f t="shared" si="79"/>
        <v>0.46</v>
      </c>
      <c r="BG192">
        <f t="shared" si="79"/>
        <v>0.46</v>
      </c>
      <c r="BH192">
        <f t="shared" si="79"/>
        <v>0.46</v>
      </c>
    </row>
    <row r="193" spans="2:60" hidden="1" outlineLevel="1">
      <c r="B193" t="s">
        <v>134</v>
      </c>
    </row>
    <row r="194" spans="2:60" hidden="1" outlineLevel="1">
      <c r="B194" t="s">
        <v>135</v>
      </c>
      <c r="C194">
        <f>C283</f>
        <v>0.84</v>
      </c>
      <c r="D194">
        <f t="shared" ref="D194:BH194" si="80">D283</f>
        <v>0.84</v>
      </c>
      <c r="E194">
        <f t="shared" si="80"/>
        <v>0.82</v>
      </c>
      <c r="F194">
        <f t="shared" si="80"/>
        <v>0.78</v>
      </c>
      <c r="G194">
        <f t="shared" si="80"/>
        <v>0.77</v>
      </c>
      <c r="H194">
        <f t="shared" si="80"/>
        <v>0.75</v>
      </c>
      <c r="I194">
        <f t="shared" si="80"/>
        <v>0.72</v>
      </c>
      <c r="J194">
        <f t="shared" si="80"/>
        <v>0.68</v>
      </c>
      <c r="K194">
        <f t="shared" si="80"/>
        <v>0.56000000000000005</v>
      </c>
      <c r="L194">
        <f t="shared" si="80"/>
        <v>0.59</v>
      </c>
      <c r="M194">
        <f t="shared" si="80"/>
        <v>0.6</v>
      </c>
      <c r="N194">
        <f t="shared" si="80"/>
        <v>0.6</v>
      </c>
      <c r="O194">
        <f t="shared" si="80"/>
        <v>0.6</v>
      </c>
      <c r="P194">
        <f t="shared" si="80"/>
        <v>0.61</v>
      </c>
      <c r="Q194">
        <f t="shared" si="80"/>
        <v>0.61</v>
      </c>
      <c r="R194">
        <f t="shared" si="80"/>
        <v>0.61</v>
      </c>
      <c r="S194">
        <f t="shared" si="80"/>
        <v>0.62</v>
      </c>
      <c r="T194">
        <f t="shared" si="80"/>
        <v>0.62</v>
      </c>
      <c r="U194">
        <f t="shared" si="80"/>
        <v>0.62</v>
      </c>
      <c r="V194">
        <f t="shared" si="80"/>
        <v>0.63</v>
      </c>
      <c r="W194">
        <f t="shared" si="80"/>
        <v>0.63</v>
      </c>
      <c r="X194">
        <f t="shared" si="80"/>
        <v>0.63</v>
      </c>
      <c r="Y194">
        <f t="shared" si="80"/>
        <v>0.64</v>
      </c>
      <c r="Z194">
        <f t="shared" si="80"/>
        <v>0.64</v>
      </c>
      <c r="AA194">
        <f t="shared" si="80"/>
        <v>0.64</v>
      </c>
      <c r="AB194">
        <f t="shared" si="80"/>
        <v>0.65</v>
      </c>
      <c r="AC194">
        <f t="shared" si="80"/>
        <v>0.65</v>
      </c>
      <c r="AD194">
        <f t="shared" si="80"/>
        <v>0.65</v>
      </c>
      <c r="AE194">
        <f t="shared" si="80"/>
        <v>0.65</v>
      </c>
      <c r="AF194">
        <f t="shared" si="80"/>
        <v>0.66</v>
      </c>
      <c r="AG194">
        <f t="shared" si="80"/>
        <v>0.66</v>
      </c>
      <c r="AH194">
        <f t="shared" si="80"/>
        <v>0.66</v>
      </c>
      <c r="AI194">
        <f t="shared" si="80"/>
        <v>0.67</v>
      </c>
      <c r="AJ194">
        <f t="shared" si="80"/>
        <v>0.67</v>
      </c>
      <c r="AK194">
        <f t="shared" si="80"/>
        <v>0.67</v>
      </c>
      <c r="AL194">
        <f t="shared" si="80"/>
        <v>0.68</v>
      </c>
      <c r="AM194">
        <f t="shared" si="80"/>
        <v>0.68</v>
      </c>
      <c r="AN194">
        <f t="shared" si="80"/>
        <v>0.68</v>
      </c>
      <c r="AO194">
        <f t="shared" si="80"/>
        <v>0.68</v>
      </c>
      <c r="AP194">
        <f t="shared" si="80"/>
        <v>0.68</v>
      </c>
      <c r="AQ194">
        <f t="shared" si="80"/>
        <v>0.68</v>
      </c>
      <c r="AR194">
        <f t="shared" si="80"/>
        <v>0.68</v>
      </c>
      <c r="AS194">
        <f t="shared" si="80"/>
        <v>0.68</v>
      </c>
      <c r="AT194">
        <f t="shared" si="80"/>
        <v>0.68</v>
      </c>
      <c r="AU194">
        <f t="shared" si="80"/>
        <v>0.68</v>
      </c>
      <c r="AV194">
        <f t="shared" si="80"/>
        <v>0.68</v>
      </c>
      <c r="AW194">
        <f t="shared" si="80"/>
        <v>0.68</v>
      </c>
      <c r="AX194">
        <f t="shared" si="80"/>
        <v>0.68</v>
      </c>
      <c r="AY194">
        <f t="shared" si="80"/>
        <v>0.68</v>
      </c>
      <c r="AZ194">
        <f t="shared" si="80"/>
        <v>0.68</v>
      </c>
      <c r="BA194">
        <f t="shared" si="80"/>
        <v>0.68</v>
      </c>
      <c r="BB194">
        <f t="shared" si="80"/>
        <v>0.68</v>
      </c>
      <c r="BC194">
        <f t="shared" si="80"/>
        <v>0.68</v>
      </c>
      <c r="BD194">
        <f t="shared" si="80"/>
        <v>0.68</v>
      </c>
      <c r="BE194">
        <f t="shared" si="80"/>
        <v>0.68</v>
      </c>
      <c r="BF194">
        <f t="shared" si="80"/>
        <v>0.68</v>
      </c>
      <c r="BG194">
        <f t="shared" si="80"/>
        <v>0.68</v>
      </c>
      <c r="BH194">
        <f t="shared" si="80"/>
        <v>0.68</v>
      </c>
    </row>
    <row r="195" spans="2:60" hidden="1" outlineLevel="1">
      <c r="B195" t="s">
        <v>136</v>
      </c>
      <c r="C195">
        <f>C289</f>
        <v>0.02</v>
      </c>
      <c r="D195">
        <f t="shared" ref="D195:BH195" si="81">D289</f>
        <v>0.02</v>
      </c>
      <c r="E195">
        <f t="shared" si="81"/>
        <v>0.02</v>
      </c>
      <c r="F195">
        <f t="shared" si="81"/>
        <v>0.02</v>
      </c>
      <c r="G195">
        <f t="shared" si="81"/>
        <v>0.02</v>
      </c>
      <c r="H195">
        <f t="shared" si="81"/>
        <v>0.02</v>
      </c>
      <c r="I195">
        <f t="shared" si="81"/>
        <v>0.02</v>
      </c>
      <c r="J195">
        <f t="shared" si="81"/>
        <v>0.03</v>
      </c>
      <c r="K195">
        <f t="shared" si="81"/>
        <v>0.02</v>
      </c>
      <c r="L195">
        <f t="shared" si="81"/>
        <v>0.02</v>
      </c>
      <c r="M195">
        <f t="shared" si="81"/>
        <v>0.02</v>
      </c>
      <c r="N195">
        <f t="shared" si="81"/>
        <v>0.02</v>
      </c>
      <c r="O195">
        <f t="shared" si="81"/>
        <v>0.02</v>
      </c>
      <c r="P195">
        <f t="shared" si="81"/>
        <v>0.02</v>
      </c>
      <c r="Q195">
        <f t="shared" si="81"/>
        <v>0.02</v>
      </c>
      <c r="R195">
        <f t="shared" si="81"/>
        <v>0.02</v>
      </c>
      <c r="S195">
        <f t="shared" si="81"/>
        <v>0.02</v>
      </c>
      <c r="T195">
        <f t="shared" si="81"/>
        <v>0.02</v>
      </c>
      <c r="U195">
        <f t="shared" si="81"/>
        <v>0.02</v>
      </c>
      <c r="V195">
        <f t="shared" si="81"/>
        <v>0.02</v>
      </c>
      <c r="W195">
        <f t="shared" si="81"/>
        <v>0.02</v>
      </c>
      <c r="X195">
        <f t="shared" si="81"/>
        <v>0.02</v>
      </c>
      <c r="Y195">
        <f t="shared" si="81"/>
        <v>0.03</v>
      </c>
      <c r="Z195">
        <f t="shared" si="81"/>
        <v>0.03</v>
      </c>
      <c r="AA195">
        <f t="shared" si="81"/>
        <v>0.03</v>
      </c>
      <c r="AB195">
        <f t="shared" si="81"/>
        <v>0.03</v>
      </c>
      <c r="AC195">
        <f t="shared" si="81"/>
        <v>0.03</v>
      </c>
      <c r="AD195">
        <f t="shared" si="81"/>
        <v>0.03</v>
      </c>
      <c r="AE195">
        <f t="shared" si="81"/>
        <v>0.03</v>
      </c>
      <c r="AF195">
        <f t="shared" si="81"/>
        <v>0.03</v>
      </c>
      <c r="AG195">
        <f t="shared" si="81"/>
        <v>0.03</v>
      </c>
      <c r="AH195">
        <f t="shared" si="81"/>
        <v>0.03</v>
      </c>
      <c r="AI195">
        <f t="shared" si="81"/>
        <v>0.03</v>
      </c>
      <c r="AJ195">
        <f t="shared" si="81"/>
        <v>0.03</v>
      </c>
      <c r="AK195">
        <f t="shared" si="81"/>
        <v>0.03</v>
      </c>
      <c r="AL195">
        <f t="shared" si="81"/>
        <v>0.03</v>
      </c>
      <c r="AM195">
        <f t="shared" si="81"/>
        <v>0.03</v>
      </c>
      <c r="AN195">
        <f t="shared" si="81"/>
        <v>0.03</v>
      </c>
      <c r="AO195">
        <f t="shared" si="81"/>
        <v>0.03</v>
      </c>
      <c r="AP195">
        <f t="shared" si="81"/>
        <v>0.03</v>
      </c>
      <c r="AQ195">
        <f t="shared" si="81"/>
        <v>0.03</v>
      </c>
      <c r="AR195">
        <f t="shared" si="81"/>
        <v>0.03</v>
      </c>
      <c r="AS195">
        <f t="shared" si="81"/>
        <v>0.03</v>
      </c>
      <c r="AT195">
        <f t="shared" si="81"/>
        <v>0.03</v>
      </c>
      <c r="AU195">
        <f t="shared" si="81"/>
        <v>0.03</v>
      </c>
      <c r="AV195">
        <f t="shared" si="81"/>
        <v>0.03</v>
      </c>
      <c r="AW195">
        <f t="shared" si="81"/>
        <v>0.03</v>
      </c>
      <c r="AX195">
        <f t="shared" si="81"/>
        <v>0.03</v>
      </c>
      <c r="AY195">
        <f t="shared" si="81"/>
        <v>0.03</v>
      </c>
      <c r="AZ195">
        <f t="shared" si="81"/>
        <v>0.03</v>
      </c>
      <c r="BA195">
        <f t="shared" si="81"/>
        <v>0.03</v>
      </c>
      <c r="BB195">
        <f t="shared" si="81"/>
        <v>0.03</v>
      </c>
      <c r="BC195">
        <f t="shared" si="81"/>
        <v>0.03</v>
      </c>
      <c r="BD195">
        <f t="shared" si="81"/>
        <v>0.03</v>
      </c>
      <c r="BE195">
        <f t="shared" si="81"/>
        <v>0.03</v>
      </c>
      <c r="BF195">
        <f t="shared" si="81"/>
        <v>0.03</v>
      </c>
      <c r="BG195">
        <f t="shared" si="81"/>
        <v>0.03</v>
      </c>
      <c r="BH195">
        <f t="shared" si="81"/>
        <v>0.03</v>
      </c>
    </row>
    <row r="196" spans="2:60" hidden="1" outlineLevel="1">
      <c r="B196" t="s">
        <v>137</v>
      </c>
      <c r="C196">
        <f>C296</f>
        <v>0.15</v>
      </c>
      <c r="D196">
        <f t="shared" ref="D196:BH196" si="82">D296</f>
        <v>0.15</v>
      </c>
      <c r="E196">
        <f t="shared" si="82"/>
        <v>0.16</v>
      </c>
      <c r="F196">
        <f t="shared" si="82"/>
        <v>0.16</v>
      </c>
      <c r="G196">
        <f t="shared" si="82"/>
        <v>0.16</v>
      </c>
      <c r="H196">
        <f t="shared" si="82"/>
        <v>0.16</v>
      </c>
      <c r="I196">
        <f t="shared" si="82"/>
        <v>0.16</v>
      </c>
      <c r="J196">
        <f t="shared" si="82"/>
        <v>0.15</v>
      </c>
      <c r="K196">
        <f t="shared" si="82"/>
        <v>0.12</v>
      </c>
      <c r="L196">
        <f t="shared" si="82"/>
        <v>0.13</v>
      </c>
      <c r="M196">
        <f t="shared" si="82"/>
        <v>0.13</v>
      </c>
      <c r="N196">
        <f t="shared" si="82"/>
        <v>0.13</v>
      </c>
      <c r="O196">
        <f t="shared" si="82"/>
        <v>0.13</v>
      </c>
      <c r="P196">
        <f t="shared" si="82"/>
        <v>0.13</v>
      </c>
      <c r="Q196">
        <f t="shared" si="82"/>
        <v>0.13</v>
      </c>
      <c r="R196">
        <f t="shared" si="82"/>
        <v>0.13</v>
      </c>
      <c r="S196">
        <f t="shared" si="82"/>
        <v>0.13</v>
      </c>
      <c r="T196">
        <f t="shared" si="82"/>
        <v>0.13</v>
      </c>
      <c r="U196">
        <f t="shared" si="82"/>
        <v>0.13</v>
      </c>
      <c r="V196">
        <f t="shared" si="82"/>
        <v>0.13</v>
      </c>
      <c r="W196">
        <f t="shared" si="82"/>
        <v>0.13</v>
      </c>
      <c r="X196">
        <f t="shared" si="82"/>
        <v>0.14000000000000001</v>
      </c>
      <c r="Y196">
        <f t="shared" si="82"/>
        <v>0.14000000000000001</v>
      </c>
      <c r="Z196">
        <f t="shared" si="82"/>
        <v>0.14000000000000001</v>
      </c>
      <c r="AA196">
        <f t="shared" si="82"/>
        <v>0.14000000000000001</v>
      </c>
      <c r="AB196">
        <f t="shared" si="82"/>
        <v>0.14000000000000001</v>
      </c>
      <c r="AC196">
        <f t="shared" si="82"/>
        <v>0.14000000000000001</v>
      </c>
      <c r="AD196">
        <f t="shared" si="82"/>
        <v>0.14000000000000001</v>
      </c>
      <c r="AE196">
        <f t="shared" si="82"/>
        <v>0.14000000000000001</v>
      </c>
      <c r="AF196">
        <f t="shared" si="82"/>
        <v>0.14000000000000001</v>
      </c>
      <c r="AG196">
        <f t="shared" si="82"/>
        <v>0.14000000000000001</v>
      </c>
      <c r="AH196">
        <f t="shared" si="82"/>
        <v>0.14000000000000001</v>
      </c>
      <c r="AI196">
        <f t="shared" si="82"/>
        <v>0.14000000000000001</v>
      </c>
      <c r="AJ196">
        <f t="shared" si="82"/>
        <v>0.14000000000000001</v>
      </c>
      <c r="AK196">
        <f t="shared" si="82"/>
        <v>0.14000000000000001</v>
      </c>
      <c r="AL196">
        <f t="shared" si="82"/>
        <v>0.14000000000000001</v>
      </c>
      <c r="AM196">
        <f t="shared" si="82"/>
        <v>0.15</v>
      </c>
      <c r="AN196">
        <f t="shared" si="82"/>
        <v>0.15</v>
      </c>
      <c r="AO196">
        <f t="shared" si="82"/>
        <v>0.15</v>
      </c>
      <c r="AP196">
        <f t="shared" si="82"/>
        <v>0.15</v>
      </c>
      <c r="AQ196">
        <f t="shared" si="82"/>
        <v>0.15</v>
      </c>
      <c r="AR196">
        <f t="shared" si="82"/>
        <v>0.15</v>
      </c>
      <c r="AS196">
        <f t="shared" si="82"/>
        <v>0.15</v>
      </c>
      <c r="AT196">
        <f t="shared" si="82"/>
        <v>0.15</v>
      </c>
      <c r="AU196">
        <f t="shared" si="82"/>
        <v>0.15</v>
      </c>
      <c r="AV196">
        <f t="shared" si="82"/>
        <v>0.15</v>
      </c>
      <c r="AW196">
        <f t="shared" si="82"/>
        <v>0.15</v>
      </c>
      <c r="AX196">
        <f t="shared" si="82"/>
        <v>0.15</v>
      </c>
      <c r="AY196">
        <f t="shared" si="82"/>
        <v>0.15</v>
      </c>
      <c r="AZ196">
        <f t="shared" si="82"/>
        <v>0.15</v>
      </c>
      <c r="BA196">
        <f t="shared" si="82"/>
        <v>0.15</v>
      </c>
      <c r="BB196">
        <f t="shared" si="82"/>
        <v>0.15</v>
      </c>
      <c r="BC196">
        <f t="shared" si="82"/>
        <v>0.15</v>
      </c>
      <c r="BD196">
        <f t="shared" si="82"/>
        <v>0.15</v>
      </c>
      <c r="BE196">
        <f t="shared" si="82"/>
        <v>0.15</v>
      </c>
      <c r="BF196">
        <f t="shared" si="82"/>
        <v>0.15</v>
      </c>
      <c r="BG196">
        <f t="shared" si="82"/>
        <v>0.15</v>
      </c>
      <c r="BH196">
        <f t="shared" si="82"/>
        <v>0.15</v>
      </c>
    </row>
    <row r="197" spans="2:60" hidden="1" outlineLevel="1">
      <c r="B197" t="s">
        <v>138</v>
      </c>
    </row>
    <row r="198" spans="2:60" hidden="1" outlineLevel="1">
      <c r="B198" t="s">
        <v>139</v>
      </c>
      <c r="C198">
        <f>C311</f>
        <v>0.01</v>
      </c>
      <c r="D198">
        <f t="shared" ref="D198:BH198" si="83">D311</f>
        <v>0.01</v>
      </c>
      <c r="E198">
        <f t="shared" si="83"/>
        <v>0.01</v>
      </c>
      <c r="F198">
        <f t="shared" si="83"/>
        <v>0.01</v>
      </c>
      <c r="G198">
        <f t="shared" si="83"/>
        <v>0.01</v>
      </c>
      <c r="H198">
        <f t="shared" si="83"/>
        <v>0.01</v>
      </c>
      <c r="I198">
        <f t="shared" si="83"/>
        <v>0.01</v>
      </c>
      <c r="J198">
        <f t="shared" si="83"/>
        <v>0.01</v>
      </c>
      <c r="K198">
        <f t="shared" si="83"/>
        <v>0.01</v>
      </c>
      <c r="L198">
        <f t="shared" si="83"/>
        <v>0.01</v>
      </c>
      <c r="M198">
        <f t="shared" si="83"/>
        <v>0.01</v>
      </c>
      <c r="N198">
        <f t="shared" si="83"/>
        <v>0.01</v>
      </c>
      <c r="O198">
        <f t="shared" si="83"/>
        <v>0.01</v>
      </c>
      <c r="P198">
        <f t="shared" si="83"/>
        <v>0.01</v>
      </c>
      <c r="Q198">
        <f t="shared" si="83"/>
        <v>0.01</v>
      </c>
      <c r="R198">
        <f t="shared" si="83"/>
        <v>0.01</v>
      </c>
      <c r="S198">
        <f t="shared" si="83"/>
        <v>0.01</v>
      </c>
      <c r="T198">
        <f t="shared" si="83"/>
        <v>0.01</v>
      </c>
      <c r="U198">
        <f t="shared" si="83"/>
        <v>0.01</v>
      </c>
      <c r="V198">
        <f t="shared" si="83"/>
        <v>0.01</v>
      </c>
      <c r="W198">
        <f t="shared" si="83"/>
        <v>0.01</v>
      </c>
      <c r="X198">
        <f t="shared" si="83"/>
        <v>0.01</v>
      </c>
      <c r="Y198">
        <f t="shared" si="83"/>
        <v>0.01</v>
      </c>
      <c r="Z198">
        <f t="shared" si="83"/>
        <v>0.01</v>
      </c>
      <c r="AA198">
        <f t="shared" si="83"/>
        <v>0.01</v>
      </c>
      <c r="AB198">
        <f t="shared" si="83"/>
        <v>0.01</v>
      </c>
      <c r="AC198">
        <f t="shared" si="83"/>
        <v>0.01</v>
      </c>
      <c r="AD198">
        <f t="shared" si="83"/>
        <v>0.01</v>
      </c>
      <c r="AE198">
        <f t="shared" si="83"/>
        <v>0.01</v>
      </c>
      <c r="AF198">
        <f t="shared" si="83"/>
        <v>0.01</v>
      </c>
      <c r="AG198">
        <f t="shared" si="83"/>
        <v>0.01</v>
      </c>
      <c r="AH198">
        <f t="shared" si="83"/>
        <v>0.01</v>
      </c>
      <c r="AI198">
        <f t="shared" si="83"/>
        <v>0.01</v>
      </c>
      <c r="AJ198">
        <f t="shared" si="83"/>
        <v>0.01</v>
      </c>
      <c r="AK198">
        <f t="shared" si="83"/>
        <v>0.01</v>
      </c>
      <c r="AL198">
        <f t="shared" si="83"/>
        <v>0.01</v>
      </c>
      <c r="AM198">
        <f t="shared" si="83"/>
        <v>0.01</v>
      </c>
      <c r="AN198">
        <f t="shared" si="83"/>
        <v>0.01</v>
      </c>
      <c r="AO198">
        <f t="shared" si="83"/>
        <v>0.01</v>
      </c>
      <c r="AP198">
        <f t="shared" si="83"/>
        <v>0.01</v>
      </c>
      <c r="AQ198">
        <f t="shared" si="83"/>
        <v>0.01</v>
      </c>
      <c r="AR198">
        <f t="shared" si="83"/>
        <v>0.01</v>
      </c>
      <c r="AS198">
        <f t="shared" si="83"/>
        <v>0.01</v>
      </c>
      <c r="AT198">
        <f t="shared" si="83"/>
        <v>0.01</v>
      </c>
      <c r="AU198">
        <f t="shared" si="83"/>
        <v>0.01</v>
      </c>
      <c r="AV198">
        <f t="shared" si="83"/>
        <v>0.01</v>
      </c>
      <c r="AW198">
        <f t="shared" si="83"/>
        <v>0.01</v>
      </c>
      <c r="AX198">
        <f t="shared" si="83"/>
        <v>0.01</v>
      </c>
      <c r="AY198">
        <f t="shared" si="83"/>
        <v>0.01</v>
      </c>
      <c r="AZ198">
        <f t="shared" si="83"/>
        <v>0.01</v>
      </c>
      <c r="BA198">
        <f t="shared" si="83"/>
        <v>0.01</v>
      </c>
      <c r="BB198">
        <f t="shared" si="83"/>
        <v>0.01</v>
      </c>
      <c r="BC198">
        <f t="shared" si="83"/>
        <v>0.01</v>
      </c>
      <c r="BD198">
        <f t="shared" si="83"/>
        <v>0.01</v>
      </c>
      <c r="BE198">
        <f t="shared" si="83"/>
        <v>0.01</v>
      </c>
      <c r="BF198">
        <f t="shared" si="83"/>
        <v>0.01</v>
      </c>
      <c r="BG198">
        <f t="shared" si="83"/>
        <v>0.01</v>
      </c>
      <c r="BH198">
        <f t="shared" si="83"/>
        <v>0.01</v>
      </c>
    </row>
    <row r="199" spans="2:60" hidden="1" outlineLevel="1">
      <c r="B199" t="s">
        <v>140</v>
      </c>
    </row>
    <row r="200" spans="2:60" hidden="1" outlineLevel="1">
      <c r="B200" t="s">
        <v>141</v>
      </c>
    </row>
    <row r="201" spans="2:60" hidden="1" outlineLevel="1">
      <c r="B201" t="s">
        <v>142</v>
      </c>
    </row>
    <row r="202" spans="2:60" hidden="1" outlineLevel="1">
      <c r="B202" t="s">
        <v>143</v>
      </c>
      <c r="C202">
        <f>C323</f>
        <v>0.04</v>
      </c>
      <c r="D202">
        <f t="shared" ref="D202:BH202" si="84">D323</f>
        <v>0.04</v>
      </c>
      <c r="E202">
        <f t="shared" si="84"/>
        <v>0.04</v>
      </c>
      <c r="F202">
        <f t="shared" si="84"/>
        <v>0.05</v>
      </c>
      <c r="G202">
        <f t="shared" si="84"/>
        <v>0.05</v>
      </c>
      <c r="H202">
        <f t="shared" si="84"/>
        <v>0.05</v>
      </c>
      <c r="I202">
        <f t="shared" si="84"/>
        <v>0.05</v>
      </c>
      <c r="J202">
        <f t="shared" si="84"/>
        <v>0.05</v>
      </c>
      <c r="K202">
        <f t="shared" si="84"/>
        <v>0.05</v>
      </c>
      <c r="L202">
        <f t="shared" si="84"/>
        <v>0.05</v>
      </c>
      <c r="M202">
        <f t="shared" si="84"/>
        <v>0.05</v>
      </c>
      <c r="N202">
        <f t="shared" si="84"/>
        <v>5.0052820969925069E-2</v>
      </c>
      <c r="O202">
        <f t="shared" si="84"/>
        <v>5.0104816612195048E-2</v>
      </c>
      <c r="P202">
        <f t="shared" si="84"/>
        <v>5.0158462909775187E-2</v>
      </c>
      <c r="Q202">
        <f t="shared" si="84"/>
        <v>5.0211283879700246E-2</v>
      </c>
      <c r="R202">
        <f t="shared" si="84"/>
        <v>5.0263279521970225E-2</v>
      </c>
      <c r="S202">
        <f t="shared" si="84"/>
        <v>5.0316925819550377E-2</v>
      </c>
      <c r="T202">
        <f t="shared" si="84"/>
        <v>5.036892146182035E-2</v>
      </c>
      <c r="U202">
        <f t="shared" si="84"/>
        <v>5.0420917104090336E-2</v>
      </c>
      <c r="V202">
        <f t="shared" si="84"/>
        <v>5.0475388729325561E-2</v>
      </c>
      <c r="W202">
        <f t="shared" si="84"/>
        <v>5.0527384371595541E-2</v>
      </c>
      <c r="X202">
        <f t="shared" si="84"/>
        <v>5.0384602687266855E-2</v>
      </c>
      <c r="Y202">
        <f t="shared" si="84"/>
        <v>4.9977716153312868E-2</v>
      </c>
      <c r="Z202">
        <f t="shared" si="84"/>
        <v>4.9570004291703815E-2</v>
      </c>
      <c r="AA202">
        <f t="shared" si="84"/>
        <v>4.9163943085404921E-2</v>
      </c>
      <c r="AB202">
        <f t="shared" si="84"/>
        <v>4.8757056551450934E-2</v>
      </c>
      <c r="AC202">
        <f t="shared" si="84"/>
        <v>4.8348519362186801E-2</v>
      </c>
      <c r="AD202">
        <f t="shared" si="84"/>
        <v>4.7943283483542973E-2</v>
      </c>
      <c r="AE202">
        <f t="shared" si="84"/>
        <v>4.7536396949588992E-2</v>
      </c>
      <c r="AF202">
        <f t="shared" si="84"/>
        <v>4.7128685087979925E-2</v>
      </c>
      <c r="AG202">
        <f t="shared" si="84"/>
        <v>4.6721798554025952E-2</v>
      </c>
      <c r="AH202">
        <f t="shared" si="84"/>
        <v>4.6315737347727044E-2</v>
      </c>
      <c r="AI202">
        <f t="shared" si="84"/>
        <v>4.5908025486117991E-2</v>
      </c>
      <c r="AJ202">
        <f t="shared" si="84"/>
        <v>4.5501138952164004E-2</v>
      </c>
      <c r="AK202">
        <f t="shared" si="84"/>
        <v>4.5094252418210024E-2</v>
      </c>
      <c r="AL202">
        <f t="shared" si="84"/>
        <v>4.468819121191113E-2</v>
      </c>
      <c r="AM202">
        <f t="shared" si="84"/>
        <v>4.4276352712026679E-2</v>
      </c>
      <c r="AN202">
        <f t="shared" si="84"/>
        <v>4.38653395397973E-2</v>
      </c>
      <c r="AO202">
        <f t="shared" si="84"/>
        <v>4.38653395397973E-2</v>
      </c>
      <c r="AP202">
        <f t="shared" si="84"/>
        <v>4.38653395397973E-2</v>
      </c>
      <c r="AQ202">
        <f t="shared" si="84"/>
        <v>4.38653395397973E-2</v>
      </c>
      <c r="AR202">
        <f t="shared" si="84"/>
        <v>4.38653395397973E-2</v>
      </c>
      <c r="AS202">
        <f t="shared" si="84"/>
        <v>4.38653395397973E-2</v>
      </c>
      <c r="AT202">
        <f t="shared" si="84"/>
        <v>4.38653395397973E-2</v>
      </c>
      <c r="AU202">
        <f t="shared" si="84"/>
        <v>4.38653395397973E-2</v>
      </c>
      <c r="AV202">
        <f t="shared" si="84"/>
        <v>4.38653395397973E-2</v>
      </c>
      <c r="AW202">
        <f t="shared" si="84"/>
        <v>4.38653395397973E-2</v>
      </c>
      <c r="AX202">
        <f t="shared" si="84"/>
        <v>4.38653395397973E-2</v>
      </c>
      <c r="AY202">
        <f t="shared" si="84"/>
        <v>4.38653395397973E-2</v>
      </c>
      <c r="AZ202">
        <f t="shared" si="84"/>
        <v>4.38653395397973E-2</v>
      </c>
      <c r="BA202">
        <f t="shared" si="84"/>
        <v>4.38653395397973E-2</v>
      </c>
      <c r="BB202">
        <f t="shared" si="84"/>
        <v>4.38653395397973E-2</v>
      </c>
      <c r="BC202">
        <f t="shared" si="84"/>
        <v>4.38653395397973E-2</v>
      </c>
      <c r="BD202">
        <f t="shared" si="84"/>
        <v>4.38653395397973E-2</v>
      </c>
      <c r="BE202">
        <f t="shared" si="84"/>
        <v>4.38653395397973E-2</v>
      </c>
      <c r="BF202">
        <f t="shared" si="84"/>
        <v>4.38653395397973E-2</v>
      </c>
      <c r="BG202">
        <f t="shared" si="84"/>
        <v>4.38653395397973E-2</v>
      </c>
      <c r="BH202">
        <f t="shared" si="84"/>
        <v>4.38653395397973E-2</v>
      </c>
    </row>
    <row r="203" spans="2:60" hidden="1" outlineLevel="1">
      <c r="B203" t="s">
        <v>144</v>
      </c>
    </row>
    <row r="204" spans="2:60" hidden="1" outlineLevel="1">
      <c r="B204" t="s">
        <v>145</v>
      </c>
      <c r="C204">
        <f>C329</f>
        <v>0.55000000000000004</v>
      </c>
      <c r="D204">
        <f t="shared" ref="D204:BH204" si="85">D329</f>
        <v>0.61</v>
      </c>
      <c r="E204">
        <f t="shared" si="85"/>
        <v>0.66</v>
      </c>
      <c r="F204">
        <f t="shared" si="85"/>
        <v>0.67</v>
      </c>
      <c r="G204">
        <f t="shared" si="85"/>
        <v>0.66</v>
      </c>
      <c r="H204">
        <f t="shared" si="85"/>
        <v>0.69</v>
      </c>
      <c r="I204">
        <f t="shared" si="85"/>
        <v>0.72</v>
      </c>
      <c r="J204">
        <f t="shared" si="85"/>
        <v>0.56000000000000005</v>
      </c>
      <c r="K204">
        <f t="shared" si="85"/>
        <v>0.46</v>
      </c>
      <c r="L204">
        <f t="shared" si="85"/>
        <v>0.49</v>
      </c>
      <c r="M204">
        <f t="shared" si="85"/>
        <v>0.49</v>
      </c>
      <c r="N204">
        <f t="shared" si="85"/>
        <v>0.49</v>
      </c>
      <c r="O204">
        <f t="shared" si="85"/>
        <v>0.5</v>
      </c>
      <c r="P204">
        <f t="shared" si="85"/>
        <v>0.5</v>
      </c>
      <c r="Q204">
        <f t="shared" si="85"/>
        <v>0.5</v>
      </c>
      <c r="R204">
        <f t="shared" si="85"/>
        <v>0.5</v>
      </c>
      <c r="S204">
        <f t="shared" si="85"/>
        <v>0.51</v>
      </c>
      <c r="T204">
        <f t="shared" si="85"/>
        <v>0.51</v>
      </c>
      <c r="U204">
        <f t="shared" si="85"/>
        <v>0.51</v>
      </c>
      <c r="V204">
        <f t="shared" si="85"/>
        <v>0.51</v>
      </c>
      <c r="W204">
        <f t="shared" si="85"/>
        <v>0.52</v>
      </c>
      <c r="X204">
        <f t="shared" si="85"/>
        <v>0.52</v>
      </c>
      <c r="Y204">
        <f t="shared" si="85"/>
        <v>0.52</v>
      </c>
      <c r="Z204">
        <f t="shared" si="85"/>
        <v>0.52</v>
      </c>
      <c r="AA204">
        <f t="shared" si="85"/>
        <v>0.53</v>
      </c>
      <c r="AB204">
        <f t="shared" si="85"/>
        <v>0.53</v>
      </c>
      <c r="AC204">
        <f t="shared" si="85"/>
        <v>0.53</v>
      </c>
      <c r="AD204">
        <f t="shared" si="85"/>
        <v>0.54</v>
      </c>
      <c r="AE204">
        <f t="shared" si="85"/>
        <v>0.54</v>
      </c>
      <c r="AF204">
        <f t="shared" si="85"/>
        <v>0.54</v>
      </c>
      <c r="AG204">
        <f t="shared" si="85"/>
        <v>0.54</v>
      </c>
      <c r="AH204">
        <f t="shared" si="85"/>
        <v>0.55000000000000004</v>
      </c>
      <c r="AI204">
        <f t="shared" si="85"/>
        <v>0.55000000000000004</v>
      </c>
      <c r="AJ204">
        <f t="shared" si="85"/>
        <v>0.55000000000000004</v>
      </c>
      <c r="AK204">
        <f t="shared" si="85"/>
        <v>0.55000000000000004</v>
      </c>
      <c r="AL204">
        <f t="shared" si="85"/>
        <v>0.56000000000000005</v>
      </c>
      <c r="AM204">
        <f t="shared" si="85"/>
        <v>0.56000000000000005</v>
      </c>
      <c r="AN204">
        <f t="shared" si="85"/>
        <v>0.56000000000000005</v>
      </c>
      <c r="AO204">
        <f t="shared" si="85"/>
        <v>0.56000000000000005</v>
      </c>
      <c r="AP204">
        <f t="shared" si="85"/>
        <v>0.56000000000000005</v>
      </c>
      <c r="AQ204">
        <f t="shared" si="85"/>
        <v>0.56000000000000005</v>
      </c>
      <c r="AR204">
        <f t="shared" si="85"/>
        <v>0.56000000000000005</v>
      </c>
      <c r="AS204">
        <f t="shared" si="85"/>
        <v>0.56000000000000005</v>
      </c>
      <c r="AT204">
        <f t="shared" si="85"/>
        <v>0.56000000000000005</v>
      </c>
      <c r="AU204">
        <f t="shared" si="85"/>
        <v>0.56000000000000005</v>
      </c>
      <c r="AV204">
        <f t="shared" si="85"/>
        <v>0.56000000000000005</v>
      </c>
      <c r="AW204">
        <f t="shared" si="85"/>
        <v>0.56000000000000005</v>
      </c>
      <c r="AX204">
        <f t="shared" si="85"/>
        <v>0.56000000000000005</v>
      </c>
      <c r="AY204">
        <f t="shared" si="85"/>
        <v>0.56000000000000005</v>
      </c>
      <c r="AZ204">
        <f t="shared" si="85"/>
        <v>0.56000000000000005</v>
      </c>
      <c r="BA204">
        <f t="shared" si="85"/>
        <v>0.56000000000000005</v>
      </c>
      <c r="BB204">
        <f t="shared" si="85"/>
        <v>0.56000000000000005</v>
      </c>
      <c r="BC204">
        <f t="shared" si="85"/>
        <v>0.56000000000000005</v>
      </c>
      <c r="BD204">
        <f t="shared" si="85"/>
        <v>0.56000000000000005</v>
      </c>
      <c r="BE204">
        <f t="shared" si="85"/>
        <v>0.56000000000000005</v>
      </c>
      <c r="BF204">
        <f t="shared" si="85"/>
        <v>0.56000000000000005</v>
      </c>
      <c r="BG204">
        <f t="shared" si="85"/>
        <v>0.56000000000000005</v>
      </c>
      <c r="BH204">
        <f t="shared" si="85"/>
        <v>0.56000000000000005</v>
      </c>
    </row>
    <row r="205" spans="2:60" hidden="1" outlineLevel="1">
      <c r="B205" t="s">
        <v>146</v>
      </c>
    </row>
    <row r="206" spans="2:60" hidden="1" outlineLevel="1">
      <c r="B206" t="s">
        <v>147</v>
      </c>
      <c r="C206">
        <f>C343</f>
        <v>30.499999999999996</v>
      </c>
      <c r="D206">
        <f t="shared" ref="D206:BH206" si="86">D343</f>
        <v>30.06</v>
      </c>
      <c r="E206">
        <f t="shared" si="86"/>
        <v>35.21</v>
      </c>
      <c r="F206">
        <f t="shared" si="86"/>
        <v>34.14</v>
      </c>
      <c r="G206">
        <f t="shared" si="86"/>
        <v>33.190000000000005</v>
      </c>
      <c r="H206">
        <f t="shared" si="86"/>
        <v>33.360000000000007</v>
      </c>
      <c r="I206">
        <f t="shared" si="86"/>
        <v>33.480000000000004</v>
      </c>
      <c r="J206">
        <f t="shared" si="86"/>
        <v>28.619999999999997</v>
      </c>
      <c r="K206">
        <f t="shared" si="86"/>
        <v>23.719999999999995</v>
      </c>
      <c r="L206">
        <f t="shared" si="86"/>
        <v>25.199999999999996</v>
      </c>
      <c r="M206">
        <f t="shared" si="86"/>
        <v>25.33</v>
      </c>
      <c r="N206">
        <f t="shared" si="86"/>
        <v>25.469904922254138</v>
      </c>
      <c r="O206">
        <f t="shared" si="86"/>
        <v>25.599811330098049</v>
      </c>
      <c r="P206">
        <f t="shared" si="86"/>
        <v>25.739714766762404</v>
      </c>
      <c r="Q206">
        <f t="shared" si="86"/>
        <v>25.869619689016542</v>
      </c>
      <c r="R206">
        <f t="shared" si="86"/>
        <v>25.99952609686045</v>
      </c>
      <c r="S206">
        <f t="shared" si="86"/>
        <v>26.139429533524808</v>
      </c>
      <c r="T206">
        <f t="shared" si="86"/>
        <v>26.269335941368723</v>
      </c>
      <c r="U206">
        <f t="shared" si="86"/>
        <v>26.399242349212635</v>
      </c>
      <c r="V206">
        <f t="shared" si="86"/>
        <v>26.539144300287212</v>
      </c>
      <c r="W206">
        <f t="shared" si="86"/>
        <v>26.669050708131131</v>
      </c>
      <c r="X206">
        <f t="shared" si="86"/>
        <v>26.80930771516292</v>
      </c>
      <c r="Y206">
        <f t="shared" si="86"/>
        <v>26.940040110924038</v>
      </c>
      <c r="Z206">
        <f t="shared" si="86"/>
        <v>27.070773992274933</v>
      </c>
      <c r="AA206">
        <f t="shared" si="86"/>
        <v>27.211504902446272</v>
      </c>
      <c r="AB206">
        <f t="shared" si="86"/>
        <v>27.342237298207387</v>
      </c>
      <c r="AC206">
        <f t="shared" si="86"/>
        <v>27.472972665148063</v>
      </c>
      <c r="AD206">
        <f t="shared" si="86"/>
        <v>27.613702089729617</v>
      </c>
      <c r="AE206">
        <f t="shared" si="86"/>
        <v>27.744434485490739</v>
      </c>
      <c r="AF206">
        <f t="shared" si="86"/>
        <v>27.885168366841633</v>
      </c>
      <c r="AG206">
        <f t="shared" si="86"/>
        <v>28.015900762602755</v>
      </c>
      <c r="AH206">
        <f t="shared" si="86"/>
        <v>28.146631672774092</v>
      </c>
      <c r="AI206">
        <f t="shared" si="86"/>
        <v>28.287365554124992</v>
      </c>
      <c r="AJ206">
        <f t="shared" si="86"/>
        <v>28.418097949886103</v>
      </c>
      <c r="AK206">
        <f t="shared" si="86"/>
        <v>28.548830345647222</v>
      </c>
      <c r="AL206">
        <f t="shared" si="86"/>
        <v>28.68956125581856</v>
      </c>
      <c r="AM206">
        <f t="shared" si="86"/>
        <v>28.820302565118354</v>
      </c>
      <c r="AN206">
        <f t="shared" si="86"/>
        <v>28.961042388828364</v>
      </c>
      <c r="AO206">
        <f t="shared" si="86"/>
        <v>28.961042388828364</v>
      </c>
      <c r="AP206">
        <f t="shared" si="86"/>
        <v>28.961042388828364</v>
      </c>
      <c r="AQ206">
        <f t="shared" si="86"/>
        <v>28.961042388828364</v>
      </c>
      <c r="AR206">
        <f t="shared" si="86"/>
        <v>28.961042388828364</v>
      </c>
      <c r="AS206">
        <f t="shared" si="86"/>
        <v>28.961042388828364</v>
      </c>
      <c r="AT206">
        <f t="shared" si="86"/>
        <v>28.961042388828364</v>
      </c>
      <c r="AU206">
        <f t="shared" si="86"/>
        <v>28.961042388828364</v>
      </c>
      <c r="AV206">
        <f t="shared" si="86"/>
        <v>28.961042388828364</v>
      </c>
      <c r="AW206">
        <f t="shared" si="86"/>
        <v>28.961042388828364</v>
      </c>
      <c r="AX206">
        <f t="shared" si="86"/>
        <v>28.961042388828364</v>
      </c>
      <c r="AY206">
        <f t="shared" si="86"/>
        <v>28.961042388828364</v>
      </c>
      <c r="AZ206">
        <f t="shared" si="86"/>
        <v>28.961042388828364</v>
      </c>
      <c r="BA206">
        <f t="shared" si="86"/>
        <v>28.961042388828364</v>
      </c>
      <c r="BB206">
        <f t="shared" si="86"/>
        <v>28.961042388828364</v>
      </c>
      <c r="BC206">
        <f t="shared" si="86"/>
        <v>28.961042388828364</v>
      </c>
      <c r="BD206">
        <f t="shared" si="86"/>
        <v>28.961042388828364</v>
      </c>
      <c r="BE206">
        <f t="shared" si="86"/>
        <v>28.961042388828364</v>
      </c>
      <c r="BF206">
        <f t="shared" si="86"/>
        <v>28.961042388828364</v>
      </c>
      <c r="BG206">
        <f t="shared" si="86"/>
        <v>28.961042388828364</v>
      </c>
      <c r="BH206">
        <f t="shared" si="86"/>
        <v>28.961042388828364</v>
      </c>
    </row>
    <row r="207" spans="2:60" hidden="1" outlineLevel="1">
      <c r="B207" t="s">
        <v>148</v>
      </c>
    </row>
    <row r="208" spans="2:60" hidden="1" outlineLevel="1">
      <c r="B208" t="s">
        <v>149</v>
      </c>
    </row>
    <row r="209" spans="1:60" hidden="1" outlineLevel="1">
      <c r="B209" t="s">
        <v>150</v>
      </c>
    </row>
    <row r="210" spans="1:60">
      <c r="A210" t="s">
        <v>158</v>
      </c>
      <c r="C210">
        <f>SUM(C211:C235)</f>
        <v>0</v>
      </c>
      <c r="D210">
        <f t="shared" ref="D210:BH210" si="87">SUM(D211:D235)</f>
        <v>0</v>
      </c>
      <c r="E210">
        <f t="shared" si="87"/>
        <v>0</v>
      </c>
      <c r="F210">
        <f t="shared" si="87"/>
        <v>0</v>
      </c>
      <c r="G210">
        <f t="shared" si="87"/>
        <v>0</v>
      </c>
      <c r="H210">
        <f t="shared" si="87"/>
        <v>0</v>
      </c>
      <c r="I210">
        <f t="shared" si="87"/>
        <v>0</v>
      </c>
      <c r="J210">
        <f t="shared" si="87"/>
        <v>0</v>
      </c>
      <c r="K210">
        <f t="shared" si="87"/>
        <v>0</v>
      </c>
      <c r="L210">
        <f t="shared" si="87"/>
        <v>0</v>
      </c>
      <c r="M210">
        <f t="shared" si="87"/>
        <v>0</v>
      </c>
      <c r="N210">
        <f t="shared" si="87"/>
        <v>0</v>
      </c>
      <c r="O210">
        <f t="shared" si="87"/>
        <v>0</v>
      </c>
      <c r="P210">
        <f t="shared" si="87"/>
        <v>0</v>
      </c>
      <c r="Q210">
        <f t="shared" si="87"/>
        <v>0</v>
      </c>
      <c r="R210">
        <f t="shared" si="87"/>
        <v>0</v>
      </c>
      <c r="S210">
        <f t="shared" si="87"/>
        <v>0</v>
      </c>
      <c r="T210">
        <f t="shared" si="87"/>
        <v>0</v>
      </c>
      <c r="U210">
        <f t="shared" si="87"/>
        <v>0</v>
      </c>
      <c r="V210">
        <f t="shared" si="87"/>
        <v>0</v>
      </c>
      <c r="W210">
        <f t="shared" si="87"/>
        <v>0</v>
      </c>
      <c r="X210">
        <f t="shared" si="87"/>
        <v>0</v>
      </c>
      <c r="Y210">
        <f t="shared" si="87"/>
        <v>0</v>
      </c>
      <c r="Z210">
        <f t="shared" si="87"/>
        <v>0</v>
      </c>
      <c r="AA210">
        <f t="shared" si="87"/>
        <v>0</v>
      </c>
      <c r="AB210">
        <f t="shared" si="87"/>
        <v>0</v>
      </c>
      <c r="AC210">
        <f t="shared" si="87"/>
        <v>0</v>
      </c>
      <c r="AD210">
        <f t="shared" si="87"/>
        <v>0</v>
      </c>
      <c r="AE210">
        <f t="shared" si="87"/>
        <v>0</v>
      </c>
      <c r="AF210">
        <f t="shared" si="87"/>
        <v>0</v>
      </c>
      <c r="AG210">
        <f t="shared" si="87"/>
        <v>0</v>
      </c>
      <c r="AH210">
        <f t="shared" si="87"/>
        <v>0</v>
      </c>
      <c r="AI210">
        <f t="shared" si="87"/>
        <v>0</v>
      </c>
      <c r="AJ210">
        <f t="shared" si="87"/>
        <v>0</v>
      </c>
      <c r="AK210">
        <f t="shared" si="87"/>
        <v>0</v>
      </c>
      <c r="AL210">
        <f t="shared" si="87"/>
        <v>0</v>
      </c>
      <c r="AM210">
        <f t="shared" si="87"/>
        <v>0</v>
      </c>
      <c r="AN210">
        <f t="shared" si="87"/>
        <v>0</v>
      </c>
      <c r="AO210">
        <f t="shared" si="87"/>
        <v>0</v>
      </c>
      <c r="AP210">
        <f t="shared" si="87"/>
        <v>0</v>
      </c>
      <c r="AQ210">
        <f t="shared" si="87"/>
        <v>0</v>
      </c>
      <c r="AR210">
        <f t="shared" si="87"/>
        <v>0</v>
      </c>
      <c r="AS210">
        <f t="shared" si="87"/>
        <v>0</v>
      </c>
      <c r="AT210">
        <f t="shared" si="87"/>
        <v>0</v>
      </c>
      <c r="AU210">
        <f t="shared" si="87"/>
        <v>0</v>
      </c>
      <c r="AV210">
        <f t="shared" si="87"/>
        <v>0</v>
      </c>
      <c r="AW210">
        <f t="shared" si="87"/>
        <v>0</v>
      </c>
      <c r="AX210">
        <f t="shared" si="87"/>
        <v>0</v>
      </c>
      <c r="AY210">
        <f t="shared" si="87"/>
        <v>0</v>
      </c>
      <c r="AZ210">
        <f t="shared" si="87"/>
        <v>0</v>
      </c>
      <c r="BA210">
        <f t="shared" si="87"/>
        <v>0</v>
      </c>
      <c r="BB210">
        <f t="shared" si="87"/>
        <v>0</v>
      </c>
      <c r="BC210">
        <f t="shared" si="87"/>
        <v>0</v>
      </c>
      <c r="BD210">
        <f t="shared" si="87"/>
        <v>0</v>
      </c>
      <c r="BE210">
        <f t="shared" si="87"/>
        <v>0</v>
      </c>
      <c r="BF210">
        <f t="shared" si="87"/>
        <v>0</v>
      </c>
      <c r="BG210">
        <f t="shared" si="87"/>
        <v>0</v>
      </c>
      <c r="BH210">
        <f t="shared" si="87"/>
        <v>0</v>
      </c>
    </row>
    <row r="211" spans="1:60" outlineLevel="2">
      <c r="B211" t="s">
        <v>126</v>
      </c>
    </row>
    <row r="212" spans="1:60" outlineLevel="2">
      <c r="B212" t="s">
        <v>127</v>
      </c>
    </row>
    <row r="213" spans="1:60" outlineLevel="2">
      <c r="B213" t="s">
        <v>128</v>
      </c>
    </row>
    <row r="214" spans="1:60" outlineLevel="2">
      <c r="B214" t="s">
        <v>129</v>
      </c>
    </row>
    <row r="215" spans="1:60" outlineLevel="2">
      <c r="B215" t="s">
        <v>130</v>
      </c>
    </row>
    <row r="216" spans="1:60" outlineLevel="2">
      <c r="B216" t="s">
        <v>131</v>
      </c>
    </row>
    <row r="217" spans="1:60" outlineLevel="2">
      <c r="B217" t="s">
        <v>132</v>
      </c>
    </row>
    <row r="218" spans="1:60" outlineLevel="2">
      <c r="B218" t="s">
        <v>133</v>
      </c>
    </row>
    <row r="219" spans="1:60" outlineLevel="2">
      <c r="B219" t="s">
        <v>134</v>
      </c>
    </row>
    <row r="220" spans="1:60" outlineLevel="2">
      <c r="B220" t="s">
        <v>135</v>
      </c>
    </row>
    <row r="221" spans="1:60" outlineLevel="2">
      <c r="B221" t="s">
        <v>136</v>
      </c>
    </row>
    <row r="222" spans="1:60" outlineLevel="2">
      <c r="B222" t="s">
        <v>137</v>
      </c>
    </row>
    <row r="223" spans="1:60" outlineLevel="2">
      <c r="B223" t="s">
        <v>138</v>
      </c>
    </row>
    <row r="224" spans="1:60" outlineLevel="2">
      <c r="B224" t="s">
        <v>139</v>
      </c>
    </row>
    <row r="225" spans="1:60" outlineLevel="2">
      <c r="B225" t="s">
        <v>140</v>
      </c>
    </row>
    <row r="226" spans="1:60" outlineLevel="2">
      <c r="B226" t="s">
        <v>141</v>
      </c>
    </row>
    <row r="227" spans="1:60" outlineLevel="2">
      <c r="B227" t="s">
        <v>142</v>
      </c>
    </row>
    <row r="228" spans="1:60" outlineLevel="2">
      <c r="B228" t="s">
        <v>143</v>
      </c>
    </row>
    <row r="229" spans="1:60" outlineLevel="2">
      <c r="B229" t="s">
        <v>144</v>
      </c>
    </row>
    <row r="230" spans="1:60" outlineLevel="2">
      <c r="B230" t="s">
        <v>145</v>
      </c>
    </row>
    <row r="231" spans="1:60" outlineLevel="2">
      <c r="B231" t="s">
        <v>146</v>
      </c>
    </row>
    <row r="232" spans="1:60" outlineLevel="2">
      <c r="B232" t="s">
        <v>147</v>
      </c>
    </row>
    <row r="233" spans="1:60" outlineLevel="2">
      <c r="B233" t="s">
        <v>148</v>
      </c>
    </row>
    <row r="234" spans="1:60" outlineLevel="2">
      <c r="B234" t="s">
        <v>149</v>
      </c>
    </row>
    <row r="235" spans="1:60" outlineLevel="2">
      <c r="B235" t="s">
        <v>150</v>
      </c>
    </row>
    <row r="236" spans="1:60" outlineLevel="2"/>
    <row r="237" spans="1:60" s="24" customFormat="1">
      <c r="C237" s="24">
        <f>C210+C184+C158+C132+C106+C80+C54+C28+C2</f>
        <v>2646.2599999999998</v>
      </c>
      <c r="D237" s="24">
        <f t="shared" ref="D237:BH237" si="88">D210+D184+D158+D132+D106+D80+D54+D28+D2</f>
        <v>2585.42</v>
      </c>
      <c r="E237" s="24">
        <f t="shared" si="88"/>
        <v>2537.27</v>
      </c>
      <c r="F237" s="24">
        <f t="shared" si="88"/>
        <v>2580.8999999999996</v>
      </c>
      <c r="G237" s="24">
        <f t="shared" si="88"/>
        <v>2889.67</v>
      </c>
      <c r="H237" s="24">
        <f t="shared" si="88"/>
        <v>2458.3400000000006</v>
      </c>
      <c r="I237" s="24">
        <f t="shared" si="88"/>
        <v>2384.7999999999997</v>
      </c>
      <c r="J237" s="24">
        <f t="shared" si="88"/>
        <v>2184.0100000000002</v>
      </c>
      <c r="K237" s="24">
        <f t="shared" si="88"/>
        <v>2619.58</v>
      </c>
      <c r="L237" s="24">
        <f t="shared" si="88"/>
        <v>2610.0796232184593</v>
      </c>
      <c r="M237" s="24">
        <f t="shared" si="88"/>
        <v>2656.6165611252595</v>
      </c>
      <c r="N237" s="24">
        <f t="shared" si="88"/>
        <v>2704.0955581409753</v>
      </c>
      <c r="O237" s="24">
        <f t="shared" si="88"/>
        <v>2748.689166563549</v>
      </c>
      <c r="P237" s="24">
        <f t="shared" si="88"/>
        <v>2790.2699537607414</v>
      </c>
      <c r="Q237" s="24">
        <f t="shared" si="88"/>
        <v>2832.24300131156</v>
      </c>
      <c r="R237" s="24">
        <f t="shared" si="88"/>
        <v>2865.7176890400283</v>
      </c>
      <c r="S237" s="24">
        <f t="shared" si="88"/>
        <v>2892.89965727046</v>
      </c>
      <c r="T237" s="24">
        <f t="shared" si="88"/>
        <v>2918.154252751815</v>
      </c>
      <c r="U237" s="24">
        <f t="shared" si="88"/>
        <v>2942.2112407232794</v>
      </c>
      <c r="V237" s="24">
        <f t="shared" si="88"/>
        <v>2965.7883747093661</v>
      </c>
      <c r="W237" s="24">
        <f t="shared" si="88"/>
        <v>2988.6558389451538</v>
      </c>
      <c r="X237" s="24">
        <f t="shared" si="88"/>
        <v>3008.1046231172927</v>
      </c>
      <c r="Y237" s="24">
        <f t="shared" si="88"/>
        <v>3023.3587959039555</v>
      </c>
      <c r="Z237" s="24">
        <f t="shared" si="88"/>
        <v>3037.4264828100395</v>
      </c>
      <c r="AA237" s="24">
        <f t="shared" si="88"/>
        <v>3050.4731040262614</v>
      </c>
      <c r="AB237" s="24">
        <f t="shared" si="88"/>
        <v>3063.0809163993049</v>
      </c>
      <c r="AC237" s="24">
        <f t="shared" si="88"/>
        <v>3075.352714466514</v>
      </c>
      <c r="AD237" s="24">
        <f t="shared" si="88"/>
        <v>3087.164207811571</v>
      </c>
      <c r="AE237" s="24">
        <f t="shared" si="88"/>
        <v>3098.3623739085365</v>
      </c>
      <c r="AF237" s="24">
        <f t="shared" si="88"/>
        <v>3108.9788007868174</v>
      </c>
      <c r="AG237" s="24">
        <f t="shared" si="88"/>
        <v>3119.0588318597111</v>
      </c>
      <c r="AH237" s="24">
        <f t="shared" si="88"/>
        <v>3128.5355817597242</v>
      </c>
      <c r="AI237" s="24">
        <f t="shared" si="88"/>
        <v>3137.4774931596403</v>
      </c>
      <c r="AJ237" s="24">
        <f t="shared" si="88"/>
        <v>3147.4415896306668</v>
      </c>
      <c r="AK237" s="24">
        <f t="shared" si="88"/>
        <v>3155.029305647392</v>
      </c>
      <c r="AL237" s="24">
        <f t="shared" si="88"/>
        <v>3161.8407179872243</v>
      </c>
      <c r="AM237" s="24">
        <f t="shared" si="88"/>
        <v>3167.6113235744074</v>
      </c>
      <c r="AN237" s="24">
        <f t="shared" si="88"/>
        <v>3174.3513167688002</v>
      </c>
      <c r="AO237" s="24">
        <f t="shared" si="88"/>
        <v>3174.3513167688002</v>
      </c>
      <c r="AP237" s="24">
        <f t="shared" si="88"/>
        <v>3174.3513167688002</v>
      </c>
      <c r="AQ237" s="24">
        <f t="shared" si="88"/>
        <v>3174.3513167688002</v>
      </c>
      <c r="AR237" s="24">
        <f t="shared" si="88"/>
        <v>3174.3513167688002</v>
      </c>
      <c r="AS237" s="24">
        <f t="shared" si="88"/>
        <v>3174.3513167688002</v>
      </c>
      <c r="AT237" s="24">
        <f t="shared" si="88"/>
        <v>3174.3513167688002</v>
      </c>
      <c r="AU237" s="24">
        <f t="shared" si="88"/>
        <v>3174.3513167688002</v>
      </c>
      <c r="AV237" s="24">
        <f t="shared" si="88"/>
        <v>3174.3513167688002</v>
      </c>
      <c r="AW237" s="24">
        <f t="shared" si="88"/>
        <v>3174.3513167688002</v>
      </c>
      <c r="AX237" s="24">
        <f t="shared" si="88"/>
        <v>3174.3513167688002</v>
      </c>
      <c r="AY237" s="24">
        <f t="shared" si="88"/>
        <v>3174.3513167688002</v>
      </c>
      <c r="AZ237" s="24">
        <f t="shared" si="88"/>
        <v>3174.3513167688002</v>
      </c>
      <c r="BA237" s="24">
        <f t="shared" si="88"/>
        <v>3174.3513167688002</v>
      </c>
      <c r="BB237" s="24">
        <f t="shared" si="88"/>
        <v>3174.3513167688002</v>
      </c>
      <c r="BC237" s="24">
        <f t="shared" si="88"/>
        <v>3174.3513167688002</v>
      </c>
      <c r="BD237" s="24">
        <f t="shared" si="88"/>
        <v>3174.3513167688002</v>
      </c>
      <c r="BE237" s="24">
        <f t="shared" si="88"/>
        <v>3174.3513167688002</v>
      </c>
      <c r="BF237" s="24">
        <f t="shared" si="88"/>
        <v>3174.3513167688002</v>
      </c>
      <c r="BG237" s="24">
        <f t="shared" si="88"/>
        <v>3174.3513167688002</v>
      </c>
      <c r="BH237" s="24">
        <f t="shared" si="88"/>
        <v>3174.3513167688002</v>
      </c>
    </row>
    <row r="238" spans="1:60" s="24" customFormat="1">
      <c r="C238" s="24">
        <f>C237-C239</f>
        <v>0</v>
      </c>
      <c r="D238" s="24">
        <f t="shared" ref="D238:BG238" si="89">D237-D239</f>
        <v>0</v>
      </c>
      <c r="E238" s="24">
        <f t="shared" si="89"/>
        <v>0</v>
      </c>
      <c r="F238" s="24">
        <f t="shared" si="89"/>
        <v>0</v>
      </c>
      <c r="G238" s="24">
        <f t="shared" si="89"/>
        <v>0</v>
      </c>
      <c r="H238" s="24">
        <f t="shared" si="89"/>
        <v>0</v>
      </c>
      <c r="I238" s="24">
        <f t="shared" si="89"/>
        <v>0</v>
      </c>
      <c r="J238" s="24">
        <f t="shared" si="89"/>
        <v>0</v>
      </c>
      <c r="K238" s="24">
        <f t="shared" si="89"/>
        <v>0</v>
      </c>
      <c r="L238" s="24">
        <f t="shared" si="89"/>
        <v>0</v>
      </c>
      <c r="M238" s="24">
        <f t="shared" si="89"/>
        <v>0</v>
      </c>
      <c r="N238" s="24">
        <f t="shared" si="89"/>
        <v>0</v>
      </c>
      <c r="O238" s="24">
        <f t="shared" si="89"/>
        <v>0</v>
      </c>
      <c r="P238" s="24">
        <f t="shared" si="89"/>
        <v>0</v>
      </c>
      <c r="Q238" s="24">
        <f t="shared" si="89"/>
        <v>0</v>
      </c>
      <c r="R238" s="24">
        <f t="shared" si="89"/>
        <v>0</v>
      </c>
      <c r="S238" s="24">
        <f t="shared" si="89"/>
        <v>0</v>
      </c>
      <c r="T238" s="24">
        <f t="shared" si="89"/>
        <v>0</v>
      </c>
      <c r="U238" s="24">
        <f t="shared" si="89"/>
        <v>0</v>
      </c>
      <c r="V238" s="24">
        <f t="shared" si="89"/>
        <v>0</v>
      </c>
      <c r="W238" s="24">
        <f t="shared" si="89"/>
        <v>0</v>
      </c>
      <c r="X238" s="24">
        <f t="shared" si="89"/>
        <v>0</v>
      </c>
      <c r="Y238" s="24">
        <f t="shared" si="89"/>
        <v>0</v>
      </c>
      <c r="Z238" s="24">
        <f t="shared" si="89"/>
        <v>0</v>
      </c>
      <c r="AA238" s="24">
        <f t="shared" si="89"/>
        <v>0</v>
      </c>
      <c r="AB238" s="24">
        <f t="shared" si="89"/>
        <v>0</v>
      </c>
      <c r="AC238" s="24">
        <f t="shared" si="89"/>
        <v>0</v>
      </c>
      <c r="AD238" s="24">
        <f t="shared" si="89"/>
        <v>0</v>
      </c>
      <c r="AE238" s="24">
        <f t="shared" si="89"/>
        <v>0</v>
      </c>
      <c r="AF238" s="24">
        <f t="shared" si="89"/>
        <v>0</v>
      </c>
      <c r="AG238" s="24">
        <f t="shared" si="89"/>
        <v>0</v>
      </c>
      <c r="AH238" s="24">
        <f t="shared" si="89"/>
        <v>0</v>
      </c>
      <c r="AI238" s="24">
        <f t="shared" si="89"/>
        <v>0</v>
      </c>
      <c r="AJ238" s="24">
        <f t="shared" si="89"/>
        <v>0</v>
      </c>
      <c r="AK238" s="24">
        <f t="shared" si="89"/>
        <v>0</v>
      </c>
      <c r="AL238" s="24">
        <f t="shared" si="89"/>
        <v>0</v>
      </c>
      <c r="AM238" s="24">
        <f t="shared" si="89"/>
        <v>0</v>
      </c>
      <c r="AN238" s="24">
        <f t="shared" si="89"/>
        <v>0</v>
      </c>
      <c r="AO238" s="24">
        <f t="shared" si="89"/>
        <v>0</v>
      </c>
      <c r="AP238" s="24">
        <f t="shared" si="89"/>
        <v>0</v>
      </c>
      <c r="AQ238" s="24">
        <f t="shared" si="89"/>
        <v>0</v>
      </c>
      <c r="AR238" s="24">
        <f t="shared" si="89"/>
        <v>0</v>
      </c>
      <c r="AS238" s="24">
        <f t="shared" si="89"/>
        <v>0</v>
      </c>
      <c r="AT238" s="24">
        <f t="shared" si="89"/>
        <v>0</v>
      </c>
      <c r="AU238" s="24">
        <f t="shared" si="89"/>
        <v>0</v>
      </c>
      <c r="AV238" s="24">
        <f t="shared" si="89"/>
        <v>0</v>
      </c>
      <c r="AW238" s="24">
        <f t="shared" si="89"/>
        <v>0</v>
      </c>
      <c r="AX238" s="24">
        <f t="shared" si="89"/>
        <v>0</v>
      </c>
      <c r="AY238" s="24">
        <f t="shared" si="89"/>
        <v>0</v>
      </c>
      <c r="AZ238" s="24">
        <f t="shared" si="89"/>
        <v>0</v>
      </c>
      <c r="BA238" s="24">
        <f t="shared" si="89"/>
        <v>0</v>
      </c>
      <c r="BB238" s="24">
        <f t="shared" si="89"/>
        <v>0</v>
      </c>
      <c r="BC238" s="24">
        <f t="shared" si="89"/>
        <v>0</v>
      </c>
      <c r="BD238" s="24">
        <f t="shared" si="89"/>
        <v>0</v>
      </c>
      <c r="BE238" s="24">
        <f t="shared" si="89"/>
        <v>0</v>
      </c>
      <c r="BF238" s="24">
        <f t="shared" si="89"/>
        <v>0</v>
      </c>
      <c r="BG238" s="24">
        <f t="shared" si="89"/>
        <v>0</v>
      </c>
      <c r="BH238" s="24">
        <f>BH237-BH239</f>
        <v>0</v>
      </c>
    </row>
    <row r="239" spans="1:60" s="24" customFormat="1">
      <c r="C239" s="24">
        <f>C240+C245+C252+C355+C258+C265+C273+C281+C288+C294+C301+C308+C318+C322+C328+C352+C279+C334</f>
        <v>2646.26</v>
      </c>
      <c r="D239" s="24">
        <f t="shared" ref="D239:BH239" si="90">D240+D245+D252+D355+D258+D265+D273+D281+D288+D294+D301+D308+D318+D322+D328+D352+D279+D334</f>
        <v>2585.42</v>
      </c>
      <c r="E239" s="24">
        <f t="shared" si="90"/>
        <v>2537.2699999999995</v>
      </c>
      <c r="F239" s="24">
        <f t="shared" si="90"/>
        <v>2580.8999999999996</v>
      </c>
      <c r="G239" s="24">
        <f t="shared" si="90"/>
        <v>2889.6699999999992</v>
      </c>
      <c r="H239" s="24">
        <f t="shared" si="90"/>
        <v>2458.3400000000006</v>
      </c>
      <c r="I239" s="24">
        <f t="shared" si="90"/>
        <v>2384.7999999999997</v>
      </c>
      <c r="J239" s="24">
        <f t="shared" si="90"/>
        <v>2184.0100000000002</v>
      </c>
      <c r="K239" s="24">
        <f t="shared" si="90"/>
        <v>2619.58</v>
      </c>
      <c r="L239" s="24">
        <f t="shared" si="90"/>
        <v>2610.0796232184593</v>
      </c>
      <c r="M239" s="24">
        <f t="shared" si="90"/>
        <v>2656.6165611252595</v>
      </c>
      <c r="N239" s="24">
        <f t="shared" si="90"/>
        <v>2704.0955581409753</v>
      </c>
      <c r="O239" s="24">
        <f t="shared" si="90"/>
        <v>2748.6891665635485</v>
      </c>
      <c r="P239" s="24">
        <f t="shared" si="90"/>
        <v>2790.2699537607414</v>
      </c>
      <c r="Q239" s="24">
        <f t="shared" si="90"/>
        <v>2832.24300131156</v>
      </c>
      <c r="R239" s="24">
        <f t="shared" si="90"/>
        <v>2865.7176890400287</v>
      </c>
      <c r="S239" s="24">
        <f t="shared" si="90"/>
        <v>2892.89965727046</v>
      </c>
      <c r="T239" s="24">
        <f t="shared" si="90"/>
        <v>2918.154252751815</v>
      </c>
      <c r="U239" s="24">
        <f t="shared" si="90"/>
        <v>2942.2112407232785</v>
      </c>
      <c r="V239" s="24">
        <f t="shared" si="90"/>
        <v>2965.7883747093665</v>
      </c>
      <c r="W239" s="24">
        <f t="shared" si="90"/>
        <v>2988.6558389451538</v>
      </c>
      <c r="X239" s="24">
        <f t="shared" si="90"/>
        <v>3008.1046231172927</v>
      </c>
      <c r="Y239" s="24">
        <f t="shared" si="90"/>
        <v>3023.358795903956</v>
      </c>
      <c r="Z239" s="24">
        <f t="shared" si="90"/>
        <v>3037.4264828100395</v>
      </c>
      <c r="AA239" s="24">
        <f t="shared" si="90"/>
        <v>3050.4731040262614</v>
      </c>
      <c r="AB239" s="24">
        <f t="shared" si="90"/>
        <v>3063.0809163993044</v>
      </c>
      <c r="AC239" s="24">
        <f t="shared" si="90"/>
        <v>3075.352714466514</v>
      </c>
      <c r="AD239" s="24">
        <f t="shared" si="90"/>
        <v>3087.164207811571</v>
      </c>
      <c r="AE239" s="24">
        <f t="shared" si="90"/>
        <v>3098.3623739085365</v>
      </c>
      <c r="AF239" s="24">
        <f t="shared" si="90"/>
        <v>3108.9788007868174</v>
      </c>
      <c r="AG239" s="24">
        <f t="shared" si="90"/>
        <v>3119.0588318597106</v>
      </c>
      <c r="AH239" s="24">
        <f t="shared" si="90"/>
        <v>3128.5355817597242</v>
      </c>
      <c r="AI239" s="24">
        <f t="shared" si="90"/>
        <v>3137.4774931596398</v>
      </c>
      <c r="AJ239" s="24">
        <f t="shared" si="90"/>
        <v>3147.4415896306673</v>
      </c>
      <c r="AK239" s="24">
        <f t="shared" si="90"/>
        <v>3155.0293056473924</v>
      </c>
      <c r="AL239" s="24">
        <f t="shared" si="90"/>
        <v>3161.8407179872247</v>
      </c>
      <c r="AM239" s="24">
        <f t="shared" si="90"/>
        <v>3167.6113235744078</v>
      </c>
      <c r="AN239" s="24">
        <f t="shared" si="90"/>
        <v>3174.3513167688011</v>
      </c>
      <c r="AO239" s="24">
        <f t="shared" si="90"/>
        <v>3174.3513167688011</v>
      </c>
      <c r="AP239" s="24">
        <f t="shared" si="90"/>
        <v>3174.3513167688011</v>
      </c>
      <c r="AQ239" s="24">
        <f t="shared" si="90"/>
        <v>3174.3513167688011</v>
      </c>
      <c r="AR239" s="24">
        <f t="shared" si="90"/>
        <v>3174.3513167688011</v>
      </c>
      <c r="AS239" s="24">
        <f t="shared" si="90"/>
        <v>3174.3513167688011</v>
      </c>
      <c r="AT239" s="24">
        <f t="shared" si="90"/>
        <v>3174.3513167688011</v>
      </c>
      <c r="AU239" s="24">
        <f t="shared" si="90"/>
        <v>3174.3513167688011</v>
      </c>
      <c r="AV239" s="24">
        <f t="shared" si="90"/>
        <v>3174.3513167688011</v>
      </c>
      <c r="AW239" s="24">
        <f t="shared" si="90"/>
        <v>3174.3513167688011</v>
      </c>
      <c r="AX239" s="24">
        <f t="shared" si="90"/>
        <v>3174.3513167688011</v>
      </c>
      <c r="AY239" s="24">
        <f t="shared" si="90"/>
        <v>3174.3513167688011</v>
      </c>
      <c r="AZ239" s="24">
        <f t="shared" si="90"/>
        <v>3174.3513167688011</v>
      </c>
      <c r="BA239" s="24">
        <f t="shared" si="90"/>
        <v>3174.3513167688011</v>
      </c>
      <c r="BB239" s="24">
        <f t="shared" si="90"/>
        <v>3174.3513167688011</v>
      </c>
      <c r="BC239" s="24">
        <f t="shared" si="90"/>
        <v>3174.3513167688011</v>
      </c>
      <c r="BD239" s="24">
        <f t="shared" si="90"/>
        <v>3174.3513167688011</v>
      </c>
      <c r="BE239" s="24">
        <f t="shared" si="90"/>
        <v>3174.3513167688011</v>
      </c>
      <c r="BF239" s="24">
        <f t="shared" si="90"/>
        <v>3174.3513167688011</v>
      </c>
      <c r="BG239" s="24">
        <f t="shared" si="90"/>
        <v>3174.3513167688011</v>
      </c>
      <c r="BH239" s="24">
        <f t="shared" si="90"/>
        <v>3174.3513167688011</v>
      </c>
    </row>
    <row r="240" spans="1:60" s="68" customFormat="1" collapsed="1">
      <c r="A240" s="68" t="s">
        <v>126</v>
      </c>
      <c r="C240" s="68">
        <f>SUM(C241:C244)</f>
        <v>159.76000000000002</v>
      </c>
      <c r="D240" s="68">
        <f t="shared" ref="D240:BH240" si="91">SUM(D241:D244)</f>
        <v>160.86000000000001</v>
      </c>
      <c r="E240" s="68">
        <f t="shared" si="91"/>
        <v>179.32</v>
      </c>
      <c r="F240" s="68">
        <f t="shared" si="91"/>
        <v>181.48</v>
      </c>
      <c r="G240" s="68">
        <f t="shared" si="91"/>
        <v>181.81</v>
      </c>
      <c r="H240" s="68">
        <f t="shared" si="91"/>
        <v>186</v>
      </c>
      <c r="I240" s="68">
        <f t="shared" si="91"/>
        <v>187.2</v>
      </c>
      <c r="J240" s="68">
        <f t="shared" si="91"/>
        <v>183.86</v>
      </c>
      <c r="K240" s="68">
        <f t="shared" si="91"/>
        <v>179.95000000000002</v>
      </c>
      <c r="L240" s="68">
        <f t="shared" si="91"/>
        <v>183.17</v>
      </c>
      <c r="M240" s="68">
        <f t="shared" si="91"/>
        <v>186.48000000000005</v>
      </c>
      <c r="N240" s="68">
        <f t="shared" si="91"/>
        <v>189.79</v>
      </c>
      <c r="O240" s="68">
        <f t="shared" si="91"/>
        <v>193.1</v>
      </c>
      <c r="P240" s="68">
        <f t="shared" si="91"/>
        <v>196.42000000000002</v>
      </c>
      <c r="Q240" s="68">
        <f t="shared" si="91"/>
        <v>199.72000000000003</v>
      </c>
      <c r="R240" s="68">
        <f t="shared" si="91"/>
        <v>203.04000000000002</v>
      </c>
      <c r="S240" s="68">
        <f t="shared" si="91"/>
        <v>206.35</v>
      </c>
      <c r="T240" s="68">
        <f t="shared" si="91"/>
        <v>209.66</v>
      </c>
      <c r="U240" s="68">
        <f t="shared" si="91"/>
        <v>213.01999999999998</v>
      </c>
      <c r="V240" s="68">
        <f t="shared" si="91"/>
        <v>216.37999999999997</v>
      </c>
      <c r="W240" s="68">
        <f t="shared" si="91"/>
        <v>219.73999999999998</v>
      </c>
      <c r="X240" s="68">
        <f t="shared" si="91"/>
        <v>223.1</v>
      </c>
      <c r="Y240" s="68">
        <f t="shared" si="91"/>
        <v>226.46</v>
      </c>
      <c r="Z240" s="68">
        <f t="shared" si="91"/>
        <v>229.82</v>
      </c>
      <c r="AA240" s="68">
        <f t="shared" si="91"/>
        <v>233.17999999999998</v>
      </c>
      <c r="AB240" s="68">
        <f t="shared" si="91"/>
        <v>236.54</v>
      </c>
      <c r="AC240" s="68">
        <f t="shared" si="91"/>
        <v>239.9</v>
      </c>
      <c r="AD240" s="68">
        <f t="shared" si="91"/>
        <v>243.25999999999996</v>
      </c>
      <c r="AE240" s="68">
        <f t="shared" si="91"/>
        <v>246.61999999999998</v>
      </c>
      <c r="AF240" s="68">
        <f t="shared" si="91"/>
        <v>249.98</v>
      </c>
      <c r="AG240" s="68">
        <f t="shared" si="91"/>
        <v>253.34</v>
      </c>
      <c r="AH240" s="68">
        <f t="shared" si="91"/>
        <v>256.7</v>
      </c>
      <c r="AI240" s="68">
        <f t="shared" si="91"/>
        <v>260.06</v>
      </c>
      <c r="AJ240" s="68">
        <f t="shared" si="91"/>
        <v>263.42</v>
      </c>
      <c r="AK240" s="68">
        <f t="shared" si="91"/>
        <v>266.78000000000003</v>
      </c>
      <c r="AL240" s="68">
        <f t="shared" si="91"/>
        <v>270.14</v>
      </c>
      <c r="AM240" s="68">
        <f t="shared" si="91"/>
        <v>273.5</v>
      </c>
      <c r="AN240" s="68">
        <f t="shared" si="91"/>
        <v>276.86</v>
      </c>
      <c r="AO240" s="68">
        <f t="shared" si="91"/>
        <v>276.86</v>
      </c>
      <c r="AP240" s="68">
        <f t="shared" si="91"/>
        <v>276.86</v>
      </c>
      <c r="AQ240" s="68">
        <f t="shared" si="91"/>
        <v>276.86</v>
      </c>
      <c r="AR240" s="68">
        <f t="shared" si="91"/>
        <v>276.86</v>
      </c>
      <c r="AS240" s="68">
        <f t="shared" si="91"/>
        <v>276.86</v>
      </c>
      <c r="AT240" s="68">
        <f t="shared" si="91"/>
        <v>276.86</v>
      </c>
      <c r="AU240" s="68">
        <f t="shared" si="91"/>
        <v>276.86</v>
      </c>
      <c r="AV240" s="68">
        <f t="shared" si="91"/>
        <v>276.86</v>
      </c>
      <c r="AW240" s="68">
        <f t="shared" si="91"/>
        <v>276.86</v>
      </c>
      <c r="AX240" s="68">
        <f t="shared" si="91"/>
        <v>276.86</v>
      </c>
      <c r="AY240" s="68">
        <f t="shared" si="91"/>
        <v>276.86</v>
      </c>
      <c r="AZ240" s="68">
        <f t="shared" si="91"/>
        <v>276.86</v>
      </c>
      <c r="BA240" s="68">
        <f t="shared" si="91"/>
        <v>276.86</v>
      </c>
      <c r="BB240" s="68">
        <f t="shared" si="91"/>
        <v>276.86</v>
      </c>
      <c r="BC240" s="68">
        <f t="shared" si="91"/>
        <v>276.86</v>
      </c>
      <c r="BD240" s="68">
        <f t="shared" si="91"/>
        <v>276.86</v>
      </c>
      <c r="BE240" s="68">
        <f t="shared" si="91"/>
        <v>276.86</v>
      </c>
      <c r="BF240" s="68">
        <f t="shared" si="91"/>
        <v>276.86</v>
      </c>
      <c r="BG240" s="68">
        <f t="shared" si="91"/>
        <v>276.86</v>
      </c>
      <c r="BH240" s="68">
        <f t="shared" si="91"/>
        <v>276.86</v>
      </c>
    </row>
    <row r="241" spans="1:60" hidden="1" outlineLevel="1">
      <c r="A241" t="s">
        <v>102</v>
      </c>
      <c r="B241" t="s">
        <v>157</v>
      </c>
      <c r="C241">
        <f>C368</f>
        <v>6.03</v>
      </c>
      <c r="D241">
        <f t="shared" ref="D241:BH241" si="92">D368</f>
        <v>6.08</v>
      </c>
      <c r="E241">
        <f t="shared" si="92"/>
        <v>4.99</v>
      </c>
      <c r="F241">
        <f t="shared" si="92"/>
        <v>5.09</v>
      </c>
      <c r="G241">
        <f t="shared" si="92"/>
        <v>4.93</v>
      </c>
      <c r="H241">
        <f t="shared" si="92"/>
        <v>4.9000000000000004</v>
      </c>
      <c r="I241">
        <f t="shared" si="92"/>
        <v>4.91</v>
      </c>
      <c r="J241">
        <f t="shared" si="92"/>
        <v>4.9000000000000004</v>
      </c>
      <c r="K241">
        <f t="shared" si="92"/>
        <v>4.33</v>
      </c>
      <c r="L241">
        <f t="shared" si="92"/>
        <v>4.2039999999999997</v>
      </c>
      <c r="M241">
        <f t="shared" si="92"/>
        <v>4.0679999999999996</v>
      </c>
      <c r="N241">
        <f t="shared" si="92"/>
        <v>3.9319999999999999</v>
      </c>
      <c r="O241">
        <f t="shared" si="92"/>
        <v>3.7959999999999998</v>
      </c>
      <c r="P241">
        <f t="shared" si="92"/>
        <v>3.66</v>
      </c>
      <c r="Q241">
        <f t="shared" si="92"/>
        <v>3.524</v>
      </c>
      <c r="R241">
        <f t="shared" si="92"/>
        <v>3.3879999999999999</v>
      </c>
      <c r="S241">
        <f t="shared" si="92"/>
        <v>3.2519999999999998</v>
      </c>
      <c r="T241">
        <f t="shared" si="92"/>
        <v>3.1160000000000001</v>
      </c>
      <c r="U241">
        <f t="shared" si="92"/>
        <v>2.98</v>
      </c>
      <c r="V241">
        <f t="shared" si="92"/>
        <v>2.8439999999999999</v>
      </c>
      <c r="W241">
        <f t="shared" si="92"/>
        <v>2.7080000000000002</v>
      </c>
      <c r="X241">
        <f t="shared" si="92"/>
        <v>2.5720000000000001</v>
      </c>
      <c r="Y241">
        <f t="shared" si="92"/>
        <v>2.4359999999999999</v>
      </c>
      <c r="Z241">
        <f t="shared" si="92"/>
        <v>2.2999999999999998</v>
      </c>
      <c r="AA241">
        <f t="shared" si="92"/>
        <v>2.1640000000000001</v>
      </c>
      <c r="AB241">
        <f t="shared" si="92"/>
        <v>2.028</v>
      </c>
      <c r="AC241">
        <f t="shared" si="92"/>
        <v>1.8919999999999999</v>
      </c>
      <c r="AD241">
        <f t="shared" si="92"/>
        <v>1.756</v>
      </c>
      <c r="AE241">
        <f t="shared" si="92"/>
        <v>1.62</v>
      </c>
      <c r="AF241">
        <f t="shared" si="92"/>
        <v>1.484</v>
      </c>
      <c r="AG241">
        <f t="shared" si="92"/>
        <v>1.3480000000000001</v>
      </c>
      <c r="AH241">
        <f t="shared" si="92"/>
        <v>1.212</v>
      </c>
      <c r="AI241">
        <f t="shared" si="92"/>
        <v>1.0760000000000001</v>
      </c>
      <c r="AJ241">
        <f t="shared" si="92"/>
        <v>0.94</v>
      </c>
      <c r="AK241">
        <f t="shared" si="92"/>
        <v>0.80400000000000005</v>
      </c>
      <c r="AL241">
        <f t="shared" si="92"/>
        <v>0.66800000000000004</v>
      </c>
      <c r="AM241">
        <f t="shared" si="92"/>
        <v>0.53200000000000003</v>
      </c>
      <c r="AN241">
        <f t="shared" si="92"/>
        <v>0.39600000000000002</v>
      </c>
      <c r="AO241">
        <f t="shared" si="92"/>
        <v>0.39600000000000002</v>
      </c>
      <c r="AP241">
        <f t="shared" si="92"/>
        <v>0.39600000000000002</v>
      </c>
      <c r="AQ241">
        <f t="shared" si="92"/>
        <v>0.39600000000000002</v>
      </c>
      <c r="AR241">
        <f t="shared" si="92"/>
        <v>0.39600000000000002</v>
      </c>
      <c r="AS241">
        <f t="shared" si="92"/>
        <v>0.39600000000000002</v>
      </c>
      <c r="AT241">
        <f t="shared" si="92"/>
        <v>0.39600000000000002</v>
      </c>
      <c r="AU241">
        <f t="shared" si="92"/>
        <v>0.39600000000000002</v>
      </c>
      <c r="AV241">
        <f t="shared" si="92"/>
        <v>0.39600000000000002</v>
      </c>
      <c r="AW241">
        <f t="shared" si="92"/>
        <v>0.39600000000000002</v>
      </c>
      <c r="AX241">
        <f t="shared" si="92"/>
        <v>0.39600000000000002</v>
      </c>
      <c r="AY241">
        <f t="shared" si="92"/>
        <v>0.39600000000000002</v>
      </c>
      <c r="AZ241">
        <f t="shared" si="92"/>
        <v>0.39600000000000002</v>
      </c>
      <c r="BA241">
        <f t="shared" si="92"/>
        <v>0.39600000000000002</v>
      </c>
      <c r="BB241">
        <f t="shared" si="92"/>
        <v>0.39600000000000002</v>
      </c>
      <c r="BC241">
        <f t="shared" si="92"/>
        <v>0.39600000000000002</v>
      </c>
      <c r="BD241">
        <f t="shared" si="92"/>
        <v>0.39600000000000002</v>
      </c>
      <c r="BE241">
        <f t="shared" si="92"/>
        <v>0.39600000000000002</v>
      </c>
      <c r="BF241">
        <f t="shared" si="92"/>
        <v>0.39600000000000002</v>
      </c>
      <c r="BG241">
        <f t="shared" si="92"/>
        <v>0.39600000000000002</v>
      </c>
      <c r="BH241">
        <f t="shared" si="92"/>
        <v>0.39600000000000002</v>
      </c>
    </row>
    <row r="242" spans="1:60" hidden="1" outlineLevel="1">
      <c r="A242" t="s">
        <v>45</v>
      </c>
      <c r="B242" t="s">
        <v>153</v>
      </c>
      <c r="C242">
        <f>C369+C613</f>
        <v>115.71</v>
      </c>
      <c r="D242">
        <f>D369+D613</f>
        <v>117.43</v>
      </c>
      <c r="E242">
        <f>E369+E613</f>
        <v>137</v>
      </c>
      <c r="F242">
        <f>F369+F613</f>
        <v>134.47</v>
      </c>
      <c r="G242">
        <f>G369+G613</f>
        <v>135.44</v>
      </c>
      <c r="H242">
        <f>H369+H613</f>
        <v>140.10999999999999</v>
      </c>
      <c r="I242">
        <f>I369+I613</f>
        <v>141.26</v>
      </c>
      <c r="J242">
        <f>J369+J613</f>
        <v>127.5</v>
      </c>
      <c r="K242">
        <f>K369+K613</f>
        <v>125.88</v>
      </c>
      <c r="L242">
        <f>L369+L613</f>
        <v>128.40499999999997</v>
      </c>
      <c r="M242">
        <f>M369+M613</f>
        <v>130.5155</v>
      </c>
      <c r="N242">
        <f>N369+N613</f>
        <v>132.636</v>
      </c>
      <c r="O242">
        <f>O369+O613</f>
        <v>134.7465</v>
      </c>
      <c r="P242">
        <f>P369+P613</f>
        <v>136.86700000000002</v>
      </c>
      <c r="Q242">
        <f>Q369+Q613</f>
        <v>138.97750000000002</v>
      </c>
      <c r="R242">
        <f>R369+R613</f>
        <v>141.09800000000001</v>
      </c>
      <c r="S242">
        <f>S369+S613</f>
        <v>143.20849999999999</v>
      </c>
      <c r="T242">
        <f>T369+T613</f>
        <v>145.32900000000001</v>
      </c>
      <c r="U242">
        <f>U369+U613</f>
        <v>147.4495</v>
      </c>
      <c r="V242">
        <f>V369+V613</f>
        <v>149.57</v>
      </c>
      <c r="W242">
        <f>W369+W613</f>
        <v>151.69049999999999</v>
      </c>
      <c r="X242">
        <f>X369+X613</f>
        <v>153.81100000000001</v>
      </c>
      <c r="Y242">
        <f>Y369+Y613</f>
        <v>155.9315</v>
      </c>
      <c r="Z242">
        <f>Z369+Z613</f>
        <v>158.05199999999999</v>
      </c>
      <c r="AA242">
        <f>AA369+AA613</f>
        <v>160.17249999999999</v>
      </c>
      <c r="AB242">
        <f>AB369+AB613</f>
        <v>162.29300000000001</v>
      </c>
      <c r="AC242">
        <f>AC369+AC613</f>
        <v>164.4135</v>
      </c>
      <c r="AD242">
        <f>AD369+AD613</f>
        <v>166.53399999999999</v>
      </c>
      <c r="AE242">
        <f>AE369+AE613</f>
        <v>168.65449999999998</v>
      </c>
      <c r="AF242">
        <f>AF369+AF613</f>
        <v>170.77500000000001</v>
      </c>
      <c r="AG242">
        <f>AG369+AG613</f>
        <v>172.8955</v>
      </c>
      <c r="AH242">
        <f>AH369+AH613</f>
        <v>175.01599999999999</v>
      </c>
      <c r="AI242">
        <f>AI369+AI613</f>
        <v>177.13649999999998</v>
      </c>
      <c r="AJ242">
        <f>AJ369+AJ613</f>
        <v>179.25700000000001</v>
      </c>
      <c r="AK242">
        <f>AK369+AK613</f>
        <v>181.3775</v>
      </c>
      <c r="AL242">
        <f>AL369+AL613</f>
        <v>183.49799999999999</v>
      </c>
      <c r="AM242">
        <f>AM369+AM613</f>
        <v>185.61849999999998</v>
      </c>
      <c r="AN242">
        <f>AN369+AN613</f>
        <v>187.739</v>
      </c>
      <c r="AO242">
        <f>AO369+AO613</f>
        <v>187.739</v>
      </c>
      <c r="AP242">
        <f>AP369+AP613</f>
        <v>187.739</v>
      </c>
      <c r="AQ242">
        <f>AQ369+AQ613</f>
        <v>187.739</v>
      </c>
      <c r="AR242">
        <f>AR369+AR613</f>
        <v>187.739</v>
      </c>
      <c r="AS242">
        <f>AS369+AS613</f>
        <v>187.739</v>
      </c>
      <c r="AT242">
        <f>AT369+AT613</f>
        <v>187.739</v>
      </c>
      <c r="AU242">
        <f>AU369+AU613</f>
        <v>187.739</v>
      </c>
      <c r="AV242">
        <f>AV369+AV613</f>
        <v>187.739</v>
      </c>
      <c r="AW242">
        <f>AW369+AW613</f>
        <v>187.739</v>
      </c>
      <c r="AX242">
        <f>AX369+AX613</f>
        <v>187.739</v>
      </c>
      <c r="AY242">
        <f>AY369+AY613</f>
        <v>187.739</v>
      </c>
      <c r="AZ242">
        <f>AZ369+AZ613</f>
        <v>187.739</v>
      </c>
      <c r="BA242">
        <f>BA369+BA613</f>
        <v>187.739</v>
      </c>
      <c r="BB242">
        <f>BB369+BB613</f>
        <v>187.739</v>
      </c>
      <c r="BC242">
        <f>BC369+BC613</f>
        <v>187.739</v>
      </c>
      <c r="BD242">
        <f>BD369+BD613</f>
        <v>187.739</v>
      </c>
      <c r="BE242">
        <f>BE369+BE613</f>
        <v>187.739</v>
      </c>
      <c r="BF242">
        <f>BF369+BF613</f>
        <v>187.739</v>
      </c>
      <c r="BG242">
        <f>BG369+BG613</f>
        <v>187.739</v>
      </c>
      <c r="BH242">
        <f>BH369+BH613</f>
        <v>187.739</v>
      </c>
    </row>
    <row r="243" spans="1:60" hidden="1" outlineLevel="1">
      <c r="A243" t="s">
        <v>46</v>
      </c>
      <c r="B243" t="s">
        <v>125</v>
      </c>
      <c r="C243">
        <f>C370+C615</f>
        <v>37.5</v>
      </c>
      <c r="D243">
        <f>D370+D615</f>
        <v>36.849999999999994</v>
      </c>
      <c r="E243">
        <f>E370+E615</f>
        <v>36.950000000000003</v>
      </c>
      <c r="F243">
        <f>F370+F615</f>
        <v>41.53</v>
      </c>
      <c r="G243">
        <f>G370+G615</f>
        <v>41.44</v>
      </c>
      <c r="H243">
        <f>H370+H615</f>
        <v>40.67</v>
      </c>
      <c r="I243">
        <f>I370+I615</f>
        <v>40.78</v>
      </c>
      <c r="J243">
        <f>J370+J615</f>
        <v>51.24</v>
      </c>
      <c r="K243">
        <f>K370+K615</f>
        <v>49.400000000000006</v>
      </c>
      <c r="L243">
        <f>L370+L615</f>
        <v>50.221000000000004</v>
      </c>
      <c r="M243">
        <f>M370+M615</f>
        <v>51.566500000000005</v>
      </c>
      <c r="N243">
        <f>N370+N615</f>
        <v>52.911999999999999</v>
      </c>
      <c r="O243">
        <f>O370+O615</f>
        <v>54.2575</v>
      </c>
      <c r="P243">
        <f>P370+P615</f>
        <v>55.603000000000002</v>
      </c>
      <c r="Q243">
        <f>Q370+Q615</f>
        <v>56.948499999999996</v>
      </c>
      <c r="R243">
        <f>R370+R615</f>
        <v>58.294000000000004</v>
      </c>
      <c r="S243">
        <f>S370+S615</f>
        <v>59.639500000000005</v>
      </c>
      <c r="T243">
        <f>T370+T615</f>
        <v>60.984999999999999</v>
      </c>
      <c r="U243">
        <f>U370+U615</f>
        <v>62.360500000000002</v>
      </c>
      <c r="V243">
        <f>V370+V615</f>
        <v>63.736000000000004</v>
      </c>
      <c r="W243">
        <f>W370+W615</f>
        <v>65.111500000000007</v>
      </c>
      <c r="X243">
        <f>X370+X615</f>
        <v>66.486999999999995</v>
      </c>
      <c r="Y243">
        <f>Y370+Y615</f>
        <v>67.862499999999997</v>
      </c>
      <c r="Z243">
        <f>Z370+Z615</f>
        <v>69.238</v>
      </c>
      <c r="AA243">
        <f>AA370+AA615</f>
        <v>70.613500000000002</v>
      </c>
      <c r="AB243">
        <f>AB370+AB615</f>
        <v>71.989000000000004</v>
      </c>
      <c r="AC243">
        <f>AC370+AC615</f>
        <v>73.364500000000007</v>
      </c>
      <c r="AD243">
        <f>AD370+AD615</f>
        <v>74.739999999999995</v>
      </c>
      <c r="AE243">
        <f>AE370+AE615</f>
        <v>76.115499999999997</v>
      </c>
      <c r="AF243">
        <f>AF370+AF615</f>
        <v>77.491</v>
      </c>
      <c r="AG243">
        <f>AG370+AG615</f>
        <v>78.866500000000002</v>
      </c>
      <c r="AH243">
        <f>AH370+AH615</f>
        <v>80.242000000000004</v>
      </c>
      <c r="AI243">
        <f>AI370+AI615</f>
        <v>81.617500000000007</v>
      </c>
      <c r="AJ243">
        <f>AJ370+AJ615</f>
        <v>82.992999999999995</v>
      </c>
      <c r="AK243">
        <f>AK370+AK615</f>
        <v>84.368499999999997</v>
      </c>
      <c r="AL243">
        <f>AL370+AL615</f>
        <v>85.744</v>
      </c>
      <c r="AM243">
        <f>AM370+AM615</f>
        <v>87.119500000000002</v>
      </c>
      <c r="AN243">
        <f>AN370+AN615</f>
        <v>88.495000000000005</v>
      </c>
      <c r="AO243">
        <f>AO370+AO615</f>
        <v>88.495000000000005</v>
      </c>
      <c r="AP243">
        <f>AP370+AP615</f>
        <v>88.495000000000005</v>
      </c>
      <c r="AQ243">
        <f>AQ370+AQ615</f>
        <v>88.495000000000005</v>
      </c>
      <c r="AR243">
        <f>AR370+AR615</f>
        <v>88.495000000000005</v>
      </c>
      <c r="AS243">
        <f>AS370+AS615</f>
        <v>88.495000000000005</v>
      </c>
      <c r="AT243">
        <f>AT370+AT615</f>
        <v>88.495000000000005</v>
      </c>
      <c r="AU243">
        <f>AU370+AU615</f>
        <v>88.495000000000005</v>
      </c>
      <c r="AV243">
        <f>AV370+AV615</f>
        <v>88.495000000000005</v>
      </c>
      <c r="AW243">
        <f>AW370+AW615</f>
        <v>88.495000000000005</v>
      </c>
      <c r="AX243">
        <f>AX370+AX615</f>
        <v>88.495000000000005</v>
      </c>
      <c r="AY243">
        <f>AY370+AY615</f>
        <v>88.495000000000005</v>
      </c>
      <c r="AZ243">
        <f>AZ370+AZ615</f>
        <v>88.495000000000005</v>
      </c>
      <c r="BA243">
        <f>BA370+BA615</f>
        <v>88.495000000000005</v>
      </c>
      <c r="BB243">
        <f>BB370+BB615</f>
        <v>88.495000000000005</v>
      </c>
      <c r="BC243">
        <f>BC370+BC615</f>
        <v>88.495000000000005</v>
      </c>
      <c r="BD243">
        <f>BD370+BD615</f>
        <v>88.495000000000005</v>
      </c>
      <c r="BE243">
        <f>BE370+BE615</f>
        <v>88.495000000000005</v>
      </c>
      <c r="BF243">
        <f>BF370+BF615</f>
        <v>88.495000000000005</v>
      </c>
      <c r="BG243">
        <f>BG370+BG615</f>
        <v>88.495000000000005</v>
      </c>
      <c r="BH243">
        <f>BH370+BH615</f>
        <v>88.495000000000005</v>
      </c>
    </row>
    <row r="244" spans="1:60" hidden="1" outlineLevel="1">
      <c r="A244" t="s">
        <v>106</v>
      </c>
      <c r="B244" t="s">
        <v>152</v>
      </c>
      <c r="C244">
        <f>C614</f>
        <v>0.52</v>
      </c>
      <c r="D244">
        <f t="shared" ref="D244:BH244" si="93">D614</f>
        <v>0.5</v>
      </c>
      <c r="E244">
        <f t="shared" si="93"/>
        <v>0.38</v>
      </c>
      <c r="F244">
        <f t="shared" si="93"/>
        <v>0.39</v>
      </c>
      <c r="G244">
        <f t="shared" si="93"/>
        <v>0</v>
      </c>
      <c r="H244">
        <f t="shared" si="93"/>
        <v>0.32</v>
      </c>
      <c r="I244">
        <f t="shared" si="93"/>
        <v>0.25</v>
      </c>
      <c r="J244">
        <f t="shared" si="93"/>
        <v>0.22</v>
      </c>
      <c r="K244">
        <f t="shared" si="93"/>
        <v>0.34</v>
      </c>
      <c r="L244">
        <f t="shared" si="93"/>
        <v>0.34</v>
      </c>
      <c r="M244">
        <f t="shared" si="93"/>
        <v>0.33</v>
      </c>
      <c r="N244">
        <f t="shared" si="93"/>
        <v>0.31</v>
      </c>
      <c r="O244">
        <f t="shared" si="93"/>
        <v>0.3</v>
      </c>
      <c r="P244">
        <f t="shared" si="93"/>
        <v>0.28999999999999998</v>
      </c>
      <c r="Q244">
        <f t="shared" si="93"/>
        <v>0.27</v>
      </c>
      <c r="R244">
        <f t="shared" si="93"/>
        <v>0.26</v>
      </c>
      <c r="S244">
        <f t="shared" si="93"/>
        <v>0.25</v>
      </c>
      <c r="T244">
        <f t="shared" si="93"/>
        <v>0.23</v>
      </c>
      <c r="U244">
        <f t="shared" si="93"/>
        <v>0.23</v>
      </c>
      <c r="V244">
        <f t="shared" si="93"/>
        <v>0.23</v>
      </c>
      <c r="W244">
        <f t="shared" si="93"/>
        <v>0.23</v>
      </c>
      <c r="X244">
        <f t="shared" si="93"/>
        <v>0.23</v>
      </c>
      <c r="Y244">
        <f t="shared" si="93"/>
        <v>0.23</v>
      </c>
      <c r="Z244">
        <f t="shared" si="93"/>
        <v>0.23</v>
      </c>
      <c r="AA244">
        <f t="shared" si="93"/>
        <v>0.23</v>
      </c>
      <c r="AB244">
        <f t="shared" si="93"/>
        <v>0.23</v>
      </c>
      <c r="AC244">
        <f t="shared" si="93"/>
        <v>0.23</v>
      </c>
      <c r="AD244">
        <f t="shared" si="93"/>
        <v>0.23</v>
      </c>
      <c r="AE244">
        <f t="shared" si="93"/>
        <v>0.23</v>
      </c>
      <c r="AF244">
        <f t="shared" si="93"/>
        <v>0.23</v>
      </c>
      <c r="AG244">
        <f t="shared" si="93"/>
        <v>0.23</v>
      </c>
      <c r="AH244">
        <f t="shared" si="93"/>
        <v>0.23</v>
      </c>
      <c r="AI244">
        <f t="shared" si="93"/>
        <v>0.23</v>
      </c>
      <c r="AJ244">
        <f t="shared" si="93"/>
        <v>0.23</v>
      </c>
      <c r="AK244">
        <f t="shared" si="93"/>
        <v>0.23</v>
      </c>
      <c r="AL244">
        <f t="shared" si="93"/>
        <v>0.23</v>
      </c>
      <c r="AM244">
        <f t="shared" si="93"/>
        <v>0.23</v>
      </c>
      <c r="AN244">
        <f t="shared" si="93"/>
        <v>0.23</v>
      </c>
      <c r="AO244">
        <f t="shared" si="93"/>
        <v>0.23</v>
      </c>
      <c r="AP244">
        <f t="shared" si="93"/>
        <v>0.23</v>
      </c>
      <c r="AQ244">
        <f t="shared" si="93"/>
        <v>0.23</v>
      </c>
      <c r="AR244">
        <f t="shared" si="93"/>
        <v>0.23</v>
      </c>
      <c r="AS244">
        <f t="shared" si="93"/>
        <v>0.23</v>
      </c>
      <c r="AT244">
        <f t="shared" si="93"/>
        <v>0.23</v>
      </c>
      <c r="AU244">
        <f t="shared" si="93"/>
        <v>0.23</v>
      </c>
      <c r="AV244">
        <f t="shared" si="93"/>
        <v>0.23</v>
      </c>
      <c r="AW244">
        <f t="shared" si="93"/>
        <v>0.23</v>
      </c>
      <c r="AX244">
        <f t="shared" si="93"/>
        <v>0.23</v>
      </c>
      <c r="AY244">
        <f t="shared" si="93"/>
        <v>0.23</v>
      </c>
      <c r="AZ244">
        <f t="shared" si="93"/>
        <v>0.23</v>
      </c>
      <c r="BA244">
        <f t="shared" si="93"/>
        <v>0.23</v>
      </c>
      <c r="BB244">
        <f t="shared" si="93"/>
        <v>0.23</v>
      </c>
      <c r="BC244">
        <f t="shared" si="93"/>
        <v>0.23</v>
      </c>
      <c r="BD244">
        <f t="shared" si="93"/>
        <v>0.23</v>
      </c>
      <c r="BE244">
        <f t="shared" si="93"/>
        <v>0.23</v>
      </c>
      <c r="BF244">
        <f t="shared" si="93"/>
        <v>0.23</v>
      </c>
      <c r="BG244">
        <f t="shared" si="93"/>
        <v>0.23</v>
      </c>
      <c r="BH244">
        <f t="shared" si="93"/>
        <v>0.23</v>
      </c>
    </row>
    <row r="245" spans="1:60" s="68" customFormat="1" collapsed="1">
      <c r="A245" s="68" t="s">
        <v>127</v>
      </c>
      <c r="C245" s="68">
        <f>SUM(C246:C250)</f>
        <v>9.2219999999999978</v>
      </c>
      <c r="D245" s="68">
        <f t="shared" ref="D245:BH245" si="94">SUM(D246:D250)</f>
        <v>8.9190000000000005</v>
      </c>
      <c r="E245" s="68">
        <f t="shared" si="94"/>
        <v>9.4964999999999993</v>
      </c>
      <c r="F245" s="68">
        <f t="shared" si="94"/>
        <v>10.17</v>
      </c>
      <c r="G245" s="68">
        <f t="shared" si="94"/>
        <v>10.727999999999998</v>
      </c>
      <c r="H245" s="68">
        <f t="shared" si="94"/>
        <v>11.271000000000001</v>
      </c>
      <c r="I245" s="68">
        <f t="shared" si="94"/>
        <v>11.399999999999999</v>
      </c>
      <c r="J245" s="68">
        <f t="shared" si="94"/>
        <v>11.481</v>
      </c>
      <c r="K245" s="68">
        <f t="shared" si="94"/>
        <v>11.6205</v>
      </c>
      <c r="L245" s="68">
        <f t="shared" si="94"/>
        <v>12.256499999999999</v>
      </c>
      <c r="M245" s="68">
        <f t="shared" si="94"/>
        <v>12.607499999999998</v>
      </c>
      <c r="N245" s="68">
        <f t="shared" si="94"/>
        <v>12.959999999999999</v>
      </c>
      <c r="O245" s="68">
        <f t="shared" si="94"/>
        <v>13.3125</v>
      </c>
      <c r="P245" s="68">
        <f t="shared" si="94"/>
        <v>13.663499999999999</v>
      </c>
      <c r="Q245" s="68">
        <f t="shared" si="94"/>
        <v>14.016</v>
      </c>
      <c r="R245" s="68">
        <f t="shared" si="94"/>
        <v>14.37</v>
      </c>
      <c r="S245" s="68">
        <f t="shared" si="94"/>
        <v>14.722499999999998</v>
      </c>
      <c r="T245" s="68">
        <f t="shared" si="94"/>
        <v>15.074999999999999</v>
      </c>
      <c r="U245" s="68">
        <f t="shared" si="94"/>
        <v>15.427500000000002</v>
      </c>
      <c r="V245" s="68">
        <f t="shared" si="94"/>
        <v>15.780000000000001</v>
      </c>
      <c r="W245" s="68">
        <f t="shared" si="94"/>
        <v>16.131</v>
      </c>
      <c r="X245" s="68">
        <f t="shared" si="94"/>
        <v>16.483499999999999</v>
      </c>
      <c r="Y245" s="68">
        <f t="shared" si="94"/>
        <v>16.837499999999999</v>
      </c>
      <c r="Z245" s="68">
        <f t="shared" si="94"/>
        <v>17.189999999999998</v>
      </c>
      <c r="AA245" s="68">
        <f t="shared" si="94"/>
        <v>17.5425</v>
      </c>
      <c r="AB245" s="68">
        <f t="shared" si="94"/>
        <v>17.895</v>
      </c>
      <c r="AC245" s="68">
        <f t="shared" si="94"/>
        <v>18.248999999999999</v>
      </c>
      <c r="AD245" s="68">
        <f t="shared" si="94"/>
        <v>18.601500000000001</v>
      </c>
      <c r="AE245" s="68">
        <f t="shared" si="94"/>
        <v>18.952500000000001</v>
      </c>
      <c r="AF245" s="68">
        <f t="shared" si="94"/>
        <v>19.305</v>
      </c>
      <c r="AG245" s="68">
        <f t="shared" si="94"/>
        <v>19.657499999999999</v>
      </c>
      <c r="AH245" s="68">
        <f t="shared" si="94"/>
        <v>20.009999999999998</v>
      </c>
      <c r="AI245" s="68">
        <f t="shared" si="94"/>
        <v>20.362499999999997</v>
      </c>
      <c r="AJ245" s="68">
        <f t="shared" si="94"/>
        <v>20.714999999999996</v>
      </c>
      <c r="AK245" s="68">
        <f t="shared" si="94"/>
        <v>21.067499999999995</v>
      </c>
      <c r="AL245" s="68">
        <f t="shared" si="94"/>
        <v>21.42</v>
      </c>
      <c r="AM245" s="68">
        <f t="shared" si="94"/>
        <v>21.774000000000001</v>
      </c>
      <c r="AN245" s="68">
        <f t="shared" si="94"/>
        <v>22.1265</v>
      </c>
      <c r="AO245" s="68">
        <f t="shared" si="94"/>
        <v>22.1265</v>
      </c>
      <c r="AP245" s="68">
        <f t="shared" si="94"/>
        <v>22.1265</v>
      </c>
      <c r="AQ245" s="68">
        <f t="shared" si="94"/>
        <v>22.1265</v>
      </c>
      <c r="AR245" s="68">
        <f t="shared" si="94"/>
        <v>22.1265</v>
      </c>
      <c r="AS245" s="68">
        <f t="shared" si="94"/>
        <v>22.1265</v>
      </c>
      <c r="AT245" s="68">
        <f t="shared" si="94"/>
        <v>22.1265</v>
      </c>
      <c r="AU245" s="68">
        <f t="shared" si="94"/>
        <v>22.1265</v>
      </c>
      <c r="AV245" s="68">
        <f t="shared" si="94"/>
        <v>22.1265</v>
      </c>
      <c r="AW245" s="68">
        <f t="shared" si="94"/>
        <v>22.1265</v>
      </c>
      <c r="AX245" s="68">
        <f t="shared" si="94"/>
        <v>22.1265</v>
      </c>
      <c r="AY245" s="68">
        <f t="shared" si="94"/>
        <v>22.1265</v>
      </c>
      <c r="AZ245" s="68">
        <f t="shared" si="94"/>
        <v>22.1265</v>
      </c>
      <c r="BA245" s="68">
        <f t="shared" si="94"/>
        <v>22.1265</v>
      </c>
      <c r="BB245" s="68">
        <f t="shared" si="94"/>
        <v>22.1265</v>
      </c>
      <c r="BC245" s="68">
        <f t="shared" si="94"/>
        <v>22.1265</v>
      </c>
      <c r="BD245" s="68">
        <f t="shared" si="94"/>
        <v>22.1265</v>
      </c>
      <c r="BE245" s="68">
        <f t="shared" si="94"/>
        <v>22.1265</v>
      </c>
      <c r="BF245" s="68">
        <f t="shared" si="94"/>
        <v>22.1265</v>
      </c>
      <c r="BG245" s="68">
        <f t="shared" si="94"/>
        <v>22.1265</v>
      </c>
      <c r="BH245" s="68">
        <f t="shared" si="94"/>
        <v>22.1265</v>
      </c>
    </row>
    <row r="246" spans="1:60" hidden="1" outlineLevel="1">
      <c r="A246" t="s">
        <v>102</v>
      </c>
      <c r="C246">
        <f>C380*0.15</f>
        <v>1.3979999999999999</v>
      </c>
      <c r="D246">
        <f t="shared" ref="D246:BH250" si="95">D380*0.15</f>
        <v>1.2135</v>
      </c>
      <c r="E246">
        <f t="shared" si="95"/>
        <v>1.1279999999999999</v>
      </c>
      <c r="F246">
        <f t="shared" si="95"/>
        <v>1.3259999999999998</v>
      </c>
      <c r="G246">
        <f t="shared" si="95"/>
        <v>1.2989999999999999</v>
      </c>
      <c r="H246">
        <f t="shared" si="95"/>
        <v>1.2419999999999998</v>
      </c>
      <c r="I246">
        <f t="shared" si="95"/>
        <v>1.2059999999999997</v>
      </c>
      <c r="J246">
        <f t="shared" si="95"/>
        <v>1.9455</v>
      </c>
      <c r="K246">
        <f t="shared" si="95"/>
        <v>1.6139999999999999</v>
      </c>
      <c r="L246">
        <f t="shared" si="95"/>
        <v>1.7144999999999999</v>
      </c>
      <c r="M246">
        <f t="shared" si="95"/>
        <v>1.7235</v>
      </c>
      <c r="N246">
        <f t="shared" si="95"/>
        <v>1.7325000000000002</v>
      </c>
      <c r="O246">
        <f t="shared" si="95"/>
        <v>1.7414999999999998</v>
      </c>
      <c r="P246">
        <f t="shared" si="95"/>
        <v>1.7504999999999999</v>
      </c>
      <c r="Q246">
        <f t="shared" si="95"/>
        <v>1.7595000000000001</v>
      </c>
      <c r="R246">
        <f t="shared" si="95"/>
        <v>1.7684999999999997</v>
      </c>
      <c r="S246">
        <f t="shared" si="95"/>
        <v>1.7774999999999999</v>
      </c>
      <c r="T246">
        <f t="shared" si="95"/>
        <v>1.7865</v>
      </c>
      <c r="U246">
        <f t="shared" si="95"/>
        <v>1.7955000000000001</v>
      </c>
      <c r="V246">
        <f t="shared" si="95"/>
        <v>1.8044999999999998</v>
      </c>
      <c r="W246">
        <f t="shared" si="95"/>
        <v>1.8134999999999999</v>
      </c>
      <c r="X246">
        <f t="shared" si="95"/>
        <v>1.8225</v>
      </c>
      <c r="Y246">
        <f t="shared" si="95"/>
        <v>1.8315000000000001</v>
      </c>
      <c r="Z246">
        <f t="shared" si="95"/>
        <v>1.8419999999999999</v>
      </c>
      <c r="AA246">
        <f t="shared" si="95"/>
        <v>1.851</v>
      </c>
      <c r="AB246">
        <f t="shared" si="95"/>
        <v>1.8599999999999999</v>
      </c>
      <c r="AC246">
        <f t="shared" si="95"/>
        <v>1.869</v>
      </c>
      <c r="AD246">
        <f t="shared" si="95"/>
        <v>1.8779999999999999</v>
      </c>
      <c r="AE246">
        <f t="shared" si="95"/>
        <v>1.887</v>
      </c>
      <c r="AF246">
        <f t="shared" si="95"/>
        <v>1.8959999999999999</v>
      </c>
      <c r="AG246">
        <f t="shared" si="95"/>
        <v>1.9049999999999998</v>
      </c>
      <c r="AH246">
        <f t="shared" si="95"/>
        <v>1.9139999999999999</v>
      </c>
      <c r="AI246">
        <f t="shared" si="95"/>
        <v>1.923</v>
      </c>
      <c r="AJ246">
        <f t="shared" si="95"/>
        <v>1.9319999999999999</v>
      </c>
      <c r="AK246">
        <f t="shared" si="95"/>
        <v>1.9409999999999998</v>
      </c>
      <c r="AL246">
        <f t="shared" si="95"/>
        <v>1.95</v>
      </c>
      <c r="AM246">
        <f t="shared" si="95"/>
        <v>1.9590000000000001</v>
      </c>
      <c r="AN246">
        <f t="shared" si="95"/>
        <v>1.9679999999999997</v>
      </c>
      <c r="AO246">
        <f t="shared" si="95"/>
        <v>1.9679999999999997</v>
      </c>
      <c r="AP246">
        <f t="shared" si="95"/>
        <v>1.9679999999999997</v>
      </c>
      <c r="AQ246">
        <f t="shared" si="95"/>
        <v>1.9679999999999997</v>
      </c>
      <c r="AR246">
        <f t="shared" si="95"/>
        <v>1.9679999999999997</v>
      </c>
      <c r="AS246">
        <f t="shared" si="95"/>
        <v>1.9679999999999997</v>
      </c>
      <c r="AT246">
        <f t="shared" si="95"/>
        <v>1.9679999999999997</v>
      </c>
      <c r="AU246">
        <f t="shared" si="95"/>
        <v>1.9679999999999997</v>
      </c>
      <c r="AV246">
        <f t="shared" si="95"/>
        <v>1.9679999999999997</v>
      </c>
      <c r="AW246">
        <f t="shared" si="95"/>
        <v>1.9679999999999997</v>
      </c>
      <c r="AX246">
        <f t="shared" si="95"/>
        <v>1.9679999999999997</v>
      </c>
      <c r="AY246">
        <f t="shared" si="95"/>
        <v>1.9679999999999997</v>
      </c>
      <c r="AZ246">
        <f t="shared" si="95"/>
        <v>1.9679999999999997</v>
      </c>
      <c r="BA246">
        <f t="shared" si="95"/>
        <v>1.9679999999999997</v>
      </c>
      <c r="BB246">
        <f t="shared" si="95"/>
        <v>1.9679999999999997</v>
      </c>
      <c r="BC246">
        <f t="shared" si="95"/>
        <v>1.9679999999999997</v>
      </c>
      <c r="BD246">
        <f t="shared" si="95"/>
        <v>1.9679999999999997</v>
      </c>
      <c r="BE246">
        <f t="shared" si="95"/>
        <v>1.9679999999999997</v>
      </c>
      <c r="BF246">
        <f t="shared" si="95"/>
        <v>1.9679999999999997</v>
      </c>
      <c r="BG246">
        <f t="shared" si="95"/>
        <v>1.9679999999999997</v>
      </c>
      <c r="BH246">
        <f t="shared" si="95"/>
        <v>1.9679999999999997</v>
      </c>
    </row>
    <row r="247" spans="1:60" hidden="1" outlineLevel="1">
      <c r="A247" t="s">
        <v>45</v>
      </c>
      <c r="C247">
        <f t="shared" ref="C247:R250" si="96">C381*0.15</f>
        <v>0.65549999999999997</v>
      </c>
      <c r="D247">
        <f t="shared" si="96"/>
        <v>0.6885</v>
      </c>
      <c r="E247">
        <f t="shared" si="96"/>
        <v>0.82499999999999996</v>
      </c>
      <c r="F247">
        <f t="shared" si="96"/>
        <v>0.84750000000000003</v>
      </c>
      <c r="G247">
        <f t="shared" si="96"/>
        <v>0.89400000000000002</v>
      </c>
      <c r="H247">
        <f t="shared" si="96"/>
        <v>0.96750000000000003</v>
      </c>
      <c r="I247">
        <f t="shared" si="96"/>
        <v>1.032</v>
      </c>
      <c r="J247">
        <f t="shared" si="96"/>
        <v>0.48899999999999993</v>
      </c>
      <c r="K247">
        <f t="shared" si="96"/>
        <v>0.46499999999999997</v>
      </c>
      <c r="L247">
        <f t="shared" si="96"/>
        <v>0.46649999999999997</v>
      </c>
      <c r="M247">
        <f t="shared" si="96"/>
        <v>0.46499999999999997</v>
      </c>
      <c r="N247">
        <f t="shared" si="96"/>
        <v>0.46349999999999997</v>
      </c>
      <c r="O247">
        <f t="shared" si="96"/>
        <v>0.46199999999999997</v>
      </c>
      <c r="P247">
        <f t="shared" si="96"/>
        <v>0.46049999999999996</v>
      </c>
      <c r="Q247">
        <f t="shared" si="96"/>
        <v>0.45899999999999996</v>
      </c>
      <c r="R247">
        <f t="shared" si="96"/>
        <v>0.45749999999999996</v>
      </c>
      <c r="S247">
        <f t="shared" si="95"/>
        <v>0.45599999999999996</v>
      </c>
      <c r="T247">
        <f t="shared" si="95"/>
        <v>0.45599999999999996</v>
      </c>
      <c r="U247">
        <f t="shared" si="95"/>
        <v>0.45449999999999996</v>
      </c>
      <c r="V247">
        <f t="shared" si="95"/>
        <v>0.45299999999999996</v>
      </c>
      <c r="W247">
        <f t="shared" si="95"/>
        <v>0.45149999999999996</v>
      </c>
      <c r="X247">
        <f t="shared" si="95"/>
        <v>0.44999999999999996</v>
      </c>
      <c r="Y247">
        <f t="shared" si="95"/>
        <v>0.44850000000000001</v>
      </c>
      <c r="Z247">
        <f t="shared" si="95"/>
        <v>0.44700000000000001</v>
      </c>
      <c r="AA247">
        <f t="shared" si="95"/>
        <v>0.44550000000000001</v>
      </c>
      <c r="AB247">
        <f t="shared" si="95"/>
        <v>0.44400000000000001</v>
      </c>
      <c r="AC247">
        <f t="shared" si="95"/>
        <v>0.44400000000000001</v>
      </c>
      <c r="AD247">
        <f t="shared" si="95"/>
        <v>0.4425</v>
      </c>
      <c r="AE247">
        <f t="shared" si="95"/>
        <v>0.441</v>
      </c>
      <c r="AF247">
        <f t="shared" si="95"/>
        <v>0.4395</v>
      </c>
      <c r="AG247">
        <f t="shared" si="95"/>
        <v>0.438</v>
      </c>
      <c r="AH247">
        <f t="shared" si="95"/>
        <v>0.4365</v>
      </c>
      <c r="AI247">
        <f t="shared" si="95"/>
        <v>0.435</v>
      </c>
      <c r="AJ247">
        <f t="shared" si="95"/>
        <v>0.4335</v>
      </c>
      <c r="AK247">
        <f t="shared" si="95"/>
        <v>0.432</v>
      </c>
      <c r="AL247">
        <f t="shared" si="95"/>
        <v>0.432</v>
      </c>
      <c r="AM247">
        <f t="shared" si="95"/>
        <v>0.43049999999999999</v>
      </c>
      <c r="AN247">
        <f t="shared" si="95"/>
        <v>0.42899999999999999</v>
      </c>
      <c r="AO247">
        <f t="shared" si="95"/>
        <v>0.42899999999999999</v>
      </c>
      <c r="AP247">
        <f t="shared" si="95"/>
        <v>0.42899999999999999</v>
      </c>
      <c r="AQ247">
        <f t="shared" si="95"/>
        <v>0.42899999999999999</v>
      </c>
      <c r="AR247">
        <f t="shared" si="95"/>
        <v>0.42899999999999999</v>
      </c>
      <c r="AS247">
        <f t="shared" si="95"/>
        <v>0.42899999999999999</v>
      </c>
      <c r="AT247">
        <f t="shared" si="95"/>
        <v>0.42899999999999999</v>
      </c>
      <c r="AU247">
        <f t="shared" si="95"/>
        <v>0.42899999999999999</v>
      </c>
      <c r="AV247">
        <f t="shared" si="95"/>
        <v>0.42899999999999999</v>
      </c>
      <c r="AW247">
        <f t="shared" si="95"/>
        <v>0.42899999999999999</v>
      </c>
      <c r="AX247">
        <f t="shared" si="95"/>
        <v>0.42899999999999999</v>
      </c>
      <c r="AY247">
        <f t="shared" si="95"/>
        <v>0.42899999999999999</v>
      </c>
      <c r="AZ247">
        <f t="shared" si="95"/>
        <v>0.42899999999999999</v>
      </c>
      <c r="BA247">
        <f t="shared" si="95"/>
        <v>0.42899999999999999</v>
      </c>
      <c r="BB247">
        <f t="shared" si="95"/>
        <v>0.42899999999999999</v>
      </c>
      <c r="BC247">
        <f t="shared" si="95"/>
        <v>0.42899999999999999</v>
      </c>
      <c r="BD247">
        <f t="shared" si="95"/>
        <v>0.42899999999999999</v>
      </c>
      <c r="BE247">
        <f t="shared" si="95"/>
        <v>0.42899999999999999</v>
      </c>
      <c r="BF247">
        <f t="shared" si="95"/>
        <v>0.42899999999999999</v>
      </c>
      <c r="BG247">
        <f t="shared" si="95"/>
        <v>0.42899999999999999</v>
      </c>
      <c r="BH247">
        <f t="shared" si="95"/>
        <v>0.42899999999999999</v>
      </c>
    </row>
    <row r="248" spans="1:60" hidden="1" outlineLevel="1">
      <c r="A248" t="s">
        <v>104</v>
      </c>
      <c r="C248">
        <f t="shared" si="96"/>
        <v>0.33449999999999996</v>
      </c>
      <c r="D248">
        <f t="shared" si="95"/>
        <v>0.33149999999999996</v>
      </c>
      <c r="E248">
        <f t="shared" si="95"/>
        <v>0.312</v>
      </c>
      <c r="F248">
        <f t="shared" si="95"/>
        <v>0.30299999999999999</v>
      </c>
      <c r="G248">
        <f t="shared" si="95"/>
        <v>0.28649999999999998</v>
      </c>
      <c r="H248">
        <f t="shared" si="95"/>
        <v>0.28499999999999998</v>
      </c>
      <c r="I248">
        <f t="shared" si="95"/>
        <v>0.28949999999999998</v>
      </c>
      <c r="J248">
        <f t="shared" si="95"/>
        <v>0.27150000000000002</v>
      </c>
      <c r="K248">
        <f t="shared" si="95"/>
        <v>0.33449999999999996</v>
      </c>
      <c r="L248">
        <f t="shared" si="95"/>
        <v>0.32400000000000001</v>
      </c>
      <c r="M248">
        <f t="shared" si="95"/>
        <v>0.312</v>
      </c>
      <c r="N248">
        <f t="shared" si="95"/>
        <v>0.3</v>
      </c>
      <c r="O248">
        <f t="shared" si="95"/>
        <v>0.28949999999999998</v>
      </c>
      <c r="P248">
        <f t="shared" si="95"/>
        <v>0.27750000000000002</v>
      </c>
      <c r="Q248">
        <f t="shared" si="95"/>
        <v>0.26550000000000001</v>
      </c>
      <c r="R248">
        <f t="shared" si="95"/>
        <v>0.255</v>
      </c>
      <c r="S248">
        <f t="shared" si="95"/>
        <v>0.24299999999999999</v>
      </c>
      <c r="T248">
        <f t="shared" si="95"/>
        <v>0.23099999999999998</v>
      </c>
      <c r="U248">
        <f t="shared" si="95"/>
        <v>0.219</v>
      </c>
      <c r="V248">
        <f t="shared" si="95"/>
        <v>0.20849999999999999</v>
      </c>
      <c r="W248">
        <f t="shared" si="95"/>
        <v>0.19650000000000001</v>
      </c>
      <c r="X248">
        <f t="shared" si="95"/>
        <v>0.1845</v>
      </c>
      <c r="Y248">
        <f t="shared" si="95"/>
        <v>0.17399999999999999</v>
      </c>
      <c r="Z248">
        <f t="shared" si="95"/>
        <v>0.16200000000000001</v>
      </c>
      <c r="AA248">
        <f t="shared" si="95"/>
        <v>0.15</v>
      </c>
      <c r="AB248">
        <f t="shared" si="95"/>
        <v>0.13800000000000001</v>
      </c>
      <c r="AC248">
        <f t="shared" si="95"/>
        <v>0.1275</v>
      </c>
      <c r="AD248">
        <f t="shared" si="95"/>
        <v>0.11549999999999999</v>
      </c>
      <c r="AE248">
        <f t="shared" si="95"/>
        <v>0.10349999999999999</v>
      </c>
      <c r="AF248">
        <f t="shared" si="95"/>
        <v>9.2999999999999999E-2</v>
      </c>
      <c r="AG248">
        <f t="shared" si="95"/>
        <v>8.1000000000000003E-2</v>
      </c>
      <c r="AH248">
        <f t="shared" si="95"/>
        <v>6.9000000000000006E-2</v>
      </c>
      <c r="AI248">
        <f t="shared" si="95"/>
        <v>5.8499999999999996E-2</v>
      </c>
      <c r="AJ248">
        <f t="shared" si="95"/>
        <v>4.65E-2</v>
      </c>
      <c r="AK248">
        <f t="shared" si="95"/>
        <v>3.4500000000000003E-2</v>
      </c>
      <c r="AL248">
        <f t="shared" si="95"/>
        <v>2.2499999999999999E-2</v>
      </c>
      <c r="AM248">
        <f t="shared" si="95"/>
        <v>1.2E-2</v>
      </c>
      <c r="AN248">
        <f t="shared" si="95"/>
        <v>0</v>
      </c>
      <c r="AO248">
        <f t="shared" si="95"/>
        <v>0</v>
      </c>
      <c r="AP248">
        <f t="shared" si="95"/>
        <v>0</v>
      </c>
      <c r="AQ248">
        <f t="shared" si="95"/>
        <v>0</v>
      </c>
      <c r="AR248">
        <f t="shared" si="95"/>
        <v>0</v>
      </c>
      <c r="AS248">
        <f t="shared" si="95"/>
        <v>0</v>
      </c>
      <c r="AT248">
        <f t="shared" si="95"/>
        <v>0</v>
      </c>
      <c r="AU248">
        <f t="shared" si="95"/>
        <v>0</v>
      </c>
      <c r="AV248">
        <f t="shared" si="95"/>
        <v>0</v>
      </c>
      <c r="AW248">
        <f t="shared" si="95"/>
        <v>0</v>
      </c>
      <c r="AX248">
        <f t="shared" si="95"/>
        <v>0</v>
      </c>
      <c r="AY248">
        <f t="shared" si="95"/>
        <v>0</v>
      </c>
      <c r="AZ248">
        <f t="shared" si="95"/>
        <v>0</v>
      </c>
      <c r="BA248">
        <f t="shared" si="95"/>
        <v>0</v>
      </c>
      <c r="BB248">
        <f t="shared" si="95"/>
        <v>0</v>
      </c>
      <c r="BC248">
        <f t="shared" si="95"/>
        <v>0</v>
      </c>
      <c r="BD248">
        <f t="shared" si="95"/>
        <v>0</v>
      </c>
      <c r="BE248">
        <f t="shared" si="95"/>
        <v>0</v>
      </c>
      <c r="BF248">
        <f t="shared" si="95"/>
        <v>0</v>
      </c>
      <c r="BG248">
        <f t="shared" si="95"/>
        <v>0</v>
      </c>
      <c r="BH248">
        <f t="shared" si="95"/>
        <v>0</v>
      </c>
    </row>
    <row r="249" spans="1:60" hidden="1" outlineLevel="1">
      <c r="A249" t="s">
        <v>106</v>
      </c>
      <c r="C249">
        <f t="shared" si="96"/>
        <v>1.3904999999999998</v>
      </c>
      <c r="D249">
        <f t="shared" si="95"/>
        <v>1.008</v>
      </c>
      <c r="E249">
        <f t="shared" si="95"/>
        <v>1.5149999999999999</v>
      </c>
      <c r="F249">
        <f t="shared" si="95"/>
        <v>1.599</v>
      </c>
      <c r="G249">
        <f t="shared" si="95"/>
        <v>1.776</v>
      </c>
      <c r="H249">
        <f t="shared" si="95"/>
        <v>1.845</v>
      </c>
      <c r="I249">
        <f t="shared" si="95"/>
        <v>1.9409999999999998</v>
      </c>
      <c r="J249">
        <f t="shared" si="95"/>
        <v>1.6815</v>
      </c>
      <c r="K249">
        <f t="shared" si="95"/>
        <v>2.2934999999999999</v>
      </c>
      <c r="L249">
        <f t="shared" si="95"/>
        <v>2.3294999999999999</v>
      </c>
      <c r="M249">
        <f t="shared" si="95"/>
        <v>2.3504999999999998</v>
      </c>
      <c r="N249">
        <f t="shared" si="95"/>
        <v>2.3729999999999998</v>
      </c>
      <c r="O249">
        <f t="shared" si="95"/>
        <v>2.3955000000000002</v>
      </c>
      <c r="P249">
        <f t="shared" si="95"/>
        <v>2.4164999999999996</v>
      </c>
      <c r="Q249">
        <f t="shared" si="95"/>
        <v>2.4390000000000001</v>
      </c>
      <c r="R249">
        <f t="shared" si="95"/>
        <v>2.4615</v>
      </c>
      <c r="S249">
        <f t="shared" si="95"/>
        <v>2.4839999999999995</v>
      </c>
      <c r="T249">
        <f t="shared" si="95"/>
        <v>2.5049999999999999</v>
      </c>
      <c r="U249">
        <f t="shared" si="95"/>
        <v>2.5275000000000003</v>
      </c>
      <c r="V249">
        <f t="shared" si="95"/>
        <v>2.5499999999999998</v>
      </c>
      <c r="W249">
        <f t="shared" si="95"/>
        <v>2.5710000000000002</v>
      </c>
      <c r="X249">
        <f t="shared" si="95"/>
        <v>2.5815000000000001</v>
      </c>
      <c r="Y249">
        <f t="shared" si="95"/>
        <v>2.5755000000000003</v>
      </c>
      <c r="Z249">
        <f t="shared" si="95"/>
        <v>2.5680000000000001</v>
      </c>
      <c r="AA249">
        <f t="shared" si="95"/>
        <v>2.5619999999999998</v>
      </c>
      <c r="AB249">
        <f t="shared" si="95"/>
        <v>2.5559999999999996</v>
      </c>
      <c r="AC249">
        <f t="shared" si="95"/>
        <v>2.5484999999999998</v>
      </c>
      <c r="AD249">
        <f t="shared" si="95"/>
        <v>2.5425</v>
      </c>
      <c r="AE249">
        <f t="shared" si="95"/>
        <v>2.5364999999999998</v>
      </c>
      <c r="AF249">
        <f t="shared" si="95"/>
        <v>2.5289999999999999</v>
      </c>
      <c r="AG249">
        <f t="shared" si="95"/>
        <v>2.5230000000000001</v>
      </c>
      <c r="AH249">
        <f t="shared" si="95"/>
        <v>2.5169999999999999</v>
      </c>
      <c r="AI249">
        <f t="shared" si="95"/>
        <v>2.5095000000000001</v>
      </c>
      <c r="AJ249">
        <f t="shared" si="95"/>
        <v>2.5035000000000003</v>
      </c>
      <c r="AK249">
        <f t="shared" si="95"/>
        <v>2.4974999999999996</v>
      </c>
      <c r="AL249">
        <f t="shared" si="95"/>
        <v>2.4900000000000002</v>
      </c>
      <c r="AM249">
        <f t="shared" si="95"/>
        <v>2.4839999999999995</v>
      </c>
      <c r="AN249">
        <f t="shared" si="95"/>
        <v>2.4779999999999998</v>
      </c>
      <c r="AO249">
        <f t="shared" si="95"/>
        <v>2.4779999999999998</v>
      </c>
      <c r="AP249">
        <f t="shared" si="95"/>
        <v>2.4779999999999998</v>
      </c>
      <c r="AQ249">
        <f t="shared" si="95"/>
        <v>2.4779999999999998</v>
      </c>
      <c r="AR249">
        <f t="shared" si="95"/>
        <v>2.4779999999999998</v>
      </c>
      <c r="AS249">
        <f t="shared" si="95"/>
        <v>2.4779999999999998</v>
      </c>
      <c r="AT249">
        <f t="shared" si="95"/>
        <v>2.4779999999999998</v>
      </c>
      <c r="AU249">
        <f t="shared" si="95"/>
        <v>2.4779999999999998</v>
      </c>
      <c r="AV249">
        <f t="shared" si="95"/>
        <v>2.4779999999999998</v>
      </c>
      <c r="AW249">
        <f t="shared" si="95"/>
        <v>2.4779999999999998</v>
      </c>
      <c r="AX249">
        <f t="shared" si="95"/>
        <v>2.4779999999999998</v>
      </c>
      <c r="AY249">
        <f t="shared" si="95"/>
        <v>2.4779999999999998</v>
      </c>
      <c r="AZ249">
        <f t="shared" si="95"/>
        <v>2.4779999999999998</v>
      </c>
      <c r="BA249">
        <f t="shared" si="95"/>
        <v>2.4779999999999998</v>
      </c>
      <c r="BB249">
        <f t="shared" si="95"/>
        <v>2.4779999999999998</v>
      </c>
      <c r="BC249">
        <f t="shared" si="95"/>
        <v>2.4779999999999998</v>
      </c>
      <c r="BD249">
        <f t="shared" si="95"/>
        <v>2.4779999999999998</v>
      </c>
      <c r="BE249">
        <f t="shared" si="95"/>
        <v>2.4779999999999998</v>
      </c>
      <c r="BF249">
        <f t="shared" si="95"/>
        <v>2.4779999999999998</v>
      </c>
      <c r="BG249">
        <f t="shared" si="95"/>
        <v>2.4779999999999998</v>
      </c>
      <c r="BH249">
        <f t="shared" si="95"/>
        <v>2.4779999999999998</v>
      </c>
    </row>
    <row r="250" spans="1:60" hidden="1" outlineLevel="1">
      <c r="A250" t="s">
        <v>46</v>
      </c>
      <c r="C250">
        <f t="shared" si="96"/>
        <v>5.4434999999999993</v>
      </c>
      <c r="D250">
        <f t="shared" si="95"/>
        <v>5.6775000000000002</v>
      </c>
      <c r="E250">
        <f t="shared" si="95"/>
        <v>5.7164999999999999</v>
      </c>
      <c r="F250">
        <f t="shared" si="95"/>
        <v>6.0945</v>
      </c>
      <c r="G250">
        <f t="shared" si="95"/>
        <v>6.4724999999999993</v>
      </c>
      <c r="H250">
        <f t="shared" si="95"/>
        <v>6.9314999999999998</v>
      </c>
      <c r="I250">
        <f t="shared" si="95"/>
        <v>6.9314999999999998</v>
      </c>
      <c r="J250">
        <f t="shared" si="95"/>
        <v>7.0934999999999997</v>
      </c>
      <c r="K250">
        <f t="shared" si="95"/>
        <v>6.9135</v>
      </c>
      <c r="L250">
        <f t="shared" si="95"/>
        <v>7.4219999999999988</v>
      </c>
      <c r="M250">
        <f t="shared" si="95"/>
        <v>7.7565</v>
      </c>
      <c r="N250">
        <f t="shared" si="95"/>
        <v>8.0909999999999993</v>
      </c>
      <c r="O250">
        <f t="shared" si="95"/>
        <v>8.4239999999999995</v>
      </c>
      <c r="P250">
        <f t="shared" si="95"/>
        <v>8.7584999999999997</v>
      </c>
      <c r="Q250">
        <f t="shared" si="95"/>
        <v>9.093</v>
      </c>
      <c r="R250">
        <f t="shared" si="95"/>
        <v>9.4275000000000002</v>
      </c>
      <c r="S250">
        <f t="shared" si="95"/>
        <v>9.7619999999999987</v>
      </c>
      <c r="T250">
        <f t="shared" si="95"/>
        <v>10.096500000000001</v>
      </c>
      <c r="U250">
        <f t="shared" si="95"/>
        <v>10.431000000000001</v>
      </c>
      <c r="V250">
        <f t="shared" si="95"/>
        <v>10.764000000000001</v>
      </c>
      <c r="W250">
        <f t="shared" si="95"/>
        <v>11.0985</v>
      </c>
      <c r="X250">
        <f t="shared" si="95"/>
        <v>11.444999999999999</v>
      </c>
      <c r="Y250">
        <f t="shared" si="95"/>
        <v>11.808</v>
      </c>
      <c r="Z250">
        <f t="shared" si="95"/>
        <v>12.170999999999999</v>
      </c>
      <c r="AA250">
        <f t="shared" si="95"/>
        <v>12.534000000000001</v>
      </c>
      <c r="AB250">
        <f t="shared" si="95"/>
        <v>12.897</v>
      </c>
      <c r="AC250">
        <f t="shared" si="95"/>
        <v>13.26</v>
      </c>
      <c r="AD250">
        <f t="shared" si="95"/>
        <v>13.622999999999999</v>
      </c>
      <c r="AE250">
        <f t="shared" si="95"/>
        <v>13.984500000000001</v>
      </c>
      <c r="AF250">
        <f t="shared" si="95"/>
        <v>14.3475</v>
      </c>
      <c r="AG250">
        <f t="shared" si="95"/>
        <v>14.710499999999998</v>
      </c>
      <c r="AH250">
        <f t="shared" si="95"/>
        <v>15.073499999999999</v>
      </c>
      <c r="AI250">
        <f t="shared" si="95"/>
        <v>15.436499999999999</v>
      </c>
      <c r="AJ250">
        <f t="shared" si="95"/>
        <v>15.799499999999998</v>
      </c>
      <c r="AK250">
        <f t="shared" si="95"/>
        <v>16.162499999999998</v>
      </c>
      <c r="AL250">
        <f t="shared" si="95"/>
        <v>16.525500000000001</v>
      </c>
      <c r="AM250">
        <f t="shared" si="95"/>
        <v>16.888500000000001</v>
      </c>
      <c r="AN250">
        <f t="shared" si="95"/>
        <v>17.2515</v>
      </c>
      <c r="AO250">
        <f t="shared" si="95"/>
        <v>17.2515</v>
      </c>
      <c r="AP250">
        <f t="shared" si="95"/>
        <v>17.2515</v>
      </c>
      <c r="AQ250">
        <f t="shared" si="95"/>
        <v>17.2515</v>
      </c>
      <c r="AR250">
        <f t="shared" si="95"/>
        <v>17.2515</v>
      </c>
      <c r="AS250">
        <f t="shared" si="95"/>
        <v>17.2515</v>
      </c>
      <c r="AT250">
        <f t="shared" ref="AT250:BH250" si="97">AT384*0.15</f>
        <v>17.2515</v>
      </c>
      <c r="AU250">
        <f t="shared" si="97"/>
        <v>17.2515</v>
      </c>
      <c r="AV250">
        <f t="shared" si="97"/>
        <v>17.2515</v>
      </c>
      <c r="AW250">
        <f t="shared" si="97"/>
        <v>17.2515</v>
      </c>
      <c r="AX250">
        <f t="shared" si="97"/>
        <v>17.2515</v>
      </c>
      <c r="AY250">
        <f t="shared" si="97"/>
        <v>17.2515</v>
      </c>
      <c r="AZ250">
        <f t="shared" si="97"/>
        <v>17.2515</v>
      </c>
      <c r="BA250">
        <f t="shared" si="97"/>
        <v>17.2515</v>
      </c>
      <c r="BB250">
        <f t="shared" si="97"/>
        <v>17.2515</v>
      </c>
      <c r="BC250">
        <f t="shared" si="97"/>
        <v>17.2515</v>
      </c>
      <c r="BD250">
        <f t="shared" si="97"/>
        <v>17.2515</v>
      </c>
      <c r="BE250">
        <f t="shared" si="97"/>
        <v>17.2515</v>
      </c>
      <c r="BF250">
        <f t="shared" si="97"/>
        <v>17.2515</v>
      </c>
      <c r="BG250">
        <f t="shared" si="97"/>
        <v>17.2515</v>
      </c>
      <c r="BH250">
        <f t="shared" si="97"/>
        <v>17.2515</v>
      </c>
    </row>
    <row r="251" spans="1:60" s="68" customFormat="1" collapsed="1">
      <c r="A251" s="68" t="s">
        <v>128</v>
      </c>
    </row>
    <row r="252" spans="1:60" s="68" customFormat="1" collapsed="1">
      <c r="A252" s="68" t="s">
        <v>129</v>
      </c>
      <c r="C252" s="68">
        <f>SUM(C253:C257)</f>
        <v>52.257999999999996</v>
      </c>
      <c r="D252" s="68">
        <f t="shared" ref="D252:BH252" si="98">SUM(D253:D257)</f>
        <v>50.540999999999997</v>
      </c>
      <c r="E252" s="68">
        <f t="shared" si="98"/>
        <v>53.813499999999998</v>
      </c>
      <c r="F252" s="68">
        <f t="shared" si="98"/>
        <v>57.629999999999995</v>
      </c>
      <c r="G252" s="68">
        <f t="shared" si="98"/>
        <v>60.791999999999994</v>
      </c>
      <c r="H252" s="68">
        <f t="shared" si="98"/>
        <v>63.869</v>
      </c>
      <c r="I252" s="68">
        <f t="shared" si="98"/>
        <v>64.599999999999994</v>
      </c>
      <c r="J252" s="68">
        <f t="shared" si="98"/>
        <v>65.058999999999997</v>
      </c>
      <c r="K252" s="68">
        <f t="shared" si="98"/>
        <v>65.849500000000006</v>
      </c>
      <c r="L252" s="68">
        <f t="shared" si="98"/>
        <v>69.453499999999991</v>
      </c>
      <c r="M252" s="68">
        <f t="shared" si="98"/>
        <v>71.442499999999995</v>
      </c>
      <c r="N252" s="68">
        <f t="shared" si="98"/>
        <v>73.44</v>
      </c>
      <c r="O252" s="68">
        <f t="shared" si="98"/>
        <v>75.4375</v>
      </c>
      <c r="P252" s="68">
        <f t="shared" si="98"/>
        <v>77.426500000000004</v>
      </c>
      <c r="Q252" s="68">
        <f t="shared" si="98"/>
        <v>79.423999999999992</v>
      </c>
      <c r="R252" s="68">
        <f t="shared" si="98"/>
        <v>81.430000000000007</v>
      </c>
      <c r="S252" s="68">
        <f t="shared" si="98"/>
        <v>83.427499999999995</v>
      </c>
      <c r="T252" s="68">
        <f t="shared" si="98"/>
        <v>85.424999999999997</v>
      </c>
      <c r="U252" s="68">
        <f t="shared" si="98"/>
        <v>87.422499999999999</v>
      </c>
      <c r="V252" s="68">
        <f t="shared" si="98"/>
        <v>89.42</v>
      </c>
      <c r="W252" s="68">
        <f t="shared" si="98"/>
        <v>91.408999999999992</v>
      </c>
      <c r="X252" s="68">
        <f t="shared" si="98"/>
        <v>93.406499999999994</v>
      </c>
      <c r="Y252" s="68">
        <f t="shared" si="98"/>
        <v>95.412499999999994</v>
      </c>
      <c r="Z252" s="68">
        <f t="shared" si="98"/>
        <v>97.41</v>
      </c>
      <c r="AA252" s="68">
        <f t="shared" si="98"/>
        <v>99.407499999999999</v>
      </c>
      <c r="AB252" s="68">
        <f t="shared" si="98"/>
        <v>101.405</v>
      </c>
      <c r="AC252" s="68">
        <f t="shared" si="98"/>
        <v>103.411</v>
      </c>
      <c r="AD252" s="68">
        <f t="shared" si="98"/>
        <v>105.40849999999999</v>
      </c>
      <c r="AE252" s="68">
        <f t="shared" si="98"/>
        <v>107.39750000000001</v>
      </c>
      <c r="AF252" s="68">
        <f t="shared" si="98"/>
        <v>109.39500000000001</v>
      </c>
      <c r="AG252" s="68">
        <f t="shared" si="98"/>
        <v>111.3925</v>
      </c>
      <c r="AH252" s="68">
        <f t="shared" si="98"/>
        <v>113.39</v>
      </c>
      <c r="AI252" s="68">
        <f t="shared" si="98"/>
        <v>115.3875</v>
      </c>
      <c r="AJ252" s="68">
        <f t="shared" si="98"/>
        <v>117.38499999999999</v>
      </c>
      <c r="AK252" s="68">
        <f t="shared" si="98"/>
        <v>119.38249999999999</v>
      </c>
      <c r="AL252" s="68">
        <f t="shared" si="98"/>
        <v>121.38</v>
      </c>
      <c r="AM252" s="68">
        <f t="shared" si="98"/>
        <v>123.386</v>
      </c>
      <c r="AN252" s="68">
        <f t="shared" si="98"/>
        <v>125.3835</v>
      </c>
      <c r="AO252" s="68">
        <f t="shared" si="98"/>
        <v>125.3835</v>
      </c>
      <c r="AP252" s="68">
        <f t="shared" si="98"/>
        <v>125.3835</v>
      </c>
      <c r="AQ252" s="68">
        <f t="shared" si="98"/>
        <v>125.3835</v>
      </c>
      <c r="AR252" s="68">
        <f t="shared" si="98"/>
        <v>125.3835</v>
      </c>
      <c r="AS252" s="68">
        <f t="shared" si="98"/>
        <v>125.3835</v>
      </c>
      <c r="AT252" s="68">
        <f t="shared" si="98"/>
        <v>125.3835</v>
      </c>
      <c r="AU252" s="68">
        <f t="shared" si="98"/>
        <v>125.3835</v>
      </c>
      <c r="AV252" s="68">
        <f t="shared" si="98"/>
        <v>125.3835</v>
      </c>
      <c r="AW252" s="68">
        <f t="shared" si="98"/>
        <v>125.3835</v>
      </c>
      <c r="AX252" s="68">
        <f t="shared" si="98"/>
        <v>125.3835</v>
      </c>
      <c r="AY252" s="68">
        <f t="shared" si="98"/>
        <v>125.3835</v>
      </c>
      <c r="AZ252" s="68">
        <f t="shared" si="98"/>
        <v>125.3835</v>
      </c>
      <c r="BA252" s="68">
        <f t="shared" si="98"/>
        <v>125.3835</v>
      </c>
      <c r="BB252" s="68">
        <f t="shared" si="98"/>
        <v>125.3835</v>
      </c>
      <c r="BC252" s="68">
        <f t="shared" si="98"/>
        <v>125.3835</v>
      </c>
      <c r="BD252" s="68">
        <f t="shared" si="98"/>
        <v>125.3835</v>
      </c>
      <c r="BE252" s="68">
        <f t="shared" si="98"/>
        <v>125.3835</v>
      </c>
      <c r="BF252" s="68">
        <f t="shared" si="98"/>
        <v>125.3835</v>
      </c>
      <c r="BG252" s="68">
        <f t="shared" si="98"/>
        <v>125.3835</v>
      </c>
      <c r="BH252" s="68">
        <f t="shared" si="98"/>
        <v>125.3835</v>
      </c>
    </row>
    <row r="253" spans="1:60" hidden="1" outlineLevel="1">
      <c r="A253" t="s">
        <v>102</v>
      </c>
      <c r="C253">
        <f>C380*0.85</f>
        <v>7.9219999999999997</v>
      </c>
      <c r="D253">
        <f t="shared" ref="D253:BH253" si="99">D380*0.85</f>
        <v>6.8765000000000001</v>
      </c>
      <c r="E253">
        <f t="shared" si="99"/>
        <v>6.3919999999999995</v>
      </c>
      <c r="F253">
        <f t="shared" si="99"/>
        <v>7.5139999999999993</v>
      </c>
      <c r="G253">
        <f t="shared" si="99"/>
        <v>7.3609999999999998</v>
      </c>
      <c r="H253">
        <f t="shared" si="99"/>
        <v>7.0379999999999994</v>
      </c>
      <c r="I253">
        <f t="shared" si="99"/>
        <v>6.8339999999999987</v>
      </c>
      <c r="J253">
        <f t="shared" si="99"/>
        <v>11.0245</v>
      </c>
      <c r="K253">
        <f t="shared" si="99"/>
        <v>9.145999999999999</v>
      </c>
      <c r="L253">
        <f t="shared" si="99"/>
        <v>9.7154999999999987</v>
      </c>
      <c r="M253">
        <f t="shared" si="99"/>
        <v>9.7665000000000006</v>
      </c>
      <c r="N253">
        <f t="shared" si="99"/>
        <v>9.8175000000000008</v>
      </c>
      <c r="O253">
        <f t="shared" si="99"/>
        <v>9.8684999999999992</v>
      </c>
      <c r="P253">
        <f t="shared" si="99"/>
        <v>9.9194999999999993</v>
      </c>
      <c r="Q253">
        <f t="shared" si="99"/>
        <v>9.9704999999999995</v>
      </c>
      <c r="R253">
        <f t="shared" si="99"/>
        <v>10.0215</v>
      </c>
      <c r="S253">
        <f t="shared" si="99"/>
        <v>10.0725</v>
      </c>
      <c r="T253">
        <f t="shared" si="99"/>
        <v>10.1235</v>
      </c>
      <c r="U253">
        <f t="shared" si="99"/>
        <v>10.1745</v>
      </c>
      <c r="V253">
        <f t="shared" si="99"/>
        <v>10.225499999999998</v>
      </c>
      <c r="W253">
        <f t="shared" si="99"/>
        <v>10.2765</v>
      </c>
      <c r="X253">
        <f t="shared" si="99"/>
        <v>10.327500000000001</v>
      </c>
      <c r="Y253">
        <f t="shared" si="99"/>
        <v>10.378500000000001</v>
      </c>
      <c r="Z253">
        <f t="shared" si="99"/>
        <v>10.437999999999999</v>
      </c>
      <c r="AA253">
        <f t="shared" si="99"/>
        <v>10.488999999999999</v>
      </c>
      <c r="AB253">
        <f t="shared" si="99"/>
        <v>10.54</v>
      </c>
      <c r="AC253">
        <f t="shared" si="99"/>
        <v>10.591000000000001</v>
      </c>
      <c r="AD253">
        <f t="shared" si="99"/>
        <v>10.641999999999999</v>
      </c>
      <c r="AE253">
        <f t="shared" si="99"/>
        <v>10.693</v>
      </c>
      <c r="AF253">
        <f t="shared" si="99"/>
        <v>10.744</v>
      </c>
      <c r="AG253">
        <f t="shared" si="99"/>
        <v>10.795</v>
      </c>
      <c r="AH253">
        <f t="shared" si="99"/>
        <v>10.846</v>
      </c>
      <c r="AI253">
        <f t="shared" si="99"/>
        <v>10.897</v>
      </c>
      <c r="AJ253">
        <f t="shared" si="99"/>
        <v>10.948</v>
      </c>
      <c r="AK253">
        <f t="shared" si="99"/>
        <v>10.998999999999999</v>
      </c>
      <c r="AL253">
        <f t="shared" si="99"/>
        <v>11.049999999999999</v>
      </c>
      <c r="AM253">
        <f t="shared" si="99"/>
        <v>11.101000000000001</v>
      </c>
      <c r="AN253">
        <f t="shared" si="99"/>
        <v>11.151999999999999</v>
      </c>
      <c r="AO253">
        <f t="shared" si="99"/>
        <v>11.151999999999999</v>
      </c>
      <c r="AP253">
        <f t="shared" si="99"/>
        <v>11.151999999999999</v>
      </c>
      <c r="AQ253">
        <f t="shared" si="99"/>
        <v>11.151999999999999</v>
      </c>
      <c r="AR253">
        <f t="shared" si="99"/>
        <v>11.151999999999999</v>
      </c>
      <c r="AS253">
        <f t="shared" si="99"/>
        <v>11.151999999999999</v>
      </c>
      <c r="AT253">
        <f t="shared" si="99"/>
        <v>11.151999999999999</v>
      </c>
      <c r="AU253">
        <f t="shared" si="99"/>
        <v>11.151999999999999</v>
      </c>
      <c r="AV253">
        <f t="shared" si="99"/>
        <v>11.151999999999999</v>
      </c>
      <c r="AW253">
        <f t="shared" si="99"/>
        <v>11.151999999999999</v>
      </c>
      <c r="AX253">
        <f t="shared" si="99"/>
        <v>11.151999999999999</v>
      </c>
      <c r="AY253">
        <f t="shared" si="99"/>
        <v>11.151999999999999</v>
      </c>
      <c r="AZ253">
        <f t="shared" si="99"/>
        <v>11.151999999999999</v>
      </c>
      <c r="BA253">
        <f t="shared" si="99"/>
        <v>11.151999999999999</v>
      </c>
      <c r="BB253">
        <f t="shared" si="99"/>
        <v>11.151999999999999</v>
      </c>
      <c r="BC253">
        <f t="shared" si="99"/>
        <v>11.151999999999999</v>
      </c>
      <c r="BD253">
        <f t="shared" si="99"/>
        <v>11.151999999999999</v>
      </c>
      <c r="BE253">
        <f t="shared" si="99"/>
        <v>11.151999999999999</v>
      </c>
      <c r="BF253">
        <f t="shared" si="99"/>
        <v>11.151999999999999</v>
      </c>
      <c r="BG253">
        <f t="shared" si="99"/>
        <v>11.151999999999999</v>
      </c>
      <c r="BH253">
        <f t="shared" si="99"/>
        <v>11.151999999999999</v>
      </c>
    </row>
    <row r="254" spans="1:60" hidden="1" outlineLevel="1">
      <c r="A254" t="s">
        <v>45</v>
      </c>
      <c r="C254">
        <f t="shared" ref="C254:BH257" si="100">C381*0.85</f>
        <v>3.7145000000000001</v>
      </c>
      <c r="D254">
        <f t="shared" si="100"/>
        <v>3.9015</v>
      </c>
      <c r="E254">
        <f t="shared" si="100"/>
        <v>4.6749999999999998</v>
      </c>
      <c r="F254">
        <f t="shared" si="100"/>
        <v>4.8025000000000002</v>
      </c>
      <c r="G254">
        <f t="shared" si="100"/>
        <v>5.0659999999999998</v>
      </c>
      <c r="H254">
        <f t="shared" si="100"/>
        <v>5.4824999999999999</v>
      </c>
      <c r="I254">
        <f t="shared" si="100"/>
        <v>5.8479999999999999</v>
      </c>
      <c r="J254">
        <f t="shared" si="100"/>
        <v>2.7709999999999999</v>
      </c>
      <c r="K254">
        <f t="shared" si="100"/>
        <v>2.6349999999999998</v>
      </c>
      <c r="L254">
        <f t="shared" si="100"/>
        <v>2.6435</v>
      </c>
      <c r="M254">
        <f t="shared" si="100"/>
        <v>2.6349999999999998</v>
      </c>
      <c r="N254">
        <f t="shared" si="100"/>
        <v>2.6264999999999996</v>
      </c>
      <c r="O254">
        <f t="shared" si="100"/>
        <v>2.6179999999999999</v>
      </c>
      <c r="P254">
        <f t="shared" si="100"/>
        <v>2.6094999999999997</v>
      </c>
      <c r="Q254">
        <f t="shared" si="100"/>
        <v>2.601</v>
      </c>
      <c r="R254">
        <f t="shared" si="100"/>
        <v>2.5924999999999998</v>
      </c>
      <c r="S254">
        <f t="shared" si="100"/>
        <v>2.5840000000000001</v>
      </c>
      <c r="T254">
        <f t="shared" si="100"/>
        <v>2.5840000000000001</v>
      </c>
      <c r="U254">
        <f t="shared" si="100"/>
        <v>2.5754999999999999</v>
      </c>
      <c r="V254">
        <f t="shared" si="100"/>
        <v>2.5669999999999997</v>
      </c>
      <c r="W254">
        <f t="shared" si="100"/>
        <v>2.5584999999999996</v>
      </c>
      <c r="X254">
        <f t="shared" si="100"/>
        <v>2.5499999999999998</v>
      </c>
      <c r="Y254">
        <f t="shared" si="100"/>
        <v>2.5415000000000001</v>
      </c>
      <c r="Z254">
        <f t="shared" si="100"/>
        <v>2.5329999999999999</v>
      </c>
      <c r="AA254">
        <f t="shared" si="100"/>
        <v>2.5245000000000002</v>
      </c>
      <c r="AB254">
        <f t="shared" si="100"/>
        <v>2.516</v>
      </c>
      <c r="AC254">
        <f t="shared" si="100"/>
        <v>2.516</v>
      </c>
      <c r="AD254">
        <f t="shared" si="100"/>
        <v>2.5075000000000003</v>
      </c>
      <c r="AE254">
        <f t="shared" si="100"/>
        <v>2.4990000000000001</v>
      </c>
      <c r="AF254">
        <f t="shared" si="100"/>
        <v>2.4904999999999999</v>
      </c>
      <c r="AG254">
        <f t="shared" si="100"/>
        <v>2.4819999999999998</v>
      </c>
      <c r="AH254">
        <f t="shared" si="100"/>
        <v>2.4735</v>
      </c>
      <c r="AI254">
        <f t="shared" si="100"/>
        <v>2.4649999999999999</v>
      </c>
      <c r="AJ254">
        <f t="shared" si="100"/>
        <v>2.4565000000000001</v>
      </c>
      <c r="AK254">
        <f t="shared" si="100"/>
        <v>2.448</v>
      </c>
      <c r="AL254">
        <f t="shared" si="100"/>
        <v>2.448</v>
      </c>
      <c r="AM254">
        <f t="shared" si="100"/>
        <v>2.4395000000000002</v>
      </c>
      <c r="AN254">
        <f t="shared" si="100"/>
        <v>2.431</v>
      </c>
      <c r="AO254">
        <f t="shared" si="100"/>
        <v>2.431</v>
      </c>
      <c r="AP254">
        <f t="shared" si="100"/>
        <v>2.431</v>
      </c>
      <c r="AQ254">
        <f t="shared" si="100"/>
        <v>2.431</v>
      </c>
      <c r="AR254">
        <f t="shared" si="100"/>
        <v>2.431</v>
      </c>
      <c r="AS254">
        <f t="shared" si="100"/>
        <v>2.431</v>
      </c>
      <c r="AT254">
        <f t="shared" si="100"/>
        <v>2.431</v>
      </c>
      <c r="AU254">
        <f t="shared" si="100"/>
        <v>2.431</v>
      </c>
      <c r="AV254">
        <f t="shared" si="100"/>
        <v>2.431</v>
      </c>
      <c r="AW254">
        <f t="shared" si="100"/>
        <v>2.431</v>
      </c>
      <c r="AX254">
        <f t="shared" si="100"/>
        <v>2.431</v>
      </c>
      <c r="AY254">
        <f t="shared" si="100"/>
        <v>2.431</v>
      </c>
      <c r="AZ254">
        <f t="shared" si="100"/>
        <v>2.431</v>
      </c>
      <c r="BA254">
        <f t="shared" si="100"/>
        <v>2.431</v>
      </c>
      <c r="BB254">
        <f t="shared" si="100"/>
        <v>2.431</v>
      </c>
      <c r="BC254">
        <f t="shared" si="100"/>
        <v>2.431</v>
      </c>
      <c r="BD254">
        <f t="shared" si="100"/>
        <v>2.431</v>
      </c>
      <c r="BE254">
        <f t="shared" si="100"/>
        <v>2.431</v>
      </c>
      <c r="BF254">
        <f t="shared" si="100"/>
        <v>2.431</v>
      </c>
      <c r="BG254">
        <f t="shared" si="100"/>
        <v>2.431</v>
      </c>
      <c r="BH254">
        <f t="shared" si="100"/>
        <v>2.431</v>
      </c>
    </row>
    <row r="255" spans="1:60" hidden="1" outlineLevel="1">
      <c r="A255" t="s">
        <v>104</v>
      </c>
      <c r="C255">
        <f t="shared" si="100"/>
        <v>1.8955</v>
      </c>
      <c r="D255">
        <f t="shared" si="100"/>
        <v>1.8784999999999998</v>
      </c>
      <c r="E255">
        <f t="shared" si="100"/>
        <v>1.768</v>
      </c>
      <c r="F255">
        <f t="shared" si="100"/>
        <v>1.7169999999999999</v>
      </c>
      <c r="G255">
        <f t="shared" si="100"/>
        <v>1.6234999999999999</v>
      </c>
      <c r="H255">
        <f t="shared" si="100"/>
        <v>1.615</v>
      </c>
      <c r="I255">
        <f t="shared" si="100"/>
        <v>1.6404999999999998</v>
      </c>
      <c r="J255">
        <f t="shared" si="100"/>
        <v>1.5385</v>
      </c>
      <c r="K255">
        <f t="shared" si="100"/>
        <v>1.8955</v>
      </c>
      <c r="L255">
        <f t="shared" si="100"/>
        <v>1.8360000000000001</v>
      </c>
      <c r="M255">
        <f t="shared" si="100"/>
        <v>1.768</v>
      </c>
      <c r="N255">
        <f t="shared" si="100"/>
        <v>1.7</v>
      </c>
      <c r="O255">
        <f t="shared" si="100"/>
        <v>1.6404999999999998</v>
      </c>
      <c r="P255">
        <f t="shared" si="100"/>
        <v>1.5725</v>
      </c>
      <c r="Q255">
        <f t="shared" si="100"/>
        <v>1.5044999999999999</v>
      </c>
      <c r="R255">
        <f t="shared" si="100"/>
        <v>1.4449999999999998</v>
      </c>
      <c r="S255">
        <f t="shared" si="100"/>
        <v>1.377</v>
      </c>
      <c r="T255">
        <f t="shared" si="100"/>
        <v>1.3089999999999999</v>
      </c>
      <c r="U255">
        <f t="shared" si="100"/>
        <v>1.2409999999999999</v>
      </c>
      <c r="V255">
        <f t="shared" si="100"/>
        <v>1.1815</v>
      </c>
      <c r="W255">
        <f t="shared" si="100"/>
        <v>1.1134999999999999</v>
      </c>
      <c r="X255">
        <f t="shared" si="100"/>
        <v>1.0454999999999999</v>
      </c>
      <c r="Y255">
        <f t="shared" si="100"/>
        <v>0.98599999999999988</v>
      </c>
      <c r="Z255">
        <f t="shared" si="100"/>
        <v>0.91800000000000004</v>
      </c>
      <c r="AA255">
        <f t="shared" si="100"/>
        <v>0.85</v>
      </c>
      <c r="AB255">
        <f t="shared" si="100"/>
        <v>0.78200000000000003</v>
      </c>
      <c r="AC255">
        <f t="shared" si="100"/>
        <v>0.72249999999999992</v>
      </c>
      <c r="AD255">
        <f t="shared" si="100"/>
        <v>0.65449999999999997</v>
      </c>
      <c r="AE255">
        <f t="shared" si="100"/>
        <v>0.58649999999999991</v>
      </c>
      <c r="AF255">
        <f t="shared" si="100"/>
        <v>0.52700000000000002</v>
      </c>
      <c r="AG255">
        <f t="shared" si="100"/>
        <v>0.45900000000000002</v>
      </c>
      <c r="AH255">
        <f t="shared" si="100"/>
        <v>0.39100000000000001</v>
      </c>
      <c r="AI255">
        <f t="shared" si="100"/>
        <v>0.33150000000000002</v>
      </c>
      <c r="AJ255">
        <f t="shared" si="100"/>
        <v>0.26350000000000001</v>
      </c>
      <c r="AK255">
        <f t="shared" si="100"/>
        <v>0.19550000000000001</v>
      </c>
      <c r="AL255">
        <f t="shared" si="100"/>
        <v>0.1275</v>
      </c>
      <c r="AM255">
        <f t="shared" si="100"/>
        <v>6.8000000000000005E-2</v>
      </c>
      <c r="AN255">
        <f t="shared" si="100"/>
        <v>0</v>
      </c>
      <c r="AO255">
        <f t="shared" si="100"/>
        <v>0</v>
      </c>
      <c r="AP255">
        <f t="shared" si="100"/>
        <v>0</v>
      </c>
      <c r="AQ255">
        <f t="shared" si="100"/>
        <v>0</v>
      </c>
      <c r="AR255">
        <f t="shared" si="100"/>
        <v>0</v>
      </c>
      <c r="AS255">
        <f t="shared" si="100"/>
        <v>0</v>
      </c>
      <c r="AT255">
        <f t="shared" si="100"/>
        <v>0</v>
      </c>
      <c r="AU255">
        <f t="shared" si="100"/>
        <v>0</v>
      </c>
      <c r="AV255">
        <f t="shared" si="100"/>
        <v>0</v>
      </c>
      <c r="AW255">
        <f t="shared" si="100"/>
        <v>0</v>
      </c>
      <c r="AX255">
        <f t="shared" si="100"/>
        <v>0</v>
      </c>
      <c r="AY255">
        <f t="shared" si="100"/>
        <v>0</v>
      </c>
      <c r="AZ255">
        <f t="shared" si="100"/>
        <v>0</v>
      </c>
      <c r="BA255">
        <f t="shared" si="100"/>
        <v>0</v>
      </c>
      <c r="BB255">
        <f t="shared" si="100"/>
        <v>0</v>
      </c>
      <c r="BC255">
        <f t="shared" si="100"/>
        <v>0</v>
      </c>
      <c r="BD255">
        <f t="shared" si="100"/>
        <v>0</v>
      </c>
      <c r="BE255">
        <f t="shared" si="100"/>
        <v>0</v>
      </c>
      <c r="BF255">
        <f t="shared" si="100"/>
        <v>0</v>
      </c>
      <c r="BG255">
        <f t="shared" si="100"/>
        <v>0</v>
      </c>
      <c r="BH255">
        <f t="shared" si="100"/>
        <v>0</v>
      </c>
    </row>
    <row r="256" spans="1:60" hidden="1" outlineLevel="1">
      <c r="A256" t="s">
        <v>106</v>
      </c>
      <c r="C256">
        <f t="shared" si="100"/>
        <v>7.8794999999999993</v>
      </c>
      <c r="D256">
        <f t="shared" si="100"/>
        <v>5.7119999999999997</v>
      </c>
      <c r="E256">
        <f t="shared" si="100"/>
        <v>8.5849999999999991</v>
      </c>
      <c r="F256">
        <f t="shared" si="100"/>
        <v>9.0609999999999999</v>
      </c>
      <c r="G256">
        <f t="shared" si="100"/>
        <v>10.064</v>
      </c>
      <c r="H256">
        <f t="shared" si="100"/>
        <v>10.455</v>
      </c>
      <c r="I256">
        <f t="shared" si="100"/>
        <v>10.998999999999999</v>
      </c>
      <c r="J256">
        <f t="shared" si="100"/>
        <v>9.5285000000000011</v>
      </c>
      <c r="K256">
        <f t="shared" si="100"/>
        <v>12.996499999999999</v>
      </c>
      <c r="L256">
        <f t="shared" si="100"/>
        <v>13.2005</v>
      </c>
      <c r="M256">
        <f t="shared" si="100"/>
        <v>13.3195</v>
      </c>
      <c r="N256">
        <f t="shared" si="100"/>
        <v>13.446999999999999</v>
      </c>
      <c r="O256">
        <f t="shared" si="100"/>
        <v>13.5745</v>
      </c>
      <c r="P256">
        <f t="shared" si="100"/>
        <v>13.693499999999998</v>
      </c>
      <c r="Q256">
        <f t="shared" si="100"/>
        <v>13.821000000000002</v>
      </c>
      <c r="R256">
        <f t="shared" si="100"/>
        <v>13.948499999999999</v>
      </c>
      <c r="S256">
        <f t="shared" si="100"/>
        <v>14.075999999999999</v>
      </c>
      <c r="T256">
        <f t="shared" si="100"/>
        <v>14.194999999999999</v>
      </c>
      <c r="U256">
        <f t="shared" si="100"/>
        <v>14.322500000000002</v>
      </c>
      <c r="V256">
        <f t="shared" si="100"/>
        <v>14.45</v>
      </c>
      <c r="W256">
        <f t="shared" si="100"/>
        <v>14.569000000000001</v>
      </c>
      <c r="X256">
        <f t="shared" si="100"/>
        <v>14.628500000000001</v>
      </c>
      <c r="Y256">
        <f t="shared" si="100"/>
        <v>14.594500000000002</v>
      </c>
      <c r="Z256">
        <f t="shared" si="100"/>
        <v>14.552</v>
      </c>
      <c r="AA256">
        <f t="shared" si="100"/>
        <v>14.517999999999999</v>
      </c>
      <c r="AB256">
        <f t="shared" si="100"/>
        <v>14.483999999999998</v>
      </c>
      <c r="AC256">
        <f t="shared" si="100"/>
        <v>14.441499999999998</v>
      </c>
      <c r="AD256">
        <f t="shared" si="100"/>
        <v>14.407499999999999</v>
      </c>
      <c r="AE256">
        <f t="shared" si="100"/>
        <v>14.3735</v>
      </c>
      <c r="AF256">
        <f t="shared" si="100"/>
        <v>14.331</v>
      </c>
      <c r="AG256">
        <f t="shared" si="100"/>
        <v>14.297000000000001</v>
      </c>
      <c r="AH256">
        <f t="shared" si="100"/>
        <v>14.263</v>
      </c>
      <c r="AI256">
        <f t="shared" si="100"/>
        <v>14.220499999999999</v>
      </c>
      <c r="AJ256">
        <f t="shared" si="100"/>
        <v>14.186500000000001</v>
      </c>
      <c r="AK256">
        <f t="shared" si="100"/>
        <v>14.152499999999998</v>
      </c>
      <c r="AL256">
        <f t="shared" si="100"/>
        <v>14.110000000000001</v>
      </c>
      <c r="AM256">
        <f t="shared" si="100"/>
        <v>14.075999999999999</v>
      </c>
      <c r="AN256">
        <f t="shared" si="100"/>
        <v>14.042</v>
      </c>
      <c r="AO256">
        <f t="shared" si="100"/>
        <v>14.042</v>
      </c>
      <c r="AP256">
        <f t="shared" si="100"/>
        <v>14.042</v>
      </c>
      <c r="AQ256">
        <f t="shared" si="100"/>
        <v>14.042</v>
      </c>
      <c r="AR256">
        <f t="shared" si="100"/>
        <v>14.042</v>
      </c>
      <c r="AS256">
        <f t="shared" si="100"/>
        <v>14.042</v>
      </c>
      <c r="AT256">
        <f t="shared" si="100"/>
        <v>14.042</v>
      </c>
      <c r="AU256">
        <f t="shared" si="100"/>
        <v>14.042</v>
      </c>
      <c r="AV256">
        <f t="shared" si="100"/>
        <v>14.042</v>
      </c>
      <c r="AW256">
        <f t="shared" si="100"/>
        <v>14.042</v>
      </c>
      <c r="AX256">
        <f t="shared" si="100"/>
        <v>14.042</v>
      </c>
      <c r="AY256">
        <f t="shared" si="100"/>
        <v>14.042</v>
      </c>
      <c r="AZ256">
        <f t="shared" si="100"/>
        <v>14.042</v>
      </c>
      <c r="BA256">
        <f t="shared" si="100"/>
        <v>14.042</v>
      </c>
      <c r="BB256">
        <f t="shared" si="100"/>
        <v>14.042</v>
      </c>
      <c r="BC256">
        <f t="shared" si="100"/>
        <v>14.042</v>
      </c>
      <c r="BD256">
        <f t="shared" si="100"/>
        <v>14.042</v>
      </c>
      <c r="BE256">
        <f t="shared" si="100"/>
        <v>14.042</v>
      </c>
      <c r="BF256">
        <f t="shared" si="100"/>
        <v>14.042</v>
      </c>
      <c r="BG256">
        <f t="shared" si="100"/>
        <v>14.042</v>
      </c>
      <c r="BH256">
        <f t="shared" si="100"/>
        <v>14.042</v>
      </c>
    </row>
    <row r="257" spans="1:60" hidden="1" outlineLevel="1">
      <c r="A257" t="s">
        <v>46</v>
      </c>
      <c r="C257">
        <f t="shared" si="100"/>
        <v>30.846499999999999</v>
      </c>
      <c r="D257">
        <f t="shared" si="100"/>
        <v>32.172499999999999</v>
      </c>
      <c r="E257">
        <f t="shared" si="100"/>
        <v>32.393499999999996</v>
      </c>
      <c r="F257">
        <f t="shared" si="100"/>
        <v>34.535499999999999</v>
      </c>
      <c r="G257">
        <f t="shared" si="100"/>
        <v>36.677499999999995</v>
      </c>
      <c r="H257">
        <f t="shared" si="100"/>
        <v>39.278500000000001</v>
      </c>
      <c r="I257">
        <f t="shared" si="100"/>
        <v>39.278500000000001</v>
      </c>
      <c r="J257">
        <f t="shared" si="100"/>
        <v>40.1965</v>
      </c>
      <c r="K257">
        <f t="shared" si="100"/>
        <v>39.176500000000004</v>
      </c>
      <c r="L257">
        <f t="shared" si="100"/>
        <v>42.057999999999993</v>
      </c>
      <c r="M257">
        <f t="shared" si="100"/>
        <v>43.953499999999998</v>
      </c>
      <c r="N257">
        <f t="shared" si="100"/>
        <v>45.848999999999997</v>
      </c>
      <c r="O257">
        <f t="shared" si="100"/>
        <v>47.735999999999997</v>
      </c>
      <c r="P257">
        <f t="shared" si="100"/>
        <v>49.631500000000003</v>
      </c>
      <c r="Q257">
        <f t="shared" si="100"/>
        <v>51.526999999999994</v>
      </c>
      <c r="R257">
        <f t="shared" si="100"/>
        <v>53.422499999999999</v>
      </c>
      <c r="S257">
        <f t="shared" si="100"/>
        <v>55.317999999999998</v>
      </c>
      <c r="T257">
        <f t="shared" si="100"/>
        <v>57.213500000000003</v>
      </c>
      <c r="U257">
        <f t="shared" si="100"/>
        <v>59.109000000000002</v>
      </c>
      <c r="V257">
        <f t="shared" si="100"/>
        <v>60.996000000000002</v>
      </c>
      <c r="W257">
        <f t="shared" si="100"/>
        <v>62.891499999999994</v>
      </c>
      <c r="X257">
        <f t="shared" si="100"/>
        <v>64.85499999999999</v>
      </c>
      <c r="Y257">
        <f t="shared" si="100"/>
        <v>66.911999999999992</v>
      </c>
      <c r="Z257">
        <f t="shared" si="100"/>
        <v>68.968999999999994</v>
      </c>
      <c r="AA257">
        <f t="shared" si="100"/>
        <v>71.025999999999996</v>
      </c>
      <c r="AB257">
        <f t="shared" si="100"/>
        <v>73.082999999999998</v>
      </c>
      <c r="AC257">
        <f t="shared" si="100"/>
        <v>75.14</v>
      </c>
      <c r="AD257">
        <f t="shared" si="100"/>
        <v>77.196999999999989</v>
      </c>
      <c r="AE257">
        <f t="shared" si="100"/>
        <v>79.245500000000007</v>
      </c>
      <c r="AF257">
        <f t="shared" si="100"/>
        <v>81.302500000000009</v>
      </c>
      <c r="AG257">
        <f t="shared" si="100"/>
        <v>83.359499999999997</v>
      </c>
      <c r="AH257">
        <f t="shared" si="100"/>
        <v>85.416499999999999</v>
      </c>
      <c r="AI257">
        <f t="shared" si="100"/>
        <v>87.473500000000001</v>
      </c>
      <c r="AJ257">
        <f t="shared" si="100"/>
        <v>89.530499999999989</v>
      </c>
      <c r="AK257">
        <f t="shared" si="100"/>
        <v>91.587499999999991</v>
      </c>
      <c r="AL257">
        <f t="shared" si="100"/>
        <v>93.644499999999994</v>
      </c>
      <c r="AM257">
        <f t="shared" si="100"/>
        <v>95.701499999999996</v>
      </c>
      <c r="AN257">
        <f t="shared" si="100"/>
        <v>97.758499999999998</v>
      </c>
      <c r="AO257">
        <f t="shared" si="100"/>
        <v>97.758499999999998</v>
      </c>
      <c r="AP257">
        <f t="shared" si="100"/>
        <v>97.758499999999998</v>
      </c>
      <c r="AQ257">
        <f t="shared" si="100"/>
        <v>97.758499999999998</v>
      </c>
      <c r="AR257">
        <f t="shared" si="100"/>
        <v>97.758499999999998</v>
      </c>
      <c r="AS257">
        <f t="shared" si="100"/>
        <v>97.758499999999998</v>
      </c>
      <c r="AT257">
        <f t="shared" si="100"/>
        <v>97.758499999999998</v>
      </c>
      <c r="AU257">
        <f t="shared" si="100"/>
        <v>97.758499999999998</v>
      </c>
      <c r="AV257">
        <f t="shared" si="100"/>
        <v>97.758499999999998</v>
      </c>
      <c r="AW257">
        <f t="shared" si="100"/>
        <v>97.758499999999998</v>
      </c>
      <c r="AX257">
        <f t="shared" si="100"/>
        <v>97.758499999999998</v>
      </c>
      <c r="AY257">
        <f t="shared" si="100"/>
        <v>97.758499999999998</v>
      </c>
      <c r="AZ257">
        <f t="shared" si="100"/>
        <v>97.758499999999998</v>
      </c>
      <c r="BA257">
        <f t="shared" si="100"/>
        <v>97.758499999999998</v>
      </c>
      <c r="BB257">
        <f t="shared" si="100"/>
        <v>97.758499999999998</v>
      </c>
      <c r="BC257">
        <f t="shared" si="100"/>
        <v>97.758499999999998</v>
      </c>
      <c r="BD257">
        <f t="shared" si="100"/>
        <v>97.758499999999998</v>
      </c>
      <c r="BE257">
        <f t="shared" si="100"/>
        <v>97.758499999999998</v>
      </c>
      <c r="BF257">
        <f t="shared" si="100"/>
        <v>97.758499999999998</v>
      </c>
      <c r="BG257">
        <f t="shared" si="100"/>
        <v>97.758499999999998</v>
      </c>
      <c r="BH257">
        <f t="shared" si="100"/>
        <v>97.758499999999998</v>
      </c>
    </row>
    <row r="258" spans="1:60" s="68" customFormat="1" collapsed="1">
      <c r="A258" s="68" t="s">
        <v>130</v>
      </c>
      <c r="C258" s="68">
        <f>SUM(C259:C264)</f>
        <v>158.72000000000003</v>
      </c>
      <c r="D258" s="68">
        <f t="shared" ref="D258:BH258" si="101">SUM(D259:D264)</f>
        <v>102.25999999999998</v>
      </c>
      <c r="E258" s="68">
        <f t="shared" si="101"/>
        <v>101.83</v>
      </c>
      <c r="F258" s="68">
        <f t="shared" si="101"/>
        <v>105.61999999999999</v>
      </c>
      <c r="G258" s="68">
        <f t="shared" si="101"/>
        <v>111.54</v>
      </c>
      <c r="H258" s="68">
        <f t="shared" si="101"/>
        <v>116.92000000000002</v>
      </c>
      <c r="I258" s="68">
        <f t="shared" si="101"/>
        <v>117.38</v>
      </c>
      <c r="J258" s="68">
        <f t="shared" si="101"/>
        <v>103.89</v>
      </c>
      <c r="K258" s="68">
        <f t="shared" si="101"/>
        <v>115.89</v>
      </c>
      <c r="L258" s="68">
        <f t="shared" si="101"/>
        <v>117.27000000000001</v>
      </c>
      <c r="M258" s="68">
        <f t="shared" si="101"/>
        <v>117.67999999999999</v>
      </c>
      <c r="N258" s="68">
        <f t="shared" si="101"/>
        <v>118.13</v>
      </c>
      <c r="O258" s="68">
        <f t="shared" si="101"/>
        <v>118.54</v>
      </c>
      <c r="P258" s="68">
        <f t="shared" si="101"/>
        <v>118.96999999999998</v>
      </c>
      <c r="Q258" s="68">
        <f t="shared" si="101"/>
        <v>119.40000000000002</v>
      </c>
      <c r="R258" s="68">
        <f t="shared" si="101"/>
        <v>119.82</v>
      </c>
      <c r="S258" s="68">
        <f t="shared" si="101"/>
        <v>120.24999999999997</v>
      </c>
      <c r="T258" s="68">
        <f t="shared" si="101"/>
        <v>120.67999999999999</v>
      </c>
      <c r="U258" s="68">
        <f t="shared" si="101"/>
        <v>121.09000000000002</v>
      </c>
      <c r="V258" s="68">
        <f t="shared" si="101"/>
        <v>121.52</v>
      </c>
      <c r="W258" s="68">
        <f t="shared" si="101"/>
        <v>121.93000000000002</v>
      </c>
      <c r="X258" s="68">
        <f t="shared" si="101"/>
        <v>122.36000000000001</v>
      </c>
      <c r="Y258" s="68">
        <f t="shared" si="101"/>
        <v>122.78999999999999</v>
      </c>
      <c r="Z258" s="68">
        <f t="shared" si="101"/>
        <v>123.18999999999998</v>
      </c>
      <c r="AA258" s="68">
        <f t="shared" si="101"/>
        <v>123.63</v>
      </c>
      <c r="AB258" s="68">
        <f t="shared" si="101"/>
        <v>124.05000000000001</v>
      </c>
      <c r="AC258" s="68">
        <f t="shared" si="101"/>
        <v>124.47000000000001</v>
      </c>
      <c r="AD258" s="68">
        <f t="shared" si="101"/>
        <v>124.9</v>
      </c>
      <c r="AE258" s="68">
        <f t="shared" si="101"/>
        <v>125.33000000000001</v>
      </c>
      <c r="AF258" s="68">
        <f t="shared" si="101"/>
        <v>125.74000000000001</v>
      </c>
      <c r="AG258" s="68">
        <f t="shared" si="101"/>
        <v>126.16</v>
      </c>
      <c r="AH258" s="68">
        <f t="shared" si="101"/>
        <v>126.59</v>
      </c>
      <c r="AI258" s="68">
        <f t="shared" si="101"/>
        <v>127.00999999999999</v>
      </c>
      <c r="AJ258" s="68">
        <f t="shared" si="101"/>
        <v>127.44999999999999</v>
      </c>
      <c r="AK258" s="68">
        <f t="shared" si="101"/>
        <v>127.87</v>
      </c>
      <c r="AL258" s="68">
        <f t="shared" si="101"/>
        <v>128.30000000000001</v>
      </c>
      <c r="AM258" s="68">
        <f t="shared" si="101"/>
        <v>128.69999999999999</v>
      </c>
      <c r="AN258" s="68">
        <f t="shared" si="101"/>
        <v>129.15</v>
      </c>
      <c r="AO258" s="68">
        <f t="shared" si="101"/>
        <v>129.15</v>
      </c>
      <c r="AP258" s="68">
        <f t="shared" si="101"/>
        <v>129.15</v>
      </c>
      <c r="AQ258" s="68">
        <f t="shared" si="101"/>
        <v>129.15</v>
      </c>
      <c r="AR258" s="68">
        <f t="shared" si="101"/>
        <v>129.15</v>
      </c>
      <c r="AS258" s="68">
        <f t="shared" si="101"/>
        <v>129.15</v>
      </c>
      <c r="AT258" s="68">
        <f t="shared" si="101"/>
        <v>129.15</v>
      </c>
      <c r="AU258" s="68">
        <f t="shared" si="101"/>
        <v>129.15</v>
      </c>
      <c r="AV258" s="68">
        <f t="shared" si="101"/>
        <v>129.15</v>
      </c>
      <c r="AW258" s="68">
        <f t="shared" si="101"/>
        <v>129.15</v>
      </c>
      <c r="AX258" s="68">
        <f t="shared" si="101"/>
        <v>129.15</v>
      </c>
      <c r="AY258" s="68">
        <f t="shared" si="101"/>
        <v>129.15</v>
      </c>
      <c r="AZ258" s="68">
        <f t="shared" si="101"/>
        <v>129.15</v>
      </c>
      <c r="BA258" s="68">
        <f t="shared" si="101"/>
        <v>129.15</v>
      </c>
      <c r="BB258" s="68">
        <f t="shared" si="101"/>
        <v>129.15</v>
      </c>
      <c r="BC258" s="68">
        <f t="shared" si="101"/>
        <v>129.15</v>
      </c>
      <c r="BD258" s="68">
        <f t="shared" si="101"/>
        <v>129.15</v>
      </c>
      <c r="BE258" s="68">
        <f t="shared" si="101"/>
        <v>129.15</v>
      </c>
      <c r="BF258" s="68">
        <f t="shared" si="101"/>
        <v>129.15</v>
      </c>
      <c r="BG258" s="68">
        <f t="shared" si="101"/>
        <v>129.15</v>
      </c>
      <c r="BH258" s="68">
        <f t="shared" si="101"/>
        <v>129.15</v>
      </c>
    </row>
    <row r="259" spans="1:60" hidden="1" outlineLevel="1">
      <c r="A259" t="s">
        <v>92</v>
      </c>
      <c r="C259">
        <f>C401</f>
        <v>118.59</v>
      </c>
      <c r="D259">
        <f t="shared" ref="D259:BH259" si="102">D401</f>
        <v>67.33</v>
      </c>
      <c r="E259">
        <f t="shared" si="102"/>
        <v>65.599999999999994</v>
      </c>
      <c r="F259">
        <f t="shared" si="102"/>
        <v>66.06</v>
      </c>
      <c r="G259">
        <f t="shared" si="102"/>
        <v>70.540000000000006</v>
      </c>
      <c r="H259">
        <f t="shared" si="102"/>
        <v>74.010000000000005</v>
      </c>
      <c r="I259">
        <f t="shared" si="102"/>
        <v>71.3</v>
      </c>
      <c r="J259">
        <f t="shared" si="102"/>
        <v>62.85</v>
      </c>
      <c r="K259">
        <f t="shared" si="102"/>
        <v>72.97</v>
      </c>
      <c r="L259">
        <f t="shared" si="102"/>
        <v>72.510000000000005</v>
      </c>
      <c r="M259">
        <f t="shared" si="102"/>
        <v>71.64</v>
      </c>
      <c r="N259">
        <f t="shared" si="102"/>
        <v>70.78</v>
      </c>
      <c r="O259">
        <f t="shared" si="102"/>
        <v>69.91</v>
      </c>
      <c r="P259">
        <f t="shared" si="102"/>
        <v>69.05</v>
      </c>
      <c r="Q259">
        <f t="shared" si="102"/>
        <v>68.19</v>
      </c>
      <c r="R259">
        <f t="shared" si="102"/>
        <v>67.319999999999993</v>
      </c>
      <c r="S259">
        <f t="shared" si="102"/>
        <v>66.459999999999994</v>
      </c>
      <c r="T259">
        <f t="shared" si="102"/>
        <v>65.59</v>
      </c>
      <c r="U259">
        <f t="shared" si="102"/>
        <v>64.73</v>
      </c>
      <c r="V259">
        <f t="shared" si="102"/>
        <v>63.86</v>
      </c>
      <c r="W259">
        <f t="shared" si="102"/>
        <v>63</v>
      </c>
      <c r="X259">
        <f t="shared" si="102"/>
        <v>62.13</v>
      </c>
      <c r="Y259">
        <f t="shared" si="102"/>
        <v>61.27</v>
      </c>
      <c r="Z259">
        <f t="shared" si="102"/>
        <v>60.4</v>
      </c>
      <c r="AA259">
        <f t="shared" si="102"/>
        <v>59.54</v>
      </c>
      <c r="AB259">
        <f t="shared" si="102"/>
        <v>58.67</v>
      </c>
      <c r="AC259">
        <f t="shared" si="102"/>
        <v>57.81</v>
      </c>
      <c r="AD259">
        <f t="shared" si="102"/>
        <v>56.95</v>
      </c>
      <c r="AE259">
        <f t="shared" si="102"/>
        <v>56.08</v>
      </c>
      <c r="AF259">
        <f t="shared" si="102"/>
        <v>55.22</v>
      </c>
      <c r="AG259">
        <f t="shared" si="102"/>
        <v>54.35</v>
      </c>
      <c r="AH259">
        <f t="shared" si="102"/>
        <v>53.49</v>
      </c>
      <c r="AI259">
        <f t="shared" si="102"/>
        <v>52.62</v>
      </c>
      <c r="AJ259">
        <f t="shared" si="102"/>
        <v>51.76</v>
      </c>
      <c r="AK259">
        <f t="shared" si="102"/>
        <v>50.89</v>
      </c>
      <c r="AL259">
        <f t="shared" si="102"/>
        <v>50.03</v>
      </c>
      <c r="AM259">
        <f t="shared" si="102"/>
        <v>49.16</v>
      </c>
      <c r="AN259">
        <f t="shared" si="102"/>
        <v>48.3</v>
      </c>
      <c r="AO259">
        <f t="shared" si="102"/>
        <v>48.3</v>
      </c>
      <c r="AP259">
        <f t="shared" si="102"/>
        <v>48.3</v>
      </c>
      <c r="AQ259">
        <f t="shared" si="102"/>
        <v>48.3</v>
      </c>
      <c r="AR259">
        <f t="shared" si="102"/>
        <v>48.3</v>
      </c>
      <c r="AS259">
        <f t="shared" si="102"/>
        <v>48.3</v>
      </c>
      <c r="AT259">
        <f t="shared" si="102"/>
        <v>48.3</v>
      </c>
      <c r="AU259">
        <f t="shared" si="102"/>
        <v>48.3</v>
      </c>
      <c r="AV259">
        <f t="shared" si="102"/>
        <v>48.3</v>
      </c>
      <c r="AW259">
        <f t="shared" si="102"/>
        <v>48.3</v>
      </c>
      <c r="AX259">
        <f t="shared" si="102"/>
        <v>48.3</v>
      </c>
      <c r="AY259">
        <f t="shared" si="102"/>
        <v>48.3</v>
      </c>
      <c r="AZ259">
        <f t="shared" si="102"/>
        <v>48.3</v>
      </c>
      <c r="BA259">
        <f t="shared" si="102"/>
        <v>48.3</v>
      </c>
      <c r="BB259">
        <f t="shared" si="102"/>
        <v>48.3</v>
      </c>
      <c r="BC259">
        <f t="shared" si="102"/>
        <v>48.3</v>
      </c>
      <c r="BD259">
        <f t="shared" si="102"/>
        <v>48.3</v>
      </c>
      <c r="BE259">
        <f t="shared" si="102"/>
        <v>48.3</v>
      </c>
      <c r="BF259">
        <f t="shared" si="102"/>
        <v>48.3</v>
      </c>
      <c r="BG259">
        <f t="shared" si="102"/>
        <v>48.3</v>
      </c>
      <c r="BH259">
        <f t="shared" si="102"/>
        <v>48.3</v>
      </c>
    </row>
    <row r="260" spans="1:60" hidden="1" outlineLevel="1">
      <c r="A260" t="s">
        <v>45</v>
      </c>
      <c r="C260">
        <f>C402+C408+C421+C428</f>
        <v>3.69</v>
      </c>
      <c r="D260">
        <f t="shared" ref="D260:BH261" si="103">D402+D408+D421+D428</f>
        <v>3.82</v>
      </c>
      <c r="E260">
        <f t="shared" si="103"/>
        <v>3.98</v>
      </c>
      <c r="F260">
        <f t="shared" si="103"/>
        <v>4.1500000000000004</v>
      </c>
      <c r="G260">
        <f t="shared" si="103"/>
        <v>4.1399999999999997</v>
      </c>
      <c r="H260">
        <f t="shared" si="103"/>
        <v>4.6400000000000006</v>
      </c>
      <c r="I260">
        <f t="shared" si="103"/>
        <v>4.4200000000000008</v>
      </c>
      <c r="J260">
        <f t="shared" si="103"/>
        <v>3.5100000000000002</v>
      </c>
      <c r="K260">
        <f t="shared" si="103"/>
        <v>3.58</v>
      </c>
      <c r="L260">
        <f t="shared" si="103"/>
        <v>3.5900000000000003</v>
      </c>
      <c r="M260">
        <f t="shared" si="103"/>
        <v>3.58</v>
      </c>
      <c r="N260">
        <f t="shared" si="103"/>
        <v>3.5700000000000003</v>
      </c>
      <c r="O260">
        <f t="shared" si="103"/>
        <v>3.56</v>
      </c>
      <c r="P260">
        <f t="shared" si="103"/>
        <v>3.5500000000000003</v>
      </c>
      <c r="Q260">
        <f t="shared" si="103"/>
        <v>3.54</v>
      </c>
      <c r="R260">
        <f t="shared" si="103"/>
        <v>3.5300000000000002</v>
      </c>
      <c r="S260">
        <f t="shared" si="103"/>
        <v>3.52</v>
      </c>
      <c r="T260">
        <f t="shared" si="103"/>
        <v>3.5100000000000002</v>
      </c>
      <c r="U260">
        <f t="shared" si="103"/>
        <v>3.5</v>
      </c>
      <c r="V260">
        <f t="shared" si="103"/>
        <v>3.49</v>
      </c>
      <c r="W260">
        <f t="shared" si="103"/>
        <v>3.48</v>
      </c>
      <c r="X260">
        <f t="shared" si="103"/>
        <v>3.47</v>
      </c>
      <c r="Y260">
        <f t="shared" si="103"/>
        <v>3.4499999999999997</v>
      </c>
      <c r="Z260">
        <f t="shared" si="103"/>
        <v>3.44</v>
      </c>
      <c r="AA260">
        <f t="shared" si="103"/>
        <v>3.4299999999999997</v>
      </c>
      <c r="AB260">
        <f t="shared" si="103"/>
        <v>3.42</v>
      </c>
      <c r="AC260">
        <f t="shared" si="103"/>
        <v>3.4099999999999997</v>
      </c>
      <c r="AD260">
        <f t="shared" si="103"/>
        <v>3.4</v>
      </c>
      <c r="AE260">
        <f t="shared" si="103"/>
        <v>3.39</v>
      </c>
      <c r="AF260">
        <f t="shared" si="103"/>
        <v>3.38</v>
      </c>
      <c r="AG260">
        <f t="shared" si="103"/>
        <v>3.37</v>
      </c>
      <c r="AH260">
        <f t="shared" si="103"/>
        <v>3.36</v>
      </c>
      <c r="AI260">
        <f t="shared" si="103"/>
        <v>3.35</v>
      </c>
      <c r="AJ260">
        <f t="shared" si="103"/>
        <v>3.34</v>
      </c>
      <c r="AK260">
        <f t="shared" si="103"/>
        <v>3.33</v>
      </c>
      <c r="AL260">
        <f t="shared" si="103"/>
        <v>3.32</v>
      </c>
      <c r="AM260">
        <f t="shared" si="103"/>
        <v>3.31</v>
      </c>
      <c r="AN260">
        <f t="shared" si="103"/>
        <v>3.3</v>
      </c>
      <c r="AO260">
        <f t="shared" si="103"/>
        <v>3.3</v>
      </c>
      <c r="AP260">
        <f t="shared" si="103"/>
        <v>3.3</v>
      </c>
      <c r="AQ260">
        <f t="shared" si="103"/>
        <v>3.3</v>
      </c>
      <c r="AR260">
        <f t="shared" si="103"/>
        <v>3.3</v>
      </c>
      <c r="AS260">
        <f t="shared" si="103"/>
        <v>3.3</v>
      </c>
      <c r="AT260">
        <f t="shared" si="103"/>
        <v>3.3</v>
      </c>
      <c r="AU260">
        <f t="shared" si="103"/>
        <v>3.3</v>
      </c>
      <c r="AV260">
        <f t="shared" si="103"/>
        <v>3.3</v>
      </c>
      <c r="AW260">
        <f t="shared" si="103"/>
        <v>3.3</v>
      </c>
      <c r="AX260">
        <f t="shared" si="103"/>
        <v>3.3</v>
      </c>
      <c r="AY260">
        <f t="shared" si="103"/>
        <v>3.3</v>
      </c>
      <c r="AZ260">
        <f t="shared" si="103"/>
        <v>3.3</v>
      </c>
      <c r="BA260">
        <f t="shared" si="103"/>
        <v>3.3</v>
      </c>
      <c r="BB260">
        <f t="shared" si="103"/>
        <v>3.3</v>
      </c>
      <c r="BC260">
        <f t="shared" si="103"/>
        <v>3.3</v>
      </c>
      <c r="BD260">
        <f t="shared" si="103"/>
        <v>3.3</v>
      </c>
      <c r="BE260">
        <f t="shared" si="103"/>
        <v>3.3</v>
      </c>
      <c r="BF260">
        <f t="shared" si="103"/>
        <v>3.3</v>
      </c>
      <c r="BG260">
        <f t="shared" si="103"/>
        <v>3.3</v>
      </c>
      <c r="BH260">
        <f t="shared" si="103"/>
        <v>3.3</v>
      </c>
    </row>
    <row r="261" spans="1:60" hidden="1" outlineLevel="1">
      <c r="A261" t="s">
        <v>104</v>
      </c>
      <c r="C261">
        <f>C403+C409+C422+C429</f>
        <v>6.24</v>
      </c>
      <c r="D261">
        <f t="shared" si="103"/>
        <v>3.1799999999999997</v>
      </c>
      <c r="E261">
        <f t="shared" si="103"/>
        <v>2.0099999999999998</v>
      </c>
      <c r="F261">
        <f t="shared" si="103"/>
        <v>2.0999999999999996</v>
      </c>
      <c r="G261">
        <f t="shared" si="103"/>
        <v>1.7999999999999998</v>
      </c>
      <c r="H261">
        <f t="shared" si="103"/>
        <v>0.54</v>
      </c>
      <c r="I261">
        <f t="shared" si="103"/>
        <v>0.84999999999999987</v>
      </c>
      <c r="J261">
        <f t="shared" si="103"/>
        <v>0.94</v>
      </c>
      <c r="K261">
        <f t="shared" si="103"/>
        <v>1.1600000000000001</v>
      </c>
      <c r="L261">
        <f t="shared" si="103"/>
        <v>1.1200000000000001</v>
      </c>
      <c r="M261">
        <f t="shared" si="103"/>
        <v>1.08</v>
      </c>
      <c r="N261">
        <f t="shared" si="103"/>
        <v>1.04</v>
      </c>
      <c r="O261">
        <f t="shared" si="103"/>
        <v>0.99999999999999989</v>
      </c>
      <c r="P261">
        <f t="shared" si="103"/>
        <v>0.96</v>
      </c>
      <c r="Q261">
        <f t="shared" si="103"/>
        <v>0.91999999999999993</v>
      </c>
      <c r="R261">
        <f t="shared" si="103"/>
        <v>0.89000000000000012</v>
      </c>
      <c r="S261">
        <f t="shared" si="103"/>
        <v>0.85000000000000009</v>
      </c>
      <c r="T261">
        <f t="shared" si="103"/>
        <v>0.8</v>
      </c>
      <c r="U261">
        <f t="shared" si="103"/>
        <v>0.76</v>
      </c>
      <c r="V261">
        <f t="shared" si="103"/>
        <v>0.72</v>
      </c>
      <c r="W261">
        <f t="shared" si="103"/>
        <v>0.68</v>
      </c>
      <c r="X261">
        <f t="shared" si="103"/>
        <v>0.64000000000000012</v>
      </c>
      <c r="Y261">
        <f t="shared" si="103"/>
        <v>0.60000000000000009</v>
      </c>
      <c r="Z261">
        <f t="shared" si="103"/>
        <v>0.56000000000000005</v>
      </c>
      <c r="AA261">
        <f t="shared" si="103"/>
        <v>0.52</v>
      </c>
      <c r="AB261">
        <f t="shared" si="103"/>
        <v>0.49</v>
      </c>
      <c r="AC261">
        <f t="shared" si="103"/>
        <v>0.44000000000000006</v>
      </c>
      <c r="AD261">
        <f t="shared" si="103"/>
        <v>0.4</v>
      </c>
      <c r="AE261">
        <f t="shared" si="103"/>
        <v>0.36</v>
      </c>
      <c r="AF261">
        <f t="shared" si="103"/>
        <v>0.31000000000000005</v>
      </c>
      <c r="AG261">
        <f t="shared" si="103"/>
        <v>0.28000000000000003</v>
      </c>
      <c r="AH261">
        <f t="shared" si="103"/>
        <v>0.24000000000000002</v>
      </c>
      <c r="AI261">
        <f t="shared" si="103"/>
        <v>0.2</v>
      </c>
      <c r="AJ261">
        <f t="shared" si="103"/>
        <v>0.16</v>
      </c>
      <c r="AK261">
        <f t="shared" si="103"/>
        <v>0.12</v>
      </c>
      <c r="AL261">
        <f t="shared" si="103"/>
        <v>0.09</v>
      </c>
      <c r="AM261">
        <f t="shared" si="103"/>
        <v>0.04</v>
      </c>
      <c r="AN261">
        <f t="shared" si="103"/>
        <v>0</v>
      </c>
      <c r="AO261">
        <f t="shared" si="103"/>
        <v>0</v>
      </c>
      <c r="AP261">
        <f t="shared" si="103"/>
        <v>0</v>
      </c>
      <c r="AQ261">
        <f t="shared" si="103"/>
        <v>0</v>
      </c>
      <c r="AR261">
        <f t="shared" si="103"/>
        <v>0</v>
      </c>
      <c r="AS261">
        <f t="shared" si="103"/>
        <v>0</v>
      </c>
      <c r="AT261">
        <f t="shared" si="103"/>
        <v>0</v>
      </c>
      <c r="AU261">
        <f t="shared" si="103"/>
        <v>0</v>
      </c>
      <c r="AV261">
        <f t="shared" si="103"/>
        <v>0</v>
      </c>
      <c r="AW261">
        <f t="shared" si="103"/>
        <v>0</v>
      </c>
      <c r="AX261">
        <f t="shared" si="103"/>
        <v>0</v>
      </c>
      <c r="AY261">
        <f t="shared" si="103"/>
        <v>0</v>
      </c>
      <c r="AZ261">
        <f t="shared" si="103"/>
        <v>0</v>
      </c>
      <c r="BA261">
        <f t="shared" si="103"/>
        <v>0</v>
      </c>
      <c r="BB261">
        <f t="shared" si="103"/>
        <v>0</v>
      </c>
      <c r="BC261">
        <f t="shared" si="103"/>
        <v>0</v>
      </c>
      <c r="BD261">
        <f t="shared" si="103"/>
        <v>0</v>
      </c>
      <c r="BE261">
        <f t="shared" si="103"/>
        <v>0</v>
      </c>
      <c r="BF261">
        <f t="shared" si="103"/>
        <v>0</v>
      </c>
      <c r="BG261">
        <f t="shared" si="103"/>
        <v>0</v>
      </c>
      <c r="BH261">
        <f t="shared" si="103"/>
        <v>0</v>
      </c>
    </row>
    <row r="262" spans="1:60" hidden="1" outlineLevel="1">
      <c r="A262" t="s">
        <v>46</v>
      </c>
      <c r="C262">
        <f>C404+C411+C424+C431</f>
        <v>11.620000000000001</v>
      </c>
      <c r="D262">
        <f t="shared" ref="D262:BH262" si="104">D404+D411+D424+D431</f>
        <v>10.719999999999999</v>
      </c>
      <c r="E262">
        <f t="shared" si="104"/>
        <v>11.069999999999999</v>
      </c>
      <c r="F262">
        <f t="shared" si="104"/>
        <v>12.019999999999998</v>
      </c>
      <c r="G262">
        <f t="shared" si="104"/>
        <v>12.120000000000001</v>
      </c>
      <c r="H262">
        <f t="shared" si="104"/>
        <v>12.339999999999998</v>
      </c>
      <c r="I262">
        <f t="shared" si="104"/>
        <v>12.85</v>
      </c>
      <c r="J262">
        <f t="shared" si="104"/>
        <v>12.370000000000001</v>
      </c>
      <c r="K262">
        <f t="shared" si="104"/>
        <v>12.82</v>
      </c>
      <c r="L262">
        <f t="shared" si="104"/>
        <v>13.36</v>
      </c>
      <c r="M262">
        <f t="shared" si="104"/>
        <v>13.66</v>
      </c>
      <c r="N262">
        <f t="shared" si="104"/>
        <v>13.979999999999999</v>
      </c>
      <c r="O262">
        <f t="shared" si="104"/>
        <v>14.28</v>
      </c>
      <c r="P262">
        <f t="shared" si="104"/>
        <v>14.58</v>
      </c>
      <c r="Q262">
        <f t="shared" si="104"/>
        <v>14.899999999999999</v>
      </c>
      <c r="R262">
        <f t="shared" si="104"/>
        <v>15.2</v>
      </c>
      <c r="S262">
        <f t="shared" si="104"/>
        <v>15.509999999999998</v>
      </c>
      <c r="T262">
        <f t="shared" si="104"/>
        <v>15.82</v>
      </c>
      <c r="U262">
        <f t="shared" si="104"/>
        <v>16.12</v>
      </c>
      <c r="V262">
        <f t="shared" si="104"/>
        <v>16.43</v>
      </c>
      <c r="W262">
        <f t="shared" si="104"/>
        <v>16.730000000000004</v>
      </c>
      <c r="X262">
        <f t="shared" si="104"/>
        <v>17.049999999999997</v>
      </c>
      <c r="Y262">
        <f t="shared" si="104"/>
        <v>17.36</v>
      </c>
      <c r="Z262">
        <f t="shared" si="104"/>
        <v>17.649999999999999</v>
      </c>
      <c r="AA262">
        <f t="shared" si="104"/>
        <v>17.96</v>
      </c>
      <c r="AB262">
        <f t="shared" si="104"/>
        <v>18.27</v>
      </c>
      <c r="AC262">
        <f t="shared" si="104"/>
        <v>18.570000000000004</v>
      </c>
      <c r="AD262">
        <f t="shared" si="104"/>
        <v>18.889999999999997</v>
      </c>
      <c r="AE262">
        <f t="shared" si="104"/>
        <v>19.2</v>
      </c>
      <c r="AF262">
        <f t="shared" si="104"/>
        <v>19.499999999999996</v>
      </c>
      <c r="AG262">
        <f t="shared" si="104"/>
        <v>19.8</v>
      </c>
      <c r="AH262">
        <f t="shared" si="104"/>
        <v>20.11</v>
      </c>
      <c r="AI262">
        <f t="shared" si="104"/>
        <v>20.41</v>
      </c>
      <c r="AJ262">
        <f t="shared" si="104"/>
        <v>20.72</v>
      </c>
      <c r="AK262">
        <f t="shared" si="104"/>
        <v>21.04</v>
      </c>
      <c r="AL262">
        <f t="shared" si="104"/>
        <v>21.34</v>
      </c>
      <c r="AM262">
        <f t="shared" si="104"/>
        <v>21.639999999999997</v>
      </c>
      <c r="AN262">
        <f t="shared" si="104"/>
        <v>21.96</v>
      </c>
      <c r="AO262">
        <f t="shared" si="104"/>
        <v>21.96</v>
      </c>
      <c r="AP262">
        <f t="shared" si="104"/>
        <v>21.96</v>
      </c>
      <c r="AQ262">
        <f t="shared" si="104"/>
        <v>21.96</v>
      </c>
      <c r="AR262">
        <f t="shared" si="104"/>
        <v>21.96</v>
      </c>
      <c r="AS262">
        <f t="shared" si="104"/>
        <v>21.96</v>
      </c>
      <c r="AT262">
        <f t="shared" si="104"/>
        <v>21.96</v>
      </c>
      <c r="AU262">
        <f t="shared" si="104"/>
        <v>21.96</v>
      </c>
      <c r="AV262">
        <f t="shared" si="104"/>
        <v>21.96</v>
      </c>
      <c r="AW262">
        <f t="shared" si="104"/>
        <v>21.96</v>
      </c>
      <c r="AX262">
        <f t="shared" si="104"/>
        <v>21.96</v>
      </c>
      <c r="AY262">
        <f t="shared" si="104"/>
        <v>21.96</v>
      </c>
      <c r="AZ262">
        <f t="shared" si="104"/>
        <v>21.96</v>
      </c>
      <c r="BA262">
        <f t="shared" si="104"/>
        <v>21.96</v>
      </c>
      <c r="BB262">
        <f t="shared" si="104"/>
        <v>21.96</v>
      </c>
      <c r="BC262">
        <f t="shared" si="104"/>
        <v>21.96</v>
      </c>
      <c r="BD262">
        <f t="shared" si="104"/>
        <v>21.96</v>
      </c>
      <c r="BE262">
        <f t="shared" si="104"/>
        <v>21.96</v>
      </c>
      <c r="BF262">
        <f t="shared" si="104"/>
        <v>21.96</v>
      </c>
      <c r="BG262">
        <f t="shared" si="104"/>
        <v>21.96</v>
      </c>
      <c r="BH262">
        <f t="shared" si="104"/>
        <v>21.96</v>
      </c>
    </row>
    <row r="263" spans="1:60" hidden="1" outlineLevel="1">
      <c r="A263" t="s">
        <v>102</v>
      </c>
      <c r="C263">
        <f>C407+C420+C427</f>
        <v>2.09</v>
      </c>
      <c r="D263">
        <f t="shared" ref="D263:BH263" si="105">D407+D420+D427</f>
        <v>2.21</v>
      </c>
      <c r="E263">
        <f t="shared" si="105"/>
        <v>2.41</v>
      </c>
      <c r="F263">
        <f t="shared" si="105"/>
        <v>2.52</v>
      </c>
      <c r="G263">
        <f t="shared" si="105"/>
        <v>2.86</v>
      </c>
      <c r="H263">
        <f t="shared" si="105"/>
        <v>3.14</v>
      </c>
      <c r="I263">
        <f t="shared" si="105"/>
        <v>3.2299999999999995</v>
      </c>
      <c r="J263">
        <f t="shared" si="105"/>
        <v>2.7800000000000002</v>
      </c>
      <c r="K263">
        <f t="shared" si="105"/>
        <v>2.2999999999999998</v>
      </c>
      <c r="L263">
        <f t="shared" si="105"/>
        <v>2.44</v>
      </c>
      <c r="M263">
        <f t="shared" si="105"/>
        <v>2.4500000000000002</v>
      </c>
      <c r="N263">
        <f t="shared" si="105"/>
        <v>2.4700000000000002</v>
      </c>
      <c r="O263">
        <f t="shared" si="105"/>
        <v>2.48</v>
      </c>
      <c r="P263">
        <f t="shared" si="105"/>
        <v>2.5</v>
      </c>
      <c r="Q263">
        <f t="shared" si="105"/>
        <v>2.5099999999999998</v>
      </c>
      <c r="R263">
        <f t="shared" si="105"/>
        <v>2.52</v>
      </c>
      <c r="S263">
        <f t="shared" si="105"/>
        <v>2.5299999999999998</v>
      </c>
      <c r="T263">
        <f t="shared" si="105"/>
        <v>2.5499999999999998</v>
      </c>
      <c r="U263">
        <f t="shared" si="105"/>
        <v>2.56</v>
      </c>
      <c r="V263">
        <f t="shared" si="105"/>
        <v>2.57</v>
      </c>
      <c r="W263">
        <f t="shared" si="105"/>
        <v>2.59</v>
      </c>
      <c r="X263">
        <f t="shared" si="105"/>
        <v>2.59</v>
      </c>
      <c r="Y263">
        <f t="shared" si="105"/>
        <v>2.61</v>
      </c>
      <c r="Z263">
        <f t="shared" si="105"/>
        <v>2.62</v>
      </c>
      <c r="AA263">
        <f t="shared" si="105"/>
        <v>2.64</v>
      </c>
      <c r="AB263">
        <f t="shared" si="105"/>
        <v>2.65</v>
      </c>
      <c r="AC263">
        <f t="shared" si="105"/>
        <v>2.67</v>
      </c>
      <c r="AD263">
        <f t="shared" si="105"/>
        <v>2.67</v>
      </c>
      <c r="AE263">
        <f t="shared" si="105"/>
        <v>2.69</v>
      </c>
      <c r="AF263">
        <f t="shared" si="105"/>
        <v>2.7</v>
      </c>
      <c r="AG263">
        <f t="shared" si="105"/>
        <v>2.71</v>
      </c>
      <c r="AH263">
        <f t="shared" si="105"/>
        <v>2.73</v>
      </c>
      <c r="AI263">
        <f t="shared" si="105"/>
        <v>2.74</v>
      </c>
      <c r="AJ263">
        <f t="shared" si="105"/>
        <v>2.76</v>
      </c>
      <c r="AK263">
        <f t="shared" si="105"/>
        <v>2.76</v>
      </c>
      <c r="AL263">
        <f t="shared" si="105"/>
        <v>2.7800000000000002</v>
      </c>
      <c r="AM263">
        <f t="shared" si="105"/>
        <v>2.79</v>
      </c>
      <c r="AN263">
        <f t="shared" si="105"/>
        <v>2.81</v>
      </c>
      <c r="AO263">
        <f t="shared" si="105"/>
        <v>2.81</v>
      </c>
      <c r="AP263">
        <f t="shared" si="105"/>
        <v>2.81</v>
      </c>
      <c r="AQ263">
        <f t="shared" si="105"/>
        <v>2.81</v>
      </c>
      <c r="AR263">
        <f t="shared" si="105"/>
        <v>2.81</v>
      </c>
      <c r="AS263">
        <f t="shared" si="105"/>
        <v>2.81</v>
      </c>
      <c r="AT263">
        <f t="shared" si="105"/>
        <v>2.81</v>
      </c>
      <c r="AU263">
        <f t="shared" si="105"/>
        <v>2.81</v>
      </c>
      <c r="AV263">
        <f t="shared" si="105"/>
        <v>2.81</v>
      </c>
      <c r="AW263">
        <f t="shared" si="105"/>
        <v>2.81</v>
      </c>
      <c r="AX263">
        <f t="shared" si="105"/>
        <v>2.81</v>
      </c>
      <c r="AY263">
        <f t="shared" si="105"/>
        <v>2.81</v>
      </c>
      <c r="AZ263">
        <f t="shared" si="105"/>
        <v>2.81</v>
      </c>
      <c r="BA263">
        <f t="shared" si="105"/>
        <v>2.81</v>
      </c>
      <c r="BB263">
        <f t="shared" si="105"/>
        <v>2.81</v>
      </c>
      <c r="BC263">
        <f t="shared" si="105"/>
        <v>2.81</v>
      </c>
      <c r="BD263">
        <f t="shared" si="105"/>
        <v>2.81</v>
      </c>
      <c r="BE263">
        <f t="shared" si="105"/>
        <v>2.81</v>
      </c>
      <c r="BF263">
        <f t="shared" si="105"/>
        <v>2.81</v>
      </c>
      <c r="BG263">
        <f t="shared" si="105"/>
        <v>2.81</v>
      </c>
      <c r="BH263">
        <f t="shared" si="105"/>
        <v>2.81</v>
      </c>
    </row>
    <row r="264" spans="1:60" hidden="1" outlineLevel="1">
      <c r="A264" t="s">
        <v>106</v>
      </c>
      <c r="C264">
        <f>C410+C423+C430</f>
        <v>16.489999999999998</v>
      </c>
      <c r="D264">
        <f t="shared" ref="D264:BH264" si="106">D410+D423+D430</f>
        <v>15</v>
      </c>
      <c r="E264">
        <f t="shared" si="106"/>
        <v>16.760000000000002</v>
      </c>
      <c r="F264">
        <f t="shared" si="106"/>
        <v>18.77</v>
      </c>
      <c r="G264">
        <f t="shared" si="106"/>
        <v>20.079999999999998</v>
      </c>
      <c r="H264">
        <f t="shared" si="106"/>
        <v>22.25</v>
      </c>
      <c r="I264">
        <f t="shared" si="106"/>
        <v>24.73</v>
      </c>
      <c r="J264">
        <f t="shared" si="106"/>
        <v>21.44</v>
      </c>
      <c r="K264">
        <f t="shared" si="106"/>
        <v>23.06</v>
      </c>
      <c r="L264">
        <f t="shared" si="106"/>
        <v>24.25</v>
      </c>
      <c r="M264">
        <f t="shared" si="106"/>
        <v>25.27</v>
      </c>
      <c r="N264">
        <f t="shared" si="106"/>
        <v>26.29</v>
      </c>
      <c r="O264">
        <f t="shared" si="106"/>
        <v>27.31</v>
      </c>
      <c r="P264">
        <f t="shared" si="106"/>
        <v>28.330000000000002</v>
      </c>
      <c r="Q264">
        <f t="shared" si="106"/>
        <v>29.34</v>
      </c>
      <c r="R264">
        <f t="shared" si="106"/>
        <v>30.36</v>
      </c>
      <c r="S264">
        <f t="shared" si="106"/>
        <v>31.38</v>
      </c>
      <c r="T264">
        <f t="shared" si="106"/>
        <v>32.409999999999997</v>
      </c>
      <c r="U264">
        <f t="shared" si="106"/>
        <v>33.42</v>
      </c>
      <c r="V264">
        <f t="shared" si="106"/>
        <v>34.450000000000003</v>
      </c>
      <c r="W264">
        <f t="shared" si="106"/>
        <v>35.450000000000003</v>
      </c>
      <c r="X264">
        <f t="shared" si="106"/>
        <v>36.479999999999997</v>
      </c>
      <c r="Y264">
        <f t="shared" si="106"/>
        <v>37.5</v>
      </c>
      <c r="Z264">
        <f t="shared" si="106"/>
        <v>38.519999999999996</v>
      </c>
      <c r="AA264">
        <f t="shared" si="106"/>
        <v>39.54</v>
      </c>
      <c r="AB264">
        <f t="shared" si="106"/>
        <v>40.549999999999997</v>
      </c>
      <c r="AC264">
        <f t="shared" si="106"/>
        <v>41.570000000000007</v>
      </c>
      <c r="AD264">
        <f t="shared" si="106"/>
        <v>42.59</v>
      </c>
      <c r="AE264">
        <f t="shared" si="106"/>
        <v>43.610000000000007</v>
      </c>
      <c r="AF264">
        <f t="shared" si="106"/>
        <v>44.63</v>
      </c>
      <c r="AG264">
        <f t="shared" si="106"/>
        <v>45.65</v>
      </c>
      <c r="AH264">
        <f t="shared" si="106"/>
        <v>46.66</v>
      </c>
      <c r="AI264">
        <f t="shared" si="106"/>
        <v>47.69</v>
      </c>
      <c r="AJ264">
        <f t="shared" si="106"/>
        <v>48.709999999999994</v>
      </c>
      <c r="AK264">
        <f t="shared" si="106"/>
        <v>49.730000000000004</v>
      </c>
      <c r="AL264">
        <f t="shared" si="106"/>
        <v>50.74</v>
      </c>
      <c r="AM264">
        <f t="shared" si="106"/>
        <v>51.760000000000005</v>
      </c>
      <c r="AN264">
        <f t="shared" si="106"/>
        <v>52.78</v>
      </c>
      <c r="AO264">
        <f t="shared" si="106"/>
        <v>52.78</v>
      </c>
      <c r="AP264">
        <f t="shared" si="106"/>
        <v>52.78</v>
      </c>
      <c r="AQ264">
        <f t="shared" si="106"/>
        <v>52.78</v>
      </c>
      <c r="AR264">
        <f t="shared" si="106"/>
        <v>52.78</v>
      </c>
      <c r="AS264">
        <f t="shared" si="106"/>
        <v>52.78</v>
      </c>
      <c r="AT264">
        <f t="shared" si="106"/>
        <v>52.78</v>
      </c>
      <c r="AU264">
        <f t="shared" si="106"/>
        <v>52.78</v>
      </c>
      <c r="AV264">
        <f t="shared" si="106"/>
        <v>52.78</v>
      </c>
      <c r="AW264">
        <f t="shared" si="106"/>
        <v>52.78</v>
      </c>
      <c r="AX264">
        <f t="shared" si="106"/>
        <v>52.78</v>
      </c>
      <c r="AY264">
        <f t="shared" si="106"/>
        <v>52.78</v>
      </c>
      <c r="AZ264">
        <f t="shared" si="106"/>
        <v>52.78</v>
      </c>
      <c r="BA264">
        <f t="shared" si="106"/>
        <v>52.78</v>
      </c>
      <c r="BB264">
        <f t="shared" si="106"/>
        <v>52.78</v>
      </c>
      <c r="BC264">
        <f t="shared" si="106"/>
        <v>52.78</v>
      </c>
      <c r="BD264">
        <f t="shared" si="106"/>
        <v>52.78</v>
      </c>
      <c r="BE264">
        <f t="shared" si="106"/>
        <v>52.78</v>
      </c>
      <c r="BF264">
        <f t="shared" si="106"/>
        <v>52.78</v>
      </c>
      <c r="BG264">
        <f t="shared" si="106"/>
        <v>52.78</v>
      </c>
      <c r="BH264">
        <f t="shared" si="106"/>
        <v>52.78</v>
      </c>
    </row>
    <row r="265" spans="1:60" s="68" customFormat="1">
      <c r="A265" s="68" t="s">
        <v>131</v>
      </c>
      <c r="C265" s="68">
        <f>SUM(C266:C271)</f>
        <v>13.26</v>
      </c>
      <c r="D265" s="68">
        <f t="shared" ref="D265:BH265" si="107">SUM(D266:D271)</f>
        <v>13.15</v>
      </c>
      <c r="E265" s="68">
        <f t="shared" si="107"/>
        <v>13.87</v>
      </c>
      <c r="F265" s="68">
        <f t="shared" si="107"/>
        <v>13.93</v>
      </c>
      <c r="G265" s="68">
        <f t="shared" si="107"/>
        <v>13.61</v>
      </c>
      <c r="H265" s="68">
        <f t="shared" si="107"/>
        <v>13.94</v>
      </c>
      <c r="I265" s="68">
        <f t="shared" si="107"/>
        <v>13.139999999999999</v>
      </c>
      <c r="J265" s="68">
        <f t="shared" si="107"/>
        <v>9.34</v>
      </c>
      <c r="K265" s="68">
        <f t="shared" si="107"/>
        <v>12.44</v>
      </c>
      <c r="L265" s="68">
        <f t="shared" si="107"/>
        <v>9.3399999999999981</v>
      </c>
      <c r="M265" s="68">
        <f t="shared" si="107"/>
        <v>11.96</v>
      </c>
      <c r="N265" s="68">
        <f t="shared" si="107"/>
        <v>11.972634776006075</v>
      </c>
      <c r="O265" s="68">
        <f t="shared" si="107"/>
        <v>11.985072133637056</v>
      </c>
      <c r="P265" s="68">
        <f t="shared" si="107"/>
        <v>11.997904328018224</v>
      </c>
      <c r="Q265" s="68">
        <f t="shared" si="107"/>
        <v>12.0105391040243</v>
      </c>
      <c r="R265" s="68">
        <f t="shared" si="107"/>
        <v>12.022976461655279</v>
      </c>
      <c r="S265" s="68">
        <f t="shared" si="107"/>
        <v>12.035808656036448</v>
      </c>
      <c r="T265" s="68">
        <f t="shared" si="107"/>
        <v>12.048246013667427</v>
      </c>
      <c r="U265" s="68">
        <f t="shared" si="107"/>
        <v>12.060683371298406</v>
      </c>
      <c r="V265" s="68">
        <f t="shared" si="107"/>
        <v>12.073712984054669</v>
      </c>
      <c r="W265" s="68">
        <f t="shared" si="107"/>
        <v>12.086150341685649</v>
      </c>
      <c r="X265" s="68">
        <f t="shared" si="107"/>
        <v>12.051996962794227</v>
      </c>
      <c r="Y265" s="68">
        <f t="shared" si="107"/>
        <v>11.954669703872435</v>
      </c>
      <c r="Z265" s="68">
        <f t="shared" si="107"/>
        <v>11.85714502657555</v>
      </c>
      <c r="AA265" s="68">
        <f t="shared" si="107"/>
        <v>11.760015186028854</v>
      </c>
      <c r="AB265" s="68">
        <f t="shared" si="107"/>
        <v>11.662687927107061</v>
      </c>
      <c r="AC265" s="68">
        <f t="shared" si="107"/>
        <v>11.564965831435078</v>
      </c>
      <c r="AD265" s="68">
        <f t="shared" si="107"/>
        <v>11.468033409263477</v>
      </c>
      <c r="AE265" s="68">
        <f t="shared" si="107"/>
        <v>11.370706150341684</v>
      </c>
      <c r="AF265" s="68">
        <f t="shared" si="107"/>
        <v>11.273181473044797</v>
      </c>
      <c r="AG265" s="68">
        <f t="shared" si="107"/>
        <v>11.175854214123007</v>
      </c>
      <c r="AH265" s="68">
        <f t="shared" si="107"/>
        <v>11.078724373576309</v>
      </c>
      <c r="AI265" s="68">
        <f t="shared" si="107"/>
        <v>10.981199696279424</v>
      </c>
      <c r="AJ265" s="68">
        <f t="shared" si="107"/>
        <v>10.883872437357629</v>
      </c>
      <c r="AK265" s="68">
        <f t="shared" si="107"/>
        <v>10.786545178435841</v>
      </c>
      <c r="AL265" s="68">
        <f t="shared" si="107"/>
        <v>10.689415337889145</v>
      </c>
      <c r="AM265" s="68">
        <f t="shared" si="107"/>
        <v>10.590903568716783</v>
      </c>
      <c r="AN265" s="68">
        <f t="shared" si="107"/>
        <v>10.492589217919516</v>
      </c>
      <c r="AO265" s="68">
        <f t="shared" si="107"/>
        <v>10.492589217919516</v>
      </c>
      <c r="AP265" s="68">
        <f t="shared" si="107"/>
        <v>10.492589217919516</v>
      </c>
      <c r="AQ265" s="68">
        <f t="shared" si="107"/>
        <v>10.492589217919516</v>
      </c>
      <c r="AR265" s="68">
        <f t="shared" si="107"/>
        <v>10.492589217919516</v>
      </c>
      <c r="AS265" s="68">
        <f t="shared" si="107"/>
        <v>10.492589217919516</v>
      </c>
      <c r="AT265" s="68">
        <f t="shared" si="107"/>
        <v>10.492589217919516</v>
      </c>
      <c r="AU265" s="68">
        <f t="shared" si="107"/>
        <v>10.492589217919516</v>
      </c>
      <c r="AV265" s="68">
        <f t="shared" si="107"/>
        <v>10.492589217919516</v>
      </c>
      <c r="AW265" s="68">
        <f t="shared" si="107"/>
        <v>10.492589217919516</v>
      </c>
      <c r="AX265" s="68">
        <f t="shared" si="107"/>
        <v>10.492589217919516</v>
      </c>
      <c r="AY265" s="68">
        <f t="shared" si="107"/>
        <v>10.492589217919516</v>
      </c>
      <c r="AZ265" s="68">
        <f t="shared" si="107"/>
        <v>10.492589217919516</v>
      </c>
      <c r="BA265" s="68">
        <f t="shared" si="107"/>
        <v>10.492589217919516</v>
      </c>
      <c r="BB265" s="68">
        <f t="shared" si="107"/>
        <v>10.492589217919516</v>
      </c>
      <c r="BC265" s="68">
        <f t="shared" si="107"/>
        <v>10.492589217919516</v>
      </c>
      <c r="BD265" s="68">
        <f t="shared" si="107"/>
        <v>10.492589217919516</v>
      </c>
      <c r="BE265" s="68">
        <f t="shared" si="107"/>
        <v>10.492589217919516</v>
      </c>
      <c r="BF265" s="68">
        <f t="shared" si="107"/>
        <v>10.492589217919516</v>
      </c>
      <c r="BG265" s="68">
        <f t="shared" si="107"/>
        <v>10.492589217919516</v>
      </c>
      <c r="BH265" s="68">
        <f t="shared" si="107"/>
        <v>10.492589217919516</v>
      </c>
    </row>
    <row r="266" spans="1:60" outlineLevel="1">
      <c r="B266" t="str">
        <f>B433</f>
        <v>Gas licuado</v>
      </c>
      <c r="C266">
        <f t="shared" ref="C266:BH270" si="108">C433</f>
        <v>0.03</v>
      </c>
      <c r="D266">
        <f t="shared" si="108"/>
        <v>0.03</v>
      </c>
      <c r="E266">
        <f t="shared" si="108"/>
        <v>0.03</v>
      </c>
      <c r="F266">
        <f t="shared" si="108"/>
        <v>0.03</v>
      </c>
      <c r="G266">
        <f t="shared" si="108"/>
        <v>0.03</v>
      </c>
      <c r="H266">
        <f t="shared" si="108"/>
        <v>0.03</v>
      </c>
      <c r="I266">
        <f t="shared" si="108"/>
        <v>0.03</v>
      </c>
      <c r="J266">
        <f t="shared" si="108"/>
        <v>0.02</v>
      </c>
      <c r="K266">
        <f t="shared" si="108"/>
        <v>0.03</v>
      </c>
      <c r="L266">
        <f t="shared" si="108"/>
        <v>0.03</v>
      </c>
      <c r="M266">
        <f t="shared" si="108"/>
        <v>0.03</v>
      </c>
      <c r="N266">
        <f t="shared" si="108"/>
        <v>3.0031692581955038E-2</v>
      </c>
      <c r="O266">
        <f t="shared" si="108"/>
        <v>3.0062889967317027E-2</v>
      </c>
      <c r="P266">
        <f t="shared" si="108"/>
        <v>3.0095077745865111E-2</v>
      </c>
      <c r="Q266">
        <f t="shared" si="108"/>
        <v>3.0126770327820147E-2</v>
      </c>
      <c r="R266">
        <f t="shared" si="108"/>
        <v>3.0157967713182136E-2</v>
      </c>
      <c r="S266">
        <f t="shared" si="108"/>
        <v>3.0190155491730226E-2</v>
      </c>
      <c r="T266">
        <f t="shared" si="108"/>
        <v>3.0221352877092208E-2</v>
      </c>
      <c r="U266">
        <f t="shared" si="108"/>
        <v>3.0252550262454197E-2</v>
      </c>
      <c r="V266">
        <f t="shared" si="108"/>
        <v>3.0285233237595331E-2</v>
      </c>
      <c r="W266">
        <f t="shared" si="108"/>
        <v>3.031643062295732E-2</v>
      </c>
      <c r="X266">
        <f t="shared" si="108"/>
        <v>3.0230761612360112E-2</v>
      </c>
      <c r="Y266">
        <f t="shared" si="108"/>
        <v>2.9986629691987721E-2</v>
      </c>
      <c r="Z266">
        <f t="shared" si="108"/>
        <v>2.974200257502229E-2</v>
      </c>
      <c r="AA266">
        <f t="shared" si="108"/>
        <v>2.9498365851242953E-2</v>
      </c>
      <c r="AB266">
        <f t="shared" si="108"/>
        <v>2.9254233930870566E-2</v>
      </c>
      <c r="AC266">
        <f t="shared" si="108"/>
        <v>2.9009111617312087E-2</v>
      </c>
      <c r="AD266">
        <f t="shared" si="108"/>
        <v>2.8765970090125791E-2</v>
      </c>
      <c r="AE266">
        <f t="shared" si="108"/>
        <v>2.8521838169753403E-2</v>
      </c>
      <c r="AF266">
        <f t="shared" si="108"/>
        <v>2.8277211052787962E-2</v>
      </c>
      <c r="AG266">
        <f t="shared" si="108"/>
        <v>2.8033079132415574E-2</v>
      </c>
      <c r="AH266">
        <f t="shared" si="108"/>
        <v>2.778944240863623E-2</v>
      </c>
      <c r="AI266">
        <f t="shared" si="108"/>
        <v>2.7544815291670799E-2</v>
      </c>
      <c r="AJ266">
        <f t="shared" si="108"/>
        <v>2.7300683371298408E-2</v>
      </c>
      <c r="AK266">
        <f t="shared" si="108"/>
        <v>2.7056551450926024E-2</v>
      </c>
      <c r="AL266">
        <f t="shared" si="108"/>
        <v>2.6812914727146687E-2</v>
      </c>
      <c r="AM266">
        <f t="shared" si="108"/>
        <v>2.6565811627216013E-2</v>
      </c>
      <c r="AN266">
        <f t="shared" si="108"/>
        <v>2.6319203723878387E-2</v>
      </c>
      <c r="AO266">
        <f t="shared" si="108"/>
        <v>2.6319203723878387E-2</v>
      </c>
      <c r="AP266">
        <f t="shared" si="108"/>
        <v>2.6319203723878387E-2</v>
      </c>
      <c r="AQ266">
        <f t="shared" si="108"/>
        <v>2.6319203723878387E-2</v>
      </c>
      <c r="AR266">
        <f t="shared" si="108"/>
        <v>2.6319203723878387E-2</v>
      </c>
      <c r="AS266">
        <f t="shared" si="108"/>
        <v>2.6319203723878387E-2</v>
      </c>
      <c r="AT266">
        <f t="shared" si="108"/>
        <v>2.6319203723878387E-2</v>
      </c>
      <c r="AU266">
        <f t="shared" si="108"/>
        <v>2.6319203723878387E-2</v>
      </c>
      <c r="AV266">
        <f t="shared" si="108"/>
        <v>2.6319203723878387E-2</v>
      </c>
      <c r="AW266">
        <f t="shared" si="108"/>
        <v>2.6319203723878387E-2</v>
      </c>
      <c r="AX266">
        <f t="shared" si="108"/>
        <v>2.6319203723878387E-2</v>
      </c>
      <c r="AY266">
        <f t="shared" si="108"/>
        <v>2.6319203723878387E-2</v>
      </c>
      <c r="AZ266">
        <f t="shared" si="108"/>
        <v>2.6319203723878387E-2</v>
      </c>
      <c r="BA266">
        <f t="shared" si="108"/>
        <v>2.6319203723878387E-2</v>
      </c>
      <c r="BB266">
        <f t="shared" si="108"/>
        <v>2.6319203723878387E-2</v>
      </c>
      <c r="BC266">
        <f t="shared" si="108"/>
        <v>2.6319203723878387E-2</v>
      </c>
      <c r="BD266">
        <f t="shared" si="108"/>
        <v>2.6319203723878387E-2</v>
      </c>
      <c r="BE266">
        <f t="shared" si="108"/>
        <v>2.6319203723878387E-2</v>
      </c>
      <c r="BF266">
        <f t="shared" si="108"/>
        <v>2.6319203723878387E-2</v>
      </c>
      <c r="BG266">
        <f t="shared" si="108"/>
        <v>2.6319203723878387E-2</v>
      </c>
      <c r="BH266">
        <f t="shared" si="108"/>
        <v>2.6319203723878387E-2</v>
      </c>
    </row>
    <row r="267" spans="1:60" outlineLevel="1">
      <c r="B267" t="str">
        <f t="shared" ref="B267:Q271" si="109">B434</f>
        <v>Diésel</v>
      </c>
      <c r="C267">
        <f t="shared" si="109"/>
        <v>0.77</v>
      </c>
      <c r="D267">
        <f t="shared" si="109"/>
        <v>0.76</v>
      </c>
      <c r="E267">
        <f t="shared" si="109"/>
        <v>0.8</v>
      </c>
      <c r="F267">
        <f t="shared" si="109"/>
        <v>0.81</v>
      </c>
      <c r="G267">
        <f t="shared" si="109"/>
        <v>0.79</v>
      </c>
      <c r="H267">
        <f t="shared" si="109"/>
        <v>0.81</v>
      </c>
      <c r="I267">
        <f t="shared" si="109"/>
        <v>0.76</v>
      </c>
      <c r="J267">
        <f t="shared" si="109"/>
        <v>0.54</v>
      </c>
      <c r="K267">
        <f t="shared" si="109"/>
        <v>0.72</v>
      </c>
      <c r="L267">
        <f t="shared" si="109"/>
        <v>0.72</v>
      </c>
      <c r="M267">
        <f t="shared" si="109"/>
        <v>0.65</v>
      </c>
      <c r="N267">
        <f t="shared" si="109"/>
        <v>0.65068667260902591</v>
      </c>
      <c r="O267">
        <f t="shared" si="109"/>
        <v>0.65136261595853573</v>
      </c>
      <c r="P267">
        <f t="shared" si="109"/>
        <v>0.65206001782707756</v>
      </c>
      <c r="Q267">
        <f t="shared" si="109"/>
        <v>0.65274669043610334</v>
      </c>
      <c r="R267">
        <f t="shared" si="108"/>
        <v>0.65342263378561316</v>
      </c>
      <c r="S267">
        <f t="shared" si="108"/>
        <v>0.65412003565415511</v>
      </c>
      <c r="T267">
        <f t="shared" si="108"/>
        <v>0.65479597900366471</v>
      </c>
      <c r="U267">
        <f t="shared" si="108"/>
        <v>0.65547192235317442</v>
      </c>
      <c r="V267">
        <f t="shared" si="108"/>
        <v>0.65618005348123232</v>
      </c>
      <c r="W267">
        <f t="shared" si="108"/>
        <v>0.65685599683074203</v>
      </c>
      <c r="X267">
        <f t="shared" si="108"/>
        <v>0.65499983493446912</v>
      </c>
      <c r="Y267">
        <f t="shared" si="108"/>
        <v>0.64971030999306734</v>
      </c>
      <c r="Z267">
        <f t="shared" si="108"/>
        <v>0.64441005579214961</v>
      </c>
      <c r="AA267">
        <f t="shared" si="108"/>
        <v>0.639131260110264</v>
      </c>
      <c r="AB267">
        <f t="shared" si="108"/>
        <v>0.63384173516886222</v>
      </c>
      <c r="AC267">
        <f t="shared" si="108"/>
        <v>0.62853075170842843</v>
      </c>
      <c r="AD267">
        <f t="shared" si="108"/>
        <v>0.62326268528605866</v>
      </c>
      <c r="AE267">
        <f t="shared" si="108"/>
        <v>0.61797316034465699</v>
      </c>
      <c r="AF267">
        <f t="shared" si="108"/>
        <v>0.61267290614373915</v>
      </c>
      <c r="AG267">
        <f t="shared" si="108"/>
        <v>0.60738338120233737</v>
      </c>
      <c r="AH267">
        <f t="shared" si="108"/>
        <v>0.60210458552045154</v>
      </c>
      <c r="AI267">
        <f t="shared" si="108"/>
        <v>0.59680433131953381</v>
      </c>
      <c r="AJ267">
        <f t="shared" si="108"/>
        <v>0.59151480637813203</v>
      </c>
      <c r="AK267">
        <f t="shared" si="108"/>
        <v>0.58622528143673036</v>
      </c>
      <c r="AL267">
        <f t="shared" si="108"/>
        <v>0.58094648575484475</v>
      </c>
      <c r="AM267">
        <f t="shared" si="108"/>
        <v>0.57559258525634682</v>
      </c>
      <c r="AN267">
        <f t="shared" si="108"/>
        <v>0.57024941401736495</v>
      </c>
      <c r="AO267">
        <f t="shared" si="108"/>
        <v>0.57024941401736495</v>
      </c>
      <c r="AP267">
        <f t="shared" si="108"/>
        <v>0.57024941401736495</v>
      </c>
      <c r="AQ267">
        <f t="shared" si="108"/>
        <v>0.57024941401736495</v>
      </c>
      <c r="AR267">
        <f t="shared" si="108"/>
        <v>0.57024941401736495</v>
      </c>
      <c r="AS267">
        <f t="shared" si="108"/>
        <v>0.57024941401736495</v>
      </c>
      <c r="AT267">
        <f t="shared" si="108"/>
        <v>0.57024941401736495</v>
      </c>
      <c r="AU267">
        <f t="shared" si="108"/>
        <v>0.57024941401736495</v>
      </c>
      <c r="AV267">
        <f t="shared" si="108"/>
        <v>0.57024941401736495</v>
      </c>
      <c r="AW267">
        <f t="shared" si="108"/>
        <v>0.57024941401736495</v>
      </c>
      <c r="AX267">
        <f t="shared" si="108"/>
        <v>0.57024941401736495</v>
      </c>
      <c r="AY267">
        <f t="shared" si="108"/>
        <v>0.57024941401736495</v>
      </c>
      <c r="AZ267">
        <f t="shared" si="108"/>
        <v>0.57024941401736495</v>
      </c>
      <c r="BA267">
        <f t="shared" si="108"/>
        <v>0.57024941401736495</v>
      </c>
      <c r="BB267">
        <f t="shared" si="108"/>
        <v>0.57024941401736495</v>
      </c>
      <c r="BC267">
        <f t="shared" si="108"/>
        <v>0.57024941401736495</v>
      </c>
      <c r="BD267">
        <f t="shared" si="108"/>
        <v>0.57024941401736495</v>
      </c>
      <c r="BE267">
        <f t="shared" si="108"/>
        <v>0.57024941401736495</v>
      </c>
      <c r="BF267">
        <f t="shared" si="108"/>
        <v>0.57024941401736495</v>
      </c>
      <c r="BG267">
        <f t="shared" si="108"/>
        <v>0.57024941401736495</v>
      </c>
      <c r="BH267">
        <f t="shared" si="108"/>
        <v>0.57024941401736495</v>
      </c>
    </row>
    <row r="268" spans="1:60" outlineLevel="1">
      <c r="B268" t="str">
        <f t="shared" si="109"/>
        <v>Combustóleo</v>
      </c>
      <c r="C268">
        <f t="shared" si="108"/>
        <v>0.03</v>
      </c>
      <c r="D268">
        <f t="shared" si="108"/>
        <v>0.03</v>
      </c>
      <c r="E268">
        <f t="shared" si="108"/>
        <v>0.03</v>
      </c>
      <c r="F268">
        <f t="shared" si="108"/>
        <v>0.03</v>
      </c>
      <c r="G268">
        <f t="shared" si="108"/>
        <v>0.03</v>
      </c>
      <c r="H268">
        <f t="shared" si="108"/>
        <v>0.03</v>
      </c>
      <c r="I268">
        <f t="shared" si="108"/>
        <v>0.03</v>
      </c>
      <c r="J268">
        <f t="shared" si="108"/>
        <v>0.02</v>
      </c>
      <c r="K268">
        <f t="shared" si="108"/>
        <v>0.03</v>
      </c>
      <c r="L268">
        <f t="shared" si="108"/>
        <v>0.03</v>
      </c>
      <c r="M268">
        <f t="shared" si="108"/>
        <v>0.03</v>
      </c>
      <c r="N268">
        <f t="shared" si="108"/>
        <v>3.0031692581955038E-2</v>
      </c>
      <c r="O268">
        <f t="shared" si="108"/>
        <v>3.0062889967317027E-2</v>
      </c>
      <c r="P268">
        <f t="shared" si="108"/>
        <v>3.0095077745865111E-2</v>
      </c>
      <c r="Q268">
        <f t="shared" si="108"/>
        <v>3.0126770327820147E-2</v>
      </c>
      <c r="R268">
        <f t="shared" si="108"/>
        <v>3.0157967713182136E-2</v>
      </c>
      <c r="S268">
        <f t="shared" si="108"/>
        <v>3.0190155491730226E-2</v>
      </c>
      <c r="T268">
        <f t="shared" si="108"/>
        <v>3.0221352877092208E-2</v>
      </c>
      <c r="U268">
        <f t="shared" si="108"/>
        <v>3.0252550262454197E-2</v>
      </c>
      <c r="V268">
        <f t="shared" si="108"/>
        <v>3.0285233237595331E-2</v>
      </c>
      <c r="W268">
        <f t="shared" si="108"/>
        <v>3.031643062295732E-2</v>
      </c>
      <c r="X268">
        <f t="shared" si="108"/>
        <v>3.0230761612360112E-2</v>
      </c>
      <c r="Y268">
        <f t="shared" si="108"/>
        <v>2.9986629691987721E-2</v>
      </c>
      <c r="Z268">
        <f t="shared" si="108"/>
        <v>2.974200257502229E-2</v>
      </c>
      <c r="AA268">
        <f t="shared" si="108"/>
        <v>2.9498365851242953E-2</v>
      </c>
      <c r="AB268">
        <f t="shared" si="108"/>
        <v>2.9254233930870566E-2</v>
      </c>
      <c r="AC268">
        <f t="shared" si="108"/>
        <v>2.9009111617312087E-2</v>
      </c>
      <c r="AD268">
        <f t="shared" si="108"/>
        <v>2.8765970090125791E-2</v>
      </c>
      <c r="AE268">
        <f t="shared" si="108"/>
        <v>2.8521838169753403E-2</v>
      </c>
      <c r="AF268">
        <f t="shared" si="108"/>
        <v>2.8277211052787962E-2</v>
      </c>
      <c r="AG268">
        <f t="shared" si="108"/>
        <v>2.8033079132415574E-2</v>
      </c>
      <c r="AH268">
        <f t="shared" si="108"/>
        <v>2.778944240863623E-2</v>
      </c>
      <c r="AI268">
        <f t="shared" si="108"/>
        <v>2.7544815291670799E-2</v>
      </c>
      <c r="AJ268">
        <f t="shared" si="108"/>
        <v>2.7300683371298408E-2</v>
      </c>
      <c r="AK268">
        <f t="shared" si="108"/>
        <v>2.7056551450926024E-2</v>
      </c>
      <c r="AL268">
        <f t="shared" si="108"/>
        <v>2.6812914727146687E-2</v>
      </c>
      <c r="AM268">
        <f t="shared" si="108"/>
        <v>2.6565811627216013E-2</v>
      </c>
      <c r="AN268">
        <f t="shared" si="108"/>
        <v>2.6319203723878387E-2</v>
      </c>
      <c r="AO268">
        <f t="shared" si="108"/>
        <v>2.6319203723878387E-2</v>
      </c>
      <c r="AP268">
        <f t="shared" si="108"/>
        <v>2.6319203723878387E-2</v>
      </c>
      <c r="AQ268">
        <f t="shared" si="108"/>
        <v>2.6319203723878387E-2</v>
      </c>
      <c r="AR268">
        <f t="shared" si="108"/>
        <v>2.6319203723878387E-2</v>
      </c>
      <c r="AS268">
        <f t="shared" si="108"/>
        <v>2.6319203723878387E-2</v>
      </c>
      <c r="AT268">
        <f t="shared" si="108"/>
        <v>2.6319203723878387E-2</v>
      </c>
      <c r="AU268">
        <f t="shared" si="108"/>
        <v>2.6319203723878387E-2</v>
      </c>
      <c r="AV268">
        <f t="shared" si="108"/>
        <v>2.6319203723878387E-2</v>
      </c>
      <c r="AW268">
        <f t="shared" si="108"/>
        <v>2.6319203723878387E-2</v>
      </c>
      <c r="AX268">
        <f t="shared" si="108"/>
        <v>2.6319203723878387E-2</v>
      </c>
      <c r="AY268">
        <f t="shared" si="108"/>
        <v>2.6319203723878387E-2</v>
      </c>
      <c r="AZ268">
        <f t="shared" si="108"/>
        <v>2.6319203723878387E-2</v>
      </c>
      <c r="BA268">
        <f t="shared" si="108"/>
        <v>2.6319203723878387E-2</v>
      </c>
      <c r="BB268">
        <f t="shared" si="108"/>
        <v>2.6319203723878387E-2</v>
      </c>
      <c r="BC268">
        <f t="shared" si="108"/>
        <v>2.6319203723878387E-2</v>
      </c>
      <c r="BD268">
        <f t="shared" si="108"/>
        <v>2.6319203723878387E-2</v>
      </c>
      <c r="BE268">
        <f t="shared" si="108"/>
        <v>2.6319203723878387E-2</v>
      </c>
      <c r="BF268">
        <f t="shared" si="108"/>
        <v>2.6319203723878387E-2</v>
      </c>
      <c r="BG268">
        <f t="shared" si="108"/>
        <v>2.6319203723878387E-2</v>
      </c>
      <c r="BH268">
        <f t="shared" si="108"/>
        <v>2.6319203723878387E-2</v>
      </c>
    </row>
    <row r="269" spans="1:60" outlineLevel="1"/>
    <row r="270" spans="1:60" outlineLevel="1">
      <c r="B270" t="str">
        <f t="shared" si="109"/>
        <v>Gas seco</v>
      </c>
      <c r="C270">
        <f t="shared" si="108"/>
        <v>8.6199999999999992</v>
      </c>
      <c r="D270">
        <f t="shared" si="108"/>
        <v>8.5500000000000007</v>
      </c>
      <c r="E270">
        <f t="shared" si="108"/>
        <v>9.02</v>
      </c>
      <c r="F270">
        <f t="shared" si="108"/>
        <v>9.06</v>
      </c>
      <c r="G270">
        <f t="shared" si="108"/>
        <v>8.85</v>
      </c>
      <c r="H270">
        <f t="shared" si="108"/>
        <v>9.06</v>
      </c>
      <c r="I270">
        <f t="shared" si="108"/>
        <v>8.5399999999999991</v>
      </c>
      <c r="J270">
        <f t="shared" si="108"/>
        <v>6.07</v>
      </c>
      <c r="K270">
        <f t="shared" si="108"/>
        <v>8.08</v>
      </c>
      <c r="L270">
        <f t="shared" si="108"/>
        <v>8.11</v>
      </c>
      <c r="M270">
        <f t="shared" si="108"/>
        <v>7.8</v>
      </c>
      <c r="N270">
        <f t="shared" si="108"/>
        <v>7.80824007130831</v>
      </c>
      <c r="O270">
        <f t="shared" si="108"/>
        <v>7.8163513915024279</v>
      </c>
      <c r="P270">
        <f t="shared" si="108"/>
        <v>7.8247202139249286</v>
      </c>
      <c r="Q270">
        <f t="shared" si="108"/>
        <v>7.8329602852332378</v>
      </c>
      <c r="R270">
        <f t="shared" si="108"/>
        <v>7.8410716054273539</v>
      </c>
      <c r="S270">
        <f t="shared" si="108"/>
        <v>7.8494404278498573</v>
      </c>
      <c r="T270">
        <f t="shared" si="108"/>
        <v>7.8575517480439725</v>
      </c>
      <c r="U270">
        <f t="shared" si="108"/>
        <v>7.8656630682380895</v>
      </c>
      <c r="V270">
        <f t="shared" si="108"/>
        <v>7.8741606417747843</v>
      </c>
      <c r="W270">
        <f t="shared" si="108"/>
        <v>7.8822719619689003</v>
      </c>
      <c r="X270">
        <f t="shared" si="108"/>
        <v>7.8599980192136254</v>
      </c>
      <c r="Y270">
        <f t="shared" si="108"/>
        <v>7.7965237199168032</v>
      </c>
      <c r="Z270">
        <f t="shared" si="108"/>
        <v>7.7329206695057904</v>
      </c>
      <c r="AA270">
        <f t="shared" si="108"/>
        <v>7.6695751213231631</v>
      </c>
      <c r="AB270">
        <f t="shared" si="108"/>
        <v>7.6061008220263417</v>
      </c>
      <c r="AC270">
        <f t="shared" si="108"/>
        <v>7.5423690205011367</v>
      </c>
      <c r="AD270">
        <f t="shared" si="108"/>
        <v>7.4791522234326999</v>
      </c>
      <c r="AE270">
        <f t="shared" si="108"/>
        <v>7.4156779241358795</v>
      </c>
      <c r="AF270">
        <f t="shared" si="108"/>
        <v>7.3520748737248658</v>
      </c>
      <c r="AG270">
        <f t="shared" si="108"/>
        <v>7.2886005744280462</v>
      </c>
      <c r="AH270">
        <f t="shared" si="108"/>
        <v>7.2252550262454172</v>
      </c>
      <c r="AI270">
        <f t="shared" si="108"/>
        <v>7.1616519758344053</v>
      </c>
      <c r="AJ270">
        <f t="shared" si="108"/>
        <v>7.0981776765375839</v>
      </c>
      <c r="AK270">
        <f t="shared" si="108"/>
        <v>7.0347033772407643</v>
      </c>
      <c r="AL270">
        <f t="shared" si="108"/>
        <v>6.9713578290581362</v>
      </c>
      <c r="AM270">
        <f t="shared" si="108"/>
        <v>6.907111023076161</v>
      </c>
      <c r="AN270">
        <f t="shared" si="108"/>
        <v>6.8429929682083781</v>
      </c>
      <c r="AO270">
        <f t="shared" ref="AO270:CT270" si="110">AO437</f>
        <v>6.8429929682083781</v>
      </c>
      <c r="AP270">
        <f t="shared" si="110"/>
        <v>6.8429929682083781</v>
      </c>
      <c r="AQ270">
        <f t="shared" si="110"/>
        <v>6.8429929682083781</v>
      </c>
      <c r="AR270">
        <f t="shared" si="110"/>
        <v>6.8429929682083781</v>
      </c>
      <c r="AS270">
        <f t="shared" si="110"/>
        <v>6.8429929682083781</v>
      </c>
      <c r="AT270">
        <f t="shared" si="110"/>
        <v>6.8429929682083781</v>
      </c>
      <c r="AU270">
        <f t="shared" si="110"/>
        <v>6.8429929682083781</v>
      </c>
      <c r="AV270">
        <f t="shared" si="110"/>
        <v>6.8429929682083781</v>
      </c>
      <c r="AW270">
        <f t="shared" si="110"/>
        <v>6.8429929682083781</v>
      </c>
      <c r="AX270">
        <f t="shared" si="110"/>
        <v>6.8429929682083781</v>
      </c>
      <c r="AY270">
        <f t="shared" si="110"/>
        <v>6.8429929682083781</v>
      </c>
      <c r="AZ270">
        <f t="shared" si="110"/>
        <v>6.8429929682083781</v>
      </c>
      <c r="BA270">
        <f t="shared" si="110"/>
        <v>6.8429929682083781</v>
      </c>
      <c r="BB270">
        <f t="shared" si="110"/>
        <v>6.8429929682083781</v>
      </c>
      <c r="BC270">
        <f t="shared" si="110"/>
        <v>6.8429929682083781</v>
      </c>
      <c r="BD270">
        <f t="shared" si="110"/>
        <v>6.8429929682083781</v>
      </c>
      <c r="BE270">
        <f t="shared" si="110"/>
        <v>6.8429929682083781</v>
      </c>
      <c r="BF270">
        <f t="shared" si="110"/>
        <v>6.8429929682083781</v>
      </c>
      <c r="BG270">
        <f t="shared" si="110"/>
        <v>6.8429929682083781</v>
      </c>
      <c r="BH270">
        <f t="shared" si="110"/>
        <v>6.8429929682083781</v>
      </c>
    </row>
    <row r="271" spans="1:60" outlineLevel="1">
      <c r="B271" t="str">
        <f t="shared" si="109"/>
        <v>Energía eléctrica</v>
      </c>
      <c r="C271">
        <f t="shared" si="109"/>
        <v>3.81</v>
      </c>
      <c r="D271">
        <f t="shared" si="109"/>
        <v>3.78</v>
      </c>
      <c r="E271">
        <f t="shared" si="109"/>
        <v>3.99</v>
      </c>
      <c r="F271">
        <f t="shared" si="109"/>
        <v>4</v>
      </c>
      <c r="G271">
        <f t="shared" si="109"/>
        <v>3.91</v>
      </c>
      <c r="H271">
        <f t="shared" si="109"/>
        <v>4.01</v>
      </c>
      <c r="I271">
        <f t="shared" si="109"/>
        <v>3.78</v>
      </c>
      <c r="J271">
        <f t="shared" si="109"/>
        <v>2.69</v>
      </c>
      <c r="K271">
        <f t="shared" si="109"/>
        <v>3.58</v>
      </c>
      <c r="L271">
        <f t="shared" si="109"/>
        <v>0.45</v>
      </c>
      <c r="M271">
        <f t="shared" si="109"/>
        <v>3.45</v>
      </c>
      <c r="N271">
        <f t="shared" si="109"/>
        <v>3.4536446469248299</v>
      </c>
      <c r="O271">
        <f t="shared" si="109"/>
        <v>3.4572323462414585</v>
      </c>
      <c r="P271">
        <f t="shared" si="109"/>
        <v>3.4609339407744879</v>
      </c>
      <c r="Q271">
        <f t="shared" si="109"/>
        <v>3.4645785876993171</v>
      </c>
      <c r="R271">
        <f t="shared" ref="R271:BW271" si="111">R438</f>
        <v>3.4681662870159462</v>
      </c>
      <c r="S271">
        <f t="shared" si="111"/>
        <v>3.4718678815489765</v>
      </c>
      <c r="T271">
        <f t="shared" si="111"/>
        <v>3.4754555808656047</v>
      </c>
      <c r="U271">
        <f t="shared" si="111"/>
        <v>3.4790432801822333</v>
      </c>
      <c r="V271">
        <f t="shared" si="111"/>
        <v>3.4828018223234638</v>
      </c>
      <c r="W271">
        <f t="shared" si="111"/>
        <v>3.4863895216400929</v>
      </c>
      <c r="X271">
        <f t="shared" si="111"/>
        <v>3.476537585421414</v>
      </c>
      <c r="Y271">
        <f t="shared" si="111"/>
        <v>3.4484624145785894</v>
      </c>
      <c r="Z271">
        <f t="shared" si="111"/>
        <v>3.4203302961275646</v>
      </c>
      <c r="AA271">
        <f t="shared" si="111"/>
        <v>3.3923120728929406</v>
      </c>
      <c r="AB271">
        <f t="shared" si="111"/>
        <v>3.3642369020501155</v>
      </c>
      <c r="AC271">
        <f t="shared" si="111"/>
        <v>3.3360478359908905</v>
      </c>
      <c r="AD271">
        <f t="shared" si="111"/>
        <v>3.3080865603644662</v>
      </c>
      <c r="AE271">
        <f t="shared" si="111"/>
        <v>3.2800113895216416</v>
      </c>
      <c r="AF271">
        <f t="shared" si="111"/>
        <v>3.2518792710706164</v>
      </c>
      <c r="AG271">
        <f t="shared" si="111"/>
        <v>3.2238041002277922</v>
      </c>
      <c r="AH271">
        <f t="shared" si="111"/>
        <v>3.1957858769931673</v>
      </c>
      <c r="AI271">
        <f t="shared" si="111"/>
        <v>3.1676537585421425</v>
      </c>
      <c r="AJ271">
        <f t="shared" si="111"/>
        <v>3.1395785876993174</v>
      </c>
      <c r="AK271">
        <f t="shared" si="111"/>
        <v>3.1115034168564932</v>
      </c>
      <c r="AL271">
        <f t="shared" si="111"/>
        <v>3.0834851936218692</v>
      </c>
      <c r="AM271">
        <f t="shared" si="111"/>
        <v>3.0550683371298422</v>
      </c>
      <c r="AN271">
        <f t="shared" si="111"/>
        <v>3.0267084282460153</v>
      </c>
      <c r="AO271">
        <f t="shared" si="111"/>
        <v>3.0267084282460153</v>
      </c>
      <c r="AP271">
        <f t="shared" si="111"/>
        <v>3.0267084282460153</v>
      </c>
      <c r="AQ271">
        <f t="shared" si="111"/>
        <v>3.0267084282460153</v>
      </c>
      <c r="AR271">
        <f t="shared" si="111"/>
        <v>3.0267084282460153</v>
      </c>
      <c r="AS271">
        <f t="shared" si="111"/>
        <v>3.0267084282460153</v>
      </c>
      <c r="AT271">
        <f t="shared" si="111"/>
        <v>3.0267084282460153</v>
      </c>
      <c r="AU271">
        <f t="shared" si="111"/>
        <v>3.0267084282460153</v>
      </c>
      <c r="AV271">
        <f t="shared" si="111"/>
        <v>3.0267084282460153</v>
      </c>
      <c r="AW271">
        <f t="shared" si="111"/>
        <v>3.0267084282460153</v>
      </c>
      <c r="AX271">
        <f t="shared" si="111"/>
        <v>3.0267084282460153</v>
      </c>
      <c r="AY271">
        <f t="shared" si="111"/>
        <v>3.0267084282460153</v>
      </c>
      <c r="AZ271">
        <f t="shared" si="111"/>
        <v>3.0267084282460153</v>
      </c>
      <c r="BA271">
        <f t="shared" si="111"/>
        <v>3.0267084282460153</v>
      </c>
      <c r="BB271">
        <f t="shared" si="111"/>
        <v>3.0267084282460153</v>
      </c>
      <c r="BC271">
        <f t="shared" si="111"/>
        <v>3.0267084282460153</v>
      </c>
      <c r="BD271">
        <f t="shared" si="111"/>
        <v>3.0267084282460153</v>
      </c>
      <c r="BE271">
        <f t="shared" si="111"/>
        <v>3.0267084282460153</v>
      </c>
      <c r="BF271">
        <f t="shared" si="111"/>
        <v>3.0267084282460153</v>
      </c>
      <c r="BG271">
        <f t="shared" si="111"/>
        <v>3.0267084282460153</v>
      </c>
      <c r="BH271">
        <f t="shared" si="111"/>
        <v>3.0267084282460153</v>
      </c>
    </row>
    <row r="272" spans="1:60" s="68" customFormat="1" collapsed="1">
      <c r="A272" s="68" t="s">
        <v>132</v>
      </c>
      <c r="C272" s="68" t="s">
        <v>159</v>
      </c>
    </row>
    <row r="273" spans="1:60" s="68" customFormat="1" collapsed="1">
      <c r="A273" s="68" t="s">
        <v>133</v>
      </c>
      <c r="C273" s="68">
        <f>SUM(C274:C278)</f>
        <v>49.81</v>
      </c>
      <c r="D273" s="68">
        <f t="shared" ref="D273:BH273" si="112">SUM(D274:D278)</f>
        <v>44.75</v>
      </c>
      <c r="E273" s="68">
        <f t="shared" si="112"/>
        <v>49.919999999999995</v>
      </c>
      <c r="F273" s="68">
        <f t="shared" si="112"/>
        <v>59.43</v>
      </c>
      <c r="G273" s="68">
        <f t="shared" si="112"/>
        <v>56.230000000000004</v>
      </c>
      <c r="H273" s="68">
        <f t="shared" si="112"/>
        <v>51.65</v>
      </c>
      <c r="I273" s="68">
        <f t="shared" si="112"/>
        <v>54.95</v>
      </c>
      <c r="J273" s="68">
        <f t="shared" si="112"/>
        <v>49.120000000000005</v>
      </c>
      <c r="K273" s="68">
        <f t="shared" si="112"/>
        <v>57.69</v>
      </c>
      <c r="L273" s="68">
        <f t="shared" si="112"/>
        <v>62.730000000000004</v>
      </c>
      <c r="M273" s="68">
        <f t="shared" si="112"/>
        <v>63.919999999999995</v>
      </c>
      <c r="N273" s="68">
        <f t="shared" si="112"/>
        <v>65.08</v>
      </c>
      <c r="O273" s="68">
        <f t="shared" si="112"/>
        <v>66.259999999999991</v>
      </c>
      <c r="P273" s="68">
        <f t="shared" si="112"/>
        <v>67.42</v>
      </c>
      <c r="Q273" s="68">
        <f t="shared" si="112"/>
        <v>68.58</v>
      </c>
      <c r="R273" s="68">
        <f t="shared" si="112"/>
        <v>69.760000000000005</v>
      </c>
      <c r="S273" s="68">
        <f t="shared" si="112"/>
        <v>70.930000000000007</v>
      </c>
      <c r="T273" s="68">
        <f t="shared" si="112"/>
        <v>72.09</v>
      </c>
      <c r="U273" s="68">
        <f t="shared" si="112"/>
        <v>73.27</v>
      </c>
      <c r="V273" s="68">
        <f t="shared" si="112"/>
        <v>74.44</v>
      </c>
      <c r="W273" s="68">
        <f t="shared" si="112"/>
        <v>75.610000000000014</v>
      </c>
      <c r="X273" s="68">
        <f t="shared" si="112"/>
        <v>76.789999999999992</v>
      </c>
      <c r="Y273" s="68">
        <f t="shared" si="112"/>
        <v>77.949999999999989</v>
      </c>
      <c r="Z273" s="68">
        <f t="shared" si="112"/>
        <v>79.12</v>
      </c>
      <c r="AA273" s="68">
        <f t="shared" si="112"/>
        <v>80.300000000000011</v>
      </c>
      <c r="AB273" s="68">
        <f t="shared" si="112"/>
        <v>81.449999999999989</v>
      </c>
      <c r="AC273" s="68">
        <f t="shared" si="112"/>
        <v>82.63</v>
      </c>
      <c r="AD273" s="68">
        <f t="shared" si="112"/>
        <v>83.8</v>
      </c>
      <c r="AE273" s="68">
        <f t="shared" si="112"/>
        <v>84.97</v>
      </c>
      <c r="AF273" s="68">
        <f t="shared" si="112"/>
        <v>86.14</v>
      </c>
      <c r="AG273" s="68">
        <f t="shared" si="112"/>
        <v>87.31</v>
      </c>
      <c r="AH273" s="68">
        <f t="shared" si="112"/>
        <v>88.48</v>
      </c>
      <c r="AI273" s="68">
        <f t="shared" si="112"/>
        <v>89.65</v>
      </c>
      <c r="AJ273" s="68">
        <f t="shared" si="112"/>
        <v>90.81</v>
      </c>
      <c r="AK273" s="68">
        <f t="shared" si="112"/>
        <v>91.990000000000009</v>
      </c>
      <c r="AL273" s="68">
        <f t="shared" si="112"/>
        <v>93.16</v>
      </c>
      <c r="AM273" s="68">
        <f t="shared" si="112"/>
        <v>94.33</v>
      </c>
      <c r="AN273" s="68">
        <f t="shared" si="112"/>
        <v>95.490000000000009</v>
      </c>
      <c r="AO273" s="68">
        <f t="shared" si="112"/>
        <v>95.490000000000009</v>
      </c>
      <c r="AP273" s="68">
        <f t="shared" si="112"/>
        <v>95.490000000000009</v>
      </c>
      <c r="AQ273" s="68">
        <f t="shared" si="112"/>
        <v>95.490000000000009</v>
      </c>
      <c r="AR273" s="68">
        <f t="shared" si="112"/>
        <v>95.490000000000009</v>
      </c>
      <c r="AS273" s="68">
        <f t="shared" si="112"/>
        <v>95.490000000000009</v>
      </c>
      <c r="AT273" s="68">
        <f t="shared" si="112"/>
        <v>95.490000000000009</v>
      </c>
      <c r="AU273" s="68">
        <f t="shared" si="112"/>
        <v>95.490000000000009</v>
      </c>
      <c r="AV273" s="68">
        <f t="shared" si="112"/>
        <v>95.490000000000009</v>
      </c>
      <c r="AW273" s="68">
        <f t="shared" si="112"/>
        <v>95.490000000000009</v>
      </c>
      <c r="AX273" s="68">
        <f t="shared" si="112"/>
        <v>95.490000000000009</v>
      </c>
      <c r="AY273" s="68">
        <f t="shared" si="112"/>
        <v>95.490000000000009</v>
      </c>
      <c r="AZ273" s="68">
        <f t="shared" si="112"/>
        <v>95.490000000000009</v>
      </c>
      <c r="BA273" s="68">
        <f t="shared" si="112"/>
        <v>95.490000000000009</v>
      </c>
      <c r="BB273" s="68">
        <f t="shared" si="112"/>
        <v>95.490000000000009</v>
      </c>
      <c r="BC273" s="68">
        <f t="shared" si="112"/>
        <v>95.490000000000009</v>
      </c>
      <c r="BD273" s="68">
        <f t="shared" si="112"/>
        <v>95.490000000000009</v>
      </c>
      <c r="BE273" s="68">
        <f t="shared" si="112"/>
        <v>95.490000000000009</v>
      </c>
      <c r="BF273" s="68">
        <f t="shared" si="112"/>
        <v>95.490000000000009</v>
      </c>
      <c r="BG273" s="68">
        <f t="shared" si="112"/>
        <v>95.490000000000009</v>
      </c>
      <c r="BH273" s="68">
        <f t="shared" si="112"/>
        <v>95.490000000000009</v>
      </c>
    </row>
    <row r="274" spans="1:60" hidden="1" outlineLevel="1">
      <c r="B274" t="str">
        <f>B447</f>
        <v>GLP</v>
      </c>
      <c r="C274">
        <f>C447</f>
        <v>0.41</v>
      </c>
      <c r="D274">
        <f t="shared" ref="D274:BH278" si="113">D447</f>
        <v>0.42</v>
      </c>
      <c r="E274">
        <f t="shared" si="113"/>
        <v>0.43</v>
      </c>
      <c r="F274">
        <f t="shared" si="113"/>
        <v>0.45</v>
      </c>
      <c r="G274">
        <f t="shared" si="113"/>
        <v>0.46</v>
      </c>
      <c r="H274">
        <f t="shared" si="113"/>
        <v>0.46</v>
      </c>
      <c r="I274">
        <f t="shared" si="113"/>
        <v>0.48</v>
      </c>
      <c r="J274">
        <f t="shared" si="113"/>
        <v>0.46</v>
      </c>
      <c r="K274">
        <f t="shared" si="113"/>
        <v>0.38</v>
      </c>
      <c r="L274">
        <f t="shared" si="113"/>
        <v>0.4</v>
      </c>
      <c r="M274">
        <f t="shared" si="113"/>
        <v>0.41</v>
      </c>
      <c r="N274">
        <f t="shared" si="113"/>
        <v>0.41</v>
      </c>
      <c r="O274">
        <f t="shared" si="113"/>
        <v>0.41</v>
      </c>
      <c r="P274">
        <f t="shared" si="113"/>
        <v>0.41</v>
      </c>
      <c r="Q274">
        <f t="shared" si="113"/>
        <v>0.41</v>
      </c>
      <c r="R274">
        <f t="shared" si="113"/>
        <v>0.42</v>
      </c>
      <c r="S274">
        <f t="shared" si="113"/>
        <v>0.42</v>
      </c>
      <c r="T274">
        <f t="shared" si="113"/>
        <v>0.42</v>
      </c>
      <c r="U274">
        <f t="shared" si="113"/>
        <v>0.42</v>
      </c>
      <c r="V274">
        <f t="shared" si="113"/>
        <v>0.42</v>
      </c>
      <c r="W274">
        <f t="shared" si="113"/>
        <v>0.43</v>
      </c>
      <c r="X274">
        <f t="shared" si="113"/>
        <v>0.43</v>
      </c>
      <c r="Y274">
        <f t="shared" si="113"/>
        <v>0.43</v>
      </c>
      <c r="Z274">
        <f t="shared" si="113"/>
        <v>0.43</v>
      </c>
      <c r="AA274">
        <f t="shared" si="113"/>
        <v>0.44</v>
      </c>
      <c r="AB274">
        <f t="shared" si="113"/>
        <v>0.44</v>
      </c>
      <c r="AC274">
        <f t="shared" si="113"/>
        <v>0.44</v>
      </c>
      <c r="AD274">
        <f t="shared" si="113"/>
        <v>0.44</v>
      </c>
      <c r="AE274">
        <f t="shared" si="113"/>
        <v>0.44</v>
      </c>
      <c r="AF274">
        <f t="shared" si="113"/>
        <v>0.45</v>
      </c>
      <c r="AG274">
        <f t="shared" si="113"/>
        <v>0.45</v>
      </c>
      <c r="AH274">
        <f t="shared" si="113"/>
        <v>0.45</v>
      </c>
      <c r="AI274">
        <f t="shared" si="113"/>
        <v>0.45</v>
      </c>
      <c r="AJ274">
        <f t="shared" si="113"/>
        <v>0.45</v>
      </c>
      <c r="AK274">
        <f t="shared" si="113"/>
        <v>0.46</v>
      </c>
      <c r="AL274">
        <f t="shared" si="113"/>
        <v>0.46</v>
      </c>
      <c r="AM274">
        <f t="shared" si="113"/>
        <v>0.46</v>
      </c>
      <c r="AN274">
        <f t="shared" si="113"/>
        <v>0.46</v>
      </c>
      <c r="AO274">
        <f t="shared" si="113"/>
        <v>0.46</v>
      </c>
      <c r="AP274">
        <f t="shared" si="113"/>
        <v>0.46</v>
      </c>
      <c r="AQ274">
        <f t="shared" si="113"/>
        <v>0.46</v>
      </c>
      <c r="AR274">
        <f t="shared" si="113"/>
        <v>0.46</v>
      </c>
      <c r="AS274">
        <f t="shared" si="113"/>
        <v>0.46</v>
      </c>
      <c r="AT274">
        <f t="shared" si="113"/>
        <v>0.46</v>
      </c>
      <c r="AU274">
        <f t="shared" si="113"/>
        <v>0.46</v>
      </c>
      <c r="AV274">
        <f t="shared" si="113"/>
        <v>0.46</v>
      </c>
      <c r="AW274">
        <f t="shared" si="113"/>
        <v>0.46</v>
      </c>
      <c r="AX274">
        <f t="shared" si="113"/>
        <v>0.46</v>
      </c>
      <c r="AY274">
        <f t="shared" si="113"/>
        <v>0.46</v>
      </c>
      <c r="AZ274">
        <f t="shared" si="113"/>
        <v>0.46</v>
      </c>
      <c r="BA274">
        <f t="shared" si="113"/>
        <v>0.46</v>
      </c>
      <c r="BB274">
        <f t="shared" si="113"/>
        <v>0.46</v>
      </c>
      <c r="BC274">
        <f t="shared" si="113"/>
        <v>0.46</v>
      </c>
      <c r="BD274">
        <f t="shared" si="113"/>
        <v>0.46</v>
      </c>
      <c r="BE274">
        <f t="shared" si="113"/>
        <v>0.46</v>
      </c>
      <c r="BF274">
        <f t="shared" si="113"/>
        <v>0.46</v>
      </c>
      <c r="BG274">
        <f t="shared" si="113"/>
        <v>0.46</v>
      </c>
      <c r="BH274">
        <f t="shared" si="113"/>
        <v>0.46</v>
      </c>
    </row>
    <row r="275" spans="1:60" hidden="1" outlineLevel="1">
      <c r="B275" t="str">
        <f t="shared" ref="B275:C278" si="114">B448</f>
        <v>Diésel</v>
      </c>
      <c r="C275">
        <f t="shared" si="114"/>
        <v>1.29</v>
      </c>
      <c r="D275">
        <f t="shared" si="113"/>
        <v>1.33</v>
      </c>
      <c r="E275">
        <f t="shared" si="113"/>
        <v>1.37</v>
      </c>
      <c r="F275">
        <f t="shared" si="113"/>
        <v>1.43</v>
      </c>
      <c r="G275">
        <f t="shared" si="113"/>
        <v>1.45</v>
      </c>
      <c r="H275">
        <f t="shared" si="113"/>
        <v>1.48</v>
      </c>
      <c r="I275">
        <f t="shared" si="113"/>
        <v>1.64</v>
      </c>
      <c r="J275">
        <f t="shared" si="113"/>
        <v>1.36</v>
      </c>
      <c r="K275">
        <f t="shared" si="113"/>
        <v>1.27</v>
      </c>
      <c r="L275">
        <f t="shared" si="113"/>
        <v>1.27</v>
      </c>
      <c r="M275">
        <f t="shared" si="113"/>
        <v>1.27</v>
      </c>
      <c r="N275">
        <f t="shared" si="113"/>
        <v>1.27</v>
      </c>
      <c r="O275">
        <f t="shared" si="113"/>
        <v>1.26</v>
      </c>
      <c r="P275">
        <f t="shared" si="113"/>
        <v>1.26</v>
      </c>
      <c r="Q275">
        <f t="shared" si="113"/>
        <v>1.25</v>
      </c>
      <c r="R275">
        <f t="shared" si="113"/>
        <v>1.25</v>
      </c>
      <c r="S275">
        <f t="shared" si="113"/>
        <v>1.25</v>
      </c>
      <c r="T275">
        <f t="shared" si="113"/>
        <v>1.24</v>
      </c>
      <c r="U275">
        <f t="shared" si="113"/>
        <v>1.24</v>
      </c>
      <c r="V275">
        <f t="shared" si="113"/>
        <v>1.24</v>
      </c>
      <c r="W275">
        <f t="shared" si="113"/>
        <v>1.23</v>
      </c>
      <c r="X275">
        <f t="shared" si="113"/>
        <v>1.23</v>
      </c>
      <c r="Y275">
        <f t="shared" si="113"/>
        <v>1.23</v>
      </c>
      <c r="Z275">
        <f t="shared" si="113"/>
        <v>1.22</v>
      </c>
      <c r="AA275">
        <f t="shared" si="113"/>
        <v>1.22</v>
      </c>
      <c r="AB275">
        <f t="shared" si="113"/>
        <v>1.21</v>
      </c>
      <c r="AC275">
        <f t="shared" si="113"/>
        <v>1.21</v>
      </c>
      <c r="AD275">
        <f t="shared" si="113"/>
        <v>1.21</v>
      </c>
      <c r="AE275">
        <f t="shared" si="113"/>
        <v>1.2</v>
      </c>
      <c r="AF275">
        <f t="shared" si="113"/>
        <v>1.2</v>
      </c>
      <c r="AG275">
        <f t="shared" si="113"/>
        <v>1.2</v>
      </c>
      <c r="AH275">
        <f t="shared" si="113"/>
        <v>1.19</v>
      </c>
      <c r="AI275">
        <f t="shared" si="113"/>
        <v>1.19</v>
      </c>
      <c r="AJ275">
        <f t="shared" si="113"/>
        <v>1.19</v>
      </c>
      <c r="AK275">
        <f t="shared" si="113"/>
        <v>1.18</v>
      </c>
      <c r="AL275">
        <f t="shared" si="113"/>
        <v>1.18</v>
      </c>
      <c r="AM275">
        <f t="shared" si="113"/>
        <v>1.17</v>
      </c>
      <c r="AN275">
        <f t="shared" si="113"/>
        <v>1.17</v>
      </c>
      <c r="AO275">
        <f t="shared" si="113"/>
        <v>1.17</v>
      </c>
      <c r="AP275">
        <f t="shared" si="113"/>
        <v>1.17</v>
      </c>
      <c r="AQ275">
        <f t="shared" si="113"/>
        <v>1.17</v>
      </c>
      <c r="AR275">
        <f t="shared" si="113"/>
        <v>1.17</v>
      </c>
      <c r="AS275">
        <f t="shared" si="113"/>
        <v>1.17</v>
      </c>
      <c r="AT275">
        <f t="shared" si="113"/>
        <v>1.17</v>
      </c>
      <c r="AU275">
        <f t="shared" si="113"/>
        <v>1.17</v>
      </c>
      <c r="AV275">
        <f t="shared" si="113"/>
        <v>1.17</v>
      </c>
      <c r="AW275">
        <f t="shared" si="113"/>
        <v>1.17</v>
      </c>
      <c r="AX275">
        <f t="shared" si="113"/>
        <v>1.17</v>
      </c>
      <c r="AY275">
        <f t="shared" si="113"/>
        <v>1.17</v>
      </c>
      <c r="AZ275">
        <f t="shared" si="113"/>
        <v>1.17</v>
      </c>
      <c r="BA275">
        <f t="shared" si="113"/>
        <v>1.17</v>
      </c>
      <c r="BB275">
        <f t="shared" si="113"/>
        <v>1.17</v>
      </c>
      <c r="BC275">
        <f t="shared" si="113"/>
        <v>1.17</v>
      </c>
      <c r="BD275">
        <f t="shared" si="113"/>
        <v>1.17</v>
      </c>
      <c r="BE275">
        <f t="shared" si="113"/>
        <v>1.17</v>
      </c>
      <c r="BF275">
        <f t="shared" si="113"/>
        <v>1.17</v>
      </c>
      <c r="BG275">
        <f t="shared" si="113"/>
        <v>1.17</v>
      </c>
      <c r="BH275">
        <f t="shared" si="113"/>
        <v>1.17</v>
      </c>
    </row>
    <row r="276" spans="1:60" hidden="1" outlineLevel="1">
      <c r="B276" t="str">
        <f t="shared" si="114"/>
        <v>Combustóleo</v>
      </c>
      <c r="C276">
        <f t="shared" si="114"/>
        <v>5.15</v>
      </c>
      <c r="D276">
        <f t="shared" si="113"/>
        <v>1.07</v>
      </c>
      <c r="E276">
        <f t="shared" si="113"/>
        <v>5.25</v>
      </c>
      <c r="F276">
        <f t="shared" si="113"/>
        <v>10.199999999999999</v>
      </c>
      <c r="G276">
        <f t="shared" si="113"/>
        <v>8.7899999999999991</v>
      </c>
      <c r="H276">
        <f t="shared" si="113"/>
        <v>2.64</v>
      </c>
      <c r="I276">
        <f t="shared" si="113"/>
        <v>4.12</v>
      </c>
      <c r="J276">
        <f t="shared" si="113"/>
        <v>4.13</v>
      </c>
      <c r="K276">
        <f t="shared" si="113"/>
        <v>5.0999999999999996</v>
      </c>
      <c r="L276">
        <f t="shared" si="113"/>
        <v>4.93</v>
      </c>
      <c r="M276">
        <f t="shared" si="113"/>
        <v>4.76</v>
      </c>
      <c r="N276">
        <f t="shared" si="113"/>
        <v>4.58</v>
      </c>
      <c r="O276">
        <f t="shared" si="113"/>
        <v>4.41</v>
      </c>
      <c r="P276">
        <f t="shared" si="113"/>
        <v>4.2300000000000004</v>
      </c>
      <c r="Q276">
        <f t="shared" si="113"/>
        <v>4.05</v>
      </c>
      <c r="R276">
        <f t="shared" si="113"/>
        <v>3.88</v>
      </c>
      <c r="S276">
        <f t="shared" si="113"/>
        <v>3.7</v>
      </c>
      <c r="T276">
        <f t="shared" si="113"/>
        <v>3.52</v>
      </c>
      <c r="U276">
        <f t="shared" si="113"/>
        <v>3.35</v>
      </c>
      <c r="V276">
        <f t="shared" si="113"/>
        <v>3.17</v>
      </c>
      <c r="W276">
        <f t="shared" si="113"/>
        <v>3</v>
      </c>
      <c r="X276">
        <f t="shared" si="113"/>
        <v>2.82</v>
      </c>
      <c r="Y276">
        <f t="shared" si="113"/>
        <v>2.64</v>
      </c>
      <c r="Z276">
        <f t="shared" si="113"/>
        <v>2.4700000000000002</v>
      </c>
      <c r="AA276">
        <f t="shared" si="113"/>
        <v>2.29</v>
      </c>
      <c r="AB276">
        <f t="shared" si="113"/>
        <v>2.11</v>
      </c>
      <c r="AC276">
        <f t="shared" si="113"/>
        <v>1.94</v>
      </c>
      <c r="AD276">
        <f t="shared" si="113"/>
        <v>1.76</v>
      </c>
      <c r="AE276">
        <f t="shared" si="113"/>
        <v>1.59</v>
      </c>
      <c r="AF276">
        <f t="shared" si="113"/>
        <v>1.41</v>
      </c>
      <c r="AG276">
        <f t="shared" si="113"/>
        <v>1.23</v>
      </c>
      <c r="AH276">
        <f t="shared" si="113"/>
        <v>1.06</v>
      </c>
      <c r="AI276">
        <f t="shared" si="113"/>
        <v>0.88</v>
      </c>
      <c r="AJ276">
        <f t="shared" si="113"/>
        <v>0.7</v>
      </c>
      <c r="AK276">
        <f t="shared" si="113"/>
        <v>0.53</v>
      </c>
      <c r="AL276">
        <f t="shared" si="113"/>
        <v>0.35</v>
      </c>
      <c r="AM276">
        <f t="shared" si="113"/>
        <v>0.18</v>
      </c>
      <c r="AN276">
        <f t="shared" si="113"/>
        <v>0</v>
      </c>
      <c r="AO276">
        <f t="shared" si="113"/>
        <v>0</v>
      </c>
      <c r="AP276">
        <f t="shared" si="113"/>
        <v>0</v>
      </c>
      <c r="AQ276">
        <f t="shared" si="113"/>
        <v>0</v>
      </c>
      <c r="AR276">
        <f t="shared" si="113"/>
        <v>0</v>
      </c>
      <c r="AS276">
        <f t="shared" si="113"/>
        <v>0</v>
      </c>
      <c r="AT276">
        <f t="shared" si="113"/>
        <v>0</v>
      </c>
      <c r="AU276">
        <f t="shared" si="113"/>
        <v>0</v>
      </c>
      <c r="AV276">
        <f t="shared" si="113"/>
        <v>0</v>
      </c>
      <c r="AW276">
        <f t="shared" si="113"/>
        <v>0</v>
      </c>
      <c r="AX276">
        <f t="shared" si="113"/>
        <v>0</v>
      </c>
      <c r="AY276">
        <f t="shared" si="113"/>
        <v>0</v>
      </c>
      <c r="AZ276">
        <f t="shared" si="113"/>
        <v>0</v>
      </c>
      <c r="BA276">
        <f t="shared" si="113"/>
        <v>0</v>
      </c>
      <c r="BB276">
        <f t="shared" si="113"/>
        <v>0</v>
      </c>
      <c r="BC276">
        <f t="shared" si="113"/>
        <v>0</v>
      </c>
      <c r="BD276">
        <f t="shared" si="113"/>
        <v>0</v>
      </c>
      <c r="BE276">
        <f t="shared" si="113"/>
        <v>0</v>
      </c>
      <c r="BF276">
        <f t="shared" si="113"/>
        <v>0</v>
      </c>
      <c r="BG276">
        <f t="shared" si="113"/>
        <v>0</v>
      </c>
      <c r="BH276">
        <f t="shared" si="113"/>
        <v>0</v>
      </c>
    </row>
    <row r="277" spans="1:60" hidden="1" outlineLevel="1">
      <c r="B277" t="str">
        <f t="shared" si="114"/>
        <v>Gas seco</v>
      </c>
      <c r="C277">
        <f t="shared" si="114"/>
        <v>32.659999999999997</v>
      </c>
      <c r="D277">
        <f t="shared" si="113"/>
        <v>30.97</v>
      </c>
      <c r="E277">
        <f t="shared" si="113"/>
        <v>31.97</v>
      </c>
      <c r="F277">
        <f t="shared" si="113"/>
        <v>35.42</v>
      </c>
      <c r="G277">
        <f t="shared" si="113"/>
        <v>33.950000000000003</v>
      </c>
      <c r="H277">
        <f t="shared" si="113"/>
        <v>35.22</v>
      </c>
      <c r="I277">
        <f t="shared" si="113"/>
        <v>36.43</v>
      </c>
      <c r="J277">
        <f t="shared" si="113"/>
        <v>31.57</v>
      </c>
      <c r="K277">
        <f t="shared" si="113"/>
        <v>38.69</v>
      </c>
      <c r="L277">
        <f t="shared" si="113"/>
        <v>39.29</v>
      </c>
      <c r="M277">
        <f t="shared" si="113"/>
        <v>39.659999999999997</v>
      </c>
      <c r="N277">
        <f t="shared" si="113"/>
        <v>40.03</v>
      </c>
      <c r="O277">
        <f t="shared" si="113"/>
        <v>40.409999999999997</v>
      </c>
      <c r="P277">
        <f t="shared" si="113"/>
        <v>40.78</v>
      </c>
      <c r="Q277">
        <f t="shared" si="113"/>
        <v>41.15</v>
      </c>
      <c r="R277">
        <f t="shared" si="113"/>
        <v>41.52</v>
      </c>
      <c r="S277">
        <f t="shared" si="113"/>
        <v>41.89</v>
      </c>
      <c r="T277">
        <f t="shared" si="113"/>
        <v>42.26</v>
      </c>
      <c r="U277">
        <f t="shared" si="113"/>
        <v>42.64</v>
      </c>
      <c r="V277">
        <f t="shared" si="113"/>
        <v>43.01</v>
      </c>
      <c r="W277">
        <f t="shared" si="113"/>
        <v>43.38</v>
      </c>
      <c r="X277">
        <f t="shared" si="113"/>
        <v>43.55</v>
      </c>
      <c r="Y277">
        <f t="shared" si="113"/>
        <v>43.44</v>
      </c>
      <c r="Z277">
        <f t="shared" si="113"/>
        <v>43.33</v>
      </c>
      <c r="AA277">
        <f t="shared" si="113"/>
        <v>43.22</v>
      </c>
      <c r="AB277">
        <f t="shared" si="113"/>
        <v>43.11</v>
      </c>
      <c r="AC277">
        <f t="shared" si="113"/>
        <v>43</v>
      </c>
      <c r="AD277">
        <f t="shared" si="113"/>
        <v>42.89</v>
      </c>
      <c r="AE277">
        <f t="shared" si="113"/>
        <v>42.78</v>
      </c>
      <c r="AF277">
        <f t="shared" si="113"/>
        <v>42.67</v>
      </c>
      <c r="AG277">
        <f t="shared" si="113"/>
        <v>42.56</v>
      </c>
      <c r="AH277">
        <f t="shared" si="113"/>
        <v>42.45</v>
      </c>
      <c r="AI277">
        <f t="shared" si="113"/>
        <v>42.34</v>
      </c>
      <c r="AJ277">
        <f t="shared" si="113"/>
        <v>42.23</v>
      </c>
      <c r="AK277">
        <f t="shared" si="113"/>
        <v>42.12</v>
      </c>
      <c r="AL277">
        <f t="shared" si="113"/>
        <v>42.01</v>
      </c>
      <c r="AM277">
        <f t="shared" si="113"/>
        <v>41.9</v>
      </c>
      <c r="AN277">
        <f t="shared" si="113"/>
        <v>41.79</v>
      </c>
      <c r="AO277">
        <f t="shared" si="113"/>
        <v>41.79</v>
      </c>
      <c r="AP277">
        <f t="shared" si="113"/>
        <v>41.79</v>
      </c>
      <c r="AQ277">
        <f t="shared" si="113"/>
        <v>41.79</v>
      </c>
      <c r="AR277">
        <f t="shared" si="113"/>
        <v>41.79</v>
      </c>
      <c r="AS277">
        <f t="shared" si="113"/>
        <v>41.79</v>
      </c>
      <c r="AT277">
        <f t="shared" si="113"/>
        <v>41.79</v>
      </c>
      <c r="AU277">
        <f t="shared" si="113"/>
        <v>41.79</v>
      </c>
      <c r="AV277">
        <f t="shared" si="113"/>
        <v>41.79</v>
      </c>
      <c r="AW277">
        <f t="shared" si="113"/>
        <v>41.79</v>
      </c>
      <c r="AX277">
        <f t="shared" si="113"/>
        <v>41.79</v>
      </c>
      <c r="AY277">
        <f t="shared" si="113"/>
        <v>41.79</v>
      </c>
      <c r="AZ277">
        <f t="shared" si="113"/>
        <v>41.79</v>
      </c>
      <c r="BA277">
        <f t="shared" si="113"/>
        <v>41.79</v>
      </c>
      <c r="BB277">
        <f t="shared" si="113"/>
        <v>41.79</v>
      </c>
      <c r="BC277">
        <f t="shared" si="113"/>
        <v>41.79</v>
      </c>
      <c r="BD277">
        <f t="shared" si="113"/>
        <v>41.79</v>
      </c>
      <c r="BE277">
        <f t="shared" si="113"/>
        <v>41.79</v>
      </c>
      <c r="BF277">
        <f t="shared" si="113"/>
        <v>41.79</v>
      </c>
      <c r="BG277">
        <f t="shared" si="113"/>
        <v>41.79</v>
      </c>
      <c r="BH277">
        <f t="shared" si="113"/>
        <v>41.79</v>
      </c>
    </row>
    <row r="278" spans="1:60" hidden="1" outlineLevel="1">
      <c r="B278" t="str">
        <f t="shared" si="114"/>
        <v>Electricidad</v>
      </c>
      <c r="C278">
        <f t="shared" si="114"/>
        <v>10.3</v>
      </c>
      <c r="D278">
        <f t="shared" si="113"/>
        <v>10.96</v>
      </c>
      <c r="E278">
        <f t="shared" si="113"/>
        <v>10.9</v>
      </c>
      <c r="F278">
        <f t="shared" si="113"/>
        <v>11.93</v>
      </c>
      <c r="G278">
        <f t="shared" si="113"/>
        <v>11.58</v>
      </c>
      <c r="H278">
        <f t="shared" si="113"/>
        <v>11.85</v>
      </c>
      <c r="I278">
        <f t="shared" si="113"/>
        <v>12.28</v>
      </c>
      <c r="J278">
        <f t="shared" si="113"/>
        <v>11.6</v>
      </c>
      <c r="K278">
        <f t="shared" si="113"/>
        <v>12.25</v>
      </c>
      <c r="L278">
        <f t="shared" si="113"/>
        <v>16.84</v>
      </c>
      <c r="M278">
        <f t="shared" si="113"/>
        <v>17.82</v>
      </c>
      <c r="N278">
        <f t="shared" si="113"/>
        <v>18.79</v>
      </c>
      <c r="O278">
        <f t="shared" si="113"/>
        <v>19.77</v>
      </c>
      <c r="P278">
        <f t="shared" si="113"/>
        <v>20.74</v>
      </c>
      <c r="Q278">
        <f t="shared" si="113"/>
        <v>21.72</v>
      </c>
      <c r="R278">
        <f t="shared" si="113"/>
        <v>22.69</v>
      </c>
      <c r="S278">
        <f t="shared" si="113"/>
        <v>23.67</v>
      </c>
      <c r="T278">
        <f t="shared" si="113"/>
        <v>24.65</v>
      </c>
      <c r="U278">
        <f t="shared" si="113"/>
        <v>25.62</v>
      </c>
      <c r="V278">
        <f t="shared" si="113"/>
        <v>26.6</v>
      </c>
      <c r="W278">
        <f t="shared" si="113"/>
        <v>27.57</v>
      </c>
      <c r="X278">
        <f t="shared" si="113"/>
        <v>28.76</v>
      </c>
      <c r="Y278">
        <f t="shared" si="113"/>
        <v>30.21</v>
      </c>
      <c r="Z278">
        <f t="shared" si="113"/>
        <v>31.67</v>
      </c>
      <c r="AA278">
        <f t="shared" si="113"/>
        <v>33.130000000000003</v>
      </c>
      <c r="AB278">
        <f t="shared" si="113"/>
        <v>34.58</v>
      </c>
      <c r="AC278">
        <f t="shared" si="113"/>
        <v>36.04</v>
      </c>
      <c r="AD278">
        <f t="shared" si="113"/>
        <v>37.5</v>
      </c>
      <c r="AE278">
        <f t="shared" ref="AE278:CI278" si="115">AE451</f>
        <v>38.96</v>
      </c>
      <c r="AF278">
        <f t="shared" si="115"/>
        <v>40.409999999999997</v>
      </c>
      <c r="AG278">
        <f t="shared" si="115"/>
        <v>41.87</v>
      </c>
      <c r="AH278">
        <f t="shared" si="115"/>
        <v>43.33</v>
      </c>
      <c r="AI278">
        <f t="shared" si="115"/>
        <v>44.79</v>
      </c>
      <c r="AJ278">
        <f t="shared" si="115"/>
        <v>46.24</v>
      </c>
      <c r="AK278">
        <f t="shared" si="115"/>
        <v>47.7</v>
      </c>
      <c r="AL278">
        <f t="shared" si="115"/>
        <v>49.16</v>
      </c>
      <c r="AM278">
        <f t="shared" si="115"/>
        <v>50.62</v>
      </c>
      <c r="AN278">
        <f t="shared" si="115"/>
        <v>52.07</v>
      </c>
      <c r="AO278">
        <f t="shared" si="115"/>
        <v>52.07</v>
      </c>
      <c r="AP278">
        <f t="shared" si="115"/>
        <v>52.07</v>
      </c>
      <c r="AQ278">
        <f t="shared" si="115"/>
        <v>52.07</v>
      </c>
      <c r="AR278">
        <f t="shared" si="115"/>
        <v>52.07</v>
      </c>
      <c r="AS278">
        <f t="shared" si="115"/>
        <v>52.07</v>
      </c>
      <c r="AT278">
        <f t="shared" si="115"/>
        <v>52.07</v>
      </c>
      <c r="AU278">
        <f t="shared" si="115"/>
        <v>52.07</v>
      </c>
      <c r="AV278">
        <f t="shared" si="115"/>
        <v>52.07</v>
      </c>
      <c r="AW278">
        <f t="shared" si="115"/>
        <v>52.07</v>
      </c>
      <c r="AX278">
        <f t="shared" si="115"/>
        <v>52.07</v>
      </c>
      <c r="AY278">
        <f t="shared" si="115"/>
        <v>52.07</v>
      </c>
      <c r="AZ278">
        <f t="shared" si="115"/>
        <v>52.07</v>
      </c>
      <c r="BA278">
        <f t="shared" si="115"/>
        <v>52.07</v>
      </c>
      <c r="BB278">
        <f t="shared" si="115"/>
        <v>52.07</v>
      </c>
      <c r="BC278">
        <f t="shared" si="115"/>
        <v>52.07</v>
      </c>
      <c r="BD278">
        <f t="shared" si="115"/>
        <v>52.07</v>
      </c>
      <c r="BE278">
        <f t="shared" si="115"/>
        <v>52.07</v>
      </c>
      <c r="BF278">
        <f t="shared" si="115"/>
        <v>52.07</v>
      </c>
      <c r="BG278">
        <f t="shared" si="115"/>
        <v>52.07</v>
      </c>
      <c r="BH278">
        <f t="shared" si="115"/>
        <v>52.07</v>
      </c>
    </row>
    <row r="279" spans="1:60" s="68" customFormat="1" collapsed="1">
      <c r="A279" s="68" t="s">
        <v>134</v>
      </c>
      <c r="C279" s="68">
        <f>C280</f>
        <v>300.23000000000019</v>
      </c>
      <c r="D279" s="68">
        <f t="shared" ref="D279:BH279" si="116">D280</f>
        <v>290.97000000000008</v>
      </c>
      <c r="E279" s="68">
        <f t="shared" si="116"/>
        <v>108.44999999999992</v>
      </c>
      <c r="F279" s="68">
        <f t="shared" si="116"/>
        <v>82.419999999999789</v>
      </c>
      <c r="G279" s="68">
        <f t="shared" si="116"/>
        <v>121.4599999999997</v>
      </c>
      <c r="H279" s="68">
        <f t="shared" si="116"/>
        <v>20.420000000000492</v>
      </c>
      <c r="I279" s="68">
        <f t="shared" si="116"/>
        <v>51.269999999999925</v>
      </c>
      <c r="J279" s="68">
        <f t="shared" si="116"/>
        <v>40.210000000000051</v>
      </c>
      <c r="K279" s="68">
        <f t="shared" si="116"/>
        <v>140.12999999999997</v>
      </c>
      <c r="L279" s="68">
        <f t="shared" si="116"/>
        <v>123.50962321845951</v>
      </c>
      <c r="M279" s="68">
        <f t="shared" si="116"/>
        <v>124.63656112525949</v>
      </c>
      <c r="N279" s="68">
        <f t="shared" si="116"/>
        <v>128.32654061101601</v>
      </c>
      <c r="O279" s="68">
        <f t="shared" si="116"/>
        <v>131.47111615253533</v>
      </c>
      <c r="P279" s="68">
        <f t="shared" si="116"/>
        <v>137.93290117086309</v>
      </c>
      <c r="Q279" s="68">
        <f t="shared" si="116"/>
        <v>147.91693119172234</v>
      </c>
      <c r="R279" s="68">
        <f t="shared" si="116"/>
        <v>152.22258603913707</v>
      </c>
      <c r="S279" s="68">
        <f t="shared" si="116"/>
        <v>152.5355520907035</v>
      </c>
      <c r="T279" s="68">
        <f t="shared" si="116"/>
        <v>152.53111469100486</v>
      </c>
      <c r="U279" s="68">
        <f t="shared" si="116"/>
        <v>152.16906978141526</v>
      </c>
      <c r="V279" s="68">
        <f t="shared" si="116"/>
        <v>151.41721693973136</v>
      </c>
      <c r="W279" s="68">
        <f t="shared" si="116"/>
        <v>150.31564829446557</v>
      </c>
      <c r="X279" s="68">
        <f t="shared" si="116"/>
        <v>148.4717767272756</v>
      </c>
      <c r="Y279" s="68">
        <f t="shared" si="116"/>
        <v>145.88838142440761</v>
      </c>
      <c r="Z279" s="68">
        <f t="shared" si="116"/>
        <v>142.56848488986509</v>
      </c>
      <c r="AA279" s="68">
        <f t="shared" si="116"/>
        <v>138.49755336764969</v>
      </c>
      <c r="AB279" s="68">
        <f t="shared" si="116"/>
        <v>134.43779765116204</v>
      </c>
      <c r="AC279" s="68">
        <f t="shared" si="116"/>
        <v>130.37199692665064</v>
      </c>
      <c r="AD279" s="68">
        <f t="shared" si="116"/>
        <v>126.29595288436539</v>
      </c>
      <c r="AE279" s="68">
        <f t="shared" si="116"/>
        <v>122.22655089179919</v>
      </c>
      <c r="AF279" s="68">
        <f t="shared" si="116"/>
        <v>118.16539432945356</v>
      </c>
      <c r="AG279" s="68">
        <f t="shared" si="116"/>
        <v>114.10785731281577</v>
      </c>
      <c r="AH279" s="68">
        <f t="shared" si="116"/>
        <v>110.0170544743917</v>
      </c>
      <c r="AI279" s="68">
        <f t="shared" si="116"/>
        <v>105.96138243368158</v>
      </c>
      <c r="AJ279" s="68">
        <f t="shared" si="116"/>
        <v>101.90791081517719</v>
      </c>
      <c r="AK279" s="68">
        <f t="shared" si="116"/>
        <v>97.818058742371008</v>
      </c>
      <c r="AL279" s="68">
        <f t="shared" si="116"/>
        <v>93.751918343765993</v>
      </c>
      <c r="AM279" s="68">
        <f t="shared" si="116"/>
        <v>89.6748637348513</v>
      </c>
      <c r="AN279" s="68">
        <f t="shared" si="116"/>
        <v>85.607212084240786</v>
      </c>
      <c r="AO279" s="68">
        <f t="shared" si="116"/>
        <v>85.607212084240786</v>
      </c>
      <c r="AP279" s="68">
        <f t="shared" si="116"/>
        <v>85.607212084240786</v>
      </c>
      <c r="AQ279" s="68">
        <f t="shared" si="116"/>
        <v>85.607212084240786</v>
      </c>
      <c r="AR279" s="68">
        <f t="shared" si="116"/>
        <v>85.607212084240786</v>
      </c>
      <c r="AS279" s="68">
        <f t="shared" si="116"/>
        <v>85.607212084240786</v>
      </c>
      <c r="AT279" s="68">
        <f t="shared" si="116"/>
        <v>85.607212084240786</v>
      </c>
      <c r="AU279" s="68">
        <f t="shared" si="116"/>
        <v>85.607212084240786</v>
      </c>
      <c r="AV279" s="68">
        <f t="shared" si="116"/>
        <v>85.607212084240786</v>
      </c>
      <c r="AW279" s="68">
        <f t="shared" si="116"/>
        <v>85.607212084240786</v>
      </c>
      <c r="AX279" s="68">
        <f t="shared" si="116"/>
        <v>85.607212084240786</v>
      </c>
      <c r="AY279" s="68">
        <f t="shared" si="116"/>
        <v>85.607212084240786</v>
      </c>
      <c r="AZ279" s="68">
        <f t="shared" si="116"/>
        <v>85.607212084240786</v>
      </c>
      <c r="BA279" s="68">
        <f t="shared" si="116"/>
        <v>85.607212084240786</v>
      </c>
      <c r="BB279" s="68">
        <f t="shared" si="116"/>
        <v>85.607212084240786</v>
      </c>
      <c r="BC279" s="68">
        <f t="shared" si="116"/>
        <v>85.607212084240786</v>
      </c>
      <c r="BD279" s="68">
        <f t="shared" si="116"/>
        <v>85.607212084240786</v>
      </c>
      <c r="BE279" s="68">
        <f t="shared" si="116"/>
        <v>85.607212084240786</v>
      </c>
      <c r="BF279" s="68">
        <f t="shared" si="116"/>
        <v>85.607212084240786</v>
      </c>
      <c r="BG279" s="68">
        <f t="shared" si="116"/>
        <v>85.607212084240786</v>
      </c>
      <c r="BH279" s="68">
        <f t="shared" si="116"/>
        <v>85.607212084240786</v>
      </c>
    </row>
    <row r="280" spans="1:60" hidden="1" outlineLevel="1">
      <c r="C280">
        <f>-C642</f>
        <v>300.23000000000019</v>
      </c>
      <c r="D280">
        <f t="shared" ref="D280:BH280" si="117">-D642</f>
        <v>290.97000000000008</v>
      </c>
      <c r="E280">
        <f t="shared" si="117"/>
        <v>108.44999999999992</v>
      </c>
      <c r="F280">
        <f t="shared" si="117"/>
        <v>82.419999999999789</v>
      </c>
      <c r="G280">
        <f t="shared" si="117"/>
        <v>121.4599999999997</v>
      </c>
      <c r="H280">
        <f t="shared" si="117"/>
        <v>20.420000000000492</v>
      </c>
      <c r="I280">
        <f t="shared" si="117"/>
        <v>51.269999999999925</v>
      </c>
      <c r="J280">
        <f t="shared" si="117"/>
        <v>40.210000000000051</v>
      </c>
      <c r="K280">
        <f t="shared" si="117"/>
        <v>140.12999999999997</v>
      </c>
      <c r="L280">
        <f t="shared" si="117"/>
        <v>123.50962321845951</v>
      </c>
      <c r="M280">
        <f t="shared" si="117"/>
        <v>124.63656112525949</v>
      </c>
      <c r="N280">
        <f t="shared" si="117"/>
        <v>128.32654061101601</v>
      </c>
      <c r="O280">
        <f t="shared" si="117"/>
        <v>131.47111615253533</v>
      </c>
      <c r="P280">
        <f t="shared" si="117"/>
        <v>137.93290117086309</v>
      </c>
      <c r="Q280">
        <f t="shared" si="117"/>
        <v>147.91693119172234</v>
      </c>
      <c r="R280">
        <f t="shared" si="117"/>
        <v>152.22258603913707</v>
      </c>
      <c r="S280">
        <f t="shared" si="117"/>
        <v>152.5355520907035</v>
      </c>
      <c r="T280">
        <f t="shared" si="117"/>
        <v>152.53111469100486</v>
      </c>
      <c r="U280">
        <f t="shared" si="117"/>
        <v>152.16906978141526</v>
      </c>
      <c r="V280">
        <f t="shared" si="117"/>
        <v>151.41721693973136</v>
      </c>
      <c r="W280">
        <f t="shared" si="117"/>
        <v>150.31564829446557</v>
      </c>
      <c r="X280">
        <f t="shared" si="117"/>
        <v>148.4717767272756</v>
      </c>
      <c r="Y280">
        <f t="shared" si="117"/>
        <v>145.88838142440761</v>
      </c>
      <c r="Z280">
        <f t="shared" si="117"/>
        <v>142.56848488986509</v>
      </c>
      <c r="AA280">
        <f t="shared" si="117"/>
        <v>138.49755336764969</v>
      </c>
      <c r="AB280">
        <f t="shared" si="117"/>
        <v>134.43779765116204</v>
      </c>
      <c r="AC280">
        <f t="shared" si="117"/>
        <v>130.37199692665064</v>
      </c>
      <c r="AD280">
        <f t="shared" si="117"/>
        <v>126.29595288436539</v>
      </c>
      <c r="AE280">
        <f t="shared" si="117"/>
        <v>122.22655089179919</v>
      </c>
      <c r="AF280">
        <f t="shared" si="117"/>
        <v>118.16539432945356</v>
      </c>
      <c r="AG280">
        <f t="shared" si="117"/>
        <v>114.10785731281577</v>
      </c>
      <c r="AH280">
        <f t="shared" si="117"/>
        <v>110.0170544743917</v>
      </c>
      <c r="AI280">
        <f t="shared" si="117"/>
        <v>105.96138243368158</v>
      </c>
      <c r="AJ280">
        <f t="shared" si="117"/>
        <v>101.90791081517719</v>
      </c>
      <c r="AK280">
        <f t="shared" si="117"/>
        <v>97.818058742371008</v>
      </c>
      <c r="AL280">
        <f t="shared" si="117"/>
        <v>93.751918343765993</v>
      </c>
      <c r="AM280">
        <f t="shared" si="117"/>
        <v>89.6748637348513</v>
      </c>
      <c r="AN280">
        <f t="shared" si="117"/>
        <v>85.607212084240786</v>
      </c>
      <c r="AO280">
        <f t="shared" si="117"/>
        <v>85.607212084240786</v>
      </c>
      <c r="AP280">
        <f t="shared" si="117"/>
        <v>85.607212084240786</v>
      </c>
      <c r="AQ280">
        <f t="shared" si="117"/>
        <v>85.607212084240786</v>
      </c>
      <c r="AR280">
        <f t="shared" si="117"/>
        <v>85.607212084240786</v>
      </c>
      <c r="AS280">
        <f t="shared" si="117"/>
        <v>85.607212084240786</v>
      </c>
      <c r="AT280">
        <f t="shared" si="117"/>
        <v>85.607212084240786</v>
      </c>
      <c r="AU280">
        <f t="shared" si="117"/>
        <v>85.607212084240786</v>
      </c>
      <c r="AV280">
        <f t="shared" si="117"/>
        <v>85.607212084240786</v>
      </c>
      <c r="AW280">
        <f t="shared" si="117"/>
        <v>85.607212084240786</v>
      </c>
      <c r="AX280">
        <f t="shared" si="117"/>
        <v>85.607212084240786</v>
      </c>
      <c r="AY280">
        <f t="shared" si="117"/>
        <v>85.607212084240786</v>
      </c>
      <c r="AZ280">
        <f t="shared" si="117"/>
        <v>85.607212084240786</v>
      </c>
      <c r="BA280">
        <f t="shared" si="117"/>
        <v>85.607212084240786</v>
      </c>
      <c r="BB280">
        <f t="shared" si="117"/>
        <v>85.607212084240786</v>
      </c>
      <c r="BC280">
        <f t="shared" si="117"/>
        <v>85.607212084240786</v>
      </c>
      <c r="BD280">
        <f t="shared" si="117"/>
        <v>85.607212084240786</v>
      </c>
      <c r="BE280">
        <f t="shared" si="117"/>
        <v>85.607212084240786</v>
      </c>
      <c r="BF280">
        <f t="shared" si="117"/>
        <v>85.607212084240786</v>
      </c>
      <c r="BG280">
        <f t="shared" si="117"/>
        <v>85.607212084240786</v>
      </c>
      <c r="BH280">
        <f t="shared" si="117"/>
        <v>85.607212084240786</v>
      </c>
    </row>
    <row r="281" spans="1:60" s="68" customFormat="1" collapsed="1">
      <c r="A281" s="68" t="s">
        <v>135</v>
      </c>
      <c r="C281" s="68">
        <f>SUM(C282:C287)</f>
        <v>93.730000000000018</v>
      </c>
      <c r="D281" s="68">
        <f t="shared" ref="D281:BH281" si="118">SUM(D282:D287)</f>
        <v>103.01</v>
      </c>
      <c r="E281" s="68">
        <f t="shared" si="118"/>
        <v>96.75</v>
      </c>
      <c r="F281" s="68">
        <f t="shared" si="118"/>
        <v>104.68</v>
      </c>
      <c r="G281" s="68">
        <f t="shared" si="118"/>
        <v>109.50999999999999</v>
      </c>
      <c r="H281" s="68">
        <f t="shared" si="118"/>
        <v>112.69999999999999</v>
      </c>
      <c r="I281" s="68">
        <f t="shared" si="118"/>
        <v>108.91</v>
      </c>
      <c r="J281" s="68">
        <f t="shared" si="118"/>
        <v>103.05</v>
      </c>
      <c r="K281" s="68">
        <f t="shared" si="118"/>
        <v>126.61</v>
      </c>
      <c r="L281" s="68">
        <f t="shared" si="118"/>
        <v>124.58</v>
      </c>
      <c r="M281" s="68">
        <f t="shared" si="118"/>
        <v>127.47</v>
      </c>
      <c r="N281" s="68">
        <f t="shared" si="118"/>
        <v>130.35999999999999</v>
      </c>
      <c r="O281" s="68">
        <f t="shared" si="118"/>
        <v>133.24</v>
      </c>
      <c r="P281" s="68">
        <f t="shared" si="118"/>
        <v>136.13999999999999</v>
      </c>
      <c r="Q281" s="68">
        <f t="shared" si="118"/>
        <v>139.03</v>
      </c>
      <c r="R281" s="68">
        <f t="shared" si="118"/>
        <v>141.91</v>
      </c>
      <c r="S281" s="68">
        <f t="shared" si="118"/>
        <v>144.82</v>
      </c>
      <c r="T281" s="68">
        <f t="shared" si="118"/>
        <v>147.69999999999999</v>
      </c>
      <c r="U281" s="68">
        <f t="shared" si="118"/>
        <v>150.57999999999998</v>
      </c>
      <c r="V281" s="68">
        <f t="shared" si="118"/>
        <v>153.49</v>
      </c>
      <c r="W281" s="68">
        <f t="shared" si="118"/>
        <v>156.37</v>
      </c>
      <c r="X281" s="68">
        <f t="shared" si="118"/>
        <v>159.25</v>
      </c>
      <c r="Y281" s="68">
        <f t="shared" si="118"/>
        <v>162.16</v>
      </c>
      <c r="Z281" s="68">
        <f t="shared" si="118"/>
        <v>165.05</v>
      </c>
      <c r="AA281" s="68">
        <f t="shared" si="118"/>
        <v>167.92000000000002</v>
      </c>
      <c r="AB281" s="68">
        <f t="shared" si="118"/>
        <v>170.82</v>
      </c>
      <c r="AC281" s="68">
        <f t="shared" si="118"/>
        <v>173.72</v>
      </c>
      <c r="AD281" s="68">
        <f t="shared" si="118"/>
        <v>176.58999999999997</v>
      </c>
      <c r="AE281" s="68">
        <f t="shared" si="118"/>
        <v>179.48</v>
      </c>
      <c r="AF281" s="68">
        <f t="shared" si="118"/>
        <v>182.39000000000001</v>
      </c>
      <c r="AG281" s="68">
        <f t="shared" si="118"/>
        <v>185.26999999999998</v>
      </c>
      <c r="AH281" s="68">
        <f t="shared" si="118"/>
        <v>188.14999999999998</v>
      </c>
      <c r="AI281" s="68">
        <f t="shared" si="118"/>
        <v>191.05</v>
      </c>
      <c r="AJ281" s="68">
        <f t="shared" si="118"/>
        <v>193.94</v>
      </c>
      <c r="AK281" s="68">
        <f t="shared" si="118"/>
        <v>196.82</v>
      </c>
      <c r="AL281" s="68">
        <f t="shared" si="118"/>
        <v>199.73000000000002</v>
      </c>
      <c r="AM281" s="68">
        <f t="shared" si="118"/>
        <v>202.62</v>
      </c>
      <c r="AN281" s="68">
        <f t="shared" si="118"/>
        <v>205.5</v>
      </c>
      <c r="AO281" s="68">
        <f t="shared" si="118"/>
        <v>205.5</v>
      </c>
      <c r="AP281" s="68">
        <f t="shared" si="118"/>
        <v>205.5</v>
      </c>
      <c r="AQ281" s="68">
        <f t="shared" si="118"/>
        <v>205.5</v>
      </c>
      <c r="AR281" s="68">
        <f t="shared" si="118"/>
        <v>205.5</v>
      </c>
      <c r="AS281" s="68">
        <f t="shared" si="118"/>
        <v>205.5</v>
      </c>
      <c r="AT281" s="68">
        <f t="shared" si="118"/>
        <v>205.5</v>
      </c>
      <c r="AU281" s="68">
        <f t="shared" si="118"/>
        <v>205.5</v>
      </c>
      <c r="AV281" s="68">
        <f t="shared" si="118"/>
        <v>205.5</v>
      </c>
      <c r="AW281" s="68">
        <f t="shared" si="118"/>
        <v>205.5</v>
      </c>
      <c r="AX281" s="68">
        <f t="shared" si="118"/>
        <v>205.5</v>
      </c>
      <c r="AY281" s="68">
        <f t="shared" si="118"/>
        <v>205.5</v>
      </c>
      <c r="AZ281" s="68">
        <f t="shared" si="118"/>
        <v>205.5</v>
      </c>
      <c r="BA281" s="68">
        <f t="shared" si="118"/>
        <v>205.5</v>
      </c>
      <c r="BB281" s="68">
        <f t="shared" si="118"/>
        <v>205.5</v>
      </c>
      <c r="BC281" s="68">
        <f t="shared" si="118"/>
        <v>205.5</v>
      </c>
      <c r="BD281" s="68">
        <f t="shared" si="118"/>
        <v>205.5</v>
      </c>
      <c r="BE281" s="68">
        <f t="shared" si="118"/>
        <v>205.5</v>
      </c>
      <c r="BF281" s="68">
        <f t="shared" si="118"/>
        <v>205.5</v>
      </c>
      <c r="BG281" s="68">
        <f t="shared" si="118"/>
        <v>205.5</v>
      </c>
      <c r="BH281" s="68">
        <f t="shared" si="118"/>
        <v>205.5</v>
      </c>
    </row>
    <row r="282" spans="1:60" hidden="1" outlineLevel="1">
      <c r="B282" t="str">
        <f>B464</f>
        <v>Coque de petróleo</v>
      </c>
      <c r="C282">
        <f>C464</f>
        <v>1.91</v>
      </c>
      <c r="D282">
        <f t="shared" ref="D282:BH286" si="119">D464</f>
        <v>0.57999999999999996</v>
      </c>
      <c r="E282">
        <f t="shared" si="119"/>
        <v>1.94</v>
      </c>
      <c r="F282">
        <f t="shared" si="119"/>
        <v>6.81</v>
      </c>
      <c r="G282">
        <f t="shared" si="119"/>
        <v>5.36</v>
      </c>
      <c r="H282">
        <f t="shared" si="119"/>
        <v>6.26</v>
      </c>
      <c r="I282">
        <f t="shared" si="119"/>
        <v>7.89</v>
      </c>
      <c r="J282">
        <f t="shared" si="119"/>
        <v>5.67</v>
      </c>
      <c r="K282">
        <f t="shared" si="119"/>
        <v>5.69</v>
      </c>
      <c r="L282">
        <f t="shared" si="119"/>
        <v>5.75</v>
      </c>
      <c r="M282">
        <f t="shared" si="119"/>
        <v>5.88</v>
      </c>
      <c r="N282">
        <f t="shared" si="119"/>
        <v>6</v>
      </c>
      <c r="O282">
        <f t="shared" si="119"/>
        <v>6.12</v>
      </c>
      <c r="P282">
        <f t="shared" si="119"/>
        <v>6.25</v>
      </c>
      <c r="Q282">
        <f t="shared" si="119"/>
        <v>6.37</v>
      </c>
      <c r="R282">
        <f t="shared" si="119"/>
        <v>6.49</v>
      </c>
      <c r="S282">
        <f t="shared" si="119"/>
        <v>6.62</v>
      </c>
      <c r="T282">
        <f t="shared" si="119"/>
        <v>6.74</v>
      </c>
      <c r="U282">
        <f t="shared" si="119"/>
        <v>6.86</v>
      </c>
      <c r="V282">
        <f t="shared" si="119"/>
        <v>6.99</v>
      </c>
      <c r="W282">
        <f t="shared" si="119"/>
        <v>7.11</v>
      </c>
      <c r="X282">
        <f t="shared" si="119"/>
        <v>7.23</v>
      </c>
      <c r="Y282">
        <f t="shared" si="119"/>
        <v>7.36</v>
      </c>
      <c r="Z282">
        <f t="shared" si="119"/>
        <v>7.48</v>
      </c>
      <c r="AA282">
        <f t="shared" si="119"/>
        <v>7.6</v>
      </c>
      <c r="AB282">
        <f t="shared" si="119"/>
        <v>7.72</v>
      </c>
      <c r="AC282">
        <f t="shared" si="119"/>
        <v>7.85</v>
      </c>
      <c r="AD282">
        <f t="shared" si="119"/>
        <v>7.97</v>
      </c>
      <c r="AE282">
        <f t="shared" si="119"/>
        <v>8.09</v>
      </c>
      <c r="AF282">
        <f t="shared" si="119"/>
        <v>8.2200000000000006</v>
      </c>
      <c r="AG282">
        <f t="shared" si="119"/>
        <v>8.34</v>
      </c>
      <c r="AH282">
        <f t="shared" si="119"/>
        <v>8.4600000000000009</v>
      </c>
      <c r="AI282">
        <f t="shared" si="119"/>
        <v>8.59</v>
      </c>
      <c r="AJ282">
        <f t="shared" si="119"/>
        <v>8.7100000000000009</v>
      </c>
      <c r="AK282">
        <f t="shared" si="119"/>
        <v>8.83</v>
      </c>
      <c r="AL282">
        <f t="shared" si="119"/>
        <v>8.9600000000000009</v>
      </c>
      <c r="AM282">
        <f t="shared" si="119"/>
        <v>9.08</v>
      </c>
      <c r="AN282">
        <f t="shared" si="119"/>
        <v>9.1999999999999993</v>
      </c>
      <c r="AO282">
        <f t="shared" si="119"/>
        <v>9.1999999999999993</v>
      </c>
      <c r="AP282">
        <f t="shared" si="119"/>
        <v>9.1999999999999993</v>
      </c>
      <c r="AQ282">
        <f t="shared" si="119"/>
        <v>9.1999999999999993</v>
      </c>
      <c r="AR282">
        <f t="shared" si="119"/>
        <v>9.1999999999999993</v>
      </c>
      <c r="AS282">
        <f t="shared" si="119"/>
        <v>9.1999999999999993</v>
      </c>
      <c r="AT282">
        <f t="shared" si="119"/>
        <v>9.1999999999999993</v>
      </c>
      <c r="AU282">
        <f t="shared" si="119"/>
        <v>9.1999999999999993</v>
      </c>
      <c r="AV282">
        <f t="shared" si="119"/>
        <v>9.1999999999999993</v>
      </c>
      <c r="AW282">
        <f t="shared" si="119"/>
        <v>9.1999999999999993</v>
      </c>
      <c r="AX282">
        <f t="shared" si="119"/>
        <v>9.1999999999999993</v>
      </c>
      <c r="AY282">
        <f t="shared" si="119"/>
        <v>9.1999999999999993</v>
      </c>
      <c r="AZ282">
        <f t="shared" si="119"/>
        <v>9.1999999999999993</v>
      </c>
      <c r="BA282">
        <f t="shared" si="119"/>
        <v>9.1999999999999993</v>
      </c>
      <c r="BB282">
        <f t="shared" si="119"/>
        <v>9.1999999999999993</v>
      </c>
      <c r="BC282">
        <f t="shared" si="119"/>
        <v>9.1999999999999993</v>
      </c>
      <c r="BD282">
        <f t="shared" si="119"/>
        <v>9.1999999999999993</v>
      </c>
      <c r="BE282">
        <f t="shared" si="119"/>
        <v>9.1999999999999993</v>
      </c>
      <c r="BF282">
        <f t="shared" si="119"/>
        <v>9.1999999999999993</v>
      </c>
      <c r="BG282">
        <f t="shared" si="119"/>
        <v>9.1999999999999993</v>
      </c>
      <c r="BH282">
        <f t="shared" si="119"/>
        <v>9.1999999999999993</v>
      </c>
    </row>
    <row r="283" spans="1:60" hidden="1" outlineLevel="1">
      <c r="B283" t="str">
        <f t="shared" ref="B283:Q287" si="120">B465</f>
        <v>GLP</v>
      </c>
      <c r="C283">
        <f t="shared" si="120"/>
        <v>0.84</v>
      </c>
      <c r="D283">
        <f t="shared" si="119"/>
        <v>0.84</v>
      </c>
      <c r="E283">
        <f t="shared" si="119"/>
        <v>0.82</v>
      </c>
      <c r="F283">
        <f t="shared" si="119"/>
        <v>0.78</v>
      </c>
      <c r="G283">
        <f t="shared" si="119"/>
        <v>0.77</v>
      </c>
      <c r="H283">
        <f t="shared" si="119"/>
        <v>0.75</v>
      </c>
      <c r="I283">
        <f t="shared" si="119"/>
        <v>0.72</v>
      </c>
      <c r="J283">
        <f t="shared" si="119"/>
        <v>0.68</v>
      </c>
      <c r="K283">
        <f t="shared" si="119"/>
        <v>0.56000000000000005</v>
      </c>
      <c r="L283">
        <f t="shared" si="119"/>
        <v>0.59</v>
      </c>
      <c r="M283">
        <f t="shared" si="119"/>
        <v>0.6</v>
      </c>
      <c r="N283">
        <f t="shared" si="119"/>
        <v>0.6</v>
      </c>
      <c r="O283">
        <f t="shared" si="119"/>
        <v>0.6</v>
      </c>
      <c r="P283">
        <f t="shared" si="119"/>
        <v>0.61</v>
      </c>
      <c r="Q283">
        <f t="shared" si="119"/>
        <v>0.61</v>
      </c>
      <c r="R283">
        <f t="shared" si="119"/>
        <v>0.61</v>
      </c>
      <c r="S283">
        <f t="shared" si="119"/>
        <v>0.62</v>
      </c>
      <c r="T283">
        <f t="shared" si="119"/>
        <v>0.62</v>
      </c>
      <c r="U283">
        <f t="shared" si="119"/>
        <v>0.62</v>
      </c>
      <c r="V283">
        <f t="shared" si="119"/>
        <v>0.63</v>
      </c>
      <c r="W283">
        <f t="shared" si="119"/>
        <v>0.63</v>
      </c>
      <c r="X283">
        <f t="shared" si="119"/>
        <v>0.63</v>
      </c>
      <c r="Y283">
        <f t="shared" si="119"/>
        <v>0.64</v>
      </c>
      <c r="Z283">
        <f t="shared" si="119"/>
        <v>0.64</v>
      </c>
      <c r="AA283">
        <f t="shared" si="119"/>
        <v>0.64</v>
      </c>
      <c r="AB283">
        <f t="shared" si="119"/>
        <v>0.65</v>
      </c>
      <c r="AC283">
        <f t="shared" si="119"/>
        <v>0.65</v>
      </c>
      <c r="AD283">
        <f t="shared" si="119"/>
        <v>0.65</v>
      </c>
      <c r="AE283">
        <f t="shared" si="119"/>
        <v>0.65</v>
      </c>
      <c r="AF283">
        <f t="shared" si="119"/>
        <v>0.66</v>
      </c>
      <c r="AG283">
        <f t="shared" si="119"/>
        <v>0.66</v>
      </c>
      <c r="AH283">
        <f t="shared" si="119"/>
        <v>0.66</v>
      </c>
      <c r="AI283">
        <f t="shared" si="119"/>
        <v>0.67</v>
      </c>
      <c r="AJ283">
        <f t="shared" si="119"/>
        <v>0.67</v>
      </c>
      <c r="AK283">
        <f t="shared" si="119"/>
        <v>0.67</v>
      </c>
      <c r="AL283">
        <f t="shared" si="119"/>
        <v>0.68</v>
      </c>
      <c r="AM283">
        <f t="shared" si="119"/>
        <v>0.68</v>
      </c>
      <c r="AN283">
        <f t="shared" si="119"/>
        <v>0.68</v>
      </c>
      <c r="AO283">
        <f t="shared" si="119"/>
        <v>0.68</v>
      </c>
      <c r="AP283">
        <f t="shared" si="119"/>
        <v>0.68</v>
      </c>
      <c r="AQ283">
        <f t="shared" si="119"/>
        <v>0.68</v>
      </c>
      <c r="AR283">
        <f t="shared" si="119"/>
        <v>0.68</v>
      </c>
      <c r="AS283">
        <f t="shared" si="119"/>
        <v>0.68</v>
      </c>
      <c r="AT283">
        <f t="shared" si="119"/>
        <v>0.68</v>
      </c>
      <c r="AU283">
        <f t="shared" si="119"/>
        <v>0.68</v>
      </c>
      <c r="AV283">
        <f t="shared" si="119"/>
        <v>0.68</v>
      </c>
      <c r="AW283">
        <f t="shared" si="119"/>
        <v>0.68</v>
      </c>
      <c r="AX283">
        <f t="shared" si="119"/>
        <v>0.68</v>
      </c>
      <c r="AY283">
        <f t="shared" si="119"/>
        <v>0.68</v>
      </c>
      <c r="AZ283">
        <f t="shared" si="119"/>
        <v>0.68</v>
      </c>
      <c r="BA283">
        <f t="shared" si="119"/>
        <v>0.68</v>
      </c>
      <c r="BB283">
        <f t="shared" si="119"/>
        <v>0.68</v>
      </c>
      <c r="BC283">
        <f t="shared" si="119"/>
        <v>0.68</v>
      </c>
      <c r="BD283">
        <f t="shared" si="119"/>
        <v>0.68</v>
      </c>
      <c r="BE283">
        <f t="shared" si="119"/>
        <v>0.68</v>
      </c>
      <c r="BF283">
        <f t="shared" si="119"/>
        <v>0.68</v>
      </c>
      <c r="BG283">
        <f t="shared" si="119"/>
        <v>0.68</v>
      </c>
      <c r="BH283">
        <f t="shared" si="119"/>
        <v>0.68</v>
      </c>
    </row>
    <row r="284" spans="1:60" hidden="1" outlineLevel="1">
      <c r="B284" t="str">
        <f t="shared" si="120"/>
        <v>Diésel</v>
      </c>
      <c r="C284">
        <f t="shared" si="120"/>
        <v>4.2</v>
      </c>
      <c r="D284">
        <f t="shared" si="119"/>
        <v>4.18</v>
      </c>
      <c r="E284">
        <f t="shared" si="119"/>
        <v>4.09</v>
      </c>
      <c r="F284">
        <f t="shared" si="119"/>
        <v>3.91</v>
      </c>
      <c r="G284">
        <f t="shared" si="119"/>
        <v>3.86</v>
      </c>
      <c r="H284">
        <f t="shared" si="119"/>
        <v>3.73</v>
      </c>
      <c r="I284">
        <f t="shared" si="119"/>
        <v>3.67</v>
      </c>
      <c r="J284">
        <f t="shared" si="119"/>
        <v>3.01</v>
      </c>
      <c r="K284">
        <f t="shared" si="119"/>
        <v>2.97</v>
      </c>
      <c r="L284">
        <f t="shared" si="119"/>
        <v>2.98</v>
      </c>
      <c r="M284">
        <f t="shared" si="119"/>
        <v>2.97</v>
      </c>
      <c r="N284">
        <f t="shared" si="119"/>
        <v>2.96</v>
      </c>
      <c r="O284">
        <f t="shared" si="119"/>
        <v>2.95</v>
      </c>
      <c r="P284">
        <f t="shared" si="119"/>
        <v>2.94</v>
      </c>
      <c r="Q284">
        <f t="shared" si="119"/>
        <v>2.93</v>
      </c>
      <c r="R284">
        <f t="shared" si="119"/>
        <v>2.93</v>
      </c>
      <c r="S284">
        <f t="shared" si="119"/>
        <v>2.92</v>
      </c>
      <c r="T284">
        <f t="shared" si="119"/>
        <v>2.91</v>
      </c>
      <c r="U284">
        <f t="shared" si="119"/>
        <v>2.9</v>
      </c>
      <c r="V284">
        <f t="shared" si="119"/>
        <v>2.89</v>
      </c>
      <c r="W284">
        <f t="shared" si="119"/>
        <v>2.88</v>
      </c>
      <c r="X284">
        <f t="shared" si="119"/>
        <v>2.87</v>
      </c>
      <c r="Y284">
        <f t="shared" si="119"/>
        <v>2.87</v>
      </c>
      <c r="Z284">
        <f t="shared" si="119"/>
        <v>2.86</v>
      </c>
      <c r="AA284">
        <f t="shared" si="119"/>
        <v>2.85</v>
      </c>
      <c r="AB284">
        <f t="shared" si="119"/>
        <v>2.84</v>
      </c>
      <c r="AC284">
        <f t="shared" si="119"/>
        <v>2.83</v>
      </c>
      <c r="AD284">
        <f t="shared" si="119"/>
        <v>2.82</v>
      </c>
      <c r="AE284">
        <f t="shared" si="119"/>
        <v>2.81</v>
      </c>
      <c r="AF284">
        <f t="shared" si="119"/>
        <v>2.81</v>
      </c>
      <c r="AG284">
        <f t="shared" si="119"/>
        <v>2.8</v>
      </c>
      <c r="AH284">
        <f t="shared" si="119"/>
        <v>2.79</v>
      </c>
      <c r="AI284">
        <f t="shared" si="119"/>
        <v>2.78</v>
      </c>
      <c r="AJ284">
        <f t="shared" si="119"/>
        <v>2.77</v>
      </c>
      <c r="AK284">
        <f t="shared" si="119"/>
        <v>2.76</v>
      </c>
      <c r="AL284">
        <f t="shared" si="119"/>
        <v>2.76</v>
      </c>
      <c r="AM284">
        <f t="shared" si="119"/>
        <v>2.75</v>
      </c>
      <c r="AN284">
        <f t="shared" si="119"/>
        <v>2.74</v>
      </c>
      <c r="AO284">
        <f t="shared" si="119"/>
        <v>2.74</v>
      </c>
      <c r="AP284">
        <f t="shared" si="119"/>
        <v>2.74</v>
      </c>
      <c r="AQ284">
        <f t="shared" si="119"/>
        <v>2.74</v>
      </c>
      <c r="AR284">
        <f t="shared" si="119"/>
        <v>2.74</v>
      </c>
      <c r="AS284">
        <f t="shared" si="119"/>
        <v>2.74</v>
      </c>
      <c r="AT284">
        <f t="shared" si="119"/>
        <v>2.74</v>
      </c>
      <c r="AU284">
        <f t="shared" si="119"/>
        <v>2.74</v>
      </c>
      <c r="AV284">
        <f t="shared" si="119"/>
        <v>2.74</v>
      </c>
      <c r="AW284">
        <f t="shared" si="119"/>
        <v>2.74</v>
      </c>
      <c r="AX284">
        <f t="shared" si="119"/>
        <v>2.74</v>
      </c>
      <c r="AY284">
        <f t="shared" si="119"/>
        <v>2.74</v>
      </c>
      <c r="AZ284">
        <f t="shared" si="119"/>
        <v>2.74</v>
      </c>
      <c r="BA284">
        <f t="shared" si="119"/>
        <v>2.74</v>
      </c>
      <c r="BB284">
        <f t="shared" si="119"/>
        <v>2.74</v>
      </c>
      <c r="BC284">
        <f t="shared" si="119"/>
        <v>2.74</v>
      </c>
      <c r="BD284">
        <f t="shared" si="119"/>
        <v>2.74</v>
      </c>
      <c r="BE284">
        <f t="shared" si="119"/>
        <v>2.74</v>
      </c>
      <c r="BF284">
        <f t="shared" si="119"/>
        <v>2.74</v>
      </c>
      <c r="BG284">
        <f t="shared" si="119"/>
        <v>2.74</v>
      </c>
      <c r="BH284">
        <f t="shared" si="119"/>
        <v>2.74</v>
      </c>
    </row>
    <row r="285" spans="1:60" hidden="1" outlineLevel="1">
      <c r="B285" t="str">
        <f t="shared" si="120"/>
        <v>Combustóleo</v>
      </c>
      <c r="C285">
        <f t="shared" si="120"/>
        <v>3.37</v>
      </c>
      <c r="D285">
        <f t="shared" si="119"/>
        <v>1.87</v>
      </c>
      <c r="E285">
        <f t="shared" si="119"/>
        <v>1.84</v>
      </c>
      <c r="F285">
        <f t="shared" si="119"/>
        <v>2.42</v>
      </c>
      <c r="G285">
        <f t="shared" si="119"/>
        <v>2.34</v>
      </c>
      <c r="H285">
        <f t="shared" si="119"/>
        <v>0.7</v>
      </c>
      <c r="I285">
        <f t="shared" si="119"/>
        <v>1.1000000000000001</v>
      </c>
      <c r="J285">
        <f t="shared" si="119"/>
        <v>1.1000000000000001</v>
      </c>
      <c r="K285">
        <f t="shared" si="119"/>
        <v>1.36</v>
      </c>
      <c r="L285">
        <f t="shared" si="119"/>
        <v>1.32</v>
      </c>
      <c r="M285">
        <f t="shared" si="119"/>
        <v>1.27</v>
      </c>
      <c r="N285">
        <f t="shared" si="119"/>
        <v>1.22</v>
      </c>
      <c r="O285">
        <f t="shared" si="119"/>
        <v>1.17</v>
      </c>
      <c r="P285">
        <f t="shared" si="119"/>
        <v>1.1299999999999999</v>
      </c>
      <c r="Q285">
        <f t="shared" si="119"/>
        <v>1.08</v>
      </c>
      <c r="R285">
        <f t="shared" si="119"/>
        <v>1.03</v>
      </c>
      <c r="S285">
        <f t="shared" si="119"/>
        <v>0.99</v>
      </c>
      <c r="T285">
        <f t="shared" si="119"/>
        <v>0.94</v>
      </c>
      <c r="U285">
        <f t="shared" si="119"/>
        <v>0.89</v>
      </c>
      <c r="V285">
        <f t="shared" si="119"/>
        <v>0.85</v>
      </c>
      <c r="W285">
        <f t="shared" si="119"/>
        <v>0.8</v>
      </c>
      <c r="X285">
        <f t="shared" si="119"/>
        <v>0.75</v>
      </c>
      <c r="Y285">
        <f t="shared" si="119"/>
        <v>0.7</v>
      </c>
      <c r="Z285">
        <f t="shared" si="119"/>
        <v>0.66</v>
      </c>
      <c r="AA285">
        <f t="shared" si="119"/>
        <v>0.61</v>
      </c>
      <c r="AB285">
        <f t="shared" si="119"/>
        <v>0.56000000000000005</v>
      </c>
      <c r="AC285">
        <f t="shared" si="119"/>
        <v>0.52</v>
      </c>
      <c r="AD285">
        <f t="shared" si="119"/>
        <v>0.47</v>
      </c>
      <c r="AE285">
        <f t="shared" si="119"/>
        <v>0.42</v>
      </c>
      <c r="AF285">
        <f t="shared" si="119"/>
        <v>0.38</v>
      </c>
      <c r="AG285">
        <f t="shared" si="119"/>
        <v>0.33</v>
      </c>
      <c r="AH285">
        <f t="shared" si="119"/>
        <v>0.28000000000000003</v>
      </c>
      <c r="AI285">
        <f t="shared" si="119"/>
        <v>0.23</v>
      </c>
      <c r="AJ285">
        <f t="shared" si="119"/>
        <v>0.19</v>
      </c>
      <c r="AK285">
        <f t="shared" si="119"/>
        <v>0.14000000000000001</v>
      </c>
      <c r="AL285">
        <f t="shared" si="119"/>
        <v>0.09</v>
      </c>
      <c r="AM285">
        <f t="shared" si="119"/>
        <v>0.05</v>
      </c>
      <c r="AN285">
        <f t="shared" si="119"/>
        <v>0</v>
      </c>
      <c r="AO285">
        <f t="shared" si="119"/>
        <v>0</v>
      </c>
      <c r="AP285">
        <f t="shared" si="119"/>
        <v>0</v>
      </c>
      <c r="AQ285">
        <f t="shared" si="119"/>
        <v>0</v>
      </c>
      <c r="AR285">
        <f t="shared" si="119"/>
        <v>0</v>
      </c>
      <c r="AS285">
        <f t="shared" si="119"/>
        <v>0</v>
      </c>
      <c r="AT285">
        <f t="shared" si="119"/>
        <v>0</v>
      </c>
      <c r="AU285">
        <f t="shared" si="119"/>
        <v>0</v>
      </c>
      <c r="AV285">
        <f t="shared" si="119"/>
        <v>0</v>
      </c>
      <c r="AW285">
        <f t="shared" si="119"/>
        <v>0</v>
      </c>
      <c r="AX285">
        <f t="shared" si="119"/>
        <v>0</v>
      </c>
      <c r="AY285">
        <f t="shared" si="119"/>
        <v>0</v>
      </c>
      <c r="AZ285">
        <f t="shared" si="119"/>
        <v>0</v>
      </c>
      <c r="BA285">
        <f t="shared" si="119"/>
        <v>0</v>
      </c>
      <c r="BB285">
        <f t="shared" si="119"/>
        <v>0</v>
      </c>
      <c r="BC285">
        <f t="shared" si="119"/>
        <v>0</v>
      </c>
      <c r="BD285">
        <f t="shared" si="119"/>
        <v>0</v>
      </c>
      <c r="BE285">
        <f t="shared" si="119"/>
        <v>0</v>
      </c>
      <c r="BF285">
        <f t="shared" si="119"/>
        <v>0</v>
      </c>
      <c r="BG285">
        <f t="shared" si="119"/>
        <v>0</v>
      </c>
      <c r="BH285">
        <f t="shared" si="119"/>
        <v>0</v>
      </c>
    </row>
    <row r="286" spans="1:60" hidden="1" outlineLevel="1">
      <c r="B286" t="str">
        <f t="shared" si="120"/>
        <v>Gas seco</v>
      </c>
      <c r="C286">
        <f t="shared" si="120"/>
        <v>66.290000000000006</v>
      </c>
      <c r="D286">
        <f t="shared" si="119"/>
        <v>78.48</v>
      </c>
      <c r="E286">
        <f t="shared" si="119"/>
        <v>71.38</v>
      </c>
      <c r="F286">
        <f t="shared" si="119"/>
        <v>73.900000000000006</v>
      </c>
      <c r="G286">
        <f t="shared" si="119"/>
        <v>81.38</v>
      </c>
      <c r="H286">
        <f t="shared" si="119"/>
        <v>85.74</v>
      </c>
      <c r="I286">
        <f t="shared" si="119"/>
        <v>80.739999999999995</v>
      </c>
      <c r="J286">
        <f t="shared" si="119"/>
        <v>78.64</v>
      </c>
      <c r="K286">
        <f t="shared" si="119"/>
        <v>101.28</v>
      </c>
      <c r="L286">
        <f t="shared" si="119"/>
        <v>102.85</v>
      </c>
      <c r="M286">
        <f t="shared" si="119"/>
        <v>103.82</v>
      </c>
      <c r="N286">
        <f t="shared" si="119"/>
        <v>104.8</v>
      </c>
      <c r="O286">
        <f t="shared" si="119"/>
        <v>105.77</v>
      </c>
      <c r="P286">
        <f t="shared" si="119"/>
        <v>106.74</v>
      </c>
      <c r="Q286">
        <f t="shared" si="119"/>
        <v>107.72</v>
      </c>
      <c r="R286">
        <f t="shared" si="119"/>
        <v>108.69</v>
      </c>
      <c r="S286">
        <f t="shared" si="119"/>
        <v>109.66</v>
      </c>
      <c r="T286">
        <f t="shared" si="119"/>
        <v>110.64</v>
      </c>
      <c r="U286">
        <f t="shared" si="119"/>
        <v>111.61</v>
      </c>
      <c r="V286">
        <f t="shared" si="119"/>
        <v>112.58</v>
      </c>
      <c r="W286">
        <f t="shared" si="119"/>
        <v>113.56</v>
      </c>
      <c r="X286">
        <f t="shared" si="119"/>
        <v>113.99</v>
      </c>
      <c r="Y286">
        <f t="shared" si="119"/>
        <v>113.71</v>
      </c>
      <c r="Z286">
        <f t="shared" si="119"/>
        <v>113.42</v>
      </c>
      <c r="AA286">
        <f t="shared" si="119"/>
        <v>113.13</v>
      </c>
      <c r="AB286">
        <f t="shared" si="119"/>
        <v>112.85</v>
      </c>
      <c r="AC286">
        <f t="shared" si="119"/>
        <v>112.56</v>
      </c>
      <c r="AD286">
        <f t="shared" si="119"/>
        <v>112.27</v>
      </c>
      <c r="AE286">
        <f t="shared" ref="AE286:BJ286" si="121">AE468</f>
        <v>111.99</v>
      </c>
      <c r="AF286">
        <f t="shared" si="121"/>
        <v>111.7</v>
      </c>
      <c r="AG286">
        <f t="shared" si="121"/>
        <v>111.41</v>
      </c>
      <c r="AH286">
        <f t="shared" si="121"/>
        <v>111.13</v>
      </c>
      <c r="AI286">
        <f t="shared" si="121"/>
        <v>110.84</v>
      </c>
      <c r="AJ286">
        <f t="shared" si="121"/>
        <v>110.55</v>
      </c>
      <c r="AK286">
        <f t="shared" si="121"/>
        <v>110.27</v>
      </c>
      <c r="AL286">
        <f t="shared" si="121"/>
        <v>109.98</v>
      </c>
      <c r="AM286">
        <f t="shared" si="121"/>
        <v>109.69</v>
      </c>
      <c r="AN286">
        <f t="shared" si="121"/>
        <v>109.4</v>
      </c>
      <c r="AO286">
        <f t="shared" si="121"/>
        <v>109.4</v>
      </c>
      <c r="AP286">
        <f t="shared" si="121"/>
        <v>109.4</v>
      </c>
      <c r="AQ286">
        <f t="shared" si="121"/>
        <v>109.4</v>
      </c>
      <c r="AR286">
        <f t="shared" si="121"/>
        <v>109.4</v>
      </c>
      <c r="AS286">
        <f t="shared" si="121"/>
        <v>109.4</v>
      </c>
      <c r="AT286">
        <f t="shared" si="121"/>
        <v>109.4</v>
      </c>
      <c r="AU286">
        <f t="shared" si="121"/>
        <v>109.4</v>
      </c>
      <c r="AV286">
        <f t="shared" si="121"/>
        <v>109.4</v>
      </c>
      <c r="AW286">
        <f t="shared" si="121"/>
        <v>109.4</v>
      </c>
      <c r="AX286">
        <f t="shared" si="121"/>
        <v>109.4</v>
      </c>
      <c r="AY286">
        <f t="shared" si="121"/>
        <v>109.4</v>
      </c>
      <c r="AZ286">
        <f t="shared" si="121"/>
        <v>109.4</v>
      </c>
      <c r="BA286">
        <f t="shared" si="121"/>
        <v>109.4</v>
      </c>
      <c r="BB286">
        <f t="shared" si="121"/>
        <v>109.4</v>
      </c>
      <c r="BC286">
        <f t="shared" si="121"/>
        <v>109.4</v>
      </c>
      <c r="BD286">
        <f t="shared" si="121"/>
        <v>109.4</v>
      </c>
      <c r="BE286">
        <f t="shared" si="121"/>
        <v>109.4</v>
      </c>
      <c r="BF286">
        <f t="shared" si="121"/>
        <v>109.4</v>
      </c>
      <c r="BG286">
        <f t="shared" si="121"/>
        <v>109.4</v>
      </c>
      <c r="BH286">
        <f t="shared" si="121"/>
        <v>109.4</v>
      </c>
    </row>
    <row r="287" spans="1:60" hidden="1" outlineLevel="1">
      <c r="B287" t="str">
        <f t="shared" si="120"/>
        <v>Electricidad</v>
      </c>
      <c r="C287">
        <f t="shared" si="120"/>
        <v>17.12</v>
      </c>
      <c r="D287">
        <f t="shared" si="120"/>
        <v>17.059999999999999</v>
      </c>
      <c r="E287">
        <f t="shared" si="120"/>
        <v>16.68</v>
      </c>
      <c r="F287">
        <f t="shared" si="120"/>
        <v>16.86</v>
      </c>
      <c r="G287">
        <f t="shared" si="120"/>
        <v>15.8</v>
      </c>
      <c r="H287">
        <f t="shared" si="120"/>
        <v>15.52</v>
      </c>
      <c r="I287">
        <f t="shared" si="120"/>
        <v>14.79</v>
      </c>
      <c r="J287">
        <f t="shared" si="120"/>
        <v>13.95</v>
      </c>
      <c r="K287">
        <f t="shared" si="120"/>
        <v>14.75</v>
      </c>
      <c r="L287">
        <f t="shared" si="120"/>
        <v>11.09</v>
      </c>
      <c r="M287">
        <f t="shared" si="120"/>
        <v>12.93</v>
      </c>
      <c r="N287">
        <f t="shared" si="120"/>
        <v>14.78</v>
      </c>
      <c r="O287">
        <f t="shared" si="120"/>
        <v>16.63</v>
      </c>
      <c r="P287">
        <f t="shared" si="120"/>
        <v>18.47</v>
      </c>
      <c r="Q287">
        <f t="shared" si="120"/>
        <v>20.32</v>
      </c>
      <c r="R287">
        <f t="shared" ref="R287:BH287" si="122">R469</f>
        <v>22.16</v>
      </c>
      <c r="S287">
        <f t="shared" si="122"/>
        <v>24.01</v>
      </c>
      <c r="T287">
        <f t="shared" si="122"/>
        <v>25.85</v>
      </c>
      <c r="U287">
        <f t="shared" si="122"/>
        <v>27.7</v>
      </c>
      <c r="V287">
        <f t="shared" si="122"/>
        <v>29.55</v>
      </c>
      <c r="W287">
        <f t="shared" si="122"/>
        <v>31.39</v>
      </c>
      <c r="X287">
        <f t="shared" si="122"/>
        <v>33.78</v>
      </c>
      <c r="Y287">
        <f t="shared" si="122"/>
        <v>36.880000000000003</v>
      </c>
      <c r="Z287">
        <f t="shared" si="122"/>
        <v>39.99</v>
      </c>
      <c r="AA287">
        <f t="shared" si="122"/>
        <v>43.09</v>
      </c>
      <c r="AB287">
        <f t="shared" si="122"/>
        <v>46.2</v>
      </c>
      <c r="AC287">
        <f t="shared" si="122"/>
        <v>49.31</v>
      </c>
      <c r="AD287">
        <f t="shared" si="122"/>
        <v>52.41</v>
      </c>
      <c r="AE287">
        <f t="shared" si="122"/>
        <v>55.52</v>
      </c>
      <c r="AF287">
        <f t="shared" si="122"/>
        <v>58.62</v>
      </c>
      <c r="AG287">
        <f t="shared" si="122"/>
        <v>61.73</v>
      </c>
      <c r="AH287">
        <f t="shared" si="122"/>
        <v>64.83</v>
      </c>
      <c r="AI287">
        <f t="shared" si="122"/>
        <v>67.94</v>
      </c>
      <c r="AJ287">
        <f t="shared" si="122"/>
        <v>71.05</v>
      </c>
      <c r="AK287">
        <f t="shared" si="122"/>
        <v>74.150000000000006</v>
      </c>
      <c r="AL287">
        <f t="shared" si="122"/>
        <v>77.260000000000005</v>
      </c>
      <c r="AM287">
        <f t="shared" si="122"/>
        <v>80.37</v>
      </c>
      <c r="AN287">
        <f t="shared" si="122"/>
        <v>83.48</v>
      </c>
      <c r="AO287">
        <f t="shared" si="122"/>
        <v>83.48</v>
      </c>
      <c r="AP287">
        <f t="shared" si="122"/>
        <v>83.48</v>
      </c>
      <c r="AQ287">
        <f t="shared" si="122"/>
        <v>83.48</v>
      </c>
      <c r="AR287">
        <f t="shared" si="122"/>
        <v>83.48</v>
      </c>
      <c r="AS287">
        <f t="shared" si="122"/>
        <v>83.48</v>
      </c>
      <c r="AT287">
        <f t="shared" si="122"/>
        <v>83.48</v>
      </c>
      <c r="AU287">
        <f t="shared" si="122"/>
        <v>83.48</v>
      </c>
      <c r="AV287">
        <f t="shared" si="122"/>
        <v>83.48</v>
      </c>
      <c r="AW287">
        <f t="shared" si="122"/>
        <v>83.48</v>
      </c>
      <c r="AX287">
        <f t="shared" si="122"/>
        <v>83.48</v>
      </c>
      <c r="AY287">
        <f t="shared" si="122"/>
        <v>83.48</v>
      </c>
      <c r="AZ287">
        <f t="shared" si="122"/>
        <v>83.48</v>
      </c>
      <c r="BA287">
        <f t="shared" si="122"/>
        <v>83.48</v>
      </c>
      <c r="BB287">
        <f t="shared" si="122"/>
        <v>83.48</v>
      </c>
      <c r="BC287">
        <f t="shared" si="122"/>
        <v>83.48</v>
      </c>
      <c r="BD287">
        <f t="shared" si="122"/>
        <v>83.48</v>
      </c>
      <c r="BE287">
        <f t="shared" si="122"/>
        <v>83.48</v>
      </c>
      <c r="BF287">
        <f t="shared" si="122"/>
        <v>83.48</v>
      </c>
      <c r="BG287">
        <f t="shared" si="122"/>
        <v>83.48</v>
      </c>
      <c r="BH287">
        <f t="shared" si="122"/>
        <v>83.48</v>
      </c>
    </row>
    <row r="288" spans="1:60" s="68" customFormat="1" collapsed="1">
      <c r="A288" s="68" t="s">
        <v>136</v>
      </c>
      <c r="C288" s="68">
        <f>SUM(C289:C293)</f>
        <v>9.58</v>
      </c>
      <c r="D288" s="68">
        <f t="shared" ref="D288:BH288" si="123">SUM(D289:D293)</f>
        <v>10.02</v>
      </c>
      <c r="E288" s="68">
        <f t="shared" si="123"/>
        <v>10.73</v>
      </c>
      <c r="F288" s="68">
        <f t="shared" si="123"/>
        <v>11.239999999999998</v>
      </c>
      <c r="G288" s="68">
        <f t="shared" si="123"/>
        <v>10.43</v>
      </c>
      <c r="H288" s="68">
        <f t="shared" si="123"/>
        <v>9.91</v>
      </c>
      <c r="I288" s="68">
        <f t="shared" si="123"/>
        <v>9.58</v>
      </c>
      <c r="J288" s="68">
        <f t="shared" si="123"/>
        <v>9.64</v>
      </c>
      <c r="K288" s="68">
        <f t="shared" si="123"/>
        <v>12.35</v>
      </c>
      <c r="L288" s="68">
        <f t="shared" si="123"/>
        <v>12.51</v>
      </c>
      <c r="M288" s="68">
        <f t="shared" si="123"/>
        <v>12.709999999999999</v>
      </c>
      <c r="N288" s="68">
        <f t="shared" si="123"/>
        <v>12.9</v>
      </c>
      <c r="O288" s="68">
        <f t="shared" si="123"/>
        <v>13.09</v>
      </c>
      <c r="P288" s="68">
        <f t="shared" si="123"/>
        <v>13.29</v>
      </c>
      <c r="Q288" s="68">
        <f t="shared" si="123"/>
        <v>13.48</v>
      </c>
      <c r="R288" s="68">
        <f t="shared" si="123"/>
        <v>13.69</v>
      </c>
      <c r="S288" s="68">
        <f t="shared" si="123"/>
        <v>13.879999999999999</v>
      </c>
      <c r="T288" s="68">
        <f t="shared" si="123"/>
        <v>14.07</v>
      </c>
      <c r="U288" s="68">
        <f t="shared" si="123"/>
        <v>14.27</v>
      </c>
      <c r="V288" s="68">
        <f t="shared" si="123"/>
        <v>14.46</v>
      </c>
      <c r="W288" s="68">
        <f t="shared" si="123"/>
        <v>14.66</v>
      </c>
      <c r="X288" s="68">
        <f t="shared" si="123"/>
        <v>14.86</v>
      </c>
      <c r="Y288" s="68">
        <f t="shared" si="123"/>
        <v>15.06</v>
      </c>
      <c r="Z288" s="68">
        <f t="shared" si="123"/>
        <v>15.26</v>
      </c>
      <c r="AA288" s="68">
        <f t="shared" si="123"/>
        <v>15.45</v>
      </c>
      <c r="AB288" s="68">
        <f t="shared" si="123"/>
        <v>15.65</v>
      </c>
      <c r="AC288" s="68">
        <f t="shared" si="123"/>
        <v>15.84</v>
      </c>
      <c r="AD288" s="68">
        <f t="shared" si="123"/>
        <v>16.05</v>
      </c>
      <c r="AE288" s="68">
        <f t="shared" si="123"/>
        <v>16.240000000000002</v>
      </c>
      <c r="AF288" s="68">
        <f t="shared" si="123"/>
        <v>16.43</v>
      </c>
      <c r="AG288" s="68">
        <f t="shared" si="123"/>
        <v>16.63</v>
      </c>
      <c r="AH288" s="68">
        <f t="shared" si="123"/>
        <v>16.82</v>
      </c>
      <c r="AI288" s="68">
        <f t="shared" si="123"/>
        <v>17.02</v>
      </c>
      <c r="AJ288" s="68">
        <f t="shared" si="123"/>
        <v>17.22</v>
      </c>
      <c r="AK288" s="68">
        <f t="shared" si="123"/>
        <v>17.409999999999997</v>
      </c>
      <c r="AL288" s="68">
        <f t="shared" si="123"/>
        <v>17.61</v>
      </c>
      <c r="AM288" s="68">
        <f t="shared" si="123"/>
        <v>17.8</v>
      </c>
      <c r="AN288" s="68">
        <f t="shared" si="123"/>
        <v>18</v>
      </c>
      <c r="AO288" s="68">
        <f t="shared" si="123"/>
        <v>18</v>
      </c>
      <c r="AP288" s="68">
        <f t="shared" si="123"/>
        <v>18</v>
      </c>
      <c r="AQ288" s="68">
        <f t="shared" si="123"/>
        <v>18</v>
      </c>
      <c r="AR288" s="68">
        <f t="shared" si="123"/>
        <v>18</v>
      </c>
      <c r="AS288" s="68">
        <f t="shared" si="123"/>
        <v>18</v>
      </c>
      <c r="AT288" s="68">
        <f t="shared" si="123"/>
        <v>18</v>
      </c>
      <c r="AU288" s="68">
        <f t="shared" si="123"/>
        <v>18</v>
      </c>
      <c r="AV288" s="68">
        <f t="shared" si="123"/>
        <v>18</v>
      </c>
      <c r="AW288" s="68">
        <f t="shared" si="123"/>
        <v>18</v>
      </c>
      <c r="AX288" s="68">
        <f t="shared" si="123"/>
        <v>18</v>
      </c>
      <c r="AY288" s="68">
        <f t="shared" si="123"/>
        <v>18</v>
      </c>
      <c r="AZ288" s="68">
        <f t="shared" si="123"/>
        <v>18</v>
      </c>
      <c r="BA288" s="68">
        <f t="shared" si="123"/>
        <v>18</v>
      </c>
      <c r="BB288" s="68">
        <f t="shared" si="123"/>
        <v>18</v>
      </c>
      <c r="BC288" s="68">
        <f t="shared" si="123"/>
        <v>18</v>
      </c>
      <c r="BD288" s="68">
        <f t="shared" si="123"/>
        <v>18</v>
      </c>
      <c r="BE288" s="68">
        <f t="shared" si="123"/>
        <v>18</v>
      </c>
      <c r="BF288" s="68">
        <f t="shared" si="123"/>
        <v>18</v>
      </c>
      <c r="BG288" s="68">
        <f t="shared" si="123"/>
        <v>18</v>
      </c>
      <c r="BH288" s="68">
        <f t="shared" si="123"/>
        <v>18</v>
      </c>
    </row>
    <row r="289" spans="1:60" hidden="1" outlineLevel="1">
      <c r="B289" t="str">
        <f>B477</f>
        <v>GLP</v>
      </c>
      <c r="C289">
        <f>C477</f>
        <v>0.02</v>
      </c>
      <c r="D289">
        <f t="shared" ref="D289:AY293" si="124">D477</f>
        <v>0.02</v>
      </c>
      <c r="E289">
        <f t="shared" si="124"/>
        <v>0.02</v>
      </c>
      <c r="F289">
        <f t="shared" si="124"/>
        <v>0.02</v>
      </c>
      <c r="G289">
        <f t="shared" si="124"/>
        <v>0.02</v>
      </c>
      <c r="H289">
        <f t="shared" si="124"/>
        <v>0.02</v>
      </c>
      <c r="I289">
        <f t="shared" si="124"/>
        <v>0.02</v>
      </c>
      <c r="J289">
        <f t="shared" si="124"/>
        <v>0.03</v>
      </c>
      <c r="K289">
        <f t="shared" si="124"/>
        <v>0.02</v>
      </c>
      <c r="L289">
        <f t="shared" si="124"/>
        <v>0.02</v>
      </c>
      <c r="M289">
        <f t="shared" si="124"/>
        <v>0.02</v>
      </c>
      <c r="N289">
        <f t="shared" si="124"/>
        <v>0.02</v>
      </c>
      <c r="O289">
        <f t="shared" si="124"/>
        <v>0.02</v>
      </c>
      <c r="P289">
        <f t="shared" si="124"/>
        <v>0.02</v>
      </c>
      <c r="Q289">
        <f t="shared" si="124"/>
        <v>0.02</v>
      </c>
      <c r="R289">
        <f t="shared" si="124"/>
        <v>0.02</v>
      </c>
      <c r="S289">
        <f t="shared" si="124"/>
        <v>0.02</v>
      </c>
      <c r="T289">
        <f t="shared" si="124"/>
        <v>0.02</v>
      </c>
      <c r="U289">
        <f t="shared" si="124"/>
        <v>0.02</v>
      </c>
      <c r="V289">
        <f t="shared" si="124"/>
        <v>0.02</v>
      </c>
      <c r="W289">
        <f t="shared" si="124"/>
        <v>0.02</v>
      </c>
      <c r="X289">
        <f t="shared" si="124"/>
        <v>0.02</v>
      </c>
      <c r="Y289">
        <f t="shared" si="124"/>
        <v>0.03</v>
      </c>
      <c r="Z289">
        <f t="shared" si="124"/>
        <v>0.03</v>
      </c>
      <c r="AA289">
        <f t="shared" si="124"/>
        <v>0.03</v>
      </c>
      <c r="AB289">
        <f t="shared" si="124"/>
        <v>0.03</v>
      </c>
      <c r="AC289">
        <f t="shared" si="124"/>
        <v>0.03</v>
      </c>
      <c r="AD289">
        <f t="shared" si="124"/>
        <v>0.03</v>
      </c>
      <c r="AE289">
        <f t="shared" si="124"/>
        <v>0.03</v>
      </c>
      <c r="AF289">
        <f t="shared" si="124"/>
        <v>0.03</v>
      </c>
      <c r="AG289">
        <f t="shared" si="124"/>
        <v>0.03</v>
      </c>
      <c r="AH289">
        <f t="shared" si="124"/>
        <v>0.03</v>
      </c>
      <c r="AI289">
        <f t="shared" si="124"/>
        <v>0.03</v>
      </c>
      <c r="AJ289">
        <f t="shared" si="124"/>
        <v>0.03</v>
      </c>
      <c r="AK289">
        <f t="shared" si="124"/>
        <v>0.03</v>
      </c>
      <c r="AL289">
        <f t="shared" si="124"/>
        <v>0.03</v>
      </c>
      <c r="AM289">
        <f t="shared" si="124"/>
        <v>0.03</v>
      </c>
      <c r="AN289">
        <f t="shared" si="124"/>
        <v>0.03</v>
      </c>
      <c r="AO289">
        <f t="shared" si="124"/>
        <v>0.03</v>
      </c>
      <c r="AP289">
        <f t="shared" si="124"/>
        <v>0.03</v>
      </c>
      <c r="AQ289">
        <f t="shared" si="124"/>
        <v>0.03</v>
      </c>
      <c r="AR289">
        <f t="shared" si="124"/>
        <v>0.03</v>
      </c>
      <c r="AS289">
        <f t="shared" si="124"/>
        <v>0.03</v>
      </c>
      <c r="AT289">
        <f t="shared" si="124"/>
        <v>0.03</v>
      </c>
      <c r="AU289">
        <f t="shared" si="124"/>
        <v>0.03</v>
      </c>
      <c r="AV289">
        <f t="shared" si="124"/>
        <v>0.03</v>
      </c>
      <c r="AW289">
        <f t="shared" si="124"/>
        <v>0.03</v>
      </c>
      <c r="AX289">
        <f t="shared" si="124"/>
        <v>0.03</v>
      </c>
      <c r="AY289">
        <f t="shared" si="124"/>
        <v>0.03</v>
      </c>
      <c r="AZ289">
        <f>AZ477</f>
        <v>0.03</v>
      </c>
      <c r="BA289">
        <f>BA477</f>
        <v>0.03</v>
      </c>
      <c r="BB289">
        <f t="shared" ref="BB289:BH293" si="125">BB477</f>
        <v>0.03</v>
      </c>
      <c r="BC289">
        <f t="shared" si="125"/>
        <v>0.03</v>
      </c>
      <c r="BD289">
        <f t="shared" si="125"/>
        <v>0.03</v>
      </c>
      <c r="BE289">
        <f t="shared" si="125"/>
        <v>0.03</v>
      </c>
      <c r="BF289">
        <f t="shared" si="125"/>
        <v>0.03</v>
      </c>
      <c r="BG289">
        <f t="shared" si="125"/>
        <v>0.03</v>
      </c>
      <c r="BH289">
        <f t="shared" si="125"/>
        <v>0.03</v>
      </c>
    </row>
    <row r="290" spans="1:60" hidden="1" outlineLevel="1">
      <c r="B290" t="str">
        <f t="shared" ref="B290:C293" si="126">B478</f>
        <v>Diésel</v>
      </c>
      <c r="C290">
        <f t="shared" si="126"/>
        <v>1.94</v>
      </c>
      <c r="D290">
        <f t="shared" si="124"/>
        <v>2.04</v>
      </c>
      <c r="E290">
        <f t="shared" si="124"/>
        <v>2.15</v>
      </c>
      <c r="F290">
        <f t="shared" si="124"/>
        <v>2.19</v>
      </c>
      <c r="G290">
        <f t="shared" si="124"/>
        <v>2.08</v>
      </c>
      <c r="H290">
        <f t="shared" si="124"/>
        <v>2.1</v>
      </c>
      <c r="I290">
        <f t="shared" si="124"/>
        <v>2.31</v>
      </c>
      <c r="J290">
        <f t="shared" si="124"/>
        <v>2.0099999999999998</v>
      </c>
      <c r="K290">
        <f t="shared" si="124"/>
        <v>1.75</v>
      </c>
      <c r="L290">
        <f t="shared" si="124"/>
        <v>1.78</v>
      </c>
      <c r="M290">
        <f t="shared" si="124"/>
        <v>1.81</v>
      </c>
      <c r="N290">
        <f t="shared" si="124"/>
        <v>1.84</v>
      </c>
      <c r="O290">
        <f t="shared" si="124"/>
        <v>1.87</v>
      </c>
      <c r="P290">
        <f t="shared" si="124"/>
        <v>1.9</v>
      </c>
      <c r="Q290">
        <f t="shared" si="124"/>
        <v>1.93</v>
      </c>
      <c r="R290">
        <f t="shared" si="124"/>
        <v>1.97</v>
      </c>
      <c r="S290">
        <f t="shared" si="124"/>
        <v>2</v>
      </c>
      <c r="T290">
        <f t="shared" si="124"/>
        <v>2.0299999999999998</v>
      </c>
      <c r="U290">
        <f t="shared" si="124"/>
        <v>2.06</v>
      </c>
      <c r="V290">
        <f t="shared" si="124"/>
        <v>2.09</v>
      </c>
      <c r="W290">
        <f t="shared" si="124"/>
        <v>2.12</v>
      </c>
      <c r="X290">
        <f t="shared" si="124"/>
        <v>2.16</v>
      </c>
      <c r="Y290">
        <f t="shared" si="124"/>
        <v>2.19</v>
      </c>
      <c r="Z290">
        <f t="shared" si="124"/>
        <v>2.2200000000000002</v>
      </c>
      <c r="AA290">
        <f t="shared" si="124"/>
        <v>2.25</v>
      </c>
      <c r="AB290">
        <f t="shared" si="124"/>
        <v>2.2799999999999998</v>
      </c>
      <c r="AC290">
        <f t="shared" si="124"/>
        <v>2.31</v>
      </c>
      <c r="AD290">
        <f t="shared" si="124"/>
        <v>2.35</v>
      </c>
      <c r="AE290">
        <f t="shared" si="124"/>
        <v>2.38</v>
      </c>
      <c r="AF290">
        <f t="shared" si="124"/>
        <v>2.41</v>
      </c>
      <c r="AG290">
        <f t="shared" si="124"/>
        <v>2.44</v>
      </c>
      <c r="AH290">
        <f t="shared" si="124"/>
        <v>2.4700000000000002</v>
      </c>
      <c r="AI290">
        <f t="shared" si="124"/>
        <v>2.5</v>
      </c>
      <c r="AJ290">
        <f t="shared" si="124"/>
        <v>2.54</v>
      </c>
      <c r="AK290">
        <f t="shared" si="124"/>
        <v>2.57</v>
      </c>
      <c r="AL290">
        <f t="shared" si="124"/>
        <v>2.6</v>
      </c>
      <c r="AM290">
        <f t="shared" si="124"/>
        <v>2.63</v>
      </c>
      <c r="AN290">
        <f t="shared" si="124"/>
        <v>2.66</v>
      </c>
      <c r="AO290">
        <f t="shared" si="124"/>
        <v>2.66</v>
      </c>
      <c r="AP290">
        <f t="shared" si="124"/>
        <v>2.66</v>
      </c>
      <c r="AQ290">
        <f t="shared" si="124"/>
        <v>2.66</v>
      </c>
      <c r="AR290">
        <f t="shared" si="124"/>
        <v>2.66</v>
      </c>
      <c r="AS290">
        <f t="shared" si="124"/>
        <v>2.66</v>
      </c>
      <c r="AT290">
        <f t="shared" si="124"/>
        <v>2.66</v>
      </c>
      <c r="AU290">
        <f t="shared" si="124"/>
        <v>2.66</v>
      </c>
      <c r="AV290">
        <f t="shared" si="124"/>
        <v>2.66</v>
      </c>
      <c r="AW290">
        <f t="shared" si="124"/>
        <v>2.66</v>
      </c>
      <c r="AX290">
        <f t="shared" si="124"/>
        <v>2.66</v>
      </c>
      <c r="AY290">
        <f t="shared" si="124"/>
        <v>2.66</v>
      </c>
      <c r="AZ290">
        <f t="shared" ref="AZ290:CW293" si="127">AZ478</f>
        <v>2.66</v>
      </c>
      <c r="BA290">
        <f t="shared" si="127"/>
        <v>2.66</v>
      </c>
      <c r="BB290">
        <f t="shared" si="125"/>
        <v>2.66</v>
      </c>
      <c r="BC290">
        <f t="shared" si="125"/>
        <v>2.66</v>
      </c>
      <c r="BD290">
        <f t="shared" si="125"/>
        <v>2.66</v>
      </c>
      <c r="BE290">
        <f t="shared" si="125"/>
        <v>2.66</v>
      </c>
      <c r="BF290">
        <f t="shared" si="125"/>
        <v>2.66</v>
      </c>
      <c r="BG290">
        <f t="shared" si="125"/>
        <v>2.66</v>
      </c>
      <c r="BH290">
        <f t="shared" si="125"/>
        <v>2.66</v>
      </c>
    </row>
    <row r="291" spans="1:60" hidden="1" outlineLevel="1">
      <c r="B291" t="str">
        <f t="shared" si="126"/>
        <v>Combustóleo</v>
      </c>
      <c r="C291">
        <f t="shared" si="126"/>
        <v>0.51</v>
      </c>
      <c r="D291">
        <f t="shared" si="124"/>
        <v>0.48</v>
      </c>
      <c r="E291">
        <f t="shared" si="124"/>
        <v>0.71</v>
      </c>
      <c r="F291">
        <f t="shared" si="124"/>
        <v>0.91</v>
      </c>
      <c r="G291">
        <f t="shared" si="124"/>
        <v>0.9</v>
      </c>
      <c r="H291">
        <f t="shared" si="124"/>
        <v>0.27</v>
      </c>
      <c r="I291">
        <f t="shared" si="124"/>
        <v>0.42</v>
      </c>
      <c r="J291">
        <f t="shared" si="124"/>
        <v>0.42</v>
      </c>
      <c r="K291">
        <f t="shared" si="124"/>
        <v>0.52</v>
      </c>
      <c r="L291">
        <f t="shared" si="124"/>
        <v>0.5</v>
      </c>
      <c r="M291">
        <f t="shared" si="124"/>
        <v>0.49</v>
      </c>
      <c r="N291">
        <f t="shared" si="124"/>
        <v>0.47</v>
      </c>
      <c r="O291">
        <f t="shared" si="124"/>
        <v>0.45</v>
      </c>
      <c r="P291">
        <f t="shared" si="124"/>
        <v>0.43</v>
      </c>
      <c r="Q291">
        <f t="shared" si="124"/>
        <v>0.41</v>
      </c>
      <c r="R291">
        <f t="shared" si="124"/>
        <v>0.4</v>
      </c>
      <c r="S291">
        <f t="shared" si="124"/>
        <v>0.38</v>
      </c>
      <c r="T291">
        <f t="shared" si="124"/>
        <v>0.36</v>
      </c>
      <c r="U291">
        <f t="shared" si="124"/>
        <v>0.34</v>
      </c>
      <c r="V291">
        <f t="shared" si="124"/>
        <v>0.32</v>
      </c>
      <c r="W291">
        <f t="shared" si="124"/>
        <v>0.31</v>
      </c>
      <c r="X291">
        <f t="shared" si="124"/>
        <v>0.28999999999999998</v>
      </c>
      <c r="Y291">
        <f t="shared" si="124"/>
        <v>0.27</v>
      </c>
      <c r="Z291">
        <f t="shared" si="124"/>
        <v>0.25</v>
      </c>
      <c r="AA291">
        <f t="shared" si="124"/>
        <v>0.23</v>
      </c>
      <c r="AB291">
        <f t="shared" si="124"/>
        <v>0.22</v>
      </c>
      <c r="AC291">
        <f t="shared" si="124"/>
        <v>0.2</v>
      </c>
      <c r="AD291">
        <f t="shared" si="124"/>
        <v>0.18</v>
      </c>
      <c r="AE291">
        <f t="shared" si="124"/>
        <v>0.16</v>
      </c>
      <c r="AF291">
        <f t="shared" si="124"/>
        <v>0.14000000000000001</v>
      </c>
      <c r="AG291">
        <f t="shared" si="124"/>
        <v>0.13</v>
      </c>
      <c r="AH291">
        <f t="shared" si="124"/>
        <v>0.11</v>
      </c>
      <c r="AI291">
        <f t="shared" si="124"/>
        <v>0.09</v>
      </c>
      <c r="AJ291">
        <f t="shared" si="124"/>
        <v>7.0000000000000007E-2</v>
      </c>
      <c r="AK291">
        <f t="shared" si="124"/>
        <v>0.05</v>
      </c>
      <c r="AL291">
        <f t="shared" si="124"/>
        <v>0.04</v>
      </c>
      <c r="AM291">
        <f t="shared" si="124"/>
        <v>0.02</v>
      </c>
      <c r="AN291">
        <f t="shared" si="124"/>
        <v>0</v>
      </c>
      <c r="AO291">
        <f t="shared" si="124"/>
        <v>0</v>
      </c>
      <c r="AP291">
        <f t="shared" si="124"/>
        <v>0</v>
      </c>
      <c r="AQ291">
        <f t="shared" si="124"/>
        <v>0</v>
      </c>
      <c r="AR291">
        <f t="shared" si="124"/>
        <v>0</v>
      </c>
      <c r="AS291">
        <f t="shared" si="124"/>
        <v>0</v>
      </c>
      <c r="AT291">
        <f t="shared" si="124"/>
        <v>0</v>
      </c>
      <c r="AU291">
        <f t="shared" si="124"/>
        <v>0</v>
      </c>
      <c r="AV291">
        <f t="shared" si="124"/>
        <v>0</v>
      </c>
      <c r="AW291">
        <f t="shared" si="124"/>
        <v>0</v>
      </c>
      <c r="AX291">
        <f t="shared" si="124"/>
        <v>0</v>
      </c>
      <c r="AY291">
        <f t="shared" si="124"/>
        <v>0</v>
      </c>
      <c r="AZ291">
        <f t="shared" si="127"/>
        <v>0</v>
      </c>
      <c r="BA291">
        <f t="shared" si="127"/>
        <v>0</v>
      </c>
      <c r="BB291">
        <f t="shared" si="125"/>
        <v>0</v>
      </c>
      <c r="BC291">
        <f t="shared" si="125"/>
        <v>0</v>
      </c>
      <c r="BD291">
        <f t="shared" si="125"/>
        <v>0</v>
      </c>
      <c r="BE291">
        <f t="shared" si="125"/>
        <v>0</v>
      </c>
      <c r="BF291">
        <f t="shared" si="125"/>
        <v>0</v>
      </c>
      <c r="BG291">
        <f t="shared" si="125"/>
        <v>0</v>
      </c>
      <c r="BH291">
        <f t="shared" si="125"/>
        <v>0</v>
      </c>
    </row>
    <row r="292" spans="1:60" hidden="1" outlineLevel="1">
      <c r="B292" t="str">
        <f t="shared" si="126"/>
        <v>Gas seco</v>
      </c>
      <c r="C292">
        <f t="shared" si="126"/>
        <v>5.46</v>
      </c>
      <c r="D292">
        <f t="shared" si="124"/>
        <v>5.75</v>
      </c>
      <c r="E292">
        <f t="shared" si="124"/>
        <v>6.03</v>
      </c>
      <c r="F292">
        <f t="shared" si="124"/>
        <v>6.17</v>
      </c>
      <c r="G292">
        <f t="shared" si="124"/>
        <v>5.64</v>
      </c>
      <c r="H292">
        <f t="shared" si="124"/>
        <v>5.71</v>
      </c>
      <c r="I292">
        <f t="shared" si="124"/>
        <v>5.18</v>
      </c>
      <c r="J292">
        <f t="shared" si="124"/>
        <v>5.45</v>
      </c>
      <c r="K292">
        <f t="shared" si="124"/>
        <v>8.41</v>
      </c>
      <c r="L292">
        <f t="shared" si="124"/>
        <v>8.5399999999999991</v>
      </c>
      <c r="M292">
        <f t="shared" si="124"/>
        <v>8.69</v>
      </c>
      <c r="N292">
        <f t="shared" si="124"/>
        <v>8.84</v>
      </c>
      <c r="O292">
        <f t="shared" si="124"/>
        <v>8.99</v>
      </c>
      <c r="P292">
        <f t="shared" si="124"/>
        <v>9.15</v>
      </c>
      <c r="Q292">
        <f t="shared" si="124"/>
        <v>9.3000000000000007</v>
      </c>
      <c r="R292">
        <f t="shared" si="124"/>
        <v>9.4499999999999993</v>
      </c>
      <c r="S292">
        <f t="shared" si="124"/>
        <v>9.6</v>
      </c>
      <c r="T292">
        <f t="shared" si="124"/>
        <v>9.75</v>
      </c>
      <c r="U292">
        <f t="shared" si="124"/>
        <v>9.91</v>
      </c>
      <c r="V292">
        <f t="shared" si="124"/>
        <v>10.06</v>
      </c>
      <c r="W292">
        <f t="shared" si="124"/>
        <v>10.210000000000001</v>
      </c>
      <c r="X292">
        <f t="shared" si="124"/>
        <v>10.36</v>
      </c>
      <c r="Y292">
        <f t="shared" si="124"/>
        <v>10.51</v>
      </c>
      <c r="Z292">
        <f t="shared" si="124"/>
        <v>10.67</v>
      </c>
      <c r="AA292">
        <f t="shared" si="124"/>
        <v>10.82</v>
      </c>
      <c r="AB292">
        <f t="shared" si="124"/>
        <v>10.97</v>
      </c>
      <c r="AC292">
        <f t="shared" si="124"/>
        <v>11.12</v>
      </c>
      <c r="AD292">
        <f t="shared" si="124"/>
        <v>11.28</v>
      </c>
      <c r="AE292">
        <f t="shared" si="124"/>
        <v>11.43</v>
      </c>
      <c r="AF292">
        <f t="shared" si="124"/>
        <v>11.58</v>
      </c>
      <c r="AG292">
        <f t="shared" si="124"/>
        <v>11.73</v>
      </c>
      <c r="AH292">
        <f t="shared" si="124"/>
        <v>11.88</v>
      </c>
      <c r="AI292">
        <f t="shared" si="124"/>
        <v>12.04</v>
      </c>
      <c r="AJ292">
        <f t="shared" si="124"/>
        <v>12.19</v>
      </c>
      <c r="AK292">
        <f t="shared" si="124"/>
        <v>12.34</v>
      </c>
      <c r="AL292">
        <f t="shared" si="124"/>
        <v>12.49</v>
      </c>
      <c r="AM292">
        <f t="shared" si="124"/>
        <v>12.64</v>
      </c>
      <c r="AN292">
        <f t="shared" si="124"/>
        <v>12.8</v>
      </c>
      <c r="AO292">
        <f t="shared" si="124"/>
        <v>12.8</v>
      </c>
      <c r="AP292">
        <f t="shared" si="124"/>
        <v>12.8</v>
      </c>
      <c r="AQ292">
        <f t="shared" si="124"/>
        <v>12.8</v>
      </c>
      <c r="AR292">
        <f t="shared" si="124"/>
        <v>12.8</v>
      </c>
      <c r="AS292">
        <f t="shared" si="124"/>
        <v>12.8</v>
      </c>
      <c r="AT292">
        <f t="shared" si="124"/>
        <v>12.8</v>
      </c>
      <c r="AU292">
        <f t="shared" si="124"/>
        <v>12.8</v>
      </c>
      <c r="AV292">
        <f t="shared" si="124"/>
        <v>12.8</v>
      </c>
      <c r="AW292">
        <f t="shared" si="124"/>
        <v>12.8</v>
      </c>
      <c r="AX292">
        <f t="shared" si="124"/>
        <v>12.8</v>
      </c>
      <c r="AY292">
        <f t="shared" si="124"/>
        <v>12.8</v>
      </c>
      <c r="AZ292">
        <f t="shared" si="127"/>
        <v>12.8</v>
      </c>
      <c r="BA292">
        <f t="shared" si="127"/>
        <v>12.8</v>
      </c>
      <c r="BB292">
        <f t="shared" si="125"/>
        <v>12.8</v>
      </c>
      <c r="BC292">
        <f t="shared" si="125"/>
        <v>12.8</v>
      </c>
      <c r="BD292">
        <f t="shared" si="125"/>
        <v>12.8</v>
      </c>
      <c r="BE292">
        <f t="shared" si="125"/>
        <v>12.8</v>
      </c>
      <c r="BF292">
        <f t="shared" si="125"/>
        <v>12.8</v>
      </c>
      <c r="BG292">
        <f t="shared" si="125"/>
        <v>12.8</v>
      </c>
      <c r="BH292">
        <f t="shared" si="125"/>
        <v>12.8</v>
      </c>
    </row>
    <row r="293" spans="1:60" hidden="1" outlineLevel="1">
      <c r="B293" t="str">
        <f t="shared" si="126"/>
        <v>Electricidad</v>
      </c>
      <c r="C293">
        <f t="shared" si="126"/>
        <v>1.65</v>
      </c>
      <c r="D293">
        <f t="shared" si="124"/>
        <v>1.73</v>
      </c>
      <c r="E293">
        <f t="shared" si="124"/>
        <v>1.82</v>
      </c>
      <c r="F293">
        <f t="shared" si="124"/>
        <v>1.95</v>
      </c>
      <c r="G293">
        <f t="shared" si="124"/>
        <v>1.79</v>
      </c>
      <c r="H293">
        <f t="shared" si="124"/>
        <v>1.81</v>
      </c>
      <c r="I293">
        <f t="shared" si="124"/>
        <v>1.65</v>
      </c>
      <c r="J293">
        <f t="shared" si="124"/>
        <v>1.73</v>
      </c>
      <c r="K293">
        <f t="shared" si="124"/>
        <v>1.65</v>
      </c>
      <c r="L293">
        <f t="shared" si="124"/>
        <v>1.67</v>
      </c>
      <c r="M293">
        <f t="shared" si="124"/>
        <v>1.7</v>
      </c>
      <c r="N293">
        <f t="shared" si="124"/>
        <v>1.73</v>
      </c>
      <c r="O293">
        <f t="shared" si="124"/>
        <v>1.76</v>
      </c>
      <c r="P293">
        <f t="shared" si="124"/>
        <v>1.79</v>
      </c>
      <c r="Q293">
        <f t="shared" si="124"/>
        <v>1.82</v>
      </c>
      <c r="R293">
        <f t="shared" si="124"/>
        <v>1.85</v>
      </c>
      <c r="S293">
        <f t="shared" si="124"/>
        <v>1.88</v>
      </c>
      <c r="T293">
        <f t="shared" si="124"/>
        <v>1.91</v>
      </c>
      <c r="U293">
        <f t="shared" si="124"/>
        <v>1.94</v>
      </c>
      <c r="V293">
        <f t="shared" si="124"/>
        <v>1.97</v>
      </c>
      <c r="W293">
        <f t="shared" si="124"/>
        <v>2</v>
      </c>
      <c r="X293">
        <f t="shared" si="124"/>
        <v>2.0299999999999998</v>
      </c>
      <c r="Y293">
        <f t="shared" si="124"/>
        <v>2.06</v>
      </c>
      <c r="Z293">
        <f t="shared" si="124"/>
        <v>2.09</v>
      </c>
      <c r="AA293">
        <f t="shared" si="124"/>
        <v>2.12</v>
      </c>
      <c r="AB293">
        <f t="shared" si="124"/>
        <v>2.15</v>
      </c>
      <c r="AC293">
        <f t="shared" si="124"/>
        <v>2.1800000000000002</v>
      </c>
      <c r="AD293">
        <f t="shared" si="124"/>
        <v>2.21</v>
      </c>
      <c r="AE293">
        <f t="shared" si="124"/>
        <v>2.2400000000000002</v>
      </c>
      <c r="AF293">
        <f t="shared" si="124"/>
        <v>2.27</v>
      </c>
      <c r="AG293">
        <f t="shared" si="124"/>
        <v>2.2999999999999998</v>
      </c>
      <c r="AH293">
        <f t="shared" si="124"/>
        <v>2.33</v>
      </c>
      <c r="AI293">
        <f t="shared" si="124"/>
        <v>2.36</v>
      </c>
      <c r="AJ293">
        <f t="shared" si="124"/>
        <v>2.39</v>
      </c>
      <c r="AK293">
        <f t="shared" si="124"/>
        <v>2.42</v>
      </c>
      <c r="AL293">
        <f t="shared" si="124"/>
        <v>2.4500000000000002</v>
      </c>
      <c r="AM293">
        <f t="shared" si="124"/>
        <v>2.48</v>
      </c>
      <c r="AN293">
        <f t="shared" si="124"/>
        <v>2.5099999999999998</v>
      </c>
      <c r="AO293">
        <f t="shared" si="124"/>
        <v>2.5099999999999998</v>
      </c>
      <c r="AP293">
        <f t="shared" si="124"/>
        <v>2.5099999999999998</v>
      </c>
      <c r="AQ293">
        <f t="shared" si="124"/>
        <v>2.5099999999999998</v>
      </c>
      <c r="AR293">
        <f t="shared" si="124"/>
        <v>2.5099999999999998</v>
      </c>
      <c r="AS293">
        <f t="shared" si="124"/>
        <v>2.5099999999999998</v>
      </c>
      <c r="AT293">
        <f t="shared" si="124"/>
        <v>2.5099999999999998</v>
      </c>
      <c r="AU293">
        <f t="shared" si="124"/>
        <v>2.5099999999999998</v>
      </c>
      <c r="AV293">
        <f t="shared" si="124"/>
        <v>2.5099999999999998</v>
      </c>
      <c r="AW293">
        <f t="shared" si="124"/>
        <v>2.5099999999999998</v>
      </c>
      <c r="AX293">
        <f t="shared" si="124"/>
        <v>2.5099999999999998</v>
      </c>
      <c r="AY293">
        <f t="shared" si="124"/>
        <v>2.5099999999999998</v>
      </c>
      <c r="AZ293">
        <f t="shared" si="127"/>
        <v>2.5099999999999998</v>
      </c>
      <c r="BA293">
        <f t="shared" si="127"/>
        <v>2.5099999999999998</v>
      </c>
      <c r="BB293">
        <f t="shared" si="125"/>
        <v>2.5099999999999998</v>
      </c>
      <c r="BC293">
        <f t="shared" si="125"/>
        <v>2.5099999999999998</v>
      </c>
      <c r="BD293">
        <f t="shared" si="125"/>
        <v>2.5099999999999998</v>
      </c>
      <c r="BE293">
        <f t="shared" si="125"/>
        <v>2.5099999999999998</v>
      </c>
      <c r="BF293">
        <f t="shared" si="125"/>
        <v>2.5099999999999998</v>
      </c>
      <c r="BG293">
        <f t="shared" si="125"/>
        <v>2.5099999999999998</v>
      </c>
      <c r="BH293">
        <f t="shared" si="125"/>
        <v>2.5099999999999998</v>
      </c>
    </row>
    <row r="294" spans="1:60" s="68" customFormat="1" collapsed="1">
      <c r="A294" s="68" t="s">
        <v>137</v>
      </c>
      <c r="C294" s="68">
        <f>SUM(C295:C300)</f>
        <v>56.37</v>
      </c>
      <c r="D294" s="68">
        <f t="shared" ref="D294:BH294" si="128">SUM(D295:D300)</f>
        <v>59.11</v>
      </c>
      <c r="E294" s="68">
        <f t="shared" si="128"/>
        <v>59.300000000000004</v>
      </c>
      <c r="F294" s="68">
        <f t="shared" si="128"/>
        <v>64.33</v>
      </c>
      <c r="G294" s="68">
        <f t="shared" si="128"/>
        <v>51.14</v>
      </c>
      <c r="H294" s="68">
        <f t="shared" si="128"/>
        <v>51.62</v>
      </c>
      <c r="I294" s="68">
        <f t="shared" si="128"/>
        <v>52.2</v>
      </c>
      <c r="J294" s="68">
        <f t="shared" si="128"/>
        <v>45.61</v>
      </c>
      <c r="K294" s="68">
        <f t="shared" si="128"/>
        <v>58.01</v>
      </c>
      <c r="L294" s="68">
        <f t="shared" si="128"/>
        <v>57.96</v>
      </c>
      <c r="M294" s="68">
        <f t="shared" si="128"/>
        <v>57.660000000000004</v>
      </c>
      <c r="N294" s="68">
        <f t="shared" si="128"/>
        <v>57.38</v>
      </c>
      <c r="O294" s="68">
        <f t="shared" si="128"/>
        <v>57.1</v>
      </c>
      <c r="P294" s="68">
        <f t="shared" si="128"/>
        <v>56.81</v>
      </c>
      <c r="Q294" s="68">
        <f t="shared" si="128"/>
        <v>56.530000000000008</v>
      </c>
      <c r="R294" s="68">
        <f t="shared" si="128"/>
        <v>56.250000000000007</v>
      </c>
      <c r="S294" s="68">
        <f t="shared" si="128"/>
        <v>55.959999999999994</v>
      </c>
      <c r="T294" s="68">
        <f t="shared" si="128"/>
        <v>55.68</v>
      </c>
      <c r="U294" s="68">
        <f t="shared" si="128"/>
        <v>55.4</v>
      </c>
      <c r="V294" s="68">
        <f t="shared" si="128"/>
        <v>55.11</v>
      </c>
      <c r="W294" s="68">
        <f t="shared" si="128"/>
        <v>54.83</v>
      </c>
      <c r="X294" s="68">
        <f t="shared" si="128"/>
        <v>54.55</v>
      </c>
      <c r="Y294" s="68">
        <f t="shared" si="128"/>
        <v>54.260000000000005</v>
      </c>
      <c r="Z294" s="68">
        <f t="shared" si="128"/>
        <v>53.97</v>
      </c>
      <c r="AA294" s="68">
        <f t="shared" si="128"/>
        <v>53.69</v>
      </c>
      <c r="AB294" s="68">
        <f t="shared" si="128"/>
        <v>53.4</v>
      </c>
      <c r="AC294" s="68">
        <f t="shared" si="128"/>
        <v>53.11</v>
      </c>
      <c r="AD294" s="68">
        <f t="shared" si="128"/>
        <v>52.83</v>
      </c>
      <c r="AE294" s="68">
        <f t="shared" si="128"/>
        <v>52.54</v>
      </c>
      <c r="AF294" s="68">
        <f t="shared" si="128"/>
        <v>52.26</v>
      </c>
      <c r="AG294" s="68">
        <f t="shared" si="128"/>
        <v>51.99</v>
      </c>
      <c r="AH294" s="68">
        <f t="shared" si="128"/>
        <v>51.7</v>
      </c>
      <c r="AI294" s="68">
        <f t="shared" si="128"/>
        <v>51.42</v>
      </c>
      <c r="AJ294" s="68">
        <f t="shared" si="128"/>
        <v>51.14</v>
      </c>
      <c r="AK294" s="68">
        <f t="shared" si="128"/>
        <v>50.85</v>
      </c>
      <c r="AL294" s="68">
        <f t="shared" si="128"/>
        <v>50.570000000000007</v>
      </c>
      <c r="AM294" s="68">
        <f t="shared" si="128"/>
        <v>50.300000000000004</v>
      </c>
      <c r="AN294" s="68">
        <f t="shared" si="128"/>
        <v>49.999999999999993</v>
      </c>
      <c r="AO294" s="68">
        <f t="shared" si="128"/>
        <v>49.999999999999993</v>
      </c>
      <c r="AP294" s="68">
        <f t="shared" si="128"/>
        <v>49.999999999999993</v>
      </c>
      <c r="AQ294" s="68">
        <f t="shared" si="128"/>
        <v>49.999999999999993</v>
      </c>
      <c r="AR294" s="68">
        <f t="shared" si="128"/>
        <v>49.999999999999993</v>
      </c>
      <c r="AS294" s="68">
        <f t="shared" si="128"/>
        <v>49.999999999999993</v>
      </c>
      <c r="AT294" s="68">
        <f t="shared" si="128"/>
        <v>49.999999999999993</v>
      </c>
      <c r="AU294" s="68">
        <f t="shared" si="128"/>
        <v>49.999999999999993</v>
      </c>
      <c r="AV294" s="68">
        <f t="shared" si="128"/>
        <v>49.999999999999993</v>
      </c>
      <c r="AW294" s="68">
        <f t="shared" si="128"/>
        <v>49.999999999999993</v>
      </c>
      <c r="AX294" s="68">
        <f t="shared" si="128"/>
        <v>49.999999999999993</v>
      </c>
      <c r="AY294" s="68">
        <f t="shared" si="128"/>
        <v>49.999999999999993</v>
      </c>
      <c r="AZ294" s="68">
        <f t="shared" si="128"/>
        <v>49.999999999999993</v>
      </c>
      <c r="BA294" s="68">
        <f t="shared" si="128"/>
        <v>49.999999999999993</v>
      </c>
      <c r="BB294" s="68">
        <f t="shared" si="128"/>
        <v>49.999999999999993</v>
      </c>
      <c r="BC294" s="68">
        <f t="shared" si="128"/>
        <v>49.999999999999993</v>
      </c>
      <c r="BD294" s="68">
        <f t="shared" si="128"/>
        <v>49.999999999999993</v>
      </c>
      <c r="BE294" s="68">
        <f t="shared" si="128"/>
        <v>49.999999999999993</v>
      </c>
      <c r="BF294" s="68">
        <f t="shared" si="128"/>
        <v>49.999999999999993</v>
      </c>
      <c r="BG294" s="68">
        <f t="shared" si="128"/>
        <v>49.999999999999993</v>
      </c>
      <c r="BH294" s="68">
        <f t="shared" si="128"/>
        <v>49.999999999999993</v>
      </c>
    </row>
    <row r="295" spans="1:60" hidden="1" outlineLevel="1">
      <c r="B295" t="str">
        <f>B618</f>
        <v>Coque de petróleo</v>
      </c>
      <c r="C295">
        <f>C618</f>
        <v>0.01</v>
      </c>
      <c r="D295">
        <f t="shared" ref="D295:BH299" si="129">D618</f>
        <v>0</v>
      </c>
      <c r="E295">
        <f t="shared" si="129"/>
        <v>0.01</v>
      </c>
      <c r="F295">
        <f t="shared" si="129"/>
        <v>0.01</v>
      </c>
      <c r="G295">
        <f t="shared" si="129"/>
        <v>0.01</v>
      </c>
      <c r="H295">
        <f t="shared" si="129"/>
        <v>0.01</v>
      </c>
      <c r="I295">
        <f t="shared" si="129"/>
        <v>0.01</v>
      </c>
      <c r="J295">
        <f t="shared" si="129"/>
        <v>0.01</v>
      </c>
      <c r="K295">
        <f t="shared" si="129"/>
        <v>0.01</v>
      </c>
      <c r="L295">
        <f t="shared" si="129"/>
        <v>0.01</v>
      </c>
      <c r="M295">
        <f t="shared" si="129"/>
        <v>0.01</v>
      </c>
      <c r="N295">
        <f t="shared" si="129"/>
        <v>0.01</v>
      </c>
      <c r="O295">
        <f t="shared" si="129"/>
        <v>0.01</v>
      </c>
      <c r="P295">
        <f t="shared" si="129"/>
        <v>0.01</v>
      </c>
      <c r="Q295">
        <f t="shared" si="129"/>
        <v>0.01</v>
      </c>
      <c r="R295">
        <f t="shared" si="129"/>
        <v>0.01</v>
      </c>
      <c r="S295">
        <f t="shared" si="129"/>
        <v>0.01</v>
      </c>
      <c r="T295">
        <f t="shared" si="129"/>
        <v>0.01</v>
      </c>
      <c r="U295">
        <f t="shared" si="129"/>
        <v>0.01</v>
      </c>
      <c r="V295">
        <f t="shared" si="129"/>
        <v>0.01</v>
      </c>
      <c r="W295">
        <f t="shared" si="129"/>
        <v>0.01</v>
      </c>
      <c r="X295">
        <f t="shared" si="129"/>
        <v>0.01</v>
      </c>
      <c r="Y295">
        <f t="shared" si="129"/>
        <v>0.01</v>
      </c>
      <c r="Z295">
        <f t="shared" si="129"/>
        <v>0.01</v>
      </c>
      <c r="AA295">
        <f t="shared" si="129"/>
        <v>0.01</v>
      </c>
      <c r="AB295">
        <f t="shared" si="129"/>
        <v>0.01</v>
      </c>
      <c r="AC295">
        <f t="shared" si="129"/>
        <v>0.01</v>
      </c>
      <c r="AD295">
        <f t="shared" si="129"/>
        <v>0.01</v>
      </c>
      <c r="AE295">
        <f t="shared" si="129"/>
        <v>0.01</v>
      </c>
      <c r="AF295">
        <f t="shared" si="129"/>
        <v>0.01</v>
      </c>
      <c r="AG295">
        <f t="shared" si="129"/>
        <v>0.01</v>
      </c>
      <c r="AH295">
        <f t="shared" si="129"/>
        <v>0.01</v>
      </c>
      <c r="AI295">
        <f t="shared" si="129"/>
        <v>0.02</v>
      </c>
      <c r="AJ295">
        <f t="shared" si="129"/>
        <v>0.02</v>
      </c>
      <c r="AK295">
        <f t="shared" si="129"/>
        <v>0.02</v>
      </c>
      <c r="AL295">
        <f t="shared" si="129"/>
        <v>0.02</v>
      </c>
      <c r="AM295">
        <f t="shared" si="129"/>
        <v>0.02</v>
      </c>
      <c r="AN295">
        <f t="shared" si="129"/>
        <v>0.02</v>
      </c>
      <c r="AO295">
        <f t="shared" si="129"/>
        <v>0.02</v>
      </c>
      <c r="AP295">
        <f t="shared" si="129"/>
        <v>0.02</v>
      </c>
      <c r="AQ295">
        <f t="shared" si="129"/>
        <v>0.02</v>
      </c>
      <c r="AR295">
        <f t="shared" si="129"/>
        <v>0.02</v>
      </c>
      <c r="AS295">
        <f t="shared" si="129"/>
        <v>0.02</v>
      </c>
      <c r="AT295">
        <f t="shared" si="129"/>
        <v>0.02</v>
      </c>
      <c r="AU295">
        <f t="shared" si="129"/>
        <v>0.02</v>
      </c>
      <c r="AV295">
        <f t="shared" si="129"/>
        <v>0.02</v>
      </c>
      <c r="AW295">
        <f t="shared" si="129"/>
        <v>0.02</v>
      </c>
      <c r="AX295">
        <f t="shared" si="129"/>
        <v>0.02</v>
      </c>
      <c r="AY295">
        <f t="shared" si="129"/>
        <v>0.02</v>
      </c>
      <c r="AZ295">
        <f t="shared" si="129"/>
        <v>0.02</v>
      </c>
      <c r="BA295">
        <f t="shared" si="129"/>
        <v>0.02</v>
      </c>
      <c r="BB295">
        <f t="shared" si="129"/>
        <v>0.02</v>
      </c>
      <c r="BC295">
        <f t="shared" si="129"/>
        <v>0.02</v>
      </c>
      <c r="BD295">
        <f t="shared" si="129"/>
        <v>0.02</v>
      </c>
      <c r="BE295">
        <f t="shared" si="129"/>
        <v>0.02</v>
      </c>
      <c r="BF295">
        <f t="shared" si="129"/>
        <v>0.02</v>
      </c>
      <c r="BG295">
        <f t="shared" si="129"/>
        <v>0.02</v>
      </c>
      <c r="BH295">
        <f t="shared" si="129"/>
        <v>0.02</v>
      </c>
    </row>
    <row r="296" spans="1:60" hidden="1" outlineLevel="1">
      <c r="B296" t="str">
        <f>B619</f>
        <v>GLP</v>
      </c>
      <c r="C296">
        <f>C619</f>
        <v>0.15</v>
      </c>
      <c r="D296">
        <f t="shared" si="129"/>
        <v>0.15</v>
      </c>
      <c r="E296">
        <f t="shared" si="129"/>
        <v>0.16</v>
      </c>
      <c r="F296">
        <f t="shared" si="129"/>
        <v>0.16</v>
      </c>
      <c r="G296">
        <f t="shared" si="129"/>
        <v>0.16</v>
      </c>
      <c r="H296">
        <f t="shared" si="129"/>
        <v>0.16</v>
      </c>
      <c r="I296">
        <f t="shared" si="129"/>
        <v>0.16</v>
      </c>
      <c r="J296">
        <f t="shared" si="129"/>
        <v>0.15</v>
      </c>
      <c r="K296">
        <f t="shared" si="129"/>
        <v>0.12</v>
      </c>
      <c r="L296">
        <f t="shared" si="129"/>
        <v>0.13</v>
      </c>
      <c r="M296">
        <f t="shared" si="129"/>
        <v>0.13</v>
      </c>
      <c r="N296">
        <f t="shared" si="129"/>
        <v>0.13</v>
      </c>
      <c r="O296">
        <f t="shared" si="129"/>
        <v>0.13</v>
      </c>
      <c r="P296">
        <f t="shared" si="129"/>
        <v>0.13</v>
      </c>
      <c r="Q296">
        <f t="shared" si="129"/>
        <v>0.13</v>
      </c>
      <c r="R296">
        <f t="shared" si="129"/>
        <v>0.13</v>
      </c>
      <c r="S296">
        <f t="shared" si="129"/>
        <v>0.13</v>
      </c>
      <c r="T296">
        <f t="shared" si="129"/>
        <v>0.13</v>
      </c>
      <c r="U296">
        <f t="shared" si="129"/>
        <v>0.13</v>
      </c>
      <c r="V296">
        <f t="shared" si="129"/>
        <v>0.13</v>
      </c>
      <c r="W296">
        <f t="shared" si="129"/>
        <v>0.13</v>
      </c>
      <c r="X296">
        <f t="shared" si="129"/>
        <v>0.14000000000000001</v>
      </c>
      <c r="Y296">
        <f t="shared" si="129"/>
        <v>0.14000000000000001</v>
      </c>
      <c r="Z296">
        <f t="shared" si="129"/>
        <v>0.14000000000000001</v>
      </c>
      <c r="AA296">
        <f t="shared" si="129"/>
        <v>0.14000000000000001</v>
      </c>
      <c r="AB296">
        <f t="shared" si="129"/>
        <v>0.14000000000000001</v>
      </c>
      <c r="AC296">
        <f t="shared" si="129"/>
        <v>0.14000000000000001</v>
      </c>
      <c r="AD296">
        <f t="shared" si="129"/>
        <v>0.14000000000000001</v>
      </c>
      <c r="AE296">
        <f t="shared" si="129"/>
        <v>0.14000000000000001</v>
      </c>
      <c r="AF296">
        <f t="shared" si="129"/>
        <v>0.14000000000000001</v>
      </c>
      <c r="AG296">
        <f t="shared" si="129"/>
        <v>0.14000000000000001</v>
      </c>
      <c r="AH296">
        <f t="shared" si="129"/>
        <v>0.14000000000000001</v>
      </c>
      <c r="AI296">
        <f t="shared" si="129"/>
        <v>0.14000000000000001</v>
      </c>
      <c r="AJ296">
        <f t="shared" si="129"/>
        <v>0.14000000000000001</v>
      </c>
      <c r="AK296">
        <f t="shared" si="129"/>
        <v>0.14000000000000001</v>
      </c>
      <c r="AL296">
        <f t="shared" si="129"/>
        <v>0.14000000000000001</v>
      </c>
      <c r="AM296">
        <f t="shared" si="129"/>
        <v>0.15</v>
      </c>
      <c r="AN296">
        <f t="shared" si="129"/>
        <v>0.15</v>
      </c>
      <c r="AO296">
        <f t="shared" si="129"/>
        <v>0.15</v>
      </c>
      <c r="AP296">
        <f t="shared" si="129"/>
        <v>0.15</v>
      </c>
      <c r="AQ296">
        <f t="shared" si="129"/>
        <v>0.15</v>
      </c>
      <c r="AR296">
        <f t="shared" si="129"/>
        <v>0.15</v>
      </c>
      <c r="AS296">
        <f t="shared" si="129"/>
        <v>0.15</v>
      </c>
      <c r="AT296">
        <f t="shared" si="129"/>
        <v>0.15</v>
      </c>
      <c r="AU296">
        <f t="shared" si="129"/>
        <v>0.15</v>
      </c>
      <c r="AV296">
        <f t="shared" si="129"/>
        <v>0.15</v>
      </c>
      <c r="AW296">
        <f t="shared" si="129"/>
        <v>0.15</v>
      </c>
      <c r="AX296">
        <f t="shared" si="129"/>
        <v>0.15</v>
      </c>
      <c r="AY296">
        <f t="shared" si="129"/>
        <v>0.15</v>
      </c>
      <c r="AZ296">
        <f t="shared" si="129"/>
        <v>0.15</v>
      </c>
      <c r="BA296">
        <f t="shared" si="129"/>
        <v>0.15</v>
      </c>
      <c r="BB296">
        <f t="shared" si="129"/>
        <v>0.15</v>
      </c>
      <c r="BC296">
        <f t="shared" si="129"/>
        <v>0.15</v>
      </c>
      <c r="BD296">
        <f t="shared" si="129"/>
        <v>0.15</v>
      </c>
      <c r="BE296">
        <f t="shared" si="129"/>
        <v>0.15</v>
      </c>
      <c r="BF296">
        <f t="shared" si="129"/>
        <v>0.15</v>
      </c>
      <c r="BG296">
        <f t="shared" si="129"/>
        <v>0.15</v>
      </c>
      <c r="BH296">
        <f t="shared" si="129"/>
        <v>0.15</v>
      </c>
    </row>
    <row r="297" spans="1:60" hidden="1" outlineLevel="1">
      <c r="B297" t="str">
        <f>B620</f>
        <v>Diésel</v>
      </c>
      <c r="C297">
        <f>C620</f>
        <v>0.15</v>
      </c>
      <c r="D297">
        <f t="shared" si="129"/>
        <v>0.16</v>
      </c>
      <c r="E297">
        <f t="shared" si="129"/>
        <v>0.16</v>
      </c>
      <c r="F297">
        <f t="shared" si="129"/>
        <v>0.17</v>
      </c>
      <c r="G297">
        <f t="shared" si="129"/>
        <v>0.17</v>
      </c>
      <c r="H297">
        <f t="shared" si="129"/>
        <v>0.17</v>
      </c>
      <c r="I297">
        <f t="shared" si="129"/>
        <v>0.17</v>
      </c>
      <c r="J297">
        <f t="shared" si="129"/>
        <v>0.16</v>
      </c>
      <c r="K297">
        <f t="shared" si="129"/>
        <v>0.14000000000000001</v>
      </c>
      <c r="L297">
        <f t="shared" si="129"/>
        <v>0.14000000000000001</v>
      </c>
      <c r="M297">
        <f t="shared" si="129"/>
        <v>0.14000000000000001</v>
      </c>
      <c r="N297">
        <f t="shared" si="129"/>
        <v>0.14000000000000001</v>
      </c>
      <c r="O297">
        <f t="shared" si="129"/>
        <v>0.14000000000000001</v>
      </c>
      <c r="P297">
        <f t="shared" si="129"/>
        <v>0.14000000000000001</v>
      </c>
      <c r="Q297">
        <f t="shared" si="129"/>
        <v>0.14000000000000001</v>
      </c>
      <c r="R297">
        <f t="shared" si="129"/>
        <v>0.14000000000000001</v>
      </c>
      <c r="S297">
        <f t="shared" si="129"/>
        <v>0.14000000000000001</v>
      </c>
      <c r="T297">
        <f t="shared" si="129"/>
        <v>0.14000000000000001</v>
      </c>
      <c r="U297">
        <f t="shared" si="129"/>
        <v>0.14000000000000001</v>
      </c>
      <c r="V297">
        <f t="shared" si="129"/>
        <v>0.14000000000000001</v>
      </c>
      <c r="W297">
        <f t="shared" si="129"/>
        <v>0.14000000000000001</v>
      </c>
      <c r="X297">
        <f t="shared" si="129"/>
        <v>0.14000000000000001</v>
      </c>
      <c r="Y297">
        <f t="shared" si="129"/>
        <v>0.14000000000000001</v>
      </c>
      <c r="Z297">
        <f t="shared" si="129"/>
        <v>0.13</v>
      </c>
      <c r="AA297">
        <f t="shared" si="129"/>
        <v>0.13</v>
      </c>
      <c r="AB297">
        <f t="shared" si="129"/>
        <v>0.13</v>
      </c>
      <c r="AC297">
        <f t="shared" si="129"/>
        <v>0.13</v>
      </c>
      <c r="AD297">
        <f t="shared" si="129"/>
        <v>0.13</v>
      </c>
      <c r="AE297">
        <f t="shared" si="129"/>
        <v>0.13</v>
      </c>
      <c r="AF297">
        <f t="shared" si="129"/>
        <v>0.13</v>
      </c>
      <c r="AG297">
        <f t="shared" si="129"/>
        <v>0.13</v>
      </c>
      <c r="AH297">
        <f t="shared" si="129"/>
        <v>0.13</v>
      </c>
      <c r="AI297">
        <f t="shared" si="129"/>
        <v>0.13</v>
      </c>
      <c r="AJ297">
        <f t="shared" si="129"/>
        <v>0.13</v>
      </c>
      <c r="AK297">
        <f t="shared" si="129"/>
        <v>0.13</v>
      </c>
      <c r="AL297">
        <f t="shared" si="129"/>
        <v>0.13</v>
      </c>
      <c r="AM297">
        <f t="shared" si="129"/>
        <v>0.13</v>
      </c>
      <c r="AN297">
        <f t="shared" si="129"/>
        <v>0.13</v>
      </c>
      <c r="AO297">
        <f t="shared" si="129"/>
        <v>0.13</v>
      </c>
      <c r="AP297">
        <f t="shared" si="129"/>
        <v>0.13</v>
      </c>
      <c r="AQ297">
        <f t="shared" si="129"/>
        <v>0.13</v>
      </c>
      <c r="AR297">
        <f t="shared" si="129"/>
        <v>0.13</v>
      </c>
      <c r="AS297">
        <f t="shared" si="129"/>
        <v>0.13</v>
      </c>
      <c r="AT297">
        <f t="shared" si="129"/>
        <v>0.13</v>
      </c>
      <c r="AU297">
        <f t="shared" si="129"/>
        <v>0.13</v>
      </c>
      <c r="AV297">
        <f t="shared" si="129"/>
        <v>0.13</v>
      </c>
      <c r="AW297">
        <f t="shared" si="129"/>
        <v>0.13</v>
      </c>
      <c r="AX297">
        <f t="shared" si="129"/>
        <v>0.13</v>
      </c>
      <c r="AY297">
        <f t="shared" si="129"/>
        <v>0.13</v>
      </c>
      <c r="AZ297">
        <f t="shared" si="129"/>
        <v>0.13</v>
      </c>
      <c r="BA297">
        <f t="shared" si="129"/>
        <v>0.13</v>
      </c>
      <c r="BB297">
        <f t="shared" si="129"/>
        <v>0.13</v>
      </c>
      <c r="BC297">
        <f t="shared" si="129"/>
        <v>0.13</v>
      </c>
      <c r="BD297">
        <f t="shared" si="129"/>
        <v>0.13</v>
      </c>
      <c r="BE297">
        <f t="shared" si="129"/>
        <v>0.13</v>
      </c>
      <c r="BF297">
        <f t="shared" si="129"/>
        <v>0.13</v>
      </c>
      <c r="BG297">
        <f t="shared" si="129"/>
        <v>0.13</v>
      </c>
      <c r="BH297">
        <f t="shared" si="129"/>
        <v>0.13</v>
      </c>
    </row>
    <row r="298" spans="1:60" hidden="1" outlineLevel="1">
      <c r="B298" t="str">
        <f>B621</f>
        <v>Combustóleo</v>
      </c>
      <c r="C298">
        <f>C621</f>
        <v>2.33</v>
      </c>
      <c r="D298">
        <f t="shared" si="129"/>
        <v>1.54</v>
      </c>
      <c r="E298">
        <f t="shared" si="129"/>
        <v>1.06</v>
      </c>
      <c r="F298">
        <f t="shared" si="129"/>
        <v>0.7</v>
      </c>
      <c r="G298">
        <f t="shared" si="129"/>
        <v>0.46</v>
      </c>
      <c r="H298">
        <f t="shared" si="129"/>
        <v>0.14000000000000001</v>
      </c>
      <c r="I298">
        <f t="shared" si="129"/>
        <v>0.22</v>
      </c>
      <c r="J298">
        <f t="shared" si="129"/>
        <v>0.22</v>
      </c>
      <c r="K298">
        <f t="shared" si="129"/>
        <v>0.27</v>
      </c>
      <c r="L298">
        <f t="shared" si="129"/>
        <v>0.26</v>
      </c>
      <c r="M298">
        <f t="shared" si="129"/>
        <v>0.25</v>
      </c>
      <c r="N298">
        <f t="shared" si="129"/>
        <v>0.24</v>
      </c>
      <c r="O298">
        <f t="shared" si="129"/>
        <v>0.23</v>
      </c>
      <c r="P298">
        <f t="shared" si="129"/>
        <v>0.22</v>
      </c>
      <c r="Q298">
        <f t="shared" si="129"/>
        <v>0.21</v>
      </c>
      <c r="R298">
        <f t="shared" si="129"/>
        <v>0.21</v>
      </c>
      <c r="S298">
        <f t="shared" si="129"/>
        <v>0.2</v>
      </c>
      <c r="T298">
        <f t="shared" si="129"/>
        <v>0.19</v>
      </c>
      <c r="U298">
        <f t="shared" si="129"/>
        <v>0.18</v>
      </c>
      <c r="V298">
        <f t="shared" si="129"/>
        <v>0.17</v>
      </c>
      <c r="W298">
        <f t="shared" si="129"/>
        <v>0.16</v>
      </c>
      <c r="X298">
        <f t="shared" si="129"/>
        <v>0.15</v>
      </c>
      <c r="Y298">
        <f t="shared" si="129"/>
        <v>0.14000000000000001</v>
      </c>
      <c r="Z298">
        <f t="shared" si="129"/>
        <v>0.13</v>
      </c>
      <c r="AA298">
        <f t="shared" si="129"/>
        <v>0.12</v>
      </c>
      <c r="AB298">
        <f t="shared" si="129"/>
        <v>0.11</v>
      </c>
      <c r="AC298">
        <f t="shared" si="129"/>
        <v>0.1</v>
      </c>
      <c r="AD298">
        <f t="shared" si="129"/>
        <v>0.09</v>
      </c>
      <c r="AE298">
        <f t="shared" si="129"/>
        <v>0.08</v>
      </c>
      <c r="AF298">
        <f t="shared" si="129"/>
        <v>7.0000000000000007E-2</v>
      </c>
      <c r="AG298">
        <f t="shared" si="129"/>
        <v>7.0000000000000007E-2</v>
      </c>
      <c r="AH298">
        <f t="shared" si="129"/>
        <v>0.06</v>
      </c>
      <c r="AI298">
        <f t="shared" si="129"/>
        <v>0.05</v>
      </c>
      <c r="AJ298">
        <f t="shared" si="129"/>
        <v>0.04</v>
      </c>
      <c r="AK298">
        <f t="shared" si="129"/>
        <v>0.03</v>
      </c>
      <c r="AL298">
        <f t="shared" si="129"/>
        <v>0.02</v>
      </c>
      <c r="AM298">
        <f t="shared" si="129"/>
        <v>0.01</v>
      </c>
      <c r="AN298">
        <f t="shared" si="129"/>
        <v>0</v>
      </c>
      <c r="AO298">
        <f t="shared" si="129"/>
        <v>0</v>
      </c>
      <c r="AP298">
        <f t="shared" si="129"/>
        <v>0</v>
      </c>
      <c r="AQ298">
        <f t="shared" si="129"/>
        <v>0</v>
      </c>
      <c r="AR298">
        <f t="shared" si="129"/>
        <v>0</v>
      </c>
      <c r="AS298">
        <f t="shared" si="129"/>
        <v>0</v>
      </c>
      <c r="AT298">
        <f t="shared" si="129"/>
        <v>0</v>
      </c>
      <c r="AU298">
        <f t="shared" si="129"/>
        <v>0</v>
      </c>
      <c r="AV298">
        <f t="shared" si="129"/>
        <v>0</v>
      </c>
      <c r="AW298">
        <f t="shared" si="129"/>
        <v>0</v>
      </c>
      <c r="AX298">
        <f t="shared" si="129"/>
        <v>0</v>
      </c>
      <c r="AY298">
        <f t="shared" si="129"/>
        <v>0</v>
      </c>
      <c r="AZ298">
        <f t="shared" si="129"/>
        <v>0</v>
      </c>
      <c r="BA298">
        <f t="shared" si="129"/>
        <v>0</v>
      </c>
      <c r="BB298">
        <f t="shared" si="129"/>
        <v>0</v>
      </c>
      <c r="BC298">
        <f t="shared" si="129"/>
        <v>0</v>
      </c>
      <c r="BD298">
        <f t="shared" si="129"/>
        <v>0</v>
      </c>
      <c r="BE298">
        <f t="shared" si="129"/>
        <v>0</v>
      </c>
      <c r="BF298">
        <f t="shared" si="129"/>
        <v>0</v>
      </c>
      <c r="BG298">
        <f t="shared" si="129"/>
        <v>0</v>
      </c>
      <c r="BH298">
        <f t="shared" si="129"/>
        <v>0</v>
      </c>
    </row>
    <row r="299" spans="1:60" hidden="1" outlineLevel="1">
      <c r="B299" t="str">
        <f>B622</f>
        <v>Gas seco</v>
      </c>
      <c r="C299">
        <f>C622</f>
        <v>48.55</v>
      </c>
      <c r="D299">
        <f t="shared" si="129"/>
        <v>53.01</v>
      </c>
      <c r="E299">
        <f t="shared" si="129"/>
        <v>53.42</v>
      </c>
      <c r="F299">
        <f t="shared" si="129"/>
        <v>58.49</v>
      </c>
      <c r="G299">
        <f t="shared" si="129"/>
        <v>45.78</v>
      </c>
      <c r="H299">
        <f t="shared" si="129"/>
        <v>46.49</v>
      </c>
      <c r="I299">
        <f t="shared" si="129"/>
        <v>47.07</v>
      </c>
      <c r="J299">
        <f t="shared" si="129"/>
        <v>40.79</v>
      </c>
      <c r="K299">
        <f t="shared" si="129"/>
        <v>52.91</v>
      </c>
      <c r="L299">
        <f t="shared" si="129"/>
        <v>52.86</v>
      </c>
      <c r="M299">
        <f t="shared" si="129"/>
        <v>52.6</v>
      </c>
      <c r="N299">
        <f t="shared" si="129"/>
        <v>52.35</v>
      </c>
      <c r="O299">
        <f t="shared" si="129"/>
        <v>52.1</v>
      </c>
      <c r="P299">
        <f t="shared" si="129"/>
        <v>51.84</v>
      </c>
      <c r="Q299">
        <f t="shared" si="129"/>
        <v>51.59</v>
      </c>
      <c r="R299">
        <f t="shared" si="129"/>
        <v>51.34</v>
      </c>
      <c r="S299">
        <f t="shared" si="129"/>
        <v>51.08</v>
      </c>
      <c r="T299">
        <f t="shared" si="129"/>
        <v>50.83</v>
      </c>
      <c r="U299">
        <f t="shared" si="129"/>
        <v>50.58</v>
      </c>
      <c r="V299">
        <f t="shared" si="129"/>
        <v>50.32</v>
      </c>
      <c r="W299">
        <f t="shared" si="129"/>
        <v>50.07</v>
      </c>
      <c r="X299">
        <f t="shared" si="129"/>
        <v>49.82</v>
      </c>
      <c r="Y299">
        <f t="shared" si="129"/>
        <v>49.56</v>
      </c>
      <c r="Z299">
        <f t="shared" si="129"/>
        <v>49.31</v>
      </c>
      <c r="AA299">
        <f t="shared" si="129"/>
        <v>49.06</v>
      </c>
      <c r="AB299">
        <f t="shared" si="129"/>
        <v>48.8</v>
      </c>
      <c r="AC299">
        <f t="shared" si="129"/>
        <v>48.55</v>
      </c>
      <c r="AD299">
        <f t="shared" si="129"/>
        <v>48.3</v>
      </c>
      <c r="AE299">
        <f t="shared" ref="AE299:CI299" si="130">AE622</f>
        <v>48.04</v>
      </c>
      <c r="AF299">
        <f t="shared" si="130"/>
        <v>47.79</v>
      </c>
      <c r="AG299">
        <f t="shared" si="130"/>
        <v>47.54</v>
      </c>
      <c r="AH299">
        <f t="shared" si="130"/>
        <v>47.28</v>
      </c>
      <c r="AI299">
        <f t="shared" si="130"/>
        <v>47.03</v>
      </c>
      <c r="AJ299">
        <f t="shared" si="130"/>
        <v>46.78</v>
      </c>
      <c r="AK299">
        <f t="shared" si="130"/>
        <v>46.52</v>
      </c>
      <c r="AL299">
        <f t="shared" si="130"/>
        <v>46.27</v>
      </c>
      <c r="AM299">
        <f t="shared" si="130"/>
        <v>46.02</v>
      </c>
      <c r="AN299">
        <f t="shared" si="130"/>
        <v>45.76</v>
      </c>
      <c r="AO299">
        <f t="shared" si="130"/>
        <v>45.76</v>
      </c>
      <c r="AP299">
        <f t="shared" si="130"/>
        <v>45.76</v>
      </c>
      <c r="AQ299">
        <f t="shared" si="130"/>
        <v>45.76</v>
      </c>
      <c r="AR299">
        <f t="shared" si="130"/>
        <v>45.76</v>
      </c>
      <c r="AS299">
        <f t="shared" si="130"/>
        <v>45.76</v>
      </c>
      <c r="AT299">
        <f t="shared" si="130"/>
        <v>45.76</v>
      </c>
      <c r="AU299">
        <f t="shared" si="130"/>
        <v>45.76</v>
      </c>
      <c r="AV299">
        <f t="shared" si="130"/>
        <v>45.76</v>
      </c>
      <c r="AW299">
        <f t="shared" si="130"/>
        <v>45.76</v>
      </c>
      <c r="AX299">
        <f t="shared" si="130"/>
        <v>45.76</v>
      </c>
      <c r="AY299">
        <f t="shared" si="130"/>
        <v>45.76</v>
      </c>
      <c r="AZ299">
        <f t="shared" si="130"/>
        <v>45.76</v>
      </c>
      <c r="BA299">
        <f t="shared" si="130"/>
        <v>45.76</v>
      </c>
      <c r="BB299">
        <f t="shared" si="130"/>
        <v>45.76</v>
      </c>
      <c r="BC299">
        <f t="shared" si="130"/>
        <v>45.76</v>
      </c>
      <c r="BD299">
        <f t="shared" si="130"/>
        <v>45.76</v>
      </c>
      <c r="BE299">
        <f t="shared" si="130"/>
        <v>45.76</v>
      </c>
      <c r="BF299">
        <f t="shared" si="130"/>
        <v>45.76</v>
      </c>
      <c r="BG299">
        <f t="shared" si="130"/>
        <v>45.76</v>
      </c>
      <c r="BH299">
        <f t="shared" si="130"/>
        <v>45.76</v>
      </c>
    </row>
    <row r="300" spans="1:60" hidden="1" outlineLevel="1">
      <c r="B300" t="str">
        <f>B623</f>
        <v>Electricidad</v>
      </c>
      <c r="C300">
        <f>C623</f>
        <v>5.18</v>
      </c>
      <c r="D300">
        <f t="shared" ref="D300:BH300" si="131">D623</f>
        <v>4.25</v>
      </c>
      <c r="E300">
        <f t="shared" si="131"/>
        <v>4.49</v>
      </c>
      <c r="F300">
        <f t="shared" si="131"/>
        <v>4.8</v>
      </c>
      <c r="G300">
        <f t="shared" si="131"/>
        <v>4.5599999999999996</v>
      </c>
      <c r="H300">
        <f t="shared" si="131"/>
        <v>4.6500000000000004</v>
      </c>
      <c r="I300">
        <f t="shared" si="131"/>
        <v>4.57</v>
      </c>
      <c r="J300">
        <f t="shared" si="131"/>
        <v>4.28</v>
      </c>
      <c r="K300">
        <f t="shared" si="131"/>
        <v>4.5599999999999996</v>
      </c>
      <c r="L300">
        <f t="shared" si="131"/>
        <v>4.5599999999999996</v>
      </c>
      <c r="M300">
        <f t="shared" si="131"/>
        <v>4.53</v>
      </c>
      <c r="N300">
        <f t="shared" si="131"/>
        <v>4.51</v>
      </c>
      <c r="O300">
        <f t="shared" si="131"/>
        <v>4.49</v>
      </c>
      <c r="P300">
        <f t="shared" si="131"/>
        <v>4.47</v>
      </c>
      <c r="Q300">
        <f t="shared" si="131"/>
        <v>4.45</v>
      </c>
      <c r="R300">
        <f t="shared" si="131"/>
        <v>4.42</v>
      </c>
      <c r="S300">
        <f t="shared" si="131"/>
        <v>4.4000000000000004</v>
      </c>
      <c r="T300">
        <f t="shared" si="131"/>
        <v>4.38</v>
      </c>
      <c r="U300">
        <f t="shared" si="131"/>
        <v>4.3600000000000003</v>
      </c>
      <c r="V300">
        <f t="shared" si="131"/>
        <v>4.34</v>
      </c>
      <c r="W300">
        <f t="shared" si="131"/>
        <v>4.32</v>
      </c>
      <c r="X300">
        <f t="shared" si="131"/>
        <v>4.29</v>
      </c>
      <c r="Y300">
        <f t="shared" si="131"/>
        <v>4.2699999999999996</v>
      </c>
      <c r="Z300">
        <f t="shared" si="131"/>
        <v>4.25</v>
      </c>
      <c r="AA300">
        <f t="shared" si="131"/>
        <v>4.2300000000000004</v>
      </c>
      <c r="AB300">
        <f t="shared" si="131"/>
        <v>4.21</v>
      </c>
      <c r="AC300">
        <f t="shared" si="131"/>
        <v>4.18</v>
      </c>
      <c r="AD300">
        <f t="shared" si="131"/>
        <v>4.16</v>
      </c>
      <c r="AE300">
        <f t="shared" si="131"/>
        <v>4.1399999999999997</v>
      </c>
      <c r="AF300">
        <f t="shared" si="131"/>
        <v>4.12</v>
      </c>
      <c r="AG300">
        <f t="shared" si="131"/>
        <v>4.0999999999999996</v>
      </c>
      <c r="AH300">
        <f t="shared" si="131"/>
        <v>4.08</v>
      </c>
      <c r="AI300">
        <f t="shared" si="131"/>
        <v>4.05</v>
      </c>
      <c r="AJ300">
        <f t="shared" si="131"/>
        <v>4.03</v>
      </c>
      <c r="AK300">
        <f t="shared" si="131"/>
        <v>4.01</v>
      </c>
      <c r="AL300">
        <f t="shared" si="131"/>
        <v>3.99</v>
      </c>
      <c r="AM300">
        <f t="shared" si="131"/>
        <v>3.97</v>
      </c>
      <c r="AN300">
        <f t="shared" si="131"/>
        <v>3.94</v>
      </c>
      <c r="AO300">
        <f t="shared" si="131"/>
        <v>3.94</v>
      </c>
      <c r="AP300">
        <f t="shared" si="131"/>
        <v>3.94</v>
      </c>
      <c r="AQ300">
        <f t="shared" si="131"/>
        <v>3.94</v>
      </c>
      <c r="AR300">
        <f t="shared" si="131"/>
        <v>3.94</v>
      </c>
      <c r="AS300">
        <f t="shared" si="131"/>
        <v>3.94</v>
      </c>
      <c r="AT300">
        <f t="shared" si="131"/>
        <v>3.94</v>
      </c>
      <c r="AU300">
        <f t="shared" si="131"/>
        <v>3.94</v>
      </c>
      <c r="AV300">
        <f t="shared" si="131"/>
        <v>3.94</v>
      </c>
      <c r="AW300">
        <f t="shared" si="131"/>
        <v>3.94</v>
      </c>
      <c r="AX300">
        <f t="shared" si="131"/>
        <v>3.94</v>
      </c>
      <c r="AY300">
        <f t="shared" si="131"/>
        <v>3.94</v>
      </c>
      <c r="AZ300">
        <f t="shared" si="131"/>
        <v>3.94</v>
      </c>
      <c r="BA300">
        <f t="shared" si="131"/>
        <v>3.94</v>
      </c>
      <c r="BB300">
        <f t="shared" si="131"/>
        <v>3.94</v>
      </c>
      <c r="BC300">
        <f t="shared" si="131"/>
        <v>3.94</v>
      </c>
      <c r="BD300">
        <f t="shared" si="131"/>
        <v>3.94</v>
      </c>
      <c r="BE300">
        <f t="shared" si="131"/>
        <v>3.94</v>
      </c>
      <c r="BF300">
        <f t="shared" si="131"/>
        <v>3.94</v>
      </c>
      <c r="BG300">
        <f t="shared" si="131"/>
        <v>3.94</v>
      </c>
      <c r="BH300">
        <f t="shared" si="131"/>
        <v>3.94</v>
      </c>
    </row>
    <row r="301" spans="1:60" s="68" customFormat="1" collapsed="1">
      <c r="A301" s="68" t="s">
        <v>138</v>
      </c>
      <c r="C301" s="68">
        <f>SUM(C302:C307)</f>
        <v>149.16</v>
      </c>
      <c r="D301" s="68">
        <f t="shared" ref="D301:BH301" si="132">SUM(D302:D307)</f>
        <v>158.97</v>
      </c>
      <c r="E301" s="68">
        <f t="shared" si="132"/>
        <v>175.10999999999999</v>
      </c>
      <c r="F301" s="68">
        <f t="shared" si="132"/>
        <v>180.56</v>
      </c>
      <c r="G301" s="68">
        <f t="shared" si="132"/>
        <v>175.31</v>
      </c>
      <c r="H301" s="68">
        <f t="shared" si="132"/>
        <v>172.34</v>
      </c>
      <c r="I301" s="68">
        <f t="shared" si="132"/>
        <v>168.69</v>
      </c>
      <c r="J301" s="68">
        <f t="shared" si="132"/>
        <v>166.72000000000003</v>
      </c>
      <c r="K301" s="68">
        <f t="shared" si="132"/>
        <v>189.04000000000002</v>
      </c>
      <c r="L301" s="68">
        <f t="shared" si="132"/>
        <v>190.02</v>
      </c>
      <c r="M301" s="68">
        <f t="shared" si="132"/>
        <v>195.42000000000002</v>
      </c>
      <c r="N301" s="68">
        <f t="shared" si="132"/>
        <v>200.85</v>
      </c>
      <c r="O301" s="68">
        <f t="shared" si="132"/>
        <v>206.25</v>
      </c>
      <c r="P301" s="68">
        <f t="shared" si="132"/>
        <v>211.67000000000002</v>
      </c>
      <c r="Q301" s="68">
        <f t="shared" si="132"/>
        <v>217.07000000000005</v>
      </c>
      <c r="R301" s="68">
        <f t="shared" si="132"/>
        <v>222.49</v>
      </c>
      <c r="S301" s="68">
        <f t="shared" si="132"/>
        <v>227.89000000000001</v>
      </c>
      <c r="T301" s="68">
        <f t="shared" si="132"/>
        <v>233.3</v>
      </c>
      <c r="U301" s="68">
        <f t="shared" si="132"/>
        <v>238.71</v>
      </c>
      <c r="V301" s="68">
        <f t="shared" si="132"/>
        <v>244.13</v>
      </c>
      <c r="W301" s="68">
        <f t="shared" si="132"/>
        <v>249.53</v>
      </c>
      <c r="X301" s="68">
        <f t="shared" si="132"/>
        <v>254.95000000000005</v>
      </c>
      <c r="Y301" s="68">
        <f t="shared" si="132"/>
        <v>260.35000000000002</v>
      </c>
      <c r="Z301" s="68">
        <f t="shared" si="132"/>
        <v>265.76</v>
      </c>
      <c r="AA301" s="68">
        <f t="shared" si="132"/>
        <v>271.15999999999997</v>
      </c>
      <c r="AB301" s="68">
        <f t="shared" si="132"/>
        <v>276.58</v>
      </c>
      <c r="AC301" s="68">
        <f t="shared" si="132"/>
        <v>282</v>
      </c>
      <c r="AD301" s="68">
        <f t="shared" si="132"/>
        <v>287.40000000000003</v>
      </c>
      <c r="AE301" s="68">
        <f t="shared" si="132"/>
        <v>292.82000000000005</v>
      </c>
      <c r="AF301" s="68">
        <f t="shared" si="132"/>
        <v>298.22000000000003</v>
      </c>
      <c r="AG301" s="68">
        <f t="shared" si="132"/>
        <v>303.62</v>
      </c>
      <c r="AH301" s="68">
        <f t="shared" si="132"/>
        <v>309.04000000000002</v>
      </c>
      <c r="AI301" s="68">
        <f t="shared" si="132"/>
        <v>314.45000000000005</v>
      </c>
      <c r="AJ301" s="68">
        <f t="shared" si="132"/>
        <v>319.85000000000002</v>
      </c>
      <c r="AK301" s="68">
        <f t="shared" si="132"/>
        <v>325.27000000000004</v>
      </c>
      <c r="AL301" s="68">
        <f t="shared" si="132"/>
        <v>330.68</v>
      </c>
      <c r="AM301" s="68">
        <f t="shared" si="132"/>
        <v>336.08000000000004</v>
      </c>
      <c r="AN301" s="68">
        <f t="shared" si="132"/>
        <v>341.5</v>
      </c>
      <c r="AO301" s="68">
        <f t="shared" si="132"/>
        <v>341.5</v>
      </c>
      <c r="AP301" s="68">
        <f t="shared" si="132"/>
        <v>341.5</v>
      </c>
      <c r="AQ301" s="68">
        <f t="shared" si="132"/>
        <v>341.5</v>
      </c>
      <c r="AR301" s="68">
        <f t="shared" si="132"/>
        <v>341.5</v>
      </c>
      <c r="AS301" s="68">
        <f t="shared" si="132"/>
        <v>341.5</v>
      </c>
      <c r="AT301" s="68">
        <f t="shared" si="132"/>
        <v>341.5</v>
      </c>
      <c r="AU301" s="68">
        <f t="shared" si="132"/>
        <v>341.5</v>
      </c>
      <c r="AV301" s="68">
        <f t="shared" si="132"/>
        <v>341.5</v>
      </c>
      <c r="AW301" s="68">
        <f t="shared" si="132"/>
        <v>341.5</v>
      </c>
      <c r="AX301" s="68">
        <f t="shared" si="132"/>
        <v>341.5</v>
      </c>
      <c r="AY301" s="68">
        <f t="shared" si="132"/>
        <v>341.5</v>
      </c>
      <c r="AZ301" s="68">
        <f t="shared" si="132"/>
        <v>341.5</v>
      </c>
      <c r="BA301" s="68">
        <f t="shared" si="132"/>
        <v>341.5</v>
      </c>
      <c r="BB301" s="68">
        <f t="shared" si="132"/>
        <v>341.5</v>
      </c>
      <c r="BC301" s="68">
        <f t="shared" si="132"/>
        <v>341.5</v>
      </c>
      <c r="BD301" s="68">
        <f t="shared" si="132"/>
        <v>341.5</v>
      </c>
      <c r="BE301" s="68">
        <f t="shared" si="132"/>
        <v>341.5</v>
      </c>
      <c r="BF301" s="68">
        <f t="shared" si="132"/>
        <v>341.5</v>
      </c>
      <c r="BG301" s="68">
        <f t="shared" si="132"/>
        <v>341.5</v>
      </c>
      <c r="BH301" s="68">
        <f t="shared" si="132"/>
        <v>341.5</v>
      </c>
    </row>
    <row r="302" spans="1:60" hidden="1" outlineLevel="1">
      <c r="B302" t="str">
        <f>B492</f>
        <v>Carbón</v>
      </c>
      <c r="C302">
        <f>C492</f>
        <v>5.86</v>
      </c>
      <c r="D302">
        <f t="shared" ref="D302:BH306" si="133">D492</f>
        <v>6</v>
      </c>
      <c r="E302">
        <f t="shared" si="133"/>
        <v>6.41</v>
      </c>
      <c r="F302">
        <f t="shared" si="133"/>
        <v>6.82</v>
      </c>
      <c r="G302">
        <f t="shared" si="133"/>
        <v>7.05</v>
      </c>
      <c r="H302">
        <f t="shared" si="133"/>
        <v>7.31</v>
      </c>
      <c r="I302">
        <f t="shared" si="133"/>
        <v>7.66</v>
      </c>
      <c r="J302">
        <f t="shared" si="133"/>
        <v>9.5299999999999994</v>
      </c>
      <c r="K302">
        <f t="shared" si="133"/>
        <v>28.99</v>
      </c>
      <c r="L302">
        <f t="shared" si="133"/>
        <v>28.78</v>
      </c>
      <c r="M302">
        <f t="shared" si="133"/>
        <v>28.47</v>
      </c>
      <c r="N302">
        <f t="shared" si="133"/>
        <v>28.17</v>
      </c>
      <c r="O302">
        <f t="shared" si="133"/>
        <v>27.86</v>
      </c>
      <c r="P302">
        <f t="shared" si="133"/>
        <v>27.56</v>
      </c>
      <c r="Q302">
        <f t="shared" si="133"/>
        <v>27.25</v>
      </c>
      <c r="R302">
        <f t="shared" si="133"/>
        <v>26.95</v>
      </c>
      <c r="S302">
        <f t="shared" si="133"/>
        <v>26.64</v>
      </c>
      <c r="T302">
        <f t="shared" si="133"/>
        <v>26.34</v>
      </c>
      <c r="U302">
        <f t="shared" si="133"/>
        <v>26.03</v>
      </c>
      <c r="V302">
        <f t="shared" si="133"/>
        <v>25.73</v>
      </c>
      <c r="W302">
        <f t="shared" si="133"/>
        <v>25.42</v>
      </c>
      <c r="X302">
        <f t="shared" si="133"/>
        <v>25.12</v>
      </c>
      <c r="Y302">
        <f t="shared" si="133"/>
        <v>24.81</v>
      </c>
      <c r="Z302">
        <f t="shared" si="133"/>
        <v>24.51</v>
      </c>
      <c r="AA302">
        <f t="shared" si="133"/>
        <v>24.2</v>
      </c>
      <c r="AB302">
        <f t="shared" si="133"/>
        <v>23.9</v>
      </c>
      <c r="AC302">
        <f t="shared" si="133"/>
        <v>23.6</v>
      </c>
      <c r="AD302">
        <f t="shared" si="133"/>
        <v>23.29</v>
      </c>
      <c r="AE302">
        <f t="shared" si="133"/>
        <v>22.99</v>
      </c>
      <c r="AF302">
        <f t="shared" si="133"/>
        <v>22.68</v>
      </c>
      <c r="AG302">
        <f t="shared" si="133"/>
        <v>22.38</v>
      </c>
      <c r="AH302">
        <f t="shared" si="133"/>
        <v>22.07</v>
      </c>
      <c r="AI302">
        <f t="shared" si="133"/>
        <v>21.77</v>
      </c>
      <c r="AJ302">
        <f t="shared" si="133"/>
        <v>21.46</v>
      </c>
      <c r="AK302">
        <f t="shared" si="133"/>
        <v>21.16</v>
      </c>
      <c r="AL302">
        <f t="shared" si="133"/>
        <v>20.85</v>
      </c>
      <c r="AM302">
        <f t="shared" si="133"/>
        <v>20.55</v>
      </c>
      <c r="AN302">
        <f t="shared" si="133"/>
        <v>20.239999999999998</v>
      </c>
      <c r="AO302">
        <f t="shared" si="133"/>
        <v>20.239999999999998</v>
      </c>
      <c r="AP302">
        <f t="shared" si="133"/>
        <v>20.239999999999998</v>
      </c>
      <c r="AQ302">
        <f t="shared" si="133"/>
        <v>20.239999999999998</v>
      </c>
      <c r="AR302">
        <f t="shared" si="133"/>
        <v>20.239999999999998</v>
      </c>
      <c r="AS302">
        <f t="shared" si="133"/>
        <v>20.239999999999998</v>
      </c>
      <c r="AT302">
        <f t="shared" si="133"/>
        <v>20.239999999999998</v>
      </c>
      <c r="AU302">
        <f t="shared" si="133"/>
        <v>20.239999999999998</v>
      </c>
      <c r="AV302">
        <f t="shared" si="133"/>
        <v>20.239999999999998</v>
      </c>
      <c r="AW302">
        <f t="shared" si="133"/>
        <v>20.239999999999998</v>
      </c>
      <c r="AX302">
        <f t="shared" si="133"/>
        <v>20.239999999999998</v>
      </c>
      <c r="AY302">
        <f t="shared" si="133"/>
        <v>20.239999999999998</v>
      </c>
      <c r="AZ302">
        <f t="shared" si="133"/>
        <v>20.239999999999998</v>
      </c>
      <c r="BA302">
        <f t="shared" si="133"/>
        <v>20.239999999999998</v>
      </c>
      <c r="BB302">
        <f t="shared" si="133"/>
        <v>20.239999999999998</v>
      </c>
      <c r="BC302">
        <f t="shared" si="133"/>
        <v>20.239999999999998</v>
      </c>
      <c r="BD302">
        <f t="shared" si="133"/>
        <v>20.239999999999998</v>
      </c>
      <c r="BE302">
        <f t="shared" si="133"/>
        <v>20.239999999999998</v>
      </c>
      <c r="BF302">
        <f t="shared" si="133"/>
        <v>20.239999999999998</v>
      </c>
      <c r="BG302">
        <f t="shared" si="133"/>
        <v>20.239999999999998</v>
      </c>
      <c r="BH302">
        <f t="shared" si="133"/>
        <v>20.239999999999998</v>
      </c>
    </row>
    <row r="303" spans="1:60" hidden="1" outlineLevel="1">
      <c r="B303" t="str">
        <f t="shared" ref="B303:Q307" si="134">B493</f>
        <v>Coque de petróleo</v>
      </c>
      <c r="C303">
        <f t="shared" si="134"/>
        <v>100.99</v>
      </c>
      <c r="D303">
        <f t="shared" si="133"/>
        <v>109.37</v>
      </c>
      <c r="E303">
        <f t="shared" si="133"/>
        <v>120.07</v>
      </c>
      <c r="F303">
        <f t="shared" si="133"/>
        <v>123.96</v>
      </c>
      <c r="G303">
        <f t="shared" si="133"/>
        <v>119.48</v>
      </c>
      <c r="H303">
        <f t="shared" si="133"/>
        <v>116.62</v>
      </c>
      <c r="I303">
        <f t="shared" si="133"/>
        <v>111.67</v>
      </c>
      <c r="J303">
        <f t="shared" si="133"/>
        <v>108.2</v>
      </c>
      <c r="K303">
        <f t="shared" si="133"/>
        <v>108.56</v>
      </c>
      <c r="L303">
        <f t="shared" si="133"/>
        <v>109.79</v>
      </c>
      <c r="M303">
        <f t="shared" si="133"/>
        <v>112.14</v>
      </c>
      <c r="N303">
        <f t="shared" si="133"/>
        <v>114.49</v>
      </c>
      <c r="O303">
        <f t="shared" si="133"/>
        <v>116.84</v>
      </c>
      <c r="P303">
        <f t="shared" si="133"/>
        <v>119.19</v>
      </c>
      <c r="Q303">
        <f t="shared" si="133"/>
        <v>121.54</v>
      </c>
      <c r="R303">
        <f t="shared" si="133"/>
        <v>123.89</v>
      </c>
      <c r="S303">
        <f t="shared" si="133"/>
        <v>126.24</v>
      </c>
      <c r="T303">
        <f t="shared" si="133"/>
        <v>128.59</v>
      </c>
      <c r="U303">
        <f t="shared" si="133"/>
        <v>130.94</v>
      </c>
      <c r="V303">
        <f t="shared" si="133"/>
        <v>133.29</v>
      </c>
      <c r="W303">
        <f t="shared" si="133"/>
        <v>135.63999999999999</v>
      </c>
      <c r="X303">
        <f t="shared" si="133"/>
        <v>137.99</v>
      </c>
      <c r="Y303">
        <f t="shared" si="133"/>
        <v>140.34</v>
      </c>
      <c r="Z303">
        <f t="shared" si="133"/>
        <v>142.68</v>
      </c>
      <c r="AA303">
        <f t="shared" si="133"/>
        <v>145.03</v>
      </c>
      <c r="AB303">
        <f t="shared" si="133"/>
        <v>147.38</v>
      </c>
      <c r="AC303">
        <f t="shared" si="133"/>
        <v>149.72999999999999</v>
      </c>
      <c r="AD303">
        <f t="shared" si="133"/>
        <v>152.08000000000001</v>
      </c>
      <c r="AE303">
        <f t="shared" si="133"/>
        <v>154.43</v>
      </c>
      <c r="AF303">
        <f t="shared" si="133"/>
        <v>156.78</v>
      </c>
      <c r="AG303">
        <f t="shared" si="133"/>
        <v>159.13</v>
      </c>
      <c r="AH303">
        <f t="shared" si="133"/>
        <v>161.47999999999999</v>
      </c>
      <c r="AI303">
        <f t="shared" si="133"/>
        <v>163.83000000000001</v>
      </c>
      <c r="AJ303">
        <f t="shared" si="133"/>
        <v>166.18</v>
      </c>
      <c r="AK303">
        <f t="shared" si="133"/>
        <v>168.53</v>
      </c>
      <c r="AL303">
        <f t="shared" si="133"/>
        <v>170.88</v>
      </c>
      <c r="AM303">
        <f t="shared" si="133"/>
        <v>173.23</v>
      </c>
      <c r="AN303">
        <f t="shared" si="133"/>
        <v>175.58</v>
      </c>
      <c r="AO303">
        <f t="shared" si="133"/>
        <v>175.58</v>
      </c>
      <c r="AP303">
        <f t="shared" si="133"/>
        <v>175.58</v>
      </c>
      <c r="AQ303">
        <f t="shared" si="133"/>
        <v>175.58</v>
      </c>
      <c r="AR303">
        <f t="shared" si="133"/>
        <v>175.58</v>
      </c>
      <c r="AS303">
        <f t="shared" si="133"/>
        <v>175.58</v>
      </c>
      <c r="AT303">
        <f t="shared" si="133"/>
        <v>175.58</v>
      </c>
      <c r="AU303">
        <f t="shared" si="133"/>
        <v>175.58</v>
      </c>
      <c r="AV303">
        <f t="shared" si="133"/>
        <v>175.58</v>
      </c>
      <c r="AW303">
        <f t="shared" si="133"/>
        <v>175.58</v>
      </c>
      <c r="AX303">
        <f t="shared" si="133"/>
        <v>175.58</v>
      </c>
      <c r="AY303">
        <f t="shared" si="133"/>
        <v>175.58</v>
      </c>
      <c r="AZ303">
        <f t="shared" si="133"/>
        <v>175.58</v>
      </c>
      <c r="BA303">
        <f t="shared" si="133"/>
        <v>175.58</v>
      </c>
      <c r="BB303">
        <f t="shared" si="133"/>
        <v>175.58</v>
      </c>
      <c r="BC303">
        <f t="shared" si="133"/>
        <v>175.58</v>
      </c>
      <c r="BD303">
        <f t="shared" si="133"/>
        <v>175.58</v>
      </c>
      <c r="BE303">
        <f t="shared" si="133"/>
        <v>175.58</v>
      </c>
      <c r="BF303">
        <f t="shared" si="133"/>
        <v>175.58</v>
      </c>
      <c r="BG303">
        <f t="shared" si="133"/>
        <v>175.58</v>
      </c>
      <c r="BH303">
        <f t="shared" si="133"/>
        <v>175.58</v>
      </c>
    </row>
    <row r="304" spans="1:60" hidden="1" outlineLevel="1">
      <c r="B304" t="str">
        <f t="shared" si="134"/>
        <v>Diésel</v>
      </c>
      <c r="C304">
        <f t="shared" si="134"/>
        <v>0.27</v>
      </c>
      <c r="D304">
        <f t="shared" si="133"/>
        <v>0.23</v>
      </c>
      <c r="E304">
        <f t="shared" si="133"/>
        <v>0.24</v>
      </c>
      <c r="F304">
        <f t="shared" si="133"/>
        <v>0.1</v>
      </c>
      <c r="G304">
        <f t="shared" si="133"/>
        <v>0.1</v>
      </c>
      <c r="H304">
        <f t="shared" si="133"/>
        <v>0.11</v>
      </c>
      <c r="I304">
        <f t="shared" si="133"/>
        <v>0.11</v>
      </c>
      <c r="J304">
        <f t="shared" si="133"/>
        <v>0.1</v>
      </c>
      <c r="K304">
        <f t="shared" si="133"/>
        <v>0.09</v>
      </c>
      <c r="L304">
        <f t="shared" si="133"/>
        <v>0.09</v>
      </c>
      <c r="M304">
        <f t="shared" si="133"/>
        <v>0.09</v>
      </c>
      <c r="N304">
        <f t="shared" si="133"/>
        <v>0.09</v>
      </c>
      <c r="O304">
        <f t="shared" si="133"/>
        <v>0.09</v>
      </c>
      <c r="P304">
        <f t="shared" si="133"/>
        <v>0.09</v>
      </c>
      <c r="Q304">
        <f t="shared" si="133"/>
        <v>0.09</v>
      </c>
      <c r="R304">
        <f t="shared" si="133"/>
        <v>0.09</v>
      </c>
      <c r="S304">
        <f t="shared" si="133"/>
        <v>0.09</v>
      </c>
      <c r="T304">
        <f t="shared" si="133"/>
        <v>0.09</v>
      </c>
      <c r="U304">
        <f t="shared" si="133"/>
        <v>0.09</v>
      </c>
      <c r="V304">
        <f t="shared" si="133"/>
        <v>0.09</v>
      </c>
      <c r="W304">
        <f t="shared" si="133"/>
        <v>0.09</v>
      </c>
      <c r="X304">
        <f t="shared" si="133"/>
        <v>0.09</v>
      </c>
      <c r="Y304">
        <f t="shared" si="133"/>
        <v>0.09</v>
      </c>
      <c r="Z304">
        <f t="shared" si="133"/>
        <v>0.09</v>
      </c>
      <c r="AA304">
        <f t="shared" si="133"/>
        <v>0.09</v>
      </c>
      <c r="AB304">
        <f t="shared" si="133"/>
        <v>0.09</v>
      </c>
      <c r="AC304">
        <f t="shared" si="133"/>
        <v>0.09</v>
      </c>
      <c r="AD304">
        <f t="shared" si="133"/>
        <v>0.09</v>
      </c>
      <c r="AE304">
        <f t="shared" si="133"/>
        <v>0.09</v>
      </c>
      <c r="AF304">
        <f t="shared" si="133"/>
        <v>0.09</v>
      </c>
      <c r="AG304">
        <f t="shared" si="133"/>
        <v>0.08</v>
      </c>
      <c r="AH304">
        <f t="shared" si="133"/>
        <v>0.08</v>
      </c>
      <c r="AI304">
        <f t="shared" si="133"/>
        <v>0.08</v>
      </c>
      <c r="AJ304">
        <f t="shared" si="133"/>
        <v>0.08</v>
      </c>
      <c r="AK304">
        <f t="shared" si="133"/>
        <v>0.08</v>
      </c>
      <c r="AL304">
        <f t="shared" si="133"/>
        <v>0.08</v>
      </c>
      <c r="AM304">
        <f t="shared" si="133"/>
        <v>0.08</v>
      </c>
      <c r="AN304">
        <f t="shared" si="133"/>
        <v>0.08</v>
      </c>
      <c r="AO304">
        <f t="shared" si="133"/>
        <v>0.08</v>
      </c>
      <c r="AP304">
        <f t="shared" si="133"/>
        <v>0.08</v>
      </c>
      <c r="AQ304">
        <f t="shared" si="133"/>
        <v>0.08</v>
      </c>
      <c r="AR304">
        <f t="shared" si="133"/>
        <v>0.08</v>
      </c>
      <c r="AS304">
        <f t="shared" si="133"/>
        <v>0.08</v>
      </c>
      <c r="AT304">
        <f t="shared" si="133"/>
        <v>0.08</v>
      </c>
      <c r="AU304">
        <f t="shared" si="133"/>
        <v>0.08</v>
      </c>
      <c r="AV304">
        <f t="shared" si="133"/>
        <v>0.08</v>
      </c>
      <c r="AW304">
        <f t="shared" si="133"/>
        <v>0.08</v>
      </c>
      <c r="AX304">
        <f t="shared" si="133"/>
        <v>0.08</v>
      </c>
      <c r="AY304">
        <f t="shared" si="133"/>
        <v>0.08</v>
      </c>
      <c r="AZ304">
        <f t="shared" si="133"/>
        <v>0.08</v>
      </c>
      <c r="BA304">
        <f t="shared" si="133"/>
        <v>0.08</v>
      </c>
      <c r="BB304">
        <f t="shared" si="133"/>
        <v>0.08</v>
      </c>
      <c r="BC304">
        <f t="shared" si="133"/>
        <v>0.08</v>
      </c>
      <c r="BD304">
        <f t="shared" si="133"/>
        <v>0.08</v>
      </c>
      <c r="BE304">
        <f t="shared" si="133"/>
        <v>0.08</v>
      </c>
      <c r="BF304">
        <f t="shared" si="133"/>
        <v>0.08</v>
      </c>
      <c r="BG304">
        <f t="shared" si="133"/>
        <v>0.08</v>
      </c>
      <c r="BH304">
        <f t="shared" si="133"/>
        <v>0.08</v>
      </c>
    </row>
    <row r="305" spans="1:60" hidden="1" outlineLevel="1">
      <c r="B305" t="str">
        <f t="shared" si="134"/>
        <v>Combustóleo</v>
      </c>
      <c r="C305">
        <f t="shared" si="134"/>
        <v>1.49</v>
      </c>
      <c r="D305">
        <f t="shared" si="133"/>
        <v>1.1100000000000001</v>
      </c>
      <c r="E305">
        <f t="shared" si="133"/>
        <v>2.2799999999999998</v>
      </c>
      <c r="F305">
        <f t="shared" si="133"/>
        <v>2.2799999999999998</v>
      </c>
      <c r="G305">
        <f t="shared" si="133"/>
        <v>2.21</v>
      </c>
      <c r="H305">
        <f t="shared" si="133"/>
        <v>0.66</v>
      </c>
      <c r="I305">
        <f t="shared" si="133"/>
        <v>1.04</v>
      </c>
      <c r="J305">
        <f t="shared" si="133"/>
        <v>1.04</v>
      </c>
      <c r="K305">
        <f t="shared" si="133"/>
        <v>1.28</v>
      </c>
      <c r="L305">
        <f t="shared" si="133"/>
        <v>1.24</v>
      </c>
      <c r="M305">
        <f t="shared" si="133"/>
        <v>1.19</v>
      </c>
      <c r="N305">
        <f t="shared" si="133"/>
        <v>1.1499999999999999</v>
      </c>
      <c r="O305">
        <f t="shared" si="133"/>
        <v>1.1100000000000001</v>
      </c>
      <c r="P305">
        <f t="shared" si="133"/>
        <v>1.06</v>
      </c>
      <c r="Q305">
        <f t="shared" si="133"/>
        <v>1.02</v>
      </c>
      <c r="R305">
        <f t="shared" si="133"/>
        <v>0.97</v>
      </c>
      <c r="S305">
        <f t="shared" si="133"/>
        <v>0.93</v>
      </c>
      <c r="T305">
        <f t="shared" si="133"/>
        <v>0.88</v>
      </c>
      <c r="U305">
        <f t="shared" si="133"/>
        <v>0.84</v>
      </c>
      <c r="V305">
        <f t="shared" si="133"/>
        <v>0.8</v>
      </c>
      <c r="W305">
        <f t="shared" si="133"/>
        <v>0.75</v>
      </c>
      <c r="X305">
        <f t="shared" si="133"/>
        <v>0.71</v>
      </c>
      <c r="Y305">
        <f t="shared" si="133"/>
        <v>0.66</v>
      </c>
      <c r="Z305">
        <f t="shared" si="133"/>
        <v>0.62</v>
      </c>
      <c r="AA305">
        <f t="shared" si="133"/>
        <v>0.56999999999999995</v>
      </c>
      <c r="AB305">
        <f t="shared" si="133"/>
        <v>0.53</v>
      </c>
      <c r="AC305">
        <f t="shared" si="133"/>
        <v>0.49</v>
      </c>
      <c r="AD305">
        <f t="shared" si="133"/>
        <v>0.44</v>
      </c>
      <c r="AE305">
        <f t="shared" si="133"/>
        <v>0.4</v>
      </c>
      <c r="AF305">
        <f t="shared" si="133"/>
        <v>0.35</v>
      </c>
      <c r="AG305">
        <f t="shared" si="133"/>
        <v>0.31</v>
      </c>
      <c r="AH305">
        <f t="shared" si="133"/>
        <v>0.27</v>
      </c>
      <c r="AI305">
        <f t="shared" si="133"/>
        <v>0.22</v>
      </c>
      <c r="AJ305">
        <f t="shared" si="133"/>
        <v>0.18</v>
      </c>
      <c r="AK305">
        <f t="shared" si="133"/>
        <v>0.13</v>
      </c>
      <c r="AL305">
        <f t="shared" si="133"/>
        <v>0.09</v>
      </c>
      <c r="AM305">
        <f t="shared" si="133"/>
        <v>0.04</v>
      </c>
      <c r="AN305">
        <f t="shared" si="133"/>
        <v>0</v>
      </c>
      <c r="AO305">
        <f t="shared" si="133"/>
        <v>0</v>
      </c>
      <c r="AP305">
        <f t="shared" si="133"/>
        <v>0</v>
      </c>
      <c r="AQ305">
        <f t="shared" si="133"/>
        <v>0</v>
      </c>
      <c r="AR305">
        <f t="shared" si="133"/>
        <v>0</v>
      </c>
      <c r="AS305">
        <f t="shared" si="133"/>
        <v>0</v>
      </c>
      <c r="AT305">
        <f t="shared" si="133"/>
        <v>0</v>
      </c>
      <c r="AU305">
        <f t="shared" si="133"/>
        <v>0</v>
      </c>
      <c r="AV305">
        <f t="shared" si="133"/>
        <v>0</v>
      </c>
      <c r="AW305">
        <f t="shared" si="133"/>
        <v>0</v>
      </c>
      <c r="AX305">
        <f t="shared" si="133"/>
        <v>0</v>
      </c>
      <c r="AY305">
        <f t="shared" si="133"/>
        <v>0</v>
      </c>
      <c r="AZ305">
        <f t="shared" si="133"/>
        <v>0</v>
      </c>
      <c r="BA305">
        <f t="shared" si="133"/>
        <v>0</v>
      </c>
      <c r="BB305">
        <f t="shared" si="133"/>
        <v>0</v>
      </c>
      <c r="BC305">
        <f t="shared" si="133"/>
        <v>0</v>
      </c>
      <c r="BD305">
        <f t="shared" si="133"/>
        <v>0</v>
      </c>
      <c r="BE305">
        <f t="shared" si="133"/>
        <v>0</v>
      </c>
      <c r="BF305">
        <f t="shared" si="133"/>
        <v>0</v>
      </c>
      <c r="BG305">
        <f t="shared" si="133"/>
        <v>0</v>
      </c>
      <c r="BH305">
        <f t="shared" si="133"/>
        <v>0</v>
      </c>
    </row>
    <row r="306" spans="1:60" hidden="1" outlineLevel="1">
      <c r="B306" t="str">
        <f t="shared" si="134"/>
        <v>Gas seco</v>
      </c>
      <c r="C306">
        <f t="shared" si="134"/>
        <v>4.42</v>
      </c>
      <c r="D306">
        <f t="shared" si="133"/>
        <v>5.25</v>
      </c>
      <c r="E306">
        <f t="shared" si="133"/>
        <v>9.24</v>
      </c>
      <c r="F306">
        <f t="shared" si="133"/>
        <v>10.119999999999999</v>
      </c>
      <c r="G306">
        <f t="shared" si="133"/>
        <v>9.74</v>
      </c>
      <c r="H306">
        <f t="shared" si="133"/>
        <v>10.63</v>
      </c>
      <c r="I306">
        <f t="shared" si="133"/>
        <v>11.92</v>
      </c>
      <c r="J306">
        <f t="shared" si="133"/>
        <v>10.33</v>
      </c>
      <c r="K306">
        <f t="shared" si="133"/>
        <v>12.93</v>
      </c>
      <c r="L306">
        <f t="shared" si="133"/>
        <v>13.13</v>
      </c>
      <c r="M306">
        <f t="shared" si="133"/>
        <v>13.25</v>
      </c>
      <c r="N306">
        <f t="shared" si="133"/>
        <v>13.38</v>
      </c>
      <c r="O306">
        <f t="shared" si="133"/>
        <v>13.5</v>
      </c>
      <c r="P306">
        <f t="shared" si="133"/>
        <v>13.63</v>
      </c>
      <c r="Q306">
        <f t="shared" si="133"/>
        <v>13.75</v>
      </c>
      <c r="R306">
        <f t="shared" si="133"/>
        <v>13.88</v>
      </c>
      <c r="S306">
        <f t="shared" si="133"/>
        <v>14</v>
      </c>
      <c r="T306">
        <f t="shared" si="133"/>
        <v>14.12</v>
      </c>
      <c r="U306">
        <f t="shared" si="133"/>
        <v>14.25</v>
      </c>
      <c r="V306">
        <f t="shared" si="133"/>
        <v>14.37</v>
      </c>
      <c r="W306">
        <f t="shared" si="133"/>
        <v>14.5</v>
      </c>
      <c r="X306">
        <f t="shared" si="133"/>
        <v>14.55</v>
      </c>
      <c r="Y306">
        <f t="shared" si="133"/>
        <v>14.52</v>
      </c>
      <c r="Z306">
        <f t="shared" si="133"/>
        <v>14.48</v>
      </c>
      <c r="AA306">
        <f t="shared" si="133"/>
        <v>14.44</v>
      </c>
      <c r="AB306">
        <f t="shared" si="133"/>
        <v>14.41</v>
      </c>
      <c r="AC306">
        <f t="shared" si="133"/>
        <v>14.37</v>
      </c>
      <c r="AD306">
        <f t="shared" si="133"/>
        <v>14.33</v>
      </c>
      <c r="AE306">
        <f t="shared" ref="AE306:CI306" si="135">AE496</f>
        <v>14.3</v>
      </c>
      <c r="AF306">
        <f t="shared" si="135"/>
        <v>14.26</v>
      </c>
      <c r="AG306">
        <f t="shared" si="135"/>
        <v>14.22</v>
      </c>
      <c r="AH306">
        <f t="shared" si="135"/>
        <v>14.19</v>
      </c>
      <c r="AI306">
        <f t="shared" si="135"/>
        <v>14.15</v>
      </c>
      <c r="AJ306">
        <f t="shared" si="135"/>
        <v>14.11</v>
      </c>
      <c r="AK306">
        <f t="shared" si="135"/>
        <v>14.08</v>
      </c>
      <c r="AL306">
        <f t="shared" si="135"/>
        <v>14.04</v>
      </c>
      <c r="AM306">
        <f t="shared" si="135"/>
        <v>14</v>
      </c>
      <c r="AN306">
        <f t="shared" si="135"/>
        <v>13.97</v>
      </c>
      <c r="AO306">
        <f t="shared" si="135"/>
        <v>13.97</v>
      </c>
      <c r="AP306">
        <f t="shared" si="135"/>
        <v>13.97</v>
      </c>
      <c r="AQ306">
        <f t="shared" si="135"/>
        <v>13.97</v>
      </c>
      <c r="AR306">
        <f t="shared" si="135"/>
        <v>13.97</v>
      </c>
      <c r="AS306">
        <f t="shared" si="135"/>
        <v>13.97</v>
      </c>
      <c r="AT306">
        <f t="shared" si="135"/>
        <v>13.97</v>
      </c>
      <c r="AU306">
        <f t="shared" si="135"/>
        <v>13.97</v>
      </c>
      <c r="AV306">
        <f t="shared" si="135"/>
        <v>13.97</v>
      </c>
      <c r="AW306">
        <f t="shared" si="135"/>
        <v>13.97</v>
      </c>
      <c r="AX306">
        <f t="shared" si="135"/>
        <v>13.97</v>
      </c>
      <c r="AY306">
        <f t="shared" si="135"/>
        <v>13.97</v>
      </c>
      <c r="AZ306">
        <f t="shared" si="135"/>
        <v>13.97</v>
      </c>
      <c r="BA306">
        <f t="shared" si="135"/>
        <v>13.97</v>
      </c>
      <c r="BB306">
        <f t="shared" si="135"/>
        <v>13.97</v>
      </c>
      <c r="BC306">
        <f t="shared" si="135"/>
        <v>13.97</v>
      </c>
      <c r="BD306">
        <f t="shared" si="135"/>
        <v>13.97</v>
      </c>
      <c r="BE306">
        <f t="shared" si="135"/>
        <v>13.97</v>
      </c>
      <c r="BF306">
        <f t="shared" si="135"/>
        <v>13.97</v>
      </c>
      <c r="BG306">
        <f t="shared" si="135"/>
        <v>13.97</v>
      </c>
      <c r="BH306">
        <f t="shared" si="135"/>
        <v>13.97</v>
      </c>
    </row>
    <row r="307" spans="1:60" hidden="1" outlineLevel="1">
      <c r="B307" t="str">
        <f t="shared" si="134"/>
        <v>Electricidad</v>
      </c>
      <c r="C307">
        <f t="shared" si="134"/>
        <v>36.130000000000003</v>
      </c>
      <c r="D307">
        <f t="shared" si="134"/>
        <v>37.01</v>
      </c>
      <c r="E307">
        <f t="shared" si="134"/>
        <v>36.869999999999997</v>
      </c>
      <c r="F307">
        <f t="shared" si="134"/>
        <v>37.28</v>
      </c>
      <c r="G307">
        <f t="shared" si="134"/>
        <v>36.729999999999997</v>
      </c>
      <c r="H307">
        <f t="shared" si="134"/>
        <v>37.01</v>
      </c>
      <c r="I307">
        <f t="shared" si="134"/>
        <v>36.29</v>
      </c>
      <c r="J307">
        <f t="shared" si="134"/>
        <v>37.520000000000003</v>
      </c>
      <c r="K307">
        <f t="shared" si="134"/>
        <v>37.19</v>
      </c>
      <c r="L307">
        <f t="shared" si="134"/>
        <v>36.99</v>
      </c>
      <c r="M307">
        <f t="shared" si="134"/>
        <v>40.28</v>
      </c>
      <c r="N307">
        <f t="shared" si="134"/>
        <v>43.57</v>
      </c>
      <c r="O307">
        <f t="shared" si="134"/>
        <v>46.85</v>
      </c>
      <c r="P307">
        <f t="shared" si="134"/>
        <v>50.14</v>
      </c>
      <c r="Q307">
        <f t="shared" si="134"/>
        <v>53.42</v>
      </c>
      <c r="R307">
        <f t="shared" ref="R307:BV307" si="136">R497</f>
        <v>56.71</v>
      </c>
      <c r="S307">
        <f t="shared" si="136"/>
        <v>59.99</v>
      </c>
      <c r="T307">
        <f t="shared" si="136"/>
        <v>63.28</v>
      </c>
      <c r="U307">
        <f t="shared" si="136"/>
        <v>66.56</v>
      </c>
      <c r="V307">
        <f t="shared" si="136"/>
        <v>69.849999999999994</v>
      </c>
      <c r="W307">
        <f t="shared" si="136"/>
        <v>73.13</v>
      </c>
      <c r="X307">
        <f t="shared" si="136"/>
        <v>76.489999999999995</v>
      </c>
      <c r="Y307">
        <f t="shared" si="136"/>
        <v>79.930000000000007</v>
      </c>
      <c r="Z307">
        <f t="shared" si="136"/>
        <v>83.38</v>
      </c>
      <c r="AA307">
        <f t="shared" si="136"/>
        <v>86.83</v>
      </c>
      <c r="AB307">
        <f t="shared" si="136"/>
        <v>90.27</v>
      </c>
      <c r="AC307">
        <f t="shared" si="136"/>
        <v>93.72</v>
      </c>
      <c r="AD307">
        <f t="shared" si="136"/>
        <v>97.17</v>
      </c>
      <c r="AE307">
        <f t="shared" si="136"/>
        <v>100.61</v>
      </c>
      <c r="AF307">
        <f t="shared" si="136"/>
        <v>104.06</v>
      </c>
      <c r="AG307">
        <f t="shared" si="136"/>
        <v>107.5</v>
      </c>
      <c r="AH307">
        <f t="shared" si="136"/>
        <v>110.95</v>
      </c>
      <c r="AI307">
        <f t="shared" si="136"/>
        <v>114.4</v>
      </c>
      <c r="AJ307">
        <f t="shared" si="136"/>
        <v>117.84</v>
      </c>
      <c r="AK307">
        <f t="shared" si="136"/>
        <v>121.29</v>
      </c>
      <c r="AL307">
        <f t="shared" si="136"/>
        <v>124.74</v>
      </c>
      <c r="AM307">
        <f t="shared" si="136"/>
        <v>128.18</v>
      </c>
      <c r="AN307">
        <f t="shared" si="136"/>
        <v>131.63</v>
      </c>
      <c r="AO307">
        <f t="shared" si="136"/>
        <v>131.63</v>
      </c>
      <c r="AP307">
        <f t="shared" si="136"/>
        <v>131.63</v>
      </c>
      <c r="AQ307">
        <f t="shared" si="136"/>
        <v>131.63</v>
      </c>
      <c r="AR307">
        <f t="shared" si="136"/>
        <v>131.63</v>
      </c>
      <c r="AS307">
        <f t="shared" si="136"/>
        <v>131.63</v>
      </c>
      <c r="AT307">
        <f t="shared" si="136"/>
        <v>131.63</v>
      </c>
      <c r="AU307">
        <f t="shared" si="136"/>
        <v>131.63</v>
      </c>
      <c r="AV307">
        <f t="shared" si="136"/>
        <v>131.63</v>
      </c>
      <c r="AW307">
        <f t="shared" si="136"/>
        <v>131.63</v>
      </c>
      <c r="AX307">
        <f t="shared" si="136"/>
        <v>131.63</v>
      </c>
      <c r="AY307">
        <f t="shared" si="136"/>
        <v>131.63</v>
      </c>
      <c r="AZ307">
        <f t="shared" si="136"/>
        <v>131.63</v>
      </c>
      <c r="BA307">
        <f t="shared" si="136"/>
        <v>131.63</v>
      </c>
      <c r="BB307">
        <f t="shared" si="136"/>
        <v>131.63</v>
      </c>
      <c r="BC307">
        <f t="shared" si="136"/>
        <v>131.63</v>
      </c>
      <c r="BD307">
        <f t="shared" si="136"/>
        <v>131.63</v>
      </c>
      <c r="BE307">
        <f t="shared" si="136"/>
        <v>131.63</v>
      </c>
      <c r="BF307">
        <f t="shared" si="136"/>
        <v>131.63</v>
      </c>
      <c r="BG307">
        <f t="shared" si="136"/>
        <v>131.63</v>
      </c>
      <c r="BH307">
        <f t="shared" si="136"/>
        <v>131.63</v>
      </c>
    </row>
    <row r="308" spans="1:60" s="68" customFormat="1" collapsed="1">
      <c r="A308" s="68" t="s">
        <v>139</v>
      </c>
      <c r="C308" s="68">
        <f>SUM(C309:C315)</f>
        <v>218.07</v>
      </c>
      <c r="D308" s="68">
        <f t="shared" ref="D308:BH308" si="137">SUM(D309:D315)</f>
        <v>222.28</v>
      </c>
      <c r="E308" s="68">
        <f t="shared" si="137"/>
        <v>231.04999999999998</v>
      </c>
      <c r="F308" s="68">
        <f t="shared" si="137"/>
        <v>242.75</v>
      </c>
      <c r="G308" s="68">
        <f t="shared" si="137"/>
        <v>248.04999999999998</v>
      </c>
      <c r="H308" s="68">
        <f t="shared" si="137"/>
        <v>236.91000000000003</v>
      </c>
      <c r="I308" s="68">
        <f t="shared" si="137"/>
        <v>236.67</v>
      </c>
      <c r="J308" s="68">
        <f t="shared" si="137"/>
        <v>214.84</v>
      </c>
      <c r="K308" s="68">
        <f t="shared" si="137"/>
        <v>259.70000000000005</v>
      </c>
      <c r="L308" s="68">
        <f t="shared" si="137"/>
        <v>257.87</v>
      </c>
      <c r="M308" s="68">
        <f t="shared" si="137"/>
        <v>260.99</v>
      </c>
      <c r="N308" s="68">
        <f t="shared" si="137"/>
        <v>264.12</v>
      </c>
      <c r="O308" s="68">
        <f t="shared" si="137"/>
        <v>267.25</v>
      </c>
      <c r="P308" s="68">
        <f t="shared" si="137"/>
        <v>270.38</v>
      </c>
      <c r="Q308" s="68">
        <f t="shared" si="137"/>
        <v>273.51</v>
      </c>
      <c r="R308" s="68">
        <f t="shared" si="137"/>
        <v>276.64000000000004</v>
      </c>
      <c r="S308" s="68">
        <f t="shared" si="137"/>
        <v>279.77</v>
      </c>
      <c r="T308" s="68">
        <f t="shared" si="137"/>
        <v>282.90000000000003</v>
      </c>
      <c r="U308" s="68">
        <f t="shared" si="137"/>
        <v>286.02</v>
      </c>
      <c r="V308" s="68">
        <f t="shared" si="137"/>
        <v>289.15999999999997</v>
      </c>
      <c r="W308" s="68">
        <f t="shared" si="137"/>
        <v>292.29000000000002</v>
      </c>
      <c r="X308" s="68">
        <f t="shared" si="137"/>
        <v>295.41000000000003</v>
      </c>
      <c r="Y308" s="68">
        <f t="shared" si="137"/>
        <v>298.55</v>
      </c>
      <c r="Z308" s="68">
        <f t="shared" si="137"/>
        <v>301.67</v>
      </c>
      <c r="AA308" s="68">
        <f t="shared" si="137"/>
        <v>304.81</v>
      </c>
      <c r="AB308" s="68">
        <f t="shared" si="137"/>
        <v>307.94</v>
      </c>
      <c r="AC308" s="68">
        <f t="shared" si="137"/>
        <v>311.07</v>
      </c>
      <c r="AD308" s="68">
        <f t="shared" si="137"/>
        <v>314.2</v>
      </c>
      <c r="AE308" s="68">
        <f t="shared" si="137"/>
        <v>317.33999999999997</v>
      </c>
      <c r="AF308" s="68">
        <f t="shared" si="137"/>
        <v>320.45</v>
      </c>
      <c r="AG308" s="68">
        <f t="shared" si="137"/>
        <v>323.58999999999997</v>
      </c>
      <c r="AH308" s="68">
        <f t="shared" si="137"/>
        <v>326.70999999999998</v>
      </c>
      <c r="AI308" s="68">
        <f t="shared" si="137"/>
        <v>329.85</v>
      </c>
      <c r="AJ308" s="68">
        <f t="shared" si="137"/>
        <v>332.98</v>
      </c>
      <c r="AK308" s="68">
        <f t="shared" si="137"/>
        <v>336.11</v>
      </c>
      <c r="AL308" s="68">
        <f t="shared" si="137"/>
        <v>339.24</v>
      </c>
      <c r="AM308" s="68">
        <f t="shared" si="137"/>
        <v>342.37</v>
      </c>
      <c r="AN308" s="68">
        <f t="shared" si="137"/>
        <v>345.49</v>
      </c>
      <c r="AO308" s="68">
        <f t="shared" si="137"/>
        <v>345.49</v>
      </c>
      <c r="AP308" s="68">
        <f t="shared" si="137"/>
        <v>345.49</v>
      </c>
      <c r="AQ308" s="68">
        <f t="shared" si="137"/>
        <v>345.49</v>
      </c>
      <c r="AR308" s="68">
        <f t="shared" si="137"/>
        <v>345.49</v>
      </c>
      <c r="AS308" s="68">
        <f t="shared" si="137"/>
        <v>345.49</v>
      </c>
      <c r="AT308" s="68">
        <f t="shared" si="137"/>
        <v>345.49</v>
      </c>
      <c r="AU308" s="68">
        <f t="shared" si="137"/>
        <v>345.49</v>
      </c>
      <c r="AV308" s="68">
        <f t="shared" si="137"/>
        <v>345.49</v>
      </c>
      <c r="AW308" s="68">
        <f t="shared" si="137"/>
        <v>345.49</v>
      </c>
      <c r="AX308" s="68">
        <f t="shared" si="137"/>
        <v>345.49</v>
      </c>
      <c r="AY308" s="68">
        <f t="shared" si="137"/>
        <v>345.49</v>
      </c>
      <c r="AZ308" s="68">
        <f t="shared" si="137"/>
        <v>345.49</v>
      </c>
      <c r="BA308" s="68">
        <f t="shared" si="137"/>
        <v>345.49</v>
      </c>
      <c r="BB308" s="68">
        <f t="shared" si="137"/>
        <v>345.49</v>
      </c>
      <c r="BC308" s="68">
        <f t="shared" si="137"/>
        <v>345.49</v>
      </c>
      <c r="BD308" s="68">
        <f t="shared" si="137"/>
        <v>345.49</v>
      </c>
      <c r="BE308" s="68">
        <f t="shared" si="137"/>
        <v>345.49</v>
      </c>
      <c r="BF308" s="68">
        <f t="shared" si="137"/>
        <v>345.49</v>
      </c>
      <c r="BG308" s="68">
        <f t="shared" si="137"/>
        <v>345.49</v>
      </c>
      <c r="BH308" s="68">
        <f t="shared" si="137"/>
        <v>345.49</v>
      </c>
    </row>
    <row r="309" spans="1:60" hidden="1" outlineLevel="1">
      <c r="B309" t="str">
        <f>B513</f>
        <v>Coque de carbón</v>
      </c>
      <c r="C309">
        <f>C513</f>
        <v>65.13</v>
      </c>
      <c r="D309">
        <f t="shared" ref="D309:BH313" si="138">D513</f>
        <v>68.7</v>
      </c>
      <c r="E309">
        <f t="shared" si="138"/>
        <v>63.35</v>
      </c>
      <c r="F309">
        <f t="shared" si="138"/>
        <v>63.52</v>
      </c>
      <c r="G309">
        <f t="shared" si="138"/>
        <v>63.75</v>
      </c>
      <c r="H309">
        <f t="shared" si="138"/>
        <v>47.43</v>
      </c>
      <c r="I309">
        <f t="shared" si="138"/>
        <v>57.03</v>
      </c>
      <c r="J309">
        <f t="shared" si="138"/>
        <v>44.56</v>
      </c>
      <c r="K309">
        <f t="shared" si="138"/>
        <v>48.39</v>
      </c>
      <c r="L309">
        <f t="shared" si="138"/>
        <v>47.88</v>
      </c>
      <c r="M309">
        <f t="shared" si="138"/>
        <v>46.42</v>
      </c>
      <c r="N309">
        <f t="shared" si="138"/>
        <v>44.96</v>
      </c>
      <c r="O309">
        <f t="shared" si="138"/>
        <v>43.5</v>
      </c>
      <c r="P309">
        <f t="shared" si="138"/>
        <v>42.04</v>
      </c>
      <c r="Q309">
        <f t="shared" si="138"/>
        <v>40.58</v>
      </c>
      <c r="R309">
        <f t="shared" si="138"/>
        <v>39.119999999999997</v>
      </c>
      <c r="S309">
        <f t="shared" si="138"/>
        <v>37.659999999999997</v>
      </c>
      <c r="T309">
        <f t="shared" si="138"/>
        <v>36.200000000000003</v>
      </c>
      <c r="U309">
        <f t="shared" si="138"/>
        <v>34.74</v>
      </c>
      <c r="V309">
        <f t="shared" si="138"/>
        <v>33.28</v>
      </c>
      <c r="W309">
        <f t="shared" si="138"/>
        <v>31.82</v>
      </c>
      <c r="X309">
        <f t="shared" si="138"/>
        <v>30.36</v>
      </c>
      <c r="Y309">
        <f t="shared" si="138"/>
        <v>28.9</v>
      </c>
      <c r="Z309">
        <f t="shared" si="138"/>
        <v>27.44</v>
      </c>
      <c r="AA309">
        <f t="shared" si="138"/>
        <v>25.98</v>
      </c>
      <c r="AB309">
        <f t="shared" si="138"/>
        <v>24.52</v>
      </c>
      <c r="AC309">
        <f t="shared" si="138"/>
        <v>23.06</v>
      </c>
      <c r="AD309">
        <f t="shared" si="138"/>
        <v>21.6</v>
      </c>
      <c r="AE309">
        <f t="shared" si="138"/>
        <v>20.14</v>
      </c>
      <c r="AF309">
        <f t="shared" si="138"/>
        <v>18.68</v>
      </c>
      <c r="AG309">
        <f t="shared" si="138"/>
        <v>17.22</v>
      </c>
      <c r="AH309">
        <f t="shared" si="138"/>
        <v>15.76</v>
      </c>
      <c r="AI309">
        <f t="shared" si="138"/>
        <v>14.3</v>
      </c>
      <c r="AJ309">
        <f t="shared" si="138"/>
        <v>12.84</v>
      </c>
      <c r="AK309">
        <f t="shared" si="138"/>
        <v>11.38</v>
      </c>
      <c r="AL309">
        <f t="shared" si="138"/>
        <v>9.92</v>
      </c>
      <c r="AM309">
        <f t="shared" si="138"/>
        <v>8.4600000000000009</v>
      </c>
      <c r="AN309">
        <f t="shared" si="138"/>
        <v>7</v>
      </c>
      <c r="AO309">
        <f t="shared" si="138"/>
        <v>7</v>
      </c>
      <c r="AP309">
        <f t="shared" si="138"/>
        <v>7</v>
      </c>
      <c r="AQ309">
        <f t="shared" si="138"/>
        <v>7</v>
      </c>
      <c r="AR309">
        <f t="shared" si="138"/>
        <v>7</v>
      </c>
      <c r="AS309">
        <f t="shared" si="138"/>
        <v>7</v>
      </c>
      <c r="AT309">
        <f t="shared" si="138"/>
        <v>7</v>
      </c>
      <c r="AU309">
        <f t="shared" si="138"/>
        <v>7</v>
      </c>
      <c r="AV309">
        <f t="shared" si="138"/>
        <v>7</v>
      </c>
      <c r="AW309">
        <f t="shared" si="138"/>
        <v>7</v>
      </c>
      <c r="AX309">
        <f t="shared" si="138"/>
        <v>7</v>
      </c>
      <c r="AY309">
        <f t="shared" si="138"/>
        <v>7</v>
      </c>
      <c r="AZ309">
        <f t="shared" si="138"/>
        <v>7</v>
      </c>
      <c r="BA309">
        <f t="shared" si="138"/>
        <v>7</v>
      </c>
      <c r="BB309">
        <f t="shared" si="138"/>
        <v>7</v>
      </c>
      <c r="BC309">
        <f t="shared" si="138"/>
        <v>7</v>
      </c>
      <c r="BD309">
        <f t="shared" si="138"/>
        <v>7</v>
      </c>
      <c r="BE309">
        <f t="shared" si="138"/>
        <v>7</v>
      </c>
      <c r="BF309">
        <f t="shared" si="138"/>
        <v>7</v>
      </c>
      <c r="BG309">
        <f t="shared" si="138"/>
        <v>7</v>
      </c>
      <c r="BH309">
        <f t="shared" si="138"/>
        <v>7</v>
      </c>
    </row>
    <row r="310" spans="1:60" hidden="1" outlineLevel="1">
      <c r="B310" t="str">
        <f t="shared" ref="B310:Q315" si="139">B514</f>
        <v>Coque de petróleo</v>
      </c>
      <c r="C310">
        <f t="shared" si="139"/>
        <v>2.2599999999999998</v>
      </c>
      <c r="D310">
        <f t="shared" si="138"/>
        <v>0.89</v>
      </c>
      <c r="E310">
        <f t="shared" si="138"/>
        <v>1.71</v>
      </c>
      <c r="F310">
        <f t="shared" si="138"/>
        <v>1.9</v>
      </c>
      <c r="G310">
        <f t="shared" si="138"/>
        <v>2.94</v>
      </c>
      <c r="H310">
        <f t="shared" si="138"/>
        <v>4.01</v>
      </c>
      <c r="I310">
        <f t="shared" si="138"/>
        <v>2.4300000000000002</v>
      </c>
      <c r="J310">
        <f t="shared" si="138"/>
        <v>1.66</v>
      </c>
      <c r="K310">
        <f t="shared" si="138"/>
        <v>1.67</v>
      </c>
      <c r="L310">
        <f t="shared" si="138"/>
        <v>1.69</v>
      </c>
      <c r="M310">
        <f t="shared" si="138"/>
        <v>1.73</v>
      </c>
      <c r="N310">
        <f t="shared" si="138"/>
        <v>1.76</v>
      </c>
      <c r="O310">
        <f t="shared" si="138"/>
        <v>1.8</v>
      </c>
      <c r="P310">
        <f t="shared" si="138"/>
        <v>1.83</v>
      </c>
      <c r="Q310">
        <f t="shared" si="138"/>
        <v>1.87</v>
      </c>
      <c r="R310">
        <f t="shared" si="138"/>
        <v>1.91</v>
      </c>
      <c r="S310">
        <f t="shared" si="138"/>
        <v>1.94</v>
      </c>
      <c r="T310">
        <f t="shared" si="138"/>
        <v>1.98</v>
      </c>
      <c r="U310">
        <f t="shared" si="138"/>
        <v>2.0099999999999998</v>
      </c>
      <c r="V310">
        <f t="shared" si="138"/>
        <v>2.0499999999999998</v>
      </c>
      <c r="W310">
        <f t="shared" si="138"/>
        <v>2.09</v>
      </c>
      <c r="X310">
        <f t="shared" si="138"/>
        <v>2.12</v>
      </c>
      <c r="Y310">
        <f t="shared" si="138"/>
        <v>2.16</v>
      </c>
      <c r="Z310">
        <f t="shared" si="138"/>
        <v>2.19</v>
      </c>
      <c r="AA310">
        <f t="shared" si="138"/>
        <v>2.23</v>
      </c>
      <c r="AB310">
        <f t="shared" si="138"/>
        <v>2.27</v>
      </c>
      <c r="AC310">
        <f t="shared" si="138"/>
        <v>2.2999999999999998</v>
      </c>
      <c r="AD310">
        <f t="shared" si="138"/>
        <v>2.34</v>
      </c>
      <c r="AE310">
        <f t="shared" si="138"/>
        <v>2.38</v>
      </c>
      <c r="AF310">
        <f t="shared" si="138"/>
        <v>2.41</v>
      </c>
      <c r="AG310">
        <f t="shared" si="138"/>
        <v>2.4500000000000002</v>
      </c>
      <c r="AH310">
        <f t="shared" si="138"/>
        <v>2.48</v>
      </c>
      <c r="AI310">
        <f t="shared" si="138"/>
        <v>2.52</v>
      </c>
      <c r="AJ310">
        <f t="shared" si="138"/>
        <v>2.56</v>
      </c>
      <c r="AK310">
        <f t="shared" si="138"/>
        <v>2.59</v>
      </c>
      <c r="AL310">
        <f t="shared" si="138"/>
        <v>2.63</v>
      </c>
      <c r="AM310">
        <f t="shared" si="138"/>
        <v>2.66</v>
      </c>
      <c r="AN310">
        <f t="shared" si="138"/>
        <v>2.7</v>
      </c>
      <c r="AO310">
        <f t="shared" si="138"/>
        <v>2.7</v>
      </c>
      <c r="AP310">
        <f t="shared" si="138"/>
        <v>2.7</v>
      </c>
      <c r="AQ310">
        <f t="shared" si="138"/>
        <v>2.7</v>
      </c>
      <c r="AR310">
        <f t="shared" si="138"/>
        <v>2.7</v>
      </c>
      <c r="AS310">
        <f t="shared" si="138"/>
        <v>2.7</v>
      </c>
      <c r="AT310">
        <f t="shared" si="138"/>
        <v>2.7</v>
      </c>
      <c r="AU310">
        <f t="shared" si="138"/>
        <v>2.7</v>
      </c>
      <c r="AV310">
        <f t="shared" si="138"/>
        <v>2.7</v>
      </c>
      <c r="AW310">
        <f t="shared" si="138"/>
        <v>2.7</v>
      </c>
      <c r="AX310">
        <f t="shared" si="138"/>
        <v>2.7</v>
      </c>
      <c r="AY310">
        <f t="shared" si="138"/>
        <v>2.7</v>
      </c>
      <c r="AZ310">
        <f t="shared" si="138"/>
        <v>2.7</v>
      </c>
      <c r="BA310">
        <f t="shared" si="138"/>
        <v>2.7</v>
      </c>
      <c r="BB310">
        <f t="shared" si="138"/>
        <v>2.7</v>
      </c>
      <c r="BC310">
        <f t="shared" si="138"/>
        <v>2.7</v>
      </c>
      <c r="BD310">
        <f t="shared" si="138"/>
        <v>2.7</v>
      </c>
      <c r="BE310">
        <f t="shared" si="138"/>
        <v>2.7</v>
      </c>
      <c r="BF310">
        <f t="shared" si="138"/>
        <v>2.7</v>
      </c>
      <c r="BG310">
        <f t="shared" si="138"/>
        <v>2.7</v>
      </c>
      <c r="BH310">
        <f t="shared" si="138"/>
        <v>2.7</v>
      </c>
    </row>
    <row r="311" spans="1:60" hidden="1" outlineLevel="1">
      <c r="B311" t="str">
        <f t="shared" si="139"/>
        <v>GLP</v>
      </c>
      <c r="C311">
        <f t="shared" si="139"/>
        <v>0.01</v>
      </c>
      <c r="D311">
        <f t="shared" si="138"/>
        <v>0.01</v>
      </c>
      <c r="E311">
        <f t="shared" si="138"/>
        <v>0.01</v>
      </c>
      <c r="F311">
        <f t="shared" si="138"/>
        <v>0.01</v>
      </c>
      <c r="G311">
        <f t="shared" si="138"/>
        <v>0.01</v>
      </c>
      <c r="H311">
        <f t="shared" si="138"/>
        <v>0.01</v>
      </c>
      <c r="I311">
        <f t="shared" si="138"/>
        <v>0.01</v>
      </c>
      <c r="J311">
        <f t="shared" si="138"/>
        <v>0.01</v>
      </c>
      <c r="K311">
        <f t="shared" si="138"/>
        <v>0.01</v>
      </c>
      <c r="L311">
        <f t="shared" si="138"/>
        <v>0.01</v>
      </c>
      <c r="M311">
        <f t="shared" si="138"/>
        <v>0.01</v>
      </c>
      <c r="N311">
        <f t="shared" si="138"/>
        <v>0.01</v>
      </c>
      <c r="O311">
        <f t="shared" si="138"/>
        <v>0.01</v>
      </c>
      <c r="P311">
        <f t="shared" si="138"/>
        <v>0.01</v>
      </c>
      <c r="Q311">
        <f t="shared" si="138"/>
        <v>0.01</v>
      </c>
      <c r="R311">
        <f t="shared" si="138"/>
        <v>0.01</v>
      </c>
      <c r="S311">
        <f t="shared" si="138"/>
        <v>0.01</v>
      </c>
      <c r="T311">
        <f t="shared" si="138"/>
        <v>0.01</v>
      </c>
      <c r="U311">
        <f t="shared" si="138"/>
        <v>0.01</v>
      </c>
      <c r="V311">
        <f t="shared" si="138"/>
        <v>0.01</v>
      </c>
      <c r="W311">
        <f t="shared" si="138"/>
        <v>0.01</v>
      </c>
      <c r="X311">
        <f t="shared" si="138"/>
        <v>0.01</v>
      </c>
      <c r="Y311">
        <f t="shared" si="138"/>
        <v>0.01</v>
      </c>
      <c r="Z311">
        <f t="shared" si="138"/>
        <v>0.01</v>
      </c>
      <c r="AA311">
        <f t="shared" si="138"/>
        <v>0.01</v>
      </c>
      <c r="AB311">
        <f t="shared" si="138"/>
        <v>0.01</v>
      </c>
      <c r="AC311">
        <f t="shared" si="138"/>
        <v>0.01</v>
      </c>
      <c r="AD311">
        <f t="shared" si="138"/>
        <v>0.01</v>
      </c>
      <c r="AE311">
        <f t="shared" si="138"/>
        <v>0.01</v>
      </c>
      <c r="AF311">
        <f t="shared" si="138"/>
        <v>0.01</v>
      </c>
      <c r="AG311">
        <f t="shared" si="138"/>
        <v>0.01</v>
      </c>
      <c r="AH311">
        <f t="shared" si="138"/>
        <v>0.01</v>
      </c>
      <c r="AI311">
        <f t="shared" si="138"/>
        <v>0.01</v>
      </c>
      <c r="AJ311">
        <f t="shared" si="138"/>
        <v>0.01</v>
      </c>
      <c r="AK311">
        <f t="shared" si="138"/>
        <v>0.01</v>
      </c>
      <c r="AL311">
        <f t="shared" si="138"/>
        <v>0.01</v>
      </c>
      <c r="AM311">
        <f t="shared" si="138"/>
        <v>0.01</v>
      </c>
      <c r="AN311">
        <f t="shared" si="138"/>
        <v>0.01</v>
      </c>
      <c r="AO311">
        <f t="shared" si="138"/>
        <v>0.01</v>
      </c>
      <c r="AP311">
        <f t="shared" si="138"/>
        <v>0.01</v>
      </c>
      <c r="AQ311">
        <f t="shared" si="138"/>
        <v>0.01</v>
      </c>
      <c r="AR311">
        <f t="shared" si="138"/>
        <v>0.01</v>
      </c>
      <c r="AS311">
        <f t="shared" si="138"/>
        <v>0.01</v>
      </c>
      <c r="AT311">
        <f t="shared" si="138"/>
        <v>0.01</v>
      </c>
      <c r="AU311">
        <f t="shared" si="138"/>
        <v>0.01</v>
      </c>
      <c r="AV311">
        <f t="shared" si="138"/>
        <v>0.01</v>
      </c>
      <c r="AW311">
        <f t="shared" si="138"/>
        <v>0.01</v>
      </c>
      <c r="AX311">
        <f t="shared" si="138"/>
        <v>0.01</v>
      </c>
      <c r="AY311">
        <f t="shared" si="138"/>
        <v>0.01</v>
      </c>
      <c r="AZ311">
        <f t="shared" si="138"/>
        <v>0.01</v>
      </c>
      <c r="BA311">
        <f t="shared" si="138"/>
        <v>0.01</v>
      </c>
      <c r="BB311">
        <f t="shared" si="138"/>
        <v>0.01</v>
      </c>
      <c r="BC311">
        <f t="shared" si="138"/>
        <v>0.01</v>
      </c>
      <c r="BD311">
        <f t="shared" si="138"/>
        <v>0.01</v>
      </c>
      <c r="BE311">
        <f t="shared" si="138"/>
        <v>0.01</v>
      </c>
      <c r="BF311">
        <f t="shared" si="138"/>
        <v>0.01</v>
      </c>
      <c r="BG311">
        <f t="shared" si="138"/>
        <v>0.01</v>
      </c>
      <c r="BH311">
        <f t="shared" si="138"/>
        <v>0.01</v>
      </c>
    </row>
    <row r="312" spans="1:60" hidden="1" outlineLevel="1">
      <c r="B312" t="str">
        <f t="shared" si="139"/>
        <v>Diésel</v>
      </c>
      <c r="C312">
        <f t="shared" si="139"/>
        <v>0.88</v>
      </c>
      <c r="D312">
        <f t="shared" si="138"/>
        <v>1.1000000000000001</v>
      </c>
      <c r="E312">
        <f t="shared" si="138"/>
        <v>1.03</v>
      </c>
      <c r="F312">
        <f t="shared" si="138"/>
        <v>1.0900000000000001</v>
      </c>
      <c r="G312">
        <f t="shared" si="138"/>
        <v>0.74</v>
      </c>
      <c r="H312">
        <f t="shared" si="138"/>
        <v>0.73</v>
      </c>
      <c r="I312">
        <f t="shared" si="138"/>
        <v>0.65</v>
      </c>
      <c r="J312">
        <f t="shared" si="138"/>
        <v>0.53</v>
      </c>
      <c r="K312">
        <f t="shared" si="138"/>
        <v>0.46</v>
      </c>
      <c r="L312">
        <f t="shared" si="138"/>
        <v>0.46</v>
      </c>
      <c r="M312">
        <f t="shared" si="138"/>
        <v>0.46</v>
      </c>
      <c r="N312">
        <f t="shared" si="138"/>
        <v>0.46</v>
      </c>
      <c r="O312">
        <f t="shared" si="138"/>
        <v>0.46</v>
      </c>
      <c r="P312">
        <f t="shared" si="138"/>
        <v>0.46</v>
      </c>
      <c r="Q312">
        <f t="shared" si="138"/>
        <v>0.45</v>
      </c>
      <c r="R312">
        <f t="shared" si="138"/>
        <v>0.45</v>
      </c>
      <c r="S312">
        <f t="shared" si="138"/>
        <v>0.45</v>
      </c>
      <c r="T312">
        <f t="shared" si="138"/>
        <v>0.45</v>
      </c>
      <c r="U312">
        <f t="shared" si="138"/>
        <v>0.45</v>
      </c>
      <c r="V312">
        <f t="shared" si="138"/>
        <v>0.45</v>
      </c>
      <c r="W312">
        <f t="shared" si="138"/>
        <v>0.45</v>
      </c>
      <c r="X312">
        <f t="shared" si="138"/>
        <v>0.45</v>
      </c>
      <c r="Y312">
        <f t="shared" si="138"/>
        <v>0.44</v>
      </c>
      <c r="Z312">
        <f t="shared" si="138"/>
        <v>0.44</v>
      </c>
      <c r="AA312">
        <f t="shared" si="138"/>
        <v>0.44</v>
      </c>
      <c r="AB312">
        <f t="shared" si="138"/>
        <v>0.44</v>
      </c>
      <c r="AC312">
        <f t="shared" si="138"/>
        <v>0.44</v>
      </c>
      <c r="AD312">
        <f t="shared" si="138"/>
        <v>0.44</v>
      </c>
      <c r="AE312">
        <f t="shared" si="138"/>
        <v>0.44</v>
      </c>
      <c r="AF312">
        <f t="shared" si="138"/>
        <v>0.43</v>
      </c>
      <c r="AG312">
        <f t="shared" si="138"/>
        <v>0.43</v>
      </c>
      <c r="AH312">
        <f t="shared" si="138"/>
        <v>0.43</v>
      </c>
      <c r="AI312">
        <f t="shared" si="138"/>
        <v>0.43</v>
      </c>
      <c r="AJ312">
        <f t="shared" si="138"/>
        <v>0.43</v>
      </c>
      <c r="AK312">
        <f t="shared" si="138"/>
        <v>0.43</v>
      </c>
      <c r="AL312">
        <f t="shared" si="138"/>
        <v>0.43</v>
      </c>
      <c r="AM312">
        <f t="shared" si="138"/>
        <v>0.43</v>
      </c>
      <c r="AN312">
        <f t="shared" si="138"/>
        <v>0.42</v>
      </c>
      <c r="AO312">
        <f t="shared" si="138"/>
        <v>0.42</v>
      </c>
      <c r="AP312">
        <f t="shared" si="138"/>
        <v>0.42</v>
      </c>
      <c r="AQ312">
        <f t="shared" si="138"/>
        <v>0.42</v>
      </c>
      <c r="AR312">
        <f t="shared" si="138"/>
        <v>0.42</v>
      </c>
      <c r="AS312">
        <f t="shared" si="138"/>
        <v>0.42</v>
      </c>
      <c r="AT312">
        <f t="shared" si="138"/>
        <v>0.42</v>
      </c>
      <c r="AU312">
        <f t="shared" si="138"/>
        <v>0.42</v>
      </c>
      <c r="AV312">
        <f t="shared" si="138"/>
        <v>0.42</v>
      </c>
      <c r="AW312">
        <f t="shared" si="138"/>
        <v>0.42</v>
      </c>
      <c r="AX312">
        <f t="shared" si="138"/>
        <v>0.42</v>
      </c>
      <c r="AY312">
        <f t="shared" si="138"/>
        <v>0.42</v>
      </c>
      <c r="AZ312">
        <f t="shared" si="138"/>
        <v>0.42</v>
      </c>
      <c r="BA312">
        <f t="shared" si="138"/>
        <v>0.42</v>
      </c>
      <c r="BB312">
        <f t="shared" si="138"/>
        <v>0.42</v>
      </c>
      <c r="BC312">
        <f t="shared" si="138"/>
        <v>0.42</v>
      </c>
      <c r="BD312">
        <f t="shared" si="138"/>
        <v>0.42</v>
      </c>
      <c r="BE312">
        <f t="shared" si="138"/>
        <v>0.42</v>
      </c>
      <c r="BF312">
        <f t="shared" si="138"/>
        <v>0.42</v>
      </c>
      <c r="BG312">
        <f t="shared" si="138"/>
        <v>0.42</v>
      </c>
      <c r="BH312">
        <f t="shared" si="138"/>
        <v>0.42</v>
      </c>
    </row>
    <row r="313" spans="1:60" hidden="1" outlineLevel="1">
      <c r="B313" t="str">
        <f t="shared" si="139"/>
        <v>Combustóleo</v>
      </c>
      <c r="C313">
        <f t="shared" si="139"/>
        <v>2.93</v>
      </c>
      <c r="D313">
        <f t="shared" si="138"/>
        <v>1.83</v>
      </c>
      <c r="E313">
        <f t="shared" si="138"/>
        <v>1.81</v>
      </c>
      <c r="F313">
        <f t="shared" si="138"/>
        <v>1.81</v>
      </c>
      <c r="G313">
        <f t="shared" si="138"/>
        <v>1.77</v>
      </c>
      <c r="H313">
        <f t="shared" si="138"/>
        <v>0.53</v>
      </c>
      <c r="I313">
        <f t="shared" si="138"/>
        <v>0.83</v>
      </c>
      <c r="J313">
        <f t="shared" si="138"/>
        <v>0.83</v>
      </c>
      <c r="K313">
        <f t="shared" si="138"/>
        <v>1.02</v>
      </c>
      <c r="L313">
        <f t="shared" si="138"/>
        <v>0.99</v>
      </c>
      <c r="M313">
        <f t="shared" si="138"/>
        <v>0.95</v>
      </c>
      <c r="N313">
        <f t="shared" si="138"/>
        <v>0.92</v>
      </c>
      <c r="O313">
        <f t="shared" si="138"/>
        <v>0.88</v>
      </c>
      <c r="P313">
        <f t="shared" si="138"/>
        <v>0.85</v>
      </c>
      <c r="Q313">
        <f t="shared" si="138"/>
        <v>0.81</v>
      </c>
      <c r="R313">
        <f t="shared" si="138"/>
        <v>0.78</v>
      </c>
      <c r="S313">
        <f t="shared" si="138"/>
        <v>0.74</v>
      </c>
      <c r="T313">
        <f t="shared" si="138"/>
        <v>0.7</v>
      </c>
      <c r="U313">
        <f t="shared" si="138"/>
        <v>0.67</v>
      </c>
      <c r="V313">
        <f t="shared" si="138"/>
        <v>0.63</v>
      </c>
      <c r="W313">
        <f t="shared" si="138"/>
        <v>0.6</v>
      </c>
      <c r="X313">
        <f t="shared" si="138"/>
        <v>0.56000000000000005</v>
      </c>
      <c r="Y313">
        <f t="shared" si="138"/>
        <v>0.53</v>
      </c>
      <c r="Z313">
        <f t="shared" si="138"/>
        <v>0.49</v>
      </c>
      <c r="AA313">
        <f t="shared" si="138"/>
        <v>0.46</v>
      </c>
      <c r="AB313">
        <f t="shared" si="138"/>
        <v>0.42</v>
      </c>
      <c r="AC313">
        <f t="shared" si="138"/>
        <v>0.39</v>
      </c>
      <c r="AD313">
        <f t="shared" si="138"/>
        <v>0.35</v>
      </c>
      <c r="AE313">
        <f t="shared" ref="AE313:CI313" si="140">AE517</f>
        <v>0.32</v>
      </c>
      <c r="AF313">
        <f t="shared" si="140"/>
        <v>0.28000000000000003</v>
      </c>
      <c r="AG313">
        <f t="shared" si="140"/>
        <v>0.25</v>
      </c>
      <c r="AH313">
        <f t="shared" si="140"/>
        <v>0.21</v>
      </c>
      <c r="AI313">
        <f t="shared" si="140"/>
        <v>0.18</v>
      </c>
      <c r="AJ313">
        <f t="shared" si="140"/>
        <v>0.14000000000000001</v>
      </c>
      <c r="AK313">
        <f t="shared" si="140"/>
        <v>0.11</v>
      </c>
      <c r="AL313">
        <f t="shared" si="140"/>
        <v>7.0000000000000007E-2</v>
      </c>
      <c r="AM313">
        <f t="shared" si="140"/>
        <v>0.04</v>
      </c>
      <c r="AN313">
        <f t="shared" si="140"/>
        <v>0</v>
      </c>
      <c r="AO313">
        <f t="shared" si="140"/>
        <v>0</v>
      </c>
      <c r="AP313">
        <f t="shared" si="140"/>
        <v>0</v>
      </c>
      <c r="AQ313">
        <f t="shared" si="140"/>
        <v>0</v>
      </c>
      <c r="AR313">
        <f t="shared" si="140"/>
        <v>0</v>
      </c>
      <c r="AS313">
        <f t="shared" si="140"/>
        <v>0</v>
      </c>
      <c r="AT313">
        <f t="shared" si="140"/>
        <v>0</v>
      </c>
      <c r="AU313">
        <f t="shared" si="140"/>
        <v>0</v>
      </c>
      <c r="AV313">
        <f t="shared" si="140"/>
        <v>0</v>
      </c>
      <c r="AW313">
        <f t="shared" si="140"/>
        <v>0</v>
      </c>
      <c r="AX313">
        <f t="shared" si="140"/>
        <v>0</v>
      </c>
      <c r="AY313">
        <f t="shared" si="140"/>
        <v>0</v>
      </c>
      <c r="AZ313">
        <f t="shared" si="140"/>
        <v>0</v>
      </c>
      <c r="BA313">
        <f t="shared" si="140"/>
        <v>0</v>
      </c>
      <c r="BB313">
        <f t="shared" si="140"/>
        <v>0</v>
      </c>
      <c r="BC313">
        <f t="shared" si="140"/>
        <v>0</v>
      </c>
      <c r="BD313">
        <f t="shared" si="140"/>
        <v>0</v>
      </c>
      <c r="BE313">
        <f t="shared" si="140"/>
        <v>0</v>
      </c>
      <c r="BF313">
        <f t="shared" si="140"/>
        <v>0</v>
      </c>
      <c r="BG313">
        <f t="shared" si="140"/>
        <v>0</v>
      </c>
      <c r="BH313">
        <f t="shared" si="140"/>
        <v>0</v>
      </c>
    </row>
    <row r="314" spans="1:60" hidden="1" outlineLevel="1">
      <c r="B314" t="str">
        <f t="shared" si="139"/>
        <v>Gas seco</v>
      </c>
      <c r="C314">
        <f t="shared" si="139"/>
        <v>115.28</v>
      </c>
      <c r="D314">
        <f t="shared" si="139"/>
        <v>119.9</v>
      </c>
      <c r="E314">
        <f t="shared" si="139"/>
        <v>139.91999999999999</v>
      </c>
      <c r="F314">
        <f t="shared" si="139"/>
        <v>153.79</v>
      </c>
      <c r="G314">
        <f t="shared" si="139"/>
        <v>158.38</v>
      </c>
      <c r="H314">
        <f t="shared" si="139"/>
        <v>164.21</v>
      </c>
      <c r="I314">
        <f t="shared" si="139"/>
        <v>157.29</v>
      </c>
      <c r="J314">
        <f t="shared" si="139"/>
        <v>148.34</v>
      </c>
      <c r="K314">
        <f t="shared" si="139"/>
        <v>188.77</v>
      </c>
      <c r="L314">
        <f t="shared" si="139"/>
        <v>191.7</v>
      </c>
      <c r="M314">
        <f t="shared" si="139"/>
        <v>193.51</v>
      </c>
      <c r="N314">
        <f t="shared" si="139"/>
        <v>195.32</v>
      </c>
      <c r="O314">
        <f t="shared" si="139"/>
        <v>197.14</v>
      </c>
      <c r="P314">
        <f t="shared" si="139"/>
        <v>198.95</v>
      </c>
      <c r="Q314">
        <f t="shared" si="139"/>
        <v>200.77</v>
      </c>
      <c r="R314">
        <f t="shared" ref="R314:BV315" si="141">R518</f>
        <v>202.58</v>
      </c>
      <c r="S314">
        <f t="shared" si="141"/>
        <v>204.4</v>
      </c>
      <c r="T314">
        <f t="shared" si="141"/>
        <v>206.21</v>
      </c>
      <c r="U314">
        <f t="shared" si="141"/>
        <v>208.02</v>
      </c>
      <c r="V314">
        <f t="shared" si="141"/>
        <v>209.84</v>
      </c>
      <c r="W314">
        <f t="shared" si="141"/>
        <v>211.65</v>
      </c>
      <c r="X314">
        <f t="shared" si="141"/>
        <v>212.46</v>
      </c>
      <c r="Y314">
        <f t="shared" si="141"/>
        <v>211.93</v>
      </c>
      <c r="Z314">
        <f t="shared" si="141"/>
        <v>211.4</v>
      </c>
      <c r="AA314">
        <f t="shared" si="141"/>
        <v>210.86</v>
      </c>
      <c r="AB314">
        <f t="shared" si="141"/>
        <v>210.33</v>
      </c>
      <c r="AC314">
        <f t="shared" si="141"/>
        <v>209.79</v>
      </c>
      <c r="AD314">
        <f t="shared" si="141"/>
        <v>209.26</v>
      </c>
      <c r="AE314">
        <f t="shared" si="141"/>
        <v>208.72</v>
      </c>
      <c r="AF314">
        <f t="shared" si="141"/>
        <v>208.19</v>
      </c>
      <c r="AG314">
        <f t="shared" si="141"/>
        <v>207.66</v>
      </c>
      <c r="AH314">
        <f t="shared" si="141"/>
        <v>207.12</v>
      </c>
      <c r="AI314">
        <f t="shared" si="141"/>
        <v>206.59</v>
      </c>
      <c r="AJ314">
        <f t="shared" si="141"/>
        <v>206.05</v>
      </c>
      <c r="AK314">
        <f t="shared" si="141"/>
        <v>205.52</v>
      </c>
      <c r="AL314">
        <f t="shared" si="141"/>
        <v>204.98</v>
      </c>
      <c r="AM314">
        <f t="shared" si="141"/>
        <v>204.44</v>
      </c>
      <c r="AN314">
        <f t="shared" si="141"/>
        <v>203.9</v>
      </c>
      <c r="AO314">
        <f t="shared" si="141"/>
        <v>203.9</v>
      </c>
      <c r="AP314">
        <f t="shared" si="141"/>
        <v>203.9</v>
      </c>
      <c r="AQ314">
        <f t="shared" si="141"/>
        <v>203.9</v>
      </c>
      <c r="AR314">
        <f t="shared" si="141"/>
        <v>203.9</v>
      </c>
      <c r="AS314">
        <f t="shared" si="141"/>
        <v>203.9</v>
      </c>
      <c r="AT314">
        <f t="shared" si="141"/>
        <v>203.9</v>
      </c>
      <c r="AU314">
        <f t="shared" si="141"/>
        <v>203.9</v>
      </c>
      <c r="AV314">
        <f t="shared" si="141"/>
        <v>203.9</v>
      </c>
      <c r="AW314">
        <f t="shared" si="141"/>
        <v>203.9</v>
      </c>
      <c r="AX314">
        <f t="shared" si="141"/>
        <v>203.9</v>
      </c>
      <c r="AY314">
        <f t="shared" si="141"/>
        <v>203.9</v>
      </c>
      <c r="AZ314">
        <f t="shared" si="141"/>
        <v>203.9</v>
      </c>
      <c r="BA314">
        <f t="shared" si="141"/>
        <v>203.9</v>
      </c>
      <c r="BB314">
        <f t="shared" si="141"/>
        <v>203.9</v>
      </c>
      <c r="BC314">
        <f t="shared" si="141"/>
        <v>203.9</v>
      </c>
      <c r="BD314">
        <f t="shared" si="141"/>
        <v>203.9</v>
      </c>
      <c r="BE314">
        <f t="shared" si="141"/>
        <v>203.9</v>
      </c>
      <c r="BF314">
        <f t="shared" si="141"/>
        <v>203.9</v>
      </c>
      <c r="BG314">
        <f t="shared" si="141"/>
        <v>203.9</v>
      </c>
      <c r="BH314">
        <f t="shared" si="141"/>
        <v>203.9</v>
      </c>
    </row>
    <row r="315" spans="1:60" hidden="1" outlineLevel="1">
      <c r="B315" t="str">
        <f t="shared" si="139"/>
        <v>Electricidad</v>
      </c>
      <c r="C315">
        <f t="shared" si="139"/>
        <v>31.58</v>
      </c>
      <c r="D315">
        <f t="shared" si="139"/>
        <v>29.85</v>
      </c>
      <c r="E315">
        <f t="shared" si="139"/>
        <v>23.22</v>
      </c>
      <c r="F315">
        <f t="shared" si="139"/>
        <v>20.63</v>
      </c>
      <c r="G315">
        <f t="shared" si="139"/>
        <v>20.46</v>
      </c>
      <c r="H315">
        <f t="shared" si="139"/>
        <v>19.989999999999998</v>
      </c>
      <c r="I315">
        <f t="shared" si="139"/>
        <v>18.43</v>
      </c>
      <c r="J315">
        <f t="shared" si="139"/>
        <v>18.91</v>
      </c>
      <c r="K315">
        <f t="shared" si="139"/>
        <v>19.38</v>
      </c>
      <c r="L315">
        <f t="shared" si="139"/>
        <v>15.14</v>
      </c>
      <c r="M315">
        <f t="shared" si="139"/>
        <v>17.91</v>
      </c>
      <c r="N315">
        <f t="shared" si="139"/>
        <v>20.69</v>
      </c>
      <c r="O315">
        <f t="shared" si="139"/>
        <v>23.46</v>
      </c>
      <c r="P315">
        <f t="shared" si="139"/>
        <v>26.24</v>
      </c>
      <c r="Q315">
        <f t="shared" si="139"/>
        <v>29.02</v>
      </c>
      <c r="R315">
        <f t="shared" si="141"/>
        <v>31.79</v>
      </c>
      <c r="S315">
        <f t="shared" si="141"/>
        <v>34.57</v>
      </c>
      <c r="T315">
        <f t="shared" si="141"/>
        <v>37.35</v>
      </c>
      <c r="U315">
        <f t="shared" si="141"/>
        <v>40.119999999999997</v>
      </c>
      <c r="V315">
        <f t="shared" si="141"/>
        <v>42.9</v>
      </c>
      <c r="W315">
        <f t="shared" si="141"/>
        <v>45.67</v>
      </c>
      <c r="X315">
        <f t="shared" si="141"/>
        <v>49.45</v>
      </c>
      <c r="Y315">
        <f t="shared" si="141"/>
        <v>54.58</v>
      </c>
      <c r="Z315">
        <f t="shared" si="141"/>
        <v>59.7</v>
      </c>
      <c r="AA315">
        <f t="shared" si="141"/>
        <v>64.83</v>
      </c>
      <c r="AB315">
        <f t="shared" si="141"/>
        <v>69.95</v>
      </c>
      <c r="AC315">
        <f t="shared" si="141"/>
        <v>75.08</v>
      </c>
      <c r="AD315">
        <f t="shared" si="141"/>
        <v>80.2</v>
      </c>
      <c r="AE315">
        <f t="shared" si="141"/>
        <v>85.33</v>
      </c>
      <c r="AF315">
        <f t="shared" si="141"/>
        <v>90.45</v>
      </c>
      <c r="AG315">
        <f t="shared" si="141"/>
        <v>95.57</v>
      </c>
      <c r="AH315">
        <f t="shared" si="141"/>
        <v>100.7</v>
      </c>
      <c r="AI315">
        <f t="shared" si="141"/>
        <v>105.82</v>
      </c>
      <c r="AJ315">
        <f t="shared" si="141"/>
        <v>110.95</v>
      </c>
      <c r="AK315">
        <f t="shared" si="141"/>
        <v>116.07</v>
      </c>
      <c r="AL315">
        <f t="shared" si="141"/>
        <v>121.2</v>
      </c>
      <c r="AM315">
        <f t="shared" si="141"/>
        <v>126.33</v>
      </c>
      <c r="AN315">
        <f t="shared" si="141"/>
        <v>131.46</v>
      </c>
      <c r="AO315">
        <f t="shared" si="141"/>
        <v>131.46</v>
      </c>
      <c r="AP315">
        <f t="shared" si="141"/>
        <v>131.46</v>
      </c>
      <c r="AQ315">
        <f t="shared" si="141"/>
        <v>131.46</v>
      </c>
      <c r="AR315">
        <f t="shared" si="141"/>
        <v>131.46</v>
      </c>
      <c r="AS315">
        <f t="shared" si="141"/>
        <v>131.46</v>
      </c>
      <c r="AT315">
        <f t="shared" si="141"/>
        <v>131.46</v>
      </c>
      <c r="AU315">
        <f t="shared" si="141"/>
        <v>131.46</v>
      </c>
      <c r="AV315">
        <f t="shared" si="141"/>
        <v>131.46</v>
      </c>
      <c r="AW315">
        <f t="shared" si="141"/>
        <v>131.46</v>
      </c>
      <c r="AX315">
        <f t="shared" si="141"/>
        <v>131.46</v>
      </c>
      <c r="AY315">
        <f t="shared" si="141"/>
        <v>131.46</v>
      </c>
      <c r="AZ315">
        <f t="shared" si="141"/>
        <v>131.46</v>
      </c>
      <c r="BA315">
        <f t="shared" si="141"/>
        <v>131.46</v>
      </c>
      <c r="BB315">
        <f t="shared" si="141"/>
        <v>131.46</v>
      </c>
      <c r="BC315">
        <f t="shared" si="141"/>
        <v>131.46</v>
      </c>
      <c r="BD315">
        <f t="shared" si="141"/>
        <v>131.46</v>
      </c>
      <c r="BE315">
        <f t="shared" si="141"/>
        <v>131.46</v>
      </c>
      <c r="BF315">
        <f t="shared" si="141"/>
        <v>131.46</v>
      </c>
      <c r="BG315">
        <f t="shared" si="141"/>
        <v>131.46</v>
      </c>
      <c r="BH315">
        <f t="shared" si="141"/>
        <v>131.46</v>
      </c>
    </row>
    <row r="316" spans="1:60" s="68" customFormat="1" collapsed="1">
      <c r="A316" s="68" t="s">
        <v>140</v>
      </c>
      <c r="C316" s="68" t="s">
        <v>160</v>
      </c>
    </row>
    <row r="317" spans="1:60" s="68" customFormat="1" collapsed="1">
      <c r="A317" s="68" t="s">
        <v>141</v>
      </c>
      <c r="C317" s="68" t="s">
        <v>161</v>
      </c>
    </row>
    <row r="318" spans="1:60" s="68" customFormat="1" collapsed="1">
      <c r="A318" s="68" t="s">
        <v>142</v>
      </c>
      <c r="C318" s="68">
        <f>SUM(C319:C321)</f>
        <v>0.76</v>
      </c>
      <c r="D318" s="68">
        <f t="shared" ref="D318:BH318" si="142">SUM(D319:D321)</f>
        <v>0.88</v>
      </c>
      <c r="E318" s="68">
        <f t="shared" si="142"/>
        <v>0.95000000000000007</v>
      </c>
      <c r="F318" s="68">
        <f t="shared" si="142"/>
        <v>0.97000000000000008</v>
      </c>
      <c r="G318" s="68">
        <f t="shared" si="142"/>
        <v>1.01</v>
      </c>
      <c r="H318" s="68">
        <f t="shared" si="142"/>
        <v>1</v>
      </c>
      <c r="I318" s="68">
        <f t="shared" si="142"/>
        <v>1.05</v>
      </c>
      <c r="J318" s="68">
        <f t="shared" si="142"/>
        <v>0.97000000000000008</v>
      </c>
      <c r="K318" s="68">
        <f t="shared" si="142"/>
        <v>1.06</v>
      </c>
      <c r="L318" s="68">
        <f t="shared" si="142"/>
        <v>1.4200000000000002</v>
      </c>
      <c r="M318" s="68">
        <f t="shared" si="142"/>
        <v>0.95000000000000007</v>
      </c>
      <c r="N318" s="68">
        <f t="shared" si="142"/>
        <v>0.95100359842857629</v>
      </c>
      <c r="O318" s="68">
        <f t="shared" si="142"/>
        <v>0.95199151563170592</v>
      </c>
      <c r="P318" s="68">
        <f t="shared" si="142"/>
        <v>0.95301079528572852</v>
      </c>
      <c r="Q318" s="68">
        <f t="shared" si="142"/>
        <v>0.95401439371430463</v>
      </c>
      <c r="R318" s="68">
        <f t="shared" si="142"/>
        <v>0.95500231091743426</v>
      </c>
      <c r="S318" s="68">
        <f t="shared" si="142"/>
        <v>0.95602159057145708</v>
      </c>
      <c r="T318" s="68">
        <f t="shared" si="142"/>
        <v>0.9570095077745866</v>
      </c>
      <c r="U318" s="68">
        <f t="shared" si="142"/>
        <v>0.95799742497771612</v>
      </c>
      <c r="V318" s="68">
        <f t="shared" si="142"/>
        <v>0.95903238585718531</v>
      </c>
      <c r="W318" s="68">
        <f t="shared" si="142"/>
        <v>0.96002030306031483</v>
      </c>
      <c r="X318" s="68">
        <f t="shared" si="142"/>
        <v>0.95730745105806991</v>
      </c>
      <c r="Y318" s="68">
        <f t="shared" si="142"/>
        <v>0.9495766069129441</v>
      </c>
      <c r="Z318" s="68">
        <f t="shared" si="142"/>
        <v>0.94183008154237213</v>
      </c>
      <c r="AA318" s="68">
        <f t="shared" si="142"/>
        <v>0.93411491862269314</v>
      </c>
      <c r="AB318" s="68">
        <f t="shared" si="142"/>
        <v>0.92638407447756743</v>
      </c>
      <c r="AC318" s="68">
        <f t="shared" si="142"/>
        <v>0.91862186788154898</v>
      </c>
      <c r="AD318" s="68">
        <f t="shared" si="142"/>
        <v>0.91092238618731636</v>
      </c>
      <c r="AE318" s="68">
        <f t="shared" si="142"/>
        <v>0.90319154204219076</v>
      </c>
      <c r="AF318" s="68">
        <f t="shared" si="142"/>
        <v>0.89544501667161858</v>
      </c>
      <c r="AG318" s="68">
        <f t="shared" si="142"/>
        <v>0.88771417252649298</v>
      </c>
      <c r="AH318" s="68">
        <f t="shared" si="142"/>
        <v>0.87999900960681388</v>
      </c>
      <c r="AI318" s="68">
        <f t="shared" si="142"/>
        <v>0.8722524842362418</v>
      </c>
      <c r="AJ318" s="68">
        <f t="shared" si="142"/>
        <v>0.86452164009111598</v>
      </c>
      <c r="AK318" s="68">
        <f t="shared" si="142"/>
        <v>0.85679079594599039</v>
      </c>
      <c r="AL318" s="68">
        <f t="shared" si="142"/>
        <v>0.84907563302631128</v>
      </c>
      <c r="AM318" s="68">
        <f t="shared" si="142"/>
        <v>0.84125070152850667</v>
      </c>
      <c r="AN318" s="68">
        <f t="shared" si="142"/>
        <v>0.83344145125614855</v>
      </c>
      <c r="AO318" s="68">
        <f t="shared" si="142"/>
        <v>0.83344145125614855</v>
      </c>
      <c r="AP318" s="68">
        <f t="shared" si="142"/>
        <v>0.83344145125614855</v>
      </c>
      <c r="AQ318" s="68">
        <f t="shared" si="142"/>
        <v>0.83344145125614855</v>
      </c>
      <c r="AR318" s="68">
        <f t="shared" si="142"/>
        <v>0.83344145125614855</v>
      </c>
      <c r="AS318" s="68">
        <f t="shared" si="142"/>
        <v>0.83344145125614855</v>
      </c>
      <c r="AT318" s="68">
        <f t="shared" si="142"/>
        <v>0.83344145125614855</v>
      </c>
      <c r="AU318" s="68">
        <f t="shared" si="142"/>
        <v>0.83344145125614855</v>
      </c>
      <c r="AV318" s="68">
        <f t="shared" si="142"/>
        <v>0.83344145125614855</v>
      </c>
      <c r="AW318" s="68">
        <f t="shared" si="142"/>
        <v>0.83344145125614855</v>
      </c>
      <c r="AX318" s="68">
        <f t="shared" si="142"/>
        <v>0.83344145125614855</v>
      </c>
      <c r="AY318" s="68">
        <f t="shared" si="142"/>
        <v>0.83344145125614855</v>
      </c>
      <c r="AZ318" s="68">
        <f t="shared" si="142"/>
        <v>0.83344145125614855</v>
      </c>
      <c r="BA318" s="68">
        <f t="shared" si="142"/>
        <v>0.83344145125614855</v>
      </c>
      <c r="BB318" s="68">
        <f t="shared" si="142"/>
        <v>0.83344145125614855</v>
      </c>
      <c r="BC318" s="68">
        <f t="shared" si="142"/>
        <v>0.83344145125614855</v>
      </c>
      <c r="BD318" s="68">
        <f t="shared" si="142"/>
        <v>0.83344145125614855</v>
      </c>
      <c r="BE318" s="68">
        <f t="shared" si="142"/>
        <v>0.83344145125614855</v>
      </c>
      <c r="BF318" s="68">
        <f t="shared" si="142"/>
        <v>0.83344145125614855</v>
      </c>
      <c r="BG318" s="68">
        <f t="shared" si="142"/>
        <v>0.83344145125614855</v>
      </c>
      <c r="BH318" s="68">
        <f t="shared" si="142"/>
        <v>0.83344145125614855</v>
      </c>
    </row>
    <row r="319" spans="1:60" hidden="1" outlineLevel="1">
      <c r="B319" t="str">
        <f>B521</f>
        <v>Combustóleo</v>
      </c>
      <c r="C319">
        <f>C521</f>
        <v>0.01</v>
      </c>
      <c r="D319">
        <f t="shared" ref="D319:BH321" si="143">D521</f>
        <v>0.01</v>
      </c>
      <c r="E319">
        <f t="shared" si="143"/>
        <v>0.01</v>
      </c>
      <c r="F319">
        <f t="shared" si="143"/>
        <v>0.01</v>
      </c>
      <c r="G319">
        <f t="shared" si="143"/>
        <v>0.01</v>
      </c>
      <c r="H319">
        <f t="shared" si="143"/>
        <v>0.01</v>
      </c>
      <c r="I319">
        <f t="shared" si="143"/>
        <v>0.01</v>
      </c>
      <c r="J319">
        <f t="shared" si="143"/>
        <v>0.01</v>
      </c>
      <c r="K319">
        <f t="shared" si="143"/>
        <v>0.01</v>
      </c>
      <c r="L319">
        <f t="shared" si="143"/>
        <v>0.02</v>
      </c>
      <c r="M319">
        <f t="shared" si="143"/>
        <v>0.02</v>
      </c>
      <c r="N319">
        <f t="shared" si="143"/>
        <v>2.0021128387970027E-2</v>
      </c>
      <c r="O319">
        <f t="shared" si="143"/>
        <v>2.0041926644878021E-2</v>
      </c>
      <c r="P319">
        <f t="shared" si="143"/>
        <v>2.0063385163910076E-2</v>
      </c>
      <c r="Q319">
        <f t="shared" si="143"/>
        <v>2.0084513551880099E-2</v>
      </c>
      <c r="R319">
        <f t="shared" si="143"/>
        <v>2.0105311808788089E-2</v>
      </c>
      <c r="S319">
        <f t="shared" si="143"/>
        <v>2.0126770327820148E-2</v>
      </c>
      <c r="T319">
        <f t="shared" si="143"/>
        <v>2.0147568584728135E-2</v>
      </c>
      <c r="U319">
        <f t="shared" si="143"/>
        <v>2.0168366841636125E-2</v>
      </c>
      <c r="V319">
        <f t="shared" si="143"/>
        <v>2.0190155491730217E-2</v>
      </c>
      <c r="W319">
        <f t="shared" si="143"/>
        <v>2.0210953748638211E-2</v>
      </c>
      <c r="X319">
        <f t="shared" si="143"/>
        <v>2.0153841074906739E-2</v>
      </c>
      <c r="Y319">
        <f t="shared" si="143"/>
        <v>1.9991086461325146E-2</v>
      </c>
      <c r="Z319">
        <f t="shared" si="143"/>
        <v>1.9828001716681528E-2</v>
      </c>
      <c r="AA319">
        <f t="shared" si="143"/>
        <v>1.9665577234161968E-2</v>
      </c>
      <c r="AB319">
        <f t="shared" si="143"/>
        <v>1.9502822620580375E-2</v>
      </c>
      <c r="AC319">
        <f t="shared" si="143"/>
        <v>1.9339407744874724E-2</v>
      </c>
      <c r="AD319">
        <f t="shared" si="143"/>
        <v>1.9177313393417193E-2</v>
      </c>
      <c r="AE319">
        <f t="shared" si="143"/>
        <v>1.90145587798356E-2</v>
      </c>
      <c r="AF319">
        <f t="shared" si="143"/>
        <v>1.8851474035191974E-2</v>
      </c>
      <c r="AG319">
        <f t="shared" si="143"/>
        <v>1.8688719421610385E-2</v>
      </c>
      <c r="AH319">
        <f t="shared" si="143"/>
        <v>1.8526294939090825E-2</v>
      </c>
      <c r="AI319">
        <f t="shared" si="143"/>
        <v>1.8363210194447203E-2</v>
      </c>
      <c r="AJ319">
        <f t="shared" si="143"/>
        <v>1.8200455580865606E-2</v>
      </c>
      <c r="AK319">
        <f t="shared" si="143"/>
        <v>1.8037700967284014E-2</v>
      </c>
      <c r="AL319">
        <f t="shared" si="143"/>
        <v>1.7875276484764457E-2</v>
      </c>
      <c r="AM319">
        <f t="shared" si="143"/>
        <v>1.7710541084810676E-2</v>
      </c>
      <c r="AN319">
        <f t="shared" si="143"/>
        <v>1.7546135815918924E-2</v>
      </c>
      <c r="AO319">
        <f t="shared" si="143"/>
        <v>1.7546135815918924E-2</v>
      </c>
      <c r="AP319">
        <f t="shared" si="143"/>
        <v>1.7546135815918924E-2</v>
      </c>
      <c r="AQ319">
        <f t="shared" si="143"/>
        <v>1.7546135815918924E-2</v>
      </c>
      <c r="AR319">
        <f t="shared" si="143"/>
        <v>1.7546135815918924E-2</v>
      </c>
      <c r="AS319">
        <f t="shared" si="143"/>
        <v>1.7546135815918924E-2</v>
      </c>
      <c r="AT319">
        <f t="shared" si="143"/>
        <v>1.7546135815918924E-2</v>
      </c>
      <c r="AU319">
        <f t="shared" si="143"/>
        <v>1.7546135815918924E-2</v>
      </c>
      <c r="AV319">
        <f t="shared" si="143"/>
        <v>1.7546135815918924E-2</v>
      </c>
      <c r="AW319">
        <f t="shared" si="143"/>
        <v>1.7546135815918924E-2</v>
      </c>
      <c r="AX319">
        <f t="shared" si="143"/>
        <v>1.7546135815918924E-2</v>
      </c>
      <c r="AY319">
        <f t="shared" si="143"/>
        <v>1.7546135815918924E-2</v>
      </c>
      <c r="AZ319">
        <f t="shared" si="143"/>
        <v>1.7546135815918924E-2</v>
      </c>
      <c r="BA319">
        <f t="shared" si="143"/>
        <v>1.7546135815918924E-2</v>
      </c>
      <c r="BB319">
        <f t="shared" si="143"/>
        <v>1.7546135815918924E-2</v>
      </c>
      <c r="BC319">
        <f t="shared" si="143"/>
        <v>1.7546135815918924E-2</v>
      </c>
      <c r="BD319">
        <f t="shared" si="143"/>
        <v>1.7546135815918924E-2</v>
      </c>
      <c r="BE319">
        <f t="shared" si="143"/>
        <v>1.7546135815918924E-2</v>
      </c>
      <c r="BF319">
        <f t="shared" si="143"/>
        <v>1.7546135815918924E-2</v>
      </c>
      <c r="BG319">
        <f t="shared" si="143"/>
        <v>1.7546135815918924E-2</v>
      </c>
      <c r="BH319">
        <f t="shared" si="143"/>
        <v>1.7546135815918924E-2</v>
      </c>
    </row>
    <row r="320" spans="1:60" hidden="1" outlineLevel="1">
      <c r="B320" t="str">
        <f t="shared" ref="B320:C321" si="144">B522</f>
        <v>Gas seco</v>
      </c>
      <c r="C320">
        <f t="shared" si="144"/>
        <v>0.02</v>
      </c>
      <c r="D320">
        <f t="shared" si="143"/>
        <v>0.03</v>
      </c>
      <c r="E320">
        <f t="shared" si="143"/>
        <v>0.03</v>
      </c>
      <c r="F320">
        <f t="shared" si="143"/>
        <v>0.03</v>
      </c>
      <c r="G320">
        <f t="shared" si="143"/>
        <v>0.03</v>
      </c>
      <c r="H320">
        <f t="shared" si="143"/>
        <v>0.03</v>
      </c>
      <c r="I320">
        <f t="shared" si="143"/>
        <v>0.03</v>
      </c>
      <c r="J320">
        <f t="shared" si="143"/>
        <v>0.03</v>
      </c>
      <c r="K320">
        <f t="shared" si="143"/>
        <v>0.03</v>
      </c>
      <c r="L320">
        <f t="shared" si="143"/>
        <v>0.03</v>
      </c>
      <c r="M320">
        <f t="shared" si="143"/>
        <v>0.03</v>
      </c>
      <c r="N320">
        <f t="shared" si="143"/>
        <v>3.0031692581955038E-2</v>
      </c>
      <c r="O320">
        <f t="shared" si="143"/>
        <v>3.0062889967317027E-2</v>
      </c>
      <c r="P320">
        <f t="shared" si="143"/>
        <v>3.0095077745865111E-2</v>
      </c>
      <c r="Q320">
        <f t="shared" si="143"/>
        <v>3.0126770327820147E-2</v>
      </c>
      <c r="R320">
        <f t="shared" si="143"/>
        <v>3.0157967713182136E-2</v>
      </c>
      <c r="S320">
        <f t="shared" si="143"/>
        <v>3.0190155491730226E-2</v>
      </c>
      <c r="T320">
        <f t="shared" si="143"/>
        <v>3.0221352877092208E-2</v>
      </c>
      <c r="U320">
        <f t="shared" si="143"/>
        <v>3.0252550262454197E-2</v>
      </c>
      <c r="V320">
        <f t="shared" si="143"/>
        <v>3.0285233237595331E-2</v>
      </c>
      <c r="W320">
        <f t="shared" si="143"/>
        <v>3.031643062295732E-2</v>
      </c>
      <c r="X320">
        <f t="shared" si="143"/>
        <v>3.0230761612360112E-2</v>
      </c>
      <c r="Y320">
        <f t="shared" si="143"/>
        <v>2.9986629691987721E-2</v>
      </c>
      <c r="Z320">
        <f t="shared" si="143"/>
        <v>2.974200257502229E-2</v>
      </c>
      <c r="AA320">
        <f t="shared" si="143"/>
        <v>2.9498365851242953E-2</v>
      </c>
      <c r="AB320">
        <f t="shared" si="143"/>
        <v>2.9254233930870566E-2</v>
      </c>
      <c r="AC320">
        <f t="shared" si="143"/>
        <v>2.9009111617312087E-2</v>
      </c>
      <c r="AD320">
        <f t="shared" si="143"/>
        <v>2.8765970090125791E-2</v>
      </c>
      <c r="AE320">
        <f t="shared" si="143"/>
        <v>2.8521838169753403E-2</v>
      </c>
      <c r="AF320">
        <f t="shared" si="143"/>
        <v>2.8277211052787962E-2</v>
      </c>
      <c r="AG320">
        <f t="shared" si="143"/>
        <v>2.8033079132415574E-2</v>
      </c>
      <c r="AH320">
        <f t="shared" si="143"/>
        <v>2.778944240863623E-2</v>
      </c>
      <c r="AI320">
        <f t="shared" si="143"/>
        <v>2.7544815291670799E-2</v>
      </c>
      <c r="AJ320">
        <f t="shared" si="143"/>
        <v>2.7300683371298408E-2</v>
      </c>
      <c r="AK320">
        <f t="shared" si="143"/>
        <v>2.7056551450926024E-2</v>
      </c>
      <c r="AL320">
        <f t="shared" si="143"/>
        <v>2.6812914727146687E-2</v>
      </c>
      <c r="AM320">
        <f t="shared" si="143"/>
        <v>2.6565811627216013E-2</v>
      </c>
      <c r="AN320">
        <f t="shared" si="143"/>
        <v>2.6319203723878387E-2</v>
      </c>
      <c r="AO320">
        <f t="shared" si="143"/>
        <v>2.6319203723878387E-2</v>
      </c>
      <c r="AP320">
        <f t="shared" si="143"/>
        <v>2.6319203723878387E-2</v>
      </c>
      <c r="AQ320">
        <f t="shared" si="143"/>
        <v>2.6319203723878387E-2</v>
      </c>
      <c r="AR320">
        <f t="shared" si="143"/>
        <v>2.6319203723878387E-2</v>
      </c>
      <c r="AS320">
        <f t="shared" si="143"/>
        <v>2.6319203723878387E-2</v>
      </c>
      <c r="AT320">
        <f t="shared" si="143"/>
        <v>2.6319203723878387E-2</v>
      </c>
      <c r="AU320">
        <f t="shared" si="143"/>
        <v>2.6319203723878387E-2</v>
      </c>
      <c r="AV320">
        <f t="shared" si="143"/>
        <v>2.6319203723878387E-2</v>
      </c>
      <c r="AW320">
        <f t="shared" si="143"/>
        <v>2.6319203723878387E-2</v>
      </c>
      <c r="AX320">
        <f t="shared" si="143"/>
        <v>2.6319203723878387E-2</v>
      </c>
      <c r="AY320">
        <f t="shared" si="143"/>
        <v>2.6319203723878387E-2</v>
      </c>
      <c r="AZ320">
        <f t="shared" si="143"/>
        <v>2.6319203723878387E-2</v>
      </c>
      <c r="BA320">
        <f t="shared" si="143"/>
        <v>2.6319203723878387E-2</v>
      </c>
      <c r="BB320">
        <f t="shared" si="143"/>
        <v>2.6319203723878387E-2</v>
      </c>
      <c r="BC320">
        <f t="shared" si="143"/>
        <v>2.6319203723878387E-2</v>
      </c>
      <c r="BD320">
        <f t="shared" si="143"/>
        <v>2.6319203723878387E-2</v>
      </c>
      <c r="BE320">
        <f t="shared" si="143"/>
        <v>2.6319203723878387E-2</v>
      </c>
      <c r="BF320">
        <f t="shared" si="143"/>
        <v>2.6319203723878387E-2</v>
      </c>
      <c r="BG320">
        <f t="shared" si="143"/>
        <v>2.6319203723878387E-2</v>
      </c>
      <c r="BH320">
        <f t="shared" si="143"/>
        <v>2.6319203723878387E-2</v>
      </c>
    </row>
    <row r="321" spans="1:60" hidden="1" outlineLevel="1">
      <c r="B321" t="str">
        <f t="shared" si="144"/>
        <v>Energía eléctrica</v>
      </c>
      <c r="C321">
        <f t="shared" si="144"/>
        <v>0.73</v>
      </c>
      <c r="D321">
        <f t="shared" si="143"/>
        <v>0.84</v>
      </c>
      <c r="E321">
        <f t="shared" si="143"/>
        <v>0.91</v>
      </c>
      <c r="F321">
        <f t="shared" si="143"/>
        <v>0.93</v>
      </c>
      <c r="G321">
        <f t="shared" si="143"/>
        <v>0.97</v>
      </c>
      <c r="H321">
        <f t="shared" si="143"/>
        <v>0.96</v>
      </c>
      <c r="I321">
        <f t="shared" si="143"/>
        <v>1.01</v>
      </c>
      <c r="J321">
        <f t="shared" si="143"/>
        <v>0.93</v>
      </c>
      <c r="K321">
        <f t="shared" si="143"/>
        <v>1.02</v>
      </c>
      <c r="L321">
        <f t="shared" si="143"/>
        <v>1.37</v>
      </c>
      <c r="M321">
        <f t="shared" si="143"/>
        <v>0.9</v>
      </c>
      <c r="N321">
        <f t="shared" si="143"/>
        <v>0.90095077745865126</v>
      </c>
      <c r="O321">
        <f t="shared" si="143"/>
        <v>0.90188669901951091</v>
      </c>
      <c r="P321">
        <f t="shared" si="143"/>
        <v>0.9028523323759533</v>
      </c>
      <c r="Q321">
        <f t="shared" si="143"/>
        <v>0.90380310983460443</v>
      </c>
      <c r="R321">
        <f t="shared" si="143"/>
        <v>0.90473903139546408</v>
      </c>
      <c r="S321">
        <f t="shared" si="143"/>
        <v>0.9057046647519067</v>
      </c>
      <c r="T321">
        <f t="shared" si="143"/>
        <v>0.90664058631276623</v>
      </c>
      <c r="U321">
        <f t="shared" si="143"/>
        <v>0.90757650787362576</v>
      </c>
      <c r="V321">
        <f t="shared" si="143"/>
        <v>0.90855699712785976</v>
      </c>
      <c r="W321">
        <f t="shared" si="143"/>
        <v>0.90949291868871929</v>
      </c>
      <c r="X321">
        <f t="shared" si="143"/>
        <v>0.90692284837080306</v>
      </c>
      <c r="Y321">
        <f t="shared" si="143"/>
        <v>0.89959889075963129</v>
      </c>
      <c r="Z321">
        <f t="shared" si="143"/>
        <v>0.89226007725066836</v>
      </c>
      <c r="AA321">
        <f t="shared" si="143"/>
        <v>0.88495097553728819</v>
      </c>
      <c r="AB321">
        <f t="shared" si="143"/>
        <v>0.87762701792611653</v>
      </c>
      <c r="AC321">
        <f t="shared" si="143"/>
        <v>0.87027334851936222</v>
      </c>
      <c r="AD321">
        <f t="shared" si="143"/>
        <v>0.86297910270377332</v>
      </c>
      <c r="AE321">
        <f t="shared" si="143"/>
        <v>0.85565514509260177</v>
      </c>
      <c r="AF321">
        <f t="shared" si="143"/>
        <v>0.84831633158363862</v>
      </c>
      <c r="AG321">
        <f t="shared" si="143"/>
        <v>0.84099237397246707</v>
      </c>
      <c r="AH321">
        <f t="shared" si="143"/>
        <v>0.83368327225908678</v>
      </c>
      <c r="AI321">
        <f t="shared" si="143"/>
        <v>0.82634445875012374</v>
      </c>
      <c r="AJ321">
        <f t="shared" si="143"/>
        <v>0.81902050113895197</v>
      </c>
      <c r="AK321">
        <f t="shared" si="143"/>
        <v>0.81169654352778031</v>
      </c>
      <c r="AL321">
        <f t="shared" si="143"/>
        <v>0.80438744181440014</v>
      </c>
      <c r="AM321">
        <f t="shared" si="143"/>
        <v>0.79697434881647999</v>
      </c>
      <c r="AN321">
        <f t="shared" si="143"/>
        <v>0.78957611171635123</v>
      </c>
      <c r="AO321">
        <f t="shared" si="143"/>
        <v>0.78957611171635123</v>
      </c>
      <c r="AP321">
        <f t="shared" si="143"/>
        <v>0.78957611171635123</v>
      </c>
      <c r="AQ321">
        <f t="shared" si="143"/>
        <v>0.78957611171635123</v>
      </c>
      <c r="AR321">
        <f t="shared" si="143"/>
        <v>0.78957611171635123</v>
      </c>
      <c r="AS321">
        <f t="shared" si="143"/>
        <v>0.78957611171635123</v>
      </c>
      <c r="AT321">
        <f t="shared" si="143"/>
        <v>0.78957611171635123</v>
      </c>
      <c r="AU321">
        <f t="shared" si="143"/>
        <v>0.78957611171635123</v>
      </c>
      <c r="AV321">
        <f t="shared" si="143"/>
        <v>0.78957611171635123</v>
      </c>
      <c r="AW321">
        <f t="shared" si="143"/>
        <v>0.78957611171635123</v>
      </c>
      <c r="AX321">
        <f t="shared" si="143"/>
        <v>0.78957611171635123</v>
      </c>
      <c r="AY321">
        <f t="shared" si="143"/>
        <v>0.78957611171635123</v>
      </c>
      <c r="AZ321">
        <f t="shared" si="143"/>
        <v>0.78957611171635123</v>
      </c>
      <c r="BA321">
        <f t="shared" si="143"/>
        <v>0.78957611171635123</v>
      </c>
      <c r="BB321">
        <f t="shared" si="143"/>
        <v>0.78957611171635123</v>
      </c>
      <c r="BC321">
        <f t="shared" si="143"/>
        <v>0.78957611171635123</v>
      </c>
      <c r="BD321">
        <f t="shared" si="143"/>
        <v>0.78957611171635123</v>
      </c>
      <c r="BE321">
        <f t="shared" si="143"/>
        <v>0.78957611171635123</v>
      </c>
      <c r="BF321">
        <f t="shared" si="143"/>
        <v>0.78957611171635123</v>
      </c>
      <c r="BG321">
        <f t="shared" si="143"/>
        <v>0.78957611171635123</v>
      </c>
      <c r="BH321">
        <f t="shared" si="143"/>
        <v>0.78957611171635123</v>
      </c>
    </row>
    <row r="322" spans="1:60" s="68" customFormat="1" collapsed="1">
      <c r="A322" s="68" t="s">
        <v>143</v>
      </c>
      <c r="C322" s="68">
        <f>SUM(C323:C326)</f>
        <v>0.71</v>
      </c>
      <c r="D322" s="68">
        <f t="shared" ref="D322:BH322" si="145">SUM(D323:D326)</f>
        <v>0.74</v>
      </c>
      <c r="E322" s="68">
        <f t="shared" si="145"/>
        <v>0.77</v>
      </c>
      <c r="F322" s="68">
        <f t="shared" si="145"/>
        <v>0.81</v>
      </c>
      <c r="G322" s="68">
        <f t="shared" si="145"/>
        <v>0.83000000000000007</v>
      </c>
      <c r="H322" s="68">
        <f t="shared" si="145"/>
        <v>0.83000000000000007</v>
      </c>
      <c r="I322" s="68">
        <f t="shared" si="145"/>
        <v>0.83000000000000007</v>
      </c>
      <c r="J322" s="68">
        <f t="shared" si="145"/>
        <v>0.81</v>
      </c>
      <c r="K322" s="68">
        <f t="shared" si="145"/>
        <v>0.95000000000000018</v>
      </c>
      <c r="L322" s="68">
        <f t="shared" si="145"/>
        <v>0.77000000000000013</v>
      </c>
      <c r="M322" s="68">
        <f t="shared" si="145"/>
        <v>0.97</v>
      </c>
      <c r="N322" s="68">
        <f t="shared" si="145"/>
        <v>0.97102472681654617</v>
      </c>
      <c r="O322" s="68">
        <f t="shared" si="145"/>
        <v>0.97203344227658384</v>
      </c>
      <c r="P322" s="68">
        <f t="shared" si="145"/>
        <v>0.97307418044963856</v>
      </c>
      <c r="Q322" s="68">
        <f t="shared" si="145"/>
        <v>0.97409890726618453</v>
      </c>
      <c r="R322" s="68">
        <f t="shared" si="145"/>
        <v>0.97510762272622231</v>
      </c>
      <c r="S322" s="68">
        <f t="shared" si="145"/>
        <v>0.97614836089927715</v>
      </c>
      <c r="T322" s="68">
        <f t="shared" si="145"/>
        <v>0.9771570763593147</v>
      </c>
      <c r="U322" s="68">
        <f t="shared" si="145"/>
        <v>0.97816579181935226</v>
      </c>
      <c r="V322" s="68">
        <f t="shared" si="145"/>
        <v>0.97922254134891562</v>
      </c>
      <c r="W322" s="68">
        <f t="shared" si="145"/>
        <v>0.98023125680895329</v>
      </c>
      <c r="X322" s="68">
        <f t="shared" si="145"/>
        <v>0.97746129213297683</v>
      </c>
      <c r="Y322" s="68">
        <f t="shared" si="145"/>
        <v>0.96956769337426951</v>
      </c>
      <c r="Z322" s="68">
        <f t="shared" si="145"/>
        <v>0.96165808325905378</v>
      </c>
      <c r="AA322" s="68">
        <f t="shared" si="145"/>
        <v>0.95378049585685531</v>
      </c>
      <c r="AB322" s="68">
        <f t="shared" si="145"/>
        <v>0.94588689709814788</v>
      </c>
      <c r="AC322" s="68">
        <f t="shared" si="145"/>
        <v>0.93796127562642373</v>
      </c>
      <c r="AD322" s="68">
        <f t="shared" si="145"/>
        <v>0.93009969958073346</v>
      </c>
      <c r="AE322" s="68">
        <f t="shared" si="145"/>
        <v>0.92220610082202648</v>
      </c>
      <c r="AF322" s="68">
        <f t="shared" si="145"/>
        <v>0.91429649070681074</v>
      </c>
      <c r="AG322" s="68">
        <f t="shared" si="145"/>
        <v>0.90640289194810353</v>
      </c>
      <c r="AH322" s="68">
        <f t="shared" si="145"/>
        <v>0.89852530454590485</v>
      </c>
      <c r="AI322" s="68">
        <f t="shared" si="145"/>
        <v>0.890615694430689</v>
      </c>
      <c r="AJ322" s="68">
        <f t="shared" si="145"/>
        <v>0.88272209567198179</v>
      </c>
      <c r="AK322" s="68">
        <f t="shared" si="145"/>
        <v>0.87482849691327469</v>
      </c>
      <c r="AL322" s="68">
        <f t="shared" si="145"/>
        <v>0.86695090951107612</v>
      </c>
      <c r="AM322" s="68">
        <f t="shared" si="145"/>
        <v>0.85896124261331763</v>
      </c>
      <c r="AN322" s="68">
        <f t="shared" si="145"/>
        <v>0.85098758707206779</v>
      </c>
      <c r="AO322" s="68">
        <f t="shared" si="145"/>
        <v>0.85098758707206779</v>
      </c>
      <c r="AP322" s="68">
        <f t="shared" si="145"/>
        <v>0.85098758707206779</v>
      </c>
      <c r="AQ322" s="68">
        <f t="shared" si="145"/>
        <v>0.85098758707206779</v>
      </c>
      <c r="AR322" s="68">
        <f t="shared" si="145"/>
        <v>0.85098758707206779</v>
      </c>
      <c r="AS322" s="68">
        <f t="shared" si="145"/>
        <v>0.85098758707206779</v>
      </c>
      <c r="AT322" s="68">
        <f t="shared" si="145"/>
        <v>0.85098758707206779</v>
      </c>
      <c r="AU322" s="68">
        <f t="shared" si="145"/>
        <v>0.85098758707206779</v>
      </c>
      <c r="AV322" s="68">
        <f t="shared" si="145"/>
        <v>0.85098758707206779</v>
      </c>
      <c r="AW322" s="68">
        <f t="shared" si="145"/>
        <v>0.85098758707206779</v>
      </c>
      <c r="AX322" s="68">
        <f t="shared" si="145"/>
        <v>0.85098758707206779</v>
      </c>
      <c r="AY322" s="68">
        <f t="shared" si="145"/>
        <v>0.85098758707206779</v>
      </c>
      <c r="AZ322" s="68">
        <f t="shared" si="145"/>
        <v>0.85098758707206779</v>
      </c>
      <c r="BA322" s="68">
        <f t="shared" si="145"/>
        <v>0.85098758707206779</v>
      </c>
      <c r="BB322" s="68">
        <f t="shared" si="145"/>
        <v>0.85098758707206779</v>
      </c>
      <c r="BC322" s="68">
        <f t="shared" si="145"/>
        <v>0.85098758707206779</v>
      </c>
      <c r="BD322" s="68">
        <f t="shared" si="145"/>
        <v>0.85098758707206779</v>
      </c>
      <c r="BE322" s="68">
        <f t="shared" si="145"/>
        <v>0.85098758707206779</v>
      </c>
      <c r="BF322" s="68">
        <f t="shared" si="145"/>
        <v>0.85098758707206779</v>
      </c>
      <c r="BG322" s="68">
        <f t="shared" si="145"/>
        <v>0.85098758707206779</v>
      </c>
      <c r="BH322" s="68">
        <f t="shared" si="145"/>
        <v>0.85098758707206779</v>
      </c>
    </row>
    <row r="323" spans="1:60" hidden="1" outlineLevel="1">
      <c r="B323" t="str">
        <f>B525</f>
        <v>Gas licuado</v>
      </c>
      <c r="C323">
        <f t="shared" ref="C323:BH326" si="146">C525</f>
        <v>0.04</v>
      </c>
      <c r="D323">
        <f t="shared" si="146"/>
        <v>0.04</v>
      </c>
      <c r="E323">
        <f t="shared" si="146"/>
        <v>0.04</v>
      </c>
      <c r="F323">
        <f t="shared" si="146"/>
        <v>0.05</v>
      </c>
      <c r="G323">
        <f t="shared" si="146"/>
        <v>0.05</v>
      </c>
      <c r="H323">
        <f t="shared" si="146"/>
        <v>0.05</v>
      </c>
      <c r="I323">
        <f t="shared" si="146"/>
        <v>0.05</v>
      </c>
      <c r="J323">
        <f t="shared" si="146"/>
        <v>0.05</v>
      </c>
      <c r="K323">
        <f t="shared" si="146"/>
        <v>0.05</v>
      </c>
      <c r="L323">
        <f t="shared" si="146"/>
        <v>0.05</v>
      </c>
      <c r="M323">
        <f t="shared" si="146"/>
        <v>0.05</v>
      </c>
      <c r="N323">
        <f t="shared" si="146"/>
        <v>5.0052820969925069E-2</v>
      </c>
      <c r="O323">
        <f t="shared" si="146"/>
        <v>5.0104816612195048E-2</v>
      </c>
      <c r="P323">
        <f t="shared" si="146"/>
        <v>5.0158462909775187E-2</v>
      </c>
      <c r="Q323">
        <f t="shared" si="146"/>
        <v>5.0211283879700246E-2</v>
      </c>
      <c r="R323">
        <f t="shared" si="146"/>
        <v>5.0263279521970225E-2</v>
      </c>
      <c r="S323">
        <f t="shared" si="146"/>
        <v>5.0316925819550377E-2</v>
      </c>
      <c r="T323">
        <f t="shared" si="146"/>
        <v>5.036892146182035E-2</v>
      </c>
      <c r="U323">
        <f t="shared" si="146"/>
        <v>5.0420917104090336E-2</v>
      </c>
      <c r="V323">
        <f t="shared" si="146"/>
        <v>5.0475388729325561E-2</v>
      </c>
      <c r="W323">
        <f t="shared" si="146"/>
        <v>5.0527384371595541E-2</v>
      </c>
      <c r="X323">
        <f t="shared" si="146"/>
        <v>5.0384602687266855E-2</v>
      </c>
      <c r="Y323">
        <f t="shared" si="146"/>
        <v>4.9977716153312868E-2</v>
      </c>
      <c r="Z323">
        <f t="shared" si="146"/>
        <v>4.9570004291703815E-2</v>
      </c>
      <c r="AA323">
        <f t="shared" si="146"/>
        <v>4.9163943085404921E-2</v>
      </c>
      <c r="AB323">
        <f t="shared" si="146"/>
        <v>4.8757056551450934E-2</v>
      </c>
      <c r="AC323">
        <f t="shared" si="146"/>
        <v>4.8348519362186801E-2</v>
      </c>
      <c r="AD323">
        <f t="shared" si="146"/>
        <v>4.7943283483542973E-2</v>
      </c>
      <c r="AE323">
        <f t="shared" si="146"/>
        <v>4.7536396949588992E-2</v>
      </c>
      <c r="AF323">
        <f t="shared" si="146"/>
        <v>4.7128685087979925E-2</v>
      </c>
      <c r="AG323">
        <f t="shared" si="146"/>
        <v>4.6721798554025952E-2</v>
      </c>
      <c r="AH323">
        <f t="shared" si="146"/>
        <v>4.6315737347727044E-2</v>
      </c>
      <c r="AI323">
        <f t="shared" si="146"/>
        <v>4.5908025486117991E-2</v>
      </c>
      <c r="AJ323">
        <f t="shared" si="146"/>
        <v>4.5501138952164004E-2</v>
      </c>
      <c r="AK323">
        <f t="shared" si="146"/>
        <v>4.5094252418210024E-2</v>
      </c>
      <c r="AL323">
        <f t="shared" si="146"/>
        <v>4.468819121191113E-2</v>
      </c>
      <c r="AM323">
        <f t="shared" si="146"/>
        <v>4.4276352712026679E-2</v>
      </c>
      <c r="AN323">
        <f t="shared" si="146"/>
        <v>4.38653395397973E-2</v>
      </c>
      <c r="AO323">
        <f t="shared" si="146"/>
        <v>4.38653395397973E-2</v>
      </c>
      <c r="AP323">
        <f t="shared" si="146"/>
        <v>4.38653395397973E-2</v>
      </c>
      <c r="AQ323">
        <f t="shared" si="146"/>
        <v>4.38653395397973E-2</v>
      </c>
      <c r="AR323">
        <f t="shared" si="146"/>
        <v>4.38653395397973E-2</v>
      </c>
      <c r="AS323">
        <f t="shared" si="146"/>
        <v>4.38653395397973E-2</v>
      </c>
      <c r="AT323">
        <f t="shared" si="146"/>
        <v>4.38653395397973E-2</v>
      </c>
      <c r="AU323">
        <f t="shared" si="146"/>
        <v>4.38653395397973E-2</v>
      </c>
      <c r="AV323">
        <f t="shared" si="146"/>
        <v>4.38653395397973E-2</v>
      </c>
      <c r="AW323">
        <f t="shared" si="146"/>
        <v>4.38653395397973E-2</v>
      </c>
      <c r="AX323">
        <f t="shared" si="146"/>
        <v>4.38653395397973E-2</v>
      </c>
      <c r="AY323">
        <f t="shared" si="146"/>
        <v>4.38653395397973E-2</v>
      </c>
      <c r="AZ323">
        <f t="shared" si="146"/>
        <v>4.38653395397973E-2</v>
      </c>
      <c r="BA323">
        <f t="shared" si="146"/>
        <v>4.38653395397973E-2</v>
      </c>
      <c r="BB323">
        <f t="shared" si="146"/>
        <v>4.38653395397973E-2</v>
      </c>
      <c r="BC323">
        <f t="shared" si="146"/>
        <v>4.38653395397973E-2</v>
      </c>
      <c r="BD323">
        <f t="shared" si="146"/>
        <v>4.38653395397973E-2</v>
      </c>
      <c r="BE323">
        <f t="shared" si="146"/>
        <v>4.38653395397973E-2</v>
      </c>
      <c r="BF323">
        <f t="shared" si="146"/>
        <v>4.38653395397973E-2</v>
      </c>
      <c r="BG323">
        <f t="shared" si="146"/>
        <v>4.38653395397973E-2</v>
      </c>
      <c r="BH323">
        <f t="shared" si="146"/>
        <v>4.38653395397973E-2</v>
      </c>
    </row>
    <row r="324" spans="1:60" hidden="1" outlineLevel="1">
      <c r="B324" t="str">
        <f t="shared" ref="B324:Q326" si="147">B526</f>
        <v>Combustóleo</v>
      </c>
      <c r="C324">
        <f t="shared" si="147"/>
        <v>0.4</v>
      </c>
      <c r="D324">
        <f t="shared" si="147"/>
        <v>0.42</v>
      </c>
      <c r="E324">
        <f t="shared" si="147"/>
        <v>0.44</v>
      </c>
      <c r="F324">
        <f t="shared" si="147"/>
        <v>0.46</v>
      </c>
      <c r="G324">
        <f t="shared" si="147"/>
        <v>0.47</v>
      </c>
      <c r="H324">
        <f t="shared" si="147"/>
        <v>0.47</v>
      </c>
      <c r="I324">
        <f t="shared" si="147"/>
        <v>0.47</v>
      </c>
      <c r="J324">
        <f t="shared" si="147"/>
        <v>0.46</v>
      </c>
      <c r="K324">
        <f t="shared" si="147"/>
        <v>0.54</v>
      </c>
      <c r="L324">
        <f t="shared" si="147"/>
        <v>0.56000000000000005</v>
      </c>
      <c r="M324">
        <f t="shared" si="147"/>
        <v>0.56999999999999995</v>
      </c>
      <c r="N324">
        <f t="shared" si="147"/>
        <v>0.57060215905714573</v>
      </c>
      <c r="O324">
        <f t="shared" si="147"/>
        <v>0.57119490937902351</v>
      </c>
      <c r="P324">
        <f t="shared" si="147"/>
        <v>0.57180647717143707</v>
      </c>
      <c r="Q324">
        <f t="shared" si="147"/>
        <v>0.57240863622858273</v>
      </c>
      <c r="R324">
        <f t="shared" si="146"/>
        <v>0.57300138655046051</v>
      </c>
      <c r="S324">
        <f t="shared" si="146"/>
        <v>0.57361295434287418</v>
      </c>
      <c r="T324">
        <f t="shared" si="146"/>
        <v>0.57420570466475185</v>
      </c>
      <c r="U324">
        <f t="shared" si="146"/>
        <v>0.57479845498662963</v>
      </c>
      <c r="V324">
        <f t="shared" si="146"/>
        <v>0.57541943151431119</v>
      </c>
      <c r="W324">
        <f t="shared" si="146"/>
        <v>0.57601218183618896</v>
      </c>
      <c r="X324">
        <f t="shared" si="146"/>
        <v>0.57438447063484199</v>
      </c>
      <c r="Y324">
        <f t="shared" si="146"/>
        <v>0.56974596414776657</v>
      </c>
      <c r="Z324">
        <f t="shared" si="146"/>
        <v>0.56509804892542337</v>
      </c>
      <c r="AA324">
        <f t="shared" si="146"/>
        <v>0.56046895117361595</v>
      </c>
      <c r="AB324">
        <f t="shared" si="146"/>
        <v>0.55583044468654053</v>
      </c>
      <c r="AC324">
        <f t="shared" si="146"/>
        <v>0.55117312072892943</v>
      </c>
      <c r="AD324">
        <f t="shared" si="146"/>
        <v>0.54655343171238979</v>
      </c>
      <c r="AE324">
        <f t="shared" si="146"/>
        <v>0.54191492522531448</v>
      </c>
      <c r="AF324">
        <f t="shared" si="146"/>
        <v>0.53726701000297117</v>
      </c>
      <c r="AG324">
        <f t="shared" si="146"/>
        <v>0.53262850351589586</v>
      </c>
      <c r="AH324">
        <f t="shared" si="146"/>
        <v>0.52799940576408833</v>
      </c>
      <c r="AI324">
        <f t="shared" si="146"/>
        <v>0.52335149054174512</v>
      </c>
      <c r="AJ324">
        <f t="shared" si="146"/>
        <v>0.5187129840546697</v>
      </c>
      <c r="AK324">
        <f t="shared" si="146"/>
        <v>0.51407447756759439</v>
      </c>
      <c r="AL324">
        <f t="shared" si="146"/>
        <v>0.50944537981578697</v>
      </c>
      <c r="AM324">
        <f t="shared" si="146"/>
        <v>0.5047504209171042</v>
      </c>
      <c r="AN324">
        <f t="shared" si="146"/>
        <v>0.50006487075368933</v>
      </c>
      <c r="AO324">
        <f t="shared" si="146"/>
        <v>0.50006487075368933</v>
      </c>
      <c r="AP324">
        <f t="shared" si="146"/>
        <v>0.50006487075368933</v>
      </c>
      <c r="AQ324">
        <f t="shared" si="146"/>
        <v>0.50006487075368933</v>
      </c>
      <c r="AR324">
        <f t="shared" si="146"/>
        <v>0.50006487075368933</v>
      </c>
      <c r="AS324">
        <f t="shared" si="146"/>
        <v>0.50006487075368933</v>
      </c>
      <c r="AT324">
        <f t="shared" si="146"/>
        <v>0.50006487075368933</v>
      </c>
      <c r="AU324">
        <f t="shared" si="146"/>
        <v>0.50006487075368933</v>
      </c>
      <c r="AV324">
        <f t="shared" si="146"/>
        <v>0.50006487075368933</v>
      </c>
      <c r="AW324">
        <f t="shared" si="146"/>
        <v>0.50006487075368933</v>
      </c>
      <c r="AX324">
        <f t="shared" si="146"/>
        <v>0.50006487075368933</v>
      </c>
      <c r="AY324">
        <f t="shared" si="146"/>
        <v>0.50006487075368933</v>
      </c>
      <c r="AZ324">
        <f t="shared" si="146"/>
        <v>0.50006487075368933</v>
      </c>
      <c r="BA324">
        <f t="shared" si="146"/>
        <v>0.50006487075368933</v>
      </c>
      <c r="BB324">
        <f t="shared" si="146"/>
        <v>0.50006487075368933</v>
      </c>
      <c r="BC324">
        <f t="shared" si="146"/>
        <v>0.50006487075368933</v>
      </c>
      <c r="BD324">
        <f t="shared" si="146"/>
        <v>0.50006487075368933</v>
      </c>
      <c r="BE324">
        <f t="shared" si="146"/>
        <v>0.50006487075368933</v>
      </c>
      <c r="BF324">
        <f t="shared" si="146"/>
        <v>0.50006487075368933</v>
      </c>
      <c r="BG324">
        <f t="shared" si="146"/>
        <v>0.50006487075368933</v>
      </c>
      <c r="BH324">
        <f t="shared" si="146"/>
        <v>0.50006487075368933</v>
      </c>
    </row>
    <row r="325" spans="1:60" hidden="1" outlineLevel="1">
      <c r="B325" t="str">
        <f t="shared" si="147"/>
        <v>Gas seco</v>
      </c>
      <c r="C325">
        <f t="shared" si="146"/>
        <v>0.04</v>
      </c>
      <c r="D325">
        <f t="shared" si="146"/>
        <v>0.04</v>
      </c>
      <c r="E325">
        <f t="shared" si="146"/>
        <v>0.04</v>
      </c>
      <c r="F325">
        <f t="shared" si="146"/>
        <v>0.04</v>
      </c>
      <c r="G325">
        <f t="shared" si="146"/>
        <v>0.04</v>
      </c>
      <c r="H325">
        <f t="shared" si="146"/>
        <v>0.04</v>
      </c>
      <c r="I325">
        <f t="shared" si="146"/>
        <v>0.04</v>
      </c>
      <c r="J325">
        <f t="shared" si="146"/>
        <v>0.04</v>
      </c>
      <c r="K325">
        <f t="shared" si="146"/>
        <v>0.05</v>
      </c>
      <c r="L325">
        <f t="shared" si="146"/>
        <v>0.05</v>
      </c>
      <c r="M325">
        <f t="shared" si="146"/>
        <v>0.05</v>
      </c>
      <c r="N325">
        <f t="shared" si="146"/>
        <v>5.0052820969925069E-2</v>
      </c>
      <c r="O325">
        <f t="shared" si="146"/>
        <v>5.0104816612195048E-2</v>
      </c>
      <c r="P325">
        <f t="shared" si="146"/>
        <v>5.0158462909775187E-2</v>
      </c>
      <c r="Q325">
        <f t="shared" si="146"/>
        <v>5.0211283879700246E-2</v>
      </c>
      <c r="R325">
        <f t="shared" si="146"/>
        <v>5.0263279521970225E-2</v>
      </c>
      <c r="S325">
        <f t="shared" si="146"/>
        <v>5.0316925819550377E-2</v>
      </c>
      <c r="T325">
        <f t="shared" si="146"/>
        <v>5.036892146182035E-2</v>
      </c>
      <c r="U325">
        <f t="shared" si="146"/>
        <v>5.0420917104090336E-2</v>
      </c>
      <c r="V325">
        <f t="shared" si="146"/>
        <v>5.0475388729325561E-2</v>
      </c>
      <c r="W325">
        <f t="shared" si="146"/>
        <v>5.0527384371595541E-2</v>
      </c>
      <c r="X325">
        <f t="shared" si="146"/>
        <v>5.0384602687266855E-2</v>
      </c>
      <c r="Y325">
        <f t="shared" si="146"/>
        <v>4.9977716153312868E-2</v>
      </c>
      <c r="Z325">
        <f t="shared" si="146"/>
        <v>4.9570004291703815E-2</v>
      </c>
      <c r="AA325">
        <f t="shared" si="146"/>
        <v>4.9163943085404921E-2</v>
      </c>
      <c r="AB325">
        <f t="shared" si="146"/>
        <v>4.8757056551450934E-2</v>
      </c>
      <c r="AC325">
        <f t="shared" si="146"/>
        <v>4.8348519362186801E-2</v>
      </c>
      <c r="AD325">
        <f t="shared" si="146"/>
        <v>4.7943283483542973E-2</v>
      </c>
      <c r="AE325">
        <f t="shared" si="146"/>
        <v>4.7536396949588992E-2</v>
      </c>
      <c r="AF325">
        <f t="shared" si="146"/>
        <v>4.7128685087979925E-2</v>
      </c>
      <c r="AG325">
        <f t="shared" si="146"/>
        <v>4.6721798554025952E-2</v>
      </c>
      <c r="AH325">
        <f t="shared" si="146"/>
        <v>4.6315737347727044E-2</v>
      </c>
      <c r="AI325">
        <f t="shared" si="146"/>
        <v>4.5908025486117991E-2</v>
      </c>
      <c r="AJ325">
        <f t="shared" si="146"/>
        <v>4.5501138952164004E-2</v>
      </c>
      <c r="AK325">
        <f t="shared" si="146"/>
        <v>4.5094252418210024E-2</v>
      </c>
      <c r="AL325">
        <f t="shared" si="146"/>
        <v>4.468819121191113E-2</v>
      </c>
      <c r="AM325">
        <f t="shared" si="146"/>
        <v>4.4276352712026679E-2</v>
      </c>
      <c r="AN325">
        <f t="shared" si="146"/>
        <v>4.38653395397973E-2</v>
      </c>
      <c r="AO325">
        <f t="shared" si="146"/>
        <v>4.38653395397973E-2</v>
      </c>
      <c r="AP325">
        <f t="shared" si="146"/>
        <v>4.38653395397973E-2</v>
      </c>
      <c r="AQ325">
        <f t="shared" si="146"/>
        <v>4.38653395397973E-2</v>
      </c>
      <c r="AR325">
        <f t="shared" si="146"/>
        <v>4.38653395397973E-2</v>
      </c>
      <c r="AS325">
        <f t="shared" si="146"/>
        <v>4.38653395397973E-2</v>
      </c>
      <c r="AT325">
        <f t="shared" si="146"/>
        <v>4.38653395397973E-2</v>
      </c>
      <c r="AU325">
        <f t="shared" si="146"/>
        <v>4.38653395397973E-2</v>
      </c>
      <c r="AV325">
        <f t="shared" si="146"/>
        <v>4.38653395397973E-2</v>
      </c>
      <c r="AW325">
        <f t="shared" si="146"/>
        <v>4.38653395397973E-2</v>
      </c>
      <c r="AX325">
        <f t="shared" si="146"/>
        <v>4.38653395397973E-2</v>
      </c>
      <c r="AY325">
        <f t="shared" si="146"/>
        <v>4.38653395397973E-2</v>
      </c>
      <c r="AZ325">
        <f t="shared" si="146"/>
        <v>4.38653395397973E-2</v>
      </c>
      <c r="BA325">
        <f t="shared" si="146"/>
        <v>4.38653395397973E-2</v>
      </c>
      <c r="BB325">
        <f t="shared" si="146"/>
        <v>4.38653395397973E-2</v>
      </c>
      <c r="BC325">
        <f t="shared" si="146"/>
        <v>4.38653395397973E-2</v>
      </c>
      <c r="BD325">
        <f t="shared" si="146"/>
        <v>4.38653395397973E-2</v>
      </c>
      <c r="BE325">
        <f t="shared" si="146"/>
        <v>4.38653395397973E-2</v>
      </c>
      <c r="BF325">
        <f t="shared" si="146"/>
        <v>4.38653395397973E-2</v>
      </c>
      <c r="BG325">
        <f t="shared" si="146"/>
        <v>4.38653395397973E-2</v>
      </c>
      <c r="BH325">
        <f t="shared" si="146"/>
        <v>4.38653395397973E-2</v>
      </c>
    </row>
    <row r="326" spans="1:60" hidden="1" outlineLevel="1">
      <c r="B326" t="str">
        <f t="shared" si="147"/>
        <v>Energía eléctrica</v>
      </c>
      <c r="C326">
        <f t="shared" si="146"/>
        <v>0.23</v>
      </c>
      <c r="D326">
        <f t="shared" si="146"/>
        <v>0.24</v>
      </c>
      <c r="E326">
        <f t="shared" si="146"/>
        <v>0.25</v>
      </c>
      <c r="F326">
        <f t="shared" si="146"/>
        <v>0.26</v>
      </c>
      <c r="G326">
        <f t="shared" si="146"/>
        <v>0.27</v>
      </c>
      <c r="H326">
        <f t="shared" si="146"/>
        <v>0.27</v>
      </c>
      <c r="I326">
        <f t="shared" si="146"/>
        <v>0.27</v>
      </c>
      <c r="J326">
        <f t="shared" si="146"/>
        <v>0.26</v>
      </c>
      <c r="K326">
        <f t="shared" si="146"/>
        <v>0.31</v>
      </c>
      <c r="L326">
        <f t="shared" si="146"/>
        <v>0.11</v>
      </c>
      <c r="M326">
        <f t="shared" si="146"/>
        <v>0.3</v>
      </c>
      <c r="N326">
        <f t="shared" si="146"/>
        <v>0.30031692581955044</v>
      </c>
      <c r="O326">
        <f t="shared" si="146"/>
        <v>0.3006288996731703</v>
      </c>
      <c r="P326">
        <f t="shared" si="146"/>
        <v>0.30095077745865112</v>
      </c>
      <c r="Q326">
        <f t="shared" si="146"/>
        <v>0.30126770327820146</v>
      </c>
      <c r="R326">
        <f t="shared" si="146"/>
        <v>0.30157967713182138</v>
      </c>
      <c r="S326">
        <f t="shared" si="146"/>
        <v>0.30190155491730225</v>
      </c>
      <c r="T326">
        <f t="shared" si="146"/>
        <v>0.30221352877092206</v>
      </c>
      <c r="U326">
        <f t="shared" si="146"/>
        <v>0.30252550262454198</v>
      </c>
      <c r="V326">
        <f t="shared" si="146"/>
        <v>0.30285233237595333</v>
      </c>
      <c r="W326">
        <f t="shared" si="146"/>
        <v>0.30316430622957319</v>
      </c>
      <c r="X326">
        <f t="shared" si="146"/>
        <v>0.30230761612360113</v>
      </c>
      <c r="Y326">
        <f t="shared" si="146"/>
        <v>0.29986629691987721</v>
      </c>
      <c r="Z326">
        <f t="shared" si="146"/>
        <v>0.29742002575022286</v>
      </c>
      <c r="AA326">
        <f t="shared" si="146"/>
        <v>0.29498365851242947</v>
      </c>
      <c r="AB326">
        <f t="shared" si="146"/>
        <v>0.29254233930870555</v>
      </c>
      <c r="AC326">
        <f t="shared" si="146"/>
        <v>0.29009111617312078</v>
      </c>
      <c r="AD326">
        <f t="shared" si="146"/>
        <v>0.28765970090125781</v>
      </c>
      <c r="AE326">
        <f t="shared" si="146"/>
        <v>0.285218381697534</v>
      </c>
      <c r="AF326">
        <f t="shared" si="146"/>
        <v>0.28277211052787965</v>
      </c>
      <c r="AG326">
        <f t="shared" si="146"/>
        <v>0.28033079132415578</v>
      </c>
      <c r="AH326">
        <f t="shared" si="146"/>
        <v>0.27789442408636233</v>
      </c>
      <c r="AI326">
        <f t="shared" si="146"/>
        <v>0.27544815291670799</v>
      </c>
      <c r="AJ326">
        <f t="shared" si="146"/>
        <v>0.27300683371298406</v>
      </c>
      <c r="AK326">
        <f t="shared" si="146"/>
        <v>0.2705655145092602</v>
      </c>
      <c r="AL326">
        <f t="shared" si="146"/>
        <v>0.26812914727146681</v>
      </c>
      <c r="AM326">
        <f t="shared" si="146"/>
        <v>0.26565811627216007</v>
      </c>
      <c r="AN326">
        <f t="shared" si="146"/>
        <v>0.26319203723878382</v>
      </c>
      <c r="AO326">
        <f t="shared" si="146"/>
        <v>0.26319203723878382</v>
      </c>
      <c r="AP326">
        <f t="shared" si="146"/>
        <v>0.26319203723878382</v>
      </c>
      <c r="AQ326">
        <f t="shared" si="146"/>
        <v>0.26319203723878382</v>
      </c>
      <c r="AR326">
        <f t="shared" si="146"/>
        <v>0.26319203723878382</v>
      </c>
      <c r="AS326">
        <f t="shared" si="146"/>
        <v>0.26319203723878382</v>
      </c>
      <c r="AT326">
        <f t="shared" si="146"/>
        <v>0.26319203723878382</v>
      </c>
      <c r="AU326">
        <f t="shared" si="146"/>
        <v>0.26319203723878382</v>
      </c>
      <c r="AV326">
        <f t="shared" si="146"/>
        <v>0.26319203723878382</v>
      </c>
      <c r="AW326">
        <f t="shared" si="146"/>
        <v>0.26319203723878382</v>
      </c>
      <c r="AX326">
        <f t="shared" si="146"/>
        <v>0.26319203723878382</v>
      </c>
      <c r="AY326">
        <f t="shared" si="146"/>
        <v>0.26319203723878382</v>
      </c>
      <c r="AZ326">
        <f t="shared" si="146"/>
        <v>0.26319203723878382</v>
      </c>
      <c r="BA326">
        <f t="shared" si="146"/>
        <v>0.26319203723878382</v>
      </c>
      <c r="BB326">
        <f t="shared" si="146"/>
        <v>0.26319203723878382</v>
      </c>
      <c r="BC326">
        <f t="shared" si="146"/>
        <v>0.26319203723878382</v>
      </c>
      <c r="BD326">
        <f t="shared" si="146"/>
        <v>0.26319203723878382</v>
      </c>
      <c r="BE326">
        <f t="shared" si="146"/>
        <v>0.26319203723878382</v>
      </c>
      <c r="BF326">
        <f t="shared" si="146"/>
        <v>0.26319203723878382</v>
      </c>
      <c r="BG326">
        <f t="shared" si="146"/>
        <v>0.26319203723878382</v>
      </c>
      <c r="BH326">
        <f t="shared" si="146"/>
        <v>0.26319203723878382</v>
      </c>
    </row>
    <row r="327" spans="1:60" s="68" customFormat="1" collapsed="1">
      <c r="A327" s="68" t="s">
        <v>144</v>
      </c>
      <c r="C327" s="68" t="s">
        <v>160</v>
      </c>
    </row>
    <row r="328" spans="1:60" s="68" customFormat="1" collapsed="1">
      <c r="A328" s="68" t="s">
        <v>145</v>
      </c>
      <c r="C328" s="68">
        <f>SUM(C329:C332)</f>
        <v>14.41</v>
      </c>
      <c r="D328" s="68">
        <f t="shared" ref="D328:BH328" si="148">SUM(D329:D332)</f>
        <v>15.67</v>
      </c>
      <c r="E328" s="68">
        <f t="shared" si="148"/>
        <v>16.57</v>
      </c>
      <c r="F328" s="68">
        <f t="shared" si="148"/>
        <v>17.399999999999999</v>
      </c>
      <c r="G328" s="68">
        <f t="shared" si="148"/>
        <v>17.28</v>
      </c>
      <c r="H328" s="68">
        <f t="shared" si="148"/>
        <v>18.36</v>
      </c>
      <c r="I328" s="68">
        <f t="shared" si="148"/>
        <v>19.350000000000001</v>
      </c>
      <c r="J328" s="68">
        <f t="shared" si="148"/>
        <v>18.350000000000001</v>
      </c>
      <c r="K328" s="68">
        <f t="shared" si="148"/>
        <v>21.1</v>
      </c>
      <c r="L328" s="68">
        <f t="shared" si="148"/>
        <v>21.7</v>
      </c>
      <c r="M328" s="68">
        <f t="shared" si="148"/>
        <v>22.549999999999997</v>
      </c>
      <c r="N328" s="68">
        <f t="shared" si="148"/>
        <v>23.4</v>
      </c>
      <c r="O328" s="68">
        <f t="shared" si="148"/>
        <v>24.259999999999998</v>
      </c>
      <c r="P328" s="68">
        <f t="shared" si="148"/>
        <v>25.1</v>
      </c>
      <c r="Q328" s="68">
        <f t="shared" si="148"/>
        <v>25.95</v>
      </c>
      <c r="R328" s="68">
        <f t="shared" si="148"/>
        <v>26.799999999999997</v>
      </c>
      <c r="S328" s="68">
        <f t="shared" si="148"/>
        <v>27.65</v>
      </c>
      <c r="T328" s="68">
        <f t="shared" si="148"/>
        <v>28.5</v>
      </c>
      <c r="U328" s="68">
        <f t="shared" si="148"/>
        <v>29.34</v>
      </c>
      <c r="V328" s="68">
        <f t="shared" si="148"/>
        <v>30.2</v>
      </c>
      <c r="W328" s="68">
        <f t="shared" si="148"/>
        <v>31.06</v>
      </c>
      <c r="X328" s="68">
        <f t="shared" si="148"/>
        <v>31.89</v>
      </c>
      <c r="Y328" s="68">
        <f t="shared" si="148"/>
        <v>32.75</v>
      </c>
      <c r="Z328" s="68">
        <f t="shared" si="148"/>
        <v>33.590000000000003</v>
      </c>
      <c r="AA328" s="68">
        <f t="shared" si="148"/>
        <v>34.46</v>
      </c>
      <c r="AB328" s="68">
        <f t="shared" si="148"/>
        <v>35.299999999999997</v>
      </c>
      <c r="AC328" s="68">
        <f t="shared" si="148"/>
        <v>36.14</v>
      </c>
      <c r="AD328" s="68">
        <f t="shared" si="148"/>
        <v>37.01</v>
      </c>
      <c r="AE328" s="68">
        <f t="shared" si="148"/>
        <v>37.849999999999994</v>
      </c>
      <c r="AF328" s="68">
        <f t="shared" si="148"/>
        <v>38.71</v>
      </c>
      <c r="AG328" s="68">
        <f t="shared" si="148"/>
        <v>39.540000000000006</v>
      </c>
      <c r="AH328" s="68">
        <f t="shared" si="148"/>
        <v>40.4</v>
      </c>
      <c r="AI328" s="68">
        <f t="shared" si="148"/>
        <v>41.25</v>
      </c>
      <c r="AJ328" s="68">
        <f t="shared" si="148"/>
        <v>42.099999999999994</v>
      </c>
      <c r="AK328" s="68">
        <f t="shared" si="148"/>
        <v>42.96</v>
      </c>
      <c r="AL328" s="68">
        <f t="shared" si="148"/>
        <v>43.8</v>
      </c>
      <c r="AM328" s="68">
        <f t="shared" si="148"/>
        <v>44.65</v>
      </c>
      <c r="AN328" s="68">
        <f t="shared" si="148"/>
        <v>45.5</v>
      </c>
      <c r="AO328" s="68">
        <f t="shared" si="148"/>
        <v>45.5</v>
      </c>
      <c r="AP328" s="68">
        <f t="shared" si="148"/>
        <v>45.5</v>
      </c>
      <c r="AQ328" s="68">
        <f t="shared" si="148"/>
        <v>45.5</v>
      </c>
      <c r="AR328" s="68">
        <f t="shared" si="148"/>
        <v>45.5</v>
      </c>
      <c r="AS328" s="68">
        <f t="shared" si="148"/>
        <v>45.5</v>
      </c>
      <c r="AT328" s="68">
        <f t="shared" si="148"/>
        <v>45.5</v>
      </c>
      <c r="AU328" s="68">
        <f t="shared" si="148"/>
        <v>45.5</v>
      </c>
      <c r="AV328" s="68">
        <f t="shared" si="148"/>
        <v>45.5</v>
      </c>
      <c r="AW328" s="68">
        <f t="shared" si="148"/>
        <v>45.5</v>
      </c>
      <c r="AX328" s="68">
        <f t="shared" si="148"/>
        <v>45.5</v>
      </c>
      <c r="AY328" s="68">
        <f t="shared" si="148"/>
        <v>45.5</v>
      </c>
      <c r="AZ328" s="68">
        <f t="shared" si="148"/>
        <v>45.5</v>
      </c>
      <c r="BA328" s="68">
        <f t="shared" si="148"/>
        <v>45.5</v>
      </c>
      <c r="BB328" s="68">
        <f t="shared" si="148"/>
        <v>45.5</v>
      </c>
      <c r="BC328" s="68">
        <f t="shared" si="148"/>
        <v>45.5</v>
      </c>
      <c r="BD328" s="68">
        <f t="shared" si="148"/>
        <v>45.5</v>
      </c>
      <c r="BE328" s="68">
        <f t="shared" si="148"/>
        <v>45.5</v>
      </c>
      <c r="BF328" s="68">
        <f t="shared" si="148"/>
        <v>45.5</v>
      </c>
      <c r="BG328" s="68">
        <f t="shared" si="148"/>
        <v>45.5</v>
      </c>
      <c r="BH328" s="68">
        <f t="shared" si="148"/>
        <v>45.5</v>
      </c>
    </row>
    <row r="329" spans="1:60" hidden="1" outlineLevel="1">
      <c r="B329" t="str">
        <f>B544</f>
        <v>GLP</v>
      </c>
      <c r="C329">
        <f>C544</f>
        <v>0.55000000000000004</v>
      </c>
      <c r="D329">
        <f t="shared" ref="D329:BH332" si="149">D544</f>
        <v>0.61</v>
      </c>
      <c r="E329">
        <f t="shared" si="149"/>
        <v>0.66</v>
      </c>
      <c r="F329">
        <f t="shared" si="149"/>
        <v>0.67</v>
      </c>
      <c r="G329">
        <f t="shared" si="149"/>
        <v>0.66</v>
      </c>
      <c r="H329">
        <f t="shared" si="149"/>
        <v>0.69</v>
      </c>
      <c r="I329">
        <f t="shared" si="149"/>
        <v>0.72</v>
      </c>
      <c r="J329">
        <f t="shared" si="149"/>
        <v>0.56000000000000005</v>
      </c>
      <c r="K329">
        <f t="shared" si="149"/>
        <v>0.46</v>
      </c>
      <c r="L329">
        <f t="shared" si="149"/>
        <v>0.49</v>
      </c>
      <c r="M329">
        <f t="shared" si="149"/>
        <v>0.49</v>
      </c>
      <c r="N329">
        <f t="shared" si="149"/>
        <v>0.49</v>
      </c>
      <c r="O329">
        <f t="shared" si="149"/>
        <v>0.5</v>
      </c>
      <c r="P329">
        <f t="shared" si="149"/>
        <v>0.5</v>
      </c>
      <c r="Q329">
        <f t="shared" si="149"/>
        <v>0.5</v>
      </c>
      <c r="R329">
        <f t="shared" si="149"/>
        <v>0.5</v>
      </c>
      <c r="S329">
        <f t="shared" si="149"/>
        <v>0.51</v>
      </c>
      <c r="T329">
        <f t="shared" si="149"/>
        <v>0.51</v>
      </c>
      <c r="U329">
        <f t="shared" si="149"/>
        <v>0.51</v>
      </c>
      <c r="V329">
        <f t="shared" si="149"/>
        <v>0.51</v>
      </c>
      <c r="W329">
        <f t="shared" si="149"/>
        <v>0.52</v>
      </c>
      <c r="X329">
        <f t="shared" si="149"/>
        <v>0.52</v>
      </c>
      <c r="Y329">
        <f t="shared" si="149"/>
        <v>0.52</v>
      </c>
      <c r="Z329">
        <f t="shared" si="149"/>
        <v>0.52</v>
      </c>
      <c r="AA329">
        <f t="shared" si="149"/>
        <v>0.53</v>
      </c>
      <c r="AB329">
        <f t="shared" si="149"/>
        <v>0.53</v>
      </c>
      <c r="AC329">
        <f t="shared" si="149"/>
        <v>0.53</v>
      </c>
      <c r="AD329">
        <f t="shared" si="149"/>
        <v>0.54</v>
      </c>
      <c r="AE329">
        <f t="shared" si="149"/>
        <v>0.54</v>
      </c>
      <c r="AF329">
        <f t="shared" si="149"/>
        <v>0.54</v>
      </c>
      <c r="AG329">
        <f t="shared" si="149"/>
        <v>0.54</v>
      </c>
      <c r="AH329">
        <f t="shared" si="149"/>
        <v>0.55000000000000004</v>
      </c>
      <c r="AI329">
        <f t="shared" si="149"/>
        <v>0.55000000000000004</v>
      </c>
      <c r="AJ329">
        <f t="shared" si="149"/>
        <v>0.55000000000000004</v>
      </c>
      <c r="AK329">
        <f t="shared" si="149"/>
        <v>0.55000000000000004</v>
      </c>
      <c r="AL329">
        <f t="shared" si="149"/>
        <v>0.56000000000000005</v>
      </c>
      <c r="AM329">
        <f t="shared" si="149"/>
        <v>0.56000000000000005</v>
      </c>
      <c r="AN329">
        <f t="shared" si="149"/>
        <v>0.56000000000000005</v>
      </c>
      <c r="AO329">
        <f t="shared" si="149"/>
        <v>0.56000000000000005</v>
      </c>
      <c r="AP329">
        <f t="shared" si="149"/>
        <v>0.56000000000000005</v>
      </c>
      <c r="AQ329">
        <f t="shared" si="149"/>
        <v>0.56000000000000005</v>
      </c>
      <c r="AR329">
        <f t="shared" si="149"/>
        <v>0.56000000000000005</v>
      </c>
      <c r="AS329">
        <f t="shared" si="149"/>
        <v>0.56000000000000005</v>
      </c>
      <c r="AT329">
        <f t="shared" si="149"/>
        <v>0.56000000000000005</v>
      </c>
      <c r="AU329">
        <f t="shared" si="149"/>
        <v>0.56000000000000005</v>
      </c>
      <c r="AV329">
        <f t="shared" si="149"/>
        <v>0.56000000000000005</v>
      </c>
      <c r="AW329">
        <f t="shared" si="149"/>
        <v>0.56000000000000005</v>
      </c>
      <c r="AX329">
        <f t="shared" si="149"/>
        <v>0.56000000000000005</v>
      </c>
      <c r="AY329">
        <f t="shared" si="149"/>
        <v>0.56000000000000005</v>
      </c>
      <c r="AZ329">
        <f t="shared" si="149"/>
        <v>0.56000000000000005</v>
      </c>
      <c r="BA329">
        <f t="shared" si="149"/>
        <v>0.56000000000000005</v>
      </c>
      <c r="BB329">
        <f t="shared" si="149"/>
        <v>0.56000000000000005</v>
      </c>
      <c r="BC329">
        <f t="shared" si="149"/>
        <v>0.56000000000000005</v>
      </c>
      <c r="BD329">
        <f t="shared" si="149"/>
        <v>0.56000000000000005</v>
      </c>
      <c r="BE329">
        <f t="shared" si="149"/>
        <v>0.56000000000000005</v>
      </c>
      <c r="BF329">
        <f t="shared" si="149"/>
        <v>0.56000000000000005</v>
      </c>
      <c r="BG329">
        <f t="shared" si="149"/>
        <v>0.56000000000000005</v>
      </c>
      <c r="BH329">
        <f t="shared" si="149"/>
        <v>0.56000000000000005</v>
      </c>
    </row>
    <row r="330" spans="1:60" hidden="1" outlineLevel="1">
      <c r="B330" t="str">
        <f t="shared" ref="B330:C332" si="150">B545</f>
        <v>Diésel</v>
      </c>
      <c r="C330">
        <f t="shared" si="150"/>
        <v>0.82</v>
      </c>
      <c r="D330">
        <f t="shared" si="149"/>
        <v>0.92</v>
      </c>
      <c r="E330">
        <f t="shared" si="149"/>
        <v>0.99</v>
      </c>
      <c r="F330">
        <f t="shared" si="149"/>
        <v>1</v>
      </c>
      <c r="G330">
        <f t="shared" si="149"/>
        <v>1.06</v>
      </c>
      <c r="H330">
        <f t="shared" si="149"/>
        <v>1.22</v>
      </c>
      <c r="I330">
        <f t="shared" si="149"/>
        <v>1.19</v>
      </c>
      <c r="J330">
        <f t="shared" si="149"/>
        <v>0.91</v>
      </c>
      <c r="K330">
        <f t="shared" si="149"/>
        <v>0.79</v>
      </c>
      <c r="L330">
        <f t="shared" si="149"/>
        <v>0.79</v>
      </c>
      <c r="M330">
        <f t="shared" si="149"/>
        <v>0.79</v>
      </c>
      <c r="N330">
        <f t="shared" si="149"/>
        <v>0.79</v>
      </c>
      <c r="O330">
        <f t="shared" si="149"/>
        <v>0.79</v>
      </c>
      <c r="P330">
        <f t="shared" si="149"/>
        <v>0.78</v>
      </c>
      <c r="Q330">
        <f t="shared" si="149"/>
        <v>0.78</v>
      </c>
      <c r="R330">
        <f t="shared" si="149"/>
        <v>0.78</v>
      </c>
      <c r="S330">
        <f t="shared" si="149"/>
        <v>0.78</v>
      </c>
      <c r="T330">
        <f t="shared" si="149"/>
        <v>0.77</v>
      </c>
      <c r="U330">
        <f t="shared" si="149"/>
        <v>0.77</v>
      </c>
      <c r="V330">
        <f t="shared" si="149"/>
        <v>0.77</v>
      </c>
      <c r="W330">
        <f t="shared" si="149"/>
        <v>0.77</v>
      </c>
      <c r="X330">
        <f t="shared" si="149"/>
        <v>0.76</v>
      </c>
      <c r="Y330">
        <f t="shared" si="149"/>
        <v>0.76</v>
      </c>
      <c r="Z330">
        <f t="shared" si="149"/>
        <v>0.76</v>
      </c>
      <c r="AA330">
        <f t="shared" si="149"/>
        <v>0.76</v>
      </c>
      <c r="AB330">
        <f t="shared" si="149"/>
        <v>0.76</v>
      </c>
      <c r="AC330">
        <f t="shared" si="149"/>
        <v>0.75</v>
      </c>
      <c r="AD330">
        <f t="shared" si="149"/>
        <v>0.75</v>
      </c>
      <c r="AE330">
        <f t="shared" si="149"/>
        <v>0.75</v>
      </c>
      <c r="AF330">
        <f t="shared" si="149"/>
        <v>0.75</v>
      </c>
      <c r="AG330">
        <f t="shared" si="149"/>
        <v>0.74</v>
      </c>
      <c r="AH330">
        <f t="shared" si="149"/>
        <v>0.74</v>
      </c>
      <c r="AI330">
        <f t="shared" si="149"/>
        <v>0.74</v>
      </c>
      <c r="AJ330">
        <f t="shared" si="149"/>
        <v>0.74</v>
      </c>
      <c r="AK330">
        <f t="shared" si="149"/>
        <v>0.74</v>
      </c>
      <c r="AL330">
        <f t="shared" si="149"/>
        <v>0.73</v>
      </c>
      <c r="AM330">
        <f t="shared" si="149"/>
        <v>0.73</v>
      </c>
      <c r="AN330">
        <f t="shared" si="149"/>
        <v>0.73</v>
      </c>
      <c r="AO330">
        <f t="shared" si="149"/>
        <v>0.73</v>
      </c>
      <c r="AP330">
        <f t="shared" si="149"/>
        <v>0.73</v>
      </c>
      <c r="AQ330">
        <f t="shared" si="149"/>
        <v>0.73</v>
      </c>
      <c r="AR330">
        <f t="shared" si="149"/>
        <v>0.73</v>
      </c>
      <c r="AS330">
        <f t="shared" si="149"/>
        <v>0.73</v>
      </c>
      <c r="AT330">
        <f t="shared" si="149"/>
        <v>0.73</v>
      </c>
      <c r="AU330">
        <f t="shared" si="149"/>
        <v>0.73</v>
      </c>
      <c r="AV330">
        <f t="shared" si="149"/>
        <v>0.73</v>
      </c>
      <c r="AW330">
        <f t="shared" si="149"/>
        <v>0.73</v>
      </c>
      <c r="AX330">
        <f t="shared" si="149"/>
        <v>0.73</v>
      </c>
      <c r="AY330">
        <f t="shared" si="149"/>
        <v>0.73</v>
      </c>
      <c r="AZ330">
        <f t="shared" si="149"/>
        <v>0.73</v>
      </c>
      <c r="BA330">
        <f t="shared" si="149"/>
        <v>0.73</v>
      </c>
      <c r="BB330">
        <f t="shared" si="149"/>
        <v>0.73</v>
      </c>
      <c r="BC330">
        <f t="shared" si="149"/>
        <v>0.73</v>
      </c>
      <c r="BD330">
        <f t="shared" si="149"/>
        <v>0.73</v>
      </c>
      <c r="BE330">
        <f t="shared" si="149"/>
        <v>0.73</v>
      </c>
      <c r="BF330">
        <f t="shared" si="149"/>
        <v>0.73</v>
      </c>
      <c r="BG330">
        <f t="shared" si="149"/>
        <v>0.73</v>
      </c>
      <c r="BH330">
        <f t="shared" si="149"/>
        <v>0.73</v>
      </c>
    </row>
    <row r="331" spans="1:60" hidden="1" outlineLevel="1">
      <c r="B331" t="str">
        <f t="shared" si="150"/>
        <v>Gas seco</v>
      </c>
      <c r="C331">
        <f t="shared" si="150"/>
        <v>4.74</v>
      </c>
      <c r="D331">
        <f t="shared" si="149"/>
        <v>5.61</v>
      </c>
      <c r="E331">
        <f t="shared" si="149"/>
        <v>5.71</v>
      </c>
      <c r="F331">
        <f t="shared" si="149"/>
        <v>6.11</v>
      </c>
      <c r="G331">
        <f t="shared" si="149"/>
        <v>5.97</v>
      </c>
      <c r="H331">
        <f t="shared" si="149"/>
        <v>6.55</v>
      </c>
      <c r="I331">
        <f t="shared" si="149"/>
        <v>7.23</v>
      </c>
      <c r="J331">
        <f t="shared" si="149"/>
        <v>6.27</v>
      </c>
      <c r="K331">
        <f t="shared" si="149"/>
        <v>9.67</v>
      </c>
      <c r="L331">
        <f t="shared" si="149"/>
        <v>9.9499999999999993</v>
      </c>
      <c r="M331">
        <f t="shared" si="149"/>
        <v>10.36</v>
      </c>
      <c r="N331">
        <f t="shared" si="149"/>
        <v>10.78</v>
      </c>
      <c r="O331">
        <f t="shared" si="149"/>
        <v>11.19</v>
      </c>
      <c r="P331">
        <f t="shared" si="149"/>
        <v>11.6</v>
      </c>
      <c r="Q331">
        <f t="shared" si="149"/>
        <v>12.02</v>
      </c>
      <c r="R331">
        <f t="shared" si="149"/>
        <v>12.43</v>
      </c>
      <c r="S331">
        <f t="shared" si="149"/>
        <v>12.84</v>
      </c>
      <c r="T331">
        <f t="shared" si="149"/>
        <v>13.26</v>
      </c>
      <c r="U331">
        <f t="shared" si="149"/>
        <v>13.67</v>
      </c>
      <c r="V331">
        <f t="shared" si="149"/>
        <v>14.09</v>
      </c>
      <c r="W331">
        <f t="shared" si="149"/>
        <v>14.5</v>
      </c>
      <c r="X331">
        <f t="shared" si="149"/>
        <v>14.91</v>
      </c>
      <c r="Y331">
        <f t="shared" si="149"/>
        <v>15.33</v>
      </c>
      <c r="Z331">
        <f t="shared" si="149"/>
        <v>15.74</v>
      </c>
      <c r="AA331">
        <f t="shared" si="149"/>
        <v>16.16</v>
      </c>
      <c r="AB331">
        <f t="shared" si="149"/>
        <v>16.57</v>
      </c>
      <c r="AC331">
        <f t="shared" si="149"/>
        <v>16.98</v>
      </c>
      <c r="AD331">
        <f t="shared" si="149"/>
        <v>17.399999999999999</v>
      </c>
      <c r="AE331">
        <f t="shared" si="149"/>
        <v>17.809999999999999</v>
      </c>
      <c r="AF331">
        <f t="shared" si="149"/>
        <v>18.23</v>
      </c>
      <c r="AG331">
        <f t="shared" si="149"/>
        <v>18.64</v>
      </c>
      <c r="AH331">
        <f t="shared" si="149"/>
        <v>19.05</v>
      </c>
      <c r="AI331">
        <f t="shared" si="149"/>
        <v>19.47</v>
      </c>
      <c r="AJ331">
        <f t="shared" si="149"/>
        <v>19.88</v>
      </c>
      <c r="AK331">
        <f t="shared" si="149"/>
        <v>20.3</v>
      </c>
      <c r="AL331">
        <f t="shared" si="149"/>
        <v>20.71</v>
      </c>
      <c r="AM331">
        <f t="shared" si="149"/>
        <v>21.12</v>
      </c>
      <c r="AN331">
        <f t="shared" si="149"/>
        <v>21.54</v>
      </c>
      <c r="AO331">
        <f t="shared" si="149"/>
        <v>21.54</v>
      </c>
      <c r="AP331">
        <f t="shared" si="149"/>
        <v>21.54</v>
      </c>
      <c r="AQ331">
        <f t="shared" si="149"/>
        <v>21.54</v>
      </c>
      <c r="AR331">
        <f t="shared" si="149"/>
        <v>21.54</v>
      </c>
      <c r="AS331">
        <f t="shared" si="149"/>
        <v>21.54</v>
      </c>
      <c r="AT331">
        <f t="shared" si="149"/>
        <v>21.54</v>
      </c>
      <c r="AU331">
        <f t="shared" si="149"/>
        <v>21.54</v>
      </c>
      <c r="AV331">
        <f t="shared" si="149"/>
        <v>21.54</v>
      </c>
      <c r="AW331">
        <f t="shared" si="149"/>
        <v>21.54</v>
      </c>
      <c r="AX331">
        <f t="shared" si="149"/>
        <v>21.54</v>
      </c>
      <c r="AY331">
        <f t="shared" si="149"/>
        <v>21.54</v>
      </c>
      <c r="AZ331">
        <f t="shared" si="149"/>
        <v>21.54</v>
      </c>
      <c r="BA331">
        <f t="shared" si="149"/>
        <v>21.54</v>
      </c>
      <c r="BB331">
        <f t="shared" si="149"/>
        <v>21.54</v>
      </c>
      <c r="BC331">
        <f t="shared" si="149"/>
        <v>21.54</v>
      </c>
      <c r="BD331">
        <f t="shared" si="149"/>
        <v>21.54</v>
      </c>
      <c r="BE331">
        <f t="shared" si="149"/>
        <v>21.54</v>
      </c>
      <c r="BF331">
        <f t="shared" si="149"/>
        <v>21.54</v>
      </c>
      <c r="BG331">
        <f t="shared" si="149"/>
        <v>21.54</v>
      </c>
      <c r="BH331">
        <f t="shared" si="149"/>
        <v>21.54</v>
      </c>
    </row>
    <row r="332" spans="1:60" hidden="1" outlineLevel="1">
      <c r="B332" t="str">
        <f t="shared" si="150"/>
        <v>Electricidad</v>
      </c>
      <c r="C332">
        <f t="shared" si="150"/>
        <v>8.3000000000000007</v>
      </c>
      <c r="D332">
        <f t="shared" si="149"/>
        <v>8.5299999999999994</v>
      </c>
      <c r="E332">
        <f t="shared" si="149"/>
        <v>9.2100000000000009</v>
      </c>
      <c r="F332">
        <f t="shared" si="149"/>
        <v>9.6199999999999992</v>
      </c>
      <c r="G332">
        <f t="shared" si="149"/>
        <v>9.59</v>
      </c>
      <c r="H332">
        <f t="shared" si="149"/>
        <v>9.9</v>
      </c>
      <c r="I332">
        <f t="shared" si="149"/>
        <v>10.210000000000001</v>
      </c>
      <c r="J332">
        <f t="shared" si="149"/>
        <v>10.61</v>
      </c>
      <c r="K332">
        <f t="shared" si="149"/>
        <v>10.18</v>
      </c>
      <c r="L332">
        <f t="shared" si="149"/>
        <v>10.47</v>
      </c>
      <c r="M332">
        <f t="shared" si="149"/>
        <v>10.91</v>
      </c>
      <c r="N332">
        <f t="shared" si="149"/>
        <v>11.34</v>
      </c>
      <c r="O332">
        <f t="shared" si="149"/>
        <v>11.78</v>
      </c>
      <c r="P332">
        <f t="shared" si="149"/>
        <v>12.22</v>
      </c>
      <c r="Q332">
        <f t="shared" si="149"/>
        <v>12.65</v>
      </c>
      <c r="R332">
        <f t="shared" si="149"/>
        <v>13.09</v>
      </c>
      <c r="S332">
        <f t="shared" si="149"/>
        <v>13.52</v>
      </c>
      <c r="T332">
        <f t="shared" si="149"/>
        <v>13.96</v>
      </c>
      <c r="U332">
        <f t="shared" si="149"/>
        <v>14.39</v>
      </c>
      <c r="V332">
        <f t="shared" si="149"/>
        <v>14.83</v>
      </c>
      <c r="W332">
        <f t="shared" si="149"/>
        <v>15.27</v>
      </c>
      <c r="X332">
        <f t="shared" si="149"/>
        <v>15.7</v>
      </c>
      <c r="Y332">
        <f t="shared" si="149"/>
        <v>16.14</v>
      </c>
      <c r="Z332">
        <f t="shared" si="149"/>
        <v>16.57</v>
      </c>
      <c r="AA332">
        <f t="shared" si="149"/>
        <v>17.010000000000002</v>
      </c>
      <c r="AB332">
        <f t="shared" si="149"/>
        <v>17.440000000000001</v>
      </c>
      <c r="AC332">
        <f t="shared" si="149"/>
        <v>17.88</v>
      </c>
      <c r="AD332">
        <f t="shared" si="149"/>
        <v>18.32</v>
      </c>
      <c r="AE332">
        <f t="shared" si="149"/>
        <v>18.75</v>
      </c>
      <c r="AF332">
        <f t="shared" si="149"/>
        <v>19.190000000000001</v>
      </c>
      <c r="AG332">
        <f t="shared" si="149"/>
        <v>19.62</v>
      </c>
      <c r="AH332">
        <f t="shared" si="149"/>
        <v>20.059999999999999</v>
      </c>
      <c r="AI332">
        <f t="shared" si="149"/>
        <v>20.49</v>
      </c>
      <c r="AJ332">
        <f t="shared" si="149"/>
        <v>20.93</v>
      </c>
      <c r="AK332">
        <f t="shared" si="149"/>
        <v>21.37</v>
      </c>
      <c r="AL332">
        <f t="shared" si="149"/>
        <v>21.8</v>
      </c>
      <c r="AM332">
        <f t="shared" si="149"/>
        <v>22.24</v>
      </c>
      <c r="AN332">
        <f t="shared" si="149"/>
        <v>22.67</v>
      </c>
      <c r="AO332">
        <f t="shared" si="149"/>
        <v>22.67</v>
      </c>
      <c r="AP332">
        <f t="shared" si="149"/>
        <v>22.67</v>
      </c>
      <c r="AQ332">
        <f t="shared" si="149"/>
        <v>22.67</v>
      </c>
      <c r="AR332">
        <f t="shared" si="149"/>
        <v>22.67</v>
      </c>
      <c r="AS332">
        <f t="shared" si="149"/>
        <v>22.67</v>
      </c>
      <c r="AT332">
        <f t="shared" si="149"/>
        <v>22.67</v>
      </c>
      <c r="AU332">
        <f t="shared" si="149"/>
        <v>22.67</v>
      </c>
      <c r="AV332">
        <f t="shared" si="149"/>
        <v>22.67</v>
      </c>
      <c r="AW332">
        <f t="shared" si="149"/>
        <v>22.67</v>
      </c>
      <c r="AX332">
        <f t="shared" si="149"/>
        <v>22.67</v>
      </c>
      <c r="AY332">
        <f t="shared" si="149"/>
        <v>22.67</v>
      </c>
      <c r="AZ332">
        <f t="shared" si="149"/>
        <v>22.67</v>
      </c>
      <c r="BA332">
        <f t="shared" si="149"/>
        <v>22.67</v>
      </c>
      <c r="BB332">
        <f t="shared" si="149"/>
        <v>22.67</v>
      </c>
      <c r="BC332">
        <f t="shared" si="149"/>
        <v>22.67</v>
      </c>
      <c r="BD332">
        <f t="shared" si="149"/>
        <v>22.67</v>
      </c>
      <c r="BE332">
        <f t="shared" si="149"/>
        <v>22.67</v>
      </c>
      <c r="BF332">
        <f t="shared" si="149"/>
        <v>22.67</v>
      </c>
      <c r="BG332">
        <f t="shared" si="149"/>
        <v>22.67</v>
      </c>
      <c r="BH332">
        <f t="shared" si="149"/>
        <v>22.67</v>
      </c>
    </row>
    <row r="333" spans="1:60" s="68" customFormat="1" collapsed="1">
      <c r="A333" s="68" t="s">
        <v>146</v>
      </c>
      <c r="C333" s="68" t="s">
        <v>160</v>
      </c>
    </row>
    <row r="334" spans="1:60">
      <c r="A334" t="s">
        <v>147</v>
      </c>
      <c r="C334">
        <f>SUM(C335:C350)</f>
        <v>774.72</v>
      </c>
      <c r="D334">
        <f t="shared" ref="D334:BH334" si="151">SUM(D335:D350)</f>
        <v>765.24</v>
      </c>
      <c r="E334">
        <f t="shared" si="151"/>
        <v>803.49</v>
      </c>
      <c r="F334">
        <f t="shared" si="151"/>
        <v>810.46</v>
      </c>
      <c r="G334">
        <f t="shared" si="151"/>
        <v>1025.9099999999999</v>
      </c>
      <c r="H334">
        <f t="shared" si="151"/>
        <v>847.82000000000016</v>
      </c>
      <c r="I334">
        <f t="shared" si="151"/>
        <v>780.73</v>
      </c>
      <c r="J334">
        <f t="shared" si="151"/>
        <v>609.26</v>
      </c>
      <c r="K334">
        <f t="shared" si="151"/>
        <v>670.40000000000009</v>
      </c>
      <c r="L334">
        <f t="shared" si="151"/>
        <v>699.08999999999992</v>
      </c>
      <c r="M334">
        <f t="shared" si="151"/>
        <v>696.89</v>
      </c>
      <c r="N334">
        <f t="shared" si="151"/>
        <v>697.57435442870815</v>
      </c>
      <c r="O334">
        <f t="shared" si="151"/>
        <v>698.2389533194679</v>
      </c>
      <c r="P334">
        <f t="shared" si="151"/>
        <v>698.91306328612461</v>
      </c>
      <c r="Q334">
        <f t="shared" si="151"/>
        <v>699.59741771483277</v>
      </c>
      <c r="R334">
        <f t="shared" si="151"/>
        <v>700.25201660559242</v>
      </c>
      <c r="S334">
        <f t="shared" si="151"/>
        <v>700.93612657224924</v>
      </c>
      <c r="T334">
        <f t="shared" si="151"/>
        <v>701.61072546300875</v>
      </c>
      <c r="U334">
        <f t="shared" si="151"/>
        <v>702.28532435376849</v>
      </c>
      <c r="V334">
        <f t="shared" si="151"/>
        <v>702.95918985837375</v>
      </c>
      <c r="W334">
        <f t="shared" si="151"/>
        <v>703.63378874913337</v>
      </c>
      <c r="X334">
        <f t="shared" si="151"/>
        <v>701.98608068403155</v>
      </c>
      <c r="Y334">
        <f t="shared" si="151"/>
        <v>697.22660047538875</v>
      </c>
      <c r="Z334">
        <f t="shared" si="151"/>
        <v>692.4573647287973</v>
      </c>
      <c r="AA334">
        <f t="shared" si="151"/>
        <v>687.71764005810314</v>
      </c>
      <c r="AB334">
        <f t="shared" si="151"/>
        <v>682.93815984946025</v>
      </c>
      <c r="AC334">
        <f t="shared" si="151"/>
        <v>678.16916856492026</v>
      </c>
      <c r="AD334">
        <f t="shared" si="151"/>
        <v>673.42919943217453</v>
      </c>
      <c r="AE334">
        <f t="shared" si="151"/>
        <v>668.65971922353174</v>
      </c>
      <c r="AF334">
        <f t="shared" si="151"/>
        <v>663.89048347694029</v>
      </c>
      <c r="AG334">
        <f t="shared" si="151"/>
        <v>659.1310032682976</v>
      </c>
      <c r="AH334">
        <f t="shared" si="151"/>
        <v>654.38127859760323</v>
      </c>
      <c r="AI334">
        <f t="shared" si="151"/>
        <v>649.6020428510119</v>
      </c>
      <c r="AJ334">
        <f t="shared" si="151"/>
        <v>644.86256264236897</v>
      </c>
      <c r="AK334">
        <f t="shared" si="151"/>
        <v>640.08308243372619</v>
      </c>
      <c r="AL334">
        <f t="shared" si="151"/>
        <v>635.34335776303192</v>
      </c>
      <c r="AM334">
        <f t="shared" si="151"/>
        <v>630.52534432669768</v>
      </c>
      <c r="AN334">
        <f t="shared" si="151"/>
        <v>625.71708642831197</v>
      </c>
      <c r="AO334">
        <f t="shared" si="151"/>
        <v>625.71708642831197</v>
      </c>
      <c r="AP334">
        <f t="shared" si="151"/>
        <v>625.71708642831197</v>
      </c>
      <c r="AQ334">
        <f t="shared" si="151"/>
        <v>625.71708642831197</v>
      </c>
      <c r="AR334">
        <f t="shared" si="151"/>
        <v>625.71708642831197</v>
      </c>
      <c r="AS334">
        <f t="shared" si="151"/>
        <v>625.71708642831197</v>
      </c>
      <c r="AT334">
        <f t="shared" si="151"/>
        <v>625.71708642831197</v>
      </c>
      <c r="AU334">
        <f t="shared" si="151"/>
        <v>625.71708642831197</v>
      </c>
      <c r="AV334">
        <f t="shared" si="151"/>
        <v>625.71708642831197</v>
      </c>
      <c r="AW334">
        <f t="shared" si="151"/>
        <v>625.71708642831197</v>
      </c>
      <c r="AX334">
        <f t="shared" si="151"/>
        <v>625.71708642831197</v>
      </c>
      <c r="AY334">
        <f t="shared" si="151"/>
        <v>625.71708642831197</v>
      </c>
      <c r="AZ334">
        <f t="shared" si="151"/>
        <v>625.71708642831197</v>
      </c>
      <c r="BA334">
        <f t="shared" si="151"/>
        <v>625.71708642831197</v>
      </c>
      <c r="BB334">
        <f t="shared" si="151"/>
        <v>625.71708642831197</v>
      </c>
      <c r="BC334">
        <f t="shared" si="151"/>
        <v>625.71708642831197</v>
      </c>
      <c r="BD334">
        <f t="shared" si="151"/>
        <v>625.71708642831197</v>
      </c>
      <c r="BE334">
        <f t="shared" si="151"/>
        <v>625.71708642831197</v>
      </c>
      <c r="BF334">
        <f t="shared" si="151"/>
        <v>625.71708642831197</v>
      </c>
      <c r="BG334">
        <f t="shared" si="151"/>
        <v>625.71708642831197</v>
      </c>
      <c r="BH334">
        <f t="shared" si="151"/>
        <v>625.71708642831197</v>
      </c>
    </row>
    <row r="335" spans="1:60">
      <c r="B335" t="str">
        <f>B582</f>
        <v>Carbón</v>
      </c>
      <c r="C335">
        <f>C582</f>
        <v>94.21</v>
      </c>
      <c r="D335">
        <f t="shared" ref="D335:BH339" si="152">D582</f>
        <v>71.010000000000005</v>
      </c>
      <c r="E335">
        <f t="shared" si="152"/>
        <v>78.17</v>
      </c>
      <c r="F335">
        <f t="shared" si="152"/>
        <v>56.95</v>
      </c>
      <c r="G335">
        <f t="shared" si="152"/>
        <v>230.39</v>
      </c>
      <c r="H335">
        <f t="shared" si="152"/>
        <v>179.62</v>
      </c>
      <c r="I335">
        <f t="shared" si="152"/>
        <v>114.03</v>
      </c>
      <c r="J335">
        <f t="shared" si="152"/>
        <v>11.42</v>
      </c>
      <c r="K335">
        <f t="shared" si="152"/>
        <v>34.74</v>
      </c>
      <c r="L335">
        <f t="shared" si="152"/>
        <v>34.479999999999997</v>
      </c>
      <c r="M335">
        <f t="shared" si="152"/>
        <v>34.119999999999997</v>
      </c>
      <c r="N335">
        <f t="shared" si="152"/>
        <v>33.75</v>
      </c>
      <c r="O335">
        <f t="shared" si="152"/>
        <v>33.39</v>
      </c>
      <c r="P335">
        <f t="shared" si="152"/>
        <v>33.020000000000003</v>
      </c>
      <c r="Q335">
        <f t="shared" si="152"/>
        <v>32.659999999999997</v>
      </c>
      <c r="R335">
        <f t="shared" si="152"/>
        <v>32.29</v>
      </c>
      <c r="S335">
        <f t="shared" si="152"/>
        <v>31.93</v>
      </c>
      <c r="T335">
        <f t="shared" si="152"/>
        <v>31.56</v>
      </c>
      <c r="U335">
        <f t="shared" si="152"/>
        <v>31.2</v>
      </c>
      <c r="V335">
        <f t="shared" si="152"/>
        <v>30.83</v>
      </c>
      <c r="W335">
        <f t="shared" si="152"/>
        <v>30.47</v>
      </c>
      <c r="X335">
        <f t="shared" si="152"/>
        <v>30.1</v>
      </c>
      <c r="Y335">
        <f t="shared" si="152"/>
        <v>29.74</v>
      </c>
      <c r="Z335">
        <f t="shared" si="152"/>
        <v>29.37</v>
      </c>
      <c r="AA335">
        <f t="shared" si="152"/>
        <v>29.01</v>
      </c>
      <c r="AB335">
        <f t="shared" si="152"/>
        <v>28.64</v>
      </c>
      <c r="AC335">
        <f t="shared" si="152"/>
        <v>28.27</v>
      </c>
      <c r="AD335">
        <f t="shared" si="152"/>
        <v>27.91</v>
      </c>
      <c r="AE335">
        <f t="shared" si="152"/>
        <v>27.54</v>
      </c>
      <c r="AF335">
        <f t="shared" si="152"/>
        <v>27.18</v>
      </c>
      <c r="AG335">
        <f t="shared" si="152"/>
        <v>26.81</v>
      </c>
      <c r="AH335">
        <f t="shared" si="152"/>
        <v>26.45</v>
      </c>
      <c r="AI335">
        <f t="shared" si="152"/>
        <v>26.08</v>
      </c>
      <c r="AJ335">
        <f t="shared" si="152"/>
        <v>25.72</v>
      </c>
      <c r="AK335">
        <f t="shared" si="152"/>
        <v>25.35</v>
      </c>
      <c r="AL335">
        <f t="shared" si="152"/>
        <v>24.99</v>
      </c>
      <c r="AM335">
        <f t="shared" si="152"/>
        <v>24.62</v>
      </c>
      <c r="AN335">
        <f t="shared" si="152"/>
        <v>24.26</v>
      </c>
      <c r="AO335">
        <f t="shared" si="152"/>
        <v>24.26</v>
      </c>
      <c r="AP335">
        <f t="shared" si="152"/>
        <v>24.26</v>
      </c>
      <c r="AQ335">
        <f t="shared" si="152"/>
        <v>24.26</v>
      </c>
      <c r="AR335">
        <f t="shared" si="152"/>
        <v>24.26</v>
      </c>
      <c r="AS335">
        <f t="shared" si="152"/>
        <v>24.26</v>
      </c>
      <c r="AT335">
        <f t="shared" si="152"/>
        <v>24.26</v>
      </c>
      <c r="AU335">
        <f t="shared" si="152"/>
        <v>24.26</v>
      </c>
      <c r="AV335">
        <f t="shared" si="152"/>
        <v>24.26</v>
      </c>
      <c r="AW335">
        <f t="shared" si="152"/>
        <v>24.26</v>
      </c>
      <c r="AX335">
        <f t="shared" si="152"/>
        <v>24.26</v>
      </c>
      <c r="AY335">
        <f t="shared" si="152"/>
        <v>24.26</v>
      </c>
      <c r="AZ335">
        <f t="shared" si="152"/>
        <v>24.26</v>
      </c>
      <c r="BA335">
        <f t="shared" si="152"/>
        <v>24.26</v>
      </c>
      <c r="BB335">
        <f t="shared" si="152"/>
        <v>24.26</v>
      </c>
      <c r="BC335">
        <f t="shared" si="152"/>
        <v>24.26</v>
      </c>
      <c r="BD335">
        <f t="shared" si="152"/>
        <v>24.26</v>
      </c>
      <c r="BE335">
        <f t="shared" si="152"/>
        <v>24.26</v>
      </c>
      <c r="BF335">
        <f t="shared" si="152"/>
        <v>24.26</v>
      </c>
      <c r="BG335">
        <f t="shared" si="152"/>
        <v>24.26</v>
      </c>
      <c r="BH335">
        <f t="shared" si="152"/>
        <v>24.26</v>
      </c>
    </row>
    <row r="336" spans="1:60">
      <c r="B336" t="str">
        <f t="shared" ref="B336:Q346" si="153">B583</f>
        <v>Radiación solar</v>
      </c>
      <c r="C336">
        <f t="shared" si="153"/>
        <v>0.38</v>
      </c>
      <c r="D336">
        <f t="shared" si="152"/>
        <v>0.42</v>
      </c>
      <c r="E336">
        <f t="shared" si="152"/>
        <v>0.5</v>
      </c>
      <c r="F336">
        <f t="shared" si="152"/>
        <v>0.56000000000000005</v>
      </c>
      <c r="G336">
        <f t="shared" si="152"/>
        <v>0.6</v>
      </c>
      <c r="H336">
        <f t="shared" si="152"/>
        <v>0.67</v>
      </c>
      <c r="I336">
        <f t="shared" si="152"/>
        <v>0.74</v>
      </c>
      <c r="J336">
        <f t="shared" si="152"/>
        <v>1.3</v>
      </c>
      <c r="K336">
        <f t="shared" si="152"/>
        <v>2.14</v>
      </c>
      <c r="L336">
        <f t="shared" si="152"/>
        <v>2.4</v>
      </c>
      <c r="M336">
        <f t="shared" si="152"/>
        <v>2.46</v>
      </c>
      <c r="N336">
        <f t="shared" si="152"/>
        <v>2.5299999999999998</v>
      </c>
      <c r="O336">
        <f t="shared" si="152"/>
        <v>2.59</v>
      </c>
      <c r="P336">
        <f t="shared" si="152"/>
        <v>2.65</v>
      </c>
      <c r="Q336">
        <f t="shared" si="152"/>
        <v>2.72</v>
      </c>
      <c r="R336">
        <f t="shared" si="152"/>
        <v>2.78</v>
      </c>
      <c r="S336">
        <f t="shared" si="152"/>
        <v>2.84</v>
      </c>
      <c r="T336">
        <f t="shared" si="152"/>
        <v>2.91</v>
      </c>
      <c r="U336">
        <f t="shared" si="152"/>
        <v>2.97</v>
      </c>
      <c r="V336">
        <f t="shared" si="152"/>
        <v>3.03</v>
      </c>
      <c r="W336">
        <f t="shared" si="152"/>
        <v>3.1</v>
      </c>
      <c r="X336">
        <f t="shared" si="152"/>
        <v>3.16</v>
      </c>
      <c r="Y336">
        <f t="shared" si="152"/>
        <v>3.22</v>
      </c>
      <c r="Z336">
        <f t="shared" si="152"/>
        <v>3.29</v>
      </c>
      <c r="AA336">
        <f t="shared" si="152"/>
        <v>3.35</v>
      </c>
      <c r="AB336">
        <f t="shared" si="152"/>
        <v>3.41</v>
      </c>
      <c r="AC336">
        <f t="shared" si="152"/>
        <v>3.48</v>
      </c>
      <c r="AD336">
        <f t="shared" si="152"/>
        <v>3.54</v>
      </c>
      <c r="AE336">
        <f t="shared" si="152"/>
        <v>3.6</v>
      </c>
      <c r="AF336">
        <f t="shared" si="152"/>
        <v>3.67</v>
      </c>
      <c r="AG336">
        <f t="shared" si="152"/>
        <v>3.73</v>
      </c>
      <c r="AH336">
        <f t="shared" si="152"/>
        <v>3.79</v>
      </c>
      <c r="AI336">
        <f t="shared" si="152"/>
        <v>3.85</v>
      </c>
      <c r="AJ336">
        <f t="shared" si="152"/>
        <v>3.92</v>
      </c>
      <c r="AK336">
        <f t="shared" si="152"/>
        <v>3.98</v>
      </c>
      <c r="AL336">
        <f t="shared" si="152"/>
        <v>4.04</v>
      </c>
      <c r="AM336">
        <f t="shared" si="152"/>
        <v>4.1100000000000003</v>
      </c>
      <c r="AN336">
        <f t="shared" si="152"/>
        <v>4.17</v>
      </c>
      <c r="AO336">
        <f t="shared" si="152"/>
        <v>4.17</v>
      </c>
      <c r="AP336">
        <f t="shared" si="152"/>
        <v>4.17</v>
      </c>
      <c r="AQ336">
        <f t="shared" si="152"/>
        <v>4.17</v>
      </c>
      <c r="AR336">
        <f t="shared" si="152"/>
        <v>4.17</v>
      </c>
      <c r="AS336">
        <f t="shared" si="152"/>
        <v>4.17</v>
      </c>
      <c r="AT336">
        <f t="shared" si="152"/>
        <v>4.17</v>
      </c>
      <c r="AU336">
        <f t="shared" si="152"/>
        <v>4.17</v>
      </c>
      <c r="AV336">
        <f t="shared" si="152"/>
        <v>4.17</v>
      </c>
      <c r="AW336">
        <f t="shared" si="152"/>
        <v>4.17</v>
      </c>
      <c r="AX336">
        <f t="shared" si="152"/>
        <v>4.17</v>
      </c>
      <c r="AY336">
        <f t="shared" si="152"/>
        <v>4.17</v>
      </c>
      <c r="AZ336">
        <f t="shared" si="152"/>
        <v>4.17</v>
      </c>
      <c r="BA336">
        <f t="shared" si="152"/>
        <v>4.17</v>
      </c>
      <c r="BB336">
        <f t="shared" si="152"/>
        <v>4.17</v>
      </c>
      <c r="BC336">
        <f t="shared" si="152"/>
        <v>4.17</v>
      </c>
      <c r="BD336">
        <f t="shared" si="152"/>
        <v>4.17</v>
      </c>
      <c r="BE336">
        <f t="shared" si="152"/>
        <v>4.17</v>
      </c>
      <c r="BF336">
        <f t="shared" si="152"/>
        <v>4.17</v>
      </c>
      <c r="BG336">
        <f t="shared" si="152"/>
        <v>4.17</v>
      </c>
      <c r="BH336">
        <f t="shared" si="152"/>
        <v>4.17</v>
      </c>
    </row>
    <row r="337" spans="1:60">
      <c r="B337" t="str">
        <f t="shared" si="153"/>
        <v>Bagazos</v>
      </c>
      <c r="C337">
        <f t="shared" si="153"/>
        <v>8.49</v>
      </c>
      <c r="D337">
        <f t="shared" si="152"/>
        <v>11.38</v>
      </c>
      <c r="E337">
        <f t="shared" si="152"/>
        <v>8.41</v>
      </c>
      <c r="F337">
        <f t="shared" si="152"/>
        <v>10.18</v>
      </c>
      <c r="G337">
        <f t="shared" si="152"/>
        <v>12.15</v>
      </c>
      <c r="H337">
        <f t="shared" si="152"/>
        <v>22.05</v>
      </c>
      <c r="I337">
        <f t="shared" si="152"/>
        <v>6.22</v>
      </c>
      <c r="J337">
        <f t="shared" si="152"/>
        <v>18.05</v>
      </c>
      <c r="K337">
        <f t="shared" si="152"/>
        <v>20.96</v>
      </c>
      <c r="L337">
        <f t="shared" si="152"/>
        <v>20.66</v>
      </c>
      <c r="M337">
        <f t="shared" si="152"/>
        <v>21.25</v>
      </c>
      <c r="N337">
        <f t="shared" si="152"/>
        <v>21.85</v>
      </c>
      <c r="O337">
        <f t="shared" si="152"/>
        <v>22.45</v>
      </c>
      <c r="P337">
        <f t="shared" si="152"/>
        <v>23.04</v>
      </c>
      <c r="Q337">
        <f t="shared" si="152"/>
        <v>23.64</v>
      </c>
      <c r="R337">
        <f t="shared" si="152"/>
        <v>24.24</v>
      </c>
      <c r="S337">
        <f t="shared" si="152"/>
        <v>24.83</v>
      </c>
      <c r="T337">
        <f t="shared" si="152"/>
        <v>25.43</v>
      </c>
      <c r="U337">
        <f t="shared" si="152"/>
        <v>26.03</v>
      </c>
      <c r="V337">
        <f t="shared" si="152"/>
        <v>26.62</v>
      </c>
      <c r="W337">
        <f t="shared" si="152"/>
        <v>27.22</v>
      </c>
      <c r="X337">
        <f t="shared" si="152"/>
        <v>27.82</v>
      </c>
      <c r="Y337">
        <f t="shared" si="152"/>
        <v>28.41</v>
      </c>
      <c r="Z337">
        <f t="shared" si="152"/>
        <v>29.01</v>
      </c>
      <c r="AA337">
        <f t="shared" si="152"/>
        <v>29.61</v>
      </c>
      <c r="AB337">
        <f t="shared" si="152"/>
        <v>30.2</v>
      </c>
      <c r="AC337">
        <f t="shared" si="152"/>
        <v>30.8</v>
      </c>
      <c r="AD337">
        <f t="shared" si="152"/>
        <v>31.4</v>
      </c>
      <c r="AE337">
        <f t="shared" si="152"/>
        <v>31.99</v>
      </c>
      <c r="AF337">
        <f t="shared" si="152"/>
        <v>32.590000000000003</v>
      </c>
      <c r="AG337">
        <f t="shared" si="152"/>
        <v>33.19</v>
      </c>
      <c r="AH337">
        <f t="shared" si="152"/>
        <v>33.78</v>
      </c>
      <c r="AI337">
        <f t="shared" si="152"/>
        <v>34.380000000000003</v>
      </c>
      <c r="AJ337">
        <f t="shared" si="152"/>
        <v>34.979999999999997</v>
      </c>
      <c r="AK337">
        <f t="shared" si="152"/>
        <v>35.57</v>
      </c>
      <c r="AL337">
        <f t="shared" si="152"/>
        <v>36.17</v>
      </c>
      <c r="AM337">
        <f t="shared" si="152"/>
        <v>36.770000000000003</v>
      </c>
      <c r="AN337">
        <f t="shared" si="152"/>
        <v>37.36</v>
      </c>
      <c r="AO337">
        <f t="shared" si="152"/>
        <v>37.36</v>
      </c>
      <c r="AP337">
        <f t="shared" si="152"/>
        <v>37.36</v>
      </c>
      <c r="AQ337">
        <f t="shared" si="152"/>
        <v>37.36</v>
      </c>
      <c r="AR337">
        <f t="shared" si="152"/>
        <v>37.36</v>
      </c>
      <c r="AS337">
        <f t="shared" si="152"/>
        <v>37.36</v>
      </c>
      <c r="AT337">
        <f t="shared" si="152"/>
        <v>37.36</v>
      </c>
      <c r="AU337">
        <f t="shared" si="152"/>
        <v>37.36</v>
      </c>
      <c r="AV337">
        <f t="shared" si="152"/>
        <v>37.36</v>
      </c>
      <c r="AW337">
        <f t="shared" si="152"/>
        <v>37.36</v>
      </c>
      <c r="AX337">
        <f t="shared" si="152"/>
        <v>37.36</v>
      </c>
      <c r="AY337">
        <f t="shared" si="152"/>
        <v>37.36</v>
      </c>
      <c r="AZ337">
        <f t="shared" si="152"/>
        <v>37.36</v>
      </c>
      <c r="BA337">
        <f t="shared" si="152"/>
        <v>37.36</v>
      </c>
      <c r="BB337">
        <f t="shared" si="152"/>
        <v>37.36</v>
      </c>
      <c r="BC337">
        <f t="shared" si="152"/>
        <v>37.36</v>
      </c>
      <c r="BD337">
        <f t="shared" si="152"/>
        <v>37.36</v>
      </c>
      <c r="BE337">
        <f t="shared" si="152"/>
        <v>37.36</v>
      </c>
      <c r="BF337">
        <f t="shared" si="152"/>
        <v>37.36</v>
      </c>
      <c r="BG337">
        <f t="shared" si="152"/>
        <v>37.36</v>
      </c>
      <c r="BH337">
        <f t="shared" si="152"/>
        <v>37.36</v>
      </c>
    </row>
    <row r="338" spans="1:60">
      <c r="B338" t="str">
        <f t="shared" si="153"/>
        <v>Leña</v>
      </c>
      <c r="C338">
        <f t="shared" si="153"/>
        <v>28.38</v>
      </c>
      <c r="D338">
        <f t="shared" si="152"/>
        <v>28.24</v>
      </c>
      <c r="E338">
        <f t="shared" si="152"/>
        <v>28.1</v>
      </c>
      <c r="F338">
        <f t="shared" si="152"/>
        <v>27.96</v>
      </c>
      <c r="G338">
        <f t="shared" si="152"/>
        <v>27.82</v>
      </c>
      <c r="H338">
        <f t="shared" si="152"/>
        <v>27.68</v>
      </c>
      <c r="I338">
        <f t="shared" si="152"/>
        <v>27.54</v>
      </c>
      <c r="J338">
        <f t="shared" si="152"/>
        <v>27.4</v>
      </c>
      <c r="K338">
        <f t="shared" si="152"/>
        <v>27.27</v>
      </c>
      <c r="L338">
        <f t="shared" si="152"/>
        <v>27.2</v>
      </c>
      <c r="M338">
        <f t="shared" si="152"/>
        <v>27.06</v>
      </c>
      <c r="N338">
        <f t="shared" si="152"/>
        <v>26.92</v>
      </c>
      <c r="O338">
        <f t="shared" si="152"/>
        <v>26.78</v>
      </c>
      <c r="P338">
        <f t="shared" si="152"/>
        <v>26.64</v>
      </c>
      <c r="Q338">
        <f t="shared" si="152"/>
        <v>26.5</v>
      </c>
      <c r="R338">
        <f t="shared" si="152"/>
        <v>26.36</v>
      </c>
      <c r="S338">
        <f t="shared" si="152"/>
        <v>26.23</v>
      </c>
      <c r="T338">
        <f t="shared" si="152"/>
        <v>26.09</v>
      </c>
      <c r="U338">
        <f t="shared" si="152"/>
        <v>25.95</v>
      </c>
      <c r="V338">
        <f t="shared" si="152"/>
        <v>25.81</v>
      </c>
      <c r="W338">
        <f t="shared" si="152"/>
        <v>25.67</v>
      </c>
      <c r="X338">
        <f t="shared" si="152"/>
        <v>25.53</v>
      </c>
      <c r="Y338">
        <f t="shared" si="152"/>
        <v>25.39</v>
      </c>
      <c r="Z338">
        <f t="shared" si="152"/>
        <v>25.25</v>
      </c>
      <c r="AA338">
        <f t="shared" si="152"/>
        <v>25.11</v>
      </c>
      <c r="AB338">
        <f t="shared" si="152"/>
        <v>24.98</v>
      </c>
      <c r="AC338">
        <f t="shared" si="152"/>
        <v>24.84</v>
      </c>
      <c r="AD338">
        <f t="shared" si="152"/>
        <v>24.7</v>
      </c>
      <c r="AE338">
        <f t="shared" si="152"/>
        <v>24.56</v>
      </c>
      <c r="AF338">
        <f t="shared" si="152"/>
        <v>24.42</v>
      </c>
      <c r="AG338">
        <f t="shared" si="152"/>
        <v>24.28</v>
      </c>
      <c r="AH338">
        <f t="shared" si="152"/>
        <v>24.14</v>
      </c>
      <c r="AI338">
        <f t="shared" si="152"/>
        <v>24</v>
      </c>
      <c r="AJ338">
        <f t="shared" si="152"/>
        <v>23.86</v>
      </c>
      <c r="AK338">
        <f t="shared" si="152"/>
        <v>23.73</v>
      </c>
      <c r="AL338">
        <f t="shared" si="152"/>
        <v>23.59</v>
      </c>
      <c r="AM338">
        <f t="shared" si="152"/>
        <v>23.45</v>
      </c>
      <c r="AN338">
        <f t="shared" si="152"/>
        <v>23.31</v>
      </c>
      <c r="AO338">
        <f t="shared" si="152"/>
        <v>23.31</v>
      </c>
      <c r="AP338">
        <f t="shared" si="152"/>
        <v>23.31</v>
      </c>
      <c r="AQ338">
        <f t="shared" si="152"/>
        <v>23.31</v>
      </c>
      <c r="AR338">
        <f t="shared" si="152"/>
        <v>23.31</v>
      </c>
      <c r="AS338">
        <f t="shared" si="152"/>
        <v>23.31</v>
      </c>
      <c r="AT338">
        <f t="shared" si="152"/>
        <v>23.31</v>
      </c>
      <c r="AU338">
        <f t="shared" si="152"/>
        <v>23.31</v>
      </c>
      <c r="AV338">
        <f t="shared" si="152"/>
        <v>23.31</v>
      </c>
      <c r="AW338">
        <f t="shared" si="152"/>
        <v>23.31</v>
      </c>
      <c r="AX338">
        <f t="shared" si="152"/>
        <v>23.31</v>
      </c>
      <c r="AY338">
        <f t="shared" si="152"/>
        <v>23.31</v>
      </c>
      <c r="AZ338">
        <f t="shared" si="152"/>
        <v>23.31</v>
      </c>
      <c r="BA338">
        <f t="shared" si="152"/>
        <v>23.31</v>
      </c>
      <c r="BB338">
        <f t="shared" si="152"/>
        <v>23.31</v>
      </c>
      <c r="BC338">
        <f t="shared" si="152"/>
        <v>23.31</v>
      </c>
      <c r="BD338">
        <f t="shared" si="152"/>
        <v>23.31</v>
      </c>
      <c r="BE338">
        <f t="shared" si="152"/>
        <v>23.31</v>
      </c>
      <c r="BF338">
        <f t="shared" si="152"/>
        <v>23.31</v>
      </c>
      <c r="BG338">
        <f t="shared" si="152"/>
        <v>23.31</v>
      </c>
      <c r="BH338">
        <f t="shared" si="152"/>
        <v>23.31</v>
      </c>
    </row>
    <row r="339" spans="1:60">
      <c r="B339" t="str">
        <f t="shared" si="153"/>
        <v>Carbón vegetal</v>
      </c>
      <c r="C339">
        <f t="shared" si="153"/>
        <v>0.93</v>
      </c>
      <c r="D339">
        <f t="shared" si="152"/>
        <v>0.93</v>
      </c>
      <c r="E339">
        <f t="shared" si="152"/>
        <v>0.92</v>
      </c>
      <c r="F339">
        <f t="shared" si="152"/>
        <v>0.92</v>
      </c>
      <c r="G339">
        <f t="shared" si="152"/>
        <v>0.91</v>
      </c>
      <c r="H339">
        <f t="shared" si="152"/>
        <v>0.91</v>
      </c>
      <c r="I339">
        <f t="shared" si="152"/>
        <v>0.9</v>
      </c>
      <c r="J339">
        <f t="shared" si="152"/>
        <v>0.9</v>
      </c>
      <c r="K339">
        <f t="shared" si="152"/>
        <v>0.9</v>
      </c>
      <c r="L339">
        <f t="shared" si="152"/>
        <v>0.98</v>
      </c>
      <c r="M339">
        <f t="shared" si="152"/>
        <v>0.97</v>
      </c>
      <c r="N339">
        <f t="shared" si="152"/>
        <v>0.97</v>
      </c>
      <c r="O339">
        <f t="shared" si="152"/>
        <v>0.96</v>
      </c>
      <c r="P339">
        <f t="shared" si="152"/>
        <v>0.96</v>
      </c>
      <c r="Q339">
        <f t="shared" si="152"/>
        <v>0.95</v>
      </c>
      <c r="R339">
        <f t="shared" si="152"/>
        <v>0.95</v>
      </c>
      <c r="S339">
        <f t="shared" si="152"/>
        <v>0.94</v>
      </c>
      <c r="T339">
        <f t="shared" si="152"/>
        <v>0.94</v>
      </c>
      <c r="U339">
        <f t="shared" si="152"/>
        <v>0.94</v>
      </c>
      <c r="V339">
        <f t="shared" si="152"/>
        <v>0.93</v>
      </c>
      <c r="W339">
        <f t="shared" si="152"/>
        <v>0.93</v>
      </c>
      <c r="X339">
        <f t="shared" si="152"/>
        <v>0.92</v>
      </c>
      <c r="Y339">
        <f t="shared" si="152"/>
        <v>0.92</v>
      </c>
      <c r="Z339">
        <f t="shared" si="152"/>
        <v>0.91</v>
      </c>
      <c r="AA339">
        <f t="shared" si="152"/>
        <v>0.91</v>
      </c>
      <c r="AB339">
        <f t="shared" si="152"/>
        <v>0.9</v>
      </c>
      <c r="AC339">
        <f t="shared" si="152"/>
        <v>0.9</v>
      </c>
      <c r="AD339">
        <f t="shared" si="152"/>
        <v>0.89</v>
      </c>
      <c r="AE339">
        <f t="shared" ref="AE339:CI339" si="154">AE586</f>
        <v>0.89</v>
      </c>
      <c r="AF339">
        <f t="shared" si="154"/>
        <v>0.88</v>
      </c>
      <c r="AG339">
        <f t="shared" si="154"/>
        <v>0.88</v>
      </c>
      <c r="AH339">
        <f t="shared" si="154"/>
        <v>0.88</v>
      </c>
      <c r="AI339">
        <f t="shared" si="154"/>
        <v>0.87</v>
      </c>
      <c r="AJ339">
        <f t="shared" si="154"/>
        <v>0.87</v>
      </c>
      <c r="AK339">
        <f t="shared" si="154"/>
        <v>0.86</v>
      </c>
      <c r="AL339">
        <f t="shared" si="154"/>
        <v>0.86</v>
      </c>
      <c r="AM339">
        <f t="shared" si="154"/>
        <v>0.85</v>
      </c>
      <c r="AN339">
        <f t="shared" si="154"/>
        <v>0.85</v>
      </c>
      <c r="AO339">
        <f t="shared" si="154"/>
        <v>0.85</v>
      </c>
      <c r="AP339">
        <f t="shared" si="154"/>
        <v>0.85</v>
      </c>
      <c r="AQ339">
        <f t="shared" si="154"/>
        <v>0.85</v>
      </c>
      <c r="AR339">
        <f t="shared" si="154"/>
        <v>0.85</v>
      </c>
      <c r="AS339">
        <f t="shared" si="154"/>
        <v>0.85</v>
      </c>
      <c r="AT339">
        <f t="shared" si="154"/>
        <v>0.85</v>
      </c>
      <c r="AU339">
        <f t="shared" si="154"/>
        <v>0.85</v>
      </c>
      <c r="AV339">
        <f t="shared" si="154"/>
        <v>0.85</v>
      </c>
      <c r="AW339">
        <f t="shared" si="154"/>
        <v>0.85</v>
      </c>
      <c r="AX339">
        <f t="shared" si="154"/>
        <v>0.85</v>
      </c>
      <c r="AY339">
        <f t="shared" si="154"/>
        <v>0.85</v>
      </c>
      <c r="AZ339">
        <f t="shared" si="154"/>
        <v>0.85</v>
      </c>
      <c r="BA339">
        <f t="shared" si="154"/>
        <v>0.85</v>
      </c>
      <c r="BB339">
        <f t="shared" si="154"/>
        <v>0.85</v>
      </c>
      <c r="BC339">
        <f t="shared" si="154"/>
        <v>0.85</v>
      </c>
      <c r="BD339">
        <f t="shared" si="154"/>
        <v>0.85</v>
      </c>
      <c r="BE339">
        <f t="shared" si="154"/>
        <v>0.85</v>
      </c>
      <c r="BF339">
        <f t="shared" si="154"/>
        <v>0.85</v>
      </c>
      <c r="BG339">
        <f t="shared" si="154"/>
        <v>0.85</v>
      </c>
      <c r="BH339">
        <f t="shared" si="154"/>
        <v>0.85</v>
      </c>
    </row>
    <row r="340" spans="1:60">
      <c r="B340" t="str">
        <f t="shared" si="153"/>
        <v>BCS Procesados</v>
      </c>
      <c r="C340">
        <f t="shared" si="153"/>
        <v>20.92</v>
      </c>
      <c r="D340">
        <f t="shared" si="153"/>
        <v>20.82</v>
      </c>
      <c r="E340">
        <f t="shared" si="153"/>
        <v>20.72</v>
      </c>
      <c r="F340">
        <f t="shared" si="153"/>
        <v>20.61</v>
      </c>
      <c r="G340">
        <f t="shared" si="153"/>
        <v>20.51</v>
      </c>
      <c r="H340">
        <f t="shared" si="153"/>
        <v>20.41</v>
      </c>
      <c r="I340">
        <f t="shared" si="153"/>
        <v>20.3</v>
      </c>
      <c r="J340">
        <f t="shared" si="153"/>
        <v>20.2</v>
      </c>
      <c r="K340">
        <f t="shared" si="153"/>
        <v>20.12</v>
      </c>
      <c r="L340">
        <f t="shared" si="153"/>
        <v>20.13</v>
      </c>
      <c r="M340">
        <f t="shared" si="153"/>
        <v>20.02</v>
      </c>
      <c r="N340">
        <f t="shared" si="153"/>
        <v>19.920000000000002</v>
      </c>
      <c r="O340">
        <f t="shared" si="153"/>
        <v>19.82</v>
      </c>
      <c r="P340">
        <f t="shared" si="153"/>
        <v>19.72</v>
      </c>
      <c r="Q340">
        <f t="shared" si="153"/>
        <v>19.62</v>
      </c>
      <c r="R340">
        <f t="shared" ref="R340:BV342" si="155">R587</f>
        <v>19.510000000000002</v>
      </c>
      <c r="S340">
        <f t="shared" si="155"/>
        <v>19.41</v>
      </c>
      <c r="T340">
        <f t="shared" si="155"/>
        <v>19.309999999999999</v>
      </c>
      <c r="U340">
        <f t="shared" si="155"/>
        <v>19.21</v>
      </c>
      <c r="V340">
        <f t="shared" si="155"/>
        <v>19.11</v>
      </c>
      <c r="W340">
        <f t="shared" si="155"/>
        <v>19</v>
      </c>
      <c r="X340">
        <f t="shared" si="155"/>
        <v>18.899999999999999</v>
      </c>
      <c r="Y340">
        <f t="shared" si="155"/>
        <v>18.8</v>
      </c>
      <c r="Z340">
        <f t="shared" si="155"/>
        <v>18.7</v>
      </c>
      <c r="AA340">
        <f t="shared" si="155"/>
        <v>18.600000000000001</v>
      </c>
      <c r="AB340">
        <f t="shared" si="155"/>
        <v>18.489999999999998</v>
      </c>
      <c r="AC340">
        <f t="shared" si="155"/>
        <v>18.39</v>
      </c>
      <c r="AD340">
        <f t="shared" si="155"/>
        <v>18.29</v>
      </c>
      <c r="AE340">
        <f t="shared" si="155"/>
        <v>18.190000000000001</v>
      </c>
      <c r="AF340">
        <f t="shared" si="155"/>
        <v>18.079999999999998</v>
      </c>
      <c r="AG340">
        <f t="shared" si="155"/>
        <v>17.98</v>
      </c>
      <c r="AH340">
        <f t="shared" si="155"/>
        <v>17.88</v>
      </c>
      <c r="AI340">
        <f t="shared" si="155"/>
        <v>17.78</v>
      </c>
      <c r="AJ340">
        <f t="shared" si="155"/>
        <v>17.68</v>
      </c>
      <c r="AK340">
        <f t="shared" si="155"/>
        <v>17.57</v>
      </c>
      <c r="AL340">
        <f t="shared" si="155"/>
        <v>17.47</v>
      </c>
      <c r="AM340">
        <f t="shared" si="155"/>
        <v>17.37</v>
      </c>
      <c r="AN340">
        <f t="shared" si="155"/>
        <v>17.27</v>
      </c>
      <c r="AO340">
        <f t="shared" si="155"/>
        <v>17.27</v>
      </c>
      <c r="AP340">
        <f t="shared" si="155"/>
        <v>17.27</v>
      </c>
      <c r="AQ340">
        <f t="shared" si="155"/>
        <v>17.27</v>
      </c>
      <c r="AR340">
        <f t="shared" si="155"/>
        <v>17.27</v>
      </c>
      <c r="AS340">
        <f t="shared" si="155"/>
        <v>17.27</v>
      </c>
      <c r="AT340">
        <f t="shared" si="155"/>
        <v>17.27</v>
      </c>
      <c r="AU340">
        <f t="shared" si="155"/>
        <v>17.27</v>
      </c>
      <c r="AV340">
        <f t="shared" si="155"/>
        <v>17.27</v>
      </c>
      <c r="AW340">
        <f t="shared" si="155"/>
        <v>17.27</v>
      </c>
      <c r="AX340">
        <f t="shared" si="155"/>
        <v>17.27</v>
      </c>
      <c r="AY340">
        <f t="shared" si="155"/>
        <v>17.27</v>
      </c>
      <c r="AZ340">
        <f t="shared" si="155"/>
        <v>17.27</v>
      </c>
      <c r="BA340">
        <f t="shared" si="155"/>
        <v>17.27</v>
      </c>
      <c r="BB340">
        <f t="shared" si="155"/>
        <v>17.27</v>
      </c>
      <c r="BC340">
        <f t="shared" si="155"/>
        <v>17.27</v>
      </c>
      <c r="BD340">
        <f t="shared" si="155"/>
        <v>17.27</v>
      </c>
      <c r="BE340">
        <f t="shared" si="155"/>
        <v>17.27</v>
      </c>
      <c r="BF340">
        <f t="shared" si="155"/>
        <v>17.27</v>
      </c>
      <c r="BG340">
        <f t="shared" si="155"/>
        <v>17.27</v>
      </c>
      <c r="BH340">
        <f t="shared" si="155"/>
        <v>17.27</v>
      </c>
    </row>
    <row r="341" spans="1:60">
      <c r="B341" t="str">
        <f t="shared" si="153"/>
        <v>Coque de carbón</v>
      </c>
      <c r="C341">
        <f t="shared" si="153"/>
        <v>0</v>
      </c>
      <c r="D341">
        <f t="shared" si="153"/>
        <v>0</v>
      </c>
      <c r="E341">
        <f t="shared" si="153"/>
        <v>0</v>
      </c>
      <c r="F341">
        <f t="shared" si="153"/>
        <v>0</v>
      </c>
      <c r="G341">
        <f t="shared" si="153"/>
        <v>0</v>
      </c>
      <c r="H341">
        <f t="shared" si="153"/>
        <v>0</v>
      </c>
      <c r="I341">
        <f t="shared" si="153"/>
        <v>0</v>
      </c>
      <c r="J341">
        <f t="shared" si="153"/>
        <v>0</v>
      </c>
      <c r="K341">
        <f t="shared" si="153"/>
        <v>0</v>
      </c>
      <c r="L341">
        <f t="shared" si="153"/>
        <v>0</v>
      </c>
      <c r="M341">
        <f t="shared" si="153"/>
        <v>0</v>
      </c>
      <c r="N341">
        <f t="shared" si="153"/>
        <v>0</v>
      </c>
      <c r="O341">
        <f t="shared" si="153"/>
        <v>0</v>
      </c>
      <c r="P341">
        <f t="shared" si="153"/>
        <v>0</v>
      </c>
      <c r="Q341">
        <f t="shared" si="153"/>
        <v>0</v>
      </c>
      <c r="R341">
        <f t="shared" si="155"/>
        <v>0</v>
      </c>
      <c r="S341">
        <f t="shared" si="155"/>
        <v>0</v>
      </c>
      <c r="T341">
        <f t="shared" si="155"/>
        <v>0</v>
      </c>
      <c r="U341">
        <f t="shared" si="155"/>
        <v>0</v>
      </c>
      <c r="V341">
        <f t="shared" si="155"/>
        <v>0</v>
      </c>
      <c r="W341">
        <f t="shared" si="155"/>
        <v>0</v>
      </c>
      <c r="X341">
        <f t="shared" si="155"/>
        <v>0</v>
      </c>
      <c r="Y341">
        <f t="shared" si="155"/>
        <v>0</v>
      </c>
      <c r="Z341">
        <f t="shared" si="155"/>
        <v>0</v>
      </c>
      <c r="AA341">
        <f t="shared" si="155"/>
        <v>0</v>
      </c>
      <c r="AB341">
        <f t="shared" si="155"/>
        <v>0</v>
      </c>
      <c r="AC341">
        <f t="shared" si="155"/>
        <v>0</v>
      </c>
      <c r="AD341">
        <f t="shared" si="155"/>
        <v>0</v>
      </c>
      <c r="AE341">
        <f t="shared" si="155"/>
        <v>0</v>
      </c>
      <c r="AF341">
        <f t="shared" si="155"/>
        <v>0</v>
      </c>
      <c r="AG341">
        <f t="shared" si="155"/>
        <v>0</v>
      </c>
      <c r="AH341">
        <f t="shared" si="155"/>
        <v>0</v>
      </c>
      <c r="AI341">
        <f t="shared" si="155"/>
        <v>0</v>
      </c>
      <c r="AJ341">
        <f t="shared" si="155"/>
        <v>0</v>
      </c>
      <c r="AK341">
        <f t="shared" si="155"/>
        <v>0</v>
      </c>
      <c r="AL341">
        <f t="shared" si="155"/>
        <v>0</v>
      </c>
      <c r="AM341">
        <f t="shared" si="155"/>
        <v>0</v>
      </c>
      <c r="AN341">
        <f t="shared" si="155"/>
        <v>0</v>
      </c>
      <c r="AO341">
        <f t="shared" si="155"/>
        <v>0</v>
      </c>
      <c r="AP341">
        <f t="shared" si="155"/>
        <v>0</v>
      </c>
      <c r="AQ341">
        <f t="shared" si="155"/>
        <v>0</v>
      </c>
      <c r="AR341">
        <f t="shared" si="155"/>
        <v>0</v>
      </c>
      <c r="AS341">
        <f t="shared" si="155"/>
        <v>0</v>
      </c>
      <c r="AT341">
        <f t="shared" si="155"/>
        <v>0</v>
      </c>
      <c r="AU341">
        <f t="shared" si="155"/>
        <v>0</v>
      </c>
      <c r="AV341">
        <f t="shared" si="155"/>
        <v>0</v>
      </c>
      <c r="AW341">
        <f t="shared" si="155"/>
        <v>0</v>
      </c>
      <c r="AX341">
        <f t="shared" si="155"/>
        <v>0</v>
      </c>
      <c r="AY341">
        <f t="shared" si="155"/>
        <v>0</v>
      </c>
      <c r="AZ341">
        <f t="shared" si="155"/>
        <v>0</v>
      </c>
      <c r="BA341">
        <f t="shared" si="155"/>
        <v>0</v>
      </c>
      <c r="BB341">
        <f t="shared" si="155"/>
        <v>0</v>
      </c>
      <c r="BC341">
        <f t="shared" si="155"/>
        <v>0</v>
      </c>
      <c r="BD341">
        <f t="shared" si="155"/>
        <v>0</v>
      </c>
      <c r="BE341">
        <f t="shared" si="155"/>
        <v>0</v>
      </c>
      <c r="BF341">
        <f t="shared" si="155"/>
        <v>0</v>
      </c>
      <c r="BG341">
        <f t="shared" si="155"/>
        <v>0</v>
      </c>
      <c r="BH341">
        <f t="shared" si="155"/>
        <v>0</v>
      </c>
    </row>
    <row r="342" spans="1:60">
      <c r="B342" t="str">
        <f t="shared" si="153"/>
        <v>Coque de petróleo</v>
      </c>
      <c r="C342">
        <f t="shared" si="153"/>
        <v>5.98</v>
      </c>
      <c r="D342">
        <f t="shared" si="153"/>
        <v>3.48</v>
      </c>
      <c r="E342">
        <f t="shared" si="153"/>
        <v>5.0599999999999996</v>
      </c>
      <c r="F342">
        <f t="shared" si="153"/>
        <v>5.54</v>
      </c>
      <c r="G342">
        <f t="shared" si="153"/>
        <v>14.54</v>
      </c>
      <c r="H342">
        <f t="shared" si="153"/>
        <v>16.34</v>
      </c>
      <c r="I342">
        <f t="shared" si="153"/>
        <v>18.77</v>
      </c>
      <c r="J342">
        <f t="shared" si="153"/>
        <v>11.09</v>
      </c>
      <c r="K342">
        <f t="shared" si="153"/>
        <v>11.13</v>
      </c>
      <c r="L342">
        <f t="shared" si="153"/>
        <v>11.26</v>
      </c>
      <c r="M342">
        <f t="shared" si="153"/>
        <v>11.5</v>
      </c>
      <c r="N342">
        <f t="shared" si="153"/>
        <v>11.74</v>
      </c>
      <c r="O342">
        <f t="shared" si="153"/>
        <v>11.98</v>
      </c>
      <c r="P342">
        <f t="shared" si="153"/>
        <v>12.22</v>
      </c>
      <c r="Q342">
        <f t="shared" si="153"/>
        <v>12.46</v>
      </c>
      <c r="R342">
        <f t="shared" si="155"/>
        <v>12.7</v>
      </c>
      <c r="S342">
        <f t="shared" si="155"/>
        <v>12.94</v>
      </c>
      <c r="T342">
        <f t="shared" si="155"/>
        <v>13.18</v>
      </c>
      <c r="U342">
        <f t="shared" si="155"/>
        <v>13.42</v>
      </c>
      <c r="V342">
        <f t="shared" si="155"/>
        <v>13.67</v>
      </c>
      <c r="W342">
        <f t="shared" si="155"/>
        <v>13.91</v>
      </c>
      <c r="X342">
        <f t="shared" si="155"/>
        <v>14.15</v>
      </c>
      <c r="Y342">
        <f t="shared" si="155"/>
        <v>14.39</v>
      </c>
      <c r="Z342">
        <f t="shared" si="155"/>
        <v>14.63</v>
      </c>
      <c r="AA342">
        <f t="shared" si="155"/>
        <v>14.87</v>
      </c>
      <c r="AB342">
        <f t="shared" si="155"/>
        <v>15.11</v>
      </c>
      <c r="AC342">
        <f t="shared" si="155"/>
        <v>15.35</v>
      </c>
      <c r="AD342">
        <f t="shared" si="155"/>
        <v>15.59</v>
      </c>
      <c r="AE342">
        <f t="shared" si="155"/>
        <v>15.83</v>
      </c>
      <c r="AF342">
        <f t="shared" si="155"/>
        <v>16.07</v>
      </c>
      <c r="AG342">
        <f t="shared" si="155"/>
        <v>16.309999999999999</v>
      </c>
      <c r="AH342">
        <f t="shared" si="155"/>
        <v>16.559999999999999</v>
      </c>
      <c r="AI342">
        <f t="shared" si="155"/>
        <v>16.8</v>
      </c>
      <c r="AJ342">
        <f t="shared" si="155"/>
        <v>17.04</v>
      </c>
      <c r="AK342">
        <f t="shared" si="155"/>
        <v>17.28</v>
      </c>
      <c r="AL342">
        <f t="shared" si="155"/>
        <v>17.52</v>
      </c>
      <c r="AM342">
        <f t="shared" si="155"/>
        <v>17.760000000000002</v>
      </c>
      <c r="AN342">
        <f t="shared" si="155"/>
        <v>18</v>
      </c>
      <c r="AO342">
        <f t="shared" si="155"/>
        <v>18</v>
      </c>
      <c r="AP342">
        <f t="shared" si="155"/>
        <v>18</v>
      </c>
      <c r="AQ342">
        <f t="shared" si="155"/>
        <v>18</v>
      </c>
      <c r="AR342">
        <f t="shared" si="155"/>
        <v>18</v>
      </c>
      <c r="AS342">
        <f t="shared" si="155"/>
        <v>18</v>
      </c>
      <c r="AT342">
        <f t="shared" si="155"/>
        <v>18</v>
      </c>
      <c r="AU342">
        <f t="shared" si="155"/>
        <v>18</v>
      </c>
      <c r="AV342">
        <f t="shared" si="155"/>
        <v>18</v>
      </c>
      <c r="AW342">
        <f t="shared" si="155"/>
        <v>18</v>
      </c>
      <c r="AX342">
        <f t="shared" si="155"/>
        <v>18</v>
      </c>
      <c r="AY342">
        <f t="shared" si="155"/>
        <v>18</v>
      </c>
      <c r="AZ342">
        <f t="shared" si="155"/>
        <v>18</v>
      </c>
      <c r="BA342">
        <f t="shared" si="155"/>
        <v>18</v>
      </c>
      <c r="BB342">
        <f t="shared" si="155"/>
        <v>18</v>
      </c>
      <c r="BC342">
        <f t="shared" si="155"/>
        <v>18</v>
      </c>
      <c r="BD342">
        <f t="shared" si="155"/>
        <v>18</v>
      </c>
      <c r="BE342">
        <f t="shared" si="155"/>
        <v>18</v>
      </c>
      <c r="BF342">
        <f t="shared" si="155"/>
        <v>18</v>
      </c>
      <c r="BG342">
        <f t="shared" si="155"/>
        <v>18</v>
      </c>
      <c r="BH342">
        <f t="shared" si="155"/>
        <v>18</v>
      </c>
    </row>
    <row r="343" spans="1:60">
      <c r="B343" t="str">
        <f t="shared" si="153"/>
        <v>GLP</v>
      </c>
      <c r="C343">
        <f>C590-C433-C525-C550</f>
        <v>30.499999999999996</v>
      </c>
      <c r="D343">
        <f t="shared" ref="D343:BH343" si="156">D590-D433-D525-D550</f>
        <v>30.06</v>
      </c>
      <c r="E343">
        <f t="shared" si="156"/>
        <v>35.21</v>
      </c>
      <c r="F343">
        <f t="shared" si="156"/>
        <v>34.14</v>
      </c>
      <c r="G343">
        <f t="shared" si="156"/>
        <v>33.190000000000005</v>
      </c>
      <c r="H343">
        <f t="shared" si="156"/>
        <v>33.360000000000007</v>
      </c>
      <c r="I343">
        <f t="shared" si="156"/>
        <v>33.480000000000004</v>
      </c>
      <c r="J343">
        <f t="shared" si="156"/>
        <v>28.619999999999997</v>
      </c>
      <c r="K343">
        <f t="shared" si="156"/>
        <v>23.719999999999995</v>
      </c>
      <c r="L343">
        <f t="shared" si="156"/>
        <v>25.199999999999996</v>
      </c>
      <c r="M343">
        <f t="shared" si="156"/>
        <v>25.33</v>
      </c>
      <c r="N343">
        <f t="shared" si="156"/>
        <v>25.469904922254138</v>
      </c>
      <c r="O343">
        <f t="shared" si="156"/>
        <v>25.599811330098049</v>
      </c>
      <c r="P343">
        <f t="shared" si="156"/>
        <v>25.739714766762404</v>
      </c>
      <c r="Q343">
        <f t="shared" si="156"/>
        <v>25.869619689016542</v>
      </c>
      <c r="R343">
        <f t="shared" si="156"/>
        <v>25.99952609686045</v>
      </c>
      <c r="S343">
        <f t="shared" si="156"/>
        <v>26.139429533524808</v>
      </c>
      <c r="T343">
        <f t="shared" si="156"/>
        <v>26.269335941368723</v>
      </c>
      <c r="U343">
        <f t="shared" si="156"/>
        <v>26.399242349212635</v>
      </c>
      <c r="V343">
        <f t="shared" si="156"/>
        <v>26.539144300287212</v>
      </c>
      <c r="W343">
        <f t="shared" si="156"/>
        <v>26.669050708131131</v>
      </c>
      <c r="X343">
        <f t="shared" si="156"/>
        <v>26.80930771516292</v>
      </c>
      <c r="Y343">
        <f t="shared" si="156"/>
        <v>26.940040110924038</v>
      </c>
      <c r="Z343">
        <f t="shared" si="156"/>
        <v>27.070773992274933</v>
      </c>
      <c r="AA343">
        <f t="shared" si="156"/>
        <v>27.211504902446272</v>
      </c>
      <c r="AB343">
        <f t="shared" si="156"/>
        <v>27.342237298207387</v>
      </c>
      <c r="AC343">
        <f t="shared" si="156"/>
        <v>27.472972665148063</v>
      </c>
      <c r="AD343">
        <f t="shared" si="156"/>
        <v>27.613702089729617</v>
      </c>
      <c r="AE343">
        <f t="shared" si="156"/>
        <v>27.744434485490739</v>
      </c>
      <c r="AF343">
        <f t="shared" si="156"/>
        <v>27.885168366841633</v>
      </c>
      <c r="AG343">
        <f t="shared" si="156"/>
        <v>28.015900762602755</v>
      </c>
      <c r="AH343">
        <f t="shared" si="156"/>
        <v>28.146631672774092</v>
      </c>
      <c r="AI343">
        <f t="shared" si="156"/>
        <v>28.287365554124992</v>
      </c>
      <c r="AJ343">
        <f t="shared" si="156"/>
        <v>28.418097949886103</v>
      </c>
      <c r="AK343">
        <f t="shared" si="156"/>
        <v>28.548830345647222</v>
      </c>
      <c r="AL343">
        <f t="shared" si="156"/>
        <v>28.68956125581856</v>
      </c>
      <c r="AM343">
        <f t="shared" si="156"/>
        <v>28.820302565118354</v>
      </c>
      <c r="AN343">
        <f t="shared" si="156"/>
        <v>28.961042388828364</v>
      </c>
      <c r="AO343">
        <f t="shared" si="156"/>
        <v>28.961042388828364</v>
      </c>
      <c r="AP343">
        <f t="shared" si="156"/>
        <v>28.961042388828364</v>
      </c>
      <c r="AQ343">
        <f t="shared" si="156"/>
        <v>28.961042388828364</v>
      </c>
      <c r="AR343">
        <f t="shared" si="156"/>
        <v>28.961042388828364</v>
      </c>
      <c r="AS343">
        <f t="shared" si="156"/>
        <v>28.961042388828364</v>
      </c>
      <c r="AT343">
        <f t="shared" si="156"/>
        <v>28.961042388828364</v>
      </c>
      <c r="AU343">
        <f t="shared" si="156"/>
        <v>28.961042388828364</v>
      </c>
      <c r="AV343">
        <f t="shared" si="156"/>
        <v>28.961042388828364</v>
      </c>
      <c r="AW343">
        <f t="shared" si="156"/>
        <v>28.961042388828364</v>
      </c>
      <c r="AX343">
        <f t="shared" si="156"/>
        <v>28.961042388828364</v>
      </c>
      <c r="AY343">
        <f t="shared" si="156"/>
        <v>28.961042388828364</v>
      </c>
      <c r="AZ343">
        <f t="shared" si="156"/>
        <v>28.961042388828364</v>
      </c>
      <c r="BA343">
        <f t="shared" si="156"/>
        <v>28.961042388828364</v>
      </c>
      <c r="BB343">
        <f t="shared" si="156"/>
        <v>28.961042388828364</v>
      </c>
      <c r="BC343">
        <f t="shared" si="156"/>
        <v>28.961042388828364</v>
      </c>
      <c r="BD343">
        <f t="shared" si="156"/>
        <v>28.961042388828364</v>
      </c>
      <c r="BE343">
        <f t="shared" si="156"/>
        <v>28.961042388828364</v>
      </c>
      <c r="BF343">
        <f t="shared" si="156"/>
        <v>28.961042388828364</v>
      </c>
      <c r="BG343">
        <f t="shared" si="156"/>
        <v>28.961042388828364</v>
      </c>
      <c r="BH343">
        <f t="shared" si="156"/>
        <v>28.961042388828364</v>
      </c>
    </row>
    <row r="344" spans="1:60">
      <c r="B344" t="str">
        <f t="shared" si="153"/>
        <v>Gasolina</v>
      </c>
      <c r="C344">
        <f t="shared" si="153"/>
        <v>0.85</v>
      </c>
      <c r="D344">
        <f t="shared" si="153"/>
        <v>1.05</v>
      </c>
      <c r="E344">
        <f t="shared" si="153"/>
        <v>0.99</v>
      </c>
      <c r="F344">
        <f t="shared" si="153"/>
        <v>1.1499999999999999</v>
      </c>
      <c r="G344">
        <f t="shared" si="153"/>
        <v>1.17</v>
      </c>
      <c r="H344">
        <f t="shared" si="153"/>
        <v>1.18</v>
      </c>
      <c r="I344">
        <f t="shared" si="153"/>
        <v>1.29</v>
      </c>
      <c r="J344">
        <f t="shared" si="153"/>
        <v>1.47</v>
      </c>
      <c r="K344">
        <f t="shared" si="153"/>
        <v>1.47</v>
      </c>
      <c r="L344">
        <f t="shared" si="153"/>
        <v>1.33</v>
      </c>
      <c r="M344">
        <f t="shared" si="153"/>
        <v>1.32</v>
      </c>
      <c r="N344">
        <f t="shared" si="153"/>
        <v>1.31</v>
      </c>
      <c r="O344">
        <f t="shared" si="153"/>
        <v>1.29</v>
      </c>
      <c r="P344">
        <f t="shared" si="153"/>
        <v>1.28</v>
      </c>
      <c r="Q344">
        <f t="shared" si="153"/>
        <v>1.27</v>
      </c>
      <c r="R344">
        <f t="shared" ref="R344:BV345" si="157">R591</f>
        <v>1.26</v>
      </c>
      <c r="S344">
        <f t="shared" si="157"/>
        <v>1.24</v>
      </c>
      <c r="T344">
        <f t="shared" si="157"/>
        <v>1.23</v>
      </c>
      <c r="U344">
        <f t="shared" si="157"/>
        <v>1.22</v>
      </c>
      <c r="V344">
        <f t="shared" si="157"/>
        <v>1.2</v>
      </c>
      <c r="W344">
        <f t="shared" si="157"/>
        <v>1.19</v>
      </c>
      <c r="X344">
        <f t="shared" si="157"/>
        <v>1.18</v>
      </c>
      <c r="Y344">
        <f t="shared" si="157"/>
        <v>1.17</v>
      </c>
      <c r="Z344">
        <f t="shared" si="157"/>
        <v>1.1499999999999999</v>
      </c>
      <c r="AA344">
        <f t="shared" si="157"/>
        <v>1.1399999999999999</v>
      </c>
      <c r="AB344">
        <f t="shared" si="157"/>
        <v>1.1299999999999999</v>
      </c>
      <c r="AC344">
        <f t="shared" si="157"/>
        <v>1.1100000000000001</v>
      </c>
      <c r="AD344">
        <f t="shared" si="157"/>
        <v>1.1000000000000001</v>
      </c>
      <c r="AE344">
        <f t="shared" si="157"/>
        <v>1.0900000000000001</v>
      </c>
      <c r="AF344">
        <f t="shared" si="157"/>
        <v>1.08</v>
      </c>
      <c r="AG344">
        <f t="shared" si="157"/>
        <v>1.06</v>
      </c>
      <c r="AH344">
        <f t="shared" si="157"/>
        <v>1.05</v>
      </c>
      <c r="AI344">
        <f t="shared" si="157"/>
        <v>1.04</v>
      </c>
      <c r="AJ344">
        <f t="shared" si="157"/>
        <v>1.02</v>
      </c>
      <c r="AK344">
        <f t="shared" si="157"/>
        <v>1.01</v>
      </c>
      <c r="AL344">
        <f t="shared" si="157"/>
        <v>1</v>
      </c>
      <c r="AM344">
        <f t="shared" si="157"/>
        <v>0.99</v>
      </c>
      <c r="AN344">
        <f t="shared" si="157"/>
        <v>0.97</v>
      </c>
      <c r="AO344">
        <f t="shared" si="157"/>
        <v>0.97</v>
      </c>
      <c r="AP344">
        <f t="shared" si="157"/>
        <v>0.97</v>
      </c>
      <c r="AQ344">
        <f t="shared" si="157"/>
        <v>0.97</v>
      </c>
      <c r="AR344">
        <f t="shared" si="157"/>
        <v>0.97</v>
      </c>
      <c r="AS344">
        <f t="shared" si="157"/>
        <v>0.97</v>
      </c>
      <c r="AT344">
        <f t="shared" si="157"/>
        <v>0.97</v>
      </c>
      <c r="AU344">
        <f t="shared" si="157"/>
        <v>0.97</v>
      </c>
      <c r="AV344">
        <f t="shared" si="157"/>
        <v>0.97</v>
      </c>
      <c r="AW344">
        <f t="shared" si="157"/>
        <v>0.97</v>
      </c>
      <c r="AX344">
        <f t="shared" si="157"/>
        <v>0.97</v>
      </c>
      <c r="AY344">
        <f t="shared" si="157"/>
        <v>0.97</v>
      </c>
      <c r="AZ344">
        <f t="shared" si="157"/>
        <v>0.97</v>
      </c>
      <c r="BA344">
        <f t="shared" si="157"/>
        <v>0.97</v>
      </c>
      <c r="BB344">
        <f t="shared" si="157"/>
        <v>0.97</v>
      </c>
      <c r="BC344">
        <f t="shared" si="157"/>
        <v>0.97</v>
      </c>
      <c r="BD344">
        <f t="shared" si="157"/>
        <v>0.97</v>
      </c>
      <c r="BE344">
        <f t="shared" si="157"/>
        <v>0.97</v>
      </c>
      <c r="BF344">
        <f t="shared" si="157"/>
        <v>0.97</v>
      </c>
      <c r="BG344">
        <f t="shared" si="157"/>
        <v>0.97</v>
      </c>
      <c r="BH344">
        <f t="shared" si="157"/>
        <v>0.97</v>
      </c>
    </row>
    <row r="345" spans="1:60">
      <c r="B345" t="str">
        <f t="shared" si="153"/>
        <v>Queroseno</v>
      </c>
      <c r="C345">
        <f t="shared" si="153"/>
        <v>0</v>
      </c>
      <c r="D345">
        <f t="shared" si="153"/>
        <v>0</v>
      </c>
      <c r="E345">
        <f t="shared" si="153"/>
        <v>0</v>
      </c>
      <c r="F345">
        <f t="shared" si="153"/>
        <v>0</v>
      </c>
      <c r="G345">
        <f t="shared" si="153"/>
        <v>0</v>
      </c>
      <c r="H345">
        <f t="shared" si="153"/>
        <v>0</v>
      </c>
      <c r="I345">
        <f t="shared" si="153"/>
        <v>0</v>
      </c>
      <c r="J345">
        <f t="shared" si="153"/>
        <v>0</v>
      </c>
      <c r="K345">
        <f t="shared" si="153"/>
        <v>0</v>
      </c>
      <c r="L345">
        <f t="shared" si="153"/>
        <v>0</v>
      </c>
      <c r="M345">
        <f t="shared" si="153"/>
        <v>0</v>
      </c>
      <c r="N345">
        <f t="shared" si="153"/>
        <v>0</v>
      </c>
      <c r="O345">
        <f t="shared" si="153"/>
        <v>0</v>
      </c>
      <c r="P345">
        <f t="shared" si="153"/>
        <v>0</v>
      </c>
      <c r="Q345">
        <f t="shared" si="153"/>
        <v>0</v>
      </c>
      <c r="R345">
        <f t="shared" si="157"/>
        <v>0</v>
      </c>
      <c r="S345">
        <f t="shared" si="157"/>
        <v>0</v>
      </c>
      <c r="T345">
        <f t="shared" si="157"/>
        <v>0</v>
      </c>
      <c r="U345">
        <f t="shared" si="157"/>
        <v>0</v>
      </c>
      <c r="V345">
        <f t="shared" si="157"/>
        <v>0</v>
      </c>
      <c r="W345">
        <f t="shared" si="157"/>
        <v>0</v>
      </c>
      <c r="X345">
        <f t="shared" si="157"/>
        <v>0</v>
      </c>
      <c r="Y345">
        <f t="shared" si="157"/>
        <v>0</v>
      </c>
      <c r="Z345">
        <f t="shared" si="157"/>
        <v>0</v>
      </c>
      <c r="AA345">
        <f t="shared" si="157"/>
        <v>0</v>
      </c>
      <c r="AB345">
        <f t="shared" si="157"/>
        <v>0</v>
      </c>
      <c r="AC345">
        <f t="shared" si="157"/>
        <v>0</v>
      </c>
      <c r="AD345">
        <f t="shared" si="157"/>
        <v>0</v>
      </c>
      <c r="AE345">
        <f t="shared" si="157"/>
        <v>0</v>
      </c>
      <c r="AF345">
        <f t="shared" si="157"/>
        <v>0</v>
      </c>
      <c r="AG345">
        <f t="shared" si="157"/>
        <v>0</v>
      </c>
      <c r="AH345">
        <f t="shared" si="157"/>
        <v>0</v>
      </c>
      <c r="AI345">
        <f t="shared" si="157"/>
        <v>0</v>
      </c>
      <c r="AJ345">
        <f t="shared" si="157"/>
        <v>0</v>
      </c>
      <c r="AK345">
        <f t="shared" si="157"/>
        <v>0</v>
      </c>
      <c r="AL345">
        <f t="shared" si="157"/>
        <v>0</v>
      </c>
      <c r="AM345">
        <f t="shared" si="157"/>
        <v>0</v>
      </c>
      <c r="AN345">
        <f t="shared" si="157"/>
        <v>0</v>
      </c>
      <c r="AO345">
        <f t="shared" si="157"/>
        <v>0</v>
      </c>
      <c r="AP345">
        <f t="shared" si="157"/>
        <v>0</v>
      </c>
      <c r="AQ345">
        <f t="shared" si="157"/>
        <v>0</v>
      </c>
      <c r="AR345">
        <f t="shared" si="157"/>
        <v>0</v>
      </c>
      <c r="AS345">
        <f t="shared" si="157"/>
        <v>0</v>
      </c>
      <c r="AT345">
        <f t="shared" si="157"/>
        <v>0</v>
      </c>
      <c r="AU345">
        <f t="shared" si="157"/>
        <v>0</v>
      </c>
      <c r="AV345">
        <f t="shared" si="157"/>
        <v>0</v>
      </c>
      <c r="AW345">
        <f t="shared" si="157"/>
        <v>0</v>
      </c>
      <c r="AX345">
        <f t="shared" si="157"/>
        <v>0</v>
      </c>
      <c r="AY345">
        <f t="shared" si="157"/>
        <v>0</v>
      </c>
      <c r="AZ345">
        <f t="shared" si="157"/>
        <v>0</v>
      </c>
      <c r="BA345">
        <f t="shared" si="157"/>
        <v>0</v>
      </c>
      <c r="BB345">
        <f t="shared" si="157"/>
        <v>0</v>
      </c>
      <c r="BC345">
        <f t="shared" si="157"/>
        <v>0</v>
      </c>
      <c r="BD345">
        <f t="shared" si="157"/>
        <v>0</v>
      </c>
      <c r="BE345">
        <f t="shared" si="157"/>
        <v>0</v>
      </c>
      <c r="BF345">
        <f t="shared" si="157"/>
        <v>0</v>
      </c>
      <c r="BG345">
        <f t="shared" si="157"/>
        <v>0</v>
      </c>
      <c r="BH345">
        <f t="shared" si="157"/>
        <v>0</v>
      </c>
    </row>
    <row r="346" spans="1:60">
      <c r="B346" t="str">
        <f t="shared" si="153"/>
        <v>Diésel</v>
      </c>
      <c r="C346">
        <f>C593-C434</f>
        <v>34.589999999999996</v>
      </c>
      <c r="D346">
        <f t="shared" ref="D346:BH346" si="158">D593-D434</f>
        <v>30.66</v>
      </c>
      <c r="E346">
        <f t="shared" si="158"/>
        <v>41.85</v>
      </c>
      <c r="F346">
        <f t="shared" si="158"/>
        <v>50.55</v>
      </c>
      <c r="G346">
        <f t="shared" si="158"/>
        <v>25.84</v>
      </c>
      <c r="H346">
        <f t="shared" si="158"/>
        <v>27.82</v>
      </c>
      <c r="I346">
        <f t="shared" si="158"/>
        <v>29.79</v>
      </c>
      <c r="J346">
        <f t="shared" si="158"/>
        <v>25.11</v>
      </c>
      <c r="K346">
        <f t="shared" si="158"/>
        <v>26.85</v>
      </c>
      <c r="L346">
        <f t="shared" si="158"/>
        <v>26.91</v>
      </c>
      <c r="M346">
        <f t="shared" si="158"/>
        <v>26.91</v>
      </c>
      <c r="N346">
        <f t="shared" si="158"/>
        <v>26.829313327390974</v>
      </c>
      <c r="O346">
        <f t="shared" si="158"/>
        <v>26.748637384041462</v>
      </c>
      <c r="P346">
        <f t="shared" si="158"/>
        <v>26.667939982172921</v>
      </c>
      <c r="Q346">
        <f t="shared" si="158"/>
        <v>26.587253309563895</v>
      </c>
      <c r="R346">
        <f t="shared" si="158"/>
        <v>26.506577366214387</v>
      </c>
      <c r="S346">
        <f t="shared" si="158"/>
        <v>26.425879964345842</v>
      </c>
      <c r="T346">
        <f t="shared" si="158"/>
        <v>26.345204020996334</v>
      </c>
      <c r="U346">
        <f t="shared" si="158"/>
        <v>26.264528077646826</v>
      </c>
      <c r="V346">
        <f t="shared" si="158"/>
        <v>26.183819946518767</v>
      </c>
      <c r="W346">
        <f t="shared" si="158"/>
        <v>26.103144003169259</v>
      </c>
      <c r="X346">
        <f t="shared" si="158"/>
        <v>26.025000165065531</v>
      </c>
      <c r="Y346">
        <f t="shared" si="158"/>
        <v>25.950289690006933</v>
      </c>
      <c r="Z346">
        <f t="shared" si="158"/>
        <v>25.885589944207851</v>
      </c>
      <c r="AA346">
        <f t="shared" si="158"/>
        <v>25.810868739889735</v>
      </c>
      <c r="AB346">
        <f t="shared" si="158"/>
        <v>25.73615826483114</v>
      </c>
      <c r="AC346">
        <f t="shared" si="158"/>
        <v>25.661469248291571</v>
      </c>
      <c r="AD346">
        <f t="shared" si="158"/>
        <v>25.586737314713943</v>
      </c>
      <c r="AE346">
        <f t="shared" si="158"/>
        <v>25.512026839655341</v>
      </c>
      <c r="AF346">
        <f t="shared" si="158"/>
        <v>25.437327093856261</v>
      </c>
      <c r="AG346">
        <f t="shared" si="158"/>
        <v>25.362616618797663</v>
      </c>
      <c r="AH346">
        <f t="shared" si="158"/>
        <v>25.28789541447955</v>
      </c>
      <c r="AI346">
        <f t="shared" si="158"/>
        <v>25.213195668680466</v>
      </c>
      <c r="AJ346">
        <f t="shared" si="158"/>
        <v>25.138485193621868</v>
      </c>
      <c r="AK346">
        <f t="shared" si="158"/>
        <v>25.06377471856327</v>
      </c>
      <c r="AL346">
        <f t="shared" si="158"/>
        <v>24.999053514245155</v>
      </c>
      <c r="AM346">
        <f t="shared" si="158"/>
        <v>24.91440741474365</v>
      </c>
      <c r="AN346">
        <f t="shared" si="158"/>
        <v>24.839750585982635</v>
      </c>
      <c r="AO346">
        <f t="shared" si="158"/>
        <v>24.839750585982635</v>
      </c>
      <c r="AP346">
        <f t="shared" si="158"/>
        <v>24.839750585982635</v>
      </c>
      <c r="AQ346">
        <f t="shared" si="158"/>
        <v>24.839750585982635</v>
      </c>
      <c r="AR346">
        <f t="shared" si="158"/>
        <v>24.839750585982635</v>
      </c>
      <c r="AS346">
        <f t="shared" si="158"/>
        <v>24.839750585982635</v>
      </c>
      <c r="AT346">
        <f t="shared" si="158"/>
        <v>24.839750585982635</v>
      </c>
      <c r="AU346">
        <f t="shared" si="158"/>
        <v>24.839750585982635</v>
      </c>
      <c r="AV346">
        <f t="shared" si="158"/>
        <v>24.839750585982635</v>
      </c>
      <c r="AW346">
        <f t="shared" si="158"/>
        <v>24.839750585982635</v>
      </c>
      <c r="AX346">
        <f t="shared" si="158"/>
        <v>24.839750585982635</v>
      </c>
      <c r="AY346">
        <f t="shared" si="158"/>
        <v>24.839750585982635</v>
      </c>
      <c r="AZ346">
        <f t="shared" si="158"/>
        <v>24.839750585982635</v>
      </c>
      <c r="BA346">
        <f t="shared" si="158"/>
        <v>24.839750585982635</v>
      </c>
      <c r="BB346">
        <f t="shared" si="158"/>
        <v>24.839750585982635</v>
      </c>
      <c r="BC346">
        <f t="shared" si="158"/>
        <v>24.839750585982635</v>
      </c>
      <c r="BD346">
        <f t="shared" si="158"/>
        <v>24.839750585982635</v>
      </c>
      <c r="BE346">
        <f t="shared" si="158"/>
        <v>24.839750585982635</v>
      </c>
      <c r="BF346">
        <f t="shared" si="158"/>
        <v>24.839750585982635</v>
      </c>
      <c r="BG346">
        <f t="shared" si="158"/>
        <v>24.839750585982635</v>
      </c>
      <c r="BH346">
        <f t="shared" si="158"/>
        <v>24.839750585982635</v>
      </c>
    </row>
    <row r="347" spans="1:60">
      <c r="B347" t="str">
        <f>B594</f>
        <v>Combustóleo</v>
      </c>
      <c r="C347">
        <f>C594-C435-C521-C526-C551</f>
        <v>0.45999999999999996</v>
      </c>
      <c r="D347">
        <f t="shared" ref="D347:BH347" si="159">D594-D435-D521-D526-D551</f>
        <v>0.93</v>
      </c>
      <c r="E347">
        <f t="shared" si="159"/>
        <v>4.3099999999999996</v>
      </c>
      <c r="F347">
        <f t="shared" si="159"/>
        <v>9.5</v>
      </c>
      <c r="G347">
        <f t="shared" si="159"/>
        <v>8.1399999999999988</v>
      </c>
      <c r="H347">
        <f t="shared" si="159"/>
        <v>1.9800000000000009</v>
      </c>
      <c r="I347">
        <f t="shared" si="159"/>
        <v>3.47</v>
      </c>
      <c r="J347">
        <f t="shared" si="159"/>
        <v>0.63</v>
      </c>
      <c r="K347">
        <f t="shared" si="159"/>
        <v>0.80999999999999994</v>
      </c>
      <c r="L347">
        <f t="shared" si="159"/>
        <v>0.72999999999999987</v>
      </c>
      <c r="M347">
        <f t="shared" si="159"/>
        <v>0.65999999999999992</v>
      </c>
      <c r="N347">
        <f t="shared" si="159"/>
        <v>0.59918655706315405</v>
      </c>
      <c r="O347">
        <f t="shared" si="159"/>
        <v>0.5483858241721965</v>
      </c>
      <c r="P347">
        <f t="shared" si="159"/>
        <v>0.49755967118946232</v>
      </c>
      <c r="Q347">
        <f t="shared" si="159"/>
        <v>0.44674622825261634</v>
      </c>
      <c r="R347">
        <f t="shared" si="159"/>
        <v>0.38594549536165834</v>
      </c>
      <c r="S347">
        <f t="shared" si="159"/>
        <v>0.33511934237892438</v>
      </c>
      <c r="T347">
        <f t="shared" si="159"/>
        <v>0.28431860948796683</v>
      </c>
      <c r="U347">
        <f t="shared" si="159"/>
        <v>0.22351787659700903</v>
      </c>
      <c r="V347">
        <f t="shared" si="159"/>
        <v>0.17267901356838655</v>
      </c>
      <c r="W347">
        <f t="shared" si="159"/>
        <v>0.12187828067742892</v>
      </c>
      <c r="X347">
        <f t="shared" si="159"/>
        <v>7.4077118616090565E-2</v>
      </c>
      <c r="Y347">
        <f t="shared" si="159"/>
        <v>2.0343171238981939E-2</v>
      </c>
      <c r="Z347">
        <f t="shared" si="159"/>
        <v>-2.3378066092238581E-2</v>
      </c>
      <c r="AA347">
        <f t="shared" si="159"/>
        <v>-6.7124723515235685E-2</v>
      </c>
      <c r="AB347">
        <f t="shared" si="159"/>
        <v>-0.1208586708923442</v>
      </c>
      <c r="AC347">
        <f t="shared" si="159"/>
        <v>-0.16456719817767673</v>
      </c>
      <c r="AD347">
        <f t="shared" si="159"/>
        <v>-0.20832656564656171</v>
      </c>
      <c r="AE347">
        <f t="shared" si="159"/>
        <v>-0.2520605130236705</v>
      </c>
      <c r="AF347">
        <f t="shared" si="159"/>
        <v>-0.30578175035489097</v>
      </c>
      <c r="AG347">
        <f t="shared" si="159"/>
        <v>-0.34951569773199975</v>
      </c>
      <c r="AH347">
        <f t="shared" si="159"/>
        <v>-0.39326235515499652</v>
      </c>
      <c r="AI347">
        <f t="shared" si="159"/>
        <v>-0.44698359248621711</v>
      </c>
      <c r="AJ347">
        <f t="shared" si="159"/>
        <v>-0.49071753986332578</v>
      </c>
      <c r="AK347">
        <f t="shared" si="159"/>
        <v>-0.53445148724043456</v>
      </c>
      <c r="AL347">
        <f t="shared" si="159"/>
        <v>-0.57819814466343156</v>
      </c>
      <c r="AM347">
        <f t="shared" si="159"/>
        <v>-0.63185583176521098</v>
      </c>
      <c r="AN347">
        <f t="shared" si="159"/>
        <v>-0.6755262289128785</v>
      </c>
      <c r="AO347">
        <f t="shared" si="159"/>
        <v>-0.6755262289128785</v>
      </c>
      <c r="AP347">
        <f t="shared" si="159"/>
        <v>-0.6755262289128785</v>
      </c>
      <c r="AQ347">
        <f t="shared" si="159"/>
        <v>-0.6755262289128785</v>
      </c>
      <c r="AR347">
        <f t="shared" si="159"/>
        <v>-0.6755262289128785</v>
      </c>
      <c r="AS347">
        <f t="shared" si="159"/>
        <v>-0.6755262289128785</v>
      </c>
      <c r="AT347">
        <f t="shared" si="159"/>
        <v>-0.6755262289128785</v>
      </c>
      <c r="AU347">
        <f t="shared" si="159"/>
        <v>-0.6755262289128785</v>
      </c>
      <c r="AV347">
        <f t="shared" si="159"/>
        <v>-0.6755262289128785</v>
      </c>
      <c r="AW347">
        <f t="shared" si="159"/>
        <v>-0.6755262289128785</v>
      </c>
      <c r="AX347">
        <f t="shared" si="159"/>
        <v>-0.6755262289128785</v>
      </c>
      <c r="AY347">
        <f t="shared" si="159"/>
        <v>-0.6755262289128785</v>
      </c>
      <c r="AZ347">
        <f t="shared" si="159"/>
        <v>-0.6755262289128785</v>
      </c>
      <c r="BA347">
        <f t="shared" si="159"/>
        <v>-0.6755262289128785</v>
      </c>
      <c r="BB347">
        <f t="shared" si="159"/>
        <v>-0.6755262289128785</v>
      </c>
      <c r="BC347">
        <f t="shared" si="159"/>
        <v>-0.6755262289128785</v>
      </c>
      <c r="BD347">
        <f t="shared" si="159"/>
        <v>-0.6755262289128785</v>
      </c>
      <c r="BE347">
        <f t="shared" si="159"/>
        <v>-0.6755262289128785</v>
      </c>
      <c r="BF347">
        <f t="shared" si="159"/>
        <v>-0.6755262289128785</v>
      </c>
      <c r="BG347">
        <f t="shared" si="159"/>
        <v>-0.6755262289128785</v>
      </c>
      <c r="BH347">
        <f t="shared" si="159"/>
        <v>-0.6755262289128785</v>
      </c>
    </row>
    <row r="348" spans="1:60">
      <c r="B348" t="str">
        <f t="shared" ref="B348:BH349" si="160">B595</f>
        <v>No energéticos</v>
      </c>
      <c r="C348">
        <f t="shared" si="160"/>
        <v>0</v>
      </c>
      <c r="D348">
        <f t="shared" si="160"/>
        <v>0</v>
      </c>
      <c r="E348">
        <f t="shared" si="160"/>
        <v>0</v>
      </c>
      <c r="F348">
        <f t="shared" si="160"/>
        <v>0</v>
      </c>
      <c r="G348">
        <f t="shared" si="160"/>
        <v>0</v>
      </c>
      <c r="H348">
        <f t="shared" si="160"/>
        <v>0</v>
      </c>
      <c r="I348">
        <f t="shared" si="160"/>
        <v>0</v>
      </c>
      <c r="J348">
        <f t="shared" si="160"/>
        <v>0</v>
      </c>
      <c r="K348">
        <f t="shared" si="160"/>
        <v>0</v>
      </c>
      <c r="L348">
        <f t="shared" si="160"/>
        <v>0</v>
      </c>
      <c r="M348">
        <f t="shared" si="160"/>
        <v>0</v>
      </c>
      <c r="N348">
        <f t="shared" si="160"/>
        <v>0</v>
      </c>
      <c r="O348">
        <f t="shared" si="160"/>
        <v>0</v>
      </c>
      <c r="P348">
        <f t="shared" si="160"/>
        <v>0</v>
      </c>
      <c r="Q348">
        <f t="shared" si="160"/>
        <v>0</v>
      </c>
      <c r="R348">
        <f t="shared" si="160"/>
        <v>0</v>
      </c>
      <c r="S348">
        <f t="shared" si="160"/>
        <v>0</v>
      </c>
      <c r="T348">
        <f t="shared" si="160"/>
        <v>0</v>
      </c>
      <c r="U348">
        <f t="shared" si="160"/>
        <v>0</v>
      </c>
      <c r="V348">
        <f t="shared" si="160"/>
        <v>0</v>
      </c>
      <c r="W348">
        <f t="shared" si="160"/>
        <v>0</v>
      </c>
      <c r="X348">
        <f t="shared" si="160"/>
        <v>0</v>
      </c>
      <c r="Y348">
        <f t="shared" si="160"/>
        <v>0</v>
      </c>
      <c r="Z348">
        <f t="shared" si="160"/>
        <v>0</v>
      </c>
      <c r="AA348">
        <f t="shared" si="160"/>
        <v>0</v>
      </c>
      <c r="AB348">
        <f t="shared" si="160"/>
        <v>0</v>
      </c>
      <c r="AC348">
        <f t="shared" si="160"/>
        <v>0</v>
      </c>
      <c r="AD348">
        <f t="shared" si="160"/>
        <v>0</v>
      </c>
      <c r="AE348">
        <f t="shared" si="160"/>
        <v>0</v>
      </c>
      <c r="AF348">
        <f t="shared" si="160"/>
        <v>0</v>
      </c>
      <c r="AG348">
        <f t="shared" si="160"/>
        <v>0</v>
      </c>
      <c r="AH348">
        <f t="shared" si="160"/>
        <v>0</v>
      </c>
      <c r="AI348">
        <f t="shared" si="160"/>
        <v>0</v>
      </c>
      <c r="AJ348">
        <f t="shared" si="160"/>
        <v>0</v>
      </c>
      <c r="AK348">
        <f t="shared" si="160"/>
        <v>0</v>
      </c>
      <c r="AL348">
        <f t="shared" si="160"/>
        <v>0</v>
      </c>
      <c r="AM348">
        <f t="shared" si="160"/>
        <v>0</v>
      </c>
      <c r="AN348">
        <f t="shared" si="160"/>
        <v>0</v>
      </c>
      <c r="AO348">
        <f t="shared" si="160"/>
        <v>0</v>
      </c>
      <c r="AP348">
        <f t="shared" si="160"/>
        <v>0</v>
      </c>
      <c r="AQ348">
        <f t="shared" si="160"/>
        <v>0</v>
      </c>
      <c r="AR348">
        <f t="shared" si="160"/>
        <v>0</v>
      </c>
      <c r="AS348">
        <f t="shared" si="160"/>
        <v>0</v>
      </c>
      <c r="AT348">
        <f t="shared" si="160"/>
        <v>0</v>
      </c>
      <c r="AU348">
        <f t="shared" si="160"/>
        <v>0</v>
      </c>
      <c r="AV348">
        <f t="shared" si="160"/>
        <v>0</v>
      </c>
      <c r="AW348">
        <f t="shared" si="160"/>
        <v>0</v>
      </c>
      <c r="AX348">
        <f t="shared" si="160"/>
        <v>0</v>
      </c>
      <c r="AY348">
        <f t="shared" si="160"/>
        <v>0</v>
      </c>
      <c r="AZ348">
        <f t="shared" si="160"/>
        <v>0</v>
      </c>
      <c r="BA348">
        <f t="shared" si="160"/>
        <v>0</v>
      </c>
      <c r="BB348">
        <f t="shared" si="160"/>
        <v>0</v>
      </c>
      <c r="BC348">
        <f t="shared" si="160"/>
        <v>0</v>
      </c>
      <c r="BD348">
        <f t="shared" si="160"/>
        <v>0</v>
      </c>
      <c r="BE348">
        <f t="shared" si="160"/>
        <v>0</v>
      </c>
      <c r="BF348">
        <f t="shared" si="160"/>
        <v>0</v>
      </c>
      <c r="BG348">
        <f t="shared" si="160"/>
        <v>0</v>
      </c>
      <c r="BH348">
        <f t="shared" si="160"/>
        <v>0</v>
      </c>
    </row>
    <row r="349" spans="1:60">
      <c r="B349" t="str">
        <f t="shared" si="160"/>
        <v>Gas seco</v>
      </c>
      <c r="C349">
        <f>C596-C437-C552-C527-C522</f>
        <v>169.89000000000001</v>
      </c>
      <c r="D349">
        <f t="shared" ref="D349:BH349" si="161">D596-D437-D552-D527-D522</f>
        <v>175.01999999999998</v>
      </c>
      <c r="E349">
        <f t="shared" si="161"/>
        <v>185.19</v>
      </c>
      <c r="F349">
        <f t="shared" si="161"/>
        <v>203.05</v>
      </c>
      <c r="G349">
        <f t="shared" si="161"/>
        <v>248.67999999999998</v>
      </c>
      <c r="H349">
        <f t="shared" si="161"/>
        <v>80.36999999999999</v>
      </c>
      <c r="I349">
        <f t="shared" si="161"/>
        <v>73.899999999999991</v>
      </c>
      <c r="J349">
        <f t="shared" si="161"/>
        <v>26.549999999999997</v>
      </c>
      <c r="K349">
        <f t="shared" si="161"/>
        <v>42.330000000000005</v>
      </c>
      <c r="L349">
        <f t="shared" si="161"/>
        <v>43.1</v>
      </c>
      <c r="M349">
        <f t="shared" si="161"/>
        <v>43.890000000000008</v>
      </c>
      <c r="N349">
        <f t="shared" si="161"/>
        <v>44.371485259648075</v>
      </c>
      <c r="O349">
        <f t="shared" si="161"/>
        <v>44.85310356211415</v>
      </c>
      <c r="P349">
        <f t="shared" si="161"/>
        <v>45.324455778944241</v>
      </c>
      <c r="Q349">
        <f t="shared" si="161"/>
        <v>45.80594103859233</v>
      </c>
      <c r="R349">
        <f t="shared" si="161"/>
        <v>46.287559341058405</v>
      </c>
      <c r="S349">
        <f t="shared" si="161"/>
        <v>46.76891155788848</v>
      </c>
      <c r="T349">
        <f t="shared" si="161"/>
        <v>47.240529860354563</v>
      </c>
      <c r="U349">
        <f t="shared" si="161"/>
        <v>47.722148162820638</v>
      </c>
      <c r="V349">
        <f t="shared" si="161"/>
        <v>48.203367336832727</v>
      </c>
      <c r="W349">
        <f t="shared" si="161"/>
        <v>48.674985639298797</v>
      </c>
      <c r="X349">
        <f t="shared" si="161"/>
        <v>48.918002046812589</v>
      </c>
      <c r="Y349">
        <f t="shared" si="161"/>
        <v>48.843592156085961</v>
      </c>
      <c r="Z349">
        <f t="shared" si="161"/>
        <v>48.759315308177356</v>
      </c>
      <c r="AA349">
        <f t="shared" si="161"/>
        <v>48.684772374632729</v>
      </c>
      <c r="AB349">
        <f t="shared" si="161"/>
        <v>48.610362483906108</v>
      </c>
      <c r="AC349">
        <f t="shared" si="161"/>
        <v>48.526218678815496</v>
      </c>
      <c r="AD349">
        <f t="shared" si="161"/>
        <v>48.451542702452876</v>
      </c>
      <c r="AE349">
        <f t="shared" si="161"/>
        <v>48.377132811726263</v>
      </c>
      <c r="AF349">
        <f t="shared" si="161"/>
        <v>48.292855963817644</v>
      </c>
      <c r="AG349">
        <f t="shared" si="161"/>
        <v>48.218446073091023</v>
      </c>
      <c r="AH349">
        <f t="shared" si="161"/>
        <v>48.143903139546403</v>
      </c>
      <c r="AI349">
        <f t="shared" si="161"/>
        <v>48.059626291637784</v>
      </c>
      <c r="AJ349">
        <f t="shared" si="161"/>
        <v>47.985216400911163</v>
      </c>
      <c r="AK349">
        <f t="shared" si="161"/>
        <v>47.910806510184543</v>
      </c>
      <c r="AL349">
        <f t="shared" si="161"/>
        <v>47.826263576639931</v>
      </c>
      <c r="AM349">
        <f t="shared" si="161"/>
        <v>47.752651942821302</v>
      </c>
      <c r="AN349">
        <f t="shared" si="161"/>
        <v>47.668907266184675</v>
      </c>
      <c r="AO349">
        <f t="shared" si="161"/>
        <v>47.668907266184675</v>
      </c>
      <c r="AP349">
        <f t="shared" si="161"/>
        <v>47.668907266184675</v>
      </c>
      <c r="AQ349">
        <f t="shared" si="161"/>
        <v>47.668907266184675</v>
      </c>
      <c r="AR349">
        <f t="shared" si="161"/>
        <v>47.668907266184675</v>
      </c>
      <c r="AS349">
        <f t="shared" si="161"/>
        <v>47.668907266184675</v>
      </c>
      <c r="AT349">
        <f t="shared" si="161"/>
        <v>47.668907266184675</v>
      </c>
      <c r="AU349">
        <f t="shared" si="161"/>
        <v>47.668907266184675</v>
      </c>
      <c r="AV349">
        <f t="shared" si="161"/>
        <v>47.668907266184675</v>
      </c>
      <c r="AW349">
        <f t="shared" si="161"/>
        <v>47.668907266184675</v>
      </c>
      <c r="AX349">
        <f t="shared" si="161"/>
        <v>47.668907266184675</v>
      </c>
      <c r="AY349">
        <f t="shared" si="161"/>
        <v>47.668907266184675</v>
      </c>
      <c r="AZ349">
        <f t="shared" si="161"/>
        <v>47.668907266184675</v>
      </c>
      <c r="BA349">
        <f t="shared" si="161"/>
        <v>47.668907266184675</v>
      </c>
      <c r="BB349">
        <f t="shared" si="161"/>
        <v>47.668907266184675</v>
      </c>
      <c r="BC349">
        <f t="shared" si="161"/>
        <v>47.668907266184675</v>
      </c>
      <c r="BD349">
        <f t="shared" si="161"/>
        <v>47.668907266184675</v>
      </c>
      <c r="BE349">
        <f t="shared" si="161"/>
        <v>47.668907266184675</v>
      </c>
      <c r="BF349">
        <f t="shared" si="161"/>
        <v>47.668907266184675</v>
      </c>
      <c r="BG349">
        <f t="shared" si="161"/>
        <v>47.668907266184675</v>
      </c>
      <c r="BH349">
        <f t="shared" si="161"/>
        <v>47.668907266184675</v>
      </c>
    </row>
    <row r="350" spans="1:60">
      <c r="B350" t="str">
        <f>B597</f>
        <v>Electricidad</v>
      </c>
      <c r="C350">
        <f>C597-C438-C523-C528-C553</f>
        <v>379.13999999999993</v>
      </c>
      <c r="D350">
        <f t="shared" ref="D350:BH350" si="162">D597-D438-D523-D528-D553</f>
        <v>391.24</v>
      </c>
      <c r="E350">
        <f t="shared" si="162"/>
        <v>394.05999999999995</v>
      </c>
      <c r="F350">
        <f t="shared" si="162"/>
        <v>389.35</v>
      </c>
      <c r="G350">
        <f t="shared" si="162"/>
        <v>401.96999999999997</v>
      </c>
      <c r="H350">
        <f t="shared" si="162"/>
        <v>435.43000000000006</v>
      </c>
      <c r="I350">
        <f t="shared" si="162"/>
        <v>450.3</v>
      </c>
      <c r="J350">
        <f t="shared" si="162"/>
        <v>436.52</v>
      </c>
      <c r="K350">
        <f t="shared" si="162"/>
        <v>457.96000000000004</v>
      </c>
      <c r="L350">
        <f t="shared" si="162"/>
        <v>484.71</v>
      </c>
      <c r="M350">
        <f t="shared" si="162"/>
        <v>481.40000000000003</v>
      </c>
      <c r="N350">
        <f t="shared" si="162"/>
        <v>481.31446436235183</v>
      </c>
      <c r="O350">
        <f t="shared" si="162"/>
        <v>481.22901521904203</v>
      </c>
      <c r="P350">
        <f t="shared" si="162"/>
        <v>481.15339308705558</v>
      </c>
      <c r="Q350">
        <f t="shared" si="162"/>
        <v>481.06785744940743</v>
      </c>
      <c r="R350">
        <f t="shared" si="162"/>
        <v>480.98240830609751</v>
      </c>
      <c r="S350">
        <f t="shared" si="162"/>
        <v>480.90678617411112</v>
      </c>
      <c r="T350">
        <f t="shared" si="162"/>
        <v>480.8213370308012</v>
      </c>
      <c r="U350">
        <f t="shared" si="162"/>
        <v>480.73588788749134</v>
      </c>
      <c r="V350">
        <f t="shared" si="162"/>
        <v>480.66017926116672</v>
      </c>
      <c r="W350">
        <f t="shared" si="162"/>
        <v>480.5747301178568</v>
      </c>
      <c r="X350">
        <f t="shared" si="162"/>
        <v>478.39969363837446</v>
      </c>
      <c r="Y350">
        <f t="shared" si="162"/>
        <v>473.43233534713278</v>
      </c>
      <c r="Z350">
        <f t="shared" si="162"/>
        <v>468.4550635502294</v>
      </c>
      <c r="AA350">
        <f t="shared" si="162"/>
        <v>463.47761876464961</v>
      </c>
      <c r="AB350">
        <f t="shared" si="162"/>
        <v>458.51026047340798</v>
      </c>
      <c r="AC350">
        <f t="shared" si="162"/>
        <v>453.53307517084284</v>
      </c>
      <c r="AD350">
        <f t="shared" si="162"/>
        <v>448.56554389092469</v>
      </c>
      <c r="AE350">
        <f t="shared" si="162"/>
        <v>443.58818559968307</v>
      </c>
      <c r="AF350">
        <f t="shared" si="162"/>
        <v>438.61091380277969</v>
      </c>
      <c r="AG350">
        <f t="shared" si="162"/>
        <v>433.64355551153812</v>
      </c>
      <c r="AH350">
        <f t="shared" si="162"/>
        <v>428.66611072595822</v>
      </c>
      <c r="AI350">
        <f t="shared" si="162"/>
        <v>423.6888389290549</v>
      </c>
      <c r="AJ350">
        <f t="shared" si="162"/>
        <v>418.72148063781322</v>
      </c>
      <c r="AK350">
        <f t="shared" si="162"/>
        <v>413.7441223465716</v>
      </c>
      <c r="AL350">
        <f t="shared" si="162"/>
        <v>408.7666775609917</v>
      </c>
      <c r="AM350">
        <f t="shared" si="162"/>
        <v>403.74983823577958</v>
      </c>
      <c r="AN350">
        <f t="shared" si="162"/>
        <v>398.73291241622917</v>
      </c>
      <c r="AO350">
        <f t="shared" si="162"/>
        <v>398.73291241622917</v>
      </c>
      <c r="AP350">
        <f t="shared" si="162"/>
        <v>398.73291241622917</v>
      </c>
      <c r="AQ350">
        <f t="shared" si="162"/>
        <v>398.73291241622917</v>
      </c>
      <c r="AR350">
        <f t="shared" si="162"/>
        <v>398.73291241622917</v>
      </c>
      <c r="AS350">
        <f t="shared" si="162"/>
        <v>398.73291241622917</v>
      </c>
      <c r="AT350">
        <f t="shared" si="162"/>
        <v>398.73291241622917</v>
      </c>
      <c r="AU350">
        <f t="shared" si="162"/>
        <v>398.73291241622917</v>
      </c>
      <c r="AV350">
        <f t="shared" si="162"/>
        <v>398.73291241622917</v>
      </c>
      <c r="AW350">
        <f t="shared" si="162"/>
        <v>398.73291241622917</v>
      </c>
      <c r="AX350">
        <f t="shared" si="162"/>
        <v>398.73291241622917</v>
      </c>
      <c r="AY350">
        <f t="shared" si="162"/>
        <v>398.73291241622917</v>
      </c>
      <c r="AZ350">
        <f t="shared" si="162"/>
        <v>398.73291241622917</v>
      </c>
      <c r="BA350">
        <f t="shared" si="162"/>
        <v>398.73291241622917</v>
      </c>
      <c r="BB350">
        <f t="shared" si="162"/>
        <v>398.73291241622917</v>
      </c>
      <c r="BC350">
        <f t="shared" si="162"/>
        <v>398.73291241622917</v>
      </c>
      <c r="BD350">
        <f t="shared" si="162"/>
        <v>398.73291241622917</v>
      </c>
      <c r="BE350">
        <f t="shared" si="162"/>
        <v>398.73291241622917</v>
      </c>
      <c r="BF350">
        <f t="shared" si="162"/>
        <v>398.73291241622917</v>
      </c>
      <c r="BG350">
        <f t="shared" si="162"/>
        <v>398.73291241622917</v>
      </c>
      <c r="BH350">
        <f t="shared" si="162"/>
        <v>398.73291241622917</v>
      </c>
    </row>
    <row r="352" spans="1:60" s="68" customFormat="1" collapsed="1">
      <c r="A352" s="68" t="s">
        <v>148</v>
      </c>
      <c r="C352" s="68">
        <f>C353</f>
        <v>572.76</v>
      </c>
      <c r="D352" s="68">
        <f>D353</f>
        <v>566.16999999999996</v>
      </c>
      <c r="E352" s="68">
        <f>E353</f>
        <v>612.02</v>
      </c>
      <c r="F352" s="68">
        <f>F353</f>
        <v>623.07000000000005</v>
      </c>
      <c r="G352" s="68">
        <f>G353</f>
        <v>680.83999999999992</v>
      </c>
      <c r="H352" s="68">
        <f>H353</f>
        <v>529.16</v>
      </c>
      <c r="I352" s="68">
        <f>I353</f>
        <v>491.40999999999997</v>
      </c>
      <c r="J352" s="68">
        <f>J353</f>
        <v>538.55999999999995</v>
      </c>
      <c r="K352" s="68">
        <f>K353</f>
        <v>682.42</v>
      </c>
      <c r="L352" s="68">
        <f>L353</f>
        <v>651.68000000000006</v>
      </c>
      <c r="M352" s="68">
        <f>M353</f>
        <v>677.34</v>
      </c>
      <c r="N352" s="68">
        <f>N353</f>
        <v>700.76</v>
      </c>
      <c r="O352" s="68">
        <f>O353</f>
        <v>721.91000000000008</v>
      </c>
      <c r="P352" s="68">
        <f>P353</f>
        <v>736.69</v>
      </c>
      <c r="Q352" s="68">
        <f>Q353</f>
        <v>748.37</v>
      </c>
      <c r="R352" s="68">
        <f>R353</f>
        <v>757.18000000000006</v>
      </c>
      <c r="S352" s="68">
        <f>S353</f>
        <v>763.71</v>
      </c>
      <c r="T352" s="68">
        <f>T353</f>
        <v>768.66000000000008</v>
      </c>
      <c r="U352" s="68">
        <f>U353</f>
        <v>772.73</v>
      </c>
      <c r="V352" s="68">
        <f>V353</f>
        <v>776.6400000000001</v>
      </c>
      <c r="W352" s="68">
        <f>W353</f>
        <v>780.25</v>
      </c>
      <c r="X352" s="68">
        <f>X353</f>
        <v>783.55</v>
      </c>
      <c r="Y352" s="68">
        <f>Y353</f>
        <v>786.53</v>
      </c>
      <c r="Z352" s="68">
        <f>Z353</f>
        <v>789.17000000000007</v>
      </c>
      <c r="AA352" s="68">
        <f>AA353</f>
        <v>791.42000000000007</v>
      </c>
      <c r="AB352" s="68">
        <f>AB353</f>
        <v>793.31</v>
      </c>
      <c r="AC352" s="68">
        <f>AC353</f>
        <v>794.81999999999994</v>
      </c>
      <c r="AD352" s="68">
        <f>AD353</f>
        <v>795.86</v>
      </c>
      <c r="AE352" s="68">
        <f>AE353</f>
        <v>796.31999999999994</v>
      </c>
      <c r="AF352" s="68">
        <f>AF353</f>
        <v>796.22</v>
      </c>
      <c r="AG352" s="68">
        <f>AG353</f>
        <v>795.55</v>
      </c>
      <c r="AH352" s="68">
        <f>AH353</f>
        <v>794.3</v>
      </c>
      <c r="AI352" s="68">
        <f>AI353</f>
        <v>792.48</v>
      </c>
      <c r="AJ352" s="68">
        <f>AJ353</f>
        <v>791.65</v>
      </c>
      <c r="AK352" s="68">
        <f>AK353</f>
        <v>788.53</v>
      </c>
      <c r="AL352" s="68">
        <f>AL353</f>
        <v>784.54</v>
      </c>
      <c r="AM352" s="68">
        <f>AM353</f>
        <v>779.66</v>
      </c>
      <c r="AN352" s="68">
        <f>AN353</f>
        <v>775.7</v>
      </c>
      <c r="AO352" s="68">
        <f>AO353</f>
        <v>775.7</v>
      </c>
      <c r="AP352" s="68">
        <f>AP353</f>
        <v>775.7</v>
      </c>
      <c r="AQ352" s="68">
        <f>AQ353</f>
        <v>775.7</v>
      </c>
      <c r="AR352" s="68">
        <f>AR353</f>
        <v>775.7</v>
      </c>
      <c r="AS352" s="68">
        <f>AS353</f>
        <v>775.7</v>
      </c>
      <c r="AT352" s="68">
        <f>AT353</f>
        <v>775.7</v>
      </c>
      <c r="AU352" s="68">
        <f>AU353</f>
        <v>775.7</v>
      </c>
      <c r="AV352" s="68">
        <f>AV353</f>
        <v>775.7</v>
      </c>
      <c r="AW352" s="68">
        <f>AW353</f>
        <v>775.7</v>
      </c>
      <c r="AX352" s="68">
        <f>AX353</f>
        <v>775.7</v>
      </c>
      <c r="AY352" s="68">
        <f>AY353</f>
        <v>775.7</v>
      </c>
      <c r="AZ352" s="68">
        <f>AZ353</f>
        <v>775.7</v>
      </c>
      <c r="BA352" s="68">
        <f>BA353</f>
        <v>775.7</v>
      </c>
      <c r="BB352" s="68">
        <f>BB353</f>
        <v>775.7</v>
      </c>
      <c r="BC352" s="68">
        <f>BC353</f>
        <v>775.7</v>
      </c>
      <c r="BD352" s="68">
        <f>BD353</f>
        <v>775.7</v>
      </c>
      <c r="BE352" s="68">
        <f>BE353</f>
        <v>775.7</v>
      </c>
      <c r="BF352" s="68">
        <f>BF353</f>
        <v>775.7</v>
      </c>
      <c r="BG352" s="68">
        <f>BG353</f>
        <v>775.7</v>
      </c>
      <c r="BH352" s="68">
        <f>BH353</f>
        <v>775.7</v>
      </c>
    </row>
    <row r="353" spans="1:60" hidden="1" outlineLevel="1">
      <c r="C353">
        <f>C625</f>
        <v>572.76</v>
      </c>
      <c r="D353">
        <f>D625</f>
        <v>566.16999999999996</v>
      </c>
      <c r="E353">
        <f>E625</f>
        <v>612.02</v>
      </c>
      <c r="F353">
        <f>F625</f>
        <v>623.07000000000005</v>
      </c>
      <c r="G353">
        <f>G625</f>
        <v>680.83999999999992</v>
      </c>
      <c r="H353">
        <f>H625</f>
        <v>529.16</v>
      </c>
      <c r="I353">
        <f>I625</f>
        <v>491.40999999999997</v>
      </c>
      <c r="J353">
        <f>J625</f>
        <v>538.55999999999995</v>
      </c>
      <c r="K353">
        <f>K625</f>
        <v>682.42</v>
      </c>
      <c r="L353">
        <f>L625</f>
        <v>651.68000000000006</v>
      </c>
      <c r="M353">
        <f>M625</f>
        <v>677.34</v>
      </c>
      <c r="N353">
        <f>N625</f>
        <v>700.76</v>
      </c>
      <c r="O353">
        <f>O625</f>
        <v>721.91000000000008</v>
      </c>
      <c r="P353">
        <f>P625</f>
        <v>736.69</v>
      </c>
      <c r="Q353">
        <f>Q625</f>
        <v>748.37</v>
      </c>
      <c r="R353">
        <f>R625</f>
        <v>757.18000000000006</v>
      </c>
      <c r="S353">
        <f>S625</f>
        <v>763.71</v>
      </c>
      <c r="T353">
        <f>T625</f>
        <v>768.66000000000008</v>
      </c>
      <c r="U353">
        <f>U625</f>
        <v>772.73</v>
      </c>
      <c r="V353">
        <f>V625</f>
        <v>776.6400000000001</v>
      </c>
      <c r="W353">
        <f>W625</f>
        <v>780.25</v>
      </c>
      <c r="X353">
        <f>X625</f>
        <v>783.55</v>
      </c>
      <c r="Y353">
        <f>Y625</f>
        <v>786.53</v>
      </c>
      <c r="Z353">
        <f>Z625</f>
        <v>789.17000000000007</v>
      </c>
      <c r="AA353">
        <f>AA625</f>
        <v>791.42000000000007</v>
      </c>
      <c r="AB353">
        <f>AB625</f>
        <v>793.31</v>
      </c>
      <c r="AC353">
        <f>AC625</f>
        <v>794.81999999999994</v>
      </c>
      <c r="AD353">
        <f>AD625</f>
        <v>795.86</v>
      </c>
      <c r="AE353">
        <f>AE625</f>
        <v>796.31999999999994</v>
      </c>
      <c r="AF353">
        <f>AF625</f>
        <v>796.22</v>
      </c>
      <c r="AG353">
        <f>AG625</f>
        <v>795.55</v>
      </c>
      <c r="AH353">
        <f>AH625</f>
        <v>794.3</v>
      </c>
      <c r="AI353">
        <f>AI625</f>
        <v>792.48</v>
      </c>
      <c r="AJ353">
        <f>AJ625</f>
        <v>791.65</v>
      </c>
      <c r="AK353">
        <f>AK625</f>
        <v>788.53</v>
      </c>
      <c r="AL353">
        <f>AL625</f>
        <v>784.54</v>
      </c>
      <c r="AM353">
        <f>AM625</f>
        <v>779.66</v>
      </c>
      <c r="AN353">
        <f>AN625</f>
        <v>775.7</v>
      </c>
      <c r="AO353">
        <f>AO625</f>
        <v>775.7</v>
      </c>
      <c r="AP353">
        <f>AP625</f>
        <v>775.7</v>
      </c>
      <c r="AQ353">
        <f>AQ625</f>
        <v>775.7</v>
      </c>
      <c r="AR353">
        <f>AR625</f>
        <v>775.7</v>
      </c>
      <c r="AS353">
        <f>AS625</f>
        <v>775.7</v>
      </c>
      <c r="AT353">
        <f>AT625</f>
        <v>775.7</v>
      </c>
      <c r="AU353">
        <f>AU625</f>
        <v>775.7</v>
      </c>
      <c r="AV353">
        <f>AV625</f>
        <v>775.7</v>
      </c>
      <c r="AW353">
        <f>AW625</f>
        <v>775.7</v>
      </c>
      <c r="AX353">
        <f>AX625</f>
        <v>775.7</v>
      </c>
      <c r="AY353">
        <f>AY625</f>
        <v>775.7</v>
      </c>
      <c r="AZ353">
        <f>AZ625</f>
        <v>775.7</v>
      </c>
      <c r="BA353">
        <f>BA625</f>
        <v>775.7</v>
      </c>
      <c r="BB353">
        <f>BB625</f>
        <v>775.7</v>
      </c>
      <c r="BC353">
        <f>BC625</f>
        <v>775.7</v>
      </c>
      <c r="BD353">
        <f>BD625</f>
        <v>775.7</v>
      </c>
      <c r="BE353">
        <f>BE625</f>
        <v>775.7</v>
      </c>
      <c r="BF353">
        <f>BF625</f>
        <v>775.7</v>
      </c>
      <c r="BG353">
        <f>BG625</f>
        <v>775.7</v>
      </c>
      <c r="BH353">
        <f>BH625</f>
        <v>775.7</v>
      </c>
    </row>
    <row r="354" spans="1:60">
      <c r="A354" t="s">
        <v>149</v>
      </c>
    </row>
    <row r="355" spans="1:60" s="68" customFormat="1" collapsed="1">
      <c r="A355" s="68" t="s">
        <v>150</v>
      </c>
      <c r="C355" s="68">
        <f>SUM(C356:C357)</f>
        <v>12.73</v>
      </c>
      <c r="D355" s="68">
        <f t="shared" ref="D355:BH355" si="163">SUM(D356:D357)</f>
        <v>11.879999999999999</v>
      </c>
      <c r="E355" s="68">
        <f t="shared" si="163"/>
        <v>13.830000000000002</v>
      </c>
      <c r="F355" s="68">
        <f t="shared" si="163"/>
        <v>13.95</v>
      </c>
      <c r="G355" s="68">
        <f t="shared" si="163"/>
        <v>13.19</v>
      </c>
      <c r="H355" s="68">
        <f t="shared" si="163"/>
        <v>13.62</v>
      </c>
      <c r="I355" s="68">
        <f t="shared" si="163"/>
        <v>15.440000000000001</v>
      </c>
      <c r="J355" s="68">
        <f t="shared" si="163"/>
        <v>13.24</v>
      </c>
      <c r="K355" s="68">
        <f t="shared" si="163"/>
        <v>14.370000000000001</v>
      </c>
      <c r="L355" s="68">
        <f t="shared" si="163"/>
        <v>14.75</v>
      </c>
      <c r="M355" s="68">
        <f t="shared" si="163"/>
        <v>14.940000000000001</v>
      </c>
      <c r="N355" s="68">
        <f t="shared" si="163"/>
        <v>15.129999999999999</v>
      </c>
      <c r="O355" s="68">
        <f t="shared" si="163"/>
        <v>15.32</v>
      </c>
      <c r="P355" s="68">
        <f t="shared" si="163"/>
        <v>15.520000000000001</v>
      </c>
      <c r="Q355" s="68">
        <f t="shared" si="163"/>
        <v>15.71</v>
      </c>
      <c r="R355" s="68">
        <f t="shared" si="163"/>
        <v>15.91</v>
      </c>
      <c r="S355" s="68">
        <f t="shared" si="163"/>
        <v>16.100000000000001</v>
      </c>
      <c r="T355" s="68">
        <f t="shared" si="163"/>
        <v>16.29</v>
      </c>
      <c r="U355" s="68">
        <f t="shared" si="163"/>
        <v>16.48</v>
      </c>
      <c r="V355" s="68">
        <f t="shared" si="163"/>
        <v>16.670000000000002</v>
      </c>
      <c r="W355" s="68">
        <f t="shared" si="163"/>
        <v>16.87</v>
      </c>
      <c r="X355" s="68">
        <f t="shared" si="163"/>
        <v>17.059999999999999</v>
      </c>
      <c r="Y355" s="68">
        <f t="shared" si="163"/>
        <v>17.260000000000002</v>
      </c>
      <c r="Z355" s="68">
        <f t="shared" si="163"/>
        <v>17.439999999999998</v>
      </c>
      <c r="AA355" s="68">
        <f t="shared" si="163"/>
        <v>17.64</v>
      </c>
      <c r="AB355" s="68">
        <f t="shared" si="163"/>
        <v>17.829999999999998</v>
      </c>
      <c r="AC355" s="68">
        <f t="shared" si="163"/>
        <v>18.03</v>
      </c>
      <c r="AD355" s="68">
        <f t="shared" si="163"/>
        <v>18.22</v>
      </c>
      <c r="AE355" s="68">
        <f t="shared" si="163"/>
        <v>18.420000000000002</v>
      </c>
      <c r="AF355" s="68">
        <f t="shared" si="163"/>
        <v>18.600000000000001</v>
      </c>
      <c r="AG355" s="68">
        <f t="shared" si="163"/>
        <v>18.8</v>
      </c>
      <c r="AH355" s="68">
        <f t="shared" si="163"/>
        <v>18.990000000000002</v>
      </c>
      <c r="AI355" s="68">
        <f t="shared" si="163"/>
        <v>19.18</v>
      </c>
      <c r="AJ355" s="68">
        <f t="shared" si="163"/>
        <v>19.38</v>
      </c>
      <c r="AK355" s="68">
        <f t="shared" si="163"/>
        <v>19.57</v>
      </c>
      <c r="AL355" s="68">
        <f t="shared" si="163"/>
        <v>19.77</v>
      </c>
      <c r="AM355" s="68">
        <f t="shared" si="163"/>
        <v>19.950000000000003</v>
      </c>
      <c r="AN355" s="68">
        <f t="shared" si="163"/>
        <v>20.149999999999999</v>
      </c>
      <c r="AO355" s="68">
        <f t="shared" si="163"/>
        <v>20.149999999999999</v>
      </c>
      <c r="AP355" s="68">
        <f t="shared" si="163"/>
        <v>20.149999999999999</v>
      </c>
      <c r="AQ355" s="68">
        <f t="shared" si="163"/>
        <v>20.149999999999999</v>
      </c>
      <c r="AR355" s="68">
        <f t="shared" si="163"/>
        <v>20.149999999999999</v>
      </c>
      <c r="AS355" s="68">
        <f t="shared" si="163"/>
        <v>20.149999999999999</v>
      </c>
      <c r="AT355" s="68">
        <f t="shared" si="163"/>
        <v>20.149999999999999</v>
      </c>
      <c r="AU355" s="68">
        <f t="shared" si="163"/>
        <v>20.149999999999999</v>
      </c>
      <c r="AV355" s="68">
        <f t="shared" si="163"/>
        <v>20.149999999999999</v>
      </c>
      <c r="AW355" s="68">
        <f t="shared" si="163"/>
        <v>20.149999999999999</v>
      </c>
      <c r="AX355" s="68">
        <f t="shared" si="163"/>
        <v>20.149999999999999</v>
      </c>
      <c r="AY355" s="68">
        <f t="shared" si="163"/>
        <v>20.149999999999999</v>
      </c>
      <c r="AZ355" s="68">
        <f t="shared" si="163"/>
        <v>20.149999999999999</v>
      </c>
      <c r="BA355" s="68">
        <f t="shared" si="163"/>
        <v>20.149999999999999</v>
      </c>
      <c r="BB355" s="68">
        <f t="shared" si="163"/>
        <v>20.149999999999999</v>
      </c>
      <c r="BC355" s="68">
        <f t="shared" si="163"/>
        <v>20.149999999999999</v>
      </c>
      <c r="BD355" s="68">
        <f t="shared" si="163"/>
        <v>20.149999999999999</v>
      </c>
      <c r="BE355" s="68">
        <f t="shared" si="163"/>
        <v>20.149999999999999</v>
      </c>
      <c r="BF355" s="68">
        <f t="shared" si="163"/>
        <v>20.149999999999999</v>
      </c>
      <c r="BG355" s="68">
        <f t="shared" si="163"/>
        <v>20.149999999999999</v>
      </c>
      <c r="BH355" s="68">
        <f t="shared" si="163"/>
        <v>20.149999999999999</v>
      </c>
    </row>
    <row r="356" spans="1:60" hidden="1" outlineLevel="1">
      <c r="B356" t="s">
        <v>45</v>
      </c>
      <c r="C356">
        <f>C390</f>
        <v>10.96</v>
      </c>
      <c r="D356">
        <f t="shared" ref="D356:BH357" si="164">D390</f>
        <v>10.039999999999999</v>
      </c>
      <c r="E356">
        <f t="shared" si="164"/>
        <v>11.96</v>
      </c>
      <c r="F356">
        <f t="shared" si="164"/>
        <v>11.95</v>
      </c>
      <c r="G356">
        <f t="shared" si="164"/>
        <v>11.19</v>
      </c>
      <c r="H356">
        <f t="shared" si="164"/>
        <v>11.59</v>
      </c>
      <c r="I356">
        <f t="shared" si="164"/>
        <v>13.38</v>
      </c>
      <c r="J356">
        <f t="shared" si="164"/>
        <v>11.14</v>
      </c>
      <c r="K356">
        <f t="shared" si="164"/>
        <v>12.32</v>
      </c>
      <c r="L356">
        <f t="shared" si="164"/>
        <v>12.35</v>
      </c>
      <c r="M356">
        <f t="shared" si="164"/>
        <v>12.31</v>
      </c>
      <c r="N356">
        <f t="shared" si="164"/>
        <v>12.28</v>
      </c>
      <c r="O356">
        <f t="shared" si="164"/>
        <v>12.24</v>
      </c>
      <c r="P356">
        <f t="shared" si="164"/>
        <v>12.21</v>
      </c>
      <c r="Q356">
        <f t="shared" si="164"/>
        <v>12.17</v>
      </c>
      <c r="R356">
        <f t="shared" si="164"/>
        <v>12.14</v>
      </c>
      <c r="S356">
        <f t="shared" si="164"/>
        <v>12.1</v>
      </c>
      <c r="T356">
        <f t="shared" si="164"/>
        <v>12.07</v>
      </c>
      <c r="U356">
        <f t="shared" si="164"/>
        <v>12.03</v>
      </c>
      <c r="V356">
        <f t="shared" si="164"/>
        <v>11.99</v>
      </c>
      <c r="W356">
        <f t="shared" si="164"/>
        <v>11.96</v>
      </c>
      <c r="X356">
        <f t="shared" si="164"/>
        <v>11.92</v>
      </c>
      <c r="Y356">
        <f t="shared" si="164"/>
        <v>11.89</v>
      </c>
      <c r="Z356">
        <f t="shared" si="164"/>
        <v>11.85</v>
      </c>
      <c r="AA356">
        <f t="shared" si="164"/>
        <v>11.82</v>
      </c>
      <c r="AB356">
        <f t="shared" si="164"/>
        <v>11.78</v>
      </c>
      <c r="AC356">
        <f t="shared" si="164"/>
        <v>11.75</v>
      </c>
      <c r="AD356">
        <f t="shared" si="164"/>
        <v>11.71</v>
      </c>
      <c r="AE356">
        <f t="shared" si="164"/>
        <v>11.68</v>
      </c>
      <c r="AF356">
        <f t="shared" si="164"/>
        <v>11.64</v>
      </c>
      <c r="AG356">
        <f t="shared" si="164"/>
        <v>11.61</v>
      </c>
      <c r="AH356">
        <f t="shared" si="164"/>
        <v>11.57</v>
      </c>
      <c r="AI356">
        <f t="shared" si="164"/>
        <v>11.53</v>
      </c>
      <c r="AJ356">
        <f t="shared" si="164"/>
        <v>11.5</v>
      </c>
      <c r="AK356">
        <f t="shared" si="164"/>
        <v>11.46</v>
      </c>
      <c r="AL356">
        <f t="shared" si="164"/>
        <v>11.43</v>
      </c>
      <c r="AM356">
        <f t="shared" si="164"/>
        <v>11.39</v>
      </c>
      <c r="AN356">
        <f t="shared" si="164"/>
        <v>11.36</v>
      </c>
      <c r="AO356">
        <f t="shared" si="164"/>
        <v>11.36</v>
      </c>
      <c r="AP356">
        <f t="shared" si="164"/>
        <v>11.36</v>
      </c>
      <c r="AQ356">
        <f t="shared" si="164"/>
        <v>11.36</v>
      </c>
      <c r="AR356">
        <f t="shared" si="164"/>
        <v>11.36</v>
      </c>
      <c r="AS356">
        <f t="shared" si="164"/>
        <v>11.36</v>
      </c>
      <c r="AT356">
        <f t="shared" si="164"/>
        <v>11.36</v>
      </c>
      <c r="AU356">
        <f t="shared" si="164"/>
        <v>11.36</v>
      </c>
      <c r="AV356">
        <f t="shared" si="164"/>
        <v>11.36</v>
      </c>
      <c r="AW356">
        <f t="shared" si="164"/>
        <v>11.36</v>
      </c>
      <c r="AX356">
        <f t="shared" si="164"/>
        <v>11.36</v>
      </c>
      <c r="AY356">
        <f t="shared" si="164"/>
        <v>11.36</v>
      </c>
      <c r="AZ356">
        <f t="shared" si="164"/>
        <v>11.36</v>
      </c>
      <c r="BA356">
        <f t="shared" si="164"/>
        <v>11.36</v>
      </c>
      <c r="BB356">
        <f t="shared" si="164"/>
        <v>11.36</v>
      </c>
      <c r="BC356">
        <f t="shared" si="164"/>
        <v>11.36</v>
      </c>
      <c r="BD356">
        <f t="shared" si="164"/>
        <v>11.36</v>
      </c>
      <c r="BE356">
        <f t="shared" si="164"/>
        <v>11.36</v>
      </c>
      <c r="BF356">
        <f t="shared" si="164"/>
        <v>11.36</v>
      </c>
      <c r="BG356">
        <f t="shared" si="164"/>
        <v>11.36</v>
      </c>
      <c r="BH356">
        <f t="shared" si="164"/>
        <v>11.36</v>
      </c>
    </row>
    <row r="357" spans="1:60" hidden="1" outlineLevel="1">
      <c r="B357" t="s">
        <v>46</v>
      </c>
      <c r="C357">
        <f>C391</f>
        <v>1.77</v>
      </c>
      <c r="D357">
        <f t="shared" si="164"/>
        <v>1.84</v>
      </c>
      <c r="E357">
        <f t="shared" si="164"/>
        <v>1.87</v>
      </c>
      <c r="F357">
        <f t="shared" si="164"/>
        <v>2</v>
      </c>
      <c r="G357">
        <f t="shared" si="164"/>
        <v>2</v>
      </c>
      <c r="H357">
        <f t="shared" si="164"/>
        <v>2.0299999999999998</v>
      </c>
      <c r="I357">
        <f t="shared" si="164"/>
        <v>2.06</v>
      </c>
      <c r="J357">
        <f t="shared" si="164"/>
        <v>2.1</v>
      </c>
      <c r="K357">
        <f t="shared" si="164"/>
        <v>2.0499999999999998</v>
      </c>
      <c r="L357">
        <f t="shared" si="164"/>
        <v>2.4</v>
      </c>
      <c r="M357">
        <f t="shared" si="164"/>
        <v>2.63</v>
      </c>
      <c r="N357">
        <f t="shared" si="164"/>
        <v>2.85</v>
      </c>
      <c r="O357">
        <f t="shared" si="164"/>
        <v>3.08</v>
      </c>
      <c r="P357">
        <f t="shared" si="164"/>
        <v>3.31</v>
      </c>
      <c r="Q357">
        <f t="shared" si="164"/>
        <v>3.54</v>
      </c>
      <c r="R357">
        <f t="shared" si="164"/>
        <v>3.77</v>
      </c>
      <c r="S357">
        <f t="shared" si="164"/>
        <v>4</v>
      </c>
      <c r="T357">
        <f t="shared" si="164"/>
        <v>4.22</v>
      </c>
      <c r="U357">
        <f t="shared" si="164"/>
        <v>4.45</v>
      </c>
      <c r="V357">
        <f t="shared" si="164"/>
        <v>4.68</v>
      </c>
      <c r="W357">
        <f t="shared" si="164"/>
        <v>4.91</v>
      </c>
      <c r="X357">
        <f t="shared" si="164"/>
        <v>5.14</v>
      </c>
      <c r="Y357">
        <f t="shared" si="164"/>
        <v>5.37</v>
      </c>
      <c r="Z357">
        <f t="shared" si="164"/>
        <v>5.59</v>
      </c>
      <c r="AA357">
        <f t="shared" si="164"/>
        <v>5.82</v>
      </c>
      <c r="AB357">
        <f t="shared" si="164"/>
        <v>6.05</v>
      </c>
      <c r="AC357">
        <f t="shared" si="164"/>
        <v>6.28</v>
      </c>
      <c r="AD357">
        <f t="shared" si="164"/>
        <v>6.51</v>
      </c>
      <c r="AE357">
        <f t="shared" si="164"/>
        <v>6.74</v>
      </c>
      <c r="AF357">
        <f t="shared" si="164"/>
        <v>6.96</v>
      </c>
      <c r="AG357">
        <f t="shared" si="164"/>
        <v>7.19</v>
      </c>
      <c r="AH357">
        <f t="shared" si="164"/>
        <v>7.42</v>
      </c>
      <c r="AI357">
        <f t="shared" si="164"/>
        <v>7.65</v>
      </c>
      <c r="AJ357">
        <f t="shared" si="164"/>
        <v>7.88</v>
      </c>
      <c r="AK357">
        <f t="shared" si="164"/>
        <v>8.11</v>
      </c>
      <c r="AL357">
        <f t="shared" si="164"/>
        <v>8.34</v>
      </c>
      <c r="AM357">
        <f t="shared" si="164"/>
        <v>8.56</v>
      </c>
      <c r="AN357">
        <f t="shared" si="164"/>
        <v>8.7899999999999991</v>
      </c>
      <c r="AO357">
        <f t="shared" si="164"/>
        <v>8.7899999999999991</v>
      </c>
      <c r="AP357">
        <f t="shared" si="164"/>
        <v>8.7899999999999991</v>
      </c>
      <c r="AQ357">
        <f t="shared" si="164"/>
        <v>8.7899999999999991</v>
      </c>
      <c r="AR357">
        <f t="shared" si="164"/>
        <v>8.7899999999999991</v>
      </c>
      <c r="AS357">
        <f t="shared" si="164"/>
        <v>8.7899999999999991</v>
      </c>
      <c r="AT357">
        <f t="shared" si="164"/>
        <v>8.7899999999999991</v>
      </c>
      <c r="AU357">
        <f t="shared" si="164"/>
        <v>8.7899999999999991</v>
      </c>
      <c r="AV357">
        <f t="shared" si="164"/>
        <v>8.7899999999999991</v>
      </c>
      <c r="AW357">
        <f t="shared" si="164"/>
        <v>8.7899999999999991</v>
      </c>
      <c r="AX357">
        <f t="shared" si="164"/>
        <v>8.7899999999999991</v>
      </c>
      <c r="AY357">
        <f t="shared" si="164"/>
        <v>8.7899999999999991</v>
      </c>
      <c r="AZ357">
        <f t="shared" si="164"/>
        <v>8.7899999999999991</v>
      </c>
      <c r="BA357">
        <f t="shared" si="164"/>
        <v>8.7899999999999991</v>
      </c>
      <c r="BB357">
        <f t="shared" si="164"/>
        <v>8.7899999999999991</v>
      </c>
      <c r="BC357">
        <f t="shared" si="164"/>
        <v>8.7899999999999991</v>
      </c>
      <c r="BD357">
        <f t="shared" si="164"/>
        <v>8.7899999999999991</v>
      </c>
      <c r="BE357">
        <f t="shared" si="164"/>
        <v>8.7899999999999991</v>
      </c>
      <c r="BF357">
        <f t="shared" si="164"/>
        <v>8.7899999999999991</v>
      </c>
      <c r="BG357">
        <f t="shared" si="164"/>
        <v>8.7899999999999991</v>
      </c>
      <c r="BH357">
        <f t="shared" si="164"/>
        <v>8.7899999999999991</v>
      </c>
    </row>
    <row r="361" spans="1:60" collapsed="1">
      <c r="A361" s="67" t="s">
        <v>162</v>
      </c>
    </row>
    <row r="362" spans="1:60" hidden="1" outlineLevel="1">
      <c r="B362" t="str">
        <f>A.18!B3</f>
        <v>Gas licuado</v>
      </c>
      <c r="C362">
        <f>A.18!C3</f>
        <v>6.03</v>
      </c>
      <c r="D362">
        <f>A.18!D3</f>
        <v>6.08</v>
      </c>
      <c r="E362">
        <f>A.18!E3</f>
        <v>6.01</v>
      </c>
      <c r="F362">
        <f>A.18!F3</f>
        <v>5.12</v>
      </c>
      <c r="G362">
        <f>A.18!G3</f>
        <v>4.96</v>
      </c>
      <c r="H362">
        <f>A.18!H3</f>
        <v>4.76</v>
      </c>
      <c r="I362">
        <f>A.18!I3</f>
        <v>3.53</v>
      </c>
      <c r="J362">
        <f>A.18!J3</f>
        <v>5.88</v>
      </c>
      <c r="K362">
        <f>A.18!K3</f>
        <v>4.33</v>
      </c>
      <c r="L362">
        <f>A.18!L3</f>
        <v>4.68</v>
      </c>
      <c r="M362">
        <f>A.18!M3</f>
        <v>4.21</v>
      </c>
    </row>
    <row r="363" spans="1:60" hidden="1" outlineLevel="1">
      <c r="B363" t="str">
        <f>A.18!B4</f>
        <v>Queroseno</v>
      </c>
      <c r="C363">
        <f>A.18!C4</f>
        <v>0.01</v>
      </c>
      <c r="D363">
        <f>A.18!D4</f>
        <v>0</v>
      </c>
      <c r="E363">
        <f>A.18!E4</f>
        <v>0</v>
      </c>
      <c r="F363">
        <f>A.18!F4</f>
        <v>0</v>
      </c>
      <c r="G363">
        <f>A.18!G4</f>
        <v>0</v>
      </c>
      <c r="H363">
        <f>A.18!H4</f>
        <v>0</v>
      </c>
      <c r="I363">
        <f>A.18!I4</f>
        <v>0</v>
      </c>
      <c r="J363">
        <f>A.18!J4</f>
        <v>0</v>
      </c>
      <c r="K363">
        <f>A.18!K4</f>
        <v>0</v>
      </c>
      <c r="L363">
        <f>A.18!L4</f>
        <v>0</v>
      </c>
      <c r="M363">
        <f>A.18!M4</f>
        <v>0</v>
      </c>
    </row>
    <row r="364" spans="1:60" hidden="1" outlineLevel="1">
      <c r="B364" t="str">
        <f>A.18!B5</f>
        <v>Diésel</v>
      </c>
      <c r="C364">
        <f>A.18!C5</f>
        <v>115.55</v>
      </c>
      <c r="D364">
        <f>A.18!D5</f>
        <v>117.28</v>
      </c>
      <c r="E364">
        <f>A.18!E5</f>
        <v>136.84</v>
      </c>
      <c r="F364">
        <f>A.18!F5</f>
        <v>134.31</v>
      </c>
      <c r="G364">
        <f>A.18!G5</f>
        <v>135.28</v>
      </c>
      <c r="H364">
        <f>A.18!H5</f>
        <v>139.94999999999999</v>
      </c>
      <c r="I364">
        <f>A.18!I5</f>
        <v>141.1</v>
      </c>
      <c r="J364">
        <f>A.18!J5</f>
        <v>127.34</v>
      </c>
      <c r="K364">
        <f>A.18!K5</f>
        <v>125.74</v>
      </c>
      <c r="L364">
        <f>A.18!L5</f>
        <v>130.11000000000001</v>
      </c>
      <c r="M364">
        <f>A.18!M5</f>
        <v>123.53</v>
      </c>
    </row>
    <row r="365" spans="1:60" hidden="1" outlineLevel="1">
      <c r="B365" t="str">
        <f>A.18!B6</f>
        <v>Electricidad</v>
      </c>
      <c r="C365">
        <f>A.18!C6</f>
        <v>37.03</v>
      </c>
      <c r="D365">
        <f>A.18!D6</f>
        <v>36.119999999999997</v>
      </c>
      <c r="E365">
        <f>A.18!E6</f>
        <v>36.24</v>
      </c>
      <c r="F365">
        <f>A.18!F6</f>
        <v>40.81</v>
      </c>
      <c r="G365">
        <f>A.18!G6</f>
        <v>41.66</v>
      </c>
      <c r="H365">
        <f>A.18!H6</f>
        <v>44.56</v>
      </c>
      <c r="I365">
        <f>A.18!I6</f>
        <v>47.27</v>
      </c>
      <c r="J365">
        <f>A.18!J6</f>
        <v>52.79</v>
      </c>
      <c r="K365">
        <f>A.18!K6</f>
        <v>48.63</v>
      </c>
      <c r="L365">
        <f>A.18!L6</f>
        <v>53.35</v>
      </c>
      <c r="M365">
        <f>A.18!M6</f>
        <v>55.48</v>
      </c>
    </row>
    <row r="366" spans="1:60" hidden="1" outlineLevel="1"/>
    <row r="367" spans="1:60" hidden="1" outlineLevel="1">
      <c r="B367" t="s">
        <v>82</v>
      </c>
    </row>
    <row r="368" spans="1:60" hidden="1" outlineLevel="1">
      <c r="B368" t="str">
        <f>Esc!A22</f>
        <v>GLP</v>
      </c>
      <c r="C368">
        <f>Esc!B22</f>
        <v>6.03</v>
      </c>
      <c r="D368">
        <f>Esc!C22</f>
        <v>6.08</v>
      </c>
      <c r="E368">
        <f>Esc!D22</f>
        <v>4.99</v>
      </c>
      <c r="F368">
        <f>Esc!E22</f>
        <v>5.09</v>
      </c>
      <c r="G368">
        <f>Esc!F22</f>
        <v>4.93</v>
      </c>
      <c r="H368">
        <f>Esc!G22</f>
        <v>4.9000000000000004</v>
      </c>
      <c r="I368">
        <f>Esc!H22</f>
        <v>4.91</v>
      </c>
      <c r="J368">
        <f>Esc!I22</f>
        <v>4.9000000000000004</v>
      </c>
      <c r="K368">
        <f>Esc!J22</f>
        <v>4.33</v>
      </c>
      <c r="L368">
        <f>Esc!K22</f>
        <v>4.2039999999999997</v>
      </c>
      <c r="M368">
        <f>Esc!L22</f>
        <v>4.0679999999999996</v>
      </c>
      <c r="N368">
        <f>Esc!M22</f>
        <v>3.9319999999999999</v>
      </c>
      <c r="O368">
        <f>Esc!N22</f>
        <v>3.7959999999999998</v>
      </c>
      <c r="P368">
        <f>Esc!O22</f>
        <v>3.66</v>
      </c>
      <c r="Q368">
        <f>Esc!P22</f>
        <v>3.524</v>
      </c>
      <c r="R368">
        <f>Esc!Q22</f>
        <v>3.3879999999999999</v>
      </c>
      <c r="S368">
        <f>Esc!R22</f>
        <v>3.2519999999999998</v>
      </c>
      <c r="T368">
        <f>Esc!S22</f>
        <v>3.1160000000000001</v>
      </c>
      <c r="U368">
        <f>Esc!T22</f>
        <v>2.98</v>
      </c>
      <c r="V368">
        <f>Esc!U22</f>
        <v>2.8439999999999999</v>
      </c>
      <c r="W368">
        <f>Esc!V22</f>
        <v>2.7080000000000002</v>
      </c>
      <c r="X368">
        <f>Esc!W22</f>
        <v>2.5720000000000001</v>
      </c>
      <c r="Y368">
        <f>Esc!X22</f>
        <v>2.4359999999999999</v>
      </c>
      <c r="Z368">
        <f>Esc!Y22</f>
        <v>2.2999999999999998</v>
      </c>
      <c r="AA368">
        <f>Esc!Z22</f>
        <v>2.1640000000000001</v>
      </c>
      <c r="AB368">
        <f>Esc!AA22</f>
        <v>2.028</v>
      </c>
      <c r="AC368">
        <f>Esc!AB22</f>
        <v>1.8919999999999999</v>
      </c>
      <c r="AD368">
        <f>Esc!AC22</f>
        <v>1.756</v>
      </c>
      <c r="AE368">
        <f>Esc!AD22</f>
        <v>1.62</v>
      </c>
      <c r="AF368">
        <f>Esc!AE22</f>
        <v>1.484</v>
      </c>
      <c r="AG368">
        <f>Esc!AF22</f>
        <v>1.3480000000000001</v>
      </c>
      <c r="AH368">
        <f>Esc!AG22</f>
        <v>1.212</v>
      </c>
      <c r="AI368">
        <f>Esc!AH22</f>
        <v>1.0760000000000001</v>
      </c>
      <c r="AJ368">
        <f>Esc!AI22</f>
        <v>0.94</v>
      </c>
      <c r="AK368">
        <f>Esc!AJ22</f>
        <v>0.80400000000000005</v>
      </c>
      <c r="AL368">
        <f>Esc!AK22</f>
        <v>0.66800000000000004</v>
      </c>
      <c r="AM368">
        <f>Esc!AL22</f>
        <v>0.53200000000000003</v>
      </c>
      <c r="AN368">
        <f>Esc!AM22</f>
        <v>0.39600000000000002</v>
      </c>
      <c r="AO368">
        <f>AN368</f>
        <v>0.39600000000000002</v>
      </c>
      <c r="AP368">
        <f t="shared" ref="AP368:BH370" si="165">AO368</f>
        <v>0.39600000000000002</v>
      </c>
      <c r="AQ368">
        <f t="shared" si="165"/>
        <v>0.39600000000000002</v>
      </c>
      <c r="AR368">
        <f t="shared" si="165"/>
        <v>0.39600000000000002</v>
      </c>
      <c r="AS368">
        <f t="shared" si="165"/>
        <v>0.39600000000000002</v>
      </c>
      <c r="AT368">
        <f t="shared" si="165"/>
        <v>0.39600000000000002</v>
      </c>
      <c r="AU368">
        <f t="shared" si="165"/>
        <v>0.39600000000000002</v>
      </c>
      <c r="AV368">
        <f t="shared" si="165"/>
        <v>0.39600000000000002</v>
      </c>
      <c r="AW368">
        <f t="shared" si="165"/>
        <v>0.39600000000000002</v>
      </c>
      <c r="AX368">
        <f t="shared" si="165"/>
        <v>0.39600000000000002</v>
      </c>
      <c r="AY368">
        <f t="shared" si="165"/>
        <v>0.39600000000000002</v>
      </c>
      <c r="AZ368">
        <f t="shared" si="165"/>
        <v>0.39600000000000002</v>
      </c>
      <c r="BA368">
        <f t="shared" si="165"/>
        <v>0.39600000000000002</v>
      </c>
      <c r="BB368">
        <f t="shared" si="165"/>
        <v>0.39600000000000002</v>
      </c>
      <c r="BC368">
        <f t="shared" si="165"/>
        <v>0.39600000000000002</v>
      </c>
      <c r="BD368">
        <f t="shared" si="165"/>
        <v>0.39600000000000002</v>
      </c>
      <c r="BE368">
        <f t="shared" si="165"/>
        <v>0.39600000000000002</v>
      </c>
      <c r="BF368">
        <f t="shared" si="165"/>
        <v>0.39600000000000002</v>
      </c>
      <c r="BG368">
        <f t="shared" si="165"/>
        <v>0.39600000000000002</v>
      </c>
      <c r="BH368">
        <f t="shared" si="165"/>
        <v>0.39600000000000002</v>
      </c>
    </row>
    <row r="369" spans="1:60" hidden="1" outlineLevel="1">
      <c r="B369" t="str">
        <f>Esc!A25</f>
        <v>Diésel</v>
      </c>
      <c r="C369">
        <f>Esc!B25</f>
        <v>115.55</v>
      </c>
      <c r="D369">
        <f>Esc!C25</f>
        <v>117.28</v>
      </c>
      <c r="E369">
        <f>Esc!D25</f>
        <v>136.84</v>
      </c>
      <c r="F369">
        <f>Esc!E25</f>
        <v>134.31</v>
      </c>
      <c r="G369">
        <f>Esc!F25</f>
        <v>135.28</v>
      </c>
      <c r="H369">
        <f>Esc!G25</f>
        <v>139.94999999999999</v>
      </c>
      <c r="I369">
        <f>Esc!H25</f>
        <v>141.1</v>
      </c>
      <c r="J369">
        <f>Esc!I25</f>
        <v>127.34</v>
      </c>
      <c r="K369">
        <f>Esc!J25</f>
        <v>125.74</v>
      </c>
      <c r="L369">
        <f>Esc!K25</f>
        <v>128.26499999999999</v>
      </c>
      <c r="M369">
        <f>Esc!L25</f>
        <v>130.38550000000001</v>
      </c>
      <c r="N369">
        <f>Esc!M25</f>
        <v>132.506</v>
      </c>
      <c r="O369">
        <f>Esc!N25</f>
        <v>134.62649999999999</v>
      </c>
      <c r="P369">
        <f>Esc!O25</f>
        <v>136.74700000000001</v>
      </c>
      <c r="Q369">
        <f>Esc!P25</f>
        <v>138.86750000000001</v>
      </c>
      <c r="R369">
        <f>Esc!Q25</f>
        <v>140.988</v>
      </c>
      <c r="S369">
        <f>Esc!R25</f>
        <v>143.10849999999999</v>
      </c>
      <c r="T369">
        <f>Esc!S25</f>
        <v>145.22900000000001</v>
      </c>
      <c r="U369">
        <f>Esc!T25</f>
        <v>147.34950000000001</v>
      </c>
      <c r="V369">
        <f>Esc!U25</f>
        <v>149.47</v>
      </c>
      <c r="W369">
        <f>Esc!V25</f>
        <v>151.59049999999999</v>
      </c>
      <c r="X369">
        <f>Esc!W25</f>
        <v>153.71100000000001</v>
      </c>
      <c r="Y369">
        <f>Esc!X25</f>
        <v>155.83150000000001</v>
      </c>
      <c r="Z369">
        <f>Esc!Y25</f>
        <v>157.952</v>
      </c>
      <c r="AA369">
        <f>Esc!Z25</f>
        <v>160.07249999999999</v>
      </c>
      <c r="AB369">
        <f>Esc!AA25</f>
        <v>162.19300000000001</v>
      </c>
      <c r="AC369">
        <f>Esc!AB25</f>
        <v>164.3135</v>
      </c>
      <c r="AD369">
        <f>Esc!AC25</f>
        <v>166.434</v>
      </c>
      <c r="AE369">
        <f>Esc!AD25</f>
        <v>168.55449999999999</v>
      </c>
      <c r="AF369">
        <f>Esc!AE25</f>
        <v>170.67500000000001</v>
      </c>
      <c r="AG369">
        <f>Esc!AF25</f>
        <v>172.7955</v>
      </c>
      <c r="AH369">
        <f>Esc!AG25</f>
        <v>174.916</v>
      </c>
      <c r="AI369">
        <f>Esc!AH25</f>
        <v>177.03649999999999</v>
      </c>
      <c r="AJ369">
        <f>Esc!AI25</f>
        <v>179.15700000000001</v>
      </c>
      <c r="AK369">
        <f>Esc!AJ25</f>
        <v>181.2775</v>
      </c>
      <c r="AL369">
        <f>Esc!AK25</f>
        <v>183.398</v>
      </c>
      <c r="AM369">
        <f>Esc!AL25</f>
        <v>185.51849999999999</v>
      </c>
      <c r="AN369">
        <f>Esc!AM25</f>
        <v>187.63900000000001</v>
      </c>
      <c r="AO369">
        <f t="shared" ref="AO369:BD370" si="166">AN369</f>
        <v>187.63900000000001</v>
      </c>
      <c r="AP369">
        <f t="shared" si="166"/>
        <v>187.63900000000001</v>
      </c>
      <c r="AQ369">
        <f t="shared" si="166"/>
        <v>187.63900000000001</v>
      </c>
      <c r="AR369">
        <f t="shared" si="166"/>
        <v>187.63900000000001</v>
      </c>
      <c r="AS369">
        <f t="shared" si="166"/>
        <v>187.63900000000001</v>
      </c>
      <c r="AT369">
        <f t="shared" si="166"/>
        <v>187.63900000000001</v>
      </c>
      <c r="AU369">
        <f t="shared" si="166"/>
        <v>187.63900000000001</v>
      </c>
      <c r="AV369">
        <f t="shared" si="166"/>
        <v>187.63900000000001</v>
      </c>
      <c r="AW369">
        <f t="shared" si="166"/>
        <v>187.63900000000001</v>
      </c>
      <c r="AX369">
        <f t="shared" si="166"/>
        <v>187.63900000000001</v>
      </c>
      <c r="AY369">
        <f t="shared" si="166"/>
        <v>187.63900000000001</v>
      </c>
      <c r="AZ369">
        <f t="shared" si="166"/>
        <v>187.63900000000001</v>
      </c>
      <c r="BA369">
        <f t="shared" si="166"/>
        <v>187.63900000000001</v>
      </c>
      <c r="BB369">
        <f t="shared" si="166"/>
        <v>187.63900000000001</v>
      </c>
      <c r="BC369">
        <f t="shared" si="166"/>
        <v>187.63900000000001</v>
      </c>
      <c r="BD369">
        <f t="shared" si="166"/>
        <v>187.63900000000001</v>
      </c>
      <c r="BE369">
        <f t="shared" si="165"/>
        <v>187.63900000000001</v>
      </c>
      <c r="BF369">
        <f t="shared" si="165"/>
        <v>187.63900000000001</v>
      </c>
      <c r="BG369">
        <f t="shared" si="165"/>
        <v>187.63900000000001</v>
      </c>
      <c r="BH369">
        <f t="shared" si="165"/>
        <v>187.63900000000001</v>
      </c>
    </row>
    <row r="370" spans="1:60" hidden="1" outlineLevel="1">
      <c r="B370" t="str">
        <f>Esc!A29</f>
        <v>Electricidad</v>
      </c>
      <c r="C370">
        <f>Esc!B29</f>
        <v>37.03</v>
      </c>
      <c r="D370">
        <f>Esc!C29</f>
        <v>36.119999999999997</v>
      </c>
      <c r="E370">
        <f>Esc!D29</f>
        <v>36.21</v>
      </c>
      <c r="F370">
        <f>Esc!E29</f>
        <v>40.78</v>
      </c>
      <c r="G370">
        <f>Esc!F29</f>
        <v>40.69</v>
      </c>
      <c r="H370">
        <f>Esc!G29</f>
        <v>39.92</v>
      </c>
      <c r="I370">
        <f>Esc!H29</f>
        <v>40.01</v>
      </c>
      <c r="J370">
        <f>Esc!I29</f>
        <v>50.43</v>
      </c>
      <c r="K370">
        <f>Esc!J29</f>
        <v>48.63</v>
      </c>
      <c r="L370">
        <f>Esc!K29</f>
        <v>49.451000000000001</v>
      </c>
      <c r="M370">
        <f>Esc!L29</f>
        <v>50.826500000000003</v>
      </c>
      <c r="N370">
        <f>Esc!M29</f>
        <v>52.201999999999998</v>
      </c>
      <c r="O370">
        <f>Esc!N29</f>
        <v>53.577500000000001</v>
      </c>
      <c r="P370">
        <f>Esc!O29</f>
        <v>54.953000000000003</v>
      </c>
      <c r="Q370">
        <f>Esc!P29</f>
        <v>56.328499999999998</v>
      </c>
      <c r="R370">
        <f>Esc!Q29</f>
        <v>57.704000000000001</v>
      </c>
      <c r="S370">
        <f>Esc!R29</f>
        <v>59.079500000000003</v>
      </c>
      <c r="T370">
        <f>Esc!S29</f>
        <v>60.454999999999998</v>
      </c>
      <c r="U370">
        <f>Esc!T29</f>
        <v>61.830500000000001</v>
      </c>
      <c r="V370">
        <f>Esc!U29</f>
        <v>63.206000000000003</v>
      </c>
      <c r="W370">
        <f>Esc!V29</f>
        <v>64.581500000000005</v>
      </c>
      <c r="X370">
        <f>Esc!W29</f>
        <v>65.956999999999994</v>
      </c>
      <c r="Y370">
        <f>Esc!X29</f>
        <v>67.332499999999996</v>
      </c>
      <c r="Z370">
        <f>Esc!Y29</f>
        <v>68.707999999999998</v>
      </c>
      <c r="AA370">
        <f>Esc!Z29</f>
        <v>70.083500000000001</v>
      </c>
      <c r="AB370">
        <f>Esc!AA29</f>
        <v>71.459000000000003</v>
      </c>
      <c r="AC370">
        <f>Esc!AB29</f>
        <v>72.834500000000006</v>
      </c>
      <c r="AD370">
        <f>Esc!AC29</f>
        <v>74.209999999999994</v>
      </c>
      <c r="AE370">
        <f>Esc!AD29</f>
        <v>75.585499999999996</v>
      </c>
      <c r="AF370">
        <f>Esc!AE29</f>
        <v>76.960999999999999</v>
      </c>
      <c r="AG370">
        <f>Esc!AF29</f>
        <v>78.336500000000001</v>
      </c>
      <c r="AH370">
        <f>Esc!AG29</f>
        <v>79.712000000000003</v>
      </c>
      <c r="AI370">
        <f>Esc!AH29</f>
        <v>81.087500000000006</v>
      </c>
      <c r="AJ370">
        <f>Esc!AI29</f>
        <v>82.462999999999994</v>
      </c>
      <c r="AK370">
        <f>Esc!AJ29</f>
        <v>83.838499999999996</v>
      </c>
      <c r="AL370">
        <f>Esc!AK29</f>
        <v>85.213999999999999</v>
      </c>
      <c r="AM370">
        <f>Esc!AL29</f>
        <v>86.589500000000001</v>
      </c>
      <c r="AN370">
        <f>Esc!AM29</f>
        <v>87.965000000000003</v>
      </c>
      <c r="AO370">
        <f t="shared" si="166"/>
        <v>87.965000000000003</v>
      </c>
      <c r="AP370">
        <f t="shared" si="165"/>
        <v>87.965000000000003</v>
      </c>
      <c r="AQ370">
        <f t="shared" si="165"/>
        <v>87.965000000000003</v>
      </c>
      <c r="AR370">
        <f t="shared" si="165"/>
        <v>87.965000000000003</v>
      </c>
      <c r="AS370">
        <f t="shared" si="165"/>
        <v>87.965000000000003</v>
      </c>
      <c r="AT370">
        <f t="shared" si="165"/>
        <v>87.965000000000003</v>
      </c>
      <c r="AU370">
        <f t="shared" si="165"/>
        <v>87.965000000000003</v>
      </c>
      <c r="AV370">
        <f t="shared" si="165"/>
        <v>87.965000000000003</v>
      </c>
      <c r="AW370">
        <f t="shared" si="165"/>
        <v>87.965000000000003</v>
      </c>
      <c r="AX370">
        <f t="shared" si="165"/>
        <v>87.965000000000003</v>
      </c>
      <c r="AY370">
        <f t="shared" si="165"/>
        <v>87.965000000000003</v>
      </c>
      <c r="AZ370">
        <f t="shared" si="165"/>
        <v>87.965000000000003</v>
      </c>
      <c r="BA370">
        <f t="shared" si="165"/>
        <v>87.965000000000003</v>
      </c>
      <c r="BB370">
        <f t="shared" si="165"/>
        <v>87.965000000000003</v>
      </c>
      <c r="BC370">
        <f t="shared" si="165"/>
        <v>87.965000000000003</v>
      </c>
      <c r="BD370">
        <f t="shared" si="165"/>
        <v>87.965000000000003</v>
      </c>
      <c r="BE370">
        <f t="shared" si="165"/>
        <v>87.965000000000003</v>
      </c>
      <c r="BF370">
        <f t="shared" si="165"/>
        <v>87.965000000000003</v>
      </c>
      <c r="BG370">
        <f t="shared" si="165"/>
        <v>87.965000000000003</v>
      </c>
      <c r="BH370">
        <f t="shared" si="165"/>
        <v>87.965000000000003</v>
      </c>
    </row>
    <row r="371" spans="1:60" hidden="1" outlineLevel="1"/>
    <row r="372" spans="1:60" collapsed="1">
      <c r="A372" s="67" t="s">
        <v>163</v>
      </c>
    </row>
    <row r="373" spans="1:60" hidden="1" outlineLevel="1">
      <c r="B373" t="str">
        <f>A.15!A25</f>
        <v>Gas licuado</v>
      </c>
      <c r="C373">
        <f>A.15!B25</f>
        <v>9.32</v>
      </c>
      <c r="D373">
        <f>A.15!C25</f>
        <v>8.09</v>
      </c>
      <c r="E373">
        <f>A.15!D25</f>
        <v>7.02</v>
      </c>
      <c r="F373">
        <f>A.15!E25</f>
        <v>7.44</v>
      </c>
      <c r="G373">
        <f>A.15!F25</f>
        <v>8.44</v>
      </c>
      <c r="H373">
        <f>A.15!G25</f>
        <v>8.08</v>
      </c>
      <c r="I373">
        <f>A.15!H25</f>
        <v>7.04</v>
      </c>
      <c r="J373">
        <f>A.15!I25</f>
        <v>15.97</v>
      </c>
      <c r="K373">
        <f>A.15!J25</f>
        <v>5.56</v>
      </c>
      <c r="L373">
        <f>A.15!K25</f>
        <v>5.5</v>
      </c>
      <c r="M373">
        <f>A.15!L25</f>
        <v>5.35</v>
      </c>
    </row>
    <row r="374" spans="1:60" hidden="1" outlineLevel="1">
      <c r="B374" t="str">
        <f>A.15!A28</f>
        <v>Diesel</v>
      </c>
      <c r="C374">
        <f>A.15!B28</f>
        <v>4.37</v>
      </c>
      <c r="D374">
        <f>A.15!C28</f>
        <v>4.59</v>
      </c>
      <c r="E374">
        <f>A.15!D28</f>
        <v>5.5</v>
      </c>
      <c r="F374">
        <f>A.15!E28</f>
        <v>5.65</v>
      </c>
      <c r="G374">
        <f>A.15!F28</f>
        <v>5.96</v>
      </c>
      <c r="H374">
        <f>A.15!G28</f>
        <v>4.45</v>
      </c>
      <c r="I374">
        <f>A.15!H28</f>
        <v>6.88</v>
      </c>
      <c r="J374">
        <f>A.15!I28</f>
        <v>3.56</v>
      </c>
      <c r="K374">
        <f>A.15!J28</f>
        <v>9.5399999999999991</v>
      </c>
      <c r="L374">
        <f>A.15!K28</f>
        <v>9.41</v>
      </c>
      <c r="M374">
        <f>A.15!L28</f>
        <v>8.98</v>
      </c>
    </row>
    <row r="375" spans="1:60" hidden="1" outlineLevel="1">
      <c r="B375" t="str">
        <f>A.15!A29</f>
        <v>Combustóleo</v>
      </c>
      <c r="C375">
        <f>A.15!B29</f>
        <v>2.23</v>
      </c>
      <c r="D375">
        <f>A.15!C29</f>
        <v>2.2200000000000002</v>
      </c>
      <c r="E375">
        <f>A.15!D29</f>
        <v>2.08</v>
      </c>
      <c r="F375">
        <f>A.15!E29</f>
        <v>2.02</v>
      </c>
      <c r="G375">
        <f>A.15!F29</f>
        <v>1.91</v>
      </c>
      <c r="H375">
        <f>A.15!G29</f>
        <v>0.56999999999999995</v>
      </c>
      <c r="I375">
        <f>A.15!H29</f>
        <v>1.86</v>
      </c>
      <c r="J375">
        <f>A.15!I29</f>
        <v>1.81</v>
      </c>
      <c r="K375">
        <f>A.15!J29</f>
        <v>1.22</v>
      </c>
      <c r="L375">
        <f>A.15!K29</f>
        <v>1.21</v>
      </c>
      <c r="M375">
        <f>A.15!L29</f>
        <v>1.18</v>
      </c>
    </row>
    <row r="376" spans="1:60" hidden="1" outlineLevel="1">
      <c r="B376" t="str">
        <f>A.15!A31</f>
        <v>Gas seco</v>
      </c>
      <c r="C376">
        <f>A.15!B31</f>
        <v>9.27</v>
      </c>
      <c r="D376">
        <f>A.15!C31</f>
        <v>6.72</v>
      </c>
      <c r="E376">
        <f>A.15!D31</f>
        <v>10.1</v>
      </c>
      <c r="F376">
        <f>A.15!E31</f>
        <v>10.66</v>
      </c>
      <c r="G376">
        <f>A.15!F31</f>
        <v>11.84</v>
      </c>
      <c r="H376">
        <f>A.15!G31</f>
        <v>12.3</v>
      </c>
      <c r="I376">
        <f>A.15!H31</f>
        <v>12.94</v>
      </c>
      <c r="J376">
        <f>A.15!I31</f>
        <v>11.21</v>
      </c>
      <c r="K376">
        <f>A.15!J31</f>
        <v>9.5399999999999991</v>
      </c>
      <c r="L376">
        <f>A.15!K31</f>
        <v>9.67</v>
      </c>
      <c r="M376">
        <f>A.15!L31</f>
        <v>9.43</v>
      </c>
    </row>
    <row r="377" spans="1:60" hidden="1" outlineLevel="1">
      <c r="B377" t="str">
        <f>A.15!A32</f>
        <v>Energía Eléctrica</v>
      </c>
      <c r="C377">
        <f>A.15!B32</f>
        <v>36.29</v>
      </c>
      <c r="D377">
        <f>A.15!C32</f>
        <v>34.35</v>
      </c>
      <c r="E377">
        <f>A.15!D32</f>
        <v>38.11</v>
      </c>
      <c r="F377">
        <f>A.15!E32</f>
        <v>40.630000000000003</v>
      </c>
      <c r="G377">
        <f>A.15!F32</f>
        <v>43.15</v>
      </c>
      <c r="H377">
        <f>A.15!G32</f>
        <v>46.21</v>
      </c>
      <c r="I377">
        <f>A.15!H32</f>
        <v>46.21</v>
      </c>
      <c r="J377">
        <f>A.15!I32</f>
        <v>47.29</v>
      </c>
      <c r="K377">
        <f>A.15!J32</f>
        <v>41.8</v>
      </c>
      <c r="L377">
        <f>A.15!K32</f>
        <v>42.36</v>
      </c>
      <c r="M377">
        <f>A.15!L32</f>
        <v>41.3</v>
      </c>
    </row>
    <row r="378" spans="1:60" hidden="1" outlineLevel="1"/>
    <row r="379" spans="1:60" s="64" customFormat="1" hidden="1" outlineLevel="1">
      <c r="B379" s="64" t="s">
        <v>112</v>
      </c>
    </row>
    <row r="380" spans="1:60" s="64" customFormat="1" hidden="1" outlineLevel="1">
      <c r="B380" s="64" t="str">
        <f>Esc!A146</f>
        <v>GLP</v>
      </c>
      <c r="C380" s="64">
        <f>Esc!B146</f>
        <v>9.32</v>
      </c>
      <c r="D380" s="64">
        <f>Esc!C146</f>
        <v>8.09</v>
      </c>
      <c r="E380" s="64">
        <f>Esc!D146</f>
        <v>7.52</v>
      </c>
      <c r="F380" s="64">
        <f>Esc!E146</f>
        <v>8.84</v>
      </c>
      <c r="G380" s="64">
        <f>Esc!F146</f>
        <v>8.66</v>
      </c>
      <c r="H380" s="64">
        <f>Esc!G146</f>
        <v>8.2799999999999994</v>
      </c>
      <c r="I380" s="64">
        <f>Esc!H146</f>
        <v>8.0399999999999991</v>
      </c>
      <c r="J380" s="64">
        <f>Esc!I146</f>
        <v>12.97</v>
      </c>
      <c r="K380" s="64">
        <f>Esc!J146</f>
        <v>10.76</v>
      </c>
      <c r="L380" s="64">
        <f>Esc!K146</f>
        <v>11.43</v>
      </c>
      <c r="M380" s="64">
        <f>Esc!L146</f>
        <v>11.49</v>
      </c>
      <c r="N380" s="64">
        <f>Esc!M146</f>
        <v>11.55</v>
      </c>
      <c r="O380" s="64">
        <f>Esc!N146</f>
        <v>11.61</v>
      </c>
      <c r="P380" s="64">
        <f>Esc!O146</f>
        <v>11.67</v>
      </c>
      <c r="Q380" s="64">
        <f>Esc!P146</f>
        <v>11.73</v>
      </c>
      <c r="R380" s="64">
        <f>Esc!Q146</f>
        <v>11.79</v>
      </c>
      <c r="S380" s="64">
        <f>Esc!R146</f>
        <v>11.85</v>
      </c>
      <c r="T380" s="64">
        <f>Esc!S146</f>
        <v>11.91</v>
      </c>
      <c r="U380" s="64">
        <f>Esc!T146</f>
        <v>11.97</v>
      </c>
      <c r="V380" s="64">
        <f>Esc!U146</f>
        <v>12.03</v>
      </c>
      <c r="W380" s="64">
        <f>Esc!V146</f>
        <v>12.09</v>
      </c>
      <c r="X380" s="64">
        <f>Esc!W146</f>
        <v>12.15</v>
      </c>
      <c r="Y380" s="64">
        <f>Esc!X146</f>
        <v>12.21</v>
      </c>
      <c r="Z380" s="64">
        <f>Esc!Y146</f>
        <v>12.28</v>
      </c>
      <c r="AA380" s="64">
        <f>Esc!Z146</f>
        <v>12.34</v>
      </c>
      <c r="AB380" s="64">
        <f>Esc!AA146</f>
        <v>12.4</v>
      </c>
      <c r="AC380" s="64">
        <f>Esc!AB146</f>
        <v>12.46</v>
      </c>
      <c r="AD380" s="64">
        <f>Esc!AC146</f>
        <v>12.52</v>
      </c>
      <c r="AE380" s="64">
        <f>Esc!AD146</f>
        <v>12.58</v>
      </c>
      <c r="AF380" s="64">
        <f>Esc!AE146</f>
        <v>12.64</v>
      </c>
      <c r="AG380" s="64">
        <f>Esc!AF146</f>
        <v>12.7</v>
      </c>
      <c r="AH380" s="64">
        <f>Esc!AG146</f>
        <v>12.76</v>
      </c>
      <c r="AI380" s="64">
        <f>Esc!AH146</f>
        <v>12.82</v>
      </c>
      <c r="AJ380" s="64">
        <f>Esc!AI146</f>
        <v>12.88</v>
      </c>
      <c r="AK380" s="64">
        <f>Esc!AJ146</f>
        <v>12.94</v>
      </c>
      <c r="AL380" s="64">
        <f>Esc!AK146</f>
        <v>13</v>
      </c>
      <c r="AM380" s="64">
        <f>Esc!AL146</f>
        <v>13.06</v>
      </c>
      <c r="AN380" s="64">
        <f>Esc!AM146</f>
        <v>13.12</v>
      </c>
      <c r="AO380" s="64">
        <f>AN380</f>
        <v>13.12</v>
      </c>
      <c r="AP380" s="64">
        <f t="shared" ref="AP380:BH384" si="167">AO380</f>
        <v>13.12</v>
      </c>
      <c r="AQ380" s="64">
        <f t="shared" si="167"/>
        <v>13.12</v>
      </c>
      <c r="AR380" s="64">
        <f t="shared" si="167"/>
        <v>13.12</v>
      </c>
      <c r="AS380" s="64">
        <f t="shared" si="167"/>
        <v>13.12</v>
      </c>
      <c r="AT380" s="64">
        <f t="shared" si="167"/>
        <v>13.12</v>
      </c>
      <c r="AU380" s="64">
        <f t="shared" si="167"/>
        <v>13.12</v>
      </c>
      <c r="AV380" s="64">
        <f t="shared" si="167"/>
        <v>13.12</v>
      </c>
      <c r="AW380" s="64">
        <f t="shared" si="167"/>
        <v>13.12</v>
      </c>
      <c r="AX380" s="64">
        <f t="shared" si="167"/>
        <v>13.12</v>
      </c>
      <c r="AY380" s="64">
        <f t="shared" si="167"/>
        <v>13.12</v>
      </c>
      <c r="AZ380" s="64">
        <f t="shared" si="167"/>
        <v>13.12</v>
      </c>
      <c r="BA380" s="64">
        <f t="shared" si="167"/>
        <v>13.12</v>
      </c>
      <c r="BB380" s="64">
        <f t="shared" si="167"/>
        <v>13.12</v>
      </c>
      <c r="BC380" s="64">
        <f t="shared" si="167"/>
        <v>13.12</v>
      </c>
      <c r="BD380" s="64">
        <f t="shared" si="167"/>
        <v>13.12</v>
      </c>
      <c r="BE380" s="64">
        <f t="shared" si="167"/>
        <v>13.12</v>
      </c>
      <c r="BF380" s="64">
        <f t="shared" si="167"/>
        <v>13.12</v>
      </c>
      <c r="BG380" s="64">
        <f t="shared" si="167"/>
        <v>13.12</v>
      </c>
      <c r="BH380" s="64">
        <f t="shared" si="167"/>
        <v>13.12</v>
      </c>
    </row>
    <row r="381" spans="1:60" s="64" customFormat="1" hidden="1" outlineLevel="1">
      <c r="B381" s="64" t="str">
        <f>Esc!A149</f>
        <v>Diésel</v>
      </c>
      <c r="C381" s="64">
        <f>Esc!B149</f>
        <v>4.37</v>
      </c>
      <c r="D381" s="64">
        <f>Esc!C149</f>
        <v>4.59</v>
      </c>
      <c r="E381" s="64">
        <f>Esc!D149</f>
        <v>5.5</v>
      </c>
      <c r="F381" s="64">
        <f>Esc!E149</f>
        <v>5.65</v>
      </c>
      <c r="G381" s="64">
        <f>Esc!F149</f>
        <v>5.96</v>
      </c>
      <c r="H381" s="64">
        <f>Esc!G149</f>
        <v>6.45</v>
      </c>
      <c r="I381" s="64">
        <f>Esc!H149</f>
        <v>6.88</v>
      </c>
      <c r="J381" s="64">
        <f>Esc!I149</f>
        <v>3.26</v>
      </c>
      <c r="K381" s="64">
        <f>Esc!J149</f>
        <v>3.1</v>
      </c>
      <c r="L381" s="64">
        <f>Esc!K149</f>
        <v>3.11</v>
      </c>
      <c r="M381" s="64">
        <f>Esc!L149</f>
        <v>3.1</v>
      </c>
      <c r="N381" s="64">
        <f>Esc!M149</f>
        <v>3.09</v>
      </c>
      <c r="O381" s="64">
        <f>Esc!N149</f>
        <v>3.08</v>
      </c>
      <c r="P381" s="64">
        <f>Esc!O149</f>
        <v>3.07</v>
      </c>
      <c r="Q381" s="64">
        <f>Esc!P149</f>
        <v>3.06</v>
      </c>
      <c r="R381" s="64">
        <f>Esc!Q149</f>
        <v>3.05</v>
      </c>
      <c r="S381" s="64">
        <f>Esc!R149</f>
        <v>3.04</v>
      </c>
      <c r="T381" s="64">
        <f>Esc!S149</f>
        <v>3.04</v>
      </c>
      <c r="U381" s="64">
        <f>Esc!T149</f>
        <v>3.03</v>
      </c>
      <c r="V381" s="64">
        <f>Esc!U149</f>
        <v>3.02</v>
      </c>
      <c r="W381" s="64">
        <f>Esc!V149</f>
        <v>3.01</v>
      </c>
      <c r="X381" s="64">
        <f>Esc!W149</f>
        <v>3</v>
      </c>
      <c r="Y381" s="64">
        <f>Esc!X149</f>
        <v>2.99</v>
      </c>
      <c r="Z381" s="64">
        <f>Esc!Y149</f>
        <v>2.98</v>
      </c>
      <c r="AA381" s="64">
        <f>Esc!Z149</f>
        <v>2.97</v>
      </c>
      <c r="AB381" s="64">
        <f>Esc!AA149</f>
        <v>2.96</v>
      </c>
      <c r="AC381" s="64">
        <f>Esc!AB149</f>
        <v>2.96</v>
      </c>
      <c r="AD381" s="64">
        <f>Esc!AC149</f>
        <v>2.95</v>
      </c>
      <c r="AE381" s="64">
        <f>Esc!AD149</f>
        <v>2.94</v>
      </c>
      <c r="AF381" s="64">
        <f>Esc!AE149</f>
        <v>2.93</v>
      </c>
      <c r="AG381" s="64">
        <f>Esc!AF149</f>
        <v>2.92</v>
      </c>
      <c r="AH381" s="64">
        <f>Esc!AG149</f>
        <v>2.91</v>
      </c>
      <c r="AI381" s="64">
        <f>Esc!AH149</f>
        <v>2.9</v>
      </c>
      <c r="AJ381" s="64">
        <f>Esc!AI149</f>
        <v>2.89</v>
      </c>
      <c r="AK381" s="64">
        <f>Esc!AJ149</f>
        <v>2.88</v>
      </c>
      <c r="AL381" s="64">
        <f>Esc!AK149</f>
        <v>2.88</v>
      </c>
      <c r="AM381" s="64">
        <f>Esc!AL149</f>
        <v>2.87</v>
      </c>
      <c r="AN381" s="64">
        <f>Esc!AM149</f>
        <v>2.86</v>
      </c>
      <c r="AO381" s="64">
        <f t="shared" ref="AO381:BD384" si="168">AN381</f>
        <v>2.86</v>
      </c>
      <c r="AP381" s="64">
        <f t="shared" si="168"/>
        <v>2.86</v>
      </c>
      <c r="AQ381" s="64">
        <f t="shared" si="168"/>
        <v>2.86</v>
      </c>
      <c r="AR381" s="64">
        <f t="shared" si="168"/>
        <v>2.86</v>
      </c>
      <c r="AS381" s="64">
        <f t="shared" si="168"/>
        <v>2.86</v>
      </c>
      <c r="AT381" s="64">
        <f t="shared" si="168"/>
        <v>2.86</v>
      </c>
      <c r="AU381" s="64">
        <f t="shared" si="168"/>
        <v>2.86</v>
      </c>
      <c r="AV381" s="64">
        <f t="shared" si="168"/>
        <v>2.86</v>
      </c>
      <c r="AW381" s="64">
        <f t="shared" si="168"/>
        <v>2.86</v>
      </c>
      <c r="AX381" s="64">
        <f t="shared" si="168"/>
        <v>2.86</v>
      </c>
      <c r="AY381" s="64">
        <f t="shared" si="168"/>
        <v>2.86</v>
      </c>
      <c r="AZ381" s="64">
        <f t="shared" si="168"/>
        <v>2.86</v>
      </c>
      <c r="BA381" s="64">
        <f t="shared" si="168"/>
        <v>2.86</v>
      </c>
      <c r="BB381" s="64">
        <f t="shared" si="168"/>
        <v>2.86</v>
      </c>
      <c r="BC381" s="64">
        <f t="shared" si="168"/>
        <v>2.86</v>
      </c>
      <c r="BD381" s="64">
        <f t="shared" si="168"/>
        <v>2.86</v>
      </c>
      <c r="BE381" s="64">
        <f t="shared" si="167"/>
        <v>2.86</v>
      </c>
      <c r="BF381" s="64">
        <f t="shared" si="167"/>
        <v>2.86</v>
      </c>
      <c r="BG381" s="64">
        <f t="shared" si="167"/>
        <v>2.86</v>
      </c>
      <c r="BH381" s="64">
        <f t="shared" si="167"/>
        <v>2.86</v>
      </c>
    </row>
    <row r="382" spans="1:60" s="64" customFormat="1" hidden="1" outlineLevel="1">
      <c r="B382" s="64" t="str">
        <f>Esc!A150</f>
        <v>Combustóleo</v>
      </c>
      <c r="C382" s="64">
        <f>Esc!B150</f>
        <v>2.23</v>
      </c>
      <c r="D382" s="64">
        <f>Esc!C150</f>
        <v>2.21</v>
      </c>
      <c r="E382" s="64">
        <f>Esc!D150</f>
        <v>2.08</v>
      </c>
      <c r="F382" s="64">
        <f>Esc!E150</f>
        <v>2.02</v>
      </c>
      <c r="G382" s="64">
        <f>Esc!F150</f>
        <v>1.91</v>
      </c>
      <c r="H382" s="64">
        <f>Esc!G150</f>
        <v>1.9</v>
      </c>
      <c r="I382" s="64">
        <f>Esc!H150</f>
        <v>1.93</v>
      </c>
      <c r="J382" s="64">
        <f>Esc!I150</f>
        <v>1.81</v>
      </c>
      <c r="K382" s="64">
        <f>Esc!J150</f>
        <v>2.23</v>
      </c>
      <c r="L382" s="64">
        <f>Esc!K150</f>
        <v>2.16</v>
      </c>
      <c r="M382" s="64">
        <f>Esc!L150</f>
        <v>2.08</v>
      </c>
      <c r="N382" s="64">
        <f>Esc!M150</f>
        <v>2</v>
      </c>
      <c r="O382" s="64">
        <f>Esc!N150</f>
        <v>1.93</v>
      </c>
      <c r="P382" s="64">
        <f>Esc!O150</f>
        <v>1.85</v>
      </c>
      <c r="Q382" s="64">
        <f>Esc!P150</f>
        <v>1.77</v>
      </c>
      <c r="R382" s="64">
        <f>Esc!Q150</f>
        <v>1.7</v>
      </c>
      <c r="S382" s="64">
        <f>Esc!R150</f>
        <v>1.62</v>
      </c>
      <c r="T382" s="64">
        <f>Esc!S150</f>
        <v>1.54</v>
      </c>
      <c r="U382" s="64">
        <f>Esc!T150</f>
        <v>1.46</v>
      </c>
      <c r="V382" s="64">
        <f>Esc!U150</f>
        <v>1.39</v>
      </c>
      <c r="W382" s="64">
        <f>Esc!V150</f>
        <v>1.31</v>
      </c>
      <c r="X382" s="64">
        <f>Esc!W150</f>
        <v>1.23</v>
      </c>
      <c r="Y382" s="64">
        <f>Esc!X150</f>
        <v>1.1599999999999999</v>
      </c>
      <c r="Z382" s="64">
        <f>Esc!Y150</f>
        <v>1.08</v>
      </c>
      <c r="AA382" s="64">
        <f>Esc!Z150</f>
        <v>1</v>
      </c>
      <c r="AB382" s="64">
        <f>Esc!AA150</f>
        <v>0.92</v>
      </c>
      <c r="AC382" s="64">
        <f>Esc!AB150</f>
        <v>0.85</v>
      </c>
      <c r="AD382" s="64">
        <f>Esc!AC150</f>
        <v>0.77</v>
      </c>
      <c r="AE382" s="64">
        <f>Esc!AD150</f>
        <v>0.69</v>
      </c>
      <c r="AF382" s="64">
        <f>Esc!AE150</f>
        <v>0.62</v>
      </c>
      <c r="AG382" s="64">
        <f>Esc!AF150</f>
        <v>0.54</v>
      </c>
      <c r="AH382" s="64">
        <f>Esc!AG150</f>
        <v>0.46</v>
      </c>
      <c r="AI382" s="64">
        <f>Esc!AH150</f>
        <v>0.39</v>
      </c>
      <c r="AJ382" s="64">
        <f>Esc!AI150</f>
        <v>0.31</v>
      </c>
      <c r="AK382" s="64">
        <f>Esc!AJ150</f>
        <v>0.23</v>
      </c>
      <c r="AL382" s="64">
        <f>Esc!AK150</f>
        <v>0.15</v>
      </c>
      <c r="AM382" s="64">
        <f>Esc!AL150</f>
        <v>0.08</v>
      </c>
      <c r="AN382" s="64">
        <f>Esc!AM150</f>
        <v>0</v>
      </c>
      <c r="AO382" s="64">
        <f t="shared" si="168"/>
        <v>0</v>
      </c>
      <c r="AP382" s="64">
        <f t="shared" si="167"/>
        <v>0</v>
      </c>
      <c r="AQ382" s="64">
        <f t="shared" si="167"/>
        <v>0</v>
      </c>
      <c r="AR382" s="64">
        <f t="shared" si="167"/>
        <v>0</v>
      </c>
      <c r="AS382" s="64">
        <f t="shared" si="167"/>
        <v>0</v>
      </c>
      <c r="AT382" s="64">
        <f t="shared" si="167"/>
        <v>0</v>
      </c>
      <c r="AU382" s="64">
        <f t="shared" si="167"/>
        <v>0</v>
      </c>
      <c r="AV382" s="64">
        <f t="shared" si="167"/>
        <v>0</v>
      </c>
      <c r="AW382" s="64">
        <f t="shared" si="167"/>
        <v>0</v>
      </c>
      <c r="AX382" s="64">
        <f t="shared" si="167"/>
        <v>0</v>
      </c>
      <c r="AY382" s="64">
        <f t="shared" si="167"/>
        <v>0</v>
      </c>
      <c r="AZ382" s="64">
        <f t="shared" si="167"/>
        <v>0</v>
      </c>
      <c r="BA382" s="64">
        <f t="shared" si="167"/>
        <v>0</v>
      </c>
      <c r="BB382" s="64">
        <f t="shared" si="167"/>
        <v>0</v>
      </c>
      <c r="BC382" s="64">
        <f t="shared" si="167"/>
        <v>0</v>
      </c>
      <c r="BD382" s="64">
        <f t="shared" si="167"/>
        <v>0</v>
      </c>
      <c r="BE382" s="64">
        <f t="shared" si="167"/>
        <v>0</v>
      </c>
      <c r="BF382" s="64">
        <f t="shared" si="167"/>
        <v>0</v>
      </c>
      <c r="BG382" s="64">
        <f t="shared" si="167"/>
        <v>0</v>
      </c>
      <c r="BH382" s="64">
        <f t="shared" si="167"/>
        <v>0</v>
      </c>
    </row>
    <row r="383" spans="1:60" s="64" customFormat="1" hidden="1" outlineLevel="1">
      <c r="B383" s="64" t="str">
        <f>Esc!A152</f>
        <v>Gas seco</v>
      </c>
      <c r="C383" s="64">
        <f>Esc!B152</f>
        <v>9.27</v>
      </c>
      <c r="D383" s="64">
        <f>Esc!C152</f>
        <v>6.72</v>
      </c>
      <c r="E383" s="64">
        <f>Esc!D152</f>
        <v>10.1</v>
      </c>
      <c r="F383" s="64">
        <f>Esc!E152</f>
        <v>10.66</v>
      </c>
      <c r="G383" s="64">
        <f>Esc!F152</f>
        <v>11.84</v>
      </c>
      <c r="H383" s="64">
        <f>Esc!G152</f>
        <v>12.3</v>
      </c>
      <c r="I383" s="64">
        <f>Esc!H152</f>
        <v>12.94</v>
      </c>
      <c r="J383" s="64">
        <f>Esc!I152</f>
        <v>11.21</v>
      </c>
      <c r="K383" s="64">
        <f>Esc!J152</f>
        <v>15.29</v>
      </c>
      <c r="L383" s="64">
        <f>Esc!K152</f>
        <v>15.53</v>
      </c>
      <c r="M383" s="64">
        <f>Esc!L152</f>
        <v>15.67</v>
      </c>
      <c r="N383" s="64">
        <f>Esc!M152</f>
        <v>15.82</v>
      </c>
      <c r="O383" s="64">
        <f>Esc!N152</f>
        <v>15.97</v>
      </c>
      <c r="P383" s="64">
        <f>Esc!O152</f>
        <v>16.11</v>
      </c>
      <c r="Q383" s="64">
        <f>Esc!P152</f>
        <v>16.260000000000002</v>
      </c>
      <c r="R383" s="64">
        <f>Esc!Q152</f>
        <v>16.41</v>
      </c>
      <c r="S383" s="64">
        <f>Esc!R152</f>
        <v>16.559999999999999</v>
      </c>
      <c r="T383" s="64">
        <f>Esc!S152</f>
        <v>16.7</v>
      </c>
      <c r="U383" s="64">
        <f>Esc!T152</f>
        <v>16.850000000000001</v>
      </c>
      <c r="V383" s="64">
        <f>Esc!U152</f>
        <v>17</v>
      </c>
      <c r="W383" s="64">
        <f>Esc!V152</f>
        <v>17.14</v>
      </c>
      <c r="X383" s="64">
        <f>Esc!W152</f>
        <v>17.21</v>
      </c>
      <c r="Y383" s="64">
        <f>Esc!X152</f>
        <v>17.170000000000002</v>
      </c>
      <c r="Z383" s="64">
        <f>Esc!Y152</f>
        <v>17.12</v>
      </c>
      <c r="AA383" s="64">
        <f>Esc!Z152</f>
        <v>17.079999999999998</v>
      </c>
      <c r="AB383" s="64">
        <f>Esc!AA152</f>
        <v>17.04</v>
      </c>
      <c r="AC383" s="64">
        <f>Esc!AB152</f>
        <v>16.989999999999998</v>
      </c>
      <c r="AD383" s="64">
        <f>Esc!AC152</f>
        <v>16.95</v>
      </c>
      <c r="AE383" s="64">
        <f>Esc!AD152</f>
        <v>16.91</v>
      </c>
      <c r="AF383" s="64">
        <f>Esc!AE152</f>
        <v>16.86</v>
      </c>
      <c r="AG383" s="64">
        <f>Esc!AF152</f>
        <v>16.82</v>
      </c>
      <c r="AH383" s="64">
        <f>Esc!AG152</f>
        <v>16.78</v>
      </c>
      <c r="AI383" s="64">
        <f>Esc!AH152</f>
        <v>16.73</v>
      </c>
      <c r="AJ383" s="64">
        <f>Esc!AI152</f>
        <v>16.690000000000001</v>
      </c>
      <c r="AK383" s="64">
        <f>Esc!AJ152</f>
        <v>16.649999999999999</v>
      </c>
      <c r="AL383" s="64">
        <f>Esc!AK152</f>
        <v>16.600000000000001</v>
      </c>
      <c r="AM383" s="64">
        <f>Esc!AL152</f>
        <v>16.559999999999999</v>
      </c>
      <c r="AN383" s="64">
        <f>Esc!AM152</f>
        <v>16.52</v>
      </c>
      <c r="AO383" s="64">
        <f t="shared" si="168"/>
        <v>16.52</v>
      </c>
      <c r="AP383" s="64">
        <f t="shared" si="167"/>
        <v>16.52</v>
      </c>
      <c r="AQ383" s="64">
        <f t="shared" si="167"/>
        <v>16.52</v>
      </c>
      <c r="AR383" s="64">
        <f t="shared" si="167"/>
        <v>16.52</v>
      </c>
      <c r="AS383" s="64">
        <f t="shared" si="167"/>
        <v>16.52</v>
      </c>
      <c r="AT383" s="64">
        <f t="shared" si="167"/>
        <v>16.52</v>
      </c>
      <c r="AU383" s="64">
        <f t="shared" si="167"/>
        <v>16.52</v>
      </c>
      <c r="AV383" s="64">
        <f t="shared" si="167"/>
        <v>16.52</v>
      </c>
      <c r="AW383" s="64">
        <f t="shared" si="167"/>
        <v>16.52</v>
      </c>
      <c r="AX383" s="64">
        <f t="shared" si="167"/>
        <v>16.52</v>
      </c>
      <c r="AY383" s="64">
        <f t="shared" si="167"/>
        <v>16.52</v>
      </c>
      <c r="AZ383" s="64">
        <f t="shared" si="167"/>
        <v>16.52</v>
      </c>
      <c r="BA383" s="64">
        <f t="shared" si="167"/>
        <v>16.52</v>
      </c>
      <c r="BB383" s="64">
        <f t="shared" si="167"/>
        <v>16.52</v>
      </c>
      <c r="BC383" s="64">
        <f t="shared" si="167"/>
        <v>16.52</v>
      </c>
      <c r="BD383" s="64">
        <f t="shared" si="167"/>
        <v>16.52</v>
      </c>
      <c r="BE383" s="64">
        <f t="shared" si="167"/>
        <v>16.52</v>
      </c>
      <c r="BF383" s="64">
        <f t="shared" si="167"/>
        <v>16.52</v>
      </c>
      <c r="BG383" s="64">
        <f t="shared" si="167"/>
        <v>16.52</v>
      </c>
      <c r="BH383" s="64">
        <f t="shared" si="167"/>
        <v>16.52</v>
      </c>
    </row>
    <row r="384" spans="1:60" s="64" customFormat="1" hidden="1" outlineLevel="1">
      <c r="B384" s="64" t="str">
        <f>Esc!A153</f>
        <v>Electricidad</v>
      </c>
      <c r="C384" s="64">
        <f>Esc!B153</f>
        <v>36.29</v>
      </c>
      <c r="D384" s="64">
        <f>Esc!C153</f>
        <v>37.85</v>
      </c>
      <c r="E384" s="64">
        <f>Esc!D153</f>
        <v>38.11</v>
      </c>
      <c r="F384" s="64">
        <f>Esc!E153</f>
        <v>40.630000000000003</v>
      </c>
      <c r="G384" s="64">
        <f>Esc!F153</f>
        <v>43.15</v>
      </c>
      <c r="H384" s="64">
        <f>Esc!G153</f>
        <v>46.21</v>
      </c>
      <c r="I384" s="64">
        <f>Esc!H153</f>
        <v>46.21</v>
      </c>
      <c r="J384" s="64">
        <f>Esc!I153</f>
        <v>47.29</v>
      </c>
      <c r="K384" s="64">
        <f>Esc!J153</f>
        <v>46.09</v>
      </c>
      <c r="L384" s="64">
        <f>Esc!K153</f>
        <v>49.48</v>
      </c>
      <c r="M384" s="64">
        <f>Esc!L153</f>
        <v>51.71</v>
      </c>
      <c r="N384" s="64">
        <f>Esc!M153</f>
        <v>53.94</v>
      </c>
      <c r="O384" s="64">
        <f>Esc!N153</f>
        <v>56.16</v>
      </c>
      <c r="P384" s="64">
        <f>Esc!O153</f>
        <v>58.39</v>
      </c>
      <c r="Q384" s="64">
        <f>Esc!P153</f>
        <v>60.62</v>
      </c>
      <c r="R384" s="64">
        <f>Esc!Q153</f>
        <v>62.85</v>
      </c>
      <c r="S384" s="64">
        <f>Esc!R153</f>
        <v>65.08</v>
      </c>
      <c r="T384" s="64">
        <f>Esc!S153</f>
        <v>67.31</v>
      </c>
      <c r="U384" s="64">
        <f>Esc!T153</f>
        <v>69.540000000000006</v>
      </c>
      <c r="V384" s="64">
        <f>Esc!U153</f>
        <v>71.760000000000005</v>
      </c>
      <c r="W384" s="64">
        <f>Esc!V153</f>
        <v>73.989999999999995</v>
      </c>
      <c r="X384" s="64">
        <f>Esc!W153</f>
        <v>76.3</v>
      </c>
      <c r="Y384" s="64">
        <f>Esc!X153</f>
        <v>78.72</v>
      </c>
      <c r="Z384" s="64">
        <f>Esc!Y153</f>
        <v>81.14</v>
      </c>
      <c r="AA384" s="64">
        <f>Esc!Z153</f>
        <v>83.56</v>
      </c>
      <c r="AB384" s="64">
        <f>Esc!AA153</f>
        <v>85.98</v>
      </c>
      <c r="AC384" s="64">
        <f>Esc!AB153</f>
        <v>88.4</v>
      </c>
      <c r="AD384" s="64">
        <f>Esc!AC153</f>
        <v>90.82</v>
      </c>
      <c r="AE384" s="64">
        <f>Esc!AD153</f>
        <v>93.23</v>
      </c>
      <c r="AF384" s="64">
        <f>Esc!AE153</f>
        <v>95.65</v>
      </c>
      <c r="AG384" s="64">
        <f>Esc!AF153</f>
        <v>98.07</v>
      </c>
      <c r="AH384" s="64">
        <f>Esc!AG153</f>
        <v>100.49</v>
      </c>
      <c r="AI384" s="64">
        <f>Esc!AH153</f>
        <v>102.91</v>
      </c>
      <c r="AJ384" s="64">
        <f>Esc!AI153</f>
        <v>105.33</v>
      </c>
      <c r="AK384" s="64">
        <f>Esc!AJ153</f>
        <v>107.75</v>
      </c>
      <c r="AL384" s="64">
        <f>Esc!AK153</f>
        <v>110.17</v>
      </c>
      <c r="AM384" s="64">
        <f>Esc!AL153</f>
        <v>112.59</v>
      </c>
      <c r="AN384" s="64">
        <f>Esc!AM153</f>
        <v>115.01</v>
      </c>
      <c r="AO384" s="64">
        <f t="shared" si="168"/>
        <v>115.01</v>
      </c>
      <c r="AP384" s="64">
        <f t="shared" si="167"/>
        <v>115.01</v>
      </c>
      <c r="AQ384" s="64">
        <f t="shared" si="167"/>
        <v>115.01</v>
      </c>
      <c r="AR384" s="64">
        <f t="shared" si="167"/>
        <v>115.01</v>
      </c>
      <c r="AS384" s="64">
        <f t="shared" si="167"/>
        <v>115.01</v>
      </c>
      <c r="AT384" s="64">
        <f t="shared" si="167"/>
        <v>115.01</v>
      </c>
      <c r="AU384" s="64">
        <f t="shared" si="167"/>
        <v>115.01</v>
      </c>
      <c r="AV384" s="64">
        <f t="shared" si="167"/>
        <v>115.01</v>
      </c>
      <c r="AW384" s="64">
        <f t="shared" si="167"/>
        <v>115.01</v>
      </c>
      <c r="AX384" s="64">
        <f t="shared" si="167"/>
        <v>115.01</v>
      </c>
      <c r="AY384" s="64">
        <f t="shared" si="167"/>
        <v>115.01</v>
      </c>
      <c r="AZ384" s="64">
        <f t="shared" si="167"/>
        <v>115.01</v>
      </c>
      <c r="BA384" s="64">
        <f t="shared" si="167"/>
        <v>115.01</v>
      </c>
      <c r="BB384" s="64">
        <f t="shared" si="167"/>
        <v>115.01</v>
      </c>
      <c r="BC384" s="64">
        <f t="shared" si="167"/>
        <v>115.01</v>
      </c>
      <c r="BD384" s="64">
        <f t="shared" si="167"/>
        <v>115.01</v>
      </c>
      <c r="BE384" s="64">
        <f t="shared" si="167"/>
        <v>115.01</v>
      </c>
      <c r="BF384" s="64">
        <f t="shared" si="167"/>
        <v>115.01</v>
      </c>
      <c r="BG384" s="64">
        <f t="shared" si="167"/>
        <v>115.01</v>
      </c>
      <c r="BH384" s="64">
        <f t="shared" si="167"/>
        <v>115.01</v>
      </c>
    </row>
    <row r="385" spans="1:60" collapsed="1">
      <c r="A385" s="67" t="s">
        <v>164</v>
      </c>
    </row>
    <row r="386" spans="1:60" hidden="1" outlineLevel="1">
      <c r="B386" t="str">
        <f>A.15!A41</f>
        <v>Coque de petróleo</v>
      </c>
      <c r="C386">
        <f>A.15!B41</f>
        <v>0</v>
      </c>
      <c r="D386">
        <f>A.15!C41</f>
        <v>0</v>
      </c>
      <c r="E386">
        <f>A.15!D41</f>
        <v>0</v>
      </c>
      <c r="F386">
        <f>A.15!E41</f>
        <v>0</v>
      </c>
      <c r="G386">
        <f>A.15!F41</f>
        <v>0</v>
      </c>
      <c r="H386">
        <f>A.15!G41</f>
        <v>0</v>
      </c>
      <c r="I386">
        <f>A.15!H41</f>
        <v>0</v>
      </c>
      <c r="J386">
        <f>A.15!I41</f>
        <v>0</v>
      </c>
      <c r="K386">
        <f>A.15!J41</f>
        <v>0</v>
      </c>
      <c r="L386">
        <f>A.15!K41</f>
        <v>107.74</v>
      </c>
      <c r="M386">
        <f>A.15!L41</f>
        <v>107.48</v>
      </c>
    </row>
    <row r="387" spans="1:60" hidden="1" outlineLevel="1">
      <c r="B387" t="str">
        <f>A.15!A46</f>
        <v>Diésel</v>
      </c>
      <c r="C387">
        <f>A.15!B46</f>
        <v>10.95</v>
      </c>
      <c r="D387">
        <f>A.15!C46</f>
        <v>10.050000000000001</v>
      </c>
      <c r="E387">
        <f>A.15!D46</f>
        <v>11.96</v>
      </c>
      <c r="F387">
        <f>A.15!E46</f>
        <v>0</v>
      </c>
      <c r="G387">
        <f>A.15!F46</f>
        <v>11.96</v>
      </c>
      <c r="H387">
        <f>A.15!G46</f>
        <v>11.18</v>
      </c>
      <c r="I387">
        <f>A.15!H46</f>
        <v>11.3</v>
      </c>
      <c r="J387">
        <f>A.15!I46</f>
        <v>11.38</v>
      </c>
      <c r="K387">
        <f>A.15!J46</f>
        <v>14.16</v>
      </c>
      <c r="L387">
        <f>A.15!K46</f>
        <v>5.61</v>
      </c>
      <c r="M387">
        <f>A.15!L46</f>
        <v>5.6</v>
      </c>
    </row>
    <row r="388" spans="1:60" hidden="1" outlineLevel="1">
      <c r="B388" t="str">
        <f>A.15!A50</f>
        <v>Energía eléctrica</v>
      </c>
      <c r="C388">
        <f>A.15!B50</f>
        <v>1.77</v>
      </c>
      <c r="D388">
        <f>A.15!C50</f>
        <v>1.84</v>
      </c>
      <c r="E388">
        <f>A.15!D50</f>
        <v>1.87</v>
      </c>
      <c r="F388">
        <f>A.15!E50</f>
        <v>0</v>
      </c>
      <c r="G388">
        <f>A.15!F50</f>
        <v>2</v>
      </c>
      <c r="H388">
        <f>A.15!G50</f>
        <v>2</v>
      </c>
      <c r="I388">
        <f>A.15!H50</f>
        <v>2.0299999999999998</v>
      </c>
      <c r="J388">
        <f>A.15!I50</f>
        <v>2.06</v>
      </c>
      <c r="K388">
        <f>A.15!J50</f>
        <v>2.1</v>
      </c>
      <c r="L388">
        <f>A.15!K50</f>
        <v>2.82</v>
      </c>
      <c r="M388">
        <f>A.15!L50</f>
        <v>2.83</v>
      </c>
    </row>
    <row r="389" spans="1:60" hidden="1" outlineLevel="1"/>
    <row r="390" spans="1:60" s="64" customFormat="1" hidden="1" outlineLevel="1">
      <c r="B390" s="64" t="str">
        <f>Esc!A366</f>
        <v>Diésel</v>
      </c>
      <c r="C390" s="64">
        <f>Esc!B366</f>
        <v>10.96</v>
      </c>
      <c r="D390" s="64">
        <f>Esc!C366</f>
        <v>10.039999999999999</v>
      </c>
      <c r="E390" s="64">
        <f>Esc!D366</f>
        <v>11.96</v>
      </c>
      <c r="F390" s="64">
        <f>Esc!E366</f>
        <v>11.95</v>
      </c>
      <c r="G390" s="64">
        <f>Esc!F366</f>
        <v>11.19</v>
      </c>
      <c r="H390" s="64">
        <f>Esc!G366</f>
        <v>11.59</v>
      </c>
      <c r="I390" s="64">
        <f>Esc!H366</f>
        <v>13.38</v>
      </c>
      <c r="J390" s="64">
        <f>Esc!I366</f>
        <v>11.14</v>
      </c>
      <c r="K390" s="64">
        <f>Esc!J366</f>
        <v>12.32</v>
      </c>
      <c r="L390" s="64">
        <f>Esc!K366</f>
        <v>12.35</v>
      </c>
      <c r="M390" s="64">
        <f>Esc!L366</f>
        <v>12.31</v>
      </c>
      <c r="N390" s="64">
        <f>Esc!M366</f>
        <v>12.28</v>
      </c>
      <c r="O390" s="64">
        <f>Esc!N366</f>
        <v>12.24</v>
      </c>
      <c r="P390" s="64">
        <f>Esc!O366</f>
        <v>12.21</v>
      </c>
      <c r="Q390" s="64">
        <f>Esc!P366</f>
        <v>12.17</v>
      </c>
      <c r="R390" s="64">
        <f>Esc!Q366</f>
        <v>12.14</v>
      </c>
      <c r="S390" s="64">
        <f>Esc!R366</f>
        <v>12.1</v>
      </c>
      <c r="T390" s="64">
        <f>Esc!S366</f>
        <v>12.07</v>
      </c>
      <c r="U390" s="64">
        <f>Esc!T366</f>
        <v>12.03</v>
      </c>
      <c r="V390" s="64">
        <f>Esc!U366</f>
        <v>11.99</v>
      </c>
      <c r="W390" s="64">
        <f>Esc!V366</f>
        <v>11.96</v>
      </c>
      <c r="X390" s="64">
        <f>Esc!W366</f>
        <v>11.92</v>
      </c>
      <c r="Y390" s="64">
        <f>Esc!X366</f>
        <v>11.89</v>
      </c>
      <c r="Z390" s="64">
        <f>Esc!Y366</f>
        <v>11.85</v>
      </c>
      <c r="AA390" s="64">
        <f>Esc!Z366</f>
        <v>11.82</v>
      </c>
      <c r="AB390" s="64">
        <f>Esc!AA366</f>
        <v>11.78</v>
      </c>
      <c r="AC390" s="64">
        <f>Esc!AB366</f>
        <v>11.75</v>
      </c>
      <c r="AD390" s="64">
        <f>Esc!AC366</f>
        <v>11.71</v>
      </c>
      <c r="AE390" s="64">
        <f>Esc!AD366</f>
        <v>11.68</v>
      </c>
      <c r="AF390" s="64">
        <f>Esc!AE366</f>
        <v>11.64</v>
      </c>
      <c r="AG390" s="64">
        <f>Esc!AF366</f>
        <v>11.61</v>
      </c>
      <c r="AH390" s="64">
        <f>Esc!AG366</f>
        <v>11.57</v>
      </c>
      <c r="AI390" s="64">
        <f>Esc!AH366</f>
        <v>11.53</v>
      </c>
      <c r="AJ390" s="64">
        <f>Esc!AI366</f>
        <v>11.5</v>
      </c>
      <c r="AK390" s="64">
        <f>Esc!AJ366</f>
        <v>11.46</v>
      </c>
      <c r="AL390" s="64">
        <f>Esc!AK366</f>
        <v>11.43</v>
      </c>
      <c r="AM390" s="64">
        <f>Esc!AL366</f>
        <v>11.39</v>
      </c>
      <c r="AN390" s="64">
        <f>Esc!AM366</f>
        <v>11.36</v>
      </c>
      <c r="AO390" s="64">
        <f>AN390</f>
        <v>11.36</v>
      </c>
      <c r="AP390" s="64">
        <f t="shared" ref="AP390:BH391" si="169">AO390</f>
        <v>11.36</v>
      </c>
      <c r="AQ390" s="64">
        <f t="shared" si="169"/>
        <v>11.36</v>
      </c>
      <c r="AR390" s="64">
        <f t="shared" si="169"/>
        <v>11.36</v>
      </c>
      <c r="AS390" s="64">
        <f t="shared" si="169"/>
        <v>11.36</v>
      </c>
      <c r="AT390" s="64">
        <f t="shared" si="169"/>
        <v>11.36</v>
      </c>
      <c r="AU390" s="64">
        <f t="shared" si="169"/>
        <v>11.36</v>
      </c>
      <c r="AV390" s="64">
        <f t="shared" si="169"/>
        <v>11.36</v>
      </c>
      <c r="AW390" s="64">
        <f t="shared" si="169"/>
        <v>11.36</v>
      </c>
      <c r="AX390" s="64">
        <f t="shared" si="169"/>
        <v>11.36</v>
      </c>
      <c r="AY390" s="64">
        <f t="shared" si="169"/>
        <v>11.36</v>
      </c>
      <c r="AZ390" s="64">
        <f t="shared" si="169"/>
        <v>11.36</v>
      </c>
      <c r="BA390" s="64">
        <f t="shared" si="169"/>
        <v>11.36</v>
      </c>
      <c r="BB390" s="64">
        <f t="shared" si="169"/>
        <v>11.36</v>
      </c>
      <c r="BC390" s="64">
        <f t="shared" si="169"/>
        <v>11.36</v>
      </c>
      <c r="BD390" s="64">
        <f t="shared" si="169"/>
        <v>11.36</v>
      </c>
      <c r="BE390" s="64">
        <f t="shared" si="169"/>
        <v>11.36</v>
      </c>
      <c r="BF390" s="64">
        <f t="shared" si="169"/>
        <v>11.36</v>
      </c>
      <c r="BG390" s="64">
        <f t="shared" si="169"/>
        <v>11.36</v>
      </c>
      <c r="BH390" s="64">
        <f t="shared" si="169"/>
        <v>11.36</v>
      </c>
    </row>
    <row r="391" spans="1:60" s="64" customFormat="1" hidden="1" outlineLevel="1">
      <c r="B391" s="64" t="str">
        <f>Esc!A370</f>
        <v>Electricidad</v>
      </c>
      <c r="C391" s="64">
        <f>Esc!B370</f>
        <v>1.77</v>
      </c>
      <c r="D391" s="64">
        <f>Esc!C370</f>
        <v>1.84</v>
      </c>
      <c r="E391" s="64">
        <f>Esc!D370</f>
        <v>1.87</v>
      </c>
      <c r="F391" s="64">
        <f>Esc!E370</f>
        <v>2</v>
      </c>
      <c r="G391" s="64">
        <f>Esc!F370</f>
        <v>2</v>
      </c>
      <c r="H391" s="64">
        <f>Esc!G370</f>
        <v>2.0299999999999998</v>
      </c>
      <c r="I391" s="64">
        <f>Esc!H370</f>
        <v>2.06</v>
      </c>
      <c r="J391" s="64">
        <f>Esc!I370</f>
        <v>2.1</v>
      </c>
      <c r="K391" s="64">
        <f>Esc!J370</f>
        <v>2.0499999999999998</v>
      </c>
      <c r="L391" s="64">
        <f>Esc!K370</f>
        <v>2.4</v>
      </c>
      <c r="M391" s="64">
        <f>Esc!L370</f>
        <v>2.63</v>
      </c>
      <c r="N391" s="64">
        <f>Esc!M370</f>
        <v>2.85</v>
      </c>
      <c r="O391" s="64">
        <f>Esc!N370</f>
        <v>3.08</v>
      </c>
      <c r="P391" s="64">
        <f>Esc!O370</f>
        <v>3.31</v>
      </c>
      <c r="Q391" s="64">
        <f>Esc!P370</f>
        <v>3.54</v>
      </c>
      <c r="R391" s="64">
        <f>Esc!Q370</f>
        <v>3.77</v>
      </c>
      <c r="S391" s="64">
        <f>Esc!R370</f>
        <v>4</v>
      </c>
      <c r="T391" s="64">
        <f>Esc!S370</f>
        <v>4.22</v>
      </c>
      <c r="U391" s="64">
        <f>Esc!T370</f>
        <v>4.45</v>
      </c>
      <c r="V391" s="64">
        <f>Esc!U370</f>
        <v>4.68</v>
      </c>
      <c r="W391" s="64">
        <f>Esc!V370</f>
        <v>4.91</v>
      </c>
      <c r="X391" s="64">
        <f>Esc!W370</f>
        <v>5.14</v>
      </c>
      <c r="Y391" s="64">
        <f>Esc!X370</f>
        <v>5.37</v>
      </c>
      <c r="Z391" s="64">
        <f>Esc!Y370</f>
        <v>5.59</v>
      </c>
      <c r="AA391" s="64">
        <f>Esc!Z370</f>
        <v>5.82</v>
      </c>
      <c r="AB391" s="64">
        <f>Esc!AA370</f>
        <v>6.05</v>
      </c>
      <c r="AC391" s="64">
        <f>Esc!AB370</f>
        <v>6.28</v>
      </c>
      <c r="AD391" s="64">
        <f>Esc!AC370</f>
        <v>6.51</v>
      </c>
      <c r="AE391" s="64">
        <f>Esc!AD370</f>
        <v>6.74</v>
      </c>
      <c r="AF391" s="64">
        <f>Esc!AE370</f>
        <v>6.96</v>
      </c>
      <c r="AG391" s="64">
        <f>Esc!AF370</f>
        <v>7.19</v>
      </c>
      <c r="AH391" s="64">
        <f>Esc!AG370</f>
        <v>7.42</v>
      </c>
      <c r="AI391" s="64">
        <f>Esc!AH370</f>
        <v>7.65</v>
      </c>
      <c r="AJ391" s="64">
        <f>Esc!AI370</f>
        <v>7.88</v>
      </c>
      <c r="AK391" s="64">
        <f>Esc!AJ370</f>
        <v>8.11</v>
      </c>
      <c r="AL391" s="64">
        <f>Esc!AK370</f>
        <v>8.34</v>
      </c>
      <c r="AM391" s="64">
        <f>Esc!AL370</f>
        <v>8.56</v>
      </c>
      <c r="AN391" s="64">
        <f>Esc!AM370</f>
        <v>8.7899999999999991</v>
      </c>
      <c r="AO391" s="64">
        <f>AN391</f>
        <v>8.7899999999999991</v>
      </c>
      <c r="AP391" s="64">
        <f t="shared" si="169"/>
        <v>8.7899999999999991</v>
      </c>
      <c r="AQ391" s="64">
        <f t="shared" si="169"/>
        <v>8.7899999999999991</v>
      </c>
      <c r="AR391" s="64">
        <f t="shared" si="169"/>
        <v>8.7899999999999991</v>
      </c>
      <c r="AS391" s="64">
        <f t="shared" si="169"/>
        <v>8.7899999999999991</v>
      </c>
      <c r="AT391" s="64">
        <f t="shared" si="169"/>
        <v>8.7899999999999991</v>
      </c>
      <c r="AU391" s="64">
        <f t="shared" si="169"/>
        <v>8.7899999999999991</v>
      </c>
      <c r="AV391" s="64">
        <f t="shared" si="169"/>
        <v>8.7899999999999991</v>
      </c>
      <c r="AW391" s="64">
        <f t="shared" si="169"/>
        <v>8.7899999999999991</v>
      </c>
      <c r="AX391" s="64">
        <f t="shared" si="169"/>
        <v>8.7899999999999991</v>
      </c>
      <c r="AY391" s="64">
        <f t="shared" si="169"/>
        <v>8.7899999999999991</v>
      </c>
      <c r="AZ391" s="64">
        <f t="shared" si="169"/>
        <v>8.7899999999999991</v>
      </c>
      <c r="BA391" s="64">
        <f t="shared" si="169"/>
        <v>8.7899999999999991</v>
      </c>
      <c r="BB391" s="64">
        <f t="shared" si="169"/>
        <v>8.7899999999999991</v>
      </c>
      <c r="BC391" s="64">
        <f t="shared" si="169"/>
        <v>8.7899999999999991</v>
      </c>
      <c r="BD391" s="64">
        <f t="shared" si="169"/>
        <v>8.7899999999999991</v>
      </c>
      <c r="BE391" s="64">
        <f t="shared" si="169"/>
        <v>8.7899999999999991</v>
      </c>
      <c r="BF391" s="64">
        <f t="shared" si="169"/>
        <v>8.7899999999999991</v>
      </c>
      <c r="BG391" s="64">
        <f t="shared" si="169"/>
        <v>8.7899999999999991</v>
      </c>
      <c r="BH391" s="64">
        <f t="shared" si="169"/>
        <v>8.7899999999999991</v>
      </c>
    </row>
    <row r="392" spans="1:60" collapsed="1">
      <c r="A392" s="67" t="s">
        <v>165</v>
      </c>
    </row>
    <row r="393" spans="1:60" hidden="1" outlineLevel="1">
      <c r="B393" t="str">
        <f>A.15!A58</f>
        <v>Gas licuado</v>
      </c>
      <c r="C393">
        <f>A.15!B58</f>
        <v>0</v>
      </c>
      <c r="D393">
        <f>A.15!C58</f>
        <v>0</v>
      </c>
      <c r="E393">
        <f>A.15!D58</f>
        <v>0</v>
      </c>
      <c r="F393">
        <f>A.15!E58</f>
        <v>0</v>
      </c>
      <c r="G393">
        <f>A.15!F58</f>
        <v>0</v>
      </c>
      <c r="H393">
        <f>A.15!G58</f>
        <v>0</v>
      </c>
      <c r="I393">
        <f>A.15!H58</f>
        <v>0</v>
      </c>
      <c r="J393">
        <f>A.15!I58</f>
        <v>0</v>
      </c>
      <c r="K393">
        <f>A.15!J58</f>
        <v>0</v>
      </c>
      <c r="L393">
        <f>A.15!K58</f>
        <v>0.64</v>
      </c>
      <c r="M393">
        <f>A.15!L58</f>
        <v>0.66</v>
      </c>
    </row>
    <row r="394" spans="1:60" hidden="1" outlineLevel="1">
      <c r="B394" t="str">
        <f>A.15!A61</f>
        <v>Diésel</v>
      </c>
      <c r="C394">
        <f>A.15!B61</f>
        <v>0</v>
      </c>
      <c r="D394">
        <f>A.15!C61</f>
        <v>0.01</v>
      </c>
      <c r="E394">
        <f>A.15!D61</f>
        <v>0.01</v>
      </c>
      <c r="F394">
        <f>A.15!E61</f>
        <v>0</v>
      </c>
      <c r="G394">
        <f>A.15!F61</f>
        <v>0.01</v>
      </c>
      <c r="H394">
        <f>A.15!G61</f>
        <v>0.01</v>
      </c>
      <c r="I394">
        <f>A.15!H61</f>
        <v>0.01</v>
      </c>
      <c r="J394">
        <f>A.15!I61</f>
        <v>0.01</v>
      </c>
      <c r="K394">
        <f>A.15!J61</f>
        <v>0.01</v>
      </c>
      <c r="L394">
        <f>A.15!K61</f>
        <v>0.79</v>
      </c>
      <c r="M394">
        <f>A.15!L61</f>
        <v>0.81</v>
      </c>
    </row>
    <row r="395" spans="1:60" hidden="1" outlineLevel="1">
      <c r="B395" t="str">
        <f>A.15!A62</f>
        <v>Combustóleo</v>
      </c>
      <c r="C395">
        <f>A.15!B62</f>
        <v>3.48</v>
      </c>
      <c r="D395">
        <f>A.15!C62</f>
        <v>1.32</v>
      </c>
      <c r="E395">
        <f>A.15!D62</f>
        <v>0.75</v>
      </c>
      <c r="F395">
        <f>A.15!E62</f>
        <v>0</v>
      </c>
      <c r="G395">
        <f>A.15!F62</f>
        <v>1.24</v>
      </c>
      <c r="H395">
        <f>A.15!G62</f>
        <v>1.22</v>
      </c>
      <c r="I395">
        <f>A.15!H62</f>
        <v>0.37</v>
      </c>
      <c r="J395">
        <f>A.15!I62</f>
        <v>0.56999999999999995</v>
      </c>
      <c r="K395">
        <f>A.15!J62</f>
        <v>0.66</v>
      </c>
      <c r="L395">
        <f>A.15!K62</f>
        <v>0.92</v>
      </c>
      <c r="M395">
        <f>A.15!L62</f>
        <v>0.94</v>
      </c>
    </row>
    <row r="396" spans="1:60" hidden="1" outlineLevel="1">
      <c r="B396" t="str">
        <f>A.15!A64</f>
        <v>Gas seco</v>
      </c>
      <c r="C396">
        <f>A.15!B64</f>
        <v>0</v>
      </c>
      <c r="D396">
        <f>A.15!C64</f>
        <v>0</v>
      </c>
      <c r="E396">
        <f>A.15!D64</f>
        <v>0</v>
      </c>
      <c r="F396">
        <f>A.15!E64</f>
        <v>0</v>
      </c>
      <c r="G396">
        <f>A.15!F64</f>
        <v>0</v>
      </c>
      <c r="H396">
        <f>A.15!G64</f>
        <v>0</v>
      </c>
      <c r="I396">
        <f>A.15!H64</f>
        <v>0</v>
      </c>
      <c r="J396">
        <f>A.15!I64</f>
        <v>0</v>
      </c>
      <c r="K396">
        <f>A.15!J64</f>
        <v>0</v>
      </c>
      <c r="L396">
        <f>A.15!K64</f>
        <v>16.71</v>
      </c>
      <c r="M396">
        <f>A.15!L64</f>
        <v>16.3</v>
      </c>
    </row>
    <row r="397" spans="1:60" hidden="1" outlineLevel="1">
      <c r="B397" t="str">
        <f>A.15!A65</f>
        <v>Energía eléctrica</v>
      </c>
      <c r="C397">
        <f>A.15!B65</f>
        <v>4.1500000000000004</v>
      </c>
      <c r="D397">
        <f>A.15!C65</f>
        <v>3.51</v>
      </c>
      <c r="E397">
        <f>A.15!D65</f>
        <v>3.55</v>
      </c>
      <c r="F397">
        <f>A.15!E65</f>
        <v>0</v>
      </c>
      <c r="G397">
        <f>A.15!F65</f>
        <v>3.79</v>
      </c>
      <c r="H397">
        <f>A.15!G65</f>
        <v>3.79</v>
      </c>
      <c r="I397">
        <f>A.15!H65</f>
        <v>3.86</v>
      </c>
      <c r="J397">
        <f>A.15!I65</f>
        <v>3.95</v>
      </c>
      <c r="K397">
        <f>A.15!J65</f>
        <v>4.09</v>
      </c>
      <c r="L397">
        <f>A.15!K65</f>
        <v>8.9700000000000006</v>
      </c>
      <c r="M397">
        <f>A.15!L65</f>
        <v>8.75</v>
      </c>
    </row>
    <row r="398" spans="1:60" hidden="1" outlineLevel="1">
      <c r="B398" t="str">
        <f>A.15!A66</f>
        <v>Bagazo de caña</v>
      </c>
      <c r="C398">
        <f>A.15!B66</f>
        <v>59.53</v>
      </c>
      <c r="D398">
        <f>A.15!C66</f>
        <v>33.799999999999997</v>
      </c>
      <c r="E398">
        <f>A.15!D66</f>
        <v>32.93</v>
      </c>
      <c r="F398">
        <f>A.15!E66</f>
        <v>0</v>
      </c>
      <c r="G398">
        <f>A.15!F66</f>
        <v>33.17</v>
      </c>
      <c r="H398">
        <f>A.15!G66</f>
        <v>43.8</v>
      </c>
      <c r="I398">
        <f>A.15!H66</f>
        <v>44.76</v>
      </c>
      <c r="J398">
        <f>A.15!I66</f>
        <v>33.79</v>
      </c>
      <c r="K398">
        <f>A.15!J66</f>
        <v>31.55</v>
      </c>
      <c r="L398">
        <f>A.15!K66</f>
        <v>41.11</v>
      </c>
      <c r="M398">
        <f>A.15!L66</f>
        <v>56.5</v>
      </c>
    </row>
    <row r="399" spans="1:60" hidden="1" outlineLevel="1"/>
    <row r="400" spans="1:60" s="64" customFormat="1" hidden="1" outlineLevel="1">
      <c r="B400" s="64" t="s">
        <v>116</v>
      </c>
    </row>
    <row r="401" spans="1:60" s="64" customFormat="1" hidden="1" outlineLevel="1">
      <c r="B401" s="64" t="str">
        <f>Esc!A260</f>
        <v>Bagazos</v>
      </c>
      <c r="C401" s="64">
        <f>Esc!B260</f>
        <v>118.59</v>
      </c>
      <c r="D401" s="64">
        <f>Esc!C260</f>
        <v>67.33</v>
      </c>
      <c r="E401" s="64">
        <f>Esc!D260</f>
        <v>65.599999999999994</v>
      </c>
      <c r="F401" s="64">
        <f>Esc!E260</f>
        <v>66.06</v>
      </c>
      <c r="G401" s="64">
        <f>Esc!F260</f>
        <v>70.540000000000006</v>
      </c>
      <c r="H401" s="64">
        <f>Esc!G260</f>
        <v>74.010000000000005</v>
      </c>
      <c r="I401" s="64">
        <f>Esc!H260</f>
        <v>71.3</v>
      </c>
      <c r="J401" s="64">
        <f>Esc!I260</f>
        <v>62.85</v>
      </c>
      <c r="K401" s="64">
        <f>Esc!J260</f>
        <v>72.97</v>
      </c>
      <c r="L401" s="64">
        <f>Esc!K260</f>
        <v>72.510000000000005</v>
      </c>
      <c r="M401" s="64">
        <f>Esc!L260</f>
        <v>71.64</v>
      </c>
      <c r="N401" s="64">
        <f>Esc!M260</f>
        <v>70.78</v>
      </c>
      <c r="O401" s="64">
        <f>Esc!N260</f>
        <v>69.91</v>
      </c>
      <c r="P401" s="64">
        <f>Esc!O260</f>
        <v>69.05</v>
      </c>
      <c r="Q401" s="64">
        <f>Esc!P260</f>
        <v>68.19</v>
      </c>
      <c r="R401" s="64">
        <f>Esc!Q260</f>
        <v>67.319999999999993</v>
      </c>
      <c r="S401" s="64">
        <f>Esc!R260</f>
        <v>66.459999999999994</v>
      </c>
      <c r="T401" s="64">
        <f>Esc!S260</f>
        <v>65.59</v>
      </c>
      <c r="U401" s="64">
        <f>Esc!T260</f>
        <v>64.73</v>
      </c>
      <c r="V401" s="64">
        <f>Esc!U260</f>
        <v>63.86</v>
      </c>
      <c r="W401" s="64">
        <f>Esc!V260</f>
        <v>63</v>
      </c>
      <c r="X401" s="64">
        <f>Esc!W260</f>
        <v>62.13</v>
      </c>
      <c r="Y401" s="64">
        <f>Esc!X260</f>
        <v>61.27</v>
      </c>
      <c r="Z401" s="64">
        <f>Esc!Y260</f>
        <v>60.4</v>
      </c>
      <c r="AA401" s="64">
        <f>Esc!Z260</f>
        <v>59.54</v>
      </c>
      <c r="AB401" s="64">
        <f>Esc!AA260</f>
        <v>58.67</v>
      </c>
      <c r="AC401" s="64">
        <f>Esc!AB260</f>
        <v>57.81</v>
      </c>
      <c r="AD401" s="64">
        <f>Esc!AC260</f>
        <v>56.95</v>
      </c>
      <c r="AE401" s="64">
        <f>Esc!AD260</f>
        <v>56.08</v>
      </c>
      <c r="AF401" s="64">
        <f>Esc!AE260</f>
        <v>55.22</v>
      </c>
      <c r="AG401" s="64">
        <f>Esc!AF260</f>
        <v>54.35</v>
      </c>
      <c r="AH401" s="64">
        <f>Esc!AG260</f>
        <v>53.49</v>
      </c>
      <c r="AI401" s="64">
        <f>Esc!AH260</f>
        <v>52.62</v>
      </c>
      <c r="AJ401" s="64">
        <f>Esc!AI260</f>
        <v>51.76</v>
      </c>
      <c r="AK401" s="64">
        <f>Esc!AJ260</f>
        <v>50.89</v>
      </c>
      <c r="AL401" s="64">
        <f>Esc!AK260</f>
        <v>50.03</v>
      </c>
      <c r="AM401" s="64">
        <f>Esc!AL260</f>
        <v>49.16</v>
      </c>
      <c r="AN401" s="64">
        <f>Esc!AM260</f>
        <v>48.3</v>
      </c>
      <c r="AO401" s="64">
        <f>AN401</f>
        <v>48.3</v>
      </c>
      <c r="AP401" s="64">
        <f t="shared" ref="AP401:BH404" si="170">AO401</f>
        <v>48.3</v>
      </c>
      <c r="AQ401" s="64">
        <f t="shared" si="170"/>
        <v>48.3</v>
      </c>
      <c r="AR401" s="64">
        <f t="shared" si="170"/>
        <v>48.3</v>
      </c>
      <c r="AS401" s="64">
        <f t="shared" si="170"/>
        <v>48.3</v>
      </c>
      <c r="AT401" s="64">
        <f t="shared" si="170"/>
        <v>48.3</v>
      </c>
      <c r="AU401" s="64">
        <f t="shared" si="170"/>
        <v>48.3</v>
      </c>
      <c r="AV401" s="64">
        <f t="shared" si="170"/>
        <v>48.3</v>
      </c>
      <c r="AW401" s="64">
        <f t="shared" si="170"/>
        <v>48.3</v>
      </c>
      <c r="AX401" s="64">
        <f t="shared" si="170"/>
        <v>48.3</v>
      </c>
      <c r="AY401" s="64">
        <f t="shared" si="170"/>
        <v>48.3</v>
      </c>
      <c r="AZ401" s="64">
        <f t="shared" si="170"/>
        <v>48.3</v>
      </c>
      <c r="BA401" s="64">
        <f t="shared" si="170"/>
        <v>48.3</v>
      </c>
      <c r="BB401" s="64">
        <f t="shared" si="170"/>
        <v>48.3</v>
      </c>
      <c r="BC401" s="64">
        <f t="shared" si="170"/>
        <v>48.3</v>
      </c>
      <c r="BD401" s="64">
        <f t="shared" si="170"/>
        <v>48.3</v>
      </c>
      <c r="BE401" s="64">
        <f t="shared" si="170"/>
        <v>48.3</v>
      </c>
      <c r="BF401" s="64">
        <f t="shared" si="170"/>
        <v>48.3</v>
      </c>
      <c r="BG401" s="64">
        <f t="shared" si="170"/>
        <v>48.3</v>
      </c>
      <c r="BH401" s="64">
        <f t="shared" si="170"/>
        <v>48.3</v>
      </c>
    </row>
    <row r="402" spans="1:60" s="64" customFormat="1" hidden="1" outlineLevel="1">
      <c r="B402" s="64" t="str">
        <f>Esc!A273</f>
        <v>Diésel</v>
      </c>
      <c r="C402" s="64">
        <f>Esc!B273</f>
        <v>0</v>
      </c>
      <c r="D402" s="64">
        <f>Esc!C273</f>
        <v>0.01</v>
      </c>
      <c r="E402" s="64">
        <f>Esc!D273</f>
        <v>0.01</v>
      </c>
      <c r="F402" s="64">
        <f>Esc!E273</f>
        <v>0.01</v>
      </c>
      <c r="G402" s="64">
        <f>Esc!F273</f>
        <v>0.01</v>
      </c>
      <c r="H402" s="64">
        <f>Esc!G273</f>
        <v>0.01</v>
      </c>
      <c r="I402" s="64">
        <f>Esc!H273</f>
        <v>0.01</v>
      </c>
      <c r="J402" s="64">
        <f>Esc!I273</f>
        <v>0.01</v>
      </c>
      <c r="K402" s="64">
        <f>Esc!J273</f>
        <v>0.01</v>
      </c>
      <c r="L402" s="64">
        <f>Esc!K273</f>
        <v>0.01</v>
      </c>
      <c r="M402" s="64">
        <f>Esc!L273</f>
        <v>0.01</v>
      </c>
      <c r="N402" s="64">
        <f>Esc!M273</f>
        <v>0.01</v>
      </c>
      <c r="O402" s="64">
        <f>Esc!N273</f>
        <v>0.01</v>
      </c>
      <c r="P402" s="64">
        <f>Esc!O273</f>
        <v>0.01</v>
      </c>
      <c r="Q402" s="64">
        <f>Esc!P273</f>
        <v>0.01</v>
      </c>
      <c r="R402" s="64">
        <f>Esc!Q273</f>
        <v>0.01</v>
      </c>
      <c r="S402" s="64">
        <f>Esc!R273</f>
        <v>0.01</v>
      </c>
      <c r="T402" s="64">
        <f>Esc!S273</f>
        <v>0.01</v>
      </c>
      <c r="U402" s="64">
        <f>Esc!T273</f>
        <v>0.01</v>
      </c>
      <c r="V402" s="64">
        <f>Esc!U273</f>
        <v>0.01</v>
      </c>
      <c r="W402" s="64">
        <f>Esc!V273</f>
        <v>0.01</v>
      </c>
      <c r="X402" s="64">
        <f>Esc!W273</f>
        <v>0.01</v>
      </c>
      <c r="Y402" s="64">
        <f>Esc!X273</f>
        <v>0.01</v>
      </c>
      <c r="Z402" s="64">
        <f>Esc!Y273</f>
        <v>0.01</v>
      </c>
      <c r="AA402" s="64">
        <f>Esc!Z273</f>
        <v>0.01</v>
      </c>
      <c r="AB402" s="64">
        <f>Esc!AA273</f>
        <v>0.01</v>
      </c>
      <c r="AC402" s="64">
        <f>Esc!AB273</f>
        <v>0.01</v>
      </c>
      <c r="AD402" s="64">
        <f>Esc!AC273</f>
        <v>0.01</v>
      </c>
      <c r="AE402" s="64">
        <f>Esc!AD273</f>
        <v>0.01</v>
      </c>
      <c r="AF402" s="64">
        <f>Esc!AE273</f>
        <v>0.01</v>
      </c>
      <c r="AG402" s="64">
        <f>Esc!AF273</f>
        <v>0.01</v>
      </c>
      <c r="AH402" s="64">
        <f>Esc!AG273</f>
        <v>0.01</v>
      </c>
      <c r="AI402" s="64">
        <f>Esc!AH273</f>
        <v>0.01</v>
      </c>
      <c r="AJ402" s="64">
        <f>Esc!AI273</f>
        <v>0.01</v>
      </c>
      <c r="AK402" s="64">
        <f>Esc!AJ273</f>
        <v>0.01</v>
      </c>
      <c r="AL402" s="64">
        <f>Esc!AK273</f>
        <v>0.01</v>
      </c>
      <c r="AM402" s="64">
        <f>Esc!AL273</f>
        <v>0.01</v>
      </c>
      <c r="AN402" s="64">
        <f>Esc!AM273</f>
        <v>0.01</v>
      </c>
      <c r="AO402" s="64">
        <f t="shared" ref="AO402:BD404" si="171">AN402</f>
        <v>0.01</v>
      </c>
      <c r="AP402" s="64">
        <f t="shared" si="171"/>
        <v>0.01</v>
      </c>
      <c r="AQ402" s="64">
        <f t="shared" si="171"/>
        <v>0.01</v>
      </c>
      <c r="AR402" s="64">
        <f t="shared" si="171"/>
        <v>0.01</v>
      </c>
      <c r="AS402" s="64">
        <f t="shared" si="171"/>
        <v>0.01</v>
      </c>
      <c r="AT402" s="64">
        <f t="shared" si="171"/>
        <v>0.01</v>
      </c>
      <c r="AU402" s="64">
        <f t="shared" si="171"/>
        <v>0.01</v>
      </c>
      <c r="AV402" s="64">
        <f t="shared" si="171"/>
        <v>0.01</v>
      </c>
      <c r="AW402" s="64">
        <f t="shared" si="171"/>
        <v>0.01</v>
      </c>
      <c r="AX402" s="64">
        <f t="shared" si="171"/>
        <v>0.01</v>
      </c>
      <c r="AY402" s="64">
        <f t="shared" si="171"/>
        <v>0.01</v>
      </c>
      <c r="AZ402" s="64">
        <f t="shared" si="171"/>
        <v>0.01</v>
      </c>
      <c r="BA402" s="64">
        <f t="shared" si="171"/>
        <v>0.01</v>
      </c>
      <c r="BB402" s="64">
        <f t="shared" si="171"/>
        <v>0.01</v>
      </c>
      <c r="BC402" s="64">
        <f t="shared" si="171"/>
        <v>0.01</v>
      </c>
      <c r="BD402" s="64">
        <f t="shared" si="171"/>
        <v>0.01</v>
      </c>
      <c r="BE402" s="64">
        <f t="shared" si="170"/>
        <v>0.01</v>
      </c>
      <c r="BF402" s="64">
        <f t="shared" si="170"/>
        <v>0.01</v>
      </c>
      <c r="BG402" s="64">
        <f t="shared" si="170"/>
        <v>0.01</v>
      </c>
      <c r="BH402" s="64">
        <f t="shared" si="170"/>
        <v>0.01</v>
      </c>
    </row>
    <row r="403" spans="1:60" s="64" customFormat="1" hidden="1" outlineLevel="1">
      <c r="B403" s="64" t="str">
        <f>Esc!A274</f>
        <v>Combustóleo</v>
      </c>
      <c r="C403" s="64">
        <f>Esc!B274</f>
        <v>3.48</v>
      </c>
      <c r="D403" s="64">
        <f>Esc!C274</f>
        <v>1.32</v>
      </c>
      <c r="E403" s="64">
        <f>Esc!D274</f>
        <v>0.74</v>
      </c>
      <c r="F403" s="64">
        <f>Esc!E274</f>
        <v>1.24</v>
      </c>
      <c r="G403" s="64">
        <f>Esc!F274</f>
        <v>1.22</v>
      </c>
      <c r="H403" s="64">
        <f>Esc!G274</f>
        <v>0.37</v>
      </c>
      <c r="I403" s="64">
        <f>Esc!H274</f>
        <v>0.56999999999999995</v>
      </c>
      <c r="J403" s="64">
        <f>Esc!I274</f>
        <v>0.66</v>
      </c>
      <c r="K403" s="64">
        <f>Esc!J274</f>
        <v>0.81</v>
      </c>
      <c r="L403" s="64">
        <f>Esc!K274</f>
        <v>0.78</v>
      </c>
      <c r="M403" s="64">
        <f>Esc!L274</f>
        <v>0.76</v>
      </c>
      <c r="N403" s="64">
        <f>Esc!M274</f>
        <v>0.73</v>
      </c>
      <c r="O403" s="64">
        <f>Esc!N274</f>
        <v>0.7</v>
      </c>
      <c r="P403" s="64">
        <f>Esc!O274</f>
        <v>0.67</v>
      </c>
      <c r="Q403" s="64">
        <f>Esc!P274</f>
        <v>0.64</v>
      </c>
      <c r="R403" s="64">
        <f>Esc!Q274</f>
        <v>0.62</v>
      </c>
      <c r="S403" s="64">
        <f>Esc!R274</f>
        <v>0.59</v>
      </c>
      <c r="T403" s="64">
        <f>Esc!S274</f>
        <v>0.56000000000000005</v>
      </c>
      <c r="U403" s="64">
        <f>Esc!T274</f>
        <v>0.53</v>
      </c>
      <c r="V403" s="64">
        <f>Esc!U274</f>
        <v>0.5</v>
      </c>
      <c r="W403" s="64">
        <f>Esc!V274</f>
        <v>0.48</v>
      </c>
      <c r="X403" s="64">
        <f>Esc!W274</f>
        <v>0.45</v>
      </c>
      <c r="Y403" s="64">
        <f>Esc!X274</f>
        <v>0.42</v>
      </c>
      <c r="Z403" s="64">
        <f>Esc!Y274</f>
        <v>0.39</v>
      </c>
      <c r="AA403" s="64">
        <f>Esc!Z274</f>
        <v>0.36</v>
      </c>
      <c r="AB403" s="64">
        <f>Esc!AA274</f>
        <v>0.34</v>
      </c>
      <c r="AC403" s="64">
        <f>Esc!AB274</f>
        <v>0.31</v>
      </c>
      <c r="AD403" s="64">
        <f>Esc!AC274</f>
        <v>0.28000000000000003</v>
      </c>
      <c r="AE403" s="64">
        <f>Esc!AD274</f>
        <v>0.25</v>
      </c>
      <c r="AF403" s="64">
        <f>Esc!AE274</f>
        <v>0.22</v>
      </c>
      <c r="AG403" s="64">
        <f>Esc!AF274</f>
        <v>0.2</v>
      </c>
      <c r="AH403" s="64">
        <f>Esc!AG274</f>
        <v>0.17</v>
      </c>
      <c r="AI403" s="64">
        <f>Esc!AH274</f>
        <v>0.14000000000000001</v>
      </c>
      <c r="AJ403" s="64">
        <f>Esc!AI274</f>
        <v>0.11</v>
      </c>
      <c r="AK403" s="64">
        <f>Esc!AJ274</f>
        <v>0.08</v>
      </c>
      <c r="AL403" s="64">
        <f>Esc!AK274</f>
        <v>0.06</v>
      </c>
      <c r="AM403" s="64">
        <f>Esc!AL274</f>
        <v>0.03</v>
      </c>
      <c r="AN403" s="64">
        <f>Esc!AM274</f>
        <v>0</v>
      </c>
      <c r="AO403" s="64">
        <f t="shared" si="171"/>
        <v>0</v>
      </c>
      <c r="AP403" s="64">
        <f t="shared" si="170"/>
        <v>0</v>
      </c>
      <c r="AQ403" s="64">
        <f t="shared" si="170"/>
        <v>0</v>
      </c>
      <c r="AR403" s="64">
        <f t="shared" si="170"/>
        <v>0</v>
      </c>
      <c r="AS403" s="64">
        <f t="shared" si="170"/>
        <v>0</v>
      </c>
      <c r="AT403" s="64">
        <f t="shared" si="170"/>
        <v>0</v>
      </c>
      <c r="AU403" s="64">
        <f t="shared" si="170"/>
        <v>0</v>
      </c>
      <c r="AV403" s="64">
        <f t="shared" si="170"/>
        <v>0</v>
      </c>
      <c r="AW403" s="64">
        <f t="shared" si="170"/>
        <v>0</v>
      </c>
      <c r="AX403" s="64">
        <f t="shared" si="170"/>
        <v>0</v>
      </c>
      <c r="AY403" s="64">
        <f t="shared" si="170"/>
        <v>0</v>
      </c>
      <c r="AZ403" s="64">
        <f t="shared" si="170"/>
        <v>0</v>
      </c>
      <c r="BA403" s="64">
        <f t="shared" si="170"/>
        <v>0</v>
      </c>
      <c r="BB403" s="64">
        <f t="shared" si="170"/>
        <v>0</v>
      </c>
      <c r="BC403" s="64">
        <f t="shared" si="170"/>
        <v>0</v>
      </c>
      <c r="BD403" s="64">
        <f t="shared" si="170"/>
        <v>0</v>
      </c>
      <c r="BE403" s="64">
        <f t="shared" si="170"/>
        <v>0</v>
      </c>
      <c r="BF403" s="64">
        <f t="shared" si="170"/>
        <v>0</v>
      </c>
      <c r="BG403" s="64">
        <f t="shared" si="170"/>
        <v>0</v>
      </c>
      <c r="BH403" s="64">
        <f t="shared" si="170"/>
        <v>0</v>
      </c>
    </row>
    <row r="404" spans="1:60" s="64" customFormat="1" hidden="1" outlineLevel="1">
      <c r="B404" s="64" t="str">
        <f>Esc!A277</f>
        <v>Electricidad</v>
      </c>
      <c r="C404" s="64">
        <f>Esc!B277</f>
        <v>4.1399999999999997</v>
      </c>
      <c r="D404" s="64">
        <f>Esc!C277</f>
        <v>3.51</v>
      </c>
      <c r="E404" s="64">
        <f>Esc!D277</f>
        <v>3.55</v>
      </c>
      <c r="F404" s="64">
        <f>Esc!E277</f>
        <v>3.79</v>
      </c>
      <c r="G404" s="64">
        <f>Esc!F277</f>
        <v>3.79</v>
      </c>
      <c r="H404" s="64">
        <f>Esc!G277</f>
        <v>3.86</v>
      </c>
      <c r="I404" s="64">
        <f>Esc!H277</f>
        <v>3.95</v>
      </c>
      <c r="J404" s="64">
        <f>Esc!I277</f>
        <v>4.09</v>
      </c>
      <c r="K404" s="64">
        <f>Esc!J277</f>
        <v>3.94</v>
      </c>
      <c r="L404" s="64">
        <f>Esc!K277</f>
        <v>3.94</v>
      </c>
      <c r="M404" s="64">
        <f>Esc!L277</f>
        <v>3.91</v>
      </c>
      <c r="N404" s="64">
        <f>Esc!M277</f>
        <v>3.88</v>
      </c>
      <c r="O404" s="64">
        <f>Esc!N277</f>
        <v>3.85</v>
      </c>
      <c r="P404" s="64">
        <f>Esc!O277</f>
        <v>3.82</v>
      </c>
      <c r="Q404" s="64">
        <f>Esc!P277</f>
        <v>3.79</v>
      </c>
      <c r="R404" s="64">
        <f>Esc!Q277</f>
        <v>3.77</v>
      </c>
      <c r="S404" s="64">
        <f>Esc!R277</f>
        <v>3.74</v>
      </c>
      <c r="T404" s="64">
        <f>Esc!S277</f>
        <v>3.71</v>
      </c>
      <c r="U404" s="64">
        <f>Esc!T277</f>
        <v>3.68</v>
      </c>
      <c r="V404" s="64">
        <f>Esc!U277</f>
        <v>3.65</v>
      </c>
      <c r="W404" s="64">
        <f>Esc!V277</f>
        <v>3.62</v>
      </c>
      <c r="X404" s="64">
        <f>Esc!W277</f>
        <v>3.6</v>
      </c>
      <c r="Y404" s="64">
        <f>Esc!X277</f>
        <v>3.57</v>
      </c>
      <c r="Z404" s="64">
        <f>Esc!Y277</f>
        <v>3.54</v>
      </c>
      <c r="AA404" s="64">
        <f>Esc!Z277</f>
        <v>3.51</v>
      </c>
      <c r="AB404" s="64">
        <f>Esc!AA277</f>
        <v>3.48</v>
      </c>
      <c r="AC404" s="64">
        <f>Esc!AB277</f>
        <v>3.45</v>
      </c>
      <c r="AD404" s="64">
        <f>Esc!AC277</f>
        <v>3.43</v>
      </c>
      <c r="AE404" s="64">
        <f>Esc!AD277</f>
        <v>3.4</v>
      </c>
      <c r="AF404" s="64">
        <f>Esc!AE277</f>
        <v>3.37</v>
      </c>
      <c r="AG404" s="64">
        <f>Esc!AF277</f>
        <v>3.34</v>
      </c>
      <c r="AH404" s="64">
        <f>Esc!AG277</f>
        <v>3.31</v>
      </c>
      <c r="AI404" s="64">
        <f>Esc!AH277</f>
        <v>3.28</v>
      </c>
      <c r="AJ404" s="64">
        <f>Esc!AI277</f>
        <v>3.25</v>
      </c>
      <c r="AK404" s="64">
        <f>Esc!AJ277</f>
        <v>3.23</v>
      </c>
      <c r="AL404" s="64">
        <f>Esc!AK277</f>
        <v>3.2</v>
      </c>
      <c r="AM404" s="64">
        <f>Esc!AL277</f>
        <v>3.17</v>
      </c>
      <c r="AN404" s="64">
        <f>Esc!AM277</f>
        <v>3.14</v>
      </c>
      <c r="AO404" s="64">
        <f t="shared" si="171"/>
        <v>3.14</v>
      </c>
      <c r="AP404" s="64">
        <f t="shared" si="170"/>
        <v>3.14</v>
      </c>
      <c r="AQ404" s="64">
        <f t="shared" si="170"/>
        <v>3.14</v>
      </c>
      <c r="AR404" s="64">
        <f t="shared" si="170"/>
        <v>3.14</v>
      </c>
      <c r="AS404" s="64">
        <f t="shared" si="170"/>
        <v>3.14</v>
      </c>
      <c r="AT404" s="64">
        <f t="shared" si="170"/>
        <v>3.14</v>
      </c>
      <c r="AU404" s="64">
        <f t="shared" si="170"/>
        <v>3.14</v>
      </c>
      <c r="AV404" s="64">
        <f t="shared" si="170"/>
        <v>3.14</v>
      </c>
      <c r="AW404" s="64">
        <f t="shared" si="170"/>
        <v>3.14</v>
      </c>
      <c r="AX404" s="64">
        <f t="shared" si="170"/>
        <v>3.14</v>
      </c>
      <c r="AY404" s="64">
        <f t="shared" si="170"/>
        <v>3.14</v>
      </c>
      <c r="AZ404" s="64">
        <f t="shared" si="170"/>
        <v>3.14</v>
      </c>
      <c r="BA404" s="64">
        <f t="shared" si="170"/>
        <v>3.14</v>
      </c>
      <c r="BB404" s="64">
        <f t="shared" si="170"/>
        <v>3.14</v>
      </c>
      <c r="BC404" s="64">
        <f t="shared" si="170"/>
        <v>3.14</v>
      </c>
      <c r="BD404" s="64">
        <f t="shared" si="170"/>
        <v>3.14</v>
      </c>
      <c r="BE404" s="64">
        <f t="shared" si="170"/>
        <v>3.14</v>
      </c>
      <c r="BF404" s="64">
        <f t="shared" si="170"/>
        <v>3.14</v>
      </c>
      <c r="BG404" s="64">
        <f t="shared" si="170"/>
        <v>3.14</v>
      </c>
      <c r="BH404" s="64">
        <f t="shared" si="170"/>
        <v>3.14</v>
      </c>
    </row>
    <row r="405" spans="1:60" s="64" customFormat="1" hidden="1" outlineLevel="1"/>
    <row r="406" spans="1:60" s="64" customFormat="1" hidden="1" outlineLevel="1">
      <c r="B406" s="64" t="s">
        <v>117</v>
      </c>
    </row>
    <row r="407" spans="1:60" s="64" customFormat="1" hidden="1" outlineLevel="1">
      <c r="B407" s="64" t="str">
        <f>Esc!A301</f>
        <v>GLP</v>
      </c>
      <c r="C407" s="64">
        <f>Esc!B301</f>
        <v>0.81</v>
      </c>
      <c r="D407" s="64">
        <f>Esc!C301</f>
        <v>0.84</v>
      </c>
      <c r="E407" s="64">
        <f>Esc!D301</f>
        <v>0.88</v>
      </c>
      <c r="F407" s="64">
        <f>Esc!E301</f>
        <v>0.91</v>
      </c>
      <c r="G407" s="64">
        <f>Esc!F301</f>
        <v>0.97</v>
      </c>
      <c r="H407" s="64">
        <f>Esc!G301</f>
        <v>1.1200000000000001</v>
      </c>
      <c r="I407" s="64">
        <f>Esc!H301</f>
        <v>1.1399999999999999</v>
      </c>
      <c r="J407" s="64">
        <f>Esc!I301</f>
        <v>0.97</v>
      </c>
      <c r="K407" s="64">
        <f>Esc!J301</f>
        <v>0.8</v>
      </c>
      <c r="L407" s="64">
        <f>Esc!K301</f>
        <v>0.85</v>
      </c>
      <c r="M407" s="64">
        <f>Esc!L301</f>
        <v>0.85</v>
      </c>
      <c r="N407" s="64">
        <f>Esc!M301</f>
        <v>0.86</v>
      </c>
      <c r="O407" s="64">
        <f>Esc!N301</f>
        <v>0.86</v>
      </c>
      <c r="P407" s="64">
        <f>Esc!O301</f>
        <v>0.87</v>
      </c>
      <c r="Q407" s="64">
        <f>Esc!P301</f>
        <v>0.87</v>
      </c>
      <c r="R407" s="64">
        <f>Esc!Q301</f>
        <v>0.88</v>
      </c>
      <c r="S407" s="64">
        <f>Esc!R301</f>
        <v>0.88</v>
      </c>
      <c r="T407" s="64">
        <f>Esc!S301</f>
        <v>0.89</v>
      </c>
      <c r="U407" s="64">
        <f>Esc!T301</f>
        <v>0.89</v>
      </c>
      <c r="V407" s="64">
        <f>Esc!U301</f>
        <v>0.89</v>
      </c>
      <c r="W407" s="64">
        <f>Esc!V301</f>
        <v>0.9</v>
      </c>
      <c r="X407" s="64">
        <f>Esc!W301</f>
        <v>0.9</v>
      </c>
      <c r="Y407" s="64">
        <f>Esc!X301</f>
        <v>0.91</v>
      </c>
      <c r="Z407" s="64">
        <f>Esc!Y301</f>
        <v>0.91</v>
      </c>
      <c r="AA407" s="64">
        <f>Esc!Z301</f>
        <v>0.92</v>
      </c>
      <c r="AB407" s="64">
        <f>Esc!AA301</f>
        <v>0.92</v>
      </c>
      <c r="AC407" s="64">
        <f>Esc!AB301</f>
        <v>0.93</v>
      </c>
      <c r="AD407" s="64">
        <f>Esc!AC301</f>
        <v>0.93</v>
      </c>
      <c r="AE407" s="64">
        <f>Esc!AD301</f>
        <v>0.94</v>
      </c>
      <c r="AF407" s="64">
        <f>Esc!AE301</f>
        <v>0.94</v>
      </c>
      <c r="AG407" s="64">
        <f>Esc!AF301</f>
        <v>0.94</v>
      </c>
      <c r="AH407" s="64">
        <f>Esc!AG301</f>
        <v>0.95</v>
      </c>
      <c r="AI407" s="64">
        <f>Esc!AH301</f>
        <v>0.95</v>
      </c>
      <c r="AJ407" s="64">
        <f>Esc!AI301</f>
        <v>0.96</v>
      </c>
      <c r="AK407" s="64">
        <f>Esc!AJ301</f>
        <v>0.96</v>
      </c>
      <c r="AL407" s="64">
        <f>Esc!AK301</f>
        <v>0.97</v>
      </c>
      <c r="AM407" s="64">
        <f>Esc!AL301</f>
        <v>0.97</v>
      </c>
      <c r="AN407" s="64">
        <f>Esc!AM301</f>
        <v>0.98</v>
      </c>
      <c r="AO407" s="64">
        <f t="shared" ref="AO407:BH411" si="172">AN407</f>
        <v>0.98</v>
      </c>
      <c r="AP407" s="64">
        <f t="shared" si="172"/>
        <v>0.98</v>
      </c>
      <c r="AQ407" s="64">
        <f t="shared" si="172"/>
        <v>0.98</v>
      </c>
      <c r="AR407" s="64">
        <f t="shared" si="172"/>
        <v>0.98</v>
      </c>
      <c r="AS407" s="64">
        <f t="shared" si="172"/>
        <v>0.98</v>
      </c>
      <c r="AT407" s="64">
        <f t="shared" si="172"/>
        <v>0.98</v>
      </c>
      <c r="AU407" s="64">
        <f t="shared" si="172"/>
        <v>0.98</v>
      </c>
      <c r="AV407" s="64">
        <f t="shared" si="172"/>
        <v>0.98</v>
      </c>
      <c r="AW407" s="64">
        <f t="shared" si="172"/>
        <v>0.98</v>
      </c>
      <c r="AX407" s="64">
        <f t="shared" si="172"/>
        <v>0.98</v>
      </c>
      <c r="AY407" s="64">
        <f t="shared" si="172"/>
        <v>0.98</v>
      </c>
      <c r="AZ407" s="64">
        <f t="shared" si="172"/>
        <v>0.98</v>
      </c>
      <c r="BA407" s="64">
        <f t="shared" si="172"/>
        <v>0.98</v>
      </c>
      <c r="BB407" s="64">
        <f t="shared" si="172"/>
        <v>0.98</v>
      </c>
      <c r="BC407" s="64">
        <f t="shared" si="172"/>
        <v>0.98</v>
      </c>
      <c r="BD407" s="64">
        <f t="shared" si="172"/>
        <v>0.98</v>
      </c>
      <c r="BE407" s="64">
        <f t="shared" si="172"/>
        <v>0.98</v>
      </c>
      <c r="BF407" s="64">
        <f t="shared" si="172"/>
        <v>0.98</v>
      </c>
      <c r="BG407" s="64">
        <f t="shared" si="172"/>
        <v>0.98</v>
      </c>
      <c r="BH407" s="64">
        <f t="shared" si="172"/>
        <v>0.98</v>
      </c>
    </row>
    <row r="408" spans="1:60" s="64" customFormat="1" hidden="1" outlineLevel="1">
      <c r="B408" s="64" t="str">
        <f>Esc!A304</f>
        <v>Diésel</v>
      </c>
      <c r="C408" s="64">
        <f>Esc!B304</f>
        <v>0.14000000000000001</v>
      </c>
      <c r="D408" s="64">
        <f>Esc!C304</f>
        <v>0.14000000000000001</v>
      </c>
      <c r="E408" s="64">
        <f>Esc!D304</f>
        <v>0.15</v>
      </c>
      <c r="F408" s="64">
        <f>Esc!E304</f>
        <v>0.16</v>
      </c>
      <c r="G408" s="64">
        <f>Esc!F304</f>
        <v>0.17</v>
      </c>
      <c r="H408" s="64">
        <f>Esc!G304</f>
        <v>0.18</v>
      </c>
      <c r="I408" s="64">
        <f>Esc!H304</f>
        <v>0.18</v>
      </c>
      <c r="J408" s="64">
        <f>Esc!I304</f>
        <v>0.17</v>
      </c>
      <c r="K408" s="64">
        <f>Esc!J304</f>
        <v>0.15</v>
      </c>
      <c r="L408" s="64">
        <f>Esc!K304</f>
        <v>0.15</v>
      </c>
      <c r="M408" s="64">
        <f>Esc!L304</f>
        <v>0.15</v>
      </c>
      <c r="N408" s="64">
        <f>Esc!M304</f>
        <v>0.15</v>
      </c>
      <c r="O408" s="64">
        <f>Esc!N304</f>
        <v>0.15</v>
      </c>
      <c r="P408" s="64">
        <f>Esc!O304</f>
        <v>0.15</v>
      </c>
      <c r="Q408" s="64">
        <f>Esc!P304</f>
        <v>0.15</v>
      </c>
      <c r="R408" s="64">
        <f>Esc!Q304</f>
        <v>0.15</v>
      </c>
      <c r="S408" s="64">
        <f>Esc!R304</f>
        <v>0.15</v>
      </c>
      <c r="T408" s="64">
        <f>Esc!S304</f>
        <v>0.15</v>
      </c>
      <c r="U408" s="64">
        <f>Esc!T304</f>
        <v>0.15</v>
      </c>
      <c r="V408" s="64">
        <f>Esc!U304</f>
        <v>0.15</v>
      </c>
      <c r="W408" s="64">
        <f>Esc!V304</f>
        <v>0.15</v>
      </c>
      <c r="X408" s="64">
        <f>Esc!W304</f>
        <v>0.15</v>
      </c>
      <c r="Y408" s="64">
        <f>Esc!X304</f>
        <v>0.14000000000000001</v>
      </c>
      <c r="Z408" s="64">
        <f>Esc!Y304</f>
        <v>0.14000000000000001</v>
      </c>
      <c r="AA408" s="64">
        <f>Esc!Z304</f>
        <v>0.14000000000000001</v>
      </c>
      <c r="AB408" s="64">
        <f>Esc!AA304</f>
        <v>0.14000000000000001</v>
      </c>
      <c r="AC408" s="64">
        <f>Esc!AB304</f>
        <v>0.14000000000000001</v>
      </c>
      <c r="AD408" s="64">
        <f>Esc!AC304</f>
        <v>0.14000000000000001</v>
      </c>
      <c r="AE408" s="64">
        <f>Esc!AD304</f>
        <v>0.14000000000000001</v>
      </c>
      <c r="AF408" s="64">
        <f>Esc!AE304</f>
        <v>0.14000000000000001</v>
      </c>
      <c r="AG408" s="64">
        <f>Esc!AF304</f>
        <v>0.14000000000000001</v>
      </c>
      <c r="AH408" s="64">
        <f>Esc!AG304</f>
        <v>0.14000000000000001</v>
      </c>
      <c r="AI408" s="64">
        <f>Esc!AH304</f>
        <v>0.14000000000000001</v>
      </c>
      <c r="AJ408" s="64">
        <f>Esc!AI304</f>
        <v>0.14000000000000001</v>
      </c>
      <c r="AK408" s="64">
        <f>Esc!AJ304</f>
        <v>0.14000000000000001</v>
      </c>
      <c r="AL408" s="64">
        <f>Esc!AK304</f>
        <v>0.14000000000000001</v>
      </c>
      <c r="AM408" s="64">
        <f>Esc!AL304</f>
        <v>0.14000000000000001</v>
      </c>
      <c r="AN408" s="64">
        <f>Esc!AM304</f>
        <v>0.14000000000000001</v>
      </c>
      <c r="AO408" s="64">
        <f t="shared" si="172"/>
        <v>0.14000000000000001</v>
      </c>
      <c r="AP408" s="64">
        <f t="shared" si="172"/>
        <v>0.14000000000000001</v>
      </c>
      <c r="AQ408" s="64">
        <f t="shared" si="172"/>
        <v>0.14000000000000001</v>
      </c>
      <c r="AR408" s="64">
        <f t="shared" si="172"/>
        <v>0.14000000000000001</v>
      </c>
      <c r="AS408" s="64">
        <f t="shared" si="172"/>
        <v>0.14000000000000001</v>
      </c>
      <c r="AT408" s="64">
        <f t="shared" si="172"/>
        <v>0.14000000000000001</v>
      </c>
      <c r="AU408" s="64">
        <f t="shared" si="172"/>
        <v>0.14000000000000001</v>
      </c>
      <c r="AV408" s="64">
        <f t="shared" si="172"/>
        <v>0.14000000000000001</v>
      </c>
      <c r="AW408" s="64">
        <f t="shared" si="172"/>
        <v>0.14000000000000001</v>
      </c>
      <c r="AX408" s="64">
        <f t="shared" si="172"/>
        <v>0.14000000000000001</v>
      </c>
      <c r="AY408" s="64">
        <f t="shared" si="172"/>
        <v>0.14000000000000001</v>
      </c>
      <c r="AZ408" s="64">
        <f t="shared" si="172"/>
        <v>0.14000000000000001</v>
      </c>
      <c r="BA408" s="64">
        <f t="shared" si="172"/>
        <v>0.14000000000000001</v>
      </c>
      <c r="BB408" s="64">
        <f t="shared" si="172"/>
        <v>0.14000000000000001</v>
      </c>
      <c r="BC408" s="64">
        <f t="shared" si="172"/>
        <v>0.14000000000000001</v>
      </c>
      <c r="BD408" s="64">
        <f t="shared" si="172"/>
        <v>0.14000000000000001</v>
      </c>
      <c r="BE408" s="64">
        <f t="shared" si="172"/>
        <v>0.14000000000000001</v>
      </c>
      <c r="BF408" s="64">
        <f t="shared" si="172"/>
        <v>0.14000000000000001</v>
      </c>
      <c r="BG408" s="64">
        <f t="shared" si="172"/>
        <v>0.14000000000000001</v>
      </c>
      <c r="BH408" s="64">
        <f t="shared" si="172"/>
        <v>0.14000000000000001</v>
      </c>
    </row>
    <row r="409" spans="1:60" s="64" customFormat="1" hidden="1" outlineLevel="1">
      <c r="B409" s="64" t="str">
        <f>Esc!A305</f>
        <v>Combustóleo</v>
      </c>
      <c r="C409" s="64">
        <f>Esc!B305</f>
        <v>2.08</v>
      </c>
      <c r="D409" s="64">
        <f>Esc!C305</f>
        <v>1.4</v>
      </c>
      <c r="E409" s="64">
        <f>Esc!D305</f>
        <v>0.95</v>
      </c>
      <c r="F409" s="64">
        <f>Esc!E305</f>
        <v>0.64</v>
      </c>
      <c r="G409" s="64">
        <f>Esc!F305</f>
        <v>0.44</v>
      </c>
      <c r="H409" s="64">
        <f>Esc!G305</f>
        <v>0.13</v>
      </c>
      <c r="I409" s="64">
        <f>Esc!H305</f>
        <v>0.21</v>
      </c>
      <c r="J409" s="64">
        <f>Esc!I305</f>
        <v>0.21</v>
      </c>
      <c r="K409" s="64">
        <f>Esc!J305</f>
        <v>0.26</v>
      </c>
      <c r="L409" s="64">
        <f>Esc!K305</f>
        <v>0.25</v>
      </c>
      <c r="M409" s="64">
        <f>Esc!L305</f>
        <v>0.24</v>
      </c>
      <c r="N409" s="64">
        <f>Esc!M305</f>
        <v>0.23</v>
      </c>
      <c r="O409" s="64">
        <f>Esc!N305</f>
        <v>0.22</v>
      </c>
      <c r="P409" s="64">
        <f>Esc!O305</f>
        <v>0.22</v>
      </c>
      <c r="Q409" s="64">
        <f>Esc!P305</f>
        <v>0.21</v>
      </c>
      <c r="R409" s="64">
        <f>Esc!Q305</f>
        <v>0.2</v>
      </c>
      <c r="S409" s="64">
        <f>Esc!R305</f>
        <v>0.19</v>
      </c>
      <c r="T409" s="64">
        <f>Esc!S305</f>
        <v>0.18</v>
      </c>
      <c r="U409" s="64">
        <f>Esc!T305</f>
        <v>0.17</v>
      </c>
      <c r="V409" s="64">
        <f>Esc!U305</f>
        <v>0.16</v>
      </c>
      <c r="W409" s="64">
        <f>Esc!V305</f>
        <v>0.15</v>
      </c>
      <c r="X409" s="64">
        <f>Esc!W305</f>
        <v>0.14000000000000001</v>
      </c>
      <c r="Y409" s="64">
        <f>Esc!X305</f>
        <v>0.13</v>
      </c>
      <c r="Z409" s="64">
        <f>Esc!Y305</f>
        <v>0.13</v>
      </c>
      <c r="AA409" s="64">
        <f>Esc!Z305</f>
        <v>0.12</v>
      </c>
      <c r="AB409" s="64">
        <f>Esc!AA305</f>
        <v>0.11</v>
      </c>
      <c r="AC409" s="64">
        <f>Esc!AB305</f>
        <v>0.1</v>
      </c>
      <c r="AD409" s="64">
        <f>Esc!AC305</f>
        <v>0.09</v>
      </c>
      <c r="AE409" s="64">
        <f>Esc!AD305</f>
        <v>0.08</v>
      </c>
      <c r="AF409" s="64">
        <f>Esc!AE305</f>
        <v>7.0000000000000007E-2</v>
      </c>
      <c r="AG409" s="64">
        <f>Esc!AF305</f>
        <v>0.06</v>
      </c>
      <c r="AH409" s="64">
        <f>Esc!AG305</f>
        <v>0.05</v>
      </c>
      <c r="AI409" s="64">
        <f>Esc!AH305</f>
        <v>0.04</v>
      </c>
      <c r="AJ409" s="64">
        <f>Esc!AI305</f>
        <v>0.04</v>
      </c>
      <c r="AK409" s="64">
        <f>Esc!AJ305</f>
        <v>0.03</v>
      </c>
      <c r="AL409" s="64">
        <f>Esc!AK305</f>
        <v>0.02</v>
      </c>
      <c r="AM409" s="64">
        <f>Esc!AL305</f>
        <v>0.01</v>
      </c>
      <c r="AN409" s="64">
        <f>Esc!AM305</f>
        <v>0</v>
      </c>
      <c r="AO409" s="64">
        <f t="shared" si="172"/>
        <v>0</v>
      </c>
      <c r="AP409" s="64">
        <f t="shared" si="172"/>
        <v>0</v>
      </c>
      <c r="AQ409" s="64">
        <f t="shared" si="172"/>
        <v>0</v>
      </c>
      <c r="AR409" s="64">
        <f t="shared" si="172"/>
        <v>0</v>
      </c>
      <c r="AS409" s="64">
        <f t="shared" si="172"/>
        <v>0</v>
      </c>
      <c r="AT409" s="64">
        <f t="shared" si="172"/>
        <v>0</v>
      </c>
      <c r="AU409" s="64">
        <f t="shared" si="172"/>
        <v>0</v>
      </c>
      <c r="AV409" s="64">
        <f t="shared" si="172"/>
        <v>0</v>
      </c>
      <c r="AW409" s="64">
        <f t="shared" si="172"/>
        <v>0</v>
      </c>
      <c r="AX409" s="64">
        <f t="shared" si="172"/>
        <v>0</v>
      </c>
      <c r="AY409" s="64">
        <f t="shared" si="172"/>
        <v>0</v>
      </c>
      <c r="AZ409" s="64">
        <f t="shared" si="172"/>
        <v>0</v>
      </c>
      <c r="BA409" s="64">
        <f t="shared" si="172"/>
        <v>0</v>
      </c>
      <c r="BB409" s="64">
        <f t="shared" si="172"/>
        <v>0</v>
      </c>
      <c r="BC409" s="64">
        <f t="shared" si="172"/>
        <v>0</v>
      </c>
      <c r="BD409" s="64">
        <f t="shared" si="172"/>
        <v>0</v>
      </c>
      <c r="BE409" s="64">
        <f t="shared" si="172"/>
        <v>0</v>
      </c>
      <c r="BF409" s="64">
        <f t="shared" si="172"/>
        <v>0</v>
      </c>
      <c r="BG409" s="64">
        <f t="shared" si="172"/>
        <v>0</v>
      </c>
      <c r="BH409" s="64">
        <f t="shared" si="172"/>
        <v>0</v>
      </c>
    </row>
    <row r="410" spans="1:60" s="64" customFormat="1" hidden="1" outlineLevel="1">
      <c r="B410" s="64" t="str">
        <f>Esc!A307</f>
        <v>Gas seco</v>
      </c>
      <c r="C410" s="64">
        <f>Esc!B307</f>
        <v>15.26</v>
      </c>
      <c r="D410" s="64">
        <f>Esc!C307</f>
        <v>13.69</v>
      </c>
      <c r="E410" s="64">
        <f>Esc!D307</f>
        <v>15.16</v>
      </c>
      <c r="F410" s="64">
        <f>Esc!E307</f>
        <v>16.989999999999998</v>
      </c>
      <c r="G410" s="64">
        <f>Esc!F307</f>
        <v>18.309999999999999</v>
      </c>
      <c r="H410" s="64">
        <f>Esc!G307</f>
        <v>20.329999999999998</v>
      </c>
      <c r="I410" s="64">
        <f>Esc!H307</f>
        <v>22.66</v>
      </c>
      <c r="J410" s="64">
        <f>Esc!I307</f>
        <v>19.64</v>
      </c>
      <c r="K410" s="64">
        <f>Esc!J307</f>
        <v>20.29</v>
      </c>
      <c r="L410" s="64">
        <f>Esc!K307</f>
        <v>21.34</v>
      </c>
      <c r="M410" s="64">
        <f>Esc!L307</f>
        <v>22.28</v>
      </c>
      <c r="N410" s="64">
        <f>Esc!M307</f>
        <v>23.23</v>
      </c>
      <c r="O410" s="64">
        <f>Esc!N307</f>
        <v>24.18</v>
      </c>
      <c r="P410" s="64">
        <f>Esc!O307</f>
        <v>25.12</v>
      </c>
      <c r="Q410" s="64">
        <f>Esc!P307</f>
        <v>26.07</v>
      </c>
      <c r="R410" s="64">
        <f>Esc!Q307</f>
        <v>27.01</v>
      </c>
      <c r="S410" s="64">
        <f>Esc!R307</f>
        <v>27.96</v>
      </c>
      <c r="T410" s="64">
        <f>Esc!S307</f>
        <v>28.91</v>
      </c>
      <c r="U410" s="64">
        <f>Esc!T307</f>
        <v>29.85</v>
      </c>
      <c r="V410" s="64">
        <f>Esc!U307</f>
        <v>30.8</v>
      </c>
      <c r="W410" s="64">
        <f>Esc!V307</f>
        <v>31.74</v>
      </c>
      <c r="X410" s="64">
        <f>Esc!W307</f>
        <v>32.69</v>
      </c>
      <c r="Y410" s="64">
        <f>Esc!X307</f>
        <v>33.64</v>
      </c>
      <c r="Z410" s="64">
        <f>Esc!Y307</f>
        <v>34.58</v>
      </c>
      <c r="AA410" s="64">
        <f>Esc!Z307</f>
        <v>35.53</v>
      </c>
      <c r="AB410" s="64">
        <f>Esc!AA307</f>
        <v>36.479999999999997</v>
      </c>
      <c r="AC410" s="64">
        <f>Esc!AB307</f>
        <v>37.42</v>
      </c>
      <c r="AD410" s="64">
        <f>Esc!AC307</f>
        <v>38.369999999999997</v>
      </c>
      <c r="AE410" s="64">
        <f>Esc!AD307</f>
        <v>39.31</v>
      </c>
      <c r="AF410" s="64">
        <f>Esc!AE307</f>
        <v>40.26</v>
      </c>
      <c r="AG410" s="64">
        <f>Esc!AF307</f>
        <v>41.21</v>
      </c>
      <c r="AH410" s="64">
        <f>Esc!AG307</f>
        <v>42.15</v>
      </c>
      <c r="AI410" s="64">
        <f>Esc!AH307</f>
        <v>43.1</v>
      </c>
      <c r="AJ410" s="64">
        <f>Esc!AI307</f>
        <v>44.05</v>
      </c>
      <c r="AK410" s="64">
        <f>Esc!AJ307</f>
        <v>44.99</v>
      </c>
      <c r="AL410" s="64">
        <f>Esc!AK307</f>
        <v>45.94</v>
      </c>
      <c r="AM410" s="64">
        <f>Esc!AL307</f>
        <v>46.88</v>
      </c>
      <c r="AN410" s="64">
        <f>Esc!AM307</f>
        <v>47.83</v>
      </c>
      <c r="AO410" s="64">
        <f t="shared" si="172"/>
        <v>47.83</v>
      </c>
      <c r="AP410" s="64">
        <f t="shared" si="172"/>
        <v>47.83</v>
      </c>
      <c r="AQ410" s="64">
        <f t="shared" si="172"/>
        <v>47.83</v>
      </c>
      <c r="AR410" s="64">
        <f t="shared" si="172"/>
        <v>47.83</v>
      </c>
      <c r="AS410" s="64">
        <f t="shared" si="172"/>
        <v>47.83</v>
      </c>
      <c r="AT410" s="64">
        <f t="shared" si="172"/>
        <v>47.83</v>
      </c>
      <c r="AU410" s="64">
        <f t="shared" si="172"/>
        <v>47.83</v>
      </c>
      <c r="AV410" s="64">
        <f t="shared" si="172"/>
        <v>47.83</v>
      </c>
      <c r="AW410" s="64">
        <f t="shared" si="172"/>
        <v>47.83</v>
      </c>
      <c r="AX410" s="64">
        <f t="shared" si="172"/>
        <v>47.83</v>
      </c>
      <c r="AY410" s="64">
        <f t="shared" si="172"/>
        <v>47.83</v>
      </c>
      <c r="AZ410" s="64">
        <f t="shared" si="172"/>
        <v>47.83</v>
      </c>
      <c r="BA410" s="64">
        <f t="shared" si="172"/>
        <v>47.83</v>
      </c>
      <c r="BB410" s="64">
        <f t="shared" si="172"/>
        <v>47.83</v>
      </c>
      <c r="BC410" s="64">
        <f t="shared" si="172"/>
        <v>47.83</v>
      </c>
      <c r="BD410" s="64">
        <f t="shared" si="172"/>
        <v>47.83</v>
      </c>
      <c r="BE410" s="64">
        <f t="shared" si="172"/>
        <v>47.83</v>
      </c>
      <c r="BF410" s="64">
        <f t="shared" si="172"/>
        <v>47.83</v>
      </c>
      <c r="BG410" s="64">
        <f t="shared" si="172"/>
        <v>47.83</v>
      </c>
      <c r="BH410" s="64">
        <f t="shared" si="172"/>
        <v>47.83</v>
      </c>
    </row>
    <row r="411" spans="1:60" s="64" customFormat="1" hidden="1" outlineLevel="1">
      <c r="B411" s="64" t="str">
        <f>Esc!A308</f>
        <v>Electricidad</v>
      </c>
      <c r="C411" s="64">
        <f>Esc!B308</f>
        <v>4.18</v>
      </c>
      <c r="D411" s="64">
        <f>Esc!C308</f>
        <v>3.8</v>
      </c>
      <c r="E411" s="64">
        <f>Esc!D308</f>
        <v>3.96</v>
      </c>
      <c r="F411" s="64">
        <f>Esc!E308</f>
        <v>4.34</v>
      </c>
      <c r="G411" s="64">
        <f>Esc!F308</f>
        <v>4.4000000000000004</v>
      </c>
      <c r="H411" s="64">
        <f>Esc!G308</f>
        <v>4.5</v>
      </c>
      <c r="I411" s="64">
        <f>Esc!H308</f>
        <v>4.7</v>
      </c>
      <c r="J411" s="64">
        <f>Esc!I308</f>
        <v>4.37</v>
      </c>
      <c r="K411" s="64">
        <f>Esc!J308</f>
        <v>4.6900000000000004</v>
      </c>
      <c r="L411" s="64">
        <f>Esc!K308</f>
        <v>4.93</v>
      </c>
      <c r="M411" s="64">
        <f>Esc!L308</f>
        <v>5.15</v>
      </c>
      <c r="N411" s="64">
        <f>Esc!M308</f>
        <v>5.37</v>
      </c>
      <c r="O411" s="64">
        <f>Esc!N308</f>
        <v>5.59</v>
      </c>
      <c r="P411" s="64">
        <f>Esc!O308</f>
        <v>5.81</v>
      </c>
      <c r="Q411" s="64">
        <f>Esc!P308</f>
        <v>6.03</v>
      </c>
      <c r="R411" s="64">
        <f>Esc!Q308</f>
        <v>6.24</v>
      </c>
      <c r="S411" s="64">
        <f>Esc!R308</f>
        <v>6.46</v>
      </c>
      <c r="T411" s="64">
        <f>Esc!S308</f>
        <v>6.68</v>
      </c>
      <c r="U411" s="64">
        <f>Esc!T308</f>
        <v>6.9</v>
      </c>
      <c r="V411" s="64">
        <f>Esc!U308</f>
        <v>7.12</v>
      </c>
      <c r="W411" s="64">
        <f>Esc!V308</f>
        <v>7.34</v>
      </c>
      <c r="X411" s="64">
        <f>Esc!W308</f>
        <v>7.56</v>
      </c>
      <c r="Y411" s="64">
        <f>Esc!X308</f>
        <v>7.78</v>
      </c>
      <c r="Z411" s="64">
        <f>Esc!Y308</f>
        <v>7.99</v>
      </c>
      <c r="AA411" s="64">
        <f>Esc!Z308</f>
        <v>8.2100000000000009</v>
      </c>
      <c r="AB411" s="64">
        <f>Esc!AA308</f>
        <v>8.43</v>
      </c>
      <c r="AC411" s="64">
        <f>Esc!AB308</f>
        <v>8.65</v>
      </c>
      <c r="AD411" s="64">
        <f>Esc!AC308</f>
        <v>8.8699999999999992</v>
      </c>
      <c r="AE411" s="64">
        <f>Esc!AD308</f>
        <v>9.09</v>
      </c>
      <c r="AF411" s="64">
        <f>Esc!AE308</f>
        <v>9.31</v>
      </c>
      <c r="AG411" s="64">
        <f>Esc!AF308</f>
        <v>9.52</v>
      </c>
      <c r="AH411" s="64">
        <f>Esc!AG308</f>
        <v>9.74</v>
      </c>
      <c r="AI411" s="64">
        <f>Esc!AH308</f>
        <v>9.9600000000000009</v>
      </c>
      <c r="AJ411" s="64">
        <f>Esc!AI308</f>
        <v>10.18</v>
      </c>
      <c r="AK411" s="64">
        <f>Esc!AJ308</f>
        <v>10.4</v>
      </c>
      <c r="AL411" s="64">
        <f>Esc!AK308</f>
        <v>10.62</v>
      </c>
      <c r="AM411" s="64">
        <f>Esc!AL308</f>
        <v>10.84</v>
      </c>
      <c r="AN411" s="64">
        <f>Esc!AM308</f>
        <v>11.06</v>
      </c>
      <c r="AO411" s="64">
        <f t="shared" si="172"/>
        <v>11.06</v>
      </c>
      <c r="AP411" s="64">
        <f t="shared" si="172"/>
        <v>11.06</v>
      </c>
      <c r="AQ411" s="64">
        <f t="shared" si="172"/>
        <v>11.06</v>
      </c>
      <c r="AR411" s="64">
        <f t="shared" si="172"/>
        <v>11.06</v>
      </c>
      <c r="AS411" s="64">
        <f t="shared" si="172"/>
        <v>11.06</v>
      </c>
      <c r="AT411" s="64">
        <f t="shared" si="172"/>
        <v>11.06</v>
      </c>
      <c r="AU411" s="64">
        <f t="shared" si="172"/>
        <v>11.06</v>
      </c>
      <c r="AV411" s="64">
        <f t="shared" si="172"/>
        <v>11.06</v>
      </c>
      <c r="AW411" s="64">
        <f t="shared" si="172"/>
        <v>11.06</v>
      </c>
      <c r="AX411" s="64">
        <f t="shared" si="172"/>
        <v>11.06</v>
      </c>
      <c r="AY411" s="64">
        <f t="shared" si="172"/>
        <v>11.06</v>
      </c>
      <c r="AZ411" s="64">
        <f t="shared" si="172"/>
        <v>11.06</v>
      </c>
      <c r="BA411" s="64">
        <f t="shared" si="172"/>
        <v>11.06</v>
      </c>
      <c r="BB411" s="64">
        <f t="shared" si="172"/>
        <v>11.06</v>
      </c>
      <c r="BC411" s="64">
        <f t="shared" si="172"/>
        <v>11.06</v>
      </c>
      <c r="BD411" s="64">
        <f t="shared" si="172"/>
        <v>11.06</v>
      </c>
      <c r="BE411" s="64">
        <f t="shared" si="172"/>
        <v>11.06</v>
      </c>
      <c r="BF411" s="64">
        <f t="shared" si="172"/>
        <v>11.06</v>
      </c>
      <c r="BG411" s="64">
        <f t="shared" si="172"/>
        <v>11.06</v>
      </c>
      <c r="BH411" s="64">
        <f t="shared" si="172"/>
        <v>11.06</v>
      </c>
    </row>
    <row r="412" spans="1:60" collapsed="1">
      <c r="A412" s="67" t="s">
        <v>166</v>
      </c>
    </row>
    <row r="413" spans="1:60" hidden="1" outlineLevel="1">
      <c r="B413" t="str">
        <f>A.15!A74</f>
        <v>Gas licuado</v>
      </c>
      <c r="C413">
        <f>A.15!B74</f>
        <v>1.28</v>
      </c>
      <c r="D413">
        <f>A.15!C74</f>
        <v>1.37</v>
      </c>
      <c r="E413">
        <f>A.15!D74</f>
        <v>1.49</v>
      </c>
      <c r="F413">
        <f>A.15!E74</f>
        <v>1.61</v>
      </c>
      <c r="G413">
        <f>A.15!F74</f>
        <v>1.84</v>
      </c>
      <c r="H413">
        <f>A.15!G74</f>
        <v>2.02</v>
      </c>
      <c r="I413">
        <f>A.15!H74</f>
        <v>2.09</v>
      </c>
      <c r="J413">
        <f>A.15!I74</f>
        <v>1.81</v>
      </c>
      <c r="K413">
        <f>A.15!J74</f>
        <v>1.53</v>
      </c>
      <c r="L413">
        <f>A.15!K74</f>
        <v>1.63</v>
      </c>
      <c r="M413">
        <f>A.15!L74</f>
        <v>1.57</v>
      </c>
    </row>
    <row r="414" spans="1:60" hidden="1" outlineLevel="1">
      <c r="B414" t="str">
        <f>A.15!A77</f>
        <v>Diésel</v>
      </c>
      <c r="C414">
        <f>A.15!B77</f>
        <v>3.55</v>
      </c>
      <c r="D414">
        <f>A.15!C77</f>
        <v>3.67</v>
      </c>
      <c r="E414">
        <f>A.15!D77</f>
        <v>3.82</v>
      </c>
      <c r="F414">
        <f>A.15!E77</f>
        <v>3.98</v>
      </c>
      <c r="G414">
        <f>A.15!F77</f>
        <v>3.96</v>
      </c>
      <c r="H414">
        <f>A.15!G77</f>
        <v>4.1500000000000004</v>
      </c>
      <c r="I414">
        <f>A.15!H77</f>
        <v>4.2300000000000004</v>
      </c>
      <c r="J414">
        <f>A.15!I77</f>
        <v>3.93</v>
      </c>
      <c r="K414">
        <f>A.15!J77</f>
        <v>5.5</v>
      </c>
      <c r="L414">
        <f>A.15!K77</f>
        <v>5.85</v>
      </c>
      <c r="M414">
        <f>A.15!L77</f>
        <v>5.5</v>
      </c>
    </row>
    <row r="415" spans="1:60" hidden="1" outlineLevel="1">
      <c r="B415" t="str">
        <f>A.15!A78</f>
        <v>Combustóleo</v>
      </c>
      <c r="C415">
        <f>A.15!B78</f>
        <v>0.68</v>
      </c>
      <c r="D415">
        <f>A.15!C78</f>
        <v>0.46</v>
      </c>
      <c r="E415">
        <f>A.15!D78</f>
        <v>0.31</v>
      </c>
      <c r="F415">
        <f>A.15!E78</f>
        <v>0.22</v>
      </c>
      <c r="G415">
        <f>A.15!F78</f>
        <v>0.14000000000000001</v>
      </c>
      <c r="H415">
        <f>A.15!G78</f>
        <v>0.05</v>
      </c>
      <c r="I415">
        <f>A.15!H78</f>
        <v>7.0000000000000007E-2</v>
      </c>
      <c r="J415">
        <f>A.15!I78</f>
        <v>7.0000000000000007E-2</v>
      </c>
      <c r="K415">
        <f>A.15!J78</f>
        <v>7.0000000000000007E-2</v>
      </c>
      <c r="L415">
        <f>A.15!K78</f>
        <v>0.08</v>
      </c>
      <c r="M415">
        <f>A.15!L78</f>
        <v>7.0000000000000007E-2</v>
      </c>
    </row>
    <row r="416" spans="1:60" hidden="1" outlineLevel="1">
      <c r="B416" t="str">
        <f>A.15!A80</f>
        <v>Gas seco</v>
      </c>
      <c r="C416">
        <f>A.15!B80</f>
        <v>1.23</v>
      </c>
      <c r="D416">
        <f>A.15!C80</f>
        <v>1.3</v>
      </c>
      <c r="E416">
        <f>A.15!D80</f>
        <v>1.61</v>
      </c>
      <c r="F416">
        <f>A.15!E80</f>
        <v>1.78</v>
      </c>
      <c r="G416">
        <f>A.15!F80</f>
        <v>1.77</v>
      </c>
      <c r="H416">
        <f>A.15!G80</f>
        <v>1.92</v>
      </c>
      <c r="I416">
        <f>A.15!H80</f>
        <v>2.08</v>
      </c>
      <c r="J416">
        <f>A.15!I80</f>
        <v>1.8</v>
      </c>
      <c r="K416">
        <f>A.15!J80</f>
        <v>1.53</v>
      </c>
      <c r="L416">
        <f>A.15!K80</f>
        <v>1.44</v>
      </c>
      <c r="M416">
        <f>A.15!L80</f>
        <v>1.31</v>
      </c>
    </row>
    <row r="417" spans="1:60" hidden="1" outlineLevel="1">
      <c r="B417" t="str">
        <f>A.15!A81</f>
        <v>Energía eléctrica</v>
      </c>
      <c r="C417">
        <f>A.15!B81</f>
        <v>3.31</v>
      </c>
      <c r="D417">
        <f>A.15!C81</f>
        <v>3.41</v>
      </c>
      <c r="E417">
        <f>A.15!D81</f>
        <v>3.56</v>
      </c>
      <c r="F417">
        <f>A.15!E81</f>
        <v>3.89</v>
      </c>
      <c r="G417">
        <f>A.15!F81</f>
        <v>3.93</v>
      </c>
      <c r="H417">
        <f>A.15!G81</f>
        <v>3.98</v>
      </c>
      <c r="I417">
        <f>A.15!H81</f>
        <v>4.2</v>
      </c>
      <c r="J417">
        <f>A.15!I81</f>
        <v>3.9</v>
      </c>
      <c r="K417">
        <f>A.15!J81</f>
        <v>4.0999999999999996</v>
      </c>
      <c r="L417">
        <f>A.15!K81</f>
        <v>1.01</v>
      </c>
      <c r="M417">
        <f>A.15!L81</f>
        <v>3.51</v>
      </c>
    </row>
    <row r="418" spans="1:60" hidden="1" outlineLevel="1"/>
    <row r="419" spans="1:60" s="64" customFormat="1" hidden="1" outlineLevel="1">
      <c r="B419" s="64" t="s">
        <v>120</v>
      </c>
    </row>
    <row r="420" spans="1:60" s="64" customFormat="1" hidden="1" outlineLevel="1">
      <c r="B420" s="64" t="str">
        <f>Esc!A394</f>
        <v>GLP</v>
      </c>
      <c r="C420" s="64">
        <f>Esc!B394</f>
        <v>1.28</v>
      </c>
      <c r="D420" s="64">
        <f>Esc!C394</f>
        <v>1.37</v>
      </c>
      <c r="E420" s="64">
        <f>Esc!D394</f>
        <v>1.53</v>
      </c>
      <c r="F420" s="64">
        <f>Esc!E394</f>
        <v>1.61</v>
      </c>
      <c r="G420" s="64">
        <f>Esc!F394</f>
        <v>1.89</v>
      </c>
      <c r="H420" s="64">
        <f>Esc!G394</f>
        <v>2.02</v>
      </c>
      <c r="I420" s="64">
        <f>Esc!H394</f>
        <v>2.09</v>
      </c>
      <c r="J420" s="64">
        <f>Esc!I394</f>
        <v>1.81</v>
      </c>
      <c r="K420" s="64">
        <f>Esc!J394</f>
        <v>1.5</v>
      </c>
      <c r="L420" s="64">
        <f>Esc!K394</f>
        <v>1.59</v>
      </c>
      <c r="M420" s="64">
        <f>Esc!L394</f>
        <v>1.6</v>
      </c>
      <c r="N420" s="64">
        <f>Esc!M394</f>
        <v>1.61</v>
      </c>
      <c r="O420" s="64">
        <f>Esc!N394</f>
        <v>1.62</v>
      </c>
      <c r="P420" s="64">
        <f>Esc!O394</f>
        <v>1.63</v>
      </c>
      <c r="Q420" s="64">
        <f>Esc!P394</f>
        <v>1.64</v>
      </c>
      <c r="R420" s="64">
        <f>Esc!Q394</f>
        <v>1.64</v>
      </c>
      <c r="S420" s="64">
        <f>Esc!R394</f>
        <v>1.65</v>
      </c>
      <c r="T420" s="64">
        <f>Esc!S394</f>
        <v>1.66</v>
      </c>
      <c r="U420" s="64">
        <f>Esc!T394</f>
        <v>1.67</v>
      </c>
      <c r="V420" s="64">
        <f>Esc!U394</f>
        <v>1.68</v>
      </c>
      <c r="W420" s="64">
        <f>Esc!V394</f>
        <v>1.69</v>
      </c>
      <c r="X420" s="64">
        <f>Esc!W394</f>
        <v>1.69</v>
      </c>
      <c r="Y420" s="64">
        <f>Esc!X394</f>
        <v>1.7</v>
      </c>
      <c r="Z420" s="64">
        <f>Esc!Y394</f>
        <v>1.71</v>
      </c>
      <c r="AA420" s="64">
        <f>Esc!Z394</f>
        <v>1.72</v>
      </c>
      <c r="AB420" s="64">
        <f>Esc!AA394</f>
        <v>1.73</v>
      </c>
      <c r="AC420" s="64">
        <f>Esc!AB394</f>
        <v>1.74</v>
      </c>
      <c r="AD420" s="64">
        <f>Esc!AC394</f>
        <v>1.74</v>
      </c>
      <c r="AE420" s="64">
        <f>Esc!AD394</f>
        <v>1.75</v>
      </c>
      <c r="AF420" s="64">
        <f>Esc!AE394</f>
        <v>1.76</v>
      </c>
      <c r="AG420" s="64">
        <f>Esc!AF394</f>
        <v>1.77</v>
      </c>
      <c r="AH420" s="64">
        <f>Esc!AG394</f>
        <v>1.78</v>
      </c>
      <c r="AI420" s="64">
        <f>Esc!AH394</f>
        <v>1.79</v>
      </c>
      <c r="AJ420" s="64">
        <f>Esc!AI394</f>
        <v>1.8</v>
      </c>
      <c r="AK420" s="64">
        <f>Esc!AJ394</f>
        <v>1.8</v>
      </c>
      <c r="AL420" s="64">
        <f>Esc!AK394</f>
        <v>1.81</v>
      </c>
      <c r="AM420" s="64">
        <f>Esc!AL394</f>
        <v>1.82</v>
      </c>
      <c r="AN420" s="64">
        <f>Esc!AM394</f>
        <v>1.83</v>
      </c>
      <c r="AO420" s="64">
        <f>AN420</f>
        <v>1.83</v>
      </c>
      <c r="AP420" s="64">
        <f t="shared" ref="AP420:BH431" si="173">AO420</f>
        <v>1.83</v>
      </c>
      <c r="AQ420" s="64">
        <f t="shared" si="173"/>
        <v>1.83</v>
      </c>
      <c r="AR420" s="64">
        <f t="shared" si="173"/>
        <v>1.83</v>
      </c>
      <c r="AS420" s="64">
        <f t="shared" si="173"/>
        <v>1.83</v>
      </c>
      <c r="AT420" s="64">
        <f t="shared" si="173"/>
        <v>1.83</v>
      </c>
      <c r="AU420" s="64">
        <f t="shared" si="173"/>
        <v>1.83</v>
      </c>
      <c r="AV420" s="64">
        <f t="shared" si="173"/>
        <v>1.83</v>
      </c>
      <c r="AW420" s="64">
        <f t="shared" si="173"/>
        <v>1.83</v>
      </c>
      <c r="AX420" s="64">
        <f t="shared" si="173"/>
        <v>1.83</v>
      </c>
      <c r="AY420" s="64">
        <f t="shared" si="173"/>
        <v>1.83</v>
      </c>
      <c r="AZ420" s="64">
        <f t="shared" si="173"/>
        <v>1.83</v>
      </c>
      <c r="BA420" s="64">
        <f t="shared" si="173"/>
        <v>1.83</v>
      </c>
      <c r="BB420" s="64">
        <f t="shared" si="173"/>
        <v>1.83</v>
      </c>
      <c r="BC420" s="64">
        <f t="shared" si="173"/>
        <v>1.83</v>
      </c>
      <c r="BD420" s="64">
        <f t="shared" si="173"/>
        <v>1.83</v>
      </c>
      <c r="BE420" s="64">
        <f t="shared" si="173"/>
        <v>1.83</v>
      </c>
      <c r="BF420" s="64">
        <f t="shared" si="173"/>
        <v>1.83</v>
      </c>
      <c r="BG420" s="64">
        <f t="shared" si="173"/>
        <v>1.83</v>
      </c>
      <c r="BH420" s="64">
        <f t="shared" si="173"/>
        <v>1.83</v>
      </c>
    </row>
    <row r="421" spans="1:60" s="64" customFormat="1" hidden="1" outlineLevel="1">
      <c r="B421" s="64" t="str">
        <f>Esc!A397</f>
        <v>Diésel</v>
      </c>
      <c r="C421" s="64">
        <f>Esc!B397</f>
        <v>3.55</v>
      </c>
      <c r="D421" s="64">
        <f>Esc!C397</f>
        <v>3.67</v>
      </c>
      <c r="E421" s="64">
        <f>Esc!D397</f>
        <v>3.82</v>
      </c>
      <c r="F421" s="64">
        <f>Esc!E397</f>
        <v>3.98</v>
      </c>
      <c r="G421" s="64">
        <f>Esc!F397</f>
        <v>3.96</v>
      </c>
      <c r="H421" s="64">
        <f>Esc!G397</f>
        <v>4.45</v>
      </c>
      <c r="I421" s="64">
        <f>Esc!H397</f>
        <v>4.2300000000000004</v>
      </c>
      <c r="J421" s="64">
        <f>Esc!I397</f>
        <v>3.33</v>
      </c>
      <c r="K421" s="64">
        <f>Esc!J397</f>
        <v>3.42</v>
      </c>
      <c r="L421" s="64">
        <f>Esc!K397</f>
        <v>3.43</v>
      </c>
      <c r="M421" s="64">
        <f>Esc!L397</f>
        <v>3.42</v>
      </c>
      <c r="N421" s="64">
        <f>Esc!M397</f>
        <v>3.41</v>
      </c>
      <c r="O421" s="64">
        <f>Esc!N397</f>
        <v>3.4</v>
      </c>
      <c r="P421" s="64">
        <f>Esc!O397</f>
        <v>3.39</v>
      </c>
      <c r="Q421" s="64">
        <f>Esc!P397</f>
        <v>3.38</v>
      </c>
      <c r="R421" s="64">
        <f>Esc!Q397</f>
        <v>3.37</v>
      </c>
      <c r="S421" s="64">
        <f>Esc!R397</f>
        <v>3.36</v>
      </c>
      <c r="T421" s="64">
        <f>Esc!S397</f>
        <v>3.35</v>
      </c>
      <c r="U421" s="64">
        <f>Esc!T397</f>
        <v>3.34</v>
      </c>
      <c r="V421" s="64">
        <f>Esc!U397</f>
        <v>3.33</v>
      </c>
      <c r="W421" s="64">
        <f>Esc!V397</f>
        <v>3.32</v>
      </c>
      <c r="X421" s="64">
        <f>Esc!W397</f>
        <v>3.31</v>
      </c>
      <c r="Y421" s="64">
        <f>Esc!X397</f>
        <v>3.3</v>
      </c>
      <c r="Z421" s="64">
        <f>Esc!Y397</f>
        <v>3.29</v>
      </c>
      <c r="AA421" s="64">
        <f>Esc!Z397</f>
        <v>3.28</v>
      </c>
      <c r="AB421" s="64">
        <f>Esc!AA397</f>
        <v>3.27</v>
      </c>
      <c r="AC421" s="64">
        <f>Esc!AB397</f>
        <v>3.26</v>
      </c>
      <c r="AD421" s="64">
        <f>Esc!AC397</f>
        <v>3.25</v>
      </c>
      <c r="AE421" s="64">
        <f>Esc!AD397</f>
        <v>3.24</v>
      </c>
      <c r="AF421" s="64">
        <f>Esc!AE397</f>
        <v>3.23</v>
      </c>
      <c r="AG421" s="64">
        <f>Esc!AF397</f>
        <v>3.22</v>
      </c>
      <c r="AH421" s="64">
        <f>Esc!AG397</f>
        <v>3.21</v>
      </c>
      <c r="AI421" s="64">
        <f>Esc!AH397</f>
        <v>3.2</v>
      </c>
      <c r="AJ421" s="64">
        <f>Esc!AI397</f>
        <v>3.19</v>
      </c>
      <c r="AK421" s="64">
        <f>Esc!AJ397</f>
        <v>3.18</v>
      </c>
      <c r="AL421" s="64">
        <f>Esc!AK397</f>
        <v>3.17</v>
      </c>
      <c r="AM421" s="64">
        <f>Esc!AL397</f>
        <v>3.16</v>
      </c>
      <c r="AN421" s="64">
        <f>Esc!AM397</f>
        <v>3.15</v>
      </c>
      <c r="AO421" s="64">
        <f t="shared" ref="AO421:BD431" si="174">AN421</f>
        <v>3.15</v>
      </c>
      <c r="AP421" s="64">
        <f t="shared" si="174"/>
        <v>3.15</v>
      </c>
      <c r="AQ421" s="64">
        <f t="shared" si="174"/>
        <v>3.15</v>
      </c>
      <c r="AR421" s="64">
        <f t="shared" si="174"/>
        <v>3.15</v>
      </c>
      <c r="AS421" s="64">
        <f t="shared" si="174"/>
        <v>3.15</v>
      </c>
      <c r="AT421" s="64">
        <f t="shared" si="174"/>
        <v>3.15</v>
      </c>
      <c r="AU421" s="64">
        <f t="shared" si="174"/>
        <v>3.15</v>
      </c>
      <c r="AV421" s="64">
        <f t="shared" si="174"/>
        <v>3.15</v>
      </c>
      <c r="AW421" s="64">
        <f t="shared" si="174"/>
        <v>3.15</v>
      </c>
      <c r="AX421" s="64">
        <f t="shared" si="174"/>
        <v>3.15</v>
      </c>
      <c r="AY421" s="64">
        <f t="shared" si="174"/>
        <v>3.15</v>
      </c>
      <c r="AZ421" s="64">
        <f t="shared" si="174"/>
        <v>3.15</v>
      </c>
      <c r="BA421" s="64">
        <f t="shared" si="174"/>
        <v>3.15</v>
      </c>
      <c r="BB421" s="64">
        <f t="shared" si="174"/>
        <v>3.15</v>
      </c>
      <c r="BC421" s="64">
        <f t="shared" si="174"/>
        <v>3.15</v>
      </c>
      <c r="BD421" s="64">
        <f t="shared" si="174"/>
        <v>3.15</v>
      </c>
      <c r="BE421" s="64">
        <f t="shared" si="173"/>
        <v>3.15</v>
      </c>
      <c r="BF421" s="64">
        <f t="shared" si="173"/>
        <v>3.15</v>
      </c>
      <c r="BG421" s="64">
        <f t="shared" si="173"/>
        <v>3.15</v>
      </c>
      <c r="BH421" s="64">
        <f t="shared" si="173"/>
        <v>3.15</v>
      </c>
    </row>
    <row r="422" spans="1:60" s="64" customFormat="1" hidden="1" outlineLevel="1">
      <c r="B422" s="64" t="str">
        <f>Esc!A398</f>
        <v>Combustóleo</v>
      </c>
      <c r="C422" s="64">
        <f>Esc!B398</f>
        <v>0.67</v>
      </c>
      <c r="D422" s="64">
        <f>Esc!C398</f>
        <v>0.45</v>
      </c>
      <c r="E422" s="64">
        <f>Esc!D398</f>
        <v>0.31</v>
      </c>
      <c r="F422" s="64">
        <f>Esc!E398</f>
        <v>0.21</v>
      </c>
      <c r="G422" s="64">
        <f>Esc!F398</f>
        <v>0.14000000000000001</v>
      </c>
      <c r="H422" s="64">
        <f>Esc!G398</f>
        <v>0.04</v>
      </c>
      <c r="I422" s="64">
        <f>Esc!H398</f>
        <v>7.0000000000000007E-2</v>
      </c>
      <c r="J422" s="64">
        <f>Esc!I398</f>
        <v>7.0000000000000007E-2</v>
      </c>
      <c r="K422" s="64">
        <f>Esc!J398</f>
        <v>0.09</v>
      </c>
      <c r="L422" s="64">
        <f>Esc!K398</f>
        <v>0.09</v>
      </c>
      <c r="M422" s="64">
        <f>Esc!L398</f>
        <v>0.08</v>
      </c>
      <c r="N422" s="64">
        <f>Esc!M398</f>
        <v>0.08</v>
      </c>
      <c r="O422" s="64">
        <f>Esc!N398</f>
        <v>0.08</v>
      </c>
      <c r="P422" s="64">
        <f>Esc!O398</f>
        <v>7.0000000000000007E-2</v>
      </c>
      <c r="Q422" s="64">
        <f>Esc!P398</f>
        <v>7.0000000000000007E-2</v>
      </c>
      <c r="R422" s="64">
        <f>Esc!Q398</f>
        <v>7.0000000000000007E-2</v>
      </c>
      <c r="S422" s="64">
        <f>Esc!R398</f>
        <v>7.0000000000000007E-2</v>
      </c>
      <c r="T422" s="64">
        <f>Esc!S398</f>
        <v>0.06</v>
      </c>
      <c r="U422" s="64">
        <f>Esc!T398</f>
        <v>0.06</v>
      </c>
      <c r="V422" s="64">
        <f>Esc!U398</f>
        <v>0.06</v>
      </c>
      <c r="W422" s="64">
        <f>Esc!V398</f>
        <v>0.05</v>
      </c>
      <c r="X422" s="64">
        <f>Esc!W398</f>
        <v>0.05</v>
      </c>
      <c r="Y422" s="64">
        <f>Esc!X398</f>
        <v>0.05</v>
      </c>
      <c r="Z422" s="64">
        <f>Esc!Y398</f>
        <v>0.04</v>
      </c>
      <c r="AA422" s="64">
        <f>Esc!Z398</f>
        <v>0.04</v>
      </c>
      <c r="AB422" s="64">
        <f>Esc!AA398</f>
        <v>0.04</v>
      </c>
      <c r="AC422" s="64">
        <f>Esc!AB398</f>
        <v>0.03</v>
      </c>
      <c r="AD422" s="64">
        <f>Esc!AC398</f>
        <v>0.03</v>
      </c>
      <c r="AE422" s="64">
        <f>Esc!AD398</f>
        <v>0.03</v>
      </c>
      <c r="AF422" s="64">
        <f>Esc!AE398</f>
        <v>0.02</v>
      </c>
      <c r="AG422" s="64">
        <f>Esc!AF398</f>
        <v>0.02</v>
      </c>
      <c r="AH422" s="64">
        <f>Esc!AG398</f>
        <v>0.02</v>
      </c>
      <c r="AI422" s="64">
        <f>Esc!AH398</f>
        <v>0.02</v>
      </c>
      <c r="AJ422" s="64">
        <f>Esc!AI398</f>
        <v>0.01</v>
      </c>
      <c r="AK422" s="64">
        <f>Esc!AJ398</f>
        <v>0.01</v>
      </c>
      <c r="AL422" s="64">
        <f>Esc!AK398</f>
        <v>0.01</v>
      </c>
      <c r="AM422" s="64">
        <f>Esc!AL398</f>
        <v>0</v>
      </c>
      <c r="AN422" s="64">
        <f>Esc!AM398</f>
        <v>0</v>
      </c>
      <c r="AO422" s="64">
        <f t="shared" si="174"/>
        <v>0</v>
      </c>
      <c r="AP422" s="64">
        <f t="shared" si="173"/>
        <v>0</v>
      </c>
      <c r="AQ422" s="64">
        <f t="shared" si="173"/>
        <v>0</v>
      </c>
      <c r="AR422" s="64">
        <f t="shared" si="173"/>
        <v>0</v>
      </c>
      <c r="AS422" s="64">
        <f t="shared" si="173"/>
        <v>0</v>
      </c>
      <c r="AT422" s="64">
        <f t="shared" si="173"/>
        <v>0</v>
      </c>
      <c r="AU422" s="64">
        <f t="shared" si="173"/>
        <v>0</v>
      </c>
      <c r="AV422" s="64">
        <f t="shared" si="173"/>
        <v>0</v>
      </c>
      <c r="AW422" s="64">
        <f t="shared" si="173"/>
        <v>0</v>
      </c>
      <c r="AX422" s="64">
        <f t="shared" si="173"/>
        <v>0</v>
      </c>
      <c r="AY422" s="64">
        <f t="shared" si="173"/>
        <v>0</v>
      </c>
      <c r="AZ422" s="64">
        <f t="shared" si="173"/>
        <v>0</v>
      </c>
      <c r="BA422" s="64">
        <f t="shared" si="173"/>
        <v>0</v>
      </c>
      <c r="BB422" s="64">
        <f t="shared" si="173"/>
        <v>0</v>
      </c>
      <c r="BC422" s="64">
        <f t="shared" si="173"/>
        <v>0</v>
      </c>
      <c r="BD422" s="64">
        <f t="shared" si="173"/>
        <v>0</v>
      </c>
      <c r="BE422" s="64">
        <f t="shared" si="173"/>
        <v>0</v>
      </c>
      <c r="BF422" s="64">
        <f t="shared" si="173"/>
        <v>0</v>
      </c>
      <c r="BG422" s="64">
        <f t="shared" si="173"/>
        <v>0</v>
      </c>
      <c r="BH422" s="64">
        <f t="shared" si="173"/>
        <v>0</v>
      </c>
    </row>
    <row r="423" spans="1:60" s="64" customFormat="1" hidden="1" outlineLevel="1">
      <c r="B423" s="64" t="str">
        <f>Esc!A400</f>
        <v>Gas seco</v>
      </c>
      <c r="C423" s="64">
        <f>Esc!B400</f>
        <v>0.96</v>
      </c>
      <c r="D423" s="64">
        <f>Esc!C400</f>
        <v>1.08</v>
      </c>
      <c r="E423" s="64">
        <f>Esc!D400</f>
        <v>1.3</v>
      </c>
      <c r="F423" s="64">
        <f>Esc!E400</f>
        <v>1.46</v>
      </c>
      <c r="G423" s="64">
        <f>Esc!F400</f>
        <v>1.45</v>
      </c>
      <c r="H423" s="64">
        <f>Esc!G400</f>
        <v>1.6</v>
      </c>
      <c r="I423" s="64">
        <f>Esc!H400</f>
        <v>1.75</v>
      </c>
      <c r="J423" s="64">
        <f>Esc!I400</f>
        <v>1.52</v>
      </c>
      <c r="K423" s="64">
        <f>Esc!J400</f>
        <v>2.34</v>
      </c>
      <c r="L423" s="64">
        <f>Esc!K400</f>
        <v>2.54</v>
      </c>
      <c r="M423" s="64">
        <f>Esc!L400</f>
        <v>2.61</v>
      </c>
      <c r="N423" s="64">
        <f>Esc!M400</f>
        <v>2.68</v>
      </c>
      <c r="O423" s="64">
        <f>Esc!N400</f>
        <v>2.75</v>
      </c>
      <c r="P423" s="64">
        <f>Esc!O400</f>
        <v>2.82</v>
      </c>
      <c r="Q423" s="64">
        <f>Esc!P400</f>
        <v>2.88</v>
      </c>
      <c r="R423" s="64">
        <f>Esc!Q400</f>
        <v>2.95</v>
      </c>
      <c r="S423" s="64">
        <f>Esc!R400</f>
        <v>3.02</v>
      </c>
      <c r="T423" s="64">
        <f>Esc!S400</f>
        <v>3.09</v>
      </c>
      <c r="U423" s="64">
        <f>Esc!T400</f>
        <v>3.16</v>
      </c>
      <c r="V423" s="64">
        <f>Esc!U400</f>
        <v>3.23</v>
      </c>
      <c r="W423" s="64">
        <f>Esc!V400</f>
        <v>3.29</v>
      </c>
      <c r="X423" s="64">
        <f>Esc!W400</f>
        <v>3.36</v>
      </c>
      <c r="Y423" s="64">
        <f>Esc!X400</f>
        <v>3.43</v>
      </c>
      <c r="Z423" s="64">
        <f>Esc!Y400</f>
        <v>3.5</v>
      </c>
      <c r="AA423" s="64">
        <f>Esc!Z400</f>
        <v>3.57</v>
      </c>
      <c r="AB423" s="64">
        <f>Esc!AA400</f>
        <v>3.63</v>
      </c>
      <c r="AC423" s="64">
        <f>Esc!AB400</f>
        <v>3.7</v>
      </c>
      <c r="AD423" s="64">
        <f>Esc!AC400</f>
        <v>3.77</v>
      </c>
      <c r="AE423" s="64">
        <f>Esc!AD400</f>
        <v>3.84</v>
      </c>
      <c r="AF423" s="64">
        <f>Esc!AE400</f>
        <v>3.91</v>
      </c>
      <c r="AG423" s="64">
        <f>Esc!AF400</f>
        <v>3.97</v>
      </c>
      <c r="AH423" s="64">
        <f>Esc!AG400</f>
        <v>4.04</v>
      </c>
      <c r="AI423" s="64">
        <f>Esc!AH400</f>
        <v>4.1100000000000003</v>
      </c>
      <c r="AJ423" s="64">
        <f>Esc!AI400</f>
        <v>4.18</v>
      </c>
      <c r="AK423" s="64">
        <f>Esc!AJ400</f>
        <v>4.25</v>
      </c>
      <c r="AL423" s="64">
        <f>Esc!AK400</f>
        <v>4.3099999999999996</v>
      </c>
      <c r="AM423" s="64">
        <f>Esc!AL400</f>
        <v>4.38</v>
      </c>
      <c r="AN423" s="64">
        <f>Esc!AM400</f>
        <v>4.45</v>
      </c>
      <c r="AO423" s="64">
        <f t="shared" si="174"/>
        <v>4.45</v>
      </c>
      <c r="AP423" s="64">
        <f t="shared" si="173"/>
        <v>4.45</v>
      </c>
      <c r="AQ423" s="64">
        <f t="shared" si="173"/>
        <v>4.45</v>
      </c>
      <c r="AR423" s="64">
        <f t="shared" si="173"/>
        <v>4.45</v>
      </c>
      <c r="AS423" s="64">
        <f t="shared" si="173"/>
        <v>4.45</v>
      </c>
      <c r="AT423" s="64">
        <f t="shared" si="173"/>
        <v>4.45</v>
      </c>
      <c r="AU423" s="64">
        <f t="shared" si="173"/>
        <v>4.45</v>
      </c>
      <c r="AV423" s="64">
        <f t="shared" si="173"/>
        <v>4.45</v>
      </c>
      <c r="AW423" s="64">
        <f t="shared" si="173"/>
        <v>4.45</v>
      </c>
      <c r="AX423" s="64">
        <f t="shared" si="173"/>
        <v>4.45</v>
      </c>
      <c r="AY423" s="64">
        <f t="shared" si="173"/>
        <v>4.45</v>
      </c>
      <c r="AZ423" s="64">
        <f t="shared" si="173"/>
        <v>4.45</v>
      </c>
      <c r="BA423" s="64">
        <f t="shared" si="173"/>
        <v>4.45</v>
      </c>
      <c r="BB423" s="64">
        <f t="shared" si="173"/>
        <v>4.45</v>
      </c>
      <c r="BC423" s="64">
        <f t="shared" si="173"/>
        <v>4.45</v>
      </c>
      <c r="BD423" s="64">
        <f t="shared" si="173"/>
        <v>4.45</v>
      </c>
      <c r="BE423" s="64">
        <f t="shared" si="173"/>
        <v>4.45</v>
      </c>
      <c r="BF423" s="64">
        <f t="shared" si="173"/>
        <v>4.45</v>
      </c>
      <c r="BG423" s="64">
        <f t="shared" si="173"/>
        <v>4.45</v>
      </c>
      <c r="BH423" s="64">
        <f t="shared" si="173"/>
        <v>4.45</v>
      </c>
    </row>
    <row r="424" spans="1:60" s="64" customFormat="1" hidden="1" outlineLevel="1">
      <c r="B424" s="64" t="str">
        <f>Esc!A401</f>
        <v>Electricidad</v>
      </c>
      <c r="C424" s="64">
        <f>Esc!B401</f>
        <v>3.06</v>
      </c>
      <c r="D424" s="64">
        <f>Esc!C401</f>
        <v>3.16</v>
      </c>
      <c r="E424" s="64">
        <f>Esc!D401</f>
        <v>3.3</v>
      </c>
      <c r="F424" s="64">
        <f>Esc!E401</f>
        <v>3.61</v>
      </c>
      <c r="G424" s="64">
        <f>Esc!F401</f>
        <v>3.66</v>
      </c>
      <c r="H424" s="64">
        <f>Esc!G401</f>
        <v>3.7</v>
      </c>
      <c r="I424" s="64">
        <f>Esc!H401</f>
        <v>3.91</v>
      </c>
      <c r="J424" s="64">
        <f>Esc!I401</f>
        <v>3.64</v>
      </c>
      <c r="K424" s="64">
        <f>Esc!J401</f>
        <v>3.9</v>
      </c>
      <c r="L424" s="64">
        <f>Esc!K401</f>
        <v>4.24</v>
      </c>
      <c r="M424" s="64">
        <f>Esc!L401</f>
        <v>4.3499999999999996</v>
      </c>
      <c r="N424" s="64">
        <f>Esc!M401</f>
        <v>4.47</v>
      </c>
      <c r="O424" s="64">
        <f>Esc!N401</f>
        <v>4.58</v>
      </c>
      <c r="P424" s="64">
        <f>Esc!O401</f>
        <v>4.6900000000000004</v>
      </c>
      <c r="Q424" s="64">
        <f>Esc!P401</f>
        <v>4.8099999999999996</v>
      </c>
      <c r="R424" s="64">
        <f>Esc!Q401</f>
        <v>4.92</v>
      </c>
      <c r="S424" s="64">
        <f>Esc!R401</f>
        <v>5.04</v>
      </c>
      <c r="T424" s="64">
        <f>Esc!S401</f>
        <v>5.15</v>
      </c>
      <c r="U424" s="64">
        <f>Esc!T401</f>
        <v>5.26</v>
      </c>
      <c r="V424" s="64">
        <f>Esc!U401</f>
        <v>5.38</v>
      </c>
      <c r="W424" s="64">
        <f>Esc!V401</f>
        <v>5.49</v>
      </c>
      <c r="X424" s="64">
        <f>Esc!W401</f>
        <v>5.6</v>
      </c>
      <c r="Y424" s="64">
        <f>Esc!X401</f>
        <v>5.72</v>
      </c>
      <c r="Z424" s="64">
        <f>Esc!Y401</f>
        <v>5.83</v>
      </c>
      <c r="AA424" s="64">
        <f>Esc!Z401</f>
        <v>5.94</v>
      </c>
      <c r="AB424" s="64">
        <f>Esc!AA401</f>
        <v>6.06</v>
      </c>
      <c r="AC424" s="64">
        <f>Esc!AB401</f>
        <v>6.17</v>
      </c>
      <c r="AD424" s="64">
        <f>Esc!AC401</f>
        <v>6.28</v>
      </c>
      <c r="AE424" s="64">
        <f>Esc!AD401</f>
        <v>6.4</v>
      </c>
      <c r="AF424" s="64">
        <f>Esc!AE401</f>
        <v>6.51</v>
      </c>
      <c r="AG424" s="64">
        <f>Esc!AF401</f>
        <v>6.62</v>
      </c>
      <c r="AH424" s="64">
        <f>Esc!AG401</f>
        <v>6.74</v>
      </c>
      <c r="AI424" s="64">
        <f>Esc!AH401</f>
        <v>6.85</v>
      </c>
      <c r="AJ424" s="64">
        <f>Esc!AI401</f>
        <v>6.96</v>
      </c>
      <c r="AK424" s="64">
        <f>Esc!AJ401</f>
        <v>7.08</v>
      </c>
      <c r="AL424" s="64">
        <f>Esc!AK401</f>
        <v>7.19</v>
      </c>
      <c r="AM424" s="64">
        <f>Esc!AL401</f>
        <v>7.3</v>
      </c>
      <c r="AN424" s="64">
        <f>Esc!AM401</f>
        <v>7.42</v>
      </c>
      <c r="AO424" s="64">
        <f t="shared" si="174"/>
        <v>7.42</v>
      </c>
      <c r="AP424" s="64">
        <f t="shared" si="173"/>
        <v>7.42</v>
      </c>
      <c r="AQ424" s="64">
        <f t="shared" si="173"/>
        <v>7.42</v>
      </c>
      <c r="AR424" s="64">
        <f t="shared" si="173"/>
        <v>7.42</v>
      </c>
      <c r="AS424" s="64">
        <f t="shared" si="173"/>
        <v>7.42</v>
      </c>
      <c r="AT424" s="64">
        <f t="shared" si="173"/>
        <v>7.42</v>
      </c>
      <c r="AU424" s="64">
        <f t="shared" si="173"/>
        <v>7.42</v>
      </c>
      <c r="AV424" s="64">
        <f t="shared" si="173"/>
        <v>7.42</v>
      </c>
      <c r="AW424" s="64">
        <f t="shared" si="173"/>
        <v>7.42</v>
      </c>
      <c r="AX424" s="64">
        <f t="shared" si="173"/>
        <v>7.42</v>
      </c>
      <c r="AY424" s="64">
        <f t="shared" si="173"/>
        <v>7.42</v>
      </c>
      <c r="AZ424" s="64">
        <f t="shared" si="173"/>
        <v>7.42</v>
      </c>
      <c r="BA424" s="64">
        <f t="shared" si="173"/>
        <v>7.42</v>
      </c>
      <c r="BB424" s="64">
        <f t="shared" si="173"/>
        <v>7.42</v>
      </c>
      <c r="BC424" s="64">
        <f t="shared" si="173"/>
        <v>7.42</v>
      </c>
      <c r="BD424" s="64">
        <f t="shared" si="173"/>
        <v>7.42</v>
      </c>
      <c r="BE424" s="64">
        <f t="shared" si="173"/>
        <v>7.42</v>
      </c>
      <c r="BF424" s="64">
        <f t="shared" si="173"/>
        <v>7.42</v>
      </c>
      <c r="BG424" s="64">
        <f t="shared" si="173"/>
        <v>7.42</v>
      </c>
      <c r="BH424" s="64">
        <f t="shared" si="173"/>
        <v>7.42</v>
      </c>
    </row>
    <row r="425" spans="1:60" s="64" customFormat="1" hidden="1" outlineLevel="1"/>
    <row r="426" spans="1:60" s="64" customFormat="1" hidden="1" outlineLevel="1">
      <c r="B426" s="64" t="s">
        <v>123</v>
      </c>
    </row>
    <row r="427" spans="1:60" s="64" customFormat="1" hidden="1" outlineLevel="1">
      <c r="B427" s="64" t="str">
        <f>Esc!A487</f>
        <v>GLP</v>
      </c>
      <c r="C427" s="64">
        <f>Esc!B487</f>
        <v>0</v>
      </c>
      <c r="D427" s="64">
        <f>Esc!C487</f>
        <v>0</v>
      </c>
      <c r="E427" s="64">
        <f>Esc!D487</f>
        <v>0</v>
      </c>
      <c r="F427" s="64">
        <f>Esc!E487</f>
        <v>0</v>
      </c>
      <c r="G427" s="64">
        <f>Esc!F487</f>
        <v>0</v>
      </c>
      <c r="H427" s="64">
        <f>Esc!G487</f>
        <v>0</v>
      </c>
      <c r="I427" s="64">
        <f>Esc!H487</f>
        <v>0</v>
      </c>
      <c r="J427" s="64">
        <f>Esc!I487</f>
        <v>0</v>
      </c>
      <c r="K427" s="64">
        <f>Esc!J487</f>
        <v>0</v>
      </c>
      <c r="L427" s="64">
        <f>Esc!K487</f>
        <v>0</v>
      </c>
      <c r="M427" s="64">
        <f>Esc!L487</f>
        <v>0</v>
      </c>
      <c r="N427" s="64">
        <f>Esc!M487</f>
        <v>0</v>
      </c>
      <c r="O427" s="64">
        <f>Esc!N487</f>
        <v>0</v>
      </c>
      <c r="P427" s="64">
        <f>Esc!O487</f>
        <v>0</v>
      </c>
      <c r="Q427" s="64">
        <f>Esc!P487</f>
        <v>0</v>
      </c>
      <c r="R427" s="64">
        <f>Esc!Q487</f>
        <v>0</v>
      </c>
      <c r="S427" s="64">
        <f>Esc!R487</f>
        <v>0</v>
      </c>
      <c r="T427" s="64">
        <f>Esc!S487</f>
        <v>0</v>
      </c>
      <c r="U427" s="64">
        <f>Esc!T487</f>
        <v>0</v>
      </c>
      <c r="V427" s="64">
        <f>Esc!U487</f>
        <v>0</v>
      </c>
      <c r="W427" s="64">
        <f>Esc!V487</f>
        <v>0</v>
      </c>
      <c r="X427" s="64">
        <f>Esc!W487</f>
        <v>0</v>
      </c>
      <c r="Y427" s="64">
        <f>Esc!X487</f>
        <v>0</v>
      </c>
      <c r="Z427" s="64">
        <f>Esc!Y487</f>
        <v>0</v>
      </c>
      <c r="AA427" s="64">
        <f>Esc!Z487</f>
        <v>0</v>
      </c>
      <c r="AB427" s="64">
        <f>Esc!AA487</f>
        <v>0</v>
      </c>
      <c r="AC427" s="64">
        <f>Esc!AB487</f>
        <v>0</v>
      </c>
      <c r="AD427" s="64">
        <f>Esc!AC487</f>
        <v>0</v>
      </c>
      <c r="AE427" s="64">
        <f>Esc!AD487</f>
        <v>0</v>
      </c>
      <c r="AF427" s="64">
        <f>Esc!AE487</f>
        <v>0</v>
      </c>
      <c r="AG427" s="64">
        <f>Esc!AF487</f>
        <v>0</v>
      </c>
      <c r="AH427" s="64">
        <f>Esc!AG487</f>
        <v>0</v>
      </c>
      <c r="AI427" s="64">
        <f>Esc!AH487</f>
        <v>0</v>
      </c>
      <c r="AJ427" s="64">
        <f>Esc!AI487</f>
        <v>0</v>
      </c>
      <c r="AK427" s="64">
        <f>Esc!AJ487</f>
        <v>0</v>
      </c>
      <c r="AL427" s="64">
        <f>Esc!AK487</f>
        <v>0</v>
      </c>
      <c r="AM427" s="64">
        <f>Esc!AL487</f>
        <v>0</v>
      </c>
      <c r="AN427" s="64">
        <f>Esc!AM487</f>
        <v>0</v>
      </c>
      <c r="AO427" s="64">
        <f t="shared" si="174"/>
        <v>0</v>
      </c>
      <c r="AP427" s="64">
        <f t="shared" si="173"/>
        <v>0</v>
      </c>
      <c r="AQ427" s="64">
        <f t="shared" si="173"/>
        <v>0</v>
      </c>
      <c r="AR427" s="64">
        <f t="shared" si="173"/>
        <v>0</v>
      </c>
      <c r="AS427" s="64">
        <f t="shared" si="173"/>
        <v>0</v>
      </c>
      <c r="AT427" s="64">
        <f t="shared" si="173"/>
        <v>0</v>
      </c>
      <c r="AU427" s="64">
        <f t="shared" si="173"/>
        <v>0</v>
      </c>
      <c r="AV427" s="64">
        <f t="shared" si="173"/>
        <v>0</v>
      </c>
      <c r="AW427" s="64">
        <f t="shared" si="173"/>
        <v>0</v>
      </c>
      <c r="AX427" s="64">
        <f t="shared" si="173"/>
        <v>0</v>
      </c>
      <c r="AY427" s="64">
        <f t="shared" si="173"/>
        <v>0</v>
      </c>
      <c r="AZ427" s="64">
        <f t="shared" si="173"/>
        <v>0</v>
      </c>
      <c r="BA427" s="64">
        <f t="shared" si="173"/>
        <v>0</v>
      </c>
      <c r="BB427" s="64">
        <f t="shared" si="173"/>
        <v>0</v>
      </c>
      <c r="BC427" s="64">
        <f t="shared" si="173"/>
        <v>0</v>
      </c>
      <c r="BD427" s="64">
        <f t="shared" si="173"/>
        <v>0</v>
      </c>
      <c r="BE427" s="64">
        <f t="shared" si="173"/>
        <v>0</v>
      </c>
      <c r="BF427" s="64">
        <f t="shared" si="173"/>
        <v>0</v>
      </c>
      <c r="BG427" s="64">
        <f t="shared" si="173"/>
        <v>0</v>
      </c>
      <c r="BH427" s="64">
        <f t="shared" si="173"/>
        <v>0</v>
      </c>
    </row>
    <row r="428" spans="1:60" s="64" customFormat="1" hidden="1" outlineLevel="1">
      <c r="B428" s="64" t="str">
        <f>Esc!A490</f>
        <v>Diésel</v>
      </c>
      <c r="C428" s="64">
        <f>Esc!B490</f>
        <v>0</v>
      </c>
      <c r="D428" s="64">
        <f>Esc!C490</f>
        <v>0</v>
      </c>
      <c r="E428" s="64">
        <f>Esc!D490</f>
        <v>0</v>
      </c>
      <c r="F428" s="64">
        <f>Esc!E490</f>
        <v>0</v>
      </c>
      <c r="G428" s="64">
        <f>Esc!F490</f>
        <v>0</v>
      </c>
      <c r="H428" s="64">
        <f>Esc!G490</f>
        <v>0</v>
      </c>
      <c r="I428" s="64">
        <f>Esc!H490</f>
        <v>0</v>
      </c>
      <c r="J428" s="64">
        <f>Esc!I490</f>
        <v>0</v>
      </c>
      <c r="K428" s="64">
        <f>Esc!J490</f>
        <v>0</v>
      </c>
      <c r="L428" s="64">
        <f>Esc!K490</f>
        <v>0</v>
      </c>
      <c r="M428" s="64">
        <f>Esc!L490</f>
        <v>0</v>
      </c>
      <c r="N428" s="64">
        <f>Esc!M490</f>
        <v>0</v>
      </c>
      <c r="O428" s="64">
        <f>Esc!N490</f>
        <v>0</v>
      </c>
      <c r="P428" s="64">
        <f>Esc!O490</f>
        <v>0</v>
      </c>
      <c r="Q428" s="64">
        <f>Esc!P490</f>
        <v>0</v>
      </c>
      <c r="R428" s="64">
        <f>Esc!Q490</f>
        <v>0</v>
      </c>
      <c r="S428" s="64">
        <f>Esc!R490</f>
        <v>0</v>
      </c>
      <c r="T428" s="64">
        <f>Esc!S490</f>
        <v>0</v>
      </c>
      <c r="U428" s="64">
        <f>Esc!T490</f>
        <v>0</v>
      </c>
      <c r="V428" s="64">
        <f>Esc!U490</f>
        <v>0</v>
      </c>
      <c r="W428" s="64">
        <f>Esc!V490</f>
        <v>0</v>
      </c>
      <c r="X428" s="64">
        <f>Esc!W490</f>
        <v>0</v>
      </c>
      <c r="Y428" s="64">
        <f>Esc!X490</f>
        <v>0</v>
      </c>
      <c r="Z428" s="64">
        <f>Esc!Y490</f>
        <v>0</v>
      </c>
      <c r="AA428" s="64">
        <f>Esc!Z490</f>
        <v>0</v>
      </c>
      <c r="AB428" s="64">
        <f>Esc!AA490</f>
        <v>0</v>
      </c>
      <c r="AC428" s="64">
        <f>Esc!AB490</f>
        <v>0</v>
      </c>
      <c r="AD428" s="64">
        <f>Esc!AC490</f>
        <v>0</v>
      </c>
      <c r="AE428" s="64">
        <f>Esc!AD490</f>
        <v>0</v>
      </c>
      <c r="AF428" s="64">
        <f>Esc!AE490</f>
        <v>0</v>
      </c>
      <c r="AG428" s="64">
        <f>Esc!AF490</f>
        <v>0</v>
      </c>
      <c r="AH428" s="64">
        <f>Esc!AG490</f>
        <v>0</v>
      </c>
      <c r="AI428" s="64">
        <f>Esc!AH490</f>
        <v>0</v>
      </c>
      <c r="AJ428" s="64">
        <f>Esc!AI490</f>
        <v>0</v>
      </c>
      <c r="AK428" s="64">
        <f>Esc!AJ490</f>
        <v>0</v>
      </c>
      <c r="AL428" s="64">
        <f>Esc!AK490</f>
        <v>0</v>
      </c>
      <c r="AM428" s="64">
        <f>Esc!AL490</f>
        <v>0</v>
      </c>
      <c r="AN428" s="64">
        <f>Esc!AM490</f>
        <v>0</v>
      </c>
      <c r="AO428" s="64">
        <f t="shared" si="174"/>
        <v>0</v>
      </c>
      <c r="AP428" s="64">
        <f t="shared" si="173"/>
        <v>0</v>
      </c>
      <c r="AQ428" s="64">
        <f t="shared" si="173"/>
        <v>0</v>
      </c>
      <c r="AR428" s="64">
        <f t="shared" si="173"/>
        <v>0</v>
      </c>
      <c r="AS428" s="64">
        <f t="shared" si="173"/>
        <v>0</v>
      </c>
      <c r="AT428" s="64">
        <f t="shared" si="173"/>
        <v>0</v>
      </c>
      <c r="AU428" s="64">
        <f t="shared" si="173"/>
        <v>0</v>
      </c>
      <c r="AV428" s="64">
        <f t="shared" si="173"/>
        <v>0</v>
      </c>
      <c r="AW428" s="64">
        <f t="shared" si="173"/>
        <v>0</v>
      </c>
      <c r="AX428" s="64">
        <f t="shared" si="173"/>
        <v>0</v>
      </c>
      <c r="AY428" s="64">
        <f t="shared" si="173"/>
        <v>0</v>
      </c>
      <c r="AZ428" s="64">
        <f t="shared" si="173"/>
        <v>0</v>
      </c>
      <c r="BA428" s="64">
        <f t="shared" si="173"/>
        <v>0</v>
      </c>
      <c r="BB428" s="64">
        <f t="shared" si="173"/>
        <v>0</v>
      </c>
      <c r="BC428" s="64">
        <f t="shared" si="173"/>
        <v>0</v>
      </c>
      <c r="BD428" s="64">
        <f t="shared" si="173"/>
        <v>0</v>
      </c>
      <c r="BE428" s="64">
        <f t="shared" si="173"/>
        <v>0</v>
      </c>
      <c r="BF428" s="64">
        <f t="shared" si="173"/>
        <v>0</v>
      </c>
      <c r="BG428" s="64">
        <f t="shared" si="173"/>
        <v>0</v>
      </c>
      <c r="BH428" s="64">
        <f t="shared" si="173"/>
        <v>0</v>
      </c>
    </row>
    <row r="429" spans="1:60" s="64" customFormat="1" hidden="1" outlineLevel="1">
      <c r="B429" s="64" t="str">
        <f>Esc!A491</f>
        <v>Combustóleo</v>
      </c>
      <c r="C429" s="64">
        <f>Esc!B491</f>
        <v>0.01</v>
      </c>
      <c r="D429" s="64">
        <f>Esc!C491</f>
        <v>0.01</v>
      </c>
      <c r="E429" s="64">
        <f>Esc!D491</f>
        <v>0.01</v>
      </c>
      <c r="F429" s="64">
        <f>Esc!E491</f>
        <v>0.01</v>
      </c>
      <c r="G429" s="64">
        <f>Esc!F491</f>
        <v>0</v>
      </c>
      <c r="H429" s="64">
        <f>Esc!G491</f>
        <v>0</v>
      </c>
      <c r="I429" s="64">
        <f>Esc!H491</f>
        <v>0</v>
      </c>
      <c r="J429" s="64">
        <f>Esc!I491</f>
        <v>0</v>
      </c>
      <c r="K429" s="64">
        <f>Esc!J491</f>
        <v>0</v>
      </c>
      <c r="L429" s="64">
        <f>Esc!K491</f>
        <v>0</v>
      </c>
      <c r="M429" s="64">
        <f>Esc!L491</f>
        <v>0</v>
      </c>
      <c r="N429" s="64">
        <f>Esc!M491</f>
        <v>0</v>
      </c>
      <c r="O429" s="64">
        <f>Esc!N491</f>
        <v>0</v>
      </c>
      <c r="P429" s="64">
        <f>Esc!O491</f>
        <v>0</v>
      </c>
      <c r="Q429" s="64">
        <f>Esc!P491</f>
        <v>0</v>
      </c>
      <c r="R429" s="64">
        <f>Esc!Q491</f>
        <v>0</v>
      </c>
      <c r="S429" s="64">
        <f>Esc!R491</f>
        <v>0</v>
      </c>
      <c r="T429" s="64">
        <f>Esc!S491</f>
        <v>0</v>
      </c>
      <c r="U429" s="64">
        <f>Esc!T491</f>
        <v>0</v>
      </c>
      <c r="V429" s="64">
        <f>Esc!U491</f>
        <v>0</v>
      </c>
      <c r="W429" s="64">
        <f>Esc!V491</f>
        <v>0</v>
      </c>
      <c r="X429" s="64">
        <f>Esc!W491</f>
        <v>0</v>
      </c>
      <c r="Y429" s="64">
        <f>Esc!X491</f>
        <v>0</v>
      </c>
      <c r="Z429" s="64">
        <f>Esc!Y491</f>
        <v>0</v>
      </c>
      <c r="AA429" s="64">
        <f>Esc!Z491</f>
        <v>0</v>
      </c>
      <c r="AB429" s="64">
        <f>Esc!AA491</f>
        <v>0</v>
      </c>
      <c r="AC429" s="64">
        <f>Esc!AB491</f>
        <v>0</v>
      </c>
      <c r="AD429" s="64">
        <f>Esc!AC491</f>
        <v>0</v>
      </c>
      <c r="AE429" s="64">
        <f>Esc!AD491</f>
        <v>0</v>
      </c>
      <c r="AF429" s="64">
        <f>Esc!AE491</f>
        <v>0</v>
      </c>
      <c r="AG429" s="64">
        <f>Esc!AF491</f>
        <v>0</v>
      </c>
      <c r="AH429" s="64">
        <f>Esc!AG491</f>
        <v>0</v>
      </c>
      <c r="AI429" s="64">
        <f>Esc!AH491</f>
        <v>0</v>
      </c>
      <c r="AJ429" s="64">
        <f>Esc!AI491</f>
        <v>0</v>
      </c>
      <c r="AK429" s="64">
        <f>Esc!AJ491</f>
        <v>0</v>
      </c>
      <c r="AL429" s="64">
        <f>Esc!AK491</f>
        <v>0</v>
      </c>
      <c r="AM429" s="64">
        <f>Esc!AL491</f>
        <v>0</v>
      </c>
      <c r="AN429" s="64">
        <f>Esc!AM491</f>
        <v>0</v>
      </c>
      <c r="AO429" s="64">
        <f t="shared" si="174"/>
        <v>0</v>
      </c>
      <c r="AP429" s="64">
        <f t="shared" si="173"/>
        <v>0</v>
      </c>
      <c r="AQ429" s="64">
        <f t="shared" si="173"/>
        <v>0</v>
      </c>
      <c r="AR429" s="64">
        <f t="shared" si="173"/>
        <v>0</v>
      </c>
      <c r="AS429" s="64">
        <f t="shared" si="173"/>
        <v>0</v>
      </c>
      <c r="AT429" s="64">
        <f t="shared" si="173"/>
        <v>0</v>
      </c>
      <c r="AU429" s="64">
        <f t="shared" si="173"/>
        <v>0</v>
      </c>
      <c r="AV429" s="64">
        <f t="shared" si="173"/>
        <v>0</v>
      </c>
      <c r="AW429" s="64">
        <f t="shared" si="173"/>
        <v>0</v>
      </c>
      <c r="AX429" s="64">
        <f t="shared" si="173"/>
        <v>0</v>
      </c>
      <c r="AY429" s="64">
        <f t="shared" si="173"/>
        <v>0</v>
      </c>
      <c r="AZ429" s="64">
        <f t="shared" si="173"/>
        <v>0</v>
      </c>
      <c r="BA429" s="64">
        <f t="shared" si="173"/>
        <v>0</v>
      </c>
      <c r="BB429" s="64">
        <f t="shared" si="173"/>
        <v>0</v>
      </c>
      <c r="BC429" s="64">
        <f t="shared" si="173"/>
        <v>0</v>
      </c>
      <c r="BD429" s="64">
        <f t="shared" si="173"/>
        <v>0</v>
      </c>
      <c r="BE429" s="64">
        <f t="shared" si="173"/>
        <v>0</v>
      </c>
      <c r="BF429" s="64">
        <f t="shared" si="173"/>
        <v>0</v>
      </c>
      <c r="BG429" s="64">
        <f t="shared" si="173"/>
        <v>0</v>
      </c>
      <c r="BH429" s="64">
        <f t="shared" si="173"/>
        <v>0</v>
      </c>
    </row>
    <row r="430" spans="1:60" s="64" customFormat="1" hidden="1" outlineLevel="1">
      <c r="B430" s="64" t="str">
        <f>Esc!A493</f>
        <v>Gas seco</v>
      </c>
      <c r="C430" s="64">
        <f>Esc!B493</f>
        <v>0.27</v>
      </c>
      <c r="D430" s="64">
        <f>Esc!C493</f>
        <v>0.23</v>
      </c>
      <c r="E430" s="64">
        <f>Esc!D493</f>
        <v>0.3</v>
      </c>
      <c r="F430" s="64">
        <f>Esc!E493</f>
        <v>0.32</v>
      </c>
      <c r="G430" s="64">
        <f>Esc!F493</f>
        <v>0.32</v>
      </c>
      <c r="H430" s="64">
        <f>Esc!G493</f>
        <v>0.32</v>
      </c>
      <c r="I430" s="64">
        <f>Esc!H493</f>
        <v>0.32</v>
      </c>
      <c r="J430" s="64">
        <f>Esc!I493</f>
        <v>0.28000000000000003</v>
      </c>
      <c r="K430" s="64">
        <f>Esc!J493</f>
        <v>0.43</v>
      </c>
      <c r="L430" s="64">
        <f>Esc!K493</f>
        <v>0.37</v>
      </c>
      <c r="M430" s="64">
        <f>Esc!L493</f>
        <v>0.38</v>
      </c>
      <c r="N430" s="64">
        <f>Esc!M493</f>
        <v>0.38</v>
      </c>
      <c r="O430" s="64">
        <f>Esc!N493</f>
        <v>0.38</v>
      </c>
      <c r="P430" s="64">
        <f>Esc!O493</f>
        <v>0.39</v>
      </c>
      <c r="Q430" s="64">
        <f>Esc!P493</f>
        <v>0.39</v>
      </c>
      <c r="R430" s="64">
        <f>Esc!Q493</f>
        <v>0.4</v>
      </c>
      <c r="S430" s="64">
        <f>Esc!R493</f>
        <v>0.4</v>
      </c>
      <c r="T430" s="64">
        <f>Esc!S493</f>
        <v>0.41</v>
      </c>
      <c r="U430" s="64">
        <f>Esc!T493</f>
        <v>0.41</v>
      </c>
      <c r="V430" s="64">
        <f>Esc!U493</f>
        <v>0.42</v>
      </c>
      <c r="W430" s="64">
        <f>Esc!V493</f>
        <v>0.42</v>
      </c>
      <c r="X430" s="64">
        <f>Esc!W493</f>
        <v>0.43</v>
      </c>
      <c r="Y430" s="64">
        <f>Esc!X493</f>
        <v>0.43</v>
      </c>
      <c r="Z430" s="64">
        <f>Esc!Y493</f>
        <v>0.44</v>
      </c>
      <c r="AA430" s="64">
        <f>Esc!Z493</f>
        <v>0.44</v>
      </c>
      <c r="AB430" s="64">
        <f>Esc!AA493</f>
        <v>0.44</v>
      </c>
      <c r="AC430" s="64">
        <f>Esc!AB493</f>
        <v>0.45</v>
      </c>
      <c r="AD430" s="64">
        <f>Esc!AC493</f>
        <v>0.45</v>
      </c>
      <c r="AE430" s="64">
        <f>Esc!AD493</f>
        <v>0.46</v>
      </c>
      <c r="AF430" s="64">
        <f>Esc!AE493</f>
        <v>0.46</v>
      </c>
      <c r="AG430" s="64">
        <f>Esc!AF493</f>
        <v>0.47</v>
      </c>
      <c r="AH430" s="64">
        <f>Esc!AG493</f>
        <v>0.47</v>
      </c>
      <c r="AI430" s="64">
        <f>Esc!AH493</f>
        <v>0.48</v>
      </c>
      <c r="AJ430" s="64">
        <f>Esc!AI493</f>
        <v>0.48</v>
      </c>
      <c r="AK430" s="64">
        <f>Esc!AJ493</f>
        <v>0.49</v>
      </c>
      <c r="AL430" s="64">
        <f>Esc!AK493</f>
        <v>0.49</v>
      </c>
      <c r="AM430" s="64">
        <f>Esc!AL493</f>
        <v>0.5</v>
      </c>
      <c r="AN430" s="64">
        <f>Esc!AM493</f>
        <v>0.5</v>
      </c>
      <c r="AO430" s="64">
        <f t="shared" si="174"/>
        <v>0.5</v>
      </c>
      <c r="AP430" s="64">
        <f t="shared" si="173"/>
        <v>0.5</v>
      </c>
      <c r="AQ430" s="64">
        <f t="shared" si="173"/>
        <v>0.5</v>
      </c>
      <c r="AR430" s="64">
        <f t="shared" si="173"/>
        <v>0.5</v>
      </c>
      <c r="AS430" s="64">
        <f t="shared" si="173"/>
        <v>0.5</v>
      </c>
      <c r="AT430" s="64">
        <f t="shared" si="173"/>
        <v>0.5</v>
      </c>
      <c r="AU430" s="64">
        <f t="shared" si="173"/>
        <v>0.5</v>
      </c>
      <c r="AV430" s="64">
        <f t="shared" si="173"/>
        <v>0.5</v>
      </c>
      <c r="AW430" s="64">
        <f t="shared" si="173"/>
        <v>0.5</v>
      </c>
      <c r="AX430" s="64">
        <f t="shared" si="173"/>
        <v>0.5</v>
      </c>
      <c r="AY430" s="64">
        <f t="shared" si="173"/>
        <v>0.5</v>
      </c>
      <c r="AZ430" s="64">
        <f t="shared" si="173"/>
        <v>0.5</v>
      </c>
      <c r="BA430" s="64">
        <f t="shared" si="173"/>
        <v>0.5</v>
      </c>
      <c r="BB430" s="64">
        <f t="shared" si="173"/>
        <v>0.5</v>
      </c>
      <c r="BC430" s="64">
        <f t="shared" si="173"/>
        <v>0.5</v>
      </c>
      <c r="BD430" s="64">
        <f t="shared" si="173"/>
        <v>0.5</v>
      </c>
      <c r="BE430" s="64">
        <f t="shared" si="173"/>
        <v>0.5</v>
      </c>
      <c r="BF430" s="64">
        <f t="shared" si="173"/>
        <v>0.5</v>
      </c>
      <c r="BG430" s="64">
        <f t="shared" si="173"/>
        <v>0.5</v>
      </c>
      <c r="BH430" s="64">
        <f t="shared" si="173"/>
        <v>0.5</v>
      </c>
    </row>
    <row r="431" spans="1:60" s="64" customFormat="1" hidden="1" outlineLevel="1">
      <c r="B431" s="64" t="str">
        <f>Esc!A494</f>
        <v>Electricidad</v>
      </c>
      <c r="C431" s="64">
        <f>Esc!B494</f>
        <v>0.24</v>
      </c>
      <c r="D431" s="64">
        <f>Esc!C494</f>
        <v>0.25</v>
      </c>
      <c r="E431" s="64">
        <f>Esc!D494</f>
        <v>0.26</v>
      </c>
      <c r="F431" s="64">
        <f>Esc!E494</f>
        <v>0.28000000000000003</v>
      </c>
      <c r="G431" s="64">
        <f>Esc!F494</f>
        <v>0.27</v>
      </c>
      <c r="H431" s="64">
        <f>Esc!G494</f>
        <v>0.28000000000000003</v>
      </c>
      <c r="I431" s="64">
        <f>Esc!H494</f>
        <v>0.28999999999999998</v>
      </c>
      <c r="J431" s="64">
        <f>Esc!I494</f>
        <v>0.27</v>
      </c>
      <c r="K431" s="64">
        <f>Esc!J494</f>
        <v>0.28999999999999998</v>
      </c>
      <c r="L431" s="64">
        <f>Esc!K494</f>
        <v>0.25</v>
      </c>
      <c r="M431" s="64">
        <f>Esc!L494</f>
        <v>0.25</v>
      </c>
      <c r="N431" s="64">
        <f>Esc!M494</f>
        <v>0.26</v>
      </c>
      <c r="O431" s="64">
        <f>Esc!N494</f>
        <v>0.26</v>
      </c>
      <c r="P431" s="64">
        <f>Esc!O494</f>
        <v>0.26</v>
      </c>
      <c r="Q431" s="64">
        <f>Esc!P494</f>
        <v>0.27</v>
      </c>
      <c r="R431" s="64">
        <f>Esc!Q494</f>
        <v>0.27</v>
      </c>
      <c r="S431" s="64">
        <f>Esc!R494</f>
        <v>0.27</v>
      </c>
      <c r="T431" s="64">
        <f>Esc!S494</f>
        <v>0.28000000000000003</v>
      </c>
      <c r="U431" s="64">
        <f>Esc!T494</f>
        <v>0.28000000000000003</v>
      </c>
      <c r="V431" s="64">
        <f>Esc!U494</f>
        <v>0.28000000000000003</v>
      </c>
      <c r="W431" s="64">
        <f>Esc!V494</f>
        <v>0.28000000000000003</v>
      </c>
      <c r="X431" s="64">
        <f>Esc!W494</f>
        <v>0.28999999999999998</v>
      </c>
      <c r="Y431" s="64">
        <f>Esc!X494</f>
        <v>0.28999999999999998</v>
      </c>
      <c r="Z431" s="64">
        <f>Esc!Y494</f>
        <v>0.28999999999999998</v>
      </c>
      <c r="AA431" s="64">
        <f>Esc!Z494</f>
        <v>0.3</v>
      </c>
      <c r="AB431" s="64">
        <f>Esc!AA494</f>
        <v>0.3</v>
      </c>
      <c r="AC431" s="64">
        <f>Esc!AB494</f>
        <v>0.3</v>
      </c>
      <c r="AD431" s="64">
        <f>Esc!AC494</f>
        <v>0.31</v>
      </c>
      <c r="AE431" s="64">
        <f>Esc!AD494</f>
        <v>0.31</v>
      </c>
      <c r="AF431" s="64">
        <f>Esc!AE494</f>
        <v>0.31</v>
      </c>
      <c r="AG431" s="64">
        <f>Esc!AF494</f>
        <v>0.32</v>
      </c>
      <c r="AH431" s="64">
        <f>Esc!AG494</f>
        <v>0.32</v>
      </c>
      <c r="AI431" s="64">
        <f>Esc!AH494</f>
        <v>0.32</v>
      </c>
      <c r="AJ431" s="64">
        <f>Esc!AI494</f>
        <v>0.33</v>
      </c>
      <c r="AK431" s="64">
        <f>Esc!AJ494</f>
        <v>0.33</v>
      </c>
      <c r="AL431" s="64">
        <f>Esc!AK494</f>
        <v>0.33</v>
      </c>
      <c r="AM431" s="64">
        <f>Esc!AL494</f>
        <v>0.33</v>
      </c>
      <c r="AN431" s="64">
        <f>Esc!AM494</f>
        <v>0.34</v>
      </c>
      <c r="AO431" s="64">
        <f t="shared" si="174"/>
        <v>0.34</v>
      </c>
      <c r="AP431" s="64">
        <f t="shared" si="173"/>
        <v>0.34</v>
      </c>
      <c r="AQ431" s="64">
        <f t="shared" si="173"/>
        <v>0.34</v>
      </c>
      <c r="AR431" s="64">
        <f t="shared" si="173"/>
        <v>0.34</v>
      </c>
      <c r="AS431" s="64">
        <f t="shared" si="173"/>
        <v>0.34</v>
      </c>
      <c r="AT431" s="64">
        <f t="shared" si="173"/>
        <v>0.34</v>
      </c>
      <c r="AU431" s="64">
        <f t="shared" si="173"/>
        <v>0.34</v>
      </c>
      <c r="AV431" s="64">
        <f t="shared" si="173"/>
        <v>0.34</v>
      </c>
      <c r="AW431" s="64">
        <f t="shared" si="173"/>
        <v>0.34</v>
      </c>
      <c r="AX431" s="64">
        <f t="shared" si="173"/>
        <v>0.34</v>
      </c>
      <c r="AY431" s="64">
        <f t="shared" si="173"/>
        <v>0.34</v>
      </c>
      <c r="AZ431" s="64">
        <f t="shared" si="173"/>
        <v>0.34</v>
      </c>
      <c r="BA431" s="64">
        <f t="shared" si="173"/>
        <v>0.34</v>
      </c>
      <c r="BB431" s="64">
        <f t="shared" si="173"/>
        <v>0.34</v>
      </c>
      <c r="BC431" s="64">
        <f t="shared" si="173"/>
        <v>0.34</v>
      </c>
      <c r="BD431" s="64">
        <f t="shared" si="173"/>
        <v>0.34</v>
      </c>
      <c r="BE431" s="64">
        <f t="shared" si="173"/>
        <v>0.34</v>
      </c>
      <c r="BF431" s="64">
        <f t="shared" si="173"/>
        <v>0.34</v>
      </c>
      <c r="BG431" s="64">
        <f t="shared" si="173"/>
        <v>0.34</v>
      </c>
      <c r="BH431" s="64">
        <f t="shared" si="173"/>
        <v>0.34</v>
      </c>
    </row>
    <row r="432" spans="1:60" collapsed="1">
      <c r="A432" s="67" t="s">
        <v>167</v>
      </c>
    </row>
    <row r="433" spans="1:60" hidden="1" outlineLevel="1">
      <c r="B433" t="str">
        <f>A.15!A89</f>
        <v>Gas licuado</v>
      </c>
      <c r="C433">
        <f>A.15!B89</f>
        <v>0.03</v>
      </c>
      <c r="D433">
        <f>A.15!C89</f>
        <v>0.03</v>
      </c>
      <c r="E433">
        <f>A.15!D89</f>
        <v>0.03</v>
      </c>
      <c r="F433">
        <f>A.15!E89</f>
        <v>0.03</v>
      </c>
      <c r="G433">
        <f>A.15!F89</f>
        <v>0.03</v>
      </c>
      <c r="H433">
        <f>A.15!G89</f>
        <v>0.03</v>
      </c>
      <c r="I433">
        <f>A.15!H89</f>
        <v>0.03</v>
      </c>
      <c r="J433">
        <f>A.15!I89</f>
        <v>0.02</v>
      </c>
      <c r="K433">
        <f>A.15!J89</f>
        <v>0.03</v>
      </c>
      <c r="L433">
        <f>A.15!K89</f>
        <v>0.03</v>
      </c>
      <c r="M433">
        <f>A.15!L89</f>
        <v>0.03</v>
      </c>
      <c r="N433" s="66">
        <f>M433*N$628/M$628</f>
        <v>3.0031692581955038E-2</v>
      </c>
      <c r="O433" s="66">
        <f>N433*O$628/N$628</f>
        <v>3.0062889967317027E-2</v>
      </c>
      <c r="P433" s="66">
        <f>O433*P$628/O$628</f>
        <v>3.0095077745865111E-2</v>
      </c>
      <c r="Q433" s="66">
        <f>P433*Q$628/P$628</f>
        <v>3.0126770327820147E-2</v>
      </c>
      <c r="R433" s="66">
        <f>Q433*R$628/Q$628</f>
        <v>3.0157967713182136E-2</v>
      </c>
      <c r="S433" s="66">
        <f>R433*S$628/R$628</f>
        <v>3.0190155491730226E-2</v>
      </c>
      <c r="T433" s="66">
        <f>S433*T$628/S$628</f>
        <v>3.0221352877092208E-2</v>
      </c>
      <c r="U433" s="66">
        <f>T433*U$628/T$628</f>
        <v>3.0252550262454197E-2</v>
      </c>
      <c r="V433" s="66">
        <f>U433*V$628/U$628</f>
        <v>3.0285233237595331E-2</v>
      </c>
      <c r="W433" s="66">
        <f>V433*W$628/V$628</f>
        <v>3.031643062295732E-2</v>
      </c>
      <c r="X433" s="66">
        <f>W433*X$628/W$628</f>
        <v>3.0230761612360112E-2</v>
      </c>
      <c r="Y433" s="66">
        <f>X433*Y$628/X$628</f>
        <v>2.9986629691987721E-2</v>
      </c>
      <c r="Z433" s="66">
        <f>Y433*Z$628/Y$628</f>
        <v>2.974200257502229E-2</v>
      </c>
      <c r="AA433" s="66">
        <f>Z433*AA$628/Z$628</f>
        <v>2.9498365851242953E-2</v>
      </c>
      <c r="AB433" s="66">
        <f>AA433*AB$628/AA$628</f>
        <v>2.9254233930870566E-2</v>
      </c>
      <c r="AC433" s="66">
        <f>AB433*AC$628/AB$628</f>
        <v>2.9009111617312087E-2</v>
      </c>
      <c r="AD433" s="66">
        <f>AC433*AD$628/AC$628</f>
        <v>2.8765970090125791E-2</v>
      </c>
      <c r="AE433" s="66">
        <f>AD433*AE$628/AD$628</f>
        <v>2.8521838169753403E-2</v>
      </c>
      <c r="AF433" s="66">
        <f>AE433*AF$628/AE$628</f>
        <v>2.8277211052787962E-2</v>
      </c>
      <c r="AG433" s="66">
        <f>AF433*AG$628/AF$628</f>
        <v>2.8033079132415574E-2</v>
      </c>
      <c r="AH433" s="66">
        <f>AG433*AH$628/AG$628</f>
        <v>2.778944240863623E-2</v>
      </c>
      <c r="AI433" s="66">
        <f>AH433*AI$628/AH$628</f>
        <v>2.7544815291670799E-2</v>
      </c>
      <c r="AJ433" s="66">
        <f>AI433*AJ$628/AI$628</f>
        <v>2.7300683371298408E-2</v>
      </c>
      <c r="AK433" s="66">
        <f>AJ433*AK$628/AJ$628</f>
        <v>2.7056551450926024E-2</v>
      </c>
      <c r="AL433" s="66">
        <f>AK433*AL$628/AK$628</f>
        <v>2.6812914727146687E-2</v>
      </c>
      <c r="AM433" s="66">
        <f>AL433*AM$628/AL$628</f>
        <v>2.6565811627216013E-2</v>
      </c>
      <c r="AN433" s="66">
        <f>AM433*AN$628/AM$628</f>
        <v>2.6319203723878387E-2</v>
      </c>
      <c r="AO433" s="66">
        <f>AN433*AO$628/AN$628</f>
        <v>2.6319203723878387E-2</v>
      </c>
      <c r="AP433" s="66">
        <f>AO433*AP$628/AO$628</f>
        <v>2.6319203723878387E-2</v>
      </c>
      <c r="AQ433" s="66">
        <f>AP433*AQ$628/AP$628</f>
        <v>2.6319203723878387E-2</v>
      </c>
      <c r="AR433" s="66">
        <f>AQ433*AR$628/AQ$628</f>
        <v>2.6319203723878387E-2</v>
      </c>
      <c r="AS433" s="66">
        <f>AR433*AS$628/AR$628</f>
        <v>2.6319203723878387E-2</v>
      </c>
      <c r="AT433" s="66">
        <f>AS433*AT$628/AS$628</f>
        <v>2.6319203723878387E-2</v>
      </c>
      <c r="AU433" s="66">
        <f>AT433*AU$628/AT$628</f>
        <v>2.6319203723878387E-2</v>
      </c>
      <c r="AV433" s="66">
        <f>AU433*AV$628/AU$628</f>
        <v>2.6319203723878387E-2</v>
      </c>
      <c r="AW433" s="66">
        <f>AV433*AW$628/AV$628</f>
        <v>2.6319203723878387E-2</v>
      </c>
      <c r="AX433" s="66">
        <f>AW433*AX$628/AW$628</f>
        <v>2.6319203723878387E-2</v>
      </c>
      <c r="AY433" s="66">
        <f>AX433*AY$628/AX$628</f>
        <v>2.6319203723878387E-2</v>
      </c>
      <c r="AZ433" s="66">
        <f>AY433*AZ$628/AY$628</f>
        <v>2.6319203723878387E-2</v>
      </c>
      <c r="BA433" s="66">
        <f>AZ433*BA$628/AZ$628</f>
        <v>2.6319203723878387E-2</v>
      </c>
      <c r="BB433" s="66">
        <f>BA433*BB$628/BA$628</f>
        <v>2.6319203723878387E-2</v>
      </c>
      <c r="BC433" s="66">
        <f>BB433*BC$628/BB$628</f>
        <v>2.6319203723878387E-2</v>
      </c>
      <c r="BD433" s="66">
        <f>BC433*BD$628/BC$628</f>
        <v>2.6319203723878387E-2</v>
      </c>
      <c r="BE433" s="66">
        <f>BD433*BE$628/BD$628</f>
        <v>2.6319203723878387E-2</v>
      </c>
      <c r="BF433" s="66">
        <f>BE433*BF$628/BE$628</f>
        <v>2.6319203723878387E-2</v>
      </c>
      <c r="BG433" s="66">
        <f>BF433*BG$628/BF$628</f>
        <v>2.6319203723878387E-2</v>
      </c>
      <c r="BH433" s="66">
        <f>BG433*BH$628/BG$628</f>
        <v>2.6319203723878387E-2</v>
      </c>
    </row>
    <row r="434" spans="1:60" hidden="1" outlineLevel="1">
      <c r="B434" t="str">
        <f>A.15!A92</f>
        <v>Diésel</v>
      </c>
      <c r="C434">
        <f>A.15!B92</f>
        <v>0.77</v>
      </c>
      <c r="D434">
        <f>A.15!C92</f>
        <v>0.76</v>
      </c>
      <c r="E434">
        <f>A.15!D92</f>
        <v>0.8</v>
      </c>
      <c r="F434">
        <f>A.15!E92</f>
        <v>0.81</v>
      </c>
      <c r="G434">
        <f>A.15!F92</f>
        <v>0.79</v>
      </c>
      <c r="H434">
        <f>A.15!G92</f>
        <v>0.81</v>
      </c>
      <c r="I434">
        <f>A.15!H92</f>
        <v>0.76</v>
      </c>
      <c r="J434">
        <f>A.15!I92</f>
        <v>0.54</v>
      </c>
      <c r="K434">
        <f>A.15!J92</f>
        <v>0.72</v>
      </c>
      <c r="L434">
        <f>A.15!K92</f>
        <v>0.72</v>
      </c>
      <c r="M434">
        <f>A.15!L92</f>
        <v>0.65</v>
      </c>
      <c r="N434" s="66">
        <f>M434*N$628/M$628</f>
        <v>0.65068667260902591</v>
      </c>
      <c r="O434" s="66">
        <f>N434*O$628/N$628</f>
        <v>0.65136261595853573</v>
      </c>
      <c r="P434" s="66">
        <f>O434*P$628/O$628</f>
        <v>0.65206001782707756</v>
      </c>
      <c r="Q434" s="66">
        <f>P434*Q$628/P$628</f>
        <v>0.65274669043610334</v>
      </c>
      <c r="R434" s="66">
        <f>Q434*R$628/Q$628</f>
        <v>0.65342263378561316</v>
      </c>
      <c r="S434" s="66">
        <f>R434*S$628/R$628</f>
        <v>0.65412003565415511</v>
      </c>
      <c r="T434" s="66">
        <f>S434*T$628/S$628</f>
        <v>0.65479597900366471</v>
      </c>
      <c r="U434" s="66">
        <f>T434*U$628/T$628</f>
        <v>0.65547192235317442</v>
      </c>
      <c r="V434" s="66">
        <f>U434*V$628/U$628</f>
        <v>0.65618005348123232</v>
      </c>
      <c r="W434" s="66">
        <f>V434*W$628/V$628</f>
        <v>0.65685599683074203</v>
      </c>
      <c r="X434" s="66">
        <f>W434*X$628/W$628</f>
        <v>0.65499983493446912</v>
      </c>
      <c r="Y434" s="66">
        <f>X434*Y$628/X$628</f>
        <v>0.64971030999306734</v>
      </c>
      <c r="Z434" s="66">
        <f>Y434*Z$628/Y$628</f>
        <v>0.64441005579214961</v>
      </c>
      <c r="AA434" s="66">
        <f>Z434*AA$628/Z$628</f>
        <v>0.639131260110264</v>
      </c>
      <c r="AB434" s="66">
        <f>AA434*AB$628/AA$628</f>
        <v>0.63384173516886222</v>
      </c>
      <c r="AC434" s="66">
        <f>AB434*AC$628/AB$628</f>
        <v>0.62853075170842843</v>
      </c>
      <c r="AD434" s="66">
        <f>AC434*AD$628/AC$628</f>
        <v>0.62326268528605866</v>
      </c>
      <c r="AE434" s="66">
        <f>AD434*AE$628/AD$628</f>
        <v>0.61797316034465699</v>
      </c>
      <c r="AF434" s="66">
        <f>AE434*AF$628/AE$628</f>
        <v>0.61267290614373915</v>
      </c>
      <c r="AG434" s="66">
        <f>AF434*AG$628/AF$628</f>
        <v>0.60738338120233737</v>
      </c>
      <c r="AH434" s="66">
        <f>AG434*AH$628/AG$628</f>
        <v>0.60210458552045154</v>
      </c>
      <c r="AI434" s="66">
        <f>AH434*AI$628/AH$628</f>
        <v>0.59680433131953381</v>
      </c>
      <c r="AJ434" s="66">
        <f>AI434*AJ$628/AI$628</f>
        <v>0.59151480637813203</v>
      </c>
      <c r="AK434" s="66">
        <f>AJ434*AK$628/AJ$628</f>
        <v>0.58622528143673036</v>
      </c>
      <c r="AL434" s="66">
        <f>AK434*AL$628/AK$628</f>
        <v>0.58094648575484475</v>
      </c>
      <c r="AM434" s="66">
        <f>AL434*AM$628/AL$628</f>
        <v>0.57559258525634682</v>
      </c>
      <c r="AN434" s="66">
        <f>AM434*AN$628/AM$628</f>
        <v>0.57024941401736495</v>
      </c>
      <c r="AO434" s="66">
        <f>AN434*AO$628/AN$628</f>
        <v>0.57024941401736495</v>
      </c>
      <c r="AP434" s="66">
        <f>AO434*AP$628/AO$628</f>
        <v>0.57024941401736495</v>
      </c>
      <c r="AQ434" s="66">
        <f>AP434*AQ$628/AP$628</f>
        <v>0.57024941401736495</v>
      </c>
      <c r="AR434" s="66">
        <f>AQ434*AR$628/AQ$628</f>
        <v>0.57024941401736495</v>
      </c>
      <c r="AS434" s="66">
        <f>AR434*AS$628/AR$628</f>
        <v>0.57024941401736495</v>
      </c>
      <c r="AT434" s="66">
        <f>AS434*AT$628/AS$628</f>
        <v>0.57024941401736495</v>
      </c>
      <c r="AU434" s="66">
        <f>AT434*AU$628/AT$628</f>
        <v>0.57024941401736495</v>
      </c>
      <c r="AV434" s="66">
        <f>AU434*AV$628/AU$628</f>
        <v>0.57024941401736495</v>
      </c>
      <c r="AW434" s="66">
        <f>AV434*AW$628/AV$628</f>
        <v>0.57024941401736495</v>
      </c>
      <c r="AX434" s="66">
        <f>AW434*AX$628/AW$628</f>
        <v>0.57024941401736495</v>
      </c>
      <c r="AY434" s="66">
        <f>AX434*AY$628/AX$628</f>
        <v>0.57024941401736495</v>
      </c>
      <c r="AZ434" s="66">
        <f>AY434*AZ$628/AY$628</f>
        <v>0.57024941401736495</v>
      </c>
      <c r="BA434" s="66">
        <f>AZ434*BA$628/AZ$628</f>
        <v>0.57024941401736495</v>
      </c>
      <c r="BB434" s="66">
        <f>BA434*BB$628/BA$628</f>
        <v>0.57024941401736495</v>
      </c>
      <c r="BC434" s="66">
        <f>BB434*BC$628/BB$628</f>
        <v>0.57024941401736495</v>
      </c>
      <c r="BD434" s="66">
        <f>BC434*BD$628/BC$628</f>
        <v>0.57024941401736495</v>
      </c>
      <c r="BE434" s="66">
        <f>BD434*BE$628/BD$628</f>
        <v>0.57024941401736495</v>
      </c>
      <c r="BF434" s="66">
        <f>BE434*BF$628/BE$628</f>
        <v>0.57024941401736495</v>
      </c>
      <c r="BG434" s="66">
        <f>BF434*BG$628/BF$628</f>
        <v>0.57024941401736495</v>
      </c>
      <c r="BH434" s="66">
        <f>BG434*BH$628/BG$628</f>
        <v>0.57024941401736495</v>
      </c>
    </row>
    <row r="435" spans="1:60" hidden="1" outlineLevel="1">
      <c r="B435" t="str">
        <f>A.15!A93</f>
        <v>Combustóleo</v>
      </c>
      <c r="C435">
        <f>A.15!B93</f>
        <v>0.03</v>
      </c>
      <c r="D435">
        <f>A.15!C93</f>
        <v>0.03</v>
      </c>
      <c r="E435">
        <f>A.15!D93</f>
        <v>0.03</v>
      </c>
      <c r="F435">
        <f>A.15!E93</f>
        <v>0.03</v>
      </c>
      <c r="G435">
        <f>A.15!F93</f>
        <v>0.03</v>
      </c>
      <c r="H435">
        <f>A.15!G93</f>
        <v>0.03</v>
      </c>
      <c r="I435">
        <f>A.15!H93</f>
        <v>0.03</v>
      </c>
      <c r="J435">
        <f>A.15!I93</f>
        <v>0.02</v>
      </c>
      <c r="K435">
        <f>A.15!J93</f>
        <v>0.03</v>
      </c>
      <c r="L435">
        <f>A.15!K93</f>
        <v>0.03</v>
      </c>
      <c r="M435">
        <f>A.15!L93</f>
        <v>0.03</v>
      </c>
      <c r="N435" s="66">
        <f>M435*N$628/M$628</f>
        <v>3.0031692581955038E-2</v>
      </c>
      <c r="O435" s="66">
        <f>N435*O$628/N$628</f>
        <v>3.0062889967317027E-2</v>
      </c>
      <c r="P435" s="66">
        <f>O435*P$628/O$628</f>
        <v>3.0095077745865111E-2</v>
      </c>
      <c r="Q435" s="66">
        <f>P435*Q$628/P$628</f>
        <v>3.0126770327820147E-2</v>
      </c>
      <c r="R435" s="66">
        <f>Q435*R$628/Q$628</f>
        <v>3.0157967713182136E-2</v>
      </c>
      <c r="S435" s="66">
        <f>R435*S$628/R$628</f>
        <v>3.0190155491730226E-2</v>
      </c>
      <c r="T435" s="66">
        <f>S435*T$628/S$628</f>
        <v>3.0221352877092208E-2</v>
      </c>
      <c r="U435" s="66">
        <f>T435*U$628/T$628</f>
        <v>3.0252550262454197E-2</v>
      </c>
      <c r="V435" s="66">
        <f>U435*V$628/U$628</f>
        <v>3.0285233237595331E-2</v>
      </c>
      <c r="W435" s="66">
        <f>V435*W$628/V$628</f>
        <v>3.031643062295732E-2</v>
      </c>
      <c r="X435" s="66">
        <f>W435*X$628/W$628</f>
        <v>3.0230761612360112E-2</v>
      </c>
      <c r="Y435" s="66">
        <f>X435*Y$628/X$628</f>
        <v>2.9986629691987721E-2</v>
      </c>
      <c r="Z435" s="66">
        <f>Y435*Z$628/Y$628</f>
        <v>2.974200257502229E-2</v>
      </c>
      <c r="AA435" s="66">
        <f>Z435*AA$628/Z$628</f>
        <v>2.9498365851242953E-2</v>
      </c>
      <c r="AB435" s="66">
        <f>AA435*AB$628/AA$628</f>
        <v>2.9254233930870566E-2</v>
      </c>
      <c r="AC435" s="66">
        <f>AB435*AC$628/AB$628</f>
        <v>2.9009111617312087E-2</v>
      </c>
      <c r="AD435" s="66">
        <f>AC435*AD$628/AC$628</f>
        <v>2.8765970090125791E-2</v>
      </c>
      <c r="AE435" s="66">
        <f>AD435*AE$628/AD$628</f>
        <v>2.8521838169753403E-2</v>
      </c>
      <c r="AF435" s="66">
        <f>AE435*AF$628/AE$628</f>
        <v>2.8277211052787962E-2</v>
      </c>
      <c r="AG435" s="66">
        <f>AF435*AG$628/AF$628</f>
        <v>2.8033079132415574E-2</v>
      </c>
      <c r="AH435" s="66">
        <f>AG435*AH$628/AG$628</f>
        <v>2.778944240863623E-2</v>
      </c>
      <c r="AI435" s="66">
        <f>AH435*AI$628/AH$628</f>
        <v>2.7544815291670799E-2</v>
      </c>
      <c r="AJ435" s="66">
        <f>AI435*AJ$628/AI$628</f>
        <v>2.7300683371298408E-2</v>
      </c>
      <c r="AK435" s="66">
        <f>AJ435*AK$628/AJ$628</f>
        <v>2.7056551450926024E-2</v>
      </c>
      <c r="AL435" s="66">
        <f>AK435*AL$628/AK$628</f>
        <v>2.6812914727146687E-2</v>
      </c>
      <c r="AM435" s="66">
        <f>AL435*AM$628/AL$628</f>
        <v>2.6565811627216013E-2</v>
      </c>
      <c r="AN435" s="66">
        <f>AM435*AN$628/AM$628</f>
        <v>2.6319203723878387E-2</v>
      </c>
      <c r="AO435" s="66">
        <f>AN435*AO$628/AN$628</f>
        <v>2.6319203723878387E-2</v>
      </c>
      <c r="AP435" s="66">
        <f>AO435*AP$628/AO$628</f>
        <v>2.6319203723878387E-2</v>
      </c>
      <c r="AQ435" s="66">
        <f>AP435*AQ$628/AP$628</f>
        <v>2.6319203723878387E-2</v>
      </c>
      <c r="AR435" s="66">
        <f>AQ435*AR$628/AQ$628</f>
        <v>2.6319203723878387E-2</v>
      </c>
      <c r="AS435" s="66">
        <f>AR435*AS$628/AR$628</f>
        <v>2.6319203723878387E-2</v>
      </c>
      <c r="AT435" s="66">
        <f>AS435*AT$628/AS$628</f>
        <v>2.6319203723878387E-2</v>
      </c>
      <c r="AU435" s="66">
        <f>AT435*AU$628/AT$628</f>
        <v>2.6319203723878387E-2</v>
      </c>
      <c r="AV435" s="66">
        <f>AU435*AV$628/AU$628</f>
        <v>2.6319203723878387E-2</v>
      </c>
      <c r="AW435" s="66">
        <f>AV435*AW$628/AV$628</f>
        <v>2.6319203723878387E-2</v>
      </c>
      <c r="AX435" s="66">
        <f>AW435*AX$628/AW$628</f>
        <v>2.6319203723878387E-2</v>
      </c>
      <c r="AY435" s="66">
        <f>AX435*AY$628/AX$628</f>
        <v>2.6319203723878387E-2</v>
      </c>
      <c r="AZ435" s="66">
        <f>AY435*AZ$628/AY$628</f>
        <v>2.6319203723878387E-2</v>
      </c>
      <c r="BA435" s="66">
        <f>AZ435*BA$628/AZ$628</f>
        <v>2.6319203723878387E-2</v>
      </c>
      <c r="BB435" s="66">
        <f>BA435*BB$628/BA$628</f>
        <v>2.6319203723878387E-2</v>
      </c>
      <c r="BC435" s="66">
        <f>BB435*BC$628/BB$628</f>
        <v>2.6319203723878387E-2</v>
      </c>
      <c r="BD435" s="66">
        <f>BC435*BD$628/BC$628</f>
        <v>2.6319203723878387E-2</v>
      </c>
      <c r="BE435" s="66">
        <f>BD435*BE$628/BD$628</f>
        <v>2.6319203723878387E-2</v>
      </c>
      <c r="BF435" s="66">
        <f>BE435*BF$628/BE$628</f>
        <v>2.6319203723878387E-2</v>
      </c>
      <c r="BG435" s="66">
        <f>BF435*BG$628/BF$628</f>
        <v>2.6319203723878387E-2</v>
      </c>
      <c r="BH435" s="66">
        <f>BG435*BH$628/BG$628</f>
        <v>2.6319203723878387E-2</v>
      </c>
    </row>
    <row r="436" spans="1:60" hidden="1" outlineLevel="1">
      <c r="B436" t="str">
        <f>A.15!A94</f>
        <v>Productos no
energéticos</v>
      </c>
      <c r="C436">
        <f>A.15!B94</f>
        <v>48</v>
      </c>
      <c r="D436">
        <f>A.15!C94</f>
        <v>49</v>
      </c>
      <c r="E436">
        <f>A.15!D94</f>
        <v>50</v>
      </c>
      <c r="F436">
        <f>A.15!E94</f>
        <v>51</v>
      </c>
      <c r="G436">
        <f>A.15!F94</f>
        <v>52</v>
      </c>
      <c r="H436">
        <f>A.15!G94</f>
        <v>53</v>
      </c>
      <c r="I436">
        <f>A.15!H94</f>
        <v>54</v>
      </c>
      <c r="J436">
        <f>A.15!I94</f>
        <v>55</v>
      </c>
      <c r="K436">
        <f>A.15!J94</f>
        <v>0</v>
      </c>
      <c r="L436">
        <f>A.15!K94</f>
        <v>0</v>
      </c>
      <c r="M436">
        <f>A.15!L94</f>
        <v>0</v>
      </c>
      <c r="N436" s="66">
        <f>M436*N$628/M$628</f>
        <v>0</v>
      </c>
      <c r="O436" s="66">
        <f>N436*O$628/N$628</f>
        <v>0</v>
      </c>
      <c r="P436" s="66">
        <f>O436*P$628/O$628</f>
        <v>0</v>
      </c>
      <c r="Q436" s="66">
        <f>P436*Q$628/P$628</f>
        <v>0</v>
      </c>
      <c r="R436" s="66">
        <f>Q436*R$628/Q$628</f>
        <v>0</v>
      </c>
      <c r="S436" s="66">
        <f>R436*S$628/R$628</f>
        <v>0</v>
      </c>
      <c r="T436" s="66">
        <f>S436*T$628/S$628</f>
        <v>0</v>
      </c>
      <c r="U436" s="66">
        <f>T436*U$628/T$628</f>
        <v>0</v>
      </c>
      <c r="V436" s="66">
        <f>U436*V$628/U$628</f>
        <v>0</v>
      </c>
      <c r="W436" s="66">
        <f>V436*W$628/V$628</f>
        <v>0</v>
      </c>
      <c r="X436" s="66">
        <f>W436*X$628/W$628</f>
        <v>0</v>
      </c>
      <c r="Y436" s="66">
        <f>X436*Y$628/X$628</f>
        <v>0</v>
      </c>
      <c r="Z436" s="66">
        <f>Y436*Z$628/Y$628</f>
        <v>0</v>
      </c>
      <c r="AA436" s="66">
        <f>Z436*AA$628/Z$628</f>
        <v>0</v>
      </c>
      <c r="AB436" s="66">
        <f>AA436*AB$628/AA$628</f>
        <v>0</v>
      </c>
      <c r="AC436" s="66">
        <f>AB436*AC$628/AB$628</f>
        <v>0</v>
      </c>
      <c r="AD436" s="66">
        <f>AC436*AD$628/AC$628</f>
        <v>0</v>
      </c>
      <c r="AE436" s="66">
        <f>AD436*AE$628/AD$628</f>
        <v>0</v>
      </c>
      <c r="AF436" s="66">
        <f>AE436*AF$628/AE$628</f>
        <v>0</v>
      </c>
      <c r="AG436" s="66">
        <f>AF436*AG$628/AF$628</f>
        <v>0</v>
      </c>
      <c r="AH436" s="66">
        <f>AG436*AH$628/AG$628</f>
        <v>0</v>
      </c>
      <c r="AI436" s="66">
        <f>AH436*AI$628/AH$628</f>
        <v>0</v>
      </c>
      <c r="AJ436" s="66">
        <f>AI436*AJ$628/AI$628</f>
        <v>0</v>
      </c>
      <c r="AK436" s="66">
        <f>AJ436*AK$628/AJ$628</f>
        <v>0</v>
      </c>
      <c r="AL436" s="66">
        <f>AK436*AL$628/AK$628</f>
        <v>0</v>
      </c>
      <c r="AM436" s="66">
        <f>AL436*AM$628/AL$628</f>
        <v>0</v>
      </c>
      <c r="AN436" s="66">
        <f>AM436*AN$628/AM$628</f>
        <v>0</v>
      </c>
      <c r="AO436" s="66">
        <f>AN436*AO$628/AN$628</f>
        <v>0</v>
      </c>
      <c r="AP436" s="66">
        <f>AO436*AP$628/AO$628</f>
        <v>0</v>
      </c>
      <c r="AQ436" s="66">
        <f>AP436*AQ$628/AP$628</f>
        <v>0</v>
      </c>
      <c r="AR436" s="66">
        <f>AQ436*AR$628/AQ$628</f>
        <v>0</v>
      </c>
      <c r="AS436" s="66">
        <f>AR436*AS$628/AR$628</f>
        <v>0</v>
      </c>
      <c r="AT436" s="66">
        <f>AS436*AT$628/AS$628</f>
        <v>0</v>
      </c>
      <c r="AU436" s="66">
        <f>AT436*AU$628/AT$628</f>
        <v>0</v>
      </c>
      <c r="AV436" s="66">
        <f>AU436*AV$628/AU$628</f>
        <v>0</v>
      </c>
      <c r="AW436" s="66">
        <f>AV436*AW$628/AV$628</f>
        <v>0</v>
      </c>
      <c r="AX436" s="66">
        <f>AW436*AX$628/AW$628</f>
        <v>0</v>
      </c>
      <c r="AY436" s="66">
        <f>AX436*AY$628/AX$628</f>
        <v>0</v>
      </c>
      <c r="AZ436" s="66">
        <f>AY436*AZ$628/AY$628</f>
        <v>0</v>
      </c>
      <c r="BA436" s="66">
        <f>AZ436*BA$628/AZ$628</f>
        <v>0</v>
      </c>
      <c r="BB436" s="66">
        <f>BA436*BB$628/BA$628</f>
        <v>0</v>
      </c>
      <c r="BC436" s="66">
        <f>BB436*BC$628/BB$628</f>
        <v>0</v>
      </c>
      <c r="BD436" s="66">
        <f>BC436*BD$628/BC$628</f>
        <v>0</v>
      </c>
      <c r="BE436" s="66">
        <f>BD436*BE$628/BD$628</f>
        <v>0</v>
      </c>
      <c r="BF436" s="66">
        <f>BE436*BF$628/BE$628</f>
        <v>0</v>
      </c>
      <c r="BG436" s="66">
        <f>BF436*BG$628/BF$628</f>
        <v>0</v>
      </c>
      <c r="BH436" s="66">
        <f>BG436*BH$628/BG$628</f>
        <v>0</v>
      </c>
    </row>
    <row r="437" spans="1:60" hidden="1" outlineLevel="1">
      <c r="B437" t="str">
        <f>A.15!A95</f>
        <v>Gas seco</v>
      </c>
      <c r="C437">
        <f>A.15!B95</f>
        <v>8.6199999999999992</v>
      </c>
      <c r="D437">
        <f>A.15!C95</f>
        <v>8.5500000000000007</v>
      </c>
      <c r="E437">
        <f>A.15!D95</f>
        <v>9.02</v>
      </c>
      <c r="F437">
        <f>A.15!E95</f>
        <v>9.06</v>
      </c>
      <c r="G437">
        <f>A.15!F95</f>
        <v>8.85</v>
      </c>
      <c r="H437">
        <f>A.15!G95</f>
        <v>9.06</v>
      </c>
      <c r="I437">
        <f>A.15!H95</f>
        <v>8.5399999999999991</v>
      </c>
      <c r="J437">
        <f>A.15!I95</f>
        <v>6.07</v>
      </c>
      <c r="K437">
        <f>A.15!J95</f>
        <v>8.08</v>
      </c>
      <c r="L437">
        <f>A.15!K95</f>
        <v>8.11</v>
      </c>
      <c r="M437">
        <f>A.15!L95</f>
        <v>7.8</v>
      </c>
      <c r="N437" s="66">
        <f>M437*N$628/M$628</f>
        <v>7.80824007130831</v>
      </c>
      <c r="O437" s="66">
        <f>N437*O$628/N$628</f>
        <v>7.8163513915024279</v>
      </c>
      <c r="P437" s="66">
        <f>O437*P$628/O$628</f>
        <v>7.8247202139249286</v>
      </c>
      <c r="Q437" s="66">
        <f>P437*Q$628/P$628</f>
        <v>7.8329602852332378</v>
      </c>
      <c r="R437" s="66">
        <f>Q437*R$628/Q$628</f>
        <v>7.8410716054273539</v>
      </c>
      <c r="S437" s="66">
        <f>R437*S$628/R$628</f>
        <v>7.8494404278498573</v>
      </c>
      <c r="T437" s="66">
        <f>S437*T$628/S$628</f>
        <v>7.8575517480439725</v>
      </c>
      <c r="U437" s="66">
        <f>T437*U$628/T$628</f>
        <v>7.8656630682380895</v>
      </c>
      <c r="V437" s="66">
        <f>U437*V$628/U$628</f>
        <v>7.8741606417747843</v>
      </c>
      <c r="W437" s="66">
        <f>V437*W$628/V$628</f>
        <v>7.8822719619689003</v>
      </c>
      <c r="X437" s="66">
        <f>W437*X$628/W$628</f>
        <v>7.8599980192136254</v>
      </c>
      <c r="Y437" s="66">
        <f>X437*Y$628/X$628</f>
        <v>7.7965237199168032</v>
      </c>
      <c r="Z437" s="66">
        <f>Y437*Z$628/Y$628</f>
        <v>7.7329206695057904</v>
      </c>
      <c r="AA437" s="66">
        <f>Z437*AA$628/Z$628</f>
        <v>7.6695751213231631</v>
      </c>
      <c r="AB437" s="66">
        <f>AA437*AB$628/AA$628</f>
        <v>7.6061008220263417</v>
      </c>
      <c r="AC437" s="66">
        <f>AB437*AC$628/AB$628</f>
        <v>7.5423690205011367</v>
      </c>
      <c r="AD437" s="66">
        <f>AC437*AD$628/AC$628</f>
        <v>7.4791522234326999</v>
      </c>
      <c r="AE437" s="66">
        <f>AD437*AE$628/AD$628</f>
        <v>7.4156779241358795</v>
      </c>
      <c r="AF437" s="66">
        <f>AE437*AF$628/AE$628</f>
        <v>7.3520748737248658</v>
      </c>
      <c r="AG437" s="66">
        <f>AF437*AG$628/AF$628</f>
        <v>7.2886005744280462</v>
      </c>
      <c r="AH437" s="66">
        <f>AG437*AH$628/AG$628</f>
        <v>7.2252550262454172</v>
      </c>
      <c r="AI437" s="66">
        <f>AH437*AI$628/AH$628</f>
        <v>7.1616519758344053</v>
      </c>
      <c r="AJ437" s="66">
        <f>AI437*AJ$628/AI$628</f>
        <v>7.0981776765375839</v>
      </c>
      <c r="AK437" s="66">
        <f>AJ437*AK$628/AJ$628</f>
        <v>7.0347033772407643</v>
      </c>
      <c r="AL437" s="66">
        <f>AK437*AL$628/AK$628</f>
        <v>6.9713578290581362</v>
      </c>
      <c r="AM437" s="66">
        <f>AL437*AM$628/AL$628</f>
        <v>6.907111023076161</v>
      </c>
      <c r="AN437" s="66">
        <f>AM437*AN$628/AM$628</f>
        <v>6.8429929682083781</v>
      </c>
      <c r="AO437" s="66">
        <f>AN437*AO$628/AN$628</f>
        <v>6.8429929682083781</v>
      </c>
      <c r="AP437" s="66">
        <f>AO437*AP$628/AO$628</f>
        <v>6.8429929682083781</v>
      </c>
      <c r="AQ437" s="66">
        <f>AP437*AQ$628/AP$628</f>
        <v>6.8429929682083781</v>
      </c>
      <c r="AR437" s="66">
        <f>AQ437*AR$628/AQ$628</f>
        <v>6.8429929682083781</v>
      </c>
      <c r="AS437" s="66">
        <f>AR437*AS$628/AR$628</f>
        <v>6.8429929682083781</v>
      </c>
      <c r="AT437" s="66">
        <f>AS437*AT$628/AS$628</f>
        <v>6.8429929682083781</v>
      </c>
      <c r="AU437" s="66">
        <f>AT437*AU$628/AT$628</f>
        <v>6.8429929682083781</v>
      </c>
      <c r="AV437" s="66">
        <f>AU437*AV$628/AU$628</f>
        <v>6.8429929682083781</v>
      </c>
      <c r="AW437" s="66">
        <f>AV437*AW$628/AV$628</f>
        <v>6.8429929682083781</v>
      </c>
      <c r="AX437" s="66">
        <f>AW437*AX$628/AW$628</f>
        <v>6.8429929682083781</v>
      </c>
      <c r="AY437" s="66">
        <f>AX437*AY$628/AX$628</f>
        <v>6.8429929682083781</v>
      </c>
      <c r="AZ437" s="66">
        <f>AY437*AZ$628/AY$628</f>
        <v>6.8429929682083781</v>
      </c>
      <c r="BA437" s="66">
        <f>AZ437*BA$628/AZ$628</f>
        <v>6.8429929682083781</v>
      </c>
      <c r="BB437" s="66">
        <f>BA437*BB$628/BA$628</f>
        <v>6.8429929682083781</v>
      </c>
      <c r="BC437" s="66">
        <f>BB437*BC$628/BB$628</f>
        <v>6.8429929682083781</v>
      </c>
      <c r="BD437" s="66">
        <f>BC437*BD$628/BC$628</f>
        <v>6.8429929682083781</v>
      </c>
      <c r="BE437" s="66">
        <f>BD437*BE$628/BD$628</f>
        <v>6.8429929682083781</v>
      </c>
      <c r="BF437" s="66">
        <f>BE437*BF$628/BE$628</f>
        <v>6.8429929682083781</v>
      </c>
      <c r="BG437" s="66">
        <f>BF437*BG$628/BF$628</f>
        <v>6.8429929682083781</v>
      </c>
      <c r="BH437" s="66">
        <f>BG437*BH$628/BG$628</f>
        <v>6.8429929682083781</v>
      </c>
    </row>
    <row r="438" spans="1:60" hidden="1" outlineLevel="1">
      <c r="B438" t="str">
        <f>A.15!A96</f>
        <v>Energía eléctrica</v>
      </c>
      <c r="C438">
        <f>A.15!B96</f>
        <v>3.81</v>
      </c>
      <c r="D438">
        <f>A.15!C96</f>
        <v>3.78</v>
      </c>
      <c r="E438">
        <f>A.15!D96</f>
        <v>3.99</v>
      </c>
      <c r="F438">
        <f>A.15!E96</f>
        <v>4</v>
      </c>
      <c r="G438">
        <f>A.15!F96</f>
        <v>3.91</v>
      </c>
      <c r="H438">
        <f>A.15!G96</f>
        <v>4.01</v>
      </c>
      <c r="I438">
        <f>A.15!H96</f>
        <v>3.78</v>
      </c>
      <c r="J438">
        <f>A.15!I96</f>
        <v>2.69</v>
      </c>
      <c r="K438">
        <f>A.15!J96</f>
        <v>3.58</v>
      </c>
      <c r="L438">
        <f>A.15!K96</f>
        <v>0.45</v>
      </c>
      <c r="M438">
        <f>A.15!L96</f>
        <v>3.45</v>
      </c>
      <c r="N438" s="66">
        <f>M438*N$628/M$628</f>
        <v>3.4536446469248299</v>
      </c>
      <c r="O438" s="66">
        <f>N438*O$628/N$628</f>
        <v>3.4572323462414585</v>
      </c>
      <c r="P438" s="66">
        <f>O438*P$628/O$628</f>
        <v>3.4609339407744879</v>
      </c>
      <c r="Q438" s="66">
        <f>P438*Q$628/P$628</f>
        <v>3.4645785876993171</v>
      </c>
      <c r="R438" s="66">
        <f>Q438*R$628/Q$628</f>
        <v>3.4681662870159462</v>
      </c>
      <c r="S438" s="66">
        <f>R438*S$628/R$628</f>
        <v>3.4718678815489765</v>
      </c>
      <c r="T438" s="66">
        <f>S438*T$628/S$628</f>
        <v>3.4754555808656047</v>
      </c>
      <c r="U438" s="66">
        <f>T438*U$628/T$628</f>
        <v>3.4790432801822333</v>
      </c>
      <c r="V438" s="66">
        <f>U438*V$628/U$628</f>
        <v>3.4828018223234638</v>
      </c>
      <c r="W438" s="66">
        <f>V438*W$628/V$628</f>
        <v>3.4863895216400929</v>
      </c>
      <c r="X438" s="66">
        <f>W438*X$628/W$628</f>
        <v>3.476537585421414</v>
      </c>
      <c r="Y438" s="66">
        <f>X438*Y$628/X$628</f>
        <v>3.4484624145785894</v>
      </c>
      <c r="Z438" s="66">
        <f>Y438*Z$628/Y$628</f>
        <v>3.4203302961275646</v>
      </c>
      <c r="AA438" s="66">
        <f>Z438*AA$628/Z$628</f>
        <v>3.3923120728929406</v>
      </c>
      <c r="AB438" s="66">
        <f>AA438*AB$628/AA$628</f>
        <v>3.3642369020501155</v>
      </c>
      <c r="AC438" s="66">
        <f>AB438*AC$628/AB$628</f>
        <v>3.3360478359908905</v>
      </c>
      <c r="AD438" s="66">
        <f>AC438*AD$628/AC$628</f>
        <v>3.3080865603644662</v>
      </c>
      <c r="AE438" s="66">
        <f>AD438*AE$628/AD$628</f>
        <v>3.2800113895216416</v>
      </c>
      <c r="AF438" s="66">
        <f>AE438*AF$628/AE$628</f>
        <v>3.2518792710706164</v>
      </c>
      <c r="AG438" s="66">
        <f>AF438*AG$628/AF$628</f>
        <v>3.2238041002277922</v>
      </c>
      <c r="AH438" s="66">
        <f>AG438*AH$628/AG$628</f>
        <v>3.1957858769931673</v>
      </c>
      <c r="AI438" s="66">
        <f>AH438*AI$628/AH$628</f>
        <v>3.1676537585421425</v>
      </c>
      <c r="AJ438" s="66">
        <f>AI438*AJ$628/AI$628</f>
        <v>3.1395785876993174</v>
      </c>
      <c r="AK438" s="66">
        <f>AJ438*AK$628/AJ$628</f>
        <v>3.1115034168564932</v>
      </c>
      <c r="AL438" s="66">
        <f>AK438*AL$628/AK$628</f>
        <v>3.0834851936218692</v>
      </c>
      <c r="AM438" s="66">
        <f>AL438*AM$628/AL$628</f>
        <v>3.0550683371298422</v>
      </c>
      <c r="AN438" s="66">
        <f>AM438*AN$628/AM$628</f>
        <v>3.0267084282460153</v>
      </c>
      <c r="AO438" s="66">
        <f>AN438*AO$628/AN$628</f>
        <v>3.0267084282460153</v>
      </c>
      <c r="AP438" s="66">
        <f>AO438*AP$628/AO$628</f>
        <v>3.0267084282460153</v>
      </c>
      <c r="AQ438" s="66">
        <f>AP438*AQ$628/AP$628</f>
        <v>3.0267084282460153</v>
      </c>
      <c r="AR438" s="66">
        <f>AQ438*AR$628/AQ$628</f>
        <v>3.0267084282460153</v>
      </c>
      <c r="AS438" s="66">
        <f>AR438*AS$628/AR$628</f>
        <v>3.0267084282460153</v>
      </c>
      <c r="AT438" s="66">
        <f>AS438*AT$628/AS$628</f>
        <v>3.0267084282460153</v>
      </c>
      <c r="AU438" s="66">
        <f>AT438*AU$628/AT$628</f>
        <v>3.0267084282460153</v>
      </c>
      <c r="AV438" s="66">
        <f>AU438*AV$628/AU$628</f>
        <v>3.0267084282460153</v>
      </c>
      <c r="AW438" s="66">
        <f>AV438*AW$628/AV$628</f>
        <v>3.0267084282460153</v>
      </c>
      <c r="AX438" s="66">
        <f>AW438*AX$628/AW$628</f>
        <v>3.0267084282460153</v>
      </c>
      <c r="AY438" s="66">
        <f>AX438*AY$628/AX$628</f>
        <v>3.0267084282460153</v>
      </c>
      <c r="AZ438" s="66">
        <f>AY438*AZ$628/AY$628</f>
        <v>3.0267084282460153</v>
      </c>
      <c r="BA438" s="66">
        <f>AZ438*BA$628/AZ$628</f>
        <v>3.0267084282460153</v>
      </c>
      <c r="BB438" s="66">
        <f>BA438*BB$628/BA$628</f>
        <v>3.0267084282460153</v>
      </c>
      <c r="BC438" s="66">
        <f>BB438*BC$628/BB$628</f>
        <v>3.0267084282460153</v>
      </c>
      <c r="BD438" s="66">
        <f>BC438*BD$628/BC$628</f>
        <v>3.0267084282460153</v>
      </c>
      <c r="BE438" s="66">
        <f>BD438*BE$628/BD$628</f>
        <v>3.0267084282460153</v>
      </c>
      <c r="BF438" s="66">
        <f>BE438*BF$628/BE$628</f>
        <v>3.0267084282460153</v>
      </c>
      <c r="BG438" s="66">
        <f>BF438*BG$628/BF$628</f>
        <v>3.0267084282460153</v>
      </c>
      <c r="BH438" s="66">
        <f>BG438*BH$628/BG$628</f>
        <v>3.0267084282460153</v>
      </c>
    </row>
    <row r="439" spans="1:60" collapsed="1">
      <c r="A439" s="67" t="s">
        <v>168</v>
      </c>
    </row>
    <row r="440" spans="1:60" hidden="1" outlineLevel="1">
      <c r="B440" t="str">
        <f>A.15!A104</f>
        <v>Gas licuado</v>
      </c>
      <c r="C440">
        <f>A.15!B104</f>
        <v>0.41</v>
      </c>
      <c r="D440">
        <f>A.15!C104</f>
        <v>0.42</v>
      </c>
      <c r="E440">
        <f>A.15!D104</f>
        <v>0.43</v>
      </c>
      <c r="F440">
        <f>A.15!E104</f>
        <v>0.45</v>
      </c>
      <c r="G440">
        <f>A.15!F104</f>
        <v>0.46</v>
      </c>
      <c r="H440">
        <f>A.15!G104</f>
        <v>0.46</v>
      </c>
      <c r="I440">
        <f>A.15!H104</f>
        <v>0.48</v>
      </c>
      <c r="J440">
        <f>A.15!I104</f>
        <v>0.46</v>
      </c>
      <c r="K440">
        <f>A.15!J104</f>
        <v>0.54</v>
      </c>
      <c r="L440">
        <f>A.15!K104</f>
        <v>0.55000000000000004</v>
      </c>
      <c r="M440">
        <f>A.15!L104</f>
        <v>0.52</v>
      </c>
    </row>
    <row r="441" spans="1:60" hidden="1" outlineLevel="1">
      <c r="B441" t="str">
        <f>A.15!A107</f>
        <v>Diésel</v>
      </c>
      <c r="C441">
        <f>A.15!B107</f>
        <v>1.29</v>
      </c>
      <c r="D441">
        <f>A.15!C107</f>
        <v>1.33</v>
      </c>
      <c r="E441">
        <f>A.15!D107</f>
        <v>1.37</v>
      </c>
      <c r="F441">
        <f>A.15!E107</f>
        <v>1.43</v>
      </c>
      <c r="G441">
        <f>A.15!F107</f>
        <v>1.45</v>
      </c>
      <c r="H441">
        <f>A.15!G107</f>
        <v>1.48</v>
      </c>
      <c r="I441">
        <f>A.15!H107</f>
        <v>1.54</v>
      </c>
      <c r="J441">
        <f>A.15!I107</f>
        <v>1.46</v>
      </c>
      <c r="K441">
        <f>A.15!J107</f>
        <v>7.85</v>
      </c>
      <c r="L441">
        <f>A.15!K107</f>
        <v>7.95</v>
      </c>
      <c r="M441">
        <f>A.15!L107</f>
        <v>7.37</v>
      </c>
    </row>
    <row r="442" spans="1:60" hidden="1" outlineLevel="1">
      <c r="B442" t="str">
        <f>A.15!A108</f>
        <v>Combustóleo</v>
      </c>
      <c r="C442">
        <f>A.15!B108</f>
        <v>5.16</v>
      </c>
      <c r="D442">
        <f>A.15!C108</f>
        <v>1.07</v>
      </c>
      <c r="E442">
        <f>A.15!D108</f>
        <v>5.27</v>
      </c>
      <c r="F442">
        <f>A.15!E108</f>
        <v>10.19</v>
      </c>
      <c r="G442">
        <f>A.15!F108</f>
        <v>8.7799999999999994</v>
      </c>
      <c r="H442">
        <f>A.15!G108</f>
        <v>2.64</v>
      </c>
      <c r="I442">
        <f>A.15!H108</f>
        <v>4.12</v>
      </c>
      <c r="J442">
        <f>A.15!I108</f>
        <v>4.13</v>
      </c>
      <c r="K442">
        <f>A.15!J108</f>
        <v>4.41</v>
      </c>
      <c r="L442">
        <f>A.15!K108</f>
        <v>4.47</v>
      </c>
      <c r="M442">
        <f>A.15!L108</f>
        <v>4.2300000000000004</v>
      </c>
    </row>
    <row r="443" spans="1:60" hidden="1" outlineLevel="1">
      <c r="B443" t="str">
        <f>A.15!A110</f>
        <v>Gas seco</v>
      </c>
      <c r="C443">
        <f>A.15!B110</f>
        <v>32.659999999999997</v>
      </c>
      <c r="D443">
        <f>A.15!C110</f>
        <v>30.97</v>
      </c>
      <c r="E443">
        <f>A.15!D110</f>
        <v>31.97</v>
      </c>
      <c r="F443">
        <f>A.15!E110</f>
        <v>35.42</v>
      </c>
      <c r="G443">
        <f>A.15!F110</f>
        <v>33.950000000000003</v>
      </c>
      <c r="H443">
        <f>A.15!G110</f>
        <v>35.22</v>
      </c>
      <c r="I443">
        <f>A.15!H110</f>
        <v>36.43</v>
      </c>
      <c r="J443">
        <f>A.15!I110</f>
        <v>31.57</v>
      </c>
      <c r="K443">
        <f>A.15!J110</f>
        <v>26.86</v>
      </c>
      <c r="L443">
        <f>A.15!K110</f>
        <v>26.52</v>
      </c>
      <c r="M443">
        <f>A.15!L110</f>
        <v>25.1</v>
      </c>
    </row>
    <row r="444" spans="1:60" hidden="1" outlineLevel="1">
      <c r="B444" t="str">
        <f>A.15!A111</f>
        <v>Energía eléctrica</v>
      </c>
      <c r="C444">
        <f>A.15!B111</f>
        <v>10.3</v>
      </c>
      <c r="D444">
        <f>A.15!C111</f>
        <v>10.58</v>
      </c>
      <c r="E444">
        <f>A.15!D111</f>
        <v>10.9</v>
      </c>
      <c r="F444">
        <f>A.15!E111</f>
        <v>11.93</v>
      </c>
      <c r="G444">
        <f>A.15!F111</f>
        <v>11.58</v>
      </c>
      <c r="H444">
        <f>A.15!G111</f>
        <v>11.85</v>
      </c>
      <c r="I444">
        <f>A.15!H111</f>
        <v>12.28</v>
      </c>
      <c r="J444">
        <f>A.15!I111</f>
        <v>11.6</v>
      </c>
      <c r="K444">
        <f>A.15!J111</f>
        <v>10.55</v>
      </c>
      <c r="L444">
        <f>A.15!K111</f>
        <v>25.03</v>
      </c>
      <c r="M444">
        <f>A.15!L111</f>
        <v>9.86</v>
      </c>
    </row>
    <row r="445" spans="1:60" hidden="1" outlineLevel="1"/>
    <row r="446" spans="1:60" s="64" customFormat="1" hidden="1" outlineLevel="1">
      <c r="B446" s="64" t="s">
        <v>114</v>
      </c>
    </row>
    <row r="447" spans="1:60" s="64" customFormat="1" hidden="1" outlineLevel="1">
      <c r="B447" s="64" t="str">
        <f>Esc!A208</f>
        <v>GLP</v>
      </c>
      <c r="C447" s="64">
        <f>Esc!B208</f>
        <v>0.41</v>
      </c>
      <c r="D447" s="64">
        <f>Esc!C208</f>
        <v>0.42</v>
      </c>
      <c r="E447" s="64">
        <f>Esc!D208</f>
        <v>0.43</v>
      </c>
      <c r="F447" s="64">
        <f>Esc!E208</f>
        <v>0.45</v>
      </c>
      <c r="G447" s="64">
        <f>Esc!F208</f>
        <v>0.46</v>
      </c>
      <c r="H447" s="64">
        <f>Esc!G208</f>
        <v>0.46</v>
      </c>
      <c r="I447" s="64">
        <f>Esc!H208</f>
        <v>0.48</v>
      </c>
      <c r="J447" s="64">
        <f>Esc!I208</f>
        <v>0.46</v>
      </c>
      <c r="K447" s="64">
        <f>Esc!J208</f>
        <v>0.38</v>
      </c>
      <c r="L447" s="64">
        <f>Esc!K208</f>
        <v>0.4</v>
      </c>
      <c r="M447" s="64">
        <f>Esc!L208</f>
        <v>0.41</v>
      </c>
      <c r="N447" s="64">
        <f>Esc!M208</f>
        <v>0.41</v>
      </c>
      <c r="O447" s="64">
        <f>Esc!N208</f>
        <v>0.41</v>
      </c>
      <c r="P447" s="64">
        <f>Esc!O208</f>
        <v>0.41</v>
      </c>
      <c r="Q447" s="64">
        <f>Esc!P208</f>
        <v>0.41</v>
      </c>
      <c r="R447" s="64">
        <f>Esc!Q208</f>
        <v>0.42</v>
      </c>
      <c r="S447" s="64">
        <f>Esc!R208</f>
        <v>0.42</v>
      </c>
      <c r="T447" s="64">
        <f>Esc!S208</f>
        <v>0.42</v>
      </c>
      <c r="U447" s="64">
        <f>Esc!T208</f>
        <v>0.42</v>
      </c>
      <c r="V447" s="64">
        <f>Esc!U208</f>
        <v>0.42</v>
      </c>
      <c r="W447" s="64">
        <f>Esc!V208</f>
        <v>0.43</v>
      </c>
      <c r="X447" s="64">
        <f>Esc!W208</f>
        <v>0.43</v>
      </c>
      <c r="Y447" s="64">
        <f>Esc!X208</f>
        <v>0.43</v>
      </c>
      <c r="Z447" s="64">
        <f>Esc!Y208</f>
        <v>0.43</v>
      </c>
      <c r="AA447" s="64">
        <f>Esc!Z208</f>
        <v>0.44</v>
      </c>
      <c r="AB447" s="64">
        <f>Esc!AA208</f>
        <v>0.44</v>
      </c>
      <c r="AC447" s="64">
        <f>Esc!AB208</f>
        <v>0.44</v>
      </c>
      <c r="AD447" s="64">
        <f>Esc!AC208</f>
        <v>0.44</v>
      </c>
      <c r="AE447" s="64">
        <f>Esc!AD208</f>
        <v>0.44</v>
      </c>
      <c r="AF447" s="64">
        <f>Esc!AE208</f>
        <v>0.45</v>
      </c>
      <c r="AG447" s="64">
        <f>Esc!AF208</f>
        <v>0.45</v>
      </c>
      <c r="AH447" s="64">
        <f>Esc!AG208</f>
        <v>0.45</v>
      </c>
      <c r="AI447" s="64">
        <f>Esc!AH208</f>
        <v>0.45</v>
      </c>
      <c r="AJ447" s="64">
        <f>Esc!AI208</f>
        <v>0.45</v>
      </c>
      <c r="AK447" s="64">
        <f>Esc!AJ208</f>
        <v>0.46</v>
      </c>
      <c r="AL447" s="64">
        <f>Esc!AK208</f>
        <v>0.46</v>
      </c>
      <c r="AM447" s="64">
        <f>Esc!AL208</f>
        <v>0.46</v>
      </c>
      <c r="AN447" s="64">
        <f>Esc!AM208</f>
        <v>0.46</v>
      </c>
      <c r="AO447" s="64">
        <f>AN447</f>
        <v>0.46</v>
      </c>
      <c r="AP447" s="64">
        <f t="shared" ref="AP447:BH451" si="175">AO447</f>
        <v>0.46</v>
      </c>
      <c r="AQ447" s="64">
        <f t="shared" si="175"/>
        <v>0.46</v>
      </c>
      <c r="AR447" s="64">
        <f t="shared" si="175"/>
        <v>0.46</v>
      </c>
      <c r="AS447" s="64">
        <f t="shared" si="175"/>
        <v>0.46</v>
      </c>
      <c r="AT447" s="64">
        <f t="shared" si="175"/>
        <v>0.46</v>
      </c>
      <c r="AU447" s="64">
        <f t="shared" si="175"/>
        <v>0.46</v>
      </c>
      <c r="AV447" s="64">
        <f t="shared" si="175"/>
        <v>0.46</v>
      </c>
      <c r="AW447" s="64">
        <f t="shared" si="175"/>
        <v>0.46</v>
      </c>
      <c r="AX447" s="64">
        <f t="shared" si="175"/>
        <v>0.46</v>
      </c>
      <c r="AY447" s="64">
        <f t="shared" si="175"/>
        <v>0.46</v>
      </c>
      <c r="AZ447" s="64">
        <f t="shared" si="175"/>
        <v>0.46</v>
      </c>
      <c r="BA447" s="64">
        <f t="shared" si="175"/>
        <v>0.46</v>
      </c>
      <c r="BB447" s="64">
        <f t="shared" si="175"/>
        <v>0.46</v>
      </c>
      <c r="BC447" s="64">
        <f t="shared" si="175"/>
        <v>0.46</v>
      </c>
      <c r="BD447" s="64">
        <f t="shared" si="175"/>
        <v>0.46</v>
      </c>
      <c r="BE447" s="64">
        <f t="shared" si="175"/>
        <v>0.46</v>
      </c>
      <c r="BF447" s="64">
        <f t="shared" si="175"/>
        <v>0.46</v>
      </c>
      <c r="BG447" s="64">
        <f t="shared" si="175"/>
        <v>0.46</v>
      </c>
      <c r="BH447" s="64">
        <f t="shared" si="175"/>
        <v>0.46</v>
      </c>
    </row>
    <row r="448" spans="1:60" s="64" customFormat="1" hidden="1" outlineLevel="1">
      <c r="B448" s="64" t="str">
        <f>Esc!A211</f>
        <v>Diésel</v>
      </c>
      <c r="C448" s="64">
        <f>Esc!B211</f>
        <v>1.29</v>
      </c>
      <c r="D448" s="64">
        <f>Esc!C211</f>
        <v>1.33</v>
      </c>
      <c r="E448" s="64">
        <f>Esc!D211</f>
        <v>1.37</v>
      </c>
      <c r="F448" s="64">
        <f>Esc!E211</f>
        <v>1.43</v>
      </c>
      <c r="G448" s="64">
        <f>Esc!F211</f>
        <v>1.45</v>
      </c>
      <c r="H448" s="64">
        <f>Esc!G211</f>
        <v>1.48</v>
      </c>
      <c r="I448" s="64">
        <f>Esc!H211</f>
        <v>1.64</v>
      </c>
      <c r="J448" s="64">
        <f>Esc!I211</f>
        <v>1.36</v>
      </c>
      <c r="K448" s="64">
        <f>Esc!J211</f>
        <v>1.27</v>
      </c>
      <c r="L448" s="64">
        <f>Esc!K211</f>
        <v>1.27</v>
      </c>
      <c r="M448" s="64">
        <f>Esc!L211</f>
        <v>1.27</v>
      </c>
      <c r="N448" s="64">
        <f>Esc!M211</f>
        <v>1.27</v>
      </c>
      <c r="O448" s="64">
        <f>Esc!N211</f>
        <v>1.26</v>
      </c>
      <c r="P448" s="64">
        <f>Esc!O211</f>
        <v>1.26</v>
      </c>
      <c r="Q448" s="64">
        <f>Esc!P211</f>
        <v>1.25</v>
      </c>
      <c r="R448" s="64">
        <f>Esc!Q211</f>
        <v>1.25</v>
      </c>
      <c r="S448" s="64">
        <f>Esc!R211</f>
        <v>1.25</v>
      </c>
      <c r="T448" s="64">
        <f>Esc!S211</f>
        <v>1.24</v>
      </c>
      <c r="U448" s="64">
        <f>Esc!T211</f>
        <v>1.24</v>
      </c>
      <c r="V448" s="64">
        <f>Esc!U211</f>
        <v>1.24</v>
      </c>
      <c r="W448" s="64">
        <f>Esc!V211</f>
        <v>1.23</v>
      </c>
      <c r="X448" s="64">
        <f>Esc!W211</f>
        <v>1.23</v>
      </c>
      <c r="Y448" s="64">
        <f>Esc!X211</f>
        <v>1.23</v>
      </c>
      <c r="Z448" s="64">
        <f>Esc!Y211</f>
        <v>1.22</v>
      </c>
      <c r="AA448" s="64">
        <f>Esc!Z211</f>
        <v>1.22</v>
      </c>
      <c r="AB448" s="64">
        <f>Esc!AA211</f>
        <v>1.21</v>
      </c>
      <c r="AC448" s="64">
        <f>Esc!AB211</f>
        <v>1.21</v>
      </c>
      <c r="AD448" s="64">
        <f>Esc!AC211</f>
        <v>1.21</v>
      </c>
      <c r="AE448" s="64">
        <f>Esc!AD211</f>
        <v>1.2</v>
      </c>
      <c r="AF448" s="64">
        <f>Esc!AE211</f>
        <v>1.2</v>
      </c>
      <c r="AG448" s="64">
        <f>Esc!AF211</f>
        <v>1.2</v>
      </c>
      <c r="AH448" s="64">
        <f>Esc!AG211</f>
        <v>1.19</v>
      </c>
      <c r="AI448" s="64">
        <f>Esc!AH211</f>
        <v>1.19</v>
      </c>
      <c r="AJ448" s="64">
        <f>Esc!AI211</f>
        <v>1.19</v>
      </c>
      <c r="AK448" s="64">
        <f>Esc!AJ211</f>
        <v>1.18</v>
      </c>
      <c r="AL448" s="64">
        <f>Esc!AK211</f>
        <v>1.18</v>
      </c>
      <c r="AM448" s="64">
        <f>Esc!AL211</f>
        <v>1.17</v>
      </c>
      <c r="AN448" s="64">
        <f>Esc!AM211</f>
        <v>1.17</v>
      </c>
      <c r="AO448" s="64">
        <f t="shared" ref="AO448:BD451" si="176">AN448</f>
        <v>1.17</v>
      </c>
      <c r="AP448" s="64">
        <f t="shared" si="176"/>
        <v>1.17</v>
      </c>
      <c r="AQ448" s="64">
        <f t="shared" si="176"/>
        <v>1.17</v>
      </c>
      <c r="AR448" s="64">
        <f t="shared" si="176"/>
        <v>1.17</v>
      </c>
      <c r="AS448" s="64">
        <f t="shared" si="176"/>
        <v>1.17</v>
      </c>
      <c r="AT448" s="64">
        <f t="shared" si="176"/>
        <v>1.17</v>
      </c>
      <c r="AU448" s="64">
        <f t="shared" si="176"/>
        <v>1.17</v>
      </c>
      <c r="AV448" s="64">
        <f t="shared" si="176"/>
        <v>1.17</v>
      </c>
      <c r="AW448" s="64">
        <f t="shared" si="176"/>
        <v>1.17</v>
      </c>
      <c r="AX448" s="64">
        <f t="shared" si="176"/>
        <v>1.17</v>
      </c>
      <c r="AY448" s="64">
        <f t="shared" si="176"/>
        <v>1.17</v>
      </c>
      <c r="AZ448" s="64">
        <f t="shared" si="176"/>
        <v>1.17</v>
      </c>
      <c r="BA448" s="64">
        <f t="shared" si="176"/>
        <v>1.17</v>
      </c>
      <c r="BB448" s="64">
        <f t="shared" si="176"/>
        <v>1.17</v>
      </c>
      <c r="BC448" s="64">
        <f t="shared" si="176"/>
        <v>1.17</v>
      </c>
      <c r="BD448" s="64">
        <f t="shared" si="176"/>
        <v>1.17</v>
      </c>
      <c r="BE448" s="64">
        <f t="shared" si="175"/>
        <v>1.17</v>
      </c>
      <c r="BF448" s="64">
        <f t="shared" si="175"/>
        <v>1.17</v>
      </c>
      <c r="BG448" s="64">
        <f t="shared" si="175"/>
        <v>1.17</v>
      </c>
      <c r="BH448" s="64">
        <f t="shared" si="175"/>
        <v>1.17</v>
      </c>
    </row>
    <row r="449" spans="1:60" s="64" customFormat="1" hidden="1" outlineLevel="1">
      <c r="B449" s="64" t="str">
        <f>Esc!A212</f>
        <v>Combustóleo</v>
      </c>
      <c r="C449" s="64">
        <f>Esc!B212</f>
        <v>5.15</v>
      </c>
      <c r="D449" s="64">
        <f>Esc!C212</f>
        <v>1.07</v>
      </c>
      <c r="E449" s="64">
        <f>Esc!D212</f>
        <v>5.25</v>
      </c>
      <c r="F449" s="64">
        <f>Esc!E212</f>
        <v>10.199999999999999</v>
      </c>
      <c r="G449" s="64">
        <f>Esc!F212</f>
        <v>8.7899999999999991</v>
      </c>
      <c r="H449" s="64">
        <f>Esc!G212</f>
        <v>2.64</v>
      </c>
      <c r="I449" s="64">
        <f>Esc!H212</f>
        <v>4.12</v>
      </c>
      <c r="J449" s="64">
        <f>Esc!I212</f>
        <v>4.13</v>
      </c>
      <c r="K449" s="64">
        <f>Esc!J212</f>
        <v>5.0999999999999996</v>
      </c>
      <c r="L449" s="64">
        <f>Esc!K212</f>
        <v>4.93</v>
      </c>
      <c r="M449" s="64">
        <f>Esc!L212</f>
        <v>4.76</v>
      </c>
      <c r="N449" s="64">
        <f>Esc!M212</f>
        <v>4.58</v>
      </c>
      <c r="O449" s="64">
        <f>Esc!N212</f>
        <v>4.41</v>
      </c>
      <c r="P449" s="64">
        <f>Esc!O212</f>
        <v>4.2300000000000004</v>
      </c>
      <c r="Q449" s="64">
        <f>Esc!P212</f>
        <v>4.05</v>
      </c>
      <c r="R449" s="64">
        <f>Esc!Q212</f>
        <v>3.88</v>
      </c>
      <c r="S449" s="64">
        <f>Esc!R212</f>
        <v>3.7</v>
      </c>
      <c r="T449" s="64">
        <f>Esc!S212</f>
        <v>3.52</v>
      </c>
      <c r="U449" s="64">
        <f>Esc!T212</f>
        <v>3.35</v>
      </c>
      <c r="V449" s="64">
        <f>Esc!U212</f>
        <v>3.17</v>
      </c>
      <c r="W449" s="64">
        <f>Esc!V212</f>
        <v>3</v>
      </c>
      <c r="X449" s="64">
        <f>Esc!W212</f>
        <v>2.82</v>
      </c>
      <c r="Y449" s="64">
        <f>Esc!X212</f>
        <v>2.64</v>
      </c>
      <c r="Z449" s="64">
        <f>Esc!Y212</f>
        <v>2.4700000000000002</v>
      </c>
      <c r="AA449" s="64">
        <f>Esc!Z212</f>
        <v>2.29</v>
      </c>
      <c r="AB449" s="64">
        <f>Esc!AA212</f>
        <v>2.11</v>
      </c>
      <c r="AC449" s="64">
        <f>Esc!AB212</f>
        <v>1.94</v>
      </c>
      <c r="AD449" s="64">
        <f>Esc!AC212</f>
        <v>1.76</v>
      </c>
      <c r="AE449" s="64">
        <f>Esc!AD212</f>
        <v>1.59</v>
      </c>
      <c r="AF449" s="64">
        <f>Esc!AE212</f>
        <v>1.41</v>
      </c>
      <c r="AG449" s="64">
        <f>Esc!AF212</f>
        <v>1.23</v>
      </c>
      <c r="AH449" s="64">
        <f>Esc!AG212</f>
        <v>1.06</v>
      </c>
      <c r="AI449" s="64">
        <f>Esc!AH212</f>
        <v>0.88</v>
      </c>
      <c r="AJ449" s="64">
        <f>Esc!AI212</f>
        <v>0.7</v>
      </c>
      <c r="AK449" s="64">
        <f>Esc!AJ212</f>
        <v>0.53</v>
      </c>
      <c r="AL449" s="64">
        <f>Esc!AK212</f>
        <v>0.35</v>
      </c>
      <c r="AM449" s="64">
        <f>Esc!AL212</f>
        <v>0.18</v>
      </c>
      <c r="AN449" s="64">
        <f>Esc!AM212</f>
        <v>0</v>
      </c>
      <c r="AO449" s="64">
        <f t="shared" si="176"/>
        <v>0</v>
      </c>
      <c r="AP449" s="64">
        <f t="shared" si="175"/>
        <v>0</v>
      </c>
      <c r="AQ449" s="64">
        <f t="shared" si="175"/>
        <v>0</v>
      </c>
      <c r="AR449" s="64">
        <f t="shared" si="175"/>
        <v>0</v>
      </c>
      <c r="AS449" s="64">
        <f t="shared" si="175"/>
        <v>0</v>
      </c>
      <c r="AT449" s="64">
        <f t="shared" si="175"/>
        <v>0</v>
      </c>
      <c r="AU449" s="64">
        <f t="shared" si="175"/>
        <v>0</v>
      </c>
      <c r="AV449" s="64">
        <f t="shared" si="175"/>
        <v>0</v>
      </c>
      <c r="AW449" s="64">
        <f t="shared" si="175"/>
        <v>0</v>
      </c>
      <c r="AX449" s="64">
        <f t="shared" si="175"/>
        <v>0</v>
      </c>
      <c r="AY449" s="64">
        <f t="shared" si="175"/>
        <v>0</v>
      </c>
      <c r="AZ449" s="64">
        <f t="shared" si="175"/>
        <v>0</v>
      </c>
      <c r="BA449" s="64">
        <f t="shared" si="175"/>
        <v>0</v>
      </c>
      <c r="BB449" s="64">
        <f t="shared" si="175"/>
        <v>0</v>
      </c>
      <c r="BC449" s="64">
        <f t="shared" si="175"/>
        <v>0</v>
      </c>
      <c r="BD449" s="64">
        <f t="shared" si="175"/>
        <v>0</v>
      </c>
      <c r="BE449" s="64">
        <f t="shared" si="175"/>
        <v>0</v>
      </c>
      <c r="BF449" s="64">
        <f t="shared" si="175"/>
        <v>0</v>
      </c>
      <c r="BG449" s="64">
        <f t="shared" si="175"/>
        <v>0</v>
      </c>
      <c r="BH449" s="64">
        <f t="shared" si="175"/>
        <v>0</v>
      </c>
    </row>
    <row r="450" spans="1:60" s="64" customFormat="1" hidden="1" outlineLevel="1">
      <c r="B450" s="64" t="str">
        <f>Esc!A214</f>
        <v>Gas seco</v>
      </c>
      <c r="C450" s="64">
        <f>Esc!B214</f>
        <v>32.659999999999997</v>
      </c>
      <c r="D450" s="64">
        <f>Esc!C214</f>
        <v>30.97</v>
      </c>
      <c r="E450" s="64">
        <f>Esc!D214</f>
        <v>31.97</v>
      </c>
      <c r="F450" s="64">
        <f>Esc!E214</f>
        <v>35.42</v>
      </c>
      <c r="G450" s="64">
        <f>Esc!F214</f>
        <v>33.950000000000003</v>
      </c>
      <c r="H450" s="64">
        <f>Esc!G214</f>
        <v>35.22</v>
      </c>
      <c r="I450" s="64">
        <f>Esc!H214</f>
        <v>36.43</v>
      </c>
      <c r="J450" s="64">
        <f>Esc!I214</f>
        <v>31.57</v>
      </c>
      <c r="K450" s="64">
        <f>Esc!J214</f>
        <v>38.69</v>
      </c>
      <c r="L450" s="64">
        <f>Esc!K214</f>
        <v>39.29</v>
      </c>
      <c r="M450" s="64">
        <f>Esc!L214</f>
        <v>39.659999999999997</v>
      </c>
      <c r="N450" s="64">
        <f>Esc!M214</f>
        <v>40.03</v>
      </c>
      <c r="O450" s="64">
        <f>Esc!N214</f>
        <v>40.409999999999997</v>
      </c>
      <c r="P450" s="64">
        <f>Esc!O214</f>
        <v>40.78</v>
      </c>
      <c r="Q450" s="64">
        <f>Esc!P214</f>
        <v>41.15</v>
      </c>
      <c r="R450" s="64">
        <f>Esc!Q214</f>
        <v>41.52</v>
      </c>
      <c r="S450" s="64">
        <f>Esc!R214</f>
        <v>41.89</v>
      </c>
      <c r="T450" s="64">
        <f>Esc!S214</f>
        <v>42.26</v>
      </c>
      <c r="U450" s="64">
        <f>Esc!T214</f>
        <v>42.64</v>
      </c>
      <c r="V450" s="64">
        <f>Esc!U214</f>
        <v>43.01</v>
      </c>
      <c r="W450" s="64">
        <f>Esc!V214</f>
        <v>43.38</v>
      </c>
      <c r="X450" s="64">
        <f>Esc!W214</f>
        <v>43.55</v>
      </c>
      <c r="Y450" s="64">
        <f>Esc!X214</f>
        <v>43.44</v>
      </c>
      <c r="Z450" s="64">
        <f>Esc!Y214</f>
        <v>43.33</v>
      </c>
      <c r="AA450" s="64">
        <f>Esc!Z214</f>
        <v>43.22</v>
      </c>
      <c r="AB450" s="64">
        <f>Esc!AA214</f>
        <v>43.11</v>
      </c>
      <c r="AC450" s="64">
        <f>Esc!AB214</f>
        <v>43</v>
      </c>
      <c r="AD450" s="64">
        <f>Esc!AC214</f>
        <v>42.89</v>
      </c>
      <c r="AE450" s="64">
        <f>Esc!AD214</f>
        <v>42.78</v>
      </c>
      <c r="AF450" s="64">
        <f>Esc!AE214</f>
        <v>42.67</v>
      </c>
      <c r="AG450" s="64">
        <f>Esc!AF214</f>
        <v>42.56</v>
      </c>
      <c r="AH450" s="64">
        <f>Esc!AG214</f>
        <v>42.45</v>
      </c>
      <c r="AI450" s="64">
        <f>Esc!AH214</f>
        <v>42.34</v>
      </c>
      <c r="AJ450" s="64">
        <f>Esc!AI214</f>
        <v>42.23</v>
      </c>
      <c r="AK450" s="64">
        <f>Esc!AJ214</f>
        <v>42.12</v>
      </c>
      <c r="AL450" s="64">
        <f>Esc!AK214</f>
        <v>42.01</v>
      </c>
      <c r="AM450" s="64">
        <f>Esc!AL214</f>
        <v>41.9</v>
      </c>
      <c r="AN450" s="64">
        <f>Esc!AM214</f>
        <v>41.79</v>
      </c>
      <c r="AO450" s="64">
        <f t="shared" si="176"/>
        <v>41.79</v>
      </c>
      <c r="AP450" s="64">
        <f t="shared" si="175"/>
        <v>41.79</v>
      </c>
      <c r="AQ450" s="64">
        <f t="shared" si="175"/>
        <v>41.79</v>
      </c>
      <c r="AR450" s="64">
        <f t="shared" si="175"/>
        <v>41.79</v>
      </c>
      <c r="AS450" s="64">
        <f t="shared" si="175"/>
        <v>41.79</v>
      </c>
      <c r="AT450" s="64">
        <f t="shared" si="175"/>
        <v>41.79</v>
      </c>
      <c r="AU450" s="64">
        <f t="shared" si="175"/>
        <v>41.79</v>
      </c>
      <c r="AV450" s="64">
        <f t="shared" si="175"/>
        <v>41.79</v>
      </c>
      <c r="AW450" s="64">
        <f t="shared" si="175"/>
        <v>41.79</v>
      </c>
      <c r="AX450" s="64">
        <f t="shared" si="175"/>
        <v>41.79</v>
      </c>
      <c r="AY450" s="64">
        <f t="shared" si="175"/>
        <v>41.79</v>
      </c>
      <c r="AZ450" s="64">
        <f t="shared" si="175"/>
        <v>41.79</v>
      </c>
      <c r="BA450" s="64">
        <f t="shared" si="175"/>
        <v>41.79</v>
      </c>
      <c r="BB450" s="64">
        <f t="shared" si="175"/>
        <v>41.79</v>
      </c>
      <c r="BC450" s="64">
        <f t="shared" si="175"/>
        <v>41.79</v>
      </c>
      <c r="BD450" s="64">
        <f t="shared" si="175"/>
        <v>41.79</v>
      </c>
      <c r="BE450" s="64">
        <f t="shared" si="175"/>
        <v>41.79</v>
      </c>
      <c r="BF450" s="64">
        <f t="shared" si="175"/>
        <v>41.79</v>
      </c>
      <c r="BG450" s="64">
        <f t="shared" si="175"/>
        <v>41.79</v>
      </c>
      <c r="BH450" s="64">
        <f t="shared" si="175"/>
        <v>41.79</v>
      </c>
    </row>
    <row r="451" spans="1:60" s="64" customFormat="1" hidden="1" outlineLevel="1">
      <c r="B451" s="64" t="str">
        <f>Esc!A215</f>
        <v>Electricidad</v>
      </c>
      <c r="C451" s="64">
        <f>Esc!B215</f>
        <v>10.3</v>
      </c>
      <c r="D451" s="64">
        <f>Esc!C215</f>
        <v>10.96</v>
      </c>
      <c r="E451" s="64">
        <f>Esc!D215</f>
        <v>10.9</v>
      </c>
      <c r="F451" s="64">
        <f>Esc!E215</f>
        <v>11.93</v>
      </c>
      <c r="G451" s="64">
        <f>Esc!F215</f>
        <v>11.58</v>
      </c>
      <c r="H451" s="64">
        <f>Esc!G215</f>
        <v>11.85</v>
      </c>
      <c r="I451" s="64">
        <f>Esc!H215</f>
        <v>12.28</v>
      </c>
      <c r="J451" s="64">
        <f>Esc!I215</f>
        <v>11.6</v>
      </c>
      <c r="K451" s="64">
        <f>Esc!J215</f>
        <v>12.25</v>
      </c>
      <c r="L451" s="64">
        <f>Esc!K215</f>
        <v>16.84</v>
      </c>
      <c r="M451" s="64">
        <f>Esc!L215</f>
        <v>17.82</v>
      </c>
      <c r="N451" s="64">
        <f>Esc!M215</f>
        <v>18.79</v>
      </c>
      <c r="O451" s="64">
        <f>Esc!N215</f>
        <v>19.77</v>
      </c>
      <c r="P451" s="64">
        <f>Esc!O215</f>
        <v>20.74</v>
      </c>
      <c r="Q451" s="64">
        <f>Esc!P215</f>
        <v>21.72</v>
      </c>
      <c r="R451" s="64">
        <f>Esc!Q215</f>
        <v>22.69</v>
      </c>
      <c r="S451" s="64">
        <f>Esc!R215</f>
        <v>23.67</v>
      </c>
      <c r="T451" s="64">
        <f>Esc!S215</f>
        <v>24.65</v>
      </c>
      <c r="U451" s="64">
        <f>Esc!T215</f>
        <v>25.62</v>
      </c>
      <c r="V451" s="64">
        <f>Esc!U215</f>
        <v>26.6</v>
      </c>
      <c r="W451" s="64">
        <f>Esc!V215</f>
        <v>27.57</v>
      </c>
      <c r="X451" s="64">
        <f>Esc!W215</f>
        <v>28.76</v>
      </c>
      <c r="Y451" s="64">
        <f>Esc!X215</f>
        <v>30.21</v>
      </c>
      <c r="Z451" s="64">
        <f>Esc!Y215</f>
        <v>31.67</v>
      </c>
      <c r="AA451" s="64">
        <f>Esc!Z215</f>
        <v>33.130000000000003</v>
      </c>
      <c r="AB451" s="64">
        <f>Esc!AA215</f>
        <v>34.58</v>
      </c>
      <c r="AC451" s="64">
        <f>Esc!AB215</f>
        <v>36.04</v>
      </c>
      <c r="AD451" s="64">
        <f>Esc!AC215</f>
        <v>37.5</v>
      </c>
      <c r="AE451" s="64">
        <f>Esc!AD215</f>
        <v>38.96</v>
      </c>
      <c r="AF451" s="64">
        <f>Esc!AE215</f>
        <v>40.409999999999997</v>
      </c>
      <c r="AG451" s="64">
        <f>Esc!AF215</f>
        <v>41.87</v>
      </c>
      <c r="AH451" s="64">
        <f>Esc!AG215</f>
        <v>43.33</v>
      </c>
      <c r="AI451" s="64">
        <f>Esc!AH215</f>
        <v>44.79</v>
      </c>
      <c r="AJ451" s="64">
        <f>Esc!AI215</f>
        <v>46.24</v>
      </c>
      <c r="AK451" s="64">
        <f>Esc!AJ215</f>
        <v>47.7</v>
      </c>
      <c r="AL451" s="64">
        <f>Esc!AK215</f>
        <v>49.16</v>
      </c>
      <c r="AM451" s="64">
        <f>Esc!AL215</f>
        <v>50.62</v>
      </c>
      <c r="AN451" s="64">
        <f>Esc!AM215</f>
        <v>52.07</v>
      </c>
      <c r="AO451" s="64">
        <f t="shared" si="176"/>
        <v>52.07</v>
      </c>
      <c r="AP451" s="64">
        <f t="shared" si="175"/>
        <v>52.07</v>
      </c>
      <c r="AQ451" s="64">
        <f t="shared" si="175"/>
        <v>52.07</v>
      </c>
      <c r="AR451" s="64">
        <f t="shared" si="175"/>
        <v>52.07</v>
      </c>
      <c r="AS451" s="64">
        <f t="shared" si="175"/>
        <v>52.07</v>
      </c>
      <c r="AT451" s="64">
        <f t="shared" si="175"/>
        <v>52.07</v>
      </c>
      <c r="AU451" s="64">
        <f t="shared" si="175"/>
        <v>52.07</v>
      </c>
      <c r="AV451" s="64">
        <f t="shared" si="175"/>
        <v>52.07</v>
      </c>
      <c r="AW451" s="64">
        <f t="shared" si="175"/>
        <v>52.07</v>
      </c>
      <c r="AX451" s="64">
        <f t="shared" si="175"/>
        <v>52.07</v>
      </c>
      <c r="AY451" s="64">
        <f t="shared" si="175"/>
        <v>52.07</v>
      </c>
      <c r="AZ451" s="64">
        <f t="shared" si="175"/>
        <v>52.07</v>
      </c>
      <c r="BA451" s="64">
        <f t="shared" si="175"/>
        <v>52.07</v>
      </c>
      <c r="BB451" s="64">
        <f t="shared" si="175"/>
        <v>52.07</v>
      </c>
      <c r="BC451" s="64">
        <f t="shared" si="175"/>
        <v>52.07</v>
      </c>
      <c r="BD451" s="64">
        <f t="shared" si="175"/>
        <v>52.07</v>
      </c>
      <c r="BE451" s="64">
        <f t="shared" si="175"/>
        <v>52.07</v>
      </c>
      <c r="BF451" s="64">
        <f t="shared" si="175"/>
        <v>52.07</v>
      </c>
      <c r="BG451" s="64">
        <f t="shared" si="175"/>
        <v>52.07</v>
      </c>
      <c r="BH451" s="64">
        <f t="shared" si="175"/>
        <v>52.07</v>
      </c>
    </row>
    <row r="452" spans="1:60" collapsed="1">
      <c r="A452" s="67" t="s">
        <v>169</v>
      </c>
    </row>
    <row r="453" spans="1:60" hidden="1" outlineLevel="1">
      <c r="B453" t="str">
        <f>A.15!A117</f>
        <v>Coque de carbón</v>
      </c>
      <c r="C453">
        <f>A.15!B117</f>
        <v>0</v>
      </c>
      <c r="D453">
        <f>A.15!C117</f>
        <v>0</v>
      </c>
      <c r="E453">
        <f>A.15!D117</f>
        <v>0</v>
      </c>
      <c r="F453">
        <f>A.15!E117</f>
        <v>0</v>
      </c>
      <c r="G453">
        <f>A.15!F117</f>
        <v>0</v>
      </c>
      <c r="H453">
        <f>A.15!G117</f>
        <v>0</v>
      </c>
      <c r="I453">
        <f>A.15!H117</f>
        <v>0</v>
      </c>
      <c r="J453">
        <f>A.15!I117</f>
        <v>0</v>
      </c>
      <c r="K453">
        <f>A.15!J117</f>
        <v>0.98</v>
      </c>
      <c r="L453">
        <f>A.15!K117</f>
        <v>0.99</v>
      </c>
      <c r="M453">
        <f>A.15!L117</f>
        <v>0.96</v>
      </c>
    </row>
    <row r="454" spans="1:60" hidden="1" outlineLevel="1">
      <c r="B454" t="str">
        <f>A.15!A118</f>
        <v>Coque de petróleo</v>
      </c>
      <c r="C454">
        <f>A.15!B118</f>
        <v>1.9</v>
      </c>
      <c r="D454">
        <f>A.15!C118</f>
        <v>0.57999999999999996</v>
      </c>
      <c r="E454">
        <f>A.15!D118</f>
        <v>1.94</v>
      </c>
      <c r="F454">
        <f>A.15!E118</f>
        <v>7.73</v>
      </c>
      <c r="G454">
        <f>A.15!F118</f>
        <v>5.36</v>
      </c>
      <c r="H454">
        <f>A.15!G118</f>
        <v>5.75</v>
      </c>
      <c r="I454">
        <f>A.15!H118</f>
        <v>2.9</v>
      </c>
      <c r="J454">
        <f>A.15!I118</f>
        <v>2.67</v>
      </c>
      <c r="K454">
        <f>A.15!J118</f>
        <v>5.29</v>
      </c>
      <c r="L454">
        <f>A.15!K118</f>
        <v>5.39</v>
      </c>
      <c r="M454">
        <f>A.15!L118</f>
        <v>5.23</v>
      </c>
    </row>
    <row r="455" spans="1:60" hidden="1" outlineLevel="1">
      <c r="B455" t="str">
        <f>A.15!A120</f>
        <v>Gas licuado</v>
      </c>
      <c r="C455">
        <f>A.15!B120</f>
        <v>0.84</v>
      </c>
      <c r="D455">
        <f>A.15!C120</f>
        <v>0.84</v>
      </c>
      <c r="E455">
        <f>A.15!D120</f>
        <v>0.82</v>
      </c>
      <c r="F455">
        <f>A.15!E120</f>
        <v>0.78</v>
      </c>
      <c r="G455">
        <f>A.15!F120</f>
        <v>0.77</v>
      </c>
      <c r="H455">
        <f>A.15!G120</f>
        <v>0.75</v>
      </c>
      <c r="I455">
        <f>A.15!H120</f>
        <v>0.73</v>
      </c>
      <c r="J455">
        <f>A.15!I120</f>
        <v>0.68</v>
      </c>
      <c r="K455">
        <f>A.15!J120</f>
        <v>0.77</v>
      </c>
      <c r="L455">
        <f>A.15!K120</f>
        <v>0.78</v>
      </c>
      <c r="M455">
        <f>A.15!L120</f>
        <v>0.76</v>
      </c>
    </row>
    <row r="456" spans="1:60" hidden="1" outlineLevel="1">
      <c r="B456" t="str">
        <f>A.15!A121</f>
        <v>Gasolinas y naftas</v>
      </c>
      <c r="C456">
        <f>A.15!B121</f>
        <v>0</v>
      </c>
      <c r="D456">
        <f>A.15!C121</f>
        <v>0</v>
      </c>
      <c r="E456">
        <f>A.15!D121</f>
        <v>0</v>
      </c>
      <c r="F456">
        <f>A.15!E121</f>
        <v>0</v>
      </c>
      <c r="G456">
        <f>A.15!F121</f>
        <v>0</v>
      </c>
      <c r="H456">
        <f>A.15!G121</f>
        <v>0</v>
      </c>
      <c r="I456">
        <f>A.15!H121</f>
        <v>0</v>
      </c>
      <c r="J456">
        <f>A.15!I121</f>
        <v>0</v>
      </c>
      <c r="K456">
        <f>A.15!J121</f>
        <v>0</v>
      </c>
      <c r="L456">
        <f>A.15!K121</f>
        <v>0</v>
      </c>
      <c r="M456">
        <f>A.15!L121</f>
        <v>0</v>
      </c>
    </row>
    <row r="457" spans="1:60" hidden="1" outlineLevel="1">
      <c r="B457" t="str">
        <f>A.15!A122</f>
        <v>Querosenos</v>
      </c>
      <c r="C457">
        <f>A.15!B122</f>
        <v>0</v>
      </c>
      <c r="D457">
        <f>A.15!C122</f>
        <v>0</v>
      </c>
      <c r="E457">
        <f>A.15!D122</f>
        <v>0</v>
      </c>
      <c r="F457">
        <f>A.15!E122</f>
        <v>0</v>
      </c>
      <c r="G457">
        <f>A.15!F122</f>
        <v>0</v>
      </c>
      <c r="H457">
        <f>A.15!G122</f>
        <v>0</v>
      </c>
      <c r="I457">
        <f>A.15!H122</f>
        <v>0</v>
      </c>
      <c r="J457">
        <f>A.15!I122</f>
        <v>0</v>
      </c>
      <c r="K457">
        <f>A.15!J122</f>
        <v>0</v>
      </c>
      <c r="L457">
        <f>A.15!K122</f>
        <v>0</v>
      </c>
      <c r="M457">
        <f>A.15!L122</f>
        <v>0</v>
      </c>
    </row>
    <row r="458" spans="1:60" hidden="1" outlineLevel="1">
      <c r="B458" t="str">
        <f>A.15!A123</f>
        <v>Diésel</v>
      </c>
      <c r="C458">
        <f>A.15!B123</f>
        <v>4.2</v>
      </c>
      <c r="D458">
        <f>A.15!C123</f>
        <v>4.18</v>
      </c>
      <c r="E458">
        <f>A.15!D123</f>
        <v>4.09</v>
      </c>
      <c r="F458">
        <f>A.15!E123</f>
        <v>3.91</v>
      </c>
      <c r="G458">
        <f>A.15!F123</f>
        <v>3.86</v>
      </c>
      <c r="H458">
        <f>A.15!G123</f>
        <v>3.73</v>
      </c>
      <c r="I458">
        <f>A.15!H123</f>
        <v>3.62</v>
      </c>
      <c r="J458">
        <f>A.15!I123</f>
        <v>3.41</v>
      </c>
      <c r="K458">
        <f>A.15!J123</f>
        <v>5.48</v>
      </c>
      <c r="L458">
        <f>A.15!K123</f>
        <v>5.58</v>
      </c>
      <c r="M458">
        <f>A.15!L123</f>
        <v>5.28</v>
      </c>
    </row>
    <row r="459" spans="1:60" hidden="1" outlineLevel="1">
      <c r="B459" t="str">
        <f>A.15!A124</f>
        <v>Combustóleo</v>
      </c>
      <c r="C459">
        <f>A.15!B124</f>
        <v>3.37</v>
      </c>
      <c r="D459">
        <f>A.15!C124</f>
        <v>1.87</v>
      </c>
      <c r="E459">
        <f>A.15!D124</f>
        <v>1.84</v>
      </c>
      <c r="F459">
        <f>A.15!E124</f>
        <v>2.42</v>
      </c>
      <c r="G459">
        <f>A.15!F124</f>
        <v>2.34</v>
      </c>
      <c r="H459">
        <f>A.15!G124</f>
        <v>0.71</v>
      </c>
      <c r="I459">
        <f>A.15!H124</f>
        <v>1.1000000000000001</v>
      </c>
      <c r="J459">
        <f>A.15!I124</f>
        <v>1.1000000000000001</v>
      </c>
      <c r="K459">
        <f>A.15!J124</f>
        <v>1.1000000000000001</v>
      </c>
      <c r="L459">
        <f>A.15!K124</f>
        <v>1.1200000000000001</v>
      </c>
      <c r="M459">
        <f>A.15!L124</f>
        <v>1.08</v>
      </c>
    </row>
    <row r="460" spans="1:60" hidden="1" outlineLevel="1">
      <c r="B460" t="str">
        <f>A.15!A125</f>
        <v>Productos no
energéticos</v>
      </c>
      <c r="C460">
        <f>A.15!B125</f>
        <v>0</v>
      </c>
      <c r="D460">
        <f>A.15!C125</f>
        <v>0</v>
      </c>
      <c r="E460">
        <f>A.15!D125</f>
        <v>0</v>
      </c>
      <c r="F460">
        <f>A.15!E125</f>
        <v>0</v>
      </c>
      <c r="G460">
        <f>A.15!F125</f>
        <v>0</v>
      </c>
      <c r="H460">
        <f>A.15!G125</f>
        <v>0</v>
      </c>
      <c r="I460">
        <f>A.15!H125</f>
        <v>0</v>
      </c>
      <c r="J460">
        <f>A.15!I125</f>
        <v>0</v>
      </c>
      <c r="K460">
        <f>A.15!J125</f>
        <v>0</v>
      </c>
      <c r="L460">
        <f>A.15!K125</f>
        <v>0</v>
      </c>
      <c r="M460">
        <f>A.15!L125</f>
        <v>0</v>
      </c>
    </row>
    <row r="461" spans="1:60" hidden="1" outlineLevel="1">
      <c r="B461" t="str">
        <f>A.15!A126</f>
        <v>Gas seco</v>
      </c>
      <c r="C461">
        <f>A.15!B126</f>
        <v>66.290000000000006</v>
      </c>
      <c r="D461">
        <f>A.15!C126</f>
        <v>78.48</v>
      </c>
      <c r="E461">
        <f>A.15!D126</f>
        <v>71.38</v>
      </c>
      <c r="F461">
        <f>A.15!E126</f>
        <v>73.900000000000006</v>
      </c>
      <c r="G461">
        <f>A.15!F126</f>
        <v>81.38</v>
      </c>
      <c r="H461">
        <f>A.15!G126</f>
        <v>85.74</v>
      </c>
      <c r="I461">
        <f>A.15!H126</f>
        <v>90.74</v>
      </c>
      <c r="J461">
        <f>A.15!I126</f>
        <v>78.64</v>
      </c>
      <c r="K461">
        <f>A.15!J126</f>
        <v>67.099999999999994</v>
      </c>
      <c r="L461">
        <f>A.15!K126</f>
        <v>65.87</v>
      </c>
      <c r="M461">
        <f>A.15!L126</f>
        <v>63.71</v>
      </c>
    </row>
    <row r="462" spans="1:60" hidden="1" outlineLevel="1">
      <c r="B462" t="str">
        <f>A.15!A127</f>
        <v>Energía eléctrica</v>
      </c>
      <c r="C462">
        <f>A.15!B127</f>
        <v>17.13</v>
      </c>
      <c r="D462">
        <f>A.15!C127</f>
        <v>17.059999999999999</v>
      </c>
      <c r="E462">
        <f>A.15!D127</f>
        <v>16.68</v>
      </c>
      <c r="F462">
        <f>A.15!E127</f>
        <v>16.86</v>
      </c>
      <c r="G462">
        <f>A.15!F127</f>
        <v>15.8</v>
      </c>
      <c r="H462">
        <f>A.15!G127</f>
        <v>15.52</v>
      </c>
      <c r="I462">
        <f>A.15!H127</f>
        <v>14.79</v>
      </c>
      <c r="J462">
        <f>A.15!I127</f>
        <v>13.95</v>
      </c>
      <c r="K462">
        <f>A.15!J127</f>
        <v>5.77</v>
      </c>
      <c r="L462">
        <f>A.15!K127</f>
        <v>22.63</v>
      </c>
      <c r="M462">
        <f>A.15!L127</f>
        <v>5.47</v>
      </c>
    </row>
    <row r="463" spans="1:60" hidden="1" outlineLevel="1"/>
    <row r="464" spans="1:60" s="64" customFormat="1" hidden="1" outlineLevel="1">
      <c r="B464" s="64" t="str">
        <f>Esc!A114</f>
        <v>Coque de petróleo</v>
      </c>
      <c r="C464" s="64">
        <f>Esc!B114</f>
        <v>1.91</v>
      </c>
      <c r="D464" s="64">
        <f>Esc!C114</f>
        <v>0.57999999999999996</v>
      </c>
      <c r="E464" s="64">
        <f>Esc!D114</f>
        <v>1.94</v>
      </c>
      <c r="F464" s="64">
        <f>Esc!E114</f>
        <v>6.81</v>
      </c>
      <c r="G464" s="64">
        <f>Esc!F114</f>
        <v>5.36</v>
      </c>
      <c r="H464" s="64">
        <f>Esc!G114</f>
        <v>6.26</v>
      </c>
      <c r="I464" s="64">
        <f>Esc!H114</f>
        <v>7.89</v>
      </c>
      <c r="J464" s="64">
        <f>Esc!I114</f>
        <v>5.67</v>
      </c>
      <c r="K464" s="64">
        <f>Esc!J114</f>
        <v>5.69</v>
      </c>
      <c r="L464" s="64">
        <f>Esc!K114</f>
        <v>5.75</v>
      </c>
      <c r="M464" s="64">
        <f>Esc!L114</f>
        <v>5.88</v>
      </c>
      <c r="N464" s="64">
        <f>Esc!M114</f>
        <v>6</v>
      </c>
      <c r="O464" s="64">
        <f>Esc!N114</f>
        <v>6.12</v>
      </c>
      <c r="P464" s="64">
        <f>Esc!O114</f>
        <v>6.25</v>
      </c>
      <c r="Q464" s="64">
        <f>Esc!P114</f>
        <v>6.37</v>
      </c>
      <c r="R464" s="64">
        <f>Esc!Q114</f>
        <v>6.49</v>
      </c>
      <c r="S464" s="64">
        <f>Esc!R114</f>
        <v>6.62</v>
      </c>
      <c r="T464" s="64">
        <f>Esc!S114</f>
        <v>6.74</v>
      </c>
      <c r="U464" s="64">
        <f>Esc!T114</f>
        <v>6.86</v>
      </c>
      <c r="V464" s="64">
        <f>Esc!U114</f>
        <v>6.99</v>
      </c>
      <c r="W464" s="64">
        <f>Esc!V114</f>
        <v>7.11</v>
      </c>
      <c r="X464" s="64">
        <f>Esc!W114</f>
        <v>7.23</v>
      </c>
      <c r="Y464" s="64">
        <f>Esc!X114</f>
        <v>7.36</v>
      </c>
      <c r="Z464" s="64">
        <f>Esc!Y114</f>
        <v>7.48</v>
      </c>
      <c r="AA464" s="64">
        <f>Esc!Z114</f>
        <v>7.6</v>
      </c>
      <c r="AB464" s="64">
        <f>Esc!AA114</f>
        <v>7.72</v>
      </c>
      <c r="AC464" s="64">
        <f>Esc!AB114</f>
        <v>7.85</v>
      </c>
      <c r="AD464" s="64">
        <f>Esc!AC114</f>
        <v>7.97</v>
      </c>
      <c r="AE464" s="64">
        <f>Esc!AD114</f>
        <v>8.09</v>
      </c>
      <c r="AF464" s="64">
        <f>Esc!AE114</f>
        <v>8.2200000000000006</v>
      </c>
      <c r="AG464" s="64">
        <f>Esc!AF114</f>
        <v>8.34</v>
      </c>
      <c r="AH464" s="64">
        <f>Esc!AG114</f>
        <v>8.4600000000000009</v>
      </c>
      <c r="AI464" s="64">
        <f>Esc!AH114</f>
        <v>8.59</v>
      </c>
      <c r="AJ464" s="64">
        <f>Esc!AI114</f>
        <v>8.7100000000000009</v>
      </c>
      <c r="AK464" s="64">
        <f>Esc!AJ114</f>
        <v>8.83</v>
      </c>
      <c r="AL464" s="64">
        <f>Esc!AK114</f>
        <v>8.9600000000000009</v>
      </c>
      <c r="AM464" s="64">
        <f>Esc!AL114</f>
        <v>9.08</v>
      </c>
      <c r="AN464" s="64">
        <f>Esc!AM114</f>
        <v>9.1999999999999993</v>
      </c>
      <c r="AO464" s="64">
        <f>AN464</f>
        <v>9.1999999999999993</v>
      </c>
      <c r="AP464" s="64">
        <f t="shared" ref="AP464:BH469" si="177">AO464</f>
        <v>9.1999999999999993</v>
      </c>
      <c r="AQ464" s="64">
        <f t="shared" si="177"/>
        <v>9.1999999999999993</v>
      </c>
      <c r="AR464" s="64">
        <f t="shared" si="177"/>
        <v>9.1999999999999993</v>
      </c>
      <c r="AS464" s="64">
        <f t="shared" si="177"/>
        <v>9.1999999999999993</v>
      </c>
      <c r="AT464" s="64">
        <f t="shared" si="177"/>
        <v>9.1999999999999993</v>
      </c>
      <c r="AU464" s="64">
        <f t="shared" si="177"/>
        <v>9.1999999999999993</v>
      </c>
      <c r="AV464" s="64">
        <f t="shared" si="177"/>
        <v>9.1999999999999993</v>
      </c>
      <c r="AW464" s="64">
        <f t="shared" si="177"/>
        <v>9.1999999999999993</v>
      </c>
      <c r="AX464" s="64">
        <f t="shared" si="177"/>
        <v>9.1999999999999993</v>
      </c>
      <c r="AY464" s="64">
        <f t="shared" si="177"/>
        <v>9.1999999999999993</v>
      </c>
      <c r="AZ464" s="64">
        <f t="shared" si="177"/>
        <v>9.1999999999999993</v>
      </c>
      <c r="BA464" s="64">
        <f t="shared" si="177"/>
        <v>9.1999999999999993</v>
      </c>
      <c r="BB464" s="64">
        <f t="shared" si="177"/>
        <v>9.1999999999999993</v>
      </c>
      <c r="BC464" s="64">
        <f t="shared" si="177"/>
        <v>9.1999999999999993</v>
      </c>
      <c r="BD464" s="64">
        <f t="shared" si="177"/>
        <v>9.1999999999999993</v>
      </c>
      <c r="BE464" s="64">
        <f t="shared" si="177"/>
        <v>9.1999999999999993</v>
      </c>
      <c r="BF464" s="64">
        <f t="shared" si="177"/>
        <v>9.1999999999999993</v>
      </c>
      <c r="BG464" s="64">
        <f t="shared" si="177"/>
        <v>9.1999999999999993</v>
      </c>
      <c r="BH464" s="64">
        <f t="shared" si="177"/>
        <v>9.1999999999999993</v>
      </c>
    </row>
    <row r="465" spans="1:60" s="64" customFormat="1" hidden="1" outlineLevel="1">
      <c r="B465" s="64" t="str">
        <f>Esc!A115</f>
        <v>GLP</v>
      </c>
      <c r="C465" s="64">
        <f>Esc!B115</f>
        <v>0.84</v>
      </c>
      <c r="D465" s="64">
        <f>Esc!C115</f>
        <v>0.84</v>
      </c>
      <c r="E465" s="64">
        <f>Esc!D115</f>
        <v>0.82</v>
      </c>
      <c r="F465" s="64">
        <f>Esc!E115</f>
        <v>0.78</v>
      </c>
      <c r="G465" s="64">
        <f>Esc!F115</f>
        <v>0.77</v>
      </c>
      <c r="H465" s="64">
        <f>Esc!G115</f>
        <v>0.75</v>
      </c>
      <c r="I465" s="64">
        <f>Esc!H115</f>
        <v>0.72</v>
      </c>
      <c r="J465" s="64">
        <f>Esc!I115</f>
        <v>0.68</v>
      </c>
      <c r="K465" s="64">
        <f>Esc!J115</f>
        <v>0.56000000000000005</v>
      </c>
      <c r="L465" s="64">
        <f>Esc!K115</f>
        <v>0.59</v>
      </c>
      <c r="M465" s="64">
        <f>Esc!L115</f>
        <v>0.6</v>
      </c>
      <c r="N465" s="64">
        <f>Esc!M115</f>
        <v>0.6</v>
      </c>
      <c r="O465" s="64">
        <f>Esc!N115</f>
        <v>0.6</v>
      </c>
      <c r="P465" s="64">
        <f>Esc!O115</f>
        <v>0.61</v>
      </c>
      <c r="Q465" s="64">
        <f>Esc!P115</f>
        <v>0.61</v>
      </c>
      <c r="R465" s="64">
        <f>Esc!Q115</f>
        <v>0.61</v>
      </c>
      <c r="S465" s="64">
        <f>Esc!R115</f>
        <v>0.62</v>
      </c>
      <c r="T465" s="64">
        <f>Esc!S115</f>
        <v>0.62</v>
      </c>
      <c r="U465" s="64">
        <f>Esc!T115</f>
        <v>0.62</v>
      </c>
      <c r="V465" s="64">
        <f>Esc!U115</f>
        <v>0.63</v>
      </c>
      <c r="W465" s="64">
        <f>Esc!V115</f>
        <v>0.63</v>
      </c>
      <c r="X465" s="64">
        <f>Esc!W115</f>
        <v>0.63</v>
      </c>
      <c r="Y465" s="64">
        <f>Esc!X115</f>
        <v>0.64</v>
      </c>
      <c r="Z465" s="64">
        <f>Esc!Y115</f>
        <v>0.64</v>
      </c>
      <c r="AA465" s="64">
        <f>Esc!Z115</f>
        <v>0.64</v>
      </c>
      <c r="AB465" s="64">
        <f>Esc!AA115</f>
        <v>0.65</v>
      </c>
      <c r="AC465" s="64">
        <f>Esc!AB115</f>
        <v>0.65</v>
      </c>
      <c r="AD465" s="64">
        <f>Esc!AC115</f>
        <v>0.65</v>
      </c>
      <c r="AE465" s="64">
        <f>Esc!AD115</f>
        <v>0.65</v>
      </c>
      <c r="AF465" s="64">
        <f>Esc!AE115</f>
        <v>0.66</v>
      </c>
      <c r="AG465" s="64">
        <f>Esc!AF115</f>
        <v>0.66</v>
      </c>
      <c r="AH465" s="64">
        <f>Esc!AG115</f>
        <v>0.66</v>
      </c>
      <c r="AI465" s="64">
        <f>Esc!AH115</f>
        <v>0.67</v>
      </c>
      <c r="AJ465" s="64">
        <f>Esc!AI115</f>
        <v>0.67</v>
      </c>
      <c r="AK465" s="64">
        <f>Esc!AJ115</f>
        <v>0.67</v>
      </c>
      <c r="AL465" s="64">
        <f>Esc!AK115</f>
        <v>0.68</v>
      </c>
      <c r="AM465" s="64">
        <f>Esc!AL115</f>
        <v>0.68</v>
      </c>
      <c r="AN465" s="64">
        <f>Esc!AM115</f>
        <v>0.68</v>
      </c>
      <c r="AO465" s="64">
        <f t="shared" ref="AO465:BD469" si="178">AN465</f>
        <v>0.68</v>
      </c>
      <c r="AP465" s="64">
        <f t="shared" si="178"/>
        <v>0.68</v>
      </c>
      <c r="AQ465" s="64">
        <f t="shared" si="178"/>
        <v>0.68</v>
      </c>
      <c r="AR465" s="64">
        <f t="shared" si="178"/>
        <v>0.68</v>
      </c>
      <c r="AS465" s="64">
        <f t="shared" si="178"/>
        <v>0.68</v>
      </c>
      <c r="AT465" s="64">
        <f t="shared" si="178"/>
        <v>0.68</v>
      </c>
      <c r="AU465" s="64">
        <f t="shared" si="178"/>
        <v>0.68</v>
      </c>
      <c r="AV465" s="64">
        <f t="shared" si="178"/>
        <v>0.68</v>
      </c>
      <c r="AW465" s="64">
        <f t="shared" si="178"/>
        <v>0.68</v>
      </c>
      <c r="AX465" s="64">
        <f t="shared" si="178"/>
        <v>0.68</v>
      </c>
      <c r="AY465" s="64">
        <f t="shared" si="178"/>
        <v>0.68</v>
      </c>
      <c r="AZ465" s="64">
        <f t="shared" si="178"/>
        <v>0.68</v>
      </c>
      <c r="BA465" s="64">
        <f t="shared" si="178"/>
        <v>0.68</v>
      </c>
      <c r="BB465" s="64">
        <f t="shared" si="178"/>
        <v>0.68</v>
      </c>
      <c r="BC465" s="64">
        <f t="shared" si="178"/>
        <v>0.68</v>
      </c>
      <c r="BD465" s="64">
        <f t="shared" si="178"/>
        <v>0.68</v>
      </c>
      <c r="BE465" s="64">
        <f t="shared" si="177"/>
        <v>0.68</v>
      </c>
      <c r="BF465" s="64">
        <f t="shared" si="177"/>
        <v>0.68</v>
      </c>
      <c r="BG465" s="64">
        <f t="shared" si="177"/>
        <v>0.68</v>
      </c>
      <c r="BH465" s="64">
        <f t="shared" si="177"/>
        <v>0.68</v>
      </c>
    </row>
    <row r="466" spans="1:60" s="64" customFormat="1" hidden="1" outlineLevel="1">
      <c r="B466" s="64" t="str">
        <f>Esc!A118</f>
        <v>Diésel</v>
      </c>
      <c r="C466" s="64">
        <f>Esc!B118</f>
        <v>4.2</v>
      </c>
      <c r="D466" s="64">
        <f>Esc!C118</f>
        <v>4.18</v>
      </c>
      <c r="E466" s="64">
        <f>Esc!D118</f>
        <v>4.09</v>
      </c>
      <c r="F466" s="64">
        <f>Esc!E118</f>
        <v>3.91</v>
      </c>
      <c r="G466" s="64">
        <f>Esc!F118</f>
        <v>3.86</v>
      </c>
      <c r="H466" s="64">
        <f>Esc!G118</f>
        <v>3.73</v>
      </c>
      <c r="I466" s="64">
        <f>Esc!H118</f>
        <v>3.67</v>
      </c>
      <c r="J466" s="64">
        <f>Esc!I118</f>
        <v>3.01</v>
      </c>
      <c r="K466" s="64">
        <f>Esc!J118</f>
        <v>2.97</v>
      </c>
      <c r="L466" s="64">
        <f>Esc!K118</f>
        <v>2.98</v>
      </c>
      <c r="M466" s="64">
        <f>Esc!L118</f>
        <v>2.97</v>
      </c>
      <c r="N466" s="64">
        <f>Esc!M118</f>
        <v>2.96</v>
      </c>
      <c r="O466" s="64">
        <f>Esc!N118</f>
        <v>2.95</v>
      </c>
      <c r="P466" s="64">
        <f>Esc!O118</f>
        <v>2.94</v>
      </c>
      <c r="Q466" s="64">
        <f>Esc!P118</f>
        <v>2.93</v>
      </c>
      <c r="R466" s="64">
        <f>Esc!Q118</f>
        <v>2.93</v>
      </c>
      <c r="S466" s="64">
        <f>Esc!R118</f>
        <v>2.92</v>
      </c>
      <c r="T466" s="64">
        <f>Esc!S118</f>
        <v>2.91</v>
      </c>
      <c r="U466" s="64">
        <f>Esc!T118</f>
        <v>2.9</v>
      </c>
      <c r="V466" s="64">
        <f>Esc!U118</f>
        <v>2.89</v>
      </c>
      <c r="W466" s="64">
        <f>Esc!V118</f>
        <v>2.88</v>
      </c>
      <c r="X466" s="64">
        <f>Esc!W118</f>
        <v>2.87</v>
      </c>
      <c r="Y466" s="64">
        <f>Esc!X118</f>
        <v>2.87</v>
      </c>
      <c r="Z466" s="64">
        <f>Esc!Y118</f>
        <v>2.86</v>
      </c>
      <c r="AA466" s="64">
        <f>Esc!Z118</f>
        <v>2.85</v>
      </c>
      <c r="AB466" s="64">
        <f>Esc!AA118</f>
        <v>2.84</v>
      </c>
      <c r="AC466" s="64">
        <f>Esc!AB118</f>
        <v>2.83</v>
      </c>
      <c r="AD466" s="64">
        <f>Esc!AC118</f>
        <v>2.82</v>
      </c>
      <c r="AE466" s="64">
        <f>Esc!AD118</f>
        <v>2.81</v>
      </c>
      <c r="AF466" s="64">
        <f>Esc!AE118</f>
        <v>2.81</v>
      </c>
      <c r="AG466" s="64">
        <f>Esc!AF118</f>
        <v>2.8</v>
      </c>
      <c r="AH466" s="64">
        <f>Esc!AG118</f>
        <v>2.79</v>
      </c>
      <c r="AI466" s="64">
        <f>Esc!AH118</f>
        <v>2.78</v>
      </c>
      <c r="AJ466" s="64">
        <f>Esc!AI118</f>
        <v>2.77</v>
      </c>
      <c r="AK466" s="64">
        <f>Esc!AJ118</f>
        <v>2.76</v>
      </c>
      <c r="AL466" s="64">
        <f>Esc!AK118</f>
        <v>2.76</v>
      </c>
      <c r="AM466" s="64">
        <f>Esc!AL118</f>
        <v>2.75</v>
      </c>
      <c r="AN466" s="64">
        <f>Esc!AM118</f>
        <v>2.74</v>
      </c>
      <c r="AO466" s="64">
        <f t="shared" si="178"/>
        <v>2.74</v>
      </c>
      <c r="AP466" s="64">
        <f t="shared" si="177"/>
        <v>2.74</v>
      </c>
      <c r="AQ466" s="64">
        <f t="shared" si="177"/>
        <v>2.74</v>
      </c>
      <c r="AR466" s="64">
        <f t="shared" si="177"/>
        <v>2.74</v>
      </c>
      <c r="AS466" s="64">
        <f t="shared" si="177"/>
        <v>2.74</v>
      </c>
      <c r="AT466" s="64">
        <f t="shared" si="177"/>
        <v>2.74</v>
      </c>
      <c r="AU466" s="64">
        <f t="shared" si="177"/>
        <v>2.74</v>
      </c>
      <c r="AV466" s="64">
        <f t="shared" si="177"/>
        <v>2.74</v>
      </c>
      <c r="AW466" s="64">
        <f t="shared" si="177"/>
        <v>2.74</v>
      </c>
      <c r="AX466" s="64">
        <f t="shared" si="177"/>
        <v>2.74</v>
      </c>
      <c r="AY466" s="64">
        <f t="shared" si="177"/>
        <v>2.74</v>
      </c>
      <c r="AZ466" s="64">
        <f t="shared" si="177"/>
        <v>2.74</v>
      </c>
      <c r="BA466" s="64">
        <f t="shared" si="177"/>
        <v>2.74</v>
      </c>
      <c r="BB466" s="64">
        <f t="shared" si="177"/>
        <v>2.74</v>
      </c>
      <c r="BC466" s="64">
        <f t="shared" si="177"/>
        <v>2.74</v>
      </c>
      <c r="BD466" s="64">
        <f t="shared" si="177"/>
        <v>2.74</v>
      </c>
      <c r="BE466" s="64">
        <f t="shared" si="177"/>
        <v>2.74</v>
      </c>
      <c r="BF466" s="64">
        <f t="shared" si="177"/>
        <v>2.74</v>
      </c>
      <c r="BG466" s="64">
        <f t="shared" si="177"/>
        <v>2.74</v>
      </c>
      <c r="BH466" s="64">
        <f t="shared" si="177"/>
        <v>2.74</v>
      </c>
    </row>
    <row r="467" spans="1:60" s="64" customFormat="1" hidden="1" outlineLevel="1">
      <c r="B467" s="64" t="str">
        <f>Esc!A119</f>
        <v>Combustóleo</v>
      </c>
      <c r="C467" s="64">
        <f>Esc!B119</f>
        <v>3.37</v>
      </c>
      <c r="D467" s="64">
        <f>Esc!C119</f>
        <v>1.87</v>
      </c>
      <c r="E467" s="64">
        <f>Esc!D119</f>
        <v>1.84</v>
      </c>
      <c r="F467" s="64">
        <f>Esc!E119</f>
        <v>2.42</v>
      </c>
      <c r="G467" s="64">
        <f>Esc!F119</f>
        <v>2.34</v>
      </c>
      <c r="H467" s="64">
        <f>Esc!G119</f>
        <v>0.7</v>
      </c>
      <c r="I467" s="64">
        <f>Esc!H119</f>
        <v>1.1000000000000001</v>
      </c>
      <c r="J467" s="64">
        <f>Esc!I119</f>
        <v>1.1000000000000001</v>
      </c>
      <c r="K467" s="64">
        <f>Esc!J119</f>
        <v>1.36</v>
      </c>
      <c r="L467" s="64">
        <f>Esc!K119</f>
        <v>1.32</v>
      </c>
      <c r="M467" s="64">
        <f>Esc!L119</f>
        <v>1.27</v>
      </c>
      <c r="N467" s="64">
        <f>Esc!M119</f>
        <v>1.22</v>
      </c>
      <c r="O467" s="64">
        <f>Esc!N119</f>
        <v>1.17</v>
      </c>
      <c r="P467" s="64">
        <f>Esc!O119</f>
        <v>1.1299999999999999</v>
      </c>
      <c r="Q467" s="64">
        <f>Esc!P119</f>
        <v>1.08</v>
      </c>
      <c r="R467" s="64">
        <f>Esc!Q119</f>
        <v>1.03</v>
      </c>
      <c r="S467" s="64">
        <f>Esc!R119</f>
        <v>0.99</v>
      </c>
      <c r="T467" s="64">
        <f>Esc!S119</f>
        <v>0.94</v>
      </c>
      <c r="U467" s="64">
        <f>Esc!T119</f>
        <v>0.89</v>
      </c>
      <c r="V467" s="64">
        <f>Esc!U119</f>
        <v>0.85</v>
      </c>
      <c r="W467" s="64">
        <f>Esc!V119</f>
        <v>0.8</v>
      </c>
      <c r="X467" s="64">
        <f>Esc!W119</f>
        <v>0.75</v>
      </c>
      <c r="Y467" s="64">
        <f>Esc!X119</f>
        <v>0.7</v>
      </c>
      <c r="Z467" s="64">
        <f>Esc!Y119</f>
        <v>0.66</v>
      </c>
      <c r="AA467" s="64">
        <f>Esc!Z119</f>
        <v>0.61</v>
      </c>
      <c r="AB467" s="64">
        <f>Esc!AA119</f>
        <v>0.56000000000000005</v>
      </c>
      <c r="AC467" s="64">
        <f>Esc!AB119</f>
        <v>0.52</v>
      </c>
      <c r="AD467" s="64">
        <f>Esc!AC119</f>
        <v>0.47</v>
      </c>
      <c r="AE467" s="64">
        <f>Esc!AD119</f>
        <v>0.42</v>
      </c>
      <c r="AF467" s="64">
        <f>Esc!AE119</f>
        <v>0.38</v>
      </c>
      <c r="AG467" s="64">
        <f>Esc!AF119</f>
        <v>0.33</v>
      </c>
      <c r="AH467" s="64">
        <f>Esc!AG119</f>
        <v>0.28000000000000003</v>
      </c>
      <c r="AI467" s="64">
        <f>Esc!AH119</f>
        <v>0.23</v>
      </c>
      <c r="AJ467" s="64">
        <f>Esc!AI119</f>
        <v>0.19</v>
      </c>
      <c r="AK467" s="64">
        <f>Esc!AJ119</f>
        <v>0.14000000000000001</v>
      </c>
      <c r="AL467" s="64">
        <f>Esc!AK119</f>
        <v>0.09</v>
      </c>
      <c r="AM467" s="64">
        <f>Esc!AL119</f>
        <v>0.05</v>
      </c>
      <c r="AN467" s="64">
        <f>Esc!AM119</f>
        <v>0</v>
      </c>
      <c r="AO467" s="64">
        <f t="shared" si="178"/>
        <v>0</v>
      </c>
      <c r="AP467" s="64">
        <f t="shared" si="177"/>
        <v>0</v>
      </c>
      <c r="AQ467" s="64">
        <f t="shared" si="177"/>
        <v>0</v>
      </c>
      <c r="AR467" s="64">
        <f t="shared" si="177"/>
        <v>0</v>
      </c>
      <c r="AS467" s="64">
        <f t="shared" si="177"/>
        <v>0</v>
      </c>
      <c r="AT467" s="64">
        <f t="shared" si="177"/>
        <v>0</v>
      </c>
      <c r="AU467" s="64">
        <f t="shared" si="177"/>
        <v>0</v>
      </c>
      <c r="AV467" s="64">
        <f t="shared" si="177"/>
        <v>0</v>
      </c>
      <c r="AW467" s="64">
        <f t="shared" si="177"/>
        <v>0</v>
      </c>
      <c r="AX467" s="64">
        <f t="shared" si="177"/>
        <v>0</v>
      </c>
      <c r="AY467" s="64">
        <f t="shared" si="177"/>
        <v>0</v>
      </c>
      <c r="AZ467" s="64">
        <f t="shared" si="177"/>
        <v>0</v>
      </c>
      <c r="BA467" s="64">
        <f t="shared" si="177"/>
        <v>0</v>
      </c>
      <c r="BB467" s="64">
        <f t="shared" si="177"/>
        <v>0</v>
      </c>
      <c r="BC467" s="64">
        <f t="shared" si="177"/>
        <v>0</v>
      </c>
      <c r="BD467" s="64">
        <f t="shared" si="177"/>
        <v>0</v>
      </c>
      <c r="BE467" s="64">
        <f t="shared" si="177"/>
        <v>0</v>
      </c>
      <c r="BF467" s="64">
        <f t="shared" si="177"/>
        <v>0</v>
      </c>
      <c r="BG467" s="64">
        <f t="shared" si="177"/>
        <v>0</v>
      </c>
      <c r="BH467" s="64">
        <f t="shared" si="177"/>
        <v>0</v>
      </c>
    </row>
    <row r="468" spans="1:60" s="64" customFormat="1" hidden="1" outlineLevel="1">
      <c r="B468" s="64" t="str">
        <f>Esc!A121</f>
        <v>Gas seco</v>
      </c>
      <c r="C468" s="64">
        <f>Esc!B121</f>
        <v>66.290000000000006</v>
      </c>
      <c r="D468" s="64">
        <f>Esc!C121</f>
        <v>78.48</v>
      </c>
      <c r="E468" s="64">
        <f>Esc!D121</f>
        <v>71.38</v>
      </c>
      <c r="F468" s="64">
        <f>Esc!E121</f>
        <v>73.900000000000006</v>
      </c>
      <c r="G468" s="64">
        <f>Esc!F121</f>
        <v>81.38</v>
      </c>
      <c r="H468" s="64">
        <f>Esc!G121</f>
        <v>85.74</v>
      </c>
      <c r="I468" s="64">
        <f>Esc!H121</f>
        <v>80.739999999999995</v>
      </c>
      <c r="J468" s="64">
        <f>Esc!I121</f>
        <v>78.64</v>
      </c>
      <c r="K468" s="64">
        <f>Esc!J121</f>
        <v>101.28</v>
      </c>
      <c r="L468" s="64">
        <f>Esc!K121</f>
        <v>102.85</v>
      </c>
      <c r="M468" s="64">
        <f>Esc!L121</f>
        <v>103.82</v>
      </c>
      <c r="N468" s="64">
        <f>Esc!M121</f>
        <v>104.8</v>
      </c>
      <c r="O468" s="64">
        <f>Esc!N121</f>
        <v>105.77</v>
      </c>
      <c r="P468" s="64">
        <f>Esc!O121</f>
        <v>106.74</v>
      </c>
      <c r="Q468" s="64">
        <f>Esc!P121</f>
        <v>107.72</v>
      </c>
      <c r="R468" s="64">
        <f>Esc!Q121</f>
        <v>108.69</v>
      </c>
      <c r="S468" s="64">
        <f>Esc!R121</f>
        <v>109.66</v>
      </c>
      <c r="T468" s="64">
        <f>Esc!S121</f>
        <v>110.64</v>
      </c>
      <c r="U468" s="64">
        <f>Esc!T121</f>
        <v>111.61</v>
      </c>
      <c r="V468" s="64">
        <f>Esc!U121</f>
        <v>112.58</v>
      </c>
      <c r="W468" s="64">
        <f>Esc!V121</f>
        <v>113.56</v>
      </c>
      <c r="X468" s="64">
        <f>Esc!W121</f>
        <v>113.99</v>
      </c>
      <c r="Y468" s="64">
        <f>Esc!X121</f>
        <v>113.71</v>
      </c>
      <c r="Z468" s="64">
        <f>Esc!Y121</f>
        <v>113.42</v>
      </c>
      <c r="AA468" s="64">
        <f>Esc!Z121</f>
        <v>113.13</v>
      </c>
      <c r="AB468" s="64">
        <f>Esc!AA121</f>
        <v>112.85</v>
      </c>
      <c r="AC468" s="64">
        <f>Esc!AB121</f>
        <v>112.56</v>
      </c>
      <c r="AD468" s="64">
        <f>Esc!AC121</f>
        <v>112.27</v>
      </c>
      <c r="AE468" s="64">
        <f>Esc!AD121</f>
        <v>111.99</v>
      </c>
      <c r="AF468" s="64">
        <f>Esc!AE121</f>
        <v>111.7</v>
      </c>
      <c r="AG468" s="64">
        <f>Esc!AF121</f>
        <v>111.41</v>
      </c>
      <c r="AH468" s="64">
        <f>Esc!AG121</f>
        <v>111.13</v>
      </c>
      <c r="AI468" s="64">
        <f>Esc!AH121</f>
        <v>110.84</v>
      </c>
      <c r="AJ468" s="64">
        <f>Esc!AI121</f>
        <v>110.55</v>
      </c>
      <c r="AK468" s="64">
        <f>Esc!AJ121</f>
        <v>110.27</v>
      </c>
      <c r="AL468" s="64">
        <f>Esc!AK121</f>
        <v>109.98</v>
      </c>
      <c r="AM468" s="64">
        <f>Esc!AL121</f>
        <v>109.69</v>
      </c>
      <c r="AN468" s="64">
        <f>Esc!AM121</f>
        <v>109.4</v>
      </c>
      <c r="AO468" s="64">
        <f t="shared" si="178"/>
        <v>109.4</v>
      </c>
      <c r="AP468" s="64">
        <f t="shared" si="177"/>
        <v>109.4</v>
      </c>
      <c r="AQ468" s="64">
        <f t="shared" si="177"/>
        <v>109.4</v>
      </c>
      <c r="AR468" s="64">
        <f t="shared" si="177"/>
        <v>109.4</v>
      </c>
      <c r="AS468" s="64">
        <f t="shared" si="177"/>
        <v>109.4</v>
      </c>
      <c r="AT468" s="64">
        <f t="shared" si="177"/>
        <v>109.4</v>
      </c>
      <c r="AU468" s="64">
        <f t="shared" si="177"/>
        <v>109.4</v>
      </c>
      <c r="AV468" s="64">
        <f t="shared" si="177"/>
        <v>109.4</v>
      </c>
      <c r="AW468" s="64">
        <f t="shared" si="177"/>
        <v>109.4</v>
      </c>
      <c r="AX468" s="64">
        <f t="shared" si="177"/>
        <v>109.4</v>
      </c>
      <c r="AY468" s="64">
        <f t="shared" si="177"/>
        <v>109.4</v>
      </c>
      <c r="AZ468" s="64">
        <f t="shared" si="177"/>
        <v>109.4</v>
      </c>
      <c r="BA468" s="64">
        <f t="shared" si="177"/>
        <v>109.4</v>
      </c>
      <c r="BB468" s="64">
        <f t="shared" si="177"/>
        <v>109.4</v>
      </c>
      <c r="BC468" s="64">
        <f t="shared" si="177"/>
        <v>109.4</v>
      </c>
      <c r="BD468" s="64">
        <f t="shared" si="177"/>
        <v>109.4</v>
      </c>
      <c r="BE468" s="64">
        <f t="shared" si="177"/>
        <v>109.4</v>
      </c>
      <c r="BF468" s="64">
        <f t="shared" si="177"/>
        <v>109.4</v>
      </c>
      <c r="BG468" s="64">
        <f t="shared" si="177"/>
        <v>109.4</v>
      </c>
      <c r="BH468" s="64">
        <f t="shared" si="177"/>
        <v>109.4</v>
      </c>
    </row>
    <row r="469" spans="1:60" s="64" customFormat="1" hidden="1" outlineLevel="1">
      <c r="B469" s="64" t="str">
        <f>Esc!A122</f>
        <v>Electricidad</v>
      </c>
      <c r="C469" s="64">
        <f>Esc!B122</f>
        <v>17.12</v>
      </c>
      <c r="D469" s="64">
        <f>Esc!C122</f>
        <v>17.059999999999999</v>
      </c>
      <c r="E469" s="64">
        <f>Esc!D122</f>
        <v>16.68</v>
      </c>
      <c r="F469" s="64">
        <f>Esc!E122</f>
        <v>16.86</v>
      </c>
      <c r="G469" s="64">
        <f>Esc!F122</f>
        <v>15.8</v>
      </c>
      <c r="H469" s="64">
        <f>Esc!G122</f>
        <v>15.52</v>
      </c>
      <c r="I469" s="64">
        <f>Esc!H122</f>
        <v>14.79</v>
      </c>
      <c r="J469" s="64">
        <f>Esc!I122</f>
        <v>13.95</v>
      </c>
      <c r="K469" s="64">
        <f>Esc!J122</f>
        <v>14.75</v>
      </c>
      <c r="L469" s="64">
        <f>Esc!K122</f>
        <v>11.09</v>
      </c>
      <c r="M469" s="64">
        <f>Esc!L122</f>
        <v>12.93</v>
      </c>
      <c r="N469" s="64">
        <f>Esc!M122</f>
        <v>14.78</v>
      </c>
      <c r="O469" s="64">
        <f>Esc!N122</f>
        <v>16.63</v>
      </c>
      <c r="P469" s="64">
        <f>Esc!O122</f>
        <v>18.47</v>
      </c>
      <c r="Q469" s="64">
        <f>Esc!P122</f>
        <v>20.32</v>
      </c>
      <c r="R469" s="64">
        <f>Esc!Q122</f>
        <v>22.16</v>
      </c>
      <c r="S469" s="64">
        <f>Esc!R122</f>
        <v>24.01</v>
      </c>
      <c r="T469" s="64">
        <f>Esc!S122</f>
        <v>25.85</v>
      </c>
      <c r="U469" s="64">
        <f>Esc!T122</f>
        <v>27.7</v>
      </c>
      <c r="V469" s="64">
        <f>Esc!U122</f>
        <v>29.55</v>
      </c>
      <c r="W469" s="64">
        <f>Esc!V122</f>
        <v>31.39</v>
      </c>
      <c r="X469" s="64">
        <f>Esc!W122</f>
        <v>33.78</v>
      </c>
      <c r="Y469" s="64">
        <f>Esc!X122</f>
        <v>36.880000000000003</v>
      </c>
      <c r="Z469" s="64">
        <f>Esc!Y122</f>
        <v>39.99</v>
      </c>
      <c r="AA469" s="64">
        <f>Esc!Z122</f>
        <v>43.09</v>
      </c>
      <c r="AB469" s="64">
        <f>Esc!AA122</f>
        <v>46.2</v>
      </c>
      <c r="AC469" s="64">
        <f>Esc!AB122</f>
        <v>49.31</v>
      </c>
      <c r="AD469" s="64">
        <f>Esc!AC122</f>
        <v>52.41</v>
      </c>
      <c r="AE469" s="64">
        <f>Esc!AD122</f>
        <v>55.52</v>
      </c>
      <c r="AF469" s="64">
        <f>Esc!AE122</f>
        <v>58.62</v>
      </c>
      <c r="AG469" s="64">
        <f>Esc!AF122</f>
        <v>61.73</v>
      </c>
      <c r="AH469" s="64">
        <f>Esc!AG122</f>
        <v>64.83</v>
      </c>
      <c r="AI469" s="64">
        <f>Esc!AH122</f>
        <v>67.94</v>
      </c>
      <c r="AJ469" s="64">
        <f>Esc!AI122</f>
        <v>71.05</v>
      </c>
      <c r="AK469" s="64">
        <f>Esc!AJ122</f>
        <v>74.150000000000006</v>
      </c>
      <c r="AL469" s="64">
        <f>Esc!AK122</f>
        <v>77.260000000000005</v>
      </c>
      <c r="AM469" s="64">
        <f>Esc!AL122</f>
        <v>80.37</v>
      </c>
      <c r="AN469" s="64">
        <f>Esc!AM122</f>
        <v>83.48</v>
      </c>
      <c r="AO469" s="64">
        <f t="shared" si="178"/>
        <v>83.48</v>
      </c>
      <c r="AP469" s="64">
        <f t="shared" si="177"/>
        <v>83.48</v>
      </c>
      <c r="AQ469" s="64">
        <f t="shared" si="177"/>
        <v>83.48</v>
      </c>
      <c r="AR469" s="64">
        <f t="shared" si="177"/>
        <v>83.48</v>
      </c>
      <c r="AS469" s="64">
        <f t="shared" si="177"/>
        <v>83.48</v>
      </c>
      <c r="AT469" s="64">
        <f t="shared" si="177"/>
        <v>83.48</v>
      </c>
      <c r="AU469" s="64">
        <f t="shared" si="177"/>
        <v>83.48</v>
      </c>
      <c r="AV469" s="64">
        <f t="shared" si="177"/>
        <v>83.48</v>
      </c>
      <c r="AW469" s="64">
        <f t="shared" si="177"/>
        <v>83.48</v>
      </c>
      <c r="AX469" s="64">
        <f t="shared" si="177"/>
        <v>83.48</v>
      </c>
      <c r="AY469" s="64">
        <f t="shared" si="177"/>
        <v>83.48</v>
      </c>
      <c r="AZ469" s="64">
        <f t="shared" si="177"/>
        <v>83.48</v>
      </c>
      <c r="BA469" s="64">
        <f t="shared" si="177"/>
        <v>83.48</v>
      </c>
      <c r="BB469" s="64">
        <f t="shared" si="177"/>
        <v>83.48</v>
      </c>
      <c r="BC469" s="64">
        <f t="shared" si="177"/>
        <v>83.48</v>
      </c>
      <c r="BD469" s="64">
        <f t="shared" si="177"/>
        <v>83.48</v>
      </c>
      <c r="BE469" s="64">
        <f t="shared" si="177"/>
        <v>83.48</v>
      </c>
      <c r="BF469" s="64">
        <f t="shared" si="177"/>
        <v>83.48</v>
      </c>
      <c r="BG469" s="64">
        <f t="shared" si="177"/>
        <v>83.48</v>
      </c>
      <c r="BH469" s="64">
        <f t="shared" si="177"/>
        <v>83.48</v>
      </c>
    </row>
    <row r="470" spans="1:60" collapsed="1">
      <c r="A470" s="67" t="s">
        <v>170</v>
      </c>
    </row>
    <row r="471" spans="1:60" hidden="1" outlineLevel="1">
      <c r="B471" t="str">
        <f>A.15!A135</f>
        <v>Gas licuado</v>
      </c>
      <c r="C471">
        <f>A.15!B135</f>
        <v>0.02</v>
      </c>
      <c r="D471">
        <f>A.15!C135</f>
        <v>0.02</v>
      </c>
      <c r="E471">
        <f>A.15!D135</f>
        <v>0.02</v>
      </c>
      <c r="F471">
        <f>A.15!E135</f>
        <v>0.02</v>
      </c>
      <c r="G471">
        <f>A.15!F135</f>
        <v>0.02</v>
      </c>
      <c r="H471">
        <f>A.15!G135</f>
        <v>0.02</v>
      </c>
      <c r="I471">
        <f>A.15!H135</f>
        <v>0.02</v>
      </c>
      <c r="J471">
        <f>A.15!I135</f>
        <v>0.03</v>
      </c>
      <c r="K471">
        <f>A.15!J135</f>
        <v>0.02</v>
      </c>
      <c r="L471">
        <f>A.15!K135</f>
        <v>0.02</v>
      </c>
      <c r="M471">
        <f>A.15!L135</f>
        <v>0.02</v>
      </c>
    </row>
    <row r="472" spans="1:60" hidden="1" outlineLevel="1">
      <c r="B472" t="str">
        <f>A.15!A138</f>
        <v>Diésel</v>
      </c>
      <c r="C472">
        <f>A.15!B138</f>
        <v>1.94</v>
      </c>
      <c r="D472">
        <f>A.15!C138</f>
        <v>2.04</v>
      </c>
      <c r="E472">
        <f>A.15!D138</f>
        <v>2.15</v>
      </c>
      <c r="F472">
        <f>A.15!E138</f>
        <v>2.2000000000000002</v>
      </c>
      <c r="G472">
        <f>A.15!F138</f>
        <v>2.08</v>
      </c>
      <c r="H472">
        <f>A.15!G138</f>
        <v>2.11</v>
      </c>
      <c r="I472">
        <f>A.15!H138</f>
        <v>1.91</v>
      </c>
      <c r="J472">
        <f>A.15!I138</f>
        <v>2.0099999999999998</v>
      </c>
      <c r="K472">
        <f>A.15!J138</f>
        <v>1.62</v>
      </c>
      <c r="L472">
        <f>A.15!K138</f>
        <v>1.71</v>
      </c>
      <c r="M472">
        <f>A.15!L138</f>
        <v>1.63</v>
      </c>
    </row>
    <row r="473" spans="1:60" hidden="1" outlineLevel="1">
      <c r="B473" t="str">
        <f>A.15!A139</f>
        <v>Combustóleo</v>
      </c>
      <c r="C473">
        <f>A.15!B139</f>
        <v>0.51</v>
      </c>
      <c r="D473">
        <f>A.15!C139</f>
        <v>0.48</v>
      </c>
      <c r="E473">
        <f>A.15!D139</f>
        <v>0.71</v>
      </c>
      <c r="F473">
        <f>A.15!E139</f>
        <v>0.91</v>
      </c>
      <c r="G473">
        <f>A.15!F139</f>
        <v>0.9</v>
      </c>
      <c r="H473">
        <f>A.15!G139</f>
        <v>0.27</v>
      </c>
      <c r="I473">
        <f>A.15!H139</f>
        <v>0.42</v>
      </c>
      <c r="J473">
        <f>A.15!I139</f>
        <v>0.42</v>
      </c>
      <c r="K473">
        <f>A.15!J139</f>
        <v>0.42</v>
      </c>
      <c r="L473">
        <f>A.15!K139</f>
        <v>0.45</v>
      </c>
      <c r="M473">
        <f>A.15!L139</f>
        <v>0.43</v>
      </c>
    </row>
    <row r="474" spans="1:60" hidden="1" outlineLevel="1">
      <c r="B474" t="str">
        <f>A.15!A141</f>
        <v>Gas seco</v>
      </c>
      <c r="C474">
        <f>A.15!B141</f>
        <v>5.46</v>
      </c>
      <c r="D474">
        <f>A.15!C141</f>
        <v>5.75</v>
      </c>
      <c r="E474">
        <f>A.15!D141</f>
        <v>6.03</v>
      </c>
      <c r="F474">
        <f>A.15!E141</f>
        <v>6.17</v>
      </c>
      <c r="G474">
        <f>A.15!F141</f>
        <v>5.64</v>
      </c>
      <c r="H474">
        <f>A.15!G141</f>
        <v>5.71</v>
      </c>
      <c r="I474">
        <f>A.15!H141</f>
        <v>5.18</v>
      </c>
      <c r="J474">
        <f>A.15!I141</f>
        <v>5.45</v>
      </c>
      <c r="K474">
        <f>A.15!J141</f>
        <v>4.6399999999999997</v>
      </c>
      <c r="L474">
        <f>A.15!K141</f>
        <v>4.4000000000000004</v>
      </c>
      <c r="M474">
        <f>A.15!L141</f>
        <v>4.2699999999999996</v>
      </c>
    </row>
    <row r="475" spans="1:60" hidden="1" outlineLevel="1">
      <c r="B475" t="str">
        <f>A.15!A142</f>
        <v>Energía eléctrica</v>
      </c>
      <c r="C475">
        <f>A.15!B142</f>
        <v>1.65</v>
      </c>
      <c r="D475">
        <f>A.15!C142</f>
        <v>1.73</v>
      </c>
      <c r="E475">
        <f>A.15!D142</f>
        <v>1.82</v>
      </c>
      <c r="F475">
        <f>A.15!E142</f>
        <v>1.95</v>
      </c>
      <c r="G475">
        <f>A.15!F142</f>
        <v>1.79</v>
      </c>
      <c r="H475">
        <f>A.15!G142</f>
        <v>1.81</v>
      </c>
      <c r="I475">
        <f>A.15!H142</f>
        <v>1.65</v>
      </c>
      <c r="J475">
        <f>A.15!I142</f>
        <v>1.73</v>
      </c>
      <c r="K475">
        <f>A.15!J142</f>
        <v>1.87</v>
      </c>
      <c r="L475">
        <f>A.15!K142</f>
        <v>0.74</v>
      </c>
      <c r="M475">
        <f>A.15!L142</f>
        <v>1.72</v>
      </c>
    </row>
    <row r="476" spans="1:60" hidden="1" outlineLevel="1"/>
    <row r="477" spans="1:60" s="64" customFormat="1" hidden="1" outlineLevel="1">
      <c r="B477" s="64" t="str">
        <f>Esc!A425</f>
        <v>GLP</v>
      </c>
      <c r="C477" s="64">
        <f>Esc!B425</f>
        <v>0.02</v>
      </c>
      <c r="D477" s="64">
        <f>Esc!C425</f>
        <v>0.02</v>
      </c>
      <c r="E477" s="64">
        <f>Esc!D425</f>
        <v>0.02</v>
      </c>
      <c r="F477" s="64">
        <f>Esc!E425</f>
        <v>0.02</v>
      </c>
      <c r="G477" s="64">
        <f>Esc!F425</f>
        <v>0.02</v>
      </c>
      <c r="H477" s="64">
        <f>Esc!G425</f>
        <v>0.02</v>
      </c>
      <c r="I477" s="64">
        <f>Esc!H425</f>
        <v>0.02</v>
      </c>
      <c r="J477" s="64">
        <f>Esc!I425</f>
        <v>0.03</v>
      </c>
      <c r="K477" s="64">
        <f>Esc!J425</f>
        <v>0.02</v>
      </c>
      <c r="L477" s="64">
        <f>Esc!K425</f>
        <v>0.02</v>
      </c>
      <c r="M477" s="64">
        <f>Esc!L425</f>
        <v>0.02</v>
      </c>
      <c r="N477" s="64">
        <f>Esc!M425</f>
        <v>0.02</v>
      </c>
      <c r="O477" s="64">
        <f>Esc!N425</f>
        <v>0.02</v>
      </c>
      <c r="P477" s="64">
        <f>Esc!O425</f>
        <v>0.02</v>
      </c>
      <c r="Q477" s="64">
        <f>Esc!P425</f>
        <v>0.02</v>
      </c>
      <c r="R477" s="64">
        <f>Esc!Q425</f>
        <v>0.02</v>
      </c>
      <c r="S477" s="64">
        <f>Esc!R425</f>
        <v>0.02</v>
      </c>
      <c r="T477" s="64">
        <f>Esc!S425</f>
        <v>0.02</v>
      </c>
      <c r="U477" s="64">
        <f>Esc!T425</f>
        <v>0.02</v>
      </c>
      <c r="V477" s="64">
        <f>Esc!U425</f>
        <v>0.02</v>
      </c>
      <c r="W477" s="64">
        <f>Esc!V425</f>
        <v>0.02</v>
      </c>
      <c r="X477" s="64">
        <f>Esc!W425</f>
        <v>0.02</v>
      </c>
      <c r="Y477" s="64">
        <f>Esc!X425</f>
        <v>0.03</v>
      </c>
      <c r="Z477" s="64">
        <f>Esc!Y425</f>
        <v>0.03</v>
      </c>
      <c r="AA477" s="64">
        <f>Esc!Z425</f>
        <v>0.03</v>
      </c>
      <c r="AB477" s="64">
        <f>Esc!AA425</f>
        <v>0.03</v>
      </c>
      <c r="AC477" s="64">
        <f>Esc!AB425</f>
        <v>0.03</v>
      </c>
      <c r="AD477" s="64">
        <f>Esc!AC425</f>
        <v>0.03</v>
      </c>
      <c r="AE477" s="64">
        <f>Esc!AD425</f>
        <v>0.03</v>
      </c>
      <c r="AF477" s="64">
        <f>Esc!AE425</f>
        <v>0.03</v>
      </c>
      <c r="AG477" s="64">
        <f>Esc!AF425</f>
        <v>0.03</v>
      </c>
      <c r="AH477" s="64">
        <f>Esc!AG425</f>
        <v>0.03</v>
      </c>
      <c r="AI477" s="64">
        <f>Esc!AH425</f>
        <v>0.03</v>
      </c>
      <c r="AJ477" s="64">
        <f>Esc!AI425</f>
        <v>0.03</v>
      </c>
      <c r="AK477" s="64">
        <f>Esc!AJ425</f>
        <v>0.03</v>
      </c>
      <c r="AL477" s="64">
        <f>Esc!AK425</f>
        <v>0.03</v>
      </c>
      <c r="AM477" s="64">
        <f>Esc!AL425</f>
        <v>0.03</v>
      </c>
      <c r="AN477" s="64">
        <f>Esc!AM425</f>
        <v>0.03</v>
      </c>
      <c r="AO477" s="64">
        <f>AN477</f>
        <v>0.03</v>
      </c>
      <c r="AP477" s="64">
        <f t="shared" ref="AP477:BH481" si="179">AO477</f>
        <v>0.03</v>
      </c>
      <c r="AQ477" s="64">
        <f t="shared" si="179"/>
        <v>0.03</v>
      </c>
      <c r="AR477" s="64">
        <f t="shared" si="179"/>
        <v>0.03</v>
      </c>
      <c r="AS477" s="64">
        <f t="shared" si="179"/>
        <v>0.03</v>
      </c>
      <c r="AT477" s="64">
        <f t="shared" si="179"/>
        <v>0.03</v>
      </c>
      <c r="AU477" s="64">
        <f t="shared" si="179"/>
        <v>0.03</v>
      </c>
      <c r="AV477" s="64">
        <f t="shared" si="179"/>
        <v>0.03</v>
      </c>
      <c r="AW477" s="64">
        <f t="shared" si="179"/>
        <v>0.03</v>
      </c>
      <c r="AX477" s="64">
        <f t="shared" si="179"/>
        <v>0.03</v>
      </c>
      <c r="AY477" s="64">
        <f t="shared" si="179"/>
        <v>0.03</v>
      </c>
      <c r="AZ477" s="64">
        <f t="shared" si="179"/>
        <v>0.03</v>
      </c>
      <c r="BA477" s="64">
        <f t="shared" si="179"/>
        <v>0.03</v>
      </c>
      <c r="BB477" s="64">
        <f t="shared" si="179"/>
        <v>0.03</v>
      </c>
      <c r="BC477" s="64">
        <f t="shared" si="179"/>
        <v>0.03</v>
      </c>
      <c r="BD477" s="64">
        <f t="shared" si="179"/>
        <v>0.03</v>
      </c>
      <c r="BE477" s="64">
        <f t="shared" si="179"/>
        <v>0.03</v>
      </c>
      <c r="BF477" s="64">
        <f t="shared" si="179"/>
        <v>0.03</v>
      </c>
      <c r="BG477" s="64">
        <f t="shared" si="179"/>
        <v>0.03</v>
      </c>
      <c r="BH477" s="64">
        <f t="shared" si="179"/>
        <v>0.03</v>
      </c>
    </row>
    <row r="478" spans="1:60" s="64" customFormat="1" hidden="1" outlineLevel="1">
      <c r="B478" s="64" t="str">
        <f>Esc!A428</f>
        <v>Diésel</v>
      </c>
      <c r="C478" s="64">
        <f>Esc!B428</f>
        <v>1.94</v>
      </c>
      <c r="D478" s="64">
        <f>Esc!C428</f>
        <v>2.04</v>
      </c>
      <c r="E478" s="64">
        <f>Esc!D428</f>
        <v>2.15</v>
      </c>
      <c r="F478" s="64">
        <f>Esc!E428</f>
        <v>2.19</v>
      </c>
      <c r="G478" s="64">
        <f>Esc!F428</f>
        <v>2.08</v>
      </c>
      <c r="H478" s="64">
        <f>Esc!G428</f>
        <v>2.1</v>
      </c>
      <c r="I478" s="64">
        <f>Esc!H428</f>
        <v>2.31</v>
      </c>
      <c r="J478" s="64">
        <f>Esc!I428</f>
        <v>2.0099999999999998</v>
      </c>
      <c r="K478" s="64">
        <f>Esc!J428</f>
        <v>1.75</v>
      </c>
      <c r="L478" s="64">
        <f>Esc!K428</f>
        <v>1.78</v>
      </c>
      <c r="M478" s="64">
        <f>Esc!L428</f>
        <v>1.81</v>
      </c>
      <c r="N478" s="64">
        <f>Esc!M428</f>
        <v>1.84</v>
      </c>
      <c r="O478" s="64">
        <f>Esc!N428</f>
        <v>1.87</v>
      </c>
      <c r="P478" s="64">
        <f>Esc!O428</f>
        <v>1.9</v>
      </c>
      <c r="Q478" s="64">
        <f>Esc!P428</f>
        <v>1.93</v>
      </c>
      <c r="R478" s="64">
        <f>Esc!Q428</f>
        <v>1.97</v>
      </c>
      <c r="S478" s="64">
        <f>Esc!R428</f>
        <v>2</v>
      </c>
      <c r="T478" s="64">
        <f>Esc!S428</f>
        <v>2.0299999999999998</v>
      </c>
      <c r="U478" s="64">
        <f>Esc!T428</f>
        <v>2.06</v>
      </c>
      <c r="V478" s="64">
        <f>Esc!U428</f>
        <v>2.09</v>
      </c>
      <c r="W478" s="64">
        <f>Esc!V428</f>
        <v>2.12</v>
      </c>
      <c r="X478" s="64">
        <f>Esc!W428</f>
        <v>2.16</v>
      </c>
      <c r="Y478" s="64">
        <f>Esc!X428</f>
        <v>2.19</v>
      </c>
      <c r="Z478" s="64">
        <f>Esc!Y428</f>
        <v>2.2200000000000002</v>
      </c>
      <c r="AA478" s="64">
        <f>Esc!Z428</f>
        <v>2.25</v>
      </c>
      <c r="AB478" s="64">
        <f>Esc!AA428</f>
        <v>2.2799999999999998</v>
      </c>
      <c r="AC478" s="64">
        <f>Esc!AB428</f>
        <v>2.31</v>
      </c>
      <c r="AD478" s="64">
        <f>Esc!AC428</f>
        <v>2.35</v>
      </c>
      <c r="AE478" s="64">
        <f>Esc!AD428</f>
        <v>2.38</v>
      </c>
      <c r="AF478" s="64">
        <f>Esc!AE428</f>
        <v>2.41</v>
      </c>
      <c r="AG478" s="64">
        <f>Esc!AF428</f>
        <v>2.44</v>
      </c>
      <c r="AH478" s="64">
        <f>Esc!AG428</f>
        <v>2.4700000000000002</v>
      </c>
      <c r="AI478" s="64">
        <f>Esc!AH428</f>
        <v>2.5</v>
      </c>
      <c r="AJ478" s="64">
        <f>Esc!AI428</f>
        <v>2.54</v>
      </c>
      <c r="AK478" s="64">
        <f>Esc!AJ428</f>
        <v>2.57</v>
      </c>
      <c r="AL478" s="64">
        <f>Esc!AK428</f>
        <v>2.6</v>
      </c>
      <c r="AM478" s="64">
        <f>Esc!AL428</f>
        <v>2.63</v>
      </c>
      <c r="AN478" s="64">
        <f>Esc!AM428</f>
        <v>2.66</v>
      </c>
      <c r="AO478" s="64">
        <f t="shared" ref="AO478:BD481" si="180">AN478</f>
        <v>2.66</v>
      </c>
      <c r="AP478" s="64">
        <f t="shared" si="180"/>
        <v>2.66</v>
      </c>
      <c r="AQ478" s="64">
        <f t="shared" si="180"/>
        <v>2.66</v>
      </c>
      <c r="AR478" s="64">
        <f t="shared" si="180"/>
        <v>2.66</v>
      </c>
      <c r="AS478" s="64">
        <f t="shared" si="180"/>
        <v>2.66</v>
      </c>
      <c r="AT478" s="64">
        <f t="shared" si="180"/>
        <v>2.66</v>
      </c>
      <c r="AU478" s="64">
        <f t="shared" si="180"/>
        <v>2.66</v>
      </c>
      <c r="AV478" s="64">
        <f t="shared" si="180"/>
        <v>2.66</v>
      </c>
      <c r="AW478" s="64">
        <f t="shared" si="180"/>
        <v>2.66</v>
      </c>
      <c r="AX478" s="64">
        <f t="shared" si="180"/>
        <v>2.66</v>
      </c>
      <c r="AY478" s="64">
        <f t="shared" si="180"/>
        <v>2.66</v>
      </c>
      <c r="AZ478" s="64">
        <f t="shared" si="180"/>
        <v>2.66</v>
      </c>
      <c r="BA478" s="64">
        <f t="shared" si="180"/>
        <v>2.66</v>
      </c>
      <c r="BB478" s="64">
        <f t="shared" si="180"/>
        <v>2.66</v>
      </c>
      <c r="BC478" s="64">
        <f t="shared" si="180"/>
        <v>2.66</v>
      </c>
      <c r="BD478" s="64">
        <f t="shared" si="180"/>
        <v>2.66</v>
      </c>
      <c r="BE478" s="64">
        <f t="shared" si="179"/>
        <v>2.66</v>
      </c>
      <c r="BF478" s="64">
        <f t="shared" si="179"/>
        <v>2.66</v>
      </c>
      <c r="BG478" s="64">
        <f t="shared" si="179"/>
        <v>2.66</v>
      </c>
      <c r="BH478" s="64">
        <f t="shared" si="179"/>
        <v>2.66</v>
      </c>
    </row>
    <row r="479" spans="1:60" s="64" customFormat="1" hidden="1" outlineLevel="1">
      <c r="B479" s="64" t="str">
        <f>Esc!A429</f>
        <v>Combustóleo</v>
      </c>
      <c r="C479" s="64">
        <f>Esc!B429</f>
        <v>0.51</v>
      </c>
      <c r="D479" s="64">
        <f>Esc!C429</f>
        <v>0.48</v>
      </c>
      <c r="E479" s="64">
        <f>Esc!D429</f>
        <v>0.71</v>
      </c>
      <c r="F479" s="64">
        <f>Esc!E429</f>
        <v>0.91</v>
      </c>
      <c r="G479" s="64">
        <f>Esc!F429</f>
        <v>0.9</v>
      </c>
      <c r="H479" s="64">
        <f>Esc!G429</f>
        <v>0.27</v>
      </c>
      <c r="I479" s="64">
        <f>Esc!H429</f>
        <v>0.42</v>
      </c>
      <c r="J479" s="64">
        <f>Esc!I429</f>
        <v>0.42</v>
      </c>
      <c r="K479" s="64">
        <f>Esc!J429</f>
        <v>0.52</v>
      </c>
      <c r="L479" s="64">
        <f>Esc!K429</f>
        <v>0.5</v>
      </c>
      <c r="M479" s="64">
        <f>Esc!L429</f>
        <v>0.49</v>
      </c>
      <c r="N479" s="64">
        <f>Esc!M429</f>
        <v>0.47</v>
      </c>
      <c r="O479" s="64">
        <f>Esc!N429</f>
        <v>0.45</v>
      </c>
      <c r="P479" s="64">
        <f>Esc!O429</f>
        <v>0.43</v>
      </c>
      <c r="Q479" s="64">
        <f>Esc!P429</f>
        <v>0.41</v>
      </c>
      <c r="R479" s="64">
        <f>Esc!Q429</f>
        <v>0.4</v>
      </c>
      <c r="S479" s="64">
        <f>Esc!R429</f>
        <v>0.38</v>
      </c>
      <c r="T479" s="64">
        <f>Esc!S429</f>
        <v>0.36</v>
      </c>
      <c r="U479" s="64">
        <f>Esc!T429</f>
        <v>0.34</v>
      </c>
      <c r="V479" s="64">
        <f>Esc!U429</f>
        <v>0.32</v>
      </c>
      <c r="W479" s="64">
        <f>Esc!V429</f>
        <v>0.31</v>
      </c>
      <c r="X479" s="64">
        <f>Esc!W429</f>
        <v>0.28999999999999998</v>
      </c>
      <c r="Y479" s="64">
        <f>Esc!X429</f>
        <v>0.27</v>
      </c>
      <c r="Z479" s="64">
        <f>Esc!Y429</f>
        <v>0.25</v>
      </c>
      <c r="AA479" s="64">
        <f>Esc!Z429</f>
        <v>0.23</v>
      </c>
      <c r="AB479" s="64">
        <f>Esc!AA429</f>
        <v>0.22</v>
      </c>
      <c r="AC479" s="64">
        <f>Esc!AB429</f>
        <v>0.2</v>
      </c>
      <c r="AD479" s="64">
        <f>Esc!AC429</f>
        <v>0.18</v>
      </c>
      <c r="AE479" s="64">
        <f>Esc!AD429</f>
        <v>0.16</v>
      </c>
      <c r="AF479" s="64">
        <f>Esc!AE429</f>
        <v>0.14000000000000001</v>
      </c>
      <c r="AG479" s="64">
        <f>Esc!AF429</f>
        <v>0.13</v>
      </c>
      <c r="AH479" s="64">
        <f>Esc!AG429</f>
        <v>0.11</v>
      </c>
      <c r="AI479" s="64">
        <f>Esc!AH429</f>
        <v>0.09</v>
      </c>
      <c r="AJ479" s="64">
        <f>Esc!AI429</f>
        <v>7.0000000000000007E-2</v>
      </c>
      <c r="AK479" s="64">
        <f>Esc!AJ429</f>
        <v>0.05</v>
      </c>
      <c r="AL479" s="64">
        <f>Esc!AK429</f>
        <v>0.04</v>
      </c>
      <c r="AM479" s="64">
        <f>Esc!AL429</f>
        <v>0.02</v>
      </c>
      <c r="AN479" s="64">
        <f>Esc!AM429</f>
        <v>0</v>
      </c>
      <c r="AO479" s="64">
        <f t="shared" si="180"/>
        <v>0</v>
      </c>
      <c r="AP479" s="64">
        <f t="shared" si="179"/>
        <v>0</v>
      </c>
      <c r="AQ479" s="64">
        <f t="shared" si="179"/>
        <v>0</v>
      </c>
      <c r="AR479" s="64">
        <f t="shared" si="179"/>
        <v>0</v>
      </c>
      <c r="AS479" s="64">
        <f t="shared" si="179"/>
        <v>0</v>
      </c>
      <c r="AT479" s="64">
        <f t="shared" si="179"/>
        <v>0</v>
      </c>
      <c r="AU479" s="64">
        <f t="shared" si="179"/>
        <v>0</v>
      </c>
      <c r="AV479" s="64">
        <f t="shared" si="179"/>
        <v>0</v>
      </c>
      <c r="AW479" s="64">
        <f t="shared" si="179"/>
        <v>0</v>
      </c>
      <c r="AX479" s="64">
        <f t="shared" si="179"/>
        <v>0</v>
      </c>
      <c r="AY479" s="64">
        <f t="shared" si="179"/>
        <v>0</v>
      </c>
      <c r="AZ479" s="64">
        <f t="shared" si="179"/>
        <v>0</v>
      </c>
      <c r="BA479" s="64">
        <f t="shared" si="179"/>
        <v>0</v>
      </c>
      <c r="BB479" s="64">
        <f t="shared" si="179"/>
        <v>0</v>
      </c>
      <c r="BC479" s="64">
        <f t="shared" si="179"/>
        <v>0</v>
      </c>
      <c r="BD479" s="64">
        <f t="shared" si="179"/>
        <v>0</v>
      </c>
      <c r="BE479" s="64">
        <f t="shared" si="179"/>
        <v>0</v>
      </c>
      <c r="BF479" s="64">
        <f t="shared" si="179"/>
        <v>0</v>
      </c>
      <c r="BG479" s="64">
        <f t="shared" si="179"/>
        <v>0</v>
      </c>
      <c r="BH479" s="64">
        <f t="shared" si="179"/>
        <v>0</v>
      </c>
    </row>
    <row r="480" spans="1:60" s="64" customFormat="1" hidden="1" outlineLevel="1">
      <c r="B480" s="64" t="str">
        <f>Esc!A431</f>
        <v>Gas seco</v>
      </c>
      <c r="C480" s="64">
        <f>Esc!B431</f>
        <v>5.46</v>
      </c>
      <c r="D480" s="64">
        <f>Esc!C431</f>
        <v>5.75</v>
      </c>
      <c r="E480" s="64">
        <f>Esc!D431</f>
        <v>6.03</v>
      </c>
      <c r="F480" s="64">
        <f>Esc!E431</f>
        <v>6.17</v>
      </c>
      <c r="G480" s="64">
        <f>Esc!F431</f>
        <v>5.64</v>
      </c>
      <c r="H480" s="64">
        <f>Esc!G431</f>
        <v>5.71</v>
      </c>
      <c r="I480" s="64">
        <f>Esc!H431</f>
        <v>5.18</v>
      </c>
      <c r="J480" s="64">
        <f>Esc!I431</f>
        <v>5.45</v>
      </c>
      <c r="K480" s="64">
        <f>Esc!J431</f>
        <v>8.41</v>
      </c>
      <c r="L480" s="64">
        <f>Esc!K431</f>
        <v>8.5399999999999991</v>
      </c>
      <c r="M480" s="64">
        <f>Esc!L431</f>
        <v>8.69</v>
      </c>
      <c r="N480" s="64">
        <f>Esc!M431</f>
        <v>8.84</v>
      </c>
      <c r="O480" s="64">
        <f>Esc!N431</f>
        <v>8.99</v>
      </c>
      <c r="P480" s="64">
        <f>Esc!O431</f>
        <v>9.15</v>
      </c>
      <c r="Q480" s="64">
        <f>Esc!P431</f>
        <v>9.3000000000000007</v>
      </c>
      <c r="R480" s="64">
        <f>Esc!Q431</f>
        <v>9.4499999999999993</v>
      </c>
      <c r="S480" s="64">
        <f>Esc!R431</f>
        <v>9.6</v>
      </c>
      <c r="T480" s="64">
        <f>Esc!S431</f>
        <v>9.75</v>
      </c>
      <c r="U480" s="64">
        <f>Esc!T431</f>
        <v>9.91</v>
      </c>
      <c r="V480" s="64">
        <f>Esc!U431</f>
        <v>10.06</v>
      </c>
      <c r="W480" s="64">
        <f>Esc!V431</f>
        <v>10.210000000000001</v>
      </c>
      <c r="X480" s="64">
        <f>Esc!W431</f>
        <v>10.36</v>
      </c>
      <c r="Y480" s="64">
        <f>Esc!X431</f>
        <v>10.51</v>
      </c>
      <c r="Z480" s="64">
        <f>Esc!Y431</f>
        <v>10.67</v>
      </c>
      <c r="AA480" s="64">
        <f>Esc!Z431</f>
        <v>10.82</v>
      </c>
      <c r="AB480" s="64">
        <f>Esc!AA431</f>
        <v>10.97</v>
      </c>
      <c r="AC480" s="64">
        <f>Esc!AB431</f>
        <v>11.12</v>
      </c>
      <c r="AD480" s="64">
        <f>Esc!AC431</f>
        <v>11.28</v>
      </c>
      <c r="AE480" s="64">
        <f>Esc!AD431</f>
        <v>11.43</v>
      </c>
      <c r="AF480" s="64">
        <f>Esc!AE431</f>
        <v>11.58</v>
      </c>
      <c r="AG480" s="64">
        <f>Esc!AF431</f>
        <v>11.73</v>
      </c>
      <c r="AH480" s="64">
        <f>Esc!AG431</f>
        <v>11.88</v>
      </c>
      <c r="AI480" s="64">
        <f>Esc!AH431</f>
        <v>12.04</v>
      </c>
      <c r="AJ480" s="64">
        <f>Esc!AI431</f>
        <v>12.19</v>
      </c>
      <c r="AK480" s="64">
        <f>Esc!AJ431</f>
        <v>12.34</v>
      </c>
      <c r="AL480" s="64">
        <f>Esc!AK431</f>
        <v>12.49</v>
      </c>
      <c r="AM480" s="64">
        <f>Esc!AL431</f>
        <v>12.64</v>
      </c>
      <c r="AN480" s="64">
        <f>Esc!AM431</f>
        <v>12.8</v>
      </c>
      <c r="AO480" s="64">
        <f t="shared" si="180"/>
        <v>12.8</v>
      </c>
      <c r="AP480" s="64">
        <f t="shared" si="179"/>
        <v>12.8</v>
      </c>
      <c r="AQ480" s="64">
        <f t="shared" si="179"/>
        <v>12.8</v>
      </c>
      <c r="AR480" s="64">
        <f t="shared" si="179"/>
        <v>12.8</v>
      </c>
      <c r="AS480" s="64">
        <f t="shared" si="179"/>
        <v>12.8</v>
      </c>
      <c r="AT480" s="64">
        <f t="shared" si="179"/>
        <v>12.8</v>
      </c>
      <c r="AU480" s="64">
        <f t="shared" si="179"/>
        <v>12.8</v>
      </c>
      <c r="AV480" s="64">
        <f t="shared" si="179"/>
        <v>12.8</v>
      </c>
      <c r="AW480" s="64">
        <f t="shared" si="179"/>
        <v>12.8</v>
      </c>
      <c r="AX480" s="64">
        <f t="shared" si="179"/>
        <v>12.8</v>
      </c>
      <c r="AY480" s="64">
        <f t="shared" si="179"/>
        <v>12.8</v>
      </c>
      <c r="AZ480" s="64">
        <f t="shared" si="179"/>
        <v>12.8</v>
      </c>
      <c r="BA480" s="64">
        <f t="shared" si="179"/>
        <v>12.8</v>
      </c>
      <c r="BB480" s="64">
        <f t="shared" si="179"/>
        <v>12.8</v>
      </c>
      <c r="BC480" s="64">
        <f t="shared" si="179"/>
        <v>12.8</v>
      </c>
      <c r="BD480" s="64">
        <f t="shared" si="179"/>
        <v>12.8</v>
      </c>
      <c r="BE480" s="64">
        <f t="shared" si="179"/>
        <v>12.8</v>
      </c>
      <c r="BF480" s="64">
        <f t="shared" si="179"/>
        <v>12.8</v>
      </c>
      <c r="BG480" s="64">
        <f t="shared" si="179"/>
        <v>12.8</v>
      </c>
      <c r="BH480" s="64">
        <f t="shared" si="179"/>
        <v>12.8</v>
      </c>
    </row>
    <row r="481" spans="1:60" s="64" customFormat="1" hidden="1" outlineLevel="1">
      <c r="B481" s="64" t="str">
        <f>Esc!A432</f>
        <v>Electricidad</v>
      </c>
      <c r="C481" s="64">
        <f>Esc!B432</f>
        <v>1.65</v>
      </c>
      <c r="D481" s="64">
        <f>Esc!C432</f>
        <v>1.73</v>
      </c>
      <c r="E481" s="64">
        <f>Esc!D432</f>
        <v>1.82</v>
      </c>
      <c r="F481" s="64">
        <f>Esc!E432</f>
        <v>1.95</v>
      </c>
      <c r="G481" s="64">
        <f>Esc!F432</f>
        <v>1.79</v>
      </c>
      <c r="H481" s="64">
        <f>Esc!G432</f>
        <v>1.81</v>
      </c>
      <c r="I481" s="64">
        <f>Esc!H432</f>
        <v>1.65</v>
      </c>
      <c r="J481" s="64">
        <f>Esc!I432</f>
        <v>1.73</v>
      </c>
      <c r="K481" s="64">
        <f>Esc!J432</f>
        <v>1.65</v>
      </c>
      <c r="L481" s="64">
        <f>Esc!K432</f>
        <v>1.67</v>
      </c>
      <c r="M481" s="64">
        <f>Esc!L432</f>
        <v>1.7</v>
      </c>
      <c r="N481" s="64">
        <f>Esc!M432</f>
        <v>1.73</v>
      </c>
      <c r="O481" s="64">
        <f>Esc!N432</f>
        <v>1.76</v>
      </c>
      <c r="P481" s="64">
        <f>Esc!O432</f>
        <v>1.79</v>
      </c>
      <c r="Q481" s="64">
        <f>Esc!P432</f>
        <v>1.82</v>
      </c>
      <c r="R481" s="64">
        <f>Esc!Q432</f>
        <v>1.85</v>
      </c>
      <c r="S481" s="64">
        <f>Esc!R432</f>
        <v>1.88</v>
      </c>
      <c r="T481" s="64">
        <f>Esc!S432</f>
        <v>1.91</v>
      </c>
      <c r="U481" s="64">
        <f>Esc!T432</f>
        <v>1.94</v>
      </c>
      <c r="V481" s="64">
        <f>Esc!U432</f>
        <v>1.97</v>
      </c>
      <c r="W481" s="64">
        <f>Esc!V432</f>
        <v>2</v>
      </c>
      <c r="X481" s="64">
        <f>Esc!W432</f>
        <v>2.0299999999999998</v>
      </c>
      <c r="Y481" s="64">
        <f>Esc!X432</f>
        <v>2.06</v>
      </c>
      <c r="Z481" s="64">
        <f>Esc!Y432</f>
        <v>2.09</v>
      </c>
      <c r="AA481" s="64">
        <f>Esc!Z432</f>
        <v>2.12</v>
      </c>
      <c r="AB481" s="64">
        <f>Esc!AA432</f>
        <v>2.15</v>
      </c>
      <c r="AC481" s="64">
        <f>Esc!AB432</f>
        <v>2.1800000000000002</v>
      </c>
      <c r="AD481" s="64">
        <f>Esc!AC432</f>
        <v>2.21</v>
      </c>
      <c r="AE481" s="64">
        <f>Esc!AD432</f>
        <v>2.2400000000000002</v>
      </c>
      <c r="AF481" s="64">
        <f>Esc!AE432</f>
        <v>2.27</v>
      </c>
      <c r="AG481" s="64">
        <f>Esc!AF432</f>
        <v>2.2999999999999998</v>
      </c>
      <c r="AH481" s="64">
        <f>Esc!AG432</f>
        <v>2.33</v>
      </c>
      <c r="AI481" s="64">
        <f>Esc!AH432</f>
        <v>2.36</v>
      </c>
      <c r="AJ481" s="64">
        <f>Esc!AI432</f>
        <v>2.39</v>
      </c>
      <c r="AK481" s="64">
        <f>Esc!AJ432</f>
        <v>2.42</v>
      </c>
      <c r="AL481" s="64">
        <f>Esc!AK432</f>
        <v>2.4500000000000002</v>
      </c>
      <c r="AM481" s="64">
        <f>Esc!AL432</f>
        <v>2.48</v>
      </c>
      <c r="AN481" s="64">
        <f>Esc!AM432</f>
        <v>2.5099999999999998</v>
      </c>
      <c r="AO481" s="64">
        <f t="shared" si="180"/>
        <v>2.5099999999999998</v>
      </c>
      <c r="AP481" s="64">
        <f t="shared" si="179"/>
        <v>2.5099999999999998</v>
      </c>
      <c r="AQ481" s="64">
        <f t="shared" si="179"/>
        <v>2.5099999999999998</v>
      </c>
      <c r="AR481" s="64">
        <f t="shared" si="179"/>
        <v>2.5099999999999998</v>
      </c>
      <c r="AS481" s="64">
        <f t="shared" si="179"/>
        <v>2.5099999999999998</v>
      </c>
      <c r="AT481" s="64">
        <f t="shared" si="179"/>
        <v>2.5099999999999998</v>
      </c>
      <c r="AU481" s="64">
        <f t="shared" si="179"/>
        <v>2.5099999999999998</v>
      </c>
      <c r="AV481" s="64">
        <f t="shared" si="179"/>
        <v>2.5099999999999998</v>
      </c>
      <c r="AW481" s="64">
        <f t="shared" si="179"/>
        <v>2.5099999999999998</v>
      </c>
      <c r="AX481" s="64">
        <f t="shared" si="179"/>
        <v>2.5099999999999998</v>
      </c>
      <c r="AY481" s="64">
        <f t="shared" si="179"/>
        <v>2.5099999999999998</v>
      </c>
      <c r="AZ481" s="64">
        <f t="shared" si="179"/>
        <v>2.5099999999999998</v>
      </c>
      <c r="BA481" s="64">
        <f t="shared" si="179"/>
        <v>2.5099999999999998</v>
      </c>
      <c r="BB481" s="64">
        <f t="shared" si="179"/>
        <v>2.5099999999999998</v>
      </c>
      <c r="BC481" s="64">
        <f t="shared" si="179"/>
        <v>2.5099999999999998</v>
      </c>
      <c r="BD481" s="64">
        <f t="shared" si="179"/>
        <v>2.5099999999999998</v>
      </c>
      <c r="BE481" s="64">
        <f t="shared" si="179"/>
        <v>2.5099999999999998</v>
      </c>
      <c r="BF481" s="64">
        <f t="shared" si="179"/>
        <v>2.5099999999999998</v>
      </c>
      <c r="BG481" s="64">
        <f t="shared" si="179"/>
        <v>2.5099999999999998</v>
      </c>
      <c r="BH481" s="64">
        <f t="shared" si="179"/>
        <v>2.5099999999999998</v>
      </c>
    </row>
    <row r="482" spans="1:60" collapsed="1">
      <c r="A482" s="67" t="s">
        <v>171</v>
      </c>
    </row>
    <row r="483" spans="1:60" hidden="1" outlineLevel="1">
      <c r="B483" t="str">
        <f>A.15!A146</f>
        <v>Coque total</v>
      </c>
      <c r="C483">
        <f>A.15!B146</f>
        <v>100.99</v>
      </c>
      <c r="D483">
        <f>A.15!C146</f>
        <v>109.38</v>
      </c>
      <c r="E483">
        <f>A.15!D146</f>
        <v>123.72</v>
      </c>
      <c r="F483">
        <f>A.15!E146</f>
        <v>126.97</v>
      </c>
      <c r="G483">
        <f>A.15!F146</f>
        <v>119.51</v>
      </c>
      <c r="H483">
        <f>A.15!G146</f>
        <v>106.62</v>
      </c>
      <c r="I483">
        <f>A.15!H146</f>
        <v>99.67</v>
      </c>
      <c r="J483">
        <f>A.15!I146</f>
        <v>101.2</v>
      </c>
      <c r="K483">
        <f>A.15!J146</f>
        <v>0.01</v>
      </c>
      <c r="L483">
        <f>A.15!K146</f>
        <v>0.01</v>
      </c>
      <c r="M483">
        <f>A.15!L146</f>
        <v>0</v>
      </c>
    </row>
    <row r="484" spans="1:60" hidden="1" outlineLevel="1">
      <c r="B484" t="str">
        <f>A.15!A148</f>
        <v>Coque de petróleo</v>
      </c>
      <c r="C484">
        <f>A.15!B148</f>
        <v>100.99</v>
      </c>
      <c r="D484">
        <f>A.15!C148</f>
        <v>109.38</v>
      </c>
      <c r="E484">
        <f>A.15!D148</f>
        <v>123.72</v>
      </c>
      <c r="F484">
        <f>A.15!E148</f>
        <v>126.97</v>
      </c>
      <c r="G484">
        <f>A.15!F148</f>
        <v>119.51</v>
      </c>
      <c r="H484">
        <f>A.15!G148</f>
        <v>106.62</v>
      </c>
      <c r="I484">
        <f>A.15!H148</f>
        <v>99.67</v>
      </c>
      <c r="J484">
        <f>A.15!I148</f>
        <v>101.2</v>
      </c>
      <c r="K484">
        <f>A.15!J148</f>
        <v>0.01</v>
      </c>
      <c r="L484">
        <f>A.15!K148</f>
        <v>0.01</v>
      </c>
      <c r="M484">
        <f>A.15!L148</f>
        <v>0</v>
      </c>
    </row>
    <row r="485" spans="1:60" hidden="1" outlineLevel="1">
      <c r="B485" t="str">
        <f>A.15!A150</f>
        <v>Gas licuado</v>
      </c>
      <c r="C485">
        <f>A.15!B150</f>
        <v>0</v>
      </c>
      <c r="D485">
        <f>A.15!C150</f>
        <v>0</v>
      </c>
      <c r="E485">
        <f>A.15!D150</f>
        <v>0</v>
      </c>
      <c r="F485">
        <f>A.15!E150</f>
        <v>0</v>
      </c>
      <c r="G485">
        <f>A.15!F150</f>
        <v>0</v>
      </c>
      <c r="H485">
        <f>A.15!G150</f>
        <v>0</v>
      </c>
      <c r="I485">
        <f>A.15!H150</f>
        <v>0</v>
      </c>
      <c r="J485">
        <f>A.15!I150</f>
        <v>0</v>
      </c>
      <c r="K485">
        <f>A.15!J150</f>
        <v>0.14000000000000001</v>
      </c>
      <c r="L485">
        <f>A.15!K150</f>
        <v>0.15</v>
      </c>
      <c r="M485">
        <f>A.15!L150</f>
        <v>0.14000000000000001</v>
      </c>
    </row>
    <row r="486" spans="1:60" hidden="1" outlineLevel="1">
      <c r="B486" t="str">
        <f>A.15!A153</f>
        <v>Diésel</v>
      </c>
      <c r="C486">
        <f>A.15!B153</f>
        <v>0.27</v>
      </c>
      <c r="D486">
        <f>A.15!C153</f>
        <v>0.23</v>
      </c>
      <c r="E486">
        <f>A.15!D153</f>
        <v>0.25</v>
      </c>
      <c r="F486">
        <f>A.15!E153</f>
        <v>0.1</v>
      </c>
      <c r="G486">
        <f>A.15!F153</f>
        <v>0.1</v>
      </c>
      <c r="H486">
        <f>A.15!G153</f>
        <v>0.11</v>
      </c>
      <c r="I486">
        <f>A.15!H153</f>
        <v>0.1</v>
      </c>
      <c r="J486">
        <f>A.15!I153</f>
        <v>0.1</v>
      </c>
      <c r="K486">
        <f>A.15!J153</f>
        <v>2.4</v>
      </c>
      <c r="L486">
        <f>A.15!K153</f>
        <v>2.5299999999999998</v>
      </c>
      <c r="M486">
        <f>A.15!L153</f>
        <v>2.4</v>
      </c>
    </row>
    <row r="487" spans="1:60" hidden="1" outlineLevel="1">
      <c r="B487" t="str">
        <f>A.15!A154</f>
        <v>Combustóleo</v>
      </c>
      <c r="C487">
        <f>A.15!B154</f>
        <v>1.49</v>
      </c>
      <c r="D487">
        <f>A.15!C154</f>
        <v>1.1100000000000001</v>
      </c>
      <c r="E487">
        <f>A.15!D154</f>
        <v>2.2799999999999998</v>
      </c>
      <c r="F487">
        <f>A.15!E154</f>
        <v>2.2799999999999998</v>
      </c>
      <c r="G487">
        <f>A.15!F154</f>
        <v>2.21</v>
      </c>
      <c r="H487">
        <f>A.15!G154</f>
        <v>0.66</v>
      </c>
      <c r="I487">
        <f>A.15!H154</f>
        <v>1.04</v>
      </c>
      <c r="J487">
        <f>A.15!I154</f>
        <v>1.04</v>
      </c>
      <c r="K487">
        <f>A.15!J154</f>
        <v>2.0299999999999998</v>
      </c>
      <c r="L487">
        <f>A.15!K154</f>
        <v>2.14</v>
      </c>
      <c r="M487">
        <f>A.15!L154</f>
        <v>2.08</v>
      </c>
    </row>
    <row r="488" spans="1:60" hidden="1" outlineLevel="1">
      <c r="B488" t="str">
        <f>A.15!A156</f>
        <v>Gas seco</v>
      </c>
      <c r="C488">
        <f>A.15!B156</f>
        <v>4.43</v>
      </c>
      <c r="D488">
        <f>A.15!C156</f>
        <v>5.25</v>
      </c>
      <c r="E488">
        <f>A.15!D156</f>
        <v>9.24</v>
      </c>
      <c r="F488">
        <f>A.15!E156</f>
        <v>10.119999999999999</v>
      </c>
      <c r="G488">
        <f>A.15!F156</f>
        <v>9.74</v>
      </c>
      <c r="H488">
        <f>A.15!G156</f>
        <v>10.63</v>
      </c>
      <c r="I488">
        <f>A.15!H156</f>
        <v>11.92</v>
      </c>
      <c r="J488">
        <f>A.15!I156</f>
        <v>10.33</v>
      </c>
      <c r="K488">
        <f>A.15!J156</f>
        <v>43.5</v>
      </c>
      <c r="L488">
        <f>A.15!K156</f>
        <v>41.2</v>
      </c>
      <c r="M488">
        <f>A.15!L156</f>
        <v>39.979999999999997</v>
      </c>
    </row>
    <row r="489" spans="1:60" hidden="1" outlineLevel="1">
      <c r="B489" t="str">
        <f>A.15!A157</f>
        <v>Energía eléctrica</v>
      </c>
      <c r="C489">
        <f>A.15!B157</f>
        <v>36.130000000000003</v>
      </c>
      <c r="D489">
        <f>A.15!C157</f>
        <v>33.01</v>
      </c>
      <c r="E489">
        <f>A.15!D157</f>
        <v>34.869999999999997</v>
      </c>
      <c r="F489">
        <f>A.15!E157</f>
        <v>37.28</v>
      </c>
      <c r="G489">
        <f>A.15!F157</f>
        <v>36.729999999999997</v>
      </c>
      <c r="H489">
        <f>A.15!G157</f>
        <v>37.01</v>
      </c>
      <c r="I489">
        <f>A.15!H157</f>
        <v>37.29</v>
      </c>
      <c r="J489">
        <f>A.15!I157</f>
        <v>37.520000000000003</v>
      </c>
      <c r="K489">
        <f>A.15!J157</f>
        <v>41.94</v>
      </c>
      <c r="L489">
        <f>A.15!K157</f>
        <v>33.54</v>
      </c>
      <c r="M489">
        <f>A.15!L157</f>
        <v>38.549999999999997</v>
      </c>
    </row>
    <row r="490" spans="1:60" hidden="1" outlineLevel="1">
      <c r="B490" t="str">
        <f>A.15!A158</f>
        <v>Carbón</v>
      </c>
      <c r="C490">
        <f>A.15!B158</f>
        <v>5.86</v>
      </c>
      <c r="D490">
        <f>A.15!C158</f>
        <v>6</v>
      </c>
      <c r="E490">
        <f>A.15!D158</f>
        <v>6.41</v>
      </c>
      <c r="F490">
        <f>A.15!E158</f>
        <v>6.82</v>
      </c>
      <c r="G490">
        <f>A.15!F158</f>
        <v>7.06</v>
      </c>
      <c r="H490">
        <f>A.15!G158</f>
        <v>7.31</v>
      </c>
      <c r="I490">
        <f>A.15!H158</f>
        <v>7.66</v>
      </c>
      <c r="J490">
        <f>A.15!I158</f>
        <v>9.5299999999999994</v>
      </c>
      <c r="K490">
        <f>A.15!J158</f>
        <v>5.0599999999999996</v>
      </c>
      <c r="L490">
        <f>A.15!K158</f>
        <v>5.34</v>
      </c>
      <c r="M490">
        <f>A.15!L158</f>
        <v>5.18</v>
      </c>
    </row>
    <row r="491" spans="1:60" hidden="1" outlineLevel="1"/>
    <row r="492" spans="1:60" s="64" customFormat="1" hidden="1" outlineLevel="1">
      <c r="B492" s="64" t="str">
        <f>Esc!A65</f>
        <v>Carbón</v>
      </c>
      <c r="C492" s="64">
        <f>Esc!B65</f>
        <v>5.86</v>
      </c>
      <c r="D492" s="64">
        <f>Esc!C65</f>
        <v>6</v>
      </c>
      <c r="E492" s="64">
        <f>Esc!D65</f>
        <v>6.41</v>
      </c>
      <c r="F492" s="64">
        <f>Esc!E65</f>
        <v>6.82</v>
      </c>
      <c r="G492" s="64">
        <f>Esc!F65</f>
        <v>7.05</v>
      </c>
      <c r="H492" s="64">
        <f>Esc!G65</f>
        <v>7.31</v>
      </c>
      <c r="I492" s="64">
        <f>Esc!H65</f>
        <v>7.66</v>
      </c>
      <c r="J492" s="64">
        <f>Esc!I65</f>
        <v>9.5299999999999994</v>
      </c>
      <c r="K492" s="64">
        <f>Esc!J65</f>
        <v>28.99</v>
      </c>
      <c r="L492" s="64">
        <f>Esc!K65</f>
        <v>28.78</v>
      </c>
      <c r="M492" s="64">
        <f>Esc!L65</f>
        <v>28.47</v>
      </c>
      <c r="N492" s="64">
        <f>Esc!M65</f>
        <v>28.17</v>
      </c>
      <c r="O492" s="64">
        <f>Esc!N65</f>
        <v>27.86</v>
      </c>
      <c r="P492" s="64">
        <f>Esc!O65</f>
        <v>27.56</v>
      </c>
      <c r="Q492" s="64">
        <f>Esc!P65</f>
        <v>27.25</v>
      </c>
      <c r="R492" s="64">
        <f>Esc!Q65</f>
        <v>26.95</v>
      </c>
      <c r="S492" s="64">
        <f>Esc!R65</f>
        <v>26.64</v>
      </c>
      <c r="T492" s="64">
        <f>Esc!S65</f>
        <v>26.34</v>
      </c>
      <c r="U492" s="64">
        <f>Esc!T65</f>
        <v>26.03</v>
      </c>
      <c r="V492" s="64">
        <f>Esc!U65</f>
        <v>25.73</v>
      </c>
      <c r="W492" s="64">
        <f>Esc!V65</f>
        <v>25.42</v>
      </c>
      <c r="X492" s="64">
        <f>Esc!W65</f>
        <v>25.12</v>
      </c>
      <c r="Y492" s="64">
        <f>Esc!X65</f>
        <v>24.81</v>
      </c>
      <c r="Z492" s="64">
        <f>Esc!Y65</f>
        <v>24.51</v>
      </c>
      <c r="AA492" s="64">
        <f>Esc!Z65</f>
        <v>24.2</v>
      </c>
      <c r="AB492" s="64">
        <f>Esc!AA65</f>
        <v>23.9</v>
      </c>
      <c r="AC492" s="64">
        <f>Esc!AB65</f>
        <v>23.6</v>
      </c>
      <c r="AD492" s="64">
        <f>Esc!AC65</f>
        <v>23.29</v>
      </c>
      <c r="AE492" s="64">
        <f>Esc!AD65</f>
        <v>22.99</v>
      </c>
      <c r="AF492" s="64">
        <f>Esc!AE65</f>
        <v>22.68</v>
      </c>
      <c r="AG492" s="64">
        <f>Esc!AF65</f>
        <v>22.38</v>
      </c>
      <c r="AH492" s="64">
        <f>Esc!AG65</f>
        <v>22.07</v>
      </c>
      <c r="AI492" s="64">
        <f>Esc!AH65</f>
        <v>21.77</v>
      </c>
      <c r="AJ492" s="64">
        <f>Esc!AI65</f>
        <v>21.46</v>
      </c>
      <c r="AK492" s="64">
        <f>Esc!AJ65</f>
        <v>21.16</v>
      </c>
      <c r="AL492" s="64">
        <f>Esc!AK65</f>
        <v>20.85</v>
      </c>
      <c r="AM492" s="64">
        <f>Esc!AL65</f>
        <v>20.55</v>
      </c>
      <c r="AN492" s="64">
        <f>Esc!AM65</f>
        <v>20.239999999999998</v>
      </c>
      <c r="AO492" s="64">
        <f>AN492</f>
        <v>20.239999999999998</v>
      </c>
      <c r="AP492" s="64">
        <f t="shared" ref="AP492:BH497" si="181">AO492</f>
        <v>20.239999999999998</v>
      </c>
      <c r="AQ492" s="64">
        <f t="shared" si="181"/>
        <v>20.239999999999998</v>
      </c>
      <c r="AR492" s="64">
        <f t="shared" si="181"/>
        <v>20.239999999999998</v>
      </c>
      <c r="AS492" s="64">
        <f t="shared" si="181"/>
        <v>20.239999999999998</v>
      </c>
      <c r="AT492" s="64">
        <f t="shared" si="181"/>
        <v>20.239999999999998</v>
      </c>
      <c r="AU492" s="64">
        <f t="shared" si="181"/>
        <v>20.239999999999998</v>
      </c>
      <c r="AV492" s="64">
        <f t="shared" si="181"/>
        <v>20.239999999999998</v>
      </c>
      <c r="AW492" s="64">
        <f t="shared" si="181"/>
        <v>20.239999999999998</v>
      </c>
      <c r="AX492" s="64">
        <f t="shared" si="181"/>
        <v>20.239999999999998</v>
      </c>
      <c r="AY492" s="64">
        <f t="shared" si="181"/>
        <v>20.239999999999998</v>
      </c>
      <c r="AZ492" s="64">
        <f t="shared" si="181"/>
        <v>20.239999999999998</v>
      </c>
      <c r="BA492" s="64">
        <f t="shared" si="181"/>
        <v>20.239999999999998</v>
      </c>
      <c r="BB492" s="64">
        <f t="shared" si="181"/>
        <v>20.239999999999998</v>
      </c>
      <c r="BC492" s="64">
        <f t="shared" si="181"/>
        <v>20.239999999999998</v>
      </c>
      <c r="BD492" s="64">
        <f t="shared" si="181"/>
        <v>20.239999999999998</v>
      </c>
      <c r="BE492" s="64">
        <f t="shared" si="181"/>
        <v>20.239999999999998</v>
      </c>
      <c r="BF492" s="64">
        <f t="shared" si="181"/>
        <v>20.239999999999998</v>
      </c>
      <c r="BG492" s="64">
        <f t="shared" si="181"/>
        <v>20.239999999999998</v>
      </c>
      <c r="BH492" s="64">
        <f t="shared" si="181"/>
        <v>20.239999999999998</v>
      </c>
    </row>
    <row r="493" spans="1:60" s="64" customFormat="1" hidden="1" outlineLevel="1">
      <c r="B493" s="64" t="str">
        <f>Esc!A83</f>
        <v>Coque de petróleo</v>
      </c>
      <c r="C493" s="64">
        <f>Esc!B83</f>
        <v>100.99</v>
      </c>
      <c r="D493" s="64">
        <f>Esc!C83</f>
        <v>109.37</v>
      </c>
      <c r="E493" s="64">
        <f>Esc!D83</f>
        <v>120.07</v>
      </c>
      <c r="F493" s="64">
        <f>Esc!E83</f>
        <v>123.96</v>
      </c>
      <c r="G493" s="64">
        <f>Esc!F83</f>
        <v>119.48</v>
      </c>
      <c r="H493" s="64">
        <f>Esc!G83</f>
        <v>116.62</v>
      </c>
      <c r="I493" s="64">
        <f>Esc!H83</f>
        <v>111.67</v>
      </c>
      <c r="J493" s="64">
        <f>Esc!I83</f>
        <v>108.2</v>
      </c>
      <c r="K493" s="64">
        <f>Esc!J83</f>
        <v>108.56</v>
      </c>
      <c r="L493" s="64">
        <f>Esc!K83</f>
        <v>109.79</v>
      </c>
      <c r="M493" s="64">
        <f>Esc!L83</f>
        <v>112.14</v>
      </c>
      <c r="N493" s="64">
        <f>Esc!M83</f>
        <v>114.49</v>
      </c>
      <c r="O493" s="64">
        <f>Esc!N83</f>
        <v>116.84</v>
      </c>
      <c r="P493" s="64">
        <f>Esc!O83</f>
        <v>119.19</v>
      </c>
      <c r="Q493" s="64">
        <f>Esc!P83</f>
        <v>121.54</v>
      </c>
      <c r="R493" s="64">
        <f>Esc!Q83</f>
        <v>123.89</v>
      </c>
      <c r="S493" s="64">
        <f>Esc!R83</f>
        <v>126.24</v>
      </c>
      <c r="T493" s="64">
        <f>Esc!S83</f>
        <v>128.59</v>
      </c>
      <c r="U493" s="64">
        <f>Esc!T83</f>
        <v>130.94</v>
      </c>
      <c r="V493" s="64">
        <f>Esc!U83</f>
        <v>133.29</v>
      </c>
      <c r="W493" s="64">
        <f>Esc!V83</f>
        <v>135.63999999999999</v>
      </c>
      <c r="X493" s="64">
        <f>Esc!W83</f>
        <v>137.99</v>
      </c>
      <c r="Y493" s="64">
        <f>Esc!X83</f>
        <v>140.34</v>
      </c>
      <c r="Z493" s="64">
        <f>Esc!Y83</f>
        <v>142.68</v>
      </c>
      <c r="AA493" s="64">
        <f>Esc!Z83</f>
        <v>145.03</v>
      </c>
      <c r="AB493" s="64">
        <f>Esc!AA83</f>
        <v>147.38</v>
      </c>
      <c r="AC493" s="64">
        <f>Esc!AB83</f>
        <v>149.72999999999999</v>
      </c>
      <c r="AD493" s="64">
        <f>Esc!AC83</f>
        <v>152.08000000000001</v>
      </c>
      <c r="AE493" s="64">
        <f>Esc!AD83</f>
        <v>154.43</v>
      </c>
      <c r="AF493" s="64">
        <f>Esc!AE83</f>
        <v>156.78</v>
      </c>
      <c r="AG493" s="64">
        <f>Esc!AF83</f>
        <v>159.13</v>
      </c>
      <c r="AH493" s="64">
        <f>Esc!AG83</f>
        <v>161.47999999999999</v>
      </c>
      <c r="AI493" s="64">
        <f>Esc!AH83</f>
        <v>163.83000000000001</v>
      </c>
      <c r="AJ493" s="64">
        <f>Esc!AI83</f>
        <v>166.18</v>
      </c>
      <c r="AK493" s="64">
        <f>Esc!AJ83</f>
        <v>168.53</v>
      </c>
      <c r="AL493" s="64">
        <f>Esc!AK83</f>
        <v>170.88</v>
      </c>
      <c r="AM493" s="64">
        <f>Esc!AL83</f>
        <v>173.23</v>
      </c>
      <c r="AN493" s="64">
        <f>Esc!AM83</f>
        <v>175.58</v>
      </c>
      <c r="AO493" s="64">
        <f t="shared" ref="AO493:BD497" si="182">AN493</f>
        <v>175.58</v>
      </c>
      <c r="AP493" s="64">
        <f t="shared" si="182"/>
        <v>175.58</v>
      </c>
      <c r="AQ493" s="64">
        <f t="shared" si="182"/>
        <v>175.58</v>
      </c>
      <c r="AR493" s="64">
        <f t="shared" si="182"/>
        <v>175.58</v>
      </c>
      <c r="AS493" s="64">
        <f t="shared" si="182"/>
        <v>175.58</v>
      </c>
      <c r="AT493" s="64">
        <f t="shared" si="182"/>
        <v>175.58</v>
      </c>
      <c r="AU493" s="64">
        <f t="shared" si="182"/>
        <v>175.58</v>
      </c>
      <c r="AV493" s="64">
        <f t="shared" si="182"/>
        <v>175.58</v>
      </c>
      <c r="AW493" s="64">
        <f t="shared" si="182"/>
        <v>175.58</v>
      </c>
      <c r="AX493" s="64">
        <f t="shared" si="182"/>
        <v>175.58</v>
      </c>
      <c r="AY493" s="64">
        <f t="shared" si="182"/>
        <v>175.58</v>
      </c>
      <c r="AZ493" s="64">
        <f t="shared" si="182"/>
        <v>175.58</v>
      </c>
      <c r="BA493" s="64">
        <f t="shared" si="182"/>
        <v>175.58</v>
      </c>
      <c r="BB493" s="64">
        <f t="shared" si="182"/>
        <v>175.58</v>
      </c>
      <c r="BC493" s="64">
        <f t="shared" si="182"/>
        <v>175.58</v>
      </c>
      <c r="BD493" s="64">
        <f t="shared" si="182"/>
        <v>175.58</v>
      </c>
      <c r="BE493" s="64">
        <f t="shared" si="181"/>
        <v>175.58</v>
      </c>
      <c r="BF493" s="64">
        <f t="shared" si="181"/>
        <v>175.58</v>
      </c>
      <c r="BG493" s="64">
        <f t="shared" si="181"/>
        <v>175.58</v>
      </c>
      <c r="BH493" s="64">
        <f t="shared" si="181"/>
        <v>175.58</v>
      </c>
    </row>
    <row r="494" spans="1:60" s="64" customFormat="1" hidden="1" outlineLevel="1">
      <c r="B494" s="64" t="str">
        <f>Esc!A87</f>
        <v>Diésel</v>
      </c>
      <c r="C494" s="64">
        <f>Esc!B87</f>
        <v>0.27</v>
      </c>
      <c r="D494" s="64">
        <f>Esc!C87</f>
        <v>0.23</v>
      </c>
      <c r="E494" s="64">
        <f>Esc!D87</f>
        <v>0.24</v>
      </c>
      <c r="F494" s="64">
        <f>Esc!E87</f>
        <v>0.1</v>
      </c>
      <c r="G494" s="64">
        <f>Esc!F87</f>
        <v>0.1</v>
      </c>
      <c r="H494" s="64">
        <f>Esc!G87</f>
        <v>0.11</v>
      </c>
      <c r="I494" s="64">
        <f>Esc!H87</f>
        <v>0.11</v>
      </c>
      <c r="J494" s="64">
        <f>Esc!I87</f>
        <v>0.1</v>
      </c>
      <c r="K494" s="64">
        <f>Esc!J87</f>
        <v>0.09</v>
      </c>
      <c r="L494" s="64">
        <f>Esc!K87</f>
        <v>0.09</v>
      </c>
      <c r="M494" s="64">
        <f>Esc!L87</f>
        <v>0.09</v>
      </c>
      <c r="N494" s="64">
        <f>Esc!M87</f>
        <v>0.09</v>
      </c>
      <c r="O494" s="64">
        <f>Esc!N87</f>
        <v>0.09</v>
      </c>
      <c r="P494" s="64">
        <f>Esc!O87</f>
        <v>0.09</v>
      </c>
      <c r="Q494" s="64">
        <f>Esc!P87</f>
        <v>0.09</v>
      </c>
      <c r="R494" s="64">
        <f>Esc!Q87</f>
        <v>0.09</v>
      </c>
      <c r="S494" s="64">
        <f>Esc!R87</f>
        <v>0.09</v>
      </c>
      <c r="T494" s="64">
        <f>Esc!S87</f>
        <v>0.09</v>
      </c>
      <c r="U494" s="64">
        <f>Esc!T87</f>
        <v>0.09</v>
      </c>
      <c r="V494" s="64">
        <f>Esc!U87</f>
        <v>0.09</v>
      </c>
      <c r="W494" s="64">
        <f>Esc!V87</f>
        <v>0.09</v>
      </c>
      <c r="X494" s="64">
        <f>Esc!W87</f>
        <v>0.09</v>
      </c>
      <c r="Y494" s="64">
        <f>Esc!X87</f>
        <v>0.09</v>
      </c>
      <c r="Z494" s="64">
        <f>Esc!Y87</f>
        <v>0.09</v>
      </c>
      <c r="AA494" s="64">
        <f>Esc!Z87</f>
        <v>0.09</v>
      </c>
      <c r="AB494" s="64">
        <f>Esc!AA87</f>
        <v>0.09</v>
      </c>
      <c r="AC494" s="64">
        <f>Esc!AB87</f>
        <v>0.09</v>
      </c>
      <c r="AD494" s="64">
        <f>Esc!AC87</f>
        <v>0.09</v>
      </c>
      <c r="AE494" s="64">
        <f>Esc!AD87</f>
        <v>0.09</v>
      </c>
      <c r="AF494" s="64">
        <f>Esc!AE87</f>
        <v>0.09</v>
      </c>
      <c r="AG494" s="64">
        <f>Esc!AF87</f>
        <v>0.08</v>
      </c>
      <c r="AH494" s="64">
        <f>Esc!AG87</f>
        <v>0.08</v>
      </c>
      <c r="AI494" s="64">
        <f>Esc!AH87</f>
        <v>0.08</v>
      </c>
      <c r="AJ494" s="64">
        <f>Esc!AI87</f>
        <v>0.08</v>
      </c>
      <c r="AK494" s="64">
        <f>Esc!AJ87</f>
        <v>0.08</v>
      </c>
      <c r="AL494" s="64">
        <f>Esc!AK87</f>
        <v>0.08</v>
      </c>
      <c r="AM494" s="64">
        <f>Esc!AL87</f>
        <v>0.08</v>
      </c>
      <c r="AN494" s="64">
        <f>Esc!AM87</f>
        <v>0.08</v>
      </c>
      <c r="AO494" s="64">
        <f t="shared" si="182"/>
        <v>0.08</v>
      </c>
      <c r="AP494" s="64">
        <f t="shared" si="181"/>
        <v>0.08</v>
      </c>
      <c r="AQ494" s="64">
        <f t="shared" si="181"/>
        <v>0.08</v>
      </c>
      <c r="AR494" s="64">
        <f t="shared" si="181"/>
        <v>0.08</v>
      </c>
      <c r="AS494" s="64">
        <f t="shared" si="181"/>
        <v>0.08</v>
      </c>
      <c r="AT494" s="64">
        <f t="shared" si="181"/>
        <v>0.08</v>
      </c>
      <c r="AU494" s="64">
        <f t="shared" si="181"/>
        <v>0.08</v>
      </c>
      <c r="AV494" s="64">
        <f t="shared" si="181"/>
        <v>0.08</v>
      </c>
      <c r="AW494" s="64">
        <f t="shared" si="181"/>
        <v>0.08</v>
      </c>
      <c r="AX494" s="64">
        <f t="shared" si="181"/>
        <v>0.08</v>
      </c>
      <c r="AY494" s="64">
        <f t="shared" si="181"/>
        <v>0.08</v>
      </c>
      <c r="AZ494" s="64">
        <f t="shared" si="181"/>
        <v>0.08</v>
      </c>
      <c r="BA494" s="64">
        <f t="shared" si="181"/>
        <v>0.08</v>
      </c>
      <c r="BB494" s="64">
        <f t="shared" si="181"/>
        <v>0.08</v>
      </c>
      <c r="BC494" s="64">
        <f t="shared" si="181"/>
        <v>0.08</v>
      </c>
      <c r="BD494" s="64">
        <f t="shared" si="181"/>
        <v>0.08</v>
      </c>
      <c r="BE494" s="64">
        <f t="shared" si="181"/>
        <v>0.08</v>
      </c>
      <c r="BF494" s="64">
        <f t="shared" si="181"/>
        <v>0.08</v>
      </c>
      <c r="BG494" s="64">
        <f t="shared" si="181"/>
        <v>0.08</v>
      </c>
      <c r="BH494" s="64">
        <f t="shared" si="181"/>
        <v>0.08</v>
      </c>
    </row>
    <row r="495" spans="1:60" s="64" customFormat="1" hidden="1" outlineLevel="1">
      <c r="B495" s="64" t="str">
        <f>Esc!A88</f>
        <v>Combustóleo</v>
      </c>
      <c r="C495" s="64">
        <f>Esc!B88</f>
        <v>1.49</v>
      </c>
      <c r="D495" s="64">
        <f>Esc!C88</f>
        <v>1.1100000000000001</v>
      </c>
      <c r="E495" s="64">
        <f>Esc!D88</f>
        <v>2.2799999999999998</v>
      </c>
      <c r="F495" s="64">
        <f>Esc!E88</f>
        <v>2.2799999999999998</v>
      </c>
      <c r="G495" s="64">
        <f>Esc!F88</f>
        <v>2.21</v>
      </c>
      <c r="H495" s="64">
        <f>Esc!G88</f>
        <v>0.66</v>
      </c>
      <c r="I495" s="64">
        <f>Esc!H88</f>
        <v>1.04</v>
      </c>
      <c r="J495" s="64">
        <f>Esc!I88</f>
        <v>1.04</v>
      </c>
      <c r="K495" s="64">
        <f>Esc!J88</f>
        <v>1.28</v>
      </c>
      <c r="L495" s="64">
        <f>Esc!K88</f>
        <v>1.24</v>
      </c>
      <c r="M495" s="64">
        <f>Esc!L88</f>
        <v>1.19</v>
      </c>
      <c r="N495" s="64">
        <f>Esc!M88</f>
        <v>1.1499999999999999</v>
      </c>
      <c r="O495" s="64">
        <f>Esc!N88</f>
        <v>1.1100000000000001</v>
      </c>
      <c r="P495" s="64">
        <f>Esc!O88</f>
        <v>1.06</v>
      </c>
      <c r="Q495" s="64">
        <f>Esc!P88</f>
        <v>1.02</v>
      </c>
      <c r="R495" s="64">
        <f>Esc!Q88</f>
        <v>0.97</v>
      </c>
      <c r="S495" s="64">
        <f>Esc!R88</f>
        <v>0.93</v>
      </c>
      <c r="T495" s="64">
        <f>Esc!S88</f>
        <v>0.88</v>
      </c>
      <c r="U495" s="64">
        <f>Esc!T88</f>
        <v>0.84</v>
      </c>
      <c r="V495" s="64">
        <f>Esc!U88</f>
        <v>0.8</v>
      </c>
      <c r="W495" s="64">
        <f>Esc!V88</f>
        <v>0.75</v>
      </c>
      <c r="X495" s="64">
        <f>Esc!W88</f>
        <v>0.71</v>
      </c>
      <c r="Y495" s="64">
        <f>Esc!X88</f>
        <v>0.66</v>
      </c>
      <c r="Z495" s="64">
        <f>Esc!Y88</f>
        <v>0.62</v>
      </c>
      <c r="AA495" s="64">
        <f>Esc!Z88</f>
        <v>0.56999999999999995</v>
      </c>
      <c r="AB495" s="64">
        <f>Esc!AA88</f>
        <v>0.53</v>
      </c>
      <c r="AC495" s="64">
        <f>Esc!AB88</f>
        <v>0.49</v>
      </c>
      <c r="AD495" s="64">
        <f>Esc!AC88</f>
        <v>0.44</v>
      </c>
      <c r="AE495" s="64">
        <f>Esc!AD88</f>
        <v>0.4</v>
      </c>
      <c r="AF495" s="64">
        <f>Esc!AE88</f>
        <v>0.35</v>
      </c>
      <c r="AG495" s="64">
        <f>Esc!AF88</f>
        <v>0.31</v>
      </c>
      <c r="AH495" s="64">
        <f>Esc!AG88</f>
        <v>0.27</v>
      </c>
      <c r="AI495" s="64">
        <f>Esc!AH88</f>
        <v>0.22</v>
      </c>
      <c r="AJ495" s="64">
        <f>Esc!AI88</f>
        <v>0.18</v>
      </c>
      <c r="AK495" s="64">
        <f>Esc!AJ88</f>
        <v>0.13</v>
      </c>
      <c r="AL495" s="64">
        <f>Esc!AK88</f>
        <v>0.09</v>
      </c>
      <c r="AM495" s="64">
        <f>Esc!AL88</f>
        <v>0.04</v>
      </c>
      <c r="AN495" s="64">
        <f>Esc!AM88</f>
        <v>0</v>
      </c>
      <c r="AO495" s="64">
        <f t="shared" si="182"/>
        <v>0</v>
      </c>
      <c r="AP495" s="64">
        <f t="shared" si="181"/>
        <v>0</v>
      </c>
      <c r="AQ495" s="64">
        <f t="shared" si="181"/>
        <v>0</v>
      </c>
      <c r="AR495" s="64">
        <f t="shared" si="181"/>
        <v>0</v>
      </c>
      <c r="AS495" s="64">
        <f t="shared" si="181"/>
        <v>0</v>
      </c>
      <c r="AT495" s="64">
        <f t="shared" si="181"/>
        <v>0</v>
      </c>
      <c r="AU495" s="64">
        <f t="shared" si="181"/>
        <v>0</v>
      </c>
      <c r="AV495" s="64">
        <f t="shared" si="181"/>
        <v>0</v>
      </c>
      <c r="AW495" s="64">
        <f t="shared" si="181"/>
        <v>0</v>
      </c>
      <c r="AX495" s="64">
        <f t="shared" si="181"/>
        <v>0</v>
      </c>
      <c r="AY495" s="64">
        <f t="shared" si="181"/>
        <v>0</v>
      </c>
      <c r="AZ495" s="64">
        <f t="shared" si="181"/>
        <v>0</v>
      </c>
      <c r="BA495" s="64">
        <f t="shared" si="181"/>
        <v>0</v>
      </c>
      <c r="BB495" s="64">
        <f t="shared" si="181"/>
        <v>0</v>
      </c>
      <c r="BC495" s="64">
        <f t="shared" si="181"/>
        <v>0</v>
      </c>
      <c r="BD495" s="64">
        <f t="shared" si="181"/>
        <v>0</v>
      </c>
      <c r="BE495" s="64">
        <f t="shared" si="181"/>
        <v>0</v>
      </c>
      <c r="BF495" s="64">
        <f t="shared" si="181"/>
        <v>0</v>
      </c>
      <c r="BG495" s="64">
        <f t="shared" si="181"/>
        <v>0</v>
      </c>
      <c r="BH495" s="64">
        <f t="shared" si="181"/>
        <v>0</v>
      </c>
    </row>
    <row r="496" spans="1:60" s="64" customFormat="1" hidden="1" outlineLevel="1">
      <c r="B496" s="64" t="str">
        <f>Esc!A90</f>
        <v>Gas seco</v>
      </c>
      <c r="C496" s="64">
        <f>Esc!B90</f>
        <v>4.42</v>
      </c>
      <c r="D496" s="64">
        <f>Esc!C90</f>
        <v>5.25</v>
      </c>
      <c r="E496" s="64">
        <f>Esc!D90</f>
        <v>9.24</v>
      </c>
      <c r="F496" s="64">
        <f>Esc!E90</f>
        <v>10.119999999999999</v>
      </c>
      <c r="G496" s="64">
        <f>Esc!F90</f>
        <v>9.74</v>
      </c>
      <c r="H496" s="64">
        <f>Esc!G90</f>
        <v>10.63</v>
      </c>
      <c r="I496" s="64">
        <f>Esc!H90</f>
        <v>11.92</v>
      </c>
      <c r="J496" s="64">
        <f>Esc!I90</f>
        <v>10.33</v>
      </c>
      <c r="K496" s="64">
        <f>Esc!J90</f>
        <v>12.93</v>
      </c>
      <c r="L496" s="64">
        <f>Esc!K90</f>
        <v>13.13</v>
      </c>
      <c r="M496" s="64">
        <f>Esc!L90</f>
        <v>13.25</v>
      </c>
      <c r="N496" s="64">
        <f>Esc!M90</f>
        <v>13.38</v>
      </c>
      <c r="O496" s="64">
        <f>Esc!N90</f>
        <v>13.5</v>
      </c>
      <c r="P496" s="64">
        <f>Esc!O90</f>
        <v>13.63</v>
      </c>
      <c r="Q496" s="64">
        <f>Esc!P90</f>
        <v>13.75</v>
      </c>
      <c r="R496" s="64">
        <f>Esc!Q90</f>
        <v>13.88</v>
      </c>
      <c r="S496" s="64">
        <f>Esc!R90</f>
        <v>14</v>
      </c>
      <c r="T496" s="64">
        <f>Esc!S90</f>
        <v>14.12</v>
      </c>
      <c r="U496" s="64">
        <f>Esc!T90</f>
        <v>14.25</v>
      </c>
      <c r="V496" s="64">
        <f>Esc!U90</f>
        <v>14.37</v>
      </c>
      <c r="W496" s="64">
        <f>Esc!V90</f>
        <v>14.5</v>
      </c>
      <c r="X496" s="64">
        <f>Esc!W90</f>
        <v>14.55</v>
      </c>
      <c r="Y496" s="64">
        <f>Esc!X90</f>
        <v>14.52</v>
      </c>
      <c r="Z496" s="64">
        <f>Esc!Y90</f>
        <v>14.48</v>
      </c>
      <c r="AA496" s="64">
        <f>Esc!Z90</f>
        <v>14.44</v>
      </c>
      <c r="AB496" s="64">
        <f>Esc!AA90</f>
        <v>14.41</v>
      </c>
      <c r="AC496" s="64">
        <f>Esc!AB90</f>
        <v>14.37</v>
      </c>
      <c r="AD496" s="64">
        <f>Esc!AC90</f>
        <v>14.33</v>
      </c>
      <c r="AE496" s="64">
        <f>Esc!AD90</f>
        <v>14.3</v>
      </c>
      <c r="AF496" s="64">
        <f>Esc!AE90</f>
        <v>14.26</v>
      </c>
      <c r="AG496" s="64">
        <f>Esc!AF90</f>
        <v>14.22</v>
      </c>
      <c r="AH496" s="64">
        <f>Esc!AG90</f>
        <v>14.19</v>
      </c>
      <c r="AI496" s="64">
        <f>Esc!AH90</f>
        <v>14.15</v>
      </c>
      <c r="AJ496" s="64">
        <f>Esc!AI90</f>
        <v>14.11</v>
      </c>
      <c r="AK496" s="64">
        <f>Esc!AJ90</f>
        <v>14.08</v>
      </c>
      <c r="AL496" s="64">
        <f>Esc!AK90</f>
        <v>14.04</v>
      </c>
      <c r="AM496" s="64">
        <f>Esc!AL90</f>
        <v>14</v>
      </c>
      <c r="AN496" s="64">
        <f>Esc!AM90</f>
        <v>13.97</v>
      </c>
      <c r="AO496" s="64">
        <f t="shared" si="182"/>
        <v>13.97</v>
      </c>
      <c r="AP496" s="64">
        <f t="shared" si="181"/>
        <v>13.97</v>
      </c>
      <c r="AQ496" s="64">
        <f t="shared" si="181"/>
        <v>13.97</v>
      </c>
      <c r="AR496" s="64">
        <f t="shared" si="181"/>
        <v>13.97</v>
      </c>
      <c r="AS496" s="64">
        <f t="shared" si="181"/>
        <v>13.97</v>
      </c>
      <c r="AT496" s="64">
        <f t="shared" si="181"/>
        <v>13.97</v>
      </c>
      <c r="AU496" s="64">
        <f t="shared" si="181"/>
        <v>13.97</v>
      </c>
      <c r="AV496" s="64">
        <f t="shared" si="181"/>
        <v>13.97</v>
      </c>
      <c r="AW496" s="64">
        <f t="shared" si="181"/>
        <v>13.97</v>
      </c>
      <c r="AX496" s="64">
        <f t="shared" si="181"/>
        <v>13.97</v>
      </c>
      <c r="AY496" s="64">
        <f t="shared" si="181"/>
        <v>13.97</v>
      </c>
      <c r="AZ496" s="64">
        <f t="shared" si="181"/>
        <v>13.97</v>
      </c>
      <c r="BA496" s="64">
        <f t="shared" si="181"/>
        <v>13.97</v>
      </c>
      <c r="BB496" s="64">
        <f t="shared" si="181"/>
        <v>13.97</v>
      </c>
      <c r="BC496" s="64">
        <f t="shared" si="181"/>
        <v>13.97</v>
      </c>
      <c r="BD496" s="64">
        <f t="shared" si="181"/>
        <v>13.97</v>
      </c>
      <c r="BE496" s="64">
        <f t="shared" si="181"/>
        <v>13.97</v>
      </c>
      <c r="BF496" s="64">
        <f t="shared" si="181"/>
        <v>13.97</v>
      </c>
      <c r="BG496" s="64">
        <f t="shared" si="181"/>
        <v>13.97</v>
      </c>
      <c r="BH496" s="64">
        <f t="shared" si="181"/>
        <v>13.97</v>
      </c>
    </row>
    <row r="497" spans="1:60" s="64" customFormat="1" hidden="1" outlineLevel="1">
      <c r="B497" s="64" t="str">
        <f>Esc!A91</f>
        <v>Electricidad</v>
      </c>
      <c r="C497" s="64">
        <f>Esc!B91</f>
        <v>36.130000000000003</v>
      </c>
      <c r="D497" s="64">
        <f>Esc!C91</f>
        <v>37.01</v>
      </c>
      <c r="E497" s="64">
        <f>Esc!D91</f>
        <v>36.869999999999997</v>
      </c>
      <c r="F497" s="64">
        <f>Esc!E91</f>
        <v>37.28</v>
      </c>
      <c r="G497" s="64">
        <f>Esc!F91</f>
        <v>36.729999999999997</v>
      </c>
      <c r="H497" s="64">
        <f>Esc!G91</f>
        <v>37.01</v>
      </c>
      <c r="I497" s="64">
        <f>Esc!H91</f>
        <v>36.29</v>
      </c>
      <c r="J497" s="64">
        <f>Esc!I91</f>
        <v>37.520000000000003</v>
      </c>
      <c r="K497" s="64">
        <f>Esc!J91</f>
        <v>37.19</v>
      </c>
      <c r="L497" s="64">
        <f>Esc!K91</f>
        <v>36.99</v>
      </c>
      <c r="M497" s="64">
        <f>Esc!L91</f>
        <v>40.28</v>
      </c>
      <c r="N497" s="64">
        <f>Esc!M91</f>
        <v>43.57</v>
      </c>
      <c r="O497" s="64">
        <f>Esc!N91</f>
        <v>46.85</v>
      </c>
      <c r="P497" s="64">
        <f>Esc!O91</f>
        <v>50.14</v>
      </c>
      <c r="Q497" s="64">
        <f>Esc!P91</f>
        <v>53.42</v>
      </c>
      <c r="R497" s="64">
        <f>Esc!Q91</f>
        <v>56.71</v>
      </c>
      <c r="S497" s="64">
        <f>Esc!R91</f>
        <v>59.99</v>
      </c>
      <c r="T497" s="64">
        <f>Esc!S91</f>
        <v>63.28</v>
      </c>
      <c r="U497" s="64">
        <f>Esc!T91</f>
        <v>66.56</v>
      </c>
      <c r="V497" s="64">
        <f>Esc!U91</f>
        <v>69.849999999999994</v>
      </c>
      <c r="W497" s="64">
        <f>Esc!V91</f>
        <v>73.13</v>
      </c>
      <c r="X497" s="64">
        <f>Esc!W91</f>
        <v>76.489999999999995</v>
      </c>
      <c r="Y497" s="64">
        <f>Esc!X91</f>
        <v>79.930000000000007</v>
      </c>
      <c r="Z497" s="64">
        <f>Esc!Y91</f>
        <v>83.38</v>
      </c>
      <c r="AA497" s="64">
        <f>Esc!Z91</f>
        <v>86.83</v>
      </c>
      <c r="AB497" s="64">
        <f>Esc!AA91</f>
        <v>90.27</v>
      </c>
      <c r="AC497" s="64">
        <f>Esc!AB91</f>
        <v>93.72</v>
      </c>
      <c r="AD497" s="64">
        <f>Esc!AC91</f>
        <v>97.17</v>
      </c>
      <c r="AE497" s="64">
        <f>Esc!AD91</f>
        <v>100.61</v>
      </c>
      <c r="AF497" s="64">
        <f>Esc!AE91</f>
        <v>104.06</v>
      </c>
      <c r="AG497" s="64">
        <f>Esc!AF91</f>
        <v>107.5</v>
      </c>
      <c r="AH497" s="64">
        <f>Esc!AG91</f>
        <v>110.95</v>
      </c>
      <c r="AI497" s="64">
        <f>Esc!AH91</f>
        <v>114.4</v>
      </c>
      <c r="AJ497" s="64">
        <f>Esc!AI91</f>
        <v>117.84</v>
      </c>
      <c r="AK497" s="64">
        <f>Esc!AJ91</f>
        <v>121.29</v>
      </c>
      <c r="AL497" s="64">
        <f>Esc!AK91</f>
        <v>124.74</v>
      </c>
      <c r="AM497" s="64">
        <f>Esc!AL91</f>
        <v>128.18</v>
      </c>
      <c r="AN497" s="64">
        <f>Esc!AM91</f>
        <v>131.63</v>
      </c>
      <c r="AO497" s="64">
        <f t="shared" si="182"/>
        <v>131.63</v>
      </c>
      <c r="AP497" s="64">
        <f t="shared" si="181"/>
        <v>131.63</v>
      </c>
      <c r="AQ497" s="64">
        <f t="shared" si="181"/>
        <v>131.63</v>
      </c>
      <c r="AR497" s="64">
        <f t="shared" si="181"/>
        <v>131.63</v>
      </c>
      <c r="AS497" s="64">
        <f t="shared" si="181"/>
        <v>131.63</v>
      </c>
      <c r="AT497" s="64">
        <f t="shared" si="181"/>
        <v>131.63</v>
      </c>
      <c r="AU497" s="64">
        <f t="shared" si="181"/>
        <v>131.63</v>
      </c>
      <c r="AV497" s="64">
        <f t="shared" si="181"/>
        <v>131.63</v>
      </c>
      <c r="AW497" s="64">
        <f t="shared" si="181"/>
        <v>131.63</v>
      </c>
      <c r="AX497" s="64">
        <f t="shared" si="181"/>
        <v>131.63</v>
      </c>
      <c r="AY497" s="64">
        <f t="shared" si="181"/>
        <v>131.63</v>
      </c>
      <c r="AZ497" s="64">
        <f t="shared" si="181"/>
        <v>131.63</v>
      </c>
      <c r="BA497" s="64">
        <f t="shared" si="181"/>
        <v>131.63</v>
      </c>
      <c r="BB497" s="64">
        <f t="shared" si="181"/>
        <v>131.63</v>
      </c>
      <c r="BC497" s="64">
        <f t="shared" si="181"/>
        <v>131.63</v>
      </c>
      <c r="BD497" s="64">
        <f t="shared" si="181"/>
        <v>131.63</v>
      </c>
      <c r="BE497" s="64">
        <f t="shared" si="181"/>
        <v>131.63</v>
      </c>
      <c r="BF497" s="64">
        <f t="shared" si="181"/>
        <v>131.63</v>
      </c>
      <c r="BG497" s="64">
        <f t="shared" si="181"/>
        <v>131.63</v>
      </c>
      <c r="BH497" s="64">
        <f t="shared" si="181"/>
        <v>131.63</v>
      </c>
    </row>
    <row r="498" spans="1:60" collapsed="1">
      <c r="A498" s="67" t="s">
        <v>172</v>
      </c>
    </row>
    <row r="499" spans="1:60" hidden="1" outlineLevel="1">
      <c r="B499" t="str">
        <f>A.15!A161</f>
        <v>Total</v>
      </c>
      <c r="C499">
        <f>A.15!B161</f>
        <v>208.08</v>
      </c>
      <c r="D499">
        <f>A.15!C161</f>
        <v>212.28</v>
      </c>
      <c r="E499">
        <f>A.15!D161</f>
        <v>222.34</v>
      </c>
      <c r="F499">
        <f>A.15!E161</f>
        <v>242.74</v>
      </c>
      <c r="G499">
        <f>A.15!F161</f>
        <v>248.05</v>
      </c>
      <c r="H499">
        <f>A.15!G161</f>
        <v>236.9</v>
      </c>
      <c r="I499">
        <f>A.15!H161</f>
        <v>251.56</v>
      </c>
      <c r="J499">
        <f>A.15!I161</f>
        <v>214.84</v>
      </c>
      <c r="K499">
        <f>A.15!J161</f>
        <v>194.88</v>
      </c>
      <c r="L499">
        <f>A.15!K161</f>
        <v>207.79</v>
      </c>
      <c r="M499">
        <f>A.15!L161</f>
        <v>185.22</v>
      </c>
    </row>
    <row r="500" spans="1:60" hidden="1" outlineLevel="1">
      <c r="B500" t="str">
        <f>A.15!A162</f>
        <v>Coque total</v>
      </c>
      <c r="C500">
        <f>A.15!B162</f>
        <v>67.39</v>
      </c>
      <c r="D500">
        <f>A.15!C162</f>
        <v>69.59</v>
      </c>
      <c r="E500">
        <f>A.15!D162</f>
        <v>60.35</v>
      </c>
      <c r="F500">
        <f>A.15!E162</f>
        <v>65.41</v>
      </c>
      <c r="G500">
        <f>A.15!F162</f>
        <v>66.69</v>
      </c>
      <c r="H500">
        <f>A.15!G162</f>
        <v>51.43</v>
      </c>
      <c r="I500">
        <f>A.15!H162</f>
        <v>59.46</v>
      </c>
      <c r="J500">
        <f>A.15!I162</f>
        <v>46.22</v>
      </c>
      <c r="K500">
        <f>A.15!J162</f>
        <v>50.42</v>
      </c>
      <c r="L500">
        <f>A.15!K162</f>
        <v>44.82</v>
      </c>
      <c r="M500">
        <f>A.15!L162</f>
        <v>44.71</v>
      </c>
    </row>
    <row r="501" spans="1:60" hidden="1" outlineLevel="1">
      <c r="B501" t="str">
        <f>A.15!A163</f>
        <v>Coque de carbón</v>
      </c>
      <c r="C501">
        <f>A.15!B163</f>
        <v>65.13</v>
      </c>
      <c r="D501">
        <f>A.15!C163</f>
        <v>68.7</v>
      </c>
      <c r="E501">
        <f>A.15!D163</f>
        <v>58.64</v>
      </c>
      <c r="F501">
        <f>A.15!E163</f>
        <v>63.52</v>
      </c>
      <c r="G501">
        <f>A.15!F163</f>
        <v>63.75</v>
      </c>
      <c r="H501">
        <f>A.15!G163</f>
        <v>47.43</v>
      </c>
      <c r="I501">
        <f>A.15!H163</f>
        <v>57.03</v>
      </c>
      <c r="J501">
        <f>A.15!I163</f>
        <v>44.56</v>
      </c>
      <c r="K501">
        <f>A.15!J163</f>
        <v>47.42</v>
      </c>
      <c r="L501">
        <f>A.15!K163</f>
        <v>41.74</v>
      </c>
      <c r="M501">
        <f>A.15!L163</f>
        <v>41.62</v>
      </c>
    </row>
    <row r="502" spans="1:60" hidden="1" outlineLevel="1">
      <c r="B502" t="str">
        <f>A.15!A164</f>
        <v>Coque de petróleo</v>
      </c>
      <c r="C502">
        <f>A.15!B164</f>
        <v>2.2599999999999998</v>
      </c>
      <c r="D502">
        <f>A.15!C164</f>
        <v>0.89</v>
      </c>
      <c r="E502">
        <f>A.15!D164</f>
        <v>1.71</v>
      </c>
      <c r="F502">
        <f>A.15!E164</f>
        <v>1.9</v>
      </c>
      <c r="G502">
        <f>A.15!F164</f>
        <v>2.94</v>
      </c>
      <c r="H502">
        <f>A.15!G164</f>
        <v>4.01</v>
      </c>
      <c r="I502">
        <f>A.15!H164</f>
        <v>2.4300000000000002</v>
      </c>
      <c r="J502">
        <f>A.15!I164</f>
        <v>1.66</v>
      </c>
      <c r="K502">
        <f>A.15!J164</f>
        <v>3</v>
      </c>
      <c r="L502">
        <f>A.15!K164</f>
        <v>3.08</v>
      </c>
      <c r="M502">
        <f>A.15!L164</f>
        <v>3.09</v>
      </c>
    </row>
    <row r="503" spans="1:60" hidden="1" outlineLevel="1">
      <c r="B503" t="str">
        <f>A.15!A165</f>
        <v>Total de petrolíferos</v>
      </c>
      <c r="C503">
        <f>A.15!B165</f>
        <v>3.82</v>
      </c>
      <c r="D503">
        <f>A.15!C165</f>
        <v>2.94</v>
      </c>
      <c r="E503">
        <f>A.15!D165</f>
        <v>2.85</v>
      </c>
      <c r="F503">
        <f>A.15!E165</f>
        <v>2.91</v>
      </c>
      <c r="G503">
        <f>A.15!F165</f>
        <v>2.52</v>
      </c>
      <c r="H503">
        <f>A.15!G165</f>
        <v>1.27</v>
      </c>
      <c r="I503">
        <f>A.15!H165</f>
        <v>1.49</v>
      </c>
      <c r="J503">
        <f>A.15!I165</f>
        <v>1.37</v>
      </c>
      <c r="K503">
        <f>A.15!J165</f>
        <v>0.22</v>
      </c>
      <c r="L503">
        <f>A.15!K165</f>
        <v>0.23</v>
      </c>
      <c r="M503">
        <f>A.15!L165</f>
        <v>0.22</v>
      </c>
    </row>
    <row r="504" spans="1:60" hidden="1" outlineLevel="1">
      <c r="B504" t="str">
        <f>A.15!A166</f>
        <v>Gas licuado</v>
      </c>
      <c r="C504">
        <f>A.15!B166</f>
        <v>0.01</v>
      </c>
      <c r="D504">
        <f>A.15!C166</f>
        <v>0.01</v>
      </c>
      <c r="E504">
        <f>A.15!D166</f>
        <v>0.01</v>
      </c>
      <c r="F504">
        <f>A.15!E166</f>
        <v>0.01</v>
      </c>
      <c r="G504">
        <f>A.15!F166</f>
        <v>0.01</v>
      </c>
      <c r="H504">
        <f>A.15!G166</f>
        <v>0.01</v>
      </c>
      <c r="I504">
        <f>A.15!H166</f>
        <v>0.01</v>
      </c>
      <c r="J504">
        <f>A.15!I166</f>
        <v>0.01</v>
      </c>
      <c r="K504">
        <f>A.15!J166</f>
        <v>0.01</v>
      </c>
      <c r="L504">
        <f>A.15!K166</f>
        <v>0.01</v>
      </c>
      <c r="M504">
        <f>A.15!L166</f>
        <v>0.01</v>
      </c>
    </row>
    <row r="505" spans="1:60" hidden="1" outlineLevel="1">
      <c r="B505" t="str">
        <f>A.15!A167</f>
        <v>Gasolinas y naftas</v>
      </c>
      <c r="C505">
        <f>A.15!B167</f>
        <v>0</v>
      </c>
      <c r="D505">
        <f>A.15!C167</f>
        <v>0</v>
      </c>
      <c r="E505">
        <f>A.15!D167</f>
        <v>0</v>
      </c>
      <c r="F505">
        <f>A.15!E167</f>
        <v>0</v>
      </c>
      <c r="G505">
        <f>A.15!F167</f>
        <v>0</v>
      </c>
      <c r="H505">
        <f>A.15!G167</f>
        <v>0</v>
      </c>
      <c r="I505">
        <f>A.15!H167</f>
        <v>0</v>
      </c>
      <c r="J505">
        <f>A.15!I167</f>
        <v>0</v>
      </c>
      <c r="K505">
        <f>A.15!J167</f>
        <v>0</v>
      </c>
      <c r="L505">
        <f>A.15!K167</f>
        <v>0</v>
      </c>
      <c r="M505">
        <f>A.15!L167</f>
        <v>0</v>
      </c>
    </row>
    <row r="506" spans="1:60" hidden="1" outlineLevel="1">
      <c r="B506" t="str">
        <f>A.15!A168</f>
        <v>Querosenos</v>
      </c>
      <c r="C506">
        <f>A.15!B168</f>
        <v>0</v>
      </c>
      <c r="D506">
        <f>A.15!C168</f>
        <v>0</v>
      </c>
      <c r="E506">
        <f>A.15!D168</f>
        <v>0</v>
      </c>
      <c r="F506">
        <f>A.15!E168</f>
        <v>0</v>
      </c>
      <c r="G506">
        <f>A.15!F168</f>
        <v>0</v>
      </c>
      <c r="H506">
        <f>A.15!G168</f>
        <v>0</v>
      </c>
      <c r="I506">
        <f>A.15!H168</f>
        <v>0</v>
      </c>
      <c r="J506">
        <f>A.15!I168</f>
        <v>0</v>
      </c>
      <c r="K506">
        <f>A.15!J168</f>
        <v>0</v>
      </c>
      <c r="L506">
        <f>A.15!K168</f>
        <v>0</v>
      </c>
      <c r="M506">
        <f>A.15!L168</f>
        <v>0</v>
      </c>
    </row>
    <row r="507" spans="1:60" hidden="1" outlineLevel="1">
      <c r="B507" t="str">
        <f>A.15!A169</f>
        <v>Diésel</v>
      </c>
      <c r="C507">
        <f>A.15!B169</f>
        <v>0.88</v>
      </c>
      <c r="D507">
        <f>A.15!C169</f>
        <v>1.1000000000000001</v>
      </c>
      <c r="E507">
        <f>A.15!D169</f>
        <v>1.03</v>
      </c>
      <c r="F507">
        <f>A.15!E169</f>
        <v>1.0900000000000001</v>
      </c>
      <c r="G507">
        <f>A.15!F169</f>
        <v>0.74</v>
      </c>
      <c r="H507">
        <f>A.15!G169</f>
        <v>0.73</v>
      </c>
      <c r="I507">
        <f>A.15!H169</f>
        <v>0.65</v>
      </c>
      <c r="J507">
        <f>A.15!I169</f>
        <v>0.53</v>
      </c>
      <c r="K507">
        <f>A.15!J169</f>
        <v>0.2</v>
      </c>
      <c r="L507">
        <f>A.15!K169</f>
        <v>0.2</v>
      </c>
      <c r="M507">
        <f>A.15!L169</f>
        <v>0.2</v>
      </c>
    </row>
    <row r="508" spans="1:60" hidden="1" outlineLevel="1">
      <c r="B508" t="str">
        <f>A.15!A170</f>
        <v>Combustóleo</v>
      </c>
      <c r="C508">
        <f>A.15!B170</f>
        <v>2.93</v>
      </c>
      <c r="D508">
        <f>A.15!C170</f>
        <v>1.83</v>
      </c>
      <c r="E508">
        <f>A.15!D170</f>
        <v>1.81</v>
      </c>
      <c r="F508">
        <f>A.15!E170</f>
        <v>1.81</v>
      </c>
      <c r="G508">
        <f>A.15!F170</f>
        <v>1.77</v>
      </c>
      <c r="H508">
        <f>A.15!G170</f>
        <v>0.53</v>
      </c>
      <c r="I508">
        <f>A.15!H170</f>
        <v>0.83</v>
      </c>
      <c r="J508">
        <f>A.15!I170</f>
        <v>0.83</v>
      </c>
      <c r="K508">
        <f>A.15!J170</f>
        <v>0.02</v>
      </c>
      <c r="L508">
        <f>A.15!K170</f>
        <v>0.02</v>
      </c>
      <c r="M508">
        <f>A.15!L170</f>
        <v>0.02</v>
      </c>
    </row>
    <row r="509" spans="1:60" hidden="1" outlineLevel="1">
      <c r="B509" t="str">
        <f>A.15!A171</f>
        <v>Productos no
energéticos</v>
      </c>
      <c r="C509">
        <f>A.15!B171</f>
        <v>0</v>
      </c>
      <c r="D509">
        <f>A.15!C171</f>
        <v>0</v>
      </c>
      <c r="E509">
        <f>A.15!D171</f>
        <v>0</v>
      </c>
      <c r="F509">
        <f>A.15!E171</f>
        <v>0</v>
      </c>
      <c r="G509">
        <f>A.15!F171</f>
        <v>0</v>
      </c>
      <c r="H509">
        <f>A.15!G171</f>
        <v>0</v>
      </c>
      <c r="I509">
        <f>A.15!H171</f>
        <v>0</v>
      </c>
      <c r="J509">
        <f>A.15!I171</f>
        <v>0</v>
      </c>
      <c r="K509">
        <f>A.15!J171</f>
        <v>0</v>
      </c>
      <c r="L509">
        <f>A.15!K171</f>
        <v>0</v>
      </c>
      <c r="M509">
        <f>A.15!L171</f>
        <v>0</v>
      </c>
    </row>
    <row r="510" spans="1:60" hidden="1" outlineLevel="1">
      <c r="B510" t="str">
        <f>A.15!A172</f>
        <v>Gas seco</v>
      </c>
      <c r="C510">
        <f>A.15!B172</f>
        <v>115.29</v>
      </c>
      <c r="D510">
        <f>A.15!C172</f>
        <v>119.9</v>
      </c>
      <c r="E510">
        <f>A.15!D172</f>
        <v>139.91999999999999</v>
      </c>
      <c r="F510">
        <f>A.15!E172</f>
        <v>153.79</v>
      </c>
      <c r="G510">
        <f>A.15!F172</f>
        <v>158.38</v>
      </c>
      <c r="H510">
        <f>A.15!G172</f>
        <v>164.21</v>
      </c>
      <c r="I510">
        <f>A.15!H172</f>
        <v>171.18</v>
      </c>
      <c r="J510">
        <f>A.15!I172</f>
        <v>148.34</v>
      </c>
      <c r="K510">
        <f>A.15!J172</f>
        <v>126.21</v>
      </c>
      <c r="L510">
        <f>A.15!K172</f>
        <v>123.09</v>
      </c>
      <c r="M510">
        <f>A.15!L172</f>
        <v>122.75</v>
      </c>
    </row>
    <row r="511" spans="1:60" hidden="1" outlineLevel="1">
      <c r="B511" t="str">
        <f>A.15!A173</f>
        <v>Energía eléctrica</v>
      </c>
      <c r="C511">
        <f>A.15!B173</f>
        <v>21.58</v>
      </c>
      <c r="D511">
        <f>A.15!C173</f>
        <v>19.86</v>
      </c>
      <c r="E511">
        <f>A.15!D173</f>
        <v>19.22</v>
      </c>
      <c r="F511">
        <f>A.15!E173</f>
        <v>20.63</v>
      </c>
      <c r="G511">
        <f>A.15!F173</f>
        <v>20.46</v>
      </c>
      <c r="H511">
        <f>A.15!G173</f>
        <v>19.989999999999998</v>
      </c>
      <c r="I511">
        <f>A.15!H173</f>
        <v>19.43</v>
      </c>
      <c r="J511">
        <f>A.15!I173</f>
        <v>18.91</v>
      </c>
      <c r="K511">
        <f>A.15!J173</f>
        <v>18.03</v>
      </c>
      <c r="L511">
        <f>A.15!K173</f>
        <v>39.659999999999997</v>
      </c>
      <c r="M511">
        <f>A.15!L173</f>
        <v>17.54</v>
      </c>
    </row>
    <row r="512" spans="1:60" hidden="1" outlineLevel="1"/>
    <row r="513" spans="1:60" s="64" customFormat="1" hidden="1" outlineLevel="1">
      <c r="B513" s="64" t="str">
        <f>Esc!A51</f>
        <v>Coque de carbón</v>
      </c>
      <c r="C513" s="64">
        <f>Esc!B51</f>
        <v>65.13</v>
      </c>
      <c r="D513" s="64">
        <f>Esc!C51</f>
        <v>68.7</v>
      </c>
      <c r="E513" s="64">
        <f>Esc!D51</f>
        <v>63.35</v>
      </c>
      <c r="F513" s="64">
        <f>Esc!E51</f>
        <v>63.52</v>
      </c>
      <c r="G513" s="64">
        <f>Esc!F51</f>
        <v>63.75</v>
      </c>
      <c r="H513" s="64">
        <f>Esc!G51</f>
        <v>47.43</v>
      </c>
      <c r="I513" s="64">
        <f>Esc!H51</f>
        <v>57.03</v>
      </c>
      <c r="J513" s="64">
        <f>Esc!I51</f>
        <v>44.56</v>
      </c>
      <c r="K513" s="64">
        <f>Esc!J51</f>
        <v>48.39</v>
      </c>
      <c r="L513" s="64">
        <f>Esc!K51</f>
        <v>47.88</v>
      </c>
      <c r="M513" s="64">
        <f>Esc!L51</f>
        <v>46.42</v>
      </c>
      <c r="N513" s="64">
        <f>Esc!M51</f>
        <v>44.96</v>
      </c>
      <c r="O513" s="64">
        <f>Esc!N51</f>
        <v>43.5</v>
      </c>
      <c r="P513" s="64">
        <f>Esc!O51</f>
        <v>42.04</v>
      </c>
      <c r="Q513" s="64">
        <f>Esc!P51</f>
        <v>40.58</v>
      </c>
      <c r="R513" s="64">
        <f>Esc!Q51</f>
        <v>39.119999999999997</v>
      </c>
      <c r="S513" s="64">
        <f>Esc!R51</f>
        <v>37.659999999999997</v>
      </c>
      <c r="T513" s="64">
        <f>Esc!S51</f>
        <v>36.200000000000003</v>
      </c>
      <c r="U513" s="64">
        <f>Esc!T51</f>
        <v>34.74</v>
      </c>
      <c r="V513" s="64">
        <f>Esc!U51</f>
        <v>33.28</v>
      </c>
      <c r="W513" s="64">
        <f>Esc!V51</f>
        <v>31.82</v>
      </c>
      <c r="X513" s="64">
        <f>Esc!W51</f>
        <v>30.36</v>
      </c>
      <c r="Y513" s="64">
        <f>Esc!X51</f>
        <v>28.9</v>
      </c>
      <c r="Z513" s="64">
        <f>Esc!Y51</f>
        <v>27.44</v>
      </c>
      <c r="AA513" s="64">
        <f>Esc!Z51</f>
        <v>25.98</v>
      </c>
      <c r="AB513" s="64">
        <f>Esc!AA51</f>
        <v>24.52</v>
      </c>
      <c r="AC513" s="64">
        <f>Esc!AB51</f>
        <v>23.06</v>
      </c>
      <c r="AD513" s="64">
        <f>Esc!AC51</f>
        <v>21.6</v>
      </c>
      <c r="AE513" s="64">
        <f>Esc!AD51</f>
        <v>20.14</v>
      </c>
      <c r="AF513" s="64">
        <f>Esc!AE51</f>
        <v>18.68</v>
      </c>
      <c r="AG513" s="64">
        <f>Esc!AF51</f>
        <v>17.22</v>
      </c>
      <c r="AH513" s="64">
        <f>Esc!AG51</f>
        <v>15.76</v>
      </c>
      <c r="AI513" s="64">
        <f>Esc!AH51</f>
        <v>14.3</v>
      </c>
      <c r="AJ513" s="64">
        <f>Esc!AI51</f>
        <v>12.84</v>
      </c>
      <c r="AK513" s="64">
        <f>Esc!AJ51</f>
        <v>11.38</v>
      </c>
      <c r="AL513" s="64">
        <f>Esc!AK51</f>
        <v>9.92</v>
      </c>
      <c r="AM513" s="64">
        <f>Esc!AL51</f>
        <v>8.4600000000000009</v>
      </c>
      <c r="AN513" s="64">
        <f>Esc!AM51</f>
        <v>7</v>
      </c>
      <c r="AO513" s="64">
        <f>AN513</f>
        <v>7</v>
      </c>
      <c r="AP513" s="64">
        <f t="shared" ref="AP513:BH519" si="183">AO513</f>
        <v>7</v>
      </c>
      <c r="AQ513" s="64">
        <f t="shared" si="183"/>
        <v>7</v>
      </c>
      <c r="AR513" s="64">
        <f t="shared" si="183"/>
        <v>7</v>
      </c>
      <c r="AS513" s="64">
        <f t="shared" si="183"/>
        <v>7</v>
      </c>
      <c r="AT513" s="64">
        <f t="shared" si="183"/>
        <v>7</v>
      </c>
      <c r="AU513" s="64">
        <f t="shared" si="183"/>
        <v>7</v>
      </c>
      <c r="AV513" s="64">
        <f t="shared" si="183"/>
        <v>7</v>
      </c>
      <c r="AW513" s="64">
        <f t="shared" si="183"/>
        <v>7</v>
      </c>
      <c r="AX513" s="64">
        <f t="shared" si="183"/>
        <v>7</v>
      </c>
      <c r="AY513" s="64">
        <f t="shared" si="183"/>
        <v>7</v>
      </c>
      <c r="AZ513" s="64">
        <f t="shared" si="183"/>
        <v>7</v>
      </c>
      <c r="BA513" s="64">
        <f t="shared" si="183"/>
        <v>7</v>
      </c>
      <c r="BB513" s="64">
        <f t="shared" si="183"/>
        <v>7</v>
      </c>
      <c r="BC513" s="64">
        <f t="shared" si="183"/>
        <v>7</v>
      </c>
      <c r="BD513" s="64">
        <f t="shared" si="183"/>
        <v>7</v>
      </c>
      <c r="BE513" s="64">
        <f t="shared" si="183"/>
        <v>7</v>
      </c>
      <c r="BF513" s="64">
        <f t="shared" si="183"/>
        <v>7</v>
      </c>
      <c r="BG513" s="64">
        <f t="shared" si="183"/>
        <v>7</v>
      </c>
      <c r="BH513" s="64">
        <f t="shared" si="183"/>
        <v>7</v>
      </c>
    </row>
    <row r="514" spans="1:60" s="64" customFormat="1" hidden="1" outlineLevel="1">
      <c r="B514" s="64" t="str">
        <f>Esc!A52</f>
        <v>Coque de petróleo</v>
      </c>
      <c r="C514" s="64">
        <f>Esc!B52</f>
        <v>2.2599999999999998</v>
      </c>
      <c r="D514" s="64">
        <f>Esc!C52</f>
        <v>0.89</v>
      </c>
      <c r="E514" s="64">
        <f>Esc!D52</f>
        <v>1.71</v>
      </c>
      <c r="F514" s="64">
        <f>Esc!E52</f>
        <v>1.9</v>
      </c>
      <c r="G514" s="64">
        <f>Esc!F52</f>
        <v>2.94</v>
      </c>
      <c r="H514" s="64">
        <f>Esc!G52</f>
        <v>4.01</v>
      </c>
      <c r="I514" s="64">
        <f>Esc!H52</f>
        <v>2.4300000000000002</v>
      </c>
      <c r="J514" s="64">
        <f>Esc!I52</f>
        <v>1.66</v>
      </c>
      <c r="K514" s="64">
        <f>Esc!J52</f>
        <v>1.67</v>
      </c>
      <c r="L514" s="64">
        <f>Esc!K52</f>
        <v>1.69</v>
      </c>
      <c r="M514" s="64">
        <f>Esc!L52</f>
        <v>1.73</v>
      </c>
      <c r="N514" s="64">
        <f>Esc!M52</f>
        <v>1.76</v>
      </c>
      <c r="O514" s="64">
        <f>Esc!N52</f>
        <v>1.8</v>
      </c>
      <c r="P514" s="64">
        <f>Esc!O52</f>
        <v>1.83</v>
      </c>
      <c r="Q514" s="64">
        <f>Esc!P52</f>
        <v>1.87</v>
      </c>
      <c r="R514" s="64">
        <f>Esc!Q52</f>
        <v>1.91</v>
      </c>
      <c r="S514" s="64">
        <f>Esc!R52</f>
        <v>1.94</v>
      </c>
      <c r="T514" s="64">
        <f>Esc!S52</f>
        <v>1.98</v>
      </c>
      <c r="U514" s="64">
        <f>Esc!T52</f>
        <v>2.0099999999999998</v>
      </c>
      <c r="V514" s="64">
        <f>Esc!U52</f>
        <v>2.0499999999999998</v>
      </c>
      <c r="W514" s="64">
        <f>Esc!V52</f>
        <v>2.09</v>
      </c>
      <c r="X514" s="64">
        <f>Esc!W52</f>
        <v>2.12</v>
      </c>
      <c r="Y514" s="64">
        <f>Esc!X52</f>
        <v>2.16</v>
      </c>
      <c r="Z514" s="64">
        <f>Esc!Y52</f>
        <v>2.19</v>
      </c>
      <c r="AA514" s="64">
        <f>Esc!Z52</f>
        <v>2.23</v>
      </c>
      <c r="AB514" s="64">
        <f>Esc!AA52</f>
        <v>2.27</v>
      </c>
      <c r="AC514" s="64">
        <f>Esc!AB52</f>
        <v>2.2999999999999998</v>
      </c>
      <c r="AD514" s="64">
        <f>Esc!AC52</f>
        <v>2.34</v>
      </c>
      <c r="AE514" s="64">
        <f>Esc!AD52</f>
        <v>2.38</v>
      </c>
      <c r="AF514" s="64">
        <f>Esc!AE52</f>
        <v>2.41</v>
      </c>
      <c r="AG514" s="64">
        <f>Esc!AF52</f>
        <v>2.4500000000000002</v>
      </c>
      <c r="AH514" s="64">
        <f>Esc!AG52</f>
        <v>2.48</v>
      </c>
      <c r="AI514" s="64">
        <f>Esc!AH52</f>
        <v>2.52</v>
      </c>
      <c r="AJ514" s="64">
        <f>Esc!AI52</f>
        <v>2.56</v>
      </c>
      <c r="AK514" s="64">
        <f>Esc!AJ52</f>
        <v>2.59</v>
      </c>
      <c r="AL514" s="64">
        <f>Esc!AK52</f>
        <v>2.63</v>
      </c>
      <c r="AM514" s="64">
        <f>Esc!AL52</f>
        <v>2.66</v>
      </c>
      <c r="AN514" s="64">
        <f>Esc!AM52</f>
        <v>2.7</v>
      </c>
      <c r="AO514" s="64">
        <f t="shared" ref="AO514:BD519" si="184">AN514</f>
        <v>2.7</v>
      </c>
      <c r="AP514" s="64">
        <f t="shared" si="184"/>
        <v>2.7</v>
      </c>
      <c r="AQ514" s="64">
        <f t="shared" si="184"/>
        <v>2.7</v>
      </c>
      <c r="AR514" s="64">
        <f t="shared" si="184"/>
        <v>2.7</v>
      </c>
      <c r="AS514" s="64">
        <f t="shared" si="184"/>
        <v>2.7</v>
      </c>
      <c r="AT514" s="64">
        <f t="shared" si="184"/>
        <v>2.7</v>
      </c>
      <c r="AU514" s="64">
        <f t="shared" si="184"/>
        <v>2.7</v>
      </c>
      <c r="AV514" s="64">
        <f t="shared" si="184"/>
        <v>2.7</v>
      </c>
      <c r="AW514" s="64">
        <f t="shared" si="184"/>
        <v>2.7</v>
      </c>
      <c r="AX514" s="64">
        <f t="shared" si="184"/>
        <v>2.7</v>
      </c>
      <c r="AY514" s="64">
        <f t="shared" si="184"/>
        <v>2.7</v>
      </c>
      <c r="AZ514" s="64">
        <f t="shared" si="184"/>
        <v>2.7</v>
      </c>
      <c r="BA514" s="64">
        <f t="shared" si="184"/>
        <v>2.7</v>
      </c>
      <c r="BB514" s="64">
        <f t="shared" si="184"/>
        <v>2.7</v>
      </c>
      <c r="BC514" s="64">
        <f t="shared" si="184"/>
        <v>2.7</v>
      </c>
      <c r="BD514" s="64">
        <f t="shared" si="184"/>
        <v>2.7</v>
      </c>
      <c r="BE514" s="64">
        <f t="shared" si="183"/>
        <v>2.7</v>
      </c>
      <c r="BF514" s="64">
        <f t="shared" si="183"/>
        <v>2.7</v>
      </c>
      <c r="BG514" s="64">
        <f t="shared" si="183"/>
        <v>2.7</v>
      </c>
      <c r="BH514" s="64">
        <f t="shared" si="183"/>
        <v>2.7</v>
      </c>
    </row>
    <row r="515" spans="1:60" s="64" customFormat="1" hidden="1" outlineLevel="1">
      <c r="B515" s="64" t="str">
        <f>Esc!A53</f>
        <v>GLP</v>
      </c>
      <c r="C515" s="64">
        <f>Esc!B53</f>
        <v>0.01</v>
      </c>
      <c r="D515" s="64">
        <f>Esc!C53</f>
        <v>0.01</v>
      </c>
      <c r="E515" s="64">
        <f>Esc!D53</f>
        <v>0.01</v>
      </c>
      <c r="F515" s="64">
        <f>Esc!E53</f>
        <v>0.01</v>
      </c>
      <c r="G515" s="64">
        <f>Esc!F53</f>
        <v>0.01</v>
      </c>
      <c r="H515" s="64">
        <f>Esc!G53</f>
        <v>0.01</v>
      </c>
      <c r="I515" s="64">
        <f>Esc!H53</f>
        <v>0.01</v>
      </c>
      <c r="J515" s="64">
        <f>Esc!I53</f>
        <v>0.01</v>
      </c>
      <c r="K515" s="64">
        <f>Esc!J53</f>
        <v>0.01</v>
      </c>
      <c r="L515" s="64">
        <f>Esc!K53</f>
        <v>0.01</v>
      </c>
      <c r="M515" s="64">
        <f>Esc!L53</f>
        <v>0.01</v>
      </c>
      <c r="N515" s="64">
        <f>Esc!M53</f>
        <v>0.01</v>
      </c>
      <c r="O515" s="64">
        <f>Esc!N53</f>
        <v>0.01</v>
      </c>
      <c r="P515" s="64">
        <f>Esc!O53</f>
        <v>0.01</v>
      </c>
      <c r="Q515" s="64">
        <f>Esc!P53</f>
        <v>0.01</v>
      </c>
      <c r="R515" s="64">
        <f>Esc!Q53</f>
        <v>0.01</v>
      </c>
      <c r="S515" s="64">
        <f>Esc!R53</f>
        <v>0.01</v>
      </c>
      <c r="T515" s="64">
        <f>Esc!S53</f>
        <v>0.01</v>
      </c>
      <c r="U515" s="64">
        <f>Esc!T53</f>
        <v>0.01</v>
      </c>
      <c r="V515" s="64">
        <f>Esc!U53</f>
        <v>0.01</v>
      </c>
      <c r="W515" s="64">
        <f>Esc!V53</f>
        <v>0.01</v>
      </c>
      <c r="X515" s="64">
        <f>Esc!W53</f>
        <v>0.01</v>
      </c>
      <c r="Y515" s="64">
        <f>Esc!X53</f>
        <v>0.01</v>
      </c>
      <c r="Z515" s="64">
        <f>Esc!Y53</f>
        <v>0.01</v>
      </c>
      <c r="AA515" s="64">
        <f>Esc!Z53</f>
        <v>0.01</v>
      </c>
      <c r="AB515" s="64">
        <f>Esc!AA53</f>
        <v>0.01</v>
      </c>
      <c r="AC515" s="64">
        <f>Esc!AB53</f>
        <v>0.01</v>
      </c>
      <c r="AD515" s="64">
        <f>Esc!AC53</f>
        <v>0.01</v>
      </c>
      <c r="AE515" s="64">
        <f>Esc!AD53</f>
        <v>0.01</v>
      </c>
      <c r="AF515" s="64">
        <f>Esc!AE53</f>
        <v>0.01</v>
      </c>
      <c r="AG515" s="64">
        <f>Esc!AF53</f>
        <v>0.01</v>
      </c>
      <c r="AH515" s="64">
        <f>Esc!AG53</f>
        <v>0.01</v>
      </c>
      <c r="AI515" s="64">
        <f>Esc!AH53</f>
        <v>0.01</v>
      </c>
      <c r="AJ515" s="64">
        <f>Esc!AI53</f>
        <v>0.01</v>
      </c>
      <c r="AK515" s="64">
        <f>Esc!AJ53</f>
        <v>0.01</v>
      </c>
      <c r="AL515" s="64">
        <f>Esc!AK53</f>
        <v>0.01</v>
      </c>
      <c r="AM515" s="64">
        <f>Esc!AL53</f>
        <v>0.01</v>
      </c>
      <c r="AN515" s="64">
        <f>Esc!AM53</f>
        <v>0.01</v>
      </c>
      <c r="AO515" s="64">
        <f t="shared" si="184"/>
        <v>0.01</v>
      </c>
      <c r="AP515" s="64">
        <f t="shared" si="183"/>
        <v>0.01</v>
      </c>
      <c r="AQ515" s="64">
        <f t="shared" si="183"/>
        <v>0.01</v>
      </c>
      <c r="AR515" s="64">
        <f t="shared" si="183"/>
        <v>0.01</v>
      </c>
      <c r="AS515" s="64">
        <f t="shared" si="183"/>
        <v>0.01</v>
      </c>
      <c r="AT515" s="64">
        <f t="shared" si="183"/>
        <v>0.01</v>
      </c>
      <c r="AU515" s="64">
        <f t="shared" si="183"/>
        <v>0.01</v>
      </c>
      <c r="AV515" s="64">
        <f t="shared" si="183"/>
        <v>0.01</v>
      </c>
      <c r="AW515" s="64">
        <f t="shared" si="183"/>
        <v>0.01</v>
      </c>
      <c r="AX515" s="64">
        <f t="shared" si="183"/>
        <v>0.01</v>
      </c>
      <c r="AY515" s="64">
        <f t="shared" si="183"/>
        <v>0.01</v>
      </c>
      <c r="AZ515" s="64">
        <f t="shared" si="183"/>
        <v>0.01</v>
      </c>
      <c r="BA515" s="64">
        <f t="shared" si="183"/>
        <v>0.01</v>
      </c>
      <c r="BB515" s="64">
        <f t="shared" si="183"/>
        <v>0.01</v>
      </c>
      <c r="BC515" s="64">
        <f t="shared" si="183"/>
        <v>0.01</v>
      </c>
      <c r="BD515" s="64">
        <f t="shared" si="183"/>
        <v>0.01</v>
      </c>
      <c r="BE515" s="64">
        <f t="shared" si="183"/>
        <v>0.01</v>
      </c>
      <c r="BF515" s="64">
        <f t="shared" si="183"/>
        <v>0.01</v>
      </c>
      <c r="BG515" s="64">
        <f t="shared" si="183"/>
        <v>0.01</v>
      </c>
      <c r="BH515" s="64">
        <f t="shared" si="183"/>
        <v>0.01</v>
      </c>
    </row>
    <row r="516" spans="1:60" s="64" customFormat="1" hidden="1" outlineLevel="1">
      <c r="B516" s="64" t="str">
        <f>Esc!A56</f>
        <v>Diésel</v>
      </c>
      <c r="C516" s="64">
        <f>Esc!B56</f>
        <v>0.88</v>
      </c>
      <c r="D516" s="64">
        <f>Esc!C56</f>
        <v>1.1000000000000001</v>
      </c>
      <c r="E516" s="64">
        <f>Esc!D56</f>
        <v>1.03</v>
      </c>
      <c r="F516" s="64">
        <f>Esc!E56</f>
        <v>1.0900000000000001</v>
      </c>
      <c r="G516" s="64">
        <f>Esc!F56</f>
        <v>0.74</v>
      </c>
      <c r="H516" s="64">
        <f>Esc!G56</f>
        <v>0.73</v>
      </c>
      <c r="I516" s="64">
        <f>Esc!H56</f>
        <v>0.65</v>
      </c>
      <c r="J516" s="64">
        <f>Esc!I56</f>
        <v>0.53</v>
      </c>
      <c r="K516" s="64">
        <f>Esc!J56</f>
        <v>0.46</v>
      </c>
      <c r="L516" s="64">
        <f>Esc!K56</f>
        <v>0.46</v>
      </c>
      <c r="M516" s="64">
        <f>Esc!L56</f>
        <v>0.46</v>
      </c>
      <c r="N516" s="64">
        <f>Esc!M56</f>
        <v>0.46</v>
      </c>
      <c r="O516" s="64">
        <f>Esc!N56</f>
        <v>0.46</v>
      </c>
      <c r="P516" s="64">
        <f>Esc!O56</f>
        <v>0.46</v>
      </c>
      <c r="Q516" s="64">
        <f>Esc!P56</f>
        <v>0.45</v>
      </c>
      <c r="R516" s="64">
        <f>Esc!Q56</f>
        <v>0.45</v>
      </c>
      <c r="S516" s="64">
        <f>Esc!R56</f>
        <v>0.45</v>
      </c>
      <c r="T516" s="64">
        <f>Esc!S56</f>
        <v>0.45</v>
      </c>
      <c r="U516" s="64">
        <f>Esc!T56</f>
        <v>0.45</v>
      </c>
      <c r="V516" s="64">
        <f>Esc!U56</f>
        <v>0.45</v>
      </c>
      <c r="W516" s="64">
        <f>Esc!V56</f>
        <v>0.45</v>
      </c>
      <c r="X516" s="64">
        <f>Esc!W56</f>
        <v>0.45</v>
      </c>
      <c r="Y516" s="64">
        <f>Esc!X56</f>
        <v>0.44</v>
      </c>
      <c r="Z516" s="64">
        <f>Esc!Y56</f>
        <v>0.44</v>
      </c>
      <c r="AA516" s="64">
        <f>Esc!Z56</f>
        <v>0.44</v>
      </c>
      <c r="AB516" s="64">
        <f>Esc!AA56</f>
        <v>0.44</v>
      </c>
      <c r="AC516" s="64">
        <f>Esc!AB56</f>
        <v>0.44</v>
      </c>
      <c r="AD516" s="64">
        <f>Esc!AC56</f>
        <v>0.44</v>
      </c>
      <c r="AE516" s="64">
        <f>Esc!AD56</f>
        <v>0.44</v>
      </c>
      <c r="AF516" s="64">
        <f>Esc!AE56</f>
        <v>0.43</v>
      </c>
      <c r="AG516" s="64">
        <f>Esc!AF56</f>
        <v>0.43</v>
      </c>
      <c r="AH516" s="64">
        <f>Esc!AG56</f>
        <v>0.43</v>
      </c>
      <c r="AI516" s="64">
        <f>Esc!AH56</f>
        <v>0.43</v>
      </c>
      <c r="AJ516" s="64">
        <f>Esc!AI56</f>
        <v>0.43</v>
      </c>
      <c r="AK516" s="64">
        <f>Esc!AJ56</f>
        <v>0.43</v>
      </c>
      <c r="AL516" s="64">
        <f>Esc!AK56</f>
        <v>0.43</v>
      </c>
      <c r="AM516" s="64">
        <f>Esc!AL56</f>
        <v>0.43</v>
      </c>
      <c r="AN516" s="64">
        <f>Esc!AM56</f>
        <v>0.42</v>
      </c>
      <c r="AO516" s="64">
        <f t="shared" si="184"/>
        <v>0.42</v>
      </c>
      <c r="AP516" s="64">
        <f t="shared" si="183"/>
        <v>0.42</v>
      </c>
      <c r="AQ516" s="64">
        <f t="shared" si="183"/>
        <v>0.42</v>
      </c>
      <c r="AR516" s="64">
        <f t="shared" si="183"/>
        <v>0.42</v>
      </c>
      <c r="AS516" s="64">
        <f t="shared" si="183"/>
        <v>0.42</v>
      </c>
      <c r="AT516" s="64">
        <f t="shared" si="183"/>
        <v>0.42</v>
      </c>
      <c r="AU516" s="64">
        <f t="shared" si="183"/>
        <v>0.42</v>
      </c>
      <c r="AV516" s="64">
        <f t="shared" si="183"/>
        <v>0.42</v>
      </c>
      <c r="AW516" s="64">
        <f t="shared" si="183"/>
        <v>0.42</v>
      </c>
      <c r="AX516" s="64">
        <f t="shared" si="183"/>
        <v>0.42</v>
      </c>
      <c r="AY516" s="64">
        <f t="shared" si="183"/>
        <v>0.42</v>
      </c>
      <c r="AZ516" s="64">
        <f t="shared" si="183"/>
        <v>0.42</v>
      </c>
      <c r="BA516" s="64">
        <f t="shared" si="183"/>
        <v>0.42</v>
      </c>
      <c r="BB516" s="64">
        <f t="shared" si="183"/>
        <v>0.42</v>
      </c>
      <c r="BC516" s="64">
        <f t="shared" si="183"/>
        <v>0.42</v>
      </c>
      <c r="BD516" s="64">
        <f t="shared" si="183"/>
        <v>0.42</v>
      </c>
      <c r="BE516" s="64">
        <f t="shared" si="183"/>
        <v>0.42</v>
      </c>
      <c r="BF516" s="64">
        <f t="shared" si="183"/>
        <v>0.42</v>
      </c>
      <c r="BG516" s="64">
        <f t="shared" si="183"/>
        <v>0.42</v>
      </c>
      <c r="BH516" s="64">
        <f t="shared" si="183"/>
        <v>0.42</v>
      </c>
    </row>
    <row r="517" spans="1:60" s="64" customFormat="1" hidden="1" outlineLevel="1">
      <c r="B517" s="64" t="str">
        <f>Esc!A57</f>
        <v>Combustóleo</v>
      </c>
      <c r="C517" s="64">
        <f>Esc!B57</f>
        <v>2.93</v>
      </c>
      <c r="D517" s="64">
        <f>Esc!C57</f>
        <v>1.83</v>
      </c>
      <c r="E517" s="64">
        <f>Esc!D57</f>
        <v>1.81</v>
      </c>
      <c r="F517" s="64">
        <f>Esc!E57</f>
        <v>1.81</v>
      </c>
      <c r="G517" s="64">
        <f>Esc!F57</f>
        <v>1.77</v>
      </c>
      <c r="H517" s="64">
        <f>Esc!G57</f>
        <v>0.53</v>
      </c>
      <c r="I517" s="64">
        <f>Esc!H57</f>
        <v>0.83</v>
      </c>
      <c r="J517" s="64">
        <f>Esc!I57</f>
        <v>0.83</v>
      </c>
      <c r="K517" s="64">
        <f>Esc!J57</f>
        <v>1.02</v>
      </c>
      <c r="L517" s="64">
        <f>Esc!K57</f>
        <v>0.99</v>
      </c>
      <c r="M517" s="64">
        <f>Esc!L57</f>
        <v>0.95</v>
      </c>
      <c r="N517" s="64">
        <f>Esc!M57</f>
        <v>0.92</v>
      </c>
      <c r="O517" s="64">
        <f>Esc!N57</f>
        <v>0.88</v>
      </c>
      <c r="P517" s="64">
        <f>Esc!O57</f>
        <v>0.85</v>
      </c>
      <c r="Q517" s="64">
        <f>Esc!P57</f>
        <v>0.81</v>
      </c>
      <c r="R517" s="64">
        <f>Esc!Q57</f>
        <v>0.78</v>
      </c>
      <c r="S517" s="64">
        <f>Esc!R57</f>
        <v>0.74</v>
      </c>
      <c r="T517" s="64">
        <f>Esc!S57</f>
        <v>0.7</v>
      </c>
      <c r="U517" s="64">
        <f>Esc!T57</f>
        <v>0.67</v>
      </c>
      <c r="V517" s="64">
        <f>Esc!U57</f>
        <v>0.63</v>
      </c>
      <c r="W517" s="64">
        <f>Esc!V57</f>
        <v>0.6</v>
      </c>
      <c r="X517" s="64">
        <f>Esc!W57</f>
        <v>0.56000000000000005</v>
      </c>
      <c r="Y517" s="64">
        <f>Esc!X57</f>
        <v>0.53</v>
      </c>
      <c r="Z517" s="64">
        <f>Esc!Y57</f>
        <v>0.49</v>
      </c>
      <c r="AA517" s="64">
        <f>Esc!Z57</f>
        <v>0.46</v>
      </c>
      <c r="AB517" s="64">
        <f>Esc!AA57</f>
        <v>0.42</v>
      </c>
      <c r="AC517" s="64">
        <f>Esc!AB57</f>
        <v>0.39</v>
      </c>
      <c r="AD517" s="64">
        <f>Esc!AC57</f>
        <v>0.35</v>
      </c>
      <c r="AE517" s="64">
        <f>Esc!AD57</f>
        <v>0.32</v>
      </c>
      <c r="AF517" s="64">
        <f>Esc!AE57</f>
        <v>0.28000000000000003</v>
      </c>
      <c r="AG517" s="64">
        <f>Esc!AF57</f>
        <v>0.25</v>
      </c>
      <c r="AH517" s="64">
        <f>Esc!AG57</f>
        <v>0.21</v>
      </c>
      <c r="AI517" s="64">
        <f>Esc!AH57</f>
        <v>0.18</v>
      </c>
      <c r="AJ517" s="64">
        <f>Esc!AI57</f>
        <v>0.14000000000000001</v>
      </c>
      <c r="AK517" s="64">
        <f>Esc!AJ57</f>
        <v>0.11</v>
      </c>
      <c r="AL517" s="64">
        <f>Esc!AK57</f>
        <v>7.0000000000000007E-2</v>
      </c>
      <c r="AM517" s="64">
        <f>Esc!AL57</f>
        <v>0.04</v>
      </c>
      <c r="AN517" s="64">
        <f>Esc!AM57</f>
        <v>0</v>
      </c>
      <c r="AO517" s="64">
        <f t="shared" si="184"/>
        <v>0</v>
      </c>
      <c r="AP517" s="64">
        <f t="shared" si="183"/>
        <v>0</v>
      </c>
      <c r="AQ517" s="64">
        <f t="shared" si="183"/>
        <v>0</v>
      </c>
      <c r="AR517" s="64">
        <f t="shared" si="183"/>
        <v>0</v>
      </c>
      <c r="AS517" s="64">
        <f t="shared" si="183"/>
        <v>0</v>
      </c>
      <c r="AT517" s="64">
        <f t="shared" si="183"/>
        <v>0</v>
      </c>
      <c r="AU517" s="64">
        <f t="shared" si="183"/>
        <v>0</v>
      </c>
      <c r="AV517" s="64">
        <f t="shared" si="183"/>
        <v>0</v>
      </c>
      <c r="AW517" s="64">
        <f t="shared" si="183"/>
        <v>0</v>
      </c>
      <c r="AX517" s="64">
        <f t="shared" si="183"/>
        <v>0</v>
      </c>
      <c r="AY517" s="64">
        <f t="shared" si="183"/>
        <v>0</v>
      </c>
      <c r="AZ517" s="64">
        <f t="shared" si="183"/>
        <v>0</v>
      </c>
      <c r="BA517" s="64">
        <f t="shared" si="183"/>
        <v>0</v>
      </c>
      <c r="BB517" s="64">
        <f t="shared" si="183"/>
        <v>0</v>
      </c>
      <c r="BC517" s="64">
        <f t="shared" si="183"/>
        <v>0</v>
      </c>
      <c r="BD517" s="64">
        <f t="shared" si="183"/>
        <v>0</v>
      </c>
      <c r="BE517" s="64">
        <f t="shared" si="183"/>
        <v>0</v>
      </c>
      <c r="BF517" s="64">
        <f t="shared" si="183"/>
        <v>0</v>
      </c>
      <c r="BG517" s="64">
        <f t="shared" si="183"/>
        <v>0</v>
      </c>
      <c r="BH517" s="64">
        <f t="shared" si="183"/>
        <v>0</v>
      </c>
    </row>
    <row r="518" spans="1:60" s="64" customFormat="1" hidden="1" outlineLevel="1">
      <c r="B518" s="64" t="str">
        <f>Esc!A59</f>
        <v>Gas seco</v>
      </c>
      <c r="C518" s="64">
        <f>Esc!B59</f>
        <v>115.28</v>
      </c>
      <c r="D518" s="64">
        <f>Esc!C59</f>
        <v>119.9</v>
      </c>
      <c r="E518" s="64">
        <f>Esc!D59</f>
        <v>139.91999999999999</v>
      </c>
      <c r="F518" s="64">
        <f>Esc!E59</f>
        <v>153.79</v>
      </c>
      <c r="G518" s="64">
        <f>Esc!F59</f>
        <v>158.38</v>
      </c>
      <c r="H518" s="64">
        <f>Esc!G59</f>
        <v>164.21</v>
      </c>
      <c r="I518" s="64">
        <f>Esc!H59</f>
        <v>157.29</v>
      </c>
      <c r="J518" s="64">
        <f>Esc!I59</f>
        <v>148.34</v>
      </c>
      <c r="K518" s="64">
        <f>Esc!J59</f>
        <v>188.77</v>
      </c>
      <c r="L518" s="64">
        <f>Esc!K59</f>
        <v>191.7</v>
      </c>
      <c r="M518" s="64">
        <f>Esc!L59</f>
        <v>193.51</v>
      </c>
      <c r="N518" s="64">
        <f>Esc!M59</f>
        <v>195.32</v>
      </c>
      <c r="O518" s="64">
        <f>Esc!N59</f>
        <v>197.14</v>
      </c>
      <c r="P518" s="64">
        <f>Esc!O59</f>
        <v>198.95</v>
      </c>
      <c r="Q518" s="64">
        <f>Esc!P59</f>
        <v>200.77</v>
      </c>
      <c r="R518" s="64">
        <f>Esc!Q59</f>
        <v>202.58</v>
      </c>
      <c r="S518" s="64">
        <f>Esc!R59</f>
        <v>204.4</v>
      </c>
      <c r="T518" s="64">
        <f>Esc!S59</f>
        <v>206.21</v>
      </c>
      <c r="U518" s="64">
        <f>Esc!T59</f>
        <v>208.02</v>
      </c>
      <c r="V518" s="64">
        <f>Esc!U59</f>
        <v>209.84</v>
      </c>
      <c r="W518" s="64">
        <f>Esc!V59</f>
        <v>211.65</v>
      </c>
      <c r="X518" s="64">
        <f>Esc!W59</f>
        <v>212.46</v>
      </c>
      <c r="Y518" s="64">
        <f>Esc!X59</f>
        <v>211.93</v>
      </c>
      <c r="Z518" s="64">
        <f>Esc!Y59</f>
        <v>211.4</v>
      </c>
      <c r="AA518" s="64">
        <f>Esc!Z59</f>
        <v>210.86</v>
      </c>
      <c r="AB518" s="64">
        <f>Esc!AA59</f>
        <v>210.33</v>
      </c>
      <c r="AC518" s="64">
        <f>Esc!AB59</f>
        <v>209.79</v>
      </c>
      <c r="AD518" s="64">
        <f>Esc!AC59</f>
        <v>209.26</v>
      </c>
      <c r="AE518" s="64">
        <f>Esc!AD59</f>
        <v>208.72</v>
      </c>
      <c r="AF518" s="64">
        <f>Esc!AE59</f>
        <v>208.19</v>
      </c>
      <c r="AG518" s="64">
        <f>Esc!AF59</f>
        <v>207.66</v>
      </c>
      <c r="AH518" s="64">
        <f>Esc!AG59</f>
        <v>207.12</v>
      </c>
      <c r="AI518" s="64">
        <f>Esc!AH59</f>
        <v>206.59</v>
      </c>
      <c r="AJ518" s="64">
        <f>Esc!AI59</f>
        <v>206.05</v>
      </c>
      <c r="AK518" s="64">
        <f>Esc!AJ59</f>
        <v>205.52</v>
      </c>
      <c r="AL518" s="64">
        <f>Esc!AK59</f>
        <v>204.98</v>
      </c>
      <c r="AM518" s="64">
        <f>Esc!AL59</f>
        <v>204.44</v>
      </c>
      <c r="AN518" s="64">
        <f>Esc!AM59</f>
        <v>203.9</v>
      </c>
      <c r="AO518" s="64">
        <f t="shared" si="184"/>
        <v>203.9</v>
      </c>
      <c r="AP518" s="64">
        <f t="shared" si="183"/>
        <v>203.9</v>
      </c>
      <c r="AQ518" s="64">
        <f t="shared" si="183"/>
        <v>203.9</v>
      </c>
      <c r="AR518" s="64">
        <f t="shared" si="183"/>
        <v>203.9</v>
      </c>
      <c r="AS518" s="64">
        <f t="shared" si="183"/>
        <v>203.9</v>
      </c>
      <c r="AT518" s="64">
        <f t="shared" si="183"/>
        <v>203.9</v>
      </c>
      <c r="AU518" s="64">
        <f t="shared" si="183"/>
        <v>203.9</v>
      </c>
      <c r="AV518" s="64">
        <f t="shared" si="183"/>
        <v>203.9</v>
      </c>
      <c r="AW518" s="64">
        <f t="shared" si="183"/>
        <v>203.9</v>
      </c>
      <c r="AX518" s="64">
        <f t="shared" si="183"/>
        <v>203.9</v>
      </c>
      <c r="AY518" s="64">
        <f t="shared" si="183"/>
        <v>203.9</v>
      </c>
      <c r="AZ518" s="64">
        <f t="shared" si="183"/>
        <v>203.9</v>
      </c>
      <c r="BA518" s="64">
        <f t="shared" si="183"/>
        <v>203.9</v>
      </c>
      <c r="BB518" s="64">
        <f t="shared" si="183"/>
        <v>203.9</v>
      </c>
      <c r="BC518" s="64">
        <f t="shared" si="183"/>
        <v>203.9</v>
      </c>
      <c r="BD518" s="64">
        <f t="shared" si="183"/>
        <v>203.9</v>
      </c>
      <c r="BE518" s="64">
        <f t="shared" si="183"/>
        <v>203.9</v>
      </c>
      <c r="BF518" s="64">
        <f t="shared" si="183"/>
        <v>203.9</v>
      </c>
      <c r="BG518" s="64">
        <f t="shared" si="183"/>
        <v>203.9</v>
      </c>
      <c r="BH518" s="64">
        <f t="shared" si="183"/>
        <v>203.9</v>
      </c>
    </row>
    <row r="519" spans="1:60" s="64" customFormat="1" hidden="1" outlineLevel="1">
      <c r="B519" s="64" t="str">
        <f>Esc!A60</f>
        <v>Electricidad</v>
      </c>
      <c r="C519" s="64">
        <f>Esc!B60</f>
        <v>31.58</v>
      </c>
      <c r="D519" s="64">
        <f>Esc!C60</f>
        <v>29.85</v>
      </c>
      <c r="E519" s="64">
        <f>Esc!D60</f>
        <v>23.22</v>
      </c>
      <c r="F519" s="64">
        <f>Esc!E60</f>
        <v>20.63</v>
      </c>
      <c r="G519" s="64">
        <f>Esc!F60</f>
        <v>20.46</v>
      </c>
      <c r="H519" s="64">
        <f>Esc!G60</f>
        <v>19.989999999999998</v>
      </c>
      <c r="I519" s="64">
        <f>Esc!H60</f>
        <v>18.43</v>
      </c>
      <c r="J519" s="64">
        <f>Esc!I60</f>
        <v>18.91</v>
      </c>
      <c r="K519" s="64">
        <f>Esc!J60</f>
        <v>19.38</v>
      </c>
      <c r="L519" s="64">
        <f>Esc!K60</f>
        <v>15.14</v>
      </c>
      <c r="M519" s="64">
        <f>Esc!L60</f>
        <v>17.91</v>
      </c>
      <c r="N519" s="64">
        <f>Esc!M60</f>
        <v>20.69</v>
      </c>
      <c r="O519" s="64">
        <f>Esc!N60</f>
        <v>23.46</v>
      </c>
      <c r="P519" s="64">
        <f>Esc!O60</f>
        <v>26.24</v>
      </c>
      <c r="Q519" s="64">
        <f>Esc!P60</f>
        <v>29.02</v>
      </c>
      <c r="R519" s="64">
        <f>Esc!Q60</f>
        <v>31.79</v>
      </c>
      <c r="S519" s="64">
        <f>Esc!R60</f>
        <v>34.57</v>
      </c>
      <c r="T519" s="64">
        <f>Esc!S60</f>
        <v>37.35</v>
      </c>
      <c r="U519" s="64">
        <f>Esc!T60</f>
        <v>40.119999999999997</v>
      </c>
      <c r="V519" s="64">
        <f>Esc!U60</f>
        <v>42.9</v>
      </c>
      <c r="W519" s="64">
        <f>Esc!V60</f>
        <v>45.67</v>
      </c>
      <c r="X519" s="64">
        <f>Esc!W60</f>
        <v>49.45</v>
      </c>
      <c r="Y519" s="64">
        <f>Esc!X60</f>
        <v>54.58</v>
      </c>
      <c r="Z519" s="64">
        <f>Esc!Y60</f>
        <v>59.7</v>
      </c>
      <c r="AA519" s="64">
        <f>Esc!Z60</f>
        <v>64.83</v>
      </c>
      <c r="AB519" s="64">
        <f>Esc!AA60</f>
        <v>69.95</v>
      </c>
      <c r="AC519" s="64">
        <f>Esc!AB60</f>
        <v>75.08</v>
      </c>
      <c r="AD519" s="64">
        <f>Esc!AC60</f>
        <v>80.2</v>
      </c>
      <c r="AE519" s="64">
        <f>Esc!AD60</f>
        <v>85.33</v>
      </c>
      <c r="AF519" s="64">
        <f>Esc!AE60</f>
        <v>90.45</v>
      </c>
      <c r="AG519" s="64">
        <f>Esc!AF60</f>
        <v>95.57</v>
      </c>
      <c r="AH519" s="64">
        <f>Esc!AG60</f>
        <v>100.7</v>
      </c>
      <c r="AI519" s="64">
        <f>Esc!AH60</f>
        <v>105.82</v>
      </c>
      <c r="AJ519" s="64">
        <f>Esc!AI60</f>
        <v>110.95</v>
      </c>
      <c r="AK519" s="64">
        <f>Esc!AJ60</f>
        <v>116.07</v>
      </c>
      <c r="AL519" s="64">
        <f>Esc!AK60</f>
        <v>121.2</v>
      </c>
      <c r="AM519" s="64">
        <f>Esc!AL60</f>
        <v>126.33</v>
      </c>
      <c r="AN519" s="64">
        <f>Esc!AM60</f>
        <v>131.46</v>
      </c>
      <c r="AO519" s="64">
        <f t="shared" si="184"/>
        <v>131.46</v>
      </c>
      <c r="AP519" s="64">
        <f t="shared" si="183"/>
        <v>131.46</v>
      </c>
      <c r="AQ519" s="64">
        <f t="shared" si="183"/>
        <v>131.46</v>
      </c>
      <c r="AR519" s="64">
        <f t="shared" si="183"/>
        <v>131.46</v>
      </c>
      <c r="AS519" s="64">
        <f t="shared" si="183"/>
        <v>131.46</v>
      </c>
      <c r="AT519" s="64">
        <f t="shared" si="183"/>
        <v>131.46</v>
      </c>
      <c r="AU519" s="64">
        <f t="shared" si="183"/>
        <v>131.46</v>
      </c>
      <c r="AV519" s="64">
        <f t="shared" si="183"/>
        <v>131.46</v>
      </c>
      <c r="AW519" s="64">
        <f t="shared" si="183"/>
        <v>131.46</v>
      </c>
      <c r="AX519" s="64">
        <f t="shared" si="183"/>
        <v>131.46</v>
      </c>
      <c r="AY519" s="64">
        <f t="shared" si="183"/>
        <v>131.46</v>
      </c>
      <c r="AZ519" s="64">
        <f t="shared" si="183"/>
        <v>131.46</v>
      </c>
      <c r="BA519" s="64">
        <f t="shared" si="183"/>
        <v>131.46</v>
      </c>
      <c r="BB519" s="64">
        <f t="shared" si="183"/>
        <v>131.46</v>
      </c>
      <c r="BC519" s="64">
        <f t="shared" si="183"/>
        <v>131.46</v>
      </c>
      <c r="BD519" s="64">
        <f t="shared" si="183"/>
        <v>131.46</v>
      </c>
      <c r="BE519" s="64">
        <f t="shared" si="183"/>
        <v>131.46</v>
      </c>
      <c r="BF519" s="64">
        <f t="shared" si="183"/>
        <v>131.46</v>
      </c>
      <c r="BG519" s="64">
        <f t="shared" si="183"/>
        <v>131.46</v>
      </c>
      <c r="BH519" s="64">
        <f t="shared" si="183"/>
        <v>131.46</v>
      </c>
    </row>
    <row r="520" spans="1:60">
      <c r="A520" s="67" t="s">
        <v>173</v>
      </c>
    </row>
    <row r="521" spans="1:60" outlineLevel="1">
      <c r="B521" t="str">
        <f>A.15!A185</f>
        <v>Combustóleo</v>
      </c>
      <c r="C521">
        <f>A.15!B185</f>
        <v>0.01</v>
      </c>
      <c r="D521">
        <f>A.15!C185</f>
        <v>0.01</v>
      </c>
      <c r="E521">
        <f>A.15!D185</f>
        <v>0.01</v>
      </c>
      <c r="F521">
        <f>A.15!E185</f>
        <v>0.01</v>
      </c>
      <c r="G521">
        <f>A.15!F185</f>
        <v>0.01</v>
      </c>
      <c r="H521">
        <f>A.15!G185</f>
        <v>0.01</v>
      </c>
      <c r="I521">
        <f>A.15!H185</f>
        <v>0.01</v>
      </c>
      <c r="J521">
        <f>A.15!I185</f>
        <v>0.01</v>
      </c>
      <c r="K521">
        <f>A.15!J185</f>
        <v>0.01</v>
      </c>
      <c r="L521">
        <f>A.15!K185</f>
        <v>0.02</v>
      </c>
      <c r="M521">
        <f>A.15!L185</f>
        <v>0.02</v>
      </c>
      <c r="N521" s="66">
        <f>M521*N$628/M$628</f>
        <v>2.0021128387970027E-2</v>
      </c>
      <c r="O521" s="66">
        <f>N521*O$628/N$628</f>
        <v>2.0041926644878021E-2</v>
      </c>
      <c r="P521" s="66">
        <f>O521*P$628/O$628</f>
        <v>2.0063385163910076E-2</v>
      </c>
      <c r="Q521" s="66">
        <f>P521*Q$628/P$628</f>
        <v>2.0084513551880099E-2</v>
      </c>
      <c r="R521" s="66">
        <f>Q521*R$628/Q$628</f>
        <v>2.0105311808788089E-2</v>
      </c>
      <c r="S521" s="66">
        <f>R521*S$628/R$628</f>
        <v>2.0126770327820148E-2</v>
      </c>
      <c r="T521" s="66">
        <f>S521*T$628/S$628</f>
        <v>2.0147568584728135E-2</v>
      </c>
      <c r="U521" s="66">
        <f>T521*U$628/T$628</f>
        <v>2.0168366841636125E-2</v>
      </c>
      <c r="V521" s="66">
        <f>U521*V$628/U$628</f>
        <v>2.0190155491730217E-2</v>
      </c>
      <c r="W521" s="66">
        <f>V521*W$628/V$628</f>
        <v>2.0210953748638211E-2</v>
      </c>
      <c r="X521" s="66">
        <f>W521*X$628/W$628</f>
        <v>2.0153841074906739E-2</v>
      </c>
      <c r="Y521" s="66">
        <f>X521*Y$628/X$628</f>
        <v>1.9991086461325146E-2</v>
      </c>
      <c r="Z521" s="66">
        <f>Y521*Z$628/Y$628</f>
        <v>1.9828001716681528E-2</v>
      </c>
      <c r="AA521" s="66">
        <f>Z521*AA$628/Z$628</f>
        <v>1.9665577234161968E-2</v>
      </c>
      <c r="AB521" s="66">
        <f>AA521*AB$628/AA$628</f>
        <v>1.9502822620580375E-2</v>
      </c>
      <c r="AC521" s="66">
        <f>AB521*AC$628/AB$628</f>
        <v>1.9339407744874724E-2</v>
      </c>
      <c r="AD521" s="66">
        <f>AC521*AD$628/AC$628</f>
        <v>1.9177313393417193E-2</v>
      </c>
      <c r="AE521" s="66">
        <f>AD521*AE$628/AD$628</f>
        <v>1.90145587798356E-2</v>
      </c>
      <c r="AF521" s="66">
        <f>AE521*AF$628/AE$628</f>
        <v>1.8851474035191974E-2</v>
      </c>
      <c r="AG521" s="66">
        <f>AF521*AG$628/AF$628</f>
        <v>1.8688719421610385E-2</v>
      </c>
      <c r="AH521" s="66">
        <f>AG521*AH$628/AG$628</f>
        <v>1.8526294939090825E-2</v>
      </c>
      <c r="AI521" s="66">
        <f>AH521*AI$628/AH$628</f>
        <v>1.8363210194447203E-2</v>
      </c>
      <c r="AJ521" s="66">
        <f>AI521*AJ$628/AI$628</f>
        <v>1.8200455580865606E-2</v>
      </c>
      <c r="AK521" s="66">
        <f>AJ521*AK$628/AJ$628</f>
        <v>1.8037700967284014E-2</v>
      </c>
      <c r="AL521" s="66">
        <f>AK521*AL$628/AK$628</f>
        <v>1.7875276484764457E-2</v>
      </c>
      <c r="AM521" s="66">
        <f>AL521*AM$628/AL$628</f>
        <v>1.7710541084810676E-2</v>
      </c>
      <c r="AN521" s="66">
        <f>AM521*AN$628/AM$628</f>
        <v>1.7546135815918924E-2</v>
      </c>
      <c r="AO521" s="66">
        <f>AN521*AO$628/AN$628</f>
        <v>1.7546135815918924E-2</v>
      </c>
      <c r="AP521" s="66">
        <f>AO521*AP$628/AO$628</f>
        <v>1.7546135815918924E-2</v>
      </c>
      <c r="AQ521" s="66">
        <f>AP521*AQ$628/AP$628</f>
        <v>1.7546135815918924E-2</v>
      </c>
      <c r="AR521" s="66">
        <f>AQ521*AR$628/AQ$628</f>
        <v>1.7546135815918924E-2</v>
      </c>
      <c r="AS521" s="66">
        <f>AR521*AS$628/AR$628</f>
        <v>1.7546135815918924E-2</v>
      </c>
      <c r="AT521" s="66">
        <f>AS521*AT$628/AS$628</f>
        <v>1.7546135815918924E-2</v>
      </c>
      <c r="AU521" s="66">
        <f>AT521*AU$628/AT$628</f>
        <v>1.7546135815918924E-2</v>
      </c>
      <c r="AV521" s="66">
        <f>AU521*AV$628/AU$628</f>
        <v>1.7546135815918924E-2</v>
      </c>
      <c r="AW521" s="66">
        <f>AV521*AW$628/AV$628</f>
        <v>1.7546135815918924E-2</v>
      </c>
      <c r="AX521" s="66">
        <f>AW521*AX$628/AW$628</f>
        <v>1.7546135815918924E-2</v>
      </c>
      <c r="AY521" s="66">
        <f>AX521*AY$628/AX$628</f>
        <v>1.7546135815918924E-2</v>
      </c>
      <c r="AZ521" s="66">
        <f>AY521*AZ$628/AY$628</f>
        <v>1.7546135815918924E-2</v>
      </c>
      <c r="BA521" s="66">
        <f>AZ521*BA$628/AZ$628</f>
        <v>1.7546135815918924E-2</v>
      </c>
      <c r="BB521" s="66">
        <f>BA521*BB$628/BA$628</f>
        <v>1.7546135815918924E-2</v>
      </c>
      <c r="BC521" s="66">
        <f>BB521*BC$628/BB$628</f>
        <v>1.7546135815918924E-2</v>
      </c>
      <c r="BD521" s="66">
        <f>BC521*BD$628/BC$628</f>
        <v>1.7546135815918924E-2</v>
      </c>
      <c r="BE521" s="66">
        <f>BD521*BE$628/BD$628</f>
        <v>1.7546135815918924E-2</v>
      </c>
      <c r="BF521" s="66">
        <f>BE521*BF$628/BE$628</f>
        <v>1.7546135815918924E-2</v>
      </c>
      <c r="BG521" s="66">
        <f>BF521*BG$628/BF$628</f>
        <v>1.7546135815918924E-2</v>
      </c>
      <c r="BH521" s="66">
        <f>BG521*BH$628/BG$628</f>
        <v>1.7546135815918924E-2</v>
      </c>
    </row>
    <row r="522" spans="1:60" outlineLevel="1">
      <c r="B522" t="str">
        <f>A.15!A187</f>
        <v>Gas seco</v>
      </c>
      <c r="C522">
        <f>A.15!B187</f>
        <v>0.02</v>
      </c>
      <c r="D522">
        <f>A.15!C187</f>
        <v>0.03</v>
      </c>
      <c r="E522">
        <f>A.15!D187</f>
        <v>0.03</v>
      </c>
      <c r="F522">
        <f>A.15!E187</f>
        <v>0.03</v>
      </c>
      <c r="G522">
        <f>A.15!F187</f>
        <v>0.03</v>
      </c>
      <c r="H522">
        <f>A.15!G187</f>
        <v>0.03</v>
      </c>
      <c r="I522">
        <f>A.15!H187</f>
        <v>0.03</v>
      </c>
      <c r="J522">
        <f>A.15!I187</f>
        <v>0.03</v>
      </c>
      <c r="K522">
        <f>A.15!J187</f>
        <v>0.03</v>
      </c>
      <c r="L522">
        <f>A.15!K187</f>
        <v>0.03</v>
      </c>
      <c r="M522">
        <f>A.15!L187</f>
        <v>0.03</v>
      </c>
      <c r="N522" s="66">
        <f>M522*N$628/M$628</f>
        <v>3.0031692581955038E-2</v>
      </c>
      <c r="O522" s="66">
        <f>N522*O$628/N$628</f>
        <v>3.0062889967317027E-2</v>
      </c>
      <c r="P522" s="66">
        <f>O522*P$628/O$628</f>
        <v>3.0095077745865111E-2</v>
      </c>
      <c r="Q522" s="66">
        <f>P522*Q$628/P$628</f>
        <v>3.0126770327820147E-2</v>
      </c>
      <c r="R522" s="66">
        <f>Q522*R$628/Q$628</f>
        <v>3.0157967713182136E-2</v>
      </c>
      <c r="S522" s="66">
        <f>R522*S$628/R$628</f>
        <v>3.0190155491730226E-2</v>
      </c>
      <c r="T522" s="66">
        <f>S522*T$628/S$628</f>
        <v>3.0221352877092208E-2</v>
      </c>
      <c r="U522" s="66">
        <f>T522*U$628/T$628</f>
        <v>3.0252550262454197E-2</v>
      </c>
      <c r="V522" s="66">
        <f>U522*V$628/U$628</f>
        <v>3.0285233237595331E-2</v>
      </c>
      <c r="W522" s="66">
        <f>V522*W$628/V$628</f>
        <v>3.031643062295732E-2</v>
      </c>
      <c r="X522" s="66">
        <f>W522*X$628/W$628</f>
        <v>3.0230761612360112E-2</v>
      </c>
      <c r="Y522" s="66">
        <f>X522*Y$628/X$628</f>
        <v>2.9986629691987721E-2</v>
      </c>
      <c r="Z522" s="66">
        <f>Y522*Z$628/Y$628</f>
        <v>2.974200257502229E-2</v>
      </c>
      <c r="AA522" s="66">
        <f>Z522*AA$628/Z$628</f>
        <v>2.9498365851242953E-2</v>
      </c>
      <c r="AB522" s="66">
        <f>AA522*AB$628/AA$628</f>
        <v>2.9254233930870566E-2</v>
      </c>
      <c r="AC522" s="66">
        <f>AB522*AC$628/AB$628</f>
        <v>2.9009111617312087E-2</v>
      </c>
      <c r="AD522" s="66">
        <f>AC522*AD$628/AC$628</f>
        <v>2.8765970090125791E-2</v>
      </c>
      <c r="AE522" s="66">
        <f>AD522*AE$628/AD$628</f>
        <v>2.8521838169753403E-2</v>
      </c>
      <c r="AF522" s="66">
        <f>AE522*AF$628/AE$628</f>
        <v>2.8277211052787962E-2</v>
      </c>
      <c r="AG522" s="66">
        <f>AF522*AG$628/AF$628</f>
        <v>2.8033079132415574E-2</v>
      </c>
      <c r="AH522" s="66">
        <f>AG522*AH$628/AG$628</f>
        <v>2.778944240863623E-2</v>
      </c>
      <c r="AI522" s="66">
        <f>AH522*AI$628/AH$628</f>
        <v>2.7544815291670799E-2</v>
      </c>
      <c r="AJ522" s="66">
        <f>AI522*AJ$628/AI$628</f>
        <v>2.7300683371298408E-2</v>
      </c>
      <c r="AK522" s="66">
        <f>AJ522*AK$628/AJ$628</f>
        <v>2.7056551450926024E-2</v>
      </c>
      <c r="AL522" s="66">
        <f>AK522*AL$628/AK$628</f>
        <v>2.6812914727146687E-2</v>
      </c>
      <c r="AM522" s="66">
        <f>AL522*AM$628/AL$628</f>
        <v>2.6565811627216013E-2</v>
      </c>
      <c r="AN522" s="66">
        <f>AM522*AN$628/AM$628</f>
        <v>2.6319203723878387E-2</v>
      </c>
      <c r="AO522" s="66">
        <f>AN522*AO$628/AN$628</f>
        <v>2.6319203723878387E-2</v>
      </c>
      <c r="AP522" s="66">
        <f>AO522*AP$628/AO$628</f>
        <v>2.6319203723878387E-2</v>
      </c>
      <c r="AQ522" s="66">
        <f>AP522*AQ$628/AP$628</f>
        <v>2.6319203723878387E-2</v>
      </c>
      <c r="AR522" s="66">
        <f>AQ522*AR$628/AQ$628</f>
        <v>2.6319203723878387E-2</v>
      </c>
      <c r="AS522" s="66">
        <f>AR522*AS$628/AR$628</f>
        <v>2.6319203723878387E-2</v>
      </c>
      <c r="AT522" s="66">
        <f>AS522*AT$628/AS$628</f>
        <v>2.6319203723878387E-2</v>
      </c>
      <c r="AU522" s="66">
        <f>AT522*AU$628/AT$628</f>
        <v>2.6319203723878387E-2</v>
      </c>
      <c r="AV522" s="66">
        <f>AU522*AV$628/AU$628</f>
        <v>2.6319203723878387E-2</v>
      </c>
      <c r="AW522" s="66">
        <f>AV522*AW$628/AV$628</f>
        <v>2.6319203723878387E-2</v>
      </c>
      <c r="AX522" s="66">
        <f>AW522*AX$628/AW$628</f>
        <v>2.6319203723878387E-2</v>
      </c>
      <c r="AY522" s="66">
        <f>AX522*AY$628/AX$628</f>
        <v>2.6319203723878387E-2</v>
      </c>
      <c r="AZ522" s="66">
        <f>AY522*AZ$628/AY$628</f>
        <v>2.6319203723878387E-2</v>
      </c>
      <c r="BA522" s="66">
        <f>AZ522*BA$628/AZ$628</f>
        <v>2.6319203723878387E-2</v>
      </c>
      <c r="BB522" s="66">
        <f>BA522*BB$628/BA$628</f>
        <v>2.6319203723878387E-2</v>
      </c>
      <c r="BC522" s="66">
        <f>BB522*BC$628/BB$628</f>
        <v>2.6319203723878387E-2</v>
      </c>
      <c r="BD522" s="66">
        <f>BC522*BD$628/BC$628</f>
        <v>2.6319203723878387E-2</v>
      </c>
      <c r="BE522" s="66">
        <f>BD522*BE$628/BD$628</f>
        <v>2.6319203723878387E-2</v>
      </c>
      <c r="BF522" s="66">
        <f>BE522*BF$628/BE$628</f>
        <v>2.6319203723878387E-2</v>
      </c>
      <c r="BG522" s="66">
        <f>BF522*BG$628/BF$628</f>
        <v>2.6319203723878387E-2</v>
      </c>
      <c r="BH522" s="66">
        <f>BG522*BH$628/BG$628</f>
        <v>2.6319203723878387E-2</v>
      </c>
    </row>
    <row r="523" spans="1:60" outlineLevel="1">
      <c r="B523" t="str">
        <f>A.15!A188</f>
        <v>Energía eléctrica</v>
      </c>
      <c r="C523">
        <f>A.15!B188</f>
        <v>0.73</v>
      </c>
      <c r="D523">
        <f>A.15!C188</f>
        <v>0.84</v>
      </c>
      <c r="E523">
        <f>A.15!D188</f>
        <v>0.91</v>
      </c>
      <c r="F523">
        <f>A.15!E188</f>
        <v>0.93</v>
      </c>
      <c r="G523">
        <f>A.15!F188</f>
        <v>0.97</v>
      </c>
      <c r="H523">
        <f>A.15!G188</f>
        <v>0.96</v>
      </c>
      <c r="I523">
        <f>A.15!H188</f>
        <v>1.01</v>
      </c>
      <c r="J523">
        <f>A.15!I188</f>
        <v>0.93</v>
      </c>
      <c r="K523">
        <f>A.15!J188</f>
        <v>1.02</v>
      </c>
      <c r="L523">
        <f>A.15!K188</f>
        <v>1.37</v>
      </c>
      <c r="M523">
        <f>A.15!L188</f>
        <v>0.9</v>
      </c>
      <c r="N523" s="66">
        <f>M523*N$628/M$628</f>
        <v>0.90095077745865126</v>
      </c>
      <c r="O523" s="66">
        <f>N523*O$628/N$628</f>
        <v>0.90188669901951091</v>
      </c>
      <c r="P523" s="66">
        <f>O523*P$628/O$628</f>
        <v>0.9028523323759533</v>
      </c>
      <c r="Q523" s="66">
        <f>P523*Q$628/P$628</f>
        <v>0.90380310983460443</v>
      </c>
      <c r="R523" s="66">
        <f>Q523*R$628/Q$628</f>
        <v>0.90473903139546408</v>
      </c>
      <c r="S523" s="66">
        <f>R523*S$628/R$628</f>
        <v>0.9057046647519067</v>
      </c>
      <c r="T523" s="66">
        <f>S523*T$628/S$628</f>
        <v>0.90664058631276623</v>
      </c>
      <c r="U523" s="66">
        <f>T523*U$628/T$628</f>
        <v>0.90757650787362576</v>
      </c>
      <c r="V523" s="66">
        <f>U523*V$628/U$628</f>
        <v>0.90855699712785976</v>
      </c>
      <c r="W523" s="66">
        <f>V523*W$628/V$628</f>
        <v>0.90949291868871929</v>
      </c>
      <c r="X523" s="66">
        <f>W523*X$628/W$628</f>
        <v>0.90692284837080306</v>
      </c>
      <c r="Y523" s="66">
        <f>X523*Y$628/X$628</f>
        <v>0.89959889075963129</v>
      </c>
      <c r="Z523" s="66">
        <f>Y523*Z$628/Y$628</f>
        <v>0.89226007725066836</v>
      </c>
      <c r="AA523" s="66">
        <f>Z523*AA$628/Z$628</f>
        <v>0.88495097553728819</v>
      </c>
      <c r="AB523" s="66">
        <f>AA523*AB$628/AA$628</f>
        <v>0.87762701792611653</v>
      </c>
      <c r="AC523" s="66">
        <f>AB523*AC$628/AB$628</f>
        <v>0.87027334851936222</v>
      </c>
      <c r="AD523" s="66">
        <f>AC523*AD$628/AC$628</f>
        <v>0.86297910270377332</v>
      </c>
      <c r="AE523" s="66">
        <f>AD523*AE$628/AD$628</f>
        <v>0.85565514509260177</v>
      </c>
      <c r="AF523" s="66">
        <f>AE523*AF$628/AE$628</f>
        <v>0.84831633158363862</v>
      </c>
      <c r="AG523" s="66">
        <f>AF523*AG$628/AF$628</f>
        <v>0.84099237397246707</v>
      </c>
      <c r="AH523" s="66">
        <f>AG523*AH$628/AG$628</f>
        <v>0.83368327225908678</v>
      </c>
      <c r="AI523" s="66">
        <f>AH523*AI$628/AH$628</f>
        <v>0.82634445875012374</v>
      </c>
      <c r="AJ523" s="66">
        <f>AI523*AJ$628/AI$628</f>
        <v>0.81902050113895197</v>
      </c>
      <c r="AK523" s="66">
        <f>AJ523*AK$628/AJ$628</f>
        <v>0.81169654352778031</v>
      </c>
      <c r="AL523" s="66">
        <f>AK523*AL$628/AK$628</f>
        <v>0.80438744181440014</v>
      </c>
      <c r="AM523" s="66">
        <f>AL523*AM$628/AL$628</f>
        <v>0.79697434881647999</v>
      </c>
      <c r="AN523" s="66">
        <f>AM523*AN$628/AM$628</f>
        <v>0.78957611171635123</v>
      </c>
      <c r="AO523" s="66">
        <f>AN523*AO$628/AN$628</f>
        <v>0.78957611171635123</v>
      </c>
      <c r="AP523" s="66">
        <f>AO523*AP$628/AO$628</f>
        <v>0.78957611171635123</v>
      </c>
      <c r="AQ523" s="66">
        <f>AP523*AQ$628/AP$628</f>
        <v>0.78957611171635123</v>
      </c>
      <c r="AR523" s="66">
        <f>AQ523*AR$628/AQ$628</f>
        <v>0.78957611171635123</v>
      </c>
      <c r="AS523" s="66">
        <f>AR523*AS$628/AR$628</f>
        <v>0.78957611171635123</v>
      </c>
      <c r="AT523" s="66">
        <f>AS523*AT$628/AS$628</f>
        <v>0.78957611171635123</v>
      </c>
      <c r="AU523" s="66">
        <f>AT523*AU$628/AT$628</f>
        <v>0.78957611171635123</v>
      </c>
      <c r="AV523" s="66">
        <f>AU523*AV$628/AU$628</f>
        <v>0.78957611171635123</v>
      </c>
      <c r="AW523" s="66">
        <f>AV523*AW$628/AV$628</f>
        <v>0.78957611171635123</v>
      </c>
      <c r="AX523" s="66">
        <f>AW523*AX$628/AW$628</f>
        <v>0.78957611171635123</v>
      </c>
      <c r="AY523" s="66">
        <f>AX523*AY$628/AX$628</f>
        <v>0.78957611171635123</v>
      </c>
      <c r="AZ523" s="66">
        <f>AY523*AZ$628/AY$628</f>
        <v>0.78957611171635123</v>
      </c>
      <c r="BA523" s="66">
        <f>AZ523*BA$628/AZ$628</f>
        <v>0.78957611171635123</v>
      </c>
      <c r="BB523" s="66">
        <f>BA523*BB$628/BA$628</f>
        <v>0.78957611171635123</v>
      </c>
      <c r="BC523" s="66">
        <f>BB523*BC$628/BB$628</f>
        <v>0.78957611171635123</v>
      </c>
      <c r="BD523" s="66">
        <f>BC523*BD$628/BC$628</f>
        <v>0.78957611171635123</v>
      </c>
      <c r="BE523" s="66">
        <f>BD523*BE$628/BD$628</f>
        <v>0.78957611171635123</v>
      </c>
      <c r="BF523" s="66">
        <f>BE523*BF$628/BE$628</f>
        <v>0.78957611171635123</v>
      </c>
      <c r="BG523" s="66">
        <f>BF523*BG$628/BF$628</f>
        <v>0.78957611171635123</v>
      </c>
      <c r="BH523" s="66">
        <f>BG523*BH$628/BG$628</f>
        <v>0.78957611171635123</v>
      </c>
    </row>
    <row r="524" spans="1:60">
      <c r="A524" s="67" t="str">
        <f>A.15!A190</f>
        <v>335.-Fabricación de accesorios, aparatos eléctricos y equipo de generación de energía eléctrica</v>
      </c>
    </row>
    <row r="525" spans="1:60" outlineLevel="1">
      <c r="B525" t="str">
        <f>A.15!A196</f>
        <v>Gas licuado</v>
      </c>
      <c r="C525">
        <f>A.15!B196</f>
        <v>0.04</v>
      </c>
      <c r="D525">
        <f>A.15!C196</f>
        <v>0.04</v>
      </c>
      <c r="E525">
        <f>A.15!D196</f>
        <v>0.04</v>
      </c>
      <c r="F525">
        <f>A.15!E196</f>
        <v>0.05</v>
      </c>
      <c r="G525">
        <f>A.15!F196</f>
        <v>0.05</v>
      </c>
      <c r="H525">
        <f>A.15!G196</f>
        <v>0.05</v>
      </c>
      <c r="I525">
        <f>A.15!H196</f>
        <v>0.05</v>
      </c>
      <c r="J525">
        <f>A.15!I196</f>
        <v>0.05</v>
      </c>
      <c r="K525">
        <f>A.15!J196</f>
        <v>0.05</v>
      </c>
      <c r="L525">
        <f>A.15!K196</f>
        <v>0.05</v>
      </c>
      <c r="M525">
        <f>A.15!L196</f>
        <v>0.05</v>
      </c>
      <c r="N525" s="66">
        <f>M525*N$628/M$628</f>
        <v>5.0052820969925069E-2</v>
      </c>
      <c r="O525" s="66">
        <f>N525*O$628/N$628</f>
        <v>5.0104816612195048E-2</v>
      </c>
      <c r="P525" s="66">
        <f>O525*P$628/O$628</f>
        <v>5.0158462909775187E-2</v>
      </c>
      <c r="Q525" s="66">
        <f>P525*Q$628/P$628</f>
        <v>5.0211283879700246E-2</v>
      </c>
      <c r="R525" s="66">
        <f>Q525*R$628/Q$628</f>
        <v>5.0263279521970225E-2</v>
      </c>
      <c r="S525" s="66">
        <f>R525*S$628/R$628</f>
        <v>5.0316925819550377E-2</v>
      </c>
      <c r="T525" s="66">
        <f>S525*T$628/S$628</f>
        <v>5.036892146182035E-2</v>
      </c>
      <c r="U525" s="66">
        <f>T525*U$628/T$628</f>
        <v>5.0420917104090336E-2</v>
      </c>
      <c r="V525" s="66">
        <f>U525*V$628/U$628</f>
        <v>5.0475388729325561E-2</v>
      </c>
      <c r="W525" s="66">
        <f>V525*W$628/V$628</f>
        <v>5.0527384371595541E-2</v>
      </c>
      <c r="X525" s="66">
        <f>W525*X$628/W$628</f>
        <v>5.0384602687266855E-2</v>
      </c>
      <c r="Y525" s="66">
        <f>X525*Y$628/X$628</f>
        <v>4.9977716153312868E-2</v>
      </c>
      <c r="Z525" s="66">
        <f>Y525*Z$628/Y$628</f>
        <v>4.9570004291703815E-2</v>
      </c>
      <c r="AA525" s="66">
        <f>Z525*AA$628/Z$628</f>
        <v>4.9163943085404921E-2</v>
      </c>
      <c r="AB525" s="66">
        <f>AA525*AB$628/AA$628</f>
        <v>4.8757056551450934E-2</v>
      </c>
      <c r="AC525" s="66">
        <f>AB525*AC$628/AB$628</f>
        <v>4.8348519362186801E-2</v>
      </c>
      <c r="AD525" s="66">
        <f>AC525*AD$628/AC$628</f>
        <v>4.7943283483542973E-2</v>
      </c>
      <c r="AE525" s="66">
        <f>AD525*AE$628/AD$628</f>
        <v>4.7536396949588992E-2</v>
      </c>
      <c r="AF525" s="66">
        <f>AE525*AF$628/AE$628</f>
        <v>4.7128685087979925E-2</v>
      </c>
      <c r="AG525" s="66">
        <f>AF525*AG$628/AF$628</f>
        <v>4.6721798554025952E-2</v>
      </c>
      <c r="AH525" s="66">
        <f>AG525*AH$628/AG$628</f>
        <v>4.6315737347727044E-2</v>
      </c>
      <c r="AI525" s="66">
        <f>AH525*AI$628/AH$628</f>
        <v>4.5908025486117991E-2</v>
      </c>
      <c r="AJ525" s="66">
        <f>AI525*AJ$628/AI$628</f>
        <v>4.5501138952164004E-2</v>
      </c>
      <c r="AK525" s="66">
        <f>AJ525*AK$628/AJ$628</f>
        <v>4.5094252418210024E-2</v>
      </c>
      <c r="AL525" s="66">
        <f>AK525*AL$628/AK$628</f>
        <v>4.468819121191113E-2</v>
      </c>
      <c r="AM525" s="66">
        <f>AL525*AM$628/AL$628</f>
        <v>4.4276352712026679E-2</v>
      </c>
      <c r="AN525" s="66">
        <f>AM525*AN$628/AM$628</f>
        <v>4.38653395397973E-2</v>
      </c>
      <c r="AO525" s="66">
        <f>AN525*AO$628/AN$628</f>
        <v>4.38653395397973E-2</v>
      </c>
      <c r="AP525" s="66">
        <f>AO525*AP$628/AO$628</f>
        <v>4.38653395397973E-2</v>
      </c>
      <c r="AQ525" s="66">
        <f>AP525*AQ$628/AP$628</f>
        <v>4.38653395397973E-2</v>
      </c>
      <c r="AR525" s="66">
        <f>AQ525*AR$628/AQ$628</f>
        <v>4.38653395397973E-2</v>
      </c>
      <c r="AS525" s="66">
        <f>AR525*AS$628/AR$628</f>
        <v>4.38653395397973E-2</v>
      </c>
      <c r="AT525" s="66">
        <f>AS525*AT$628/AS$628</f>
        <v>4.38653395397973E-2</v>
      </c>
      <c r="AU525" s="66">
        <f>AT525*AU$628/AT$628</f>
        <v>4.38653395397973E-2</v>
      </c>
      <c r="AV525" s="66">
        <f>AU525*AV$628/AU$628</f>
        <v>4.38653395397973E-2</v>
      </c>
      <c r="AW525" s="66">
        <f>AV525*AW$628/AV$628</f>
        <v>4.38653395397973E-2</v>
      </c>
      <c r="AX525" s="66">
        <f>AW525*AX$628/AW$628</f>
        <v>4.38653395397973E-2</v>
      </c>
      <c r="AY525" s="66">
        <f>AX525*AY$628/AX$628</f>
        <v>4.38653395397973E-2</v>
      </c>
      <c r="AZ525" s="66">
        <f>AY525*AZ$628/AY$628</f>
        <v>4.38653395397973E-2</v>
      </c>
      <c r="BA525" s="66">
        <f>AZ525*BA$628/AZ$628</f>
        <v>4.38653395397973E-2</v>
      </c>
      <c r="BB525" s="66">
        <f>BA525*BB$628/BA$628</f>
        <v>4.38653395397973E-2</v>
      </c>
      <c r="BC525" s="66">
        <f>BB525*BC$628/BB$628</f>
        <v>4.38653395397973E-2</v>
      </c>
      <c r="BD525" s="66">
        <f>BC525*BD$628/BC$628</f>
        <v>4.38653395397973E-2</v>
      </c>
      <c r="BE525" s="66">
        <f>BD525*BE$628/BD$628</f>
        <v>4.38653395397973E-2</v>
      </c>
      <c r="BF525" s="66">
        <f>BE525*BF$628/BE$628</f>
        <v>4.38653395397973E-2</v>
      </c>
      <c r="BG525" s="66">
        <f>BF525*BG$628/BF$628</f>
        <v>4.38653395397973E-2</v>
      </c>
      <c r="BH525" s="66">
        <f>BG525*BH$628/BG$628</f>
        <v>4.38653395397973E-2</v>
      </c>
    </row>
    <row r="526" spans="1:60" outlineLevel="1">
      <c r="B526" t="str">
        <f>A.15!A200</f>
        <v>Combustóleo</v>
      </c>
      <c r="C526">
        <f>A.15!B200</f>
        <v>0.4</v>
      </c>
      <c r="D526">
        <f>A.15!C200</f>
        <v>0.42</v>
      </c>
      <c r="E526">
        <f>A.15!D200</f>
        <v>0.44</v>
      </c>
      <c r="F526">
        <f>A.15!E200</f>
        <v>0.46</v>
      </c>
      <c r="G526">
        <f>A.15!F200</f>
        <v>0.47</v>
      </c>
      <c r="H526">
        <f>A.15!G200</f>
        <v>0.47</v>
      </c>
      <c r="I526">
        <f>A.15!H200</f>
        <v>0.47</v>
      </c>
      <c r="J526">
        <f>A.15!I200</f>
        <v>0.46</v>
      </c>
      <c r="K526">
        <f>A.15!J200</f>
        <v>0.54</v>
      </c>
      <c r="L526">
        <f>A.15!K200</f>
        <v>0.56000000000000005</v>
      </c>
      <c r="M526">
        <f>A.15!L200</f>
        <v>0.56999999999999995</v>
      </c>
      <c r="N526" s="66">
        <f>M526*N$628/M$628</f>
        <v>0.57060215905714573</v>
      </c>
      <c r="O526" s="66">
        <f>N526*O$628/N$628</f>
        <v>0.57119490937902351</v>
      </c>
      <c r="P526" s="66">
        <f>O526*P$628/O$628</f>
        <v>0.57180647717143707</v>
      </c>
      <c r="Q526" s="66">
        <f>P526*Q$628/P$628</f>
        <v>0.57240863622858273</v>
      </c>
      <c r="R526" s="66">
        <f>Q526*R$628/Q$628</f>
        <v>0.57300138655046051</v>
      </c>
      <c r="S526" s="66">
        <f>R526*S$628/R$628</f>
        <v>0.57361295434287418</v>
      </c>
      <c r="T526" s="66">
        <f>S526*T$628/S$628</f>
        <v>0.57420570466475185</v>
      </c>
      <c r="U526" s="66">
        <f>T526*U$628/T$628</f>
        <v>0.57479845498662963</v>
      </c>
      <c r="V526" s="66">
        <f>U526*V$628/U$628</f>
        <v>0.57541943151431119</v>
      </c>
      <c r="W526" s="66">
        <f>V526*W$628/V$628</f>
        <v>0.57601218183618896</v>
      </c>
      <c r="X526" s="66">
        <f>W526*X$628/W$628</f>
        <v>0.57438447063484199</v>
      </c>
      <c r="Y526" s="66">
        <f>X526*Y$628/X$628</f>
        <v>0.56974596414776657</v>
      </c>
      <c r="Z526" s="66">
        <f>Y526*Z$628/Y$628</f>
        <v>0.56509804892542337</v>
      </c>
      <c r="AA526" s="66">
        <f>Z526*AA$628/Z$628</f>
        <v>0.56046895117361595</v>
      </c>
      <c r="AB526" s="66">
        <f>AA526*AB$628/AA$628</f>
        <v>0.55583044468654053</v>
      </c>
      <c r="AC526" s="66">
        <f>AB526*AC$628/AB$628</f>
        <v>0.55117312072892943</v>
      </c>
      <c r="AD526" s="66">
        <f>AC526*AD$628/AC$628</f>
        <v>0.54655343171238979</v>
      </c>
      <c r="AE526" s="66">
        <f>AD526*AE$628/AD$628</f>
        <v>0.54191492522531448</v>
      </c>
      <c r="AF526" s="66">
        <f>AE526*AF$628/AE$628</f>
        <v>0.53726701000297117</v>
      </c>
      <c r="AG526" s="66">
        <f>AF526*AG$628/AF$628</f>
        <v>0.53262850351589586</v>
      </c>
      <c r="AH526" s="66">
        <f>AG526*AH$628/AG$628</f>
        <v>0.52799940576408833</v>
      </c>
      <c r="AI526" s="66">
        <f>AH526*AI$628/AH$628</f>
        <v>0.52335149054174512</v>
      </c>
      <c r="AJ526" s="66">
        <f>AI526*AJ$628/AI$628</f>
        <v>0.5187129840546697</v>
      </c>
      <c r="AK526" s="66">
        <f>AJ526*AK$628/AJ$628</f>
        <v>0.51407447756759439</v>
      </c>
      <c r="AL526" s="66">
        <f>AK526*AL$628/AK$628</f>
        <v>0.50944537981578697</v>
      </c>
      <c r="AM526" s="66">
        <f>AL526*AM$628/AL$628</f>
        <v>0.5047504209171042</v>
      </c>
      <c r="AN526" s="66">
        <f>AM526*AN$628/AM$628</f>
        <v>0.50006487075368933</v>
      </c>
      <c r="AO526" s="66">
        <f>AN526*AO$628/AN$628</f>
        <v>0.50006487075368933</v>
      </c>
      <c r="AP526" s="66">
        <f>AO526*AP$628/AO$628</f>
        <v>0.50006487075368933</v>
      </c>
      <c r="AQ526" s="66">
        <f>AP526*AQ$628/AP$628</f>
        <v>0.50006487075368933</v>
      </c>
      <c r="AR526" s="66">
        <f>AQ526*AR$628/AQ$628</f>
        <v>0.50006487075368933</v>
      </c>
      <c r="AS526" s="66">
        <f>AR526*AS$628/AR$628</f>
        <v>0.50006487075368933</v>
      </c>
      <c r="AT526" s="66">
        <f>AS526*AT$628/AS$628</f>
        <v>0.50006487075368933</v>
      </c>
      <c r="AU526" s="66">
        <f>AT526*AU$628/AT$628</f>
        <v>0.50006487075368933</v>
      </c>
      <c r="AV526" s="66">
        <f>AU526*AV$628/AU$628</f>
        <v>0.50006487075368933</v>
      </c>
      <c r="AW526" s="66">
        <f>AV526*AW$628/AV$628</f>
        <v>0.50006487075368933</v>
      </c>
      <c r="AX526" s="66">
        <f>AW526*AX$628/AW$628</f>
        <v>0.50006487075368933</v>
      </c>
      <c r="AY526" s="66">
        <f>AX526*AY$628/AX$628</f>
        <v>0.50006487075368933</v>
      </c>
      <c r="AZ526" s="66">
        <f>AY526*AZ$628/AY$628</f>
        <v>0.50006487075368933</v>
      </c>
      <c r="BA526" s="66">
        <f>AZ526*BA$628/AZ$628</f>
        <v>0.50006487075368933</v>
      </c>
      <c r="BB526" s="66">
        <f>BA526*BB$628/BA$628</f>
        <v>0.50006487075368933</v>
      </c>
      <c r="BC526" s="66">
        <f>BB526*BC$628/BB$628</f>
        <v>0.50006487075368933</v>
      </c>
      <c r="BD526" s="66">
        <f>BC526*BD$628/BC$628</f>
        <v>0.50006487075368933</v>
      </c>
      <c r="BE526" s="66">
        <f>BD526*BE$628/BD$628</f>
        <v>0.50006487075368933</v>
      </c>
      <c r="BF526" s="66">
        <f>BE526*BF$628/BE$628</f>
        <v>0.50006487075368933</v>
      </c>
      <c r="BG526" s="66">
        <f>BF526*BG$628/BF$628</f>
        <v>0.50006487075368933</v>
      </c>
      <c r="BH526" s="66">
        <f>BG526*BH$628/BG$628</f>
        <v>0.50006487075368933</v>
      </c>
    </row>
    <row r="527" spans="1:60" outlineLevel="1">
      <c r="B527" t="str">
        <f>A.15!A202</f>
        <v>Gas seco</v>
      </c>
      <c r="C527">
        <f>A.15!B202</f>
        <v>0.04</v>
      </c>
      <c r="D527">
        <f>A.15!C202</f>
        <v>0.04</v>
      </c>
      <c r="E527">
        <f>A.15!D202</f>
        <v>0.04</v>
      </c>
      <c r="F527">
        <f>A.15!E202</f>
        <v>0.04</v>
      </c>
      <c r="G527">
        <f>A.15!F202</f>
        <v>0.04</v>
      </c>
      <c r="H527">
        <f>A.15!G202</f>
        <v>0.04</v>
      </c>
      <c r="I527">
        <f>A.15!H202</f>
        <v>0.04</v>
      </c>
      <c r="J527">
        <f>A.15!I202</f>
        <v>0.04</v>
      </c>
      <c r="K527">
        <f>A.15!J202</f>
        <v>0.05</v>
      </c>
      <c r="L527">
        <f>A.15!K202</f>
        <v>0.05</v>
      </c>
      <c r="M527">
        <f>A.15!L202</f>
        <v>0.05</v>
      </c>
      <c r="N527" s="66">
        <f>M527*N$628/M$628</f>
        <v>5.0052820969925069E-2</v>
      </c>
      <c r="O527" s="66">
        <f>N527*O$628/N$628</f>
        <v>5.0104816612195048E-2</v>
      </c>
      <c r="P527" s="66">
        <f>O527*P$628/O$628</f>
        <v>5.0158462909775187E-2</v>
      </c>
      <c r="Q527" s="66">
        <f>P527*Q$628/P$628</f>
        <v>5.0211283879700246E-2</v>
      </c>
      <c r="R527" s="66">
        <f>Q527*R$628/Q$628</f>
        <v>5.0263279521970225E-2</v>
      </c>
      <c r="S527" s="66">
        <f>R527*S$628/R$628</f>
        <v>5.0316925819550377E-2</v>
      </c>
      <c r="T527" s="66">
        <f>S527*T$628/S$628</f>
        <v>5.036892146182035E-2</v>
      </c>
      <c r="U527" s="66">
        <f>T527*U$628/T$628</f>
        <v>5.0420917104090336E-2</v>
      </c>
      <c r="V527" s="66">
        <f>U527*V$628/U$628</f>
        <v>5.0475388729325561E-2</v>
      </c>
      <c r="W527" s="66">
        <f>V527*W$628/V$628</f>
        <v>5.0527384371595541E-2</v>
      </c>
      <c r="X527" s="66">
        <f>W527*X$628/W$628</f>
        <v>5.0384602687266855E-2</v>
      </c>
      <c r="Y527" s="66">
        <f>X527*Y$628/X$628</f>
        <v>4.9977716153312868E-2</v>
      </c>
      <c r="Z527" s="66">
        <f>Y527*Z$628/Y$628</f>
        <v>4.9570004291703815E-2</v>
      </c>
      <c r="AA527" s="66">
        <f>Z527*AA$628/Z$628</f>
        <v>4.9163943085404921E-2</v>
      </c>
      <c r="AB527" s="66">
        <f>AA527*AB$628/AA$628</f>
        <v>4.8757056551450934E-2</v>
      </c>
      <c r="AC527" s="66">
        <f>AB527*AC$628/AB$628</f>
        <v>4.8348519362186801E-2</v>
      </c>
      <c r="AD527" s="66">
        <f>AC527*AD$628/AC$628</f>
        <v>4.7943283483542973E-2</v>
      </c>
      <c r="AE527" s="66">
        <f>AD527*AE$628/AD$628</f>
        <v>4.7536396949588992E-2</v>
      </c>
      <c r="AF527" s="66">
        <f>AE527*AF$628/AE$628</f>
        <v>4.7128685087979925E-2</v>
      </c>
      <c r="AG527" s="66">
        <f>AF527*AG$628/AF$628</f>
        <v>4.6721798554025952E-2</v>
      </c>
      <c r="AH527" s="66">
        <f>AG527*AH$628/AG$628</f>
        <v>4.6315737347727044E-2</v>
      </c>
      <c r="AI527" s="66">
        <f>AH527*AI$628/AH$628</f>
        <v>4.5908025486117991E-2</v>
      </c>
      <c r="AJ527" s="66">
        <f>AI527*AJ$628/AI$628</f>
        <v>4.5501138952164004E-2</v>
      </c>
      <c r="AK527" s="66">
        <f>AJ527*AK$628/AJ$628</f>
        <v>4.5094252418210024E-2</v>
      </c>
      <c r="AL527" s="66">
        <f>AK527*AL$628/AK$628</f>
        <v>4.468819121191113E-2</v>
      </c>
      <c r="AM527" s="66">
        <f>AL527*AM$628/AL$628</f>
        <v>4.4276352712026679E-2</v>
      </c>
      <c r="AN527" s="66">
        <f>AM527*AN$628/AM$628</f>
        <v>4.38653395397973E-2</v>
      </c>
      <c r="AO527" s="66">
        <f>AN527*AO$628/AN$628</f>
        <v>4.38653395397973E-2</v>
      </c>
      <c r="AP527" s="66">
        <f>AO527*AP$628/AO$628</f>
        <v>4.38653395397973E-2</v>
      </c>
      <c r="AQ527" s="66">
        <f>AP527*AQ$628/AP$628</f>
        <v>4.38653395397973E-2</v>
      </c>
      <c r="AR527" s="66">
        <f>AQ527*AR$628/AQ$628</f>
        <v>4.38653395397973E-2</v>
      </c>
      <c r="AS527" s="66">
        <f>AR527*AS$628/AR$628</f>
        <v>4.38653395397973E-2</v>
      </c>
      <c r="AT527" s="66">
        <f>AS527*AT$628/AS$628</f>
        <v>4.38653395397973E-2</v>
      </c>
      <c r="AU527" s="66">
        <f>AT527*AU$628/AT$628</f>
        <v>4.38653395397973E-2</v>
      </c>
      <c r="AV527" s="66">
        <f>AU527*AV$628/AU$628</f>
        <v>4.38653395397973E-2</v>
      </c>
      <c r="AW527" s="66">
        <f>AV527*AW$628/AV$628</f>
        <v>4.38653395397973E-2</v>
      </c>
      <c r="AX527" s="66">
        <f>AW527*AX$628/AW$628</f>
        <v>4.38653395397973E-2</v>
      </c>
      <c r="AY527" s="66">
        <f>AX527*AY$628/AX$628</f>
        <v>4.38653395397973E-2</v>
      </c>
      <c r="AZ527" s="66">
        <f>AY527*AZ$628/AY$628</f>
        <v>4.38653395397973E-2</v>
      </c>
      <c r="BA527" s="66">
        <f>AZ527*BA$628/AZ$628</f>
        <v>4.38653395397973E-2</v>
      </c>
      <c r="BB527" s="66">
        <f>BA527*BB$628/BA$628</f>
        <v>4.38653395397973E-2</v>
      </c>
      <c r="BC527" s="66">
        <f>BB527*BC$628/BB$628</f>
        <v>4.38653395397973E-2</v>
      </c>
      <c r="BD527" s="66">
        <f>BC527*BD$628/BC$628</f>
        <v>4.38653395397973E-2</v>
      </c>
      <c r="BE527" s="66">
        <f>BD527*BE$628/BD$628</f>
        <v>4.38653395397973E-2</v>
      </c>
      <c r="BF527" s="66">
        <f>BE527*BF$628/BE$628</f>
        <v>4.38653395397973E-2</v>
      </c>
      <c r="BG527" s="66">
        <f>BF527*BG$628/BF$628</f>
        <v>4.38653395397973E-2</v>
      </c>
      <c r="BH527" s="66">
        <f>BG527*BH$628/BG$628</f>
        <v>4.38653395397973E-2</v>
      </c>
    </row>
    <row r="528" spans="1:60" outlineLevel="1">
      <c r="B528" t="str">
        <f>A.15!A203</f>
        <v>Energía eléctrica</v>
      </c>
      <c r="C528">
        <f>A.15!B203</f>
        <v>0.23</v>
      </c>
      <c r="D528">
        <f>A.15!C203</f>
        <v>0.24</v>
      </c>
      <c r="E528">
        <f>A.15!D203</f>
        <v>0.25</v>
      </c>
      <c r="F528">
        <f>A.15!E203</f>
        <v>0.26</v>
      </c>
      <c r="G528">
        <f>A.15!F203</f>
        <v>0.27</v>
      </c>
      <c r="H528">
        <f>A.15!G203</f>
        <v>0.27</v>
      </c>
      <c r="I528">
        <f>A.15!H203</f>
        <v>0.27</v>
      </c>
      <c r="J528">
        <f>A.15!I203</f>
        <v>0.26</v>
      </c>
      <c r="K528">
        <f>A.15!J203</f>
        <v>0.31</v>
      </c>
      <c r="L528">
        <f>A.15!K203</f>
        <v>0.11</v>
      </c>
      <c r="M528">
        <f>A.15!L203</f>
        <v>0.3</v>
      </c>
      <c r="N528" s="66">
        <f>M528*N$628/M$628</f>
        <v>0.30031692581955044</v>
      </c>
      <c r="O528" s="66">
        <f>N528*O$628/N$628</f>
        <v>0.3006288996731703</v>
      </c>
      <c r="P528" s="66">
        <f>O528*P$628/O$628</f>
        <v>0.30095077745865112</v>
      </c>
      <c r="Q528" s="66">
        <f>P528*Q$628/P$628</f>
        <v>0.30126770327820146</v>
      </c>
      <c r="R528" s="66">
        <f>Q528*R$628/Q$628</f>
        <v>0.30157967713182138</v>
      </c>
      <c r="S528" s="66">
        <f>R528*S$628/R$628</f>
        <v>0.30190155491730225</v>
      </c>
      <c r="T528" s="66">
        <f>S528*T$628/S$628</f>
        <v>0.30221352877092206</v>
      </c>
      <c r="U528" s="66">
        <f>T528*U$628/T$628</f>
        <v>0.30252550262454198</v>
      </c>
      <c r="V528" s="66">
        <f>U528*V$628/U$628</f>
        <v>0.30285233237595333</v>
      </c>
      <c r="W528" s="66">
        <f>V528*W$628/V$628</f>
        <v>0.30316430622957319</v>
      </c>
      <c r="X528" s="66">
        <f>W528*X$628/W$628</f>
        <v>0.30230761612360113</v>
      </c>
      <c r="Y528" s="66">
        <f>X528*Y$628/X$628</f>
        <v>0.29986629691987721</v>
      </c>
      <c r="Z528" s="66">
        <f>Y528*Z$628/Y$628</f>
        <v>0.29742002575022286</v>
      </c>
      <c r="AA528" s="66">
        <f>Z528*AA$628/Z$628</f>
        <v>0.29498365851242947</v>
      </c>
      <c r="AB528" s="66">
        <f>AA528*AB$628/AA$628</f>
        <v>0.29254233930870555</v>
      </c>
      <c r="AC528" s="66">
        <f>AB528*AC$628/AB$628</f>
        <v>0.29009111617312078</v>
      </c>
      <c r="AD528" s="66">
        <f>AC528*AD$628/AC$628</f>
        <v>0.28765970090125781</v>
      </c>
      <c r="AE528" s="66">
        <f>AD528*AE$628/AD$628</f>
        <v>0.285218381697534</v>
      </c>
      <c r="AF528" s="66">
        <f>AE528*AF$628/AE$628</f>
        <v>0.28277211052787965</v>
      </c>
      <c r="AG528" s="66">
        <f>AF528*AG$628/AF$628</f>
        <v>0.28033079132415578</v>
      </c>
      <c r="AH528" s="66">
        <f>AG528*AH$628/AG$628</f>
        <v>0.27789442408636233</v>
      </c>
      <c r="AI528" s="66">
        <f>AH528*AI$628/AH$628</f>
        <v>0.27544815291670799</v>
      </c>
      <c r="AJ528" s="66">
        <f>AI528*AJ$628/AI$628</f>
        <v>0.27300683371298406</v>
      </c>
      <c r="AK528" s="66">
        <f>AJ528*AK$628/AJ$628</f>
        <v>0.2705655145092602</v>
      </c>
      <c r="AL528" s="66">
        <f>AK528*AL$628/AK$628</f>
        <v>0.26812914727146681</v>
      </c>
      <c r="AM528" s="66">
        <f>AL528*AM$628/AL$628</f>
        <v>0.26565811627216007</v>
      </c>
      <c r="AN528" s="66">
        <f>AM528*AN$628/AM$628</f>
        <v>0.26319203723878382</v>
      </c>
      <c r="AO528" s="66">
        <f>AN528*AO$628/AN$628</f>
        <v>0.26319203723878382</v>
      </c>
      <c r="AP528" s="66">
        <f>AO528*AP$628/AO$628</f>
        <v>0.26319203723878382</v>
      </c>
      <c r="AQ528" s="66">
        <f>AP528*AQ$628/AP$628</f>
        <v>0.26319203723878382</v>
      </c>
      <c r="AR528" s="66">
        <f>AQ528*AR$628/AQ$628</f>
        <v>0.26319203723878382</v>
      </c>
      <c r="AS528" s="66">
        <f>AR528*AS$628/AR$628</f>
        <v>0.26319203723878382</v>
      </c>
      <c r="AT528" s="66">
        <f>AS528*AT$628/AS$628</f>
        <v>0.26319203723878382</v>
      </c>
      <c r="AU528" s="66">
        <f>AT528*AU$628/AT$628</f>
        <v>0.26319203723878382</v>
      </c>
      <c r="AV528" s="66">
        <f>AU528*AV$628/AU$628</f>
        <v>0.26319203723878382</v>
      </c>
      <c r="AW528" s="66">
        <f>AV528*AW$628/AV$628</f>
        <v>0.26319203723878382</v>
      </c>
      <c r="AX528" s="66">
        <f>AW528*AX$628/AW$628</f>
        <v>0.26319203723878382</v>
      </c>
      <c r="AY528" s="66">
        <f>AX528*AY$628/AX$628</f>
        <v>0.26319203723878382</v>
      </c>
      <c r="AZ528" s="66">
        <f>AY528*AZ$628/AY$628</f>
        <v>0.26319203723878382</v>
      </c>
      <c r="BA528" s="66">
        <f>AZ528*BA$628/AZ$628</f>
        <v>0.26319203723878382</v>
      </c>
      <c r="BB528" s="66">
        <f>BA528*BB$628/BA$628</f>
        <v>0.26319203723878382</v>
      </c>
      <c r="BC528" s="66">
        <f>BB528*BC$628/BB$628</f>
        <v>0.26319203723878382</v>
      </c>
      <c r="BD528" s="66">
        <f>BC528*BD$628/BC$628</f>
        <v>0.26319203723878382</v>
      </c>
      <c r="BE528" s="66">
        <f>BD528*BE$628/BD$628</f>
        <v>0.26319203723878382</v>
      </c>
      <c r="BF528" s="66">
        <f>BE528*BF$628/BE$628</f>
        <v>0.26319203723878382</v>
      </c>
      <c r="BG528" s="66">
        <f>BF528*BG$628/BF$628</f>
        <v>0.26319203723878382</v>
      </c>
      <c r="BH528" s="66">
        <f>BG528*BH$628/BG$628</f>
        <v>0.26319203723878382</v>
      </c>
    </row>
    <row r="529" spans="1:60" collapsed="1">
      <c r="A529" s="67" t="str">
        <f>A.15!A205</f>
        <v>336.-Fabricación de equipo de transporte</v>
      </c>
    </row>
    <row r="530" spans="1:60" hidden="1" outlineLevel="1">
      <c r="B530" t="str">
        <f>A.15!A206</f>
        <v>Total</v>
      </c>
      <c r="C530">
        <f>A.15!B206</f>
        <v>13.98</v>
      </c>
      <c r="D530">
        <f>A.15!C206</f>
        <v>15.67</v>
      </c>
      <c r="E530">
        <f>A.15!D206</f>
        <v>16.57</v>
      </c>
      <c r="F530">
        <f>A.15!E206</f>
        <v>17.39</v>
      </c>
      <c r="G530">
        <f>A.15!F206</f>
        <v>17.28</v>
      </c>
      <c r="H530">
        <f>A.15!G206</f>
        <v>18.25</v>
      </c>
      <c r="I530">
        <f>A.15!H206</f>
        <v>19.329999999999998</v>
      </c>
      <c r="J530">
        <f>A.15!I206</f>
        <v>18.36</v>
      </c>
      <c r="K530">
        <f>A.15!J206</f>
        <v>18.14</v>
      </c>
      <c r="L530">
        <f>A.15!K206</f>
        <v>14.46</v>
      </c>
      <c r="M530">
        <f>A.15!L206</f>
        <v>4.43</v>
      </c>
    </row>
    <row r="531" spans="1:60" hidden="1" outlineLevel="1">
      <c r="B531" t="str">
        <f>A.15!A207</f>
        <v>Coque total</v>
      </c>
      <c r="C531">
        <f>A.15!B207</f>
        <v>0</v>
      </c>
      <c r="D531">
        <f>A.15!C207</f>
        <v>0</v>
      </c>
      <c r="E531">
        <f>A.15!D207</f>
        <v>0</v>
      </c>
      <c r="F531">
        <f>A.15!E207</f>
        <v>0</v>
      </c>
      <c r="G531">
        <f>A.15!F207</f>
        <v>0</v>
      </c>
      <c r="H531">
        <f>A.15!G207</f>
        <v>0</v>
      </c>
      <c r="I531">
        <f>A.15!H207</f>
        <v>0</v>
      </c>
      <c r="J531">
        <f>A.15!I207</f>
        <v>0</v>
      </c>
      <c r="K531">
        <f>A.15!J207</f>
        <v>0</v>
      </c>
      <c r="L531">
        <f>A.15!K207</f>
        <v>0</v>
      </c>
      <c r="M531">
        <f>A.15!L207</f>
        <v>0</v>
      </c>
    </row>
    <row r="532" spans="1:60" hidden="1" outlineLevel="1">
      <c r="B532" t="str">
        <f>A.15!A208</f>
        <v>Coque de carbón</v>
      </c>
      <c r="C532">
        <f>A.15!B208</f>
        <v>0</v>
      </c>
      <c r="D532">
        <f>A.15!C208</f>
        <v>0</v>
      </c>
      <c r="E532">
        <f>A.15!D208</f>
        <v>0</v>
      </c>
      <c r="F532">
        <f>A.15!E208</f>
        <v>0</v>
      </c>
      <c r="G532">
        <f>A.15!F208</f>
        <v>0</v>
      </c>
      <c r="H532">
        <f>A.15!G208</f>
        <v>0</v>
      </c>
      <c r="I532">
        <f>A.15!H208</f>
        <v>0</v>
      </c>
      <c r="J532">
        <f>A.15!I208</f>
        <v>0</v>
      </c>
      <c r="K532">
        <f>A.15!J208</f>
        <v>0</v>
      </c>
      <c r="L532">
        <f>A.15!K208</f>
        <v>0</v>
      </c>
      <c r="M532">
        <f>A.15!L208</f>
        <v>0</v>
      </c>
    </row>
    <row r="533" spans="1:60" hidden="1" outlineLevel="1">
      <c r="B533" t="str">
        <f>A.15!A209</f>
        <v>Coque de petróleo</v>
      </c>
      <c r="C533">
        <f>A.15!B209</f>
        <v>0</v>
      </c>
      <c r="D533">
        <f>A.15!C209</f>
        <v>0</v>
      </c>
      <c r="E533">
        <f>A.15!D209</f>
        <v>0</v>
      </c>
      <c r="F533">
        <f>A.15!E209</f>
        <v>0</v>
      </c>
      <c r="G533">
        <f>A.15!F209</f>
        <v>0</v>
      </c>
      <c r="H533">
        <f>A.15!G209</f>
        <v>0</v>
      </c>
      <c r="I533">
        <f>A.15!H209</f>
        <v>0</v>
      </c>
      <c r="J533">
        <f>A.15!I209</f>
        <v>0</v>
      </c>
      <c r="K533">
        <f>A.15!J209</f>
        <v>0</v>
      </c>
      <c r="L533">
        <f>A.15!K209</f>
        <v>0</v>
      </c>
      <c r="M533">
        <f>A.15!L209</f>
        <v>0</v>
      </c>
    </row>
    <row r="534" spans="1:60" hidden="1" outlineLevel="1">
      <c r="B534" t="str">
        <f>A.15!A210</f>
        <v>Total de petrolíferos</v>
      </c>
      <c r="C534">
        <f>A.15!B210</f>
        <v>1.37</v>
      </c>
      <c r="D534">
        <f>A.15!C210</f>
        <v>1.53</v>
      </c>
      <c r="E534">
        <f>A.15!D210</f>
        <v>1.65</v>
      </c>
      <c r="F534">
        <f>A.15!E210</f>
        <v>1.66</v>
      </c>
      <c r="G534">
        <f>A.15!F210</f>
        <v>1.72</v>
      </c>
      <c r="H534">
        <f>A.15!G210</f>
        <v>1.8</v>
      </c>
      <c r="I534">
        <f>A.15!H210</f>
        <v>1.89</v>
      </c>
      <c r="J534">
        <f>A.15!I210</f>
        <v>1.48</v>
      </c>
      <c r="K534">
        <f>A.15!J210</f>
        <v>3.77</v>
      </c>
      <c r="L534">
        <f>A.15!K210</f>
        <v>4.1100000000000003</v>
      </c>
      <c r="M534">
        <f>A.15!L210</f>
        <v>4.43</v>
      </c>
    </row>
    <row r="535" spans="1:60" hidden="1" outlineLevel="1">
      <c r="B535" t="str">
        <f>A.15!A211</f>
        <v>Gas licuado</v>
      </c>
      <c r="C535">
        <f>A.15!B211</f>
        <v>0.55000000000000004</v>
      </c>
      <c r="D535">
        <f>A.15!C211</f>
        <v>0.61</v>
      </c>
      <c r="E535">
        <f>A.15!D211</f>
        <v>0.66</v>
      </c>
      <c r="F535">
        <f>A.15!E211</f>
        <v>0.67</v>
      </c>
      <c r="G535">
        <f>A.15!F211</f>
        <v>0.66</v>
      </c>
      <c r="H535">
        <f>A.15!G211</f>
        <v>0.69</v>
      </c>
      <c r="I535">
        <f>A.15!H211</f>
        <v>0.72</v>
      </c>
      <c r="J535">
        <f>A.15!I211</f>
        <v>0.56000000000000005</v>
      </c>
      <c r="K535">
        <f>A.15!J211</f>
        <v>3</v>
      </c>
      <c r="L535">
        <f>A.15!K211</f>
        <v>3.27</v>
      </c>
      <c r="M535">
        <f>A.15!L211</f>
        <v>3.55</v>
      </c>
    </row>
    <row r="536" spans="1:60" hidden="1" outlineLevel="1">
      <c r="B536" t="str">
        <f>A.15!A212</f>
        <v>Gasolinas y naftas</v>
      </c>
      <c r="C536">
        <f>A.15!B212</f>
        <v>0</v>
      </c>
      <c r="D536">
        <f>A.15!C212</f>
        <v>0</v>
      </c>
      <c r="E536">
        <f>A.15!D212</f>
        <v>0</v>
      </c>
      <c r="F536">
        <f>A.15!E212</f>
        <v>0</v>
      </c>
      <c r="G536">
        <f>A.15!F212</f>
        <v>0</v>
      </c>
      <c r="H536">
        <f>A.15!G212</f>
        <v>0</v>
      </c>
      <c r="I536">
        <f>A.15!H212</f>
        <v>0</v>
      </c>
      <c r="J536">
        <f>A.15!I212</f>
        <v>0</v>
      </c>
      <c r="K536">
        <f>A.15!J212</f>
        <v>0</v>
      </c>
      <c r="L536">
        <f>A.15!K212</f>
        <v>0</v>
      </c>
      <c r="M536">
        <f>A.15!L212</f>
        <v>0</v>
      </c>
    </row>
    <row r="537" spans="1:60" hidden="1" outlineLevel="1">
      <c r="B537" t="str">
        <f>A.15!A213</f>
        <v>Querosenos</v>
      </c>
      <c r="C537">
        <f>A.15!B213</f>
        <v>0</v>
      </c>
      <c r="D537">
        <f>A.15!C213</f>
        <v>0</v>
      </c>
      <c r="E537">
        <f>A.15!D213</f>
        <v>0</v>
      </c>
      <c r="F537">
        <f>A.15!E213</f>
        <v>0</v>
      </c>
      <c r="G537">
        <f>A.15!F213</f>
        <v>0</v>
      </c>
      <c r="H537">
        <f>A.15!G213</f>
        <v>0</v>
      </c>
      <c r="I537">
        <f>A.15!H213</f>
        <v>0</v>
      </c>
      <c r="J537">
        <f>A.15!I213</f>
        <v>0</v>
      </c>
      <c r="K537">
        <f>A.15!J213</f>
        <v>0</v>
      </c>
      <c r="L537">
        <f>A.15!K213</f>
        <v>0</v>
      </c>
      <c r="M537">
        <f>A.15!L213</f>
        <v>0</v>
      </c>
    </row>
    <row r="538" spans="1:60" hidden="1" outlineLevel="1">
      <c r="B538" t="str">
        <f>A.15!A214</f>
        <v>Diésel</v>
      </c>
      <c r="C538">
        <f>A.15!B214</f>
        <v>0.82</v>
      </c>
      <c r="D538">
        <f>A.15!C214</f>
        <v>0.92</v>
      </c>
      <c r="E538">
        <f>A.15!D214</f>
        <v>0.99</v>
      </c>
      <c r="F538">
        <f>A.15!E214</f>
        <v>1</v>
      </c>
      <c r="G538">
        <f>A.15!F214</f>
        <v>1.06</v>
      </c>
      <c r="H538">
        <f>A.15!G214</f>
        <v>1.1200000000000001</v>
      </c>
      <c r="I538">
        <f>A.15!H214</f>
        <v>1.17</v>
      </c>
      <c r="J538">
        <f>A.15!I214</f>
        <v>0.91</v>
      </c>
      <c r="K538">
        <f>A.15!J214</f>
        <v>0.77</v>
      </c>
      <c r="L538">
        <f>A.15!K214</f>
        <v>0.84</v>
      </c>
      <c r="M538">
        <f>A.15!L214</f>
        <v>0.89</v>
      </c>
    </row>
    <row r="539" spans="1:60" hidden="1" outlineLevel="1">
      <c r="B539" t="str">
        <f>A.15!A215</f>
        <v>Combustóleo</v>
      </c>
      <c r="C539">
        <f>A.15!B215</f>
        <v>0</v>
      </c>
      <c r="D539">
        <f>A.15!C215</f>
        <v>0</v>
      </c>
      <c r="E539">
        <f>A.15!D215</f>
        <v>0</v>
      </c>
      <c r="F539">
        <f>A.15!E215</f>
        <v>0</v>
      </c>
      <c r="G539">
        <f>A.15!F215</f>
        <v>0</v>
      </c>
      <c r="H539">
        <f>A.15!G215</f>
        <v>0</v>
      </c>
      <c r="I539">
        <f>A.15!H215</f>
        <v>0</v>
      </c>
      <c r="J539">
        <f>A.15!I215</f>
        <v>0</v>
      </c>
      <c r="K539">
        <f>A.15!J215</f>
        <v>0</v>
      </c>
      <c r="L539">
        <f>A.15!K215</f>
        <v>0</v>
      </c>
      <c r="M539">
        <f>A.15!L215</f>
        <v>0</v>
      </c>
    </row>
    <row r="540" spans="1:60" hidden="1" outlineLevel="1">
      <c r="B540" t="str">
        <f>A.15!A216</f>
        <v>Productos no
energéticos</v>
      </c>
      <c r="C540">
        <f>A.15!B216</f>
        <v>0</v>
      </c>
      <c r="D540">
        <f>A.15!C216</f>
        <v>0</v>
      </c>
      <c r="E540">
        <f>A.15!D216</f>
        <v>0</v>
      </c>
      <c r="F540">
        <f>A.15!E216</f>
        <v>0</v>
      </c>
      <c r="G540">
        <f>A.15!F216</f>
        <v>0</v>
      </c>
      <c r="H540">
        <f>A.15!G216</f>
        <v>0</v>
      </c>
      <c r="I540">
        <f>A.15!H216</f>
        <v>0</v>
      </c>
      <c r="J540">
        <f>A.15!I216</f>
        <v>0</v>
      </c>
      <c r="K540">
        <f>A.15!J216</f>
        <v>0</v>
      </c>
      <c r="L540">
        <f>A.15!K216</f>
        <v>0</v>
      </c>
      <c r="M540">
        <f>A.15!L216</f>
        <v>0</v>
      </c>
    </row>
    <row r="541" spans="1:60" hidden="1" outlineLevel="1">
      <c r="B541" t="str">
        <f>A.15!A217</f>
        <v>Gas seco</v>
      </c>
      <c r="C541">
        <f>A.15!B217</f>
        <v>4.74</v>
      </c>
      <c r="D541">
        <f>A.15!C217</f>
        <v>5.61</v>
      </c>
      <c r="E541">
        <f>A.15!D217</f>
        <v>5.71</v>
      </c>
      <c r="F541">
        <f>A.15!E217</f>
        <v>6.11</v>
      </c>
      <c r="G541">
        <f>A.15!F217</f>
        <v>5.97</v>
      </c>
      <c r="H541">
        <f>A.15!G217</f>
        <v>6.55</v>
      </c>
      <c r="I541">
        <f>A.15!H217</f>
        <v>7.23</v>
      </c>
      <c r="J541">
        <f>A.15!I217</f>
        <v>6.27</v>
      </c>
      <c r="K541">
        <f>A.15!J217</f>
        <v>5.33</v>
      </c>
      <c r="L541">
        <f>A.15!K217</f>
        <v>4.9000000000000004</v>
      </c>
      <c r="M541">
        <f>A.15!L217</f>
        <v>0</v>
      </c>
    </row>
    <row r="542" spans="1:60" hidden="1" outlineLevel="1">
      <c r="B542" t="str">
        <f>A.15!A218</f>
        <v>Energía eléctrica</v>
      </c>
      <c r="C542">
        <f>A.15!B218</f>
        <v>7.88</v>
      </c>
      <c r="D542">
        <f>A.15!C218</f>
        <v>8.5299999999999994</v>
      </c>
      <c r="E542">
        <f>A.15!D218</f>
        <v>9.2100000000000009</v>
      </c>
      <c r="F542">
        <f>A.15!E218</f>
        <v>9.6199999999999992</v>
      </c>
      <c r="G542">
        <f>A.15!F218</f>
        <v>9.59</v>
      </c>
      <c r="H542">
        <f>A.15!G218</f>
        <v>9.9</v>
      </c>
      <c r="I542">
        <f>A.15!H218</f>
        <v>10.210000000000001</v>
      </c>
      <c r="J542">
        <f>A.15!I218</f>
        <v>10.61</v>
      </c>
      <c r="K542">
        <f>A.15!J218</f>
        <v>9.0399999999999991</v>
      </c>
      <c r="L542">
        <f>A.15!K218</f>
        <v>15.45</v>
      </c>
      <c r="M542">
        <f>A.15!L218</f>
        <v>0</v>
      </c>
    </row>
    <row r="543" spans="1:60" hidden="1" outlineLevel="1"/>
    <row r="544" spans="1:60" s="64" customFormat="1" hidden="1" outlineLevel="1">
      <c r="B544" s="64" t="str">
        <f>Esc!A332</f>
        <v>GLP</v>
      </c>
      <c r="C544" s="64">
        <f>Esc!B332</f>
        <v>0.55000000000000004</v>
      </c>
      <c r="D544" s="64">
        <f>Esc!C332</f>
        <v>0.61</v>
      </c>
      <c r="E544" s="64">
        <f>Esc!D332</f>
        <v>0.66</v>
      </c>
      <c r="F544" s="64">
        <f>Esc!E332</f>
        <v>0.67</v>
      </c>
      <c r="G544" s="64">
        <f>Esc!F332</f>
        <v>0.66</v>
      </c>
      <c r="H544" s="64">
        <f>Esc!G332</f>
        <v>0.69</v>
      </c>
      <c r="I544" s="64">
        <f>Esc!H332</f>
        <v>0.72</v>
      </c>
      <c r="J544" s="64">
        <f>Esc!I332</f>
        <v>0.56000000000000005</v>
      </c>
      <c r="K544" s="64">
        <f>Esc!J332</f>
        <v>0.46</v>
      </c>
      <c r="L544" s="64">
        <f>Esc!K332</f>
        <v>0.49</v>
      </c>
      <c r="M544" s="64">
        <f>Esc!L332</f>
        <v>0.49</v>
      </c>
      <c r="N544" s="64">
        <f>Esc!M332</f>
        <v>0.49</v>
      </c>
      <c r="O544" s="64">
        <f>Esc!N332</f>
        <v>0.5</v>
      </c>
      <c r="P544" s="64">
        <f>Esc!O332</f>
        <v>0.5</v>
      </c>
      <c r="Q544" s="64">
        <f>Esc!P332</f>
        <v>0.5</v>
      </c>
      <c r="R544" s="64">
        <f>Esc!Q332</f>
        <v>0.5</v>
      </c>
      <c r="S544" s="64">
        <f>Esc!R332</f>
        <v>0.51</v>
      </c>
      <c r="T544" s="64">
        <f>Esc!S332</f>
        <v>0.51</v>
      </c>
      <c r="U544" s="64">
        <f>Esc!T332</f>
        <v>0.51</v>
      </c>
      <c r="V544" s="64">
        <f>Esc!U332</f>
        <v>0.51</v>
      </c>
      <c r="W544" s="64">
        <f>Esc!V332</f>
        <v>0.52</v>
      </c>
      <c r="X544" s="64">
        <f>Esc!W332</f>
        <v>0.52</v>
      </c>
      <c r="Y544" s="64">
        <f>Esc!X332</f>
        <v>0.52</v>
      </c>
      <c r="Z544" s="64">
        <f>Esc!Y332</f>
        <v>0.52</v>
      </c>
      <c r="AA544" s="64">
        <f>Esc!Z332</f>
        <v>0.53</v>
      </c>
      <c r="AB544" s="64">
        <f>Esc!AA332</f>
        <v>0.53</v>
      </c>
      <c r="AC544" s="64">
        <f>Esc!AB332</f>
        <v>0.53</v>
      </c>
      <c r="AD544" s="64">
        <f>Esc!AC332</f>
        <v>0.54</v>
      </c>
      <c r="AE544" s="64">
        <f>Esc!AD332</f>
        <v>0.54</v>
      </c>
      <c r="AF544" s="64">
        <f>Esc!AE332</f>
        <v>0.54</v>
      </c>
      <c r="AG544" s="64">
        <f>Esc!AF332</f>
        <v>0.54</v>
      </c>
      <c r="AH544" s="64">
        <f>Esc!AG332</f>
        <v>0.55000000000000004</v>
      </c>
      <c r="AI544" s="64">
        <f>Esc!AH332</f>
        <v>0.55000000000000004</v>
      </c>
      <c r="AJ544" s="64">
        <f>Esc!AI332</f>
        <v>0.55000000000000004</v>
      </c>
      <c r="AK544" s="64">
        <f>Esc!AJ332</f>
        <v>0.55000000000000004</v>
      </c>
      <c r="AL544" s="64">
        <f>Esc!AK332</f>
        <v>0.56000000000000005</v>
      </c>
      <c r="AM544" s="64">
        <f>Esc!AL332</f>
        <v>0.56000000000000005</v>
      </c>
      <c r="AN544" s="64">
        <f>Esc!AM332</f>
        <v>0.56000000000000005</v>
      </c>
      <c r="AO544" s="64">
        <f>AN544</f>
        <v>0.56000000000000005</v>
      </c>
      <c r="AP544" s="64">
        <f t="shared" ref="AP544:BH547" si="185">AO544</f>
        <v>0.56000000000000005</v>
      </c>
      <c r="AQ544" s="64">
        <f t="shared" si="185"/>
        <v>0.56000000000000005</v>
      </c>
      <c r="AR544" s="64">
        <f t="shared" si="185"/>
        <v>0.56000000000000005</v>
      </c>
      <c r="AS544" s="64">
        <f t="shared" si="185"/>
        <v>0.56000000000000005</v>
      </c>
      <c r="AT544" s="64">
        <f t="shared" si="185"/>
        <v>0.56000000000000005</v>
      </c>
      <c r="AU544" s="64">
        <f t="shared" si="185"/>
        <v>0.56000000000000005</v>
      </c>
      <c r="AV544" s="64">
        <f t="shared" si="185"/>
        <v>0.56000000000000005</v>
      </c>
      <c r="AW544" s="64">
        <f t="shared" si="185"/>
        <v>0.56000000000000005</v>
      </c>
      <c r="AX544" s="64">
        <f t="shared" si="185"/>
        <v>0.56000000000000005</v>
      </c>
      <c r="AY544" s="64">
        <f t="shared" si="185"/>
        <v>0.56000000000000005</v>
      </c>
      <c r="AZ544" s="64">
        <f t="shared" si="185"/>
        <v>0.56000000000000005</v>
      </c>
      <c r="BA544" s="64">
        <f t="shared" si="185"/>
        <v>0.56000000000000005</v>
      </c>
      <c r="BB544" s="64">
        <f t="shared" si="185"/>
        <v>0.56000000000000005</v>
      </c>
      <c r="BC544" s="64">
        <f t="shared" si="185"/>
        <v>0.56000000000000005</v>
      </c>
      <c r="BD544" s="64">
        <f t="shared" si="185"/>
        <v>0.56000000000000005</v>
      </c>
      <c r="BE544" s="64">
        <f t="shared" si="185"/>
        <v>0.56000000000000005</v>
      </c>
      <c r="BF544" s="64">
        <f t="shared" si="185"/>
        <v>0.56000000000000005</v>
      </c>
      <c r="BG544" s="64">
        <f t="shared" si="185"/>
        <v>0.56000000000000005</v>
      </c>
      <c r="BH544" s="64">
        <f t="shared" si="185"/>
        <v>0.56000000000000005</v>
      </c>
    </row>
    <row r="545" spans="1:60" s="64" customFormat="1" hidden="1" outlineLevel="1">
      <c r="B545" s="64" t="str">
        <f>Esc!A335</f>
        <v>Diésel</v>
      </c>
      <c r="C545" s="64">
        <f>Esc!B335</f>
        <v>0.82</v>
      </c>
      <c r="D545" s="64">
        <f>Esc!C335</f>
        <v>0.92</v>
      </c>
      <c r="E545" s="64">
        <f>Esc!D335</f>
        <v>0.99</v>
      </c>
      <c r="F545" s="64">
        <f>Esc!E335</f>
        <v>1</v>
      </c>
      <c r="G545" s="64">
        <f>Esc!F335</f>
        <v>1.06</v>
      </c>
      <c r="H545" s="64">
        <f>Esc!G335</f>
        <v>1.22</v>
      </c>
      <c r="I545" s="64">
        <f>Esc!H335</f>
        <v>1.19</v>
      </c>
      <c r="J545" s="64">
        <f>Esc!I335</f>
        <v>0.91</v>
      </c>
      <c r="K545" s="64">
        <f>Esc!J335</f>
        <v>0.79</v>
      </c>
      <c r="L545" s="64">
        <f>Esc!K335</f>
        <v>0.79</v>
      </c>
      <c r="M545" s="64">
        <f>Esc!L335</f>
        <v>0.79</v>
      </c>
      <c r="N545" s="64">
        <f>Esc!M335</f>
        <v>0.79</v>
      </c>
      <c r="O545" s="64">
        <f>Esc!N335</f>
        <v>0.79</v>
      </c>
      <c r="P545" s="64">
        <f>Esc!O335</f>
        <v>0.78</v>
      </c>
      <c r="Q545" s="64">
        <f>Esc!P335</f>
        <v>0.78</v>
      </c>
      <c r="R545" s="64">
        <f>Esc!Q335</f>
        <v>0.78</v>
      </c>
      <c r="S545" s="64">
        <f>Esc!R335</f>
        <v>0.78</v>
      </c>
      <c r="T545" s="64">
        <f>Esc!S335</f>
        <v>0.77</v>
      </c>
      <c r="U545" s="64">
        <f>Esc!T335</f>
        <v>0.77</v>
      </c>
      <c r="V545" s="64">
        <f>Esc!U335</f>
        <v>0.77</v>
      </c>
      <c r="W545" s="64">
        <f>Esc!V335</f>
        <v>0.77</v>
      </c>
      <c r="X545" s="64">
        <f>Esc!W335</f>
        <v>0.76</v>
      </c>
      <c r="Y545" s="64">
        <f>Esc!X335</f>
        <v>0.76</v>
      </c>
      <c r="Z545" s="64">
        <f>Esc!Y335</f>
        <v>0.76</v>
      </c>
      <c r="AA545" s="64">
        <f>Esc!Z335</f>
        <v>0.76</v>
      </c>
      <c r="AB545" s="64">
        <f>Esc!AA335</f>
        <v>0.76</v>
      </c>
      <c r="AC545" s="64">
        <f>Esc!AB335</f>
        <v>0.75</v>
      </c>
      <c r="AD545" s="64">
        <f>Esc!AC335</f>
        <v>0.75</v>
      </c>
      <c r="AE545" s="64">
        <f>Esc!AD335</f>
        <v>0.75</v>
      </c>
      <c r="AF545" s="64">
        <f>Esc!AE335</f>
        <v>0.75</v>
      </c>
      <c r="AG545" s="64">
        <f>Esc!AF335</f>
        <v>0.74</v>
      </c>
      <c r="AH545" s="64">
        <f>Esc!AG335</f>
        <v>0.74</v>
      </c>
      <c r="AI545" s="64">
        <f>Esc!AH335</f>
        <v>0.74</v>
      </c>
      <c r="AJ545" s="64">
        <f>Esc!AI335</f>
        <v>0.74</v>
      </c>
      <c r="AK545" s="64">
        <f>Esc!AJ335</f>
        <v>0.74</v>
      </c>
      <c r="AL545" s="64">
        <f>Esc!AK335</f>
        <v>0.73</v>
      </c>
      <c r="AM545" s="64">
        <f>Esc!AL335</f>
        <v>0.73</v>
      </c>
      <c r="AN545" s="64">
        <f>Esc!AM335</f>
        <v>0.73</v>
      </c>
      <c r="AO545" s="64">
        <f t="shared" ref="AO545:BD547" si="186">AN545</f>
        <v>0.73</v>
      </c>
      <c r="AP545" s="64">
        <f t="shared" si="186"/>
        <v>0.73</v>
      </c>
      <c r="AQ545" s="64">
        <f t="shared" si="186"/>
        <v>0.73</v>
      </c>
      <c r="AR545" s="64">
        <f t="shared" si="186"/>
        <v>0.73</v>
      </c>
      <c r="AS545" s="64">
        <f t="shared" si="186"/>
        <v>0.73</v>
      </c>
      <c r="AT545" s="64">
        <f t="shared" si="186"/>
        <v>0.73</v>
      </c>
      <c r="AU545" s="64">
        <f t="shared" si="186"/>
        <v>0.73</v>
      </c>
      <c r="AV545" s="64">
        <f t="shared" si="186"/>
        <v>0.73</v>
      </c>
      <c r="AW545" s="64">
        <f t="shared" si="186"/>
        <v>0.73</v>
      </c>
      <c r="AX545" s="64">
        <f t="shared" si="186"/>
        <v>0.73</v>
      </c>
      <c r="AY545" s="64">
        <f t="shared" si="186"/>
        <v>0.73</v>
      </c>
      <c r="AZ545" s="64">
        <f t="shared" si="186"/>
        <v>0.73</v>
      </c>
      <c r="BA545" s="64">
        <f t="shared" si="186"/>
        <v>0.73</v>
      </c>
      <c r="BB545" s="64">
        <f t="shared" si="186"/>
        <v>0.73</v>
      </c>
      <c r="BC545" s="64">
        <f t="shared" si="186"/>
        <v>0.73</v>
      </c>
      <c r="BD545" s="64">
        <f t="shared" si="186"/>
        <v>0.73</v>
      </c>
      <c r="BE545" s="64">
        <f t="shared" si="185"/>
        <v>0.73</v>
      </c>
      <c r="BF545" s="64">
        <f t="shared" si="185"/>
        <v>0.73</v>
      </c>
      <c r="BG545" s="64">
        <f t="shared" si="185"/>
        <v>0.73</v>
      </c>
      <c r="BH545" s="64">
        <f t="shared" si="185"/>
        <v>0.73</v>
      </c>
    </row>
    <row r="546" spans="1:60" s="64" customFormat="1" hidden="1" outlineLevel="1">
      <c r="B546" s="64" t="str">
        <f>Esc!A338</f>
        <v>Gas seco</v>
      </c>
      <c r="C546" s="64">
        <f>Esc!B338</f>
        <v>4.74</v>
      </c>
      <c r="D546" s="64">
        <f>Esc!C338</f>
        <v>5.61</v>
      </c>
      <c r="E546" s="64">
        <f>Esc!D338</f>
        <v>5.71</v>
      </c>
      <c r="F546" s="64">
        <f>Esc!E338</f>
        <v>6.11</v>
      </c>
      <c r="G546" s="64">
        <f>Esc!F338</f>
        <v>5.97</v>
      </c>
      <c r="H546" s="64">
        <f>Esc!G338</f>
        <v>6.55</v>
      </c>
      <c r="I546" s="64">
        <f>Esc!H338</f>
        <v>7.23</v>
      </c>
      <c r="J546" s="64">
        <f>Esc!I338</f>
        <v>6.27</v>
      </c>
      <c r="K546" s="64">
        <f>Esc!J338</f>
        <v>9.67</v>
      </c>
      <c r="L546" s="64">
        <f>Esc!K338</f>
        <v>9.9499999999999993</v>
      </c>
      <c r="M546" s="64">
        <f>Esc!L338</f>
        <v>10.36</v>
      </c>
      <c r="N546" s="64">
        <f>Esc!M338</f>
        <v>10.78</v>
      </c>
      <c r="O546" s="64">
        <f>Esc!N338</f>
        <v>11.19</v>
      </c>
      <c r="P546" s="64">
        <f>Esc!O338</f>
        <v>11.6</v>
      </c>
      <c r="Q546" s="64">
        <f>Esc!P338</f>
        <v>12.02</v>
      </c>
      <c r="R546" s="64">
        <f>Esc!Q338</f>
        <v>12.43</v>
      </c>
      <c r="S546" s="64">
        <f>Esc!R338</f>
        <v>12.84</v>
      </c>
      <c r="T546" s="64">
        <f>Esc!S338</f>
        <v>13.26</v>
      </c>
      <c r="U546" s="64">
        <f>Esc!T338</f>
        <v>13.67</v>
      </c>
      <c r="V546" s="64">
        <f>Esc!U338</f>
        <v>14.09</v>
      </c>
      <c r="W546" s="64">
        <f>Esc!V338</f>
        <v>14.5</v>
      </c>
      <c r="X546" s="64">
        <f>Esc!W338</f>
        <v>14.91</v>
      </c>
      <c r="Y546" s="64">
        <f>Esc!X338</f>
        <v>15.33</v>
      </c>
      <c r="Z546" s="64">
        <f>Esc!Y338</f>
        <v>15.74</v>
      </c>
      <c r="AA546" s="64">
        <f>Esc!Z338</f>
        <v>16.16</v>
      </c>
      <c r="AB546" s="64">
        <f>Esc!AA338</f>
        <v>16.57</v>
      </c>
      <c r="AC546" s="64">
        <f>Esc!AB338</f>
        <v>16.98</v>
      </c>
      <c r="AD546" s="64">
        <f>Esc!AC338</f>
        <v>17.399999999999999</v>
      </c>
      <c r="AE546" s="64">
        <f>Esc!AD338</f>
        <v>17.809999999999999</v>
      </c>
      <c r="AF546" s="64">
        <f>Esc!AE338</f>
        <v>18.23</v>
      </c>
      <c r="AG546" s="64">
        <f>Esc!AF338</f>
        <v>18.64</v>
      </c>
      <c r="AH546" s="64">
        <f>Esc!AG338</f>
        <v>19.05</v>
      </c>
      <c r="AI546" s="64">
        <f>Esc!AH338</f>
        <v>19.47</v>
      </c>
      <c r="AJ546" s="64">
        <f>Esc!AI338</f>
        <v>19.88</v>
      </c>
      <c r="AK546" s="64">
        <f>Esc!AJ338</f>
        <v>20.3</v>
      </c>
      <c r="AL546" s="64">
        <f>Esc!AK338</f>
        <v>20.71</v>
      </c>
      <c r="AM546" s="64">
        <f>Esc!AL338</f>
        <v>21.12</v>
      </c>
      <c r="AN546" s="64">
        <f>Esc!AM338</f>
        <v>21.54</v>
      </c>
      <c r="AO546" s="64">
        <f t="shared" si="186"/>
        <v>21.54</v>
      </c>
      <c r="AP546" s="64">
        <f t="shared" si="185"/>
        <v>21.54</v>
      </c>
      <c r="AQ546" s="64">
        <f t="shared" si="185"/>
        <v>21.54</v>
      </c>
      <c r="AR546" s="64">
        <f t="shared" si="185"/>
        <v>21.54</v>
      </c>
      <c r="AS546" s="64">
        <f t="shared" si="185"/>
        <v>21.54</v>
      </c>
      <c r="AT546" s="64">
        <f t="shared" si="185"/>
        <v>21.54</v>
      </c>
      <c r="AU546" s="64">
        <f t="shared" si="185"/>
        <v>21.54</v>
      </c>
      <c r="AV546" s="64">
        <f t="shared" si="185"/>
        <v>21.54</v>
      </c>
      <c r="AW546" s="64">
        <f t="shared" si="185"/>
        <v>21.54</v>
      </c>
      <c r="AX546" s="64">
        <f t="shared" si="185"/>
        <v>21.54</v>
      </c>
      <c r="AY546" s="64">
        <f t="shared" si="185"/>
        <v>21.54</v>
      </c>
      <c r="AZ546" s="64">
        <f t="shared" si="185"/>
        <v>21.54</v>
      </c>
      <c r="BA546" s="64">
        <f t="shared" si="185"/>
        <v>21.54</v>
      </c>
      <c r="BB546" s="64">
        <f t="shared" si="185"/>
        <v>21.54</v>
      </c>
      <c r="BC546" s="64">
        <f t="shared" si="185"/>
        <v>21.54</v>
      </c>
      <c r="BD546" s="64">
        <f t="shared" si="185"/>
        <v>21.54</v>
      </c>
      <c r="BE546" s="64">
        <f t="shared" si="185"/>
        <v>21.54</v>
      </c>
      <c r="BF546" s="64">
        <f t="shared" si="185"/>
        <v>21.54</v>
      </c>
      <c r="BG546" s="64">
        <f t="shared" si="185"/>
        <v>21.54</v>
      </c>
      <c r="BH546" s="64">
        <f t="shared" si="185"/>
        <v>21.54</v>
      </c>
    </row>
    <row r="547" spans="1:60" s="64" customFormat="1" hidden="1" outlineLevel="1">
      <c r="B547" s="64" t="str">
        <f>Esc!A339</f>
        <v>Electricidad</v>
      </c>
      <c r="C547" s="64">
        <f>Esc!B339</f>
        <v>8.3000000000000007</v>
      </c>
      <c r="D547" s="64">
        <f>Esc!C339</f>
        <v>8.5299999999999994</v>
      </c>
      <c r="E547" s="64">
        <f>Esc!D339</f>
        <v>9.2100000000000009</v>
      </c>
      <c r="F547" s="64">
        <f>Esc!E339</f>
        <v>9.6199999999999992</v>
      </c>
      <c r="G547" s="64">
        <f>Esc!F339</f>
        <v>9.59</v>
      </c>
      <c r="H547" s="64">
        <f>Esc!G339</f>
        <v>9.9</v>
      </c>
      <c r="I547" s="64">
        <f>Esc!H339</f>
        <v>10.210000000000001</v>
      </c>
      <c r="J547" s="64">
        <f>Esc!I339</f>
        <v>10.61</v>
      </c>
      <c r="K547" s="64">
        <f>Esc!J339</f>
        <v>10.18</v>
      </c>
      <c r="L547" s="64">
        <f>Esc!K339</f>
        <v>10.47</v>
      </c>
      <c r="M547" s="64">
        <f>Esc!L339</f>
        <v>10.91</v>
      </c>
      <c r="N547" s="64">
        <f>Esc!M339</f>
        <v>11.34</v>
      </c>
      <c r="O547" s="64">
        <f>Esc!N339</f>
        <v>11.78</v>
      </c>
      <c r="P547" s="64">
        <f>Esc!O339</f>
        <v>12.22</v>
      </c>
      <c r="Q547" s="64">
        <f>Esc!P339</f>
        <v>12.65</v>
      </c>
      <c r="R547" s="64">
        <f>Esc!Q339</f>
        <v>13.09</v>
      </c>
      <c r="S547" s="64">
        <f>Esc!R339</f>
        <v>13.52</v>
      </c>
      <c r="T547" s="64">
        <f>Esc!S339</f>
        <v>13.96</v>
      </c>
      <c r="U547" s="64">
        <f>Esc!T339</f>
        <v>14.39</v>
      </c>
      <c r="V547" s="64">
        <f>Esc!U339</f>
        <v>14.83</v>
      </c>
      <c r="W547" s="64">
        <f>Esc!V339</f>
        <v>15.27</v>
      </c>
      <c r="X547" s="64">
        <f>Esc!W339</f>
        <v>15.7</v>
      </c>
      <c r="Y547" s="64">
        <f>Esc!X339</f>
        <v>16.14</v>
      </c>
      <c r="Z547" s="64">
        <f>Esc!Y339</f>
        <v>16.57</v>
      </c>
      <c r="AA547" s="64">
        <f>Esc!Z339</f>
        <v>17.010000000000002</v>
      </c>
      <c r="AB547" s="64">
        <f>Esc!AA339</f>
        <v>17.440000000000001</v>
      </c>
      <c r="AC547" s="64">
        <f>Esc!AB339</f>
        <v>17.88</v>
      </c>
      <c r="AD547" s="64">
        <f>Esc!AC339</f>
        <v>18.32</v>
      </c>
      <c r="AE547" s="64">
        <f>Esc!AD339</f>
        <v>18.75</v>
      </c>
      <c r="AF547" s="64">
        <f>Esc!AE339</f>
        <v>19.190000000000001</v>
      </c>
      <c r="AG547" s="64">
        <f>Esc!AF339</f>
        <v>19.62</v>
      </c>
      <c r="AH547" s="64">
        <f>Esc!AG339</f>
        <v>20.059999999999999</v>
      </c>
      <c r="AI547" s="64">
        <f>Esc!AH339</f>
        <v>20.49</v>
      </c>
      <c r="AJ547" s="64">
        <f>Esc!AI339</f>
        <v>20.93</v>
      </c>
      <c r="AK547" s="64">
        <f>Esc!AJ339</f>
        <v>21.37</v>
      </c>
      <c r="AL547" s="64">
        <f>Esc!AK339</f>
        <v>21.8</v>
      </c>
      <c r="AM547" s="64">
        <f>Esc!AL339</f>
        <v>22.24</v>
      </c>
      <c r="AN547" s="64">
        <f>Esc!AM339</f>
        <v>22.67</v>
      </c>
      <c r="AO547" s="64">
        <f t="shared" si="186"/>
        <v>22.67</v>
      </c>
      <c r="AP547" s="64">
        <f t="shared" si="185"/>
        <v>22.67</v>
      </c>
      <c r="AQ547" s="64">
        <f t="shared" si="185"/>
        <v>22.67</v>
      </c>
      <c r="AR547" s="64">
        <f t="shared" si="185"/>
        <v>22.67</v>
      </c>
      <c r="AS547" s="64">
        <f t="shared" si="185"/>
        <v>22.67</v>
      </c>
      <c r="AT547" s="64">
        <f t="shared" si="185"/>
        <v>22.67</v>
      </c>
      <c r="AU547" s="64">
        <f t="shared" si="185"/>
        <v>22.67</v>
      </c>
      <c r="AV547" s="64">
        <f t="shared" si="185"/>
        <v>22.67</v>
      </c>
      <c r="AW547" s="64">
        <f t="shared" si="185"/>
        <v>22.67</v>
      </c>
      <c r="AX547" s="64">
        <f t="shared" si="185"/>
        <v>22.67</v>
      </c>
      <c r="AY547" s="64">
        <f t="shared" si="185"/>
        <v>22.67</v>
      </c>
      <c r="AZ547" s="64">
        <f t="shared" si="185"/>
        <v>22.67</v>
      </c>
      <c r="BA547" s="64">
        <f t="shared" si="185"/>
        <v>22.67</v>
      </c>
      <c r="BB547" s="64">
        <f t="shared" si="185"/>
        <v>22.67</v>
      </c>
      <c r="BC547" s="64">
        <f t="shared" si="185"/>
        <v>22.67</v>
      </c>
      <c r="BD547" s="64">
        <f t="shared" si="185"/>
        <v>22.67</v>
      </c>
      <c r="BE547" s="64">
        <f t="shared" si="185"/>
        <v>22.67</v>
      </c>
      <c r="BF547" s="64">
        <f t="shared" si="185"/>
        <v>22.67</v>
      </c>
      <c r="BG547" s="64">
        <f t="shared" si="185"/>
        <v>22.67</v>
      </c>
      <c r="BH547" s="64">
        <f t="shared" si="185"/>
        <v>22.67</v>
      </c>
    </row>
    <row r="548" spans="1:60" hidden="1" outlineLevel="1"/>
    <row r="549" spans="1:60">
      <c r="A549" t="s">
        <v>174</v>
      </c>
    </row>
    <row r="550" spans="1:60" outlineLevel="1">
      <c r="B550" t="str">
        <f>A.15!A226</f>
        <v>Gas licuado</v>
      </c>
      <c r="C550">
        <f>A.15!B226</f>
        <v>0.01</v>
      </c>
      <c r="D550">
        <f>A.15!C226</f>
        <v>0.01</v>
      </c>
      <c r="E550">
        <f>A.15!D226</f>
        <v>0.01</v>
      </c>
      <c r="F550">
        <f>A.15!E226</f>
        <v>0.01</v>
      </c>
      <c r="G550">
        <f>A.15!F226</f>
        <v>0.01</v>
      </c>
      <c r="H550">
        <f>A.15!G226</f>
        <v>0.01</v>
      </c>
      <c r="I550">
        <f>A.15!H226</f>
        <v>0.01</v>
      </c>
      <c r="J550">
        <f>A.15!I226</f>
        <v>0.01</v>
      </c>
      <c r="K550">
        <f>A.15!J226</f>
        <v>0.01</v>
      </c>
      <c r="L550">
        <f>A.15!K226</f>
        <v>0.01</v>
      </c>
      <c r="M550">
        <f>A.15!L226</f>
        <v>0.01</v>
      </c>
      <c r="N550" s="66">
        <f>M550*N$628/M$628</f>
        <v>1.0010564193985013E-2</v>
      </c>
      <c r="O550" s="66">
        <f>N550*O$628/N$628</f>
        <v>1.002096332243901E-2</v>
      </c>
      <c r="P550" s="66">
        <f>O550*P$628/O$628</f>
        <v>1.0031692581955038E-2</v>
      </c>
      <c r="Q550" s="66">
        <f>P550*Q$628/P$628</f>
        <v>1.0042256775940049E-2</v>
      </c>
      <c r="R550" s="66">
        <f>Q550*R$628/Q$628</f>
        <v>1.0052655904394045E-2</v>
      </c>
      <c r="S550" s="66">
        <f>R550*S$628/R$628</f>
        <v>1.0063385163910074E-2</v>
      </c>
      <c r="T550" s="66">
        <f>S550*T$628/S$628</f>
        <v>1.0073784292364068E-2</v>
      </c>
      <c r="U550" s="66">
        <f>T550*U$628/T$628</f>
        <v>1.0084183420818063E-2</v>
      </c>
      <c r="V550" s="66">
        <f>U550*V$628/U$628</f>
        <v>1.0095077745865108E-2</v>
      </c>
      <c r="W550" s="66">
        <f>V550*W$628/V$628</f>
        <v>1.0105476874319105E-2</v>
      </c>
      <c r="X550" s="66">
        <f>W550*X$628/W$628</f>
        <v>1.007692053745337E-2</v>
      </c>
      <c r="Y550" s="66">
        <f>X550*Y$628/X$628</f>
        <v>9.9955432306625732E-3</v>
      </c>
      <c r="Z550" s="66">
        <f>Y550*Z$628/Y$628</f>
        <v>9.914000858340764E-3</v>
      </c>
      <c r="AA550" s="66">
        <f>Z550*AA$628/Z$628</f>
        <v>9.8327886170809838E-3</v>
      </c>
      <c r="AB550" s="66">
        <f>AA550*AB$628/AA$628</f>
        <v>9.7514113102901874E-3</v>
      </c>
      <c r="AC550" s="66">
        <f>AB550*AC$628/AB$628</f>
        <v>9.6697038724373619E-3</v>
      </c>
      <c r="AD550" s="66">
        <f>AC550*AD$628/AC$628</f>
        <v>9.5886566967085963E-3</v>
      </c>
      <c r="AE550" s="66">
        <f>AD550*AE$628/AD$628</f>
        <v>9.5072793899177999E-3</v>
      </c>
      <c r="AF550" s="66">
        <f>AE550*AF$628/AE$628</f>
        <v>9.4257370175959872E-3</v>
      </c>
      <c r="AG550" s="66">
        <f>AF550*AG$628/AF$628</f>
        <v>9.3443597108051925E-3</v>
      </c>
      <c r="AH550" s="66">
        <f>AG550*AH$628/AG$628</f>
        <v>9.2631474695454123E-3</v>
      </c>
      <c r="AI550" s="66">
        <f>AH550*AI$628/AH$628</f>
        <v>9.1816050972236014E-3</v>
      </c>
      <c r="AJ550" s="66">
        <f>AI550*AJ$628/AI$628</f>
        <v>9.1002277904328032E-3</v>
      </c>
      <c r="AK550" s="66">
        <f>AJ550*AK$628/AJ$628</f>
        <v>9.0188504836420068E-3</v>
      </c>
      <c r="AL550" s="66">
        <f>AK550*AL$628/AK$628</f>
        <v>8.9376382423822284E-3</v>
      </c>
      <c r="AM550" s="66">
        <f>AL550*AM$628/AL$628</f>
        <v>8.8552705424053378E-3</v>
      </c>
      <c r="AN550" s="66">
        <f>AM550*AN$628/AM$628</f>
        <v>8.7730679079594618E-3</v>
      </c>
      <c r="AO550" s="66">
        <f>AN550*AO$628/AN$628</f>
        <v>8.7730679079594618E-3</v>
      </c>
      <c r="AP550" s="66">
        <f>AO550*AP$628/AO$628</f>
        <v>8.7730679079594618E-3</v>
      </c>
      <c r="AQ550" s="66">
        <f>AP550*AQ$628/AP$628</f>
        <v>8.7730679079594618E-3</v>
      </c>
      <c r="AR550" s="66">
        <f>AQ550*AR$628/AQ$628</f>
        <v>8.7730679079594618E-3</v>
      </c>
      <c r="AS550" s="66">
        <f>AR550*AS$628/AR$628</f>
        <v>8.7730679079594618E-3</v>
      </c>
      <c r="AT550" s="66">
        <f>AS550*AT$628/AS$628</f>
        <v>8.7730679079594618E-3</v>
      </c>
      <c r="AU550" s="66">
        <f>AT550*AU$628/AT$628</f>
        <v>8.7730679079594618E-3</v>
      </c>
      <c r="AV550" s="66">
        <f>AU550*AV$628/AU$628</f>
        <v>8.7730679079594618E-3</v>
      </c>
      <c r="AW550" s="66">
        <f>AV550*AW$628/AV$628</f>
        <v>8.7730679079594618E-3</v>
      </c>
      <c r="AX550" s="66">
        <f>AW550*AX$628/AW$628</f>
        <v>8.7730679079594618E-3</v>
      </c>
      <c r="AY550" s="66">
        <f>AX550*AY$628/AX$628</f>
        <v>8.7730679079594618E-3</v>
      </c>
      <c r="AZ550" s="66">
        <f>AY550*AZ$628/AY$628</f>
        <v>8.7730679079594618E-3</v>
      </c>
      <c r="BA550" s="66">
        <f>AZ550*BA$628/AZ$628</f>
        <v>8.7730679079594618E-3</v>
      </c>
      <c r="BB550" s="66">
        <f>BA550*BB$628/BA$628</f>
        <v>8.7730679079594618E-3</v>
      </c>
      <c r="BC550" s="66">
        <f>BB550*BC$628/BB$628</f>
        <v>8.7730679079594618E-3</v>
      </c>
      <c r="BD550" s="66">
        <f>BC550*BD$628/BC$628</f>
        <v>8.7730679079594618E-3</v>
      </c>
      <c r="BE550" s="66">
        <f>BD550*BE$628/BD$628</f>
        <v>8.7730679079594618E-3</v>
      </c>
      <c r="BF550" s="66">
        <f>BE550*BF$628/BE$628</f>
        <v>8.7730679079594618E-3</v>
      </c>
      <c r="BG550" s="66">
        <f>BF550*BG$628/BF$628</f>
        <v>8.7730679079594618E-3</v>
      </c>
      <c r="BH550" s="66">
        <f>BG550*BH$628/BG$628</f>
        <v>8.7730679079594618E-3</v>
      </c>
    </row>
    <row r="551" spans="1:60" outlineLevel="1">
      <c r="B551" t="str">
        <f>A.15!A230</f>
        <v>Combustóleo</v>
      </c>
      <c r="C551">
        <f>A.15!B230</f>
        <v>0.11</v>
      </c>
      <c r="D551">
        <f>A.15!C230</f>
        <v>0.11</v>
      </c>
      <c r="E551">
        <f>A.15!D230</f>
        <v>0.12</v>
      </c>
      <c r="F551">
        <f>A.15!E230</f>
        <v>0.13</v>
      </c>
      <c r="G551">
        <f>A.15!F230</f>
        <v>0.14000000000000001</v>
      </c>
      <c r="H551">
        <f>A.15!G230</f>
        <v>0.15</v>
      </c>
      <c r="I551">
        <f>A.15!H230</f>
        <v>0.14000000000000001</v>
      </c>
      <c r="J551">
        <f>A.15!I230</f>
        <v>0.12</v>
      </c>
      <c r="K551">
        <f>A.15!J230</f>
        <v>0.14000000000000001</v>
      </c>
      <c r="L551">
        <f>A.15!K230</f>
        <v>0.14000000000000001</v>
      </c>
      <c r="M551">
        <f>A.15!L230</f>
        <v>0.15</v>
      </c>
      <c r="N551" s="66">
        <f>M551*N$628/M$628</f>
        <v>0.15015846290977522</v>
      </c>
      <c r="O551" s="66">
        <f>N551*O$628/N$628</f>
        <v>0.15031444983658515</v>
      </c>
      <c r="P551" s="66">
        <f>O551*P$628/O$628</f>
        <v>0.15047538872932556</v>
      </c>
      <c r="Q551" s="66">
        <f>P551*Q$628/P$628</f>
        <v>0.15063385163910073</v>
      </c>
      <c r="R551" s="66">
        <f>Q551*R$628/Q$628</f>
        <v>0.15078983856591069</v>
      </c>
      <c r="S551" s="66">
        <f>R551*S$628/R$628</f>
        <v>0.15095077745865113</v>
      </c>
      <c r="T551" s="66">
        <f>S551*T$628/S$628</f>
        <v>0.15110676438546103</v>
      </c>
      <c r="U551" s="66">
        <f>T551*U$628/T$628</f>
        <v>0.15126275131227099</v>
      </c>
      <c r="V551" s="66">
        <f>U551*V$628/U$628</f>
        <v>0.15142616618797666</v>
      </c>
      <c r="W551" s="66">
        <f>V551*W$628/V$628</f>
        <v>0.15158215311478659</v>
      </c>
      <c r="X551" s="66">
        <f>W551*X$628/W$628</f>
        <v>0.15115380806180057</v>
      </c>
      <c r="Y551" s="66">
        <f>X551*Y$628/X$628</f>
        <v>0.1499331484599386</v>
      </c>
      <c r="Z551" s="66">
        <f>Y551*Z$628/Y$628</f>
        <v>0.14871001287511143</v>
      </c>
      <c r="AA551" s="66">
        <f>Z551*AA$628/Z$628</f>
        <v>0.14749182925621473</v>
      </c>
      <c r="AB551" s="66">
        <f>AA551*AB$628/AA$628</f>
        <v>0.14627116965435277</v>
      </c>
      <c r="AC551" s="66">
        <f>AB551*AC$628/AB$628</f>
        <v>0.14504555808656039</v>
      </c>
      <c r="AD551" s="66">
        <f>AC551*AD$628/AC$628</f>
        <v>0.1438298504506289</v>
      </c>
      <c r="AE551" s="66">
        <f>AD551*AE$628/AD$628</f>
        <v>0.142609190848767</v>
      </c>
      <c r="AF551" s="66">
        <f>AE551*AF$628/AE$628</f>
        <v>0.14138605526393982</v>
      </c>
      <c r="AG551" s="66">
        <f>AF551*AG$628/AF$628</f>
        <v>0.14016539566207789</v>
      </c>
      <c r="AH551" s="66">
        <f>AG551*AH$628/AG$628</f>
        <v>0.13894721204318117</v>
      </c>
      <c r="AI551" s="66">
        <f>AH551*AI$628/AH$628</f>
        <v>0.13772407645835399</v>
      </c>
      <c r="AJ551" s="66">
        <f>AI551*AJ$628/AI$628</f>
        <v>0.13650341685649203</v>
      </c>
      <c r="AK551" s="66">
        <f>AJ551*AK$628/AJ$628</f>
        <v>0.1352827572546301</v>
      </c>
      <c r="AL551" s="66">
        <f>AK551*AL$628/AK$628</f>
        <v>0.1340645736357334</v>
      </c>
      <c r="AM551" s="66">
        <f>AL551*AM$628/AL$628</f>
        <v>0.13282905813608004</v>
      </c>
      <c r="AN551" s="66">
        <f>AM551*AN$628/AM$628</f>
        <v>0.13159601861939191</v>
      </c>
      <c r="AO551" s="66">
        <f>AN551*AO$628/AN$628</f>
        <v>0.13159601861939191</v>
      </c>
      <c r="AP551" s="66">
        <f>AO551*AP$628/AO$628</f>
        <v>0.13159601861939191</v>
      </c>
      <c r="AQ551" s="66">
        <f>AP551*AQ$628/AP$628</f>
        <v>0.13159601861939191</v>
      </c>
      <c r="AR551" s="66">
        <f>AQ551*AR$628/AQ$628</f>
        <v>0.13159601861939191</v>
      </c>
      <c r="AS551" s="66">
        <f>AR551*AS$628/AR$628</f>
        <v>0.13159601861939191</v>
      </c>
      <c r="AT551" s="66">
        <f>AS551*AT$628/AS$628</f>
        <v>0.13159601861939191</v>
      </c>
      <c r="AU551" s="66">
        <f>AT551*AU$628/AT$628</f>
        <v>0.13159601861939191</v>
      </c>
      <c r="AV551" s="66">
        <f>AU551*AV$628/AU$628</f>
        <v>0.13159601861939191</v>
      </c>
      <c r="AW551" s="66">
        <f>AV551*AW$628/AV$628</f>
        <v>0.13159601861939191</v>
      </c>
      <c r="AX551" s="66">
        <f>AW551*AX$628/AW$628</f>
        <v>0.13159601861939191</v>
      </c>
      <c r="AY551" s="66">
        <f>AX551*AY$628/AX$628</f>
        <v>0.13159601861939191</v>
      </c>
      <c r="AZ551" s="66">
        <f>AY551*AZ$628/AY$628</f>
        <v>0.13159601861939191</v>
      </c>
      <c r="BA551" s="66">
        <f>AZ551*BA$628/AZ$628</f>
        <v>0.13159601861939191</v>
      </c>
      <c r="BB551" s="66">
        <f>BA551*BB$628/BA$628</f>
        <v>0.13159601861939191</v>
      </c>
      <c r="BC551" s="66">
        <f>BB551*BC$628/BB$628</f>
        <v>0.13159601861939191</v>
      </c>
      <c r="BD551" s="66">
        <f>BC551*BD$628/BC$628</f>
        <v>0.13159601861939191</v>
      </c>
      <c r="BE551" s="66">
        <f>BD551*BE$628/BD$628</f>
        <v>0.13159601861939191</v>
      </c>
      <c r="BF551" s="66">
        <f>BE551*BF$628/BE$628</f>
        <v>0.13159601861939191</v>
      </c>
      <c r="BG551" s="66">
        <f>BF551*BG$628/BF$628</f>
        <v>0.13159601861939191</v>
      </c>
      <c r="BH551" s="66">
        <f>BG551*BH$628/BG$628</f>
        <v>0.13159601861939191</v>
      </c>
    </row>
    <row r="552" spans="1:60" outlineLevel="1">
      <c r="B552" t="str">
        <f>A.15!A232</f>
        <v>Gas seco</v>
      </c>
      <c r="C552">
        <f>A.15!B232</f>
        <v>0.14000000000000001</v>
      </c>
      <c r="D552">
        <f>A.15!C232</f>
        <v>0.15</v>
      </c>
      <c r="E552">
        <f>A.15!D232</f>
        <v>0.16</v>
      </c>
      <c r="F552">
        <f>A.15!E232</f>
        <v>0.17</v>
      </c>
      <c r="G552">
        <f>A.15!F232</f>
        <v>0.18</v>
      </c>
      <c r="H552">
        <f>A.15!G232</f>
        <v>0.2</v>
      </c>
      <c r="I552">
        <f>A.15!H232</f>
        <v>0.19</v>
      </c>
      <c r="J552">
        <f>A.15!I232</f>
        <v>0.17</v>
      </c>
      <c r="K552">
        <f>A.15!J232</f>
        <v>0.19</v>
      </c>
      <c r="L552">
        <f>A.15!K232</f>
        <v>0.18</v>
      </c>
      <c r="M552">
        <f>A.15!L232</f>
        <v>0.18</v>
      </c>
      <c r="N552" s="66">
        <f>M552*N$628/M$628</f>
        <v>0.18019015549173023</v>
      </c>
      <c r="O552" s="66">
        <f>N552*O$628/N$628</f>
        <v>0.18037733980390216</v>
      </c>
      <c r="P552" s="66">
        <f>O552*P$628/O$628</f>
        <v>0.18057046647519068</v>
      </c>
      <c r="Q552" s="66">
        <f>P552*Q$628/P$628</f>
        <v>0.18076062196692089</v>
      </c>
      <c r="R552" s="66">
        <f>Q552*R$628/Q$628</f>
        <v>0.18094780627909282</v>
      </c>
      <c r="S552" s="66">
        <f>R552*S$628/R$628</f>
        <v>0.18114093295038133</v>
      </c>
      <c r="T552" s="66">
        <f>S552*T$628/S$628</f>
        <v>0.18132811726255324</v>
      </c>
      <c r="U552" s="66">
        <f>T552*U$628/T$628</f>
        <v>0.18151530157472517</v>
      </c>
      <c r="V552" s="66">
        <f>U552*V$628/U$628</f>
        <v>0.18171139942557199</v>
      </c>
      <c r="W552" s="66">
        <f>V552*W$628/V$628</f>
        <v>0.18189858373774392</v>
      </c>
      <c r="X552" s="66">
        <f>W552*X$628/W$628</f>
        <v>0.18138456967416067</v>
      </c>
      <c r="Y552" s="66">
        <f>X552*Y$628/X$628</f>
        <v>0.17991977815192631</v>
      </c>
      <c r="Z552" s="66">
        <f>Y552*Z$628/Y$628</f>
        <v>0.17845201545013373</v>
      </c>
      <c r="AA552" s="66">
        <f>Z552*AA$628/Z$628</f>
        <v>0.1769901951074577</v>
      </c>
      <c r="AB552" s="66">
        <f>AA552*AB$628/AA$628</f>
        <v>0.17552540358522337</v>
      </c>
      <c r="AC552" s="66">
        <f>AB552*AC$628/AB$628</f>
        <v>0.17405466970387248</v>
      </c>
      <c r="AD552" s="66">
        <f>AC552*AD$628/AC$628</f>
        <v>0.1725958205407547</v>
      </c>
      <c r="AE552" s="66">
        <f>AD552*AE$628/AD$628</f>
        <v>0.1711310290185204</v>
      </c>
      <c r="AF552" s="66">
        <f>AE552*AF$628/AE$628</f>
        <v>0.16966326631672776</v>
      </c>
      <c r="AG552" s="66">
        <f>AF552*AG$628/AF$628</f>
        <v>0.16819847479449346</v>
      </c>
      <c r="AH552" s="66">
        <f>AG552*AH$628/AG$628</f>
        <v>0.1667366544518174</v>
      </c>
      <c r="AI552" s="66">
        <f>AH552*AI$628/AH$628</f>
        <v>0.16526889175002479</v>
      </c>
      <c r="AJ552" s="66">
        <f>AI552*AJ$628/AI$628</f>
        <v>0.16380410022779043</v>
      </c>
      <c r="AK552" s="66">
        <f>AJ552*AK$628/AJ$628</f>
        <v>0.16233930870555613</v>
      </c>
      <c r="AL552" s="66">
        <f>AK552*AL$628/AK$628</f>
        <v>0.1608774883628801</v>
      </c>
      <c r="AM552" s="66">
        <f>AL552*AM$628/AL$628</f>
        <v>0.15939486976329606</v>
      </c>
      <c r="AN552" s="66">
        <f>AM552*AN$628/AM$628</f>
        <v>0.1579152223432703</v>
      </c>
      <c r="AO552" s="66">
        <f>AN552*AO$628/AN$628</f>
        <v>0.1579152223432703</v>
      </c>
      <c r="AP552" s="66">
        <f>AO552*AP$628/AO$628</f>
        <v>0.1579152223432703</v>
      </c>
      <c r="AQ552" s="66">
        <f>AP552*AQ$628/AP$628</f>
        <v>0.1579152223432703</v>
      </c>
      <c r="AR552" s="66">
        <f>AQ552*AR$628/AQ$628</f>
        <v>0.1579152223432703</v>
      </c>
      <c r="AS552" s="66">
        <f>AR552*AS$628/AR$628</f>
        <v>0.1579152223432703</v>
      </c>
      <c r="AT552" s="66">
        <f>AS552*AT$628/AS$628</f>
        <v>0.1579152223432703</v>
      </c>
      <c r="AU552" s="66">
        <f>AT552*AU$628/AT$628</f>
        <v>0.1579152223432703</v>
      </c>
      <c r="AV552" s="66">
        <f>AU552*AV$628/AU$628</f>
        <v>0.1579152223432703</v>
      </c>
      <c r="AW552" s="66">
        <f>AV552*AW$628/AV$628</f>
        <v>0.1579152223432703</v>
      </c>
      <c r="AX552" s="66">
        <f>AW552*AX$628/AW$628</f>
        <v>0.1579152223432703</v>
      </c>
      <c r="AY552" s="66">
        <f>AX552*AY$628/AX$628</f>
        <v>0.1579152223432703</v>
      </c>
      <c r="AZ552" s="66">
        <f>AY552*AZ$628/AY$628</f>
        <v>0.1579152223432703</v>
      </c>
      <c r="BA552" s="66">
        <f>AZ552*BA$628/AZ$628</f>
        <v>0.1579152223432703</v>
      </c>
      <c r="BB552" s="66">
        <f>BA552*BB$628/BA$628</f>
        <v>0.1579152223432703</v>
      </c>
      <c r="BC552" s="66">
        <f>BB552*BC$628/BB$628</f>
        <v>0.1579152223432703</v>
      </c>
      <c r="BD552" s="66">
        <f>BC552*BD$628/BC$628</f>
        <v>0.1579152223432703</v>
      </c>
      <c r="BE552" s="66">
        <f>BD552*BE$628/BD$628</f>
        <v>0.1579152223432703</v>
      </c>
      <c r="BF552" s="66">
        <f>BE552*BF$628/BE$628</f>
        <v>0.1579152223432703</v>
      </c>
      <c r="BG552" s="66">
        <f>BF552*BG$628/BF$628</f>
        <v>0.1579152223432703</v>
      </c>
      <c r="BH552" s="66">
        <f>BG552*BH$628/BG$628</f>
        <v>0.1579152223432703</v>
      </c>
    </row>
    <row r="553" spans="1:60" outlineLevel="1">
      <c r="B553" t="str">
        <f>A.15!A233</f>
        <v>Energía eléctrica</v>
      </c>
      <c r="C553">
        <f>A.15!B233</f>
        <v>0.47</v>
      </c>
      <c r="D553">
        <f>A.15!C233</f>
        <v>0.48</v>
      </c>
      <c r="E553">
        <f>A.15!D233</f>
        <v>0.5</v>
      </c>
      <c r="F553">
        <f>A.15!E233</f>
        <v>0.56000000000000005</v>
      </c>
      <c r="G553">
        <f>A.15!F233</f>
        <v>0.59</v>
      </c>
      <c r="H553">
        <f>A.15!G233</f>
        <v>0.63</v>
      </c>
      <c r="I553">
        <f>A.15!H233</f>
        <v>0.6</v>
      </c>
      <c r="J553">
        <f>A.15!I233</f>
        <v>0.54</v>
      </c>
      <c r="K553">
        <f>A.15!J233</f>
        <v>0.6</v>
      </c>
      <c r="L553">
        <f>A.15!K233</f>
        <v>7.0000000000000007E-2</v>
      </c>
      <c r="M553">
        <f>A.15!L233</f>
        <v>0.59</v>
      </c>
      <c r="N553" s="66">
        <f>M553*N$628/M$628</f>
        <v>0.59062328744511572</v>
      </c>
      <c r="O553" s="66">
        <f>N553*O$628/N$628</f>
        <v>0.59123683602390142</v>
      </c>
      <c r="P553" s="66">
        <f>O553*P$628/O$628</f>
        <v>0.591869862335347</v>
      </c>
      <c r="Q553" s="66">
        <f>P553*Q$628/P$628</f>
        <v>0.59249314978046275</v>
      </c>
      <c r="R553" s="66">
        <f>Q553*R$628/Q$628</f>
        <v>0.59310669835924845</v>
      </c>
      <c r="S553" s="66">
        <f>R553*S$628/R$628</f>
        <v>0.59373972467069425</v>
      </c>
      <c r="T553" s="66">
        <f>S553*T$628/S$628</f>
        <v>0.59435327324947984</v>
      </c>
      <c r="U553" s="66">
        <f>T553*U$628/T$628</f>
        <v>0.59496682182826566</v>
      </c>
      <c r="V553" s="66">
        <f>U553*V$628/U$628</f>
        <v>0.59560958700604139</v>
      </c>
      <c r="W553" s="66">
        <f>V553*W$628/V$628</f>
        <v>0.59622313558482709</v>
      </c>
      <c r="X553" s="66">
        <f>W553*X$628/W$628</f>
        <v>0.59453831170974869</v>
      </c>
      <c r="Y553" s="66">
        <f>X553*Y$628/X$628</f>
        <v>0.58973705060909165</v>
      </c>
      <c r="Z553" s="66">
        <f>Y553*Z$628/Y$628</f>
        <v>0.58492605064210479</v>
      </c>
      <c r="AA553" s="66">
        <f>Z553*AA$628/Z$628</f>
        <v>0.58013452840777779</v>
      </c>
      <c r="AB553" s="66">
        <f>AA553*AB$628/AA$628</f>
        <v>0.57533326730712075</v>
      </c>
      <c r="AC553" s="66">
        <f>AB553*AC$628/AB$628</f>
        <v>0.57051252847380407</v>
      </c>
      <c r="AD553" s="66">
        <f>AC553*AD$628/AC$628</f>
        <v>0.5657307451058069</v>
      </c>
      <c r="AE553" s="66">
        <f>AD553*AE$628/AD$628</f>
        <v>0.56092948400514997</v>
      </c>
      <c r="AF553" s="66">
        <f>AE553*AF$628/AE$628</f>
        <v>0.556118484038163</v>
      </c>
      <c r="AG553" s="66">
        <f>AF553*AG$628/AF$628</f>
        <v>0.55131722293750607</v>
      </c>
      <c r="AH553" s="66">
        <f>AG553*AH$628/AG$628</f>
        <v>0.54652570070317896</v>
      </c>
      <c r="AI553" s="66">
        <f>AH553*AI$628/AH$628</f>
        <v>0.5417147007361921</v>
      </c>
      <c r="AJ553" s="66">
        <f>AI553*AJ$628/AI$628</f>
        <v>0.53691343963553506</v>
      </c>
      <c r="AK553" s="66">
        <f>AJ553*AK$628/AJ$628</f>
        <v>0.53211217853487813</v>
      </c>
      <c r="AL553" s="66">
        <f>AK553*AL$628/AK$628</f>
        <v>0.52732065630055114</v>
      </c>
      <c r="AM553" s="66">
        <f>AL553*AM$628/AL$628</f>
        <v>0.52246096200191461</v>
      </c>
      <c r="AN553" s="66">
        <f>AM553*AN$628/AM$628</f>
        <v>0.51761100656960801</v>
      </c>
      <c r="AO553" s="66">
        <f>AN553*AO$628/AN$628</f>
        <v>0.51761100656960801</v>
      </c>
      <c r="AP553" s="66">
        <f>AO553*AP$628/AO$628</f>
        <v>0.51761100656960801</v>
      </c>
      <c r="AQ553" s="66">
        <f>AP553*AQ$628/AP$628</f>
        <v>0.51761100656960801</v>
      </c>
      <c r="AR553" s="66">
        <f>AQ553*AR$628/AQ$628</f>
        <v>0.51761100656960801</v>
      </c>
      <c r="AS553" s="66">
        <f>AR553*AS$628/AR$628</f>
        <v>0.51761100656960801</v>
      </c>
      <c r="AT553" s="66">
        <f>AS553*AT$628/AS$628</f>
        <v>0.51761100656960801</v>
      </c>
      <c r="AU553" s="66">
        <f>AT553*AU$628/AT$628</f>
        <v>0.51761100656960801</v>
      </c>
      <c r="AV553" s="66">
        <f>AU553*AV$628/AU$628</f>
        <v>0.51761100656960801</v>
      </c>
      <c r="AW553" s="66">
        <f>AV553*AW$628/AV$628</f>
        <v>0.51761100656960801</v>
      </c>
      <c r="AX553" s="66">
        <f>AW553*AX$628/AW$628</f>
        <v>0.51761100656960801</v>
      </c>
      <c r="AY553" s="66">
        <f>AX553*AY$628/AX$628</f>
        <v>0.51761100656960801</v>
      </c>
      <c r="AZ553" s="66">
        <f>AY553*AZ$628/AY$628</f>
        <v>0.51761100656960801</v>
      </c>
      <c r="BA553" s="66">
        <f>AZ553*BA$628/AZ$628</f>
        <v>0.51761100656960801</v>
      </c>
      <c r="BB553" s="66">
        <f>BA553*BB$628/BA$628</f>
        <v>0.51761100656960801</v>
      </c>
      <c r="BC553" s="66">
        <f>BB553*BC$628/BB$628</f>
        <v>0.51761100656960801</v>
      </c>
      <c r="BD553" s="66">
        <f>BC553*BD$628/BC$628</f>
        <v>0.51761100656960801</v>
      </c>
      <c r="BE553" s="66">
        <f>BD553*BE$628/BD$628</f>
        <v>0.51761100656960801</v>
      </c>
      <c r="BF553" s="66">
        <f>BE553*BF$628/BE$628</f>
        <v>0.51761100656960801</v>
      </c>
      <c r="BG553" s="66">
        <f>BF553*BG$628/BF$628</f>
        <v>0.51761100656960801</v>
      </c>
      <c r="BH553" s="66">
        <f>BG553*BH$628/BG$628</f>
        <v>0.51761100656960801</v>
      </c>
    </row>
    <row r="554" spans="1:60" outlineLevel="1"/>
    <row r="555" spans="1:60" outlineLevel="1"/>
    <row r="556" spans="1:60" collapsed="1">
      <c r="A556" t="s">
        <v>175</v>
      </c>
    </row>
    <row r="557" spans="1:60" hidden="1" outlineLevel="1">
      <c r="B557" t="str">
        <f>A.15!A244</f>
        <v>Diésel</v>
      </c>
      <c r="C557">
        <f>A.15!B244</f>
        <v>0.44</v>
      </c>
      <c r="D557">
        <f>A.15!C244</f>
        <v>0.39</v>
      </c>
      <c r="E557">
        <f>A.15!D244</f>
        <v>0.35</v>
      </c>
      <c r="F557">
        <f>A.15!E244</f>
        <v>0</v>
      </c>
      <c r="G557">
        <f>A.15!F244</f>
        <v>0</v>
      </c>
      <c r="H557">
        <f>A.15!G244</f>
        <v>0</v>
      </c>
      <c r="I557">
        <f>A.15!H244</f>
        <v>0</v>
      </c>
      <c r="J557">
        <f>A.15!I244</f>
        <v>0</v>
      </c>
      <c r="K557">
        <f>A.15!J244</f>
        <v>0</v>
      </c>
      <c r="L557">
        <f>A.15!K244</f>
        <v>0</v>
      </c>
      <c r="M557">
        <f>A.15!L244</f>
        <v>0</v>
      </c>
    </row>
    <row r="558" spans="1:60" hidden="1" outlineLevel="1">
      <c r="B558" t="str">
        <f>A.15!A245</f>
        <v>Combustóleo</v>
      </c>
      <c r="C558">
        <f>A.15!B245</f>
        <v>0.1</v>
      </c>
      <c r="D558">
        <f>A.15!C245</f>
        <v>0.14000000000000001</v>
      </c>
      <c r="E558">
        <f>A.15!D245</f>
        <v>0.1</v>
      </c>
      <c r="F558">
        <f>A.15!E245</f>
        <v>0</v>
      </c>
      <c r="G558">
        <f>A.15!F245</f>
        <v>0</v>
      </c>
      <c r="H558">
        <f>A.15!G245</f>
        <v>0</v>
      </c>
      <c r="I558">
        <f>A.15!H245</f>
        <v>0</v>
      </c>
      <c r="J558">
        <f>A.15!I245</f>
        <v>0</v>
      </c>
      <c r="K558">
        <f>A.15!J245</f>
        <v>0</v>
      </c>
      <c r="L558">
        <f>A.15!K245</f>
        <v>0</v>
      </c>
      <c r="M558">
        <f>A.15!L245</f>
        <v>0</v>
      </c>
    </row>
    <row r="559" spans="1:60" hidden="1" outlineLevel="1">
      <c r="B559" t="str">
        <f>A.15!A247</f>
        <v>Gas seco</v>
      </c>
      <c r="C559">
        <f>A.15!B247</f>
        <v>110.78</v>
      </c>
      <c r="D559">
        <f>A.15!C247</f>
        <v>98.3</v>
      </c>
      <c r="E559">
        <f>A.15!D247</f>
        <v>69.27</v>
      </c>
      <c r="F559">
        <f>A.15!E247</f>
        <v>61.83</v>
      </c>
      <c r="G559">
        <f>A.15!F247</f>
        <v>52.69</v>
      </c>
      <c r="H559">
        <f>A.15!G247</f>
        <v>58.9</v>
      </c>
      <c r="I559">
        <f>A.15!H247</f>
        <v>29.88</v>
      </c>
      <c r="J559">
        <f>A.15!I247</f>
        <v>51.68</v>
      </c>
      <c r="K559">
        <f>A.15!J247</f>
        <v>43.98</v>
      </c>
      <c r="L559">
        <f>A.15!K247</f>
        <v>45.09</v>
      </c>
      <c r="M559">
        <f>A.15!L247</f>
        <v>46.23</v>
      </c>
    </row>
    <row r="560" spans="1:60" hidden="1" outlineLevel="1">
      <c r="B560" t="str">
        <f>A.15!A248</f>
        <v>Energía eléctrica</v>
      </c>
      <c r="C560">
        <f>A.15!B248</f>
        <v>5.12</v>
      </c>
      <c r="D560">
        <f>A.15!C248</f>
        <v>4.99</v>
      </c>
      <c r="E560">
        <f>A.15!D248</f>
        <v>4.6900000000000004</v>
      </c>
      <c r="F560">
        <f>A.15!E248</f>
        <v>4.29</v>
      </c>
      <c r="G560">
        <f>A.15!F248</f>
        <v>6.26</v>
      </c>
      <c r="H560">
        <f>A.15!G248</f>
        <v>5.74</v>
      </c>
      <c r="I560">
        <f>A.15!H248</f>
        <v>5.89</v>
      </c>
      <c r="J560">
        <f>A.15!I248</f>
        <v>16.38</v>
      </c>
      <c r="K560">
        <f>A.15!J248</f>
        <v>3.78</v>
      </c>
      <c r="L560">
        <f>A.15!K248</f>
        <v>6.43</v>
      </c>
      <c r="M560">
        <f>A.15!L248</f>
        <v>4.03</v>
      </c>
    </row>
    <row r="561" spans="1:60" hidden="1" outlineLevel="1"/>
    <row r="562" spans="1:60" s="64" customFormat="1" hidden="1" outlineLevel="1">
      <c r="B562" s="64" t="str">
        <f>Esc!A180</f>
        <v>Diésel</v>
      </c>
      <c r="C562" s="64">
        <f>Esc!B180</f>
        <v>0.44</v>
      </c>
      <c r="D562" s="64">
        <f>Esc!C180</f>
        <v>0.39</v>
      </c>
      <c r="E562" s="64">
        <f>Esc!D180</f>
        <v>0.35</v>
      </c>
      <c r="F562" s="64">
        <f>Esc!E180</f>
        <v>0</v>
      </c>
      <c r="G562" s="64">
        <f>Esc!F180</f>
        <v>0</v>
      </c>
      <c r="H562" s="64">
        <f>Esc!G180</f>
        <v>0</v>
      </c>
      <c r="I562" s="64">
        <f>Esc!H180</f>
        <v>0</v>
      </c>
      <c r="J562" s="64">
        <f>Esc!I180</f>
        <v>0</v>
      </c>
      <c r="K562" s="64">
        <f>Esc!J180</f>
        <v>0</v>
      </c>
      <c r="L562" s="64">
        <f>Esc!K180</f>
        <v>0</v>
      </c>
      <c r="M562" s="64">
        <f>Esc!L180</f>
        <v>0</v>
      </c>
      <c r="N562" s="64">
        <f>M562</f>
        <v>0</v>
      </c>
      <c r="O562" s="64">
        <f t="shared" ref="O562:BH566" si="187">N562</f>
        <v>0</v>
      </c>
      <c r="P562" s="64">
        <f t="shared" si="187"/>
        <v>0</v>
      </c>
      <c r="Q562" s="64">
        <f t="shared" si="187"/>
        <v>0</v>
      </c>
      <c r="R562" s="64">
        <f t="shared" si="187"/>
        <v>0</v>
      </c>
      <c r="S562" s="64">
        <f t="shared" si="187"/>
        <v>0</v>
      </c>
      <c r="T562" s="64">
        <f t="shared" si="187"/>
        <v>0</v>
      </c>
      <c r="U562" s="64">
        <f t="shared" si="187"/>
        <v>0</v>
      </c>
      <c r="V562" s="64">
        <f t="shared" si="187"/>
        <v>0</v>
      </c>
      <c r="W562" s="64">
        <f t="shared" si="187"/>
        <v>0</v>
      </c>
      <c r="X562" s="64">
        <f t="shared" si="187"/>
        <v>0</v>
      </c>
      <c r="Y562" s="64">
        <f t="shared" si="187"/>
        <v>0</v>
      </c>
      <c r="Z562" s="64">
        <f t="shared" si="187"/>
        <v>0</v>
      </c>
      <c r="AA562" s="64">
        <f t="shared" si="187"/>
        <v>0</v>
      </c>
      <c r="AB562" s="64">
        <f t="shared" si="187"/>
        <v>0</v>
      </c>
      <c r="AC562" s="64">
        <f t="shared" si="187"/>
        <v>0</v>
      </c>
      <c r="AD562" s="64">
        <f t="shared" si="187"/>
        <v>0</v>
      </c>
      <c r="AE562" s="64">
        <f t="shared" si="187"/>
        <v>0</v>
      </c>
      <c r="AF562" s="64">
        <f t="shared" si="187"/>
        <v>0</v>
      </c>
      <c r="AG562" s="64">
        <f t="shared" si="187"/>
        <v>0</v>
      </c>
      <c r="AH562" s="64">
        <f t="shared" si="187"/>
        <v>0</v>
      </c>
      <c r="AI562" s="64">
        <f t="shared" si="187"/>
        <v>0</v>
      </c>
      <c r="AJ562" s="64">
        <f t="shared" si="187"/>
        <v>0</v>
      </c>
      <c r="AK562" s="64">
        <f t="shared" si="187"/>
        <v>0</v>
      </c>
      <c r="AL562" s="64">
        <f t="shared" si="187"/>
        <v>0</v>
      </c>
      <c r="AM562" s="64">
        <f t="shared" si="187"/>
        <v>0</v>
      </c>
      <c r="AN562" s="64">
        <f t="shared" si="187"/>
        <v>0</v>
      </c>
      <c r="AO562" s="64">
        <f t="shared" si="187"/>
        <v>0</v>
      </c>
      <c r="AP562" s="64">
        <f t="shared" si="187"/>
        <v>0</v>
      </c>
      <c r="AQ562" s="64">
        <f t="shared" si="187"/>
        <v>0</v>
      </c>
      <c r="AR562" s="64">
        <f t="shared" si="187"/>
        <v>0</v>
      </c>
      <c r="AS562" s="64">
        <f t="shared" si="187"/>
        <v>0</v>
      </c>
      <c r="AT562" s="64">
        <f t="shared" si="187"/>
        <v>0</v>
      </c>
      <c r="AU562" s="64">
        <f t="shared" si="187"/>
        <v>0</v>
      </c>
      <c r="AV562" s="64">
        <f t="shared" si="187"/>
        <v>0</v>
      </c>
      <c r="AW562" s="64">
        <f t="shared" si="187"/>
        <v>0</v>
      </c>
      <c r="AX562" s="64">
        <f t="shared" si="187"/>
        <v>0</v>
      </c>
      <c r="AY562" s="64">
        <f t="shared" si="187"/>
        <v>0</v>
      </c>
      <c r="AZ562" s="64">
        <f t="shared" si="187"/>
        <v>0</v>
      </c>
      <c r="BA562" s="64">
        <f t="shared" si="187"/>
        <v>0</v>
      </c>
      <c r="BB562" s="64">
        <f t="shared" si="187"/>
        <v>0</v>
      </c>
      <c r="BC562" s="64">
        <f t="shared" si="187"/>
        <v>0</v>
      </c>
      <c r="BD562" s="64">
        <f t="shared" si="187"/>
        <v>0</v>
      </c>
      <c r="BE562" s="64">
        <f t="shared" si="187"/>
        <v>0</v>
      </c>
      <c r="BF562" s="64">
        <f t="shared" si="187"/>
        <v>0</v>
      </c>
      <c r="BG562" s="64">
        <f t="shared" si="187"/>
        <v>0</v>
      </c>
      <c r="BH562" s="64">
        <f t="shared" si="187"/>
        <v>0</v>
      </c>
    </row>
    <row r="563" spans="1:60" s="64" customFormat="1" hidden="1" outlineLevel="1">
      <c r="B563" s="64" t="str">
        <f>Esc!A181</f>
        <v>Combustóleo</v>
      </c>
      <c r="C563" s="64">
        <f>Esc!B181</f>
        <v>0.1</v>
      </c>
      <c r="D563" s="64">
        <f>Esc!C181</f>
        <v>0.14000000000000001</v>
      </c>
      <c r="E563" s="64">
        <f>Esc!D181</f>
        <v>0.1</v>
      </c>
      <c r="F563" s="64">
        <f>Esc!E181</f>
        <v>0</v>
      </c>
      <c r="G563" s="64">
        <f>Esc!F181</f>
        <v>0</v>
      </c>
      <c r="H563" s="64">
        <f>Esc!G181</f>
        <v>0</v>
      </c>
      <c r="I563" s="64">
        <f>Esc!H181</f>
        <v>0</v>
      </c>
      <c r="J563" s="64">
        <f>Esc!I181</f>
        <v>0</v>
      </c>
      <c r="K563" s="64">
        <f>Esc!J181</f>
        <v>0</v>
      </c>
      <c r="L563" s="64">
        <f>Esc!K181</f>
        <v>0</v>
      </c>
      <c r="M563" s="64">
        <f>Esc!L181</f>
        <v>0</v>
      </c>
      <c r="N563" s="64">
        <f t="shared" ref="N563:AC566" si="188">M563</f>
        <v>0</v>
      </c>
      <c r="O563" s="64">
        <f t="shared" si="188"/>
        <v>0</v>
      </c>
      <c r="P563" s="64">
        <f t="shared" si="188"/>
        <v>0</v>
      </c>
      <c r="Q563" s="64">
        <f t="shared" si="188"/>
        <v>0</v>
      </c>
      <c r="R563" s="64">
        <f t="shared" si="188"/>
        <v>0</v>
      </c>
      <c r="S563" s="64">
        <f t="shared" si="188"/>
        <v>0</v>
      </c>
      <c r="T563" s="64">
        <f t="shared" si="188"/>
        <v>0</v>
      </c>
      <c r="U563" s="64">
        <f t="shared" si="188"/>
        <v>0</v>
      </c>
      <c r="V563" s="64">
        <f t="shared" si="188"/>
        <v>0</v>
      </c>
      <c r="W563" s="64">
        <f t="shared" si="188"/>
        <v>0</v>
      </c>
      <c r="X563" s="64">
        <f t="shared" si="188"/>
        <v>0</v>
      </c>
      <c r="Y563" s="64">
        <f t="shared" si="188"/>
        <v>0</v>
      </c>
      <c r="Z563" s="64">
        <f t="shared" si="188"/>
        <v>0</v>
      </c>
      <c r="AA563" s="64">
        <f t="shared" si="188"/>
        <v>0</v>
      </c>
      <c r="AB563" s="64">
        <f t="shared" si="188"/>
        <v>0</v>
      </c>
      <c r="AC563" s="64">
        <f t="shared" si="188"/>
        <v>0</v>
      </c>
      <c r="AD563" s="64">
        <f t="shared" si="187"/>
        <v>0</v>
      </c>
      <c r="AE563" s="64">
        <f t="shared" si="187"/>
        <v>0</v>
      </c>
      <c r="AF563" s="64">
        <f t="shared" si="187"/>
        <v>0</v>
      </c>
      <c r="AG563" s="64">
        <f t="shared" si="187"/>
        <v>0</v>
      </c>
      <c r="AH563" s="64">
        <f t="shared" si="187"/>
        <v>0</v>
      </c>
      <c r="AI563" s="64">
        <f t="shared" si="187"/>
        <v>0</v>
      </c>
      <c r="AJ563" s="64">
        <f t="shared" si="187"/>
        <v>0</v>
      </c>
      <c r="AK563" s="64">
        <f t="shared" si="187"/>
        <v>0</v>
      </c>
      <c r="AL563" s="64">
        <f t="shared" si="187"/>
        <v>0</v>
      </c>
      <c r="AM563" s="64">
        <f t="shared" si="187"/>
        <v>0</v>
      </c>
      <c r="AN563" s="64">
        <f t="shared" si="187"/>
        <v>0</v>
      </c>
      <c r="AO563" s="64">
        <f t="shared" si="187"/>
        <v>0</v>
      </c>
      <c r="AP563" s="64">
        <f t="shared" si="187"/>
        <v>0</v>
      </c>
      <c r="AQ563" s="64">
        <f t="shared" si="187"/>
        <v>0</v>
      </c>
      <c r="AR563" s="64">
        <f t="shared" si="187"/>
        <v>0</v>
      </c>
      <c r="AS563" s="64">
        <f t="shared" si="187"/>
        <v>0</v>
      </c>
      <c r="AT563" s="64">
        <f t="shared" si="187"/>
        <v>0</v>
      </c>
      <c r="AU563" s="64">
        <f t="shared" si="187"/>
        <v>0</v>
      </c>
      <c r="AV563" s="64">
        <f t="shared" si="187"/>
        <v>0</v>
      </c>
      <c r="AW563" s="64">
        <f t="shared" si="187"/>
        <v>0</v>
      </c>
      <c r="AX563" s="64">
        <f t="shared" si="187"/>
        <v>0</v>
      </c>
      <c r="AY563" s="64">
        <f t="shared" si="187"/>
        <v>0</v>
      </c>
      <c r="AZ563" s="64">
        <f t="shared" si="187"/>
        <v>0</v>
      </c>
      <c r="BA563" s="64">
        <f t="shared" si="187"/>
        <v>0</v>
      </c>
      <c r="BB563" s="64">
        <f t="shared" si="187"/>
        <v>0</v>
      </c>
      <c r="BC563" s="64">
        <f t="shared" si="187"/>
        <v>0</v>
      </c>
      <c r="BD563" s="64">
        <f t="shared" si="187"/>
        <v>0</v>
      </c>
      <c r="BE563" s="64">
        <f t="shared" si="187"/>
        <v>0</v>
      </c>
      <c r="BF563" s="64">
        <f t="shared" si="187"/>
        <v>0</v>
      </c>
      <c r="BG563" s="64">
        <f t="shared" si="187"/>
        <v>0</v>
      </c>
      <c r="BH563" s="64">
        <f t="shared" si="187"/>
        <v>0</v>
      </c>
    </row>
    <row r="564" spans="1:60" s="64" customFormat="1" hidden="1" outlineLevel="1">
      <c r="B564" s="64" t="str">
        <f>Esc!A182</f>
        <v>No energéticos</v>
      </c>
      <c r="C564" s="64">
        <f>Esc!B182</f>
        <v>0</v>
      </c>
      <c r="D564" s="64">
        <f>Esc!C182</f>
        <v>0</v>
      </c>
      <c r="E564" s="64">
        <f>Esc!D182</f>
        <v>0</v>
      </c>
      <c r="F564" s="64">
        <f>Esc!E182</f>
        <v>0</v>
      </c>
      <c r="G564" s="64">
        <f>Esc!F182</f>
        <v>0</v>
      </c>
      <c r="H564" s="64">
        <f>Esc!G182</f>
        <v>0</v>
      </c>
      <c r="I564" s="64">
        <f>Esc!H182</f>
        <v>0</v>
      </c>
      <c r="J564" s="64">
        <f>Esc!I182</f>
        <v>0</v>
      </c>
      <c r="K564" s="64">
        <f>Esc!J182</f>
        <v>0</v>
      </c>
      <c r="L564" s="64">
        <f>Esc!K182</f>
        <v>0</v>
      </c>
      <c r="M564" s="64">
        <f>Esc!L182</f>
        <v>0</v>
      </c>
      <c r="N564" s="64">
        <f t="shared" si="188"/>
        <v>0</v>
      </c>
      <c r="O564" s="64">
        <f t="shared" si="187"/>
        <v>0</v>
      </c>
      <c r="P564" s="64">
        <f t="shared" si="187"/>
        <v>0</v>
      </c>
      <c r="Q564" s="64">
        <f t="shared" si="187"/>
        <v>0</v>
      </c>
      <c r="R564" s="64">
        <f t="shared" si="187"/>
        <v>0</v>
      </c>
      <c r="S564" s="64">
        <f t="shared" si="187"/>
        <v>0</v>
      </c>
      <c r="T564" s="64">
        <f t="shared" si="187"/>
        <v>0</v>
      </c>
      <c r="U564" s="64">
        <f t="shared" si="187"/>
        <v>0</v>
      </c>
      <c r="V564" s="64">
        <f t="shared" si="187"/>
        <v>0</v>
      </c>
      <c r="W564" s="64">
        <f t="shared" si="187"/>
        <v>0</v>
      </c>
      <c r="X564" s="64">
        <f t="shared" si="187"/>
        <v>0</v>
      </c>
      <c r="Y564" s="64">
        <f t="shared" si="187"/>
        <v>0</v>
      </c>
      <c r="Z564" s="64">
        <f t="shared" si="187"/>
        <v>0</v>
      </c>
      <c r="AA564" s="64">
        <f t="shared" si="187"/>
        <v>0</v>
      </c>
      <c r="AB564" s="64">
        <f t="shared" si="187"/>
        <v>0</v>
      </c>
      <c r="AC564" s="64">
        <f t="shared" si="187"/>
        <v>0</v>
      </c>
      <c r="AD564" s="64">
        <f t="shared" si="187"/>
        <v>0</v>
      </c>
      <c r="AE564" s="64">
        <f t="shared" si="187"/>
        <v>0</v>
      </c>
      <c r="AF564" s="64">
        <f t="shared" si="187"/>
        <v>0</v>
      </c>
      <c r="AG564" s="64">
        <f t="shared" si="187"/>
        <v>0</v>
      </c>
      <c r="AH564" s="64">
        <f t="shared" si="187"/>
        <v>0</v>
      </c>
      <c r="AI564" s="64">
        <f t="shared" si="187"/>
        <v>0</v>
      </c>
      <c r="AJ564" s="64">
        <f t="shared" si="187"/>
        <v>0</v>
      </c>
      <c r="AK564" s="64">
        <f t="shared" si="187"/>
        <v>0</v>
      </c>
      <c r="AL564" s="64">
        <f t="shared" si="187"/>
        <v>0</v>
      </c>
      <c r="AM564" s="64">
        <f t="shared" si="187"/>
        <v>0</v>
      </c>
      <c r="AN564" s="64">
        <f t="shared" si="187"/>
        <v>0</v>
      </c>
      <c r="AO564" s="64">
        <f t="shared" si="187"/>
        <v>0</v>
      </c>
      <c r="AP564" s="64">
        <f t="shared" si="187"/>
        <v>0</v>
      </c>
      <c r="AQ564" s="64">
        <f t="shared" si="187"/>
        <v>0</v>
      </c>
      <c r="AR564" s="64">
        <f t="shared" si="187"/>
        <v>0</v>
      </c>
      <c r="AS564" s="64">
        <f t="shared" si="187"/>
        <v>0</v>
      </c>
      <c r="AT564" s="64">
        <f t="shared" si="187"/>
        <v>0</v>
      </c>
      <c r="AU564" s="64">
        <f t="shared" si="187"/>
        <v>0</v>
      </c>
      <c r="AV564" s="64">
        <f t="shared" si="187"/>
        <v>0</v>
      </c>
      <c r="AW564" s="64">
        <f t="shared" si="187"/>
        <v>0</v>
      </c>
      <c r="AX564" s="64">
        <f t="shared" si="187"/>
        <v>0</v>
      </c>
      <c r="AY564" s="64">
        <f t="shared" si="187"/>
        <v>0</v>
      </c>
      <c r="AZ564" s="64">
        <f t="shared" si="187"/>
        <v>0</v>
      </c>
      <c r="BA564" s="64">
        <f t="shared" si="187"/>
        <v>0</v>
      </c>
      <c r="BB564" s="64">
        <f t="shared" si="187"/>
        <v>0</v>
      </c>
      <c r="BC564" s="64">
        <f t="shared" si="187"/>
        <v>0</v>
      </c>
      <c r="BD564" s="64">
        <f t="shared" si="187"/>
        <v>0</v>
      </c>
      <c r="BE564" s="64">
        <f t="shared" si="187"/>
        <v>0</v>
      </c>
      <c r="BF564" s="64">
        <f t="shared" si="187"/>
        <v>0</v>
      </c>
      <c r="BG564" s="64">
        <f t="shared" si="187"/>
        <v>0</v>
      </c>
      <c r="BH564" s="64">
        <f t="shared" si="187"/>
        <v>0</v>
      </c>
    </row>
    <row r="565" spans="1:60" s="64" customFormat="1" hidden="1" outlineLevel="1">
      <c r="B565" s="64" t="str">
        <f>Esc!A183</f>
        <v>Gas seco</v>
      </c>
      <c r="C565" s="64">
        <f>Esc!B183</f>
        <v>110.78</v>
      </c>
      <c r="D565" s="64">
        <f>Esc!C183</f>
        <v>98.3</v>
      </c>
      <c r="E565" s="64">
        <f>Esc!D183</f>
        <v>69.27</v>
      </c>
      <c r="F565" s="64">
        <f>Esc!E183</f>
        <v>61.83</v>
      </c>
      <c r="G565" s="64">
        <f>Esc!F183</f>
        <v>52.69</v>
      </c>
      <c r="H565" s="64">
        <f>Esc!G183</f>
        <v>58.9</v>
      </c>
      <c r="I565" s="64">
        <f>Esc!H183</f>
        <v>39.880000000000003</v>
      </c>
      <c r="J565" s="64">
        <f>Esc!I183</f>
        <v>51.68</v>
      </c>
      <c r="K565" s="64">
        <f>Esc!J183</f>
        <v>59.7</v>
      </c>
      <c r="L565" s="64">
        <f>Esc!K183</f>
        <v>58.69</v>
      </c>
      <c r="M565" s="64">
        <f>Esc!L183</f>
        <v>53.62</v>
      </c>
      <c r="N565" s="64">
        <f t="shared" si="188"/>
        <v>53.62</v>
      </c>
      <c r="O565" s="64">
        <f t="shared" si="187"/>
        <v>53.62</v>
      </c>
      <c r="P565" s="64">
        <f t="shared" si="187"/>
        <v>53.62</v>
      </c>
      <c r="Q565" s="64">
        <f t="shared" si="187"/>
        <v>53.62</v>
      </c>
      <c r="R565" s="64">
        <f t="shared" si="187"/>
        <v>53.62</v>
      </c>
      <c r="S565" s="64">
        <f t="shared" si="187"/>
        <v>53.62</v>
      </c>
      <c r="T565" s="64">
        <f t="shared" si="187"/>
        <v>53.62</v>
      </c>
      <c r="U565" s="64">
        <f t="shared" si="187"/>
        <v>53.62</v>
      </c>
      <c r="V565" s="64">
        <f t="shared" si="187"/>
        <v>53.62</v>
      </c>
      <c r="W565" s="64">
        <f t="shared" si="187"/>
        <v>53.62</v>
      </c>
      <c r="X565" s="64">
        <f t="shared" si="187"/>
        <v>53.62</v>
      </c>
      <c r="Y565" s="64">
        <f t="shared" si="187"/>
        <v>53.62</v>
      </c>
      <c r="Z565" s="64">
        <f t="shared" si="187"/>
        <v>53.62</v>
      </c>
      <c r="AA565" s="64">
        <f t="shared" si="187"/>
        <v>53.62</v>
      </c>
      <c r="AB565" s="64">
        <f t="shared" si="187"/>
        <v>53.62</v>
      </c>
      <c r="AC565" s="64">
        <f t="shared" si="187"/>
        <v>53.62</v>
      </c>
      <c r="AD565" s="64">
        <f t="shared" si="187"/>
        <v>53.62</v>
      </c>
      <c r="AE565" s="64">
        <f t="shared" si="187"/>
        <v>53.62</v>
      </c>
      <c r="AF565" s="64">
        <f t="shared" si="187"/>
        <v>53.62</v>
      </c>
      <c r="AG565" s="64">
        <f t="shared" si="187"/>
        <v>53.62</v>
      </c>
      <c r="AH565" s="64">
        <f t="shared" si="187"/>
        <v>53.62</v>
      </c>
      <c r="AI565" s="64">
        <f t="shared" si="187"/>
        <v>53.62</v>
      </c>
      <c r="AJ565" s="64">
        <f t="shared" si="187"/>
        <v>53.62</v>
      </c>
      <c r="AK565" s="64">
        <f t="shared" si="187"/>
        <v>53.62</v>
      </c>
      <c r="AL565" s="64">
        <f t="shared" si="187"/>
        <v>53.62</v>
      </c>
      <c r="AM565" s="64">
        <f t="shared" si="187"/>
        <v>53.62</v>
      </c>
      <c r="AN565" s="64">
        <f t="shared" si="187"/>
        <v>53.62</v>
      </c>
      <c r="AO565" s="64">
        <f t="shared" si="187"/>
        <v>53.62</v>
      </c>
      <c r="AP565" s="64">
        <f t="shared" si="187"/>
        <v>53.62</v>
      </c>
      <c r="AQ565" s="64">
        <f t="shared" si="187"/>
        <v>53.62</v>
      </c>
      <c r="AR565" s="64">
        <f t="shared" si="187"/>
        <v>53.62</v>
      </c>
      <c r="AS565" s="64">
        <f t="shared" si="187"/>
        <v>53.62</v>
      </c>
      <c r="AT565" s="64">
        <f t="shared" si="187"/>
        <v>53.62</v>
      </c>
      <c r="AU565" s="64">
        <f t="shared" si="187"/>
        <v>53.62</v>
      </c>
      <c r="AV565" s="64">
        <f t="shared" si="187"/>
        <v>53.62</v>
      </c>
      <c r="AW565" s="64">
        <f t="shared" si="187"/>
        <v>53.62</v>
      </c>
      <c r="AX565" s="64">
        <f t="shared" si="187"/>
        <v>53.62</v>
      </c>
      <c r="AY565" s="64">
        <f t="shared" si="187"/>
        <v>53.62</v>
      </c>
      <c r="AZ565" s="64">
        <f t="shared" si="187"/>
        <v>53.62</v>
      </c>
      <c r="BA565" s="64">
        <f t="shared" si="187"/>
        <v>53.62</v>
      </c>
      <c r="BB565" s="64">
        <f t="shared" si="187"/>
        <v>53.62</v>
      </c>
      <c r="BC565" s="64">
        <f t="shared" si="187"/>
        <v>53.62</v>
      </c>
      <c r="BD565" s="64">
        <f t="shared" si="187"/>
        <v>53.62</v>
      </c>
      <c r="BE565" s="64">
        <f t="shared" si="187"/>
        <v>53.62</v>
      </c>
      <c r="BF565" s="64">
        <f t="shared" si="187"/>
        <v>53.62</v>
      </c>
      <c r="BG565" s="64">
        <f t="shared" si="187"/>
        <v>53.62</v>
      </c>
      <c r="BH565" s="64">
        <f t="shared" si="187"/>
        <v>53.62</v>
      </c>
    </row>
    <row r="566" spans="1:60" s="64" customFormat="1" hidden="1" outlineLevel="1">
      <c r="B566" s="64" t="str">
        <f>Esc!A184</f>
        <v>Electricidad</v>
      </c>
      <c r="C566" s="64">
        <f>Esc!B184</f>
        <v>5.12</v>
      </c>
      <c r="D566" s="64">
        <f>Esc!C184</f>
        <v>5.19</v>
      </c>
      <c r="E566" s="64">
        <f>Esc!D184</f>
        <v>4.6900000000000004</v>
      </c>
      <c r="F566" s="64">
        <f>Esc!E184</f>
        <v>4.29</v>
      </c>
      <c r="G566" s="64">
        <f>Esc!F184</f>
        <v>6.26</v>
      </c>
      <c r="H566" s="64">
        <f>Esc!G184</f>
        <v>5.74</v>
      </c>
      <c r="I566" s="64">
        <f>Esc!H184</f>
        <v>5.89</v>
      </c>
      <c r="J566" s="64">
        <f>Esc!I184</f>
        <v>14.18</v>
      </c>
      <c r="K566" s="64">
        <f>Esc!J184</f>
        <v>5.87</v>
      </c>
      <c r="L566" s="64">
        <f>Esc!K184</f>
        <v>5.77</v>
      </c>
      <c r="M566" s="64">
        <f>Esc!L184</f>
        <v>5.27</v>
      </c>
      <c r="N566" s="64">
        <f t="shared" si="188"/>
        <v>5.27</v>
      </c>
      <c r="O566" s="64">
        <f t="shared" si="187"/>
        <v>5.27</v>
      </c>
      <c r="P566" s="64">
        <f t="shared" si="187"/>
        <v>5.27</v>
      </c>
      <c r="Q566" s="64">
        <f t="shared" si="187"/>
        <v>5.27</v>
      </c>
      <c r="R566" s="64">
        <f t="shared" si="187"/>
        <v>5.27</v>
      </c>
      <c r="S566" s="64">
        <f t="shared" si="187"/>
        <v>5.27</v>
      </c>
      <c r="T566" s="64">
        <f t="shared" si="187"/>
        <v>5.27</v>
      </c>
      <c r="U566" s="64">
        <f t="shared" si="187"/>
        <v>5.27</v>
      </c>
      <c r="V566" s="64">
        <f t="shared" si="187"/>
        <v>5.27</v>
      </c>
      <c r="W566" s="64">
        <f t="shared" si="187"/>
        <v>5.27</v>
      </c>
      <c r="X566" s="64">
        <f t="shared" si="187"/>
        <v>5.27</v>
      </c>
      <c r="Y566" s="64">
        <f t="shared" si="187"/>
        <v>5.27</v>
      </c>
      <c r="Z566" s="64">
        <f t="shared" si="187"/>
        <v>5.27</v>
      </c>
      <c r="AA566" s="64">
        <f t="shared" si="187"/>
        <v>5.27</v>
      </c>
      <c r="AB566" s="64">
        <f t="shared" si="187"/>
        <v>5.27</v>
      </c>
      <c r="AC566" s="64">
        <f t="shared" si="187"/>
        <v>5.27</v>
      </c>
      <c r="AD566" s="64">
        <f t="shared" si="187"/>
        <v>5.27</v>
      </c>
      <c r="AE566" s="64">
        <f t="shared" si="187"/>
        <v>5.27</v>
      </c>
      <c r="AF566" s="64">
        <f t="shared" si="187"/>
        <v>5.27</v>
      </c>
      <c r="AG566" s="64">
        <f t="shared" si="187"/>
        <v>5.27</v>
      </c>
      <c r="AH566" s="64">
        <f t="shared" si="187"/>
        <v>5.27</v>
      </c>
      <c r="AI566" s="64">
        <f t="shared" si="187"/>
        <v>5.27</v>
      </c>
      <c r="AJ566" s="64">
        <f t="shared" si="187"/>
        <v>5.27</v>
      </c>
      <c r="AK566" s="64">
        <f t="shared" si="187"/>
        <v>5.27</v>
      </c>
      <c r="AL566" s="64">
        <f t="shared" si="187"/>
        <v>5.27</v>
      </c>
      <c r="AM566" s="64">
        <f t="shared" si="187"/>
        <v>5.27</v>
      </c>
      <c r="AN566" s="64">
        <f t="shared" si="187"/>
        <v>5.27</v>
      </c>
      <c r="AO566" s="64">
        <f t="shared" si="187"/>
        <v>5.27</v>
      </c>
      <c r="AP566" s="64">
        <f t="shared" si="187"/>
        <v>5.27</v>
      </c>
      <c r="AQ566" s="64">
        <f t="shared" si="187"/>
        <v>5.27</v>
      </c>
      <c r="AR566" s="64">
        <f t="shared" si="187"/>
        <v>5.27</v>
      </c>
      <c r="AS566" s="64">
        <f t="shared" si="187"/>
        <v>5.27</v>
      </c>
      <c r="AT566" s="64">
        <f t="shared" si="187"/>
        <v>5.27</v>
      </c>
      <c r="AU566" s="64">
        <f t="shared" si="187"/>
        <v>5.27</v>
      </c>
      <c r="AV566" s="64">
        <f t="shared" si="187"/>
        <v>5.27</v>
      </c>
      <c r="AW566" s="64">
        <f t="shared" si="187"/>
        <v>5.27</v>
      </c>
      <c r="AX566" s="64">
        <f t="shared" si="187"/>
        <v>5.27</v>
      </c>
      <c r="AY566" s="64">
        <f t="shared" si="187"/>
        <v>5.27</v>
      </c>
      <c r="AZ566" s="64">
        <f t="shared" si="187"/>
        <v>5.27</v>
      </c>
      <c r="BA566" s="64">
        <f t="shared" si="187"/>
        <v>5.27</v>
      </c>
      <c r="BB566" s="64">
        <f t="shared" si="187"/>
        <v>5.27</v>
      </c>
      <c r="BC566" s="64">
        <f t="shared" si="187"/>
        <v>5.27</v>
      </c>
      <c r="BD566" s="64">
        <f t="shared" si="187"/>
        <v>5.27</v>
      </c>
      <c r="BE566" s="64">
        <f t="shared" si="187"/>
        <v>5.27</v>
      </c>
      <c r="BF566" s="64">
        <f t="shared" si="187"/>
        <v>5.27</v>
      </c>
      <c r="BG566" s="64">
        <f t="shared" si="187"/>
        <v>5.27</v>
      </c>
      <c r="BH566" s="64">
        <f t="shared" si="187"/>
        <v>5.27</v>
      </c>
    </row>
    <row r="567" spans="1:60" ht="15.75" customHeight="1" collapsed="1">
      <c r="A567" t="s">
        <v>124</v>
      </c>
    </row>
    <row r="568" spans="1:60" hidden="1" outlineLevel="2">
      <c r="B568" t="str">
        <f>A.15!A253</f>
        <v>Coque de carbón</v>
      </c>
      <c r="C568">
        <f>A.15!B253</f>
        <v>0</v>
      </c>
      <c r="D568">
        <f>A.15!C253</f>
        <v>0</v>
      </c>
      <c r="E568">
        <f>A.15!D253</f>
        <v>0</v>
      </c>
      <c r="F568">
        <f>A.15!E253</f>
        <v>0</v>
      </c>
      <c r="G568">
        <f>A.15!F253</f>
        <v>0</v>
      </c>
      <c r="H568">
        <f>A.15!G253</f>
        <v>0</v>
      </c>
      <c r="I568">
        <f>A.15!H253</f>
        <v>0</v>
      </c>
      <c r="J568">
        <f>A.15!I253</f>
        <v>0</v>
      </c>
      <c r="K568">
        <f>A.15!J253</f>
        <v>0</v>
      </c>
      <c r="L568">
        <f>A.15!K253</f>
        <v>0</v>
      </c>
      <c r="M568">
        <f>A.15!L253</f>
        <v>0</v>
      </c>
    </row>
    <row r="569" spans="1:60" hidden="1" outlineLevel="2">
      <c r="B569" t="str">
        <f>A.15!A254</f>
        <v>Coque de petróleo</v>
      </c>
      <c r="C569">
        <f>A.15!B254</f>
        <v>5.98</v>
      </c>
      <c r="D569">
        <f>A.15!C254</f>
        <v>3.48</v>
      </c>
      <c r="E569">
        <f>A.15!D254</f>
        <v>5.0599999999999996</v>
      </c>
      <c r="F569">
        <f>A.15!E254</f>
        <v>5.54</v>
      </c>
      <c r="G569">
        <f>A.15!F254</f>
        <v>14.54</v>
      </c>
      <c r="H569">
        <f>A.15!G254</f>
        <v>16.34</v>
      </c>
      <c r="I569">
        <f>A.15!H254</f>
        <v>11.77</v>
      </c>
      <c r="J569">
        <f>A.15!I254</f>
        <v>11.17</v>
      </c>
      <c r="K569">
        <f>A.15!J254</f>
        <v>11</v>
      </c>
      <c r="L569">
        <f>A.15!K254</f>
        <v>17.86</v>
      </c>
      <c r="M569">
        <f>A.15!L254</f>
        <v>19.28</v>
      </c>
    </row>
    <row r="570" spans="1:60" hidden="1" outlineLevel="2">
      <c r="B570" t="str">
        <f>A.15!A256</f>
        <v>Gas licuado</v>
      </c>
      <c r="C570">
        <f>A.15!B256</f>
        <v>30.58</v>
      </c>
      <c r="D570">
        <f>A.15!C256</f>
        <v>30.14</v>
      </c>
      <c r="E570">
        <f>A.15!D256</f>
        <v>30.79</v>
      </c>
      <c r="F570">
        <f>A.15!E256</f>
        <v>34.159999999999997</v>
      </c>
      <c r="G570">
        <f>A.15!F256</f>
        <v>31.69</v>
      </c>
      <c r="H570">
        <f>A.15!G256</f>
        <v>32.68</v>
      </c>
      <c r="I570">
        <f>A.15!H256</f>
        <v>17</v>
      </c>
      <c r="J570">
        <f>A.15!I256</f>
        <v>28.51</v>
      </c>
      <c r="K570">
        <f>A.15!J256</f>
        <v>26.15</v>
      </c>
      <c r="L570">
        <f>A.15!K256</f>
        <v>32.35</v>
      </c>
      <c r="M570">
        <f>A.15!L256</f>
        <v>29.16</v>
      </c>
    </row>
    <row r="571" spans="1:60" hidden="1" outlineLevel="2">
      <c r="B571" t="str">
        <f>A.15!A257</f>
        <v>Gasolinas y naftas</v>
      </c>
      <c r="C571">
        <f>A.15!B257</f>
        <v>0.85</v>
      </c>
      <c r="D571">
        <f>A.15!C257</f>
        <v>1.05</v>
      </c>
      <c r="E571">
        <f>A.15!D257</f>
        <v>0.99</v>
      </c>
      <c r="F571">
        <f>A.15!E257</f>
        <v>1.1499999999999999</v>
      </c>
      <c r="G571">
        <f>A.15!F257</f>
        <v>1.17</v>
      </c>
      <c r="H571">
        <f>A.15!G257</f>
        <v>1.18</v>
      </c>
      <c r="I571">
        <f>A.15!H257</f>
        <v>1.29</v>
      </c>
      <c r="J571">
        <f>A.15!I257</f>
        <v>1.47</v>
      </c>
      <c r="K571">
        <f>A.15!J257</f>
        <v>1.47</v>
      </c>
      <c r="L571">
        <f>A.15!K257</f>
        <v>1.34</v>
      </c>
      <c r="M571">
        <f>A.15!L257</f>
        <v>1.34</v>
      </c>
    </row>
    <row r="572" spans="1:60" hidden="1" outlineLevel="2">
      <c r="B572" t="str">
        <f>A.15!A258</f>
        <v>Querosenos</v>
      </c>
      <c r="C572">
        <f>A.15!B258</f>
        <v>0</v>
      </c>
      <c r="D572">
        <f>A.15!C258</f>
        <v>0</v>
      </c>
      <c r="E572">
        <f>A.15!D258</f>
        <v>0</v>
      </c>
      <c r="F572">
        <f>A.15!E258</f>
        <v>0</v>
      </c>
      <c r="G572">
        <f>A.15!F258</f>
        <v>0</v>
      </c>
      <c r="H572">
        <f>A.15!G258</f>
        <v>0</v>
      </c>
      <c r="I572">
        <f>A.15!H258</f>
        <v>0</v>
      </c>
      <c r="J572">
        <f>A.15!I258</f>
        <v>0</v>
      </c>
      <c r="K572">
        <f>A.15!J258</f>
        <v>0</v>
      </c>
      <c r="L572">
        <f>A.15!K258</f>
        <v>0</v>
      </c>
      <c r="M572">
        <f>A.15!L258</f>
        <v>0</v>
      </c>
    </row>
    <row r="573" spans="1:60" hidden="1" outlineLevel="2">
      <c r="B573" t="str">
        <f>A.15!A259</f>
        <v>Diésel</v>
      </c>
      <c r="C573">
        <f>A.15!B259</f>
        <v>35.369999999999997</v>
      </c>
      <c r="D573">
        <f>A.15!C259</f>
        <v>31.42</v>
      </c>
      <c r="E573">
        <f>A.15!D259</f>
        <v>42.65</v>
      </c>
      <c r="F573">
        <f>A.15!E259</f>
        <v>51.36</v>
      </c>
      <c r="G573">
        <f>A.15!F259</f>
        <v>26.63</v>
      </c>
      <c r="H573">
        <f>A.15!G259</f>
        <v>27.63</v>
      </c>
      <c r="I573">
        <f>A.15!H259</f>
        <v>28.55</v>
      </c>
      <c r="J573">
        <f>A.15!I259</f>
        <v>31.65</v>
      </c>
      <c r="K573">
        <f>A.15!J259</f>
        <v>13.73</v>
      </c>
      <c r="L573">
        <f>A.15!K259</f>
        <v>20.91</v>
      </c>
      <c r="M573">
        <f>A.15!L259</f>
        <v>18.14</v>
      </c>
    </row>
    <row r="574" spans="1:60" hidden="1" outlineLevel="2">
      <c r="B574" t="str">
        <f>A.15!A260</f>
        <v>Combustóleo</v>
      </c>
      <c r="C574">
        <f>A.15!B260</f>
        <v>1.01</v>
      </c>
      <c r="D574">
        <f>A.15!C260</f>
        <v>1.5</v>
      </c>
      <c r="E574">
        <f>A.15!D260</f>
        <v>4.91</v>
      </c>
      <c r="F574">
        <f>A.15!E260</f>
        <v>10.130000000000001</v>
      </c>
      <c r="G574">
        <f>A.15!F260</f>
        <v>8.7899999999999991</v>
      </c>
      <c r="H574">
        <f>A.15!G260</f>
        <v>2.64</v>
      </c>
      <c r="I574">
        <f>A.15!H260</f>
        <v>4.12</v>
      </c>
      <c r="J574">
        <f>A.15!I260</f>
        <v>1.24</v>
      </c>
      <c r="K574">
        <f>A.15!J260</f>
        <v>3.57</v>
      </c>
      <c r="L574">
        <f>A.15!K260</f>
        <v>1.87</v>
      </c>
      <c r="M574">
        <f>A.15!L260</f>
        <v>2.71</v>
      </c>
    </row>
    <row r="575" spans="1:60" hidden="1" outlineLevel="2">
      <c r="B575" t="str">
        <f>A.15!A261</f>
        <v>Productos no
energéticos</v>
      </c>
      <c r="C575">
        <f>A.15!B261</f>
        <v>0</v>
      </c>
      <c r="D575">
        <f>A.15!C261</f>
        <v>0</v>
      </c>
      <c r="E575">
        <f>A.15!D261</f>
        <v>0</v>
      </c>
      <c r="F575">
        <f>A.15!E261</f>
        <v>0</v>
      </c>
      <c r="G575">
        <f>A.15!F261</f>
        <v>0</v>
      </c>
      <c r="H575">
        <f>A.15!G261</f>
        <v>0</v>
      </c>
      <c r="I575">
        <f>A.15!H261</f>
        <v>0</v>
      </c>
      <c r="J575">
        <f>A.15!I261</f>
        <v>0</v>
      </c>
      <c r="K575">
        <f>A.15!J261</f>
        <v>0</v>
      </c>
      <c r="L575">
        <f>A.15!K261</f>
        <v>0</v>
      </c>
      <c r="M575">
        <f>A.15!L261</f>
        <v>0</v>
      </c>
    </row>
    <row r="576" spans="1:60" hidden="1" outlineLevel="2">
      <c r="B576" t="str">
        <f>A.15!A262</f>
        <v>Gas seco</v>
      </c>
      <c r="C576">
        <f>A.15!B262</f>
        <v>178.72</v>
      </c>
      <c r="D576">
        <f>A.15!C262</f>
        <v>183.79</v>
      </c>
      <c r="E576">
        <f>A.15!D262</f>
        <v>194.44</v>
      </c>
      <c r="F576">
        <f>A.15!E262</f>
        <v>212.35</v>
      </c>
      <c r="G576">
        <f>A.15!F262</f>
        <v>257.77999999999997</v>
      </c>
      <c r="H576">
        <f>A.15!G262</f>
        <v>89.7</v>
      </c>
      <c r="I576">
        <f>A.15!H262</f>
        <v>89.7</v>
      </c>
      <c r="J576">
        <f>A.15!I262</f>
        <v>32.86</v>
      </c>
      <c r="K576">
        <f>A.15!J262</f>
        <v>22.59</v>
      </c>
      <c r="L576">
        <f>A.15!K262</f>
        <v>38.99</v>
      </c>
      <c r="M576">
        <f>A.15!L262</f>
        <v>58.54</v>
      </c>
    </row>
    <row r="577" spans="2:60" hidden="1" outlineLevel="2">
      <c r="B577" t="str">
        <f>A.15!A263</f>
        <v>Energía eléctrica</v>
      </c>
      <c r="C577">
        <f>A.15!B263</f>
        <v>376.98</v>
      </c>
      <c r="D577">
        <f>A.15!C263</f>
        <v>383.45</v>
      </c>
      <c r="E577">
        <f>A.15!D263</f>
        <v>386.3</v>
      </c>
      <c r="F577">
        <f>A.15!E263</f>
        <v>398.63</v>
      </c>
      <c r="G577">
        <f>A.15!F263</f>
        <v>401.89</v>
      </c>
      <c r="H577">
        <f>A.15!G263</f>
        <v>438.42</v>
      </c>
      <c r="I577">
        <f>A.15!H263</f>
        <v>431.64</v>
      </c>
      <c r="J577">
        <f>A.15!I263</f>
        <v>453.02</v>
      </c>
      <c r="K577">
        <f>A.15!J263</f>
        <v>225.99</v>
      </c>
      <c r="L577">
        <f>A.15!K263</f>
        <v>415.93</v>
      </c>
      <c r="M577">
        <f>A.15!L263</f>
        <v>266.31</v>
      </c>
    </row>
    <row r="578" spans="2:60" hidden="1" outlineLevel="2">
      <c r="B578" t="str">
        <f>A.15!A264</f>
        <v>Carbón</v>
      </c>
      <c r="C578">
        <f>A.15!B264</f>
        <v>94.21</v>
      </c>
      <c r="D578">
        <f>A.15!C264</f>
        <v>71.010000000000005</v>
      </c>
      <c r="E578">
        <f>A.15!D264</f>
        <v>78.17</v>
      </c>
      <c r="F578">
        <f>A.15!E264</f>
        <v>56.95</v>
      </c>
      <c r="G578">
        <f>A.15!F264</f>
        <v>230.39</v>
      </c>
      <c r="H578">
        <f>A.15!G264</f>
        <v>179.62</v>
      </c>
      <c r="I578">
        <f>A.15!H264</f>
        <v>114.03</v>
      </c>
      <c r="J578">
        <f>A.15!I264</f>
        <v>11.42</v>
      </c>
      <c r="K578">
        <f>A.15!J264</f>
        <v>58.67</v>
      </c>
      <c r="L578">
        <f>A.15!K264</f>
        <v>78.13</v>
      </c>
      <c r="M578">
        <f>A.15!L264</f>
        <v>85.2</v>
      </c>
    </row>
    <row r="579" spans="2:60" hidden="1" outlineLevel="2">
      <c r="B579" t="str">
        <f>A.15!A265</f>
        <v>Bagazo de caña</v>
      </c>
      <c r="C579">
        <f>A.15!B265</f>
        <v>4.26</v>
      </c>
      <c r="D579">
        <f>A.15!C265</f>
        <v>5.71</v>
      </c>
      <c r="E579">
        <f>A.15!D265</f>
        <v>4.22</v>
      </c>
      <c r="F579">
        <f>A.15!E265</f>
        <v>5.1100000000000003</v>
      </c>
      <c r="G579">
        <f>A.15!F265</f>
        <v>6.1</v>
      </c>
      <c r="H579">
        <f>A.15!G265</f>
        <v>10.96</v>
      </c>
      <c r="I579">
        <f>A.15!H265</f>
        <v>2.57</v>
      </c>
      <c r="J579">
        <f>A.15!I265</f>
        <v>9.06</v>
      </c>
      <c r="K579">
        <f>A.15!J265</f>
        <v>6.04</v>
      </c>
      <c r="L579">
        <f>A.15!K265</f>
        <v>5.64</v>
      </c>
      <c r="M579">
        <f>A.15!L265</f>
        <v>6.35</v>
      </c>
    </row>
    <row r="580" spans="2:60" hidden="1" outlineLevel="2">
      <c r="B580" t="str">
        <f>A.15!A266</f>
        <v>Solar</v>
      </c>
      <c r="C580">
        <f>A.15!B266</f>
        <v>0.43</v>
      </c>
      <c r="D580">
        <f>A.15!C266</f>
        <v>0.42</v>
      </c>
      <c r="E580">
        <f>A.15!D266</f>
        <v>0.5</v>
      </c>
      <c r="F580">
        <f>A.15!E266</f>
        <v>0.56000000000000005</v>
      </c>
      <c r="G580">
        <f>A.15!F266</f>
        <v>0.6</v>
      </c>
      <c r="H580">
        <f>A.15!G266</f>
        <v>0.67</v>
      </c>
      <c r="I580">
        <f>A.15!H266</f>
        <v>0.74</v>
      </c>
      <c r="J580">
        <f>A.15!I266</f>
        <v>1.3</v>
      </c>
      <c r="K580">
        <f>A.15!J266</f>
        <v>1.29</v>
      </c>
      <c r="L580">
        <f>A.15!K266</f>
        <v>1.1399999999999999</v>
      </c>
      <c r="M580">
        <f>A.15!L266</f>
        <v>1.44</v>
      </c>
    </row>
    <row r="581" spans="2:60" hidden="1" outlineLevel="2"/>
    <row r="582" spans="2:60" s="64" customFormat="1" hidden="1" outlineLevel="2">
      <c r="B582" s="64" t="str">
        <f>Esc!A499</f>
        <v>Carbón</v>
      </c>
      <c r="C582" s="64">
        <f>Esc!B499</f>
        <v>94.21</v>
      </c>
      <c r="D582" s="64">
        <f>Esc!C499</f>
        <v>71.010000000000005</v>
      </c>
      <c r="E582" s="64">
        <f>Esc!D499</f>
        <v>78.17</v>
      </c>
      <c r="F582" s="64">
        <f>Esc!E499</f>
        <v>56.95</v>
      </c>
      <c r="G582" s="64">
        <f>Esc!F499</f>
        <v>230.39</v>
      </c>
      <c r="H582" s="64">
        <f>Esc!G499</f>
        <v>179.62</v>
      </c>
      <c r="I582" s="64">
        <f>Esc!H499</f>
        <v>114.03</v>
      </c>
      <c r="J582" s="64">
        <f>Esc!I499</f>
        <v>11.42</v>
      </c>
      <c r="K582" s="64">
        <f>Esc!J499</f>
        <v>34.74</v>
      </c>
      <c r="L582" s="64">
        <f>Esc!K499</f>
        <v>34.479999999999997</v>
      </c>
      <c r="M582" s="64">
        <f>Esc!L499</f>
        <v>34.119999999999997</v>
      </c>
      <c r="N582" s="64">
        <f>Esc!M499</f>
        <v>33.75</v>
      </c>
      <c r="O582" s="64">
        <f>Esc!N499</f>
        <v>33.39</v>
      </c>
      <c r="P582" s="64">
        <f>Esc!O499</f>
        <v>33.020000000000003</v>
      </c>
      <c r="Q582" s="64">
        <f>Esc!P499</f>
        <v>32.659999999999997</v>
      </c>
      <c r="R582" s="64">
        <f>Esc!Q499</f>
        <v>32.29</v>
      </c>
      <c r="S582" s="64">
        <f>Esc!R499</f>
        <v>31.93</v>
      </c>
      <c r="T582" s="64">
        <f>Esc!S499</f>
        <v>31.56</v>
      </c>
      <c r="U582" s="64">
        <f>Esc!T499</f>
        <v>31.2</v>
      </c>
      <c r="V582" s="64">
        <f>Esc!U499</f>
        <v>30.83</v>
      </c>
      <c r="W582" s="64">
        <f>Esc!V499</f>
        <v>30.47</v>
      </c>
      <c r="X582" s="64">
        <f>Esc!W499</f>
        <v>30.1</v>
      </c>
      <c r="Y582" s="64">
        <f>Esc!X499</f>
        <v>29.74</v>
      </c>
      <c r="Z582" s="64">
        <f>Esc!Y499</f>
        <v>29.37</v>
      </c>
      <c r="AA582" s="64">
        <f>Esc!Z499</f>
        <v>29.01</v>
      </c>
      <c r="AB582" s="64">
        <f>Esc!AA499</f>
        <v>28.64</v>
      </c>
      <c r="AC582" s="64">
        <f>Esc!AB499</f>
        <v>28.27</v>
      </c>
      <c r="AD582" s="64">
        <f>Esc!AC499</f>
        <v>27.91</v>
      </c>
      <c r="AE582" s="64">
        <f>Esc!AD499</f>
        <v>27.54</v>
      </c>
      <c r="AF582" s="64">
        <f>Esc!AE499</f>
        <v>27.18</v>
      </c>
      <c r="AG582" s="64">
        <f>Esc!AF499</f>
        <v>26.81</v>
      </c>
      <c r="AH582" s="64">
        <f>Esc!AG499</f>
        <v>26.45</v>
      </c>
      <c r="AI582" s="64">
        <f>Esc!AH499</f>
        <v>26.08</v>
      </c>
      <c r="AJ582" s="64">
        <f>Esc!AI499</f>
        <v>25.72</v>
      </c>
      <c r="AK582" s="64">
        <f>Esc!AJ499</f>
        <v>25.35</v>
      </c>
      <c r="AL582" s="64">
        <f>Esc!AK499</f>
        <v>24.99</v>
      </c>
      <c r="AM582" s="64">
        <f>Esc!AL499</f>
        <v>24.62</v>
      </c>
      <c r="AN582" s="64">
        <f>Esc!AM499</f>
        <v>24.26</v>
      </c>
      <c r="AO582" s="64">
        <f>AN582</f>
        <v>24.26</v>
      </c>
      <c r="AP582" s="64">
        <f t="shared" ref="AP582:BH596" si="189">AO582</f>
        <v>24.26</v>
      </c>
      <c r="AQ582" s="64">
        <f t="shared" si="189"/>
        <v>24.26</v>
      </c>
      <c r="AR582" s="64">
        <f t="shared" si="189"/>
        <v>24.26</v>
      </c>
      <c r="AS582" s="64">
        <f t="shared" si="189"/>
        <v>24.26</v>
      </c>
      <c r="AT582" s="64">
        <f t="shared" si="189"/>
        <v>24.26</v>
      </c>
      <c r="AU582" s="64">
        <f t="shared" si="189"/>
        <v>24.26</v>
      </c>
      <c r="AV582" s="64">
        <f t="shared" si="189"/>
        <v>24.26</v>
      </c>
      <c r="AW582" s="64">
        <f t="shared" si="189"/>
        <v>24.26</v>
      </c>
      <c r="AX582" s="64">
        <f t="shared" si="189"/>
        <v>24.26</v>
      </c>
      <c r="AY582" s="64">
        <f t="shared" si="189"/>
        <v>24.26</v>
      </c>
      <c r="AZ582" s="64">
        <f t="shared" si="189"/>
        <v>24.26</v>
      </c>
      <c r="BA582" s="64">
        <f t="shared" si="189"/>
        <v>24.26</v>
      </c>
      <c r="BB582" s="64">
        <f t="shared" si="189"/>
        <v>24.26</v>
      </c>
      <c r="BC582" s="64">
        <f t="shared" si="189"/>
        <v>24.26</v>
      </c>
      <c r="BD582" s="64">
        <f t="shared" si="189"/>
        <v>24.26</v>
      </c>
      <c r="BE582" s="64">
        <f t="shared" si="189"/>
        <v>24.26</v>
      </c>
      <c r="BF582" s="64">
        <f t="shared" si="189"/>
        <v>24.26</v>
      </c>
      <c r="BG582" s="64">
        <f t="shared" si="189"/>
        <v>24.26</v>
      </c>
      <c r="BH582" s="64">
        <f t="shared" si="189"/>
        <v>24.26</v>
      </c>
    </row>
    <row r="583" spans="2:60" s="64" customFormat="1" hidden="1" outlineLevel="2">
      <c r="B583" s="64" t="str">
        <f>Esc!A505</f>
        <v>Radiación solar</v>
      </c>
      <c r="C583" s="64">
        <f>Esc!B505</f>
        <v>0.38</v>
      </c>
      <c r="D583" s="64">
        <f>Esc!C505</f>
        <v>0.42</v>
      </c>
      <c r="E583" s="64">
        <f>Esc!D505</f>
        <v>0.5</v>
      </c>
      <c r="F583" s="64">
        <f>Esc!E505</f>
        <v>0.56000000000000005</v>
      </c>
      <c r="G583" s="64">
        <f>Esc!F505</f>
        <v>0.6</v>
      </c>
      <c r="H583" s="64">
        <f>Esc!G505</f>
        <v>0.67</v>
      </c>
      <c r="I583" s="64">
        <f>Esc!H505</f>
        <v>0.74</v>
      </c>
      <c r="J583" s="64">
        <f>Esc!I505</f>
        <v>1.3</v>
      </c>
      <c r="K583" s="64">
        <f>Esc!J505</f>
        <v>2.14</v>
      </c>
      <c r="L583" s="64">
        <f>Esc!K505</f>
        <v>2.4</v>
      </c>
      <c r="M583" s="64">
        <f>Esc!L505</f>
        <v>2.46</v>
      </c>
      <c r="N583" s="64">
        <f>Esc!M505</f>
        <v>2.5299999999999998</v>
      </c>
      <c r="O583" s="64">
        <f>Esc!N505</f>
        <v>2.59</v>
      </c>
      <c r="P583" s="64">
        <f>Esc!O505</f>
        <v>2.65</v>
      </c>
      <c r="Q583" s="64">
        <f>Esc!P505</f>
        <v>2.72</v>
      </c>
      <c r="R583" s="64">
        <f>Esc!Q505</f>
        <v>2.78</v>
      </c>
      <c r="S583" s="64">
        <f>Esc!R505</f>
        <v>2.84</v>
      </c>
      <c r="T583" s="64">
        <f>Esc!S505</f>
        <v>2.91</v>
      </c>
      <c r="U583" s="64">
        <f>Esc!T505</f>
        <v>2.97</v>
      </c>
      <c r="V583" s="64">
        <f>Esc!U505</f>
        <v>3.03</v>
      </c>
      <c r="W583" s="64">
        <f>Esc!V505</f>
        <v>3.1</v>
      </c>
      <c r="X583" s="64">
        <f>Esc!W505</f>
        <v>3.16</v>
      </c>
      <c r="Y583" s="64">
        <f>Esc!X505</f>
        <v>3.22</v>
      </c>
      <c r="Z583" s="64">
        <f>Esc!Y505</f>
        <v>3.29</v>
      </c>
      <c r="AA583" s="64">
        <f>Esc!Z505</f>
        <v>3.35</v>
      </c>
      <c r="AB583" s="64">
        <f>Esc!AA505</f>
        <v>3.41</v>
      </c>
      <c r="AC583" s="64">
        <f>Esc!AB505</f>
        <v>3.48</v>
      </c>
      <c r="AD583" s="64">
        <f>Esc!AC505</f>
        <v>3.54</v>
      </c>
      <c r="AE583" s="64">
        <f>Esc!AD505</f>
        <v>3.6</v>
      </c>
      <c r="AF583" s="64">
        <f>Esc!AE505</f>
        <v>3.67</v>
      </c>
      <c r="AG583" s="64">
        <f>Esc!AF505</f>
        <v>3.73</v>
      </c>
      <c r="AH583" s="64">
        <f>Esc!AG505</f>
        <v>3.79</v>
      </c>
      <c r="AI583" s="64">
        <f>Esc!AH505</f>
        <v>3.85</v>
      </c>
      <c r="AJ583" s="64">
        <f>Esc!AI505</f>
        <v>3.92</v>
      </c>
      <c r="AK583" s="64">
        <f>Esc!AJ505</f>
        <v>3.98</v>
      </c>
      <c r="AL583" s="64">
        <f>Esc!AK505</f>
        <v>4.04</v>
      </c>
      <c r="AM583" s="64">
        <f>Esc!AL505</f>
        <v>4.1100000000000003</v>
      </c>
      <c r="AN583" s="64">
        <f>Esc!AM505</f>
        <v>4.17</v>
      </c>
      <c r="AO583" s="64">
        <f t="shared" ref="AO583:BD597" si="190">AN583</f>
        <v>4.17</v>
      </c>
      <c r="AP583" s="64">
        <f t="shared" si="190"/>
        <v>4.17</v>
      </c>
      <c r="AQ583" s="64">
        <f t="shared" si="190"/>
        <v>4.17</v>
      </c>
      <c r="AR583" s="64">
        <f t="shared" si="190"/>
        <v>4.17</v>
      </c>
      <c r="AS583" s="64">
        <f t="shared" si="190"/>
        <v>4.17</v>
      </c>
      <c r="AT583" s="64">
        <f t="shared" si="190"/>
        <v>4.17</v>
      </c>
      <c r="AU583" s="64">
        <f t="shared" si="190"/>
        <v>4.17</v>
      </c>
      <c r="AV583" s="64">
        <f t="shared" si="190"/>
        <v>4.17</v>
      </c>
      <c r="AW583" s="64">
        <f t="shared" si="190"/>
        <v>4.17</v>
      </c>
      <c r="AX583" s="64">
        <f t="shared" si="190"/>
        <v>4.17</v>
      </c>
      <c r="AY583" s="64">
        <f t="shared" si="190"/>
        <v>4.17</v>
      </c>
      <c r="AZ583" s="64">
        <f t="shared" si="190"/>
        <v>4.17</v>
      </c>
      <c r="BA583" s="64">
        <f t="shared" si="190"/>
        <v>4.17</v>
      </c>
      <c r="BB583" s="64">
        <f t="shared" si="190"/>
        <v>4.17</v>
      </c>
      <c r="BC583" s="64">
        <f t="shared" si="190"/>
        <v>4.17</v>
      </c>
      <c r="BD583" s="64">
        <f t="shared" si="190"/>
        <v>4.17</v>
      </c>
      <c r="BE583" s="64">
        <f t="shared" si="189"/>
        <v>4.17</v>
      </c>
      <c r="BF583" s="64">
        <f t="shared" si="189"/>
        <v>4.17</v>
      </c>
      <c r="BG583" s="64">
        <f t="shared" si="189"/>
        <v>4.17</v>
      </c>
      <c r="BH583" s="64">
        <f t="shared" si="189"/>
        <v>4.17</v>
      </c>
    </row>
    <row r="584" spans="2:60" s="64" customFormat="1" hidden="1" outlineLevel="2">
      <c r="B584" s="64" t="str">
        <f>Esc!A508</f>
        <v>Bagazos</v>
      </c>
      <c r="C584" s="64">
        <f>Esc!B508</f>
        <v>8.49</v>
      </c>
      <c r="D584" s="64">
        <f>Esc!C508</f>
        <v>11.38</v>
      </c>
      <c r="E584" s="64">
        <f>Esc!D508</f>
        <v>8.41</v>
      </c>
      <c r="F584" s="64">
        <f>Esc!E508</f>
        <v>10.18</v>
      </c>
      <c r="G584" s="64">
        <f>Esc!F508</f>
        <v>12.15</v>
      </c>
      <c r="H584" s="64">
        <f>Esc!G508</f>
        <v>22.05</v>
      </c>
      <c r="I584" s="64">
        <f>Esc!H508</f>
        <v>6.22</v>
      </c>
      <c r="J584" s="64">
        <f>Esc!I508</f>
        <v>18.05</v>
      </c>
      <c r="K584" s="64">
        <f>Esc!J508</f>
        <v>20.96</v>
      </c>
      <c r="L584" s="64">
        <f>Esc!K508</f>
        <v>20.66</v>
      </c>
      <c r="M584" s="64">
        <f>Esc!L508</f>
        <v>21.25</v>
      </c>
      <c r="N584" s="64">
        <f>Esc!M508</f>
        <v>21.85</v>
      </c>
      <c r="O584" s="64">
        <f>Esc!N508</f>
        <v>22.45</v>
      </c>
      <c r="P584" s="64">
        <f>Esc!O508</f>
        <v>23.04</v>
      </c>
      <c r="Q584" s="64">
        <f>Esc!P508</f>
        <v>23.64</v>
      </c>
      <c r="R584" s="64">
        <f>Esc!Q508</f>
        <v>24.24</v>
      </c>
      <c r="S584" s="64">
        <f>Esc!R508</f>
        <v>24.83</v>
      </c>
      <c r="T584" s="64">
        <f>Esc!S508</f>
        <v>25.43</v>
      </c>
      <c r="U584" s="64">
        <f>Esc!T508</f>
        <v>26.03</v>
      </c>
      <c r="V584" s="64">
        <f>Esc!U508</f>
        <v>26.62</v>
      </c>
      <c r="W584" s="64">
        <f>Esc!V508</f>
        <v>27.22</v>
      </c>
      <c r="X584" s="64">
        <f>Esc!W508</f>
        <v>27.82</v>
      </c>
      <c r="Y584" s="64">
        <f>Esc!X508</f>
        <v>28.41</v>
      </c>
      <c r="Z584" s="64">
        <f>Esc!Y508</f>
        <v>29.01</v>
      </c>
      <c r="AA584" s="64">
        <f>Esc!Z508</f>
        <v>29.61</v>
      </c>
      <c r="AB584" s="64">
        <f>Esc!AA508</f>
        <v>30.2</v>
      </c>
      <c r="AC584" s="64">
        <f>Esc!AB508</f>
        <v>30.8</v>
      </c>
      <c r="AD584" s="64">
        <f>Esc!AC508</f>
        <v>31.4</v>
      </c>
      <c r="AE584" s="64">
        <f>Esc!AD508</f>
        <v>31.99</v>
      </c>
      <c r="AF584" s="64">
        <f>Esc!AE508</f>
        <v>32.590000000000003</v>
      </c>
      <c r="AG584" s="64">
        <f>Esc!AF508</f>
        <v>33.19</v>
      </c>
      <c r="AH584" s="64">
        <f>Esc!AG508</f>
        <v>33.78</v>
      </c>
      <c r="AI584" s="64">
        <f>Esc!AH508</f>
        <v>34.380000000000003</v>
      </c>
      <c r="AJ584" s="64">
        <f>Esc!AI508</f>
        <v>34.979999999999997</v>
      </c>
      <c r="AK584" s="64">
        <f>Esc!AJ508</f>
        <v>35.57</v>
      </c>
      <c r="AL584" s="64">
        <f>Esc!AK508</f>
        <v>36.17</v>
      </c>
      <c r="AM584" s="64">
        <f>Esc!AL508</f>
        <v>36.770000000000003</v>
      </c>
      <c r="AN584" s="64">
        <f>Esc!AM508</f>
        <v>37.36</v>
      </c>
      <c r="AO584" s="64">
        <f t="shared" si="190"/>
        <v>37.36</v>
      </c>
      <c r="AP584" s="64">
        <f t="shared" si="189"/>
        <v>37.36</v>
      </c>
      <c r="AQ584" s="64">
        <f t="shared" si="189"/>
        <v>37.36</v>
      </c>
      <c r="AR584" s="64">
        <f t="shared" si="189"/>
        <v>37.36</v>
      </c>
      <c r="AS584" s="64">
        <f t="shared" si="189"/>
        <v>37.36</v>
      </c>
      <c r="AT584" s="64">
        <f t="shared" si="189"/>
        <v>37.36</v>
      </c>
      <c r="AU584" s="64">
        <f t="shared" si="189"/>
        <v>37.36</v>
      </c>
      <c r="AV584" s="64">
        <f t="shared" si="189"/>
        <v>37.36</v>
      </c>
      <c r="AW584" s="64">
        <f t="shared" si="189"/>
        <v>37.36</v>
      </c>
      <c r="AX584" s="64">
        <f t="shared" si="189"/>
        <v>37.36</v>
      </c>
      <c r="AY584" s="64">
        <f t="shared" si="189"/>
        <v>37.36</v>
      </c>
      <c r="AZ584" s="64">
        <f t="shared" si="189"/>
        <v>37.36</v>
      </c>
      <c r="BA584" s="64">
        <f t="shared" si="189"/>
        <v>37.36</v>
      </c>
      <c r="BB584" s="64">
        <f t="shared" si="189"/>
        <v>37.36</v>
      </c>
      <c r="BC584" s="64">
        <f t="shared" si="189"/>
        <v>37.36</v>
      </c>
      <c r="BD584" s="64">
        <f t="shared" si="189"/>
        <v>37.36</v>
      </c>
      <c r="BE584" s="64">
        <f t="shared" si="189"/>
        <v>37.36</v>
      </c>
      <c r="BF584" s="64">
        <f t="shared" si="189"/>
        <v>37.36</v>
      </c>
      <c r="BG584" s="64">
        <f t="shared" si="189"/>
        <v>37.36</v>
      </c>
      <c r="BH584" s="64">
        <f t="shared" si="189"/>
        <v>37.36</v>
      </c>
    </row>
    <row r="585" spans="2:60" s="64" customFormat="1" hidden="1" outlineLevel="2">
      <c r="B585" s="64" t="str">
        <f>Esc!A509</f>
        <v>Leña</v>
      </c>
      <c r="C585" s="64">
        <f>Esc!B509</f>
        <v>28.38</v>
      </c>
      <c r="D585" s="64">
        <f>Esc!C509</f>
        <v>28.24</v>
      </c>
      <c r="E585" s="64">
        <f>Esc!D509</f>
        <v>28.1</v>
      </c>
      <c r="F585" s="64">
        <f>Esc!E509</f>
        <v>27.96</v>
      </c>
      <c r="G585" s="64">
        <f>Esc!F509</f>
        <v>27.82</v>
      </c>
      <c r="H585" s="64">
        <f>Esc!G509</f>
        <v>27.68</v>
      </c>
      <c r="I585" s="64">
        <f>Esc!H509</f>
        <v>27.54</v>
      </c>
      <c r="J585" s="64">
        <f>Esc!I509</f>
        <v>27.4</v>
      </c>
      <c r="K585" s="64">
        <f>Esc!J509</f>
        <v>27.27</v>
      </c>
      <c r="L585" s="64">
        <f>Esc!K509</f>
        <v>27.2</v>
      </c>
      <c r="M585" s="64">
        <f>Esc!L509</f>
        <v>27.06</v>
      </c>
      <c r="N585" s="64">
        <f>Esc!M509</f>
        <v>26.92</v>
      </c>
      <c r="O585" s="64">
        <f>Esc!N509</f>
        <v>26.78</v>
      </c>
      <c r="P585" s="64">
        <f>Esc!O509</f>
        <v>26.64</v>
      </c>
      <c r="Q585" s="64">
        <f>Esc!P509</f>
        <v>26.5</v>
      </c>
      <c r="R585" s="64">
        <f>Esc!Q509</f>
        <v>26.36</v>
      </c>
      <c r="S585" s="64">
        <f>Esc!R509</f>
        <v>26.23</v>
      </c>
      <c r="T585" s="64">
        <f>Esc!S509</f>
        <v>26.09</v>
      </c>
      <c r="U585" s="64">
        <f>Esc!T509</f>
        <v>25.95</v>
      </c>
      <c r="V585" s="64">
        <f>Esc!U509</f>
        <v>25.81</v>
      </c>
      <c r="W585" s="64">
        <f>Esc!V509</f>
        <v>25.67</v>
      </c>
      <c r="X585" s="64">
        <f>Esc!W509</f>
        <v>25.53</v>
      </c>
      <c r="Y585" s="64">
        <f>Esc!X509</f>
        <v>25.39</v>
      </c>
      <c r="Z585" s="64">
        <f>Esc!Y509</f>
        <v>25.25</v>
      </c>
      <c r="AA585" s="64">
        <f>Esc!Z509</f>
        <v>25.11</v>
      </c>
      <c r="AB585" s="64">
        <f>Esc!AA509</f>
        <v>24.98</v>
      </c>
      <c r="AC585" s="64">
        <f>Esc!AB509</f>
        <v>24.84</v>
      </c>
      <c r="AD585" s="64">
        <f>Esc!AC509</f>
        <v>24.7</v>
      </c>
      <c r="AE585" s="64">
        <f>Esc!AD509</f>
        <v>24.56</v>
      </c>
      <c r="AF585" s="64">
        <f>Esc!AE509</f>
        <v>24.42</v>
      </c>
      <c r="AG585" s="64">
        <f>Esc!AF509</f>
        <v>24.28</v>
      </c>
      <c r="AH585" s="64">
        <f>Esc!AG509</f>
        <v>24.14</v>
      </c>
      <c r="AI585" s="64">
        <f>Esc!AH509</f>
        <v>24</v>
      </c>
      <c r="AJ585" s="64">
        <f>Esc!AI509</f>
        <v>23.86</v>
      </c>
      <c r="AK585" s="64">
        <f>Esc!AJ509</f>
        <v>23.73</v>
      </c>
      <c r="AL585" s="64">
        <f>Esc!AK509</f>
        <v>23.59</v>
      </c>
      <c r="AM585" s="64">
        <f>Esc!AL509</f>
        <v>23.45</v>
      </c>
      <c r="AN585" s="64">
        <f>Esc!AM509</f>
        <v>23.31</v>
      </c>
      <c r="AO585" s="64">
        <f t="shared" si="190"/>
        <v>23.31</v>
      </c>
      <c r="AP585" s="64">
        <f t="shared" si="189"/>
        <v>23.31</v>
      </c>
      <c r="AQ585" s="64">
        <f t="shared" si="189"/>
        <v>23.31</v>
      </c>
      <c r="AR585" s="64">
        <f t="shared" si="189"/>
        <v>23.31</v>
      </c>
      <c r="AS585" s="64">
        <f t="shared" si="189"/>
        <v>23.31</v>
      </c>
      <c r="AT585" s="64">
        <f t="shared" si="189"/>
        <v>23.31</v>
      </c>
      <c r="AU585" s="64">
        <f t="shared" si="189"/>
        <v>23.31</v>
      </c>
      <c r="AV585" s="64">
        <f t="shared" si="189"/>
        <v>23.31</v>
      </c>
      <c r="AW585" s="64">
        <f t="shared" si="189"/>
        <v>23.31</v>
      </c>
      <c r="AX585" s="64">
        <f t="shared" si="189"/>
        <v>23.31</v>
      </c>
      <c r="AY585" s="64">
        <f t="shared" si="189"/>
        <v>23.31</v>
      </c>
      <c r="AZ585" s="64">
        <f t="shared" si="189"/>
        <v>23.31</v>
      </c>
      <c r="BA585" s="64">
        <f t="shared" si="189"/>
        <v>23.31</v>
      </c>
      <c r="BB585" s="64">
        <f t="shared" si="189"/>
        <v>23.31</v>
      </c>
      <c r="BC585" s="64">
        <f t="shared" si="189"/>
        <v>23.31</v>
      </c>
      <c r="BD585" s="64">
        <f t="shared" si="189"/>
        <v>23.31</v>
      </c>
      <c r="BE585" s="64">
        <f t="shared" si="189"/>
        <v>23.31</v>
      </c>
      <c r="BF585" s="64">
        <f t="shared" si="189"/>
        <v>23.31</v>
      </c>
      <c r="BG585" s="64">
        <f t="shared" si="189"/>
        <v>23.31</v>
      </c>
      <c r="BH585" s="64">
        <f t="shared" si="189"/>
        <v>23.31</v>
      </c>
    </row>
    <row r="586" spans="2:60" s="64" customFormat="1" hidden="1" outlineLevel="2">
      <c r="B586" s="64" t="str">
        <f>Esc!A514</f>
        <v>Carbón vegetal</v>
      </c>
      <c r="C586" s="64">
        <f>Esc!B514</f>
        <v>0.93</v>
      </c>
      <c r="D586" s="64">
        <f>Esc!C514</f>
        <v>0.93</v>
      </c>
      <c r="E586" s="64">
        <f>Esc!D514</f>
        <v>0.92</v>
      </c>
      <c r="F586" s="64">
        <f>Esc!E514</f>
        <v>0.92</v>
      </c>
      <c r="G586" s="64">
        <f>Esc!F514</f>
        <v>0.91</v>
      </c>
      <c r="H586" s="64">
        <f>Esc!G514</f>
        <v>0.91</v>
      </c>
      <c r="I586" s="64">
        <f>Esc!H514</f>
        <v>0.9</v>
      </c>
      <c r="J586" s="64">
        <f>Esc!I514</f>
        <v>0.9</v>
      </c>
      <c r="K586" s="64">
        <f>Esc!J514</f>
        <v>0.9</v>
      </c>
      <c r="L586" s="64">
        <f>Esc!K514</f>
        <v>0.98</v>
      </c>
      <c r="M586" s="64">
        <f>Esc!L514</f>
        <v>0.97</v>
      </c>
      <c r="N586" s="64">
        <f>Esc!M514</f>
        <v>0.97</v>
      </c>
      <c r="O586" s="64">
        <f>Esc!N514</f>
        <v>0.96</v>
      </c>
      <c r="P586" s="64">
        <f>Esc!O514</f>
        <v>0.96</v>
      </c>
      <c r="Q586" s="64">
        <f>Esc!P514</f>
        <v>0.95</v>
      </c>
      <c r="R586" s="64">
        <f>Esc!Q514</f>
        <v>0.95</v>
      </c>
      <c r="S586" s="64">
        <f>Esc!R514</f>
        <v>0.94</v>
      </c>
      <c r="T586" s="64">
        <f>Esc!S514</f>
        <v>0.94</v>
      </c>
      <c r="U586" s="64">
        <f>Esc!T514</f>
        <v>0.94</v>
      </c>
      <c r="V586" s="64">
        <f>Esc!U514</f>
        <v>0.93</v>
      </c>
      <c r="W586" s="64">
        <f>Esc!V514</f>
        <v>0.93</v>
      </c>
      <c r="X586" s="64">
        <f>Esc!W514</f>
        <v>0.92</v>
      </c>
      <c r="Y586" s="64">
        <f>Esc!X514</f>
        <v>0.92</v>
      </c>
      <c r="Z586" s="64">
        <f>Esc!Y514</f>
        <v>0.91</v>
      </c>
      <c r="AA586" s="64">
        <f>Esc!Z514</f>
        <v>0.91</v>
      </c>
      <c r="AB586" s="64">
        <f>Esc!AA514</f>
        <v>0.9</v>
      </c>
      <c r="AC586" s="64">
        <f>Esc!AB514</f>
        <v>0.9</v>
      </c>
      <c r="AD586" s="64">
        <f>Esc!AC514</f>
        <v>0.89</v>
      </c>
      <c r="AE586" s="64">
        <f>Esc!AD514</f>
        <v>0.89</v>
      </c>
      <c r="AF586" s="64">
        <f>Esc!AE514</f>
        <v>0.88</v>
      </c>
      <c r="AG586" s="64">
        <f>Esc!AF514</f>
        <v>0.88</v>
      </c>
      <c r="AH586" s="64">
        <f>Esc!AG514</f>
        <v>0.88</v>
      </c>
      <c r="AI586" s="64">
        <f>Esc!AH514</f>
        <v>0.87</v>
      </c>
      <c r="AJ586" s="64">
        <f>Esc!AI514</f>
        <v>0.87</v>
      </c>
      <c r="AK586" s="64">
        <f>Esc!AJ514</f>
        <v>0.86</v>
      </c>
      <c r="AL586" s="64">
        <f>Esc!AK514</f>
        <v>0.86</v>
      </c>
      <c r="AM586" s="64">
        <f>Esc!AL514</f>
        <v>0.85</v>
      </c>
      <c r="AN586" s="64">
        <f>Esc!AM514</f>
        <v>0.85</v>
      </c>
      <c r="AO586" s="64">
        <f t="shared" si="190"/>
        <v>0.85</v>
      </c>
      <c r="AP586" s="64">
        <f t="shared" si="189"/>
        <v>0.85</v>
      </c>
      <c r="AQ586" s="64">
        <f t="shared" si="189"/>
        <v>0.85</v>
      </c>
      <c r="AR586" s="64">
        <f t="shared" si="189"/>
        <v>0.85</v>
      </c>
      <c r="AS586" s="64">
        <f t="shared" si="189"/>
        <v>0.85</v>
      </c>
      <c r="AT586" s="64">
        <f t="shared" si="189"/>
        <v>0.85</v>
      </c>
      <c r="AU586" s="64">
        <f t="shared" si="189"/>
        <v>0.85</v>
      </c>
      <c r="AV586" s="64">
        <f t="shared" si="189"/>
        <v>0.85</v>
      </c>
      <c r="AW586" s="64">
        <f t="shared" si="189"/>
        <v>0.85</v>
      </c>
      <c r="AX586" s="64">
        <f t="shared" si="189"/>
        <v>0.85</v>
      </c>
      <c r="AY586" s="64">
        <f t="shared" si="189"/>
        <v>0.85</v>
      </c>
      <c r="AZ586" s="64">
        <f t="shared" si="189"/>
        <v>0.85</v>
      </c>
      <c r="BA586" s="64">
        <f t="shared" si="189"/>
        <v>0.85</v>
      </c>
      <c r="BB586" s="64">
        <f t="shared" si="189"/>
        <v>0.85</v>
      </c>
      <c r="BC586" s="64">
        <f t="shared" si="189"/>
        <v>0.85</v>
      </c>
      <c r="BD586" s="64">
        <f t="shared" si="189"/>
        <v>0.85</v>
      </c>
      <c r="BE586" s="64">
        <f t="shared" si="189"/>
        <v>0.85</v>
      </c>
      <c r="BF586" s="64">
        <f t="shared" si="189"/>
        <v>0.85</v>
      </c>
      <c r="BG586" s="64">
        <f t="shared" si="189"/>
        <v>0.85</v>
      </c>
      <c r="BH586" s="64">
        <f t="shared" si="189"/>
        <v>0.85</v>
      </c>
    </row>
    <row r="587" spans="2:60" s="64" customFormat="1" hidden="1" outlineLevel="2">
      <c r="B587" s="64" t="str">
        <f>Esc!A515</f>
        <v>BCS Procesados</v>
      </c>
      <c r="C587" s="64">
        <f>Esc!B515</f>
        <v>20.92</v>
      </c>
      <c r="D587" s="64">
        <f>Esc!C515</f>
        <v>20.82</v>
      </c>
      <c r="E587" s="64">
        <f>Esc!D515</f>
        <v>20.72</v>
      </c>
      <c r="F587" s="64">
        <f>Esc!E515</f>
        <v>20.61</v>
      </c>
      <c r="G587" s="64">
        <f>Esc!F515</f>
        <v>20.51</v>
      </c>
      <c r="H587" s="64">
        <f>Esc!G515</f>
        <v>20.41</v>
      </c>
      <c r="I587" s="64">
        <f>Esc!H515</f>
        <v>20.3</v>
      </c>
      <c r="J587" s="64">
        <f>Esc!I515</f>
        <v>20.2</v>
      </c>
      <c r="K587" s="64">
        <f>Esc!J515</f>
        <v>20.12</v>
      </c>
      <c r="L587" s="64">
        <f>Esc!K515</f>
        <v>20.13</v>
      </c>
      <c r="M587" s="64">
        <f>Esc!L515</f>
        <v>20.02</v>
      </c>
      <c r="N587" s="64">
        <f>Esc!M515</f>
        <v>19.920000000000002</v>
      </c>
      <c r="O587" s="64">
        <f>Esc!N515</f>
        <v>19.82</v>
      </c>
      <c r="P587" s="64">
        <f>Esc!O515</f>
        <v>19.72</v>
      </c>
      <c r="Q587" s="64">
        <f>Esc!P515</f>
        <v>19.62</v>
      </c>
      <c r="R587" s="64">
        <f>Esc!Q515</f>
        <v>19.510000000000002</v>
      </c>
      <c r="S587" s="64">
        <f>Esc!R515</f>
        <v>19.41</v>
      </c>
      <c r="T587" s="64">
        <f>Esc!S515</f>
        <v>19.309999999999999</v>
      </c>
      <c r="U587" s="64">
        <f>Esc!T515</f>
        <v>19.21</v>
      </c>
      <c r="V587" s="64">
        <f>Esc!U515</f>
        <v>19.11</v>
      </c>
      <c r="W587" s="64">
        <f>Esc!V515</f>
        <v>19</v>
      </c>
      <c r="X587" s="64">
        <f>Esc!W515</f>
        <v>18.899999999999999</v>
      </c>
      <c r="Y587" s="64">
        <f>Esc!X515</f>
        <v>18.8</v>
      </c>
      <c r="Z587" s="64">
        <f>Esc!Y515</f>
        <v>18.7</v>
      </c>
      <c r="AA587" s="64">
        <f>Esc!Z515</f>
        <v>18.600000000000001</v>
      </c>
      <c r="AB587" s="64">
        <f>Esc!AA515</f>
        <v>18.489999999999998</v>
      </c>
      <c r="AC587" s="64">
        <f>Esc!AB515</f>
        <v>18.39</v>
      </c>
      <c r="AD587" s="64">
        <f>Esc!AC515</f>
        <v>18.29</v>
      </c>
      <c r="AE587" s="64">
        <f>Esc!AD515</f>
        <v>18.190000000000001</v>
      </c>
      <c r="AF587" s="64">
        <f>Esc!AE515</f>
        <v>18.079999999999998</v>
      </c>
      <c r="AG587" s="64">
        <f>Esc!AF515</f>
        <v>17.98</v>
      </c>
      <c r="AH587" s="64">
        <f>Esc!AG515</f>
        <v>17.88</v>
      </c>
      <c r="AI587" s="64">
        <f>Esc!AH515</f>
        <v>17.78</v>
      </c>
      <c r="AJ587" s="64">
        <f>Esc!AI515</f>
        <v>17.68</v>
      </c>
      <c r="AK587" s="64">
        <f>Esc!AJ515</f>
        <v>17.57</v>
      </c>
      <c r="AL587" s="64">
        <f>Esc!AK515</f>
        <v>17.47</v>
      </c>
      <c r="AM587" s="64">
        <f>Esc!AL515</f>
        <v>17.37</v>
      </c>
      <c r="AN587" s="64">
        <f>Esc!AM515</f>
        <v>17.27</v>
      </c>
      <c r="AO587" s="64">
        <f t="shared" si="190"/>
        <v>17.27</v>
      </c>
      <c r="AP587" s="64">
        <f t="shared" si="189"/>
        <v>17.27</v>
      </c>
      <c r="AQ587" s="64">
        <f t="shared" si="189"/>
        <v>17.27</v>
      </c>
      <c r="AR587" s="64">
        <f t="shared" si="189"/>
        <v>17.27</v>
      </c>
      <c r="AS587" s="64">
        <f t="shared" si="189"/>
        <v>17.27</v>
      </c>
      <c r="AT587" s="64">
        <f t="shared" si="189"/>
        <v>17.27</v>
      </c>
      <c r="AU587" s="64">
        <f t="shared" si="189"/>
        <v>17.27</v>
      </c>
      <c r="AV587" s="64">
        <f t="shared" si="189"/>
        <v>17.27</v>
      </c>
      <c r="AW587" s="64">
        <f t="shared" si="189"/>
        <v>17.27</v>
      </c>
      <c r="AX587" s="64">
        <f t="shared" si="189"/>
        <v>17.27</v>
      </c>
      <c r="AY587" s="64">
        <f t="shared" si="189"/>
        <v>17.27</v>
      </c>
      <c r="AZ587" s="64">
        <f t="shared" si="189"/>
        <v>17.27</v>
      </c>
      <c r="BA587" s="64">
        <f t="shared" si="189"/>
        <v>17.27</v>
      </c>
      <c r="BB587" s="64">
        <f t="shared" si="189"/>
        <v>17.27</v>
      </c>
      <c r="BC587" s="64">
        <f t="shared" si="189"/>
        <v>17.27</v>
      </c>
      <c r="BD587" s="64">
        <f t="shared" si="189"/>
        <v>17.27</v>
      </c>
      <c r="BE587" s="64">
        <f t="shared" si="189"/>
        <v>17.27</v>
      </c>
      <c r="BF587" s="64">
        <f t="shared" si="189"/>
        <v>17.27</v>
      </c>
      <c r="BG587" s="64">
        <f t="shared" si="189"/>
        <v>17.27</v>
      </c>
      <c r="BH587" s="64">
        <f t="shared" si="189"/>
        <v>17.27</v>
      </c>
    </row>
    <row r="588" spans="2:60" s="64" customFormat="1" hidden="1" outlineLevel="2">
      <c r="B588" s="64" t="str">
        <f>Esc!A516</f>
        <v>Coque de carbón</v>
      </c>
      <c r="C588" s="64">
        <f>Esc!B516</f>
        <v>0</v>
      </c>
      <c r="D588" s="64">
        <f>Esc!C516</f>
        <v>0</v>
      </c>
      <c r="E588" s="64">
        <f>Esc!D516</f>
        <v>0</v>
      </c>
      <c r="F588" s="64">
        <f>Esc!E516</f>
        <v>0</v>
      </c>
      <c r="G588" s="64">
        <f>Esc!F516</f>
        <v>0</v>
      </c>
      <c r="H588" s="64">
        <f>Esc!G516</f>
        <v>0</v>
      </c>
      <c r="I588" s="64">
        <f>Esc!H516</f>
        <v>0</v>
      </c>
      <c r="J588" s="64">
        <f>Esc!I516</f>
        <v>0</v>
      </c>
      <c r="K588" s="64">
        <f>Esc!J516</f>
        <v>0</v>
      </c>
      <c r="L588" s="64">
        <f>Esc!K516</f>
        <v>0</v>
      </c>
      <c r="M588" s="64">
        <f>Esc!L516</f>
        <v>0</v>
      </c>
      <c r="N588" s="64">
        <f>Esc!M516</f>
        <v>0</v>
      </c>
      <c r="O588" s="64">
        <f>Esc!N516</f>
        <v>0</v>
      </c>
      <c r="P588" s="64">
        <f>Esc!O516</f>
        <v>0</v>
      </c>
      <c r="Q588" s="64">
        <f>Esc!P516</f>
        <v>0</v>
      </c>
      <c r="R588" s="64">
        <f>Esc!Q516</f>
        <v>0</v>
      </c>
      <c r="S588" s="64">
        <f>Esc!R516</f>
        <v>0</v>
      </c>
      <c r="T588" s="64">
        <f>Esc!S516</f>
        <v>0</v>
      </c>
      <c r="U588" s="64">
        <f>Esc!T516</f>
        <v>0</v>
      </c>
      <c r="V588" s="64">
        <f>Esc!U516</f>
        <v>0</v>
      </c>
      <c r="W588" s="64">
        <f>Esc!V516</f>
        <v>0</v>
      </c>
      <c r="X588" s="64">
        <f>Esc!W516</f>
        <v>0</v>
      </c>
      <c r="Y588" s="64">
        <f>Esc!X516</f>
        <v>0</v>
      </c>
      <c r="Z588" s="64">
        <f>Esc!Y516</f>
        <v>0</v>
      </c>
      <c r="AA588" s="64">
        <f>Esc!Z516</f>
        <v>0</v>
      </c>
      <c r="AB588" s="64">
        <f>Esc!AA516</f>
        <v>0</v>
      </c>
      <c r="AC588" s="64">
        <f>Esc!AB516</f>
        <v>0</v>
      </c>
      <c r="AD588" s="64">
        <f>Esc!AC516</f>
        <v>0</v>
      </c>
      <c r="AE588" s="64">
        <f>Esc!AD516</f>
        <v>0</v>
      </c>
      <c r="AF588" s="64">
        <f>Esc!AE516</f>
        <v>0</v>
      </c>
      <c r="AG588" s="64">
        <f>Esc!AF516</f>
        <v>0</v>
      </c>
      <c r="AH588" s="64">
        <f>Esc!AG516</f>
        <v>0</v>
      </c>
      <c r="AI588" s="64">
        <f>Esc!AH516</f>
        <v>0</v>
      </c>
      <c r="AJ588" s="64">
        <f>Esc!AI516</f>
        <v>0</v>
      </c>
      <c r="AK588" s="64">
        <f>Esc!AJ516</f>
        <v>0</v>
      </c>
      <c r="AL588" s="64">
        <f>Esc!AK516</f>
        <v>0</v>
      </c>
      <c r="AM588" s="64">
        <f>Esc!AL516</f>
        <v>0</v>
      </c>
      <c r="AN588" s="64">
        <f>Esc!AM516</f>
        <v>0</v>
      </c>
      <c r="AO588" s="64">
        <f t="shared" si="190"/>
        <v>0</v>
      </c>
      <c r="AP588" s="64">
        <f t="shared" si="189"/>
        <v>0</v>
      </c>
      <c r="AQ588" s="64">
        <f t="shared" si="189"/>
        <v>0</v>
      </c>
      <c r="AR588" s="64">
        <f t="shared" si="189"/>
        <v>0</v>
      </c>
      <c r="AS588" s="64">
        <f t="shared" si="189"/>
        <v>0</v>
      </c>
      <c r="AT588" s="64">
        <f t="shared" si="189"/>
        <v>0</v>
      </c>
      <c r="AU588" s="64">
        <f t="shared" si="189"/>
        <v>0</v>
      </c>
      <c r="AV588" s="64">
        <f t="shared" si="189"/>
        <v>0</v>
      </c>
      <c r="AW588" s="64">
        <f t="shared" si="189"/>
        <v>0</v>
      </c>
      <c r="AX588" s="64">
        <f t="shared" si="189"/>
        <v>0</v>
      </c>
      <c r="AY588" s="64">
        <f t="shared" si="189"/>
        <v>0</v>
      </c>
      <c r="AZ588" s="64">
        <f t="shared" si="189"/>
        <v>0</v>
      </c>
      <c r="BA588" s="64">
        <f t="shared" si="189"/>
        <v>0</v>
      </c>
      <c r="BB588" s="64">
        <f t="shared" si="189"/>
        <v>0</v>
      </c>
      <c r="BC588" s="64">
        <f t="shared" si="189"/>
        <v>0</v>
      </c>
      <c r="BD588" s="64">
        <f t="shared" si="189"/>
        <v>0</v>
      </c>
      <c r="BE588" s="64">
        <f t="shared" si="189"/>
        <v>0</v>
      </c>
      <c r="BF588" s="64">
        <f t="shared" si="189"/>
        <v>0</v>
      </c>
      <c r="BG588" s="64">
        <f t="shared" si="189"/>
        <v>0</v>
      </c>
      <c r="BH588" s="64">
        <f t="shared" si="189"/>
        <v>0</v>
      </c>
    </row>
    <row r="589" spans="2:60" s="64" customFormat="1" hidden="1" outlineLevel="2">
      <c r="B589" s="64" t="str">
        <f>Esc!A517</f>
        <v>Coque de petróleo</v>
      </c>
      <c r="C589" s="64">
        <f>Esc!B517</f>
        <v>5.98</v>
      </c>
      <c r="D589" s="64">
        <f>Esc!C517</f>
        <v>3.48</v>
      </c>
      <c r="E589" s="64">
        <f>Esc!D517</f>
        <v>5.0599999999999996</v>
      </c>
      <c r="F589" s="64">
        <f>Esc!E517</f>
        <v>5.54</v>
      </c>
      <c r="G589" s="64">
        <f>Esc!F517</f>
        <v>14.54</v>
      </c>
      <c r="H589" s="64">
        <f>Esc!G517</f>
        <v>16.34</v>
      </c>
      <c r="I589" s="64">
        <f>Esc!H517</f>
        <v>18.77</v>
      </c>
      <c r="J589" s="64">
        <f>Esc!I517</f>
        <v>11.09</v>
      </c>
      <c r="K589" s="64">
        <f>Esc!J517</f>
        <v>11.13</v>
      </c>
      <c r="L589" s="64">
        <f>Esc!K517</f>
        <v>11.26</v>
      </c>
      <c r="M589" s="64">
        <f>Esc!L517</f>
        <v>11.5</v>
      </c>
      <c r="N589" s="64">
        <f>Esc!M517</f>
        <v>11.74</v>
      </c>
      <c r="O589" s="64">
        <f>Esc!N517</f>
        <v>11.98</v>
      </c>
      <c r="P589" s="64">
        <f>Esc!O517</f>
        <v>12.22</v>
      </c>
      <c r="Q589" s="64">
        <f>Esc!P517</f>
        <v>12.46</v>
      </c>
      <c r="R589" s="64">
        <f>Esc!Q517</f>
        <v>12.7</v>
      </c>
      <c r="S589" s="64">
        <f>Esc!R517</f>
        <v>12.94</v>
      </c>
      <c r="T589" s="64">
        <f>Esc!S517</f>
        <v>13.18</v>
      </c>
      <c r="U589" s="64">
        <f>Esc!T517</f>
        <v>13.42</v>
      </c>
      <c r="V589" s="64">
        <f>Esc!U517</f>
        <v>13.67</v>
      </c>
      <c r="W589" s="64">
        <f>Esc!V517</f>
        <v>13.91</v>
      </c>
      <c r="X589" s="64">
        <f>Esc!W517</f>
        <v>14.15</v>
      </c>
      <c r="Y589" s="64">
        <f>Esc!X517</f>
        <v>14.39</v>
      </c>
      <c r="Z589" s="64">
        <f>Esc!Y517</f>
        <v>14.63</v>
      </c>
      <c r="AA589" s="64">
        <f>Esc!Z517</f>
        <v>14.87</v>
      </c>
      <c r="AB589" s="64">
        <f>Esc!AA517</f>
        <v>15.11</v>
      </c>
      <c r="AC589" s="64">
        <f>Esc!AB517</f>
        <v>15.35</v>
      </c>
      <c r="AD589" s="64">
        <f>Esc!AC517</f>
        <v>15.59</v>
      </c>
      <c r="AE589" s="64">
        <f>Esc!AD517</f>
        <v>15.83</v>
      </c>
      <c r="AF589" s="64">
        <f>Esc!AE517</f>
        <v>16.07</v>
      </c>
      <c r="AG589" s="64">
        <f>Esc!AF517</f>
        <v>16.309999999999999</v>
      </c>
      <c r="AH589" s="64">
        <f>Esc!AG517</f>
        <v>16.559999999999999</v>
      </c>
      <c r="AI589" s="64">
        <f>Esc!AH517</f>
        <v>16.8</v>
      </c>
      <c r="AJ589" s="64">
        <f>Esc!AI517</f>
        <v>17.04</v>
      </c>
      <c r="AK589" s="64">
        <f>Esc!AJ517</f>
        <v>17.28</v>
      </c>
      <c r="AL589" s="64">
        <f>Esc!AK517</f>
        <v>17.52</v>
      </c>
      <c r="AM589" s="64">
        <f>Esc!AL517</f>
        <v>17.760000000000002</v>
      </c>
      <c r="AN589" s="64">
        <f>Esc!AM517</f>
        <v>18</v>
      </c>
      <c r="AO589" s="64">
        <f t="shared" si="190"/>
        <v>18</v>
      </c>
      <c r="AP589" s="64">
        <f t="shared" si="189"/>
        <v>18</v>
      </c>
      <c r="AQ589" s="64">
        <f t="shared" si="189"/>
        <v>18</v>
      </c>
      <c r="AR589" s="64">
        <f t="shared" si="189"/>
        <v>18</v>
      </c>
      <c r="AS589" s="64">
        <f t="shared" si="189"/>
        <v>18</v>
      </c>
      <c r="AT589" s="64">
        <f t="shared" si="189"/>
        <v>18</v>
      </c>
      <c r="AU589" s="64">
        <f t="shared" si="189"/>
        <v>18</v>
      </c>
      <c r="AV589" s="64">
        <f t="shared" si="189"/>
        <v>18</v>
      </c>
      <c r="AW589" s="64">
        <f t="shared" si="189"/>
        <v>18</v>
      </c>
      <c r="AX589" s="64">
        <f t="shared" si="189"/>
        <v>18</v>
      </c>
      <c r="AY589" s="64">
        <f t="shared" si="189"/>
        <v>18</v>
      </c>
      <c r="AZ589" s="64">
        <f t="shared" si="189"/>
        <v>18</v>
      </c>
      <c r="BA589" s="64">
        <f t="shared" si="189"/>
        <v>18</v>
      </c>
      <c r="BB589" s="64">
        <f t="shared" si="189"/>
        <v>18</v>
      </c>
      <c r="BC589" s="64">
        <f t="shared" si="189"/>
        <v>18</v>
      </c>
      <c r="BD589" s="64">
        <f t="shared" si="189"/>
        <v>18</v>
      </c>
      <c r="BE589" s="64">
        <f t="shared" si="189"/>
        <v>18</v>
      </c>
      <c r="BF589" s="64">
        <f t="shared" si="189"/>
        <v>18</v>
      </c>
      <c r="BG589" s="64">
        <f t="shared" si="189"/>
        <v>18</v>
      </c>
      <c r="BH589" s="64">
        <f t="shared" si="189"/>
        <v>18</v>
      </c>
    </row>
    <row r="590" spans="2:60" s="64" customFormat="1" hidden="1" outlineLevel="2">
      <c r="B590" s="64" t="str">
        <f>Esc!A518</f>
        <v>GLP</v>
      </c>
      <c r="C590" s="64">
        <f>Esc!B518</f>
        <v>30.58</v>
      </c>
      <c r="D590" s="64">
        <f>Esc!C518</f>
        <v>30.14</v>
      </c>
      <c r="E590" s="64">
        <f>Esc!D518</f>
        <v>35.29</v>
      </c>
      <c r="F590" s="64">
        <f>Esc!E518</f>
        <v>34.229999999999997</v>
      </c>
      <c r="G590" s="64">
        <f>Esc!F518</f>
        <v>33.28</v>
      </c>
      <c r="H590" s="64">
        <f>Esc!G518</f>
        <v>33.450000000000003</v>
      </c>
      <c r="I590" s="64">
        <f>Esc!H518</f>
        <v>33.57</v>
      </c>
      <c r="J590" s="64">
        <f>Esc!I518</f>
        <v>28.7</v>
      </c>
      <c r="K590" s="64">
        <f>Esc!J518</f>
        <v>23.81</v>
      </c>
      <c r="L590" s="64">
        <f>Esc!K518</f>
        <v>25.29</v>
      </c>
      <c r="M590" s="64">
        <f>Esc!L518</f>
        <v>25.42</v>
      </c>
      <c r="N590" s="64">
        <f>Esc!M518</f>
        <v>25.56</v>
      </c>
      <c r="O590" s="64">
        <f>Esc!N518</f>
        <v>25.69</v>
      </c>
      <c r="P590" s="64">
        <f>Esc!O518</f>
        <v>25.83</v>
      </c>
      <c r="Q590" s="64">
        <f>Esc!P518</f>
        <v>25.96</v>
      </c>
      <c r="R590" s="64">
        <f>Esc!Q518</f>
        <v>26.09</v>
      </c>
      <c r="S590" s="64">
        <f>Esc!R518</f>
        <v>26.23</v>
      </c>
      <c r="T590" s="64">
        <f>Esc!S518</f>
        <v>26.36</v>
      </c>
      <c r="U590" s="64">
        <f>Esc!T518</f>
        <v>26.49</v>
      </c>
      <c r="V590" s="64">
        <f>Esc!U518</f>
        <v>26.63</v>
      </c>
      <c r="W590" s="64">
        <f>Esc!V518</f>
        <v>26.76</v>
      </c>
      <c r="X590" s="64">
        <f>Esc!W518</f>
        <v>26.9</v>
      </c>
      <c r="Y590" s="64">
        <f>Esc!X518</f>
        <v>27.03</v>
      </c>
      <c r="Z590" s="64">
        <f>Esc!Y518</f>
        <v>27.16</v>
      </c>
      <c r="AA590" s="64">
        <f>Esc!Z518</f>
        <v>27.3</v>
      </c>
      <c r="AB590" s="64">
        <f>Esc!AA518</f>
        <v>27.43</v>
      </c>
      <c r="AC590" s="64">
        <f>Esc!AB518</f>
        <v>27.56</v>
      </c>
      <c r="AD590" s="64">
        <f>Esc!AC518</f>
        <v>27.7</v>
      </c>
      <c r="AE590" s="64">
        <f>Esc!AD518</f>
        <v>27.83</v>
      </c>
      <c r="AF590" s="64">
        <f>Esc!AE518</f>
        <v>27.97</v>
      </c>
      <c r="AG590" s="64">
        <f>Esc!AF518</f>
        <v>28.1</v>
      </c>
      <c r="AH590" s="64">
        <f>Esc!AG518</f>
        <v>28.23</v>
      </c>
      <c r="AI590" s="64">
        <f>Esc!AH518</f>
        <v>28.37</v>
      </c>
      <c r="AJ590" s="64">
        <f>Esc!AI518</f>
        <v>28.5</v>
      </c>
      <c r="AK590" s="64">
        <f>Esc!AJ518</f>
        <v>28.63</v>
      </c>
      <c r="AL590" s="64">
        <f>Esc!AK518</f>
        <v>28.77</v>
      </c>
      <c r="AM590" s="64">
        <f>Esc!AL518</f>
        <v>28.9</v>
      </c>
      <c r="AN590" s="64">
        <f>Esc!AM518</f>
        <v>29.04</v>
      </c>
      <c r="AO590" s="64">
        <f t="shared" si="190"/>
        <v>29.04</v>
      </c>
      <c r="AP590" s="64">
        <f t="shared" si="189"/>
        <v>29.04</v>
      </c>
      <c r="AQ590" s="64">
        <f t="shared" si="189"/>
        <v>29.04</v>
      </c>
      <c r="AR590" s="64">
        <f t="shared" si="189"/>
        <v>29.04</v>
      </c>
      <c r="AS590" s="64">
        <f t="shared" si="189"/>
        <v>29.04</v>
      </c>
      <c r="AT590" s="64">
        <f t="shared" si="189"/>
        <v>29.04</v>
      </c>
      <c r="AU590" s="64">
        <f t="shared" si="189"/>
        <v>29.04</v>
      </c>
      <c r="AV590" s="64">
        <f t="shared" si="189"/>
        <v>29.04</v>
      </c>
      <c r="AW590" s="64">
        <f t="shared" si="189"/>
        <v>29.04</v>
      </c>
      <c r="AX590" s="64">
        <f t="shared" si="189"/>
        <v>29.04</v>
      </c>
      <c r="AY590" s="64">
        <f t="shared" si="189"/>
        <v>29.04</v>
      </c>
      <c r="AZ590" s="64">
        <f t="shared" si="189"/>
        <v>29.04</v>
      </c>
      <c r="BA590" s="64">
        <f t="shared" si="189"/>
        <v>29.04</v>
      </c>
      <c r="BB590" s="64">
        <f t="shared" si="189"/>
        <v>29.04</v>
      </c>
      <c r="BC590" s="64">
        <f t="shared" si="189"/>
        <v>29.04</v>
      </c>
      <c r="BD590" s="64">
        <f t="shared" si="189"/>
        <v>29.04</v>
      </c>
      <c r="BE590" s="64">
        <f t="shared" si="189"/>
        <v>29.04</v>
      </c>
      <c r="BF590" s="64">
        <f t="shared" si="189"/>
        <v>29.04</v>
      </c>
      <c r="BG590" s="64">
        <f t="shared" si="189"/>
        <v>29.04</v>
      </c>
      <c r="BH590" s="64">
        <f t="shared" si="189"/>
        <v>29.04</v>
      </c>
    </row>
    <row r="591" spans="2:60" s="64" customFormat="1" hidden="1" outlineLevel="2">
      <c r="B591" s="64" t="str">
        <f>Esc!A519</f>
        <v>Gasolina</v>
      </c>
      <c r="C591" s="64">
        <f>Esc!B519</f>
        <v>0.85</v>
      </c>
      <c r="D591" s="64">
        <f>Esc!C519</f>
        <v>1.05</v>
      </c>
      <c r="E591" s="64">
        <f>Esc!D519</f>
        <v>0.99</v>
      </c>
      <c r="F591" s="64">
        <f>Esc!E519</f>
        <v>1.1499999999999999</v>
      </c>
      <c r="G591" s="64">
        <f>Esc!F519</f>
        <v>1.17</v>
      </c>
      <c r="H591" s="64">
        <f>Esc!G519</f>
        <v>1.18</v>
      </c>
      <c r="I591" s="64">
        <f>Esc!H519</f>
        <v>1.29</v>
      </c>
      <c r="J591" s="64">
        <f>Esc!I519</f>
        <v>1.47</v>
      </c>
      <c r="K591" s="64">
        <f>Esc!J519</f>
        <v>1.47</v>
      </c>
      <c r="L591" s="64">
        <f>Esc!K519</f>
        <v>1.33</v>
      </c>
      <c r="M591" s="64">
        <f>Esc!L519</f>
        <v>1.32</v>
      </c>
      <c r="N591" s="64">
        <f>Esc!M519</f>
        <v>1.31</v>
      </c>
      <c r="O591" s="64">
        <f>Esc!N519</f>
        <v>1.29</v>
      </c>
      <c r="P591" s="64">
        <f>Esc!O519</f>
        <v>1.28</v>
      </c>
      <c r="Q591" s="64">
        <f>Esc!P519</f>
        <v>1.27</v>
      </c>
      <c r="R591" s="64">
        <f>Esc!Q519</f>
        <v>1.26</v>
      </c>
      <c r="S591" s="64">
        <f>Esc!R519</f>
        <v>1.24</v>
      </c>
      <c r="T591" s="64">
        <f>Esc!S519</f>
        <v>1.23</v>
      </c>
      <c r="U591" s="64">
        <f>Esc!T519</f>
        <v>1.22</v>
      </c>
      <c r="V591" s="64">
        <f>Esc!U519</f>
        <v>1.2</v>
      </c>
      <c r="W591" s="64">
        <f>Esc!V519</f>
        <v>1.19</v>
      </c>
      <c r="X591" s="64">
        <f>Esc!W519</f>
        <v>1.18</v>
      </c>
      <c r="Y591" s="64">
        <f>Esc!X519</f>
        <v>1.17</v>
      </c>
      <c r="Z591" s="64">
        <f>Esc!Y519</f>
        <v>1.1499999999999999</v>
      </c>
      <c r="AA591" s="64">
        <f>Esc!Z519</f>
        <v>1.1399999999999999</v>
      </c>
      <c r="AB591" s="64">
        <f>Esc!AA519</f>
        <v>1.1299999999999999</v>
      </c>
      <c r="AC591" s="64">
        <f>Esc!AB519</f>
        <v>1.1100000000000001</v>
      </c>
      <c r="AD591" s="64">
        <f>Esc!AC519</f>
        <v>1.1000000000000001</v>
      </c>
      <c r="AE591" s="64">
        <f>Esc!AD519</f>
        <v>1.0900000000000001</v>
      </c>
      <c r="AF591" s="64">
        <f>Esc!AE519</f>
        <v>1.08</v>
      </c>
      <c r="AG591" s="64">
        <f>Esc!AF519</f>
        <v>1.06</v>
      </c>
      <c r="AH591" s="64">
        <f>Esc!AG519</f>
        <v>1.05</v>
      </c>
      <c r="AI591" s="64">
        <f>Esc!AH519</f>
        <v>1.04</v>
      </c>
      <c r="AJ591" s="64">
        <f>Esc!AI519</f>
        <v>1.02</v>
      </c>
      <c r="AK591" s="64">
        <f>Esc!AJ519</f>
        <v>1.01</v>
      </c>
      <c r="AL591" s="64">
        <f>Esc!AK519</f>
        <v>1</v>
      </c>
      <c r="AM591" s="64">
        <f>Esc!AL519</f>
        <v>0.99</v>
      </c>
      <c r="AN591" s="64">
        <f>Esc!AM519</f>
        <v>0.97</v>
      </c>
      <c r="AO591" s="64">
        <f t="shared" si="190"/>
        <v>0.97</v>
      </c>
      <c r="AP591" s="64">
        <f t="shared" si="189"/>
        <v>0.97</v>
      </c>
      <c r="AQ591" s="64">
        <f t="shared" si="189"/>
        <v>0.97</v>
      </c>
      <c r="AR591" s="64">
        <f t="shared" si="189"/>
        <v>0.97</v>
      </c>
      <c r="AS591" s="64">
        <f t="shared" si="189"/>
        <v>0.97</v>
      </c>
      <c r="AT591" s="64">
        <f t="shared" si="189"/>
        <v>0.97</v>
      </c>
      <c r="AU591" s="64">
        <f t="shared" si="189"/>
        <v>0.97</v>
      </c>
      <c r="AV591" s="64">
        <f t="shared" si="189"/>
        <v>0.97</v>
      </c>
      <c r="AW591" s="64">
        <f t="shared" si="189"/>
        <v>0.97</v>
      </c>
      <c r="AX591" s="64">
        <f t="shared" si="189"/>
        <v>0.97</v>
      </c>
      <c r="AY591" s="64">
        <f t="shared" si="189"/>
        <v>0.97</v>
      </c>
      <c r="AZ591" s="64">
        <f t="shared" si="189"/>
        <v>0.97</v>
      </c>
      <c r="BA591" s="64">
        <f t="shared" si="189"/>
        <v>0.97</v>
      </c>
      <c r="BB591" s="64">
        <f t="shared" si="189"/>
        <v>0.97</v>
      </c>
      <c r="BC591" s="64">
        <f t="shared" si="189"/>
        <v>0.97</v>
      </c>
      <c r="BD591" s="64">
        <f t="shared" si="189"/>
        <v>0.97</v>
      </c>
      <c r="BE591" s="64">
        <f t="shared" si="189"/>
        <v>0.97</v>
      </c>
      <c r="BF591" s="64">
        <f t="shared" si="189"/>
        <v>0.97</v>
      </c>
      <c r="BG591" s="64">
        <f t="shared" si="189"/>
        <v>0.97</v>
      </c>
      <c r="BH591" s="64">
        <f t="shared" si="189"/>
        <v>0.97</v>
      </c>
    </row>
    <row r="592" spans="2:60" s="64" customFormat="1" hidden="1" outlineLevel="2">
      <c r="B592" s="64" t="str">
        <f>Esc!A520</f>
        <v>Queroseno</v>
      </c>
      <c r="C592" s="64">
        <f>Esc!B520</f>
        <v>0</v>
      </c>
      <c r="D592" s="64">
        <f>Esc!C520</f>
        <v>0</v>
      </c>
      <c r="E592" s="64">
        <f>Esc!D520</f>
        <v>0</v>
      </c>
      <c r="F592" s="64">
        <f>Esc!E520</f>
        <v>0</v>
      </c>
      <c r="G592" s="64">
        <f>Esc!F520</f>
        <v>0</v>
      </c>
      <c r="H592" s="64">
        <f>Esc!G520</f>
        <v>0</v>
      </c>
      <c r="I592" s="64">
        <f>Esc!H520</f>
        <v>0</v>
      </c>
      <c r="J592" s="64">
        <f>Esc!I520</f>
        <v>0</v>
      </c>
      <c r="K592" s="64">
        <f>Esc!J520</f>
        <v>0</v>
      </c>
      <c r="L592" s="64">
        <f>Esc!K520</f>
        <v>0</v>
      </c>
      <c r="M592" s="64">
        <f>Esc!L520</f>
        <v>0</v>
      </c>
      <c r="N592" s="64">
        <f>Esc!M520</f>
        <v>0</v>
      </c>
      <c r="O592" s="64">
        <f>Esc!N520</f>
        <v>0</v>
      </c>
      <c r="P592" s="64">
        <f>Esc!O520</f>
        <v>0</v>
      </c>
      <c r="Q592" s="64">
        <f>Esc!P520</f>
        <v>0</v>
      </c>
      <c r="R592" s="64">
        <f>Esc!Q520</f>
        <v>0</v>
      </c>
      <c r="S592" s="64">
        <f>Esc!R520</f>
        <v>0</v>
      </c>
      <c r="T592" s="64">
        <f>Esc!S520</f>
        <v>0</v>
      </c>
      <c r="U592" s="64">
        <f>Esc!T520</f>
        <v>0</v>
      </c>
      <c r="V592" s="64">
        <f>Esc!U520</f>
        <v>0</v>
      </c>
      <c r="W592" s="64">
        <f>Esc!V520</f>
        <v>0</v>
      </c>
      <c r="X592" s="64">
        <f>Esc!W520</f>
        <v>0</v>
      </c>
      <c r="Y592" s="64">
        <f>Esc!X520</f>
        <v>0</v>
      </c>
      <c r="Z592" s="64">
        <f>Esc!Y520</f>
        <v>0</v>
      </c>
      <c r="AA592" s="64">
        <f>Esc!Z520</f>
        <v>0</v>
      </c>
      <c r="AB592" s="64">
        <f>Esc!AA520</f>
        <v>0</v>
      </c>
      <c r="AC592" s="64">
        <f>Esc!AB520</f>
        <v>0</v>
      </c>
      <c r="AD592" s="64">
        <f>Esc!AC520</f>
        <v>0</v>
      </c>
      <c r="AE592" s="64">
        <f>Esc!AD520</f>
        <v>0</v>
      </c>
      <c r="AF592" s="64">
        <f>Esc!AE520</f>
        <v>0</v>
      </c>
      <c r="AG592" s="64">
        <f>Esc!AF520</f>
        <v>0</v>
      </c>
      <c r="AH592" s="64">
        <f>Esc!AG520</f>
        <v>0</v>
      </c>
      <c r="AI592" s="64">
        <f>Esc!AH520</f>
        <v>0</v>
      </c>
      <c r="AJ592" s="64">
        <f>Esc!AI520</f>
        <v>0</v>
      </c>
      <c r="AK592" s="64">
        <f>Esc!AJ520</f>
        <v>0</v>
      </c>
      <c r="AL592" s="64">
        <f>Esc!AK520</f>
        <v>0</v>
      </c>
      <c r="AM592" s="64">
        <f>Esc!AL520</f>
        <v>0</v>
      </c>
      <c r="AN592" s="64">
        <f>Esc!AM520</f>
        <v>0</v>
      </c>
      <c r="AO592" s="64">
        <f t="shared" si="190"/>
        <v>0</v>
      </c>
      <c r="AP592" s="64">
        <f t="shared" si="189"/>
        <v>0</v>
      </c>
      <c r="AQ592" s="64">
        <f t="shared" si="189"/>
        <v>0</v>
      </c>
      <c r="AR592" s="64">
        <f t="shared" si="189"/>
        <v>0</v>
      </c>
      <c r="AS592" s="64">
        <f t="shared" si="189"/>
        <v>0</v>
      </c>
      <c r="AT592" s="64">
        <f t="shared" si="189"/>
        <v>0</v>
      </c>
      <c r="AU592" s="64">
        <f t="shared" si="189"/>
        <v>0</v>
      </c>
      <c r="AV592" s="64">
        <f t="shared" si="189"/>
        <v>0</v>
      </c>
      <c r="AW592" s="64">
        <f t="shared" si="189"/>
        <v>0</v>
      </c>
      <c r="AX592" s="64">
        <f t="shared" si="189"/>
        <v>0</v>
      </c>
      <c r="AY592" s="64">
        <f t="shared" si="189"/>
        <v>0</v>
      </c>
      <c r="AZ592" s="64">
        <f t="shared" si="189"/>
        <v>0</v>
      </c>
      <c r="BA592" s="64">
        <f t="shared" si="189"/>
        <v>0</v>
      </c>
      <c r="BB592" s="64">
        <f t="shared" si="189"/>
        <v>0</v>
      </c>
      <c r="BC592" s="64">
        <f t="shared" si="189"/>
        <v>0</v>
      </c>
      <c r="BD592" s="64">
        <f t="shared" si="189"/>
        <v>0</v>
      </c>
      <c r="BE592" s="64">
        <f t="shared" si="189"/>
        <v>0</v>
      </c>
      <c r="BF592" s="64">
        <f t="shared" si="189"/>
        <v>0</v>
      </c>
      <c r="BG592" s="64">
        <f t="shared" si="189"/>
        <v>0</v>
      </c>
      <c r="BH592" s="64">
        <f t="shared" si="189"/>
        <v>0</v>
      </c>
    </row>
    <row r="593" spans="2:60" s="64" customFormat="1" hidden="1" outlineLevel="2">
      <c r="B593" s="64" t="str">
        <f>Esc!A521</f>
        <v>Diésel</v>
      </c>
      <c r="C593" s="64">
        <f>Esc!B521</f>
        <v>35.36</v>
      </c>
      <c r="D593" s="64">
        <f>Esc!C521</f>
        <v>31.42</v>
      </c>
      <c r="E593" s="64">
        <f>Esc!D521</f>
        <v>42.65</v>
      </c>
      <c r="F593" s="64">
        <f>Esc!E521</f>
        <v>51.36</v>
      </c>
      <c r="G593" s="64">
        <f>Esc!F521</f>
        <v>26.63</v>
      </c>
      <c r="H593" s="64">
        <f>Esc!G521</f>
        <v>28.63</v>
      </c>
      <c r="I593" s="64">
        <f>Esc!H521</f>
        <v>30.55</v>
      </c>
      <c r="J593" s="64">
        <f>Esc!I521</f>
        <v>25.65</v>
      </c>
      <c r="K593" s="64">
        <f>Esc!J521</f>
        <v>27.57</v>
      </c>
      <c r="L593" s="64">
        <f>Esc!K521</f>
        <v>27.63</v>
      </c>
      <c r="M593" s="64">
        <f>Esc!L521</f>
        <v>27.56</v>
      </c>
      <c r="N593" s="64">
        <f>Esc!M521</f>
        <v>27.48</v>
      </c>
      <c r="O593" s="64">
        <f>Esc!N521</f>
        <v>27.4</v>
      </c>
      <c r="P593" s="64">
        <f>Esc!O521</f>
        <v>27.32</v>
      </c>
      <c r="Q593" s="64">
        <f>Esc!P521</f>
        <v>27.24</v>
      </c>
      <c r="R593" s="64">
        <f>Esc!Q521</f>
        <v>27.16</v>
      </c>
      <c r="S593" s="64">
        <f>Esc!R521</f>
        <v>27.08</v>
      </c>
      <c r="T593" s="64">
        <f>Esc!S521</f>
        <v>27</v>
      </c>
      <c r="U593" s="64">
        <f>Esc!T521</f>
        <v>26.92</v>
      </c>
      <c r="V593" s="64">
        <f>Esc!U521</f>
        <v>26.84</v>
      </c>
      <c r="W593" s="64">
        <f>Esc!V521</f>
        <v>26.76</v>
      </c>
      <c r="X593" s="64">
        <f>Esc!W521</f>
        <v>26.68</v>
      </c>
      <c r="Y593" s="64">
        <f>Esc!X521</f>
        <v>26.6</v>
      </c>
      <c r="Z593" s="64">
        <f>Esc!Y521</f>
        <v>26.53</v>
      </c>
      <c r="AA593" s="64">
        <f>Esc!Z521</f>
        <v>26.45</v>
      </c>
      <c r="AB593" s="64">
        <f>Esc!AA521</f>
        <v>26.37</v>
      </c>
      <c r="AC593" s="64">
        <f>Esc!AB521</f>
        <v>26.29</v>
      </c>
      <c r="AD593" s="64">
        <f>Esc!AC521</f>
        <v>26.21</v>
      </c>
      <c r="AE593" s="64">
        <f>Esc!AD521</f>
        <v>26.13</v>
      </c>
      <c r="AF593" s="64">
        <f>Esc!AE521</f>
        <v>26.05</v>
      </c>
      <c r="AG593" s="64">
        <f>Esc!AF521</f>
        <v>25.97</v>
      </c>
      <c r="AH593" s="64">
        <f>Esc!AG521</f>
        <v>25.89</v>
      </c>
      <c r="AI593" s="64">
        <f>Esc!AH521</f>
        <v>25.81</v>
      </c>
      <c r="AJ593" s="64">
        <f>Esc!AI521</f>
        <v>25.73</v>
      </c>
      <c r="AK593" s="64">
        <f>Esc!AJ521</f>
        <v>25.65</v>
      </c>
      <c r="AL593" s="64">
        <f>Esc!AK521</f>
        <v>25.58</v>
      </c>
      <c r="AM593" s="64">
        <f>Esc!AL521</f>
        <v>25.49</v>
      </c>
      <c r="AN593" s="64">
        <f>Esc!AM521</f>
        <v>25.41</v>
      </c>
      <c r="AO593" s="64">
        <f t="shared" si="190"/>
        <v>25.41</v>
      </c>
      <c r="AP593" s="64">
        <f t="shared" si="189"/>
        <v>25.41</v>
      </c>
      <c r="AQ593" s="64">
        <f t="shared" si="189"/>
        <v>25.41</v>
      </c>
      <c r="AR593" s="64">
        <f t="shared" si="189"/>
        <v>25.41</v>
      </c>
      <c r="AS593" s="64">
        <f t="shared" si="189"/>
        <v>25.41</v>
      </c>
      <c r="AT593" s="64">
        <f t="shared" si="189"/>
        <v>25.41</v>
      </c>
      <c r="AU593" s="64">
        <f t="shared" si="189"/>
        <v>25.41</v>
      </c>
      <c r="AV593" s="64">
        <f t="shared" si="189"/>
        <v>25.41</v>
      </c>
      <c r="AW593" s="64">
        <f t="shared" si="189"/>
        <v>25.41</v>
      </c>
      <c r="AX593" s="64">
        <f t="shared" si="189"/>
        <v>25.41</v>
      </c>
      <c r="AY593" s="64">
        <f t="shared" si="189"/>
        <v>25.41</v>
      </c>
      <c r="AZ593" s="64">
        <f t="shared" si="189"/>
        <v>25.41</v>
      </c>
      <c r="BA593" s="64">
        <f t="shared" si="189"/>
        <v>25.41</v>
      </c>
      <c r="BB593" s="64">
        <f t="shared" si="189"/>
        <v>25.41</v>
      </c>
      <c r="BC593" s="64">
        <f t="shared" si="189"/>
        <v>25.41</v>
      </c>
      <c r="BD593" s="64">
        <f t="shared" si="189"/>
        <v>25.41</v>
      </c>
      <c r="BE593" s="64">
        <f t="shared" si="189"/>
        <v>25.41</v>
      </c>
      <c r="BF593" s="64">
        <f t="shared" si="189"/>
        <v>25.41</v>
      </c>
      <c r="BG593" s="64">
        <f t="shared" si="189"/>
        <v>25.41</v>
      </c>
      <c r="BH593" s="64">
        <f t="shared" si="189"/>
        <v>25.41</v>
      </c>
    </row>
    <row r="594" spans="2:60" s="64" customFormat="1" hidden="1" outlineLevel="2">
      <c r="B594" s="64" t="str">
        <f>Esc!A522</f>
        <v>Combustóleo</v>
      </c>
      <c r="C594" s="64">
        <f>Esc!B522</f>
        <v>1.01</v>
      </c>
      <c r="D594" s="64">
        <f>Esc!C522</f>
        <v>1.5</v>
      </c>
      <c r="E594" s="64">
        <f>Esc!D522</f>
        <v>4.91</v>
      </c>
      <c r="F594" s="64">
        <f>Esc!E522</f>
        <v>10.130000000000001</v>
      </c>
      <c r="G594" s="64">
        <f>Esc!F522</f>
        <v>8.7899999999999991</v>
      </c>
      <c r="H594" s="64">
        <f>Esc!G522</f>
        <v>2.64</v>
      </c>
      <c r="I594" s="64">
        <f>Esc!H522</f>
        <v>4.12</v>
      </c>
      <c r="J594" s="64">
        <f>Esc!I522</f>
        <v>1.24</v>
      </c>
      <c r="K594" s="64">
        <f>Esc!J522</f>
        <v>1.53</v>
      </c>
      <c r="L594" s="64">
        <f>Esc!K522</f>
        <v>1.48</v>
      </c>
      <c r="M594" s="64">
        <f>Esc!L522</f>
        <v>1.43</v>
      </c>
      <c r="N594" s="64">
        <f>Esc!M522</f>
        <v>1.37</v>
      </c>
      <c r="O594" s="64">
        <f>Esc!N522</f>
        <v>1.32</v>
      </c>
      <c r="P594" s="64">
        <f>Esc!O522</f>
        <v>1.27</v>
      </c>
      <c r="Q594" s="64">
        <f>Esc!P522</f>
        <v>1.22</v>
      </c>
      <c r="R594" s="64">
        <f>Esc!Q522</f>
        <v>1.1599999999999999</v>
      </c>
      <c r="S594" s="64">
        <f>Esc!R522</f>
        <v>1.1100000000000001</v>
      </c>
      <c r="T594" s="64">
        <f>Esc!S522</f>
        <v>1.06</v>
      </c>
      <c r="U594" s="64">
        <f>Esc!T522</f>
        <v>1</v>
      </c>
      <c r="V594" s="64">
        <f>Esc!U522</f>
        <v>0.95</v>
      </c>
      <c r="W594" s="64">
        <f>Esc!V522</f>
        <v>0.9</v>
      </c>
      <c r="X594" s="64">
        <f>Esc!W522</f>
        <v>0.85</v>
      </c>
      <c r="Y594" s="64">
        <f>Esc!X522</f>
        <v>0.79</v>
      </c>
      <c r="Z594" s="64">
        <f>Esc!Y522</f>
        <v>0.74</v>
      </c>
      <c r="AA594" s="64">
        <f>Esc!Z522</f>
        <v>0.69</v>
      </c>
      <c r="AB594" s="64">
        <f>Esc!AA522</f>
        <v>0.63</v>
      </c>
      <c r="AC594" s="64">
        <f>Esc!AB522</f>
        <v>0.57999999999999996</v>
      </c>
      <c r="AD594" s="64">
        <f>Esc!AC522</f>
        <v>0.53</v>
      </c>
      <c r="AE594" s="64">
        <f>Esc!AD522</f>
        <v>0.48</v>
      </c>
      <c r="AF594" s="64">
        <f>Esc!AE522</f>
        <v>0.42</v>
      </c>
      <c r="AG594" s="64">
        <f>Esc!AF522</f>
        <v>0.37</v>
      </c>
      <c r="AH594" s="64">
        <f>Esc!AG522</f>
        <v>0.32</v>
      </c>
      <c r="AI594" s="64">
        <f>Esc!AH522</f>
        <v>0.26</v>
      </c>
      <c r="AJ594" s="64">
        <f>Esc!AI522</f>
        <v>0.21</v>
      </c>
      <c r="AK594" s="64">
        <f>Esc!AJ522</f>
        <v>0.16</v>
      </c>
      <c r="AL594" s="64">
        <f>Esc!AK522</f>
        <v>0.11</v>
      </c>
      <c r="AM594" s="64">
        <f>Esc!AL522</f>
        <v>0.05</v>
      </c>
      <c r="AN594" s="64">
        <f>Esc!AM522</f>
        <v>0</v>
      </c>
      <c r="AO594" s="64">
        <f t="shared" si="190"/>
        <v>0</v>
      </c>
      <c r="AP594" s="64">
        <f t="shared" si="189"/>
        <v>0</v>
      </c>
      <c r="AQ594" s="64">
        <f t="shared" si="189"/>
        <v>0</v>
      </c>
      <c r="AR594" s="64">
        <f t="shared" si="189"/>
        <v>0</v>
      </c>
      <c r="AS594" s="64">
        <f t="shared" si="189"/>
        <v>0</v>
      </c>
      <c r="AT594" s="64">
        <f t="shared" si="189"/>
        <v>0</v>
      </c>
      <c r="AU594" s="64">
        <f t="shared" si="189"/>
        <v>0</v>
      </c>
      <c r="AV594" s="64">
        <f t="shared" si="189"/>
        <v>0</v>
      </c>
      <c r="AW594" s="64">
        <f t="shared" si="189"/>
        <v>0</v>
      </c>
      <c r="AX594" s="64">
        <f t="shared" si="189"/>
        <v>0</v>
      </c>
      <c r="AY594" s="64">
        <f t="shared" si="189"/>
        <v>0</v>
      </c>
      <c r="AZ594" s="64">
        <f t="shared" si="189"/>
        <v>0</v>
      </c>
      <c r="BA594" s="64">
        <f t="shared" si="189"/>
        <v>0</v>
      </c>
      <c r="BB594" s="64">
        <f t="shared" si="189"/>
        <v>0</v>
      </c>
      <c r="BC594" s="64">
        <f t="shared" si="189"/>
        <v>0</v>
      </c>
      <c r="BD594" s="64">
        <f t="shared" si="189"/>
        <v>0</v>
      </c>
      <c r="BE594" s="64">
        <f t="shared" si="189"/>
        <v>0</v>
      </c>
      <c r="BF594" s="64">
        <f t="shared" si="189"/>
        <v>0</v>
      </c>
      <c r="BG594" s="64">
        <f t="shared" si="189"/>
        <v>0</v>
      </c>
      <c r="BH594" s="64">
        <f t="shared" si="189"/>
        <v>0</v>
      </c>
    </row>
    <row r="595" spans="2:60" s="64" customFormat="1" hidden="1" outlineLevel="2">
      <c r="B595" s="64" t="str">
        <f>Esc!A523</f>
        <v>No energéticos</v>
      </c>
      <c r="C595" s="64">
        <f>Esc!B523</f>
        <v>0</v>
      </c>
      <c r="D595" s="64">
        <f>Esc!C523</f>
        <v>0</v>
      </c>
      <c r="E595" s="64">
        <f>Esc!D523</f>
        <v>0</v>
      </c>
      <c r="F595" s="64">
        <f>Esc!E523</f>
        <v>0</v>
      </c>
      <c r="G595" s="64">
        <f>Esc!F523</f>
        <v>0</v>
      </c>
      <c r="H595" s="64">
        <f>Esc!G523</f>
        <v>0</v>
      </c>
      <c r="I595" s="64">
        <f>Esc!H523</f>
        <v>0</v>
      </c>
      <c r="J595" s="64">
        <f>Esc!I523</f>
        <v>0</v>
      </c>
      <c r="K595" s="64">
        <f>Esc!J523</f>
        <v>0</v>
      </c>
      <c r="L595" s="64">
        <f>Esc!K523</f>
        <v>0</v>
      </c>
      <c r="M595" s="64">
        <f>Esc!L523</f>
        <v>0</v>
      </c>
      <c r="N595" s="64">
        <f>Esc!M523</f>
        <v>0</v>
      </c>
      <c r="O595" s="64">
        <f>Esc!N523</f>
        <v>0</v>
      </c>
      <c r="P595" s="64">
        <f>Esc!O523</f>
        <v>0</v>
      </c>
      <c r="Q595" s="64">
        <f>Esc!P523</f>
        <v>0</v>
      </c>
      <c r="R595" s="64">
        <f>Esc!Q523</f>
        <v>0</v>
      </c>
      <c r="S595" s="64">
        <f>Esc!R523</f>
        <v>0</v>
      </c>
      <c r="T595" s="64">
        <f>Esc!S523</f>
        <v>0</v>
      </c>
      <c r="U595" s="64">
        <f>Esc!T523</f>
        <v>0</v>
      </c>
      <c r="V595" s="64">
        <f>Esc!U523</f>
        <v>0</v>
      </c>
      <c r="W595" s="64">
        <f>Esc!V523</f>
        <v>0</v>
      </c>
      <c r="X595" s="64">
        <f>Esc!W523</f>
        <v>0</v>
      </c>
      <c r="Y595" s="64">
        <f>Esc!X523</f>
        <v>0</v>
      </c>
      <c r="Z595" s="64">
        <f>Esc!Y523</f>
        <v>0</v>
      </c>
      <c r="AA595" s="64">
        <f>Esc!Z523</f>
        <v>0</v>
      </c>
      <c r="AB595" s="64">
        <f>Esc!AA523</f>
        <v>0</v>
      </c>
      <c r="AC595" s="64">
        <f>Esc!AB523</f>
        <v>0</v>
      </c>
      <c r="AD595" s="64">
        <f>Esc!AC523</f>
        <v>0</v>
      </c>
      <c r="AE595" s="64">
        <f>Esc!AD523</f>
        <v>0</v>
      </c>
      <c r="AF595" s="64">
        <f>Esc!AE523</f>
        <v>0</v>
      </c>
      <c r="AG595" s="64">
        <f>Esc!AF523</f>
        <v>0</v>
      </c>
      <c r="AH595" s="64">
        <f>Esc!AG523</f>
        <v>0</v>
      </c>
      <c r="AI595" s="64">
        <f>Esc!AH523</f>
        <v>0</v>
      </c>
      <c r="AJ595" s="64">
        <f>Esc!AI523</f>
        <v>0</v>
      </c>
      <c r="AK595" s="64">
        <f>Esc!AJ523</f>
        <v>0</v>
      </c>
      <c r="AL595" s="64">
        <f>Esc!AK523</f>
        <v>0</v>
      </c>
      <c r="AM595" s="64">
        <f>Esc!AL523</f>
        <v>0</v>
      </c>
      <c r="AN595" s="64">
        <f>Esc!AM523</f>
        <v>0</v>
      </c>
      <c r="AO595" s="64">
        <f t="shared" si="190"/>
        <v>0</v>
      </c>
      <c r="AP595" s="64">
        <f t="shared" si="189"/>
        <v>0</v>
      </c>
      <c r="AQ595" s="64">
        <f t="shared" si="189"/>
        <v>0</v>
      </c>
      <c r="AR595" s="64">
        <f t="shared" si="189"/>
        <v>0</v>
      </c>
      <c r="AS595" s="64">
        <f t="shared" si="189"/>
        <v>0</v>
      </c>
      <c r="AT595" s="64">
        <f t="shared" si="189"/>
        <v>0</v>
      </c>
      <c r="AU595" s="64">
        <f t="shared" si="189"/>
        <v>0</v>
      </c>
      <c r="AV595" s="64">
        <f t="shared" si="189"/>
        <v>0</v>
      </c>
      <c r="AW595" s="64">
        <f t="shared" si="189"/>
        <v>0</v>
      </c>
      <c r="AX595" s="64">
        <f t="shared" si="189"/>
        <v>0</v>
      </c>
      <c r="AY595" s="64">
        <f t="shared" si="189"/>
        <v>0</v>
      </c>
      <c r="AZ595" s="64">
        <f t="shared" si="189"/>
        <v>0</v>
      </c>
      <c r="BA595" s="64">
        <f t="shared" si="189"/>
        <v>0</v>
      </c>
      <c r="BB595" s="64">
        <f t="shared" si="189"/>
        <v>0</v>
      </c>
      <c r="BC595" s="64">
        <f t="shared" si="189"/>
        <v>0</v>
      </c>
      <c r="BD595" s="64">
        <f t="shared" si="189"/>
        <v>0</v>
      </c>
      <c r="BE595" s="64">
        <f t="shared" si="189"/>
        <v>0</v>
      </c>
      <c r="BF595" s="64">
        <f t="shared" si="189"/>
        <v>0</v>
      </c>
      <c r="BG595" s="64">
        <f t="shared" si="189"/>
        <v>0</v>
      </c>
      <c r="BH595" s="64">
        <f t="shared" si="189"/>
        <v>0</v>
      </c>
    </row>
    <row r="596" spans="2:60" s="64" customFormat="1" hidden="1" outlineLevel="2">
      <c r="B596" s="64" t="str">
        <f>Esc!A524</f>
        <v>Gas seco</v>
      </c>
      <c r="C596" s="64">
        <f>Esc!B524</f>
        <v>178.71</v>
      </c>
      <c r="D596" s="64">
        <f>Esc!C524</f>
        <v>183.79</v>
      </c>
      <c r="E596" s="64">
        <f>Esc!D524</f>
        <v>194.44</v>
      </c>
      <c r="F596" s="64">
        <f>Esc!E524</f>
        <v>212.35</v>
      </c>
      <c r="G596" s="64">
        <f>Esc!F524</f>
        <v>257.77999999999997</v>
      </c>
      <c r="H596" s="64">
        <f>Esc!G524</f>
        <v>89.7</v>
      </c>
      <c r="I596" s="64">
        <f>Esc!H524</f>
        <v>82.7</v>
      </c>
      <c r="J596" s="64">
        <f>Esc!I524</f>
        <v>32.86</v>
      </c>
      <c r="K596" s="64">
        <f>Esc!J524</f>
        <v>50.68</v>
      </c>
      <c r="L596" s="64">
        <f>Esc!K524</f>
        <v>51.47</v>
      </c>
      <c r="M596" s="64">
        <f>Esc!L524</f>
        <v>51.95</v>
      </c>
      <c r="N596" s="64">
        <f>Esc!M524</f>
        <v>52.44</v>
      </c>
      <c r="O596" s="64">
        <f>Esc!N524</f>
        <v>52.93</v>
      </c>
      <c r="P596" s="64">
        <f>Esc!O524</f>
        <v>53.41</v>
      </c>
      <c r="Q596" s="64">
        <f>Esc!P524</f>
        <v>53.9</v>
      </c>
      <c r="R596" s="64">
        <f>Esc!Q524</f>
        <v>54.39</v>
      </c>
      <c r="S596" s="64">
        <f>Esc!R524</f>
        <v>54.88</v>
      </c>
      <c r="T596" s="64">
        <f>Esc!S524</f>
        <v>55.36</v>
      </c>
      <c r="U596" s="64">
        <f>Esc!T524</f>
        <v>55.85</v>
      </c>
      <c r="V596" s="64">
        <f>Esc!U524</f>
        <v>56.34</v>
      </c>
      <c r="W596" s="64">
        <f>Esc!V524</f>
        <v>56.82</v>
      </c>
      <c r="X596" s="64">
        <f>Esc!W524</f>
        <v>57.04</v>
      </c>
      <c r="Y596" s="64">
        <f>Esc!X524</f>
        <v>56.9</v>
      </c>
      <c r="Z596" s="64">
        <f>Esc!Y524</f>
        <v>56.75</v>
      </c>
      <c r="AA596" s="64">
        <f>Esc!Z524</f>
        <v>56.61</v>
      </c>
      <c r="AB596" s="64">
        <f>Esc!AA524</f>
        <v>56.47</v>
      </c>
      <c r="AC596" s="64">
        <f>Esc!AB524</f>
        <v>56.32</v>
      </c>
      <c r="AD596" s="64">
        <f>Esc!AC524</f>
        <v>56.18</v>
      </c>
      <c r="AE596" s="64">
        <f>Esc!AD524</f>
        <v>56.04</v>
      </c>
      <c r="AF596" s="64">
        <f>Esc!AE524</f>
        <v>55.89</v>
      </c>
      <c r="AG596" s="64">
        <f>Esc!AF524</f>
        <v>55.75</v>
      </c>
      <c r="AH596" s="64">
        <f>Esc!AG524</f>
        <v>55.61</v>
      </c>
      <c r="AI596" s="64">
        <f>Esc!AH524</f>
        <v>55.46</v>
      </c>
      <c r="AJ596" s="64">
        <f>Esc!AI524</f>
        <v>55.32</v>
      </c>
      <c r="AK596" s="64">
        <f>Esc!AJ524</f>
        <v>55.18</v>
      </c>
      <c r="AL596" s="64">
        <f>Esc!AK524</f>
        <v>55.03</v>
      </c>
      <c r="AM596" s="64">
        <f>Esc!AL524</f>
        <v>54.89</v>
      </c>
      <c r="AN596" s="64">
        <f>Esc!AM524</f>
        <v>54.74</v>
      </c>
      <c r="AO596" s="64">
        <f t="shared" si="190"/>
        <v>54.74</v>
      </c>
      <c r="AP596" s="64">
        <f t="shared" si="189"/>
        <v>54.74</v>
      </c>
      <c r="AQ596" s="64">
        <f t="shared" si="189"/>
        <v>54.74</v>
      </c>
      <c r="AR596" s="64">
        <f t="shared" si="189"/>
        <v>54.74</v>
      </c>
      <c r="AS596" s="64">
        <f t="shared" si="189"/>
        <v>54.74</v>
      </c>
      <c r="AT596" s="64">
        <f t="shared" ref="AP596:BL597" si="191">AS596</f>
        <v>54.74</v>
      </c>
      <c r="AU596" s="64">
        <f t="shared" si="191"/>
        <v>54.74</v>
      </c>
      <c r="AV596" s="64">
        <f t="shared" si="191"/>
        <v>54.74</v>
      </c>
      <c r="AW596" s="64">
        <f t="shared" si="191"/>
        <v>54.74</v>
      </c>
      <c r="AX596" s="64">
        <f t="shared" si="191"/>
        <v>54.74</v>
      </c>
      <c r="AY596" s="64">
        <f t="shared" si="191"/>
        <v>54.74</v>
      </c>
      <c r="AZ596" s="64">
        <f t="shared" si="191"/>
        <v>54.74</v>
      </c>
      <c r="BA596" s="64">
        <f t="shared" si="191"/>
        <v>54.74</v>
      </c>
      <c r="BB596" s="64">
        <f t="shared" si="191"/>
        <v>54.74</v>
      </c>
      <c r="BC596" s="64">
        <f t="shared" si="191"/>
        <v>54.74</v>
      </c>
      <c r="BD596" s="64">
        <f t="shared" si="191"/>
        <v>54.74</v>
      </c>
      <c r="BE596" s="64">
        <f t="shared" si="191"/>
        <v>54.74</v>
      </c>
      <c r="BF596" s="64">
        <f t="shared" si="191"/>
        <v>54.74</v>
      </c>
      <c r="BG596" s="64">
        <f t="shared" si="191"/>
        <v>54.74</v>
      </c>
      <c r="BH596" s="64">
        <f t="shared" si="191"/>
        <v>54.74</v>
      </c>
    </row>
    <row r="597" spans="2:60" s="64" customFormat="1" hidden="1" outlineLevel="2">
      <c r="B597" s="64" t="str">
        <f>Esc!A525</f>
        <v>Electricidad</v>
      </c>
      <c r="C597" s="64">
        <f>Esc!B525</f>
        <v>384.38</v>
      </c>
      <c r="D597" s="64">
        <f>Esc!C525</f>
        <v>396.58</v>
      </c>
      <c r="E597" s="64">
        <f>Esc!D525</f>
        <v>399.71</v>
      </c>
      <c r="F597" s="64">
        <f>Esc!E525</f>
        <v>395.1</v>
      </c>
      <c r="G597" s="64">
        <f>Esc!F525</f>
        <v>407.71</v>
      </c>
      <c r="H597" s="64">
        <f>Esc!G525</f>
        <v>441.3</v>
      </c>
      <c r="I597" s="64">
        <f>Esc!H525</f>
        <v>455.96</v>
      </c>
      <c r="J597" s="64">
        <f>Esc!I525</f>
        <v>440.94</v>
      </c>
      <c r="K597" s="64">
        <f>Esc!J525</f>
        <v>463.47</v>
      </c>
      <c r="L597" s="64">
        <f>Esc!K525</f>
        <v>486.71</v>
      </c>
      <c r="M597" s="64">
        <f>Esc!L525</f>
        <v>486.64</v>
      </c>
      <c r="N597" s="64">
        <f>Esc!M525</f>
        <v>486.56</v>
      </c>
      <c r="O597" s="64">
        <f>Esc!N525</f>
        <v>486.48</v>
      </c>
      <c r="P597" s="64">
        <f>Esc!O525</f>
        <v>486.41</v>
      </c>
      <c r="Q597" s="64">
        <f>Esc!P525</f>
        <v>486.33</v>
      </c>
      <c r="R597" s="64">
        <f>Esc!Q525</f>
        <v>486.25</v>
      </c>
      <c r="S597" s="64">
        <f>Esc!R525</f>
        <v>486.18</v>
      </c>
      <c r="T597" s="64">
        <f>Esc!S525</f>
        <v>486.1</v>
      </c>
      <c r="U597" s="64">
        <f>Esc!T525</f>
        <v>486.02</v>
      </c>
      <c r="V597" s="64">
        <f>Esc!U525</f>
        <v>485.95</v>
      </c>
      <c r="W597" s="64">
        <f>Esc!V525</f>
        <v>485.87</v>
      </c>
      <c r="X597" s="64">
        <f>Esc!W525</f>
        <v>483.68</v>
      </c>
      <c r="Y597" s="64">
        <f>Esc!X525</f>
        <v>478.67</v>
      </c>
      <c r="Z597" s="64">
        <f>Esc!Y525</f>
        <v>473.65</v>
      </c>
      <c r="AA597" s="64">
        <f>Esc!Z525</f>
        <v>468.63</v>
      </c>
      <c r="AB597" s="64">
        <f>Esc!AA525</f>
        <v>463.62</v>
      </c>
      <c r="AC597" s="64">
        <f>Esc!AB525</f>
        <v>458.6</v>
      </c>
      <c r="AD597" s="64">
        <f>Esc!AC525</f>
        <v>453.59</v>
      </c>
      <c r="AE597" s="64">
        <f>Esc!AD525</f>
        <v>448.57</v>
      </c>
      <c r="AF597" s="64">
        <f>Esc!AE525</f>
        <v>443.55</v>
      </c>
      <c r="AG597" s="64">
        <f>Esc!AF525</f>
        <v>438.54</v>
      </c>
      <c r="AH597" s="64">
        <f>Esc!AG525</f>
        <v>433.52</v>
      </c>
      <c r="AI597" s="64">
        <f>Esc!AH525</f>
        <v>428.5</v>
      </c>
      <c r="AJ597" s="64">
        <f>Esc!AI525</f>
        <v>423.49</v>
      </c>
      <c r="AK597" s="64">
        <f>Esc!AJ525</f>
        <v>418.47</v>
      </c>
      <c r="AL597" s="64">
        <f>Esc!AK525</f>
        <v>413.45</v>
      </c>
      <c r="AM597" s="64">
        <f>Esc!AL525</f>
        <v>408.39</v>
      </c>
      <c r="AN597" s="64">
        <f>Esc!AM525</f>
        <v>403.33</v>
      </c>
      <c r="AO597" s="64">
        <f t="shared" si="190"/>
        <v>403.33</v>
      </c>
      <c r="AP597" s="64">
        <f t="shared" si="191"/>
        <v>403.33</v>
      </c>
      <c r="AQ597" s="64">
        <f t="shared" si="191"/>
        <v>403.33</v>
      </c>
      <c r="AR597" s="64">
        <f t="shared" si="191"/>
        <v>403.33</v>
      </c>
      <c r="AS597" s="64">
        <f t="shared" si="191"/>
        <v>403.33</v>
      </c>
      <c r="AT597" s="64">
        <f t="shared" si="191"/>
        <v>403.33</v>
      </c>
      <c r="AU597" s="64">
        <f t="shared" si="191"/>
        <v>403.33</v>
      </c>
      <c r="AV597" s="64">
        <f t="shared" si="191"/>
        <v>403.33</v>
      </c>
      <c r="AW597" s="64">
        <f t="shared" si="191"/>
        <v>403.33</v>
      </c>
      <c r="AX597" s="64">
        <f t="shared" si="191"/>
        <v>403.33</v>
      </c>
      <c r="AY597" s="64">
        <f t="shared" si="191"/>
        <v>403.33</v>
      </c>
      <c r="AZ597" s="64">
        <f t="shared" si="191"/>
        <v>403.33</v>
      </c>
      <c r="BA597" s="64">
        <f t="shared" si="191"/>
        <v>403.33</v>
      </c>
      <c r="BB597" s="64">
        <f t="shared" si="191"/>
        <v>403.33</v>
      </c>
      <c r="BC597" s="64">
        <f t="shared" si="191"/>
        <v>403.33</v>
      </c>
      <c r="BD597" s="64">
        <f t="shared" si="191"/>
        <v>403.33</v>
      </c>
      <c r="BE597" s="64">
        <f t="shared" si="191"/>
        <v>403.33</v>
      </c>
      <c r="BF597" s="64">
        <f t="shared" si="191"/>
        <v>403.33</v>
      </c>
      <c r="BG597" s="64">
        <f t="shared" si="191"/>
        <v>403.33</v>
      </c>
      <c r="BH597" s="64">
        <f t="shared" si="191"/>
        <v>403.33</v>
      </c>
    </row>
    <row r="598" spans="2:60" hidden="1" outlineLevel="2"/>
    <row r="599" spans="2:60" hidden="1" outlineLevel="2"/>
    <row r="600" spans="2:60" hidden="1" outlineLevel="2"/>
    <row r="601" spans="2:60" hidden="1" outlineLevel="2"/>
    <row r="602" spans="2:60" hidden="1" outlineLevel="2"/>
    <row r="603" spans="2:60" hidden="1" outlineLevel="2"/>
    <row r="604" spans="2:60" hidden="1" outlineLevel="2"/>
    <row r="605" spans="2:60" hidden="1" outlineLevel="2"/>
    <row r="606" spans="2:60" hidden="1" outlineLevel="2"/>
    <row r="607" spans="2:60" hidden="1" outlineLevel="2"/>
    <row r="608" spans="2:60" hidden="1" outlineLevel="2"/>
    <row r="609" spans="1:60" hidden="1" outlineLevel="2"/>
    <row r="610" spans="1:60" hidden="1" outlineLevel="2"/>
    <row r="611" spans="1:60" hidden="1" outlineLevel="2"/>
    <row r="612" spans="1:60" collapsed="1">
      <c r="A612" s="67" t="s">
        <v>122</v>
      </c>
    </row>
    <row r="613" spans="1:60" s="64" customFormat="1" hidden="1" outlineLevel="2">
      <c r="B613" s="64" t="str">
        <f>Esc!A459</f>
        <v>Diésel</v>
      </c>
      <c r="C613" s="64">
        <f>Esc!B459</f>
        <v>0.16</v>
      </c>
      <c r="D613" s="64">
        <f>Esc!C459</f>
        <v>0.15</v>
      </c>
      <c r="E613" s="64">
        <f>Esc!D459</f>
        <v>0.16</v>
      </c>
      <c r="F613" s="64">
        <f>Esc!E459</f>
        <v>0.16</v>
      </c>
      <c r="G613" s="64">
        <f>Esc!F459</f>
        <v>0.16</v>
      </c>
      <c r="H613" s="64">
        <f>Esc!G459</f>
        <v>0.16</v>
      </c>
      <c r="I613" s="64">
        <f>Esc!H459</f>
        <v>0.16</v>
      </c>
      <c r="J613" s="64">
        <f>Esc!I459</f>
        <v>0.16</v>
      </c>
      <c r="K613" s="64">
        <f>Esc!J459</f>
        <v>0.14000000000000001</v>
      </c>
      <c r="L613" s="64">
        <f>Esc!K459</f>
        <v>0.14000000000000001</v>
      </c>
      <c r="M613" s="64">
        <f>Esc!L459</f>
        <v>0.13</v>
      </c>
      <c r="N613" s="64">
        <f>Esc!M459</f>
        <v>0.13</v>
      </c>
      <c r="O613" s="64">
        <f>Esc!N459</f>
        <v>0.12</v>
      </c>
      <c r="P613" s="64">
        <f>Esc!O459</f>
        <v>0.12</v>
      </c>
      <c r="Q613" s="64">
        <f>Esc!P459</f>
        <v>0.11</v>
      </c>
      <c r="R613" s="64">
        <f>Esc!Q459</f>
        <v>0.11</v>
      </c>
      <c r="S613" s="64">
        <f>Esc!R459</f>
        <v>0.1</v>
      </c>
      <c r="T613" s="64">
        <f>Esc!S459</f>
        <v>0.1</v>
      </c>
      <c r="U613" s="64">
        <f>T613</f>
        <v>0.1</v>
      </c>
      <c r="V613" s="64">
        <f t="shared" ref="V613:BH615" si="192">U613</f>
        <v>0.1</v>
      </c>
      <c r="W613" s="64">
        <f t="shared" si="192"/>
        <v>0.1</v>
      </c>
      <c r="X613" s="64">
        <f t="shared" si="192"/>
        <v>0.1</v>
      </c>
      <c r="Y613" s="64">
        <f t="shared" si="192"/>
        <v>0.1</v>
      </c>
      <c r="Z613" s="64">
        <f t="shared" si="192"/>
        <v>0.1</v>
      </c>
      <c r="AA613" s="64">
        <f t="shared" si="192"/>
        <v>0.1</v>
      </c>
      <c r="AB613" s="64">
        <f t="shared" si="192"/>
        <v>0.1</v>
      </c>
      <c r="AC613" s="64">
        <f t="shared" si="192"/>
        <v>0.1</v>
      </c>
      <c r="AD613" s="64">
        <f t="shared" si="192"/>
        <v>0.1</v>
      </c>
      <c r="AE613" s="64">
        <f t="shared" si="192"/>
        <v>0.1</v>
      </c>
      <c r="AF613" s="64">
        <f t="shared" si="192"/>
        <v>0.1</v>
      </c>
      <c r="AG613" s="64">
        <f t="shared" si="192"/>
        <v>0.1</v>
      </c>
      <c r="AH613" s="64">
        <f t="shared" si="192"/>
        <v>0.1</v>
      </c>
      <c r="AI613" s="64">
        <f t="shared" si="192"/>
        <v>0.1</v>
      </c>
      <c r="AJ613" s="64">
        <f t="shared" si="192"/>
        <v>0.1</v>
      </c>
      <c r="AK613" s="64">
        <f t="shared" si="192"/>
        <v>0.1</v>
      </c>
      <c r="AL613" s="64">
        <f t="shared" si="192"/>
        <v>0.1</v>
      </c>
      <c r="AM613" s="64">
        <f t="shared" si="192"/>
        <v>0.1</v>
      </c>
      <c r="AN613" s="64">
        <f t="shared" si="192"/>
        <v>0.1</v>
      </c>
      <c r="AO613" s="64">
        <f t="shared" si="192"/>
        <v>0.1</v>
      </c>
      <c r="AP613" s="64">
        <f t="shared" si="192"/>
        <v>0.1</v>
      </c>
      <c r="AQ613" s="64">
        <f t="shared" si="192"/>
        <v>0.1</v>
      </c>
      <c r="AR613" s="64">
        <f t="shared" si="192"/>
        <v>0.1</v>
      </c>
      <c r="AS613" s="64">
        <f t="shared" si="192"/>
        <v>0.1</v>
      </c>
      <c r="AT613" s="64">
        <f t="shared" si="192"/>
        <v>0.1</v>
      </c>
      <c r="AU613" s="64">
        <f t="shared" si="192"/>
        <v>0.1</v>
      </c>
      <c r="AV613" s="64">
        <f t="shared" si="192"/>
        <v>0.1</v>
      </c>
      <c r="AW613" s="64">
        <f t="shared" si="192"/>
        <v>0.1</v>
      </c>
      <c r="AX613" s="64">
        <f t="shared" si="192"/>
        <v>0.1</v>
      </c>
      <c r="AY613" s="64">
        <f t="shared" si="192"/>
        <v>0.1</v>
      </c>
      <c r="AZ613" s="64">
        <f t="shared" si="192"/>
        <v>0.1</v>
      </c>
      <c r="BA613" s="64">
        <f t="shared" si="192"/>
        <v>0.1</v>
      </c>
      <c r="BB613" s="64">
        <f t="shared" si="192"/>
        <v>0.1</v>
      </c>
      <c r="BC613" s="64">
        <f t="shared" si="192"/>
        <v>0.1</v>
      </c>
      <c r="BD613" s="64">
        <f t="shared" si="192"/>
        <v>0.1</v>
      </c>
      <c r="BE613" s="64">
        <f t="shared" si="192"/>
        <v>0.1</v>
      </c>
      <c r="BF613" s="64">
        <f t="shared" si="192"/>
        <v>0.1</v>
      </c>
      <c r="BG613" s="64">
        <f t="shared" si="192"/>
        <v>0.1</v>
      </c>
      <c r="BH613" s="64">
        <f t="shared" si="192"/>
        <v>0.1</v>
      </c>
    </row>
    <row r="614" spans="1:60" s="64" customFormat="1" hidden="1" outlineLevel="2">
      <c r="B614" s="64" t="str">
        <f>Esc!A462</f>
        <v>Gas seco</v>
      </c>
      <c r="C614" s="64">
        <f>Esc!B462</f>
        <v>0.52</v>
      </c>
      <c r="D614" s="64">
        <f>Esc!C462</f>
        <v>0.5</v>
      </c>
      <c r="E614" s="64">
        <f>Esc!D462</f>
        <v>0.38</v>
      </c>
      <c r="F614" s="64">
        <f>Esc!E462</f>
        <v>0.39</v>
      </c>
      <c r="G614" s="64">
        <f>Esc!F462</f>
        <v>0</v>
      </c>
      <c r="H614" s="64">
        <f>Esc!G462</f>
        <v>0.32</v>
      </c>
      <c r="I614" s="64">
        <f>Esc!H462</f>
        <v>0.25</v>
      </c>
      <c r="J614" s="64">
        <f>Esc!I462</f>
        <v>0.22</v>
      </c>
      <c r="K614" s="64">
        <f>Esc!J462</f>
        <v>0.34</v>
      </c>
      <c r="L614" s="64">
        <f>Esc!K462</f>
        <v>0.34</v>
      </c>
      <c r="M614" s="64">
        <f>Esc!L462</f>
        <v>0.33</v>
      </c>
      <c r="N614" s="64">
        <f>Esc!M462</f>
        <v>0.31</v>
      </c>
      <c r="O614" s="64">
        <f>Esc!N462</f>
        <v>0.3</v>
      </c>
      <c r="P614" s="64">
        <f>Esc!O462</f>
        <v>0.28999999999999998</v>
      </c>
      <c r="Q614" s="64">
        <f>Esc!P462</f>
        <v>0.27</v>
      </c>
      <c r="R614" s="64">
        <f>Esc!Q462</f>
        <v>0.26</v>
      </c>
      <c r="S614" s="64">
        <f>Esc!R462</f>
        <v>0.25</v>
      </c>
      <c r="T614" s="64">
        <f>Esc!S462</f>
        <v>0.23</v>
      </c>
      <c r="U614" s="64">
        <f t="shared" ref="U614:AJ615" si="193">T614</f>
        <v>0.23</v>
      </c>
      <c r="V614" s="64">
        <f t="shared" si="193"/>
        <v>0.23</v>
      </c>
      <c r="W614" s="64">
        <f t="shared" si="193"/>
        <v>0.23</v>
      </c>
      <c r="X614" s="64">
        <f t="shared" si="193"/>
        <v>0.23</v>
      </c>
      <c r="Y614" s="64">
        <f t="shared" si="193"/>
        <v>0.23</v>
      </c>
      <c r="Z614" s="64">
        <f t="shared" si="193"/>
        <v>0.23</v>
      </c>
      <c r="AA614" s="64">
        <f t="shared" si="193"/>
        <v>0.23</v>
      </c>
      <c r="AB614" s="64">
        <f t="shared" si="193"/>
        <v>0.23</v>
      </c>
      <c r="AC614" s="64">
        <f t="shared" si="193"/>
        <v>0.23</v>
      </c>
      <c r="AD614" s="64">
        <f t="shared" si="193"/>
        <v>0.23</v>
      </c>
      <c r="AE614" s="64">
        <f t="shared" si="193"/>
        <v>0.23</v>
      </c>
      <c r="AF614" s="64">
        <f t="shared" si="193"/>
        <v>0.23</v>
      </c>
      <c r="AG614" s="64">
        <f t="shared" si="193"/>
        <v>0.23</v>
      </c>
      <c r="AH614" s="64">
        <f t="shared" si="193"/>
        <v>0.23</v>
      </c>
      <c r="AI614" s="64">
        <f t="shared" si="193"/>
        <v>0.23</v>
      </c>
      <c r="AJ614" s="64">
        <f t="shared" si="193"/>
        <v>0.23</v>
      </c>
      <c r="AK614" s="64">
        <f t="shared" si="192"/>
        <v>0.23</v>
      </c>
      <c r="AL614" s="64">
        <f t="shared" si="192"/>
        <v>0.23</v>
      </c>
      <c r="AM614" s="64">
        <f t="shared" si="192"/>
        <v>0.23</v>
      </c>
      <c r="AN614" s="64">
        <f t="shared" si="192"/>
        <v>0.23</v>
      </c>
      <c r="AO614" s="64">
        <f t="shared" si="192"/>
        <v>0.23</v>
      </c>
      <c r="AP614" s="64">
        <f t="shared" si="192"/>
        <v>0.23</v>
      </c>
      <c r="AQ614" s="64">
        <f t="shared" si="192"/>
        <v>0.23</v>
      </c>
      <c r="AR614" s="64">
        <f t="shared" si="192"/>
        <v>0.23</v>
      </c>
      <c r="AS614" s="64">
        <f t="shared" si="192"/>
        <v>0.23</v>
      </c>
      <c r="AT614" s="64">
        <f t="shared" si="192"/>
        <v>0.23</v>
      </c>
      <c r="AU614" s="64">
        <f t="shared" si="192"/>
        <v>0.23</v>
      </c>
      <c r="AV614" s="64">
        <f t="shared" si="192"/>
        <v>0.23</v>
      </c>
      <c r="AW614" s="64">
        <f t="shared" si="192"/>
        <v>0.23</v>
      </c>
      <c r="AX614" s="64">
        <f t="shared" si="192"/>
        <v>0.23</v>
      </c>
      <c r="AY614" s="64">
        <f t="shared" si="192"/>
        <v>0.23</v>
      </c>
      <c r="AZ614" s="64">
        <f t="shared" si="192"/>
        <v>0.23</v>
      </c>
      <c r="BA614" s="64">
        <f t="shared" si="192"/>
        <v>0.23</v>
      </c>
      <c r="BB614" s="64">
        <f t="shared" si="192"/>
        <v>0.23</v>
      </c>
      <c r="BC614" s="64">
        <f t="shared" si="192"/>
        <v>0.23</v>
      </c>
      <c r="BD614" s="64">
        <f t="shared" si="192"/>
        <v>0.23</v>
      </c>
      <c r="BE614" s="64">
        <f t="shared" si="192"/>
        <v>0.23</v>
      </c>
      <c r="BF614" s="64">
        <f t="shared" si="192"/>
        <v>0.23</v>
      </c>
      <c r="BG614" s="64">
        <f t="shared" si="192"/>
        <v>0.23</v>
      </c>
      <c r="BH614" s="64">
        <f t="shared" si="192"/>
        <v>0.23</v>
      </c>
    </row>
    <row r="615" spans="1:60" s="64" customFormat="1" hidden="1" outlineLevel="2">
      <c r="B615" s="64" t="str">
        <f>Esc!A463</f>
        <v>Electricidad</v>
      </c>
      <c r="C615" s="64">
        <f>Esc!B463</f>
        <v>0.47</v>
      </c>
      <c r="D615" s="64">
        <f>Esc!C463</f>
        <v>0.73</v>
      </c>
      <c r="E615" s="64">
        <f>Esc!D463</f>
        <v>0.74</v>
      </c>
      <c r="F615" s="64">
        <f>Esc!E463</f>
        <v>0.75</v>
      </c>
      <c r="G615" s="64">
        <f>Esc!F463</f>
        <v>0.75</v>
      </c>
      <c r="H615" s="64">
        <f>Esc!G463</f>
        <v>0.75</v>
      </c>
      <c r="I615" s="64">
        <f>Esc!H463</f>
        <v>0.77</v>
      </c>
      <c r="J615" s="64">
        <f>Esc!I463</f>
        <v>0.81</v>
      </c>
      <c r="K615" s="64">
        <f>Esc!J463</f>
        <v>0.77</v>
      </c>
      <c r="L615" s="64">
        <f>Esc!K463</f>
        <v>0.77</v>
      </c>
      <c r="M615" s="64">
        <f>Esc!L463</f>
        <v>0.74</v>
      </c>
      <c r="N615" s="64">
        <f>Esc!M463</f>
        <v>0.71</v>
      </c>
      <c r="O615" s="64">
        <f>Esc!N463</f>
        <v>0.68</v>
      </c>
      <c r="P615" s="64">
        <f>Esc!O463</f>
        <v>0.65</v>
      </c>
      <c r="Q615" s="64">
        <f>Esc!P463</f>
        <v>0.62</v>
      </c>
      <c r="R615" s="64">
        <f>Esc!Q463</f>
        <v>0.59</v>
      </c>
      <c r="S615" s="64">
        <f>Esc!R463</f>
        <v>0.56000000000000005</v>
      </c>
      <c r="T615" s="64">
        <f>Esc!S463</f>
        <v>0.53</v>
      </c>
      <c r="U615" s="64">
        <f t="shared" si="193"/>
        <v>0.53</v>
      </c>
      <c r="V615" s="64">
        <f t="shared" si="192"/>
        <v>0.53</v>
      </c>
      <c r="W615" s="64">
        <f t="shared" si="192"/>
        <v>0.53</v>
      </c>
      <c r="X615" s="64">
        <f t="shared" si="192"/>
        <v>0.53</v>
      </c>
      <c r="Y615" s="64">
        <f t="shared" si="192"/>
        <v>0.53</v>
      </c>
      <c r="Z615" s="64">
        <f t="shared" si="192"/>
        <v>0.53</v>
      </c>
      <c r="AA615" s="64">
        <f t="shared" si="192"/>
        <v>0.53</v>
      </c>
      <c r="AB615" s="64">
        <f t="shared" si="192"/>
        <v>0.53</v>
      </c>
      <c r="AC615" s="64">
        <f t="shared" si="192"/>
        <v>0.53</v>
      </c>
      <c r="AD615" s="64">
        <f t="shared" si="192"/>
        <v>0.53</v>
      </c>
      <c r="AE615" s="64">
        <f t="shared" si="192"/>
        <v>0.53</v>
      </c>
      <c r="AF615" s="64">
        <f t="shared" si="192"/>
        <v>0.53</v>
      </c>
      <c r="AG615" s="64">
        <f t="shared" si="192"/>
        <v>0.53</v>
      </c>
      <c r="AH615" s="64">
        <f t="shared" si="192"/>
        <v>0.53</v>
      </c>
      <c r="AI615" s="64">
        <f t="shared" si="192"/>
        <v>0.53</v>
      </c>
      <c r="AJ615" s="64">
        <f t="shared" si="192"/>
        <v>0.53</v>
      </c>
      <c r="AK615" s="64">
        <f t="shared" si="192"/>
        <v>0.53</v>
      </c>
      <c r="AL615" s="64">
        <f t="shared" si="192"/>
        <v>0.53</v>
      </c>
      <c r="AM615" s="64">
        <f t="shared" si="192"/>
        <v>0.53</v>
      </c>
      <c r="AN615" s="64">
        <f t="shared" si="192"/>
        <v>0.53</v>
      </c>
      <c r="AO615" s="64">
        <f t="shared" si="192"/>
        <v>0.53</v>
      </c>
      <c r="AP615" s="64">
        <f t="shared" si="192"/>
        <v>0.53</v>
      </c>
      <c r="AQ615" s="64">
        <f t="shared" si="192"/>
        <v>0.53</v>
      </c>
      <c r="AR615" s="64">
        <f t="shared" si="192"/>
        <v>0.53</v>
      </c>
      <c r="AS615" s="64">
        <f t="shared" si="192"/>
        <v>0.53</v>
      </c>
      <c r="AT615" s="64">
        <f t="shared" si="192"/>
        <v>0.53</v>
      </c>
      <c r="AU615" s="64">
        <f t="shared" si="192"/>
        <v>0.53</v>
      </c>
      <c r="AV615" s="64">
        <f t="shared" si="192"/>
        <v>0.53</v>
      </c>
      <c r="AW615" s="64">
        <f t="shared" si="192"/>
        <v>0.53</v>
      </c>
      <c r="AX615" s="64">
        <f t="shared" si="192"/>
        <v>0.53</v>
      </c>
      <c r="AY615" s="64">
        <f t="shared" si="192"/>
        <v>0.53</v>
      </c>
      <c r="AZ615" s="64">
        <f t="shared" si="192"/>
        <v>0.53</v>
      </c>
      <c r="BA615" s="64">
        <f t="shared" si="192"/>
        <v>0.53</v>
      </c>
      <c r="BB615" s="64">
        <f t="shared" si="192"/>
        <v>0.53</v>
      </c>
      <c r="BC615" s="64">
        <f t="shared" si="192"/>
        <v>0.53</v>
      </c>
      <c r="BD615" s="64">
        <f t="shared" si="192"/>
        <v>0.53</v>
      </c>
      <c r="BE615" s="64">
        <f t="shared" si="192"/>
        <v>0.53</v>
      </c>
      <c r="BF615" s="64">
        <f t="shared" si="192"/>
        <v>0.53</v>
      </c>
      <c r="BG615" s="64">
        <f t="shared" si="192"/>
        <v>0.53</v>
      </c>
      <c r="BH615" s="64">
        <f t="shared" si="192"/>
        <v>0.53</v>
      </c>
    </row>
    <row r="616" spans="1:60" hidden="1" outlineLevel="2"/>
    <row r="617" spans="1:60" collapsed="1">
      <c r="A617" s="67" t="s">
        <v>115</v>
      </c>
    </row>
    <row r="618" spans="1:60" hidden="1" outlineLevel="1">
      <c r="B618" t="str">
        <f>Esc!A238</f>
        <v>Coque de petróleo</v>
      </c>
      <c r="C618">
        <f>Esc!B238</f>
        <v>0.01</v>
      </c>
      <c r="D618">
        <f>Esc!C238</f>
        <v>0</v>
      </c>
      <c r="E618">
        <f>Esc!D238</f>
        <v>0.01</v>
      </c>
      <c r="F618">
        <f>Esc!E238</f>
        <v>0.01</v>
      </c>
      <c r="G618">
        <f>Esc!F238</f>
        <v>0.01</v>
      </c>
      <c r="H618">
        <f>Esc!G238</f>
        <v>0.01</v>
      </c>
      <c r="I618">
        <f>Esc!H238</f>
        <v>0.01</v>
      </c>
      <c r="J618">
        <f>Esc!I238</f>
        <v>0.01</v>
      </c>
      <c r="K618">
        <f>Esc!J238</f>
        <v>0.01</v>
      </c>
      <c r="L618">
        <f>Esc!K238</f>
        <v>0.01</v>
      </c>
      <c r="M618">
        <f>Esc!L238</f>
        <v>0.01</v>
      </c>
      <c r="N618">
        <f>Esc!M238</f>
        <v>0.01</v>
      </c>
      <c r="O618">
        <f>Esc!N238</f>
        <v>0.01</v>
      </c>
      <c r="P618">
        <f>Esc!O238</f>
        <v>0.01</v>
      </c>
      <c r="Q618">
        <f>Esc!P238</f>
        <v>0.01</v>
      </c>
      <c r="R618">
        <f>Esc!Q238</f>
        <v>0.01</v>
      </c>
      <c r="S618">
        <f>Esc!R238</f>
        <v>0.01</v>
      </c>
      <c r="T618">
        <f>Esc!S238</f>
        <v>0.01</v>
      </c>
      <c r="U618">
        <f>Esc!T238</f>
        <v>0.01</v>
      </c>
      <c r="V618">
        <f>Esc!U238</f>
        <v>0.01</v>
      </c>
      <c r="W618">
        <f>Esc!V238</f>
        <v>0.01</v>
      </c>
      <c r="X618">
        <f>Esc!W238</f>
        <v>0.01</v>
      </c>
      <c r="Y618">
        <f>Esc!X238</f>
        <v>0.01</v>
      </c>
      <c r="Z618">
        <f>Esc!Y238</f>
        <v>0.01</v>
      </c>
      <c r="AA618">
        <f>Esc!Z238</f>
        <v>0.01</v>
      </c>
      <c r="AB618">
        <f>Esc!AA238</f>
        <v>0.01</v>
      </c>
      <c r="AC618">
        <f>Esc!AB238</f>
        <v>0.01</v>
      </c>
      <c r="AD618">
        <f>Esc!AC238</f>
        <v>0.01</v>
      </c>
      <c r="AE618">
        <f>Esc!AD238</f>
        <v>0.01</v>
      </c>
      <c r="AF618">
        <f>Esc!AE238</f>
        <v>0.01</v>
      </c>
      <c r="AG618">
        <f>Esc!AF238</f>
        <v>0.01</v>
      </c>
      <c r="AH618">
        <f>Esc!AG238</f>
        <v>0.01</v>
      </c>
      <c r="AI618">
        <f>Esc!AH238</f>
        <v>0.02</v>
      </c>
      <c r="AJ618">
        <f>Esc!AI238</f>
        <v>0.02</v>
      </c>
      <c r="AK618">
        <f>Esc!AJ238</f>
        <v>0.02</v>
      </c>
      <c r="AL618">
        <f>Esc!AK238</f>
        <v>0.02</v>
      </c>
      <c r="AM618">
        <f>Esc!AL238</f>
        <v>0.02</v>
      </c>
      <c r="AN618">
        <f>Esc!AM238</f>
        <v>0.02</v>
      </c>
      <c r="AO618">
        <f>AN618</f>
        <v>0.02</v>
      </c>
      <c r="AP618">
        <f t="shared" ref="AP618:BH623" si="194">AO618</f>
        <v>0.02</v>
      </c>
      <c r="AQ618">
        <f t="shared" si="194"/>
        <v>0.02</v>
      </c>
      <c r="AR618">
        <f t="shared" si="194"/>
        <v>0.02</v>
      </c>
      <c r="AS618">
        <f t="shared" si="194"/>
        <v>0.02</v>
      </c>
      <c r="AT618">
        <f t="shared" si="194"/>
        <v>0.02</v>
      </c>
      <c r="AU618">
        <f t="shared" si="194"/>
        <v>0.02</v>
      </c>
      <c r="AV618">
        <f t="shared" si="194"/>
        <v>0.02</v>
      </c>
      <c r="AW618">
        <f t="shared" si="194"/>
        <v>0.02</v>
      </c>
      <c r="AX618">
        <f t="shared" si="194"/>
        <v>0.02</v>
      </c>
      <c r="AY618">
        <f t="shared" si="194"/>
        <v>0.02</v>
      </c>
      <c r="AZ618">
        <f t="shared" si="194"/>
        <v>0.02</v>
      </c>
      <c r="BA618">
        <f t="shared" si="194"/>
        <v>0.02</v>
      </c>
      <c r="BB618">
        <f t="shared" si="194"/>
        <v>0.02</v>
      </c>
      <c r="BC618">
        <f t="shared" si="194"/>
        <v>0.02</v>
      </c>
      <c r="BD618">
        <f t="shared" si="194"/>
        <v>0.02</v>
      </c>
      <c r="BE618">
        <f t="shared" si="194"/>
        <v>0.02</v>
      </c>
      <c r="BF618">
        <f t="shared" si="194"/>
        <v>0.02</v>
      </c>
      <c r="BG618">
        <f t="shared" si="194"/>
        <v>0.02</v>
      </c>
      <c r="BH618">
        <f t="shared" si="194"/>
        <v>0.02</v>
      </c>
    </row>
    <row r="619" spans="1:60" hidden="1" outlineLevel="1">
      <c r="B619" t="str">
        <f>Esc!A239</f>
        <v>GLP</v>
      </c>
      <c r="C619">
        <f>Esc!B239</f>
        <v>0.15</v>
      </c>
      <c r="D619">
        <f>Esc!C239</f>
        <v>0.15</v>
      </c>
      <c r="E619">
        <f>Esc!D239</f>
        <v>0.16</v>
      </c>
      <c r="F619">
        <f>Esc!E239</f>
        <v>0.16</v>
      </c>
      <c r="G619">
        <f>Esc!F239</f>
        <v>0.16</v>
      </c>
      <c r="H619">
        <f>Esc!G239</f>
        <v>0.16</v>
      </c>
      <c r="I619">
        <f>Esc!H239</f>
        <v>0.16</v>
      </c>
      <c r="J619">
        <f>Esc!I239</f>
        <v>0.15</v>
      </c>
      <c r="K619">
        <f>Esc!J239</f>
        <v>0.12</v>
      </c>
      <c r="L619">
        <f>Esc!K239</f>
        <v>0.13</v>
      </c>
      <c r="M619">
        <f>Esc!L239</f>
        <v>0.13</v>
      </c>
      <c r="N619">
        <f>Esc!M239</f>
        <v>0.13</v>
      </c>
      <c r="O619">
        <f>Esc!N239</f>
        <v>0.13</v>
      </c>
      <c r="P619">
        <f>Esc!O239</f>
        <v>0.13</v>
      </c>
      <c r="Q619">
        <f>Esc!P239</f>
        <v>0.13</v>
      </c>
      <c r="R619">
        <f>Esc!Q239</f>
        <v>0.13</v>
      </c>
      <c r="S619">
        <f>Esc!R239</f>
        <v>0.13</v>
      </c>
      <c r="T619">
        <f>Esc!S239</f>
        <v>0.13</v>
      </c>
      <c r="U619">
        <f>Esc!T239</f>
        <v>0.13</v>
      </c>
      <c r="V619">
        <f>Esc!U239</f>
        <v>0.13</v>
      </c>
      <c r="W619">
        <f>Esc!V239</f>
        <v>0.13</v>
      </c>
      <c r="X619">
        <f>Esc!W239</f>
        <v>0.14000000000000001</v>
      </c>
      <c r="Y619">
        <f>Esc!X239</f>
        <v>0.14000000000000001</v>
      </c>
      <c r="Z619">
        <f>Esc!Y239</f>
        <v>0.14000000000000001</v>
      </c>
      <c r="AA619">
        <f>Esc!Z239</f>
        <v>0.14000000000000001</v>
      </c>
      <c r="AB619">
        <f>Esc!AA239</f>
        <v>0.14000000000000001</v>
      </c>
      <c r="AC619">
        <f>Esc!AB239</f>
        <v>0.14000000000000001</v>
      </c>
      <c r="AD619">
        <f>Esc!AC239</f>
        <v>0.14000000000000001</v>
      </c>
      <c r="AE619">
        <f>Esc!AD239</f>
        <v>0.14000000000000001</v>
      </c>
      <c r="AF619">
        <f>Esc!AE239</f>
        <v>0.14000000000000001</v>
      </c>
      <c r="AG619">
        <f>Esc!AF239</f>
        <v>0.14000000000000001</v>
      </c>
      <c r="AH619">
        <f>Esc!AG239</f>
        <v>0.14000000000000001</v>
      </c>
      <c r="AI619">
        <f>Esc!AH239</f>
        <v>0.14000000000000001</v>
      </c>
      <c r="AJ619">
        <f>Esc!AI239</f>
        <v>0.14000000000000001</v>
      </c>
      <c r="AK619">
        <f>Esc!AJ239</f>
        <v>0.14000000000000001</v>
      </c>
      <c r="AL619">
        <f>Esc!AK239</f>
        <v>0.14000000000000001</v>
      </c>
      <c r="AM619">
        <f>Esc!AL239</f>
        <v>0.15</v>
      </c>
      <c r="AN619">
        <f>Esc!AM239</f>
        <v>0.15</v>
      </c>
      <c r="AO619">
        <f t="shared" ref="AO619:BD623" si="195">AN619</f>
        <v>0.15</v>
      </c>
      <c r="AP619">
        <f t="shared" si="195"/>
        <v>0.15</v>
      </c>
      <c r="AQ619">
        <f t="shared" si="195"/>
        <v>0.15</v>
      </c>
      <c r="AR619">
        <f t="shared" si="195"/>
        <v>0.15</v>
      </c>
      <c r="AS619">
        <f t="shared" si="195"/>
        <v>0.15</v>
      </c>
      <c r="AT619">
        <f t="shared" si="195"/>
        <v>0.15</v>
      </c>
      <c r="AU619">
        <f t="shared" si="195"/>
        <v>0.15</v>
      </c>
      <c r="AV619">
        <f t="shared" si="195"/>
        <v>0.15</v>
      </c>
      <c r="AW619">
        <f t="shared" si="195"/>
        <v>0.15</v>
      </c>
      <c r="AX619">
        <f t="shared" si="195"/>
        <v>0.15</v>
      </c>
      <c r="AY619">
        <f t="shared" si="195"/>
        <v>0.15</v>
      </c>
      <c r="AZ619">
        <f t="shared" si="195"/>
        <v>0.15</v>
      </c>
      <c r="BA619">
        <f t="shared" si="195"/>
        <v>0.15</v>
      </c>
      <c r="BB619">
        <f t="shared" si="195"/>
        <v>0.15</v>
      </c>
      <c r="BC619">
        <f t="shared" si="195"/>
        <v>0.15</v>
      </c>
      <c r="BD619">
        <f t="shared" si="195"/>
        <v>0.15</v>
      </c>
      <c r="BE619">
        <f t="shared" si="194"/>
        <v>0.15</v>
      </c>
      <c r="BF619">
        <f t="shared" si="194"/>
        <v>0.15</v>
      </c>
      <c r="BG619">
        <f t="shared" si="194"/>
        <v>0.15</v>
      </c>
      <c r="BH619">
        <f t="shared" si="194"/>
        <v>0.15</v>
      </c>
    </row>
    <row r="620" spans="1:60" hidden="1" outlineLevel="1">
      <c r="B620" t="str">
        <f>Esc!A242</f>
        <v>Diésel</v>
      </c>
      <c r="C620">
        <f>Esc!B242</f>
        <v>0.15</v>
      </c>
      <c r="D620">
        <f>Esc!C242</f>
        <v>0.16</v>
      </c>
      <c r="E620">
        <f>Esc!D242</f>
        <v>0.16</v>
      </c>
      <c r="F620">
        <f>Esc!E242</f>
        <v>0.17</v>
      </c>
      <c r="G620">
        <f>Esc!F242</f>
        <v>0.17</v>
      </c>
      <c r="H620">
        <f>Esc!G242</f>
        <v>0.17</v>
      </c>
      <c r="I620">
        <f>Esc!H242</f>
        <v>0.17</v>
      </c>
      <c r="J620">
        <f>Esc!I242</f>
        <v>0.16</v>
      </c>
      <c r="K620">
        <f>Esc!J242</f>
        <v>0.14000000000000001</v>
      </c>
      <c r="L620">
        <f>Esc!K242</f>
        <v>0.14000000000000001</v>
      </c>
      <c r="M620">
        <f>Esc!L242</f>
        <v>0.14000000000000001</v>
      </c>
      <c r="N620">
        <f>Esc!M242</f>
        <v>0.14000000000000001</v>
      </c>
      <c r="O620">
        <f>Esc!N242</f>
        <v>0.14000000000000001</v>
      </c>
      <c r="P620">
        <f>Esc!O242</f>
        <v>0.14000000000000001</v>
      </c>
      <c r="Q620">
        <f>Esc!P242</f>
        <v>0.14000000000000001</v>
      </c>
      <c r="R620">
        <f>Esc!Q242</f>
        <v>0.14000000000000001</v>
      </c>
      <c r="S620">
        <f>Esc!R242</f>
        <v>0.14000000000000001</v>
      </c>
      <c r="T620">
        <f>Esc!S242</f>
        <v>0.14000000000000001</v>
      </c>
      <c r="U620">
        <f>Esc!T242</f>
        <v>0.14000000000000001</v>
      </c>
      <c r="V620">
        <f>Esc!U242</f>
        <v>0.14000000000000001</v>
      </c>
      <c r="W620">
        <f>Esc!V242</f>
        <v>0.14000000000000001</v>
      </c>
      <c r="X620">
        <f>Esc!W242</f>
        <v>0.14000000000000001</v>
      </c>
      <c r="Y620">
        <f>Esc!X242</f>
        <v>0.14000000000000001</v>
      </c>
      <c r="Z620">
        <f>Esc!Y242</f>
        <v>0.13</v>
      </c>
      <c r="AA620">
        <f>Esc!Z242</f>
        <v>0.13</v>
      </c>
      <c r="AB620">
        <f>Esc!AA242</f>
        <v>0.13</v>
      </c>
      <c r="AC620">
        <f>Esc!AB242</f>
        <v>0.13</v>
      </c>
      <c r="AD620">
        <f>Esc!AC242</f>
        <v>0.13</v>
      </c>
      <c r="AE620">
        <f>Esc!AD242</f>
        <v>0.13</v>
      </c>
      <c r="AF620">
        <f>Esc!AE242</f>
        <v>0.13</v>
      </c>
      <c r="AG620">
        <f>Esc!AF242</f>
        <v>0.13</v>
      </c>
      <c r="AH620">
        <f>Esc!AG242</f>
        <v>0.13</v>
      </c>
      <c r="AI620">
        <f>Esc!AH242</f>
        <v>0.13</v>
      </c>
      <c r="AJ620">
        <f>Esc!AI242</f>
        <v>0.13</v>
      </c>
      <c r="AK620">
        <f>Esc!AJ242</f>
        <v>0.13</v>
      </c>
      <c r="AL620">
        <f>Esc!AK242</f>
        <v>0.13</v>
      </c>
      <c r="AM620">
        <f>Esc!AL242</f>
        <v>0.13</v>
      </c>
      <c r="AN620">
        <f>Esc!AM242</f>
        <v>0.13</v>
      </c>
      <c r="AO620">
        <f t="shared" si="195"/>
        <v>0.13</v>
      </c>
      <c r="AP620">
        <f t="shared" si="194"/>
        <v>0.13</v>
      </c>
      <c r="AQ620">
        <f t="shared" si="194"/>
        <v>0.13</v>
      </c>
      <c r="AR620">
        <f t="shared" si="194"/>
        <v>0.13</v>
      </c>
      <c r="AS620">
        <f t="shared" si="194"/>
        <v>0.13</v>
      </c>
      <c r="AT620">
        <f t="shared" si="194"/>
        <v>0.13</v>
      </c>
      <c r="AU620">
        <f t="shared" si="194"/>
        <v>0.13</v>
      </c>
      <c r="AV620">
        <f t="shared" si="194"/>
        <v>0.13</v>
      </c>
      <c r="AW620">
        <f t="shared" si="194"/>
        <v>0.13</v>
      </c>
      <c r="AX620">
        <f t="shared" si="194"/>
        <v>0.13</v>
      </c>
      <c r="AY620">
        <f t="shared" si="194"/>
        <v>0.13</v>
      </c>
      <c r="AZ620">
        <f t="shared" si="194"/>
        <v>0.13</v>
      </c>
      <c r="BA620">
        <f t="shared" si="194"/>
        <v>0.13</v>
      </c>
      <c r="BB620">
        <f t="shared" si="194"/>
        <v>0.13</v>
      </c>
      <c r="BC620">
        <f t="shared" si="194"/>
        <v>0.13</v>
      </c>
      <c r="BD620">
        <f t="shared" si="194"/>
        <v>0.13</v>
      </c>
      <c r="BE620">
        <f t="shared" si="194"/>
        <v>0.13</v>
      </c>
      <c r="BF620">
        <f t="shared" si="194"/>
        <v>0.13</v>
      </c>
      <c r="BG620">
        <f t="shared" si="194"/>
        <v>0.13</v>
      </c>
      <c r="BH620">
        <f t="shared" si="194"/>
        <v>0.13</v>
      </c>
    </row>
    <row r="621" spans="1:60" hidden="1" outlineLevel="1">
      <c r="B621" t="str">
        <f>Esc!A243</f>
        <v>Combustóleo</v>
      </c>
      <c r="C621">
        <f>Esc!B243</f>
        <v>2.33</v>
      </c>
      <c r="D621">
        <f>Esc!C243</f>
        <v>1.54</v>
      </c>
      <c r="E621">
        <f>Esc!D243</f>
        <v>1.06</v>
      </c>
      <c r="F621">
        <f>Esc!E243</f>
        <v>0.7</v>
      </c>
      <c r="G621">
        <f>Esc!F243</f>
        <v>0.46</v>
      </c>
      <c r="H621">
        <f>Esc!G243</f>
        <v>0.14000000000000001</v>
      </c>
      <c r="I621">
        <f>Esc!H243</f>
        <v>0.22</v>
      </c>
      <c r="J621">
        <f>Esc!I243</f>
        <v>0.22</v>
      </c>
      <c r="K621">
        <f>Esc!J243</f>
        <v>0.27</v>
      </c>
      <c r="L621">
        <f>Esc!K243</f>
        <v>0.26</v>
      </c>
      <c r="M621">
        <f>Esc!L243</f>
        <v>0.25</v>
      </c>
      <c r="N621">
        <f>Esc!M243</f>
        <v>0.24</v>
      </c>
      <c r="O621">
        <f>Esc!N243</f>
        <v>0.23</v>
      </c>
      <c r="P621">
        <f>Esc!O243</f>
        <v>0.22</v>
      </c>
      <c r="Q621">
        <f>Esc!P243</f>
        <v>0.21</v>
      </c>
      <c r="R621">
        <f>Esc!Q243</f>
        <v>0.21</v>
      </c>
      <c r="S621">
        <f>Esc!R243</f>
        <v>0.2</v>
      </c>
      <c r="T621">
        <f>Esc!S243</f>
        <v>0.19</v>
      </c>
      <c r="U621">
        <f>Esc!T243</f>
        <v>0.18</v>
      </c>
      <c r="V621">
        <f>Esc!U243</f>
        <v>0.17</v>
      </c>
      <c r="W621">
        <f>Esc!V243</f>
        <v>0.16</v>
      </c>
      <c r="X621">
        <f>Esc!W243</f>
        <v>0.15</v>
      </c>
      <c r="Y621">
        <f>Esc!X243</f>
        <v>0.14000000000000001</v>
      </c>
      <c r="Z621">
        <f>Esc!Y243</f>
        <v>0.13</v>
      </c>
      <c r="AA621">
        <f>Esc!Z243</f>
        <v>0.12</v>
      </c>
      <c r="AB621">
        <f>Esc!AA243</f>
        <v>0.11</v>
      </c>
      <c r="AC621">
        <f>Esc!AB243</f>
        <v>0.1</v>
      </c>
      <c r="AD621">
        <f>Esc!AC243</f>
        <v>0.09</v>
      </c>
      <c r="AE621">
        <f>Esc!AD243</f>
        <v>0.08</v>
      </c>
      <c r="AF621">
        <f>Esc!AE243</f>
        <v>7.0000000000000007E-2</v>
      </c>
      <c r="AG621">
        <f>Esc!AF243</f>
        <v>7.0000000000000007E-2</v>
      </c>
      <c r="AH621">
        <f>Esc!AG243</f>
        <v>0.06</v>
      </c>
      <c r="AI621">
        <f>Esc!AH243</f>
        <v>0.05</v>
      </c>
      <c r="AJ621">
        <f>Esc!AI243</f>
        <v>0.04</v>
      </c>
      <c r="AK621">
        <f>Esc!AJ243</f>
        <v>0.03</v>
      </c>
      <c r="AL621">
        <f>Esc!AK243</f>
        <v>0.02</v>
      </c>
      <c r="AM621">
        <f>Esc!AL243</f>
        <v>0.01</v>
      </c>
      <c r="AN621">
        <f>Esc!AM243</f>
        <v>0</v>
      </c>
      <c r="AO621">
        <f t="shared" si="195"/>
        <v>0</v>
      </c>
      <c r="AP621">
        <f t="shared" si="194"/>
        <v>0</v>
      </c>
      <c r="AQ621">
        <f t="shared" si="194"/>
        <v>0</v>
      </c>
      <c r="AR621">
        <f t="shared" si="194"/>
        <v>0</v>
      </c>
      <c r="AS621">
        <f t="shared" si="194"/>
        <v>0</v>
      </c>
      <c r="AT621">
        <f t="shared" si="194"/>
        <v>0</v>
      </c>
      <c r="AU621">
        <f t="shared" si="194"/>
        <v>0</v>
      </c>
      <c r="AV621">
        <f t="shared" si="194"/>
        <v>0</v>
      </c>
      <c r="AW621">
        <f t="shared" si="194"/>
        <v>0</v>
      </c>
      <c r="AX621">
        <f t="shared" si="194"/>
        <v>0</v>
      </c>
      <c r="AY621">
        <f t="shared" si="194"/>
        <v>0</v>
      </c>
      <c r="AZ621">
        <f t="shared" si="194"/>
        <v>0</v>
      </c>
      <c r="BA621">
        <f t="shared" si="194"/>
        <v>0</v>
      </c>
      <c r="BB621">
        <f t="shared" si="194"/>
        <v>0</v>
      </c>
      <c r="BC621">
        <f t="shared" si="194"/>
        <v>0</v>
      </c>
      <c r="BD621">
        <f t="shared" si="194"/>
        <v>0</v>
      </c>
      <c r="BE621">
        <f t="shared" si="194"/>
        <v>0</v>
      </c>
      <c r="BF621">
        <f t="shared" si="194"/>
        <v>0</v>
      </c>
      <c r="BG621">
        <f t="shared" si="194"/>
        <v>0</v>
      </c>
      <c r="BH621">
        <f t="shared" si="194"/>
        <v>0</v>
      </c>
    </row>
    <row r="622" spans="1:60" hidden="1" outlineLevel="1">
      <c r="B622" t="str">
        <f>Esc!A245</f>
        <v>Gas seco</v>
      </c>
      <c r="C622">
        <f>Esc!B245</f>
        <v>48.55</v>
      </c>
      <c r="D622">
        <f>Esc!C245</f>
        <v>53.01</v>
      </c>
      <c r="E622">
        <f>Esc!D245</f>
        <v>53.42</v>
      </c>
      <c r="F622">
        <f>Esc!E245</f>
        <v>58.49</v>
      </c>
      <c r="G622">
        <f>Esc!F245</f>
        <v>45.78</v>
      </c>
      <c r="H622">
        <f>Esc!G245</f>
        <v>46.49</v>
      </c>
      <c r="I622">
        <f>Esc!H245</f>
        <v>47.07</v>
      </c>
      <c r="J622">
        <f>Esc!I245</f>
        <v>40.79</v>
      </c>
      <c r="K622">
        <f>Esc!J245</f>
        <v>52.91</v>
      </c>
      <c r="L622">
        <f>Esc!K245</f>
        <v>52.86</v>
      </c>
      <c r="M622">
        <f>Esc!L245</f>
        <v>52.6</v>
      </c>
      <c r="N622">
        <f>Esc!M245</f>
        <v>52.35</v>
      </c>
      <c r="O622">
        <f>Esc!N245</f>
        <v>52.1</v>
      </c>
      <c r="P622">
        <f>Esc!O245</f>
        <v>51.84</v>
      </c>
      <c r="Q622">
        <f>Esc!P245</f>
        <v>51.59</v>
      </c>
      <c r="R622">
        <f>Esc!Q245</f>
        <v>51.34</v>
      </c>
      <c r="S622">
        <f>Esc!R245</f>
        <v>51.08</v>
      </c>
      <c r="T622">
        <f>Esc!S245</f>
        <v>50.83</v>
      </c>
      <c r="U622">
        <f>Esc!T245</f>
        <v>50.58</v>
      </c>
      <c r="V622">
        <f>Esc!U245</f>
        <v>50.32</v>
      </c>
      <c r="W622">
        <f>Esc!V245</f>
        <v>50.07</v>
      </c>
      <c r="X622">
        <f>Esc!W245</f>
        <v>49.82</v>
      </c>
      <c r="Y622">
        <f>Esc!X245</f>
        <v>49.56</v>
      </c>
      <c r="Z622">
        <f>Esc!Y245</f>
        <v>49.31</v>
      </c>
      <c r="AA622">
        <f>Esc!Z245</f>
        <v>49.06</v>
      </c>
      <c r="AB622">
        <f>Esc!AA245</f>
        <v>48.8</v>
      </c>
      <c r="AC622">
        <f>Esc!AB245</f>
        <v>48.55</v>
      </c>
      <c r="AD622">
        <f>Esc!AC245</f>
        <v>48.3</v>
      </c>
      <c r="AE622">
        <f>Esc!AD245</f>
        <v>48.04</v>
      </c>
      <c r="AF622">
        <f>Esc!AE245</f>
        <v>47.79</v>
      </c>
      <c r="AG622">
        <f>Esc!AF245</f>
        <v>47.54</v>
      </c>
      <c r="AH622">
        <f>Esc!AG245</f>
        <v>47.28</v>
      </c>
      <c r="AI622">
        <f>Esc!AH245</f>
        <v>47.03</v>
      </c>
      <c r="AJ622">
        <f>Esc!AI245</f>
        <v>46.78</v>
      </c>
      <c r="AK622">
        <f>Esc!AJ245</f>
        <v>46.52</v>
      </c>
      <c r="AL622">
        <f>Esc!AK245</f>
        <v>46.27</v>
      </c>
      <c r="AM622">
        <f>Esc!AL245</f>
        <v>46.02</v>
      </c>
      <c r="AN622">
        <f>Esc!AM245</f>
        <v>45.76</v>
      </c>
      <c r="AO622">
        <f t="shared" si="195"/>
        <v>45.76</v>
      </c>
      <c r="AP622">
        <f t="shared" si="194"/>
        <v>45.76</v>
      </c>
      <c r="AQ622">
        <f t="shared" si="194"/>
        <v>45.76</v>
      </c>
      <c r="AR622">
        <f t="shared" si="194"/>
        <v>45.76</v>
      </c>
      <c r="AS622">
        <f t="shared" si="194"/>
        <v>45.76</v>
      </c>
      <c r="AT622">
        <f t="shared" si="194"/>
        <v>45.76</v>
      </c>
      <c r="AU622">
        <f t="shared" si="194"/>
        <v>45.76</v>
      </c>
      <c r="AV622">
        <f t="shared" si="194"/>
        <v>45.76</v>
      </c>
      <c r="AW622">
        <f t="shared" si="194"/>
        <v>45.76</v>
      </c>
      <c r="AX622">
        <f t="shared" si="194"/>
        <v>45.76</v>
      </c>
      <c r="AY622">
        <f t="shared" si="194"/>
        <v>45.76</v>
      </c>
      <c r="AZ622">
        <f t="shared" si="194"/>
        <v>45.76</v>
      </c>
      <c r="BA622">
        <f t="shared" si="194"/>
        <v>45.76</v>
      </c>
      <c r="BB622">
        <f t="shared" si="194"/>
        <v>45.76</v>
      </c>
      <c r="BC622">
        <f t="shared" si="194"/>
        <v>45.76</v>
      </c>
      <c r="BD622">
        <f t="shared" si="194"/>
        <v>45.76</v>
      </c>
      <c r="BE622">
        <f t="shared" si="194"/>
        <v>45.76</v>
      </c>
      <c r="BF622">
        <f t="shared" si="194"/>
        <v>45.76</v>
      </c>
      <c r="BG622">
        <f t="shared" si="194"/>
        <v>45.76</v>
      </c>
      <c r="BH622">
        <f t="shared" si="194"/>
        <v>45.76</v>
      </c>
    </row>
    <row r="623" spans="1:60" hidden="1" outlineLevel="1">
      <c r="B623" t="str">
        <f>Esc!A246</f>
        <v>Electricidad</v>
      </c>
      <c r="C623">
        <f>Esc!B246</f>
        <v>5.18</v>
      </c>
      <c r="D623">
        <f>Esc!C246</f>
        <v>4.25</v>
      </c>
      <c r="E623">
        <f>Esc!D246</f>
        <v>4.49</v>
      </c>
      <c r="F623">
        <f>Esc!E246</f>
        <v>4.8</v>
      </c>
      <c r="G623">
        <f>Esc!F246</f>
        <v>4.5599999999999996</v>
      </c>
      <c r="H623">
        <f>Esc!G246</f>
        <v>4.6500000000000004</v>
      </c>
      <c r="I623">
        <f>Esc!H246</f>
        <v>4.57</v>
      </c>
      <c r="J623">
        <f>Esc!I246</f>
        <v>4.28</v>
      </c>
      <c r="K623">
        <f>Esc!J246</f>
        <v>4.5599999999999996</v>
      </c>
      <c r="L623">
        <f>Esc!K246</f>
        <v>4.5599999999999996</v>
      </c>
      <c r="M623">
        <f>Esc!L246</f>
        <v>4.53</v>
      </c>
      <c r="N623">
        <f>Esc!M246</f>
        <v>4.51</v>
      </c>
      <c r="O623">
        <f>Esc!N246</f>
        <v>4.49</v>
      </c>
      <c r="P623">
        <f>Esc!O246</f>
        <v>4.47</v>
      </c>
      <c r="Q623">
        <f>Esc!P246</f>
        <v>4.45</v>
      </c>
      <c r="R623">
        <f>Esc!Q246</f>
        <v>4.42</v>
      </c>
      <c r="S623">
        <f>Esc!R246</f>
        <v>4.4000000000000004</v>
      </c>
      <c r="T623">
        <f>Esc!S246</f>
        <v>4.38</v>
      </c>
      <c r="U623">
        <f>Esc!T246</f>
        <v>4.3600000000000003</v>
      </c>
      <c r="V623">
        <f>Esc!U246</f>
        <v>4.34</v>
      </c>
      <c r="W623">
        <f>Esc!V246</f>
        <v>4.32</v>
      </c>
      <c r="X623">
        <f>Esc!W246</f>
        <v>4.29</v>
      </c>
      <c r="Y623">
        <f>Esc!X246</f>
        <v>4.2699999999999996</v>
      </c>
      <c r="Z623">
        <f>Esc!Y246</f>
        <v>4.25</v>
      </c>
      <c r="AA623">
        <f>Esc!Z246</f>
        <v>4.2300000000000004</v>
      </c>
      <c r="AB623">
        <f>Esc!AA246</f>
        <v>4.21</v>
      </c>
      <c r="AC623">
        <f>Esc!AB246</f>
        <v>4.18</v>
      </c>
      <c r="AD623">
        <f>Esc!AC246</f>
        <v>4.16</v>
      </c>
      <c r="AE623">
        <f>Esc!AD246</f>
        <v>4.1399999999999997</v>
      </c>
      <c r="AF623">
        <f>Esc!AE246</f>
        <v>4.12</v>
      </c>
      <c r="AG623">
        <f>Esc!AF246</f>
        <v>4.0999999999999996</v>
      </c>
      <c r="AH623">
        <f>Esc!AG246</f>
        <v>4.08</v>
      </c>
      <c r="AI623">
        <f>Esc!AH246</f>
        <v>4.05</v>
      </c>
      <c r="AJ623">
        <f>Esc!AI246</f>
        <v>4.03</v>
      </c>
      <c r="AK623">
        <f>Esc!AJ246</f>
        <v>4.01</v>
      </c>
      <c r="AL623">
        <f>Esc!AK246</f>
        <v>3.99</v>
      </c>
      <c r="AM623">
        <f>Esc!AL246</f>
        <v>3.97</v>
      </c>
      <c r="AN623">
        <f>Esc!AM246</f>
        <v>3.94</v>
      </c>
      <c r="AO623">
        <f t="shared" si="195"/>
        <v>3.94</v>
      </c>
      <c r="AP623">
        <f t="shared" si="194"/>
        <v>3.94</v>
      </c>
      <c r="AQ623">
        <f t="shared" si="194"/>
        <v>3.94</v>
      </c>
      <c r="AR623">
        <f t="shared" si="194"/>
        <v>3.94</v>
      </c>
      <c r="AS623">
        <f t="shared" si="194"/>
        <v>3.94</v>
      </c>
      <c r="AT623">
        <f t="shared" si="194"/>
        <v>3.94</v>
      </c>
      <c r="AU623">
        <f t="shared" si="194"/>
        <v>3.94</v>
      </c>
      <c r="AV623">
        <f t="shared" si="194"/>
        <v>3.94</v>
      </c>
      <c r="AW623">
        <f t="shared" si="194"/>
        <v>3.94</v>
      </c>
      <c r="AX623">
        <f t="shared" si="194"/>
        <v>3.94</v>
      </c>
      <c r="AY623">
        <f t="shared" si="194"/>
        <v>3.94</v>
      </c>
      <c r="AZ623">
        <f t="shared" si="194"/>
        <v>3.94</v>
      </c>
      <c r="BA623">
        <f t="shared" si="194"/>
        <v>3.94</v>
      </c>
      <c r="BB623">
        <f t="shared" si="194"/>
        <v>3.94</v>
      </c>
      <c r="BC623">
        <f t="shared" si="194"/>
        <v>3.94</v>
      </c>
      <c r="BD623">
        <f t="shared" si="194"/>
        <v>3.94</v>
      </c>
      <c r="BE623">
        <f t="shared" si="194"/>
        <v>3.94</v>
      </c>
      <c r="BF623">
        <f t="shared" si="194"/>
        <v>3.94</v>
      </c>
      <c r="BG623">
        <f t="shared" si="194"/>
        <v>3.94</v>
      </c>
      <c r="BH623">
        <f t="shared" si="194"/>
        <v>3.94</v>
      </c>
    </row>
    <row r="624" spans="1:60" collapsed="1">
      <c r="A624" s="67" t="s">
        <v>176</v>
      </c>
    </row>
    <row r="625" spans="3:60" hidden="1" outlineLevel="1">
      <c r="C625">
        <f>-SUM(C626:C627)</f>
        <v>572.76</v>
      </c>
      <c r="D625">
        <f t="shared" ref="D625:AN625" si="196">-SUM(D626:D627)</f>
        <v>566.16999999999996</v>
      </c>
      <c r="E625">
        <f t="shared" si="196"/>
        <v>612.02</v>
      </c>
      <c r="F625">
        <f t="shared" si="196"/>
        <v>623.07000000000005</v>
      </c>
      <c r="G625">
        <f t="shared" si="196"/>
        <v>680.83999999999992</v>
      </c>
      <c r="H625">
        <f t="shared" si="196"/>
        <v>529.16</v>
      </c>
      <c r="I625">
        <f t="shared" si="196"/>
        <v>491.40999999999997</v>
      </c>
      <c r="J625">
        <f t="shared" si="196"/>
        <v>538.55999999999995</v>
      </c>
      <c r="K625">
        <f t="shared" si="196"/>
        <v>682.42</v>
      </c>
      <c r="L625">
        <f t="shared" si="196"/>
        <v>651.68000000000006</v>
      </c>
      <c r="M625">
        <f t="shared" si="196"/>
        <v>677.34</v>
      </c>
      <c r="N625">
        <f t="shared" si="196"/>
        <v>700.76</v>
      </c>
      <c r="O625">
        <f t="shared" si="196"/>
        <v>721.91000000000008</v>
      </c>
      <c r="P625">
        <f t="shared" si="196"/>
        <v>736.69</v>
      </c>
      <c r="Q625">
        <f t="shared" si="196"/>
        <v>748.37</v>
      </c>
      <c r="R625">
        <f t="shared" si="196"/>
        <v>757.18000000000006</v>
      </c>
      <c r="S625">
        <f t="shared" si="196"/>
        <v>763.71</v>
      </c>
      <c r="T625">
        <f t="shared" si="196"/>
        <v>768.66000000000008</v>
      </c>
      <c r="U625">
        <f t="shared" si="196"/>
        <v>772.73</v>
      </c>
      <c r="V625">
        <f t="shared" si="196"/>
        <v>776.6400000000001</v>
      </c>
      <c r="W625">
        <f t="shared" si="196"/>
        <v>780.25</v>
      </c>
      <c r="X625">
        <f t="shared" si="196"/>
        <v>783.55</v>
      </c>
      <c r="Y625">
        <f t="shared" si="196"/>
        <v>786.53</v>
      </c>
      <c r="Z625">
        <f t="shared" si="196"/>
        <v>789.17000000000007</v>
      </c>
      <c r="AA625">
        <f t="shared" si="196"/>
        <v>791.42000000000007</v>
      </c>
      <c r="AB625">
        <f t="shared" si="196"/>
        <v>793.31</v>
      </c>
      <c r="AC625">
        <f t="shared" si="196"/>
        <v>794.81999999999994</v>
      </c>
      <c r="AD625">
        <f t="shared" si="196"/>
        <v>795.86</v>
      </c>
      <c r="AE625">
        <f t="shared" si="196"/>
        <v>796.31999999999994</v>
      </c>
      <c r="AF625">
        <f t="shared" si="196"/>
        <v>796.22</v>
      </c>
      <c r="AG625">
        <f t="shared" si="196"/>
        <v>795.55</v>
      </c>
      <c r="AH625">
        <f t="shared" si="196"/>
        <v>794.3</v>
      </c>
      <c r="AI625">
        <f t="shared" si="196"/>
        <v>792.48</v>
      </c>
      <c r="AJ625">
        <f t="shared" si="196"/>
        <v>791.65</v>
      </c>
      <c r="AK625">
        <f t="shared" si="196"/>
        <v>788.53</v>
      </c>
      <c r="AL625">
        <f t="shared" si="196"/>
        <v>784.54</v>
      </c>
      <c r="AM625">
        <f t="shared" si="196"/>
        <v>779.66</v>
      </c>
      <c r="AN625">
        <f t="shared" si="196"/>
        <v>775.7</v>
      </c>
      <c r="AO625">
        <f>AN625</f>
        <v>775.7</v>
      </c>
      <c r="AP625">
        <f t="shared" ref="AP625:BH625" si="197">AO625</f>
        <v>775.7</v>
      </c>
      <c r="AQ625">
        <f t="shared" si="197"/>
        <v>775.7</v>
      </c>
      <c r="AR625">
        <f t="shared" si="197"/>
        <v>775.7</v>
      </c>
      <c r="AS625">
        <f t="shared" si="197"/>
        <v>775.7</v>
      </c>
      <c r="AT625">
        <f t="shared" si="197"/>
        <v>775.7</v>
      </c>
      <c r="AU625">
        <f t="shared" si="197"/>
        <v>775.7</v>
      </c>
      <c r="AV625">
        <f t="shared" si="197"/>
        <v>775.7</v>
      </c>
      <c r="AW625">
        <f t="shared" si="197"/>
        <v>775.7</v>
      </c>
      <c r="AX625">
        <f t="shared" si="197"/>
        <v>775.7</v>
      </c>
      <c r="AY625">
        <f t="shared" si="197"/>
        <v>775.7</v>
      </c>
      <c r="AZ625">
        <f t="shared" si="197"/>
        <v>775.7</v>
      </c>
      <c r="BA625">
        <f t="shared" si="197"/>
        <v>775.7</v>
      </c>
      <c r="BB625">
        <f t="shared" si="197"/>
        <v>775.7</v>
      </c>
      <c r="BC625">
        <f t="shared" si="197"/>
        <v>775.7</v>
      </c>
      <c r="BD625">
        <f t="shared" si="197"/>
        <v>775.7</v>
      </c>
      <c r="BE625">
        <f t="shared" si="197"/>
        <v>775.7</v>
      </c>
      <c r="BF625">
        <f t="shared" si="197"/>
        <v>775.7</v>
      </c>
      <c r="BG625">
        <f t="shared" si="197"/>
        <v>775.7</v>
      </c>
      <c r="BH625">
        <f t="shared" si="197"/>
        <v>775.7</v>
      </c>
    </row>
    <row r="626" spans="3:60" hidden="1" outlineLevel="1">
      <c r="C626">
        <v>-269.74</v>
      </c>
      <c r="D626">
        <v>-262.70999999999998</v>
      </c>
      <c r="E626">
        <v>-301.10000000000002</v>
      </c>
      <c r="F626">
        <v>-390.24</v>
      </c>
      <c r="G626">
        <v>-476.2</v>
      </c>
      <c r="H626">
        <v>-340.15</v>
      </c>
      <c r="I626">
        <v>-294.7</v>
      </c>
      <c r="J626">
        <v>-368.88</v>
      </c>
      <c r="K626">
        <v>-478.83</v>
      </c>
      <c r="L626">
        <v>-343.67</v>
      </c>
      <c r="M626">
        <v>-364.68</v>
      </c>
      <c r="N626">
        <v>-383.84</v>
      </c>
      <c r="O626">
        <v>-400.67</v>
      </c>
      <c r="P626">
        <v>-414.82</v>
      </c>
      <c r="Q626">
        <v>-426.16</v>
      </c>
      <c r="R626">
        <v>-434.76</v>
      </c>
      <c r="S626">
        <v>-441.1</v>
      </c>
      <c r="T626">
        <v>-445.87</v>
      </c>
      <c r="U626">
        <v>-449.72</v>
      </c>
      <c r="V626">
        <v>-453.41</v>
      </c>
      <c r="W626">
        <v>-456.9</v>
      </c>
      <c r="X626">
        <v>-460.18</v>
      </c>
      <c r="Y626">
        <v>-463.22</v>
      </c>
      <c r="Z626">
        <v>-466.01</v>
      </c>
      <c r="AA626">
        <v>-468.49</v>
      </c>
      <c r="AB626">
        <v>-470.67</v>
      </c>
      <c r="AC626">
        <v>-472.52</v>
      </c>
      <c r="AD626">
        <v>-473.99</v>
      </c>
      <c r="AE626">
        <v>-474.96</v>
      </c>
      <c r="AF626">
        <v>-475.41</v>
      </c>
      <c r="AG626">
        <v>-475.32</v>
      </c>
      <c r="AH626">
        <v>-474.58</v>
      </c>
      <c r="AI626">
        <v>-473.18</v>
      </c>
      <c r="AJ626">
        <v>-471.07</v>
      </c>
      <c r="AK626">
        <v>-468.22</v>
      </c>
      <c r="AL626">
        <v>-464.59</v>
      </c>
      <c r="AM626">
        <v>-460.03</v>
      </c>
      <c r="AN626">
        <v>-456.27</v>
      </c>
    </row>
    <row r="627" spans="3:60" hidden="1" outlineLevel="1">
      <c r="C627">
        <v>-303.02</v>
      </c>
      <c r="D627">
        <v>-303.45999999999998</v>
      </c>
      <c r="E627">
        <v>-310.92</v>
      </c>
      <c r="F627">
        <v>-232.83</v>
      </c>
      <c r="G627">
        <v>-204.64</v>
      </c>
      <c r="H627">
        <v>-189.01</v>
      </c>
      <c r="I627">
        <v>-196.71</v>
      </c>
      <c r="J627">
        <v>-169.68</v>
      </c>
      <c r="K627">
        <v>-203.59</v>
      </c>
      <c r="L627">
        <v>-308.01</v>
      </c>
      <c r="M627">
        <v>-312.66000000000003</v>
      </c>
      <c r="N627">
        <v>-316.92</v>
      </c>
      <c r="O627">
        <v>-321.24</v>
      </c>
      <c r="P627">
        <v>-321.87</v>
      </c>
      <c r="Q627">
        <v>-322.20999999999998</v>
      </c>
      <c r="R627">
        <v>-322.42</v>
      </c>
      <c r="S627">
        <v>-322.61</v>
      </c>
      <c r="T627">
        <v>-322.79000000000002</v>
      </c>
      <c r="U627">
        <v>-323.01</v>
      </c>
      <c r="V627">
        <v>-323.23</v>
      </c>
      <c r="W627">
        <v>-323.35000000000002</v>
      </c>
      <c r="X627">
        <v>-323.37</v>
      </c>
      <c r="Y627">
        <v>-323.31</v>
      </c>
      <c r="Z627">
        <v>-323.16000000000003</v>
      </c>
      <c r="AA627">
        <v>-322.93</v>
      </c>
      <c r="AB627">
        <v>-322.64</v>
      </c>
      <c r="AC627">
        <v>-322.3</v>
      </c>
      <c r="AD627">
        <v>-321.87</v>
      </c>
      <c r="AE627">
        <v>-321.36</v>
      </c>
      <c r="AF627">
        <v>-320.81</v>
      </c>
      <c r="AG627">
        <v>-320.23</v>
      </c>
      <c r="AH627">
        <v>-319.72000000000003</v>
      </c>
      <c r="AI627">
        <v>-319.3</v>
      </c>
      <c r="AJ627">
        <v>-320.58</v>
      </c>
      <c r="AK627">
        <v>-320.31</v>
      </c>
      <c r="AL627">
        <v>-319.95</v>
      </c>
      <c r="AM627">
        <v>-319.63</v>
      </c>
      <c r="AN627">
        <v>-319.43</v>
      </c>
    </row>
    <row r="628" spans="3:60" hidden="1" outlineLevel="1">
      <c r="C628">
        <f>SUM(C589:C597)</f>
        <v>636.87</v>
      </c>
      <c r="D628">
        <f>SUM(D589:D597)</f>
        <v>647.96</v>
      </c>
      <c r="E628">
        <f>SUM(E589:E597)</f>
        <v>683.05</v>
      </c>
      <c r="F628">
        <f>SUM(F589:F597)</f>
        <v>709.86</v>
      </c>
      <c r="G628">
        <f>SUM(G589:G597)</f>
        <v>749.89999999999986</v>
      </c>
      <c r="H628">
        <f>SUM(H589:H597)</f>
        <v>613.24</v>
      </c>
      <c r="I628">
        <f>SUM(I589:I597)</f>
        <v>626.96</v>
      </c>
      <c r="J628">
        <f>SUM(J589:J597)</f>
        <v>541.95000000000005</v>
      </c>
      <c r="K628">
        <f>SUM(K589:K597)</f>
        <v>579.66000000000008</v>
      </c>
      <c r="L628">
        <f>SUM(L589:L597)</f>
        <v>605.16999999999996</v>
      </c>
      <c r="M628">
        <f>SUM(M589:M597)</f>
        <v>605.81999999999994</v>
      </c>
      <c r="N628">
        <f>SUM(N589:N597)</f>
        <v>606.46</v>
      </c>
      <c r="O628">
        <f>SUM(O589:O597)</f>
        <v>607.09</v>
      </c>
      <c r="P628">
        <f>SUM(P589:P597)</f>
        <v>607.74</v>
      </c>
      <c r="Q628">
        <f>SUM(Q589:Q597)</f>
        <v>608.38</v>
      </c>
      <c r="R628">
        <f>SUM(R589:R597)</f>
        <v>609.01</v>
      </c>
      <c r="S628">
        <f>SUM(S589:S597)</f>
        <v>609.66000000000008</v>
      </c>
      <c r="T628">
        <f>SUM(T589:T597)</f>
        <v>610.29</v>
      </c>
      <c r="U628">
        <f>SUM(U589:U597)</f>
        <v>610.91999999999996</v>
      </c>
      <c r="V628">
        <f>SUM(V589:V597)</f>
        <v>611.58000000000004</v>
      </c>
      <c r="W628">
        <f>SUM(W589:W597)</f>
        <v>612.21</v>
      </c>
      <c r="X628">
        <f>SUM(X589:X597)</f>
        <v>610.48</v>
      </c>
      <c r="Y628">
        <f>SUM(Y589:Y597)</f>
        <v>605.54999999999995</v>
      </c>
      <c r="Z628">
        <f>SUM(Z589:Z597)</f>
        <v>600.61</v>
      </c>
      <c r="AA628">
        <f>SUM(AA589:AA597)</f>
        <v>595.69000000000005</v>
      </c>
      <c r="AB628">
        <f>SUM(AB589:AB597)</f>
        <v>590.76</v>
      </c>
      <c r="AC628">
        <f>SUM(AC589:AC597)</f>
        <v>585.81000000000006</v>
      </c>
      <c r="AD628">
        <f>SUM(AD589:AD597)</f>
        <v>580.9</v>
      </c>
      <c r="AE628">
        <f>SUM(AE589:AE597)</f>
        <v>575.97</v>
      </c>
      <c r="AF628">
        <f>SUM(AF589:AF597)</f>
        <v>571.03</v>
      </c>
      <c r="AG628">
        <f>SUM(AG589:AG597)</f>
        <v>566.1</v>
      </c>
      <c r="AH628">
        <f>SUM(AH589:AH597)</f>
        <v>561.17999999999995</v>
      </c>
      <c r="AI628">
        <f>SUM(AI589:AI597)</f>
        <v>556.24</v>
      </c>
      <c r="AJ628">
        <f>SUM(AJ589:AJ597)</f>
        <v>551.30999999999995</v>
      </c>
      <c r="AK628">
        <f>SUM(AK589:AK597)</f>
        <v>546.38</v>
      </c>
      <c r="AL628">
        <f>SUM(AL589:AL597)</f>
        <v>541.46</v>
      </c>
      <c r="AM628">
        <f>SUM(AM589:AM597)</f>
        <v>536.47</v>
      </c>
      <c r="AN628">
        <f>SUM(AN589:AN597)</f>
        <v>531.49</v>
      </c>
      <c r="AO628">
        <f>SUM(AO589:AO597)</f>
        <v>531.49</v>
      </c>
      <c r="AP628">
        <f>SUM(AP589:AP597)</f>
        <v>531.49</v>
      </c>
      <c r="AQ628">
        <f>SUM(AQ589:AQ597)</f>
        <v>531.49</v>
      </c>
      <c r="AR628">
        <f>SUM(AR589:AR597)</f>
        <v>531.49</v>
      </c>
      <c r="AS628">
        <f>SUM(AS589:AS597)</f>
        <v>531.49</v>
      </c>
      <c r="AT628">
        <f>SUM(AT589:AT597)</f>
        <v>531.49</v>
      </c>
      <c r="AU628">
        <f>SUM(AU589:AU597)</f>
        <v>531.49</v>
      </c>
      <c r="AV628">
        <f>SUM(AV589:AV597)</f>
        <v>531.49</v>
      </c>
      <c r="AW628">
        <f>SUM(AW589:AW597)</f>
        <v>531.49</v>
      </c>
      <c r="AX628">
        <f>SUM(AX589:AX597)</f>
        <v>531.49</v>
      </c>
      <c r="AY628">
        <f>SUM(AY589:AY597)</f>
        <v>531.49</v>
      </c>
      <c r="AZ628">
        <f>SUM(AZ589:AZ597)</f>
        <v>531.49</v>
      </c>
      <c r="BA628">
        <f>SUM(BA589:BA597)</f>
        <v>531.49</v>
      </c>
      <c r="BB628">
        <f>SUM(BB589:BB597)</f>
        <v>531.49</v>
      </c>
      <c r="BC628">
        <f>SUM(BC589:BC597)</f>
        <v>531.49</v>
      </c>
      <c r="BD628">
        <f>SUM(BD589:BD597)</f>
        <v>531.49</v>
      </c>
      <c r="BE628">
        <f>SUM(BE589:BE597)</f>
        <v>531.49</v>
      </c>
      <c r="BF628">
        <f>SUM(BF589:BF597)</f>
        <v>531.49</v>
      </c>
      <c r="BG628">
        <f>SUM(BG589:BG597)</f>
        <v>531.49</v>
      </c>
      <c r="BH628">
        <f>SUM(BH589:BH597)</f>
        <v>531.49</v>
      </c>
    </row>
    <row r="629" spans="3:60" hidden="1" outlineLevel="1"/>
    <row r="630" spans="3:60" hidden="1" outlineLevel="1"/>
    <row r="631" spans="3:60" hidden="1" outlineLevel="1">
      <c r="C631">
        <v>-31.98</v>
      </c>
      <c r="D631">
        <v>-29.98</v>
      </c>
      <c r="E631">
        <v>-27.33</v>
      </c>
      <c r="F631">
        <v>-9.25</v>
      </c>
      <c r="G631">
        <v>-6.6</v>
      </c>
      <c r="H631">
        <v>-7.65</v>
      </c>
      <c r="I631">
        <v>-3.22</v>
      </c>
      <c r="J631">
        <v>-7.2</v>
      </c>
      <c r="K631">
        <v>-7.76</v>
      </c>
      <c r="L631">
        <v>-13.25</v>
      </c>
      <c r="M631">
        <v>-13.37</v>
      </c>
      <c r="N631">
        <v>-13.76</v>
      </c>
      <c r="O631">
        <v>-14.09</v>
      </c>
      <c r="P631">
        <v>-14.78</v>
      </c>
      <c r="Q631">
        <v>-15.84</v>
      </c>
      <c r="R631">
        <v>-16.29</v>
      </c>
      <c r="S631">
        <v>-16.329999999999998</v>
      </c>
      <c r="T631">
        <v>-16.329999999999998</v>
      </c>
      <c r="U631">
        <v>-16.29</v>
      </c>
      <c r="V631">
        <v>-16.21</v>
      </c>
      <c r="W631">
        <v>-16.09</v>
      </c>
      <c r="X631">
        <v>-15.89</v>
      </c>
      <c r="Y631">
        <v>-15.62</v>
      </c>
      <c r="Z631">
        <v>-15.26</v>
      </c>
      <c r="AA631">
        <v>-14.83</v>
      </c>
      <c r="AB631">
        <v>-14.4</v>
      </c>
      <c r="AC631">
        <v>-13.97</v>
      </c>
      <c r="AD631">
        <v>-13.53</v>
      </c>
      <c r="AE631">
        <v>-13.1</v>
      </c>
      <c r="AF631">
        <v>-12.67</v>
      </c>
      <c r="AG631">
        <v>-12.24</v>
      </c>
      <c r="AH631">
        <v>-11.8</v>
      </c>
      <c r="AI631">
        <v>-11.37</v>
      </c>
      <c r="AJ631">
        <v>-10.94</v>
      </c>
      <c r="AK631">
        <v>-10.51</v>
      </c>
      <c r="AL631">
        <v>-10.07</v>
      </c>
      <c r="AM631">
        <v>-9.64</v>
      </c>
      <c r="AN631">
        <v>-9.2100000000000009</v>
      </c>
    </row>
    <row r="632" spans="3:60" hidden="1" outlineLevel="1">
      <c r="C632" s="69">
        <v>-2833.63</v>
      </c>
      <c r="D632" s="69">
        <v>-2674.84</v>
      </c>
      <c r="E632" s="69">
        <v>-2377.34</v>
      </c>
      <c r="F632" s="69">
        <v>-2094.94</v>
      </c>
      <c r="G632" s="69">
        <v>-1718.17</v>
      </c>
      <c r="H632" s="69">
        <v>-1352.15</v>
      </c>
      <c r="I632" s="69">
        <v>-1287.5</v>
      </c>
      <c r="J632" s="69">
        <v>-1403.13</v>
      </c>
      <c r="K632" s="69">
        <v>-1441.18</v>
      </c>
      <c r="L632" s="69">
        <v>-1659.3987207846501</v>
      </c>
      <c r="M632" s="69">
        <v>-1674.1725727847299</v>
      </c>
      <c r="N632" s="69">
        <v>-1723.4145478086</v>
      </c>
      <c r="O632" s="69">
        <v>-1764.7762954371301</v>
      </c>
      <c r="P632" s="69">
        <v>-1850.45120244643</v>
      </c>
      <c r="Q632" s="69">
        <v>-1983.4032755179401</v>
      </c>
      <c r="R632" s="69">
        <v>-2040.52127962739</v>
      </c>
      <c r="S632" s="69">
        <v>-2044.4592941701801</v>
      </c>
      <c r="T632" s="69">
        <v>-2044.4592941701801</v>
      </c>
      <c r="U632" s="69">
        <v>-2039.5346768368199</v>
      </c>
      <c r="V632" s="69">
        <v>-2029.6896404798399</v>
      </c>
      <c r="W632" s="69">
        <v>-2014.9157884797601</v>
      </c>
      <c r="X632" s="69">
        <v>-1990.2969001227</v>
      </c>
      <c r="Y632" s="69">
        <v>-1955.82877709892</v>
      </c>
      <c r="Z632" s="69">
        <v>-1911.5114194084099</v>
      </c>
      <c r="AA632" s="69">
        <v>-1857.3448270511899</v>
      </c>
      <c r="AB632" s="69">
        <v>-1803.18243300371</v>
      </c>
      <c r="AC632" s="69">
        <v>-1749.0200389562301</v>
      </c>
      <c r="AD632" s="69">
        <v>-1694.8534465990001</v>
      </c>
      <c r="AE632" s="69">
        <v>-1640.69105255152</v>
      </c>
      <c r="AF632" s="69">
        <v>-1586.52446019429</v>
      </c>
      <c r="AG632" s="69">
        <v>-1532.3620661468101</v>
      </c>
      <c r="AH632" s="69">
        <v>-1478.1954737895801</v>
      </c>
      <c r="AI632" s="69">
        <v>-1424.0330797421</v>
      </c>
      <c r="AJ632" s="69">
        <v>-1369.86648738488</v>
      </c>
      <c r="AK632" s="69">
        <v>-1315.7040933374001</v>
      </c>
      <c r="AL632" s="69">
        <v>-1261.5375009801701</v>
      </c>
      <c r="AM632" s="69">
        <v>-1207.37510693269</v>
      </c>
      <c r="AN632" s="69">
        <v>-1153.20851457546</v>
      </c>
      <c r="AR632" s="69"/>
    </row>
    <row r="633" spans="3:60" hidden="1" outlineLevel="1">
      <c r="C633">
        <v>-9.59</v>
      </c>
      <c r="D633">
        <v>-2.35</v>
      </c>
      <c r="E633">
        <v>-3.04</v>
      </c>
      <c r="F633">
        <v>-2.64</v>
      </c>
      <c r="G633">
        <v>-2.59</v>
      </c>
      <c r="H633">
        <v>-4.18</v>
      </c>
      <c r="I633">
        <v>-33.369999999999997</v>
      </c>
      <c r="J633">
        <v>0</v>
      </c>
      <c r="K633">
        <v>-261.77999999999997</v>
      </c>
      <c r="L633">
        <v>-22.550902433809402</v>
      </c>
      <c r="M633">
        <v>-23.233988340529802</v>
      </c>
      <c r="N633">
        <v>-24.711992802415999</v>
      </c>
      <c r="O633">
        <v>-25.964820715405398</v>
      </c>
      <c r="P633">
        <v>-28.231698724433301</v>
      </c>
      <c r="Q633">
        <v>-31.583655673782498</v>
      </c>
      <c r="R633">
        <v>-33.081306411746901</v>
      </c>
      <c r="S633">
        <v>-33.2762579205233</v>
      </c>
      <c r="T633">
        <v>-33.351820520824297</v>
      </c>
      <c r="U633">
        <v>-33.2943929445956</v>
      </c>
      <c r="V633">
        <v>-33.117576459891403</v>
      </c>
      <c r="W633">
        <v>-32.819859814705701</v>
      </c>
      <c r="X633">
        <v>-32.284876604575103</v>
      </c>
      <c r="Y633">
        <v>-31.509604325487601</v>
      </c>
      <c r="Z633">
        <v>-30.497065481455198</v>
      </c>
      <c r="AA633">
        <v>-29.242726316459699</v>
      </c>
      <c r="AB633">
        <v>-27.9853646474523</v>
      </c>
      <c r="AC633">
        <v>-26.7219579704207</v>
      </c>
      <c r="AD633">
        <v>-25.4525062853651</v>
      </c>
      <c r="AE633">
        <v>-24.1754983402794</v>
      </c>
      <c r="AF633">
        <v>-22.890934135163601</v>
      </c>
      <c r="AG633">
        <v>-21.5957911660057</v>
      </c>
      <c r="AH633">
        <v>-20.291580684811599</v>
      </c>
      <c r="AI633">
        <v>-18.978302691581501</v>
      </c>
      <c r="AJ633">
        <v>-17.6514234302971</v>
      </c>
      <c r="AK633">
        <v>-16.313965404970698</v>
      </c>
      <c r="AL633">
        <v>-14.9644173635961</v>
      </c>
      <c r="AM633">
        <v>-13.5997568021613</v>
      </c>
      <c r="AN633">
        <v>-12.248697508780699</v>
      </c>
    </row>
    <row r="634" spans="3:60" hidden="1" outlineLevel="1">
      <c r="C634">
        <v>87.67</v>
      </c>
      <c r="D634">
        <v>85.91</v>
      </c>
      <c r="E634">
        <v>86.81</v>
      </c>
      <c r="F634">
        <v>70.19</v>
      </c>
      <c r="G634">
        <v>43.82</v>
      </c>
      <c r="H634">
        <v>29.82</v>
      </c>
      <c r="I634">
        <v>58</v>
      </c>
      <c r="J634">
        <v>99.27</v>
      </c>
      <c r="K634">
        <v>36.1</v>
      </c>
      <c r="L634">
        <v>52.49</v>
      </c>
      <c r="M634">
        <v>52.97</v>
      </c>
      <c r="N634">
        <v>54.56</v>
      </c>
      <c r="O634">
        <v>55.89</v>
      </c>
      <c r="P634">
        <v>58.63</v>
      </c>
      <c r="Q634">
        <v>62.89</v>
      </c>
      <c r="R634">
        <v>64.709999999999994</v>
      </c>
      <c r="S634">
        <v>64.84</v>
      </c>
      <c r="T634">
        <v>64.849999999999994</v>
      </c>
      <c r="U634">
        <v>64.69</v>
      </c>
      <c r="V634">
        <v>64.38</v>
      </c>
      <c r="W634">
        <v>63.91</v>
      </c>
      <c r="X634">
        <v>63.12</v>
      </c>
      <c r="Y634">
        <v>62.02</v>
      </c>
      <c r="Z634">
        <v>60.61</v>
      </c>
      <c r="AA634">
        <v>58.88</v>
      </c>
      <c r="AB634">
        <v>57.15</v>
      </c>
      <c r="AC634">
        <v>55.42</v>
      </c>
      <c r="AD634">
        <v>53.69</v>
      </c>
      <c r="AE634">
        <v>51.96</v>
      </c>
      <c r="AF634">
        <v>50.23</v>
      </c>
      <c r="AG634">
        <v>48.5</v>
      </c>
      <c r="AH634">
        <v>46.77</v>
      </c>
      <c r="AI634">
        <v>45.03</v>
      </c>
      <c r="AJ634">
        <v>43.3</v>
      </c>
      <c r="AK634">
        <v>41.57</v>
      </c>
      <c r="AL634">
        <v>39.840000000000003</v>
      </c>
      <c r="AM634">
        <v>38.11</v>
      </c>
      <c r="AN634">
        <v>36.369999999999997</v>
      </c>
    </row>
    <row r="635" spans="3:60" hidden="1" outlineLevel="1">
      <c r="C635">
        <v>44.23</v>
      </c>
      <c r="D635">
        <v>45.65</v>
      </c>
      <c r="E635">
        <v>39.51</v>
      </c>
      <c r="F635">
        <v>26.73</v>
      </c>
      <c r="G635">
        <v>24.39</v>
      </c>
      <c r="H635">
        <v>15.1</v>
      </c>
      <c r="I635">
        <v>10.51</v>
      </c>
      <c r="J635">
        <v>8.43</v>
      </c>
      <c r="K635">
        <v>12.89</v>
      </c>
      <c r="L635">
        <v>21.93</v>
      </c>
      <c r="M635">
        <v>22.13</v>
      </c>
      <c r="N635">
        <v>22.8</v>
      </c>
      <c r="O635">
        <v>23.35</v>
      </c>
      <c r="P635">
        <v>24.5</v>
      </c>
      <c r="Q635">
        <v>26.28</v>
      </c>
      <c r="R635">
        <v>27.04</v>
      </c>
      <c r="S635">
        <v>27.09</v>
      </c>
      <c r="T635">
        <v>27.1</v>
      </c>
      <c r="U635">
        <v>27.03</v>
      </c>
      <c r="V635">
        <v>26.9</v>
      </c>
      <c r="W635">
        <v>26.7</v>
      </c>
      <c r="X635">
        <v>26.37</v>
      </c>
      <c r="Y635">
        <v>25.92</v>
      </c>
      <c r="Z635">
        <v>25.32</v>
      </c>
      <c r="AA635">
        <v>24.6</v>
      </c>
      <c r="AB635">
        <v>23.88</v>
      </c>
      <c r="AC635">
        <v>23.16</v>
      </c>
      <c r="AD635">
        <v>22.43</v>
      </c>
      <c r="AE635">
        <v>21.71</v>
      </c>
      <c r="AF635">
        <v>20.99</v>
      </c>
      <c r="AG635">
        <v>20.260000000000002</v>
      </c>
      <c r="AH635">
        <v>19.54</v>
      </c>
      <c r="AI635">
        <v>18.82</v>
      </c>
      <c r="AJ635">
        <v>18.09</v>
      </c>
      <c r="AK635">
        <v>17.37</v>
      </c>
      <c r="AL635">
        <v>16.649999999999999</v>
      </c>
      <c r="AM635">
        <v>15.92</v>
      </c>
      <c r="AN635">
        <v>15.2</v>
      </c>
    </row>
    <row r="636" spans="3:60" hidden="1" outlineLevel="1">
      <c r="C636">
        <v>817.56</v>
      </c>
      <c r="D636">
        <v>789.98</v>
      </c>
      <c r="E636">
        <v>720.52</v>
      </c>
      <c r="F636">
        <v>638.69000000000005</v>
      </c>
      <c r="G636">
        <v>484.37</v>
      </c>
      <c r="H636">
        <v>422.8</v>
      </c>
      <c r="I636">
        <v>429.63</v>
      </c>
      <c r="J636">
        <v>457.7</v>
      </c>
      <c r="K636">
        <v>476.9</v>
      </c>
      <c r="L636">
        <v>497.55</v>
      </c>
      <c r="M636">
        <v>502.12</v>
      </c>
      <c r="N636">
        <v>517.13</v>
      </c>
      <c r="O636">
        <v>529.73</v>
      </c>
      <c r="P636">
        <v>555.75</v>
      </c>
      <c r="Q636">
        <v>596.07000000000005</v>
      </c>
      <c r="R636">
        <v>613.41</v>
      </c>
      <c r="S636">
        <v>614.63</v>
      </c>
      <c r="T636">
        <v>614.66</v>
      </c>
      <c r="U636">
        <v>613.17999999999995</v>
      </c>
      <c r="V636">
        <v>610.22</v>
      </c>
      <c r="W636">
        <v>605.76</v>
      </c>
      <c r="X636">
        <v>598.32000000000005</v>
      </c>
      <c r="Y636">
        <v>587.89</v>
      </c>
      <c r="Z636">
        <v>574.48</v>
      </c>
      <c r="AA636">
        <v>558.09</v>
      </c>
      <c r="AB636">
        <v>541.69000000000005</v>
      </c>
      <c r="AC636">
        <v>525.29999999999995</v>
      </c>
      <c r="AD636">
        <v>508.9</v>
      </c>
      <c r="AE636">
        <v>492.5</v>
      </c>
      <c r="AF636">
        <v>476.1</v>
      </c>
      <c r="AG636">
        <v>459.69</v>
      </c>
      <c r="AH636">
        <v>443.28</v>
      </c>
      <c r="AI636">
        <v>426.87</v>
      </c>
      <c r="AJ636">
        <v>410.45</v>
      </c>
      <c r="AK636">
        <v>394.04</v>
      </c>
      <c r="AL636">
        <v>377.61</v>
      </c>
      <c r="AM636">
        <v>361.19</v>
      </c>
      <c r="AN636">
        <v>344.76</v>
      </c>
    </row>
    <row r="637" spans="3:60" hidden="1" outlineLevel="1">
      <c r="C637">
        <v>121.13</v>
      </c>
      <c r="D637">
        <v>112.04</v>
      </c>
      <c r="E637">
        <v>92.5</v>
      </c>
      <c r="F637">
        <v>81.99</v>
      </c>
      <c r="G637">
        <v>83.95</v>
      </c>
      <c r="H637">
        <v>64</v>
      </c>
      <c r="I637">
        <v>72.38</v>
      </c>
      <c r="J637">
        <v>60.87</v>
      </c>
      <c r="K637">
        <v>61.08</v>
      </c>
      <c r="L637">
        <v>72.22</v>
      </c>
      <c r="M637">
        <v>72.89</v>
      </c>
      <c r="N637">
        <v>75.069999999999993</v>
      </c>
      <c r="O637">
        <v>76.900000000000006</v>
      </c>
      <c r="P637">
        <v>80.67</v>
      </c>
      <c r="Q637">
        <v>86.52</v>
      </c>
      <c r="R637">
        <v>89.04</v>
      </c>
      <c r="S637">
        <v>89.22</v>
      </c>
      <c r="T637">
        <v>89.22</v>
      </c>
      <c r="U637">
        <v>89.01</v>
      </c>
      <c r="V637">
        <v>88.58</v>
      </c>
      <c r="W637">
        <v>87.93</v>
      </c>
      <c r="X637">
        <v>86.85</v>
      </c>
      <c r="Y637">
        <v>85.34</v>
      </c>
      <c r="Z637">
        <v>83.39</v>
      </c>
      <c r="AA637">
        <v>81.010000000000005</v>
      </c>
      <c r="AB637">
        <v>78.63</v>
      </c>
      <c r="AC637">
        <v>76.25</v>
      </c>
      <c r="AD637">
        <v>73.87</v>
      </c>
      <c r="AE637">
        <v>71.489999999999995</v>
      </c>
      <c r="AF637">
        <v>69.11</v>
      </c>
      <c r="AG637">
        <v>66.73</v>
      </c>
      <c r="AH637">
        <v>64.349999999999994</v>
      </c>
      <c r="AI637">
        <v>61.96</v>
      </c>
      <c r="AJ637">
        <v>59.58</v>
      </c>
      <c r="AK637">
        <v>57.2</v>
      </c>
      <c r="AL637">
        <v>54.81</v>
      </c>
      <c r="AM637">
        <v>52.43</v>
      </c>
      <c r="AN637">
        <v>50.05</v>
      </c>
    </row>
    <row r="638" spans="3:60" hidden="1" outlineLevel="1">
      <c r="C638">
        <v>662.1</v>
      </c>
      <c r="D638">
        <v>587.94000000000005</v>
      </c>
      <c r="E638">
        <v>622.24</v>
      </c>
      <c r="F638">
        <v>492.19</v>
      </c>
      <c r="G638">
        <v>325.02</v>
      </c>
      <c r="H638">
        <v>267.06</v>
      </c>
      <c r="I638">
        <v>219.89</v>
      </c>
      <c r="J638">
        <v>220.49</v>
      </c>
      <c r="K638">
        <v>268.67</v>
      </c>
      <c r="L638">
        <v>345.83</v>
      </c>
      <c r="M638">
        <v>349.01</v>
      </c>
      <c r="N638">
        <v>359.44</v>
      </c>
      <c r="O638">
        <v>368.2</v>
      </c>
      <c r="P638">
        <v>386.28</v>
      </c>
      <c r="Q638">
        <v>414.3</v>
      </c>
      <c r="R638">
        <v>426.36</v>
      </c>
      <c r="S638">
        <v>427.21</v>
      </c>
      <c r="T638">
        <v>427.22</v>
      </c>
      <c r="U638">
        <v>426.2</v>
      </c>
      <c r="V638">
        <v>424.14</v>
      </c>
      <c r="W638">
        <v>421.04</v>
      </c>
      <c r="X638">
        <v>415.87</v>
      </c>
      <c r="Y638">
        <v>408.62</v>
      </c>
      <c r="Z638">
        <v>399.3</v>
      </c>
      <c r="AA638">
        <v>387.9</v>
      </c>
      <c r="AB638">
        <v>376.51</v>
      </c>
      <c r="AC638">
        <v>365.11</v>
      </c>
      <c r="AD638">
        <v>353.72</v>
      </c>
      <c r="AE638">
        <v>342.32</v>
      </c>
      <c r="AF638">
        <v>330.91</v>
      </c>
      <c r="AG638">
        <v>319.51</v>
      </c>
      <c r="AH638">
        <v>308.11</v>
      </c>
      <c r="AI638">
        <v>296.7</v>
      </c>
      <c r="AJ638">
        <v>285.29000000000002</v>
      </c>
      <c r="AK638">
        <v>273.88</v>
      </c>
      <c r="AL638">
        <v>262.45999999999998</v>
      </c>
      <c r="AM638">
        <v>251.05</v>
      </c>
      <c r="AN638">
        <v>239.63</v>
      </c>
    </row>
    <row r="639" spans="3:60" hidden="1" outlineLevel="1">
      <c r="C639">
        <v>625.58000000000004</v>
      </c>
      <c r="D639">
        <v>595.72</v>
      </c>
      <c r="E639">
        <v>565.91</v>
      </c>
      <c r="F639">
        <v>548.04999999999995</v>
      </c>
      <c r="G639">
        <v>508.16</v>
      </c>
      <c r="H639">
        <v>432.94</v>
      </c>
      <c r="I639">
        <v>354.18</v>
      </c>
      <c r="J639">
        <v>417.32</v>
      </c>
      <c r="K639">
        <v>591.54999999999995</v>
      </c>
      <c r="L639">
        <v>451.84</v>
      </c>
      <c r="M639">
        <v>455.99</v>
      </c>
      <c r="N639">
        <v>469.62</v>
      </c>
      <c r="O639">
        <v>481.06</v>
      </c>
      <c r="P639">
        <v>504.69</v>
      </c>
      <c r="Q639">
        <v>541.30999999999995</v>
      </c>
      <c r="R639">
        <v>557.04999999999995</v>
      </c>
      <c r="S639">
        <v>558.16</v>
      </c>
      <c r="T639">
        <v>558.17999999999995</v>
      </c>
      <c r="U639">
        <v>556.84</v>
      </c>
      <c r="V639">
        <v>554.15</v>
      </c>
      <c r="W639">
        <v>550.1</v>
      </c>
      <c r="X639">
        <v>543.35</v>
      </c>
      <c r="Y639">
        <v>533.88</v>
      </c>
      <c r="Z639">
        <v>521.70000000000005</v>
      </c>
      <c r="AA639">
        <v>506.81</v>
      </c>
      <c r="AB639">
        <v>491.92</v>
      </c>
      <c r="AC639">
        <v>477.03</v>
      </c>
      <c r="AD639">
        <v>462.14</v>
      </c>
      <c r="AE639">
        <v>447.25</v>
      </c>
      <c r="AF639">
        <v>432.35</v>
      </c>
      <c r="AG639">
        <v>417.45</v>
      </c>
      <c r="AH639">
        <v>402.55</v>
      </c>
      <c r="AI639">
        <v>387.65</v>
      </c>
      <c r="AJ639">
        <v>372.74</v>
      </c>
      <c r="AK639">
        <v>357.83</v>
      </c>
      <c r="AL639">
        <v>342.92</v>
      </c>
      <c r="AM639">
        <v>328</v>
      </c>
      <c r="AN639">
        <v>313.08999999999997</v>
      </c>
    </row>
    <row r="640" spans="3:60" hidden="1" outlineLevel="1">
      <c r="C640">
        <v>78.83</v>
      </c>
      <c r="D640">
        <v>84.76</v>
      </c>
      <c r="E640">
        <v>62.63</v>
      </c>
      <c r="F640">
        <v>64.13</v>
      </c>
      <c r="G640">
        <v>58.85</v>
      </c>
      <c r="H640">
        <v>48.46</v>
      </c>
      <c r="I640">
        <v>36.17</v>
      </c>
      <c r="J640">
        <v>29.4</v>
      </c>
      <c r="K640">
        <v>30.9</v>
      </c>
      <c r="L640">
        <v>48.84</v>
      </c>
      <c r="M640">
        <v>49.29</v>
      </c>
      <c r="N640">
        <v>50.76</v>
      </c>
      <c r="O640">
        <v>52</v>
      </c>
      <c r="P640">
        <v>54.55</v>
      </c>
      <c r="Q640">
        <v>58.51</v>
      </c>
      <c r="R640">
        <v>60.21</v>
      </c>
      <c r="S640">
        <v>60.33</v>
      </c>
      <c r="T640">
        <v>60.33</v>
      </c>
      <c r="U640">
        <v>60.19</v>
      </c>
      <c r="V640">
        <v>59.9</v>
      </c>
      <c r="W640">
        <v>59.46</v>
      </c>
      <c r="X640">
        <v>58.73</v>
      </c>
      <c r="Y640">
        <v>57.7</v>
      </c>
      <c r="Z640">
        <v>56.39</v>
      </c>
      <c r="AA640">
        <v>54.78</v>
      </c>
      <c r="AB640">
        <v>53.17</v>
      </c>
      <c r="AC640">
        <v>51.56</v>
      </c>
      <c r="AD640">
        <v>49.95</v>
      </c>
      <c r="AE640">
        <v>48.34</v>
      </c>
      <c r="AF640">
        <v>46.73</v>
      </c>
      <c r="AG640">
        <v>45.12</v>
      </c>
      <c r="AH640">
        <v>43.51</v>
      </c>
      <c r="AI640">
        <v>41.9</v>
      </c>
      <c r="AJ640">
        <v>40.29</v>
      </c>
      <c r="AK640">
        <v>38.68</v>
      </c>
      <c r="AL640">
        <v>37.06</v>
      </c>
      <c r="AM640">
        <v>35.450000000000003</v>
      </c>
      <c r="AN640">
        <v>33.840000000000003</v>
      </c>
    </row>
    <row r="641" spans="3:60" hidden="1" outlineLevel="1">
      <c r="C641">
        <v>137.87</v>
      </c>
      <c r="D641">
        <v>114.2</v>
      </c>
      <c r="E641">
        <v>109.14</v>
      </c>
      <c r="F641">
        <v>102.44</v>
      </c>
      <c r="G641">
        <v>77.34</v>
      </c>
      <c r="H641">
        <v>63.38</v>
      </c>
      <c r="I641">
        <v>92.06</v>
      </c>
      <c r="J641">
        <v>76.64</v>
      </c>
      <c r="K641">
        <v>92.5</v>
      </c>
      <c r="L641">
        <v>80.989999999999995</v>
      </c>
      <c r="M641">
        <v>81.739999999999995</v>
      </c>
      <c r="N641">
        <v>84.18</v>
      </c>
      <c r="O641">
        <v>86.23</v>
      </c>
      <c r="P641">
        <v>90.46</v>
      </c>
      <c r="Q641">
        <v>97.03</v>
      </c>
      <c r="R641">
        <v>99.85</v>
      </c>
      <c r="S641">
        <v>100.05</v>
      </c>
      <c r="T641">
        <v>100.05</v>
      </c>
      <c r="U641">
        <v>99.81</v>
      </c>
      <c r="V641">
        <v>99.33</v>
      </c>
      <c r="W641">
        <v>98.61</v>
      </c>
      <c r="X641">
        <v>97.39</v>
      </c>
      <c r="Y641">
        <v>95.7</v>
      </c>
      <c r="Z641">
        <v>93.51</v>
      </c>
      <c r="AA641">
        <v>90.85</v>
      </c>
      <c r="AB641">
        <v>88.18</v>
      </c>
      <c r="AC641">
        <v>85.51</v>
      </c>
      <c r="AD641">
        <v>82.84</v>
      </c>
      <c r="AE641">
        <v>80.17</v>
      </c>
      <c r="AF641">
        <v>77.5</v>
      </c>
      <c r="AG641">
        <v>74.83</v>
      </c>
      <c r="AH641">
        <v>72.16</v>
      </c>
      <c r="AI641">
        <v>69.489999999999995</v>
      </c>
      <c r="AJ641">
        <v>66.81</v>
      </c>
      <c r="AK641">
        <v>64.14</v>
      </c>
      <c r="AL641">
        <v>61.47</v>
      </c>
      <c r="AM641">
        <v>58.79</v>
      </c>
      <c r="AN641">
        <v>56.12</v>
      </c>
    </row>
    <row r="642" spans="3:60" hidden="1" outlineLevel="1">
      <c r="C642">
        <f>SUM(C631:C641)</f>
        <v>-300.23000000000019</v>
      </c>
      <c r="D642">
        <f>SUM(D631:D641)</f>
        <v>-290.97000000000008</v>
      </c>
      <c r="E642">
        <f>SUM(E631:E641)</f>
        <v>-108.44999999999992</v>
      </c>
      <c r="F642">
        <f>SUM(F631:F641)</f>
        <v>-82.419999999999789</v>
      </c>
      <c r="G642">
        <f>SUM(G631:G641)</f>
        <v>-121.4599999999997</v>
      </c>
      <c r="H642">
        <f>SUM(H631:H641)</f>
        <v>-20.420000000000492</v>
      </c>
      <c r="I642">
        <f>SUM(I631:I641)</f>
        <v>-51.269999999999925</v>
      </c>
      <c r="J642">
        <f>SUM(J631:J641)</f>
        <v>-40.210000000000051</v>
      </c>
      <c r="K642">
        <f>SUM(K631:K641)</f>
        <v>-140.12999999999997</v>
      </c>
      <c r="L642">
        <f>SUM(L631:L641)</f>
        <v>-123.50962321845951</v>
      </c>
      <c r="M642">
        <f>SUM(M631:M641)</f>
        <v>-124.63656112525949</v>
      </c>
      <c r="N642">
        <f>SUM(N631:N641)</f>
        <v>-128.32654061101601</v>
      </c>
      <c r="O642">
        <f>SUM(O631:O641)</f>
        <v>-131.47111615253533</v>
      </c>
      <c r="P642">
        <f>SUM(P631:P641)</f>
        <v>-137.93290117086309</v>
      </c>
      <c r="Q642">
        <f>SUM(Q631:Q641)</f>
        <v>-147.91693119172234</v>
      </c>
      <c r="R642">
        <f>SUM(R631:R641)</f>
        <v>-152.22258603913707</v>
      </c>
      <c r="S642">
        <f>SUM(S631:S641)</f>
        <v>-152.5355520907035</v>
      </c>
      <c r="T642">
        <f>SUM(T631:T641)</f>
        <v>-152.53111469100486</v>
      </c>
      <c r="U642">
        <f>SUM(U631:U641)</f>
        <v>-152.16906978141526</v>
      </c>
      <c r="V642">
        <f>SUM(V631:V641)</f>
        <v>-151.41721693973136</v>
      </c>
      <c r="W642">
        <f>SUM(W631:W641)</f>
        <v>-150.31564829446557</v>
      </c>
      <c r="X642">
        <f>SUM(X631:X641)</f>
        <v>-148.4717767272756</v>
      </c>
      <c r="Y642">
        <f>SUM(Y631:Y641)</f>
        <v>-145.88838142440761</v>
      </c>
      <c r="Z642">
        <f>SUM(Z631:Z641)</f>
        <v>-142.56848488986509</v>
      </c>
      <c r="AA642">
        <f>SUM(AA631:AA641)</f>
        <v>-138.49755336764969</v>
      </c>
      <c r="AB642">
        <f>SUM(AB631:AB641)</f>
        <v>-134.43779765116204</v>
      </c>
      <c r="AC642">
        <f>SUM(AC631:AC641)</f>
        <v>-130.37199692665064</v>
      </c>
      <c r="AD642">
        <f>SUM(AD631:AD641)</f>
        <v>-126.29595288436539</v>
      </c>
      <c r="AE642">
        <f>SUM(AE631:AE641)</f>
        <v>-122.22655089179919</v>
      </c>
      <c r="AF642">
        <f>SUM(AF631:AF641)</f>
        <v>-118.16539432945356</v>
      </c>
      <c r="AG642">
        <f>SUM(AG631:AG641)</f>
        <v>-114.10785731281577</v>
      </c>
      <c r="AH642">
        <f>SUM(AH631:AH641)</f>
        <v>-110.0170544743917</v>
      </c>
      <c r="AI642">
        <f>SUM(AI631:AI641)</f>
        <v>-105.96138243368158</v>
      </c>
      <c r="AJ642">
        <f>SUM(AJ631:AJ641)</f>
        <v>-101.90791081517719</v>
      </c>
      <c r="AK642">
        <f>SUM(AK631:AK641)</f>
        <v>-97.818058742371008</v>
      </c>
      <c r="AL642">
        <f>SUM(AL631:AL641)</f>
        <v>-93.751918343765993</v>
      </c>
      <c r="AM642">
        <f>SUM(AM631:AM641)</f>
        <v>-89.6748637348513</v>
      </c>
      <c r="AN642">
        <f>SUM(AN631:AN641)</f>
        <v>-85.607212084240786</v>
      </c>
      <c r="AO642">
        <f>AN642</f>
        <v>-85.607212084240786</v>
      </c>
      <c r="AP642">
        <f t="shared" ref="AP642:BH642" si="198">AO642</f>
        <v>-85.607212084240786</v>
      </c>
      <c r="AQ642">
        <f t="shared" si="198"/>
        <v>-85.607212084240786</v>
      </c>
      <c r="AR642">
        <f t="shared" si="198"/>
        <v>-85.607212084240786</v>
      </c>
      <c r="AS642">
        <f t="shared" si="198"/>
        <v>-85.607212084240786</v>
      </c>
      <c r="AT642">
        <f t="shared" si="198"/>
        <v>-85.607212084240786</v>
      </c>
      <c r="AU642">
        <f t="shared" si="198"/>
        <v>-85.607212084240786</v>
      </c>
      <c r="AV642">
        <f t="shared" si="198"/>
        <v>-85.607212084240786</v>
      </c>
      <c r="AW642">
        <f t="shared" si="198"/>
        <v>-85.607212084240786</v>
      </c>
      <c r="AX642">
        <f t="shared" si="198"/>
        <v>-85.607212084240786</v>
      </c>
      <c r="AY642">
        <f t="shared" si="198"/>
        <v>-85.607212084240786</v>
      </c>
      <c r="AZ642">
        <f t="shared" si="198"/>
        <v>-85.607212084240786</v>
      </c>
      <c r="BA642">
        <f t="shared" si="198"/>
        <v>-85.607212084240786</v>
      </c>
      <c r="BB642">
        <f t="shared" si="198"/>
        <v>-85.607212084240786</v>
      </c>
      <c r="BC642">
        <f t="shared" si="198"/>
        <v>-85.607212084240786</v>
      </c>
      <c r="BD642">
        <f t="shared" si="198"/>
        <v>-85.607212084240786</v>
      </c>
      <c r="BE642">
        <f t="shared" si="198"/>
        <v>-85.607212084240786</v>
      </c>
      <c r="BF642">
        <f t="shared" si="198"/>
        <v>-85.607212084240786</v>
      </c>
      <c r="BG642">
        <f t="shared" si="198"/>
        <v>-85.607212084240786</v>
      </c>
      <c r="BH642">
        <f t="shared" si="198"/>
        <v>-85.607212084240786</v>
      </c>
    </row>
    <row r="643" spans="3:60" hidden="1" outlineLevel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A11E-E814-4EF4-9C1C-BDBF015777CB}">
  <sheetPr>
    <tabColor theme="0"/>
    <outlinePr summaryBelow="0"/>
  </sheetPr>
  <dimension ref="A1:BH236"/>
  <sheetViews>
    <sheetView tabSelected="1" workbookViewId="0">
      <selection activeCell="A158" sqref="A158"/>
    </sheetView>
  </sheetViews>
  <sheetFormatPr defaultColWidth="11.42578125" defaultRowHeight="15" outlineLevelRow="2"/>
  <cols>
    <col min="3" max="3" width="9.85546875" hidden="1" customWidth="1"/>
    <col min="4" max="9" width="24.42578125" hidden="1" customWidth="1"/>
    <col min="10" max="60" width="24.42578125" bestFit="1" customWidth="1"/>
  </cols>
  <sheetData>
    <row r="1" spans="1:60" outlineLevel="1"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>
        <v>2026</v>
      </c>
      <c r="Q1">
        <v>2027</v>
      </c>
      <c r="R1">
        <v>2028</v>
      </c>
      <c r="S1">
        <v>2029</v>
      </c>
      <c r="T1">
        <v>2030</v>
      </c>
      <c r="U1">
        <v>2031</v>
      </c>
      <c r="V1">
        <v>2032</v>
      </c>
      <c r="W1">
        <v>2033</v>
      </c>
      <c r="X1">
        <v>2034</v>
      </c>
      <c r="Y1">
        <v>2035</v>
      </c>
      <c r="Z1">
        <v>2036</v>
      </c>
      <c r="AA1">
        <v>2037</v>
      </c>
      <c r="AB1">
        <v>2038</v>
      </c>
      <c r="AC1">
        <v>2039</v>
      </c>
      <c r="AD1">
        <v>2040</v>
      </c>
      <c r="AE1">
        <v>2041</v>
      </c>
      <c r="AF1">
        <v>2042</v>
      </c>
      <c r="AG1">
        <v>2043</v>
      </c>
      <c r="AH1">
        <v>2044</v>
      </c>
      <c r="AI1">
        <v>2045</v>
      </c>
      <c r="AJ1">
        <v>2046</v>
      </c>
      <c r="AK1">
        <v>2047</v>
      </c>
      <c r="AL1">
        <v>2048</v>
      </c>
      <c r="AM1">
        <v>2049</v>
      </c>
      <c r="AN1">
        <v>2050</v>
      </c>
      <c r="AO1">
        <v>2051</v>
      </c>
      <c r="AP1">
        <v>2052</v>
      </c>
      <c r="AQ1">
        <v>2053</v>
      </c>
      <c r="AR1">
        <v>2054</v>
      </c>
      <c r="AS1">
        <v>2055</v>
      </c>
      <c r="AT1">
        <v>2056</v>
      </c>
      <c r="AU1">
        <v>2057</v>
      </c>
      <c r="AV1">
        <v>2058</v>
      </c>
      <c r="AW1">
        <v>2059</v>
      </c>
      <c r="AX1">
        <v>2060</v>
      </c>
      <c r="AY1">
        <v>2061</v>
      </c>
      <c r="AZ1">
        <v>2062</v>
      </c>
      <c r="BA1">
        <v>2063</v>
      </c>
      <c r="BB1">
        <v>2064</v>
      </c>
      <c r="BC1">
        <v>2065</v>
      </c>
      <c r="BD1">
        <v>2066</v>
      </c>
      <c r="BE1">
        <v>2067</v>
      </c>
      <c r="BF1">
        <v>2068</v>
      </c>
      <c r="BG1">
        <v>2069</v>
      </c>
      <c r="BH1">
        <v>2070</v>
      </c>
    </row>
    <row r="2" spans="1:60" collapsed="1">
      <c r="A2" t="s">
        <v>125</v>
      </c>
      <c r="C2">
        <f>SUM(C3:C27)</f>
        <v>551042560724333.69</v>
      </c>
      <c r="D2">
        <f t="shared" ref="D2:BH2" si="0">SUM(D3:D27)</f>
        <v>561848246098475.63</v>
      </c>
      <c r="E2">
        <f t="shared" si="0"/>
        <v>559620758323981.38</v>
      </c>
      <c r="F2">
        <f t="shared" si="0"/>
        <v>562834027922081.63</v>
      </c>
      <c r="G2">
        <f t="shared" si="0"/>
        <v>574729760505018.5</v>
      </c>
      <c r="H2">
        <f t="shared" si="0"/>
        <v>609146816288798.75</v>
      </c>
      <c r="I2">
        <f t="shared" si="0"/>
        <v>621307951670398.75</v>
      </c>
      <c r="J2">
        <f t="shared" si="0"/>
        <v>618009374029871.25</v>
      </c>
      <c r="K2">
        <f t="shared" si="0"/>
        <v>638094678685842.13</v>
      </c>
      <c r="L2">
        <f t="shared" si="0"/>
        <v>662427375987561</v>
      </c>
      <c r="M2">
        <f t="shared" si="0"/>
        <v>674593724638420.63</v>
      </c>
      <c r="N2">
        <f t="shared" si="0"/>
        <v>687261852078777.13</v>
      </c>
      <c r="O2">
        <f t="shared" si="0"/>
        <v>699911031407523.38</v>
      </c>
      <c r="P2">
        <f t="shared" si="0"/>
        <v>712579149616728.5</v>
      </c>
      <c r="Q2">
        <f t="shared" si="0"/>
        <v>725256755728465.75</v>
      </c>
      <c r="R2">
        <f t="shared" si="0"/>
        <v>737896456385831.13</v>
      </c>
      <c r="S2">
        <f t="shared" si="0"/>
        <v>750574053266417.25</v>
      </c>
      <c r="T2">
        <f t="shared" si="0"/>
        <v>763242189937924.88</v>
      </c>
      <c r="U2">
        <f t="shared" si="0"/>
        <v>775910326609432.88</v>
      </c>
      <c r="V2">
        <f t="shared" si="0"/>
        <v>788625828944390.75</v>
      </c>
      <c r="W2">
        <f t="shared" si="0"/>
        <v>801293965615898.63</v>
      </c>
      <c r="X2">
        <f t="shared" si="0"/>
        <v>813803143425652.75</v>
      </c>
      <c r="Y2">
        <f t="shared" si="0"/>
        <v>826030915062415.75</v>
      </c>
      <c r="Z2">
        <f t="shared" si="0"/>
        <v>838230259916187.75</v>
      </c>
      <c r="AA2">
        <f t="shared" si="0"/>
        <v>850467500993180.38</v>
      </c>
      <c r="AB2">
        <f t="shared" si="0"/>
        <v>862685793958562.88</v>
      </c>
      <c r="AC2">
        <f t="shared" si="0"/>
        <v>874913584057628.63</v>
      </c>
      <c r="AD2">
        <f t="shared" si="0"/>
        <v>887160294574850.63</v>
      </c>
      <c r="AE2">
        <f t="shared" si="0"/>
        <v>899378587540233.13</v>
      </c>
      <c r="AF2">
        <f t="shared" si="0"/>
        <v>911577932394005.13</v>
      </c>
      <c r="AG2">
        <f t="shared" si="0"/>
        <v>923796225359387.63</v>
      </c>
      <c r="AH2">
        <f t="shared" si="0"/>
        <v>936033466436380.13</v>
      </c>
      <c r="AI2">
        <f t="shared" si="0"/>
        <v>948242289961533</v>
      </c>
      <c r="AJ2">
        <f t="shared" si="0"/>
        <v>960479540269676.88</v>
      </c>
      <c r="AK2">
        <f t="shared" si="0"/>
        <v>972716790577820.88</v>
      </c>
      <c r="AL2">
        <f t="shared" si="0"/>
        <v>984944552983432.88</v>
      </c>
      <c r="AM2">
        <f t="shared" si="0"/>
        <v>997124986650200</v>
      </c>
      <c r="AN2">
        <f t="shared" si="0"/>
        <v>1009314889757196.5</v>
      </c>
      <c r="AO2">
        <f t="shared" si="0"/>
        <v>1009314889757196.5</v>
      </c>
      <c r="AP2">
        <f t="shared" si="0"/>
        <v>1009314889757196.5</v>
      </c>
      <c r="AQ2">
        <f t="shared" si="0"/>
        <v>1009314889757196.5</v>
      </c>
      <c r="AR2">
        <f t="shared" si="0"/>
        <v>1009314889757196.5</v>
      </c>
      <c r="AS2">
        <f t="shared" si="0"/>
        <v>1009314889757196.5</v>
      </c>
      <c r="AT2">
        <f t="shared" si="0"/>
        <v>1009314889757196.5</v>
      </c>
      <c r="AU2">
        <f t="shared" si="0"/>
        <v>1009314889757196.5</v>
      </c>
      <c r="AV2">
        <f t="shared" si="0"/>
        <v>1009314889757196.5</v>
      </c>
      <c r="AW2">
        <f t="shared" si="0"/>
        <v>1009314889757196.5</v>
      </c>
      <c r="AX2">
        <f t="shared" si="0"/>
        <v>1009314889757196.5</v>
      </c>
      <c r="AY2">
        <f t="shared" si="0"/>
        <v>1009314889757196.5</v>
      </c>
      <c r="AZ2">
        <f t="shared" si="0"/>
        <v>1009314889757196.5</v>
      </c>
      <c r="BA2">
        <f t="shared" si="0"/>
        <v>1009314889757196.5</v>
      </c>
      <c r="BB2">
        <f t="shared" si="0"/>
        <v>1009314889757196.5</v>
      </c>
      <c r="BC2">
        <f t="shared" si="0"/>
        <v>1009314889757196.5</v>
      </c>
      <c r="BD2">
        <f t="shared" si="0"/>
        <v>1009314889757196.5</v>
      </c>
      <c r="BE2">
        <f t="shared" si="0"/>
        <v>1009314889757196.5</v>
      </c>
      <c r="BF2">
        <f t="shared" si="0"/>
        <v>1009314889757196.5</v>
      </c>
      <c r="BG2">
        <f t="shared" si="0"/>
        <v>1009314889757196.5</v>
      </c>
      <c r="BH2">
        <f t="shared" si="0"/>
        <v>1009314889757196.5</v>
      </c>
    </row>
    <row r="3" spans="1:60" hidden="1" outlineLevel="1">
      <c r="B3" t="s">
        <v>126</v>
      </c>
      <c r="C3">
        <f>IF('Calculations PJ'!C3&lt;&gt;0,'Calculations PJ'!C3*About!$B$45,0)</f>
        <v>35545017678098.422</v>
      </c>
      <c r="D3">
        <f>IF('Calculations PJ'!D3&lt;&gt;0,'Calculations PJ'!D3*About!$B$45,0)</f>
        <v>34928904038344.707</v>
      </c>
      <c r="E3">
        <f>IF('Calculations PJ'!E3&lt;&gt;0,'Calculations PJ'!E3*About!$B$45,0)</f>
        <v>35023690752152.977</v>
      </c>
      <c r="F3">
        <f>IF('Calculations PJ'!F3&lt;&gt;0,'Calculations PJ'!F3*About!$B$45,0)</f>
        <v>39364922244571.398</v>
      </c>
      <c r="G3">
        <f>IF('Calculations PJ'!G3&lt;&gt;0,'Calculations PJ'!G3*About!$B$45,0)</f>
        <v>39279614202143.961</v>
      </c>
      <c r="H3">
        <f>IF('Calculations PJ'!H3&lt;&gt;0,'Calculations PJ'!H3*About!$B$45,0)</f>
        <v>38549756505820.344</v>
      </c>
      <c r="I3">
        <f>IF('Calculations PJ'!I3&lt;&gt;0,'Calculations PJ'!I3*About!$B$45,0)</f>
        <v>38654021891009.43</v>
      </c>
      <c r="J3">
        <f>IF('Calculations PJ'!J3&lt;&gt;0,'Calculations PJ'!J3*About!$B$45,0)</f>
        <v>48568712155353.68</v>
      </c>
      <c r="K3">
        <f>IF('Calculations PJ'!K3&lt;&gt;0,'Calculations PJ'!K3*About!$B$45,0)</f>
        <v>46824636621281.656</v>
      </c>
      <c r="L3">
        <f>IF('Calculations PJ'!L3&lt;&gt;0,'Calculations PJ'!L3*About!$B$45,0)</f>
        <v>47602835541647.492</v>
      </c>
      <c r="M3">
        <f>IF('Calculations PJ'!M3&lt;&gt;0,'Calculations PJ'!M3*About!$B$45,0)</f>
        <v>48878190775937.664</v>
      </c>
      <c r="N3">
        <f>IF('Calculations PJ'!N3&lt;&gt;0,'Calculations PJ'!N3*About!$B$45,0)</f>
        <v>50153546010227.828</v>
      </c>
      <c r="O3">
        <f>IF('Calculations PJ'!O3&lt;&gt;0,'Calculations PJ'!O3*About!$B$45,0)</f>
        <v>51428901244518</v>
      </c>
      <c r="P3">
        <f>IF('Calculations PJ'!P3&lt;&gt;0,'Calculations PJ'!P3*About!$B$45,0)</f>
        <v>52704256478808.172</v>
      </c>
      <c r="Q3">
        <f>IF('Calculations PJ'!Q3&lt;&gt;0,'Calculations PJ'!Q3*About!$B$45,0)</f>
        <v>53979611713098.336</v>
      </c>
      <c r="R3">
        <f>IF('Calculations PJ'!R3&lt;&gt;0,'Calculations PJ'!R3*About!$B$45,0)</f>
        <v>55254966947388.516</v>
      </c>
      <c r="S3">
        <f>IF('Calculations PJ'!S3&lt;&gt;0,'Calculations PJ'!S3*About!$B$45,0)</f>
        <v>56530322181678.688</v>
      </c>
      <c r="T3">
        <f>IF('Calculations PJ'!T3&lt;&gt;0,'Calculations PJ'!T3*About!$B$45,0)</f>
        <v>57805677415968.852</v>
      </c>
      <c r="U3">
        <f>IF('Calculations PJ'!U3&lt;&gt;0,'Calculations PJ'!U3*About!$B$45,0)</f>
        <v>59109468664401.508</v>
      </c>
      <c r="V3">
        <f>IF('Calculations PJ'!V3&lt;&gt;0,'Calculations PJ'!V3*About!$B$45,0)</f>
        <v>60413259912834.156</v>
      </c>
      <c r="W3">
        <f>IF('Calculations PJ'!W3&lt;&gt;0,'Calculations PJ'!W3*About!$B$45,0)</f>
        <v>61717051161266.813</v>
      </c>
      <c r="X3">
        <f>IF('Calculations PJ'!X3&lt;&gt;0,'Calculations PJ'!X3*About!$B$45,0)</f>
        <v>63020842409699.453</v>
      </c>
      <c r="Y3">
        <f>IF('Calculations PJ'!Y3&lt;&gt;0,'Calculations PJ'!Y3*About!$B$45,0)</f>
        <v>64324633658132.102</v>
      </c>
      <c r="Z3">
        <f>IF('Calculations PJ'!Z3&lt;&gt;0,'Calculations PJ'!Z3*About!$B$45,0)</f>
        <v>65628424906564.758</v>
      </c>
      <c r="AA3">
        <f>IF('Calculations PJ'!AA3&lt;&gt;0,'Calculations PJ'!AA3*About!$B$45,0)</f>
        <v>66932216154997.406</v>
      </c>
      <c r="AB3">
        <f>IF('Calculations PJ'!AB3&lt;&gt;0,'Calculations PJ'!AB3*About!$B$45,0)</f>
        <v>68236007403430.063</v>
      </c>
      <c r="AC3">
        <f>IF('Calculations PJ'!AC3&lt;&gt;0,'Calculations PJ'!AC3*About!$B$45,0)</f>
        <v>69539798651862.711</v>
      </c>
      <c r="AD3">
        <f>IF('Calculations PJ'!AD3&lt;&gt;0,'Calculations PJ'!AD3*About!$B$45,0)</f>
        <v>70843589900295.344</v>
      </c>
      <c r="AE3">
        <f>IF('Calculations PJ'!AE3&lt;&gt;0,'Calculations PJ'!AE3*About!$B$45,0)</f>
        <v>72147381148728</v>
      </c>
      <c r="AF3">
        <f>IF('Calculations PJ'!AF3&lt;&gt;0,'Calculations PJ'!AF3*About!$B$45,0)</f>
        <v>73451172397160.656</v>
      </c>
      <c r="AG3">
        <f>IF('Calculations PJ'!AG3&lt;&gt;0,'Calculations PJ'!AG3*About!$B$45,0)</f>
        <v>74754963645593.313</v>
      </c>
      <c r="AH3">
        <f>IF('Calculations PJ'!AH3&lt;&gt;0,'Calculations PJ'!AH3*About!$B$45,0)</f>
        <v>76058754894025.953</v>
      </c>
      <c r="AI3">
        <f>IF('Calculations PJ'!AI3&lt;&gt;0,'Calculations PJ'!AI3*About!$B$45,0)</f>
        <v>77362546142458.609</v>
      </c>
      <c r="AJ3">
        <f>IF('Calculations PJ'!AJ3&lt;&gt;0,'Calculations PJ'!AJ3*About!$B$45,0)</f>
        <v>78666337390891.25</v>
      </c>
      <c r="AK3">
        <f>IF('Calculations PJ'!AK3&lt;&gt;0,'Calculations PJ'!AK3*About!$B$45,0)</f>
        <v>79970128639323.906</v>
      </c>
      <c r="AL3">
        <f>IF('Calculations PJ'!AL3&lt;&gt;0,'Calculations PJ'!AL3*About!$B$45,0)</f>
        <v>81273919887756.563</v>
      </c>
      <c r="AM3">
        <f>IF('Calculations PJ'!AM3&lt;&gt;0,'Calculations PJ'!AM3*About!$B$45,0)</f>
        <v>82577711136189.203</v>
      </c>
      <c r="AN3">
        <f>IF('Calculations PJ'!AN3&lt;&gt;0,'Calculations PJ'!AN3*About!$B$45,0)</f>
        <v>83881502384621.859</v>
      </c>
      <c r="AO3">
        <f>IF('Calculations PJ'!AO3&lt;&gt;0,'Calculations PJ'!AO3*About!$B$45,0)</f>
        <v>83881502384621.859</v>
      </c>
      <c r="AP3">
        <f>IF('Calculations PJ'!AP3&lt;&gt;0,'Calculations PJ'!AP3*About!$B$45,0)</f>
        <v>83881502384621.859</v>
      </c>
      <c r="AQ3">
        <f>IF('Calculations PJ'!AQ3&lt;&gt;0,'Calculations PJ'!AQ3*About!$B$45,0)</f>
        <v>83881502384621.859</v>
      </c>
      <c r="AR3">
        <f>IF('Calculations PJ'!AR3&lt;&gt;0,'Calculations PJ'!AR3*About!$B$45,0)</f>
        <v>83881502384621.859</v>
      </c>
      <c r="AS3">
        <f>IF('Calculations PJ'!AS3&lt;&gt;0,'Calculations PJ'!AS3*About!$B$45,0)</f>
        <v>83881502384621.859</v>
      </c>
      <c r="AT3">
        <f>IF('Calculations PJ'!AT3&lt;&gt;0,'Calculations PJ'!AT3*About!$B$45,0)</f>
        <v>83881502384621.859</v>
      </c>
      <c r="AU3">
        <f>IF('Calculations PJ'!AU3&lt;&gt;0,'Calculations PJ'!AU3*About!$B$45,0)</f>
        <v>83881502384621.859</v>
      </c>
      <c r="AV3">
        <f>IF('Calculations PJ'!AV3&lt;&gt;0,'Calculations PJ'!AV3*About!$B$45,0)</f>
        <v>83881502384621.859</v>
      </c>
      <c r="AW3">
        <f>IF('Calculations PJ'!AW3&lt;&gt;0,'Calculations PJ'!AW3*About!$B$45,0)</f>
        <v>83881502384621.859</v>
      </c>
      <c r="AX3">
        <f>IF('Calculations PJ'!AX3&lt;&gt;0,'Calculations PJ'!AX3*About!$B$45,0)</f>
        <v>83881502384621.859</v>
      </c>
      <c r="AY3">
        <f>IF('Calculations PJ'!AY3&lt;&gt;0,'Calculations PJ'!AY3*About!$B$45,0)</f>
        <v>83881502384621.859</v>
      </c>
      <c r="AZ3">
        <f>IF('Calculations PJ'!AZ3&lt;&gt;0,'Calculations PJ'!AZ3*About!$B$45,0)</f>
        <v>83881502384621.859</v>
      </c>
      <c r="BA3">
        <f>IF('Calculations PJ'!BA3&lt;&gt;0,'Calculations PJ'!BA3*About!$B$45,0)</f>
        <v>83881502384621.859</v>
      </c>
      <c r="BB3">
        <f>IF('Calculations PJ'!BB3&lt;&gt;0,'Calculations PJ'!BB3*About!$B$45,0)</f>
        <v>83881502384621.859</v>
      </c>
      <c r="BC3">
        <f>IF('Calculations PJ'!BC3&lt;&gt;0,'Calculations PJ'!BC3*About!$B$45,0)</f>
        <v>83881502384621.859</v>
      </c>
      <c r="BD3">
        <f>IF('Calculations PJ'!BD3&lt;&gt;0,'Calculations PJ'!BD3*About!$B$45,0)</f>
        <v>83881502384621.859</v>
      </c>
      <c r="BE3">
        <f>IF('Calculations PJ'!BE3&lt;&gt;0,'Calculations PJ'!BE3*About!$B$45,0)</f>
        <v>83881502384621.859</v>
      </c>
      <c r="BF3">
        <f>IF('Calculations PJ'!BF3&lt;&gt;0,'Calculations PJ'!BF3*About!$B$45,0)</f>
        <v>83881502384621.859</v>
      </c>
      <c r="BG3">
        <f>IF('Calculations PJ'!BG3&lt;&gt;0,'Calculations PJ'!BG3*About!$B$45,0)</f>
        <v>83881502384621.859</v>
      </c>
      <c r="BH3">
        <f>IF('Calculations PJ'!BH3&lt;&gt;0,'Calculations PJ'!BH3*About!$B$45,0)</f>
        <v>83881502384621.859</v>
      </c>
    </row>
    <row r="4" spans="1:60" hidden="1" outlineLevel="1">
      <c r="B4" t="s">
        <v>127</v>
      </c>
      <c r="C4">
        <f>IF('Calculations PJ'!C4&lt;&gt;0,'Calculations PJ'!C4*About!$B$45,0)</f>
        <v>5159714766152.7656</v>
      </c>
      <c r="D4">
        <f>IF('Calculations PJ'!D4&lt;&gt;0,'Calculations PJ'!D4*About!$B$45,0)</f>
        <v>5381515676464.1006</v>
      </c>
      <c r="E4">
        <f>IF('Calculations PJ'!E4&lt;&gt;0,'Calculations PJ'!E4*About!$B$45,0)</f>
        <v>5418482494849.3232</v>
      </c>
      <c r="F4">
        <f>IF('Calculations PJ'!F4&lt;&gt;0,'Calculations PJ'!F4*About!$B$45,0)</f>
        <v>5776776273044.5547</v>
      </c>
      <c r="G4">
        <f>IF('Calculations PJ'!G4&lt;&gt;0,'Calculations PJ'!G4*About!$B$45,0)</f>
        <v>6135070051239.7861</v>
      </c>
      <c r="H4">
        <f>IF('Calculations PJ'!H4&lt;&gt;0,'Calculations PJ'!H4*About!$B$45,0)</f>
        <v>6570141067619.7119</v>
      </c>
      <c r="I4">
        <f>IF('Calculations PJ'!I4&lt;&gt;0,'Calculations PJ'!I4*About!$B$45,0)</f>
        <v>6570141067619.7119</v>
      </c>
      <c r="J4">
        <f>IF('Calculations PJ'!J4&lt;&gt;0,'Calculations PJ'!J4*About!$B$45,0)</f>
        <v>6723695543989.0967</v>
      </c>
      <c r="K4">
        <f>IF('Calculations PJ'!K4&lt;&gt;0,'Calculations PJ'!K4*About!$B$45,0)</f>
        <v>6553079459134.2246</v>
      </c>
      <c r="L4">
        <f>IF('Calculations PJ'!L4&lt;&gt;0,'Calculations PJ'!L4*About!$B$45,0)</f>
        <v>7035069898849.2383</v>
      </c>
      <c r="M4">
        <f>IF('Calculations PJ'!M4&lt;&gt;0,'Calculations PJ'!M4*About!$B$45,0)</f>
        <v>7352131456537.877</v>
      </c>
      <c r="N4">
        <f>IF('Calculations PJ'!N4&lt;&gt;0,'Calculations PJ'!N4*About!$B$45,0)</f>
        <v>7669193014226.5146</v>
      </c>
      <c r="O4">
        <f>IF('Calculations PJ'!O4&lt;&gt;0,'Calculations PJ'!O4*About!$B$45,0)</f>
        <v>7984832771208.0283</v>
      </c>
      <c r="P4">
        <f>IF('Calculations PJ'!P4&lt;&gt;0,'Calculations PJ'!P4*About!$B$45,0)</f>
        <v>8301894328896.667</v>
      </c>
      <c r="Q4">
        <f>IF('Calculations PJ'!Q4&lt;&gt;0,'Calculations PJ'!Q4*About!$B$45,0)</f>
        <v>8618955886585.3047</v>
      </c>
      <c r="R4">
        <f>IF('Calculations PJ'!R4&lt;&gt;0,'Calculations PJ'!R4*About!$B$45,0)</f>
        <v>8936017444273.9434</v>
      </c>
      <c r="S4">
        <f>IF('Calculations PJ'!S4&lt;&gt;0,'Calculations PJ'!S4*About!$B$45,0)</f>
        <v>9253079001962.5801</v>
      </c>
      <c r="T4">
        <f>IF('Calculations PJ'!T4&lt;&gt;0,'Calculations PJ'!T4*About!$B$45,0)</f>
        <v>9570140559651.2188</v>
      </c>
      <c r="U4">
        <f>IF('Calculations PJ'!U4&lt;&gt;0,'Calculations PJ'!U4*About!$B$45,0)</f>
        <v>9887202117339.8574</v>
      </c>
      <c r="V4">
        <f>IF('Calculations PJ'!V4&lt;&gt;0,'Calculations PJ'!V4*About!$B$45,0)</f>
        <v>10202841874321.371</v>
      </c>
      <c r="W4">
        <f>IF('Calculations PJ'!W4&lt;&gt;0,'Calculations PJ'!W4*About!$B$45,0)</f>
        <v>10519903432010.008</v>
      </c>
      <c r="X4">
        <f>IF('Calculations PJ'!X4&lt;&gt;0,'Calculations PJ'!X4*About!$B$45,0)</f>
        <v>10848339395355.637</v>
      </c>
      <c r="Y4">
        <f>IF('Calculations PJ'!Y4&lt;&gt;0,'Calculations PJ'!Y4*About!$B$45,0)</f>
        <v>11192415166479.631</v>
      </c>
      <c r="Z4">
        <f>IF('Calculations PJ'!Z4&lt;&gt;0,'Calculations PJ'!Z4*About!$B$45,0)</f>
        <v>11536490937603.623</v>
      </c>
      <c r="AA4">
        <f>IF('Calculations PJ'!AA4&lt;&gt;0,'Calculations PJ'!AA4*About!$B$45,0)</f>
        <v>11880566708727.617</v>
      </c>
      <c r="AB4">
        <f>IF('Calculations PJ'!AB4&lt;&gt;0,'Calculations PJ'!AB4*About!$B$45,0)</f>
        <v>12224642479851.609</v>
      </c>
      <c r="AC4">
        <f>IF('Calculations PJ'!AC4&lt;&gt;0,'Calculations PJ'!AC4*About!$B$45,0)</f>
        <v>12568718250975.602</v>
      </c>
      <c r="AD4">
        <f>IF('Calculations PJ'!AD4&lt;&gt;0,'Calculations PJ'!AD4*About!$B$45,0)</f>
        <v>12912794022099.594</v>
      </c>
      <c r="AE4">
        <f>IF('Calculations PJ'!AE4&lt;&gt;0,'Calculations PJ'!AE4*About!$B$45,0)</f>
        <v>13255447992516.463</v>
      </c>
      <c r="AF4">
        <f>IF('Calculations PJ'!AF4&lt;&gt;0,'Calculations PJ'!AF4*About!$B$45,0)</f>
        <v>13599523763640.455</v>
      </c>
      <c r="AG4">
        <f>IF('Calculations PJ'!AG4&lt;&gt;0,'Calculations PJ'!AG4*About!$B$45,0)</f>
        <v>13943599534764.445</v>
      </c>
      <c r="AH4">
        <f>IF('Calculations PJ'!AH4&lt;&gt;0,'Calculations PJ'!AH4*About!$B$45,0)</f>
        <v>14287675305888.439</v>
      </c>
      <c r="AI4">
        <f>IF('Calculations PJ'!AI4&lt;&gt;0,'Calculations PJ'!AI4*About!$B$45,0)</f>
        <v>14631751077012.432</v>
      </c>
      <c r="AJ4">
        <f>IF('Calculations PJ'!AJ4&lt;&gt;0,'Calculations PJ'!AJ4*About!$B$45,0)</f>
        <v>14975826848136.424</v>
      </c>
      <c r="AK4">
        <f>IF('Calculations PJ'!AK4&lt;&gt;0,'Calculations PJ'!AK4*About!$B$45,0)</f>
        <v>15319902619260.416</v>
      </c>
      <c r="AL4">
        <f>IF('Calculations PJ'!AL4&lt;&gt;0,'Calculations PJ'!AL4*About!$B$45,0)</f>
        <v>15663978390384.412</v>
      </c>
      <c r="AM4">
        <f>IF('Calculations PJ'!AM4&lt;&gt;0,'Calculations PJ'!AM4*About!$B$45,0)</f>
        <v>16008054161508.404</v>
      </c>
      <c r="AN4">
        <f>IF('Calculations PJ'!AN4&lt;&gt;0,'Calculations PJ'!AN4*About!$B$45,0)</f>
        <v>16352129932632.396</v>
      </c>
      <c r="AO4">
        <f>IF('Calculations PJ'!AO4&lt;&gt;0,'Calculations PJ'!AO4*About!$B$45,0)</f>
        <v>16352129932632.396</v>
      </c>
      <c r="AP4">
        <f>IF('Calculations PJ'!AP4&lt;&gt;0,'Calculations PJ'!AP4*About!$B$45,0)</f>
        <v>16352129932632.396</v>
      </c>
      <c r="AQ4">
        <f>IF('Calculations PJ'!AQ4&lt;&gt;0,'Calculations PJ'!AQ4*About!$B$45,0)</f>
        <v>16352129932632.396</v>
      </c>
      <c r="AR4">
        <f>IF('Calculations PJ'!AR4&lt;&gt;0,'Calculations PJ'!AR4*About!$B$45,0)</f>
        <v>16352129932632.396</v>
      </c>
      <c r="AS4">
        <f>IF('Calculations PJ'!AS4&lt;&gt;0,'Calculations PJ'!AS4*About!$B$45,0)</f>
        <v>16352129932632.396</v>
      </c>
      <c r="AT4">
        <f>IF('Calculations PJ'!AT4&lt;&gt;0,'Calculations PJ'!AT4*About!$B$45,0)</f>
        <v>16352129932632.396</v>
      </c>
      <c r="AU4">
        <f>IF('Calculations PJ'!AU4&lt;&gt;0,'Calculations PJ'!AU4*About!$B$45,0)</f>
        <v>16352129932632.396</v>
      </c>
      <c r="AV4">
        <f>IF('Calculations PJ'!AV4&lt;&gt;0,'Calculations PJ'!AV4*About!$B$45,0)</f>
        <v>16352129932632.396</v>
      </c>
      <c r="AW4">
        <f>IF('Calculations PJ'!AW4&lt;&gt;0,'Calculations PJ'!AW4*About!$B$45,0)</f>
        <v>16352129932632.396</v>
      </c>
      <c r="AX4">
        <f>IF('Calculations PJ'!AX4&lt;&gt;0,'Calculations PJ'!AX4*About!$B$45,0)</f>
        <v>16352129932632.396</v>
      </c>
      <c r="AY4">
        <f>IF('Calculations PJ'!AY4&lt;&gt;0,'Calculations PJ'!AY4*About!$B$45,0)</f>
        <v>16352129932632.396</v>
      </c>
      <c r="AZ4">
        <f>IF('Calculations PJ'!AZ4&lt;&gt;0,'Calculations PJ'!AZ4*About!$B$45,0)</f>
        <v>16352129932632.396</v>
      </c>
      <c r="BA4">
        <f>IF('Calculations PJ'!BA4&lt;&gt;0,'Calculations PJ'!BA4*About!$B$45,0)</f>
        <v>16352129932632.396</v>
      </c>
      <c r="BB4">
        <f>IF('Calculations PJ'!BB4&lt;&gt;0,'Calculations PJ'!BB4*About!$B$45,0)</f>
        <v>16352129932632.396</v>
      </c>
      <c r="BC4">
        <f>IF('Calculations PJ'!BC4&lt;&gt;0,'Calculations PJ'!BC4*About!$B$45,0)</f>
        <v>16352129932632.396</v>
      </c>
      <c r="BD4">
        <f>IF('Calculations PJ'!BD4&lt;&gt;0,'Calculations PJ'!BD4*About!$B$45,0)</f>
        <v>16352129932632.396</v>
      </c>
      <c r="BE4">
        <f>IF('Calculations PJ'!BE4&lt;&gt;0,'Calculations PJ'!BE4*About!$B$45,0)</f>
        <v>16352129932632.396</v>
      </c>
      <c r="BF4">
        <f>IF('Calculations PJ'!BF4&lt;&gt;0,'Calculations PJ'!BF4*About!$B$45,0)</f>
        <v>16352129932632.396</v>
      </c>
      <c r="BG4">
        <f>IF('Calculations PJ'!BG4&lt;&gt;0,'Calculations PJ'!BG4*About!$B$45,0)</f>
        <v>16352129932632.396</v>
      </c>
      <c r="BH4">
        <f>IF('Calculations PJ'!BH4&lt;&gt;0,'Calculations PJ'!BH4*About!$B$45,0)</f>
        <v>16352129932632.396</v>
      </c>
    </row>
    <row r="5" spans="1:60" hidden="1" outlineLevel="1">
      <c r="B5" t="s">
        <v>128</v>
      </c>
      <c r="C5">
        <f>IF('Calculations PJ'!C5&lt;&gt;0,'Calculations PJ'!C5*About!$B$45,0)</f>
        <v>0</v>
      </c>
      <c r="D5">
        <f>IF('Calculations PJ'!D5&lt;&gt;0,'Calculations PJ'!D5*About!$B$45,0)</f>
        <v>0</v>
      </c>
      <c r="E5">
        <f>IF('Calculations PJ'!E5&lt;&gt;0,'Calculations PJ'!E5*About!$B$45,0)</f>
        <v>0</v>
      </c>
      <c r="F5">
        <f>IF('Calculations PJ'!F5&lt;&gt;0,'Calculations PJ'!F5*About!$B$45,0)</f>
        <v>0</v>
      </c>
      <c r="G5">
        <f>IF('Calculations PJ'!G5&lt;&gt;0,'Calculations PJ'!G5*About!$B$45,0)</f>
        <v>0</v>
      </c>
      <c r="H5">
        <f>IF('Calculations PJ'!H5&lt;&gt;0,'Calculations PJ'!H5*About!$B$45,0)</f>
        <v>0</v>
      </c>
      <c r="I5">
        <f>IF('Calculations PJ'!I5&lt;&gt;0,'Calculations PJ'!I5*About!$B$45,0)</f>
        <v>0</v>
      </c>
      <c r="J5">
        <f>IF('Calculations PJ'!J5&lt;&gt;0,'Calculations PJ'!J5*About!$B$45,0)</f>
        <v>0</v>
      </c>
      <c r="K5">
        <f>IF('Calculations PJ'!K5&lt;&gt;0,'Calculations PJ'!K5*About!$B$45,0)</f>
        <v>0</v>
      </c>
      <c r="L5">
        <f>IF('Calculations PJ'!L5&lt;&gt;0,'Calculations PJ'!L5*About!$B$45,0)</f>
        <v>0</v>
      </c>
      <c r="M5">
        <f>IF('Calculations PJ'!M5&lt;&gt;0,'Calculations PJ'!M5*About!$B$45,0)</f>
        <v>0</v>
      </c>
      <c r="N5">
        <f>IF('Calculations PJ'!N5&lt;&gt;0,'Calculations PJ'!N5*About!$B$45,0)</f>
        <v>0</v>
      </c>
      <c r="O5">
        <f>IF('Calculations PJ'!O5&lt;&gt;0,'Calculations PJ'!O5*About!$B$45,0)</f>
        <v>0</v>
      </c>
      <c r="P5">
        <f>IF('Calculations PJ'!P5&lt;&gt;0,'Calculations PJ'!P5*About!$B$45,0)</f>
        <v>0</v>
      </c>
      <c r="Q5">
        <f>IF('Calculations PJ'!Q5&lt;&gt;0,'Calculations PJ'!Q5*About!$B$45,0)</f>
        <v>0</v>
      </c>
      <c r="R5">
        <f>IF('Calculations PJ'!R5&lt;&gt;0,'Calculations PJ'!R5*About!$B$45,0)</f>
        <v>0</v>
      </c>
      <c r="S5">
        <f>IF('Calculations PJ'!S5&lt;&gt;0,'Calculations PJ'!S5*About!$B$45,0)</f>
        <v>0</v>
      </c>
      <c r="T5">
        <f>IF('Calculations PJ'!T5&lt;&gt;0,'Calculations PJ'!T5*About!$B$45,0)</f>
        <v>0</v>
      </c>
      <c r="U5">
        <f>IF('Calculations PJ'!U5&lt;&gt;0,'Calculations PJ'!U5*About!$B$45,0)</f>
        <v>0</v>
      </c>
      <c r="V5">
        <f>IF('Calculations PJ'!V5&lt;&gt;0,'Calculations PJ'!V5*About!$B$45,0)</f>
        <v>0</v>
      </c>
      <c r="W5">
        <f>IF('Calculations PJ'!W5&lt;&gt;0,'Calculations PJ'!W5*About!$B$45,0)</f>
        <v>0</v>
      </c>
      <c r="X5">
        <f>IF('Calculations PJ'!X5&lt;&gt;0,'Calculations PJ'!X5*About!$B$45,0)</f>
        <v>0</v>
      </c>
      <c r="Y5">
        <f>IF('Calculations PJ'!Y5&lt;&gt;0,'Calculations PJ'!Y5*About!$B$45,0)</f>
        <v>0</v>
      </c>
      <c r="Z5">
        <f>IF('Calculations PJ'!Z5&lt;&gt;0,'Calculations PJ'!Z5*About!$B$45,0)</f>
        <v>0</v>
      </c>
      <c r="AA5">
        <f>IF('Calculations PJ'!AA5&lt;&gt;0,'Calculations PJ'!AA5*About!$B$45,0)</f>
        <v>0</v>
      </c>
      <c r="AB5">
        <f>IF('Calculations PJ'!AB5&lt;&gt;0,'Calculations PJ'!AB5*About!$B$45,0)</f>
        <v>0</v>
      </c>
      <c r="AC5">
        <f>IF('Calculations PJ'!AC5&lt;&gt;0,'Calculations PJ'!AC5*About!$B$45,0)</f>
        <v>0</v>
      </c>
      <c r="AD5">
        <f>IF('Calculations PJ'!AD5&lt;&gt;0,'Calculations PJ'!AD5*About!$B$45,0)</f>
        <v>0</v>
      </c>
      <c r="AE5">
        <f>IF('Calculations PJ'!AE5&lt;&gt;0,'Calculations PJ'!AE5*About!$B$45,0)</f>
        <v>0</v>
      </c>
      <c r="AF5">
        <f>IF('Calculations PJ'!AF5&lt;&gt;0,'Calculations PJ'!AF5*About!$B$45,0)</f>
        <v>0</v>
      </c>
      <c r="AG5">
        <f>IF('Calculations PJ'!AG5&lt;&gt;0,'Calculations PJ'!AG5*About!$B$45,0)</f>
        <v>0</v>
      </c>
      <c r="AH5">
        <f>IF('Calculations PJ'!AH5&lt;&gt;0,'Calculations PJ'!AH5*About!$B$45,0)</f>
        <v>0</v>
      </c>
      <c r="AI5">
        <f>IF('Calculations PJ'!AI5&lt;&gt;0,'Calculations PJ'!AI5*About!$B$45,0)</f>
        <v>0</v>
      </c>
      <c r="AJ5">
        <f>IF('Calculations PJ'!AJ5&lt;&gt;0,'Calculations PJ'!AJ5*About!$B$45,0)</f>
        <v>0</v>
      </c>
      <c r="AK5">
        <f>IF('Calculations PJ'!AK5&lt;&gt;0,'Calculations PJ'!AK5*About!$B$45,0)</f>
        <v>0</v>
      </c>
      <c r="AL5">
        <f>IF('Calculations PJ'!AL5&lt;&gt;0,'Calculations PJ'!AL5*About!$B$45,0)</f>
        <v>0</v>
      </c>
      <c r="AM5">
        <f>IF('Calculations PJ'!AM5&lt;&gt;0,'Calculations PJ'!AM5*About!$B$45,0)</f>
        <v>0</v>
      </c>
      <c r="AN5">
        <f>IF('Calculations PJ'!AN5&lt;&gt;0,'Calculations PJ'!AN5*About!$B$45,0)</f>
        <v>0</v>
      </c>
      <c r="AO5">
        <f>IF('Calculations PJ'!AO5&lt;&gt;0,'Calculations PJ'!AO5*About!$B$45,0)</f>
        <v>0</v>
      </c>
      <c r="AP5">
        <f>IF('Calculations PJ'!AP5&lt;&gt;0,'Calculations PJ'!AP5*About!$B$45,0)</f>
        <v>0</v>
      </c>
      <c r="AQ5">
        <f>IF('Calculations PJ'!AQ5&lt;&gt;0,'Calculations PJ'!AQ5*About!$B$45,0)</f>
        <v>0</v>
      </c>
      <c r="AR5">
        <f>IF('Calculations PJ'!AR5&lt;&gt;0,'Calculations PJ'!AR5*About!$B$45,0)</f>
        <v>0</v>
      </c>
      <c r="AS5">
        <f>IF('Calculations PJ'!AS5&lt;&gt;0,'Calculations PJ'!AS5*About!$B$45,0)</f>
        <v>0</v>
      </c>
      <c r="AT5">
        <f>IF('Calculations PJ'!AT5&lt;&gt;0,'Calculations PJ'!AT5*About!$B$45,0)</f>
        <v>0</v>
      </c>
      <c r="AU5">
        <f>IF('Calculations PJ'!AU5&lt;&gt;0,'Calculations PJ'!AU5*About!$B$45,0)</f>
        <v>0</v>
      </c>
      <c r="AV5">
        <f>IF('Calculations PJ'!AV5&lt;&gt;0,'Calculations PJ'!AV5*About!$B$45,0)</f>
        <v>0</v>
      </c>
      <c r="AW5">
        <f>IF('Calculations PJ'!AW5&lt;&gt;0,'Calculations PJ'!AW5*About!$B$45,0)</f>
        <v>0</v>
      </c>
      <c r="AX5">
        <f>IF('Calculations PJ'!AX5&lt;&gt;0,'Calculations PJ'!AX5*About!$B$45,0)</f>
        <v>0</v>
      </c>
      <c r="AY5">
        <f>IF('Calculations PJ'!AY5&lt;&gt;0,'Calculations PJ'!AY5*About!$B$45,0)</f>
        <v>0</v>
      </c>
      <c r="AZ5">
        <f>IF('Calculations PJ'!AZ5&lt;&gt;0,'Calculations PJ'!AZ5*About!$B$45,0)</f>
        <v>0</v>
      </c>
      <c r="BA5">
        <f>IF('Calculations PJ'!BA5&lt;&gt;0,'Calculations PJ'!BA5*About!$B$45,0)</f>
        <v>0</v>
      </c>
      <c r="BB5">
        <f>IF('Calculations PJ'!BB5&lt;&gt;0,'Calculations PJ'!BB5*About!$B$45,0)</f>
        <v>0</v>
      </c>
      <c r="BC5">
        <f>IF('Calculations PJ'!BC5&lt;&gt;0,'Calculations PJ'!BC5*About!$B$45,0)</f>
        <v>0</v>
      </c>
      <c r="BD5">
        <f>IF('Calculations PJ'!BD5&lt;&gt;0,'Calculations PJ'!BD5*About!$B$45,0)</f>
        <v>0</v>
      </c>
      <c r="BE5">
        <f>IF('Calculations PJ'!BE5&lt;&gt;0,'Calculations PJ'!BE5*About!$B$45,0)</f>
        <v>0</v>
      </c>
      <c r="BF5">
        <f>IF('Calculations PJ'!BF5&lt;&gt;0,'Calculations PJ'!BF5*About!$B$45,0)</f>
        <v>0</v>
      </c>
      <c r="BG5">
        <f>IF('Calculations PJ'!BG5&lt;&gt;0,'Calculations PJ'!BG5*About!$B$45,0)</f>
        <v>0</v>
      </c>
      <c r="BH5">
        <f>IF('Calculations PJ'!BH5&lt;&gt;0,'Calculations PJ'!BH5*About!$B$45,0)</f>
        <v>0</v>
      </c>
    </row>
    <row r="6" spans="1:60" hidden="1" outlineLevel="1">
      <c r="B6" t="s">
        <v>129</v>
      </c>
      <c r="C6">
        <f>IF('Calculations PJ'!C6&lt;&gt;0,'Calculations PJ'!C6*About!$B$45,0)</f>
        <v>29238383674865.676</v>
      </c>
      <c r="D6">
        <f>IF('Calculations PJ'!D6&lt;&gt;0,'Calculations PJ'!D6*About!$B$45,0)</f>
        <v>30495255499963.238</v>
      </c>
      <c r="E6">
        <f>IF('Calculations PJ'!E6&lt;&gt;0,'Calculations PJ'!E6*About!$B$45,0)</f>
        <v>30704734137479.492</v>
      </c>
      <c r="F6">
        <f>IF('Calculations PJ'!F6&lt;&gt;0,'Calculations PJ'!F6*About!$B$45,0)</f>
        <v>32735065547252.477</v>
      </c>
      <c r="G6">
        <f>IF('Calculations PJ'!G6&lt;&gt;0,'Calculations PJ'!G6*About!$B$45,0)</f>
        <v>34765396957025.457</v>
      </c>
      <c r="H6">
        <f>IF('Calculations PJ'!H6&lt;&gt;0,'Calculations PJ'!H6*About!$B$45,0)</f>
        <v>37230799383178.367</v>
      </c>
      <c r="I6">
        <f>IF('Calculations PJ'!I6&lt;&gt;0,'Calculations PJ'!I6*About!$B$45,0)</f>
        <v>37230799383178.367</v>
      </c>
      <c r="J6">
        <f>IF('Calculations PJ'!J6&lt;&gt;0,'Calculations PJ'!J6*About!$B$45,0)</f>
        <v>38100941415938.219</v>
      </c>
      <c r="K6">
        <f>IF('Calculations PJ'!K6&lt;&gt;0,'Calculations PJ'!K6*About!$B$45,0)</f>
        <v>37134116935093.945</v>
      </c>
      <c r="L6">
        <f>IF('Calculations PJ'!L6&lt;&gt;0,'Calculations PJ'!L6*About!$B$45,0)</f>
        <v>39865396093479.016</v>
      </c>
      <c r="M6">
        <f>IF('Calculations PJ'!M6&lt;&gt;0,'Calculations PJ'!M6*About!$B$45,0)</f>
        <v>41662078253714.633</v>
      </c>
      <c r="N6">
        <f>IF('Calculations PJ'!N6&lt;&gt;0,'Calculations PJ'!N6*About!$B$45,0)</f>
        <v>43458760413950.25</v>
      </c>
      <c r="O6">
        <f>IF('Calculations PJ'!O6&lt;&gt;0,'Calculations PJ'!O6*About!$B$45,0)</f>
        <v>45247385703512.164</v>
      </c>
      <c r="P6">
        <f>IF('Calculations PJ'!P6&lt;&gt;0,'Calculations PJ'!P6*About!$B$45,0)</f>
        <v>47044067863747.781</v>
      </c>
      <c r="Q6">
        <f>IF('Calculations PJ'!Q6&lt;&gt;0,'Calculations PJ'!Q6*About!$B$45,0)</f>
        <v>48840750023983.391</v>
      </c>
      <c r="R6">
        <f>IF('Calculations PJ'!R6&lt;&gt;0,'Calculations PJ'!R6*About!$B$45,0)</f>
        <v>50637432184219.008</v>
      </c>
      <c r="S6">
        <f>IF('Calculations PJ'!S6&lt;&gt;0,'Calculations PJ'!S6*About!$B$45,0)</f>
        <v>52434114344454.617</v>
      </c>
      <c r="T6">
        <f>IF('Calculations PJ'!T6&lt;&gt;0,'Calculations PJ'!T6*About!$B$45,0)</f>
        <v>54230796504690.242</v>
      </c>
      <c r="U6">
        <f>IF('Calculations PJ'!U6&lt;&gt;0,'Calculations PJ'!U6*About!$B$45,0)</f>
        <v>56027478664925.852</v>
      </c>
      <c r="V6">
        <f>IF('Calculations PJ'!V6&lt;&gt;0,'Calculations PJ'!V6*About!$B$45,0)</f>
        <v>57816103954487.766</v>
      </c>
      <c r="W6">
        <f>IF('Calculations PJ'!W6&lt;&gt;0,'Calculations PJ'!W6*About!$B$45,0)</f>
        <v>59612786114723.375</v>
      </c>
      <c r="X6">
        <f>IF('Calculations PJ'!X6&lt;&gt;0,'Calculations PJ'!X6*About!$B$45,0)</f>
        <v>61473923240348.602</v>
      </c>
      <c r="Y6">
        <f>IF('Calculations PJ'!Y6&lt;&gt;0,'Calculations PJ'!Y6*About!$B$45,0)</f>
        <v>63423685943384.563</v>
      </c>
      <c r="Z6">
        <f>IF('Calculations PJ'!Z6&lt;&gt;0,'Calculations PJ'!Z6*About!$B$45,0)</f>
        <v>65373448646420.523</v>
      </c>
      <c r="AA6">
        <f>IF('Calculations PJ'!AA6&lt;&gt;0,'Calculations PJ'!AA6*About!$B$45,0)</f>
        <v>67323211349456.484</v>
      </c>
      <c r="AB6">
        <f>IF('Calculations PJ'!AB6&lt;&gt;0,'Calculations PJ'!AB6*About!$B$45,0)</f>
        <v>69272974052492.445</v>
      </c>
      <c r="AC6">
        <f>IF('Calculations PJ'!AC6&lt;&gt;0,'Calculations PJ'!AC6*About!$B$45,0)</f>
        <v>71222736755528.406</v>
      </c>
      <c r="AD6">
        <f>IF('Calculations PJ'!AD6&lt;&gt;0,'Calculations PJ'!AD6*About!$B$45,0)</f>
        <v>73172499458564.359</v>
      </c>
      <c r="AE6">
        <f>IF('Calculations PJ'!AE6&lt;&gt;0,'Calculations PJ'!AE6*About!$B$45,0)</f>
        <v>75114205290926.625</v>
      </c>
      <c r="AF6">
        <f>IF('Calculations PJ'!AF6&lt;&gt;0,'Calculations PJ'!AF6*About!$B$45,0)</f>
        <v>77063967993962.594</v>
      </c>
      <c r="AG6">
        <f>IF('Calculations PJ'!AG6&lt;&gt;0,'Calculations PJ'!AG6*About!$B$45,0)</f>
        <v>79013730696998.531</v>
      </c>
      <c r="AH6">
        <f>IF('Calculations PJ'!AH6&lt;&gt;0,'Calculations PJ'!AH6*About!$B$45,0)</f>
        <v>80963493400034.5</v>
      </c>
      <c r="AI6">
        <f>IF('Calculations PJ'!AI6&lt;&gt;0,'Calculations PJ'!AI6*About!$B$45,0)</f>
        <v>82913256103070.453</v>
      </c>
      <c r="AJ6">
        <f>IF('Calculations PJ'!AJ6&lt;&gt;0,'Calculations PJ'!AJ6*About!$B$45,0)</f>
        <v>84863018806106.406</v>
      </c>
      <c r="AK6">
        <f>IF('Calculations PJ'!AK6&lt;&gt;0,'Calculations PJ'!AK6*About!$B$45,0)</f>
        <v>86812781509142.359</v>
      </c>
      <c r="AL6">
        <f>IF('Calculations PJ'!AL6&lt;&gt;0,'Calculations PJ'!AL6*About!$B$45,0)</f>
        <v>88762544212178.328</v>
      </c>
      <c r="AM6">
        <f>IF('Calculations PJ'!AM6&lt;&gt;0,'Calculations PJ'!AM6*About!$B$45,0)</f>
        <v>90712306915214.281</v>
      </c>
      <c r="AN6">
        <f>IF('Calculations PJ'!AN6&lt;&gt;0,'Calculations PJ'!AN6*About!$B$45,0)</f>
        <v>92662069618250.25</v>
      </c>
      <c r="AO6">
        <f>IF('Calculations PJ'!AO6&lt;&gt;0,'Calculations PJ'!AO6*About!$B$45,0)</f>
        <v>92662069618250.25</v>
      </c>
      <c r="AP6">
        <f>IF('Calculations PJ'!AP6&lt;&gt;0,'Calculations PJ'!AP6*About!$B$45,0)</f>
        <v>92662069618250.25</v>
      </c>
      <c r="AQ6">
        <f>IF('Calculations PJ'!AQ6&lt;&gt;0,'Calculations PJ'!AQ6*About!$B$45,0)</f>
        <v>92662069618250.25</v>
      </c>
      <c r="AR6">
        <f>IF('Calculations PJ'!AR6&lt;&gt;0,'Calculations PJ'!AR6*About!$B$45,0)</f>
        <v>92662069618250.25</v>
      </c>
      <c r="AS6">
        <f>IF('Calculations PJ'!AS6&lt;&gt;0,'Calculations PJ'!AS6*About!$B$45,0)</f>
        <v>92662069618250.25</v>
      </c>
      <c r="AT6">
        <f>IF('Calculations PJ'!AT6&lt;&gt;0,'Calculations PJ'!AT6*About!$B$45,0)</f>
        <v>92662069618250.25</v>
      </c>
      <c r="AU6">
        <f>IF('Calculations PJ'!AU6&lt;&gt;0,'Calculations PJ'!AU6*About!$B$45,0)</f>
        <v>92662069618250.25</v>
      </c>
      <c r="AV6">
        <f>IF('Calculations PJ'!AV6&lt;&gt;0,'Calculations PJ'!AV6*About!$B$45,0)</f>
        <v>92662069618250.25</v>
      </c>
      <c r="AW6">
        <f>IF('Calculations PJ'!AW6&lt;&gt;0,'Calculations PJ'!AW6*About!$B$45,0)</f>
        <v>92662069618250.25</v>
      </c>
      <c r="AX6">
        <f>IF('Calculations PJ'!AX6&lt;&gt;0,'Calculations PJ'!AX6*About!$B$45,0)</f>
        <v>92662069618250.25</v>
      </c>
      <c r="AY6">
        <f>IF('Calculations PJ'!AY6&lt;&gt;0,'Calculations PJ'!AY6*About!$B$45,0)</f>
        <v>92662069618250.25</v>
      </c>
      <c r="AZ6">
        <f>IF('Calculations PJ'!AZ6&lt;&gt;0,'Calculations PJ'!AZ6*About!$B$45,0)</f>
        <v>92662069618250.25</v>
      </c>
      <c r="BA6">
        <f>IF('Calculations PJ'!BA6&lt;&gt;0,'Calculations PJ'!BA6*About!$B$45,0)</f>
        <v>92662069618250.25</v>
      </c>
      <c r="BB6">
        <f>IF('Calculations PJ'!BB6&lt;&gt;0,'Calculations PJ'!BB6*About!$B$45,0)</f>
        <v>92662069618250.25</v>
      </c>
      <c r="BC6">
        <f>IF('Calculations PJ'!BC6&lt;&gt;0,'Calculations PJ'!BC6*About!$B$45,0)</f>
        <v>92662069618250.25</v>
      </c>
      <c r="BD6">
        <f>IF('Calculations PJ'!BD6&lt;&gt;0,'Calculations PJ'!BD6*About!$B$45,0)</f>
        <v>92662069618250.25</v>
      </c>
      <c r="BE6">
        <f>IF('Calculations PJ'!BE6&lt;&gt;0,'Calculations PJ'!BE6*About!$B$45,0)</f>
        <v>92662069618250.25</v>
      </c>
      <c r="BF6">
        <f>IF('Calculations PJ'!BF6&lt;&gt;0,'Calculations PJ'!BF6*About!$B$45,0)</f>
        <v>92662069618250.25</v>
      </c>
      <c r="BG6">
        <f>IF('Calculations PJ'!BG6&lt;&gt;0,'Calculations PJ'!BG6*About!$B$45,0)</f>
        <v>92662069618250.25</v>
      </c>
      <c r="BH6">
        <f>IF('Calculations PJ'!BH6&lt;&gt;0,'Calculations PJ'!BH6*About!$B$45,0)</f>
        <v>92662069618250.25</v>
      </c>
    </row>
    <row r="7" spans="1:60" hidden="1" outlineLevel="1">
      <c r="B7" t="s">
        <v>130</v>
      </c>
      <c r="C7">
        <f>IF('Calculations PJ'!C7&lt;&gt;0,'Calculations PJ'!C7*About!$B$45,0)</f>
        <v>11014216144520.098</v>
      </c>
      <c r="D7">
        <f>IF('Calculations PJ'!D7&lt;&gt;0,'Calculations PJ'!D7*About!$B$45,0)</f>
        <v>10161135720245.734</v>
      </c>
      <c r="E7">
        <f>IF('Calculations PJ'!E7&lt;&gt;0,'Calculations PJ'!E7*About!$B$45,0)</f>
        <v>10492889218574.652</v>
      </c>
      <c r="F7">
        <f>IF('Calculations PJ'!F7&lt;&gt;0,'Calculations PJ'!F7*About!$B$45,0)</f>
        <v>11393362999753.145</v>
      </c>
      <c r="G7">
        <f>IF('Calculations PJ'!G7&lt;&gt;0,'Calculations PJ'!G7*About!$B$45,0)</f>
        <v>11488149713561.41</v>
      </c>
      <c r="H7">
        <f>IF('Calculations PJ'!H7&lt;&gt;0,'Calculations PJ'!H7*About!$B$45,0)</f>
        <v>11696680483939.584</v>
      </c>
      <c r="I7">
        <f>IF('Calculations PJ'!I7&lt;&gt;0,'Calculations PJ'!I7*About!$B$45,0)</f>
        <v>12180092724361.725</v>
      </c>
      <c r="J7">
        <f>IF('Calculations PJ'!J7&lt;&gt;0,'Calculations PJ'!J7*About!$B$45,0)</f>
        <v>11725116498082.066</v>
      </c>
      <c r="K7">
        <f>IF('Calculations PJ'!K7&lt;&gt;0,'Calculations PJ'!K7*About!$B$45,0)</f>
        <v>12151656710219.246</v>
      </c>
      <c r="L7">
        <f>IF('Calculations PJ'!L7&lt;&gt;0,'Calculations PJ'!L7*About!$B$45,0)</f>
        <v>12663504964783.863</v>
      </c>
      <c r="M7">
        <f>IF('Calculations PJ'!M7&lt;&gt;0,'Calculations PJ'!M7*About!$B$45,0)</f>
        <v>12947865106208.65</v>
      </c>
      <c r="N7">
        <f>IF('Calculations PJ'!N7&lt;&gt;0,'Calculations PJ'!N7*About!$B$45,0)</f>
        <v>13251182590395.09</v>
      </c>
      <c r="O7">
        <f>IF('Calculations PJ'!O7&lt;&gt;0,'Calculations PJ'!O7*About!$B$45,0)</f>
        <v>13535542731819.877</v>
      </c>
      <c r="P7">
        <f>IF('Calculations PJ'!P7&lt;&gt;0,'Calculations PJ'!P7*About!$B$45,0)</f>
        <v>13819902873244.666</v>
      </c>
      <c r="Q7">
        <f>IF('Calculations PJ'!Q7&lt;&gt;0,'Calculations PJ'!Q7*About!$B$45,0)</f>
        <v>14123220357431.104</v>
      </c>
      <c r="R7">
        <f>IF('Calculations PJ'!R7&lt;&gt;0,'Calculations PJ'!R7*About!$B$45,0)</f>
        <v>14407580498855.893</v>
      </c>
      <c r="S7">
        <f>IF('Calculations PJ'!S7&lt;&gt;0,'Calculations PJ'!S7*About!$B$45,0)</f>
        <v>14701419311661.504</v>
      </c>
      <c r="T7">
        <f>IF('Calculations PJ'!T7&lt;&gt;0,'Calculations PJ'!T7*About!$B$45,0)</f>
        <v>14995258124467.119</v>
      </c>
      <c r="U7">
        <f>IF('Calculations PJ'!U7&lt;&gt;0,'Calculations PJ'!U7*About!$B$45,0)</f>
        <v>15279618265891.908</v>
      </c>
      <c r="V7">
        <f>IF('Calculations PJ'!V7&lt;&gt;0,'Calculations PJ'!V7*About!$B$45,0)</f>
        <v>15573457078697.52</v>
      </c>
      <c r="W7">
        <f>IF('Calculations PJ'!W7&lt;&gt;0,'Calculations PJ'!W7*About!$B$45,0)</f>
        <v>15857817220122.313</v>
      </c>
      <c r="X7">
        <f>IF('Calculations PJ'!X7&lt;&gt;0,'Calculations PJ'!X7*About!$B$45,0)</f>
        <v>16161134704308.746</v>
      </c>
      <c r="Y7">
        <f>IF('Calculations PJ'!Y7&lt;&gt;0,'Calculations PJ'!Y7*About!$B$45,0)</f>
        <v>16454973517114.361</v>
      </c>
      <c r="Z7">
        <f>IF('Calculations PJ'!Z7&lt;&gt;0,'Calculations PJ'!Z7*About!$B$45,0)</f>
        <v>16729854987158.32</v>
      </c>
      <c r="AA7">
        <f>IF('Calculations PJ'!AA7&lt;&gt;0,'Calculations PJ'!AA7*About!$B$45,0)</f>
        <v>17023693799963.938</v>
      </c>
      <c r="AB7">
        <f>IF('Calculations PJ'!AB7&lt;&gt;0,'Calculations PJ'!AB7*About!$B$45,0)</f>
        <v>17317532612769.549</v>
      </c>
      <c r="AC7">
        <f>IF('Calculations PJ'!AC7&lt;&gt;0,'Calculations PJ'!AC7*About!$B$45,0)</f>
        <v>17601892754194.34</v>
      </c>
      <c r="AD7">
        <f>IF('Calculations PJ'!AD7&lt;&gt;0,'Calculations PJ'!AD7*About!$B$45,0)</f>
        <v>17905210238380.773</v>
      </c>
      <c r="AE7">
        <f>IF('Calculations PJ'!AE7&lt;&gt;0,'Calculations PJ'!AE7*About!$B$45,0)</f>
        <v>18199049051186.391</v>
      </c>
      <c r="AF7">
        <f>IF('Calculations PJ'!AF7&lt;&gt;0,'Calculations PJ'!AF7*About!$B$45,0)</f>
        <v>18483409192611.176</v>
      </c>
      <c r="AG7">
        <f>IF('Calculations PJ'!AG7&lt;&gt;0,'Calculations PJ'!AG7*About!$B$45,0)</f>
        <v>18767769334035.965</v>
      </c>
      <c r="AH7">
        <f>IF('Calculations PJ'!AH7&lt;&gt;0,'Calculations PJ'!AH7*About!$B$45,0)</f>
        <v>19061608146841.578</v>
      </c>
      <c r="AI7">
        <f>IF('Calculations PJ'!AI7&lt;&gt;0,'Calculations PJ'!AI7*About!$B$45,0)</f>
        <v>19345968288266.367</v>
      </c>
      <c r="AJ7">
        <f>IF('Calculations PJ'!AJ7&lt;&gt;0,'Calculations PJ'!AJ7*About!$B$45,0)</f>
        <v>19639807101071.98</v>
      </c>
      <c r="AK7">
        <f>IF('Calculations PJ'!AK7&lt;&gt;0,'Calculations PJ'!AK7*About!$B$45,0)</f>
        <v>19943124585258.418</v>
      </c>
      <c r="AL7">
        <f>IF('Calculations PJ'!AL7&lt;&gt;0,'Calculations PJ'!AL7*About!$B$45,0)</f>
        <v>20227484726683.207</v>
      </c>
      <c r="AM7">
        <f>IF('Calculations PJ'!AM7&lt;&gt;0,'Calculations PJ'!AM7*About!$B$45,0)</f>
        <v>20511844868107.992</v>
      </c>
      <c r="AN7">
        <f>IF('Calculations PJ'!AN7&lt;&gt;0,'Calculations PJ'!AN7*About!$B$45,0)</f>
        <v>20815162352294.434</v>
      </c>
      <c r="AO7">
        <f>IF('Calculations PJ'!AO7&lt;&gt;0,'Calculations PJ'!AO7*About!$B$45,0)</f>
        <v>20815162352294.434</v>
      </c>
      <c r="AP7">
        <f>IF('Calculations PJ'!AP7&lt;&gt;0,'Calculations PJ'!AP7*About!$B$45,0)</f>
        <v>20815162352294.434</v>
      </c>
      <c r="AQ7">
        <f>IF('Calculations PJ'!AQ7&lt;&gt;0,'Calculations PJ'!AQ7*About!$B$45,0)</f>
        <v>20815162352294.434</v>
      </c>
      <c r="AR7">
        <f>IF('Calculations PJ'!AR7&lt;&gt;0,'Calculations PJ'!AR7*About!$B$45,0)</f>
        <v>20815162352294.434</v>
      </c>
      <c r="AS7">
        <f>IF('Calculations PJ'!AS7&lt;&gt;0,'Calculations PJ'!AS7*About!$B$45,0)</f>
        <v>20815162352294.434</v>
      </c>
      <c r="AT7">
        <f>IF('Calculations PJ'!AT7&lt;&gt;0,'Calculations PJ'!AT7*About!$B$45,0)</f>
        <v>20815162352294.434</v>
      </c>
      <c r="AU7">
        <f>IF('Calculations PJ'!AU7&lt;&gt;0,'Calculations PJ'!AU7*About!$B$45,0)</f>
        <v>20815162352294.434</v>
      </c>
      <c r="AV7">
        <f>IF('Calculations PJ'!AV7&lt;&gt;0,'Calculations PJ'!AV7*About!$B$45,0)</f>
        <v>20815162352294.434</v>
      </c>
      <c r="AW7">
        <f>IF('Calculations PJ'!AW7&lt;&gt;0,'Calculations PJ'!AW7*About!$B$45,0)</f>
        <v>20815162352294.434</v>
      </c>
      <c r="AX7">
        <f>IF('Calculations PJ'!AX7&lt;&gt;0,'Calculations PJ'!AX7*About!$B$45,0)</f>
        <v>20815162352294.434</v>
      </c>
      <c r="AY7">
        <f>IF('Calculations PJ'!AY7&lt;&gt;0,'Calculations PJ'!AY7*About!$B$45,0)</f>
        <v>20815162352294.434</v>
      </c>
      <c r="AZ7">
        <f>IF('Calculations PJ'!AZ7&lt;&gt;0,'Calculations PJ'!AZ7*About!$B$45,0)</f>
        <v>20815162352294.434</v>
      </c>
      <c r="BA7">
        <f>IF('Calculations PJ'!BA7&lt;&gt;0,'Calculations PJ'!BA7*About!$B$45,0)</f>
        <v>20815162352294.434</v>
      </c>
      <c r="BB7">
        <f>IF('Calculations PJ'!BB7&lt;&gt;0,'Calculations PJ'!BB7*About!$B$45,0)</f>
        <v>20815162352294.434</v>
      </c>
      <c r="BC7">
        <f>IF('Calculations PJ'!BC7&lt;&gt;0,'Calculations PJ'!BC7*About!$B$45,0)</f>
        <v>20815162352294.434</v>
      </c>
      <c r="BD7">
        <f>IF('Calculations PJ'!BD7&lt;&gt;0,'Calculations PJ'!BD7*About!$B$45,0)</f>
        <v>20815162352294.434</v>
      </c>
      <c r="BE7">
        <f>IF('Calculations PJ'!BE7&lt;&gt;0,'Calculations PJ'!BE7*About!$B$45,0)</f>
        <v>20815162352294.434</v>
      </c>
      <c r="BF7">
        <f>IF('Calculations PJ'!BF7&lt;&gt;0,'Calculations PJ'!BF7*About!$B$45,0)</f>
        <v>20815162352294.434</v>
      </c>
      <c r="BG7">
        <f>IF('Calculations PJ'!BG7&lt;&gt;0,'Calculations PJ'!BG7*About!$B$45,0)</f>
        <v>20815162352294.434</v>
      </c>
      <c r="BH7">
        <f>IF('Calculations PJ'!BH7&lt;&gt;0,'Calculations PJ'!BH7*About!$B$45,0)</f>
        <v>20815162352294.434</v>
      </c>
    </row>
    <row r="8" spans="1:60" hidden="1" outlineLevel="1">
      <c r="B8" t="s">
        <v>131</v>
      </c>
      <c r="C8">
        <f>IF('Calculations PJ'!C8&lt;&gt;0,'Calculations PJ'!C8*About!$B$45,0)</f>
        <v>3611373796094.7993</v>
      </c>
      <c r="D8">
        <f>IF('Calculations PJ'!D8&lt;&gt;0,'Calculations PJ'!D8*About!$B$45,0)</f>
        <v>3582937781952.3203</v>
      </c>
      <c r="E8">
        <f>IF('Calculations PJ'!E8&lt;&gt;0,'Calculations PJ'!E8*About!$B$45,0)</f>
        <v>3781989880949.6719</v>
      </c>
      <c r="F8">
        <f>IF('Calculations PJ'!F8&lt;&gt;0,'Calculations PJ'!F8*About!$B$45,0)</f>
        <v>3791468552330.498</v>
      </c>
      <c r="G8">
        <f>IF('Calculations PJ'!G8&lt;&gt;0,'Calculations PJ'!G8*About!$B$45,0)</f>
        <v>3706160509903.062</v>
      </c>
      <c r="H8">
        <f>IF('Calculations PJ'!H8&lt;&gt;0,'Calculations PJ'!H8*About!$B$45,0)</f>
        <v>3800947223711.3242</v>
      </c>
      <c r="I8">
        <f>IF('Calculations PJ'!I8&lt;&gt;0,'Calculations PJ'!I8*About!$B$45,0)</f>
        <v>3582937781952.3203</v>
      </c>
      <c r="J8">
        <f>IF('Calculations PJ'!J8&lt;&gt;0,'Calculations PJ'!J8*About!$B$45,0)</f>
        <v>2549762601442.2598</v>
      </c>
      <c r="K8">
        <f>IF('Calculations PJ'!K8&lt;&gt;0,'Calculations PJ'!K8*About!$B$45,0)</f>
        <v>3393364354335.7959</v>
      </c>
      <c r="L8">
        <f>IF('Calculations PJ'!L8&lt;&gt;0,'Calculations PJ'!L8*About!$B$45,0)</f>
        <v>426540212137.18103</v>
      </c>
      <c r="M8">
        <f>IF('Calculations PJ'!M8&lt;&gt;0,'Calculations PJ'!M8*About!$B$45,0)</f>
        <v>3270141626385.0547</v>
      </c>
      <c r="N8">
        <f>IF('Calculations PJ'!N8&lt;&gt;0,'Calculations PJ'!N8*About!$B$45,0)</f>
        <v>3273596267435.0146</v>
      </c>
      <c r="O8">
        <f>IF('Calculations PJ'!O8&lt;&gt;0,'Calculations PJ'!O8*About!$B$45,0)</f>
        <v>3276996929718.5684</v>
      </c>
      <c r="P8">
        <f>IF('Calculations PJ'!P8&lt;&gt;0,'Calculations PJ'!P8*About!$B$45,0)</f>
        <v>3280505549534.9331</v>
      </c>
      <c r="Q8">
        <f>IF('Calculations PJ'!Q8&lt;&gt;0,'Calculations PJ'!Q8*About!$B$45,0)</f>
        <v>3283960190584.8931</v>
      </c>
      <c r="R8">
        <f>IF('Calculations PJ'!R8&lt;&gt;0,'Calculations PJ'!R8*About!$B$45,0)</f>
        <v>3287360852868.4473</v>
      </c>
      <c r="S8">
        <f>IF('Calculations PJ'!S8&lt;&gt;0,'Calculations PJ'!S8*About!$B$45,0)</f>
        <v>3290869472684.813</v>
      </c>
      <c r="T8">
        <f>IF('Calculations PJ'!T8&lt;&gt;0,'Calculations PJ'!T8*About!$B$45,0)</f>
        <v>3294270134968.3662</v>
      </c>
      <c r="U8">
        <f>IF('Calculations PJ'!U8&lt;&gt;0,'Calculations PJ'!U8*About!$B$45,0)</f>
        <v>3297670797251.9199</v>
      </c>
      <c r="V8">
        <f>IF('Calculations PJ'!V8&lt;&gt;0,'Calculations PJ'!V8*About!$B$45,0)</f>
        <v>3301233395834.6909</v>
      </c>
      <c r="W8">
        <f>IF('Calculations PJ'!W8&lt;&gt;0,'Calculations PJ'!W8*About!$B$45,0)</f>
        <v>3304634058118.2451</v>
      </c>
      <c r="X8">
        <f>IF('Calculations PJ'!X8&lt;&gt;0,'Calculations PJ'!X8*About!$B$45,0)</f>
        <v>3295295731530.0732</v>
      </c>
      <c r="Y8">
        <f>IF('Calculations PJ'!Y8&lt;&gt;0,'Calculations PJ'!Y8*About!$B$45,0)</f>
        <v>3268684199692.1045</v>
      </c>
      <c r="Z8">
        <f>IF('Calculations PJ'!Z8&lt;&gt;0,'Calculations PJ'!Z8*About!$B$45,0)</f>
        <v>3242018689087.7305</v>
      </c>
      <c r="AA8">
        <f>IF('Calculations PJ'!AA8&lt;&gt;0,'Calculations PJ'!AA8*About!$B$45,0)</f>
        <v>3215461136016.167</v>
      </c>
      <c r="AB8">
        <f>IF('Calculations PJ'!AB8&lt;&gt;0,'Calculations PJ'!AB8*About!$B$45,0)</f>
        <v>3188849604178.1978</v>
      </c>
      <c r="AC8">
        <f>IF('Calculations PJ'!AC8&lt;&gt;0,'Calculations PJ'!AC8*About!$B$45,0)</f>
        <v>3162130114807.418</v>
      </c>
      <c r="AD8">
        <f>IF('Calculations PJ'!AD8&lt;&gt;0,'Calculations PJ'!AD8*About!$B$45,0)</f>
        <v>3135626540502.2598</v>
      </c>
      <c r="AE8">
        <f>IF('Calculations PJ'!AE8&lt;&gt;0,'Calculations PJ'!AE8*About!$B$45,0)</f>
        <v>3109015008664.291</v>
      </c>
      <c r="AF8">
        <f>IF('Calculations PJ'!AF8&lt;&gt;0,'Calculations PJ'!AF8*About!$B$45,0)</f>
        <v>3082349498059.9165</v>
      </c>
      <c r="AG8">
        <f>IF('Calculations PJ'!AG8&lt;&gt;0,'Calculations PJ'!AG8*About!$B$45,0)</f>
        <v>3055737966221.9478</v>
      </c>
      <c r="AH8">
        <f>IF('Calculations PJ'!AH8&lt;&gt;0,'Calculations PJ'!AH8*About!$B$45,0)</f>
        <v>3029180413150.3838</v>
      </c>
      <c r="AI8">
        <f>IF('Calculations PJ'!AI8&lt;&gt;0,'Calculations PJ'!AI8*About!$B$45,0)</f>
        <v>3002514902546.0093</v>
      </c>
      <c r="AJ8">
        <f>IF('Calculations PJ'!AJ8&lt;&gt;0,'Calculations PJ'!AJ8*About!$B$45,0)</f>
        <v>2975903370708.04</v>
      </c>
      <c r="AK8">
        <f>IF('Calculations PJ'!AK8&lt;&gt;0,'Calculations PJ'!AK8*About!$B$45,0)</f>
        <v>2949291838870.0718</v>
      </c>
      <c r="AL8">
        <f>IF('Calculations PJ'!AL8&lt;&gt;0,'Calculations PJ'!AL8*About!$B$45,0)</f>
        <v>2922734285798.5083</v>
      </c>
      <c r="AM8">
        <f>IF('Calculations PJ'!AM8&lt;&gt;0,'Calculations PJ'!AM8*About!$B$45,0)</f>
        <v>2895798881362.106</v>
      </c>
      <c r="AN8">
        <f>IF('Calculations PJ'!AN8&lt;&gt;0,'Calculations PJ'!AN8*About!$B$45,0)</f>
        <v>2868917455692.1094</v>
      </c>
      <c r="AO8">
        <f>IF('Calculations PJ'!AO8&lt;&gt;0,'Calculations PJ'!AO8*About!$B$45,0)</f>
        <v>2868917455692.1094</v>
      </c>
      <c r="AP8">
        <f>IF('Calculations PJ'!AP8&lt;&gt;0,'Calculations PJ'!AP8*About!$B$45,0)</f>
        <v>2868917455692.1094</v>
      </c>
      <c r="AQ8">
        <f>IF('Calculations PJ'!AQ8&lt;&gt;0,'Calculations PJ'!AQ8*About!$B$45,0)</f>
        <v>2868917455692.1094</v>
      </c>
      <c r="AR8">
        <f>IF('Calculations PJ'!AR8&lt;&gt;0,'Calculations PJ'!AR8*About!$B$45,0)</f>
        <v>2868917455692.1094</v>
      </c>
      <c r="AS8">
        <f>IF('Calculations PJ'!AS8&lt;&gt;0,'Calculations PJ'!AS8*About!$B$45,0)</f>
        <v>2868917455692.1094</v>
      </c>
      <c r="AT8">
        <f>IF('Calculations PJ'!AT8&lt;&gt;0,'Calculations PJ'!AT8*About!$B$45,0)</f>
        <v>2868917455692.1094</v>
      </c>
      <c r="AU8">
        <f>IF('Calculations PJ'!AU8&lt;&gt;0,'Calculations PJ'!AU8*About!$B$45,0)</f>
        <v>2868917455692.1094</v>
      </c>
      <c r="AV8">
        <f>IF('Calculations PJ'!AV8&lt;&gt;0,'Calculations PJ'!AV8*About!$B$45,0)</f>
        <v>2868917455692.1094</v>
      </c>
      <c r="AW8">
        <f>IF('Calculations PJ'!AW8&lt;&gt;0,'Calculations PJ'!AW8*About!$B$45,0)</f>
        <v>2868917455692.1094</v>
      </c>
      <c r="AX8">
        <f>IF('Calculations PJ'!AX8&lt;&gt;0,'Calculations PJ'!AX8*About!$B$45,0)</f>
        <v>2868917455692.1094</v>
      </c>
      <c r="AY8">
        <f>IF('Calculations PJ'!AY8&lt;&gt;0,'Calculations PJ'!AY8*About!$B$45,0)</f>
        <v>2868917455692.1094</v>
      </c>
      <c r="AZ8">
        <f>IF('Calculations PJ'!AZ8&lt;&gt;0,'Calculations PJ'!AZ8*About!$B$45,0)</f>
        <v>2868917455692.1094</v>
      </c>
      <c r="BA8">
        <f>IF('Calculations PJ'!BA8&lt;&gt;0,'Calculations PJ'!BA8*About!$B$45,0)</f>
        <v>2868917455692.1094</v>
      </c>
      <c r="BB8">
        <f>IF('Calculations PJ'!BB8&lt;&gt;0,'Calculations PJ'!BB8*About!$B$45,0)</f>
        <v>2868917455692.1094</v>
      </c>
      <c r="BC8">
        <f>IF('Calculations PJ'!BC8&lt;&gt;0,'Calculations PJ'!BC8*About!$B$45,0)</f>
        <v>2868917455692.1094</v>
      </c>
      <c r="BD8">
        <f>IF('Calculations PJ'!BD8&lt;&gt;0,'Calculations PJ'!BD8*About!$B$45,0)</f>
        <v>2868917455692.1094</v>
      </c>
      <c r="BE8">
        <f>IF('Calculations PJ'!BE8&lt;&gt;0,'Calculations PJ'!BE8*About!$B$45,0)</f>
        <v>2868917455692.1094</v>
      </c>
      <c r="BF8">
        <f>IF('Calculations PJ'!BF8&lt;&gt;0,'Calculations PJ'!BF8*About!$B$45,0)</f>
        <v>2868917455692.1094</v>
      </c>
      <c r="BG8">
        <f>IF('Calculations PJ'!BG8&lt;&gt;0,'Calculations PJ'!BG8*About!$B$45,0)</f>
        <v>2868917455692.1094</v>
      </c>
      <c r="BH8">
        <f>IF('Calculations PJ'!BH8&lt;&gt;0,'Calculations PJ'!BH8*About!$B$45,0)</f>
        <v>2868917455692.1094</v>
      </c>
    </row>
    <row r="9" spans="1:60" hidden="1" outlineLevel="1">
      <c r="B9" t="s">
        <v>132</v>
      </c>
      <c r="C9">
        <f>IF('Calculations PJ'!C9&lt;&gt;0,'Calculations PJ'!C9*About!$B$45,0)</f>
        <v>0</v>
      </c>
      <c r="D9">
        <f>IF('Calculations PJ'!D9&lt;&gt;0,'Calculations PJ'!D9*About!$B$45,0)</f>
        <v>0</v>
      </c>
      <c r="E9">
        <f>IF('Calculations PJ'!E9&lt;&gt;0,'Calculations PJ'!E9*About!$B$45,0)</f>
        <v>0</v>
      </c>
      <c r="F9">
        <f>IF('Calculations PJ'!F9&lt;&gt;0,'Calculations PJ'!F9*About!$B$45,0)</f>
        <v>0</v>
      </c>
      <c r="G9">
        <f>IF('Calculations PJ'!G9&lt;&gt;0,'Calculations PJ'!G9*About!$B$45,0)</f>
        <v>0</v>
      </c>
      <c r="H9">
        <f>IF('Calculations PJ'!H9&lt;&gt;0,'Calculations PJ'!H9*About!$B$45,0)</f>
        <v>0</v>
      </c>
      <c r="I9">
        <f>IF('Calculations PJ'!I9&lt;&gt;0,'Calculations PJ'!I9*About!$B$45,0)</f>
        <v>0</v>
      </c>
      <c r="J9">
        <f>IF('Calculations PJ'!J9&lt;&gt;0,'Calculations PJ'!J9*About!$B$45,0)</f>
        <v>0</v>
      </c>
      <c r="K9">
        <f>IF('Calculations PJ'!K9&lt;&gt;0,'Calculations PJ'!K9*About!$B$45,0)</f>
        <v>0</v>
      </c>
      <c r="L9">
        <f>IF('Calculations PJ'!L9&lt;&gt;0,'Calculations PJ'!L9*About!$B$45,0)</f>
        <v>0</v>
      </c>
      <c r="M9">
        <f>IF('Calculations PJ'!M9&lt;&gt;0,'Calculations PJ'!M9*About!$B$45,0)</f>
        <v>0</v>
      </c>
      <c r="N9">
        <f>IF('Calculations PJ'!N9&lt;&gt;0,'Calculations PJ'!N9*About!$B$45,0)</f>
        <v>0</v>
      </c>
      <c r="O9">
        <f>IF('Calculations PJ'!O9&lt;&gt;0,'Calculations PJ'!O9*About!$B$45,0)</f>
        <v>0</v>
      </c>
      <c r="P9">
        <f>IF('Calculations PJ'!P9&lt;&gt;0,'Calculations PJ'!P9*About!$B$45,0)</f>
        <v>0</v>
      </c>
      <c r="Q9">
        <f>IF('Calculations PJ'!Q9&lt;&gt;0,'Calculations PJ'!Q9*About!$B$45,0)</f>
        <v>0</v>
      </c>
      <c r="R9">
        <f>IF('Calculations PJ'!R9&lt;&gt;0,'Calculations PJ'!R9*About!$B$45,0)</f>
        <v>0</v>
      </c>
      <c r="S9">
        <f>IF('Calculations PJ'!S9&lt;&gt;0,'Calculations PJ'!S9*About!$B$45,0)</f>
        <v>0</v>
      </c>
      <c r="T9">
        <f>IF('Calculations PJ'!T9&lt;&gt;0,'Calculations PJ'!T9*About!$B$45,0)</f>
        <v>0</v>
      </c>
      <c r="U9">
        <f>IF('Calculations PJ'!U9&lt;&gt;0,'Calculations PJ'!U9*About!$B$45,0)</f>
        <v>0</v>
      </c>
      <c r="V9">
        <f>IF('Calculations PJ'!V9&lt;&gt;0,'Calculations PJ'!V9*About!$B$45,0)</f>
        <v>0</v>
      </c>
      <c r="W9">
        <f>IF('Calculations PJ'!W9&lt;&gt;0,'Calculations PJ'!W9*About!$B$45,0)</f>
        <v>0</v>
      </c>
      <c r="X9">
        <f>IF('Calculations PJ'!X9&lt;&gt;0,'Calculations PJ'!X9*About!$B$45,0)</f>
        <v>0</v>
      </c>
      <c r="Y9">
        <f>IF('Calculations PJ'!Y9&lt;&gt;0,'Calculations PJ'!Y9*About!$B$45,0)</f>
        <v>0</v>
      </c>
      <c r="Z9">
        <f>IF('Calculations PJ'!Z9&lt;&gt;0,'Calculations PJ'!Z9*About!$B$45,0)</f>
        <v>0</v>
      </c>
      <c r="AA9">
        <f>IF('Calculations PJ'!AA9&lt;&gt;0,'Calculations PJ'!AA9*About!$B$45,0)</f>
        <v>0</v>
      </c>
      <c r="AB9">
        <f>IF('Calculations PJ'!AB9&lt;&gt;0,'Calculations PJ'!AB9*About!$B$45,0)</f>
        <v>0</v>
      </c>
      <c r="AC9">
        <f>IF('Calculations PJ'!AC9&lt;&gt;0,'Calculations PJ'!AC9*About!$B$45,0)</f>
        <v>0</v>
      </c>
      <c r="AD9">
        <f>IF('Calculations PJ'!AD9&lt;&gt;0,'Calculations PJ'!AD9*About!$B$45,0)</f>
        <v>0</v>
      </c>
      <c r="AE9">
        <f>IF('Calculations PJ'!AE9&lt;&gt;0,'Calculations PJ'!AE9*About!$B$45,0)</f>
        <v>0</v>
      </c>
      <c r="AF9">
        <f>IF('Calculations PJ'!AF9&lt;&gt;0,'Calculations PJ'!AF9*About!$B$45,0)</f>
        <v>0</v>
      </c>
      <c r="AG9">
        <f>IF('Calculations PJ'!AG9&lt;&gt;0,'Calculations PJ'!AG9*About!$B$45,0)</f>
        <v>0</v>
      </c>
      <c r="AH9">
        <f>IF('Calculations PJ'!AH9&lt;&gt;0,'Calculations PJ'!AH9*About!$B$45,0)</f>
        <v>0</v>
      </c>
      <c r="AI9">
        <f>IF('Calculations PJ'!AI9&lt;&gt;0,'Calculations PJ'!AI9*About!$B$45,0)</f>
        <v>0</v>
      </c>
      <c r="AJ9">
        <f>IF('Calculations PJ'!AJ9&lt;&gt;0,'Calculations PJ'!AJ9*About!$B$45,0)</f>
        <v>0</v>
      </c>
      <c r="AK9">
        <f>IF('Calculations PJ'!AK9&lt;&gt;0,'Calculations PJ'!AK9*About!$B$45,0)</f>
        <v>0</v>
      </c>
      <c r="AL9">
        <f>IF('Calculations PJ'!AL9&lt;&gt;0,'Calculations PJ'!AL9*About!$B$45,0)</f>
        <v>0</v>
      </c>
      <c r="AM9">
        <f>IF('Calculations PJ'!AM9&lt;&gt;0,'Calculations PJ'!AM9*About!$B$45,0)</f>
        <v>0</v>
      </c>
      <c r="AN9">
        <f>IF('Calculations PJ'!AN9&lt;&gt;0,'Calculations PJ'!AN9*About!$B$45,0)</f>
        <v>0</v>
      </c>
      <c r="AO9">
        <f>IF('Calculations PJ'!AO9&lt;&gt;0,'Calculations PJ'!AO9*About!$B$45,0)</f>
        <v>0</v>
      </c>
      <c r="AP9">
        <f>IF('Calculations PJ'!AP9&lt;&gt;0,'Calculations PJ'!AP9*About!$B$45,0)</f>
        <v>0</v>
      </c>
      <c r="AQ9">
        <f>IF('Calculations PJ'!AQ9&lt;&gt;0,'Calculations PJ'!AQ9*About!$B$45,0)</f>
        <v>0</v>
      </c>
      <c r="AR9">
        <f>IF('Calculations PJ'!AR9&lt;&gt;0,'Calculations PJ'!AR9*About!$B$45,0)</f>
        <v>0</v>
      </c>
      <c r="AS9">
        <f>IF('Calculations PJ'!AS9&lt;&gt;0,'Calculations PJ'!AS9*About!$B$45,0)</f>
        <v>0</v>
      </c>
      <c r="AT9">
        <f>IF('Calculations PJ'!AT9&lt;&gt;0,'Calculations PJ'!AT9*About!$B$45,0)</f>
        <v>0</v>
      </c>
      <c r="AU9">
        <f>IF('Calculations PJ'!AU9&lt;&gt;0,'Calculations PJ'!AU9*About!$B$45,0)</f>
        <v>0</v>
      </c>
      <c r="AV9">
        <f>IF('Calculations PJ'!AV9&lt;&gt;0,'Calculations PJ'!AV9*About!$B$45,0)</f>
        <v>0</v>
      </c>
      <c r="AW9">
        <f>IF('Calculations PJ'!AW9&lt;&gt;0,'Calculations PJ'!AW9*About!$B$45,0)</f>
        <v>0</v>
      </c>
      <c r="AX9">
        <f>IF('Calculations PJ'!AX9&lt;&gt;0,'Calculations PJ'!AX9*About!$B$45,0)</f>
        <v>0</v>
      </c>
      <c r="AY9">
        <f>IF('Calculations PJ'!AY9&lt;&gt;0,'Calculations PJ'!AY9*About!$B$45,0)</f>
        <v>0</v>
      </c>
      <c r="AZ9">
        <f>IF('Calculations PJ'!AZ9&lt;&gt;0,'Calculations PJ'!AZ9*About!$B$45,0)</f>
        <v>0</v>
      </c>
      <c r="BA9">
        <f>IF('Calculations PJ'!BA9&lt;&gt;0,'Calculations PJ'!BA9*About!$B$45,0)</f>
        <v>0</v>
      </c>
      <c r="BB9">
        <f>IF('Calculations PJ'!BB9&lt;&gt;0,'Calculations PJ'!BB9*About!$B$45,0)</f>
        <v>0</v>
      </c>
      <c r="BC9">
        <f>IF('Calculations PJ'!BC9&lt;&gt;0,'Calculations PJ'!BC9*About!$B$45,0)</f>
        <v>0</v>
      </c>
      <c r="BD9">
        <f>IF('Calculations PJ'!BD9&lt;&gt;0,'Calculations PJ'!BD9*About!$B$45,0)</f>
        <v>0</v>
      </c>
      <c r="BE9">
        <f>IF('Calculations PJ'!BE9&lt;&gt;0,'Calculations PJ'!BE9*About!$B$45,0)</f>
        <v>0</v>
      </c>
      <c r="BF9">
        <f>IF('Calculations PJ'!BF9&lt;&gt;0,'Calculations PJ'!BF9*About!$B$45,0)</f>
        <v>0</v>
      </c>
      <c r="BG9">
        <f>IF('Calculations PJ'!BG9&lt;&gt;0,'Calculations PJ'!BG9*About!$B$45,0)</f>
        <v>0</v>
      </c>
      <c r="BH9">
        <f>IF('Calculations PJ'!BH9&lt;&gt;0,'Calculations PJ'!BH9*About!$B$45,0)</f>
        <v>0</v>
      </c>
    </row>
    <row r="10" spans="1:60" hidden="1" outlineLevel="1">
      <c r="B10" t="s">
        <v>133</v>
      </c>
      <c r="C10">
        <f>IF('Calculations PJ'!C10&lt;&gt;0,'Calculations PJ'!C10*About!$B$45,0)</f>
        <v>9763031522251.0332</v>
      </c>
      <c r="D10">
        <f>IF('Calculations PJ'!D10&lt;&gt;0,'Calculations PJ'!D10*About!$B$45,0)</f>
        <v>10388623833385.566</v>
      </c>
      <c r="E10">
        <f>IF('Calculations PJ'!E10&lt;&gt;0,'Calculations PJ'!E10*About!$B$45,0)</f>
        <v>10331751805100.607</v>
      </c>
      <c r="F10">
        <f>IF('Calculations PJ'!F10&lt;&gt;0,'Calculations PJ'!F10*About!$B$45,0)</f>
        <v>11308054957325.711</v>
      </c>
      <c r="G10">
        <f>IF('Calculations PJ'!G10&lt;&gt;0,'Calculations PJ'!G10*About!$B$45,0)</f>
        <v>10976301458996.791</v>
      </c>
      <c r="H10">
        <f>IF('Calculations PJ'!H10&lt;&gt;0,'Calculations PJ'!H10*About!$B$45,0)</f>
        <v>11232225586279.1</v>
      </c>
      <c r="I10">
        <f>IF('Calculations PJ'!I10&lt;&gt;0,'Calculations PJ'!I10*About!$B$45,0)</f>
        <v>11639808455654.629</v>
      </c>
      <c r="J10">
        <f>IF('Calculations PJ'!J10&lt;&gt;0,'Calculations PJ'!J10*About!$B$45,0)</f>
        <v>10995258801758.443</v>
      </c>
      <c r="K10">
        <f>IF('Calculations PJ'!K10&lt;&gt;0,'Calculations PJ'!K10*About!$B$45,0)</f>
        <v>11611372441512.15</v>
      </c>
      <c r="L10">
        <f>IF('Calculations PJ'!L10&lt;&gt;0,'Calculations PJ'!L10*About!$B$45,0)</f>
        <v>15962082605311.396</v>
      </c>
      <c r="M10">
        <f>IF('Calculations PJ'!M10&lt;&gt;0,'Calculations PJ'!M10*About!$B$45,0)</f>
        <v>16890992400632.369</v>
      </c>
      <c r="N10">
        <f>IF('Calculations PJ'!N10&lt;&gt;0,'Calculations PJ'!N10*About!$B$45,0)</f>
        <v>17810423524572.516</v>
      </c>
      <c r="O10">
        <f>IF('Calculations PJ'!O10&lt;&gt;0,'Calculations PJ'!O10*About!$B$45,0)</f>
        <v>18739333319893.484</v>
      </c>
      <c r="P10">
        <f>IF('Calculations PJ'!P10&lt;&gt;0,'Calculations PJ'!P10*About!$B$45,0)</f>
        <v>19658764443833.633</v>
      </c>
      <c r="Q10">
        <f>IF('Calculations PJ'!Q10&lt;&gt;0,'Calculations PJ'!Q10*About!$B$45,0)</f>
        <v>20587674239154.602</v>
      </c>
      <c r="R10">
        <f>IF('Calculations PJ'!R10&lt;&gt;0,'Calculations PJ'!R10*About!$B$45,0)</f>
        <v>21507105363094.75</v>
      </c>
      <c r="S10">
        <f>IF('Calculations PJ'!S10&lt;&gt;0,'Calculations PJ'!S10*About!$B$45,0)</f>
        <v>22436015158415.723</v>
      </c>
      <c r="T10">
        <f>IF('Calculations PJ'!T10&lt;&gt;0,'Calculations PJ'!T10*About!$B$45,0)</f>
        <v>23364924953736.691</v>
      </c>
      <c r="U10">
        <f>IF('Calculations PJ'!U10&lt;&gt;0,'Calculations PJ'!U10*About!$B$45,0)</f>
        <v>24284356077676.84</v>
      </c>
      <c r="V10">
        <f>IF('Calculations PJ'!V10&lt;&gt;0,'Calculations PJ'!V10*About!$B$45,0)</f>
        <v>25213265872997.813</v>
      </c>
      <c r="W10">
        <f>IF('Calculations PJ'!W10&lt;&gt;0,'Calculations PJ'!W10*About!$B$45,0)</f>
        <v>26132696996937.957</v>
      </c>
      <c r="X10">
        <f>IF('Calculations PJ'!X10&lt;&gt;0,'Calculations PJ'!X10*About!$B$45,0)</f>
        <v>27260658891256.281</v>
      </c>
      <c r="Y10">
        <f>IF('Calculations PJ'!Y10&lt;&gt;0,'Calculations PJ'!Y10*About!$B$45,0)</f>
        <v>28635066241476.086</v>
      </c>
      <c r="Z10">
        <f>IF('Calculations PJ'!Z10&lt;&gt;0,'Calculations PJ'!Z10*About!$B$45,0)</f>
        <v>30018952263076.719</v>
      </c>
      <c r="AA10">
        <f>IF('Calculations PJ'!AA10&lt;&gt;0,'Calculations PJ'!AA10*About!$B$45,0)</f>
        <v>31402838284677.352</v>
      </c>
      <c r="AB10">
        <f>IF('Calculations PJ'!AB10&lt;&gt;0,'Calculations PJ'!AB10*About!$B$45,0)</f>
        <v>32777245634897.152</v>
      </c>
      <c r="AC10">
        <f>IF('Calculations PJ'!AC10&lt;&gt;0,'Calculations PJ'!AC10*About!$B$45,0)</f>
        <v>34161131656497.785</v>
      </c>
      <c r="AD10">
        <f>IF('Calculations PJ'!AD10&lt;&gt;0,'Calculations PJ'!AD10*About!$B$45,0)</f>
        <v>35545017678098.422</v>
      </c>
      <c r="AE10">
        <f>IF('Calculations PJ'!AE10&lt;&gt;0,'Calculations PJ'!AE10*About!$B$45,0)</f>
        <v>36928903699699.055</v>
      </c>
      <c r="AF10">
        <f>IF('Calculations PJ'!AF10&lt;&gt;0,'Calculations PJ'!AF10*About!$B$45,0)</f>
        <v>38303311049918.852</v>
      </c>
      <c r="AG10">
        <f>IF('Calculations PJ'!AG10&lt;&gt;0,'Calculations PJ'!AG10*About!$B$45,0)</f>
        <v>39687197071519.484</v>
      </c>
      <c r="AH10">
        <f>IF('Calculations PJ'!AH10&lt;&gt;0,'Calculations PJ'!AH10*About!$B$45,0)</f>
        <v>41071083093120.117</v>
      </c>
      <c r="AI10">
        <f>IF('Calculations PJ'!AI10&lt;&gt;0,'Calculations PJ'!AI10*About!$B$45,0)</f>
        <v>42454969114720.75</v>
      </c>
      <c r="AJ10">
        <f>IF('Calculations PJ'!AJ10&lt;&gt;0,'Calculations PJ'!AJ10*About!$B$45,0)</f>
        <v>43829376464940.563</v>
      </c>
      <c r="AK10">
        <f>IF('Calculations PJ'!AK10&lt;&gt;0,'Calculations PJ'!AK10*About!$B$45,0)</f>
        <v>45213262486541.195</v>
      </c>
      <c r="AL10">
        <f>IF('Calculations PJ'!AL10&lt;&gt;0,'Calculations PJ'!AL10*About!$B$45,0)</f>
        <v>46597148508141.82</v>
      </c>
      <c r="AM10">
        <f>IF('Calculations PJ'!AM10&lt;&gt;0,'Calculations PJ'!AM10*About!$B$45,0)</f>
        <v>47981034529742.453</v>
      </c>
      <c r="AN10">
        <f>IF('Calculations PJ'!AN10&lt;&gt;0,'Calculations PJ'!AN10*About!$B$45,0)</f>
        <v>49355441879962.258</v>
      </c>
      <c r="AO10">
        <f>IF('Calculations PJ'!AO10&lt;&gt;0,'Calculations PJ'!AO10*About!$B$45,0)</f>
        <v>49355441879962.258</v>
      </c>
      <c r="AP10">
        <f>IF('Calculations PJ'!AP10&lt;&gt;0,'Calculations PJ'!AP10*About!$B$45,0)</f>
        <v>49355441879962.258</v>
      </c>
      <c r="AQ10">
        <f>IF('Calculations PJ'!AQ10&lt;&gt;0,'Calculations PJ'!AQ10*About!$B$45,0)</f>
        <v>49355441879962.258</v>
      </c>
      <c r="AR10">
        <f>IF('Calculations PJ'!AR10&lt;&gt;0,'Calculations PJ'!AR10*About!$B$45,0)</f>
        <v>49355441879962.258</v>
      </c>
      <c r="AS10">
        <f>IF('Calculations PJ'!AS10&lt;&gt;0,'Calculations PJ'!AS10*About!$B$45,0)</f>
        <v>49355441879962.258</v>
      </c>
      <c r="AT10">
        <f>IF('Calculations PJ'!AT10&lt;&gt;0,'Calculations PJ'!AT10*About!$B$45,0)</f>
        <v>49355441879962.258</v>
      </c>
      <c r="AU10">
        <f>IF('Calculations PJ'!AU10&lt;&gt;0,'Calculations PJ'!AU10*About!$B$45,0)</f>
        <v>49355441879962.258</v>
      </c>
      <c r="AV10">
        <f>IF('Calculations PJ'!AV10&lt;&gt;0,'Calculations PJ'!AV10*About!$B$45,0)</f>
        <v>49355441879962.258</v>
      </c>
      <c r="AW10">
        <f>IF('Calculations PJ'!AW10&lt;&gt;0,'Calculations PJ'!AW10*About!$B$45,0)</f>
        <v>49355441879962.258</v>
      </c>
      <c r="AX10">
        <f>IF('Calculations PJ'!AX10&lt;&gt;0,'Calculations PJ'!AX10*About!$B$45,0)</f>
        <v>49355441879962.258</v>
      </c>
      <c r="AY10">
        <f>IF('Calculations PJ'!AY10&lt;&gt;0,'Calculations PJ'!AY10*About!$B$45,0)</f>
        <v>49355441879962.258</v>
      </c>
      <c r="AZ10">
        <f>IF('Calculations PJ'!AZ10&lt;&gt;0,'Calculations PJ'!AZ10*About!$B$45,0)</f>
        <v>49355441879962.258</v>
      </c>
      <c r="BA10">
        <f>IF('Calculations PJ'!BA10&lt;&gt;0,'Calculations PJ'!BA10*About!$B$45,0)</f>
        <v>49355441879962.258</v>
      </c>
      <c r="BB10">
        <f>IF('Calculations PJ'!BB10&lt;&gt;0,'Calculations PJ'!BB10*About!$B$45,0)</f>
        <v>49355441879962.258</v>
      </c>
      <c r="BC10">
        <f>IF('Calculations PJ'!BC10&lt;&gt;0,'Calculations PJ'!BC10*About!$B$45,0)</f>
        <v>49355441879962.258</v>
      </c>
      <c r="BD10">
        <f>IF('Calculations PJ'!BD10&lt;&gt;0,'Calculations PJ'!BD10*About!$B$45,0)</f>
        <v>49355441879962.258</v>
      </c>
      <c r="BE10">
        <f>IF('Calculations PJ'!BE10&lt;&gt;0,'Calculations PJ'!BE10*About!$B$45,0)</f>
        <v>49355441879962.258</v>
      </c>
      <c r="BF10">
        <f>IF('Calculations PJ'!BF10&lt;&gt;0,'Calculations PJ'!BF10*About!$B$45,0)</f>
        <v>49355441879962.258</v>
      </c>
      <c r="BG10">
        <f>IF('Calculations PJ'!BG10&lt;&gt;0,'Calculations PJ'!BG10*About!$B$45,0)</f>
        <v>49355441879962.258</v>
      </c>
      <c r="BH10">
        <f>IF('Calculations PJ'!BH10&lt;&gt;0,'Calculations PJ'!BH10*About!$B$45,0)</f>
        <v>49355441879962.258</v>
      </c>
    </row>
    <row r="11" spans="1:60" hidden="1" outlineLevel="1">
      <c r="B11" t="s">
        <v>134</v>
      </c>
      <c r="C11">
        <f>IF('Calculations PJ'!C11&lt;&gt;0,'Calculations PJ'!C11*About!$B$45,0)</f>
        <v>0</v>
      </c>
      <c r="D11">
        <f>IF('Calculations PJ'!D11&lt;&gt;0,'Calculations PJ'!D11*About!$B$45,0)</f>
        <v>0</v>
      </c>
      <c r="E11">
        <f>IF('Calculations PJ'!E11&lt;&gt;0,'Calculations PJ'!E11*About!$B$45,0)</f>
        <v>0</v>
      </c>
      <c r="F11">
        <f>IF('Calculations PJ'!F11&lt;&gt;0,'Calculations PJ'!F11*About!$B$45,0)</f>
        <v>0</v>
      </c>
      <c r="G11">
        <f>IF('Calculations PJ'!G11&lt;&gt;0,'Calculations PJ'!G11*About!$B$45,0)</f>
        <v>0</v>
      </c>
      <c r="H11">
        <f>IF('Calculations PJ'!H11&lt;&gt;0,'Calculations PJ'!H11*About!$B$45,0)</f>
        <v>0</v>
      </c>
      <c r="I11">
        <f>IF('Calculations PJ'!I11&lt;&gt;0,'Calculations PJ'!I11*About!$B$45,0)</f>
        <v>0</v>
      </c>
      <c r="J11">
        <f>IF('Calculations PJ'!J11&lt;&gt;0,'Calculations PJ'!J11*About!$B$45,0)</f>
        <v>0</v>
      </c>
      <c r="K11">
        <f>IF('Calculations PJ'!K11&lt;&gt;0,'Calculations PJ'!K11*About!$B$45,0)</f>
        <v>0</v>
      </c>
      <c r="L11">
        <f>IF('Calculations PJ'!L11&lt;&gt;0,'Calculations PJ'!L11*About!$B$45,0)</f>
        <v>0</v>
      </c>
      <c r="M11">
        <f>IF('Calculations PJ'!M11&lt;&gt;0,'Calculations PJ'!M11*About!$B$45,0)</f>
        <v>0</v>
      </c>
      <c r="N11">
        <f>IF('Calculations PJ'!N11&lt;&gt;0,'Calculations PJ'!N11*About!$B$45,0)</f>
        <v>0</v>
      </c>
      <c r="O11">
        <f>IF('Calculations PJ'!O11&lt;&gt;0,'Calculations PJ'!O11*About!$B$45,0)</f>
        <v>0</v>
      </c>
      <c r="P11">
        <f>IF('Calculations PJ'!P11&lt;&gt;0,'Calculations PJ'!P11*About!$B$45,0)</f>
        <v>0</v>
      </c>
      <c r="Q11">
        <f>IF('Calculations PJ'!Q11&lt;&gt;0,'Calculations PJ'!Q11*About!$B$45,0)</f>
        <v>0</v>
      </c>
      <c r="R11">
        <f>IF('Calculations PJ'!R11&lt;&gt;0,'Calculations PJ'!R11*About!$B$45,0)</f>
        <v>0</v>
      </c>
      <c r="S11">
        <f>IF('Calculations PJ'!S11&lt;&gt;0,'Calculations PJ'!S11*About!$B$45,0)</f>
        <v>0</v>
      </c>
      <c r="T11">
        <f>IF('Calculations PJ'!T11&lt;&gt;0,'Calculations PJ'!T11*About!$B$45,0)</f>
        <v>0</v>
      </c>
      <c r="U11">
        <f>IF('Calculations PJ'!U11&lt;&gt;0,'Calculations PJ'!U11*About!$B$45,0)</f>
        <v>0</v>
      </c>
      <c r="V11">
        <f>IF('Calculations PJ'!V11&lt;&gt;0,'Calculations PJ'!V11*About!$B$45,0)</f>
        <v>0</v>
      </c>
      <c r="W11">
        <f>IF('Calculations PJ'!W11&lt;&gt;0,'Calculations PJ'!W11*About!$B$45,0)</f>
        <v>0</v>
      </c>
      <c r="X11">
        <f>IF('Calculations PJ'!X11&lt;&gt;0,'Calculations PJ'!X11*About!$B$45,0)</f>
        <v>0</v>
      </c>
      <c r="Y11">
        <f>IF('Calculations PJ'!Y11&lt;&gt;0,'Calculations PJ'!Y11*About!$B$45,0)</f>
        <v>0</v>
      </c>
      <c r="Z11">
        <f>IF('Calculations PJ'!Z11&lt;&gt;0,'Calculations PJ'!Z11*About!$B$45,0)</f>
        <v>0</v>
      </c>
      <c r="AA11">
        <f>IF('Calculations PJ'!AA11&lt;&gt;0,'Calculations PJ'!AA11*About!$B$45,0)</f>
        <v>0</v>
      </c>
      <c r="AB11">
        <f>IF('Calculations PJ'!AB11&lt;&gt;0,'Calculations PJ'!AB11*About!$B$45,0)</f>
        <v>0</v>
      </c>
      <c r="AC11">
        <f>IF('Calculations PJ'!AC11&lt;&gt;0,'Calculations PJ'!AC11*About!$B$45,0)</f>
        <v>0</v>
      </c>
      <c r="AD11">
        <f>IF('Calculations PJ'!AD11&lt;&gt;0,'Calculations PJ'!AD11*About!$B$45,0)</f>
        <v>0</v>
      </c>
      <c r="AE11">
        <f>IF('Calculations PJ'!AE11&lt;&gt;0,'Calculations PJ'!AE11*About!$B$45,0)</f>
        <v>0</v>
      </c>
      <c r="AF11">
        <f>IF('Calculations PJ'!AF11&lt;&gt;0,'Calculations PJ'!AF11*About!$B$45,0)</f>
        <v>0</v>
      </c>
      <c r="AG11">
        <f>IF('Calculations PJ'!AG11&lt;&gt;0,'Calculations PJ'!AG11*About!$B$45,0)</f>
        <v>0</v>
      </c>
      <c r="AH11">
        <f>IF('Calculations PJ'!AH11&lt;&gt;0,'Calculations PJ'!AH11*About!$B$45,0)</f>
        <v>0</v>
      </c>
      <c r="AI11">
        <f>IF('Calculations PJ'!AI11&lt;&gt;0,'Calculations PJ'!AI11*About!$B$45,0)</f>
        <v>0</v>
      </c>
      <c r="AJ11">
        <f>IF('Calculations PJ'!AJ11&lt;&gt;0,'Calculations PJ'!AJ11*About!$B$45,0)</f>
        <v>0</v>
      </c>
      <c r="AK11">
        <f>IF('Calculations PJ'!AK11&lt;&gt;0,'Calculations PJ'!AK11*About!$B$45,0)</f>
        <v>0</v>
      </c>
      <c r="AL11">
        <f>IF('Calculations PJ'!AL11&lt;&gt;0,'Calculations PJ'!AL11*About!$B$45,0)</f>
        <v>0</v>
      </c>
      <c r="AM11">
        <f>IF('Calculations PJ'!AM11&lt;&gt;0,'Calculations PJ'!AM11*About!$B$45,0)</f>
        <v>0</v>
      </c>
      <c r="AN11">
        <f>IF('Calculations PJ'!AN11&lt;&gt;0,'Calculations PJ'!AN11*About!$B$45,0)</f>
        <v>0</v>
      </c>
      <c r="AO11">
        <f>IF('Calculations PJ'!AO11&lt;&gt;0,'Calculations PJ'!AO11*About!$B$45,0)</f>
        <v>0</v>
      </c>
      <c r="AP11">
        <f>IF('Calculations PJ'!AP11&lt;&gt;0,'Calculations PJ'!AP11*About!$B$45,0)</f>
        <v>0</v>
      </c>
      <c r="AQ11">
        <f>IF('Calculations PJ'!AQ11&lt;&gt;0,'Calculations PJ'!AQ11*About!$B$45,0)</f>
        <v>0</v>
      </c>
      <c r="AR11">
        <f>IF('Calculations PJ'!AR11&lt;&gt;0,'Calculations PJ'!AR11*About!$B$45,0)</f>
        <v>0</v>
      </c>
      <c r="AS11">
        <f>IF('Calculations PJ'!AS11&lt;&gt;0,'Calculations PJ'!AS11*About!$B$45,0)</f>
        <v>0</v>
      </c>
      <c r="AT11">
        <f>IF('Calculations PJ'!AT11&lt;&gt;0,'Calculations PJ'!AT11*About!$B$45,0)</f>
        <v>0</v>
      </c>
      <c r="AU11">
        <f>IF('Calculations PJ'!AU11&lt;&gt;0,'Calculations PJ'!AU11*About!$B$45,0)</f>
        <v>0</v>
      </c>
      <c r="AV11">
        <f>IF('Calculations PJ'!AV11&lt;&gt;0,'Calculations PJ'!AV11*About!$B$45,0)</f>
        <v>0</v>
      </c>
      <c r="AW11">
        <f>IF('Calculations PJ'!AW11&lt;&gt;0,'Calculations PJ'!AW11*About!$B$45,0)</f>
        <v>0</v>
      </c>
      <c r="AX11">
        <f>IF('Calculations PJ'!AX11&lt;&gt;0,'Calculations PJ'!AX11*About!$B$45,0)</f>
        <v>0</v>
      </c>
      <c r="AY11">
        <f>IF('Calculations PJ'!AY11&lt;&gt;0,'Calculations PJ'!AY11*About!$B$45,0)</f>
        <v>0</v>
      </c>
      <c r="AZ11">
        <f>IF('Calculations PJ'!AZ11&lt;&gt;0,'Calculations PJ'!AZ11*About!$B$45,0)</f>
        <v>0</v>
      </c>
      <c r="BA11">
        <f>IF('Calculations PJ'!BA11&lt;&gt;0,'Calculations PJ'!BA11*About!$B$45,0)</f>
        <v>0</v>
      </c>
      <c r="BB11">
        <f>IF('Calculations PJ'!BB11&lt;&gt;0,'Calculations PJ'!BB11*About!$B$45,0)</f>
        <v>0</v>
      </c>
      <c r="BC11">
        <f>IF('Calculations PJ'!BC11&lt;&gt;0,'Calculations PJ'!BC11*About!$B$45,0)</f>
        <v>0</v>
      </c>
      <c r="BD11">
        <f>IF('Calculations PJ'!BD11&lt;&gt;0,'Calculations PJ'!BD11*About!$B$45,0)</f>
        <v>0</v>
      </c>
      <c r="BE11">
        <f>IF('Calculations PJ'!BE11&lt;&gt;0,'Calculations PJ'!BE11*About!$B$45,0)</f>
        <v>0</v>
      </c>
      <c r="BF11">
        <f>IF('Calculations PJ'!BF11&lt;&gt;0,'Calculations PJ'!BF11*About!$B$45,0)</f>
        <v>0</v>
      </c>
      <c r="BG11">
        <f>IF('Calculations PJ'!BG11&lt;&gt;0,'Calculations PJ'!BG11*About!$B$45,0)</f>
        <v>0</v>
      </c>
      <c r="BH11">
        <f>IF('Calculations PJ'!BH11&lt;&gt;0,'Calculations PJ'!BH11*About!$B$45,0)</f>
        <v>0</v>
      </c>
    </row>
    <row r="12" spans="1:60" hidden="1" outlineLevel="1">
      <c r="B12" t="s">
        <v>135</v>
      </c>
      <c r="C12">
        <f>IF('Calculations PJ'!C12&lt;&gt;0,'Calculations PJ'!C12*About!$B$45,0)</f>
        <v>16227485403974.533</v>
      </c>
      <c r="D12">
        <f>IF('Calculations PJ'!D12&lt;&gt;0,'Calculations PJ'!D12*About!$B$45,0)</f>
        <v>16170613375689.572</v>
      </c>
      <c r="E12">
        <f>IF('Calculations PJ'!E12&lt;&gt;0,'Calculations PJ'!E12*About!$B$45,0)</f>
        <v>15810423863218.176</v>
      </c>
      <c r="F12">
        <f>IF('Calculations PJ'!F12&lt;&gt;0,'Calculations PJ'!F12*About!$B$45,0)</f>
        <v>15981039948073.049</v>
      </c>
      <c r="G12">
        <f>IF('Calculations PJ'!G12&lt;&gt;0,'Calculations PJ'!G12*About!$B$45,0)</f>
        <v>14976300781705.469</v>
      </c>
      <c r="H12">
        <f>IF('Calculations PJ'!H12&lt;&gt;0,'Calculations PJ'!H12*About!$B$45,0)</f>
        <v>14710897983042.332</v>
      </c>
      <c r="I12">
        <f>IF('Calculations PJ'!I12&lt;&gt;0,'Calculations PJ'!I12*About!$B$45,0)</f>
        <v>14018954972242.016</v>
      </c>
      <c r="J12">
        <f>IF('Calculations PJ'!J12&lt;&gt;0,'Calculations PJ'!J12*About!$B$45,0)</f>
        <v>13222746576252.611</v>
      </c>
      <c r="K12">
        <f>IF('Calculations PJ'!K12&lt;&gt;0,'Calculations PJ'!K12*About!$B$45,0)</f>
        <v>13981040286718.711</v>
      </c>
      <c r="L12">
        <f>IF('Calculations PJ'!L12&lt;&gt;0,'Calculations PJ'!L12*About!$B$45,0)</f>
        <v>10511846561336.307</v>
      </c>
      <c r="M12">
        <f>IF('Calculations PJ'!M12&lt;&gt;0,'Calculations PJ'!M12*About!$B$45,0)</f>
        <v>12255922095408.334</v>
      </c>
      <c r="N12">
        <f>IF('Calculations PJ'!N12&lt;&gt;0,'Calculations PJ'!N12*About!$B$45,0)</f>
        <v>14009476300861.189</v>
      </c>
      <c r="O12">
        <f>IF('Calculations PJ'!O12&lt;&gt;0,'Calculations PJ'!O12*About!$B$45,0)</f>
        <v>15763030506314.045</v>
      </c>
      <c r="P12">
        <f>IF('Calculations PJ'!P12&lt;&gt;0,'Calculations PJ'!P12*About!$B$45,0)</f>
        <v>17507106040386.074</v>
      </c>
      <c r="Q12">
        <f>IF('Calculations PJ'!Q12&lt;&gt;0,'Calculations PJ'!Q12*About!$B$45,0)</f>
        <v>19260660245838.93</v>
      </c>
      <c r="R12">
        <f>IF('Calculations PJ'!R12&lt;&gt;0,'Calculations PJ'!R12*About!$B$45,0)</f>
        <v>21004735779910.961</v>
      </c>
      <c r="S12">
        <f>IF('Calculations PJ'!S12&lt;&gt;0,'Calculations PJ'!S12*About!$B$45,0)</f>
        <v>22758289985363.816</v>
      </c>
      <c r="T12">
        <f>IF('Calculations PJ'!T12&lt;&gt;0,'Calculations PJ'!T12*About!$B$45,0)</f>
        <v>24502365519435.844</v>
      </c>
      <c r="U12">
        <f>IF('Calculations PJ'!U12&lt;&gt;0,'Calculations PJ'!U12*About!$B$45,0)</f>
        <v>26255919724888.699</v>
      </c>
      <c r="V12">
        <f>IF('Calculations PJ'!V12&lt;&gt;0,'Calculations PJ'!V12*About!$B$45,0)</f>
        <v>28009473930341.555</v>
      </c>
      <c r="W12">
        <f>IF('Calculations PJ'!W12&lt;&gt;0,'Calculations PJ'!W12*About!$B$45,0)</f>
        <v>29753549464413.582</v>
      </c>
      <c r="X12">
        <f>IF('Calculations PJ'!X12&lt;&gt;0,'Calculations PJ'!X12*About!$B$45,0)</f>
        <v>32018951924431.059</v>
      </c>
      <c r="Y12">
        <f>IF('Calculations PJ'!Y12&lt;&gt;0,'Calculations PJ'!Y12*About!$B$45,0)</f>
        <v>34957340052487.195</v>
      </c>
      <c r="Z12">
        <f>IF('Calculations PJ'!Z12&lt;&gt;0,'Calculations PJ'!Z12*About!$B$45,0)</f>
        <v>37905206851924.156</v>
      </c>
      <c r="AA12">
        <f>IF('Calculations PJ'!AA12&lt;&gt;0,'Calculations PJ'!AA12*About!$B$45,0)</f>
        <v>40843594979980.297</v>
      </c>
      <c r="AB12">
        <f>IF('Calculations PJ'!AB12&lt;&gt;0,'Calculations PJ'!AB12*About!$B$45,0)</f>
        <v>43791461779417.258</v>
      </c>
      <c r="AC12">
        <f>IF('Calculations PJ'!AC12&lt;&gt;0,'Calculations PJ'!AC12*About!$B$45,0)</f>
        <v>46739328578854.219</v>
      </c>
      <c r="AD12">
        <f>IF('Calculations PJ'!AD12&lt;&gt;0,'Calculations PJ'!AD12*About!$B$45,0)</f>
        <v>49677716706910.344</v>
      </c>
      <c r="AE12">
        <f>IF('Calculations PJ'!AE12&lt;&gt;0,'Calculations PJ'!AE12*About!$B$45,0)</f>
        <v>52625583506347.313</v>
      </c>
      <c r="AF12">
        <f>IF('Calculations PJ'!AF12&lt;&gt;0,'Calculations PJ'!AF12*About!$B$45,0)</f>
        <v>55563971634403.445</v>
      </c>
      <c r="AG12">
        <f>IF('Calculations PJ'!AG12&lt;&gt;0,'Calculations PJ'!AG12*About!$B$45,0)</f>
        <v>58511838433840.406</v>
      </c>
      <c r="AH12">
        <f>IF('Calculations PJ'!AH12&lt;&gt;0,'Calculations PJ'!AH12*About!$B$45,0)</f>
        <v>61450226561896.547</v>
      </c>
      <c r="AI12">
        <f>IF('Calculations PJ'!AI12&lt;&gt;0,'Calculations PJ'!AI12*About!$B$45,0)</f>
        <v>64398093361333.508</v>
      </c>
      <c r="AJ12">
        <f>IF('Calculations PJ'!AJ12&lt;&gt;0,'Calculations PJ'!AJ12*About!$B$45,0)</f>
        <v>67345960160770.469</v>
      </c>
      <c r="AK12">
        <f>IF('Calculations PJ'!AK12&lt;&gt;0,'Calculations PJ'!AK12*About!$B$45,0)</f>
        <v>70284348288826.609</v>
      </c>
      <c r="AL12">
        <f>IF('Calculations PJ'!AL12&lt;&gt;0,'Calculations PJ'!AL12*About!$B$45,0)</f>
        <v>73232215088263.578</v>
      </c>
      <c r="AM12">
        <f>IF('Calculations PJ'!AM12&lt;&gt;0,'Calculations PJ'!AM12*About!$B$45,0)</f>
        <v>76180081887700.531</v>
      </c>
      <c r="AN12">
        <f>IF('Calculations PJ'!AN12&lt;&gt;0,'Calculations PJ'!AN12*About!$B$45,0)</f>
        <v>79127948687137.5</v>
      </c>
      <c r="AO12">
        <f>IF('Calculations PJ'!AO12&lt;&gt;0,'Calculations PJ'!AO12*About!$B$45,0)</f>
        <v>79127948687137.5</v>
      </c>
      <c r="AP12">
        <f>IF('Calculations PJ'!AP12&lt;&gt;0,'Calculations PJ'!AP12*About!$B$45,0)</f>
        <v>79127948687137.5</v>
      </c>
      <c r="AQ12">
        <f>IF('Calculations PJ'!AQ12&lt;&gt;0,'Calculations PJ'!AQ12*About!$B$45,0)</f>
        <v>79127948687137.5</v>
      </c>
      <c r="AR12">
        <f>IF('Calculations PJ'!AR12&lt;&gt;0,'Calculations PJ'!AR12*About!$B$45,0)</f>
        <v>79127948687137.5</v>
      </c>
      <c r="AS12">
        <f>IF('Calculations PJ'!AS12&lt;&gt;0,'Calculations PJ'!AS12*About!$B$45,0)</f>
        <v>79127948687137.5</v>
      </c>
      <c r="AT12">
        <f>IF('Calculations PJ'!AT12&lt;&gt;0,'Calculations PJ'!AT12*About!$B$45,0)</f>
        <v>79127948687137.5</v>
      </c>
      <c r="AU12">
        <f>IF('Calculations PJ'!AU12&lt;&gt;0,'Calculations PJ'!AU12*About!$B$45,0)</f>
        <v>79127948687137.5</v>
      </c>
      <c r="AV12">
        <f>IF('Calculations PJ'!AV12&lt;&gt;0,'Calculations PJ'!AV12*About!$B$45,0)</f>
        <v>79127948687137.5</v>
      </c>
      <c r="AW12">
        <f>IF('Calculations PJ'!AW12&lt;&gt;0,'Calculations PJ'!AW12*About!$B$45,0)</f>
        <v>79127948687137.5</v>
      </c>
      <c r="AX12">
        <f>IF('Calculations PJ'!AX12&lt;&gt;0,'Calculations PJ'!AX12*About!$B$45,0)</f>
        <v>79127948687137.5</v>
      </c>
      <c r="AY12">
        <f>IF('Calculations PJ'!AY12&lt;&gt;0,'Calculations PJ'!AY12*About!$B$45,0)</f>
        <v>79127948687137.5</v>
      </c>
      <c r="AZ12">
        <f>IF('Calculations PJ'!AZ12&lt;&gt;0,'Calculations PJ'!AZ12*About!$B$45,0)</f>
        <v>79127948687137.5</v>
      </c>
      <c r="BA12">
        <f>IF('Calculations PJ'!BA12&lt;&gt;0,'Calculations PJ'!BA12*About!$B$45,0)</f>
        <v>79127948687137.5</v>
      </c>
      <c r="BB12">
        <f>IF('Calculations PJ'!BB12&lt;&gt;0,'Calculations PJ'!BB12*About!$B$45,0)</f>
        <v>79127948687137.5</v>
      </c>
      <c r="BC12">
        <f>IF('Calculations PJ'!BC12&lt;&gt;0,'Calculations PJ'!BC12*About!$B$45,0)</f>
        <v>79127948687137.5</v>
      </c>
      <c r="BD12">
        <f>IF('Calculations PJ'!BD12&lt;&gt;0,'Calculations PJ'!BD12*About!$B$45,0)</f>
        <v>79127948687137.5</v>
      </c>
      <c r="BE12">
        <f>IF('Calculations PJ'!BE12&lt;&gt;0,'Calculations PJ'!BE12*About!$B$45,0)</f>
        <v>79127948687137.5</v>
      </c>
      <c r="BF12">
        <f>IF('Calculations PJ'!BF12&lt;&gt;0,'Calculations PJ'!BF12*About!$B$45,0)</f>
        <v>79127948687137.5</v>
      </c>
      <c r="BG12">
        <f>IF('Calculations PJ'!BG12&lt;&gt;0,'Calculations PJ'!BG12*About!$B$45,0)</f>
        <v>79127948687137.5</v>
      </c>
      <c r="BH12">
        <f>IF('Calculations PJ'!BH12&lt;&gt;0,'Calculations PJ'!BH12*About!$B$45,0)</f>
        <v>79127948687137.5</v>
      </c>
    </row>
    <row r="13" spans="1:60" hidden="1" outlineLevel="1">
      <c r="B13" t="s">
        <v>136</v>
      </c>
      <c r="C13">
        <f>IF('Calculations PJ'!C13&lt;&gt;0,'Calculations PJ'!C13*About!$B$45,0)</f>
        <v>1563980777836.3303</v>
      </c>
      <c r="D13">
        <f>IF('Calculations PJ'!D13&lt;&gt;0,'Calculations PJ'!D13*About!$B$45,0)</f>
        <v>1639810148882.9404</v>
      </c>
      <c r="E13">
        <f>IF('Calculations PJ'!E13&lt;&gt;0,'Calculations PJ'!E13*About!$B$45,0)</f>
        <v>1725118191310.3767</v>
      </c>
      <c r="F13">
        <f>IF('Calculations PJ'!F13&lt;&gt;0,'Calculations PJ'!F13*About!$B$45,0)</f>
        <v>1848340919261.1177</v>
      </c>
      <c r="G13">
        <f>IF('Calculations PJ'!G13&lt;&gt;0,'Calculations PJ'!G13*About!$B$45,0)</f>
        <v>1696682177167.8979</v>
      </c>
      <c r="H13">
        <f>IF('Calculations PJ'!H13&lt;&gt;0,'Calculations PJ'!H13*About!$B$45,0)</f>
        <v>1715639519929.5505</v>
      </c>
      <c r="I13">
        <f>IF('Calculations PJ'!I13&lt;&gt;0,'Calculations PJ'!I13*About!$B$45,0)</f>
        <v>1563980777836.3303</v>
      </c>
      <c r="J13">
        <f>IF('Calculations PJ'!J13&lt;&gt;0,'Calculations PJ'!J13*About!$B$45,0)</f>
        <v>1639810148882.9404</v>
      </c>
      <c r="K13">
        <f>IF('Calculations PJ'!K13&lt;&gt;0,'Calculations PJ'!K13*About!$B$45,0)</f>
        <v>1563980777836.3303</v>
      </c>
      <c r="L13">
        <f>IF('Calculations PJ'!L13&lt;&gt;0,'Calculations PJ'!L13*About!$B$45,0)</f>
        <v>1582938120597.9829</v>
      </c>
      <c r="M13">
        <f>IF('Calculations PJ'!M13&lt;&gt;0,'Calculations PJ'!M13*About!$B$45,0)</f>
        <v>1611374134740.4617</v>
      </c>
      <c r="N13">
        <f>IF('Calculations PJ'!N13&lt;&gt;0,'Calculations PJ'!N13*About!$B$45,0)</f>
        <v>1639810148882.9404</v>
      </c>
      <c r="O13">
        <f>IF('Calculations PJ'!O13&lt;&gt;0,'Calculations PJ'!O13*About!$B$45,0)</f>
        <v>1668246163025.4192</v>
      </c>
      <c r="P13">
        <f>IF('Calculations PJ'!P13&lt;&gt;0,'Calculations PJ'!P13*About!$B$45,0)</f>
        <v>1696682177167.8979</v>
      </c>
      <c r="Q13">
        <f>IF('Calculations PJ'!Q13&lt;&gt;0,'Calculations PJ'!Q13*About!$B$45,0)</f>
        <v>1725118191310.3767</v>
      </c>
      <c r="R13">
        <f>IF('Calculations PJ'!R13&lt;&gt;0,'Calculations PJ'!R13*About!$B$45,0)</f>
        <v>1753554205452.8555</v>
      </c>
      <c r="S13">
        <f>IF('Calculations PJ'!S13&lt;&gt;0,'Calculations PJ'!S13*About!$B$45,0)</f>
        <v>1781990219595.334</v>
      </c>
      <c r="T13">
        <f>IF('Calculations PJ'!T13&lt;&gt;0,'Calculations PJ'!T13*About!$B$45,0)</f>
        <v>1810426233737.8127</v>
      </c>
      <c r="U13">
        <f>IF('Calculations PJ'!U13&lt;&gt;0,'Calculations PJ'!U13*About!$B$45,0)</f>
        <v>1838862247880.2915</v>
      </c>
      <c r="V13">
        <f>IF('Calculations PJ'!V13&lt;&gt;0,'Calculations PJ'!V13*About!$B$45,0)</f>
        <v>1867298262022.7703</v>
      </c>
      <c r="W13">
        <f>IF('Calculations PJ'!W13&lt;&gt;0,'Calculations PJ'!W13*About!$B$45,0)</f>
        <v>1895734276165.249</v>
      </c>
      <c r="X13">
        <f>IF('Calculations PJ'!X13&lt;&gt;0,'Calculations PJ'!X13*About!$B$45,0)</f>
        <v>1924170290307.7275</v>
      </c>
      <c r="Y13">
        <f>IF('Calculations PJ'!Y13&lt;&gt;0,'Calculations PJ'!Y13*About!$B$45,0)</f>
        <v>1952606304450.2065</v>
      </c>
      <c r="Z13">
        <f>IF('Calculations PJ'!Z13&lt;&gt;0,'Calculations PJ'!Z13*About!$B$45,0)</f>
        <v>1981042318592.6851</v>
      </c>
      <c r="AA13">
        <f>IF('Calculations PJ'!AA13&lt;&gt;0,'Calculations PJ'!AA13*About!$B$45,0)</f>
        <v>2009478332735.1641</v>
      </c>
      <c r="AB13">
        <f>IF('Calculations PJ'!AB13&lt;&gt;0,'Calculations PJ'!AB13*About!$B$45,0)</f>
        <v>2037914346877.6426</v>
      </c>
      <c r="AC13">
        <f>IF('Calculations PJ'!AC13&lt;&gt;0,'Calculations PJ'!AC13*About!$B$45,0)</f>
        <v>2066350361020.1216</v>
      </c>
      <c r="AD13">
        <f>IF('Calculations PJ'!AD13&lt;&gt;0,'Calculations PJ'!AD13*About!$B$45,0)</f>
        <v>2094786375162.6001</v>
      </c>
      <c r="AE13">
        <f>IF('Calculations PJ'!AE13&lt;&gt;0,'Calculations PJ'!AE13*About!$B$45,0)</f>
        <v>2123222389305.0791</v>
      </c>
      <c r="AF13">
        <f>IF('Calculations PJ'!AF13&lt;&gt;0,'Calculations PJ'!AF13*About!$B$45,0)</f>
        <v>2151658403447.5576</v>
      </c>
      <c r="AG13">
        <f>IF('Calculations PJ'!AG13&lt;&gt;0,'Calculations PJ'!AG13*About!$B$45,0)</f>
        <v>2180094417590.0361</v>
      </c>
      <c r="AH13">
        <f>IF('Calculations PJ'!AH13&lt;&gt;0,'Calculations PJ'!AH13*About!$B$45,0)</f>
        <v>2208530431732.5151</v>
      </c>
      <c r="AI13">
        <f>IF('Calculations PJ'!AI13&lt;&gt;0,'Calculations PJ'!AI13*About!$B$45,0)</f>
        <v>2236966445874.9937</v>
      </c>
      <c r="AJ13">
        <f>IF('Calculations PJ'!AJ13&lt;&gt;0,'Calculations PJ'!AJ13*About!$B$45,0)</f>
        <v>2265402460017.4727</v>
      </c>
      <c r="AK13">
        <f>IF('Calculations PJ'!AK13&lt;&gt;0,'Calculations PJ'!AK13*About!$B$45,0)</f>
        <v>2293838474159.9512</v>
      </c>
      <c r="AL13">
        <f>IF('Calculations PJ'!AL13&lt;&gt;0,'Calculations PJ'!AL13*About!$B$45,0)</f>
        <v>2322274488302.4302</v>
      </c>
      <c r="AM13">
        <f>IF('Calculations PJ'!AM13&lt;&gt;0,'Calculations PJ'!AM13*About!$B$45,0)</f>
        <v>2350710502444.9087</v>
      </c>
      <c r="AN13">
        <f>IF('Calculations PJ'!AN13&lt;&gt;0,'Calculations PJ'!AN13*About!$B$45,0)</f>
        <v>2379146516587.3872</v>
      </c>
      <c r="AO13">
        <f>IF('Calculations PJ'!AO13&lt;&gt;0,'Calculations PJ'!AO13*About!$B$45,0)</f>
        <v>2379146516587.3872</v>
      </c>
      <c r="AP13">
        <f>IF('Calculations PJ'!AP13&lt;&gt;0,'Calculations PJ'!AP13*About!$B$45,0)</f>
        <v>2379146516587.3872</v>
      </c>
      <c r="AQ13">
        <f>IF('Calculations PJ'!AQ13&lt;&gt;0,'Calculations PJ'!AQ13*About!$B$45,0)</f>
        <v>2379146516587.3872</v>
      </c>
      <c r="AR13">
        <f>IF('Calculations PJ'!AR13&lt;&gt;0,'Calculations PJ'!AR13*About!$B$45,0)</f>
        <v>2379146516587.3872</v>
      </c>
      <c r="AS13">
        <f>IF('Calculations PJ'!AS13&lt;&gt;0,'Calculations PJ'!AS13*About!$B$45,0)</f>
        <v>2379146516587.3872</v>
      </c>
      <c r="AT13">
        <f>IF('Calculations PJ'!AT13&lt;&gt;0,'Calculations PJ'!AT13*About!$B$45,0)</f>
        <v>2379146516587.3872</v>
      </c>
      <c r="AU13">
        <f>IF('Calculations PJ'!AU13&lt;&gt;0,'Calculations PJ'!AU13*About!$B$45,0)</f>
        <v>2379146516587.3872</v>
      </c>
      <c r="AV13">
        <f>IF('Calculations PJ'!AV13&lt;&gt;0,'Calculations PJ'!AV13*About!$B$45,0)</f>
        <v>2379146516587.3872</v>
      </c>
      <c r="AW13">
        <f>IF('Calculations PJ'!AW13&lt;&gt;0,'Calculations PJ'!AW13*About!$B$45,0)</f>
        <v>2379146516587.3872</v>
      </c>
      <c r="AX13">
        <f>IF('Calculations PJ'!AX13&lt;&gt;0,'Calculations PJ'!AX13*About!$B$45,0)</f>
        <v>2379146516587.3872</v>
      </c>
      <c r="AY13">
        <f>IF('Calculations PJ'!AY13&lt;&gt;0,'Calculations PJ'!AY13*About!$B$45,0)</f>
        <v>2379146516587.3872</v>
      </c>
      <c r="AZ13">
        <f>IF('Calculations PJ'!AZ13&lt;&gt;0,'Calculations PJ'!AZ13*About!$B$45,0)</f>
        <v>2379146516587.3872</v>
      </c>
      <c r="BA13">
        <f>IF('Calculations PJ'!BA13&lt;&gt;0,'Calculations PJ'!BA13*About!$B$45,0)</f>
        <v>2379146516587.3872</v>
      </c>
      <c r="BB13">
        <f>IF('Calculations PJ'!BB13&lt;&gt;0,'Calculations PJ'!BB13*About!$B$45,0)</f>
        <v>2379146516587.3872</v>
      </c>
      <c r="BC13">
        <f>IF('Calculations PJ'!BC13&lt;&gt;0,'Calculations PJ'!BC13*About!$B$45,0)</f>
        <v>2379146516587.3872</v>
      </c>
      <c r="BD13">
        <f>IF('Calculations PJ'!BD13&lt;&gt;0,'Calculations PJ'!BD13*About!$B$45,0)</f>
        <v>2379146516587.3872</v>
      </c>
      <c r="BE13">
        <f>IF('Calculations PJ'!BE13&lt;&gt;0,'Calculations PJ'!BE13*About!$B$45,0)</f>
        <v>2379146516587.3872</v>
      </c>
      <c r="BF13">
        <f>IF('Calculations PJ'!BF13&lt;&gt;0,'Calculations PJ'!BF13*About!$B$45,0)</f>
        <v>2379146516587.3872</v>
      </c>
      <c r="BG13">
        <f>IF('Calculations PJ'!BG13&lt;&gt;0,'Calculations PJ'!BG13*About!$B$45,0)</f>
        <v>2379146516587.3872</v>
      </c>
      <c r="BH13">
        <f>IF('Calculations PJ'!BH13&lt;&gt;0,'Calculations PJ'!BH13*About!$B$45,0)</f>
        <v>2379146516587.3872</v>
      </c>
    </row>
    <row r="14" spans="1:60" hidden="1" outlineLevel="1">
      <c r="B14" t="s">
        <v>137</v>
      </c>
      <c r="C14">
        <f>IF('Calculations PJ'!C14&lt;&gt;0,'Calculations PJ'!C14*About!$B$45,0)</f>
        <v>4909951775267.9951</v>
      </c>
      <c r="D14">
        <f>IF('Calculations PJ'!D14&lt;&gt;0,'Calculations PJ'!D14*About!$B$45,0)</f>
        <v>4028435336851.1543</v>
      </c>
      <c r="E14">
        <f>IF('Calculations PJ'!E14&lt;&gt;0,'Calculations PJ'!E14*About!$B$45,0)</f>
        <v>4255923449990.9844</v>
      </c>
      <c r="F14">
        <f>IF('Calculations PJ'!F14&lt;&gt;0,'Calculations PJ'!F14*About!$B$45,0)</f>
        <v>4549762262796.5977</v>
      </c>
      <c r="G14">
        <f>IF('Calculations PJ'!G14&lt;&gt;0,'Calculations PJ'!G14*About!$B$45,0)</f>
        <v>4322274149656.7676</v>
      </c>
      <c r="H14">
        <f>IF('Calculations PJ'!H14&lt;&gt;0,'Calculations PJ'!H14*About!$B$45,0)</f>
        <v>4407582192084.2041</v>
      </c>
      <c r="I14">
        <f>IF('Calculations PJ'!I14&lt;&gt;0,'Calculations PJ'!I14*About!$B$45,0)</f>
        <v>4331752821037.5942</v>
      </c>
      <c r="J14">
        <f>IF('Calculations PJ'!J14&lt;&gt;0,'Calculations PJ'!J14*About!$B$45,0)</f>
        <v>4056871350993.6333</v>
      </c>
      <c r="K14">
        <f>IF('Calculations PJ'!K14&lt;&gt;0,'Calculations PJ'!K14*About!$B$45,0)</f>
        <v>4322274149656.7676</v>
      </c>
      <c r="L14">
        <f>IF('Calculations PJ'!L14&lt;&gt;0,'Calculations PJ'!L14*About!$B$45,0)</f>
        <v>4322274149656.7676</v>
      </c>
      <c r="M14">
        <f>IF('Calculations PJ'!M14&lt;&gt;0,'Calculations PJ'!M14*About!$B$45,0)</f>
        <v>4293838135514.2891</v>
      </c>
      <c r="N14">
        <f>IF('Calculations PJ'!N14&lt;&gt;0,'Calculations PJ'!N14*About!$B$45,0)</f>
        <v>4274880792752.6362</v>
      </c>
      <c r="O14">
        <f>IF('Calculations PJ'!O14&lt;&gt;0,'Calculations PJ'!O14*About!$B$45,0)</f>
        <v>4255923449990.9844</v>
      </c>
      <c r="P14">
        <f>IF('Calculations PJ'!P14&lt;&gt;0,'Calculations PJ'!P14*About!$B$45,0)</f>
        <v>4236966107229.3315</v>
      </c>
      <c r="Q14">
        <f>IF('Calculations PJ'!Q14&lt;&gt;0,'Calculations PJ'!Q14*About!$B$45,0)</f>
        <v>4218008764467.6792</v>
      </c>
      <c r="R14">
        <f>IF('Calculations PJ'!R14&lt;&gt;0,'Calculations PJ'!R14*About!$B$45,0)</f>
        <v>4189572750325.2002</v>
      </c>
      <c r="S14">
        <f>IF('Calculations PJ'!S14&lt;&gt;0,'Calculations PJ'!S14*About!$B$45,0)</f>
        <v>4170615407563.5483</v>
      </c>
      <c r="T14">
        <f>IF('Calculations PJ'!T14&lt;&gt;0,'Calculations PJ'!T14*About!$B$45,0)</f>
        <v>4151658064801.895</v>
      </c>
      <c r="U14">
        <f>IF('Calculations PJ'!U14&lt;&gt;0,'Calculations PJ'!U14*About!$B$45,0)</f>
        <v>4132700722040.2432</v>
      </c>
      <c r="V14">
        <f>IF('Calculations PJ'!V14&lt;&gt;0,'Calculations PJ'!V14*About!$B$45,0)</f>
        <v>4113743379278.5903</v>
      </c>
      <c r="W14">
        <f>IF('Calculations PJ'!W14&lt;&gt;0,'Calculations PJ'!W14*About!$B$45,0)</f>
        <v>4094786036516.938</v>
      </c>
      <c r="X14">
        <f>IF('Calculations PJ'!X14&lt;&gt;0,'Calculations PJ'!X14*About!$B$45,0)</f>
        <v>4066350022374.459</v>
      </c>
      <c r="Y14">
        <f>IF('Calculations PJ'!Y14&lt;&gt;0,'Calculations PJ'!Y14*About!$B$45,0)</f>
        <v>4047392679612.8062</v>
      </c>
      <c r="Z14">
        <f>IF('Calculations PJ'!Z14&lt;&gt;0,'Calculations PJ'!Z14*About!$B$45,0)</f>
        <v>4028435336851.1543</v>
      </c>
      <c r="AA14">
        <f>IF('Calculations PJ'!AA14&lt;&gt;0,'Calculations PJ'!AA14*About!$B$45,0)</f>
        <v>4009477994089.502</v>
      </c>
      <c r="AB14">
        <f>IF('Calculations PJ'!AB14&lt;&gt;0,'Calculations PJ'!AB14*About!$B$45,0)</f>
        <v>3990520651327.8491</v>
      </c>
      <c r="AC14">
        <f>IF('Calculations PJ'!AC14&lt;&gt;0,'Calculations PJ'!AC14*About!$B$45,0)</f>
        <v>3962084637185.3701</v>
      </c>
      <c r="AD14">
        <f>IF('Calculations PJ'!AD14&lt;&gt;0,'Calculations PJ'!AD14*About!$B$45,0)</f>
        <v>3943127294423.7183</v>
      </c>
      <c r="AE14">
        <f>IF('Calculations PJ'!AE14&lt;&gt;0,'Calculations PJ'!AE14*About!$B$45,0)</f>
        <v>3924169951662.0649</v>
      </c>
      <c r="AF14">
        <f>IF('Calculations PJ'!AF14&lt;&gt;0,'Calculations PJ'!AF14*About!$B$45,0)</f>
        <v>3905212608900.4131</v>
      </c>
      <c r="AG14">
        <f>IF('Calculations PJ'!AG14&lt;&gt;0,'Calculations PJ'!AG14*About!$B$45,0)</f>
        <v>3886255266138.7603</v>
      </c>
      <c r="AH14">
        <f>IF('Calculations PJ'!AH14&lt;&gt;0,'Calculations PJ'!AH14*About!$B$45,0)</f>
        <v>3867297923377.1079</v>
      </c>
      <c r="AI14">
        <f>IF('Calculations PJ'!AI14&lt;&gt;0,'Calculations PJ'!AI14*About!$B$45,0)</f>
        <v>3838861909234.6289</v>
      </c>
      <c r="AJ14">
        <f>IF('Calculations PJ'!AJ14&lt;&gt;0,'Calculations PJ'!AJ14*About!$B$45,0)</f>
        <v>3819904566472.9771</v>
      </c>
      <c r="AK14">
        <f>IF('Calculations PJ'!AK14&lt;&gt;0,'Calculations PJ'!AK14*About!$B$45,0)</f>
        <v>3800947223711.3242</v>
      </c>
      <c r="AL14">
        <f>IF('Calculations PJ'!AL14&lt;&gt;0,'Calculations PJ'!AL14*About!$B$45,0)</f>
        <v>3781989880949.6719</v>
      </c>
      <c r="AM14">
        <f>IF('Calculations PJ'!AM14&lt;&gt;0,'Calculations PJ'!AM14*About!$B$45,0)</f>
        <v>3763032538188.0195</v>
      </c>
      <c r="AN14">
        <f>IF('Calculations PJ'!AN14&lt;&gt;0,'Calculations PJ'!AN14*About!$B$45,0)</f>
        <v>3734596524045.5405</v>
      </c>
      <c r="AO14">
        <f>IF('Calculations PJ'!AO14&lt;&gt;0,'Calculations PJ'!AO14*About!$B$45,0)</f>
        <v>3734596524045.5405</v>
      </c>
      <c r="AP14">
        <f>IF('Calculations PJ'!AP14&lt;&gt;0,'Calculations PJ'!AP14*About!$B$45,0)</f>
        <v>3734596524045.5405</v>
      </c>
      <c r="AQ14">
        <f>IF('Calculations PJ'!AQ14&lt;&gt;0,'Calculations PJ'!AQ14*About!$B$45,0)</f>
        <v>3734596524045.5405</v>
      </c>
      <c r="AR14">
        <f>IF('Calculations PJ'!AR14&lt;&gt;0,'Calculations PJ'!AR14*About!$B$45,0)</f>
        <v>3734596524045.5405</v>
      </c>
      <c r="AS14">
        <f>IF('Calculations PJ'!AS14&lt;&gt;0,'Calculations PJ'!AS14*About!$B$45,0)</f>
        <v>3734596524045.5405</v>
      </c>
      <c r="AT14">
        <f>IF('Calculations PJ'!AT14&lt;&gt;0,'Calculations PJ'!AT14*About!$B$45,0)</f>
        <v>3734596524045.5405</v>
      </c>
      <c r="AU14">
        <f>IF('Calculations PJ'!AU14&lt;&gt;0,'Calculations PJ'!AU14*About!$B$45,0)</f>
        <v>3734596524045.5405</v>
      </c>
      <c r="AV14">
        <f>IF('Calculations PJ'!AV14&lt;&gt;0,'Calculations PJ'!AV14*About!$B$45,0)</f>
        <v>3734596524045.5405</v>
      </c>
      <c r="AW14">
        <f>IF('Calculations PJ'!AW14&lt;&gt;0,'Calculations PJ'!AW14*About!$B$45,0)</f>
        <v>3734596524045.5405</v>
      </c>
      <c r="AX14">
        <f>IF('Calculations PJ'!AX14&lt;&gt;0,'Calculations PJ'!AX14*About!$B$45,0)</f>
        <v>3734596524045.5405</v>
      </c>
      <c r="AY14">
        <f>IF('Calculations PJ'!AY14&lt;&gt;0,'Calculations PJ'!AY14*About!$B$45,0)</f>
        <v>3734596524045.5405</v>
      </c>
      <c r="AZ14">
        <f>IF('Calculations PJ'!AZ14&lt;&gt;0,'Calculations PJ'!AZ14*About!$B$45,0)</f>
        <v>3734596524045.5405</v>
      </c>
      <c r="BA14">
        <f>IF('Calculations PJ'!BA14&lt;&gt;0,'Calculations PJ'!BA14*About!$B$45,0)</f>
        <v>3734596524045.5405</v>
      </c>
      <c r="BB14">
        <f>IF('Calculations PJ'!BB14&lt;&gt;0,'Calculations PJ'!BB14*About!$B$45,0)</f>
        <v>3734596524045.5405</v>
      </c>
      <c r="BC14">
        <f>IF('Calculations PJ'!BC14&lt;&gt;0,'Calculations PJ'!BC14*About!$B$45,0)</f>
        <v>3734596524045.5405</v>
      </c>
      <c r="BD14">
        <f>IF('Calculations PJ'!BD14&lt;&gt;0,'Calculations PJ'!BD14*About!$B$45,0)</f>
        <v>3734596524045.5405</v>
      </c>
      <c r="BE14">
        <f>IF('Calculations PJ'!BE14&lt;&gt;0,'Calculations PJ'!BE14*About!$B$45,0)</f>
        <v>3734596524045.5405</v>
      </c>
      <c r="BF14">
        <f>IF('Calculations PJ'!BF14&lt;&gt;0,'Calculations PJ'!BF14*About!$B$45,0)</f>
        <v>3734596524045.5405</v>
      </c>
      <c r="BG14">
        <f>IF('Calculations PJ'!BG14&lt;&gt;0,'Calculations PJ'!BG14*About!$B$45,0)</f>
        <v>3734596524045.5405</v>
      </c>
      <c r="BH14">
        <f>IF('Calculations PJ'!BH14&lt;&gt;0,'Calculations PJ'!BH14*About!$B$45,0)</f>
        <v>3734596524045.5405</v>
      </c>
    </row>
    <row r="15" spans="1:60" hidden="1" outlineLevel="1">
      <c r="B15" t="s">
        <v>138</v>
      </c>
      <c r="C15">
        <f>IF('Calculations PJ'!C15&lt;&gt;0,'Calculations PJ'!C15*About!$B$45,0)</f>
        <v>34246439698925.227</v>
      </c>
      <c r="D15">
        <f>IF('Calculations PJ'!D15&lt;&gt;0,'Calculations PJ'!D15*About!$B$45,0)</f>
        <v>35080562780437.93</v>
      </c>
      <c r="E15">
        <f>IF('Calculations PJ'!E15&lt;&gt;0,'Calculations PJ'!E15*About!$B$45,0)</f>
        <v>34947861381106.363</v>
      </c>
      <c r="F15">
        <f>IF('Calculations PJ'!F15&lt;&gt;0,'Calculations PJ'!F15*About!$B$45,0)</f>
        <v>35336486907720.242</v>
      </c>
      <c r="G15">
        <f>IF('Calculations PJ'!G15&lt;&gt;0,'Calculations PJ'!G15*About!$B$45,0)</f>
        <v>34815159981774.797</v>
      </c>
      <c r="H15">
        <f>IF('Calculations PJ'!H15&lt;&gt;0,'Calculations PJ'!H15*About!$B$45,0)</f>
        <v>35080562780437.93</v>
      </c>
      <c r="I15">
        <f>IF('Calculations PJ'!I15&lt;&gt;0,'Calculations PJ'!I15*About!$B$45,0)</f>
        <v>34398098441018.441</v>
      </c>
      <c r="J15">
        <f>IF('Calculations PJ'!J15&lt;&gt;0,'Calculations PJ'!J15*About!$B$45,0)</f>
        <v>35563975020860.078</v>
      </c>
      <c r="K15">
        <f>IF('Calculations PJ'!K15&lt;&gt;0,'Calculations PJ'!K15*About!$B$45,0)</f>
        <v>35251178865292.805</v>
      </c>
      <c r="L15">
        <f>IF('Calculations PJ'!L15&lt;&gt;0,'Calculations PJ'!L15*About!$B$45,0)</f>
        <v>35061605437676.281</v>
      </c>
      <c r="M15">
        <f>IF('Calculations PJ'!M15&lt;&gt;0,'Calculations PJ'!M15*About!$B$45,0)</f>
        <v>38180088321968.117</v>
      </c>
      <c r="N15">
        <f>IF('Calculations PJ'!N15&lt;&gt;0,'Calculations PJ'!N15*About!$B$45,0)</f>
        <v>41298571206259.953</v>
      </c>
      <c r="O15">
        <f>IF('Calculations PJ'!O15&lt;&gt;0,'Calculations PJ'!O15*About!$B$45,0)</f>
        <v>44407575419170.961</v>
      </c>
      <c r="P15">
        <f>IF('Calculations PJ'!P15&lt;&gt;0,'Calculations PJ'!P15*About!$B$45,0)</f>
        <v>47526058303462.797</v>
      </c>
      <c r="Q15">
        <f>IF('Calculations PJ'!Q15&lt;&gt;0,'Calculations PJ'!Q15*About!$B$45,0)</f>
        <v>50635062516373.805</v>
      </c>
      <c r="R15">
        <f>IF('Calculations PJ'!R15&lt;&gt;0,'Calculations PJ'!R15*About!$B$45,0)</f>
        <v>53753545400665.641</v>
      </c>
      <c r="S15">
        <f>IF('Calculations PJ'!S15&lt;&gt;0,'Calculations PJ'!S15*About!$B$45,0)</f>
        <v>56862549613576.648</v>
      </c>
      <c r="T15">
        <f>IF('Calculations PJ'!T15&lt;&gt;0,'Calculations PJ'!T15*About!$B$45,0)</f>
        <v>59981032497868.477</v>
      </c>
      <c r="U15">
        <f>IF('Calculations PJ'!U15&lt;&gt;0,'Calculations PJ'!U15*About!$B$45,0)</f>
        <v>63090036710779.492</v>
      </c>
      <c r="V15">
        <f>IF('Calculations PJ'!V15&lt;&gt;0,'Calculations PJ'!V15*About!$B$45,0)</f>
        <v>66208519595071.32</v>
      </c>
      <c r="W15">
        <f>IF('Calculations PJ'!W15&lt;&gt;0,'Calculations PJ'!W15*About!$B$45,0)</f>
        <v>69317523807982.328</v>
      </c>
      <c r="X15">
        <f>IF('Calculations PJ'!X15&lt;&gt;0,'Calculations PJ'!X15*About!$B$45,0)</f>
        <v>72502357391939.938</v>
      </c>
      <c r="Y15">
        <f>IF('Calculations PJ'!Y15&lt;&gt;0,'Calculations PJ'!Y15*About!$B$45,0)</f>
        <v>75763020346944.188</v>
      </c>
      <c r="Z15">
        <f>IF('Calculations PJ'!Z15&lt;&gt;0,'Calculations PJ'!Z15*About!$B$45,0)</f>
        <v>79033161973329.234</v>
      </c>
      <c r="AA15">
        <f>IF('Calculations PJ'!AA15&lt;&gt;0,'Calculations PJ'!AA15*About!$B$45,0)</f>
        <v>82303303599714.281</v>
      </c>
      <c r="AB15">
        <f>IF('Calculations PJ'!AB15&lt;&gt;0,'Calculations PJ'!AB15*About!$B$45,0)</f>
        <v>85563966554718.516</v>
      </c>
      <c r="AC15">
        <f>IF('Calculations PJ'!AC15&lt;&gt;0,'Calculations PJ'!AC15*About!$B$45,0)</f>
        <v>88834108181103.563</v>
      </c>
      <c r="AD15">
        <f>IF('Calculations PJ'!AD15&lt;&gt;0,'Calculations PJ'!AD15*About!$B$45,0)</f>
        <v>92104249807488.625</v>
      </c>
      <c r="AE15">
        <f>IF('Calculations PJ'!AE15&lt;&gt;0,'Calculations PJ'!AE15*About!$B$45,0)</f>
        <v>95364912762492.859</v>
      </c>
      <c r="AF15">
        <f>IF('Calculations PJ'!AF15&lt;&gt;0,'Calculations PJ'!AF15*About!$B$45,0)</f>
        <v>98635054388877.906</v>
      </c>
      <c r="AG15">
        <f>IF('Calculations PJ'!AG15&lt;&gt;0,'Calculations PJ'!AG15*About!$B$45,0)</f>
        <v>101895717343882.14</v>
      </c>
      <c r="AH15">
        <f>IF('Calculations PJ'!AH15&lt;&gt;0,'Calculations PJ'!AH15*About!$B$45,0)</f>
        <v>105165858970267.19</v>
      </c>
      <c r="AI15">
        <f>IF('Calculations PJ'!AI15&lt;&gt;0,'Calculations PJ'!AI15*About!$B$45,0)</f>
        <v>108436000596652.25</v>
      </c>
      <c r="AJ15">
        <f>IF('Calculations PJ'!AJ15&lt;&gt;0,'Calculations PJ'!AJ15*About!$B$45,0)</f>
        <v>111696663551656.47</v>
      </c>
      <c r="AK15">
        <f>IF('Calculations PJ'!AK15&lt;&gt;0,'Calculations PJ'!AK15*About!$B$45,0)</f>
        <v>114966805178041.53</v>
      </c>
      <c r="AL15">
        <f>IF('Calculations PJ'!AL15&lt;&gt;0,'Calculations PJ'!AL15*About!$B$45,0)</f>
        <v>118236946804426.58</v>
      </c>
      <c r="AM15">
        <f>IF('Calculations PJ'!AM15&lt;&gt;0,'Calculations PJ'!AM15*About!$B$45,0)</f>
        <v>121497609759430.81</v>
      </c>
      <c r="AN15">
        <f>IF('Calculations PJ'!AN15&lt;&gt;0,'Calculations PJ'!AN15*About!$B$45,0)</f>
        <v>124767751385815.86</v>
      </c>
      <c r="AO15">
        <f>IF('Calculations PJ'!AO15&lt;&gt;0,'Calculations PJ'!AO15*About!$B$45,0)</f>
        <v>124767751385815.86</v>
      </c>
      <c r="AP15">
        <f>IF('Calculations PJ'!AP15&lt;&gt;0,'Calculations PJ'!AP15*About!$B$45,0)</f>
        <v>124767751385815.86</v>
      </c>
      <c r="AQ15">
        <f>IF('Calculations PJ'!AQ15&lt;&gt;0,'Calculations PJ'!AQ15*About!$B$45,0)</f>
        <v>124767751385815.86</v>
      </c>
      <c r="AR15">
        <f>IF('Calculations PJ'!AR15&lt;&gt;0,'Calculations PJ'!AR15*About!$B$45,0)</f>
        <v>124767751385815.86</v>
      </c>
      <c r="AS15">
        <f>IF('Calculations PJ'!AS15&lt;&gt;0,'Calculations PJ'!AS15*About!$B$45,0)</f>
        <v>124767751385815.86</v>
      </c>
      <c r="AT15">
        <f>IF('Calculations PJ'!AT15&lt;&gt;0,'Calculations PJ'!AT15*About!$B$45,0)</f>
        <v>124767751385815.86</v>
      </c>
      <c r="AU15">
        <f>IF('Calculations PJ'!AU15&lt;&gt;0,'Calculations PJ'!AU15*About!$B$45,0)</f>
        <v>124767751385815.86</v>
      </c>
      <c r="AV15">
        <f>IF('Calculations PJ'!AV15&lt;&gt;0,'Calculations PJ'!AV15*About!$B$45,0)</f>
        <v>124767751385815.86</v>
      </c>
      <c r="AW15">
        <f>IF('Calculations PJ'!AW15&lt;&gt;0,'Calculations PJ'!AW15*About!$B$45,0)</f>
        <v>124767751385815.86</v>
      </c>
      <c r="AX15">
        <f>IF('Calculations PJ'!AX15&lt;&gt;0,'Calculations PJ'!AX15*About!$B$45,0)</f>
        <v>124767751385815.86</v>
      </c>
      <c r="AY15">
        <f>IF('Calculations PJ'!AY15&lt;&gt;0,'Calculations PJ'!AY15*About!$B$45,0)</f>
        <v>124767751385815.86</v>
      </c>
      <c r="AZ15">
        <f>IF('Calculations PJ'!AZ15&lt;&gt;0,'Calculations PJ'!AZ15*About!$B$45,0)</f>
        <v>124767751385815.86</v>
      </c>
      <c r="BA15">
        <f>IF('Calculations PJ'!BA15&lt;&gt;0,'Calculations PJ'!BA15*About!$B$45,0)</f>
        <v>124767751385815.86</v>
      </c>
      <c r="BB15">
        <f>IF('Calculations PJ'!BB15&lt;&gt;0,'Calculations PJ'!BB15*About!$B$45,0)</f>
        <v>124767751385815.86</v>
      </c>
      <c r="BC15">
        <f>IF('Calculations PJ'!BC15&lt;&gt;0,'Calculations PJ'!BC15*About!$B$45,0)</f>
        <v>124767751385815.86</v>
      </c>
      <c r="BD15">
        <f>IF('Calculations PJ'!BD15&lt;&gt;0,'Calculations PJ'!BD15*About!$B$45,0)</f>
        <v>124767751385815.86</v>
      </c>
      <c r="BE15">
        <f>IF('Calculations PJ'!BE15&lt;&gt;0,'Calculations PJ'!BE15*About!$B$45,0)</f>
        <v>124767751385815.86</v>
      </c>
      <c r="BF15">
        <f>IF('Calculations PJ'!BF15&lt;&gt;0,'Calculations PJ'!BF15*About!$B$45,0)</f>
        <v>124767751385815.86</v>
      </c>
      <c r="BG15">
        <f>IF('Calculations PJ'!BG15&lt;&gt;0,'Calculations PJ'!BG15*About!$B$45,0)</f>
        <v>124767751385815.86</v>
      </c>
      <c r="BH15">
        <f>IF('Calculations PJ'!BH15&lt;&gt;0,'Calculations PJ'!BH15*About!$B$45,0)</f>
        <v>124767751385815.86</v>
      </c>
    </row>
    <row r="16" spans="1:60" hidden="1" outlineLevel="1">
      <c r="B16" t="s">
        <v>139</v>
      </c>
      <c r="C16">
        <f>IF('Calculations PJ'!C16&lt;&gt;0,'Calculations PJ'!C16*About!$B$45,0)</f>
        <v>29933644220649.281</v>
      </c>
      <c r="D16">
        <f>IF('Calculations PJ'!D16&lt;&gt;0,'Calculations PJ'!D16*About!$B$45,0)</f>
        <v>28293834071766.344</v>
      </c>
      <c r="E16">
        <f>IF('Calculations PJ'!E16&lt;&gt;0,'Calculations PJ'!E16*About!$B$45,0)</f>
        <v>22009474946278.539</v>
      </c>
      <c r="F16">
        <f>IF('Calculations PJ'!F16&lt;&gt;0,'Calculations PJ'!F16*About!$B$45,0)</f>
        <v>19554499058644.543</v>
      </c>
      <c r="G16">
        <f>IF('Calculations PJ'!G16&lt;&gt;0,'Calculations PJ'!G16*About!$B$45,0)</f>
        <v>19393361645170.5</v>
      </c>
      <c r="H16">
        <f>IF('Calculations PJ'!H16&lt;&gt;0,'Calculations PJ'!H16*About!$B$45,0)</f>
        <v>18947864090271.664</v>
      </c>
      <c r="I16">
        <f>IF('Calculations PJ'!I16&lt;&gt;0,'Calculations PJ'!I16*About!$B$45,0)</f>
        <v>17469191354862.77</v>
      </c>
      <c r="J16">
        <f>IF('Calculations PJ'!J16&lt;&gt;0,'Calculations PJ'!J16*About!$B$45,0)</f>
        <v>17924167581142.43</v>
      </c>
      <c r="K16">
        <f>IF('Calculations PJ'!K16&lt;&gt;0,'Calculations PJ'!K16*About!$B$45,0)</f>
        <v>18369665136041.262</v>
      </c>
      <c r="L16">
        <f>IF('Calculations PJ'!L16&lt;&gt;0,'Calculations PJ'!L16*About!$B$45,0)</f>
        <v>14350708470570.936</v>
      </c>
      <c r="M16">
        <f>IF('Calculations PJ'!M16&lt;&gt;0,'Calculations PJ'!M16*About!$B$45,0)</f>
        <v>16976300443059.805</v>
      </c>
      <c r="N16">
        <f>IF('Calculations PJ'!N16&lt;&gt;0,'Calculations PJ'!N16*About!$B$45,0)</f>
        <v>19611371086929.504</v>
      </c>
      <c r="O16">
        <f>IF('Calculations PJ'!O16&lt;&gt;0,'Calculations PJ'!O16*About!$B$45,0)</f>
        <v>22236963059418.371</v>
      </c>
      <c r="P16">
        <f>IF('Calculations PJ'!P16&lt;&gt;0,'Calculations PJ'!P16*About!$B$45,0)</f>
        <v>24872033703288.066</v>
      </c>
      <c r="Q16">
        <f>IF('Calculations PJ'!Q16&lt;&gt;0,'Calculations PJ'!Q16*About!$B$45,0)</f>
        <v>27507104347157.762</v>
      </c>
      <c r="R16">
        <f>IF('Calculations PJ'!R16&lt;&gt;0,'Calculations PJ'!R16*About!$B$45,0)</f>
        <v>30132696319646.633</v>
      </c>
      <c r="S16">
        <f>IF('Calculations PJ'!S16&lt;&gt;0,'Calculations PJ'!S16*About!$B$45,0)</f>
        <v>32767766963516.328</v>
      </c>
      <c r="T16">
        <f>IF('Calculations PJ'!T16&lt;&gt;0,'Calculations PJ'!T16*About!$B$45,0)</f>
        <v>35402837607386.023</v>
      </c>
      <c r="U16">
        <f>IF('Calculations PJ'!U16&lt;&gt;0,'Calculations PJ'!U16*About!$B$45,0)</f>
        <v>38028429579874.891</v>
      </c>
      <c r="V16">
        <f>IF('Calculations PJ'!V16&lt;&gt;0,'Calculations PJ'!V16*About!$B$45,0)</f>
        <v>40663500223744.594</v>
      </c>
      <c r="W16">
        <f>IF('Calculations PJ'!W16&lt;&gt;0,'Calculations PJ'!W16*About!$B$45,0)</f>
        <v>43289092196233.461</v>
      </c>
      <c r="X16">
        <f>IF('Calculations PJ'!X16&lt;&gt;0,'Calculations PJ'!X16*About!$B$45,0)</f>
        <v>46872029978185.781</v>
      </c>
      <c r="Y16">
        <f>IF('Calculations PJ'!Y16&lt;&gt;0,'Calculations PJ'!Y16*About!$B$45,0)</f>
        <v>51734588396549.641</v>
      </c>
      <c r="Z16">
        <f>IF('Calculations PJ'!Z16&lt;&gt;0,'Calculations PJ'!Z16*About!$B$45,0)</f>
        <v>56587668143532.688</v>
      </c>
      <c r="AA16">
        <f>IF('Calculations PJ'!AA16&lt;&gt;0,'Calculations PJ'!AA16*About!$B$45,0)</f>
        <v>61450226561896.547</v>
      </c>
      <c r="AB16">
        <f>IF('Calculations PJ'!AB16&lt;&gt;0,'Calculations PJ'!AB16*About!$B$45,0)</f>
        <v>66303306308879.586</v>
      </c>
      <c r="AC16">
        <f>IF('Calculations PJ'!AC16&lt;&gt;0,'Calculations PJ'!AC16*About!$B$45,0)</f>
        <v>71165864727243.453</v>
      </c>
      <c r="AD16">
        <f>IF('Calculations PJ'!AD16&lt;&gt;0,'Calculations PJ'!AD16*About!$B$45,0)</f>
        <v>76018944474226.484</v>
      </c>
      <c r="AE16">
        <f>IF('Calculations PJ'!AE16&lt;&gt;0,'Calculations PJ'!AE16*About!$B$45,0)</f>
        <v>80881502892590.344</v>
      </c>
      <c r="AF16">
        <f>IF('Calculations PJ'!AF16&lt;&gt;0,'Calculations PJ'!AF16*About!$B$45,0)</f>
        <v>85734582639573.391</v>
      </c>
      <c r="AG16">
        <f>IF('Calculations PJ'!AG16&lt;&gt;0,'Calculations PJ'!AG16*About!$B$45,0)</f>
        <v>90587662386556.422</v>
      </c>
      <c r="AH16">
        <f>IF('Calculations PJ'!AH16&lt;&gt;0,'Calculations PJ'!AH16*About!$B$45,0)</f>
        <v>95450220804920.297</v>
      </c>
      <c r="AI16">
        <f>IF('Calculations PJ'!AI16&lt;&gt;0,'Calculations PJ'!AI16*About!$B$45,0)</f>
        <v>100303300551903.31</v>
      </c>
      <c r="AJ16">
        <f>IF('Calculations PJ'!AJ16&lt;&gt;0,'Calculations PJ'!AJ16*About!$B$45,0)</f>
        <v>105165858970267.19</v>
      </c>
      <c r="AK16">
        <f>IF('Calculations PJ'!AK16&lt;&gt;0,'Calculations PJ'!AK16*About!$B$45,0)</f>
        <v>110018938717250.22</v>
      </c>
      <c r="AL16">
        <f>IF('Calculations PJ'!AL16&lt;&gt;0,'Calculations PJ'!AL16*About!$B$45,0)</f>
        <v>114881497135614.09</v>
      </c>
      <c r="AM16">
        <f>IF('Calculations PJ'!AM16&lt;&gt;0,'Calculations PJ'!AM16*About!$B$45,0)</f>
        <v>119744055553977.95</v>
      </c>
      <c r="AN16">
        <f>IF('Calculations PJ'!AN16&lt;&gt;0,'Calculations PJ'!AN16*About!$B$45,0)</f>
        <v>124606613972341.83</v>
      </c>
      <c r="AO16">
        <f>IF('Calculations PJ'!AO16&lt;&gt;0,'Calculations PJ'!AO16*About!$B$45,0)</f>
        <v>124606613972341.83</v>
      </c>
      <c r="AP16">
        <f>IF('Calculations PJ'!AP16&lt;&gt;0,'Calculations PJ'!AP16*About!$B$45,0)</f>
        <v>124606613972341.83</v>
      </c>
      <c r="AQ16">
        <f>IF('Calculations PJ'!AQ16&lt;&gt;0,'Calculations PJ'!AQ16*About!$B$45,0)</f>
        <v>124606613972341.83</v>
      </c>
      <c r="AR16">
        <f>IF('Calculations PJ'!AR16&lt;&gt;0,'Calculations PJ'!AR16*About!$B$45,0)</f>
        <v>124606613972341.83</v>
      </c>
      <c r="AS16">
        <f>IF('Calculations PJ'!AS16&lt;&gt;0,'Calculations PJ'!AS16*About!$B$45,0)</f>
        <v>124606613972341.83</v>
      </c>
      <c r="AT16">
        <f>IF('Calculations PJ'!AT16&lt;&gt;0,'Calculations PJ'!AT16*About!$B$45,0)</f>
        <v>124606613972341.83</v>
      </c>
      <c r="AU16">
        <f>IF('Calculations PJ'!AU16&lt;&gt;0,'Calculations PJ'!AU16*About!$B$45,0)</f>
        <v>124606613972341.83</v>
      </c>
      <c r="AV16">
        <f>IF('Calculations PJ'!AV16&lt;&gt;0,'Calculations PJ'!AV16*About!$B$45,0)</f>
        <v>124606613972341.83</v>
      </c>
      <c r="AW16">
        <f>IF('Calculations PJ'!AW16&lt;&gt;0,'Calculations PJ'!AW16*About!$B$45,0)</f>
        <v>124606613972341.83</v>
      </c>
      <c r="AX16">
        <f>IF('Calculations PJ'!AX16&lt;&gt;0,'Calculations PJ'!AX16*About!$B$45,0)</f>
        <v>124606613972341.83</v>
      </c>
      <c r="AY16">
        <f>IF('Calculations PJ'!AY16&lt;&gt;0,'Calculations PJ'!AY16*About!$B$45,0)</f>
        <v>124606613972341.83</v>
      </c>
      <c r="AZ16">
        <f>IF('Calculations PJ'!AZ16&lt;&gt;0,'Calculations PJ'!AZ16*About!$B$45,0)</f>
        <v>124606613972341.83</v>
      </c>
      <c r="BA16">
        <f>IF('Calculations PJ'!BA16&lt;&gt;0,'Calculations PJ'!BA16*About!$B$45,0)</f>
        <v>124606613972341.83</v>
      </c>
      <c r="BB16">
        <f>IF('Calculations PJ'!BB16&lt;&gt;0,'Calculations PJ'!BB16*About!$B$45,0)</f>
        <v>124606613972341.83</v>
      </c>
      <c r="BC16">
        <f>IF('Calculations PJ'!BC16&lt;&gt;0,'Calculations PJ'!BC16*About!$B$45,0)</f>
        <v>124606613972341.83</v>
      </c>
      <c r="BD16">
        <f>IF('Calculations PJ'!BD16&lt;&gt;0,'Calculations PJ'!BD16*About!$B$45,0)</f>
        <v>124606613972341.83</v>
      </c>
      <c r="BE16">
        <f>IF('Calculations PJ'!BE16&lt;&gt;0,'Calculations PJ'!BE16*About!$B$45,0)</f>
        <v>124606613972341.83</v>
      </c>
      <c r="BF16">
        <f>IF('Calculations PJ'!BF16&lt;&gt;0,'Calculations PJ'!BF16*About!$B$45,0)</f>
        <v>124606613972341.83</v>
      </c>
      <c r="BG16">
        <f>IF('Calculations PJ'!BG16&lt;&gt;0,'Calculations PJ'!BG16*About!$B$45,0)</f>
        <v>124606613972341.83</v>
      </c>
      <c r="BH16">
        <f>IF('Calculations PJ'!BH16&lt;&gt;0,'Calculations PJ'!BH16*About!$B$45,0)</f>
        <v>124606613972341.83</v>
      </c>
    </row>
    <row r="17" spans="1:60" hidden="1" outlineLevel="1">
      <c r="B17" t="s">
        <v>140</v>
      </c>
      <c r="C17">
        <f>IF('Calculations PJ'!C17&lt;&gt;0,'Calculations PJ'!C17*About!$B$45,0)</f>
        <v>0</v>
      </c>
      <c r="D17">
        <f>IF('Calculations PJ'!D17&lt;&gt;0,'Calculations PJ'!D17*About!$B$45,0)</f>
        <v>0</v>
      </c>
      <c r="E17">
        <f>IF('Calculations PJ'!E17&lt;&gt;0,'Calculations PJ'!E17*About!$B$45,0)</f>
        <v>0</v>
      </c>
      <c r="F17">
        <f>IF('Calculations PJ'!F17&lt;&gt;0,'Calculations PJ'!F17*About!$B$45,0)</f>
        <v>0</v>
      </c>
      <c r="G17">
        <f>IF('Calculations PJ'!G17&lt;&gt;0,'Calculations PJ'!G17*About!$B$45,0)</f>
        <v>0</v>
      </c>
      <c r="H17">
        <f>IF('Calculations PJ'!H17&lt;&gt;0,'Calculations PJ'!H17*About!$B$45,0)</f>
        <v>0</v>
      </c>
      <c r="I17">
        <f>IF('Calculations PJ'!I17&lt;&gt;0,'Calculations PJ'!I17*About!$B$45,0)</f>
        <v>0</v>
      </c>
      <c r="J17">
        <f>IF('Calculations PJ'!J17&lt;&gt;0,'Calculations PJ'!J17*About!$B$45,0)</f>
        <v>0</v>
      </c>
      <c r="K17">
        <f>IF('Calculations PJ'!K17&lt;&gt;0,'Calculations PJ'!K17*About!$B$45,0)</f>
        <v>0</v>
      </c>
      <c r="L17">
        <f>IF('Calculations PJ'!L17&lt;&gt;0,'Calculations PJ'!L17*About!$B$45,0)</f>
        <v>0</v>
      </c>
      <c r="M17">
        <f>IF('Calculations PJ'!M17&lt;&gt;0,'Calculations PJ'!M17*About!$B$45,0)</f>
        <v>0</v>
      </c>
      <c r="N17">
        <f>IF('Calculations PJ'!N17&lt;&gt;0,'Calculations PJ'!N17*About!$B$45,0)</f>
        <v>0</v>
      </c>
      <c r="O17">
        <f>IF('Calculations PJ'!O17&lt;&gt;0,'Calculations PJ'!O17*About!$B$45,0)</f>
        <v>0</v>
      </c>
      <c r="P17">
        <f>IF('Calculations PJ'!P17&lt;&gt;0,'Calculations PJ'!P17*About!$B$45,0)</f>
        <v>0</v>
      </c>
      <c r="Q17">
        <f>IF('Calculations PJ'!Q17&lt;&gt;0,'Calculations PJ'!Q17*About!$B$45,0)</f>
        <v>0</v>
      </c>
      <c r="R17">
        <f>IF('Calculations PJ'!R17&lt;&gt;0,'Calculations PJ'!R17*About!$B$45,0)</f>
        <v>0</v>
      </c>
      <c r="S17">
        <f>IF('Calculations PJ'!S17&lt;&gt;0,'Calculations PJ'!S17*About!$B$45,0)</f>
        <v>0</v>
      </c>
      <c r="T17">
        <f>IF('Calculations PJ'!T17&lt;&gt;0,'Calculations PJ'!T17*About!$B$45,0)</f>
        <v>0</v>
      </c>
      <c r="U17">
        <f>IF('Calculations PJ'!U17&lt;&gt;0,'Calculations PJ'!U17*About!$B$45,0)</f>
        <v>0</v>
      </c>
      <c r="V17">
        <f>IF('Calculations PJ'!V17&lt;&gt;0,'Calculations PJ'!V17*About!$B$45,0)</f>
        <v>0</v>
      </c>
      <c r="W17">
        <f>IF('Calculations PJ'!W17&lt;&gt;0,'Calculations PJ'!W17*About!$B$45,0)</f>
        <v>0</v>
      </c>
      <c r="X17">
        <f>IF('Calculations PJ'!X17&lt;&gt;0,'Calculations PJ'!X17*About!$B$45,0)</f>
        <v>0</v>
      </c>
      <c r="Y17">
        <f>IF('Calculations PJ'!Y17&lt;&gt;0,'Calculations PJ'!Y17*About!$B$45,0)</f>
        <v>0</v>
      </c>
      <c r="Z17">
        <f>IF('Calculations PJ'!Z17&lt;&gt;0,'Calculations PJ'!Z17*About!$B$45,0)</f>
        <v>0</v>
      </c>
      <c r="AA17">
        <f>IF('Calculations PJ'!AA17&lt;&gt;0,'Calculations PJ'!AA17*About!$B$45,0)</f>
        <v>0</v>
      </c>
      <c r="AB17">
        <f>IF('Calculations PJ'!AB17&lt;&gt;0,'Calculations PJ'!AB17*About!$B$45,0)</f>
        <v>0</v>
      </c>
      <c r="AC17">
        <f>IF('Calculations PJ'!AC17&lt;&gt;0,'Calculations PJ'!AC17*About!$B$45,0)</f>
        <v>0</v>
      </c>
      <c r="AD17">
        <f>IF('Calculations PJ'!AD17&lt;&gt;0,'Calculations PJ'!AD17*About!$B$45,0)</f>
        <v>0</v>
      </c>
      <c r="AE17">
        <f>IF('Calculations PJ'!AE17&lt;&gt;0,'Calculations PJ'!AE17*About!$B$45,0)</f>
        <v>0</v>
      </c>
      <c r="AF17">
        <f>IF('Calculations PJ'!AF17&lt;&gt;0,'Calculations PJ'!AF17*About!$B$45,0)</f>
        <v>0</v>
      </c>
      <c r="AG17">
        <f>IF('Calculations PJ'!AG17&lt;&gt;0,'Calculations PJ'!AG17*About!$B$45,0)</f>
        <v>0</v>
      </c>
      <c r="AH17">
        <f>IF('Calculations PJ'!AH17&lt;&gt;0,'Calculations PJ'!AH17*About!$B$45,0)</f>
        <v>0</v>
      </c>
      <c r="AI17">
        <f>IF('Calculations PJ'!AI17&lt;&gt;0,'Calculations PJ'!AI17*About!$B$45,0)</f>
        <v>0</v>
      </c>
      <c r="AJ17">
        <f>IF('Calculations PJ'!AJ17&lt;&gt;0,'Calculations PJ'!AJ17*About!$B$45,0)</f>
        <v>0</v>
      </c>
      <c r="AK17">
        <f>IF('Calculations PJ'!AK17&lt;&gt;0,'Calculations PJ'!AK17*About!$B$45,0)</f>
        <v>0</v>
      </c>
      <c r="AL17">
        <f>IF('Calculations PJ'!AL17&lt;&gt;0,'Calculations PJ'!AL17*About!$B$45,0)</f>
        <v>0</v>
      </c>
      <c r="AM17">
        <f>IF('Calculations PJ'!AM17&lt;&gt;0,'Calculations PJ'!AM17*About!$B$45,0)</f>
        <v>0</v>
      </c>
      <c r="AN17">
        <f>IF('Calculations PJ'!AN17&lt;&gt;0,'Calculations PJ'!AN17*About!$B$45,0)</f>
        <v>0</v>
      </c>
      <c r="AO17">
        <f>IF('Calculations PJ'!AO17&lt;&gt;0,'Calculations PJ'!AO17*About!$B$45,0)</f>
        <v>0</v>
      </c>
      <c r="AP17">
        <f>IF('Calculations PJ'!AP17&lt;&gt;0,'Calculations PJ'!AP17*About!$B$45,0)</f>
        <v>0</v>
      </c>
      <c r="AQ17">
        <f>IF('Calculations PJ'!AQ17&lt;&gt;0,'Calculations PJ'!AQ17*About!$B$45,0)</f>
        <v>0</v>
      </c>
      <c r="AR17">
        <f>IF('Calculations PJ'!AR17&lt;&gt;0,'Calculations PJ'!AR17*About!$B$45,0)</f>
        <v>0</v>
      </c>
      <c r="AS17">
        <f>IF('Calculations PJ'!AS17&lt;&gt;0,'Calculations PJ'!AS17*About!$B$45,0)</f>
        <v>0</v>
      </c>
      <c r="AT17">
        <f>IF('Calculations PJ'!AT17&lt;&gt;0,'Calculations PJ'!AT17*About!$B$45,0)</f>
        <v>0</v>
      </c>
      <c r="AU17">
        <f>IF('Calculations PJ'!AU17&lt;&gt;0,'Calculations PJ'!AU17*About!$B$45,0)</f>
        <v>0</v>
      </c>
      <c r="AV17">
        <f>IF('Calculations PJ'!AV17&lt;&gt;0,'Calculations PJ'!AV17*About!$B$45,0)</f>
        <v>0</v>
      </c>
      <c r="AW17">
        <f>IF('Calculations PJ'!AW17&lt;&gt;0,'Calculations PJ'!AW17*About!$B$45,0)</f>
        <v>0</v>
      </c>
      <c r="AX17">
        <f>IF('Calculations PJ'!AX17&lt;&gt;0,'Calculations PJ'!AX17*About!$B$45,0)</f>
        <v>0</v>
      </c>
      <c r="AY17">
        <f>IF('Calculations PJ'!AY17&lt;&gt;0,'Calculations PJ'!AY17*About!$B$45,0)</f>
        <v>0</v>
      </c>
      <c r="AZ17">
        <f>IF('Calculations PJ'!AZ17&lt;&gt;0,'Calculations PJ'!AZ17*About!$B$45,0)</f>
        <v>0</v>
      </c>
      <c r="BA17">
        <f>IF('Calculations PJ'!BA17&lt;&gt;0,'Calculations PJ'!BA17*About!$B$45,0)</f>
        <v>0</v>
      </c>
      <c r="BB17">
        <f>IF('Calculations PJ'!BB17&lt;&gt;0,'Calculations PJ'!BB17*About!$B$45,0)</f>
        <v>0</v>
      </c>
      <c r="BC17">
        <f>IF('Calculations PJ'!BC17&lt;&gt;0,'Calculations PJ'!BC17*About!$B$45,0)</f>
        <v>0</v>
      </c>
      <c r="BD17">
        <f>IF('Calculations PJ'!BD17&lt;&gt;0,'Calculations PJ'!BD17*About!$B$45,0)</f>
        <v>0</v>
      </c>
      <c r="BE17">
        <f>IF('Calculations PJ'!BE17&lt;&gt;0,'Calculations PJ'!BE17*About!$B$45,0)</f>
        <v>0</v>
      </c>
      <c r="BF17">
        <f>IF('Calculations PJ'!BF17&lt;&gt;0,'Calculations PJ'!BF17*About!$B$45,0)</f>
        <v>0</v>
      </c>
      <c r="BG17">
        <f>IF('Calculations PJ'!BG17&lt;&gt;0,'Calculations PJ'!BG17*About!$B$45,0)</f>
        <v>0</v>
      </c>
      <c r="BH17">
        <f>IF('Calculations PJ'!BH17&lt;&gt;0,'Calculations PJ'!BH17*About!$B$45,0)</f>
        <v>0</v>
      </c>
    </row>
    <row r="18" spans="1:60" hidden="1" outlineLevel="1">
      <c r="B18" t="s">
        <v>141</v>
      </c>
      <c r="C18">
        <f>IF('Calculations PJ'!C18&lt;&gt;0,'Calculations PJ'!C18*About!$B$45,0)</f>
        <v>0</v>
      </c>
      <c r="D18">
        <f>IF('Calculations PJ'!D18&lt;&gt;0,'Calculations PJ'!D18*About!$B$45,0)</f>
        <v>0</v>
      </c>
      <c r="E18">
        <f>IF('Calculations PJ'!E18&lt;&gt;0,'Calculations PJ'!E18*About!$B$45,0)</f>
        <v>0</v>
      </c>
      <c r="F18">
        <f>IF('Calculations PJ'!F18&lt;&gt;0,'Calculations PJ'!F18*About!$B$45,0)</f>
        <v>0</v>
      </c>
      <c r="G18">
        <f>IF('Calculations PJ'!G18&lt;&gt;0,'Calculations PJ'!G18*About!$B$45,0)</f>
        <v>0</v>
      </c>
      <c r="H18">
        <f>IF('Calculations PJ'!H18&lt;&gt;0,'Calculations PJ'!H18*About!$B$45,0)</f>
        <v>0</v>
      </c>
      <c r="I18">
        <f>IF('Calculations PJ'!I18&lt;&gt;0,'Calculations PJ'!I18*About!$B$45,0)</f>
        <v>0</v>
      </c>
      <c r="J18">
        <f>IF('Calculations PJ'!J18&lt;&gt;0,'Calculations PJ'!J18*About!$B$45,0)</f>
        <v>0</v>
      </c>
      <c r="K18">
        <f>IF('Calculations PJ'!K18&lt;&gt;0,'Calculations PJ'!K18*About!$B$45,0)</f>
        <v>0</v>
      </c>
      <c r="L18">
        <f>IF('Calculations PJ'!L18&lt;&gt;0,'Calculations PJ'!L18*About!$B$45,0)</f>
        <v>0</v>
      </c>
      <c r="M18">
        <f>IF('Calculations PJ'!M18&lt;&gt;0,'Calculations PJ'!M18*About!$B$45,0)</f>
        <v>0</v>
      </c>
      <c r="N18">
        <f>IF('Calculations PJ'!N18&lt;&gt;0,'Calculations PJ'!N18*About!$B$45,0)</f>
        <v>0</v>
      </c>
      <c r="O18">
        <f>IF('Calculations PJ'!O18&lt;&gt;0,'Calculations PJ'!O18*About!$B$45,0)</f>
        <v>0</v>
      </c>
      <c r="P18">
        <f>IF('Calculations PJ'!P18&lt;&gt;0,'Calculations PJ'!P18*About!$B$45,0)</f>
        <v>0</v>
      </c>
      <c r="Q18">
        <f>IF('Calculations PJ'!Q18&lt;&gt;0,'Calculations PJ'!Q18*About!$B$45,0)</f>
        <v>0</v>
      </c>
      <c r="R18">
        <f>IF('Calculations PJ'!R18&lt;&gt;0,'Calculations PJ'!R18*About!$B$45,0)</f>
        <v>0</v>
      </c>
      <c r="S18">
        <f>IF('Calculations PJ'!S18&lt;&gt;0,'Calculations PJ'!S18*About!$B$45,0)</f>
        <v>0</v>
      </c>
      <c r="T18">
        <f>IF('Calculations PJ'!T18&lt;&gt;0,'Calculations PJ'!T18*About!$B$45,0)</f>
        <v>0</v>
      </c>
      <c r="U18">
        <f>IF('Calculations PJ'!U18&lt;&gt;0,'Calculations PJ'!U18*About!$B$45,0)</f>
        <v>0</v>
      </c>
      <c r="V18">
        <f>IF('Calculations PJ'!V18&lt;&gt;0,'Calculations PJ'!V18*About!$B$45,0)</f>
        <v>0</v>
      </c>
      <c r="W18">
        <f>IF('Calculations PJ'!W18&lt;&gt;0,'Calculations PJ'!W18*About!$B$45,0)</f>
        <v>0</v>
      </c>
      <c r="X18">
        <f>IF('Calculations PJ'!X18&lt;&gt;0,'Calculations PJ'!X18*About!$B$45,0)</f>
        <v>0</v>
      </c>
      <c r="Y18">
        <f>IF('Calculations PJ'!Y18&lt;&gt;0,'Calculations PJ'!Y18*About!$B$45,0)</f>
        <v>0</v>
      </c>
      <c r="Z18">
        <f>IF('Calculations PJ'!Z18&lt;&gt;0,'Calculations PJ'!Z18*About!$B$45,0)</f>
        <v>0</v>
      </c>
      <c r="AA18">
        <f>IF('Calculations PJ'!AA18&lt;&gt;0,'Calculations PJ'!AA18*About!$B$45,0)</f>
        <v>0</v>
      </c>
      <c r="AB18">
        <f>IF('Calculations PJ'!AB18&lt;&gt;0,'Calculations PJ'!AB18*About!$B$45,0)</f>
        <v>0</v>
      </c>
      <c r="AC18">
        <f>IF('Calculations PJ'!AC18&lt;&gt;0,'Calculations PJ'!AC18*About!$B$45,0)</f>
        <v>0</v>
      </c>
      <c r="AD18">
        <f>IF('Calculations PJ'!AD18&lt;&gt;0,'Calculations PJ'!AD18*About!$B$45,0)</f>
        <v>0</v>
      </c>
      <c r="AE18">
        <f>IF('Calculations PJ'!AE18&lt;&gt;0,'Calculations PJ'!AE18*About!$B$45,0)</f>
        <v>0</v>
      </c>
      <c r="AF18">
        <f>IF('Calculations PJ'!AF18&lt;&gt;0,'Calculations PJ'!AF18*About!$B$45,0)</f>
        <v>0</v>
      </c>
      <c r="AG18">
        <f>IF('Calculations PJ'!AG18&lt;&gt;0,'Calculations PJ'!AG18*About!$B$45,0)</f>
        <v>0</v>
      </c>
      <c r="AH18">
        <f>IF('Calculations PJ'!AH18&lt;&gt;0,'Calculations PJ'!AH18*About!$B$45,0)</f>
        <v>0</v>
      </c>
      <c r="AI18">
        <f>IF('Calculations PJ'!AI18&lt;&gt;0,'Calculations PJ'!AI18*About!$B$45,0)</f>
        <v>0</v>
      </c>
      <c r="AJ18">
        <f>IF('Calculations PJ'!AJ18&lt;&gt;0,'Calculations PJ'!AJ18*About!$B$45,0)</f>
        <v>0</v>
      </c>
      <c r="AK18">
        <f>IF('Calculations PJ'!AK18&lt;&gt;0,'Calculations PJ'!AK18*About!$B$45,0)</f>
        <v>0</v>
      </c>
      <c r="AL18">
        <f>IF('Calculations PJ'!AL18&lt;&gt;0,'Calculations PJ'!AL18*About!$B$45,0)</f>
        <v>0</v>
      </c>
      <c r="AM18">
        <f>IF('Calculations PJ'!AM18&lt;&gt;0,'Calculations PJ'!AM18*About!$B$45,0)</f>
        <v>0</v>
      </c>
      <c r="AN18">
        <f>IF('Calculations PJ'!AN18&lt;&gt;0,'Calculations PJ'!AN18*About!$B$45,0)</f>
        <v>0</v>
      </c>
      <c r="AO18">
        <f>IF('Calculations PJ'!AO18&lt;&gt;0,'Calculations PJ'!AO18*About!$B$45,0)</f>
        <v>0</v>
      </c>
      <c r="AP18">
        <f>IF('Calculations PJ'!AP18&lt;&gt;0,'Calculations PJ'!AP18*About!$B$45,0)</f>
        <v>0</v>
      </c>
      <c r="AQ18">
        <f>IF('Calculations PJ'!AQ18&lt;&gt;0,'Calculations PJ'!AQ18*About!$B$45,0)</f>
        <v>0</v>
      </c>
      <c r="AR18">
        <f>IF('Calculations PJ'!AR18&lt;&gt;0,'Calculations PJ'!AR18*About!$B$45,0)</f>
        <v>0</v>
      </c>
      <c r="AS18">
        <f>IF('Calculations PJ'!AS18&lt;&gt;0,'Calculations PJ'!AS18*About!$B$45,0)</f>
        <v>0</v>
      </c>
      <c r="AT18">
        <f>IF('Calculations PJ'!AT18&lt;&gt;0,'Calculations PJ'!AT18*About!$B$45,0)</f>
        <v>0</v>
      </c>
      <c r="AU18">
        <f>IF('Calculations PJ'!AU18&lt;&gt;0,'Calculations PJ'!AU18*About!$B$45,0)</f>
        <v>0</v>
      </c>
      <c r="AV18">
        <f>IF('Calculations PJ'!AV18&lt;&gt;0,'Calculations PJ'!AV18*About!$B$45,0)</f>
        <v>0</v>
      </c>
      <c r="AW18">
        <f>IF('Calculations PJ'!AW18&lt;&gt;0,'Calculations PJ'!AW18*About!$B$45,0)</f>
        <v>0</v>
      </c>
      <c r="AX18">
        <f>IF('Calculations PJ'!AX18&lt;&gt;0,'Calculations PJ'!AX18*About!$B$45,0)</f>
        <v>0</v>
      </c>
      <c r="AY18">
        <f>IF('Calculations PJ'!AY18&lt;&gt;0,'Calculations PJ'!AY18*About!$B$45,0)</f>
        <v>0</v>
      </c>
      <c r="AZ18">
        <f>IF('Calculations PJ'!AZ18&lt;&gt;0,'Calculations PJ'!AZ18*About!$B$45,0)</f>
        <v>0</v>
      </c>
      <c r="BA18">
        <f>IF('Calculations PJ'!BA18&lt;&gt;0,'Calculations PJ'!BA18*About!$B$45,0)</f>
        <v>0</v>
      </c>
      <c r="BB18">
        <f>IF('Calculations PJ'!BB18&lt;&gt;0,'Calculations PJ'!BB18*About!$B$45,0)</f>
        <v>0</v>
      </c>
      <c r="BC18">
        <f>IF('Calculations PJ'!BC18&lt;&gt;0,'Calculations PJ'!BC18*About!$B$45,0)</f>
        <v>0</v>
      </c>
      <c r="BD18">
        <f>IF('Calculations PJ'!BD18&lt;&gt;0,'Calculations PJ'!BD18*About!$B$45,0)</f>
        <v>0</v>
      </c>
      <c r="BE18">
        <f>IF('Calculations PJ'!BE18&lt;&gt;0,'Calculations PJ'!BE18*About!$B$45,0)</f>
        <v>0</v>
      </c>
      <c r="BF18">
        <f>IF('Calculations PJ'!BF18&lt;&gt;0,'Calculations PJ'!BF18*About!$B$45,0)</f>
        <v>0</v>
      </c>
      <c r="BG18">
        <f>IF('Calculations PJ'!BG18&lt;&gt;0,'Calculations PJ'!BG18*About!$B$45,0)</f>
        <v>0</v>
      </c>
      <c r="BH18">
        <f>IF('Calculations PJ'!BH18&lt;&gt;0,'Calculations PJ'!BH18*About!$B$45,0)</f>
        <v>0</v>
      </c>
    </row>
    <row r="19" spans="1:60" hidden="1" outlineLevel="1">
      <c r="B19" t="s">
        <v>142</v>
      </c>
      <c r="C19">
        <f>IF('Calculations PJ'!C19&lt;&gt;0,'Calculations PJ'!C19*About!$B$45,0)</f>
        <v>691943010800.31592</v>
      </c>
      <c r="D19">
        <f>IF('Calculations PJ'!D19&lt;&gt;0,'Calculations PJ'!D19*About!$B$45,0)</f>
        <v>796208395989.40454</v>
      </c>
      <c r="E19">
        <f>IF('Calculations PJ'!E19&lt;&gt;0,'Calculations PJ'!E19*About!$B$45,0)</f>
        <v>862559095655.18835</v>
      </c>
      <c r="F19">
        <f>IF('Calculations PJ'!F19&lt;&gt;0,'Calculations PJ'!F19*About!$B$45,0)</f>
        <v>881516438416.84082</v>
      </c>
      <c r="G19">
        <f>IF('Calculations PJ'!G19&lt;&gt;0,'Calculations PJ'!G19*About!$B$45,0)</f>
        <v>919431123940.14575</v>
      </c>
      <c r="H19">
        <f>IF('Calculations PJ'!H19&lt;&gt;0,'Calculations PJ'!H19*About!$B$45,0)</f>
        <v>909952452559.31946</v>
      </c>
      <c r="I19">
        <f>IF('Calculations PJ'!I19&lt;&gt;0,'Calculations PJ'!I19*About!$B$45,0)</f>
        <v>957345809463.45081</v>
      </c>
      <c r="J19">
        <f>IF('Calculations PJ'!J19&lt;&gt;0,'Calculations PJ'!J19*About!$B$45,0)</f>
        <v>881516438416.84082</v>
      </c>
      <c r="K19">
        <f>IF('Calculations PJ'!K19&lt;&gt;0,'Calculations PJ'!K19*About!$B$45,0)</f>
        <v>966824480844.27698</v>
      </c>
      <c r="L19">
        <f>IF('Calculations PJ'!L19&lt;&gt;0,'Calculations PJ'!L19*About!$B$45,0)</f>
        <v>1298577979173.1958</v>
      </c>
      <c r="M19">
        <f>IF('Calculations PJ'!M19&lt;&gt;0,'Calculations PJ'!M19*About!$B$45,0)</f>
        <v>853080424274.36206</v>
      </c>
      <c r="N19">
        <f>IF('Calculations PJ'!N19&lt;&gt;0,'Calculations PJ'!N19*About!$B$45,0)</f>
        <v>853981634983.04736</v>
      </c>
      <c r="O19">
        <f>IF('Calculations PJ'!O19&lt;&gt;0,'Calculations PJ'!O19*About!$B$45,0)</f>
        <v>854868764274.40918</v>
      </c>
      <c r="P19">
        <f>IF('Calculations PJ'!P19&lt;&gt;0,'Calculations PJ'!P19*About!$B$45,0)</f>
        <v>855784056400.41736</v>
      </c>
      <c r="Q19">
        <f>IF('Calculations PJ'!Q19&lt;&gt;0,'Calculations PJ'!Q19*About!$B$45,0)</f>
        <v>856685267109.10242</v>
      </c>
      <c r="R19">
        <f>IF('Calculations PJ'!R19&lt;&gt;0,'Calculations PJ'!R19*About!$B$45,0)</f>
        <v>857572396400.46436</v>
      </c>
      <c r="S19">
        <f>IF('Calculations PJ'!S19&lt;&gt;0,'Calculations PJ'!S19*About!$B$45,0)</f>
        <v>858487688526.47266</v>
      </c>
      <c r="T19">
        <f>IF('Calculations PJ'!T19&lt;&gt;0,'Calculations PJ'!T19*About!$B$45,0)</f>
        <v>859374817817.83447</v>
      </c>
      <c r="U19">
        <f>IF('Calculations PJ'!U19&lt;&gt;0,'Calculations PJ'!U19*About!$B$45,0)</f>
        <v>860261947109.19617</v>
      </c>
      <c r="V19">
        <f>IF('Calculations PJ'!V19&lt;&gt;0,'Calculations PJ'!V19*About!$B$45,0)</f>
        <v>861191320652.52771</v>
      </c>
      <c r="W19">
        <f>IF('Calculations PJ'!W19&lt;&gt;0,'Calculations PJ'!W19*About!$B$45,0)</f>
        <v>862078449943.88953</v>
      </c>
      <c r="X19">
        <f>IF('Calculations PJ'!X19&lt;&gt;0,'Calculations PJ'!X19*About!$B$45,0)</f>
        <v>859642364746.9751</v>
      </c>
      <c r="Y19">
        <f>IF('Calculations PJ'!Y19&lt;&gt;0,'Calculations PJ'!Y19*About!$B$45,0)</f>
        <v>852700226006.63525</v>
      </c>
      <c r="Z19">
        <f>IF('Calculations PJ'!Z19&lt;&gt;0,'Calculations PJ'!Z19*About!$B$45,0)</f>
        <v>845744005848.97253</v>
      </c>
      <c r="AA19">
        <f>IF('Calculations PJ'!AA19&lt;&gt;0,'Calculations PJ'!AA19*About!$B$45,0)</f>
        <v>838815948525.95605</v>
      </c>
      <c r="AB19">
        <f>IF('Calculations PJ'!AB19&lt;&gt;0,'Calculations PJ'!AB19*About!$B$45,0)</f>
        <v>831873809785.61621</v>
      </c>
      <c r="AC19">
        <f>IF('Calculations PJ'!AC19&lt;&gt;0,'Calculations PJ'!AC19*About!$B$45,0)</f>
        <v>824903508210.63037</v>
      </c>
      <c r="AD19">
        <f>IF('Calculations PJ'!AD19&lt;&gt;0,'Calculations PJ'!AD19*About!$B$45,0)</f>
        <v>817989532304.93689</v>
      </c>
      <c r="AE19">
        <f>IF('Calculations PJ'!AE19&lt;&gt;0,'Calculations PJ'!AE19*About!$B$45,0)</f>
        <v>811047393564.59729</v>
      </c>
      <c r="AF19">
        <f>IF('Calculations PJ'!AF19&lt;&gt;0,'Calculations PJ'!AF19*About!$B$45,0)</f>
        <v>804091173406.93433</v>
      </c>
      <c r="AG19">
        <f>IF('Calculations PJ'!AG19&lt;&gt;0,'Calculations PJ'!AG19*About!$B$45,0)</f>
        <v>797149034666.5946</v>
      </c>
      <c r="AH19">
        <f>IF('Calculations PJ'!AH19&lt;&gt;0,'Calculations PJ'!AH19*About!$B$45,0)</f>
        <v>790220977343.578</v>
      </c>
      <c r="AI19">
        <f>IF('Calculations PJ'!AI19&lt;&gt;0,'Calculations PJ'!AI19*About!$B$45,0)</f>
        <v>783264757185.91516</v>
      </c>
      <c r="AJ19">
        <f>IF('Calculations PJ'!AJ19&lt;&gt;0,'Calculations PJ'!AJ19*About!$B$45,0)</f>
        <v>776322618445.57532</v>
      </c>
      <c r="AK19">
        <f>IF('Calculations PJ'!AK19&lt;&gt;0,'Calculations PJ'!AK19*About!$B$45,0)</f>
        <v>769380479705.2356</v>
      </c>
      <c r="AL19">
        <f>IF('Calculations PJ'!AL19&lt;&gt;0,'Calculations PJ'!AL19*About!$B$45,0)</f>
        <v>762452422382.21912</v>
      </c>
      <c r="AM19">
        <f>IF('Calculations PJ'!AM19&lt;&gt;0,'Calculations PJ'!AM19*About!$B$45,0)</f>
        <v>755425795137.94019</v>
      </c>
      <c r="AN19">
        <f>IF('Calculations PJ'!AN19&lt;&gt;0,'Calculations PJ'!AN19*About!$B$45,0)</f>
        <v>748413249310.9845</v>
      </c>
      <c r="AO19">
        <f>IF('Calculations PJ'!AO19&lt;&gt;0,'Calculations PJ'!AO19*About!$B$45,0)</f>
        <v>748413249310.9845</v>
      </c>
      <c r="AP19">
        <f>IF('Calculations PJ'!AP19&lt;&gt;0,'Calculations PJ'!AP19*About!$B$45,0)</f>
        <v>748413249310.9845</v>
      </c>
      <c r="AQ19">
        <f>IF('Calculations PJ'!AQ19&lt;&gt;0,'Calculations PJ'!AQ19*About!$B$45,0)</f>
        <v>748413249310.9845</v>
      </c>
      <c r="AR19">
        <f>IF('Calculations PJ'!AR19&lt;&gt;0,'Calculations PJ'!AR19*About!$B$45,0)</f>
        <v>748413249310.9845</v>
      </c>
      <c r="AS19">
        <f>IF('Calculations PJ'!AS19&lt;&gt;0,'Calculations PJ'!AS19*About!$B$45,0)</f>
        <v>748413249310.9845</v>
      </c>
      <c r="AT19">
        <f>IF('Calculations PJ'!AT19&lt;&gt;0,'Calculations PJ'!AT19*About!$B$45,0)</f>
        <v>748413249310.9845</v>
      </c>
      <c r="AU19">
        <f>IF('Calculations PJ'!AU19&lt;&gt;0,'Calculations PJ'!AU19*About!$B$45,0)</f>
        <v>748413249310.9845</v>
      </c>
      <c r="AV19">
        <f>IF('Calculations PJ'!AV19&lt;&gt;0,'Calculations PJ'!AV19*About!$B$45,0)</f>
        <v>748413249310.9845</v>
      </c>
      <c r="AW19">
        <f>IF('Calculations PJ'!AW19&lt;&gt;0,'Calculations PJ'!AW19*About!$B$45,0)</f>
        <v>748413249310.9845</v>
      </c>
      <c r="AX19">
        <f>IF('Calculations PJ'!AX19&lt;&gt;0,'Calculations PJ'!AX19*About!$B$45,0)</f>
        <v>748413249310.9845</v>
      </c>
      <c r="AY19">
        <f>IF('Calculations PJ'!AY19&lt;&gt;0,'Calculations PJ'!AY19*About!$B$45,0)</f>
        <v>748413249310.9845</v>
      </c>
      <c r="AZ19">
        <f>IF('Calculations PJ'!AZ19&lt;&gt;0,'Calculations PJ'!AZ19*About!$B$45,0)</f>
        <v>748413249310.9845</v>
      </c>
      <c r="BA19">
        <f>IF('Calculations PJ'!BA19&lt;&gt;0,'Calculations PJ'!BA19*About!$B$45,0)</f>
        <v>748413249310.9845</v>
      </c>
      <c r="BB19">
        <f>IF('Calculations PJ'!BB19&lt;&gt;0,'Calculations PJ'!BB19*About!$B$45,0)</f>
        <v>748413249310.9845</v>
      </c>
      <c r="BC19">
        <f>IF('Calculations PJ'!BC19&lt;&gt;0,'Calculations PJ'!BC19*About!$B$45,0)</f>
        <v>748413249310.9845</v>
      </c>
      <c r="BD19">
        <f>IF('Calculations PJ'!BD19&lt;&gt;0,'Calculations PJ'!BD19*About!$B$45,0)</f>
        <v>748413249310.9845</v>
      </c>
      <c r="BE19">
        <f>IF('Calculations PJ'!BE19&lt;&gt;0,'Calculations PJ'!BE19*About!$B$45,0)</f>
        <v>748413249310.9845</v>
      </c>
      <c r="BF19">
        <f>IF('Calculations PJ'!BF19&lt;&gt;0,'Calculations PJ'!BF19*About!$B$45,0)</f>
        <v>748413249310.9845</v>
      </c>
      <c r="BG19">
        <f>IF('Calculations PJ'!BG19&lt;&gt;0,'Calculations PJ'!BG19*About!$B$45,0)</f>
        <v>748413249310.9845</v>
      </c>
      <c r="BH19">
        <f>IF('Calculations PJ'!BH19&lt;&gt;0,'Calculations PJ'!BH19*About!$B$45,0)</f>
        <v>748413249310.9845</v>
      </c>
    </row>
    <row r="20" spans="1:60" hidden="1" outlineLevel="1">
      <c r="B20" t="s">
        <v>143</v>
      </c>
      <c r="C20">
        <f>IF('Calculations PJ'!C20&lt;&gt;0,'Calculations PJ'!C20*About!$B$45,0)</f>
        <v>218009441759.00366</v>
      </c>
      <c r="D20">
        <f>IF('Calculations PJ'!D20&lt;&gt;0,'Calculations PJ'!D20*About!$B$45,0)</f>
        <v>227488113139.82986</v>
      </c>
      <c r="E20">
        <f>IF('Calculations PJ'!E20&lt;&gt;0,'Calculations PJ'!E20*About!$B$45,0)</f>
        <v>236966784520.65613</v>
      </c>
      <c r="F20">
        <f>IF('Calculations PJ'!F20&lt;&gt;0,'Calculations PJ'!F20*About!$B$45,0)</f>
        <v>246445455901.48239</v>
      </c>
      <c r="G20">
        <f>IF('Calculations PJ'!G20&lt;&gt;0,'Calculations PJ'!G20*About!$B$45,0)</f>
        <v>255924127282.30862</v>
      </c>
      <c r="H20">
        <f>IF('Calculations PJ'!H20&lt;&gt;0,'Calculations PJ'!H20*About!$B$45,0)</f>
        <v>255924127282.30862</v>
      </c>
      <c r="I20">
        <f>IF('Calculations PJ'!I20&lt;&gt;0,'Calculations PJ'!I20*About!$B$45,0)</f>
        <v>255924127282.30862</v>
      </c>
      <c r="J20">
        <f>IF('Calculations PJ'!J20&lt;&gt;0,'Calculations PJ'!J20*About!$B$45,0)</f>
        <v>246445455901.48239</v>
      </c>
      <c r="K20">
        <f>IF('Calculations PJ'!K20&lt;&gt;0,'Calculations PJ'!K20*About!$B$45,0)</f>
        <v>293838812805.61359</v>
      </c>
      <c r="L20">
        <f>IF('Calculations PJ'!L20&lt;&gt;0,'Calculations PJ'!L20*About!$B$45,0)</f>
        <v>104265385189.0887</v>
      </c>
      <c r="M20">
        <f>IF('Calculations PJ'!M20&lt;&gt;0,'Calculations PJ'!M20*About!$B$45,0)</f>
        <v>284360141424.78735</v>
      </c>
      <c r="N20">
        <f>IF('Calculations PJ'!N20&lt;&gt;0,'Calculations PJ'!N20*About!$B$45,0)</f>
        <v>284660544994.34912</v>
      </c>
      <c r="O20">
        <f>IF('Calculations PJ'!O20&lt;&gt;0,'Calculations PJ'!O20*About!$B$45,0)</f>
        <v>284956254758.13641</v>
      </c>
      <c r="P20">
        <f>IF('Calculations PJ'!P20&lt;&gt;0,'Calculations PJ'!P20*About!$B$45,0)</f>
        <v>285261352133.47247</v>
      </c>
      <c r="Q20">
        <f>IF('Calculations PJ'!Q20&lt;&gt;0,'Calculations PJ'!Q20*About!$B$45,0)</f>
        <v>285561755703.03412</v>
      </c>
      <c r="R20">
        <f>IF('Calculations PJ'!R20&lt;&gt;0,'Calculations PJ'!R20*About!$B$45,0)</f>
        <v>285857465466.82147</v>
      </c>
      <c r="S20">
        <f>IF('Calculations PJ'!S20&lt;&gt;0,'Calculations PJ'!S20*About!$B$45,0)</f>
        <v>286162562842.15759</v>
      </c>
      <c r="T20">
        <f>IF('Calculations PJ'!T20&lt;&gt;0,'Calculations PJ'!T20*About!$B$45,0)</f>
        <v>286458272605.94476</v>
      </c>
      <c r="U20">
        <f>IF('Calculations PJ'!U20&lt;&gt;0,'Calculations PJ'!U20*About!$B$45,0)</f>
        <v>286753982369.73212</v>
      </c>
      <c r="V20">
        <f>IF('Calculations PJ'!V20&lt;&gt;0,'Calculations PJ'!V20*About!$B$45,0)</f>
        <v>287063773550.84265</v>
      </c>
      <c r="W20">
        <f>IF('Calculations PJ'!W20&lt;&gt;0,'Calculations PJ'!W20*About!$B$45,0)</f>
        <v>287359483314.62988</v>
      </c>
      <c r="X20">
        <f>IF('Calculations PJ'!X20&lt;&gt;0,'Calculations PJ'!X20*About!$B$45,0)</f>
        <v>286547454915.65845</v>
      </c>
      <c r="Y20">
        <f>IF('Calculations PJ'!Y20&lt;&gt;0,'Calculations PJ'!Y20*About!$B$45,0)</f>
        <v>284233408668.87854</v>
      </c>
      <c r="Z20">
        <f>IF('Calculations PJ'!Z20&lt;&gt;0,'Calculations PJ'!Z20*About!$B$45,0)</f>
        <v>281914668616.32422</v>
      </c>
      <c r="AA20">
        <f>IF('Calculations PJ'!AA20&lt;&gt;0,'Calculations PJ'!AA20*About!$B$45,0)</f>
        <v>279605316175.31873</v>
      </c>
      <c r="AB20">
        <f>IF('Calculations PJ'!AB20&lt;&gt;0,'Calculations PJ'!AB20*About!$B$45,0)</f>
        <v>277291269928.53882</v>
      </c>
      <c r="AC20">
        <f>IF('Calculations PJ'!AC20&lt;&gt;0,'Calculations PJ'!AC20*About!$B$45,0)</f>
        <v>274967836070.21014</v>
      </c>
      <c r="AD20">
        <f>IF('Calculations PJ'!AD20&lt;&gt;0,'Calculations PJ'!AD20*About!$B$45,0)</f>
        <v>272663177434.979</v>
      </c>
      <c r="AE20">
        <f>IF('Calculations PJ'!AE20&lt;&gt;0,'Calculations PJ'!AE20*About!$B$45,0)</f>
        <v>270349131188.19916</v>
      </c>
      <c r="AF20">
        <f>IF('Calculations PJ'!AF20&lt;&gt;0,'Calculations PJ'!AF20*About!$B$45,0)</f>
        <v>268030391135.64487</v>
      </c>
      <c r="AG20">
        <f>IF('Calculations PJ'!AG20&lt;&gt;0,'Calculations PJ'!AG20*About!$B$45,0)</f>
        <v>265716344888.86496</v>
      </c>
      <c r="AH20">
        <f>IF('Calculations PJ'!AH20&lt;&gt;0,'Calculations PJ'!AH20*About!$B$45,0)</f>
        <v>263406992447.85944</v>
      </c>
      <c r="AI20">
        <f>IF('Calculations PJ'!AI20&lt;&gt;0,'Calculations PJ'!AI20*About!$B$45,0)</f>
        <v>261088252395.30511</v>
      </c>
      <c r="AJ20">
        <f>IF('Calculations PJ'!AJ20&lt;&gt;0,'Calculations PJ'!AJ20*About!$B$45,0)</f>
        <v>258774206148.52518</v>
      </c>
      <c r="AK20">
        <f>IF('Calculations PJ'!AK20&lt;&gt;0,'Calculations PJ'!AK20*About!$B$45,0)</f>
        <v>256460159901.74527</v>
      </c>
      <c r="AL20">
        <f>IF('Calculations PJ'!AL20&lt;&gt;0,'Calculations PJ'!AL20*About!$B$45,0)</f>
        <v>254150807460.73978</v>
      </c>
      <c r="AM20">
        <f>IF('Calculations PJ'!AM20&lt;&gt;0,'Calculations PJ'!AM20*About!$B$45,0)</f>
        <v>251808598379.31348</v>
      </c>
      <c r="AN20">
        <f>IF('Calculations PJ'!AN20&lt;&gt;0,'Calculations PJ'!AN20*About!$B$45,0)</f>
        <v>249471083103.66156</v>
      </c>
      <c r="AO20">
        <f>IF('Calculations PJ'!AO20&lt;&gt;0,'Calculations PJ'!AO20*About!$B$45,0)</f>
        <v>249471083103.66156</v>
      </c>
      <c r="AP20">
        <f>IF('Calculations PJ'!AP20&lt;&gt;0,'Calculations PJ'!AP20*About!$B$45,0)</f>
        <v>249471083103.66156</v>
      </c>
      <c r="AQ20">
        <f>IF('Calculations PJ'!AQ20&lt;&gt;0,'Calculations PJ'!AQ20*About!$B$45,0)</f>
        <v>249471083103.66156</v>
      </c>
      <c r="AR20">
        <f>IF('Calculations PJ'!AR20&lt;&gt;0,'Calculations PJ'!AR20*About!$B$45,0)</f>
        <v>249471083103.66156</v>
      </c>
      <c r="AS20">
        <f>IF('Calculations PJ'!AS20&lt;&gt;0,'Calculations PJ'!AS20*About!$B$45,0)</f>
        <v>249471083103.66156</v>
      </c>
      <c r="AT20">
        <f>IF('Calculations PJ'!AT20&lt;&gt;0,'Calculations PJ'!AT20*About!$B$45,0)</f>
        <v>249471083103.66156</v>
      </c>
      <c r="AU20">
        <f>IF('Calculations PJ'!AU20&lt;&gt;0,'Calculations PJ'!AU20*About!$B$45,0)</f>
        <v>249471083103.66156</v>
      </c>
      <c r="AV20">
        <f>IF('Calculations PJ'!AV20&lt;&gt;0,'Calculations PJ'!AV20*About!$B$45,0)</f>
        <v>249471083103.66156</v>
      </c>
      <c r="AW20">
        <f>IF('Calculations PJ'!AW20&lt;&gt;0,'Calculations PJ'!AW20*About!$B$45,0)</f>
        <v>249471083103.66156</v>
      </c>
      <c r="AX20">
        <f>IF('Calculations PJ'!AX20&lt;&gt;0,'Calculations PJ'!AX20*About!$B$45,0)</f>
        <v>249471083103.66156</v>
      </c>
      <c r="AY20">
        <f>IF('Calculations PJ'!AY20&lt;&gt;0,'Calculations PJ'!AY20*About!$B$45,0)</f>
        <v>249471083103.66156</v>
      </c>
      <c r="AZ20">
        <f>IF('Calculations PJ'!AZ20&lt;&gt;0,'Calculations PJ'!AZ20*About!$B$45,0)</f>
        <v>249471083103.66156</v>
      </c>
      <c r="BA20">
        <f>IF('Calculations PJ'!BA20&lt;&gt;0,'Calculations PJ'!BA20*About!$B$45,0)</f>
        <v>249471083103.66156</v>
      </c>
      <c r="BB20">
        <f>IF('Calculations PJ'!BB20&lt;&gt;0,'Calculations PJ'!BB20*About!$B$45,0)</f>
        <v>249471083103.66156</v>
      </c>
      <c r="BC20">
        <f>IF('Calculations PJ'!BC20&lt;&gt;0,'Calculations PJ'!BC20*About!$B$45,0)</f>
        <v>249471083103.66156</v>
      </c>
      <c r="BD20">
        <f>IF('Calculations PJ'!BD20&lt;&gt;0,'Calculations PJ'!BD20*About!$B$45,0)</f>
        <v>249471083103.66156</v>
      </c>
      <c r="BE20">
        <f>IF('Calculations PJ'!BE20&lt;&gt;0,'Calculations PJ'!BE20*About!$B$45,0)</f>
        <v>249471083103.66156</v>
      </c>
      <c r="BF20">
        <f>IF('Calculations PJ'!BF20&lt;&gt;0,'Calculations PJ'!BF20*About!$B$45,0)</f>
        <v>249471083103.66156</v>
      </c>
      <c r="BG20">
        <f>IF('Calculations PJ'!BG20&lt;&gt;0,'Calculations PJ'!BG20*About!$B$45,0)</f>
        <v>249471083103.66156</v>
      </c>
      <c r="BH20">
        <f>IF('Calculations PJ'!BH20&lt;&gt;0,'Calculations PJ'!BH20*About!$B$45,0)</f>
        <v>249471083103.66156</v>
      </c>
    </row>
    <row r="21" spans="1:60" hidden="1" outlineLevel="1">
      <c r="B21" t="s">
        <v>144</v>
      </c>
      <c r="C21">
        <f>IF('Calculations PJ'!C21&lt;&gt;0,'Calculations PJ'!C21*About!$B$45,0)</f>
        <v>0</v>
      </c>
      <c r="D21">
        <f>IF('Calculations PJ'!D21&lt;&gt;0,'Calculations PJ'!D21*About!$B$45,0)</f>
        <v>0</v>
      </c>
      <c r="E21">
        <f>IF('Calculations PJ'!E21&lt;&gt;0,'Calculations PJ'!E21*About!$B$45,0)</f>
        <v>0</v>
      </c>
      <c r="F21">
        <f>IF('Calculations PJ'!F21&lt;&gt;0,'Calculations PJ'!F21*About!$B$45,0)</f>
        <v>0</v>
      </c>
      <c r="G21">
        <f>IF('Calculations PJ'!G21&lt;&gt;0,'Calculations PJ'!G21*About!$B$45,0)</f>
        <v>0</v>
      </c>
      <c r="H21">
        <f>IF('Calculations PJ'!H21&lt;&gt;0,'Calculations PJ'!H21*About!$B$45,0)</f>
        <v>0</v>
      </c>
      <c r="I21">
        <f>IF('Calculations PJ'!I21&lt;&gt;0,'Calculations PJ'!I21*About!$B$45,0)</f>
        <v>0</v>
      </c>
      <c r="J21">
        <f>IF('Calculations PJ'!J21&lt;&gt;0,'Calculations PJ'!J21*About!$B$45,0)</f>
        <v>0</v>
      </c>
      <c r="K21">
        <f>IF('Calculations PJ'!K21&lt;&gt;0,'Calculations PJ'!K21*About!$B$45,0)</f>
        <v>0</v>
      </c>
      <c r="L21">
        <f>IF('Calculations PJ'!L21&lt;&gt;0,'Calculations PJ'!L21*About!$B$45,0)</f>
        <v>0</v>
      </c>
      <c r="M21">
        <f>IF('Calculations PJ'!M21&lt;&gt;0,'Calculations PJ'!M21*About!$B$45,0)</f>
        <v>0</v>
      </c>
      <c r="N21">
        <f>IF('Calculations PJ'!N21&lt;&gt;0,'Calculations PJ'!N21*About!$B$45,0)</f>
        <v>0</v>
      </c>
      <c r="O21">
        <f>IF('Calculations PJ'!O21&lt;&gt;0,'Calculations PJ'!O21*About!$B$45,0)</f>
        <v>0</v>
      </c>
      <c r="P21">
        <f>IF('Calculations PJ'!P21&lt;&gt;0,'Calculations PJ'!P21*About!$B$45,0)</f>
        <v>0</v>
      </c>
      <c r="Q21">
        <f>IF('Calculations PJ'!Q21&lt;&gt;0,'Calculations PJ'!Q21*About!$B$45,0)</f>
        <v>0</v>
      </c>
      <c r="R21">
        <f>IF('Calculations PJ'!R21&lt;&gt;0,'Calculations PJ'!R21*About!$B$45,0)</f>
        <v>0</v>
      </c>
      <c r="S21">
        <f>IF('Calculations PJ'!S21&lt;&gt;0,'Calculations PJ'!S21*About!$B$45,0)</f>
        <v>0</v>
      </c>
      <c r="T21">
        <f>IF('Calculations PJ'!T21&lt;&gt;0,'Calculations PJ'!T21*About!$B$45,0)</f>
        <v>0</v>
      </c>
      <c r="U21">
        <f>IF('Calculations PJ'!U21&lt;&gt;0,'Calculations PJ'!U21*About!$B$45,0)</f>
        <v>0</v>
      </c>
      <c r="V21">
        <f>IF('Calculations PJ'!V21&lt;&gt;0,'Calculations PJ'!V21*About!$B$45,0)</f>
        <v>0</v>
      </c>
      <c r="W21">
        <f>IF('Calculations PJ'!W21&lt;&gt;0,'Calculations PJ'!W21*About!$B$45,0)</f>
        <v>0</v>
      </c>
      <c r="X21">
        <f>IF('Calculations PJ'!X21&lt;&gt;0,'Calculations PJ'!X21*About!$B$45,0)</f>
        <v>0</v>
      </c>
      <c r="Y21">
        <f>IF('Calculations PJ'!Y21&lt;&gt;0,'Calculations PJ'!Y21*About!$B$45,0)</f>
        <v>0</v>
      </c>
      <c r="Z21">
        <f>IF('Calculations PJ'!Z21&lt;&gt;0,'Calculations PJ'!Z21*About!$B$45,0)</f>
        <v>0</v>
      </c>
      <c r="AA21">
        <f>IF('Calculations PJ'!AA21&lt;&gt;0,'Calculations PJ'!AA21*About!$B$45,0)</f>
        <v>0</v>
      </c>
      <c r="AB21">
        <f>IF('Calculations PJ'!AB21&lt;&gt;0,'Calculations PJ'!AB21*About!$B$45,0)</f>
        <v>0</v>
      </c>
      <c r="AC21">
        <f>IF('Calculations PJ'!AC21&lt;&gt;0,'Calculations PJ'!AC21*About!$B$45,0)</f>
        <v>0</v>
      </c>
      <c r="AD21">
        <f>IF('Calculations PJ'!AD21&lt;&gt;0,'Calculations PJ'!AD21*About!$B$45,0)</f>
        <v>0</v>
      </c>
      <c r="AE21">
        <f>IF('Calculations PJ'!AE21&lt;&gt;0,'Calculations PJ'!AE21*About!$B$45,0)</f>
        <v>0</v>
      </c>
      <c r="AF21">
        <f>IF('Calculations PJ'!AF21&lt;&gt;0,'Calculations PJ'!AF21*About!$B$45,0)</f>
        <v>0</v>
      </c>
      <c r="AG21">
        <f>IF('Calculations PJ'!AG21&lt;&gt;0,'Calculations PJ'!AG21*About!$B$45,0)</f>
        <v>0</v>
      </c>
      <c r="AH21">
        <f>IF('Calculations PJ'!AH21&lt;&gt;0,'Calculations PJ'!AH21*About!$B$45,0)</f>
        <v>0</v>
      </c>
      <c r="AI21">
        <f>IF('Calculations PJ'!AI21&lt;&gt;0,'Calculations PJ'!AI21*About!$B$45,0)</f>
        <v>0</v>
      </c>
      <c r="AJ21">
        <f>IF('Calculations PJ'!AJ21&lt;&gt;0,'Calculations PJ'!AJ21*About!$B$45,0)</f>
        <v>0</v>
      </c>
      <c r="AK21">
        <f>IF('Calculations PJ'!AK21&lt;&gt;0,'Calculations PJ'!AK21*About!$B$45,0)</f>
        <v>0</v>
      </c>
      <c r="AL21">
        <f>IF('Calculations PJ'!AL21&lt;&gt;0,'Calculations PJ'!AL21*About!$B$45,0)</f>
        <v>0</v>
      </c>
      <c r="AM21">
        <f>IF('Calculations PJ'!AM21&lt;&gt;0,'Calculations PJ'!AM21*About!$B$45,0)</f>
        <v>0</v>
      </c>
      <c r="AN21">
        <f>IF('Calculations PJ'!AN21&lt;&gt;0,'Calculations PJ'!AN21*About!$B$45,0)</f>
        <v>0</v>
      </c>
      <c r="AO21">
        <f>IF('Calculations PJ'!AO21&lt;&gt;0,'Calculations PJ'!AO21*About!$B$45,0)</f>
        <v>0</v>
      </c>
      <c r="AP21">
        <f>IF('Calculations PJ'!AP21&lt;&gt;0,'Calculations PJ'!AP21*About!$B$45,0)</f>
        <v>0</v>
      </c>
      <c r="AQ21">
        <f>IF('Calculations PJ'!AQ21&lt;&gt;0,'Calculations PJ'!AQ21*About!$B$45,0)</f>
        <v>0</v>
      </c>
      <c r="AR21">
        <f>IF('Calculations PJ'!AR21&lt;&gt;0,'Calculations PJ'!AR21*About!$B$45,0)</f>
        <v>0</v>
      </c>
      <c r="AS21">
        <f>IF('Calculations PJ'!AS21&lt;&gt;0,'Calculations PJ'!AS21*About!$B$45,0)</f>
        <v>0</v>
      </c>
      <c r="AT21">
        <f>IF('Calculations PJ'!AT21&lt;&gt;0,'Calculations PJ'!AT21*About!$B$45,0)</f>
        <v>0</v>
      </c>
      <c r="AU21">
        <f>IF('Calculations PJ'!AU21&lt;&gt;0,'Calculations PJ'!AU21*About!$B$45,0)</f>
        <v>0</v>
      </c>
      <c r="AV21">
        <f>IF('Calculations PJ'!AV21&lt;&gt;0,'Calculations PJ'!AV21*About!$B$45,0)</f>
        <v>0</v>
      </c>
      <c r="AW21">
        <f>IF('Calculations PJ'!AW21&lt;&gt;0,'Calculations PJ'!AW21*About!$B$45,0)</f>
        <v>0</v>
      </c>
      <c r="AX21">
        <f>IF('Calculations PJ'!AX21&lt;&gt;0,'Calculations PJ'!AX21*About!$B$45,0)</f>
        <v>0</v>
      </c>
      <c r="AY21">
        <f>IF('Calculations PJ'!AY21&lt;&gt;0,'Calculations PJ'!AY21*About!$B$45,0)</f>
        <v>0</v>
      </c>
      <c r="AZ21">
        <f>IF('Calculations PJ'!AZ21&lt;&gt;0,'Calculations PJ'!AZ21*About!$B$45,0)</f>
        <v>0</v>
      </c>
      <c r="BA21">
        <f>IF('Calculations PJ'!BA21&lt;&gt;0,'Calculations PJ'!BA21*About!$B$45,0)</f>
        <v>0</v>
      </c>
      <c r="BB21">
        <f>IF('Calculations PJ'!BB21&lt;&gt;0,'Calculations PJ'!BB21*About!$B$45,0)</f>
        <v>0</v>
      </c>
      <c r="BC21">
        <f>IF('Calculations PJ'!BC21&lt;&gt;0,'Calculations PJ'!BC21*About!$B$45,0)</f>
        <v>0</v>
      </c>
      <c r="BD21">
        <f>IF('Calculations PJ'!BD21&lt;&gt;0,'Calculations PJ'!BD21*About!$B$45,0)</f>
        <v>0</v>
      </c>
      <c r="BE21">
        <f>IF('Calculations PJ'!BE21&lt;&gt;0,'Calculations PJ'!BE21*About!$B$45,0)</f>
        <v>0</v>
      </c>
      <c r="BF21">
        <f>IF('Calculations PJ'!BF21&lt;&gt;0,'Calculations PJ'!BF21*About!$B$45,0)</f>
        <v>0</v>
      </c>
      <c r="BG21">
        <f>IF('Calculations PJ'!BG21&lt;&gt;0,'Calculations PJ'!BG21*About!$B$45,0)</f>
        <v>0</v>
      </c>
      <c r="BH21">
        <f>IF('Calculations PJ'!BH21&lt;&gt;0,'Calculations PJ'!BH21*About!$B$45,0)</f>
        <v>0</v>
      </c>
    </row>
    <row r="22" spans="1:60" hidden="1" outlineLevel="1">
      <c r="B22" t="s">
        <v>145</v>
      </c>
      <c r="C22">
        <f>IF('Calculations PJ'!C22&lt;&gt;0,'Calculations PJ'!C22*About!$B$45,0)</f>
        <v>7867297246085.7842</v>
      </c>
      <c r="D22">
        <f>IF('Calculations PJ'!D22&lt;&gt;0,'Calculations PJ'!D22*About!$B$45,0)</f>
        <v>8085306687844.7861</v>
      </c>
      <c r="E22">
        <f>IF('Calculations PJ'!E22&lt;&gt;0,'Calculations PJ'!E22*About!$B$45,0)</f>
        <v>8729856341740.9727</v>
      </c>
      <c r="F22">
        <f>IF('Calculations PJ'!F22&lt;&gt;0,'Calculations PJ'!F22*About!$B$45,0)</f>
        <v>9118481868354.8477</v>
      </c>
      <c r="G22">
        <f>IF('Calculations PJ'!G22&lt;&gt;0,'Calculations PJ'!G22*About!$B$45,0)</f>
        <v>9090045854212.3691</v>
      </c>
      <c r="H22">
        <f>IF('Calculations PJ'!H22&lt;&gt;0,'Calculations PJ'!H22*About!$B$45,0)</f>
        <v>9383884667017.9824</v>
      </c>
      <c r="I22">
        <f>IF('Calculations PJ'!I22&lt;&gt;0,'Calculations PJ'!I22*About!$B$45,0)</f>
        <v>9677723479823.5977</v>
      </c>
      <c r="J22">
        <f>IF('Calculations PJ'!J22&lt;&gt;0,'Calculations PJ'!J22*About!$B$45,0)</f>
        <v>10056870335056.646</v>
      </c>
      <c r="K22">
        <f>IF('Calculations PJ'!K22&lt;&gt;0,'Calculations PJ'!K22*About!$B$45,0)</f>
        <v>9649287465681.1172</v>
      </c>
      <c r="L22">
        <f>IF('Calculations PJ'!L22&lt;&gt;0,'Calculations PJ'!L22*About!$B$45,0)</f>
        <v>9924168935725.0801</v>
      </c>
      <c r="M22">
        <f>IF('Calculations PJ'!M22&lt;&gt;0,'Calculations PJ'!M22*About!$B$45,0)</f>
        <v>10341230476481.434</v>
      </c>
      <c r="N22">
        <f>IF('Calculations PJ'!N22&lt;&gt;0,'Calculations PJ'!N22*About!$B$45,0)</f>
        <v>10748813345856.961</v>
      </c>
      <c r="O22">
        <f>IF('Calculations PJ'!O22&lt;&gt;0,'Calculations PJ'!O22*About!$B$45,0)</f>
        <v>11165874886613.316</v>
      </c>
      <c r="P22">
        <f>IF('Calculations PJ'!P22&lt;&gt;0,'Calculations PJ'!P22*About!$B$45,0)</f>
        <v>11582936427369.672</v>
      </c>
      <c r="Q22">
        <f>IF('Calculations PJ'!Q22&lt;&gt;0,'Calculations PJ'!Q22*About!$B$45,0)</f>
        <v>11990519296745.201</v>
      </c>
      <c r="R22">
        <f>IF('Calculations PJ'!R22&lt;&gt;0,'Calculations PJ'!R22*About!$B$45,0)</f>
        <v>12407580837501.555</v>
      </c>
      <c r="S22">
        <f>IF('Calculations PJ'!S22&lt;&gt;0,'Calculations PJ'!S22*About!$B$45,0)</f>
        <v>12815163706877.082</v>
      </c>
      <c r="T22">
        <f>IF('Calculations PJ'!T22&lt;&gt;0,'Calculations PJ'!T22*About!$B$45,0)</f>
        <v>13232225247633.439</v>
      </c>
      <c r="U22">
        <f>IF('Calculations PJ'!U22&lt;&gt;0,'Calculations PJ'!U22*About!$B$45,0)</f>
        <v>13639808117008.967</v>
      </c>
      <c r="V22">
        <f>IF('Calculations PJ'!V22&lt;&gt;0,'Calculations PJ'!V22*About!$B$45,0)</f>
        <v>14056869657765.322</v>
      </c>
      <c r="W22">
        <f>IF('Calculations PJ'!W22&lt;&gt;0,'Calculations PJ'!W22*About!$B$45,0)</f>
        <v>14473931198521.676</v>
      </c>
      <c r="X22">
        <f>IF('Calculations PJ'!X22&lt;&gt;0,'Calculations PJ'!X22*About!$B$45,0)</f>
        <v>14881514067897.205</v>
      </c>
      <c r="Y22">
        <f>IF('Calculations PJ'!Y22&lt;&gt;0,'Calculations PJ'!Y22*About!$B$45,0)</f>
        <v>15298575608653.561</v>
      </c>
      <c r="Z22">
        <f>IF('Calculations PJ'!Z22&lt;&gt;0,'Calculations PJ'!Z22*About!$B$45,0)</f>
        <v>15706158478029.088</v>
      </c>
      <c r="AA22">
        <f>IF('Calculations PJ'!AA22&lt;&gt;0,'Calculations PJ'!AA22*About!$B$45,0)</f>
        <v>16123220018785.445</v>
      </c>
      <c r="AB22">
        <f>IF('Calculations PJ'!AB22&lt;&gt;0,'Calculations PJ'!AB22*About!$B$45,0)</f>
        <v>16530802888160.973</v>
      </c>
      <c r="AC22">
        <f>IF('Calculations PJ'!AC22&lt;&gt;0,'Calculations PJ'!AC22*About!$B$45,0)</f>
        <v>16947864428917.326</v>
      </c>
      <c r="AD22">
        <f>IF('Calculations PJ'!AD22&lt;&gt;0,'Calculations PJ'!AD22*About!$B$45,0)</f>
        <v>17364925969673.682</v>
      </c>
      <c r="AE22">
        <f>IF('Calculations PJ'!AE22&lt;&gt;0,'Calculations PJ'!AE22*About!$B$45,0)</f>
        <v>17772508839049.211</v>
      </c>
      <c r="AF22">
        <f>IF('Calculations PJ'!AF22&lt;&gt;0,'Calculations PJ'!AF22*About!$B$45,0)</f>
        <v>18189570379805.566</v>
      </c>
      <c r="AG22">
        <f>IF('Calculations PJ'!AG22&lt;&gt;0,'Calculations PJ'!AG22*About!$B$45,0)</f>
        <v>18597153249181.094</v>
      </c>
      <c r="AH22">
        <f>IF('Calculations PJ'!AH22&lt;&gt;0,'Calculations PJ'!AH22*About!$B$45,0)</f>
        <v>19014214789937.445</v>
      </c>
      <c r="AI22">
        <f>IF('Calculations PJ'!AI22&lt;&gt;0,'Calculations PJ'!AI22*About!$B$45,0)</f>
        <v>19421797659312.977</v>
      </c>
      <c r="AJ22">
        <f>IF('Calculations PJ'!AJ22&lt;&gt;0,'Calculations PJ'!AJ22*About!$B$45,0)</f>
        <v>19838859200069.332</v>
      </c>
      <c r="AK22">
        <f>IF('Calculations PJ'!AK22&lt;&gt;0,'Calculations PJ'!AK22*About!$B$45,0)</f>
        <v>20255920740825.688</v>
      </c>
      <c r="AL22">
        <f>IF('Calculations PJ'!AL22&lt;&gt;0,'Calculations PJ'!AL22*About!$B$45,0)</f>
        <v>20663503610201.215</v>
      </c>
      <c r="AM22">
        <f>IF('Calculations PJ'!AM22&lt;&gt;0,'Calculations PJ'!AM22*About!$B$45,0)</f>
        <v>21080565150957.566</v>
      </c>
      <c r="AN22">
        <f>IF('Calculations PJ'!AN22&lt;&gt;0,'Calculations PJ'!AN22*About!$B$45,0)</f>
        <v>21488148020333.098</v>
      </c>
      <c r="AO22">
        <f>IF('Calculations PJ'!AO22&lt;&gt;0,'Calculations PJ'!AO22*About!$B$45,0)</f>
        <v>21488148020333.098</v>
      </c>
      <c r="AP22">
        <f>IF('Calculations PJ'!AP22&lt;&gt;0,'Calculations PJ'!AP22*About!$B$45,0)</f>
        <v>21488148020333.098</v>
      </c>
      <c r="AQ22">
        <f>IF('Calculations PJ'!AQ22&lt;&gt;0,'Calculations PJ'!AQ22*About!$B$45,0)</f>
        <v>21488148020333.098</v>
      </c>
      <c r="AR22">
        <f>IF('Calculations PJ'!AR22&lt;&gt;0,'Calculations PJ'!AR22*About!$B$45,0)</f>
        <v>21488148020333.098</v>
      </c>
      <c r="AS22">
        <f>IF('Calculations PJ'!AS22&lt;&gt;0,'Calculations PJ'!AS22*About!$B$45,0)</f>
        <v>21488148020333.098</v>
      </c>
      <c r="AT22">
        <f>IF('Calculations PJ'!AT22&lt;&gt;0,'Calculations PJ'!AT22*About!$B$45,0)</f>
        <v>21488148020333.098</v>
      </c>
      <c r="AU22">
        <f>IF('Calculations PJ'!AU22&lt;&gt;0,'Calculations PJ'!AU22*About!$B$45,0)</f>
        <v>21488148020333.098</v>
      </c>
      <c r="AV22">
        <f>IF('Calculations PJ'!AV22&lt;&gt;0,'Calculations PJ'!AV22*About!$B$45,0)</f>
        <v>21488148020333.098</v>
      </c>
      <c r="AW22">
        <f>IF('Calculations PJ'!AW22&lt;&gt;0,'Calculations PJ'!AW22*About!$B$45,0)</f>
        <v>21488148020333.098</v>
      </c>
      <c r="AX22">
        <f>IF('Calculations PJ'!AX22&lt;&gt;0,'Calculations PJ'!AX22*About!$B$45,0)</f>
        <v>21488148020333.098</v>
      </c>
      <c r="AY22">
        <f>IF('Calculations PJ'!AY22&lt;&gt;0,'Calculations PJ'!AY22*About!$B$45,0)</f>
        <v>21488148020333.098</v>
      </c>
      <c r="AZ22">
        <f>IF('Calculations PJ'!AZ22&lt;&gt;0,'Calculations PJ'!AZ22*About!$B$45,0)</f>
        <v>21488148020333.098</v>
      </c>
      <c r="BA22">
        <f>IF('Calculations PJ'!BA22&lt;&gt;0,'Calculations PJ'!BA22*About!$B$45,0)</f>
        <v>21488148020333.098</v>
      </c>
      <c r="BB22">
        <f>IF('Calculations PJ'!BB22&lt;&gt;0,'Calculations PJ'!BB22*About!$B$45,0)</f>
        <v>21488148020333.098</v>
      </c>
      <c r="BC22">
        <f>IF('Calculations PJ'!BC22&lt;&gt;0,'Calculations PJ'!BC22*About!$B$45,0)</f>
        <v>21488148020333.098</v>
      </c>
      <c r="BD22">
        <f>IF('Calculations PJ'!BD22&lt;&gt;0,'Calculations PJ'!BD22*About!$B$45,0)</f>
        <v>21488148020333.098</v>
      </c>
      <c r="BE22">
        <f>IF('Calculations PJ'!BE22&lt;&gt;0,'Calculations PJ'!BE22*About!$B$45,0)</f>
        <v>21488148020333.098</v>
      </c>
      <c r="BF22">
        <f>IF('Calculations PJ'!BF22&lt;&gt;0,'Calculations PJ'!BF22*About!$B$45,0)</f>
        <v>21488148020333.098</v>
      </c>
      <c r="BG22">
        <f>IF('Calculations PJ'!BG22&lt;&gt;0,'Calculations PJ'!BG22*About!$B$45,0)</f>
        <v>21488148020333.098</v>
      </c>
      <c r="BH22">
        <f>IF('Calculations PJ'!BH22&lt;&gt;0,'Calculations PJ'!BH22*About!$B$45,0)</f>
        <v>21488148020333.098</v>
      </c>
    </row>
    <row r="23" spans="1:60" hidden="1" outlineLevel="1">
      <c r="B23" t="s">
        <v>146</v>
      </c>
      <c r="C23">
        <f>IF('Calculations PJ'!C23&lt;&gt;0,'Calculations PJ'!C23*About!$B$45,0)</f>
        <v>0</v>
      </c>
      <c r="D23">
        <f>IF('Calculations PJ'!D23&lt;&gt;0,'Calculations PJ'!D23*About!$B$45,0)</f>
        <v>0</v>
      </c>
      <c r="E23">
        <f>IF('Calculations PJ'!E23&lt;&gt;0,'Calculations PJ'!E23*About!$B$45,0)</f>
        <v>0</v>
      </c>
      <c r="F23">
        <f>IF('Calculations PJ'!F23&lt;&gt;0,'Calculations PJ'!F23*About!$B$45,0)</f>
        <v>0</v>
      </c>
      <c r="G23">
        <f>IF('Calculations PJ'!G23&lt;&gt;0,'Calculations PJ'!G23*About!$B$45,0)</f>
        <v>0</v>
      </c>
      <c r="H23">
        <f>IF('Calculations PJ'!H23&lt;&gt;0,'Calculations PJ'!H23*About!$B$45,0)</f>
        <v>0</v>
      </c>
      <c r="I23">
        <f>IF('Calculations PJ'!I23&lt;&gt;0,'Calculations PJ'!I23*About!$B$45,0)</f>
        <v>0</v>
      </c>
      <c r="J23">
        <f>IF('Calculations PJ'!J23&lt;&gt;0,'Calculations PJ'!J23*About!$B$45,0)</f>
        <v>0</v>
      </c>
      <c r="K23">
        <f>IF('Calculations PJ'!K23&lt;&gt;0,'Calculations PJ'!K23*About!$B$45,0)</f>
        <v>0</v>
      </c>
      <c r="L23">
        <f>IF('Calculations PJ'!L23&lt;&gt;0,'Calculations PJ'!L23*About!$B$45,0)</f>
        <v>0</v>
      </c>
      <c r="M23">
        <f>IF('Calculations PJ'!M23&lt;&gt;0,'Calculations PJ'!M23*About!$B$45,0)</f>
        <v>0</v>
      </c>
      <c r="N23">
        <f>IF('Calculations PJ'!N23&lt;&gt;0,'Calculations PJ'!N23*About!$B$45,0)</f>
        <v>0</v>
      </c>
      <c r="O23">
        <f>IF('Calculations PJ'!O23&lt;&gt;0,'Calculations PJ'!O23*About!$B$45,0)</f>
        <v>0</v>
      </c>
      <c r="P23">
        <f>IF('Calculations PJ'!P23&lt;&gt;0,'Calculations PJ'!P23*About!$B$45,0)</f>
        <v>0</v>
      </c>
      <c r="Q23">
        <f>IF('Calculations PJ'!Q23&lt;&gt;0,'Calculations PJ'!Q23*About!$B$45,0)</f>
        <v>0</v>
      </c>
      <c r="R23">
        <f>IF('Calculations PJ'!R23&lt;&gt;0,'Calculations PJ'!R23*About!$B$45,0)</f>
        <v>0</v>
      </c>
      <c r="S23">
        <f>IF('Calculations PJ'!S23&lt;&gt;0,'Calculations PJ'!S23*About!$B$45,0)</f>
        <v>0</v>
      </c>
      <c r="T23">
        <f>IF('Calculations PJ'!T23&lt;&gt;0,'Calculations PJ'!T23*About!$B$45,0)</f>
        <v>0</v>
      </c>
      <c r="U23">
        <f>IF('Calculations PJ'!U23&lt;&gt;0,'Calculations PJ'!U23*About!$B$45,0)</f>
        <v>0</v>
      </c>
      <c r="V23">
        <f>IF('Calculations PJ'!V23&lt;&gt;0,'Calculations PJ'!V23*About!$B$45,0)</f>
        <v>0</v>
      </c>
      <c r="W23">
        <f>IF('Calculations PJ'!W23&lt;&gt;0,'Calculations PJ'!W23*About!$B$45,0)</f>
        <v>0</v>
      </c>
      <c r="X23">
        <f>IF('Calculations PJ'!X23&lt;&gt;0,'Calculations PJ'!X23*About!$B$45,0)</f>
        <v>0</v>
      </c>
      <c r="Y23">
        <f>IF('Calculations PJ'!Y23&lt;&gt;0,'Calculations PJ'!Y23*About!$B$45,0)</f>
        <v>0</v>
      </c>
      <c r="Z23">
        <f>IF('Calculations PJ'!Z23&lt;&gt;0,'Calculations PJ'!Z23*About!$B$45,0)</f>
        <v>0</v>
      </c>
      <c r="AA23">
        <f>IF('Calculations PJ'!AA23&lt;&gt;0,'Calculations PJ'!AA23*About!$B$45,0)</f>
        <v>0</v>
      </c>
      <c r="AB23">
        <f>IF('Calculations PJ'!AB23&lt;&gt;0,'Calculations PJ'!AB23*About!$B$45,0)</f>
        <v>0</v>
      </c>
      <c r="AC23">
        <f>IF('Calculations PJ'!AC23&lt;&gt;0,'Calculations PJ'!AC23*About!$B$45,0)</f>
        <v>0</v>
      </c>
      <c r="AD23">
        <f>IF('Calculations PJ'!AD23&lt;&gt;0,'Calculations PJ'!AD23*About!$B$45,0)</f>
        <v>0</v>
      </c>
      <c r="AE23">
        <f>IF('Calculations PJ'!AE23&lt;&gt;0,'Calculations PJ'!AE23*About!$B$45,0)</f>
        <v>0</v>
      </c>
      <c r="AF23">
        <f>IF('Calculations PJ'!AF23&lt;&gt;0,'Calculations PJ'!AF23*About!$B$45,0)</f>
        <v>0</v>
      </c>
      <c r="AG23">
        <f>IF('Calculations PJ'!AG23&lt;&gt;0,'Calculations PJ'!AG23*About!$B$45,0)</f>
        <v>0</v>
      </c>
      <c r="AH23">
        <f>IF('Calculations PJ'!AH23&lt;&gt;0,'Calculations PJ'!AH23*About!$B$45,0)</f>
        <v>0</v>
      </c>
      <c r="AI23">
        <f>IF('Calculations PJ'!AI23&lt;&gt;0,'Calculations PJ'!AI23*About!$B$45,0)</f>
        <v>0</v>
      </c>
      <c r="AJ23">
        <f>IF('Calculations PJ'!AJ23&lt;&gt;0,'Calculations PJ'!AJ23*About!$B$45,0)</f>
        <v>0</v>
      </c>
      <c r="AK23">
        <f>IF('Calculations PJ'!AK23&lt;&gt;0,'Calculations PJ'!AK23*About!$B$45,0)</f>
        <v>0</v>
      </c>
      <c r="AL23">
        <f>IF('Calculations PJ'!AL23&lt;&gt;0,'Calculations PJ'!AL23*About!$B$45,0)</f>
        <v>0</v>
      </c>
      <c r="AM23">
        <f>IF('Calculations PJ'!AM23&lt;&gt;0,'Calculations PJ'!AM23*About!$B$45,0)</f>
        <v>0</v>
      </c>
      <c r="AN23">
        <f>IF('Calculations PJ'!AN23&lt;&gt;0,'Calculations PJ'!AN23*About!$B$45,0)</f>
        <v>0</v>
      </c>
      <c r="AO23">
        <f>IF('Calculations PJ'!AO23&lt;&gt;0,'Calculations PJ'!AO23*About!$B$45,0)</f>
        <v>0</v>
      </c>
      <c r="AP23">
        <f>IF('Calculations PJ'!AP23&lt;&gt;0,'Calculations PJ'!AP23*About!$B$45,0)</f>
        <v>0</v>
      </c>
      <c r="AQ23">
        <f>IF('Calculations PJ'!AQ23&lt;&gt;0,'Calculations PJ'!AQ23*About!$B$45,0)</f>
        <v>0</v>
      </c>
      <c r="AR23">
        <f>IF('Calculations PJ'!AR23&lt;&gt;0,'Calculations PJ'!AR23*About!$B$45,0)</f>
        <v>0</v>
      </c>
      <c r="AS23">
        <f>IF('Calculations PJ'!AS23&lt;&gt;0,'Calculations PJ'!AS23*About!$B$45,0)</f>
        <v>0</v>
      </c>
      <c r="AT23">
        <f>IF('Calculations PJ'!AT23&lt;&gt;0,'Calculations PJ'!AT23*About!$B$45,0)</f>
        <v>0</v>
      </c>
      <c r="AU23">
        <f>IF('Calculations PJ'!AU23&lt;&gt;0,'Calculations PJ'!AU23*About!$B$45,0)</f>
        <v>0</v>
      </c>
      <c r="AV23">
        <f>IF('Calculations PJ'!AV23&lt;&gt;0,'Calculations PJ'!AV23*About!$B$45,0)</f>
        <v>0</v>
      </c>
      <c r="AW23">
        <f>IF('Calculations PJ'!AW23&lt;&gt;0,'Calculations PJ'!AW23*About!$B$45,0)</f>
        <v>0</v>
      </c>
      <c r="AX23">
        <f>IF('Calculations PJ'!AX23&lt;&gt;0,'Calculations PJ'!AX23*About!$B$45,0)</f>
        <v>0</v>
      </c>
      <c r="AY23">
        <f>IF('Calculations PJ'!AY23&lt;&gt;0,'Calculations PJ'!AY23*About!$B$45,0)</f>
        <v>0</v>
      </c>
      <c r="AZ23">
        <f>IF('Calculations PJ'!AZ23&lt;&gt;0,'Calculations PJ'!AZ23*About!$B$45,0)</f>
        <v>0</v>
      </c>
      <c r="BA23">
        <f>IF('Calculations PJ'!BA23&lt;&gt;0,'Calculations PJ'!BA23*About!$B$45,0)</f>
        <v>0</v>
      </c>
      <c r="BB23">
        <f>IF('Calculations PJ'!BB23&lt;&gt;0,'Calculations PJ'!BB23*About!$B$45,0)</f>
        <v>0</v>
      </c>
      <c r="BC23">
        <f>IF('Calculations PJ'!BC23&lt;&gt;0,'Calculations PJ'!BC23*About!$B$45,0)</f>
        <v>0</v>
      </c>
      <c r="BD23">
        <f>IF('Calculations PJ'!BD23&lt;&gt;0,'Calculations PJ'!BD23*About!$B$45,0)</f>
        <v>0</v>
      </c>
      <c r="BE23">
        <f>IF('Calculations PJ'!BE23&lt;&gt;0,'Calculations PJ'!BE23*About!$B$45,0)</f>
        <v>0</v>
      </c>
      <c r="BF23">
        <f>IF('Calculations PJ'!BF23&lt;&gt;0,'Calculations PJ'!BF23*About!$B$45,0)</f>
        <v>0</v>
      </c>
      <c r="BG23">
        <f>IF('Calculations PJ'!BG23&lt;&gt;0,'Calculations PJ'!BG23*About!$B$45,0)</f>
        <v>0</v>
      </c>
      <c r="BH23">
        <f>IF('Calculations PJ'!BH23&lt;&gt;0,'Calculations PJ'!BH23*About!$B$45,0)</f>
        <v>0</v>
      </c>
    </row>
    <row r="24" spans="1:60" hidden="1" outlineLevel="1">
      <c r="B24" t="s">
        <v>147</v>
      </c>
      <c r="C24">
        <f>IF('Calculations PJ'!C24&lt;&gt;0,'Calculations PJ'!C24*About!$B$45,0)</f>
        <v>359374346732646.19</v>
      </c>
      <c r="D24">
        <f>IF('Calculations PJ'!D24&lt;&gt;0,'Calculations PJ'!D24*About!$B$45,0)</f>
        <v>370843539103446</v>
      </c>
      <c r="E24">
        <f>IF('Calculations PJ'!E24&lt;&gt;0,'Calculations PJ'!E24*About!$B$45,0)</f>
        <v>373516524432838.94</v>
      </c>
      <c r="F24">
        <f>IF('Calculations PJ'!F24&lt;&gt;0,'Calculations PJ'!F24*About!$B$45,0)</f>
        <v>369052070212469.88</v>
      </c>
      <c r="G24">
        <f>IF('Calculations PJ'!G24&lt;&gt;0,'Calculations PJ'!G24*About!$B$45,0)</f>
        <v>381014153495072.56</v>
      </c>
      <c r="H24">
        <f>IF('Calculations PJ'!H24&lt;&gt;0,'Calculations PJ'!H24*About!$B$45,0)</f>
        <v>412729787935317.25</v>
      </c>
      <c r="I24">
        <f>IF('Calculations PJ'!I24&lt;&gt;0,'Calculations PJ'!I24*About!$B$45,0)</f>
        <v>426824572278605.81</v>
      </c>
      <c r="J24">
        <f>IF('Calculations PJ'!J24&lt;&gt;0,'Calculations PJ'!J24*About!$B$45,0)</f>
        <v>413762963115827.25</v>
      </c>
      <c r="K24">
        <f>IF('Calculations PJ'!K24&lt;&gt;0,'Calculations PJ'!K24*About!$B$45,0)</f>
        <v>434085234556318.75</v>
      </c>
      <c r="L24">
        <f>IF('Calculations PJ'!L24&lt;&gt;0,'Calculations PJ'!L24*About!$B$45,0)</f>
        <v>459440680500028.94</v>
      </c>
      <c r="M24">
        <f>IF('Calculations PJ'!M24&lt;&gt;0,'Calculations PJ'!M24*About!$B$45,0)</f>
        <v>456303240272975.5</v>
      </c>
      <c r="N24">
        <f>IF('Calculations PJ'!N24&lt;&gt;0,'Calculations PJ'!N24*About!$B$45,0)</f>
        <v>456222163852913.81</v>
      </c>
      <c r="O24">
        <f>IF('Calculations PJ'!O24&lt;&gt;0,'Calculations PJ'!O24*About!$B$45,0)</f>
        <v>456141169417993.13</v>
      </c>
      <c r="P24">
        <f>IF('Calculations PJ'!P24&lt;&gt;0,'Calculations PJ'!P24*About!$B$45,0)</f>
        <v>456069489684171.44</v>
      </c>
      <c r="Q24">
        <f>IF('Calculations PJ'!Q24&lt;&gt;0,'Calculations PJ'!Q24*About!$B$45,0)</f>
        <v>455988413264109.81</v>
      </c>
      <c r="R24">
        <f>IF('Calculations PJ'!R24&lt;&gt;0,'Calculations PJ'!R24*About!$B$45,0)</f>
        <v>455907418829189</v>
      </c>
      <c r="S24">
        <f>IF('Calculations PJ'!S24&lt;&gt;0,'Calculations PJ'!S24*About!$B$45,0)</f>
        <v>455835739095367.38</v>
      </c>
      <c r="T24">
        <f>IF('Calculations PJ'!T24&lt;&gt;0,'Calculations PJ'!T24*About!$B$45,0)</f>
        <v>455754744660446.56</v>
      </c>
      <c r="U24">
        <f>IF('Calculations PJ'!U24&lt;&gt;0,'Calculations PJ'!U24*About!$B$45,0)</f>
        <v>455673750225525.88</v>
      </c>
      <c r="V24">
        <f>IF('Calculations PJ'!V24&lt;&gt;0,'Calculations PJ'!V24*About!$B$45,0)</f>
        <v>455601988506563.38</v>
      </c>
      <c r="W24">
        <f>IF('Calculations PJ'!W24&lt;&gt;0,'Calculations PJ'!W24*About!$B$45,0)</f>
        <v>455520994071642.56</v>
      </c>
      <c r="X24">
        <f>IF('Calculations PJ'!X24&lt;&gt;0,'Calculations PJ'!X24*About!$B$45,0)</f>
        <v>453459348468610.38</v>
      </c>
      <c r="Y24">
        <f>IF('Calculations PJ'!Y24&lt;&gt;0,'Calculations PJ'!Y24*About!$B$45,0)</f>
        <v>448750952781260.13</v>
      </c>
      <c r="Z24">
        <f>IF('Calculations PJ'!Z24&lt;&gt;0,'Calculations PJ'!Z24*About!$B$45,0)</f>
        <v>444033160407669.94</v>
      </c>
      <c r="AA24">
        <f>IF('Calculations PJ'!AA24&lt;&gt;0,'Calculations PJ'!AA24*About!$B$45,0)</f>
        <v>439315204063798.13</v>
      </c>
      <c r="AB24">
        <f>IF('Calculations PJ'!AB24&lt;&gt;0,'Calculations PJ'!AB24*About!$B$45,0)</f>
        <v>434606808376447.94</v>
      </c>
      <c r="AC24">
        <f>IF('Calculations PJ'!AC24&lt;&gt;0,'Calculations PJ'!AC24*About!$B$45,0)</f>
        <v>429889097987998.63</v>
      </c>
      <c r="AD24">
        <f>IF('Calculations PJ'!AD24&lt;&gt;0,'Calculations PJ'!AD24*About!$B$45,0)</f>
        <v>425180538330366.69</v>
      </c>
      <c r="AE24">
        <f>IF('Calculations PJ'!AE24&lt;&gt;0,'Calculations PJ'!AE24*About!$B$45,0)</f>
        <v>420462663971635.69</v>
      </c>
      <c r="AF24">
        <f>IF('Calculations PJ'!AF24&lt;&gt;0,'Calculations PJ'!AF24*About!$B$45,0)</f>
        <v>415744871598045.5</v>
      </c>
      <c r="AG24">
        <f>IF('Calculations PJ'!AG24&lt;&gt;0,'Calculations PJ'!AG24*About!$B$45,0)</f>
        <v>411036475910695.38</v>
      </c>
      <c r="AH24">
        <f>IF('Calculations PJ'!AH24&lt;&gt;0,'Calculations PJ'!AH24*About!$B$45,0)</f>
        <v>406318519566823.44</v>
      </c>
      <c r="AI24">
        <f>IF('Calculations PJ'!AI24&lt;&gt;0,'Calculations PJ'!AI24*About!$B$45,0)</f>
        <v>401600727193233.31</v>
      </c>
      <c r="AJ24">
        <f>IF('Calculations PJ'!AJ24&lt;&gt;0,'Calculations PJ'!AJ24*About!$B$45,0)</f>
        <v>396892331505883.06</v>
      </c>
      <c r="AK24">
        <f>IF('Calculations PJ'!AK24&lt;&gt;0,'Calculations PJ'!AK24*About!$B$45,0)</f>
        <v>392174457147152.06</v>
      </c>
      <c r="AL24">
        <f>IF('Calculations PJ'!AL24&lt;&gt;0,'Calculations PJ'!AL24*About!$B$45,0)</f>
        <v>387456500803280.19</v>
      </c>
      <c r="AM24">
        <f>IF('Calculations PJ'!AM24&lt;&gt;0,'Calculations PJ'!AM24*About!$B$45,0)</f>
        <v>382701203669871</v>
      </c>
      <c r="AN24">
        <f>IF('Calculations PJ'!AN24&lt;&gt;0,'Calculations PJ'!AN24*About!$B$45,0)</f>
        <v>377945824551320.94</v>
      </c>
      <c r="AO24">
        <f>IF('Calculations PJ'!AO24&lt;&gt;0,'Calculations PJ'!AO24*About!$B$45,0)</f>
        <v>377945824551320.94</v>
      </c>
      <c r="AP24">
        <f>IF('Calculations PJ'!AP24&lt;&gt;0,'Calculations PJ'!AP24*About!$B$45,0)</f>
        <v>377945824551320.94</v>
      </c>
      <c r="AQ24">
        <f>IF('Calculations PJ'!AQ24&lt;&gt;0,'Calculations PJ'!AQ24*About!$B$45,0)</f>
        <v>377945824551320.94</v>
      </c>
      <c r="AR24">
        <f>IF('Calculations PJ'!AR24&lt;&gt;0,'Calculations PJ'!AR24*About!$B$45,0)</f>
        <v>377945824551320.94</v>
      </c>
      <c r="AS24">
        <f>IF('Calculations PJ'!AS24&lt;&gt;0,'Calculations PJ'!AS24*About!$B$45,0)</f>
        <v>377945824551320.94</v>
      </c>
      <c r="AT24">
        <f>IF('Calculations PJ'!AT24&lt;&gt;0,'Calculations PJ'!AT24*About!$B$45,0)</f>
        <v>377945824551320.94</v>
      </c>
      <c r="AU24">
        <f>IF('Calculations PJ'!AU24&lt;&gt;0,'Calculations PJ'!AU24*About!$B$45,0)</f>
        <v>377945824551320.94</v>
      </c>
      <c r="AV24">
        <f>IF('Calculations PJ'!AV24&lt;&gt;0,'Calculations PJ'!AV24*About!$B$45,0)</f>
        <v>377945824551320.94</v>
      </c>
      <c r="AW24">
        <f>IF('Calculations PJ'!AW24&lt;&gt;0,'Calculations PJ'!AW24*About!$B$45,0)</f>
        <v>377945824551320.94</v>
      </c>
      <c r="AX24">
        <f>IF('Calculations PJ'!AX24&lt;&gt;0,'Calculations PJ'!AX24*About!$B$45,0)</f>
        <v>377945824551320.94</v>
      </c>
      <c r="AY24">
        <f>IF('Calculations PJ'!AY24&lt;&gt;0,'Calculations PJ'!AY24*About!$B$45,0)</f>
        <v>377945824551320.94</v>
      </c>
      <c r="AZ24">
        <f>IF('Calculations PJ'!AZ24&lt;&gt;0,'Calculations PJ'!AZ24*About!$B$45,0)</f>
        <v>377945824551320.94</v>
      </c>
      <c r="BA24">
        <f>IF('Calculations PJ'!BA24&lt;&gt;0,'Calculations PJ'!BA24*About!$B$45,0)</f>
        <v>377945824551320.94</v>
      </c>
      <c r="BB24">
        <f>IF('Calculations PJ'!BB24&lt;&gt;0,'Calculations PJ'!BB24*About!$B$45,0)</f>
        <v>377945824551320.94</v>
      </c>
      <c r="BC24">
        <f>IF('Calculations PJ'!BC24&lt;&gt;0,'Calculations PJ'!BC24*About!$B$45,0)</f>
        <v>377945824551320.94</v>
      </c>
      <c r="BD24">
        <f>IF('Calculations PJ'!BD24&lt;&gt;0,'Calculations PJ'!BD24*About!$B$45,0)</f>
        <v>377945824551320.94</v>
      </c>
      <c r="BE24">
        <f>IF('Calculations PJ'!BE24&lt;&gt;0,'Calculations PJ'!BE24*About!$B$45,0)</f>
        <v>377945824551320.94</v>
      </c>
      <c r="BF24">
        <f>IF('Calculations PJ'!BF24&lt;&gt;0,'Calculations PJ'!BF24*About!$B$45,0)</f>
        <v>377945824551320.94</v>
      </c>
      <c r="BG24">
        <f>IF('Calculations PJ'!BG24&lt;&gt;0,'Calculations PJ'!BG24*About!$B$45,0)</f>
        <v>377945824551320.94</v>
      </c>
      <c r="BH24">
        <f>IF('Calculations PJ'!BH24&lt;&gt;0,'Calculations PJ'!BH24*About!$B$45,0)</f>
        <v>377945824551320.94</v>
      </c>
    </row>
    <row r="25" spans="1:60" hidden="1" outlineLevel="1">
      <c r="B25" t="s">
        <v>148</v>
      </c>
      <c r="C25">
        <f>IF('Calculations PJ'!C25&lt;&gt;0,'Calculations PJ'!C25*About!$B$45,0)</f>
        <v>0</v>
      </c>
      <c r="D25">
        <f>IF('Calculations PJ'!D25&lt;&gt;0,'Calculations PJ'!D25*About!$B$45,0)</f>
        <v>0</v>
      </c>
      <c r="E25">
        <f>IF('Calculations PJ'!E25&lt;&gt;0,'Calculations PJ'!E25*About!$B$45,0)</f>
        <v>0</v>
      </c>
      <c r="F25">
        <f>IF('Calculations PJ'!F25&lt;&gt;0,'Calculations PJ'!F25*About!$B$45,0)</f>
        <v>0</v>
      </c>
      <c r="G25">
        <f>IF('Calculations PJ'!G25&lt;&gt;0,'Calculations PJ'!G25*About!$B$45,0)</f>
        <v>0</v>
      </c>
      <c r="H25">
        <f>IF('Calculations PJ'!H25&lt;&gt;0,'Calculations PJ'!H25*About!$B$45,0)</f>
        <v>0</v>
      </c>
      <c r="I25">
        <f>IF('Calculations PJ'!I25&lt;&gt;0,'Calculations PJ'!I25*About!$B$45,0)</f>
        <v>0</v>
      </c>
      <c r="J25">
        <f>IF('Calculations PJ'!J25&lt;&gt;0,'Calculations PJ'!J25*About!$B$45,0)</f>
        <v>0</v>
      </c>
      <c r="K25">
        <f>IF('Calculations PJ'!K25&lt;&gt;0,'Calculations PJ'!K25*About!$B$45,0)</f>
        <v>0</v>
      </c>
      <c r="L25">
        <f>IF('Calculations PJ'!L25&lt;&gt;0,'Calculations PJ'!L25*About!$B$45,0)</f>
        <v>0</v>
      </c>
      <c r="M25">
        <f>IF('Calculations PJ'!M25&lt;&gt;0,'Calculations PJ'!M25*About!$B$45,0)</f>
        <v>0</v>
      </c>
      <c r="N25">
        <f>IF('Calculations PJ'!N25&lt;&gt;0,'Calculations PJ'!N25*About!$B$45,0)</f>
        <v>0</v>
      </c>
      <c r="O25">
        <f>IF('Calculations PJ'!O25&lt;&gt;0,'Calculations PJ'!O25*About!$B$45,0)</f>
        <v>0</v>
      </c>
      <c r="P25">
        <f>IF('Calculations PJ'!P25&lt;&gt;0,'Calculations PJ'!P25*About!$B$45,0)</f>
        <v>0</v>
      </c>
      <c r="Q25">
        <f>IF('Calculations PJ'!Q25&lt;&gt;0,'Calculations PJ'!Q25*About!$B$45,0)</f>
        <v>0</v>
      </c>
      <c r="R25">
        <f>IF('Calculations PJ'!R25&lt;&gt;0,'Calculations PJ'!R25*About!$B$45,0)</f>
        <v>0</v>
      </c>
      <c r="S25">
        <f>IF('Calculations PJ'!S25&lt;&gt;0,'Calculations PJ'!S25*About!$B$45,0)</f>
        <v>0</v>
      </c>
      <c r="T25">
        <f>IF('Calculations PJ'!T25&lt;&gt;0,'Calculations PJ'!T25*About!$B$45,0)</f>
        <v>0</v>
      </c>
      <c r="U25">
        <f>IF('Calculations PJ'!U25&lt;&gt;0,'Calculations PJ'!U25*About!$B$45,0)</f>
        <v>0</v>
      </c>
      <c r="V25">
        <f>IF('Calculations PJ'!V25&lt;&gt;0,'Calculations PJ'!V25*About!$B$45,0)</f>
        <v>0</v>
      </c>
      <c r="W25">
        <f>IF('Calculations PJ'!W25&lt;&gt;0,'Calculations PJ'!W25*About!$B$45,0)</f>
        <v>0</v>
      </c>
      <c r="X25">
        <f>IF('Calculations PJ'!X25&lt;&gt;0,'Calculations PJ'!X25*About!$B$45,0)</f>
        <v>0</v>
      </c>
      <c r="Y25">
        <f>IF('Calculations PJ'!Y25&lt;&gt;0,'Calculations PJ'!Y25*About!$B$45,0)</f>
        <v>0</v>
      </c>
      <c r="Z25">
        <f>IF('Calculations PJ'!Z25&lt;&gt;0,'Calculations PJ'!Z25*About!$B$45,0)</f>
        <v>0</v>
      </c>
      <c r="AA25">
        <f>IF('Calculations PJ'!AA25&lt;&gt;0,'Calculations PJ'!AA25*About!$B$45,0)</f>
        <v>0</v>
      </c>
      <c r="AB25">
        <f>IF('Calculations PJ'!AB25&lt;&gt;0,'Calculations PJ'!AB25*About!$B$45,0)</f>
        <v>0</v>
      </c>
      <c r="AC25">
        <f>IF('Calculations PJ'!AC25&lt;&gt;0,'Calculations PJ'!AC25*About!$B$45,0)</f>
        <v>0</v>
      </c>
      <c r="AD25">
        <f>IF('Calculations PJ'!AD25&lt;&gt;0,'Calculations PJ'!AD25*About!$B$45,0)</f>
        <v>0</v>
      </c>
      <c r="AE25">
        <f>IF('Calculations PJ'!AE25&lt;&gt;0,'Calculations PJ'!AE25*About!$B$45,0)</f>
        <v>0</v>
      </c>
      <c r="AF25">
        <f>IF('Calculations PJ'!AF25&lt;&gt;0,'Calculations PJ'!AF25*About!$B$45,0)</f>
        <v>0</v>
      </c>
      <c r="AG25">
        <f>IF('Calculations PJ'!AG25&lt;&gt;0,'Calculations PJ'!AG25*About!$B$45,0)</f>
        <v>0</v>
      </c>
      <c r="AH25">
        <f>IF('Calculations PJ'!AH25&lt;&gt;0,'Calculations PJ'!AH25*About!$B$45,0)</f>
        <v>0</v>
      </c>
      <c r="AI25">
        <f>IF('Calculations PJ'!AI25&lt;&gt;0,'Calculations PJ'!AI25*About!$B$45,0)</f>
        <v>0</v>
      </c>
      <c r="AJ25">
        <f>IF('Calculations PJ'!AJ25&lt;&gt;0,'Calculations PJ'!AJ25*About!$B$45,0)</f>
        <v>0</v>
      </c>
      <c r="AK25">
        <f>IF('Calculations PJ'!AK25&lt;&gt;0,'Calculations PJ'!AK25*About!$B$45,0)</f>
        <v>0</v>
      </c>
      <c r="AL25">
        <f>IF('Calculations PJ'!AL25&lt;&gt;0,'Calculations PJ'!AL25*About!$B$45,0)</f>
        <v>0</v>
      </c>
      <c r="AM25">
        <f>IF('Calculations PJ'!AM25&lt;&gt;0,'Calculations PJ'!AM25*About!$B$45,0)</f>
        <v>0</v>
      </c>
      <c r="AN25">
        <f>IF('Calculations PJ'!AN25&lt;&gt;0,'Calculations PJ'!AN25*About!$B$45,0)</f>
        <v>0</v>
      </c>
      <c r="AO25">
        <f>IF('Calculations PJ'!AO25&lt;&gt;0,'Calculations PJ'!AO25*About!$B$45,0)</f>
        <v>0</v>
      </c>
      <c r="AP25">
        <f>IF('Calculations PJ'!AP25&lt;&gt;0,'Calculations PJ'!AP25*About!$B$45,0)</f>
        <v>0</v>
      </c>
      <c r="AQ25">
        <f>IF('Calculations PJ'!AQ25&lt;&gt;0,'Calculations PJ'!AQ25*About!$B$45,0)</f>
        <v>0</v>
      </c>
      <c r="AR25">
        <f>IF('Calculations PJ'!AR25&lt;&gt;0,'Calculations PJ'!AR25*About!$B$45,0)</f>
        <v>0</v>
      </c>
      <c r="AS25">
        <f>IF('Calculations PJ'!AS25&lt;&gt;0,'Calculations PJ'!AS25*About!$B$45,0)</f>
        <v>0</v>
      </c>
      <c r="AT25">
        <f>IF('Calculations PJ'!AT25&lt;&gt;0,'Calculations PJ'!AT25*About!$B$45,0)</f>
        <v>0</v>
      </c>
      <c r="AU25">
        <f>IF('Calculations PJ'!AU25&lt;&gt;0,'Calculations PJ'!AU25*About!$B$45,0)</f>
        <v>0</v>
      </c>
      <c r="AV25">
        <f>IF('Calculations PJ'!AV25&lt;&gt;0,'Calculations PJ'!AV25*About!$B$45,0)</f>
        <v>0</v>
      </c>
      <c r="AW25">
        <f>IF('Calculations PJ'!AW25&lt;&gt;0,'Calculations PJ'!AW25*About!$B$45,0)</f>
        <v>0</v>
      </c>
      <c r="AX25">
        <f>IF('Calculations PJ'!AX25&lt;&gt;0,'Calculations PJ'!AX25*About!$B$45,0)</f>
        <v>0</v>
      </c>
      <c r="AY25">
        <f>IF('Calculations PJ'!AY25&lt;&gt;0,'Calculations PJ'!AY25*About!$B$45,0)</f>
        <v>0</v>
      </c>
      <c r="AZ25">
        <f>IF('Calculations PJ'!AZ25&lt;&gt;0,'Calculations PJ'!AZ25*About!$B$45,0)</f>
        <v>0</v>
      </c>
      <c r="BA25">
        <f>IF('Calculations PJ'!BA25&lt;&gt;0,'Calculations PJ'!BA25*About!$B$45,0)</f>
        <v>0</v>
      </c>
      <c r="BB25">
        <f>IF('Calculations PJ'!BB25&lt;&gt;0,'Calculations PJ'!BB25*About!$B$45,0)</f>
        <v>0</v>
      </c>
      <c r="BC25">
        <f>IF('Calculations PJ'!BC25&lt;&gt;0,'Calculations PJ'!BC25*About!$B$45,0)</f>
        <v>0</v>
      </c>
      <c r="BD25">
        <f>IF('Calculations PJ'!BD25&lt;&gt;0,'Calculations PJ'!BD25*About!$B$45,0)</f>
        <v>0</v>
      </c>
      <c r="BE25">
        <f>IF('Calculations PJ'!BE25&lt;&gt;0,'Calculations PJ'!BE25*About!$B$45,0)</f>
        <v>0</v>
      </c>
      <c r="BF25">
        <f>IF('Calculations PJ'!BF25&lt;&gt;0,'Calculations PJ'!BF25*About!$B$45,0)</f>
        <v>0</v>
      </c>
      <c r="BG25">
        <f>IF('Calculations PJ'!BG25&lt;&gt;0,'Calculations PJ'!BG25*About!$B$45,0)</f>
        <v>0</v>
      </c>
      <c r="BH25">
        <f>IF('Calculations PJ'!BH25&lt;&gt;0,'Calculations PJ'!BH25*About!$B$45,0)</f>
        <v>0</v>
      </c>
    </row>
    <row r="26" spans="1:60" hidden="1" outlineLevel="1">
      <c r="B26" t="s">
        <v>149</v>
      </c>
      <c r="C26">
        <f>IF('Calculations PJ'!C26&lt;&gt;0,'Calculations PJ'!C26*About!$B$45,0)</f>
        <v>0</v>
      </c>
      <c r="D26">
        <f>IF('Calculations PJ'!D26&lt;&gt;0,'Calculations PJ'!D26*About!$B$45,0)</f>
        <v>0</v>
      </c>
      <c r="E26">
        <f>IF('Calculations PJ'!E26&lt;&gt;0,'Calculations PJ'!E26*About!$B$45,0)</f>
        <v>0</v>
      </c>
      <c r="F26">
        <f>IF('Calculations PJ'!F26&lt;&gt;0,'Calculations PJ'!F26*About!$B$45,0)</f>
        <v>0</v>
      </c>
      <c r="G26">
        <f>IF('Calculations PJ'!G26&lt;&gt;0,'Calculations PJ'!G26*About!$B$45,0)</f>
        <v>0</v>
      </c>
      <c r="H26">
        <f>IF('Calculations PJ'!H26&lt;&gt;0,'Calculations PJ'!H26*About!$B$45,0)</f>
        <v>0</v>
      </c>
      <c r="I26">
        <f>IF('Calculations PJ'!I26&lt;&gt;0,'Calculations PJ'!I26*About!$B$45,0)</f>
        <v>0</v>
      </c>
      <c r="J26">
        <f>IF('Calculations PJ'!J26&lt;&gt;0,'Calculations PJ'!J26*About!$B$45,0)</f>
        <v>0</v>
      </c>
      <c r="K26">
        <f>IF('Calculations PJ'!K26&lt;&gt;0,'Calculations PJ'!K26*About!$B$45,0)</f>
        <v>0</v>
      </c>
      <c r="L26">
        <f>IF('Calculations PJ'!L26&lt;&gt;0,'Calculations PJ'!L26*About!$B$45,0)</f>
        <v>0</v>
      </c>
      <c r="M26">
        <f>IF('Calculations PJ'!M26&lt;&gt;0,'Calculations PJ'!M26*About!$B$45,0)</f>
        <v>0</v>
      </c>
      <c r="N26">
        <f>IF('Calculations PJ'!N26&lt;&gt;0,'Calculations PJ'!N26*About!$B$45,0)</f>
        <v>0</v>
      </c>
      <c r="O26">
        <f>IF('Calculations PJ'!O26&lt;&gt;0,'Calculations PJ'!O26*About!$B$45,0)</f>
        <v>0</v>
      </c>
      <c r="P26">
        <f>IF('Calculations PJ'!P26&lt;&gt;0,'Calculations PJ'!P26*About!$B$45,0)</f>
        <v>0</v>
      </c>
      <c r="Q26">
        <f>IF('Calculations PJ'!Q26&lt;&gt;0,'Calculations PJ'!Q26*About!$B$45,0)</f>
        <v>0</v>
      </c>
      <c r="R26">
        <f>IF('Calculations PJ'!R26&lt;&gt;0,'Calculations PJ'!R26*About!$B$45,0)</f>
        <v>0</v>
      </c>
      <c r="S26">
        <f>IF('Calculations PJ'!S26&lt;&gt;0,'Calculations PJ'!S26*About!$B$45,0)</f>
        <v>0</v>
      </c>
      <c r="T26">
        <f>IF('Calculations PJ'!T26&lt;&gt;0,'Calculations PJ'!T26*About!$B$45,0)</f>
        <v>0</v>
      </c>
      <c r="U26">
        <f>IF('Calculations PJ'!U26&lt;&gt;0,'Calculations PJ'!U26*About!$B$45,0)</f>
        <v>0</v>
      </c>
      <c r="V26">
        <f>IF('Calculations PJ'!V26&lt;&gt;0,'Calculations PJ'!V26*About!$B$45,0)</f>
        <v>0</v>
      </c>
      <c r="W26">
        <f>IF('Calculations PJ'!W26&lt;&gt;0,'Calculations PJ'!W26*About!$B$45,0)</f>
        <v>0</v>
      </c>
      <c r="X26">
        <f>IF('Calculations PJ'!X26&lt;&gt;0,'Calculations PJ'!X26*About!$B$45,0)</f>
        <v>0</v>
      </c>
      <c r="Y26">
        <f>IF('Calculations PJ'!Y26&lt;&gt;0,'Calculations PJ'!Y26*About!$B$45,0)</f>
        <v>0</v>
      </c>
      <c r="Z26">
        <f>IF('Calculations PJ'!Z26&lt;&gt;0,'Calculations PJ'!Z26*About!$B$45,0)</f>
        <v>0</v>
      </c>
      <c r="AA26">
        <f>IF('Calculations PJ'!AA26&lt;&gt;0,'Calculations PJ'!AA26*About!$B$45,0)</f>
        <v>0</v>
      </c>
      <c r="AB26">
        <f>IF('Calculations PJ'!AB26&lt;&gt;0,'Calculations PJ'!AB26*About!$B$45,0)</f>
        <v>0</v>
      </c>
      <c r="AC26">
        <f>IF('Calculations PJ'!AC26&lt;&gt;0,'Calculations PJ'!AC26*About!$B$45,0)</f>
        <v>0</v>
      </c>
      <c r="AD26">
        <f>IF('Calculations PJ'!AD26&lt;&gt;0,'Calculations PJ'!AD26*About!$B$45,0)</f>
        <v>0</v>
      </c>
      <c r="AE26">
        <f>IF('Calculations PJ'!AE26&lt;&gt;0,'Calculations PJ'!AE26*About!$B$45,0)</f>
        <v>0</v>
      </c>
      <c r="AF26">
        <f>IF('Calculations PJ'!AF26&lt;&gt;0,'Calculations PJ'!AF26*About!$B$45,0)</f>
        <v>0</v>
      </c>
      <c r="AG26">
        <f>IF('Calculations PJ'!AG26&lt;&gt;0,'Calculations PJ'!AG26*About!$B$45,0)</f>
        <v>0</v>
      </c>
      <c r="AH26">
        <f>IF('Calculations PJ'!AH26&lt;&gt;0,'Calculations PJ'!AH26*About!$B$45,0)</f>
        <v>0</v>
      </c>
      <c r="AI26">
        <f>IF('Calculations PJ'!AI26&lt;&gt;0,'Calculations PJ'!AI26*About!$B$45,0)</f>
        <v>0</v>
      </c>
      <c r="AJ26">
        <f>IF('Calculations PJ'!AJ26&lt;&gt;0,'Calculations PJ'!AJ26*About!$B$45,0)</f>
        <v>0</v>
      </c>
      <c r="AK26">
        <f>IF('Calculations PJ'!AK26&lt;&gt;0,'Calculations PJ'!AK26*About!$B$45,0)</f>
        <v>0</v>
      </c>
      <c r="AL26">
        <f>IF('Calculations PJ'!AL26&lt;&gt;0,'Calculations PJ'!AL26*About!$B$45,0)</f>
        <v>0</v>
      </c>
      <c r="AM26">
        <f>IF('Calculations PJ'!AM26&lt;&gt;0,'Calculations PJ'!AM26*About!$B$45,0)</f>
        <v>0</v>
      </c>
      <c r="AN26">
        <f>IF('Calculations PJ'!AN26&lt;&gt;0,'Calculations PJ'!AN26*About!$B$45,0)</f>
        <v>0</v>
      </c>
      <c r="AO26">
        <f>IF('Calculations PJ'!AO26&lt;&gt;0,'Calculations PJ'!AO26*About!$B$45,0)</f>
        <v>0</v>
      </c>
      <c r="AP26">
        <f>IF('Calculations PJ'!AP26&lt;&gt;0,'Calculations PJ'!AP26*About!$B$45,0)</f>
        <v>0</v>
      </c>
      <c r="AQ26">
        <f>IF('Calculations PJ'!AQ26&lt;&gt;0,'Calculations PJ'!AQ26*About!$B$45,0)</f>
        <v>0</v>
      </c>
      <c r="AR26">
        <f>IF('Calculations PJ'!AR26&lt;&gt;0,'Calculations PJ'!AR26*About!$B$45,0)</f>
        <v>0</v>
      </c>
      <c r="AS26">
        <f>IF('Calculations PJ'!AS26&lt;&gt;0,'Calculations PJ'!AS26*About!$B$45,0)</f>
        <v>0</v>
      </c>
      <c r="AT26">
        <f>IF('Calculations PJ'!AT26&lt;&gt;0,'Calculations PJ'!AT26*About!$B$45,0)</f>
        <v>0</v>
      </c>
      <c r="AU26">
        <f>IF('Calculations PJ'!AU26&lt;&gt;0,'Calculations PJ'!AU26*About!$B$45,0)</f>
        <v>0</v>
      </c>
      <c r="AV26">
        <f>IF('Calculations PJ'!AV26&lt;&gt;0,'Calculations PJ'!AV26*About!$B$45,0)</f>
        <v>0</v>
      </c>
      <c r="AW26">
        <f>IF('Calculations PJ'!AW26&lt;&gt;0,'Calculations PJ'!AW26*About!$B$45,0)</f>
        <v>0</v>
      </c>
      <c r="AX26">
        <f>IF('Calculations PJ'!AX26&lt;&gt;0,'Calculations PJ'!AX26*About!$B$45,0)</f>
        <v>0</v>
      </c>
      <c r="AY26">
        <f>IF('Calculations PJ'!AY26&lt;&gt;0,'Calculations PJ'!AY26*About!$B$45,0)</f>
        <v>0</v>
      </c>
      <c r="AZ26">
        <f>IF('Calculations PJ'!AZ26&lt;&gt;0,'Calculations PJ'!AZ26*About!$B$45,0)</f>
        <v>0</v>
      </c>
      <c r="BA26">
        <f>IF('Calculations PJ'!BA26&lt;&gt;0,'Calculations PJ'!BA26*About!$B$45,0)</f>
        <v>0</v>
      </c>
      <c r="BB26">
        <f>IF('Calculations PJ'!BB26&lt;&gt;0,'Calculations PJ'!BB26*About!$B$45,0)</f>
        <v>0</v>
      </c>
      <c r="BC26">
        <f>IF('Calculations PJ'!BC26&lt;&gt;0,'Calculations PJ'!BC26*About!$B$45,0)</f>
        <v>0</v>
      </c>
      <c r="BD26">
        <f>IF('Calculations PJ'!BD26&lt;&gt;0,'Calculations PJ'!BD26*About!$B$45,0)</f>
        <v>0</v>
      </c>
      <c r="BE26">
        <f>IF('Calculations PJ'!BE26&lt;&gt;0,'Calculations PJ'!BE26*About!$B$45,0)</f>
        <v>0</v>
      </c>
      <c r="BF26">
        <f>IF('Calculations PJ'!BF26&lt;&gt;0,'Calculations PJ'!BF26*About!$B$45,0)</f>
        <v>0</v>
      </c>
      <c r="BG26">
        <f>IF('Calculations PJ'!BG26&lt;&gt;0,'Calculations PJ'!BG26*About!$B$45,0)</f>
        <v>0</v>
      </c>
      <c r="BH26">
        <f>IF('Calculations PJ'!BH26&lt;&gt;0,'Calculations PJ'!BH26*About!$B$45,0)</f>
        <v>0</v>
      </c>
    </row>
    <row r="27" spans="1:60" hidden="1" outlineLevel="1">
      <c r="B27" t="s">
        <v>150</v>
      </c>
      <c r="C27">
        <f>IF('Calculations PJ'!C27&lt;&gt;0,'Calculations PJ'!C27*About!$B$45,0)</f>
        <v>1677724834406.2454</v>
      </c>
      <c r="D27">
        <f>IF('Calculations PJ'!D27&lt;&gt;0,'Calculations PJ'!D27*About!$B$45,0)</f>
        <v>1744075534072.0293</v>
      </c>
      <c r="E27">
        <f>IF('Calculations PJ'!E27&lt;&gt;0,'Calculations PJ'!E27*About!$B$45,0)</f>
        <v>1772511548214.5081</v>
      </c>
      <c r="F27">
        <f>IF('Calculations PJ'!F27&lt;&gt;0,'Calculations PJ'!F27*About!$B$45,0)</f>
        <v>1895734276165.249</v>
      </c>
      <c r="G27">
        <f>IF('Calculations PJ'!G27&lt;&gt;0,'Calculations PJ'!G27*About!$B$45,0)</f>
        <v>1895734276165.249</v>
      </c>
      <c r="H27">
        <f>IF('Calculations PJ'!H27&lt;&gt;0,'Calculations PJ'!H27*About!$B$45,0)</f>
        <v>1924170290307.7275</v>
      </c>
      <c r="I27">
        <f>IF('Calculations PJ'!I27&lt;&gt;0,'Calculations PJ'!I27*About!$B$45,0)</f>
        <v>1952606304450.2065</v>
      </c>
      <c r="J27">
        <f>IF('Calculations PJ'!J27&lt;&gt;0,'Calculations PJ'!J27*About!$B$45,0)</f>
        <v>1990520989973.5115</v>
      </c>
      <c r="K27">
        <f>IF('Calculations PJ'!K27&lt;&gt;0,'Calculations PJ'!K27*About!$B$45,0)</f>
        <v>1943127633069.3801</v>
      </c>
      <c r="L27">
        <f>IF('Calculations PJ'!L27&lt;&gt;0,'Calculations PJ'!L27*About!$B$45,0)</f>
        <v>2274881131398.2988</v>
      </c>
      <c r="M27">
        <f>IF('Calculations PJ'!M27&lt;&gt;0,'Calculations PJ'!M27*About!$B$45,0)</f>
        <v>2492890573157.3022</v>
      </c>
      <c r="N27">
        <f>IF('Calculations PJ'!N27&lt;&gt;0,'Calculations PJ'!N27*About!$B$45,0)</f>
        <v>2701421343535.48</v>
      </c>
      <c r="O27">
        <f>IF('Calculations PJ'!O27&lt;&gt;0,'Calculations PJ'!O27*About!$B$45,0)</f>
        <v>2919430785294.4834</v>
      </c>
      <c r="P27">
        <f>IF('Calculations PJ'!P27&lt;&gt;0,'Calculations PJ'!P27*About!$B$45,0)</f>
        <v>3137440227053.4873</v>
      </c>
      <c r="Q27">
        <f>IF('Calculations PJ'!Q27&lt;&gt;0,'Calculations PJ'!Q27*About!$B$45,0)</f>
        <v>3355449668812.4907</v>
      </c>
      <c r="R27">
        <f>IF('Calculations PJ'!R27&lt;&gt;0,'Calculations PJ'!R27*About!$B$45,0)</f>
        <v>3573459110571.4946</v>
      </c>
      <c r="S27">
        <f>IF('Calculations PJ'!S27&lt;&gt;0,'Calculations PJ'!S27*About!$B$45,0)</f>
        <v>3791468552330.498</v>
      </c>
      <c r="T27">
        <f>IF('Calculations PJ'!T27&lt;&gt;0,'Calculations PJ'!T27*About!$B$45,0)</f>
        <v>3999999322708.6753</v>
      </c>
      <c r="U27">
        <f>IF('Calculations PJ'!U27&lt;&gt;0,'Calculations PJ'!U27*About!$B$45,0)</f>
        <v>4218008764467.6792</v>
      </c>
      <c r="V27">
        <f>IF('Calculations PJ'!V27&lt;&gt;0,'Calculations PJ'!V27*About!$B$45,0)</f>
        <v>4436018206226.6826</v>
      </c>
      <c r="W27">
        <f>IF('Calculations PJ'!W27&lt;&gt;0,'Calculations PJ'!W27*About!$B$45,0)</f>
        <v>4654027647985.6865</v>
      </c>
      <c r="X27">
        <f>IF('Calculations PJ'!X27&lt;&gt;0,'Calculations PJ'!X27*About!$B$45,0)</f>
        <v>4872037089744.6895</v>
      </c>
      <c r="Y27">
        <f>IF('Calculations PJ'!Y27&lt;&gt;0,'Calculations PJ'!Y27*About!$B$45,0)</f>
        <v>5090046531503.6934</v>
      </c>
      <c r="Z27">
        <f>IF('Calculations PJ'!Z27&lt;&gt;0,'Calculations PJ'!Z27*About!$B$45,0)</f>
        <v>5298577301881.8711</v>
      </c>
      <c r="AA27">
        <f>IF('Calculations PJ'!AA27&lt;&gt;0,'Calculations PJ'!AA27*About!$B$45,0)</f>
        <v>5516586743640.875</v>
      </c>
      <c r="AB27">
        <f>IF('Calculations PJ'!AB27&lt;&gt;0,'Calculations PJ'!AB27*About!$B$45,0)</f>
        <v>5734596185399.8779</v>
      </c>
      <c r="AC27">
        <f>IF('Calculations PJ'!AC27&lt;&gt;0,'Calculations PJ'!AC27*About!$B$45,0)</f>
        <v>5952605627158.8818</v>
      </c>
      <c r="AD27">
        <f>IF('Calculations PJ'!AD27&lt;&gt;0,'Calculations PJ'!AD27*About!$B$45,0)</f>
        <v>6170615068917.8857</v>
      </c>
      <c r="AE27">
        <f>IF('Calculations PJ'!AE27&lt;&gt;0,'Calculations PJ'!AE27*About!$B$45,0)</f>
        <v>6388624510676.8896</v>
      </c>
      <c r="AF27">
        <f>IF('Calculations PJ'!AF27&lt;&gt;0,'Calculations PJ'!AF27*About!$B$45,0)</f>
        <v>6597155281055.0664</v>
      </c>
      <c r="AG27">
        <f>IF('Calculations PJ'!AG27&lt;&gt;0,'Calculations PJ'!AG27*About!$B$45,0)</f>
        <v>6815164722814.0703</v>
      </c>
      <c r="AH27">
        <f>IF('Calculations PJ'!AH27&lt;&gt;0,'Calculations PJ'!AH27*About!$B$45,0)</f>
        <v>7033174164573.0742</v>
      </c>
      <c r="AI27">
        <f>IF('Calculations PJ'!AI27&lt;&gt;0,'Calculations PJ'!AI27*About!$B$45,0)</f>
        <v>7251183606332.0781</v>
      </c>
      <c r="AJ27">
        <f>IF('Calculations PJ'!AJ27&lt;&gt;0,'Calculations PJ'!AJ27*About!$B$45,0)</f>
        <v>7469193048091.0811</v>
      </c>
      <c r="AK27">
        <f>IF('Calculations PJ'!AK27&lt;&gt;0,'Calculations PJ'!AK27*About!$B$45,0)</f>
        <v>7687202489850.084</v>
      </c>
      <c r="AL27">
        <f>IF('Calculations PJ'!AL27&lt;&gt;0,'Calculations PJ'!AL27*About!$B$45,0)</f>
        <v>7905211931609.0879</v>
      </c>
      <c r="AM27">
        <f>IF('Calculations PJ'!AM27&lt;&gt;0,'Calculations PJ'!AM27*About!$B$45,0)</f>
        <v>8113742701987.2666</v>
      </c>
      <c r="AN27">
        <f>IF('Calculations PJ'!AN27&lt;&gt;0,'Calculations PJ'!AN27*About!$B$45,0)</f>
        <v>8331752143746.2686</v>
      </c>
      <c r="AO27">
        <f>IF('Calculations PJ'!AO27&lt;&gt;0,'Calculations PJ'!AO27*About!$B$45,0)</f>
        <v>8331752143746.2686</v>
      </c>
      <c r="AP27">
        <f>IF('Calculations PJ'!AP27&lt;&gt;0,'Calculations PJ'!AP27*About!$B$45,0)</f>
        <v>8331752143746.2686</v>
      </c>
      <c r="AQ27">
        <f>IF('Calculations PJ'!AQ27&lt;&gt;0,'Calculations PJ'!AQ27*About!$B$45,0)</f>
        <v>8331752143746.2686</v>
      </c>
      <c r="AR27">
        <f>IF('Calculations PJ'!AR27&lt;&gt;0,'Calculations PJ'!AR27*About!$B$45,0)</f>
        <v>8331752143746.2686</v>
      </c>
      <c r="AS27">
        <f>IF('Calculations PJ'!AS27&lt;&gt;0,'Calculations PJ'!AS27*About!$B$45,0)</f>
        <v>8331752143746.2686</v>
      </c>
      <c r="AT27">
        <f>IF('Calculations PJ'!AT27&lt;&gt;0,'Calculations PJ'!AT27*About!$B$45,0)</f>
        <v>8331752143746.2686</v>
      </c>
      <c r="AU27">
        <f>IF('Calculations PJ'!AU27&lt;&gt;0,'Calculations PJ'!AU27*About!$B$45,0)</f>
        <v>8331752143746.2686</v>
      </c>
      <c r="AV27">
        <f>IF('Calculations PJ'!AV27&lt;&gt;0,'Calculations PJ'!AV27*About!$B$45,0)</f>
        <v>8331752143746.2686</v>
      </c>
      <c r="AW27">
        <f>IF('Calculations PJ'!AW27&lt;&gt;0,'Calculations PJ'!AW27*About!$B$45,0)</f>
        <v>8331752143746.2686</v>
      </c>
      <c r="AX27">
        <f>IF('Calculations PJ'!AX27&lt;&gt;0,'Calculations PJ'!AX27*About!$B$45,0)</f>
        <v>8331752143746.2686</v>
      </c>
      <c r="AY27">
        <f>IF('Calculations PJ'!AY27&lt;&gt;0,'Calculations PJ'!AY27*About!$B$45,0)</f>
        <v>8331752143746.2686</v>
      </c>
      <c r="AZ27">
        <f>IF('Calculations PJ'!AZ27&lt;&gt;0,'Calculations PJ'!AZ27*About!$B$45,0)</f>
        <v>8331752143746.2686</v>
      </c>
      <c r="BA27">
        <f>IF('Calculations PJ'!BA27&lt;&gt;0,'Calculations PJ'!BA27*About!$B$45,0)</f>
        <v>8331752143746.2686</v>
      </c>
      <c r="BB27">
        <f>IF('Calculations PJ'!BB27&lt;&gt;0,'Calculations PJ'!BB27*About!$B$45,0)</f>
        <v>8331752143746.2686</v>
      </c>
      <c r="BC27">
        <f>IF('Calculations PJ'!BC27&lt;&gt;0,'Calculations PJ'!BC27*About!$B$45,0)</f>
        <v>8331752143746.2686</v>
      </c>
      <c r="BD27">
        <f>IF('Calculations PJ'!BD27&lt;&gt;0,'Calculations PJ'!BD27*About!$B$45,0)</f>
        <v>8331752143746.2686</v>
      </c>
      <c r="BE27">
        <f>IF('Calculations PJ'!BE27&lt;&gt;0,'Calculations PJ'!BE27*About!$B$45,0)</f>
        <v>8331752143746.2686</v>
      </c>
      <c r="BF27">
        <f>IF('Calculations PJ'!BF27&lt;&gt;0,'Calculations PJ'!BF27*About!$B$45,0)</f>
        <v>8331752143746.2686</v>
      </c>
      <c r="BG27">
        <f>IF('Calculations PJ'!BG27&lt;&gt;0,'Calculations PJ'!BG27*About!$B$45,0)</f>
        <v>8331752143746.2686</v>
      </c>
      <c r="BH27">
        <f>IF('Calculations PJ'!BH27&lt;&gt;0,'Calculations PJ'!BH27*About!$B$45,0)</f>
        <v>8331752143746.2686</v>
      </c>
    </row>
    <row r="28" spans="1:60" collapsed="1">
      <c r="A28" t="s">
        <v>151</v>
      </c>
      <c r="C28">
        <f>SUM(C29:C53)</f>
        <v>156587651211249.56</v>
      </c>
      <c r="D28">
        <f t="shared" ref="D28:BH28" si="1">SUM(D29:D53)</f>
        <v>138113720690019.22</v>
      </c>
      <c r="E28">
        <f t="shared" si="1"/>
        <v>140217985736562.66</v>
      </c>
      <c r="F28">
        <f t="shared" si="1"/>
        <v>120654008006537.28</v>
      </c>
      <c r="G28">
        <f t="shared" si="1"/>
        <v>285488103319105.63</v>
      </c>
      <c r="H28">
        <f t="shared" si="1"/>
        <v>222142142481043.91</v>
      </c>
      <c r="I28">
        <f t="shared" si="1"/>
        <v>169402814918126.66</v>
      </c>
      <c r="J28">
        <f t="shared" si="1"/>
        <v>62094776215792.727</v>
      </c>
      <c r="K28">
        <f t="shared" si="1"/>
        <v>106274863521823.86</v>
      </c>
      <c r="L28">
        <f t="shared" si="1"/>
        <v>105345953726502.89</v>
      </c>
      <c r="M28">
        <f t="shared" si="1"/>
        <v>103326996722386.89</v>
      </c>
      <c r="N28">
        <f t="shared" si="1"/>
        <v>101308039718270.91</v>
      </c>
      <c r="O28">
        <f t="shared" si="1"/>
        <v>99289082714154.906</v>
      </c>
      <c r="P28">
        <f t="shared" si="1"/>
        <v>97270125710038.922</v>
      </c>
      <c r="Q28">
        <f t="shared" si="1"/>
        <v>95251168705922.938</v>
      </c>
      <c r="R28">
        <f t="shared" si="1"/>
        <v>93232211701806.938</v>
      </c>
      <c r="S28">
        <f t="shared" si="1"/>
        <v>91213254697690.953</v>
      </c>
      <c r="T28">
        <f t="shared" si="1"/>
        <v>89194297693574.969</v>
      </c>
      <c r="U28">
        <f t="shared" si="1"/>
        <v>87175340689458.969</v>
      </c>
      <c r="V28">
        <f t="shared" si="1"/>
        <v>85156383685342.984</v>
      </c>
      <c r="W28">
        <f t="shared" si="1"/>
        <v>83137426681227</v>
      </c>
      <c r="X28">
        <f t="shared" si="1"/>
        <v>81118469677111</v>
      </c>
      <c r="Y28">
        <f t="shared" si="1"/>
        <v>79099512672995.016</v>
      </c>
      <c r="Z28">
        <f t="shared" si="1"/>
        <v>77080555668879.031</v>
      </c>
      <c r="AA28">
        <f t="shared" si="1"/>
        <v>75061598664763.031</v>
      </c>
      <c r="AB28">
        <f t="shared" si="1"/>
        <v>73042641660647.031</v>
      </c>
      <c r="AC28">
        <f t="shared" si="1"/>
        <v>71023684656531.063</v>
      </c>
      <c r="AD28">
        <f t="shared" si="1"/>
        <v>69004727652415.063</v>
      </c>
      <c r="AE28">
        <f t="shared" si="1"/>
        <v>66985770648299.07</v>
      </c>
      <c r="AF28">
        <f t="shared" si="1"/>
        <v>64966813644183.078</v>
      </c>
      <c r="AG28">
        <f t="shared" si="1"/>
        <v>62947856640067.094</v>
      </c>
      <c r="AH28">
        <f t="shared" si="1"/>
        <v>60928899635951.109</v>
      </c>
      <c r="AI28">
        <f t="shared" si="1"/>
        <v>58909942631835.109</v>
      </c>
      <c r="AJ28">
        <f t="shared" si="1"/>
        <v>56890985627719.125</v>
      </c>
      <c r="AK28">
        <f t="shared" si="1"/>
        <v>54872028623603.133</v>
      </c>
      <c r="AL28">
        <f t="shared" si="1"/>
        <v>52853071619487.141</v>
      </c>
      <c r="AM28">
        <f t="shared" si="1"/>
        <v>50834114615371.156</v>
      </c>
      <c r="AN28">
        <f t="shared" si="1"/>
        <v>48815157611255.164</v>
      </c>
      <c r="AO28">
        <f t="shared" si="1"/>
        <v>48815157611255.164</v>
      </c>
      <c r="AP28">
        <f t="shared" si="1"/>
        <v>48815157611255.164</v>
      </c>
      <c r="AQ28">
        <f t="shared" si="1"/>
        <v>48815157611255.164</v>
      </c>
      <c r="AR28">
        <f t="shared" si="1"/>
        <v>48815157611255.164</v>
      </c>
      <c r="AS28">
        <f t="shared" si="1"/>
        <v>48815157611255.164</v>
      </c>
      <c r="AT28">
        <f t="shared" si="1"/>
        <v>48815157611255.164</v>
      </c>
      <c r="AU28">
        <f t="shared" si="1"/>
        <v>48815157611255.164</v>
      </c>
      <c r="AV28">
        <f t="shared" si="1"/>
        <v>48815157611255.164</v>
      </c>
      <c r="AW28">
        <f t="shared" si="1"/>
        <v>48815157611255.164</v>
      </c>
      <c r="AX28">
        <f t="shared" si="1"/>
        <v>48815157611255.164</v>
      </c>
      <c r="AY28">
        <f t="shared" si="1"/>
        <v>48815157611255.164</v>
      </c>
      <c r="AZ28">
        <f t="shared" si="1"/>
        <v>48815157611255.164</v>
      </c>
      <c r="BA28">
        <f t="shared" si="1"/>
        <v>48815157611255.164</v>
      </c>
      <c r="BB28">
        <f t="shared" si="1"/>
        <v>48815157611255.164</v>
      </c>
      <c r="BC28">
        <f t="shared" si="1"/>
        <v>48815157611255.164</v>
      </c>
      <c r="BD28">
        <f t="shared" si="1"/>
        <v>48815157611255.164</v>
      </c>
      <c r="BE28">
        <f t="shared" si="1"/>
        <v>48815157611255.164</v>
      </c>
      <c r="BF28">
        <f t="shared" si="1"/>
        <v>48815157611255.164</v>
      </c>
      <c r="BG28">
        <f t="shared" si="1"/>
        <v>48815157611255.164</v>
      </c>
      <c r="BH28">
        <f t="shared" si="1"/>
        <v>48815157611255.164</v>
      </c>
    </row>
    <row r="29" spans="1:60" hidden="1" outlineLevel="1">
      <c r="B29" t="s">
        <v>126</v>
      </c>
      <c r="C29">
        <f>IF('Calculations PJ'!C29&lt;&gt;0,'Calculations PJ'!C29*About!$B$45,0)</f>
        <v>0</v>
      </c>
      <c r="D29">
        <f>IF('Calculations PJ'!D29&lt;&gt;0,'Calculations PJ'!D29*About!$B$45,0)</f>
        <v>0</v>
      </c>
      <c r="E29">
        <f>IF('Calculations PJ'!E29&lt;&gt;0,'Calculations PJ'!E29*About!$B$45,0)</f>
        <v>0</v>
      </c>
      <c r="F29">
        <f>IF('Calculations PJ'!F29&lt;&gt;0,'Calculations PJ'!F29*About!$B$45,0)</f>
        <v>0</v>
      </c>
      <c r="G29">
        <f>IF('Calculations PJ'!G29&lt;&gt;0,'Calculations PJ'!G29*About!$B$45,0)</f>
        <v>0</v>
      </c>
      <c r="H29">
        <f>IF('Calculations PJ'!H29&lt;&gt;0,'Calculations PJ'!H29*About!$B$45,0)</f>
        <v>0</v>
      </c>
      <c r="I29">
        <f>IF('Calculations PJ'!I29&lt;&gt;0,'Calculations PJ'!I29*About!$B$45,0)</f>
        <v>0</v>
      </c>
      <c r="J29">
        <f>IF('Calculations PJ'!J29&lt;&gt;0,'Calculations PJ'!J29*About!$B$45,0)</f>
        <v>0</v>
      </c>
      <c r="K29">
        <f>IF('Calculations PJ'!K29&lt;&gt;0,'Calculations PJ'!K29*About!$B$45,0)</f>
        <v>0</v>
      </c>
      <c r="L29">
        <f>IF('Calculations PJ'!L29&lt;&gt;0,'Calculations PJ'!L29*About!$B$45,0)</f>
        <v>0</v>
      </c>
      <c r="M29">
        <f>IF('Calculations PJ'!M29&lt;&gt;0,'Calculations PJ'!M29*About!$B$45,0)</f>
        <v>0</v>
      </c>
      <c r="N29">
        <f>IF('Calculations PJ'!N29&lt;&gt;0,'Calculations PJ'!N29*About!$B$45,0)</f>
        <v>0</v>
      </c>
      <c r="O29">
        <f>IF('Calculations PJ'!O29&lt;&gt;0,'Calculations PJ'!O29*About!$B$45,0)</f>
        <v>0</v>
      </c>
      <c r="P29">
        <f>IF('Calculations PJ'!P29&lt;&gt;0,'Calculations PJ'!P29*About!$B$45,0)</f>
        <v>0</v>
      </c>
      <c r="Q29">
        <f>IF('Calculations PJ'!Q29&lt;&gt;0,'Calculations PJ'!Q29*About!$B$45,0)</f>
        <v>0</v>
      </c>
      <c r="R29">
        <f>IF('Calculations PJ'!R29&lt;&gt;0,'Calculations PJ'!R29*About!$B$45,0)</f>
        <v>0</v>
      </c>
      <c r="S29">
        <f>IF('Calculations PJ'!S29&lt;&gt;0,'Calculations PJ'!S29*About!$B$45,0)</f>
        <v>0</v>
      </c>
      <c r="T29">
        <f>IF('Calculations PJ'!T29&lt;&gt;0,'Calculations PJ'!T29*About!$B$45,0)</f>
        <v>0</v>
      </c>
      <c r="U29">
        <f>IF('Calculations PJ'!U29&lt;&gt;0,'Calculations PJ'!U29*About!$B$45,0)</f>
        <v>0</v>
      </c>
      <c r="V29">
        <f>IF('Calculations PJ'!V29&lt;&gt;0,'Calculations PJ'!V29*About!$B$45,0)</f>
        <v>0</v>
      </c>
      <c r="W29">
        <f>IF('Calculations PJ'!W29&lt;&gt;0,'Calculations PJ'!W29*About!$B$45,0)</f>
        <v>0</v>
      </c>
      <c r="X29">
        <f>IF('Calculations PJ'!X29&lt;&gt;0,'Calculations PJ'!X29*About!$B$45,0)</f>
        <v>0</v>
      </c>
      <c r="Y29">
        <f>IF('Calculations PJ'!Y29&lt;&gt;0,'Calculations PJ'!Y29*About!$B$45,0)</f>
        <v>0</v>
      </c>
      <c r="Z29">
        <f>IF('Calculations PJ'!Z29&lt;&gt;0,'Calculations PJ'!Z29*About!$B$45,0)</f>
        <v>0</v>
      </c>
      <c r="AA29">
        <f>IF('Calculations PJ'!AA29&lt;&gt;0,'Calculations PJ'!AA29*About!$B$45,0)</f>
        <v>0</v>
      </c>
      <c r="AB29">
        <f>IF('Calculations PJ'!AB29&lt;&gt;0,'Calculations PJ'!AB29*About!$B$45,0)</f>
        <v>0</v>
      </c>
      <c r="AC29">
        <f>IF('Calculations PJ'!AC29&lt;&gt;0,'Calculations PJ'!AC29*About!$B$45,0)</f>
        <v>0</v>
      </c>
      <c r="AD29">
        <f>IF('Calculations PJ'!AD29&lt;&gt;0,'Calculations PJ'!AD29*About!$B$45,0)</f>
        <v>0</v>
      </c>
      <c r="AE29">
        <f>IF('Calculations PJ'!AE29&lt;&gt;0,'Calculations PJ'!AE29*About!$B$45,0)</f>
        <v>0</v>
      </c>
      <c r="AF29">
        <f>IF('Calculations PJ'!AF29&lt;&gt;0,'Calculations PJ'!AF29*About!$B$45,0)</f>
        <v>0</v>
      </c>
      <c r="AG29">
        <f>IF('Calculations PJ'!AG29&lt;&gt;0,'Calculations PJ'!AG29*About!$B$45,0)</f>
        <v>0</v>
      </c>
      <c r="AH29">
        <f>IF('Calculations PJ'!AH29&lt;&gt;0,'Calculations PJ'!AH29*About!$B$45,0)</f>
        <v>0</v>
      </c>
      <c r="AI29">
        <f>IF('Calculations PJ'!AI29&lt;&gt;0,'Calculations PJ'!AI29*About!$B$45,0)</f>
        <v>0</v>
      </c>
      <c r="AJ29">
        <f>IF('Calculations PJ'!AJ29&lt;&gt;0,'Calculations PJ'!AJ29*About!$B$45,0)</f>
        <v>0</v>
      </c>
      <c r="AK29">
        <f>IF('Calculations PJ'!AK29&lt;&gt;0,'Calculations PJ'!AK29*About!$B$45,0)</f>
        <v>0</v>
      </c>
      <c r="AL29">
        <f>IF('Calculations PJ'!AL29&lt;&gt;0,'Calculations PJ'!AL29*About!$B$45,0)</f>
        <v>0</v>
      </c>
      <c r="AM29">
        <f>IF('Calculations PJ'!AM29&lt;&gt;0,'Calculations PJ'!AM29*About!$B$45,0)</f>
        <v>0</v>
      </c>
      <c r="AN29">
        <f>IF('Calculations PJ'!AN29&lt;&gt;0,'Calculations PJ'!AN29*About!$B$45,0)</f>
        <v>0</v>
      </c>
      <c r="AO29">
        <f>IF('Calculations PJ'!AO29&lt;&gt;0,'Calculations PJ'!AO29*About!$B$45,0)</f>
        <v>0</v>
      </c>
      <c r="AP29">
        <f>IF('Calculations PJ'!AP29&lt;&gt;0,'Calculations PJ'!AP29*About!$B$45,0)</f>
        <v>0</v>
      </c>
      <c r="AQ29">
        <f>IF('Calculations PJ'!AQ29&lt;&gt;0,'Calculations PJ'!AQ29*About!$B$45,0)</f>
        <v>0</v>
      </c>
      <c r="AR29">
        <f>IF('Calculations PJ'!AR29&lt;&gt;0,'Calculations PJ'!AR29*About!$B$45,0)</f>
        <v>0</v>
      </c>
      <c r="AS29">
        <f>IF('Calculations PJ'!AS29&lt;&gt;0,'Calculations PJ'!AS29*About!$B$45,0)</f>
        <v>0</v>
      </c>
      <c r="AT29">
        <f>IF('Calculations PJ'!AT29&lt;&gt;0,'Calculations PJ'!AT29*About!$B$45,0)</f>
        <v>0</v>
      </c>
      <c r="AU29">
        <f>IF('Calculations PJ'!AU29&lt;&gt;0,'Calculations PJ'!AU29*About!$B$45,0)</f>
        <v>0</v>
      </c>
      <c r="AV29">
        <f>IF('Calculations PJ'!AV29&lt;&gt;0,'Calculations PJ'!AV29*About!$B$45,0)</f>
        <v>0</v>
      </c>
      <c r="AW29">
        <f>IF('Calculations PJ'!AW29&lt;&gt;0,'Calculations PJ'!AW29*About!$B$45,0)</f>
        <v>0</v>
      </c>
      <c r="AX29">
        <f>IF('Calculations PJ'!AX29&lt;&gt;0,'Calculations PJ'!AX29*About!$B$45,0)</f>
        <v>0</v>
      </c>
      <c r="AY29">
        <f>IF('Calculations PJ'!AY29&lt;&gt;0,'Calculations PJ'!AY29*About!$B$45,0)</f>
        <v>0</v>
      </c>
      <c r="AZ29">
        <f>IF('Calculations PJ'!AZ29&lt;&gt;0,'Calculations PJ'!AZ29*About!$B$45,0)</f>
        <v>0</v>
      </c>
      <c r="BA29">
        <f>IF('Calculations PJ'!BA29&lt;&gt;0,'Calculations PJ'!BA29*About!$B$45,0)</f>
        <v>0</v>
      </c>
      <c r="BB29">
        <f>IF('Calculations PJ'!BB29&lt;&gt;0,'Calculations PJ'!BB29*About!$B$45,0)</f>
        <v>0</v>
      </c>
      <c r="BC29">
        <f>IF('Calculations PJ'!BC29&lt;&gt;0,'Calculations PJ'!BC29*About!$B$45,0)</f>
        <v>0</v>
      </c>
      <c r="BD29">
        <f>IF('Calculations PJ'!BD29&lt;&gt;0,'Calculations PJ'!BD29*About!$B$45,0)</f>
        <v>0</v>
      </c>
      <c r="BE29">
        <f>IF('Calculations PJ'!BE29&lt;&gt;0,'Calculations PJ'!BE29*About!$B$45,0)</f>
        <v>0</v>
      </c>
      <c r="BF29">
        <f>IF('Calculations PJ'!BF29&lt;&gt;0,'Calculations PJ'!BF29*About!$B$45,0)</f>
        <v>0</v>
      </c>
      <c r="BG29">
        <f>IF('Calculations PJ'!BG29&lt;&gt;0,'Calculations PJ'!BG29*About!$B$45,0)</f>
        <v>0</v>
      </c>
      <c r="BH29">
        <f>IF('Calculations PJ'!BH29&lt;&gt;0,'Calculations PJ'!BH29*About!$B$45,0)</f>
        <v>0</v>
      </c>
    </row>
    <row r="30" spans="1:60" hidden="1" outlineLevel="1">
      <c r="B30" t="s">
        <v>127</v>
      </c>
      <c r="C30">
        <f>IF('Calculations PJ'!C30&lt;&gt;0,'Calculations PJ'!C30*About!$B$45,0)</f>
        <v>0</v>
      </c>
      <c r="D30">
        <f>IF('Calculations PJ'!D30&lt;&gt;0,'Calculations PJ'!D30*About!$B$45,0)</f>
        <v>0</v>
      </c>
      <c r="E30">
        <f>IF('Calculations PJ'!E30&lt;&gt;0,'Calculations PJ'!E30*About!$B$45,0)</f>
        <v>0</v>
      </c>
      <c r="F30">
        <f>IF('Calculations PJ'!F30&lt;&gt;0,'Calculations PJ'!F30*About!$B$45,0)</f>
        <v>0</v>
      </c>
      <c r="G30">
        <f>IF('Calculations PJ'!G30&lt;&gt;0,'Calculations PJ'!G30*About!$B$45,0)</f>
        <v>0</v>
      </c>
      <c r="H30">
        <f>IF('Calculations PJ'!H30&lt;&gt;0,'Calculations PJ'!H30*About!$B$45,0)</f>
        <v>0</v>
      </c>
      <c r="I30">
        <f>IF('Calculations PJ'!I30&lt;&gt;0,'Calculations PJ'!I30*About!$B$45,0)</f>
        <v>0</v>
      </c>
      <c r="J30">
        <f>IF('Calculations PJ'!J30&lt;&gt;0,'Calculations PJ'!J30*About!$B$45,0)</f>
        <v>0</v>
      </c>
      <c r="K30">
        <f>IF('Calculations PJ'!K30&lt;&gt;0,'Calculations PJ'!K30*About!$B$45,0)</f>
        <v>0</v>
      </c>
      <c r="L30">
        <f>IF('Calculations PJ'!L30&lt;&gt;0,'Calculations PJ'!L30*About!$B$45,0)</f>
        <v>0</v>
      </c>
      <c r="M30">
        <f>IF('Calculations PJ'!M30&lt;&gt;0,'Calculations PJ'!M30*About!$B$45,0)</f>
        <v>0</v>
      </c>
      <c r="N30">
        <f>IF('Calculations PJ'!N30&lt;&gt;0,'Calculations PJ'!N30*About!$B$45,0)</f>
        <v>0</v>
      </c>
      <c r="O30">
        <f>IF('Calculations PJ'!O30&lt;&gt;0,'Calculations PJ'!O30*About!$B$45,0)</f>
        <v>0</v>
      </c>
      <c r="P30">
        <f>IF('Calculations PJ'!P30&lt;&gt;0,'Calculations PJ'!P30*About!$B$45,0)</f>
        <v>0</v>
      </c>
      <c r="Q30">
        <f>IF('Calculations PJ'!Q30&lt;&gt;0,'Calculations PJ'!Q30*About!$B$45,0)</f>
        <v>0</v>
      </c>
      <c r="R30">
        <f>IF('Calculations PJ'!R30&lt;&gt;0,'Calculations PJ'!R30*About!$B$45,0)</f>
        <v>0</v>
      </c>
      <c r="S30">
        <f>IF('Calculations PJ'!S30&lt;&gt;0,'Calculations PJ'!S30*About!$B$45,0)</f>
        <v>0</v>
      </c>
      <c r="T30">
        <f>IF('Calculations PJ'!T30&lt;&gt;0,'Calculations PJ'!T30*About!$B$45,0)</f>
        <v>0</v>
      </c>
      <c r="U30">
        <f>IF('Calculations PJ'!U30&lt;&gt;0,'Calculations PJ'!U30*About!$B$45,0)</f>
        <v>0</v>
      </c>
      <c r="V30">
        <f>IF('Calculations PJ'!V30&lt;&gt;0,'Calculations PJ'!V30*About!$B$45,0)</f>
        <v>0</v>
      </c>
      <c r="W30">
        <f>IF('Calculations PJ'!W30&lt;&gt;0,'Calculations PJ'!W30*About!$B$45,0)</f>
        <v>0</v>
      </c>
      <c r="X30">
        <f>IF('Calculations PJ'!X30&lt;&gt;0,'Calculations PJ'!X30*About!$B$45,0)</f>
        <v>0</v>
      </c>
      <c r="Y30">
        <f>IF('Calculations PJ'!Y30&lt;&gt;0,'Calculations PJ'!Y30*About!$B$45,0)</f>
        <v>0</v>
      </c>
      <c r="Z30">
        <f>IF('Calculations PJ'!Z30&lt;&gt;0,'Calculations PJ'!Z30*About!$B$45,0)</f>
        <v>0</v>
      </c>
      <c r="AA30">
        <f>IF('Calculations PJ'!AA30&lt;&gt;0,'Calculations PJ'!AA30*About!$B$45,0)</f>
        <v>0</v>
      </c>
      <c r="AB30">
        <f>IF('Calculations PJ'!AB30&lt;&gt;0,'Calculations PJ'!AB30*About!$B$45,0)</f>
        <v>0</v>
      </c>
      <c r="AC30">
        <f>IF('Calculations PJ'!AC30&lt;&gt;0,'Calculations PJ'!AC30*About!$B$45,0)</f>
        <v>0</v>
      </c>
      <c r="AD30">
        <f>IF('Calculations PJ'!AD30&lt;&gt;0,'Calculations PJ'!AD30*About!$B$45,0)</f>
        <v>0</v>
      </c>
      <c r="AE30">
        <f>IF('Calculations PJ'!AE30&lt;&gt;0,'Calculations PJ'!AE30*About!$B$45,0)</f>
        <v>0</v>
      </c>
      <c r="AF30">
        <f>IF('Calculations PJ'!AF30&lt;&gt;0,'Calculations PJ'!AF30*About!$B$45,0)</f>
        <v>0</v>
      </c>
      <c r="AG30">
        <f>IF('Calculations PJ'!AG30&lt;&gt;0,'Calculations PJ'!AG30*About!$B$45,0)</f>
        <v>0</v>
      </c>
      <c r="AH30">
        <f>IF('Calculations PJ'!AH30&lt;&gt;0,'Calculations PJ'!AH30*About!$B$45,0)</f>
        <v>0</v>
      </c>
      <c r="AI30">
        <f>IF('Calculations PJ'!AI30&lt;&gt;0,'Calculations PJ'!AI30*About!$B$45,0)</f>
        <v>0</v>
      </c>
      <c r="AJ30">
        <f>IF('Calculations PJ'!AJ30&lt;&gt;0,'Calculations PJ'!AJ30*About!$B$45,0)</f>
        <v>0</v>
      </c>
      <c r="AK30">
        <f>IF('Calculations PJ'!AK30&lt;&gt;0,'Calculations PJ'!AK30*About!$B$45,0)</f>
        <v>0</v>
      </c>
      <c r="AL30">
        <f>IF('Calculations PJ'!AL30&lt;&gt;0,'Calculations PJ'!AL30*About!$B$45,0)</f>
        <v>0</v>
      </c>
      <c r="AM30">
        <f>IF('Calculations PJ'!AM30&lt;&gt;0,'Calculations PJ'!AM30*About!$B$45,0)</f>
        <v>0</v>
      </c>
      <c r="AN30">
        <f>IF('Calculations PJ'!AN30&lt;&gt;0,'Calculations PJ'!AN30*About!$B$45,0)</f>
        <v>0</v>
      </c>
      <c r="AO30">
        <f>IF('Calculations PJ'!AO30&lt;&gt;0,'Calculations PJ'!AO30*About!$B$45,0)</f>
        <v>0</v>
      </c>
      <c r="AP30">
        <f>IF('Calculations PJ'!AP30&lt;&gt;0,'Calculations PJ'!AP30*About!$B$45,0)</f>
        <v>0</v>
      </c>
      <c r="AQ30">
        <f>IF('Calculations PJ'!AQ30&lt;&gt;0,'Calculations PJ'!AQ30*About!$B$45,0)</f>
        <v>0</v>
      </c>
      <c r="AR30">
        <f>IF('Calculations PJ'!AR30&lt;&gt;0,'Calculations PJ'!AR30*About!$B$45,0)</f>
        <v>0</v>
      </c>
      <c r="AS30">
        <f>IF('Calculations PJ'!AS30&lt;&gt;0,'Calculations PJ'!AS30*About!$B$45,0)</f>
        <v>0</v>
      </c>
      <c r="AT30">
        <f>IF('Calculations PJ'!AT30&lt;&gt;0,'Calculations PJ'!AT30*About!$B$45,0)</f>
        <v>0</v>
      </c>
      <c r="AU30">
        <f>IF('Calculations PJ'!AU30&lt;&gt;0,'Calculations PJ'!AU30*About!$B$45,0)</f>
        <v>0</v>
      </c>
      <c r="AV30">
        <f>IF('Calculations PJ'!AV30&lt;&gt;0,'Calculations PJ'!AV30*About!$B$45,0)</f>
        <v>0</v>
      </c>
      <c r="AW30">
        <f>IF('Calculations PJ'!AW30&lt;&gt;0,'Calculations PJ'!AW30*About!$B$45,0)</f>
        <v>0</v>
      </c>
      <c r="AX30">
        <f>IF('Calculations PJ'!AX30&lt;&gt;0,'Calculations PJ'!AX30*About!$B$45,0)</f>
        <v>0</v>
      </c>
      <c r="AY30">
        <f>IF('Calculations PJ'!AY30&lt;&gt;0,'Calculations PJ'!AY30*About!$B$45,0)</f>
        <v>0</v>
      </c>
      <c r="AZ30">
        <f>IF('Calculations PJ'!AZ30&lt;&gt;0,'Calculations PJ'!AZ30*About!$B$45,0)</f>
        <v>0</v>
      </c>
      <c r="BA30">
        <f>IF('Calculations PJ'!BA30&lt;&gt;0,'Calculations PJ'!BA30*About!$B$45,0)</f>
        <v>0</v>
      </c>
      <c r="BB30">
        <f>IF('Calculations PJ'!BB30&lt;&gt;0,'Calculations PJ'!BB30*About!$B$45,0)</f>
        <v>0</v>
      </c>
      <c r="BC30">
        <f>IF('Calculations PJ'!BC30&lt;&gt;0,'Calculations PJ'!BC30*About!$B$45,0)</f>
        <v>0</v>
      </c>
      <c r="BD30">
        <f>IF('Calculations PJ'!BD30&lt;&gt;0,'Calculations PJ'!BD30*About!$B$45,0)</f>
        <v>0</v>
      </c>
      <c r="BE30">
        <f>IF('Calculations PJ'!BE30&lt;&gt;0,'Calculations PJ'!BE30*About!$B$45,0)</f>
        <v>0</v>
      </c>
      <c r="BF30">
        <f>IF('Calculations PJ'!BF30&lt;&gt;0,'Calculations PJ'!BF30*About!$B$45,0)</f>
        <v>0</v>
      </c>
      <c r="BG30">
        <f>IF('Calculations PJ'!BG30&lt;&gt;0,'Calculations PJ'!BG30*About!$B$45,0)</f>
        <v>0</v>
      </c>
      <c r="BH30">
        <f>IF('Calculations PJ'!BH30&lt;&gt;0,'Calculations PJ'!BH30*About!$B$45,0)</f>
        <v>0</v>
      </c>
    </row>
    <row r="31" spans="1:60" hidden="1" outlineLevel="1">
      <c r="B31" t="s">
        <v>128</v>
      </c>
      <c r="C31">
        <f>IF('Calculations PJ'!C31&lt;&gt;0,'Calculations PJ'!C31*About!$B$45,0)</f>
        <v>0</v>
      </c>
      <c r="D31">
        <f>IF('Calculations PJ'!D31&lt;&gt;0,'Calculations PJ'!D31*About!$B$45,0)</f>
        <v>0</v>
      </c>
      <c r="E31">
        <f>IF('Calculations PJ'!E31&lt;&gt;0,'Calculations PJ'!E31*About!$B$45,0)</f>
        <v>0</v>
      </c>
      <c r="F31">
        <f>IF('Calculations PJ'!F31&lt;&gt;0,'Calculations PJ'!F31*About!$B$45,0)</f>
        <v>0</v>
      </c>
      <c r="G31">
        <f>IF('Calculations PJ'!G31&lt;&gt;0,'Calculations PJ'!G31*About!$B$45,0)</f>
        <v>0</v>
      </c>
      <c r="H31">
        <f>IF('Calculations PJ'!H31&lt;&gt;0,'Calculations PJ'!H31*About!$B$45,0)</f>
        <v>0</v>
      </c>
      <c r="I31">
        <f>IF('Calculations PJ'!I31&lt;&gt;0,'Calculations PJ'!I31*About!$B$45,0)</f>
        <v>0</v>
      </c>
      <c r="J31">
        <f>IF('Calculations PJ'!J31&lt;&gt;0,'Calculations PJ'!J31*About!$B$45,0)</f>
        <v>0</v>
      </c>
      <c r="K31">
        <f>IF('Calculations PJ'!K31&lt;&gt;0,'Calculations PJ'!K31*About!$B$45,0)</f>
        <v>0</v>
      </c>
      <c r="L31">
        <f>IF('Calculations PJ'!L31&lt;&gt;0,'Calculations PJ'!L31*About!$B$45,0)</f>
        <v>0</v>
      </c>
      <c r="M31">
        <f>IF('Calculations PJ'!M31&lt;&gt;0,'Calculations PJ'!M31*About!$B$45,0)</f>
        <v>0</v>
      </c>
      <c r="N31">
        <f>IF('Calculations PJ'!N31&lt;&gt;0,'Calculations PJ'!N31*About!$B$45,0)</f>
        <v>0</v>
      </c>
      <c r="O31">
        <f>IF('Calculations PJ'!O31&lt;&gt;0,'Calculations PJ'!O31*About!$B$45,0)</f>
        <v>0</v>
      </c>
      <c r="P31">
        <f>IF('Calculations PJ'!P31&lt;&gt;0,'Calculations PJ'!P31*About!$B$45,0)</f>
        <v>0</v>
      </c>
      <c r="Q31">
        <f>IF('Calculations PJ'!Q31&lt;&gt;0,'Calculations PJ'!Q31*About!$B$45,0)</f>
        <v>0</v>
      </c>
      <c r="R31">
        <f>IF('Calculations PJ'!R31&lt;&gt;0,'Calculations PJ'!R31*About!$B$45,0)</f>
        <v>0</v>
      </c>
      <c r="S31">
        <f>IF('Calculations PJ'!S31&lt;&gt;0,'Calculations PJ'!S31*About!$B$45,0)</f>
        <v>0</v>
      </c>
      <c r="T31">
        <f>IF('Calculations PJ'!T31&lt;&gt;0,'Calculations PJ'!T31*About!$B$45,0)</f>
        <v>0</v>
      </c>
      <c r="U31">
        <f>IF('Calculations PJ'!U31&lt;&gt;0,'Calculations PJ'!U31*About!$B$45,0)</f>
        <v>0</v>
      </c>
      <c r="V31">
        <f>IF('Calculations PJ'!V31&lt;&gt;0,'Calculations PJ'!V31*About!$B$45,0)</f>
        <v>0</v>
      </c>
      <c r="W31">
        <f>IF('Calculations PJ'!W31&lt;&gt;0,'Calculations PJ'!W31*About!$B$45,0)</f>
        <v>0</v>
      </c>
      <c r="X31">
        <f>IF('Calculations PJ'!X31&lt;&gt;0,'Calculations PJ'!X31*About!$B$45,0)</f>
        <v>0</v>
      </c>
      <c r="Y31">
        <f>IF('Calculations PJ'!Y31&lt;&gt;0,'Calculations PJ'!Y31*About!$B$45,0)</f>
        <v>0</v>
      </c>
      <c r="Z31">
        <f>IF('Calculations PJ'!Z31&lt;&gt;0,'Calculations PJ'!Z31*About!$B$45,0)</f>
        <v>0</v>
      </c>
      <c r="AA31">
        <f>IF('Calculations PJ'!AA31&lt;&gt;0,'Calculations PJ'!AA31*About!$B$45,0)</f>
        <v>0</v>
      </c>
      <c r="AB31">
        <f>IF('Calculations PJ'!AB31&lt;&gt;0,'Calculations PJ'!AB31*About!$B$45,0)</f>
        <v>0</v>
      </c>
      <c r="AC31">
        <f>IF('Calculations PJ'!AC31&lt;&gt;0,'Calculations PJ'!AC31*About!$B$45,0)</f>
        <v>0</v>
      </c>
      <c r="AD31">
        <f>IF('Calculations PJ'!AD31&lt;&gt;0,'Calculations PJ'!AD31*About!$B$45,0)</f>
        <v>0</v>
      </c>
      <c r="AE31">
        <f>IF('Calculations PJ'!AE31&lt;&gt;0,'Calculations PJ'!AE31*About!$B$45,0)</f>
        <v>0</v>
      </c>
      <c r="AF31">
        <f>IF('Calculations PJ'!AF31&lt;&gt;0,'Calculations PJ'!AF31*About!$B$45,0)</f>
        <v>0</v>
      </c>
      <c r="AG31">
        <f>IF('Calculations PJ'!AG31&lt;&gt;0,'Calculations PJ'!AG31*About!$B$45,0)</f>
        <v>0</v>
      </c>
      <c r="AH31">
        <f>IF('Calculations PJ'!AH31&lt;&gt;0,'Calculations PJ'!AH31*About!$B$45,0)</f>
        <v>0</v>
      </c>
      <c r="AI31">
        <f>IF('Calculations PJ'!AI31&lt;&gt;0,'Calculations PJ'!AI31*About!$B$45,0)</f>
        <v>0</v>
      </c>
      <c r="AJ31">
        <f>IF('Calculations PJ'!AJ31&lt;&gt;0,'Calculations PJ'!AJ31*About!$B$45,0)</f>
        <v>0</v>
      </c>
      <c r="AK31">
        <f>IF('Calculations PJ'!AK31&lt;&gt;0,'Calculations PJ'!AK31*About!$B$45,0)</f>
        <v>0</v>
      </c>
      <c r="AL31">
        <f>IF('Calculations PJ'!AL31&lt;&gt;0,'Calculations PJ'!AL31*About!$B$45,0)</f>
        <v>0</v>
      </c>
      <c r="AM31">
        <f>IF('Calculations PJ'!AM31&lt;&gt;0,'Calculations PJ'!AM31*About!$B$45,0)</f>
        <v>0</v>
      </c>
      <c r="AN31">
        <f>IF('Calculations PJ'!AN31&lt;&gt;0,'Calculations PJ'!AN31*About!$B$45,0)</f>
        <v>0</v>
      </c>
      <c r="AO31">
        <f>IF('Calculations PJ'!AO31&lt;&gt;0,'Calculations PJ'!AO31*About!$B$45,0)</f>
        <v>0</v>
      </c>
      <c r="AP31">
        <f>IF('Calculations PJ'!AP31&lt;&gt;0,'Calculations PJ'!AP31*About!$B$45,0)</f>
        <v>0</v>
      </c>
      <c r="AQ31">
        <f>IF('Calculations PJ'!AQ31&lt;&gt;0,'Calculations PJ'!AQ31*About!$B$45,0)</f>
        <v>0</v>
      </c>
      <c r="AR31">
        <f>IF('Calculations PJ'!AR31&lt;&gt;0,'Calculations PJ'!AR31*About!$B$45,0)</f>
        <v>0</v>
      </c>
      <c r="AS31">
        <f>IF('Calculations PJ'!AS31&lt;&gt;0,'Calculations PJ'!AS31*About!$B$45,0)</f>
        <v>0</v>
      </c>
      <c r="AT31">
        <f>IF('Calculations PJ'!AT31&lt;&gt;0,'Calculations PJ'!AT31*About!$B$45,0)</f>
        <v>0</v>
      </c>
      <c r="AU31">
        <f>IF('Calculations PJ'!AU31&lt;&gt;0,'Calculations PJ'!AU31*About!$B$45,0)</f>
        <v>0</v>
      </c>
      <c r="AV31">
        <f>IF('Calculations PJ'!AV31&lt;&gt;0,'Calculations PJ'!AV31*About!$B$45,0)</f>
        <v>0</v>
      </c>
      <c r="AW31">
        <f>IF('Calculations PJ'!AW31&lt;&gt;0,'Calculations PJ'!AW31*About!$B$45,0)</f>
        <v>0</v>
      </c>
      <c r="AX31">
        <f>IF('Calculations PJ'!AX31&lt;&gt;0,'Calculations PJ'!AX31*About!$B$45,0)</f>
        <v>0</v>
      </c>
      <c r="AY31">
        <f>IF('Calculations PJ'!AY31&lt;&gt;0,'Calculations PJ'!AY31*About!$B$45,0)</f>
        <v>0</v>
      </c>
      <c r="AZ31">
        <f>IF('Calculations PJ'!AZ31&lt;&gt;0,'Calculations PJ'!AZ31*About!$B$45,0)</f>
        <v>0</v>
      </c>
      <c r="BA31">
        <f>IF('Calculations PJ'!BA31&lt;&gt;0,'Calculations PJ'!BA31*About!$B$45,0)</f>
        <v>0</v>
      </c>
      <c r="BB31">
        <f>IF('Calculations PJ'!BB31&lt;&gt;0,'Calculations PJ'!BB31*About!$B$45,0)</f>
        <v>0</v>
      </c>
      <c r="BC31">
        <f>IF('Calculations PJ'!BC31&lt;&gt;0,'Calculations PJ'!BC31*About!$B$45,0)</f>
        <v>0</v>
      </c>
      <c r="BD31">
        <f>IF('Calculations PJ'!BD31&lt;&gt;0,'Calculations PJ'!BD31*About!$B$45,0)</f>
        <v>0</v>
      </c>
      <c r="BE31">
        <f>IF('Calculations PJ'!BE31&lt;&gt;0,'Calculations PJ'!BE31*About!$B$45,0)</f>
        <v>0</v>
      </c>
      <c r="BF31">
        <f>IF('Calculations PJ'!BF31&lt;&gt;0,'Calculations PJ'!BF31*About!$B$45,0)</f>
        <v>0</v>
      </c>
      <c r="BG31">
        <f>IF('Calculations PJ'!BG31&lt;&gt;0,'Calculations PJ'!BG31*About!$B$45,0)</f>
        <v>0</v>
      </c>
      <c r="BH31">
        <f>IF('Calculations PJ'!BH31&lt;&gt;0,'Calculations PJ'!BH31*About!$B$45,0)</f>
        <v>0</v>
      </c>
    </row>
    <row r="32" spans="1:60" hidden="1" outlineLevel="1">
      <c r="B32" t="s">
        <v>129</v>
      </c>
      <c r="C32">
        <f>IF('Calculations PJ'!C32&lt;&gt;0,'Calculations PJ'!C32*About!$B$45,0)</f>
        <v>0</v>
      </c>
      <c r="D32">
        <f>IF('Calculations PJ'!D32&lt;&gt;0,'Calculations PJ'!D32*About!$B$45,0)</f>
        <v>0</v>
      </c>
      <c r="E32">
        <f>IF('Calculations PJ'!E32&lt;&gt;0,'Calculations PJ'!E32*About!$B$45,0)</f>
        <v>0</v>
      </c>
      <c r="F32">
        <f>IF('Calculations PJ'!F32&lt;&gt;0,'Calculations PJ'!F32*About!$B$45,0)</f>
        <v>0</v>
      </c>
      <c r="G32">
        <f>IF('Calculations PJ'!G32&lt;&gt;0,'Calculations PJ'!G32*About!$B$45,0)</f>
        <v>0</v>
      </c>
      <c r="H32">
        <f>IF('Calculations PJ'!H32&lt;&gt;0,'Calculations PJ'!H32*About!$B$45,0)</f>
        <v>0</v>
      </c>
      <c r="I32">
        <f>IF('Calculations PJ'!I32&lt;&gt;0,'Calculations PJ'!I32*About!$B$45,0)</f>
        <v>0</v>
      </c>
      <c r="J32">
        <f>IF('Calculations PJ'!J32&lt;&gt;0,'Calculations PJ'!J32*About!$B$45,0)</f>
        <v>0</v>
      </c>
      <c r="K32">
        <f>IF('Calculations PJ'!K32&lt;&gt;0,'Calculations PJ'!K32*About!$B$45,0)</f>
        <v>0</v>
      </c>
      <c r="L32">
        <f>IF('Calculations PJ'!L32&lt;&gt;0,'Calculations PJ'!L32*About!$B$45,0)</f>
        <v>0</v>
      </c>
      <c r="M32">
        <f>IF('Calculations PJ'!M32&lt;&gt;0,'Calculations PJ'!M32*About!$B$45,0)</f>
        <v>0</v>
      </c>
      <c r="N32">
        <f>IF('Calculations PJ'!N32&lt;&gt;0,'Calculations PJ'!N32*About!$B$45,0)</f>
        <v>0</v>
      </c>
      <c r="O32">
        <f>IF('Calculations PJ'!O32&lt;&gt;0,'Calculations PJ'!O32*About!$B$45,0)</f>
        <v>0</v>
      </c>
      <c r="P32">
        <f>IF('Calculations PJ'!P32&lt;&gt;0,'Calculations PJ'!P32*About!$B$45,0)</f>
        <v>0</v>
      </c>
      <c r="Q32">
        <f>IF('Calculations PJ'!Q32&lt;&gt;0,'Calculations PJ'!Q32*About!$B$45,0)</f>
        <v>0</v>
      </c>
      <c r="R32">
        <f>IF('Calculations PJ'!R32&lt;&gt;0,'Calculations PJ'!R32*About!$B$45,0)</f>
        <v>0</v>
      </c>
      <c r="S32">
        <f>IF('Calculations PJ'!S32&lt;&gt;0,'Calculations PJ'!S32*About!$B$45,0)</f>
        <v>0</v>
      </c>
      <c r="T32">
        <f>IF('Calculations PJ'!T32&lt;&gt;0,'Calculations PJ'!T32*About!$B$45,0)</f>
        <v>0</v>
      </c>
      <c r="U32">
        <f>IF('Calculations PJ'!U32&lt;&gt;0,'Calculations PJ'!U32*About!$B$45,0)</f>
        <v>0</v>
      </c>
      <c r="V32">
        <f>IF('Calculations PJ'!V32&lt;&gt;0,'Calculations PJ'!V32*About!$B$45,0)</f>
        <v>0</v>
      </c>
      <c r="W32">
        <f>IF('Calculations PJ'!W32&lt;&gt;0,'Calculations PJ'!W32*About!$B$45,0)</f>
        <v>0</v>
      </c>
      <c r="X32">
        <f>IF('Calculations PJ'!X32&lt;&gt;0,'Calculations PJ'!X32*About!$B$45,0)</f>
        <v>0</v>
      </c>
      <c r="Y32">
        <f>IF('Calculations PJ'!Y32&lt;&gt;0,'Calculations PJ'!Y32*About!$B$45,0)</f>
        <v>0</v>
      </c>
      <c r="Z32">
        <f>IF('Calculations PJ'!Z32&lt;&gt;0,'Calculations PJ'!Z32*About!$B$45,0)</f>
        <v>0</v>
      </c>
      <c r="AA32">
        <f>IF('Calculations PJ'!AA32&lt;&gt;0,'Calculations PJ'!AA32*About!$B$45,0)</f>
        <v>0</v>
      </c>
      <c r="AB32">
        <f>IF('Calculations PJ'!AB32&lt;&gt;0,'Calculations PJ'!AB32*About!$B$45,0)</f>
        <v>0</v>
      </c>
      <c r="AC32">
        <f>IF('Calculations PJ'!AC32&lt;&gt;0,'Calculations PJ'!AC32*About!$B$45,0)</f>
        <v>0</v>
      </c>
      <c r="AD32">
        <f>IF('Calculations PJ'!AD32&lt;&gt;0,'Calculations PJ'!AD32*About!$B$45,0)</f>
        <v>0</v>
      </c>
      <c r="AE32">
        <f>IF('Calculations PJ'!AE32&lt;&gt;0,'Calculations PJ'!AE32*About!$B$45,0)</f>
        <v>0</v>
      </c>
      <c r="AF32">
        <f>IF('Calculations PJ'!AF32&lt;&gt;0,'Calculations PJ'!AF32*About!$B$45,0)</f>
        <v>0</v>
      </c>
      <c r="AG32">
        <f>IF('Calculations PJ'!AG32&lt;&gt;0,'Calculations PJ'!AG32*About!$B$45,0)</f>
        <v>0</v>
      </c>
      <c r="AH32">
        <f>IF('Calculations PJ'!AH32&lt;&gt;0,'Calculations PJ'!AH32*About!$B$45,0)</f>
        <v>0</v>
      </c>
      <c r="AI32">
        <f>IF('Calculations PJ'!AI32&lt;&gt;0,'Calculations PJ'!AI32*About!$B$45,0)</f>
        <v>0</v>
      </c>
      <c r="AJ32">
        <f>IF('Calculations PJ'!AJ32&lt;&gt;0,'Calculations PJ'!AJ32*About!$B$45,0)</f>
        <v>0</v>
      </c>
      <c r="AK32">
        <f>IF('Calculations PJ'!AK32&lt;&gt;0,'Calculations PJ'!AK32*About!$B$45,0)</f>
        <v>0</v>
      </c>
      <c r="AL32">
        <f>IF('Calculations PJ'!AL32&lt;&gt;0,'Calculations PJ'!AL32*About!$B$45,0)</f>
        <v>0</v>
      </c>
      <c r="AM32">
        <f>IF('Calculations PJ'!AM32&lt;&gt;0,'Calculations PJ'!AM32*About!$B$45,0)</f>
        <v>0</v>
      </c>
      <c r="AN32">
        <f>IF('Calculations PJ'!AN32&lt;&gt;0,'Calculations PJ'!AN32*About!$B$45,0)</f>
        <v>0</v>
      </c>
      <c r="AO32">
        <f>IF('Calculations PJ'!AO32&lt;&gt;0,'Calculations PJ'!AO32*About!$B$45,0)</f>
        <v>0</v>
      </c>
      <c r="AP32">
        <f>IF('Calculations PJ'!AP32&lt;&gt;0,'Calculations PJ'!AP32*About!$B$45,0)</f>
        <v>0</v>
      </c>
      <c r="AQ32">
        <f>IF('Calculations PJ'!AQ32&lt;&gt;0,'Calculations PJ'!AQ32*About!$B$45,0)</f>
        <v>0</v>
      </c>
      <c r="AR32">
        <f>IF('Calculations PJ'!AR32&lt;&gt;0,'Calculations PJ'!AR32*About!$B$45,0)</f>
        <v>0</v>
      </c>
      <c r="AS32">
        <f>IF('Calculations PJ'!AS32&lt;&gt;0,'Calculations PJ'!AS32*About!$B$45,0)</f>
        <v>0</v>
      </c>
      <c r="AT32">
        <f>IF('Calculations PJ'!AT32&lt;&gt;0,'Calculations PJ'!AT32*About!$B$45,0)</f>
        <v>0</v>
      </c>
      <c r="AU32">
        <f>IF('Calculations PJ'!AU32&lt;&gt;0,'Calculations PJ'!AU32*About!$B$45,0)</f>
        <v>0</v>
      </c>
      <c r="AV32">
        <f>IF('Calculations PJ'!AV32&lt;&gt;0,'Calculations PJ'!AV32*About!$B$45,0)</f>
        <v>0</v>
      </c>
      <c r="AW32">
        <f>IF('Calculations PJ'!AW32&lt;&gt;0,'Calculations PJ'!AW32*About!$B$45,0)</f>
        <v>0</v>
      </c>
      <c r="AX32">
        <f>IF('Calculations PJ'!AX32&lt;&gt;0,'Calculations PJ'!AX32*About!$B$45,0)</f>
        <v>0</v>
      </c>
      <c r="AY32">
        <f>IF('Calculations PJ'!AY32&lt;&gt;0,'Calculations PJ'!AY32*About!$B$45,0)</f>
        <v>0</v>
      </c>
      <c r="AZ32">
        <f>IF('Calculations PJ'!AZ32&lt;&gt;0,'Calculations PJ'!AZ32*About!$B$45,0)</f>
        <v>0</v>
      </c>
      <c r="BA32">
        <f>IF('Calculations PJ'!BA32&lt;&gt;0,'Calculations PJ'!BA32*About!$B$45,0)</f>
        <v>0</v>
      </c>
      <c r="BB32">
        <f>IF('Calculations PJ'!BB32&lt;&gt;0,'Calculations PJ'!BB32*About!$B$45,0)</f>
        <v>0</v>
      </c>
      <c r="BC32">
        <f>IF('Calculations PJ'!BC32&lt;&gt;0,'Calculations PJ'!BC32*About!$B$45,0)</f>
        <v>0</v>
      </c>
      <c r="BD32">
        <f>IF('Calculations PJ'!BD32&lt;&gt;0,'Calculations PJ'!BD32*About!$B$45,0)</f>
        <v>0</v>
      </c>
      <c r="BE32">
        <f>IF('Calculations PJ'!BE32&lt;&gt;0,'Calculations PJ'!BE32*About!$B$45,0)</f>
        <v>0</v>
      </c>
      <c r="BF32">
        <f>IF('Calculations PJ'!BF32&lt;&gt;0,'Calculations PJ'!BF32*About!$B$45,0)</f>
        <v>0</v>
      </c>
      <c r="BG32">
        <f>IF('Calculations PJ'!BG32&lt;&gt;0,'Calculations PJ'!BG32*About!$B$45,0)</f>
        <v>0</v>
      </c>
      <c r="BH32">
        <f>IF('Calculations PJ'!BH32&lt;&gt;0,'Calculations PJ'!BH32*About!$B$45,0)</f>
        <v>0</v>
      </c>
    </row>
    <row r="33" spans="2:60" hidden="1" outlineLevel="1">
      <c r="B33" t="s">
        <v>130</v>
      </c>
      <c r="C33">
        <f>IF('Calculations PJ'!C33&lt;&gt;0,'Calculations PJ'!C33*About!$B$45,0)</f>
        <v>0</v>
      </c>
      <c r="D33">
        <f>IF('Calculations PJ'!D33&lt;&gt;0,'Calculations PJ'!D33*About!$B$45,0)</f>
        <v>0</v>
      </c>
      <c r="E33">
        <f>IF('Calculations PJ'!E33&lt;&gt;0,'Calculations PJ'!E33*About!$B$45,0)</f>
        <v>0</v>
      </c>
      <c r="F33">
        <f>IF('Calculations PJ'!F33&lt;&gt;0,'Calculations PJ'!F33*About!$B$45,0)</f>
        <v>0</v>
      </c>
      <c r="G33">
        <f>IF('Calculations PJ'!G33&lt;&gt;0,'Calculations PJ'!G33*About!$B$45,0)</f>
        <v>0</v>
      </c>
      <c r="H33">
        <f>IF('Calculations PJ'!H33&lt;&gt;0,'Calculations PJ'!H33*About!$B$45,0)</f>
        <v>0</v>
      </c>
      <c r="I33">
        <f>IF('Calculations PJ'!I33&lt;&gt;0,'Calculations PJ'!I33*About!$B$45,0)</f>
        <v>0</v>
      </c>
      <c r="J33">
        <f>IF('Calculations PJ'!J33&lt;&gt;0,'Calculations PJ'!J33*About!$B$45,0)</f>
        <v>0</v>
      </c>
      <c r="K33">
        <f>IF('Calculations PJ'!K33&lt;&gt;0,'Calculations PJ'!K33*About!$B$45,0)</f>
        <v>0</v>
      </c>
      <c r="L33">
        <f>IF('Calculations PJ'!L33&lt;&gt;0,'Calculations PJ'!L33*About!$B$45,0)</f>
        <v>0</v>
      </c>
      <c r="M33">
        <f>IF('Calculations PJ'!M33&lt;&gt;0,'Calculations PJ'!M33*About!$B$45,0)</f>
        <v>0</v>
      </c>
      <c r="N33">
        <f>IF('Calculations PJ'!N33&lt;&gt;0,'Calculations PJ'!N33*About!$B$45,0)</f>
        <v>0</v>
      </c>
      <c r="O33">
        <f>IF('Calculations PJ'!O33&lt;&gt;0,'Calculations PJ'!O33*About!$B$45,0)</f>
        <v>0</v>
      </c>
      <c r="P33">
        <f>IF('Calculations PJ'!P33&lt;&gt;0,'Calculations PJ'!P33*About!$B$45,0)</f>
        <v>0</v>
      </c>
      <c r="Q33">
        <f>IF('Calculations PJ'!Q33&lt;&gt;0,'Calculations PJ'!Q33*About!$B$45,0)</f>
        <v>0</v>
      </c>
      <c r="R33">
        <f>IF('Calculations PJ'!R33&lt;&gt;0,'Calculations PJ'!R33*About!$B$45,0)</f>
        <v>0</v>
      </c>
      <c r="S33">
        <f>IF('Calculations PJ'!S33&lt;&gt;0,'Calculations PJ'!S33*About!$B$45,0)</f>
        <v>0</v>
      </c>
      <c r="T33">
        <f>IF('Calculations PJ'!T33&lt;&gt;0,'Calculations PJ'!T33*About!$B$45,0)</f>
        <v>0</v>
      </c>
      <c r="U33">
        <f>IF('Calculations PJ'!U33&lt;&gt;0,'Calculations PJ'!U33*About!$B$45,0)</f>
        <v>0</v>
      </c>
      <c r="V33">
        <f>IF('Calculations PJ'!V33&lt;&gt;0,'Calculations PJ'!V33*About!$B$45,0)</f>
        <v>0</v>
      </c>
      <c r="W33">
        <f>IF('Calculations PJ'!W33&lt;&gt;0,'Calculations PJ'!W33*About!$B$45,0)</f>
        <v>0</v>
      </c>
      <c r="X33">
        <f>IF('Calculations PJ'!X33&lt;&gt;0,'Calculations PJ'!X33*About!$B$45,0)</f>
        <v>0</v>
      </c>
      <c r="Y33">
        <f>IF('Calculations PJ'!Y33&lt;&gt;0,'Calculations PJ'!Y33*About!$B$45,0)</f>
        <v>0</v>
      </c>
      <c r="Z33">
        <f>IF('Calculations PJ'!Z33&lt;&gt;0,'Calculations PJ'!Z33*About!$B$45,0)</f>
        <v>0</v>
      </c>
      <c r="AA33">
        <f>IF('Calculations PJ'!AA33&lt;&gt;0,'Calculations PJ'!AA33*About!$B$45,0)</f>
        <v>0</v>
      </c>
      <c r="AB33">
        <f>IF('Calculations PJ'!AB33&lt;&gt;0,'Calculations PJ'!AB33*About!$B$45,0)</f>
        <v>0</v>
      </c>
      <c r="AC33">
        <f>IF('Calculations PJ'!AC33&lt;&gt;0,'Calculations PJ'!AC33*About!$B$45,0)</f>
        <v>0</v>
      </c>
      <c r="AD33">
        <f>IF('Calculations PJ'!AD33&lt;&gt;0,'Calculations PJ'!AD33*About!$B$45,0)</f>
        <v>0</v>
      </c>
      <c r="AE33">
        <f>IF('Calculations PJ'!AE33&lt;&gt;0,'Calculations PJ'!AE33*About!$B$45,0)</f>
        <v>0</v>
      </c>
      <c r="AF33">
        <f>IF('Calculations PJ'!AF33&lt;&gt;0,'Calculations PJ'!AF33*About!$B$45,0)</f>
        <v>0</v>
      </c>
      <c r="AG33">
        <f>IF('Calculations PJ'!AG33&lt;&gt;0,'Calculations PJ'!AG33*About!$B$45,0)</f>
        <v>0</v>
      </c>
      <c r="AH33">
        <f>IF('Calculations PJ'!AH33&lt;&gt;0,'Calculations PJ'!AH33*About!$B$45,0)</f>
        <v>0</v>
      </c>
      <c r="AI33">
        <f>IF('Calculations PJ'!AI33&lt;&gt;0,'Calculations PJ'!AI33*About!$B$45,0)</f>
        <v>0</v>
      </c>
      <c r="AJ33">
        <f>IF('Calculations PJ'!AJ33&lt;&gt;0,'Calculations PJ'!AJ33*About!$B$45,0)</f>
        <v>0</v>
      </c>
      <c r="AK33">
        <f>IF('Calculations PJ'!AK33&lt;&gt;0,'Calculations PJ'!AK33*About!$B$45,0)</f>
        <v>0</v>
      </c>
      <c r="AL33">
        <f>IF('Calculations PJ'!AL33&lt;&gt;0,'Calculations PJ'!AL33*About!$B$45,0)</f>
        <v>0</v>
      </c>
      <c r="AM33">
        <f>IF('Calculations PJ'!AM33&lt;&gt;0,'Calculations PJ'!AM33*About!$B$45,0)</f>
        <v>0</v>
      </c>
      <c r="AN33">
        <f>IF('Calculations PJ'!AN33&lt;&gt;0,'Calculations PJ'!AN33*About!$B$45,0)</f>
        <v>0</v>
      </c>
      <c r="AO33">
        <f>IF('Calculations PJ'!AO33&lt;&gt;0,'Calculations PJ'!AO33*About!$B$45,0)</f>
        <v>0</v>
      </c>
      <c r="AP33">
        <f>IF('Calculations PJ'!AP33&lt;&gt;0,'Calculations PJ'!AP33*About!$B$45,0)</f>
        <v>0</v>
      </c>
      <c r="AQ33">
        <f>IF('Calculations PJ'!AQ33&lt;&gt;0,'Calculations PJ'!AQ33*About!$B$45,0)</f>
        <v>0</v>
      </c>
      <c r="AR33">
        <f>IF('Calculations PJ'!AR33&lt;&gt;0,'Calculations PJ'!AR33*About!$B$45,0)</f>
        <v>0</v>
      </c>
      <c r="AS33">
        <f>IF('Calculations PJ'!AS33&lt;&gt;0,'Calculations PJ'!AS33*About!$B$45,0)</f>
        <v>0</v>
      </c>
      <c r="AT33">
        <f>IF('Calculations PJ'!AT33&lt;&gt;0,'Calculations PJ'!AT33*About!$B$45,0)</f>
        <v>0</v>
      </c>
      <c r="AU33">
        <f>IF('Calculations PJ'!AU33&lt;&gt;0,'Calculations PJ'!AU33*About!$B$45,0)</f>
        <v>0</v>
      </c>
      <c r="AV33">
        <f>IF('Calculations PJ'!AV33&lt;&gt;0,'Calculations PJ'!AV33*About!$B$45,0)</f>
        <v>0</v>
      </c>
      <c r="AW33">
        <f>IF('Calculations PJ'!AW33&lt;&gt;0,'Calculations PJ'!AW33*About!$B$45,0)</f>
        <v>0</v>
      </c>
      <c r="AX33">
        <f>IF('Calculations PJ'!AX33&lt;&gt;0,'Calculations PJ'!AX33*About!$B$45,0)</f>
        <v>0</v>
      </c>
      <c r="AY33">
        <f>IF('Calculations PJ'!AY33&lt;&gt;0,'Calculations PJ'!AY33*About!$B$45,0)</f>
        <v>0</v>
      </c>
      <c r="AZ33">
        <f>IF('Calculations PJ'!AZ33&lt;&gt;0,'Calculations PJ'!AZ33*About!$B$45,0)</f>
        <v>0</v>
      </c>
      <c r="BA33">
        <f>IF('Calculations PJ'!BA33&lt;&gt;0,'Calculations PJ'!BA33*About!$B$45,0)</f>
        <v>0</v>
      </c>
      <c r="BB33">
        <f>IF('Calculations PJ'!BB33&lt;&gt;0,'Calculations PJ'!BB33*About!$B$45,0)</f>
        <v>0</v>
      </c>
      <c r="BC33">
        <f>IF('Calculations PJ'!BC33&lt;&gt;0,'Calculations PJ'!BC33*About!$B$45,0)</f>
        <v>0</v>
      </c>
      <c r="BD33">
        <f>IF('Calculations PJ'!BD33&lt;&gt;0,'Calculations PJ'!BD33*About!$B$45,0)</f>
        <v>0</v>
      </c>
      <c r="BE33">
        <f>IF('Calculations PJ'!BE33&lt;&gt;0,'Calculations PJ'!BE33*About!$B$45,0)</f>
        <v>0</v>
      </c>
      <c r="BF33">
        <f>IF('Calculations PJ'!BF33&lt;&gt;0,'Calculations PJ'!BF33*About!$B$45,0)</f>
        <v>0</v>
      </c>
      <c r="BG33">
        <f>IF('Calculations PJ'!BG33&lt;&gt;0,'Calculations PJ'!BG33*About!$B$45,0)</f>
        <v>0</v>
      </c>
      <c r="BH33">
        <f>IF('Calculations PJ'!BH33&lt;&gt;0,'Calculations PJ'!BH33*About!$B$45,0)</f>
        <v>0</v>
      </c>
    </row>
    <row r="34" spans="2:60" hidden="1" outlineLevel="1">
      <c r="B34" t="s">
        <v>131</v>
      </c>
      <c r="C34">
        <f>IF('Calculations PJ'!C34&lt;&gt;0,'Calculations PJ'!C34*About!$B$45,0)</f>
        <v>0</v>
      </c>
      <c r="D34">
        <f>IF('Calculations PJ'!D34&lt;&gt;0,'Calculations PJ'!D34*About!$B$45,0)</f>
        <v>0</v>
      </c>
      <c r="E34">
        <f>IF('Calculations PJ'!E34&lt;&gt;0,'Calculations PJ'!E34*About!$B$45,0)</f>
        <v>0</v>
      </c>
      <c r="F34">
        <f>IF('Calculations PJ'!F34&lt;&gt;0,'Calculations PJ'!F34*About!$B$45,0)</f>
        <v>0</v>
      </c>
      <c r="G34">
        <f>IF('Calculations PJ'!G34&lt;&gt;0,'Calculations PJ'!G34*About!$B$45,0)</f>
        <v>0</v>
      </c>
      <c r="H34">
        <f>IF('Calculations PJ'!H34&lt;&gt;0,'Calculations PJ'!H34*About!$B$45,0)</f>
        <v>0</v>
      </c>
      <c r="I34">
        <f>IF('Calculations PJ'!I34&lt;&gt;0,'Calculations PJ'!I34*About!$B$45,0)</f>
        <v>0</v>
      </c>
      <c r="J34">
        <f>IF('Calculations PJ'!J34&lt;&gt;0,'Calculations PJ'!J34*About!$B$45,0)</f>
        <v>0</v>
      </c>
      <c r="K34">
        <f>IF('Calculations PJ'!K34&lt;&gt;0,'Calculations PJ'!K34*About!$B$45,0)</f>
        <v>0</v>
      </c>
      <c r="L34">
        <f>IF('Calculations PJ'!L34&lt;&gt;0,'Calculations PJ'!L34*About!$B$45,0)</f>
        <v>0</v>
      </c>
      <c r="M34">
        <f>IF('Calculations PJ'!M34&lt;&gt;0,'Calculations PJ'!M34*About!$B$45,0)</f>
        <v>0</v>
      </c>
      <c r="N34">
        <f>IF('Calculations PJ'!N34&lt;&gt;0,'Calculations PJ'!N34*About!$B$45,0)</f>
        <v>0</v>
      </c>
      <c r="O34">
        <f>IF('Calculations PJ'!O34&lt;&gt;0,'Calculations PJ'!O34*About!$B$45,0)</f>
        <v>0</v>
      </c>
      <c r="P34">
        <f>IF('Calculations PJ'!P34&lt;&gt;0,'Calculations PJ'!P34*About!$B$45,0)</f>
        <v>0</v>
      </c>
      <c r="Q34">
        <f>IF('Calculations PJ'!Q34&lt;&gt;0,'Calculations PJ'!Q34*About!$B$45,0)</f>
        <v>0</v>
      </c>
      <c r="R34">
        <f>IF('Calculations PJ'!R34&lt;&gt;0,'Calculations PJ'!R34*About!$B$45,0)</f>
        <v>0</v>
      </c>
      <c r="S34">
        <f>IF('Calculations PJ'!S34&lt;&gt;0,'Calculations PJ'!S34*About!$B$45,0)</f>
        <v>0</v>
      </c>
      <c r="T34">
        <f>IF('Calculations PJ'!T34&lt;&gt;0,'Calculations PJ'!T34*About!$B$45,0)</f>
        <v>0</v>
      </c>
      <c r="U34">
        <f>IF('Calculations PJ'!U34&lt;&gt;0,'Calculations PJ'!U34*About!$B$45,0)</f>
        <v>0</v>
      </c>
      <c r="V34">
        <f>IF('Calculations PJ'!V34&lt;&gt;0,'Calculations PJ'!V34*About!$B$45,0)</f>
        <v>0</v>
      </c>
      <c r="W34">
        <f>IF('Calculations PJ'!W34&lt;&gt;0,'Calculations PJ'!W34*About!$B$45,0)</f>
        <v>0</v>
      </c>
      <c r="X34">
        <f>IF('Calculations PJ'!X34&lt;&gt;0,'Calculations PJ'!X34*About!$B$45,0)</f>
        <v>0</v>
      </c>
      <c r="Y34">
        <f>IF('Calculations PJ'!Y34&lt;&gt;0,'Calculations PJ'!Y34*About!$B$45,0)</f>
        <v>0</v>
      </c>
      <c r="Z34">
        <f>IF('Calculations PJ'!Z34&lt;&gt;0,'Calculations PJ'!Z34*About!$B$45,0)</f>
        <v>0</v>
      </c>
      <c r="AA34">
        <f>IF('Calculations PJ'!AA34&lt;&gt;0,'Calculations PJ'!AA34*About!$B$45,0)</f>
        <v>0</v>
      </c>
      <c r="AB34">
        <f>IF('Calculations PJ'!AB34&lt;&gt;0,'Calculations PJ'!AB34*About!$B$45,0)</f>
        <v>0</v>
      </c>
      <c r="AC34">
        <f>IF('Calculations PJ'!AC34&lt;&gt;0,'Calculations PJ'!AC34*About!$B$45,0)</f>
        <v>0</v>
      </c>
      <c r="AD34">
        <f>IF('Calculations PJ'!AD34&lt;&gt;0,'Calculations PJ'!AD34*About!$B$45,0)</f>
        <v>0</v>
      </c>
      <c r="AE34">
        <f>IF('Calculations PJ'!AE34&lt;&gt;0,'Calculations PJ'!AE34*About!$B$45,0)</f>
        <v>0</v>
      </c>
      <c r="AF34">
        <f>IF('Calculations PJ'!AF34&lt;&gt;0,'Calculations PJ'!AF34*About!$B$45,0)</f>
        <v>0</v>
      </c>
      <c r="AG34">
        <f>IF('Calculations PJ'!AG34&lt;&gt;0,'Calculations PJ'!AG34*About!$B$45,0)</f>
        <v>0</v>
      </c>
      <c r="AH34">
        <f>IF('Calculations PJ'!AH34&lt;&gt;0,'Calculations PJ'!AH34*About!$B$45,0)</f>
        <v>0</v>
      </c>
      <c r="AI34">
        <f>IF('Calculations PJ'!AI34&lt;&gt;0,'Calculations PJ'!AI34*About!$B$45,0)</f>
        <v>0</v>
      </c>
      <c r="AJ34">
        <f>IF('Calculations PJ'!AJ34&lt;&gt;0,'Calculations PJ'!AJ34*About!$B$45,0)</f>
        <v>0</v>
      </c>
      <c r="AK34">
        <f>IF('Calculations PJ'!AK34&lt;&gt;0,'Calculations PJ'!AK34*About!$B$45,0)</f>
        <v>0</v>
      </c>
      <c r="AL34">
        <f>IF('Calculations PJ'!AL34&lt;&gt;0,'Calculations PJ'!AL34*About!$B$45,0)</f>
        <v>0</v>
      </c>
      <c r="AM34">
        <f>IF('Calculations PJ'!AM34&lt;&gt;0,'Calculations PJ'!AM34*About!$B$45,0)</f>
        <v>0</v>
      </c>
      <c r="AN34">
        <f>IF('Calculations PJ'!AN34&lt;&gt;0,'Calculations PJ'!AN34*About!$B$45,0)</f>
        <v>0</v>
      </c>
      <c r="AO34">
        <f>IF('Calculations PJ'!AO34&lt;&gt;0,'Calculations PJ'!AO34*About!$B$45,0)</f>
        <v>0</v>
      </c>
      <c r="AP34">
        <f>IF('Calculations PJ'!AP34&lt;&gt;0,'Calculations PJ'!AP34*About!$B$45,0)</f>
        <v>0</v>
      </c>
      <c r="AQ34">
        <f>IF('Calculations PJ'!AQ34&lt;&gt;0,'Calculations PJ'!AQ34*About!$B$45,0)</f>
        <v>0</v>
      </c>
      <c r="AR34">
        <f>IF('Calculations PJ'!AR34&lt;&gt;0,'Calculations PJ'!AR34*About!$B$45,0)</f>
        <v>0</v>
      </c>
      <c r="AS34">
        <f>IF('Calculations PJ'!AS34&lt;&gt;0,'Calculations PJ'!AS34*About!$B$45,0)</f>
        <v>0</v>
      </c>
      <c r="AT34">
        <f>IF('Calculations PJ'!AT34&lt;&gt;0,'Calculations PJ'!AT34*About!$B$45,0)</f>
        <v>0</v>
      </c>
      <c r="AU34">
        <f>IF('Calculations PJ'!AU34&lt;&gt;0,'Calculations PJ'!AU34*About!$B$45,0)</f>
        <v>0</v>
      </c>
      <c r="AV34">
        <f>IF('Calculations PJ'!AV34&lt;&gt;0,'Calculations PJ'!AV34*About!$B$45,0)</f>
        <v>0</v>
      </c>
      <c r="AW34">
        <f>IF('Calculations PJ'!AW34&lt;&gt;0,'Calculations PJ'!AW34*About!$B$45,0)</f>
        <v>0</v>
      </c>
      <c r="AX34">
        <f>IF('Calculations PJ'!AX34&lt;&gt;0,'Calculations PJ'!AX34*About!$B$45,0)</f>
        <v>0</v>
      </c>
      <c r="AY34">
        <f>IF('Calculations PJ'!AY34&lt;&gt;0,'Calculations PJ'!AY34*About!$B$45,0)</f>
        <v>0</v>
      </c>
      <c r="AZ34">
        <f>IF('Calculations PJ'!AZ34&lt;&gt;0,'Calculations PJ'!AZ34*About!$B$45,0)</f>
        <v>0</v>
      </c>
      <c r="BA34">
        <f>IF('Calculations PJ'!BA34&lt;&gt;0,'Calculations PJ'!BA34*About!$B$45,0)</f>
        <v>0</v>
      </c>
      <c r="BB34">
        <f>IF('Calculations PJ'!BB34&lt;&gt;0,'Calculations PJ'!BB34*About!$B$45,0)</f>
        <v>0</v>
      </c>
      <c r="BC34">
        <f>IF('Calculations PJ'!BC34&lt;&gt;0,'Calculations PJ'!BC34*About!$B$45,0)</f>
        <v>0</v>
      </c>
      <c r="BD34">
        <f>IF('Calculations PJ'!BD34&lt;&gt;0,'Calculations PJ'!BD34*About!$B$45,0)</f>
        <v>0</v>
      </c>
      <c r="BE34">
        <f>IF('Calculations PJ'!BE34&lt;&gt;0,'Calculations PJ'!BE34*About!$B$45,0)</f>
        <v>0</v>
      </c>
      <c r="BF34">
        <f>IF('Calculations PJ'!BF34&lt;&gt;0,'Calculations PJ'!BF34*About!$B$45,0)</f>
        <v>0</v>
      </c>
      <c r="BG34">
        <f>IF('Calculations PJ'!BG34&lt;&gt;0,'Calculations PJ'!BG34*About!$B$45,0)</f>
        <v>0</v>
      </c>
      <c r="BH34">
        <f>IF('Calculations PJ'!BH34&lt;&gt;0,'Calculations PJ'!BH34*About!$B$45,0)</f>
        <v>0</v>
      </c>
    </row>
    <row r="35" spans="2:60" hidden="1" outlineLevel="1">
      <c r="B35" t="s">
        <v>132</v>
      </c>
      <c r="C35">
        <f>IF('Calculations PJ'!C35&lt;&gt;0,'Calculations PJ'!C35*About!$B$45,0)</f>
        <v>0</v>
      </c>
      <c r="D35">
        <f>IF('Calculations PJ'!D35&lt;&gt;0,'Calculations PJ'!D35*About!$B$45,0)</f>
        <v>0</v>
      </c>
      <c r="E35">
        <f>IF('Calculations PJ'!E35&lt;&gt;0,'Calculations PJ'!E35*About!$B$45,0)</f>
        <v>0</v>
      </c>
      <c r="F35">
        <f>IF('Calculations PJ'!F35&lt;&gt;0,'Calculations PJ'!F35*About!$B$45,0)</f>
        <v>0</v>
      </c>
      <c r="G35">
        <f>IF('Calculations PJ'!G35&lt;&gt;0,'Calculations PJ'!G35*About!$B$45,0)</f>
        <v>0</v>
      </c>
      <c r="H35">
        <f>IF('Calculations PJ'!H35&lt;&gt;0,'Calculations PJ'!H35*About!$B$45,0)</f>
        <v>0</v>
      </c>
      <c r="I35">
        <f>IF('Calculations PJ'!I35&lt;&gt;0,'Calculations PJ'!I35*About!$B$45,0)</f>
        <v>0</v>
      </c>
      <c r="J35">
        <f>IF('Calculations PJ'!J35&lt;&gt;0,'Calculations PJ'!J35*About!$B$45,0)</f>
        <v>0</v>
      </c>
      <c r="K35">
        <f>IF('Calculations PJ'!K35&lt;&gt;0,'Calculations PJ'!K35*About!$B$45,0)</f>
        <v>0</v>
      </c>
      <c r="L35">
        <f>IF('Calculations PJ'!L35&lt;&gt;0,'Calculations PJ'!L35*About!$B$45,0)</f>
        <v>0</v>
      </c>
      <c r="M35">
        <f>IF('Calculations PJ'!M35&lt;&gt;0,'Calculations PJ'!M35*About!$B$45,0)</f>
        <v>0</v>
      </c>
      <c r="N35">
        <f>IF('Calculations PJ'!N35&lt;&gt;0,'Calculations PJ'!N35*About!$B$45,0)</f>
        <v>0</v>
      </c>
      <c r="O35">
        <f>IF('Calculations PJ'!O35&lt;&gt;0,'Calculations PJ'!O35*About!$B$45,0)</f>
        <v>0</v>
      </c>
      <c r="P35">
        <f>IF('Calculations PJ'!P35&lt;&gt;0,'Calculations PJ'!P35*About!$B$45,0)</f>
        <v>0</v>
      </c>
      <c r="Q35">
        <f>IF('Calculations PJ'!Q35&lt;&gt;0,'Calculations PJ'!Q35*About!$B$45,0)</f>
        <v>0</v>
      </c>
      <c r="R35">
        <f>IF('Calculations PJ'!R35&lt;&gt;0,'Calculations PJ'!R35*About!$B$45,0)</f>
        <v>0</v>
      </c>
      <c r="S35">
        <f>IF('Calculations PJ'!S35&lt;&gt;0,'Calculations PJ'!S35*About!$B$45,0)</f>
        <v>0</v>
      </c>
      <c r="T35">
        <f>IF('Calculations PJ'!T35&lt;&gt;0,'Calculations PJ'!T35*About!$B$45,0)</f>
        <v>0</v>
      </c>
      <c r="U35">
        <f>IF('Calculations PJ'!U35&lt;&gt;0,'Calculations PJ'!U35*About!$B$45,0)</f>
        <v>0</v>
      </c>
      <c r="V35">
        <f>IF('Calculations PJ'!V35&lt;&gt;0,'Calculations PJ'!V35*About!$B$45,0)</f>
        <v>0</v>
      </c>
      <c r="W35">
        <f>IF('Calculations PJ'!W35&lt;&gt;0,'Calculations PJ'!W35*About!$B$45,0)</f>
        <v>0</v>
      </c>
      <c r="X35">
        <f>IF('Calculations PJ'!X35&lt;&gt;0,'Calculations PJ'!X35*About!$B$45,0)</f>
        <v>0</v>
      </c>
      <c r="Y35">
        <f>IF('Calculations PJ'!Y35&lt;&gt;0,'Calculations PJ'!Y35*About!$B$45,0)</f>
        <v>0</v>
      </c>
      <c r="Z35">
        <f>IF('Calculations PJ'!Z35&lt;&gt;0,'Calculations PJ'!Z35*About!$B$45,0)</f>
        <v>0</v>
      </c>
      <c r="AA35">
        <f>IF('Calculations PJ'!AA35&lt;&gt;0,'Calculations PJ'!AA35*About!$B$45,0)</f>
        <v>0</v>
      </c>
      <c r="AB35">
        <f>IF('Calculations PJ'!AB35&lt;&gt;0,'Calculations PJ'!AB35*About!$B$45,0)</f>
        <v>0</v>
      </c>
      <c r="AC35">
        <f>IF('Calculations PJ'!AC35&lt;&gt;0,'Calculations PJ'!AC35*About!$B$45,0)</f>
        <v>0</v>
      </c>
      <c r="AD35">
        <f>IF('Calculations PJ'!AD35&lt;&gt;0,'Calculations PJ'!AD35*About!$B$45,0)</f>
        <v>0</v>
      </c>
      <c r="AE35">
        <f>IF('Calculations PJ'!AE35&lt;&gt;0,'Calculations PJ'!AE35*About!$B$45,0)</f>
        <v>0</v>
      </c>
      <c r="AF35">
        <f>IF('Calculations PJ'!AF35&lt;&gt;0,'Calculations PJ'!AF35*About!$B$45,0)</f>
        <v>0</v>
      </c>
      <c r="AG35">
        <f>IF('Calculations PJ'!AG35&lt;&gt;0,'Calculations PJ'!AG35*About!$B$45,0)</f>
        <v>0</v>
      </c>
      <c r="AH35">
        <f>IF('Calculations PJ'!AH35&lt;&gt;0,'Calculations PJ'!AH35*About!$B$45,0)</f>
        <v>0</v>
      </c>
      <c r="AI35">
        <f>IF('Calculations PJ'!AI35&lt;&gt;0,'Calculations PJ'!AI35*About!$B$45,0)</f>
        <v>0</v>
      </c>
      <c r="AJ35">
        <f>IF('Calculations PJ'!AJ35&lt;&gt;0,'Calculations PJ'!AJ35*About!$B$45,0)</f>
        <v>0</v>
      </c>
      <c r="AK35">
        <f>IF('Calculations PJ'!AK35&lt;&gt;0,'Calculations PJ'!AK35*About!$B$45,0)</f>
        <v>0</v>
      </c>
      <c r="AL35">
        <f>IF('Calculations PJ'!AL35&lt;&gt;0,'Calculations PJ'!AL35*About!$B$45,0)</f>
        <v>0</v>
      </c>
      <c r="AM35">
        <f>IF('Calculations PJ'!AM35&lt;&gt;0,'Calculations PJ'!AM35*About!$B$45,0)</f>
        <v>0</v>
      </c>
      <c r="AN35">
        <f>IF('Calculations PJ'!AN35&lt;&gt;0,'Calculations PJ'!AN35*About!$B$45,0)</f>
        <v>0</v>
      </c>
      <c r="AO35">
        <f>IF('Calculations PJ'!AO35&lt;&gt;0,'Calculations PJ'!AO35*About!$B$45,0)</f>
        <v>0</v>
      </c>
      <c r="AP35">
        <f>IF('Calculations PJ'!AP35&lt;&gt;0,'Calculations PJ'!AP35*About!$B$45,0)</f>
        <v>0</v>
      </c>
      <c r="AQ35">
        <f>IF('Calculations PJ'!AQ35&lt;&gt;0,'Calculations PJ'!AQ35*About!$B$45,0)</f>
        <v>0</v>
      </c>
      <c r="AR35">
        <f>IF('Calculations PJ'!AR35&lt;&gt;0,'Calculations PJ'!AR35*About!$B$45,0)</f>
        <v>0</v>
      </c>
      <c r="AS35">
        <f>IF('Calculations PJ'!AS35&lt;&gt;0,'Calculations PJ'!AS35*About!$B$45,0)</f>
        <v>0</v>
      </c>
      <c r="AT35">
        <f>IF('Calculations PJ'!AT35&lt;&gt;0,'Calculations PJ'!AT35*About!$B$45,0)</f>
        <v>0</v>
      </c>
      <c r="AU35">
        <f>IF('Calculations PJ'!AU35&lt;&gt;0,'Calculations PJ'!AU35*About!$B$45,0)</f>
        <v>0</v>
      </c>
      <c r="AV35">
        <f>IF('Calculations PJ'!AV35&lt;&gt;0,'Calculations PJ'!AV35*About!$B$45,0)</f>
        <v>0</v>
      </c>
      <c r="AW35">
        <f>IF('Calculations PJ'!AW35&lt;&gt;0,'Calculations PJ'!AW35*About!$B$45,0)</f>
        <v>0</v>
      </c>
      <c r="AX35">
        <f>IF('Calculations PJ'!AX35&lt;&gt;0,'Calculations PJ'!AX35*About!$B$45,0)</f>
        <v>0</v>
      </c>
      <c r="AY35">
        <f>IF('Calculations PJ'!AY35&lt;&gt;0,'Calculations PJ'!AY35*About!$B$45,0)</f>
        <v>0</v>
      </c>
      <c r="AZ35">
        <f>IF('Calculations PJ'!AZ35&lt;&gt;0,'Calculations PJ'!AZ35*About!$B$45,0)</f>
        <v>0</v>
      </c>
      <c r="BA35">
        <f>IF('Calculations PJ'!BA35&lt;&gt;0,'Calculations PJ'!BA35*About!$B$45,0)</f>
        <v>0</v>
      </c>
      <c r="BB35">
        <f>IF('Calculations PJ'!BB35&lt;&gt;0,'Calculations PJ'!BB35*About!$B$45,0)</f>
        <v>0</v>
      </c>
      <c r="BC35">
        <f>IF('Calculations PJ'!BC35&lt;&gt;0,'Calculations PJ'!BC35*About!$B$45,0)</f>
        <v>0</v>
      </c>
      <c r="BD35">
        <f>IF('Calculations PJ'!BD35&lt;&gt;0,'Calculations PJ'!BD35*About!$B$45,0)</f>
        <v>0</v>
      </c>
      <c r="BE35">
        <f>IF('Calculations PJ'!BE35&lt;&gt;0,'Calculations PJ'!BE35*About!$B$45,0)</f>
        <v>0</v>
      </c>
      <c r="BF35">
        <f>IF('Calculations PJ'!BF35&lt;&gt;0,'Calculations PJ'!BF35*About!$B$45,0)</f>
        <v>0</v>
      </c>
      <c r="BG35">
        <f>IF('Calculations PJ'!BG35&lt;&gt;0,'Calculations PJ'!BG35*About!$B$45,0)</f>
        <v>0</v>
      </c>
      <c r="BH35">
        <f>IF('Calculations PJ'!BH35&lt;&gt;0,'Calculations PJ'!BH35*About!$B$45,0)</f>
        <v>0</v>
      </c>
    </row>
    <row r="36" spans="2:60" hidden="1" outlineLevel="1">
      <c r="B36" t="s">
        <v>133</v>
      </c>
      <c r="C36">
        <f>IF('Calculations PJ'!C36&lt;&gt;0,'Calculations PJ'!C36*About!$B$45,0)</f>
        <v>0</v>
      </c>
      <c r="D36">
        <f>IF('Calculations PJ'!D36&lt;&gt;0,'Calculations PJ'!D36*About!$B$45,0)</f>
        <v>0</v>
      </c>
      <c r="E36">
        <f>IF('Calculations PJ'!E36&lt;&gt;0,'Calculations PJ'!E36*About!$B$45,0)</f>
        <v>0</v>
      </c>
      <c r="F36">
        <f>IF('Calculations PJ'!F36&lt;&gt;0,'Calculations PJ'!F36*About!$B$45,0)</f>
        <v>0</v>
      </c>
      <c r="G36">
        <f>IF('Calculations PJ'!G36&lt;&gt;0,'Calculations PJ'!G36*About!$B$45,0)</f>
        <v>0</v>
      </c>
      <c r="H36">
        <f>IF('Calculations PJ'!H36&lt;&gt;0,'Calculations PJ'!H36*About!$B$45,0)</f>
        <v>0</v>
      </c>
      <c r="I36">
        <f>IF('Calculations PJ'!I36&lt;&gt;0,'Calculations PJ'!I36*About!$B$45,0)</f>
        <v>0</v>
      </c>
      <c r="J36">
        <f>IF('Calculations PJ'!J36&lt;&gt;0,'Calculations PJ'!J36*About!$B$45,0)</f>
        <v>0</v>
      </c>
      <c r="K36">
        <f>IF('Calculations PJ'!K36&lt;&gt;0,'Calculations PJ'!K36*About!$B$45,0)</f>
        <v>0</v>
      </c>
      <c r="L36">
        <f>IF('Calculations PJ'!L36&lt;&gt;0,'Calculations PJ'!L36*About!$B$45,0)</f>
        <v>0</v>
      </c>
      <c r="M36">
        <f>IF('Calculations PJ'!M36&lt;&gt;0,'Calculations PJ'!M36*About!$B$45,0)</f>
        <v>0</v>
      </c>
      <c r="N36">
        <f>IF('Calculations PJ'!N36&lt;&gt;0,'Calculations PJ'!N36*About!$B$45,0)</f>
        <v>0</v>
      </c>
      <c r="O36">
        <f>IF('Calculations PJ'!O36&lt;&gt;0,'Calculations PJ'!O36*About!$B$45,0)</f>
        <v>0</v>
      </c>
      <c r="P36">
        <f>IF('Calculations PJ'!P36&lt;&gt;0,'Calculations PJ'!P36*About!$B$45,0)</f>
        <v>0</v>
      </c>
      <c r="Q36">
        <f>IF('Calculations PJ'!Q36&lt;&gt;0,'Calculations PJ'!Q36*About!$B$45,0)</f>
        <v>0</v>
      </c>
      <c r="R36">
        <f>IF('Calculations PJ'!R36&lt;&gt;0,'Calculations PJ'!R36*About!$B$45,0)</f>
        <v>0</v>
      </c>
      <c r="S36">
        <f>IF('Calculations PJ'!S36&lt;&gt;0,'Calculations PJ'!S36*About!$B$45,0)</f>
        <v>0</v>
      </c>
      <c r="T36">
        <f>IF('Calculations PJ'!T36&lt;&gt;0,'Calculations PJ'!T36*About!$B$45,0)</f>
        <v>0</v>
      </c>
      <c r="U36">
        <f>IF('Calculations PJ'!U36&lt;&gt;0,'Calculations PJ'!U36*About!$B$45,0)</f>
        <v>0</v>
      </c>
      <c r="V36">
        <f>IF('Calculations PJ'!V36&lt;&gt;0,'Calculations PJ'!V36*About!$B$45,0)</f>
        <v>0</v>
      </c>
      <c r="W36">
        <f>IF('Calculations PJ'!W36&lt;&gt;0,'Calculations PJ'!W36*About!$B$45,0)</f>
        <v>0</v>
      </c>
      <c r="X36">
        <f>IF('Calculations PJ'!X36&lt;&gt;0,'Calculations PJ'!X36*About!$B$45,0)</f>
        <v>0</v>
      </c>
      <c r="Y36">
        <f>IF('Calculations PJ'!Y36&lt;&gt;0,'Calculations PJ'!Y36*About!$B$45,0)</f>
        <v>0</v>
      </c>
      <c r="Z36">
        <f>IF('Calculations PJ'!Z36&lt;&gt;0,'Calculations PJ'!Z36*About!$B$45,0)</f>
        <v>0</v>
      </c>
      <c r="AA36">
        <f>IF('Calculations PJ'!AA36&lt;&gt;0,'Calculations PJ'!AA36*About!$B$45,0)</f>
        <v>0</v>
      </c>
      <c r="AB36">
        <f>IF('Calculations PJ'!AB36&lt;&gt;0,'Calculations PJ'!AB36*About!$B$45,0)</f>
        <v>0</v>
      </c>
      <c r="AC36">
        <f>IF('Calculations PJ'!AC36&lt;&gt;0,'Calculations PJ'!AC36*About!$B$45,0)</f>
        <v>0</v>
      </c>
      <c r="AD36">
        <f>IF('Calculations PJ'!AD36&lt;&gt;0,'Calculations PJ'!AD36*About!$B$45,0)</f>
        <v>0</v>
      </c>
      <c r="AE36">
        <f>IF('Calculations PJ'!AE36&lt;&gt;0,'Calculations PJ'!AE36*About!$B$45,0)</f>
        <v>0</v>
      </c>
      <c r="AF36">
        <f>IF('Calculations PJ'!AF36&lt;&gt;0,'Calculations PJ'!AF36*About!$B$45,0)</f>
        <v>0</v>
      </c>
      <c r="AG36">
        <f>IF('Calculations PJ'!AG36&lt;&gt;0,'Calculations PJ'!AG36*About!$B$45,0)</f>
        <v>0</v>
      </c>
      <c r="AH36">
        <f>IF('Calculations PJ'!AH36&lt;&gt;0,'Calculations PJ'!AH36*About!$B$45,0)</f>
        <v>0</v>
      </c>
      <c r="AI36">
        <f>IF('Calculations PJ'!AI36&lt;&gt;0,'Calculations PJ'!AI36*About!$B$45,0)</f>
        <v>0</v>
      </c>
      <c r="AJ36">
        <f>IF('Calculations PJ'!AJ36&lt;&gt;0,'Calculations PJ'!AJ36*About!$B$45,0)</f>
        <v>0</v>
      </c>
      <c r="AK36">
        <f>IF('Calculations PJ'!AK36&lt;&gt;0,'Calculations PJ'!AK36*About!$B$45,0)</f>
        <v>0</v>
      </c>
      <c r="AL36">
        <f>IF('Calculations PJ'!AL36&lt;&gt;0,'Calculations PJ'!AL36*About!$B$45,0)</f>
        <v>0</v>
      </c>
      <c r="AM36">
        <f>IF('Calculations PJ'!AM36&lt;&gt;0,'Calculations PJ'!AM36*About!$B$45,0)</f>
        <v>0</v>
      </c>
      <c r="AN36">
        <f>IF('Calculations PJ'!AN36&lt;&gt;0,'Calculations PJ'!AN36*About!$B$45,0)</f>
        <v>0</v>
      </c>
      <c r="AO36">
        <f>IF('Calculations PJ'!AO36&lt;&gt;0,'Calculations PJ'!AO36*About!$B$45,0)</f>
        <v>0</v>
      </c>
      <c r="AP36">
        <f>IF('Calculations PJ'!AP36&lt;&gt;0,'Calculations PJ'!AP36*About!$B$45,0)</f>
        <v>0</v>
      </c>
      <c r="AQ36">
        <f>IF('Calculations PJ'!AQ36&lt;&gt;0,'Calculations PJ'!AQ36*About!$B$45,0)</f>
        <v>0</v>
      </c>
      <c r="AR36">
        <f>IF('Calculations PJ'!AR36&lt;&gt;0,'Calculations PJ'!AR36*About!$B$45,0)</f>
        <v>0</v>
      </c>
      <c r="AS36">
        <f>IF('Calculations PJ'!AS36&lt;&gt;0,'Calculations PJ'!AS36*About!$B$45,0)</f>
        <v>0</v>
      </c>
      <c r="AT36">
        <f>IF('Calculations PJ'!AT36&lt;&gt;0,'Calculations PJ'!AT36*About!$B$45,0)</f>
        <v>0</v>
      </c>
      <c r="AU36">
        <f>IF('Calculations PJ'!AU36&lt;&gt;0,'Calculations PJ'!AU36*About!$B$45,0)</f>
        <v>0</v>
      </c>
      <c r="AV36">
        <f>IF('Calculations PJ'!AV36&lt;&gt;0,'Calculations PJ'!AV36*About!$B$45,0)</f>
        <v>0</v>
      </c>
      <c r="AW36">
        <f>IF('Calculations PJ'!AW36&lt;&gt;0,'Calculations PJ'!AW36*About!$B$45,0)</f>
        <v>0</v>
      </c>
      <c r="AX36">
        <f>IF('Calculations PJ'!AX36&lt;&gt;0,'Calculations PJ'!AX36*About!$B$45,0)</f>
        <v>0</v>
      </c>
      <c r="AY36">
        <f>IF('Calculations PJ'!AY36&lt;&gt;0,'Calculations PJ'!AY36*About!$B$45,0)</f>
        <v>0</v>
      </c>
      <c r="AZ36">
        <f>IF('Calculations PJ'!AZ36&lt;&gt;0,'Calculations PJ'!AZ36*About!$B$45,0)</f>
        <v>0</v>
      </c>
      <c r="BA36">
        <f>IF('Calculations PJ'!BA36&lt;&gt;0,'Calculations PJ'!BA36*About!$B$45,0)</f>
        <v>0</v>
      </c>
      <c r="BB36">
        <f>IF('Calculations PJ'!BB36&lt;&gt;0,'Calculations PJ'!BB36*About!$B$45,0)</f>
        <v>0</v>
      </c>
      <c r="BC36">
        <f>IF('Calculations PJ'!BC36&lt;&gt;0,'Calculations PJ'!BC36*About!$B$45,0)</f>
        <v>0</v>
      </c>
      <c r="BD36">
        <f>IF('Calculations PJ'!BD36&lt;&gt;0,'Calculations PJ'!BD36*About!$B$45,0)</f>
        <v>0</v>
      </c>
      <c r="BE36">
        <f>IF('Calculations PJ'!BE36&lt;&gt;0,'Calculations PJ'!BE36*About!$B$45,0)</f>
        <v>0</v>
      </c>
      <c r="BF36">
        <f>IF('Calculations PJ'!BF36&lt;&gt;0,'Calculations PJ'!BF36*About!$B$45,0)</f>
        <v>0</v>
      </c>
      <c r="BG36">
        <f>IF('Calculations PJ'!BG36&lt;&gt;0,'Calculations PJ'!BG36*About!$B$45,0)</f>
        <v>0</v>
      </c>
      <c r="BH36">
        <f>IF('Calculations PJ'!BH36&lt;&gt;0,'Calculations PJ'!BH36*About!$B$45,0)</f>
        <v>0</v>
      </c>
    </row>
    <row r="37" spans="2:60" hidden="1" outlineLevel="1">
      <c r="B37" t="s">
        <v>134</v>
      </c>
      <c r="C37">
        <f>IF('Calculations PJ'!C37&lt;&gt;0,'Calculations PJ'!C37*About!$B$45,0)</f>
        <v>0</v>
      </c>
      <c r="D37">
        <f>IF('Calculations PJ'!D37&lt;&gt;0,'Calculations PJ'!D37*About!$B$45,0)</f>
        <v>0</v>
      </c>
      <c r="E37">
        <f>IF('Calculations PJ'!E37&lt;&gt;0,'Calculations PJ'!E37*About!$B$45,0)</f>
        <v>0</v>
      </c>
      <c r="F37">
        <f>IF('Calculations PJ'!F37&lt;&gt;0,'Calculations PJ'!F37*About!$B$45,0)</f>
        <v>0</v>
      </c>
      <c r="G37">
        <f>IF('Calculations PJ'!G37&lt;&gt;0,'Calculations PJ'!G37*About!$B$45,0)</f>
        <v>0</v>
      </c>
      <c r="H37">
        <f>IF('Calculations PJ'!H37&lt;&gt;0,'Calculations PJ'!H37*About!$B$45,0)</f>
        <v>0</v>
      </c>
      <c r="I37">
        <f>IF('Calculations PJ'!I37&lt;&gt;0,'Calculations PJ'!I37*About!$B$45,0)</f>
        <v>0</v>
      </c>
      <c r="J37">
        <f>IF('Calculations PJ'!J37&lt;&gt;0,'Calculations PJ'!J37*About!$B$45,0)</f>
        <v>0</v>
      </c>
      <c r="K37">
        <f>IF('Calculations PJ'!K37&lt;&gt;0,'Calculations PJ'!K37*About!$B$45,0)</f>
        <v>0</v>
      </c>
      <c r="L37">
        <f>IF('Calculations PJ'!L37&lt;&gt;0,'Calculations PJ'!L37*About!$B$45,0)</f>
        <v>0</v>
      </c>
      <c r="M37">
        <f>IF('Calculations PJ'!M37&lt;&gt;0,'Calculations PJ'!M37*About!$B$45,0)</f>
        <v>0</v>
      </c>
      <c r="N37">
        <f>IF('Calculations PJ'!N37&lt;&gt;0,'Calculations PJ'!N37*About!$B$45,0)</f>
        <v>0</v>
      </c>
      <c r="O37">
        <f>IF('Calculations PJ'!O37&lt;&gt;0,'Calculations PJ'!O37*About!$B$45,0)</f>
        <v>0</v>
      </c>
      <c r="P37">
        <f>IF('Calculations PJ'!P37&lt;&gt;0,'Calculations PJ'!P37*About!$B$45,0)</f>
        <v>0</v>
      </c>
      <c r="Q37">
        <f>IF('Calculations PJ'!Q37&lt;&gt;0,'Calculations PJ'!Q37*About!$B$45,0)</f>
        <v>0</v>
      </c>
      <c r="R37">
        <f>IF('Calculations PJ'!R37&lt;&gt;0,'Calculations PJ'!R37*About!$B$45,0)</f>
        <v>0</v>
      </c>
      <c r="S37">
        <f>IF('Calculations PJ'!S37&lt;&gt;0,'Calculations PJ'!S37*About!$B$45,0)</f>
        <v>0</v>
      </c>
      <c r="T37">
        <f>IF('Calculations PJ'!T37&lt;&gt;0,'Calculations PJ'!T37*About!$B$45,0)</f>
        <v>0</v>
      </c>
      <c r="U37">
        <f>IF('Calculations PJ'!U37&lt;&gt;0,'Calculations PJ'!U37*About!$B$45,0)</f>
        <v>0</v>
      </c>
      <c r="V37">
        <f>IF('Calculations PJ'!V37&lt;&gt;0,'Calculations PJ'!V37*About!$B$45,0)</f>
        <v>0</v>
      </c>
      <c r="W37">
        <f>IF('Calculations PJ'!W37&lt;&gt;0,'Calculations PJ'!W37*About!$B$45,0)</f>
        <v>0</v>
      </c>
      <c r="X37">
        <f>IF('Calculations PJ'!X37&lt;&gt;0,'Calculations PJ'!X37*About!$B$45,0)</f>
        <v>0</v>
      </c>
      <c r="Y37">
        <f>IF('Calculations PJ'!Y37&lt;&gt;0,'Calculations PJ'!Y37*About!$B$45,0)</f>
        <v>0</v>
      </c>
      <c r="Z37">
        <f>IF('Calculations PJ'!Z37&lt;&gt;0,'Calculations PJ'!Z37*About!$B$45,0)</f>
        <v>0</v>
      </c>
      <c r="AA37">
        <f>IF('Calculations PJ'!AA37&lt;&gt;0,'Calculations PJ'!AA37*About!$B$45,0)</f>
        <v>0</v>
      </c>
      <c r="AB37">
        <f>IF('Calculations PJ'!AB37&lt;&gt;0,'Calculations PJ'!AB37*About!$B$45,0)</f>
        <v>0</v>
      </c>
      <c r="AC37">
        <f>IF('Calculations PJ'!AC37&lt;&gt;0,'Calculations PJ'!AC37*About!$B$45,0)</f>
        <v>0</v>
      </c>
      <c r="AD37">
        <f>IF('Calculations PJ'!AD37&lt;&gt;0,'Calculations PJ'!AD37*About!$B$45,0)</f>
        <v>0</v>
      </c>
      <c r="AE37">
        <f>IF('Calculations PJ'!AE37&lt;&gt;0,'Calculations PJ'!AE37*About!$B$45,0)</f>
        <v>0</v>
      </c>
      <c r="AF37">
        <f>IF('Calculations PJ'!AF37&lt;&gt;0,'Calculations PJ'!AF37*About!$B$45,0)</f>
        <v>0</v>
      </c>
      <c r="AG37">
        <f>IF('Calculations PJ'!AG37&lt;&gt;0,'Calculations PJ'!AG37*About!$B$45,0)</f>
        <v>0</v>
      </c>
      <c r="AH37">
        <f>IF('Calculations PJ'!AH37&lt;&gt;0,'Calculations PJ'!AH37*About!$B$45,0)</f>
        <v>0</v>
      </c>
      <c r="AI37">
        <f>IF('Calculations PJ'!AI37&lt;&gt;0,'Calculations PJ'!AI37*About!$B$45,0)</f>
        <v>0</v>
      </c>
      <c r="AJ37">
        <f>IF('Calculations PJ'!AJ37&lt;&gt;0,'Calculations PJ'!AJ37*About!$B$45,0)</f>
        <v>0</v>
      </c>
      <c r="AK37">
        <f>IF('Calculations PJ'!AK37&lt;&gt;0,'Calculations PJ'!AK37*About!$B$45,0)</f>
        <v>0</v>
      </c>
      <c r="AL37">
        <f>IF('Calculations PJ'!AL37&lt;&gt;0,'Calculations PJ'!AL37*About!$B$45,0)</f>
        <v>0</v>
      </c>
      <c r="AM37">
        <f>IF('Calculations PJ'!AM37&lt;&gt;0,'Calculations PJ'!AM37*About!$B$45,0)</f>
        <v>0</v>
      </c>
      <c r="AN37">
        <f>IF('Calculations PJ'!AN37&lt;&gt;0,'Calculations PJ'!AN37*About!$B$45,0)</f>
        <v>0</v>
      </c>
      <c r="AO37">
        <f>IF('Calculations PJ'!AO37&lt;&gt;0,'Calculations PJ'!AO37*About!$B$45,0)</f>
        <v>0</v>
      </c>
      <c r="AP37">
        <f>IF('Calculations PJ'!AP37&lt;&gt;0,'Calculations PJ'!AP37*About!$B$45,0)</f>
        <v>0</v>
      </c>
      <c r="AQ37">
        <f>IF('Calculations PJ'!AQ37&lt;&gt;0,'Calculations PJ'!AQ37*About!$B$45,0)</f>
        <v>0</v>
      </c>
      <c r="AR37">
        <f>IF('Calculations PJ'!AR37&lt;&gt;0,'Calculations PJ'!AR37*About!$B$45,0)</f>
        <v>0</v>
      </c>
      <c r="AS37">
        <f>IF('Calculations PJ'!AS37&lt;&gt;0,'Calculations PJ'!AS37*About!$B$45,0)</f>
        <v>0</v>
      </c>
      <c r="AT37">
        <f>IF('Calculations PJ'!AT37&lt;&gt;0,'Calculations PJ'!AT37*About!$B$45,0)</f>
        <v>0</v>
      </c>
      <c r="AU37">
        <f>IF('Calculations PJ'!AU37&lt;&gt;0,'Calculations PJ'!AU37*About!$B$45,0)</f>
        <v>0</v>
      </c>
      <c r="AV37">
        <f>IF('Calculations PJ'!AV37&lt;&gt;0,'Calculations PJ'!AV37*About!$B$45,0)</f>
        <v>0</v>
      </c>
      <c r="AW37">
        <f>IF('Calculations PJ'!AW37&lt;&gt;0,'Calculations PJ'!AW37*About!$B$45,0)</f>
        <v>0</v>
      </c>
      <c r="AX37">
        <f>IF('Calculations PJ'!AX37&lt;&gt;0,'Calculations PJ'!AX37*About!$B$45,0)</f>
        <v>0</v>
      </c>
      <c r="AY37">
        <f>IF('Calculations PJ'!AY37&lt;&gt;0,'Calculations PJ'!AY37*About!$B$45,0)</f>
        <v>0</v>
      </c>
      <c r="AZ37">
        <f>IF('Calculations PJ'!AZ37&lt;&gt;0,'Calculations PJ'!AZ37*About!$B$45,0)</f>
        <v>0</v>
      </c>
      <c r="BA37">
        <f>IF('Calculations PJ'!BA37&lt;&gt;0,'Calculations PJ'!BA37*About!$B$45,0)</f>
        <v>0</v>
      </c>
      <c r="BB37">
        <f>IF('Calculations PJ'!BB37&lt;&gt;0,'Calculations PJ'!BB37*About!$B$45,0)</f>
        <v>0</v>
      </c>
      <c r="BC37">
        <f>IF('Calculations PJ'!BC37&lt;&gt;0,'Calculations PJ'!BC37*About!$B$45,0)</f>
        <v>0</v>
      </c>
      <c r="BD37">
        <f>IF('Calculations PJ'!BD37&lt;&gt;0,'Calculations PJ'!BD37*About!$B$45,0)</f>
        <v>0</v>
      </c>
      <c r="BE37">
        <f>IF('Calculations PJ'!BE37&lt;&gt;0,'Calculations PJ'!BE37*About!$B$45,0)</f>
        <v>0</v>
      </c>
      <c r="BF37">
        <f>IF('Calculations PJ'!BF37&lt;&gt;0,'Calculations PJ'!BF37*About!$B$45,0)</f>
        <v>0</v>
      </c>
      <c r="BG37">
        <f>IF('Calculations PJ'!BG37&lt;&gt;0,'Calculations PJ'!BG37*About!$B$45,0)</f>
        <v>0</v>
      </c>
      <c r="BH37">
        <f>IF('Calculations PJ'!BH37&lt;&gt;0,'Calculations PJ'!BH37*About!$B$45,0)</f>
        <v>0</v>
      </c>
    </row>
    <row r="38" spans="2:60" hidden="1" outlineLevel="1">
      <c r="B38" t="s">
        <v>135</v>
      </c>
      <c r="C38">
        <f>IF('Calculations PJ'!C38&lt;&gt;0,'Calculations PJ'!C38*About!$B$45,0)</f>
        <v>0</v>
      </c>
      <c r="D38">
        <f>IF('Calculations PJ'!D38&lt;&gt;0,'Calculations PJ'!D38*About!$B$45,0)</f>
        <v>0</v>
      </c>
      <c r="E38">
        <f>IF('Calculations PJ'!E38&lt;&gt;0,'Calculations PJ'!E38*About!$B$45,0)</f>
        <v>0</v>
      </c>
      <c r="F38">
        <f>IF('Calculations PJ'!F38&lt;&gt;0,'Calculations PJ'!F38*About!$B$45,0)</f>
        <v>0</v>
      </c>
      <c r="G38">
        <f>IF('Calculations PJ'!G38&lt;&gt;0,'Calculations PJ'!G38*About!$B$45,0)</f>
        <v>0</v>
      </c>
      <c r="H38">
        <f>IF('Calculations PJ'!H38&lt;&gt;0,'Calculations PJ'!H38*About!$B$45,0)</f>
        <v>0</v>
      </c>
      <c r="I38">
        <f>IF('Calculations PJ'!I38&lt;&gt;0,'Calculations PJ'!I38*About!$B$45,0)</f>
        <v>0</v>
      </c>
      <c r="J38">
        <f>IF('Calculations PJ'!J38&lt;&gt;0,'Calculations PJ'!J38*About!$B$45,0)</f>
        <v>0</v>
      </c>
      <c r="K38">
        <f>IF('Calculations PJ'!K38&lt;&gt;0,'Calculations PJ'!K38*About!$B$45,0)</f>
        <v>0</v>
      </c>
      <c r="L38">
        <f>IF('Calculations PJ'!L38&lt;&gt;0,'Calculations PJ'!L38*About!$B$45,0)</f>
        <v>0</v>
      </c>
      <c r="M38">
        <f>IF('Calculations PJ'!M38&lt;&gt;0,'Calculations PJ'!M38*About!$B$45,0)</f>
        <v>0</v>
      </c>
      <c r="N38">
        <f>IF('Calculations PJ'!N38&lt;&gt;0,'Calculations PJ'!N38*About!$B$45,0)</f>
        <v>0</v>
      </c>
      <c r="O38">
        <f>IF('Calculations PJ'!O38&lt;&gt;0,'Calculations PJ'!O38*About!$B$45,0)</f>
        <v>0</v>
      </c>
      <c r="P38">
        <f>IF('Calculations PJ'!P38&lt;&gt;0,'Calculations PJ'!P38*About!$B$45,0)</f>
        <v>0</v>
      </c>
      <c r="Q38">
        <f>IF('Calculations PJ'!Q38&lt;&gt;0,'Calculations PJ'!Q38*About!$B$45,0)</f>
        <v>0</v>
      </c>
      <c r="R38">
        <f>IF('Calculations PJ'!R38&lt;&gt;0,'Calculations PJ'!R38*About!$B$45,0)</f>
        <v>0</v>
      </c>
      <c r="S38">
        <f>IF('Calculations PJ'!S38&lt;&gt;0,'Calculations PJ'!S38*About!$B$45,0)</f>
        <v>0</v>
      </c>
      <c r="T38">
        <f>IF('Calculations PJ'!T38&lt;&gt;0,'Calculations PJ'!T38*About!$B$45,0)</f>
        <v>0</v>
      </c>
      <c r="U38">
        <f>IF('Calculations PJ'!U38&lt;&gt;0,'Calculations PJ'!U38*About!$B$45,0)</f>
        <v>0</v>
      </c>
      <c r="V38">
        <f>IF('Calculations PJ'!V38&lt;&gt;0,'Calculations PJ'!V38*About!$B$45,0)</f>
        <v>0</v>
      </c>
      <c r="W38">
        <f>IF('Calculations PJ'!W38&lt;&gt;0,'Calculations PJ'!W38*About!$B$45,0)</f>
        <v>0</v>
      </c>
      <c r="X38">
        <f>IF('Calculations PJ'!X38&lt;&gt;0,'Calculations PJ'!X38*About!$B$45,0)</f>
        <v>0</v>
      </c>
      <c r="Y38">
        <f>IF('Calculations PJ'!Y38&lt;&gt;0,'Calculations PJ'!Y38*About!$B$45,0)</f>
        <v>0</v>
      </c>
      <c r="Z38">
        <f>IF('Calculations PJ'!Z38&lt;&gt;0,'Calculations PJ'!Z38*About!$B$45,0)</f>
        <v>0</v>
      </c>
      <c r="AA38">
        <f>IF('Calculations PJ'!AA38&lt;&gt;0,'Calculations PJ'!AA38*About!$B$45,0)</f>
        <v>0</v>
      </c>
      <c r="AB38">
        <f>IF('Calculations PJ'!AB38&lt;&gt;0,'Calculations PJ'!AB38*About!$B$45,0)</f>
        <v>0</v>
      </c>
      <c r="AC38">
        <f>IF('Calculations PJ'!AC38&lt;&gt;0,'Calculations PJ'!AC38*About!$B$45,0)</f>
        <v>0</v>
      </c>
      <c r="AD38">
        <f>IF('Calculations PJ'!AD38&lt;&gt;0,'Calculations PJ'!AD38*About!$B$45,0)</f>
        <v>0</v>
      </c>
      <c r="AE38">
        <f>IF('Calculations PJ'!AE38&lt;&gt;0,'Calculations PJ'!AE38*About!$B$45,0)</f>
        <v>0</v>
      </c>
      <c r="AF38">
        <f>IF('Calculations PJ'!AF38&lt;&gt;0,'Calculations PJ'!AF38*About!$B$45,0)</f>
        <v>0</v>
      </c>
      <c r="AG38">
        <f>IF('Calculations PJ'!AG38&lt;&gt;0,'Calculations PJ'!AG38*About!$B$45,0)</f>
        <v>0</v>
      </c>
      <c r="AH38">
        <f>IF('Calculations PJ'!AH38&lt;&gt;0,'Calculations PJ'!AH38*About!$B$45,0)</f>
        <v>0</v>
      </c>
      <c r="AI38">
        <f>IF('Calculations PJ'!AI38&lt;&gt;0,'Calculations PJ'!AI38*About!$B$45,0)</f>
        <v>0</v>
      </c>
      <c r="AJ38">
        <f>IF('Calculations PJ'!AJ38&lt;&gt;0,'Calculations PJ'!AJ38*About!$B$45,0)</f>
        <v>0</v>
      </c>
      <c r="AK38">
        <f>IF('Calculations PJ'!AK38&lt;&gt;0,'Calculations PJ'!AK38*About!$B$45,0)</f>
        <v>0</v>
      </c>
      <c r="AL38">
        <f>IF('Calculations PJ'!AL38&lt;&gt;0,'Calculations PJ'!AL38*About!$B$45,0)</f>
        <v>0</v>
      </c>
      <c r="AM38">
        <f>IF('Calculations PJ'!AM38&lt;&gt;0,'Calculations PJ'!AM38*About!$B$45,0)</f>
        <v>0</v>
      </c>
      <c r="AN38">
        <f>IF('Calculations PJ'!AN38&lt;&gt;0,'Calculations PJ'!AN38*About!$B$45,0)</f>
        <v>0</v>
      </c>
      <c r="AO38">
        <f>IF('Calculations PJ'!AO38&lt;&gt;0,'Calculations PJ'!AO38*About!$B$45,0)</f>
        <v>0</v>
      </c>
      <c r="AP38">
        <f>IF('Calculations PJ'!AP38&lt;&gt;0,'Calculations PJ'!AP38*About!$B$45,0)</f>
        <v>0</v>
      </c>
      <c r="AQ38">
        <f>IF('Calculations PJ'!AQ38&lt;&gt;0,'Calculations PJ'!AQ38*About!$B$45,0)</f>
        <v>0</v>
      </c>
      <c r="AR38">
        <f>IF('Calculations PJ'!AR38&lt;&gt;0,'Calculations PJ'!AR38*About!$B$45,0)</f>
        <v>0</v>
      </c>
      <c r="AS38">
        <f>IF('Calculations PJ'!AS38&lt;&gt;0,'Calculations PJ'!AS38*About!$B$45,0)</f>
        <v>0</v>
      </c>
      <c r="AT38">
        <f>IF('Calculations PJ'!AT38&lt;&gt;0,'Calculations PJ'!AT38*About!$B$45,0)</f>
        <v>0</v>
      </c>
      <c r="AU38">
        <f>IF('Calculations PJ'!AU38&lt;&gt;0,'Calculations PJ'!AU38*About!$B$45,0)</f>
        <v>0</v>
      </c>
      <c r="AV38">
        <f>IF('Calculations PJ'!AV38&lt;&gt;0,'Calculations PJ'!AV38*About!$B$45,0)</f>
        <v>0</v>
      </c>
      <c r="AW38">
        <f>IF('Calculations PJ'!AW38&lt;&gt;0,'Calculations PJ'!AW38*About!$B$45,0)</f>
        <v>0</v>
      </c>
      <c r="AX38">
        <f>IF('Calculations PJ'!AX38&lt;&gt;0,'Calculations PJ'!AX38*About!$B$45,0)</f>
        <v>0</v>
      </c>
      <c r="AY38">
        <f>IF('Calculations PJ'!AY38&lt;&gt;0,'Calculations PJ'!AY38*About!$B$45,0)</f>
        <v>0</v>
      </c>
      <c r="AZ38">
        <f>IF('Calculations PJ'!AZ38&lt;&gt;0,'Calculations PJ'!AZ38*About!$B$45,0)</f>
        <v>0</v>
      </c>
      <c r="BA38">
        <f>IF('Calculations PJ'!BA38&lt;&gt;0,'Calculations PJ'!BA38*About!$B$45,0)</f>
        <v>0</v>
      </c>
      <c r="BB38">
        <f>IF('Calculations PJ'!BB38&lt;&gt;0,'Calculations PJ'!BB38*About!$B$45,0)</f>
        <v>0</v>
      </c>
      <c r="BC38">
        <f>IF('Calculations PJ'!BC38&lt;&gt;0,'Calculations PJ'!BC38*About!$B$45,0)</f>
        <v>0</v>
      </c>
      <c r="BD38">
        <f>IF('Calculations PJ'!BD38&lt;&gt;0,'Calculations PJ'!BD38*About!$B$45,0)</f>
        <v>0</v>
      </c>
      <c r="BE38">
        <f>IF('Calculations PJ'!BE38&lt;&gt;0,'Calculations PJ'!BE38*About!$B$45,0)</f>
        <v>0</v>
      </c>
      <c r="BF38">
        <f>IF('Calculations PJ'!BF38&lt;&gt;0,'Calculations PJ'!BF38*About!$B$45,0)</f>
        <v>0</v>
      </c>
      <c r="BG38">
        <f>IF('Calculations PJ'!BG38&lt;&gt;0,'Calculations PJ'!BG38*About!$B$45,0)</f>
        <v>0</v>
      </c>
      <c r="BH38">
        <f>IF('Calculations PJ'!BH38&lt;&gt;0,'Calculations PJ'!BH38*About!$B$45,0)</f>
        <v>0</v>
      </c>
    </row>
    <row r="39" spans="2:60" hidden="1" outlineLevel="1">
      <c r="B39" t="s">
        <v>136</v>
      </c>
      <c r="C39">
        <f>IF('Calculations PJ'!C39&lt;&gt;0,'Calculations PJ'!C39*About!$B$45,0)</f>
        <v>0</v>
      </c>
      <c r="D39">
        <f>IF('Calculations PJ'!D39&lt;&gt;0,'Calculations PJ'!D39*About!$B$45,0)</f>
        <v>0</v>
      </c>
      <c r="E39">
        <f>IF('Calculations PJ'!E39&lt;&gt;0,'Calculations PJ'!E39*About!$B$45,0)</f>
        <v>0</v>
      </c>
      <c r="F39">
        <f>IF('Calculations PJ'!F39&lt;&gt;0,'Calculations PJ'!F39*About!$B$45,0)</f>
        <v>0</v>
      </c>
      <c r="G39">
        <f>IF('Calculations PJ'!G39&lt;&gt;0,'Calculations PJ'!G39*About!$B$45,0)</f>
        <v>0</v>
      </c>
      <c r="H39">
        <f>IF('Calculations PJ'!H39&lt;&gt;0,'Calculations PJ'!H39*About!$B$45,0)</f>
        <v>0</v>
      </c>
      <c r="I39">
        <f>IF('Calculations PJ'!I39&lt;&gt;0,'Calculations PJ'!I39*About!$B$45,0)</f>
        <v>0</v>
      </c>
      <c r="J39">
        <f>IF('Calculations PJ'!J39&lt;&gt;0,'Calculations PJ'!J39*About!$B$45,0)</f>
        <v>0</v>
      </c>
      <c r="K39">
        <f>IF('Calculations PJ'!K39&lt;&gt;0,'Calculations PJ'!K39*About!$B$45,0)</f>
        <v>0</v>
      </c>
      <c r="L39">
        <f>IF('Calculations PJ'!L39&lt;&gt;0,'Calculations PJ'!L39*About!$B$45,0)</f>
        <v>0</v>
      </c>
      <c r="M39">
        <f>IF('Calculations PJ'!M39&lt;&gt;0,'Calculations PJ'!M39*About!$B$45,0)</f>
        <v>0</v>
      </c>
      <c r="N39">
        <f>IF('Calculations PJ'!N39&lt;&gt;0,'Calculations PJ'!N39*About!$B$45,0)</f>
        <v>0</v>
      </c>
      <c r="O39">
        <f>IF('Calculations PJ'!O39&lt;&gt;0,'Calculations PJ'!O39*About!$B$45,0)</f>
        <v>0</v>
      </c>
      <c r="P39">
        <f>IF('Calculations PJ'!P39&lt;&gt;0,'Calculations PJ'!P39*About!$B$45,0)</f>
        <v>0</v>
      </c>
      <c r="Q39">
        <f>IF('Calculations PJ'!Q39&lt;&gt;0,'Calculations PJ'!Q39*About!$B$45,0)</f>
        <v>0</v>
      </c>
      <c r="R39">
        <f>IF('Calculations PJ'!R39&lt;&gt;0,'Calculations PJ'!R39*About!$B$45,0)</f>
        <v>0</v>
      </c>
      <c r="S39">
        <f>IF('Calculations PJ'!S39&lt;&gt;0,'Calculations PJ'!S39*About!$B$45,0)</f>
        <v>0</v>
      </c>
      <c r="T39">
        <f>IF('Calculations PJ'!T39&lt;&gt;0,'Calculations PJ'!T39*About!$B$45,0)</f>
        <v>0</v>
      </c>
      <c r="U39">
        <f>IF('Calculations PJ'!U39&lt;&gt;0,'Calculations PJ'!U39*About!$B$45,0)</f>
        <v>0</v>
      </c>
      <c r="V39">
        <f>IF('Calculations PJ'!V39&lt;&gt;0,'Calculations PJ'!V39*About!$B$45,0)</f>
        <v>0</v>
      </c>
      <c r="W39">
        <f>IF('Calculations PJ'!W39&lt;&gt;0,'Calculations PJ'!W39*About!$B$45,0)</f>
        <v>0</v>
      </c>
      <c r="X39">
        <f>IF('Calculations PJ'!X39&lt;&gt;0,'Calculations PJ'!X39*About!$B$45,0)</f>
        <v>0</v>
      </c>
      <c r="Y39">
        <f>IF('Calculations PJ'!Y39&lt;&gt;0,'Calculations PJ'!Y39*About!$B$45,0)</f>
        <v>0</v>
      </c>
      <c r="Z39">
        <f>IF('Calculations PJ'!Z39&lt;&gt;0,'Calculations PJ'!Z39*About!$B$45,0)</f>
        <v>0</v>
      </c>
      <c r="AA39">
        <f>IF('Calculations PJ'!AA39&lt;&gt;0,'Calculations PJ'!AA39*About!$B$45,0)</f>
        <v>0</v>
      </c>
      <c r="AB39">
        <f>IF('Calculations PJ'!AB39&lt;&gt;0,'Calculations PJ'!AB39*About!$B$45,0)</f>
        <v>0</v>
      </c>
      <c r="AC39">
        <f>IF('Calculations PJ'!AC39&lt;&gt;0,'Calculations PJ'!AC39*About!$B$45,0)</f>
        <v>0</v>
      </c>
      <c r="AD39">
        <f>IF('Calculations PJ'!AD39&lt;&gt;0,'Calculations PJ'!AD39*About!$B$45,0)</f>
        <v>0</v>
      </c>
      <c r="AE39">
        <f>IF('Calculations PJ'!AE39&lt;&gt;0,'Calculations PJ'!AE39*About!$B$45,0)</f>
        <v>0</v>
      </c>
      <c r="AF39">
        <f>IF('Calculations PJ'!AF39&lt;&gt;0,'Calculations PJ'!AF39*About!$B$45,0)</f>
        <v>0</v>
      </c>
      <c r="AG39">
        <f>IF('Calculations PJ'!AG39&lt;&gt;0,'Calculations PJ'!AG39*About!$B$45,0)</f>
        <v>0</v>
      </c>
      <c r="AH39">
        <f>IF('Calculations PJ'!AH39&lt;&gt;0,'Calculations PJ'!AH39*About!$B$45,0)</f>
        <v>0</v>
      </c>
      <c r="AI39">
        <f>IF('Calculations PJ'!AI39&lt;&gt;0,'Calculations PJ'!AI39*About!$B$45,0)</f>
        <v>0</v>
      </c>
      <c r="AJ39">
        <f>IF('Calculations PJ'!AJ39&lt;&gt;0,'Calculations PJ'!AJ39*About!$B$45,0)</f>
        <v>0</v>
      </c>
      <c r="AK39">
        <f>IF('Calculations PJ'!AK39&lt;&gt;0,'Calculations PJ'!AK39*About!$B$45,0)</f>
        <v>0</v>
      </c>
      <c r="AL39">
        <f>IF('Calculations PJ'!AL39&lt;&gt;0,'Calculations PJ'!AL39*About!$B$45,0)</f>
        <v>0</v>
      </c>
      <c r="AM39">
        <f>IF('Calculations PJ'!AM39&lt;&gt;0,'Calculations PJ'!AM39*About!$B$45,0)</f>
        <v>0</v>
      </c>
      <c r="AN39">
        <f>IF('Calculations PJ'!AN39&lt;&gt;0,'Calculations PJ'!AN39*About!$B$45,0)</f>
        <v>0</v>
      </c>
      <c r="AO39">
        <f>IF('Calculations PJ'!AO39&lt;&gt;0,'Calculations PJ'!AO39*About!$B$45,0)</f>
        <v>0</v>
      </c>
      <c r="AP39">
        <f>IF('Calculations PJ'!AP39&lt;&gt;0,'Calculations PJ'!AP39*About!$B$45,0)</f>
        <v>0</v>
      </c>
      <c r="AQ39">
        <f>IF('Calculations PJ'!AQ39&lt;&gt;0,'Calculations PJ'!AQ39*About!$B$45,0)</f>
        <v>0</v>
      </c>
      <c r="AR39">
        <f>IF('Calculations PJ'!AR39&lt;&gt;0,'Calculations PJ'!AR39*About!$B$45,0)</f>
        <v>0</v>
      </c>
      <c r="AS39">
        <f>IF('Calculations PJ'!AS39&lt;&gt;0,'Calculations PJ'!AS39*About!$B$45,0)</f>
        <v>0</v>
      </c>
      <c r="AT39">
        <f>IF('Calculations PJ'!AT39&lt;&gt;0,'Calculations PJ'!AT39*About!$B$45,0)</f>
        <v>0</v>
      </c>
      <c r="AU39">
        <f>IF('Calculations PJ'!AU39&lt;&gt;0,'Calculations PJ'!AU39*About!$B$45,0)</f>
        <v>0</v>
      </c>
      <c r="AV39">
        <f>IF('Calculations PJ'!AV39&lt;&gt;0,'Calculations PJ'!AV39*About!$B$45,0)</f>
        <v>0</v>
      </c>
      <c r="AW39">
        <f>IF('Calculations PJ'!AW39&lt;&gt;0,'Calculations PJ'!AW39*About!$B$45,0)</f>
        <v>0</v>
      </c>
      <c r="AX39">
        <f>IF('Calculations PJ'!AX39&lt;&gt;0,'Calculations PJ'!AX39*About!$B$45,0)</f>
        <v>0</v>
      </c>
      <c r="AY39">
        <f>IF('Calculations PJ'!AY39&lt;&gt;0,'Calculations PJ'!AY39*About!$B$45,0)</f>
        <v>0</v>
      </c>
      <c r="AZ39">
        <f>IF('Calculations PJ'!AZ39&lt;&gt;0,'Calculations PJ'!AZ39*About!$B$45,0)</f>
        <v>0</v>
      </c>
      <c r="BA39">
        <f>IF('Calculations PJ'!BA39&lt;&gt;0,'Calculations PJ'!BA39*About!$B$45,0)</f>
        <v>0</v>
      </c>
      <c r="BB39">
        <f>IF('Calculations PJ'!BB39&lt;&gt;0,'Calculations PJ'!BB39*About!$B$45,0)</f>
        <v>0</v>
      </c>
      <c r="BC39">
        <f>IF('Calculations PJ'!BC39&lt;&gt;0,'Calculations PJ'!BC39*About!$B$45,0)</f>
        <v>0</v>
      </c>
      <c r="BD39">
        <f>IF('Calculations PJ'!BD39&lt;&gt;0,'Calculations PJ'!BD39*About!$B$45,0)</f>
        <v>0</v>
      </c>
      <c r="BE39">
        <f>IF('Calculations PJ'!BE39&lt;&gt;0,'Calculations PJ'!BE39*About!$B$45,0)</f>
        <v>0</v>
      </c>
      <c r="BF39">
        <f>IF('Calculations PJ'!BF39&lt;&gt;0,'Calculations PJ'!BF39*About!$B$45,0)</f>
        <v>0</v>
      </c>
      <c r="BG39">
        <f>IF('Calculations PJ'!BG39&lt;&gt;0,'Calculations PJ'!BG39*About!$B$45,0)</f>
        <v>0</v>
      </c>
      <c r="BH39">
        <f>IF('Calculations PJ'!BH39&lt;&gt;0,'Calculations PJ'!BH39*About!$B$45,0)</f>
        <v>0</v>
      </c>
    </row>
    <row r="40" spans="2:60" hidden="1" outlineLevel="1">
      <c r="B40" t="s">
        <v>137</v>
      </c>
      <c r="C40">
        <f>IF('Calculations PJ'!C40&lt;&gt;0,'Calculations PJ'!C40*About!$B$45,0)</f>
        <v>0</v>
      </c>
      <c r="D40">
        <f>IF('Calculations PJ'!D40&lt;&gt;0,'Calculations PJ'!D40*About!$B$45,0)</f>
        <v>0</v>
      </c>
      <c r="E40">
        <f>IF('Calculations PJ'!E40&lt;&gt;0,'Calculations PJ'!E40*About!$B$45,0)</f>
        <v>0</v>
      </c>
      <c r="F40">
        <f>IF('Calculations PJ'!F40&lt;&gt;0,'Calculations PJ'!F40*About!$B$45,0)</f>
        <v>0</v>
      </c>
      <c r="G40">
        <f>IF('Calculations PJ'!G40&lt;&gt;0,'Calculations PJ'!G40*About!$B$45,0)</f>
        <v>0</v>
      </c>
      <c r="H40">
        <f>IF('Calculations PJ'!H40&lt;&gt;0,'Calculations PJ'!H40*About!$B$45,0)</f>
        <v>0</v>
      </c>
      <c r="I40">
        <f>IF('Calculations PJ'!I40&lt;&gt;0,'Calculations PJ'!I40*About!$B$45,0)</f>
        <v>0</v>
      </c>
      <c r="J40">
        <f>IF('Calculations PJ'!J40&lt;&gt;0,'Calculations PJ'!J40*About!$B$45,0)</f>
        <v>0</v>
      </c>
      <c r="K40">
        <f>IF('Calculations PJ'!K40&lt;&gt;0,'Calculations PJ'!K40*About!$B$45,0)</f>
        <v>0</v>
      </c>
      <c r="L40">
        <f>IF('Calculations PJ'!L40&lt;&gt;0,'Calculations PJ'!L40*About!$B$45,0)</f>
        <v>0</v>
      </c>
      <c r="M40">
        <f>IF('Calculations PJ'!M40&lt;&gt;0,'Calculations PJ'!M40*About!$B$45,0)</f>
        <v>0</v>
      </c>
      <c r="N40">
        <f>IF('Calculations PJ'!N40&lt;&gt;0,'Calculations PJ'!N40*About!$B$45,0)</f>
        <v>0</v>
      </c>
      <c r="O40">
        <f>IF('Calculations PJ'!O40&lt;&gt;0,'Calculations PJ'!O40*About!$B$45,0)</f>
        <v>0</v>
      </c>
      <c r="P40">
        <f>IF('Calculations PJ'!P40&lt;&gt;0,'Calculations PJ'!P40*About!$B$45,0)</f>
        <v>0</v>
      </c>
      <c r="Q40">
        <f>IF('Calculations PJ'!Q40&lt;&gt;0,'Calculations PJ'!Q40*About!$B$45,0)</f>
        <v>0</v>
      </c>
      <c r="R40">
        <f>IF('Calculations PJ'!R40&lt;&gt;0,'Calculations PJ'!R40*About!$B$45,0)</f>
        <v>0</v>
      </c>
      <c r="S40">
        <f>IF('Calculations PJ'!S40&lt;&gt;0,'Calculations PJ'!S40*About!$B$45,0)</f>
        <v>0</v>
      </c>
      <c r="T40">
        <f>IF('Calculations PJ'!T40&lt;&gt;0,'Calculations PJ'!T40*About!$B$45,0)</f>
        <v>0</v>
      </c>
      <c r="U40">
        <f>IF('Calculations PJ'!U40&lt;&gt;0,'Calculations PJ'!U40*About!$B$45,0)</f>
        <v>0</v>
      </c>
      <c r="V40">
        <f>IF('Calculations PJ'!V40&lt;&gt;0,'Calculations PJ'!V40*About!$B$45,0)</f>
        <v>0</v>
      </c>
      <c r="W40">
        <f>IF('Calculations PJ'!W40&lt;&gt;0,'Calculations PJ'!W40*About!$B$45,0)</f>
        <v>0</v>
      </c>
      <c r="X40">
        <f>IF('Calculations PJ'!X40&lt;&gt;0,'Calculations PJ'!X40*About!$B$45,0)</f>
        <v>0</v>
      </c>
      <c r="Y40">
        <f>IF('Calculations PJ'!Y40&lt;&gt;0,'Calculations PJ'!Y40*About!$B$45,0)</f>
        <v>0</v>
      </c>
      <c r="Z40">
        <f>IF('Calculations PJ'!Z40&lt;&gt;0,'Calculations PJ'!Z40*About!$B$45,0)</f>
        <v>0</v>
      </c>
      <c r="AA40">
        <f>IF('Calculations PJ'!AA40&lt;&gt;0,'Calculations PJ'!AA40*About!$B$45,0)</f>
        <v>0</v>
      </c>
      <c r="AB40">
        <f>IF('Calculations PJ'!AB40&lt;&gt;0,'Calculations PJ'!AB40*About!$B$45,0)</f>
        <v>0</v>
      </c>
      <c r="AC40">
        <f>IF('Calculations PJ'!AC40&lt;&gt;0,'Calculations PJ'!AC40*About!$B$45,0)</f>
        <v>0</v>
      </c>
      <c r="AD40">
        <f>IF('Calculations PJ'!AD40&lt;&gt;0,'Calculations PJ'!AD40*About!$B$45,0)</f>
        <v>0</v>
      </c>
      <c r="AE40">
        <f>IF('Calculations PJ'!AE40&lt;&gt;0,'Calculations PJ'!AE40*About!$B$45,0)</f>
        <v>0</v>
      </c>
      <c r="AF40">
        <f>IF('Calculations PJ'!AF40&lt;&gt;0,'Calculations PJ'!AF40*About!$B$45,0)</f>
        <v>0</v>
      </c>
      <c r="AG40">
        <f>IF('Calculations PJ'!AG40&lt;&gt;0,'Calculations PJ'!AG40*About!$B$45,0)</f>
        <v>0</v>
      </c>
      <c r="AH40">
        <f>IF('Calculations PJ'!AH40&lt;&gt;0,'Calculations PJ'!AH40*About!$B$45,0)</f>
        <v>0</v>
      </c>
      <c r="AI40">
        <f>IF('Calculations PJ'!AI40&lt;&gt;0,'Calculations PJ'!AI40*About!$B$45,0)</f>
        <v>0</v>
      </c>
      <c r="AJ40">
        <f>IF('Calculations PJ'!AJ40&lt;&gt;0,'Calculations PJ'!AJ40*About!$B$45,0)</f>
        <v>0</v>
      </c>
      <c r="AK40">
        <f>IF('Calculations PJ'!AK40&lt;&gt;0,'Calculations PJ'!AK40*About!$B$45,0)</f>
        <v>0</v>
      </c>
      <c r="AL40">
        <f>IF('Calculations PJ'!AL40&lt;&gt;0,'Calculations PJ'!AL40*About!$B$45,0)</f>
        <v>0</v>
      </c>
      <c r="AM40">
        <f>IF('Calculations PJ'!AM40&lt;&gt;0,'Calculations PJ'!AM40*About!$B$45,0)</f>
        <v>0</v>
      </c>
      <c r="AN40">
        <f>IF('Calculations PJ'!AN40&lt;&gt;0,'Calculations PJ'!AN40*About!$B$45,0)</f>
        <v>0</v>
      </c>
      <c r="AO40">
        <f>IF('Calculations PJ'!AO40&lt;&gt;0,'Calculations PJ'!AO40*About!$B$45,0)</f>
        <v>0</v>
      </c>
      <c r="AP40">
        <f>IF('Calculations PJ'!AP40&lt;&gt;0,'Calculations PJ'!AP40*About!$B$45,0)</f>
        <v>0</v>
      </c>
      <c r="AQ40">
        <f>IF('Calculations PJ'!AQ40&lt;&gt;0,'Calculations PJ'!AQ40*About!$B$45,0)</f>
        <v>0</v>
      </c>
      <c r="AR40">
        <f>IF('Calculations PJ'!AR40&lt;&gt;0,'Calculations PJ'!AR40*About!$B$45,0)</f>
        <v>0</v>
      </c>
      <c r="AS40">
        <f>IF('Calculations PJ'!AS40&lt;&gt;0,'Calculations PJ'!AS40*About!$B$45,0)</f>
        <v>0</v>
      </c>
      <c r="AT40">
        <f>IF('Calculations PJ'!AT40&lt;&gt;0,'Calculations PJ'!AT40*About!$B$45,0)</f>
        <v>0</v>
      </c>
      <c r="AU40">
        <f>IF('Calculations PJ'!AU40&lt;&gt;0,'Calculations PJ'!AU40*About!$B$45,0)</f>
        <v>0</v>
      </c>
      <c r="AV40">
        <f>IF('Calculations PJ'!AV40&lt;&gt;0,'Calculations PJ'!AV40*About!$B$45,0)</f>
        <v>0</v>
      </c>
      <c r="AW40">
        <f>IF('Calculations PJ'!AW40&lt;&gt;0,'Calculations PJ'!AW40*About!$B$45,0)</f>
        <v>0</v>
      </c>
      <c r="AX40">
        <f>IF('Calculations PJ'!AX40&lt;&gt;0,'Calculations PJ'!AX40*About!$B$45,0)</f>
        <v>0</v>
      </c>
      <c r="AY40">
        <f>IF('Calculations PJ'!AY40&lt;&gt;0,'Calculations PJ'!AY40*About!$B$45,0)</f>
        <v>0</v>
      </c>
      <c r="AZ40">
        <f>IF('Calculations PJ'!AZ40&lt;&gt;0,'Calculations PJ'!AZ40*About!$B$45,0)</f>
        <v>0</v>
      </c>
      <c r="BA40">
        <f>IF('Calculations PJ'!BA40&lt;&gt;0,'Calculations PJ'!BA40*About!$B$45,0)</f>
        <v>0</v>
      </c>
      <c r="BB40">
        <f>IF('Calculations PJ'!BB40&lt;&gt;0,'Calculations PJ'!BB40*About!$B$45,0)</f>
        <v>0</v>
      </c>
      <c r="BC40">
        <f>IF('Calculations PJ'!BC40&lt;&gt;0,'Calculations PJ'!BC40*About!$B$45,0)</f>
        <v>0</v>
      </c>
      <c r="BD40">
        <f>IF('Calculations PJ'!BD40&lt;&gt;0,'Calculations PJ'!BD40*About!$B$45,0)</f>
        <v>0</v>
      </c>
      <c r="BE40">
        <f>IF('Calculations PJ'!BE40&lt;&gt;0,'Calculations PJ'!BE40*About!$B$45,0)</f>
        <v>0</v>
      </c>
      <c r="BF40">
        <f>IF('Calculations PJ'!BF40&lt;&gt;0,'Calculations PJ'!BF40*About!$B$45,0)</f>
        <v>0</v>
      </c>
      <c r="BG40">
        <f>IF('Calculations PJ'!BG40&lt;&gt;0,'Calculations PJ'!BG40*About!$B$45,0)</f>
        <v>0</v>
      </c>
      <c r="BH40">
        <f>IF('Calculations PJ'!BH40&lt;&gt;0,'Calculations PJ'!BH40*About!$B$45,0)</f>
        <v>0</v>
      </c>
    </row>
    <row r="41" spans="2:60" hidden="1" outlineLevel="1">
      <c r="B41" t="s">
        <v>138</v>
      </c>
      <c r="C41">
        <f>IF('Calculations PJ'!C41&lt;&gt;0,'Calculations PJ'!C41*About!$B$45,0)</f>
        <v>5554501429164.1797</v>
      </c>
      <c r="D41">
        <f>IF('Calculations PJ'!D41&lt;&gt;0,'Calculations PJ'!D41*About!$B$45,0)</f>
        <v>5687202828495.7471</v>
      </c>
      <c r="E41">
        <f>IF('Calculations PJ'!E41&lt;&gt;0,'Calculations PJ'!E41*About!$B$45,0)</f>
        <v>6075828355109.623</v>
      </c>
      <c r="F41">
        <f>IF('Calculations PJ'!F41&lt;&gt;0,'Calculations PJ'!F41*About!$B$45,0)</f>
        <v>6464453881723.499</v>
      </c>
      <c r="G41">
        <f>IF('Calculations PJ'!G41&lt;&gt;0,'Calculations PJ'!G41*About!$B$45,0)</f>
        <v>6682463323482.5029</v>
      </c>
      <c r="H41">
        <f>IF('Calculations PJ'!H41&lt;&gt;0,'Calculations PJ'!H41*About!$B$45,0)</f>
        <v>6928908779383.9844</v>
      </c>
      <c r="I41">
        <f>IF('Calculations PJ'!I41&lt;&gt;0,'Calculations PJ'!I41*About!$B$45,0)</f>
        <v>7260662277712.9043</v>
      </c>
      <c r="J41">
        <f>IF('Calculations PJ'!J41&lt;&gt;0,'Calculations PJ'!J41*About!$B$45,0)</f>
        <v>9033173825927.4102</v>
      </c>
      <c r="K41">
        <f>IF('Calculations PJ'!K41&lt;&gt;0,'Calculations PJ'!K41*About!$B$45,0)</f>
        <v>27478668333015.281</v>
      </c>
      <c r="L41">
        <f>IF('Calculations PJ'!L41&lt;&gt;0,'Calculations PJ'!L41*About!$B$45,0)</f>
        <v>27279616234017.934</v>
      </c>
      <c r="M41">
        <f>IF('Calculations PJ'!M41&lt;&gt;0,'Calculations PJ'!M41*About!$B$45,0)</f>
        <v>26985777421212.32</v>
      </c>
      <c r="N41">
        <f>IF('Calculations PJ'!N41&lt;&gt;0,'Calculations PJ'!N41*About!$B$45,0)</f>
        <v>26701417279787.535</v>
      </c>
      <c r="O41">
        <f>IF('Calculations PJ'!O41&lt;&gt;0,'Calculations PJ'!O41*About!$B$45,0)</f>
        <v>26407578466981.918</v>
      </c>
      <c r="P41">
        <f>IF('Calculations PJ'!P41&lt;&gt;0,'Calculations PJ'!P41*About!$B$45,0)</f>
        <v>26123218325557.129</v>
      </c>
      <c r="Q41">
        <f>IF('Calculations PJ'!Q41&lt;&gt;0,'Calculations PJ'!Q41*About!$B$45,0)</f>
        <v>25829379512751.52</v>
      </c>
      <c r="R41">
        <f>IF('Calculations PJ'!R41&lt;&gt;0,'Calculations PJ'!R41*About!$B$45,0)</f>
        <v>25545019371326.73</v>
      </c>
      <c r="S41">
        <f>IF('Calculations PJ'!S41&lt;&gt;0,'Calculations PJ'!S41*About!$B$45,0)</f>
        <v>25251180558521.117</v>
      </c>
      <c r="T41">
        <f>IF('Calculations PJ'!T41&lt;&gt;0,'Calculations PJ'!T41*About!$B$45,0)</f>
        <v>24966820417096.328</v>
      </c>
      <c r="U41">
        <f>IF('Calculations PJ'!U41&lt;&gt;0,'Calculations PJ'!U41*About!$B$45,0)</f>
        <v>24672981604290.719</v>
      </c>
      <c r="V41">
        <f>IF('Calculations PJ'!V41&lt;&gt;0,'Calculations PJ'!V41*About!$B$45,0)</f>
        <v>24388621462865.93</v>
      </c>
      <c r="W41">
        <f>IF('Calculations PJ'!W41&lt;&gt;0,'Calculations PJ'!W41*About!$B$45,0)</f>
        <v>24094782650060.316</v>
      </c>
      <c r="X41">
        <f>IF('Calculations PJ'!X41&lt;&gt;0,'Calculations PJ'!X41*About!$B$45,0)</f>
        <v>23810422508635.527</v>
      </c>
      <c r="Y41">
        <f>IF('Calculations PJ'!Y41&lt;&gt;0,'Calculations PJ'!Y41*About!$B$45,0)</f>
        <v>23516583695829.914</v>
      </c>
      <c r="Z41">
        <f>IF('Calculations PJ'!Z41&lt;&gt;0,'Calculations PJ'!Z41*About!$B$45,0)</f>
        <v>23232223554405.129</v>
      </c>
      <c r="AA41">
        <f>IF('Calculations PJ'!AA41&lt;&gt;0,'Calculations PJ'!AA41*About!$B$45,0)</f>
        <v>22938384741599.512</v>
      </c>
      <c r="AB41">
        <f>IF('Calculations PJ'!AB41&lt;&gt;0,'Calculations PJ'!AB41*About!$B$45,0)</f>
        <v>22654024600174.723</v>
      </c>
      <c r="AC41">
        <f>IF('Calculations PJ'!AC41&lt;&gt;0,'Calculations PJ'!AC41*About!$B$45,0)</f>
        <v>22369664458749.941</v>
      </c>
      <c r="AD41">
        <f>IF('Calculations PJ'!AD41&lt;&gt;0,'Calculations PJ'!AD41*About!$B$45,0)</f>
        <v>22075825645944.324</v>
      </c>
      <c r="AE41">
        <f>IF('Calculations PJ'!AE41&lt;&gt;0,'Calculations PJ'!AE41*About!$B$45,0)</f>
        <v>21791465504519.535</v>
      </c>
      <c r="AF41">
        <f>IF('Calculations PJ'!AF41&lt;&gt;0,'Calculations PJ'!AF41*About!$B$45,0)</f>
        <v>21497626691713.922</v>
      </c>
      <c r="AG41">
        <f>IF('Calculations PJ'!AG41&lt;&gt;0,'Calculations PJ'!AG41*About!$B$45,0)</f>
        <v>21213266550289.137</v>
      </c>
      <c r="AH41">
        <f>IF('Calculations PJ'!AH41&lt;&gt;0,'Calculations PJ'!AH41*About!$B$45,0)</f>
        <v>20919427737483.523</v>
      </c>
      <c r="AI41">
        <f>IF('Calculations PJ'!AI41&lt;&gt;0,'Calculations PJ'!AI41*About!$B$45,0)</f>
        <v>20635067596058.734</v>
      </c>
      <c r="AJ41">
        <f>IF('Calculations PJ'!AJ41&lt;&gt;0,'Calculations PJ'!AJ41*About!$B$45,0)</f>
        <v>20341228783253.121</v>
      </c>
      <c r="AK41">
        <f>IF('Calculations PJ'!AK41&lt;&gt;0,'Calculations PJ'!AK41*About!$B$45,0)</f>
        <v>20056868641828.336</v>
      </c>
      <c r="AL41">
        <f>IF('Calculations PJ'!AL41&lt;&gt;0,'Calculations PJ'!AL41*About!$B$45,0)</f>
        <v>19763029829022.723</v>
      </c>
      <c r="AM41">
        <f>IF('Calculations PJ'!AM41&lt;&gt;0,'Calculations PJ'!AM41*About!$B$45,0)</f>
        <v>19478669687597.934</v>
      </c>
      <c r="AN41">
        <f>IF('Calculations PJ'!AN41&lt;&gt;0,'Calculations PJ'!AN41*About!$B$45,0)</f>
        <v>19184830874792.32</v>
      </c>
      <c r="AO41">
        <f>IF('Calculations PJ'!AO41&lt;&gt;0,'Calculations PJ'!AO41*About!$B$45,0)</f>
        <v>19184830874792.32</v>
      </c>
      <c r="AP41">
        <f>IF('Calculations PJ'!AP41&lt;&gt;0,'Calculations PJ'!AP41*About!$B$45,0)</f>
        <v>19184830874792.32</v>
      </c>
      <c r="AQ41">
        <f>IF('Calculations PJ'!AQ41&lt;&gt;0,'Calculations PJ'!AQ41*About!$B$45,0)</f>
        <v>19184830874792.32</v>
      </c>
      <c r="AR41">
        <f>IF('Calculations PJ'!AR41&lt;&gt;0,'Calculations PJ'!AR41*About!$B$45,0)</f>
        <v>19184830874792.32</v>
      </c>
      <c r="AS41">
        <f>IF('Calculations PJ'!AS41&lt;&gt;0,'Calculations PJ'!AS41*About!$B$45,0)</f>
        <v>19184830874792.32</v>
      </c>
      <c r="AT41">
        <f>IF('Calculations PJ'!AT41&lt;&gt;0,'Calculations PJ'!AT41*About!$B$45,0)</f>
        <v>19184830874792.32</v>
      </c>
      <c r="AU41">
        <f>IF('Calculations PJ'!AU41&lt;&gt;0,'Calculations PJ'!AU41*About!$B$45,0)</f>
        <v>19184830874792.32</v>
      </c>
      <c r="AV41">
        <f>IF('Calculations PJ'!AV41&lt;&gt;0,'Calculations PJ'!AV41*About!$B$45,0)</f>
        <v>19184830874792.32</v>
      </c>
      <c r="AW41">
        <f>IF('Calculations PJ'!AW41&lt;&gt;0,'Calculations PJ'!AW41*About!$B$45,0)</f>
        <v>19184830874792.32</v>
      </c>
      <c r="AX41">
        <f>IF('Calculations PJ'!AX41&lt;&gt;0,'Calculations PJ'!AX41*About!$B$45,0)</f>
        <v>19184830874792.32</v>
      </c>
      <c r="AY41">
        <f>IF('Calculations PJ'!AY41&lt;&gt;0,'Calculations PJ'!AY41*About!$B$45,0)</f>
        <v>19184830874792.32</v>
      </c>
      <c r="AZ41">
        <f>IF('Calculations PJ'!AZ41&lt;&gt;0,'Calculations PJ'!AZ41*About!$B$45,0)</f>
        <v>19184830874792.32</v>
      </c>
      <c r="BA41">
        <f>IF('Calculations PJ'!BA41&lt;&gt;0,'Calculations PJ'!BA41*About!$B$45,0)</f>
        <v>19184830874792.32</v>
      </c>
      <c r="BB41">
        <f>IF('Calculations PJ'!BB41&lt;&gt;0,'Calculations PJ'!BB41*About!$B$45,0)</f>
        <v>19184830874792.32</v>
      </c>
      <c r="BC41">
        <f>IF('Calculations PJ'!BC41&lt;&gt;0,'Calculations PJ'!BC41*About!$B$45,0)</f>
        <v>19184830874792.32</v>
      </c>
      <c r="BD41">
        <f>IF('Calculations PJ'!BD41&lt;&gt;0,'Calculations PJ'!BD41*About!$B$45,0)</f>
        <v>19184830874792.32</v>
      </c>
      <c r="BE41">
        <f>IF('Calculations PJ'!BE41&lt;&gt;0,'Calculations PJ'!BE41*About!$B$45,0)</f>
        <v>19184830874792.32</v>
      </c>
      <c r="BF41">
        <f>IF('Calculations PJ'!BF41&lt;&gt;0,'Calculations PJ'!BF41*About!$B$45,0)</f>
        <v>19184830874792.32</v>
      </c>
      <c r="BG41">
        <f>IF('Calculations PJ'!BG41&lt;&gt;0,'Calculations PJ'!BG41*About!$B$45,0)</f>
        <v>19184830874792.32</v>
      </c>
      <c r="BH41">
        <f>IF('Calculations PJ'!BH41&lt;&gt;0,'Calculations PJ'!BH41*About!$B$45,0)</f>
        <v>19184830874792.32</v>
      </c>
    </row>
    <row r="42" spans="2:60" hidden="1" outlineLevel="1">
      <c r="B42" t="s">
        <v>139</v>
      </c>
      <c r="C42">
        <f>IF('Calculations PJ'!C42&lt;&gt;0,'Calculations PJ'!C42*About!$B$45,0)</f>
        <v>61734586703321.328</v>
      </c>
      <c r="D42">
        <f>IF('Calculations PJ'!D42&lt;&gt;0,'Calculations PJ'!D42*About!$B$45,0)</f>
        <v>65118472386276.305</v>
      </c>
      <c r="E42">
        <f>IF('Calculations PJ'!E42&lt;&gt;0,'Calculations PJ'!E42*About!$B$45,0)</f>
        <v>60047383197534.266</v>
      </c>
      <c r="F42">
        <f>IF('Calculations PJ'!F42&lt;&gt;0,'Calculations PJ'!F42*About!$B$45,0)</f>
        <v>60208520611008.313</v>
      </c>
      <c r="G42">
        <f>IF('Calculations PJ'!G42&lt;&gt;0,'Calculations PJ'!G42*About!$B$45,0)</f>
        <v>60426530052767.313</v>
      </c>
      <c r="H42">
        <f>IF('Calculations PJ'!H42&lt;&gt;0,'Calculations PJ'!H42*About!$B$45,0)</f>
        <v>44957338359258.883</v>
      </c>
      <c r="I42">
        <f>IF('Calculations PJ'!I42&lt;&gt;0,'Calculations PJ'!I42*About!$B$45,0)</f>
        <v>54056862884852.078</v>
      </c>
      <c r="J42">
        <f>IF('Calculations PJ'!J42&lt;&gt;0,'Calculations PJ'!J42*About!$B$45,0)</f>
        <v>42236959672961.75</v>
      </c>
      <c r="K42">
        <f>IF('Calculations PJ'!K42&lt;&gt;0,'Calculations PJ'!K42*About!$B$45,0)</f>
        <v>45867290811818.203</v>
      </c>
      <c r="L42">
        <f>IF('Calculations PJ'!L42&lt;&gt;0,'Calculations PJ'!L42*About!$B$45,0)</f>
        <v>45383878571396.063</v>
      </c>
      <c r="M42">
        <f>IF('Calculations PJ'!M42&lt;&gt;0,'Calculations PJ'!M42*About!$B$45,0)</f>
        <v>43999992549795.43</v>
      </c>
      <c r="N42">
        <f>IF('Calculations PJ'!N42&lt;&gt;0,'Calculations PJ'!N42*About!$B$45,0)</f>
        <v>42616106528194.797</v>
      </c>
      <c r="O42">
        <f>IF('Calculations PJ'!O42&lt;&gt;0,'Calculations PJ'!O42*About!$B$45,0)</f>
        <v>41232220506594.164</v>
      </c>
      <c r="P42">
        <f>IF('Calculations PJ'!P42&lt;&gt;0,'Calculations PJ'!P42*About!$B$45,0)</f>
        <v>39848334484993.531</v>
      </c>
      <c r="Q42">
        <f>IF('Calculations PJ'!Q42&lt;&gt;0,'Calculations PJ'!Q42*About!$B$45,0)</f>
        <v>38464448463392.898</v>
      </c>
      <c r="R42">
        <f>IF('Calculations PJ'!R42&lt;&gt;0,'Calculations PJ'!R42*About!$B$45,0)</f>
        <v>37080562441792.266</v>
      </c>
      <c r="S42">
        <f>IF('Calculations PJ'!S42&lt;&gt;0,'Calculations PJ'!S42*About!$B$45,0)</f>
        <v>35696676420191.633</v>
      </c>
      <c r="T42">
        <f>IF('Calculations PJ'!T42&lt;&gt;0,'Calculations PJ'!T42*About!$B$45,0)</f>
        <v>34312790398591.012</v>
      </c>
      <c r="U42">
        <f>IF('Calculations PJ'!U42&lt;&gt;0,'Calculations PJ'!U42*About!$B$45,0)</f>
        <v>32928904376990.379</v>
      </c>
      <c r="V42">
        <f>IF('Calculations PJ'!V42&lt;&gt;0,'Calculations PJ'!V42*About!$B$45,0)</f>
        <v>31545018355389.746</v>
      </c>
      <c r="W42">
        <f>IF('Calculations PJ'!W42&lt;&gt;0,'Calculations PJ'!W42*About!$B$45,0)</f>
        <v>30161132333789.113</v>
      </c>
      <c r="X42">
        <f>IF('Calculations PJ'!X42&lt;&gt;0,'Calculations PJ'!X42*About!$B$45,0)</f>
        <v>28777246312188.48</v>
      </c>
      <c r="Y42">
        <f>IF('Calculations PJ'!Y42&lt;&gt;0,'Calculations PJ'!Y42*About!$B$45,0)</f>
        <v>27393360290587.848</v>
      </c>
      <c r="Z42">
        <f>IF('Calculations PJ'!Z42&lt;&gt;0,'Calculations PJ'!Z42*About!$B$45,0)</f>
        <v>26009474268987.219</v>
      </c>
      <c r="AA42">
        <f>IF('Calculations PJ'!AA42&lt;&gt;0,'Calculations PJ'!AA42*About!$B$45,0)</f>
        <v>24625588247386.586</v>
      </c>
      <c r="AB42">
        <f>IF('Calculations PJ'!AB42&lt;&gt;0,'Calculations PJ'!AB42*About!$B$45,0)</f>
        <v>23241702225785.953</v>
      </c>
      <c r="AC42">
        <f>IF('Calculations PJ'!AC42&lt;&gt;0,'Calculations PJ'!AC42*About!$B$45,0)</f>
        <v>21857816204185.32</v>
      </c>
      <c r="AD42">
        <f>IF('Calculations PJ'!AD42&lt;&gt;0,'Calculations PJ'!AD42*About!$B$45,0)</f>
        <v>20473930182584.691</v>
      </c>
      <c r="AE42">
        <f>IF('Calculations PJ'!AE42&lt;&gt;0,'Calculations PJ'!AE42*About!$B$45,0)</f>
        <v>19090044160984.059</v>
      </c>
      <c r="AF42">
        <f>IF('Calculations PJ'!AF42&lt;&gt;0,'Calculations PJ'!AF42*About!$B$45,0)</f>
        <v>17706158139383.426</v>
      </c>
      <c r="AG42">
        <f>IF('Calculations PJ'!AG42&lt;&gt;0,'Calculations PJ'!AG42*About!$B$45,0)</f>
        <v>16322272117782.793</v>
      </c>
      <c r="AH42">
        <f>IF('Calculations PJ'!AH42&lt;&gt;0,'Calculations PJ'!AH42*About!$B$45,0)</f>
        <v>14938386096182.162</v>
      </c>
      <c r="AI42">
        <f>IF('Calculations PJ'!AI42&lt;&gt;0,'Calculations PJ'!AI42*About!$B$45,0)</f>
        <v>13554500074581.531</v>
      </c>
      <c r="AJ42">
        <f>IF('Calculations PJ'!AJ42&lt;&gt;0,'Calculations PJ'!AJ42*About!$B$45,0)</f>
        <v>12170614052980.898</v>
      </c>
      <c r="AK42">
        <f>IF('Calculations PJ'!AK42&lt;&gt;0,'Calculations PJ'!AK42*About!$B$45,0)</f>
        <v>10786728031380.268</v>
      </c>
      <c r="AL42">
        <f>IF('Calculations PJ'!AL42&lt;&gt;0,'Calculations PJ'!AL42*About!$B$45,0)</f>
        <v>9402842009779.6348</v>
      </c>
      <c r="AM42">
        <f>IF('Calculations PJ'!AM42&lt;&gt;0,'Calculations PJ'!AM42*About!$B$45,0)</f>
        <v>8018955988179.0039</v>
      </c>
      <c r="AN42">
        <f>IF('Calculations PJ'!AN42&lt;&gt;0,'Calculations PJ'!AN42*About!$B$45,0)</f>
        <v>6635069966578.3711</v>
      </c>
      <c r="AO42">
        <f>IF('Calculations PJ'!AO42&lt;&gt;0,'Calculations PJ'!AO42*About!$B$45,0)</f>
        <v>6635069966578.3711</v>
      </c>
      <c r="AP42">
        <f>IF('Calculations PJ'!AP42&lt;&gt;0,'Calculations PJ'!AP42*About!$B$45,0)</f>
        <v>6635069966578.3711</v>
      </c>
      <c r="AQ42">
        <f>IF('Calculations PJ'!AQ42&lt;&gt;0,'Calculations PJ'!AQ42*About!$B$45,0)</f>
        <v>6635069966578.3711</v>
      </c>
      <c r="AR42">
        <f>IF('Calculations PJ'!AR42&lt;&gt;0,'Calculations PJ'!AR42*About!$B$45,0)</f>
        <v>6635069966578.3711</v>
      </c>
      <c r="AS42">
        <f>IF('Calculations PJ'!AS42&lt;&gt;0,'Calculations PJ'!AS42*About!$B$45,0)</f>
        <v>6635069966578.3711</v>
      </c>
      <c r="AT42">
        <f>IF('Calculations PJ'!AT42&lt;&gt;0,'Calculations PJ'!AT42*About!$B$45,0)</f>
        <v>6635069966578.3711</v>
      </c>
      <c r="AU42">
        <f>IF('Calculations PJ'!AU42&lt;&gt;0,'Calculations PJ'!AU42*About!$B$45,0)</f>
        <v>6635069966578.3711</v>
      </c>
      <c r="AV42">
        <f>IF('Calculations PJ'!AV42&lt;&gt;0,'Calculations PJ'!AV42*About!$B$45,0)</f>
        <v>6635069966578.3711</v>
      </c>
      <c r="AW42">
        <f>IF('Calculations PJ'!AW42&lt;&gt;0,'Calculations PJ'!AW42*About!$B$45,0)</f>
        <v>6635069966578.3711</v>
      </c>
      <c r="AX42">
        <f>IF('Calculations PJ'!AX42&lt;&gt;0,'Calculations PJ'!AX42*About!$B$45,0)</f>
        <v>6635069966578.3711</v>
      </c>
      <c r="AY42">
        <f>IF('Calculations PJ'!AY42&lt;&gt;0,'Calculations PJ'!AY42*About!$B$45,0)</f>
        <v>6635069966578.3711</v>
      </c>
      <c r="AZ42">
        <f>IF('Calculations PJ'!AZ42&lt;&gt;0,'Calculations PJ'!AZ42*About!$B$45,0)</f>
        <v>6635069966578.3711</v>
      </c>
      <c r="BA42">
        <f>IF('Calculations PJ'!BA42&lt;&gt;0,'Calculations PJ'!BA42*About!$B$45,0)</f>
        <v>6635069966578.3711</v>
      </c>
      <c r="BB42">
        <f>IF('Calculations PJ'!BB42&lt;&gt;0,'Calculations PJ'!BB42*About!$B$45,0)</f>
        <v>6635069966578.3711</v>
      </c>
      <c r="BC42">
        <f>IF('Calculations PJ'!BC42&lt;&gt;0,'Calculations PJ'!BC42*About!$B$45,0)</f>
        <v>6635069966578.3711</v>
      </c>
      <c r="BD42">
        <f>IF('Calculations PJ'!BD42&lt;&gt;0,'Calculations PJ'!BD42*About!$B$45,0)</f>
        <v>6635069966578.3711</v>
      </c>
      <c r="BE42">
        <f>IF('Calculations PJ'!BE42&lt;&gt;0,'Calculations PJ'!BE42*About!$B$45,0)</f>
        <v>6635069966578.3711</v>
      </c>
      <c r="BF42">
        <f>IF('Calculations PJ'!BF42&lt;&gt;0,'Calculations PJ'!BF42*About!$B$45,0)</f>
        <v>6635069966578.3711</v>
      </c>
      <c r="BG42">
        <f>IF('Calculations PJ'!BG42&lt;&gt;0,'Calculations PJ'!BG42*About!$B$45,0)</f>
        <v>6635069966578.3711</v>
      </c>
      <c r="BH42">
        <f>IF('Calculations PJ'!BH42&lt;&gt;0,'Calculations PJ'!BH42*About!$B$45,0)</f>
        <v>6635069966578.3711</v>
      </c>
    </row>
    <row r="43" spans="2:60" hidden="1" outlineLevel="1">
      <c r="B43" t="s">
        <v>140</v>
      </c>
      <c r="C43">
        <f>IF('Calculations PJ'!C43&lt;&gt;0,'Calculations PJ'!C43*About!$B$45,0)</f>
        <v>0</v>
      </c>
      <c r="D43">
        <f>IF('Calculations PJ'!D43&lt;&gt;0,'Calculations PJ'!D43*About!$B$45,0)</f>
        <v>0</v>
      </c>
      <c r="E43">
        <f>IF('Calculations PJ'!E43&lt;&gt;0,'Calculations PJ'!E43*About!$B$45,0)</f>
        <v>0</v>
      </c>
      <c r="F43">
        <f>IF('Calculations PJ'!F43&lt;&gt;0,'Calculations PJ'!F43*About!$B$45,0)</f>
        <v>0</v>
      </c>
      <c r="G43">
        <f>IF('Calculations PJ'!G43&lt;&gt;0,'Calculations PJ'!G43*About!$B$45,0)</f>
        <v>0</v>
      </c>
      <c r="H43">
        <f>IF('Calculations PJ'!H43&lt;&gt;0,'Calculations PJ'!H43*About!$B$45,0)</f>
        <v>0</v>
      </c>
      <c r="I43">
        <f>IF('Calculations PJ'!I43&lt;&gt;0,'Calculations PJ'!I43*About!$B$45,0)</f>
        <v>0</v>
      </c>
      <c r="J43">
        <f>IF('Calculations PJ'!J43&lt;&gt;0,'Calculations PJ'!J43*About!$B$45,0)</f>
        <v>0</v>
      </c>
      <c r="K43">
        <f>IF('Calculations PJ'!K43&lt;&gt;0,'Calculations PJ'!K43*About!$B$45,0)</f>
        <v>0</v>
      </c>
      <c r="L43">
        <f>IF('Calculations PJ'!L43&lt;&gt;0,'Calculations PJ'!L43*About!$B$45,0)</f>
        <v>0</v>
      </c>
      <c r="M43">
        <f>IF('Calculations PJ'!M43&lt;&gt;0,'Calculations PJ'!M43*About!$B$45,0)</f>
        <v>0</v>
      </c>
      <c r="N43">
        <f>IF('Calculations PJ'!N43&lt;&gt;0,'Calculations PJ'!N43*About!$B$45,0)</f>
        <v>0</v>
      </c>
      <c r="O43">
        <f>IF('Calculations PJ'!O43&lt;&gt;0,'Calculations PJ'!O43*About!$B$45,0)</f>
        <v>0</v>
      </c>
      <c r="P43">
        <f>IF('Calculations PJ'!P43&lt;&gt;0,'Calculations PJ'!P43*About!$B$45,0)</f>
        <v>0</v>
      </c>
      <c r="Q43">
        <f>IF('Calculations PJ'!Q43&lt;&gt;0,'Calculations PJ'!Q43*About!$B$45,0)</f>
        <v>0</v>
      </c>
      <c r="R43">
        <f>IF('Calculations PJ'!R43&lt;&gt;0,'Calculations PJ'!R43*About!$B$45,0)</f>
        <v>0</v>
      </c>
      <c r="S43">
        <f>IF('Calculations PJ'!S43&lt;&gt;0,'Calculations PJ'!S43*About!$B$45,0)</f>
        <v>0</v>
      </c>
      <c r="T43">
        <f>IF('Calculations PJ'!T43&lt;&gt;0,'Calculations PJ'!T43*About!$B$45,0)</f>
        <v>0</v>
      </c>
      <c r="U43">
        <f>IF('Calculations PJ'!U43&lt;&gt;0,'Calculations PJ'!U43*About!$B$45,0)</f>
        <v>0</v>
      </c>
      <c r="V43">
        <f>IF('Calculations PJ'!V43&lt;&gt;0,'Calculations PJ'!V43*About!$B$45,0)</f>
        <v>0</v>
      </c>
      <c r="W43">
        <f>IF('Calculations PJ'!W43&lt;&gt;0,'Calculations PJ'!W43*About!$B$45,0)</f>
        <v>0</v>
      </c>
      <c r="X43">
        <f>IF('Calculations PJ'!X43&lt;&gt;0,'Calculations PJ'!X43*About!$B$45,0)</f>
        <v>0</v>
      </c>
      <c r="Y43">
        <f>IF('Calculations PJ'!Y43&lt;&gt;0,'Calculations PJ'!Y43*About!$B$45,0)</f>
        <v>0</v>
      </c>
      <c r="Z43">
        <f>IF('Calculations PJ'!Z43&lt;&gt;0,'Calculations PJ'!Z43*About!$B$45,0)</f>
        <v>0</v>
      </c>
      <c r="AA43">
        <f>IF('Calculations PJ'!AA43&lt;&gt;0,'Calculations PJ'!AA43*About!$B$45,0)</f>
        <v>0</v>
      </c>
      <c r="AB43">
        <f>IF('Calculations PJ'!AB43&lt;&gt;0,'Calculations PJ'!AB43*About!$B$45,0)</f>
        <v>0</v>
      </c>
      <c r="AC43">
        <f>IF('Calculations PJ'!AC43&lt;&gt;0,'Calculations PJ'!AC43*About!$B$45,0)</f>
        <v>0</v>
      </c>
      <c r="AD43">
        <f>IF('Calculations PJ'!AD43&lt;&gt;0,'Calculations PJ'!AD43*About!$B$45,0)</f>
        <v>0</v>
      </c>
      <c r="AE43">
        <f>IF('Calculations PJ'!AE43&lt;&gt;0,'Calculations PJ'!AE43*About!$B$45,0)</f>
        <v>0</v>
      </c>
      <c r="AF43">
        <f>IF('Calculations PJ'!AF43&lt;&gt;0,'Calculations PJ'!AF43*About!$B$45,0)</f>
        <v>0</v>
      </c>
      <c r="AG43">
        <f>IF('Calculations PJ'!AG43&lt;&gt;0,'Calculations PJ'!AG43*About!$B$45,0)</f>
        <v>0</v>
      </c>
      <c r="AH43">
        <f>IF('Calculations PJ'!AH43&lt;&gt;0,'Calculations PJ'!AH43*About!$B$45,0)</f>
        <v>0</v>
      </c>
      <c r="AI43">
        <f>IF('Calculations PJ'!AI43&lt;&gt;0,'Calculations PJ'!AI43*About!$B$45,0)</f>
        <v>0</v>
      </c>
      <c r="AJ43">
        <f>IF('Calculations PJ'!AJ43&lt;&gt;0,'Calculations PJ'!AJ43*About!$B$45,0)</f>
        <v>0</v>
      </c>
      <c r="AK43">
        <f>IF('Calculations PJ'!AK43&lt;&gt;0,'Calculations PJ'!AK43*About!$B$45,0)</f>
        <v>0</v>
      </c>
      <c r="AL43">
        <f>IF('Calculations PJ'!AL43&lt;&gt;0,'Calculations PJ'!AL43*About!$B$45,0)</f>
        <v>0</v>
      </c>
      <c r="AM43">
        <f>IF('Calculations PJ'!AM43&lt;&gt;0,'Calculations PJ'!AM43*About!$B$45,0)</f>
        <v>0</v>
      </c>
      <c r="AN43">
        <f>IF('Calculations PJ'!AN43&lt;&gt;0,'Calculations PJ'!AN43*About!$B$45,0)</f>
        <v>0</v>
      </c>
      <c r="AO43">
        <f>IF('Calculations PJ'!AO43&lt;&gt;0,'Calculations PJ'!AO43*About!$B$45,0)</f>
        <v>0</v>
      </c>
      <c r="AP43">
        <f>IF('Calculations PJ'!AP43&lt;&gt;0,'Calculations PJ'!AP43*About!$B$45,0)</f>
        <v>0</v>
      </c>
      <c r="AQ43">
        <f>IF('Calculations PJ'!AQ43&lt;&gt;0,'Calculations PJ'!AQ43*About!$B$45,0)</f>
        <v>0</v>
      </c>
      <c r="AR43">
        <f>IF('Calculations PJ'!AR43&lt;&gt;0,'Calculations PJ'!AR43*About!$B$45,0)</f>
        <v>0</v>
      </c>
      <c r="AS43">
        <f>IF('Calculations PJ'!AS43&lt;&gt;0,'Calculations PJ'!AS43*About!$B$45,0)</f>
        <v>0</v>
      </c>
      <c r="AT43">
        <f>IF('Calculations PJ'!AT43&lt;&gt;0,'Calculations PJ'!AT43*About!$B$45,0)</f>
        <v>0</v>
      </c>
      <c r="AU43">
        <f>IF('Calculations PJ'!AU43&lt;&gt;0,'Calculations PJ'!AU43*About!$B$45,0)</f>
        <v>0</v>
      </c>
      <c r="AV43">
        <f>IF('Calculations PJ'!AV43&lt;&gt;0,'Calculations PJ'!AV43*About!$B$45,0)</f>
        <v>0</v>
      </c>
      <c r="AW43">
        <f>IF('Calculations PJ'!AW43&lt;&gt;0,'Calculations PJ'!AW43*About!$B$45,0)</f>
        <v>0</v>
      </c>
      <c r="AX43">
        <f>IF('Calculations PJ'!AX43&lt;&gt;0,'Calculations PJ'!AX43*About!$B$45,0)</f>
        <v>0</v>
      </c>
      <c r="AY43">
        <f>IF('Calculations PJ'!AY43&lt;&gt;0,'Calculations PJ'!AY43*About!$B$45,0)</f>
        <v>0</v>
      </c>
      <c r="AZ43">
        <f>IF('Calculations PJ'!AZ43&lt;&gt;0,'Calculations PJ'!AZ43*About!$B$45,0)</f>
        <v>0</v>
      </c>
      <c r="BA43">
        <f>IF('Calculations PJ'!BA43&lt;&gt;0,'Calculations PJ'!BA43*About!$B$45,0)</f>
        <v>0</v>
      </c>
      <c r="BB43">
        <f>IF('Calculations PJ'!BB43&lt;&gt;0,'Calculations PJ'!BB43*About!$B$45,0)</f>
        <v>0</v>
      </c>
      <c r="BC43">
        <f>IF('Calculations PJ'!BC43&lt;&gt;0,'Calculations PJ'!BC43*About!$B$45,0)</f>
        <v>0</v>
      </c>
      <c r="BD43">
        <f>IF('Calculations PJ'!BD43&lt;&gt;0,'Calculations PJ'!BD43*About!$B$45,0)</f>
        <v>0</v>
      </c>
      <c r="BE43">
        <f>IF('Calculations PJ'!BE43&lt;&gt;0,'Calculations PJ'!BE43*About!$B$45,0)</f>
        <v>0</v>
      </c>
      <c r="BF43">
        <f>IF('Calculations PJ'!BF43&lt;&gt;0,'Calculations PJ'!BF43*About!$B$45,0)</f>
        <v>0</v>
      </c>
      <c r="BG43">
        <f>IF('Calculations PJ'!BG43&lt;&gt;0,'Calculations PJ'!BG43*About!$B$45,0)</f>
        <v>0</v>
      </c>
      <c r="BH43">
        <f>IF('Calculations PJ'!BH43&lt;&gt;0,'Calculations PJ'!BH43*About!$B$45,0)</f>
        <v>0</v>
      </c>
    </row>
    <row r="44" spans="2:60" hidden="1" outlineLevel="1">
      <c r="B44" t="s">
        <v>141</v>
      </c>
      <c r="C44">
        <f>IF('Calculations PJ'!C44&lt;&gt;0,'Calculations PJ'!C44*About!$B$45,0)</f>
        <v>0</v>
      </c>
      <c r="D44">
        <f>IF('Calculations PJ'!D44&lt;&gt;0,'Calculations PJ'!D44*About!$B$45,0)</f>
        <v>0</v>
      </c>
      <c r="E44">
        <f>IF('Calculations PJ'!E44&lt;&gt;0,'Calculations PJ'!E44*About!$B$45,0)</f>
        <v>0</v>
      </c>
      <c r="F44">
        <f>IF('Calculations PJ'!F44&lt;&gt;0,'Calculations PJ'!F44*About!$B$45,0)</f>
        <v>0</v>
      </c>
      <c r="G44">
        <f>IF('Calculations PJ'!G44&lt;&gt;0,'Calculations PJ'!G44*About!$B$45,0)</f>
        <v>0</v>
      </c>
      <c r="H44">
        <f>IF('Calculations PJ'!H44&lt;&gt;0,'Calculations PJ'!H44*About!$B$45,0)</f>
        <v>0</v>
      </c>
      <c r="I44">
        <f>IF('Calculations PJ'!I44&lt;&gt;0,'Calculations PJ'!I44*About!$B$45,0)</f>
        <v>0</v>
      </c>
      <c r="J44">
        <f>IF('Calculations PJ'!J44&lt;&gt;0,'Calculations PJ'!J44*About!$B$45,0)</f>
        <v>0</v>
      </c>
      <c r="K44">
        <f>IF('Calculations PJ'!K44&lt;&gt;0,'Calculations PJ'!K44*About!$B$45,0)</f>
        <v>0</v>
      </c>
      <c r="L44">
        <f>IF('Calculations PJ'!L44&lt;&gt;0,'Calculations PJ'!L44*About!$B$45,0)</f>
        <v>0</v>
      </c>
      <c r="M44">
        <f>IF('Calculations PJ'!M44&lt;&gt;0,'Calculations PJ'!M44*About!$B$45,0)</f>
        <v>0</v>
      </c>
      <c r="N44">
        <f>IF('Calculations PJ'!N44&lt;&gt;0,'Calculations PJ'!N44*About!$B$45,0)</f>
        <v>0</v>
      </c>
      <c r="O44">
        <f>IF('Calculations PJ'!O44&lt;&gt;0,'Calculations PJ'!O44*About!$B$45,0)</f>
        <v>0</v>
      </c>
      <c r="P44">
        <f>IF('Calculations PJ'!P44&lt;&gt;0,'Calculations PJ'!P44*About!$B$45,0)</f>
        <v>0</v>
      </c>
      <c r="Q44">
        <f>IF('Calculations PJ'!Q44&lt;&gt;0,'Calculations PJ'!Q44*About!$B$45,0)</f>
        <v>0</v>
      </c>
      <c r="R44">
        <f>IF('Calculations PJ'!R44&lt;&gt;0,'Calculations PJ'!R44*About!$B$45,0)</f>
        <v>0</v>
      </c>
      <c r="S44">
        <f>IF('Calculations PJ'!S44&lt;&gt;0,'Calculations PJ'!S44*About!$B$45,0)</f>
        <v>0</v>
      </c>
      <c r="T44">
        <f>IF('Calculations PJ'!T44&lt;&gt;0,'Calculations PJ'!T44*About!$B$45,0)</f>
        <v>0</v>
      </c>
      <c r="U44">
        <f>IF('Calculations PJ'!U44&lt;&gt;0,'Calculations PJ'!U44*About!$B$45,0)</f>
        <v>0</v>
      </c>
      <c r="V44">
        <f>IF('Calculations PJ'!V44&lt;&gt;0,'Calculations PJ'!V44*About!$B$45,0)</f>
        <v>0</v>
      </c>
      <c r="W44">
        <f>IF('Calculations PJ'!W44&lt;&gt;0,'Calculations PJ'!W44*About!$B$45,0)</f>
        <v>0</v>
      </c>
      <c r="X44">
        <f>IF('Calculations PJ'!X44&lt;&gt;0,'Calculations PJ'!X44*About!$B$45,0)</f>
        <v>0</v>
      </c>
      <c r="Y44">
        <f>IF('Calculations PJ'!Y44&lt;&gt;0,'Calculations PJ'!Y44*About!$B$45,0)</f>
        <v>0</v>
      </c>
      <c r="Z44">
        <f>IF('Calculations PJ'!Z44&lt;&gt;0,'Calculations PJ'!Z44*About!$B$45,0)</f>
        <v>0</v>
      </c>
      <c r="AA44">
        <f>IF('Calculations PJ'!AA44&lt;&gt;0,'Calculations PJ'!AA44*About!$B$45,0)</f>
        <v>0</v>
      </c>
      <c r="AB44">
        <f>IF('Calculations PJ'!AB44&lt;&gt;0,'Calculations PJ'!AB44*About!$B$45,0)</f>
        <v>0</v>
      </c>
      <c r="AC44">
        <f>IF('Calculations PJ'!AC44&lt;&gt;0,'Calculations PJ'!AC44*About!$B$45,0)</f>
        <v>0</v>
      </c>
      <c r="AD44">
        <f>IF('Calculations PJ'!AD44&lt;&gt;0,'Calculations PJ'!AD44*About!$B$45,0)</f>
        <v>0</v>
      </c>
      <c r="AE44">
        <f>IF('Calculations PJ'!AE44&lt;&gt;0,'Calculations PJ'!AE44*About!$B$45,0)</f>
        <v>0</v>
      </c>
      <c r="AF44">
        <f>IF('Calculations PJ'!AF44&lt;&gt;0,'Calculations PJ'!AF44*About!$B$45,0)</f>
        <v>0</v>
      </c>
      <c r="AG44">
        <f>IF('Calculations PJ'!AG44&lt;&gt;0,'Calculations PJ'!AG44*About!$B$45,0)</f>
        <v>0</v>
      </c>
      <c r="AH44">
        <f>IF('Calculations PJ'!AH44&lt;&gt;0,'Calculations PJ'!AH44*About!$B$45,0)</f>
        <v>0</v>
      </c>
      <c r="AI44">
        <f>IF('Calculations PJ'!AI44&lt;&gt;0,'Calculations PJ'!AI44*About!$B$45,0)</f>
        <v>0</v>
      </c>
      <c r="AJ44">
        <f>IF('Calculations PJ'!AJ44&lt;&gt;0,'Calculations PJ'!AJ44*About!$B$45,0)</f>
        <v>0</v>
      </c>
      <c r="AK44">
        <f>IF('Calculations PJ'!AK44&lt;&gt;0,'Calculations PJ'!AK44*About!$B$45,0)</f>
        <v>0</v>
      </c>
      <c r="AL44">
        <f>IF('Calculations PJ'!AL44&lt;&gt;0,'Calculations PJ'!AL44*About!$B$45,0)</f>
        <v>0</v>
      </c>
      <c r="AM44">
        <f>IF('Calculations PJ'!AM44&lt;&gt;0,'Calculations PJ'!AM44*About!$B$45,0)</f>
        <v>0</v>
      </c>
      <c r="AN44">
        <f>IF('Calculations PJ'!AN44&lt;&gt;0,'Calculations PJ'!AN44*About!$B$45,0)</f>
        <v>0</v>
      </c>
      <c r="AO44">
        <f>IF('Calculations PJ'!AO44&lt;&gt;0,'Calculations PJ'!AO44*About!$B$45,0)</f>
        <v>0</v>
      </c>
      <c r="AP44">
        <f>IF('Calculations PJ'!AP44&lt;&gt;0,'Calculations PJ'!AP44*About!$B$45,0)</f>
        <v>0</v>
      </c>
      <c r="AQ44">
        <f>IF('Calculations PJ'!AQ44&lt;&gt;0,'Calculations PJ'!AQ44*About!$B$45,0)</f>
        <v>0</v>
      </c>
      <c r="AR44">
        <f>IF('Calculations PJ'!AR44&lt;&gt;0,'Calculations PJ'!AR44*About!$B$45,0)</f>
        <v>0</v>
      </c>
      <c r="AS44">
        <f>IF('Calculations PJ'!AS44&lt;&gt;0,'Calculations PJ'!AS44*About!$B$45,0)</f>
        <v>0</v>
      </c>
      <c r="AT44">
        <f>IF('Calculations PJ'!AT44&lt;&gt;0,'Calculations PJ'!AT44*About!$B$45,0)</f>
        <v>0</v>
      </c>
      <c r="AU44">
        <f>IF('Calculations PJ'!AU44&lt;&gt;0,'Calculations PJ'!AU44*About!$B$45,0)</f>
        <v>0</v>
      </c>
      <c r="AV44">
        <f>IF('Calculations PJ'!AV44&lt;&gt;0,'Calculations PJ'!AV44*About!$B$45,0)</f>
        <v>0</v>
      </c>
      <c r="AW44">
        <f>IF('Calculations PJ'!AW44&lt;&gt;0,'Calculations PJ'!AW44*About!$B$45,0)</f>
        <v>0</v>
      </c>
      <c r="AX44">
        <f>IF('Calculations PJ'!AX44&lt;&gt;0,'Calculations PJ'!AX44*About!$B$45,0)</f>
        <v>0</v>
      </c>
      <c r="AY44">
        <f>IF('Calculations PJ'!AY44&lt;&gt;0,'Calculations PJ'!AY44*About!$B$45,0)</f>
        <v>0</v>
      </c>
      <c r="AZ44">
        <f>IF('Calculations PJ'!AZ44&lt;&gt;0,'Calculations PJ'!AZ44*About!$B$45,0)</f>
        <v>0</v>
      </c>
      <c r="BA44">
        <f>IF('Calculations PJ'!BA44&lt;&gt;0,'Calculations PJ'!BA44*About!$B$45,0)</f>
        <v>0</v>
      </c>
      <c r="BB44">
        <f>IF('Calculations PJ'!BB44&lt;&gt;0,'Calculations PJ'!BB44*About!$B$45,0)</f>
        <v>0</v>
      </c>
      <c r="BC44">
        <f>IF('Calculations PJ'!BC44&lt;&gt;0,'Calculations PJ'!BC44*About!$B$45,0)</f>
        <v>0</v>
      </c>
      <c r="BD44">
        <f>IF('Calculations PJ'!BD44&lt;&gt;0,'Calculations PJ'!BD44*About!$B$45,0)</f>
        <v>0</v>
      </c>
      <c r="BE44">
        <f>IF('Calculations PJ'!BE44&lt;&gt;0,'Calculations PJ'!BE44*About!$B$45,0)</f>
        <v>0</v>
      </c>
      <c r="BF44">
        <f>IF('Calculations PJ'!BF44&lt;&gt;0,'Calculations PJ'!BF44*About!$B$45,0)</f>
        <v>0</v>
      </c>
      <c r="BG44">
        <f>IF('Calculations PJ'!BG44&lt;&gt;0,'Calculations PJ'!BG44*About!$B$45,0)</f>
        <v>0</v>
      </c>
      <c r="BH44">
        <f>IF('Calculations PJ'!BH44&lt;&gt;0,'Calculations PJ'!BH44*About!$B$45,0)</f>
        <v>0</v>
      </c>
    </row>
    <row r="45" spans="2:60" hidden="1" outlineLevel="1">
      <c r="B45" t="s">
        <v>142</v>
      </c>
      <c r="C45">
        <f>IF('Calculations PJ'!C45&lt;&gt;0,'Calculations PJ'!C45*About!$B$45,0)</f>
        <v>0</v>
      </c>
      <c r="D45">
        <f>IF('Calculations PJ'!D45&lt;&gt;0,'Calculations PJ'!D45*About!$B$45,0)</f>
        <v>0</v>
      </c>
      <c r="E45">
        <f>IF('Calculations PJ'!E45&lt;&gt;0,'Calculations PJ'!E45*About!$B$45,0)</f>
        <v>0</v>
      </c>
      <c r="F45">
        <f>IF('Calculations PJ'!F45&lt;&gt;0,'Calculations PJ'!F45*About!$B$45,0)</f>
        <v>0</v>
      </c>
      <c r="G45">
        <f>IF('Calculations PJ'!G45&lt;&gt;0,'Calculations PJ'!G45*About!$B$45,0)</f>
        <v>0</v>
      </c>
      <c r="H45">
        <f>IF('Calculations PJ'!H45&lt;&gt;0,'Calculations PJ'!H45*About!$B$45,0)</f>
        <v>0</v>
      </c>
      <c r="I45">
        <f>IF('Calculations PJ'!I45&lt;&gt;0,'Calculations PJ'!I45*About!$B$45,0)</f>
        <v>0</v>
      </c>
      <c r="J45">
        <f>IF('Calculations PJ'!J45&lt;&gt;0,'Calculations PJ'!J45*About!$B$45,0)</f>
        <v>0</v>
      </c>
      <c r="K45">
        <f>IF('Calculations PJ'!K45&lt;&gt;0,'Calculations PJ'!K45*About!$B$45,0)</f>
        <v>0</v>
      </c>
      <c r="L45">
        <f>IF('Calculations PJ'!L45&lt;&gt;0,'Calculations PJ'!L45*About!$B$45,0)</f>
        <v>0</v>
      </c>
      <c r="M45">
        <f>IF('Calculations PJ'!M45&lt;&gt;0,'Calculations PJ'!M45*About!$B$45,0)</f>
        <v>0</v>
      </c>
      <c r="N45">
        <f>IF('Calculations PJ'!N45&lt;&gt;0,'Calculations PJ'!N45*About!$B$45,0)</f>
        <v>0</v>
      </c>
      <c r="O45">
        <f>IF('Calculations PJ'!O45&lt;&gt;0,'Calculations PJ'!O45*About!$B$45,0)</f>
        <v>0</v>
      </c>
      <c r="P45">
        <f>IF('Calculations PJ'!P45&lt;&gt;0,'Calculations PJ'!P45*About!$B$45,0)</f>
        <v>0</v>
      </c>
      <c r="Q45">
        <f>IF('Calculations PJ'!Q45&lt;&gt;0,'Calculations PJ'!Q45*About!$B$45,0)</f>
        <v>0</v>
      </c>
      <c r="R45">
        <f>IF('Calculations PJ'!R45&lt;&gt;0,'Calculations PJ'!R45*About!$B$45,0)</f>
        <v>0</v>
      </c>
      <c r="S45">
        <f>IF('Calculations PJ'!S45&lt;&gt;0,'Calculations PJ'!S45*About!$B$45,0)</f>
        <v>0</v>
      </c>
      <c r="T45">
        <f>IF('Calculations PJ'!T45&lt;&gt;0,'Calculations PJ'!T45*About!$B$45,0)</f>
        <v>0</v>
      </c>
      <c r="U45">
        <f>IF('Calculations PJ'!U45&lt;&gt;0,'Calculations PJ'!U45*About!$B$45,0)</f>
        <v>0</v>
      </c>
      <c r="V45">
        <f>IF('Calculations PJ'!V45&lt;&gt;0,'Calculations PJ'!V45*About!$B$45,0)</f>
        <v>0</v>
      </c>
      <c r="W45">
        <f>IF('Calculations PJ'!W45&lt;&gt;0,'Calculations PJ'!W45*About!$B$45,0)</f>
        <v>0</v>
      </c>
      <c r="X45">
        <f>IF('Calculations PJ'!X45&lt;&gt;0,'Calculations PJ'!X45*About!$B$45,0)</f>
        <v>0</v>
      </c>
      <c r="Y45">
        <f>IF('Calculations PJ'!Y45&lt;&gt;0,'Calculations PJ'!Y45*About!$B$45,0)</f>
        <v>0</v>
      </c>
      <c r="Z45">
        <f>IF('Calculations PJ'!Z45&lt;&gt;0,'Calculations PJ'!Z45*About!$B$45,0)</f>
        <v>0</v>
      </c>
      <c r="AA45">
        <f>IF('Calculations PJ'!AA45&lt;&gt;0,'Calculations PJ'!AA45*About!$B$45,0)</f>
        <v>0</v>
      </c>
      <c r="AB45">
        <f>IF('Calculations PJ'!AB45&lt;&gt;0,'Calculations PJ'!AB45*About!$B$45,0)</f>
        <v>0</v>
      </c>
      <c r="AC45">
        <f>IF('Calculations PJ'!AC45&lt;&gt;0,'Calculations PJ'!AC45*About!$B$45,0)</f>
        <v>0</v>
      </c>
      <c r="AD45">
        <f>IF('Calculations PJ'!AD45&lt;&gt;0,'Calculations PJ'!AD45*About!$B$45,0)</f>
        <v>0</v>
      </c>
      <c r="AE45">
        <f>IF('Calculations PJ'!AE45&lt;&gt;0,'Calculations PJ'!AE45*About!$B$45,0)</f>
        <v>0</v>
      </c>
      <c r="AF45">
        <f>IF('Calculations PJ'!AF45&lt;&gt;0,'Calculations PJ'!AF45*About!$B$45,0)</f>
        <v>0</v>
      </c>
      <c r="AG45">
        <f>IF('Calculations PJ'!AG45&lt;&gt;0,'Calculations PJ'!AG45*About!$B$45,0)</f>
        <v>0</v>
      </c>
      <c r="AH45">
        <f>IF('Calculations PJ'!AH45&lt;&gt;0,'Calculations PJ'!AH45*About!$B$45,0)</f>
        <v>0</v>
      </c>
      <c r="AI45">
        <f>IF('Calculations PJ'!AI45&lt;&gt;0,'Calculations PJ'!AI45*About!$B$45,0)</f>
        <v>0</v>
      </c>
      <c r="AJ45">
        <f>IF('Calculations PJ'!AJ45&lt;&gt;0,'Calculations PJ'!AJ45*About!$B$45,0)</f>
        <v>0</v>
      </c>
      <c r="AK45">
        <f>IF('Calculations PJ'!AK45&lt;&gt;0,'Calculations PJ'!AK45*About!$B$45,0)</f>
        <v>0</v>
      </c>
      <c r="AL45">
        <f>IF('Calculations PJ'!AL45&lt;&gt;0,'Calculations PJ'!AL45*About!$B$45,0)</f>
        <v>0</v>
      </c>
      <c r="AM45">
        <f>IF('Calculations PJ'!AM45&lt;&gt;0,'Calculations PJ'!AM45*About!$B$45,0)</f>
        <v>0</v>
      </c>
      <c r="AN45">
        <f>IF('Calculations PJ'!AN45&lt;&gt;0,'Calculations PJ'!AN45*About!$B$45,0)</f>
        <v>0</v>
      </c>
      <c r="AO45">
        <f>IF('Calculations PJ'!AO45&lt;&gt;0,'Calculations PJ'!AO45*About!$B$45,0)</f>
        <v>0</v>
      </c>
      <c r="AP45">
        <f>IF('Calculations PJ'!AP45&lt;&gt;0,'Calculations PJ'!AP45*About!$B$45,0)</f>
        <v>0</v>
      </c>
      <c r="AQ45">
        <f>IF('Calculations PJ'!AQ45&lt;&gt;0,'Calculations PJ'!AQ45*About!$B$45,0)</f>
        <v>0</v>
      </c>
      <c r="AR45">
        <f>IF('Calculations PJ'!AR45&lt;&gt;0,'Calculations PJ'!AR45*About!$B$45,0)</f>
        <v>0</v>
      </c>
      <c r="AS45">
        <f>IF('Calculations PJ'!AS45&lt;&gt;0,'Calculations PJ'!AS45*About!$B$45,0)</f>
        <v>0</v>
      </c>
      <c r="AT45">
        <f>IF('Calculations PJ'!AT45&lt;&gt;0,'Calculations PJ'!AT45*About!$B$45,0)</f>
        <v>0</v>
      </c>
      <c r="AU45">
        <f>IF('Calculations PJ'!AU45&lt;&gt;0,'Calculations PJ'!AU45*About!$B$45,0)</f>
        <v>0</v>
      </c>
      <c r="AV45">
        <f>IF('Calculations PJ'!AV45&lt;&gt;0,'Calculations PJ'!AV45*About!$B$45,0)</f>
        <v>0</v>
      </c>
      <c r="AW45">
        <f>IF('Calculations PJ'!AW45&lt;&gt;0,'Calculations PJ'!AW45*About!$B$45,0)</f>
        <v>0</v>
      </c>
      <c r="AX45">
        <f>IF('Calculations PJ'!AX45&lt;&gt;0,'Calculations PJ'!AX45*About!$B$45,0)</f>
        <v>0</v>
      </c>
      <c r="AY45">
        <f>IF('Calculations PJ'!AY45&lt;&gt;0,'Calculations PJ'!AY45*About!$B$45,0)</f>
        <v>0</v>
      </c>
      <c r="AZ45">
        <f>IF('Calculations PJ'!AZ45&lt;&gt;0,'Calculations PJ'!AZ45*About!$B$45,0)</f>
        <v>0</v>
      </c>
      <c r="BA45">
        <f>IF('Calculations PJ'!BA45&lt;&gt;0,'Calculations PJ'!BA45*About!$B$45,0)</f>
        <v>0</v>
      </c>
      <c r="BB45">
        <f>IF('Calculations PJ'!BB45&lt;&gt;0,'Calculations PJ'!BB45*About!$B$45,0)</f>
        <v>0</v>
      </c>
      <c r="BC45">
        <f>IF('Calculations PJ'!BC45&lt;&gt;0,'Calculations PJ'!BC45*About!$B$45,0)</f>
        <v>0</v>
      </c>
      <c r="BD45">
        <f>IF('Calculations PJ'!BD45&lt;&gt;0,'Calculations PJ'!BD45*About!$B$45,0)</f>
        <v>0</v>
      </c>
      <c r="BE45">
        <f>IF('Calculations PJ'!BE45&lt;&gt;0,'Calculations PJ'!BE45*About!$B$45,0)</f>
        <v>0</v>
      </c>
      <c r="BF45">
        <f>IF('Calculations PJ'!BF45&lt;&gt;0,'Calculations PJ'!BF45*About!$B$45,0)</f>
        <v>0</v>
      </c>
      <c r="BG45">
        <f>IF('Calculations PJ'!BG45&lt;&gt;0,'Calculations PJ'!BG45*About!$B$45,0)</f>
        <v>0</v>
      </c>
      <c r="BH45">
        <f>IF('Calculations PJ'!BH45&lt;&gt;0,'Calculations PJ'!BH45*About!$B$45,0)</f>
        <v>0</v>
      </c>
    </row>
    <row r="46" spans="2:60" hidden="1" outlineLevel="1">
      <c r="B46" t="s">
        <v>143</v>
      </c>
      <c r="C46">
        <f>IF('Calculations PJ'!C46&lt;&gt;0,'Calculations PJ'!C46*About!$B$45,0)</f>
        <v>0</v>
      </c>
      <c r="D46">
        <f>IF('Calculations PJ'!D46&lt;&gt;0,'Calculations PJ'!D46*About!$B$45,0)</f>
        <v>0</v>
      </c>
      <c r="E46">
        <f>IF('Calculations PJ'!E46&lt;&gt;0,'Calculations PJ'!E46*About!$B$45,0)</f>
        <v>0</v>
      </c>
      <c r="F46">
        <f>IF('Calculations PJ'!F46&lt;&gt;0,'Calculations PJ'!F46*About!$B$45,0)</f>
        <v>0</v>
      </c>
      <c r="G46">
        <f>IF('Calculations PJ'!G46&lt;&gt;0,'Calculations PJ'!G46*About!$B$45,0)</f>
        <v>0</v>
      </c>
      <c r="H46">
        <f>IF('Calculations PJ'!H46&lt;&gt;0,'Calculations PJ'!H46*About!$B$45,0)</f>
        <v>0</v>
      </c>
      <c r="I46">
        <f>IF('Calculations PJ'!I46&lt;&gt;0,'Calculations PJ'!I46*About!$B$45,0)</f>
        <v>0</v>
      </c>
      <c r="J46">
        <f>IF('Calculations PJ'!J46&lt;&gt;0,'Calculations PJ'!J46*About!$B$45,0)</f>
        <v>0</v>
      </c>
      <c r="K46">
        <f>IF('Calculations PJ'!K46&lt;&gt;0,'Calculations PJ'!K46*About!$B$45,0)</f>
        <v>0</v>
      </c>
      <c r="L46">
        <f>IF('Calculations PJ'!L46&lt;&gt;0,'Calculations PJ'!L46*About!$B$45,0)</f>
        <v>0</v>
      </c>
      <c r="M46">
        <f>IF('Calculations PJ'!M46&lt;&gt;0,'Calculations PJ'!M46*About!$B$45,0)</f>
        <v>0</v>
      </c>
      <c r="N46">
        <f>IF('Calculations PJ'!N46&lt;&gt;0,'Calculations PJ'!N46*About!$B$45,0)</f>
        <v>0</v>
      </c>
      <c r="O46">
        <f>IF('Calculations PJ'!O46&lt;&gt;0,'Calculations PJ'!O46*About!$B$45,0)</f>
        <v>0</v>
      </c>
      <c r="P46">
        <f>IF('Calculations PJ'!P46&lt;&gt;0,'Calculations PJ'!P46*About!$B$45,0)</f>
        <v>0</v>
      </c>
      <c r="Q46">
        <f>IF('Calculations PJ'!Q46&lt;&gt;0,'Calculations PJ'!Q46*About!$B$45,0)</f>
        <v>0</v>
      </c>
      <c r="R46">
        <f>IF('Calculations PJ'!R46&lt;&gt;0,'Calculations PJ'!R46*About!$B$45,0)</f>
        <v>0</v>
      </c>
      <c r="S46">
        <f>IF('Calculations PJ'!S46&lt;&gt;0,'Calculations PJ'!S46*About!$B$45,0)</f>
        <v>0</v>
      </c>
      <c r="T46">
        <f>IF('Calculations PJ'!T46&lt;&gt;0,'Calculations PJ'!T46*About!$B$45,0)</f>
        <v>0</v>
      </c>
      <c r="U46">
        <f>IF('Calculations PJ'!U46&lt;&gt;0,'Calculations PJ'!U46*About!$B$45,0)</f>
        <v>0</v>
      </c>
      <c r="V46">
        <f>IF('Calculations PJ'!V46&lt;&gt;0,'Calculations PJ'!V46*About!$B$45,0)</f>
        <v>0</v>
      </c>
      <c r="W46">
        <f>IF('Calculations PJ'!W46&lt;&gt;0,'Calculations PJ'!W46*About!$B$45,0)</f>
        <v>0</v>
      </c>
      <c r="X46">
        <f>IF('Calculations PJ'!X46&lt;&gt;0,'Calculations PJ'!X46*About!$B$45,0)</f>
        <v>0</v>
      </c>
      <c r="Y46">
        <f>IF('Calculations PJ'!Y46&lt;&gt;0,'Calculations PJ'!Y46*About!$B$45,0)</f>
        <v>0</v>
      </c>
      <c r="Z46">
        <f>IF('Calculations PJ'!Z46&lt;&gt;0,'Calculations PJ'!Z46*About!$B$45,0)</f>
        <v>0</v>
      </c>
      <c r="AA46">
        <f>IF('Calculations PJ'!AA46&lt;&gt;0,'Calculations PJ'!AA46*About!$B$45,0)</f>
        <v>0</v>
      </c>
      <c r="AB46">
        <f>IF('Calculations PJ'!AB46&lt;&gt;0,'Calculations PJ'!AB46*About!$B$45,0)</f>
        <v>0</v>
      </c>
      <c r="AC46">
        <f>IF('Calculations PJ'!AC46&lt;&gt;0,'Calculations PJ'!AC46*About!$B$45,0)</f>
        <v>0</v>
      </c>
      <c r="AD46">
        <f>IF('Calculations PJ'!AD46&lt;&gt;0,'Calculations PJ'!AD46*About!$B$45,0)</f>
        <v>0</v>
      </c>
      <c r="AE46">
        <f>IF('Calculations PJ'!AE46&lt;&gt;0,'Calculations PJ'!AE46*About!$B$45,0)</f>
        <v>0</v>
      </c>
      <c r="AF46">
        <f>IF('Calculations PJ'!AF46&lt;&gt;0,'Calculations PJ'!AF46*About!$B$45,0)</f>
        <v>0</v>
      </c>
      <c r="AG46">
        <f>IF('Calculations PJ'!AG46&lt;&gt;0,'Calculations PJ'!AG46*About!$B$45,0)</f>
        <v>0</v>
      </c>
      <c r="AH46">
        <f>IF('Calculations PJ'!AH46&lt;&gt;0,'Calculations PJ'!AH46*About!$B$45,0)</f>
        <v>0</v>
      </c>
      <c r="AI46">
        <f>IF('Calculations PJ'!AI46&lt;&gt;0,'Calculations PJ'!AI46*About!$B$45,0)</f>
        <v>0</v>
      </c>
      <c r="AJ46">
        <f>IF('Calculations PJ'!AJ46&lt;&gt;0,'Calculations PJ'!AJ46*About!$B$45,0)</f>
        <v>0</v>
      </c>
      <c r="AK46">
        <f>IF('Calculations PJ'!AK46&lt;&gt;0,'Calculations PJ'!AK46*About!$B$45,0)</f>
        <v>0</v>
      </c>
      <c r="AL46">
        <f>IF('Calculations PJ'!AL46&lt;&gt;0,'Calculations PJ'!AL46*About!$B$45,0)</f>
        <v>0</v>
      </c>
      <c r="AM46">
        <f>IF('Calculations PJ'!AM46&lt;&gt;0,'Calculations PJ'!AM46*About!$B$45,0)</f>
        <v>0</v>
      </c>
      <c r="AN46">
        <f>IF('Calculations PJ'!AN46&lt;&gt;0,'Calculations PJ'!AN46*About!$B$45,0)</f>
        <v>0</v>
      </c>
      <c r="AO46">
        <f>IF('Calculations PJ'!AO46&lt;&gt;0,'Calculations PJ'!AO46*About!$B$45,0)</f>
        <v>0</v>
      </c>
      <c r="AP46">
        <f>IF('Calculations PJ'!AP46&lt;&gt;0,'Calculations PJ'!AP46*About!$B$45,0)</f>
        <v>0</v>
      </c>
      <c r="AQ46">
        <f>IF('Calculations PJ'!AQ46&lt;&gt;0,'Calculations PJ'!AQ46*About!$B$45,0)</f>
        <v>0</v>
      </c>
      <c r="AR46">
        <f>IF('Calculations PJ'!AR46&lt;&gt;0,'Calculations PJ'!AR46*About!$B$45,0)</f>
        <v>0</v>
      </c>
      <c r="AS46">
        <f>IF('Calculations PJ'!AS46&lt;&gt;0,'Calculations PJ'!AS46*About!$B$45,0)</f>
        <v>0</v>
      </c>
      <c r="AT46">
        <f>IF('Calculations PJ'!AT46&lt;&gt;0,'Calculations PJ'!AT46*About!$B$45,0)</f>
        <v>0</v>
      </c>
      <c r="AU46">
        <f>IF('Calculations PJ'!AU46&lt;&gt;0,'Calculations PJ'!AU46*About!$B$45,0)</f>
        <v>0</v>
      </c>
      <c r="AV46">
        <f>IF('Calculations PJ'!AV46&lt;&gt;0,'Calculations PJ'!AV46*About!$B$45,0)</f>
        <v>0</v>
      </c>
      <c r="AW46">
        <f>IF('Calculations PJ'!AW46&lt;&gt;0,'Calculations PJ'!AW46*About!$B$45,0)</f>
        <v>0</v>
      </c>
      <c r="AX46">
        <f>IF('Calculations PJ'!AX46&lt;&gt;0,'Calculations PJ'!AX46*About!$B$45,0)</f>
        <v>0</v>
      </c>
      <c r="AY46">
        <f>IF('Calculations PJ'!AY46&lt;&gt;0,'Calculations PJ'!AY46*About!$B$45,0)</f>
        <v>0</v>
      </c>
      <c r="AZ46">
        <f>IF('Calculations PJ'!AZ46&lt;&gt;0,'Calculations PJ'!AZ46*About!$B$45,0)</f>
        <v>0</v>
      </c>
      <c r="BA46">
        <f>IF('Calculations PJ'!BA46&lt;&gt;0,'Calculations PJ'!BA46*About!$B$45,0)</f>
        <v>0</v>
      </c>
      <c r="BB46">
        <f>IF('Calculations PJ'!BB46&lt;&gt;0,'Calculations PJ'!BB46*About!$B$45,0)</f>
        <v>0</v>
      </c>
      <c r="BC46">
        <f>IF('Calculations PJ'!BC46&lt;&gt;0,'Calculations PJ'!BC46*About!$B$45,0)</f>
        <v>0</v>
      </c>
      <c r="BD46">
        <f>IF('Calculations PJ'!BD46&lt;&gt;0,'Calculations PJ'!BD46*About!$B$45,0)</f>
        <v>0</v>
      </c>
      <c r="BE46">
        <f>IF('Calculations PJ'!BE46&lt;&gt;0,'Calculations PJ'!BE46*About!$B$45,0)</f>
        <v>0</v>
      </c>
      <c r="BF46">
        <f>IF('Calculations PJ'!BF46&lt;&gt;0,'Calculations PJ'!BF46*About!$B$45,0)</f>
        <v>0</v>
      </c>
      <c r="BG46">
        <f>IF('Calculations PJ'!BG46&lt;&gt;0,'Calculations PJ'!BG46*About!$B$45,0)</f>
        <v>0</v>
      </c>
      <c r="BH46">
        <f>IF('Calculations PJ'!BH46&lt;&gt;0,'Calculations PJ'!BH46*About!$B$45,0)</f>
        <v>0</v>
      </c>
    </row>
    <row r="47" spans="2:60" hidden="1" outlineLevel="1">
      <c r="B47" t="s">
        <v>144</v>
      </c>
      <c r="C47">
        <f>IF('Calculations PJ'!C47&lt;&gt;0,'Calculations PJ'!C47*About!$B$45,0)</f>
        <v>0</v>
      </c>
      <c r="D47">
        <f>IF('Calculations PJ'!D47&lt;&gt;0,'Calculations PJ'!D47*About!$B$45,0)</f>
        <v>0</v>
      </c>
      <c r="E47">
        <f>IF('Calculations PJ'!E47&lt;&gt;0,'Calculations PJ'!E47*About!$B$45,0)</f>
        <v>0</v>
      </c>
      <c r="F47">
        <f>IF('Calculations PJ'!F47&lt;&gt;0,'Calculations PJ'!F47*About!$B$45,0)</f>
        <v>0</v>
      </c>
      <c r="G47">
        <f>IF('Calculations PJ'!G47&lt;&gt;0,'Calculations PJ'!G47*About!$B$45,0)</f>
        <v>0</v>
      </c>
      <c r="H47">
        <f>IF('Calculations PJ'!H47&lt;&gt;0,'Calculations PJ'!H47*About!$B$45,0)</f>
        <v>0</v>
      </c>
      <c r="I47">
        <f>IF('Calculations PJ'!I47&lt;&gt;0,'Calculations PJ'!I47*About!$B$45,0)</f>
        <v>0</v>
      </c>
      <c r="J47">
        <f>IF('Calculations PJ'!J47&lt;&gt;0,'Calculations PJ'!J47*About!$B$45,0)</f>
        <v>0</v>
      </c>
      <c r="K47">
        <f>IF('Calculations PJ'!K47&lt;&gt;0,'Calculations PJ'!K47*About!$B$45,0)</f>
        <v>0</v>
      </c>
      <c r="L47">
        <f>IF('Calculations PJ'!L47&lt;&gt;0,'Calculations PJ'!L47*About!$B$45,0)</f>
        <v>0</v>
      </c>
      <c r="M47">
        <f>IF('Calculations PJ'!M47&lt;&gt;0,'Calculations PJ'!M47*About!$B$45,0)</f>
        <v>0</v>
      </c>
      <c r="N47">
        <f>IF('Calculations PJ'!N47&lt;&gt;0,'Calculations PJ'!N47*About!$B$45,0)</f>
        <v>0</v>
      </c>
      <c r="O47">
        <f>IF('Calculations PJ'!O47&lt;&gt;0,'Calculations PJ'!O47*About!$B$45,0)</f>
        <v>0</v>
      </c>
      <c r="P47">
        <f>IF('Calculations PJ'!P47&lt;&gt;0,'Calculations PJ'!P47*About!$B$45,0)</f>
        <v>0</v>
      </c>
      <c r="Q47">
        <f>IF('Calculations PJ'!Q47&lt;&gt;0,'Calculations PJ'!Q47*About!$B$45,0)</f>
        <v>0</v>
      </c>
      <c r="R47">
        <f>IF('Calculations PJ'!R47&lt;&gt;0,'Calculations PJ'!R47*About!$B$45,0)</f>
        <v>0</v>
      </c>
      <c r="S47">
        <f>IF('Calculations PJ'!S47&lt;&gt;0,'Calculations PJ'!S47*About!$B$45,0)</f>
        <v>0</v>
      </c>
      <c r="T47">
        <f>IF('Calculations PJ'!T47&lt;&gt;0,'Calculations PJ'!T47*About!$B$45,0)</f>
        <v>0</v>
      </c>
      <c r="U47">
        <f>IF('Calculations PJ'!U47&lt;&gt;0,'Calculations PJ'!U47*About!$B$45,0)</f>
        <v>0</v>
      </c>
      <c r="V47">
        <f>IF('Calculations PJ'!V47&lt;&gt;0,'Calculations PJ'!V47*About!$B$45,0)</f>
        <v>0</v>
      </c>
      <c r="W47">
        <f>IF('Calculations PJ'!W47&lt;&gt;0,'Calculations PJ'!W47*About!$B$45,0)</f>
        <v>0</v>
      </c>
      <c r="X47">
        <f>IF('Calculations PJ'!X47&lt;&gt;0,'Calculations PJ'!X47*About!$B$45,0)</f>
        <v>0</v>
      </c>
      <c r="Y47">
        <f>IF('Calculations PJ'!Y47&lt;&gt;0,'Calculations PJ'!Y47*About!$B$45,0)</f>
        <v>0</v>
      </c>
      <c r="Z47">
        <f>IF('Calculations PJ'!Z47&lt;&gt;0,'Calculations PJ'!Z47*About!$B$45,0)</f>
        <v>0</v>
      </c>
      <c r="AA47">
        <f>IF('Calculations PJ'!AA47&lt;&gt;0,'Calculations PJ'!AA47*About!$B$45,0)</f>
        <v>0</v>
      </c>
      <c r="AB47">
        <f>IF('Calculations PJ'!AB47&lt;&gt;0,'Calculations PJ'!AB47*About!$B$45,0)</f>
        <v>0</v>
      </c>
      <c r="AC47">
        <f>IF('Calculations PJ'!AC47&lt;&gt;0,'Calculations PJ'!AC47*About!$B$45,0)</f>
        <v>0</v>
      </c>
      <c r="AD47">
        <f>IF('Calculations PJ'!AD47&lt;&gt;0,'Calculations PJ'!AD47*About!$B$45,0)</f>
        <v>0</v>
      </c>
      <c r="AE47">
        <f>IF('Calculations PJ'!AE47&lt;&gt;0,'Calculations PJ'!AE47*About!$B$45,0)</f>
        <v>0</v>
      </c>
      <c r="AF47">
        <f>IF('Calculations PJ'!AF47&lt;&gt;0,'Calculations PJ'!AF47*About!$B$45,0)</f>
        <v>0</v>
      </c>
      <c r="AG47">
        <f>IF('Calculations PJ'!AG47&lt;&gt;0,'Calculations PJ'!AG47*About!$B$45,0)</f>
        <v>0</v>
      </c>
      <c r="AH47">
        <f>IF('Calculations PJ'!AH47&lt;&gt;0,'Calculations PJ'!AH47*About!$B$45,0)</f>
        <v>0</v>
      </c>
      <c r="AI47">
        <f>IF('Calculations PJ'!AI47&lt;&gt;0,'Calculations PJ'!AI47*About!$B$45,0)</f>
        <v>0</v>
      </c>
      <c r="AJ47">
        <f>IF('Calculations PJ'!AJ47&lt;&gt;0,'Calculations PJ'!AJ47*About!$B$45,0)</f>
        <v>0</v>
      </c>
      <c r="AK47">
        <f>IF('Calculations PJ'!AK47&lt;&gt;0,'Calculations PJ'!AK47*About!$B$45,0)</f>
        <v>0</v>
      </c>
      <c r="AL47">
        <f>IF('Calculations PJ'!AL47&lt;&gt;0,'Calculations PJ'!AL47*About!$B$45,0)</f>
        <v>0</v>
      </c>
      <c r="AM47">
        <f>IF('Calculations PJ'!AM47&lt;&gt;0,'Calculations PJ'!AM47*About!$B$45,0)</f>
        <v>0</v>
      </c>
      <c r="AN47">
        <f>IF('Calculations PJ'!AN47&lt;&gt;0,'Calculations PJ'!AN47*About!$B$45,0)</f>
        <v>0</v>
      </c>
      <c r="AO47">
        <f>IF('Calculations PJ'!AO47&lt;&gt;0,'Calculations PJ'!AO47*About!$B$45,0)</f>
        <v>0</v>
      </c>
      <c r="AP47">
        <f>IF('Calculations PJ'!AP47&lt;&gt;0,'Calculations PJ'!AP47*About!$B$45,0)</f>
        <v>0</v>
      </c>
      <c r="AQ47">
        <f>IF('Calculations PJ'!AQ47&lt;&gt;0,'Calculations PJ'!AQ47*About!$B$45,0)</f>
        <v>0</v>
      </c>
      <c r="AR47">
        <f>IF('Calculations PJ'!AR47&lt;&gt;0,'Calculations PJ'!AR47*About!$B$45,0)</f>
        <v>0</v>
      </c>
      <c r="AS47">
        <f>IF('Calculations PJ'!AS47&lt;&gt;0,'Calculations PJ'!AS47*About!$B$45,0)</f>
        <v>0</v>
      </c>
      <c r="AT47">
        <f>IF('Calculations PJ'!AT47&lt;&gt;0,'Calculations PJ'!AT47*About!$B$45,0)</f>
        <v>0</v>
      </c>
      <c r="AU47">
        <f>IF('Calculations PJ'!AU47&lt;&gt;0,'Calculations PJ'!AU47*About!$B$45,0)</f>
        <v>0</v>
      </c>
      <c r="AV47">
        <f>IF('Calculations PJ'!AV47&lt;&gt;0,'Calculations PJ'!AV47*About!$B$45,0)</f>
        <v>0</v>
      </c>
      <c r="AW47">
        <f>IF('Calculations PJ'!AW47&lt;&gt;0,'Calculations PJ'!AW47*About!$B$45,0)</f>
        <v>0</v>
      </c>
      <c r="AX47">
        <f>IF('Calculations PJ'!AX47&lt;&gt;0,'Calculations PJ'!AX47*About!$B$45,0)</f>
        <v>0</v>
      </c>
      <c r="AY47">
        <f>IF('Calculations PJ'!AY47&lt;&gt;0,'Calculations PJ'!AY47*About!$B$45,0)</f>
        <v>0</v>
      </c>
      <c r="AZ47">
        <f>IF('Calculations PJ'!AZ47&lt;&gt;0,'Calculations PJ'!AZ47*About!$B$45,0)</f>
        <v>0</v>
      </c>
      <c r="BA47">
        <f>IF('Calculations PJ'!BA47&lt;&gt;0,'Calculations PJ'!BA47*About!$B$45,0)</f>
        <v>0</v>
      </c>
      <c r="BB47">
        <f>IF('Calculations PJ'!BB47&lt;&gt;0,'Calculations PJ'!BB47*About!$B$45,0)</f>
        <v>0</v>
      </c>
      <c r="BC47">
        <f>IF('Calculations PJ'!BC47&lt;&gt;0,'Calculations PJ'!BC47*About!$B$45,0)</f>
        <v>0</v>
      </c>
      <c r="BD47">
        <f>IF('Calculations PJ'!BD47&lt;&gt;0,'Calculations PJ'!BD47*About!$B$45,0)</f>
        <v>0</v>
      </c>
      <c r="BE47">
        <f>IF('Calculations PJ'!BE47&lt;&gt;0,'Calculations PJ'!BE47*About!$B$45,0)</f>
        <v>0</v>
      </c>
      <c r="BF47">
        <f>IF('Calculations PJ'!BF47&lt;&gt;0,'Calculations PJ'!BF47*About!$B$45,0)</f>
        <v>0</v>
      </c>
      <c r="BG47">
        <f>IF('Calculations PJ'!BG47&lt;&gt;0,'Calculations PJ'!BG47*About!$B$45,0)</f>
        <v>0</v>
      </c>
      <c r="BH47">
        <f>IF('Calculations PJ'!BH47&lt;&gt;0,'Calculations PJ'!BH47*About!$B$45,0)</f>
        <v>0</v>
      </c>
    </row>
    <row r="48" spans="2:60" hidden="1" outlineLevel="1">
      <c r="B48" t="s">
        <v>145</v>
      </c>
      <c r="C48">
        <f>IF('Calculations PJ'!C48&lt;&gt;0,'Calculations PJ'!C48*About!$B$45,0)</f>
        <v>0</v>
      </c>
      <c r="D48">
        <f>IF('Calculations PJ'!D48&lt;&gt;0,'Calculations PJ'!D48*About!$B$45,0)</f>
        <v>0</v>
      </c>
      <c r="E48">
        <f>IF('Calculations PJ'!E48&lt;&gt;0,'Calculations PJ'!E48*About!$B$45,0)</f>
        <v>0</v>
      </c>
      <c r="F48">
        <f>IF('Calculations PJ'!F48&lt;&gt;0,'Calculations PJ'!F48*About!$B$45,0)</f>
        <v>0</v>
      </c>
      <c r="G48">
        <f>IF('Calculations PJ'!G48&lt;&gt;0,'Calculations PJ'!G48*About!$B$45,0)</f>
        <v>0</v>
      </c>
      <c r="H48">
        <f>IF('Calculations PJ'!H48&lt;&gt;0,'Calculations PJ'!H48*About!$B$45,0)</f>
        <v>0</v>
      </c>
      <c r="I48">
        <f>IF('Calculations PJ'!I48&lt;&gt;0,'Calculations PJ'!I48*About!$B$45,0)</f>
        <v>0</v>
      </c>
      <c r="J48">
        <f>IF('Calculations PJ'!J48&lt;&gt;0,'Calculations PJ'!J48*About!$B$45,0)</f>
        <v>0</v>
      </c>
      <c r="K48">
        <f>IF('Calculations PJ'!K48&lt;&gt;0,'Calculations PJ'!K48*About!$B$45,0)</f>
        <v>0</v>
      </c>
      <c r="L48">
        <f>IF('Calculations PJ'!L48&lt;&gt;0,'Calculations PJ'!L48*About!$B$45,0)</f>
        <v>0</v>
      </c>
      <c r="M48">
        <f>IF('Calculations PJ'!M48&lt;&gt;0,'Calculations PJ'!M48*About!$B$45,0)</f>
        <v>0</v>
      </c>
      <c r="N48">
        <f>IF('Calculations PJ'!N48&lt;&gt;0,'Calculations PJ'!N48*About!$B$45,0)</f>
        <v>0</v>
      </c>
      <c r="O48">
        <f>IF('Calculations PJ'!O48&lt;&gt;0,'Calculations PJ'!O48*About!$B$45,0)</f>
        <v>0</v>
      </c>
      <c r="P48">
        <f>IF('Calculations PJ'!P48&lt;&gt;0,'Calculations PJ'!P48*About!$B$45,0)</f>
        <v>0</v>
      </c>
      <c r="Q48">
        <f>IF('Calculations PJ'!Q48&lt;&gt;0,'Calculations PJ'!Q48*About!$B$45,0)</f>
        <v>0</v>
      </c>
      <c r="R48">
        <f>IF('Calculations PJ'!R48&lt;&gt;0,'Calculations PJ'!R48*About!$B$45,0)</f>
        <v>0</v>
      </c>
      <c r="S48">
        <f>IF('Calculations PJ'!S48&lt;&gt;0,'Calculations PJ'!S48*About!$B$45,0)</f>
        <v>0</v>
      </c>
      <c r="T48">
        <f>IF('Calculations PJ'!T48&lt;&gt;0,'Calculations PJ'!T48*About!$B$45,0)</f>
        <v>0</v>
      </c>
      <c r="U48">
        <f>IF('Calculations PJ'!U48&lt;&gt;0,'Calculations PJ'!U48*About!$B$45,0)</f>
        <v>0</v>
      </c>
      <c r="V48">
        <f>IF('Calculations PJ'!V48&lt;&gt;0,'Calculations PJ'!V48*About!$B$45,0)</f>
        <v>0</v>
      </c>
      <c r="W48">
        <f>IF('Calculations PJ'!W48&lt;&gt;0,'Calculations PJ'!W48*About!$B$45,0)</f>
        <v>0</v>
      </c>
      <c r="X48">
        <f>IF('Calculations PJ'!X48&lt;&gt;0,'Calculations PJ'!X48*About!$B$45,0)</f>
        <v>0</v>
      </c>
      <c r="Y48">
        <f>IF('Calculations PJ'!Y48&lt;&gt;0,'Calculations PJ'!Y48*About!$B$45,0)</f>
        <v>0</v>
      </c>
      <c r="Z48">
        <f>IF('Calculations PJ'!Z48&lt;&gt;0,'Calculations PJ'!Z48*About!$B$45,0)</f>
        <v>0</v>
      </c>
      <c r="AA48">
        <f>IF('Calculations PJ'!AA48&lt;&gt;0,'Calculations PJ'!AA48*About!$B$45,0)</f>
        <v>0</v>
      </c>
      <c r="AB48">
        <f>IF('Calculations PJ'!AB48&lt;&gt;0,'Calculations PJ'!AB48*About!$B$45,0)</f>
        <v>0</v>
      </c>
      <c r="AC48">
        <f>IF('Calculations PJ'!AC48&lt;&gt;0,'Calculations PJ'!AC48*About!$B$45,0)</f>
        <v>0</v>
      </c>
      <c r="AD48">
        <f>IF('Calculations PJ'!AD48&lt;&gt;0,'Calculations PJ'!AD48*About!$B$45,0)</f>
        <v>0</v>
      </c>
      <c r="AE48">
        <f>IF('Calculations PJ'!AE48&lt;&gt;0,'Calculations PJ'!AE48*About!$B$45,0)</f>
        <v>0</v>
      </c>
      <c r="AF48">
        <f>IF('Calculations PJ'!AF48&lt;&gt;0,'Calculations PJ'!AF48*About!$B$45,0)</f>
        <v>0</v>
      </c>
      <c r="AG48">
        <f>IF('Calculations PJ'!AG48&lt;&gt;0,'Calculations PJ'!AG48*About!$B$45,0)</f>
        <v>0</v>
      </c>
      <c r="AH48">
        <f>IF('Calculations PJ'!AH48&lt;&gt;0,'Calculations PJ'!AH48*About!$B$45,0)</f>
        <v>0</v>
      </c>
      <c r="AI48">
        <f>IF('Calculations PJ'!AI48&lt;&gt;0,'Calculations PJ'!AI48*About!$B$45,0)</f>
        <v>0</v>
      </c>
      <c r="AJ48">
        <f>IF('Calculations PJ'!AJ48&lt;&gt;0,'Calculations PJ'!AJ48*About!$B$45,0)</f>
        <v>0</v>
      </c>
      <c r="AK48">
        <f>IF('Calculations PJ'!AK48&lt;&gt;0,'Calculations PJ'!AK48*About!$B$45,0)</f>
        <v>0</v>
      </c>
      <c r="AL48">
        <f>IF('Calculations PJ'!AL48&lt;&gt;0,'Calculations PJ'!AL48*About!$B$45,0)</f>
        <v>0</v>
      </c>
      <c r="AM48">
        <f>IF('Calculations PJ'!AM48&lt;&gt;0,'Calculations PJ'!AM48*About!$B$45,0)</f>
        <v>0</v>
      </c>
      <c r="AN48">
        <f>IF('Calculations PJ'!AN48&lt;&gt;0,'Calculations PJ'!AN48*About!$B$45,0)</f>
        <v>0</v>
      </c>
      <c r="AO48">
        <f>IF('Calculations PJ'!AO48&lt;&gt;0,'Calculations PJ'!AO48*About!$B$45,0)</f>
        <v>0</v>
      </c>
      <c r="AP48">
        <f>IF('Calculations PJ'!AP48&lt;&gt;0,'Calculations PJ'!AP48*About!$B$45,0)</f>
        <v>0</v>
      </c>
      <c r="AQ48">
        <f>IF('Calculations PJ'!AQ48&lt;&gt;0,'Calculations PJ'!AQ48*About!$B$45,0)</f>
        <v>0</v>
      </c>
      <c r="AR48">
        <f>IF('Calculations PJ'!AR48&lt;&gt;0,'Calculations PJ'!AR48*About!$B$45,0)</f>
        <v>0</v>
      </c>
      <c r="AS48">
        <f>IF('Calculations PJ'!AS48&lt;&gt;0,'Calculations PJ'!AS48*About!$B$45,0)</f>
        <v>0</v>
      </c>
      <c r="AT48">
        <f>IF('Calculations PJ'!AT48&lt;&gt;0,'Calculations PJ'!AT48*About!$B$45,0)</f>
        <v>0</v>
      </c>
      <c r="AU48">
        <f>IF('Calculations PJ'!AU48&lt;&gt;0,'Calculations PJ'!AU48*About!$B$45,0)</f>
        <v>0</v>
      </c>
      <c r="AV48">
        <f>IF('Calculations PJ'!AV48&lt;&gt;0,'Calculations PJ'!AV48*About!$B$45,0)</f>
        <v>0</v>
      </c>
      <c r="AW48">
        <f>IF('Calculations PJ'!AW48&lt;&gt;0,'Calculations PJ'!AW48*About!$B$45,0)</f>
        <v>0</v>
      </c>
      <c r="AX48">
        <f>IF('Calculations PJ'!AX48&lt;&gt;0,'Calculations PJ'!AX48*About!$B$45,0)</f>
        <v>0</v>
      </c>
      <c r="AY48">
        <f>IF('Calculations PJ'!AY48&lt;&gt;0,'Calculations PJ'!AY48*About!$B$45,0)</f>
        <v>0</v>
      </c>
      <c r="AZ48">
        <f>IF('Calculations PJ'!AZ48&lt;&gt;0,'Calculations PJ'!AZ48*About!$B$45,0)</f>
        <v>0</v>
      </c>
      <c r="BA48">
        <f>IF('Calculations PJ'!BA48&lt;&gt;0,'Calculations PJ'!BA48*About!$B$45,0)</f>
        <v>0</v>
      </c>
      <c r="BB48">
        <f>IF('Calculations PJ'!BB48&lt;&gt;0,'Calculations PJ'!BB48*About!$B$45,0)</f>
        <v>0</v>
      </c>
      <c r="BC48">
        <f>IF('Calculations PJ'!BC48&lt;&gt;0,'Calculations PJ'!BC48*About!$B$45,0)</f>
        <v>0</v>
      </c>
      <c r="BD48">
        <f>IF('Calculations PJ'!BD48&lt;&gt;0,'Calculations PJ'!BD48*About!$B$45,0)</f>
        <v>0</v>
      </c>
      <c r="BE48">
        <f>IF('Calculations PJ'!BE48&lt;&gt;0,'Calculations PJ'!BE48*About!$B$45,0)</f>
        <v>0</v>
      </c>
      <c r="BF48">
        <f>IF('Calculations PJ'!BF48&lt;&gt;0,'Calculations PJ'!BF48*About!$B$45,0)</f>
        <v>0</v>
      </c>
      <c r="BG48">
        <f>IF('Calculations PJ'!BG48&lt;&gt;0,'Calculations PJ'!BG48*About!$B$45,0)</f>
        <v>0</v>
      </c>
      <c r="BH48">
        <f>IF('Calculations PJ'!BH48&lt;&gt;0,'Calculations PJ'!BH48*About!$B$45,0)</f>
        <v>0</v>
      </c>
    </row>
    <row r="49" spans="1:60" hidden="1" outlineLevel="1">
      <c r="B49" t="s">
        <v>146</v>
      </c>
      <c r="C49">
        <f>IF('Calculations PJ'!C49&lt;&gt;0,'Calculations PJ'!C49*About!$B$45,0)</f>
        <v>0</v>
      </c>
      <c r="D49">
        <f>IF('Calculations PJ'!D49&lt;&gt;0,'Calculations PJ'!D49*About!$B$45,0)</f>
        <v>0</v>
      </c>
      <c r="E49">
        <f>IF('Calculations PJ'!E49&lt;&gt;0,'Calculations PJ'!E49*About!$B$45,0)</f>
        <v>0</v>
      </c>
      <c r="F49">
        <f>IF('Calculations PJ'!F49&lt;&gt;0,'Calculations PJ'!F49*About!$B$45,0)</f>
        <v>0</v>
      </c>
      <c r="G49">
        <f>IF('Calculations PJ'!G49&lt;&gt;0,'Calculations PJ'!G49*About!$B$45,0)</f>
        <v>0</v>
      </c>
      <c r="H49">
        <f>IF('Calculations PJ'!H49&lt;&gt;0,'Calculations PJ'!H49*About!$B$45,0)</f>
        <v>0</v>
      </c>
      <c r="I49">
        <f>IF('Calculations PJ'!I49&lt;&gt;0,'Calculations PJ'!I49*About!$B$45,0)</f>
        <v>0</v>
      </c>
      <c r="J49">
        <f>IF('Calculations PJ'!J49&lt;&gt;0,'Calculations PJ'!J49*About!$B$45,0)</f>
        <v>0</v>
      </c>
      <c r="K49">
        <f>IF('Calculations PJ'!K49&lt;&gt;0,'Calculations PJ'!K49*About!$B$45,0)</f>
        <v>0</v>
      </c>
      <c r="L49">
        <f>IF('Calculations PJ'!L49&lt;&gt;0,'Calculations PJ'!L49*About!$B$45,0)</f>
        <v>0</v>
      </c>
      <c r="M49">
        <f>IF('Calculations PJ'!M49&lt;&gt;0,'Calculations PJ'!M49*About!$B$45,0)</f>
        <v>0</v>
      </c>
      <c r="N49">
        <f>IF('Calculations PJ'!N49&lt;&gt;0,'Calculations PJ'!N49*About!$B$45,0)</f>
        <v>0</v>
      </c>
      <c r="O49">
        <f>IF('Calculations PJ'!O49&lt;&gt;0,'Calculations PJ'!O49*About!$B$45,0)</f>
        <v>0</v>
      </c>
      <c r="P49">
        <f>IF('Calculations PJ'!P49&lt;&gt;0,'Calculations PJ'!P49*About!$B$45,0)</f>
        <v>0</v>
      </c>
      <c r="Q49">
        <f>IF('Calculations PJ'!Q49&lt;&gt;0,'Calculations PJ'!Q49*About!$B$45,0)</f>
        <v>0</v>
      </c>
      <c r="R49">
        <f>IF('Calculations PJ'!R49&lt;&gt;0,'Calculations PJ'!R49*About!$B$45,0)</f>
        <v>0</v>
      </c>
      <c r="S49">
        <f>IF('Calculations PJ'!S49&lt;&gt;0,'Calculations PJ'!S49*About!$B$45,0)</f>
        <v>0</v>
      </c>
      <c r="T49">
        <f>IF('Calculations PJ'!T49&lt;&gt;0,'Calculations PJ'!T49*About!$B$45,0)</f>
        <v>0</v>
      </c>
      <c r="U49">
        <f>IF('Calculations PJ'!U49&lt;&gt;0,'Calculations PJ'!U49*About!$B$45,0)</f>
        <v>0</v>
      </c>
      <c r="V49">
        <f>IF('Calculations PJ'!V49&lt;&gt;0,'Calculations PJ'!V49*About!$B$45,0)</f>
        <v>0</v>
      </c>
      <c r="W49">
        <f>IF('Calculations PJ'!W49&lt;&gt;0,'Calculations PJ'!W49*About!$B$45,0)</f>
        <v>0</v>
      </c>
      <c r="X49">
        <f>IF('Calculations PJ'!X49&lt;&gt;0,'Calculations PJ'!X49*About!$B$45,0)</f>
        <v>0</v>
      </c>
      <c r="Y49">
        <f>IF('Calculations PJ'!Y49&lt;&gt;0,'Calculations PJ'!Y49*About!$B$45,0)</f>
        <v>0</v>
      </c>
      <c r="Z49">
        <f>IF('Calculations PJ'!Z49&lt;&gt;0,'Calculations PJ'!Z49*About!$B$45,0)</f>
        <v>0</v>
      </c>
      <c r="AA49">
        <f>IF('Calculations PJ'!AA49&lt;&gt;0,'Calculations PJ'!AA49*About!$B$45,0)</f>
        <v>0</v>
      </c>
      <c r="AB49">
        <f>IF('Calculations PJ'!AB49&lt;&gt;0,'Calculations PJ'!AB49*About!$B$45,0)</f>
        <v>0</v>
      </c>
      <c r="AC49">
        <f>IF('Calculations PJ'!AC49&lt;&gt;0,'Calculations PJ'!AC49*About!$B$45,0)</f>
        <v>0</v>
      </c>
      <c r="AD49">
        <f>IF('Calculations PJ'!AD49&lt;&gt;0,'Calculations PJ'!AD49*About!$B$45,0)</f>
        <v>0</v>
      </c>
      <c r="AE49">
        <f>IF('Calculations PJ'!AE49&lt;&gt;0,'Calculations PJ'!AE49*About!$B$45,0)</f>
        <v>0</v>
      </c>
      <c r="AF49">
        <f>IF('Calculations PJ'!AF49&lt;&gt;0,'Calculations PJ'!AF49*About!$B$45,0)</f>
        <v>0</v>
      </c>
      <c r="AG49">
        <f>IF('Calculations PJ'!AG49&lt;&gt;0,'Calculations PJ'!AG49*About!$B$45,0)</f>
        <v>0</v>
      </c>
      <c r="AH49">
        <f>IF('Calculations PJ'!AH49&lt;&gt;0,'Calculations PJ'!AH49*About!$B$45,0)</f>
        <v>0</v>
      </c>
      <c r="AI49">
        <f>IF('Calculations PJ'!AI49&lt;&gt;0,'Calculations PJ'!AI49*About!$B$45,0)</f>
        <v>0</v>
      </c>
      <c r="AJ49">
        <f>IF('Calculations PJ'!AJ49&lt;&gt;0,'Calculations PJ'!AJ49*About!$B$45,0)</f>
        <v>0</v>
      </c>
      <c r="AK49">
        <f>IF('Calculations PJ'!AK49&lt;&gt;0,'Calculations PJ'!AK49*About!$B$45,0)</f>
        <v>0</v>
      </c>
      <c r="AL49">
        <f>IF('Calculations PJ'!AL49&lt;&gt;0,'Calculations PJ'!AL49*About!$B$45,0)</f>
        <v>0</v>
      </c>
      <c r="AM49">
        <f>IF('Calculations PJ'!AM49&lt;&gt;0,'Calculations PJ'!AM49*About!$B$45,0)</f>
        <v>0</v>
      </c>
      <c r="AN49">
        <f>IF('Calculations PJ'!AN49&lt;&gt;0,'Calculations PJ'!AN49*About!$B$45,0)</f>
        <v>0</v>
      </c>
      <c r="AO49">
        <f>IF('Calculations PJ'!AO49&lt;&gt;0,'Calculations PJ'!AO49*About!$B$45,0)</f>
        <v>0</v>
      </c>
      <c r="AP49">
        <f>IF('Calculations PJ'!AP49&lt;&gt;0,'Calculations PJ'!AP49*About!$B$45,0)</f>
        <v>0</v>
      </c>
      <c r="AQ49">
        <f>IF('Calculations PJ'!AQ49&lt;&gt;0,'Calculations PJ'!AQ49*About!$B$45,0)</f>
        <v>0</v>
      </c>
      <c r="AR49">
        <f>IF('Calculations PJ'!AR49&lt;&gt;0,'Calculations PJ'!AR49*About!$B$45,0)</f>
        <v>0</v>
      </c>
      <c r="AS49">
        <f>IF('Calculations PJ'!AS49&lt;&gt;0,'Calculations PJ'!AS49*About!$B$45,0)</f>
        <v>0</v>
      </c>
      <c r="AT49">
        <f>IF('Calculations PJ'!AT49&lt;&gt;0,'Calculations PJ'!AT49*About!$B$45,0)</f>
        <v>0</v>
      </c>
      <c r="AU49">
        <f>IF('Calculations PJ'!AU49&lt;&gt;0,'Calculations PJ'!AU49*About!$B$45,0)</f>
        <v>0</v>
      </c>
      <c r="AV49">
        <f>IF('Calculations PJ'!AV49&lt;&gt;0,'Calculations PJ'!AV49*About!$B$45,0)</f>
        <v>0</v>
      </c>
      <c r="AW49">
        <f>IF('Calculations PJ'!AW49&lt;&gt;0,'Calculations PJ'!AW49*About!$B$45,0)</f>
        <v>0</v>
      </c>
      <c r="AX49">
        <f>IF('Calculations PJ'!AX49&lt;&gt;0,'Calculations PJ'!AX49*About!$B$45,0)</f>
        <v>0</v>
      </c>
      <c r="AY49">
        <f>IF('Calculations PJ'!AY49&lt;&gt;0,'Calculations PJ'!AY49*About!$B$45,0)</f>
        <v>0</v>
      </c>
      <c r="AZ49">
        <f>IF('Calculations PJ'!AZ49&lt;&gt;0,'Calculations PJ'!AZ49*About!$B$45,0)</f>
        <v>0</v>
      </c>
      <c r="BA49">
        <f>IF('Calculations PJ'!BA49&lt;&gt;0,'Calculations PJ'!BA49*About!$B$45,0)</f>
        <v>0</v>
      </c>
      <c r="BB49">
        <f>IF('Calculations PJ'!BB49&lt;&gt;0,'Calculations PJ'!BB49*About!$B$45,0)</f>
        <v>0</v>
      </c>
      <c r="BC49">
        <f>IF('Calculations PJ'!BC49&lt;&gt;0,'Calculations PJ'!BC49*About!$B$45,0)</f>
        <v>0</v>
      </c>
      <c r="BD49">
        <f>IF('Calculations PJ'!BD49&lt;&gt;0,'Calculations PJ'!BD49*About!$B$45,0)</f>
        <v>0</v>
      </c>
      <c r="BE49">
        <f>IF('Calculations PJ'!BE49&lt;&gt;0,'Calculations PJ'!BE49*About!$B$45,0)</f>
        <v>0</v>
      </c>
      <c r="BF49">
        <f>IF('Calculations PJ'!BF49&lt;&gt;0,'Calculations PJ'!BF49*About!$B$45,0)</f>
        <v>0</v>
      </c>
      <c r="BG49">
        <f>IF('Calculations PJ'!BG49&lt;&gt;0,'Calculations PJ'!BG49*About!$B$45,0)</f>
        <v>0</v>
      </c>
      <c r="BH49">
        <f>IF('Calculations PJ'!BH49&lt;&gt;0,'Calculations PJ'!BH49*About!$B$45,0)</f>
        <v>0</v>
      </c>
    </row>
    <row r="50" spans="1:60" hidden="1" outlineLevel="1">
      <c r="B50" t="s">
        <v>147</v>
      </c>
      <c r="C50">
        <f>IF('Calculations PJ'!C50&lt;&gt;0,'Calculations PJ'!C50*About!$B$45,0)</f>
        <v>89298563078764.047</v>
      </c>
      <c r="D50">
        <f>IF('Calculations PJ'!D50&lt;&gt;0,'Calculations PJ'!D50*About!$B$45,0)</f>
        <v>67308045475247.172</v>
      </c>
      <c r="E50">
        <f>IF('Calculations PJ'!E50&lt;&gt;0,'Calculations PJ'!E50*About!$B$45,0)</f>
        <v>74094774183918.766</v>
      </c>
      <c r="F50">
        <f>IF('Calculations PJ'!F50&lt;&gt;0,'Calculations PJ'!F50*About!$B$45,0)</f>
        <v>53981033513805.469</v>
      </c>
      <c r="G50">
        <f>IF('Calculations PJ'!G50&lt;&gt;0,'Calculations PJ'!G50*About!$B$45,0)</f>
        <v>218379109942855.84</v>
      </c>
      <c r="H50">
        <f>IF('Calculations PJ'!H50&lt;&gt;0,'Calculations PJ'!H50*About!$B$45,0)</f>
        <v>170255895342401.03</v>
      </c>
      <c r="I50">
        <f>IF('Calculations PJ'!I50&lt;&gt;0,'Calculations PJ'!I50*About!$B$45,0)</f>
        <v>108085289755561.67</v>
      </c>
      <c r="J50">
        <f>IF('Calculations PJ'!J50&lt;&gt;0,'Calculations PJ'!J50*About!$B$45,0)</f>
        <v>10824642716903.572</v>
      </c>
      <c r="K50">
        <f>IF('Calculations PJ'!K50&lt;&gt;0,'Calculations PJ'!K50*About!$B$45,0)</f>
        <v>32928904376990.379</v>
      </c>
      <c r="L50">
        <f>IF('Calculations PJ'!L50&lt;&gt;0,'Calculations PJ'!L50*About!$B$45,0)</f>
        <v>32682458921088.891</v>
      </c>
      <c r="M50">
        <f>IF('Calculations PJ'!M50&lt;&gt;0,'Calculations PJ'!M50*About!$B$45,0)</f>
        <v>32341226751379.145</v>
      </c>
      <c r="N50">
        <f>IF('Calculations PJ'!N50&lt;&gt;0,'Calculations PJ'!N50*About!$B$45,0)</f>
        <v>31990515910288.578</v>
      </c>
      <c r="O50">
        <f>IF('Calculations PJ'!O50&lt;&gt;0,'Calculations PJ'!O50*About!$B$45,0)</f>
        <v>31649283740578.832</v>
      </c>
      <c r="P50">
        <f>IF('Calculations PJ'!P50&lt;&gt;0,'Calculations PJ'!P50*About!$B$45,0)</f>
        <v>31298572899488.266</v>
      </c>
      <c r="Q50">
        <f>IF('Calculations PJ'!Q50&lt;&gt;0,'Calculations PJ'!Q50*About!$B$45,0)</f>
        <v>30957340729778.512</v>
      </c>
      <c r="R50">
        <f>IF('Calculations PJ'!R50&lt;&gt;0,'Calculations PJ'!R50*About!$B$45,0)</f>
        <v>30606629888687.945</v>
      </c>
      <c r="S50">
        <f>IF('Calculations PJ'!S50&lt;&gt;0,'Calculations PJ'!S50*About!$B$45,0)</f>
        <v>30265397718978.199</v>
      </c>
      <c r="T50">
        <f>IF('Calculations PJ'!T50&lt;&gt;0,'Calculations PJ'!T50*About!$B$45,0)</f>
        <v>29914686877887.629</v>
      </c>
      <c r="U50">
        <f>IF('Calculations PJ'!U50&lt;&gt;0,'Calculations PJ'!U50*About!$B$45,0)</f>
        <v>29573454708177.883</v>
      </c>
      <c r="V50">
        <f>IF('Calculations PJ'!V50&lt;&gt;0,'Calculations PJ'!V50*About!$B$45,0)</f>
        <v>29222743867087.313</v>
      </c>
      <c r="W50">
        <f>IF('Calculations PJ'!W50&lt;&gt;0,'Calculations PJ'!W50*About!$B$45,0)</f>
        <v>28881511697377.566</v>
      </c>
      <c r="X50">
        <f>IF('Calculations PJ'!X50&lt;&gt;0,'Calculations PJ'!X50*About!$B$45,0)</f>
        <v>28530800856287</v>
      </c>
      <c r="Y50">
        <f>IF('Calculations PJ'!Y50&lt;&gt;0,'Calculations PJ'!Y50*About!$B$45,0)</f>
        <v>28189568686577.25</v>
      </c>
      <c r="Z50">
        <f>IF('Calculations PJ'!Z50&lt;&gt;0,'Calculations PJ'!Z50*About!$B$45,0)</f>
        <v>27838857845486.684</v>
      </c>
      <c r="AA50">
        <f>IF('Calculations PJ'!AA50&lt;&gt;0,'Calculations PJ'!AA50*About!$B$45,0)</f>
        <v>27497625675776.938</v>
      </c>
      <c r="AB50">
        <f>IF('Calculations PJ'!AB50&lt;&gt;0,'Calculations PJ'!AB50*About!$B$45,0)</f>
        <v>27146914834686.367</v>
      </c>
      <c r="AC50">
        <f>IF('Calculations PJ'!AC50&lt;&gt;0,'Calculations PJ'!AC50*About!$B$45,0)</f>
        <v>26796203993595.793</v>
      </c>
      <c r="AD50">
        <f>IF('Calculations PJ'!AD50&lt;&gt;0,'Calculations PJ'!AD50*About!$B$45,0)</f>
        <v>26454971823886.051</v>
      </c>
      <c r="AE50">
        <f>IF('Calculations PJ'!AE50&lt;&gt;0,'Calculations PJ'!AE50*About!$B$45,0)</f>
        <v>26104260982795.477</v>
      </c>
      <c r="AF50">
        <f>IF('Calculations PJ'!AF50&lt;&gt;0,'Calculations PJ'!AF50*About!$B$45,0)</f>
        <v>25763028813085.734</v>
      </c>
      <c r="AG50">
        <f>IF('Calculations PJ'!AG50&lt;&gt;0,'Calculations PJ'!AG50*About!$B$45,0)</f>
        <v>25412317971995.16</v>
      </c>
      <c r="AH50">
        <f>IF('Calculations PJ'!AH50&lt;&gt;0,'Calculations PJ'!AH50*About!$B$45,0)</f>
        <v>25071085802285.418</v>
      </c>
      <c r="AI50">
        <f>IF('Calculations PJ'!AI50&lt;&gt;0,'Calculations PJ'!AI50*About!$B$45,0)</f>
        <v>24720374961194.844</v>
      </c>
      <c r="AJ50">
        <f>IF('Calculations PJ'!AJ50&lt;&gt;0,'Calculations PJ'!AJ50*About!$B$45,0)</f>
        <v>24379142791485.102</v>
      </c>
      <c r="AK50">
        <f>IF('Calculations PJ'!AK50&lt;&gt;0,'Calculations PJ'!AK50*About!$B$45,0)</f>
        <v>24028431950394.531</v>
      </c>
      <c r="AL50">
        <f>IF('Calculations PJ'!AL50&lt;&gt;0,'Calculations PJ'!AL50*About!$B$45,0)</f>
        <v>23687199780684.785</v>
      </c>
      <c r="AM50">
        <f>IF('Calculations PJ'!AM50&lt;&gt;0,'Calculations PJ'!AM50*About!$B$45,0)</f>
        <v>23336488939594.215</v>
      </c>
      <c r="AN50">
        <f>IF('Calculations PJ'!AN50&lt;&gt;0,'Calculations PJ'!AN50*About!$B$45,0)</f>
        <v>22995256769884.473</v>
      </c>
      <c r="AO50">
        <f>IF('Calculations PJ'!AO50&lt;&gt;0,'Calculations PJ'!AO50*About!$B$45,0)</f>
        <v>22995256769884.473</v>
      </c>
      <c r="AP50">
        <f>IF('Calculations PJ'!AP50&lt;&gt;0,'Calculations PJ'!AP50*About!$B$45,0)</f>
        <v>22995256769884.473</v>
      </c>
      <c r="AQ50">
        <f>IF('Calculations PJ'!AQ50&lt;&gt;0,'Calculations PJ'!AQ50*About!$B$45,0)</f>
        <v>22995256769884.473</v>
      </c>
      <c r="AR50">
        <f>IF('Calculations PJ'!AR50&lt;&gt;0,'Calculations PJ'!AR50*About!$B$45,0)</f>
        <v>22995256769884.473</v>
      </c>
      <c r="AS50">
        <f>IF('Calculations PJ'!AS50&lt;&gt;0,'Calculations PJ'!AS50*About!$B$45,0)</f>
        <v>22995256769884.473</v>
      </c>
      <c r="AT50">
        <f>IF('Calculations PJ'!AT50&lt;&gt;0,'Calculations PJ'!AT50*About!$B$45,0)</f>
        <v>22995256769884.473</v>
      </c>
      <c r="AU50">
        <f>IF('Calculations PJ'!AU50&lt;&gt;0,'Calculations PJ'!AU50*About!$B$45,0)</f>
        <v>22995256769884.473</v>
      </c>
      <c r="AV50">
        <f>IF('Calculations PJ'!AV50&lt;&gt;0,'Calculations PJ'!AV50*About!$B$45,0)</f>
        <v>22995256769884.473</v>
      </c>
      <c r="AW50">
        <f>IF('Calculations PJ'!AW50&lt;&gt;0,'Calculations PJ'!AW50*About!$B$45,0)</f>
        <v>22995256769884.473</v>
      </c>
      <c r="AX50">
        <f>IF('Calculations PJ'!AX50&lt;&gt;0,'Calculations PJ'!AX50*About!$B$45,0)</f>
        <v>22995256769884.473</v>
      </c>
      <c r="AY50">
        <f>IF('Calculations PJ'!AY50&lt;&gt;0,'Calculations PJ'!AY50*About!$B$45,0)</f>
        <v>22995256769884.473</v>
      </c>
      <c r="AZ50">
        <f>IF('Calculations PJ'!AZ50&lt;&gt;0,'Calculations PJ'!AZ50*About!$B$45,0)</f>
        <v>22995256769884.473</v>
      </c>
      <c r="BA50">
        <f>IF('Calculations PJ'!BA50&lt;&gt;0,'Calculations PJ'!BA50*About!$B$45,0)</f>
        <v>22995256769884.473</v>
      </c>
      <c r="BB50">
        <f>IF('Calculations PJ'!BB50&lt;&gt;0,'Calculations PJ'!BB50*About!$B$45,0)</f>
        <v>22995256769884.473</v>
      </c>
      <c r="BC50">
        <f>IF('Calculations PJ'!BC50&lt;&gt;0,'Calculations PJ'!BC50*About!$B$45,0)</f>
        <v>22995256769884.473</v>
      </c>
      <c r="BD50">
        <f>IF('Calculations PJ'!BD50&lt;&gt;0,'Calculations PJ'!BD50*About!$B$45,0)</f>
        <v>22995256769884.473</v>
      </c>
      <c r="BE50">
        <f>IF('Calculations PJ'!BE50&lt;&gt;0,'Calculations PJ'!BE50*About!$B$45,0)</f>
        <v>22995256769884.473</v>
      </c>
      <c r="BF50">
        <f>IF('Calculations PJ'!BF50&lt;&gt;0,'Calculations PJ'!BF50*About!$B$45,0)</f>
        <v>22995256769884.473</v>
      </c>
      <c r="BG50">
        <f>IF('Calculations PJ'!BG50&lt;&gt;0,'Calculations PJ'!BG50*About!$B$45,0)</f>
        <v>22995256769884.473</v>
      </c>
      <c r="BH50">
        <f>IF('Calculations PJ'!BH50&lt;&gt;0,'Calculations PJ'!BH50*About!$B$45,0)</f>
        <v>22995256769884.473</v>
      </c>
    </row>
    <row r="51" spans="1:60" hidden="1" outlineLevel="1">
      <c r="B51" t="s">
        <v>148</v>
      </c>
      <c r="C51">
        <f>IF('Calculations PJ'!C51&lt;&gt;0,'Calculations PJ'!C51*About!$B$45,0)</f>
        <v>0</v>
      </c>
      <c r="D51">
        <f>IF('Calculations PJ'!D51&lt;&gt;0,'Calculations PJ'!D51*About!$B$45,0)</f>
        <v>0</v>
      </c>
      <c r="E51">
        <f>IF('Calculations PJ'!E51&lt;&gt;0,'Calculations PJ'!E51*About!$B$45,0)</f>
        <v>0</v>
      </c>
      <c r="F51">
        <f>IF('Calculations PJ'!F51&lt;&gt;0,'Calculations PJ'!F51*About!$B$45,0)</f>
        <v>0</v>
      </c>
      <c r="G51">
        <f>IF('Calculations PJ'!G51&lt;&gt;0,'Calculations PJ'!G51*About!$B$45,0)</f>
        <v>0</v>
      </c>
      <c r="H51">
        <f>IF('Calculations PJ'!H51&lt;&gt;0,'Calculations PJ'!H51*About!$B$45,0)</f>
        <v>0</v>
      </c>
      <c r="I51">
        <f>IF('Calculations PJ'!I51&lt;&gt;0,'Calculations PJ'!I51*About!$B$45,0)</f>
        <v>0</v>
      </c>
      <c r="J51">
        <f>IF('Calculations PJ'!J51&lt;&gt;0,'Calculations PJ'!J51*About!$B$45,0)</f>
        <v>0</v>
      </c>
      <c r="K51">
        <f>IF('Calculations PJ'!K51&lt;&gt;0,'Calculations PJ'!K51*About!$B$45,0)</f>
        <v>0</v>
      </c>
      <c r="L51">
        <f>IF('Calculations PJ'!L51&lt;&gt;0,'Calculations PJ'!L51*About!$B$45,0)</f>
        <v>0</v>
      </c>
      <c r="M51">
        <f>IF('Calculations PJ'!M51&lt;&gt;0,'Calculations PJ'!M51*About!$B$45,0)</f>
        <v>0</v>
      </c>
      <c r="N51">
        <f>IF('Calculations PJ'!N51&lt;&gt;0,'Calculations PJ'!N51*About!$B$45,0)</f>
        <v>0</v>
      </c>
      <c r="O51">
        <f>IF('Calculations PJ'!O51&lt;&gt;0,'Calculations PJ'!O51*About!$B$45,0)</f>
        <v>0</v>
      </c>
      <c r="P51">
        <f>IF('Calculations PJ'!P51&lt;&gt;0,'Calculations PJ'!P51*About!$B$45,0)</f>
        <v>0</v>
      </c>
      <c r="Q51">
        <f>IF('Calculations PJ'!Q51&lt;&gt;0,'Calculations PJ'!Q51*About!$B$45,0)</f>
        <v>0</v>
      </c>
      <c r="R51">
        <f>IF('Calculations PJ'!R51&lt;&gt;0,'Calculations PJ'!R51*About!$B$45,0)</f>
        <v>0</v>
      </c>
      <c r="S51">
        <f>IF('Calculations PJ'!S51&lt;&gt;0,'Calculations PJ'!S51*About!$B$45,0)</f>
        <v>0</v>
      </c>
      <c r="T51">
        <f>IF('Calculations PJ'!T51&lt;&gt;0,'Calculations PJ'!T51*About!$B$45,0)</f>
        <v>0</v>
      </c>
      <c r="U51">
        <f>IF('Calculations PJ'!U51&lt;&gt;0,'Calculations PJ'!U51*About!$B$45,0)</f>
        <v>0</v>
      </c>
      <c r="V51">
        <f>IF('Calculations PJ'!V51&lt;&gt;0,'Calculations PJ'!V51*About!$B$45,0)</f>
        <v>0</v>
      </c>
      <c r="W51">
        <f>IF('Calculations PJ'!W51&lt;&gt;0,'Calculations PJ'!W51*About!$B$45,0)</f>
        <v>0</v>
      </c>
      <c r="X51">
        <f>IF('Calculations PJ'!X51&lt;&gt;0,'Calculations PJ'!X51*About!$B$45,0)</f>
        <v>0</v>
      </c>
      <c r="Y51">
        <f>IF('Calculations PJ'!Y51&lt;&gt;0,'Calculations PJ'!Y51*About!$B$45,0)</f>
        <v>0</v>
      </c>
      <c r="Z51">
        <f>IF('Calculations PJ'!Z51&lt;&gt;0,'Calculations PJ'!Z51*About!$B$45,0)</f>
        <v>0</v>
      </c>
      <c r="AA51">
        <f>IF('Calculations PJ'!AA51&lt;&gt;0,'Calculations PJ'!AA51*About!$B$45,0)</f>
        <v>0</v>
      </c>
      <c r="AB51">
        <f>IF('Calculations PJ'!AB51&lt;&gt;0,'Calculations PJ'!AB51*About!$B$45,0)</f>
        <v>0</v>
      </c>
      <c r="AC51">
        <f>IF('Calculations PJ'!AC51&lt;&gt;0,'Calculations PJ'!AC51*About!$B$45,0)</f>
        <v>0</v>
      </c>
      <c r="AD51">
        <f>IF('Calculations PJ'!AD51&lt;&gt;0,'Calculations PJ'!AD51*About!$B$45,0)</f>
        <v>0</v>
      </c>
      <c r="AE51">
        <f>IF('Calculations PJ'!AE51&lt;&gt;0,'Calculations PJ'!AE51*About!$B$45,0)</f>
        <v>0</v>
      </c>
      <c r="AF51">
        <f>IF('Calculations PJ'!AF51&lt;&gt;0,'Calculations PJ'!AF51*About!$B$45,0)</f>
        <v>0</v>
      </c>
      <c r="AG51">
        <f>IF('Calculations PJ'!AG51&lt;&gt;0,'Calculations PJ'!AG51*About!$B$45,0)</f>
        <v>0</v>
      </c>
      <c r="AH51">
        <f>IF('Calculations PJ'!AH51&lt;&gt;0,'Calculations PJ'!AH51*About!$B$45,0)</f>
        <v>0</v>
      </c>
      <c r="AI51">
        <f>IF('Calculations PJ'!AI51&lt;&gt;0,'Calculations PJ'!AI51*About!$B$45,0)</f>
        <v>0</v>
      </c>
      <c r="AJ51">
        <f>IF('Calculations PJ'!AJ51&lt;&gt;0,'Calculations PJ'!AJ51*About!$B$45,0)</f>
        <v>0</v>
      </c>
      <c r="AK51">
        <f>IF('Calculations PJ'!AK51&lt;&gt;0,'Calculations PJ'!AK51*About!$B$45,0)</f>
        <v>0</v>
      </c>
      <c r="AL51">
        <f>IF('Calculations PJ'!AL51&lt;&gt;0,'Calculations PJ'!AL51*About!$B$45,0)</f>
        <v>0</v>
      </c>
      <c r="AM51">
        <f>IF('Calculations PJ'!AM51&lt;&gt;0,'Calculations PJ'!AM51*About!$B$45,0)</f>
        <v>0</v>
      </c>
      <c r="AN51">
        <f>IF('Calculations PJ'!AN51&lt;&gt;0,'Calculations PJ'!AN51*About!$B$45,0)</f>
        <v>0</v>
      </c>
      <c r="AO51">
        <f>IF('Calculations PJ'!AO51&lt;&gt;0,'Calculations PJ'!AO51*About!$B$45,0)</f>
        <v>0</v>
      </c>
      <c r="AP51">
        <f>IF('Calculations PJ'!AP51&lt;&gt;0,'Calculations PJ'!AP51*About!$B$45,0)</f>
        <v>0</v>
      </c>
      <c r="AQ51">
        <f>IF('Calculations PJ'!AQ51&lt;&gt;0,'Calculations PJ'!AQ51*About!$B$45,0)</f>
        <v>0</v>
      </c>
      <c r="AR51">
        <f>IF('Calculations PJ'!AR51&lt;&gt;0,'Calculations PJ'!AR51*About!$B$45,0)</f>
        <v>0</v>
      </c>
      <c r="AS51">
        <f>IF('Calculations PJ'!AS51&lt;&gt;0,'Calculations PJ'!AS51*About!$B$45,0)</f>
        <v>0</v>
      </c>
      <c r="AT51">
        <f>IF('Calculations PJ'!AT51&lt;&gt;0,'Calculations PJ'!AT51*About!$B$45,0)</f>
        <v>0</v>
      </c>
      <c r="AU51">
        <f>IF('Calculations PJ'!AU51&lt;&gt;0,'Calculations PJ'!AU51*About!$B$45,0)</f>
        <v>0</v>
      </c>
      <c r="AV51">
        <f>IF('Calculations PJ'!AV51&lt;&gt;0,'Calculations PJ'!AV51*About!$B$45,0)</f>
        <v>0</v>
      </c>
      <c r="AW51">
        <f>IF('Calculations PJ'!AW51&lt;&gt;0,'Calculations PJ'!AW51*About!$B$45,0)</f>
        <v>0</v>
      </c>
      <c r="AX51">
        <f>IF('Calculations PJ'!AX51&lt;&gt;0,'Calculations PJ'!AX51*About!$B$45,0)</f>
        <v>0</v>
      </c>
      <c r="AY51">
        <f>IF('Calculations PJ'!AY51&lt;&gt;0,'Calculations PJ'!AY51*About!$B$45,0)</f>
        <v>0</v>
      </c>
      <c r="AZ51">
        <f>IF('Calculations PJ'!AZ51&lt;&gt;0,'Calculations PJ'!AZ51*About!$B$45,0)</f>
        <v>0</v>
      </c>
      <c r="BA51">
        <f>IF('Calculations PJ'!BA51&lt;&gt;0,'Calculations PJ'!BA51*About!$B$45,0)</f>
        <v>0</v>
      </c>
      <c r="BB51">
        <f>IF('Calculations PJ'!BB51&lt;&gt;0,'Calculations PJ'!BB51*About!$B$45,0)</f>
        <v>0</v>
      </c>
      <c r="BC51">
        <f>IF('Calculations PJ'!BC51&lt;&gt;0,'Calculations PJ'!BC51*About!$B$45,0)</f>
        <v>0</v>
      </c>
      <c r="BD51">
        <f>IF('Calculations PJ'!BD51&lt;&gt;0,'Calculations PJ'!BD51*About!$B$45,0)</f>
        <v>0</v>
      </c>
      <c r="BE51">
        <f>IF('Calculations PJ'!BE51&lt;&gt;0,'Calculations PJ'!BE51*About!$B$45,0)</f>
        <v>0</v>
      </c>
      <c r="BF51">
        <f>IF('Calculations PJ'!BF51&lt;&gt;0,'Calculations PJ'!BF51*About!$B$45,0)</f>
        <v>0</v>
      </c>
      <c r="BG51">
        <f>IF('Calculations PJ'!BG51&lt;&gt;0,'Calculations PJ'!BG51*About!$B$45,0)</f>
        <v>0</v>
      </c>
      <c r="BH51">
        <f>IF('Calculations PJ'!BH51&lt;&gt;0,'Calculations PJ'!BH51*About!$B$45,0)</f>
        <v>0</v>
      </c>
    </row>
    <row r="52" spans="1:60" hidden="1" outlineLevel="1">
      <c r="B52" t="s">
        <v>149</v>
      </c>
      <c r="C52">
        <f>IF('Calculations PJ'!C52&lt;&gt;0,'Calculations PJ'!C52*About!$B$45,0)</f>
        <v>0</v>
      </c>
      <c r="D52">
        <f>IF('Calculations PJ'!D52&lt;&gt;0,'Calculations PJ'!D52*About!$B$45,0)</f>
        <v>0</v>
      </c>
      <c r="E52">
        <f>IF('Calculations PJ'!E52&lt;&gt;0,'Calculations PJ'!E52*About!$B$45,0)</f>
        <v>0</v>
      </c>
      <c r="F52">
        <f>IF('Calculations PJ'!F52&lt;&gt;0,'Calculations PJ'!F52*About!$B$45,0)</f>
        <v>0</v>
      </c>
      <c r="G52">
        <f>IF('Calculations PJ'!G52&lt;&gt;0,'Calculations PJ'!G52*About!$B$45,0)</f>
        <v>0</v>
      </c>
      <c r="H52">
        <f>IF('Calculations PJ'!H52&lt;&gt;0,'Calculations PJ'!H52*About!$B$45,0)</f>
        <v>0</v>
      </c>
      <c r="I52">
        <f>IF('Calculations PJ'!I52&lt;&gt;0,'Calculations PJ'!I52*About!$B$45,0)</f>
        <v>0</v>
      </c>
      <c r="J52">
        <f>IF('Calculations PJ'!J52&lt;&gt;0,'Calculations PJ'!J52*About!$B$45,0)</f>
        <v>0</v>
      </c>
      <c r="K52">
        <f>IF('Calculations PJ'!K52&lt;&gt;0,'Calculations PJ'!K52*About!$B$45,0)</f>
        <v>0</v>
      </c>
      <c r="L52">
        <f>IF('Calculations PJ'!L52&lt;&gt;0,'Calculations PJ'!L52*About!$B$45,0)</f>
        <v>0</v>
      </c>
      <c r="M52">
        <f>IF('Calculations PJ'!M52&lt;&gt;0,'Calculations PJ'!M52*About!$B$45,0)</f>
        <v>0</v>
      </c>
      <c r="N52">
        <f>IF('Calculations PJ'!N52&lt;&gt;0,'Calculations PJ'!N52*About!$B$45,0)</f>
        <v>0</v>
      </c>
      <c r="O52">
        <f>IF('Calculations PJ'!O52&lt;&gt;0,'Calculations PJ'!O52*About!$B$45,0)</f>
        <v>0</v>
      </c>
      <c r="P52">
        <f>IF('Calculations PJ'!P52&lt;&gt;0,'Calculations PJ'!P52*About!$B$45,0)</f>
        <v>0</v>
      </c>
      <c r="Q52">
        <f>IF('Calculations PJ'!Q52&lt;&gt;0,'Calculations PJ'!Q52*About!$B$45,0)</f>
        <v>0</v>
      </c>
      <c r="R52">
        <f>IF('Calculations PJ'!R52&lt;&gt;0,'Calculations PJ'!R52*About!$B$45,0)</f>
        <v>0</v>
      </c>
      <c r="S52">
        <f>IF('Calculations PJ'!S52&lt;&gt;0,'Calculations PJ'!S52*About!$B$45,0)</f>
        <v>0</v>
      </c>
      <c r="T52">
        <f>IF('Calculations PJ'!T52&lt;&gt;0,'Calculations PJ'!T52*About!$B$45,0)</f>
        <v>0</v>
      </c>
      <c r="U52">
        <f>IF('Calculations PJ'!U52&lt;&gt;0,'Calculations PJ'!U52*About!$B$45,0)</f>
        <v>0</v>
      </c>
      <c r="V52">
        <f>IF('Calculations PJ'!V52&lt;&gt;0,'Calculations PJ'!V52*About!$B$45,0)</f>
        <v>0</v>
      </c>
      <c r="W52">
        <f>IF('Calculations PJ'!W52&lt;&gt;0,'Calculations PJ'!W52*About!$B$45,0)</f>
        <v>0</v>
      </c>
      <c r="X52">
        <f>IF('Calculations PJ'!X52&lt;&gt;0,'Calculations PJ'!X52*About!$B$45,0)</f>
        <v>0</v>
      </c>
      <c r="Y52">
        <f>IF('Calculations PJ'!Y52&lt;&gt;0,'Calculations PJ'!Y52*About!$B$45,0)</f>
        <v>0</v>
      </c>
      <c r="Z52">
        <f>IF('Calculations PJ'!Z52&lt;&gt;0,'Calculations PJ'!Z52*About!$B$45,0)</f>
        <v>0</v>
      </c>
      <c r="AA52">
        <f>IF('Calculations PJ'!AA52&lt;&gt;0,'Calculations PJ'!AA52*About!$B$45,0)</f>
        <v>0</v>
      </c>
      <c r="AB52">
        <f>IF('Calculations PJ'!AB52&lt;&gt;0,'Calculations PJ'!AB52*About!$B$45,0)</f>
        <v>0</v>
      </c>
      <c r="AC52">
        <f>IF('Calculations PJ'!AC52&lt;&gt;0,'Calculations PJ'!AC52*About!$B$45,0)</f>
        <v>0</v>
      </c>
      <c r="AD52">
        <f>IF('Calculations PJ'!AD52&lt;&gt;0,'Calculations PJ'!AD52*About!$B$45,0)</f>
        <v>0</v>
      </c>
      <c r="AE52">
        <f>IF('Calculations PJ'!AE52&lt;&gt;0,'Calculations PJ'!AE52*About!$B$45,0)</f>
        <v>0</v>
      </c>
      <c r="AF52">
        <f>IF('Calculations PJ'!AF52&lt;&gt;0,'Calculations PJ'!AF52*About!$B$45,0)</f>
        <v>0</v>
      </c>
      <c r="AG52">
        <f>IF('Calculations PJ'!AG52&lt;&gt;0,'Calculations PJ'!AG52*About!$B$45,0)</f>
        <v>0</v>
      </c>
      <c r="AH52">
        <f>IF('Calculations PJ'!AH52&lt;&gt;0,'Calculations PJ'!AH52*About!$B$45,0)</f>
        <v>0</v>
      </c>
      <c r="AI52">
        <f>IF('Calculations PJ'!AI52&lt;&gt;0,'Calculations PJ'!AI52*About!$B$45,0)</f>
        <v>0</v>
      </c>
      <c r="AJ52">
        <f>IF('Calculations PJ'!AJ52&lt;&gt;0,'Calculations PJ'!AJ52*About!$B$45,0)</f>
        <v>0</v>
      </c>
      <c r="AK52">
        <f>IF('Calculations PJ'!AK52&lt;&gt;0,'Calculations PJ'!AK52*About!$B$45,0)</f>
        <v>0</v>
      </c>
      <c r="AL52">
        <f>IF('Calculations PJ'!AL52&lt;&gt;0,'Calculations PJ'!AL52*About!$B$45,0)</f>
        <v>0</v>
      </c>
      <c r="AM52">
        <f>IF('Calculations PJ'!AM52&lt;&gt;0,'Calculations PJ'!AM52*About!$B$45,0)</f>
        <v>0</v>
      </c>
      <c r="AN52">
        <f>IF('Calculations PJ'!AN52&lt;&gt;0,'Calculations PJ'!AN52*About!$B$45,0)</f>
        <v>0</v>
      </c>
      <c r="AO52">
        <f>IF('Calculations PJ'!AO52&lt;&gt;0,'Calculations PJ'!AO52*About!$B$45,0)</f>
        <v>0</v>
      </c>
      <c r="AP52">
        <f>IF('Calculations PJ'!AP52&lt;&gt;0,'Calculations PJ'!AP52*About!$B$45,0)</f>
        <v>0</v>
      </c>
      <c r="AQ52">
        <f>IF('Calculations PJ'!AQ52&lt;&gt;0,'Calculations PJ'!AQ52*About!$B$45,0)</f>
        <v>0</v>
      </c>
      <c r="AR52">
        <f>IF('Calculations PJ'!AR52&lt;&gt;0,'Calculations PJ'!AR52*About!$B$45,0)</f>
        <v>0</v>
      </c>
      <c r="AS52">
        <f>IF('Calculations PJ'!AS52&lt;&gt;0,'Calculations PJ'!AS52*About!$B$45,0)</f>
        <v>0</v>
      </c>
      <c r="AT52">
        <f>IF('Calculations PJ'!AT52&lt;&gt;0,'Calculations PJ'!AT52*About!$B$45,0)</f>
        <v>0</v>
      </c>
      <c r="AU52">
        <f>IF('Calculations PJ'!AU52&lt;&gt;0,'Calculations PJ'!AU52*About!$B$45,0)</f>
        <v>0</v>
      </c>
      <c r="AV52">
        <f>IF('Calculations PJ'!AV52&lt;&gt;0,'Calculations PJ'!AV52*About!$B$45,0)</f>
        <v>0</v>
      </c>
      <c r="AW52">
        <f>IF('Calculations PJ'!AW52&lt;&gt;0,'Calculations PJ'!AW52*About!$B$45,0)</f>
        <v>0</v>
      </c>
      <c r="AX52">
        <f>IF('Calculations PJ'!AX52&lt;&gt;0,'Calculations PJ'!AX52*About!$B$45,0)</f>
        <v>0</v>
      </c>
      <c r="AY52">
        <f>IF('Calculations PJ'!AY52&lt;&gt;0,'Calculations PJ'!AY52*About!$B$45,0)</f>
        <v>0</v>
      </c>
      <c r="AZ52">
        <f>IF('Calculations PJ'!AZ52&lt;&gt;0,'Calculations PJ'!AZ52*About!$B$45,0)</f>
        <v>0</v>
      </c>
      <c r="BA52">
        <f>IF('Calculations PJ'!BA52&lt;&gt;0,'Calculations PJ'!BA52*About!$B$45,0)</f>
        <v>0</v>
      </c>
      <c r="BB52">
        <f>IF('Calculations PJ'!BB52&lt;&gt;0,'Calculations PJ'!BB52*About!$B$45,0)</f>
        <v>0</v>
      </c>
      <c r="BC52">
        <f>IF('Calculations PJ'!BC52&lt;&gt;0,'Calculations PJ'!BC52*About!$B$45,0)</f>
        <v>0</v>
      </c>
      <c r="BD52">
        <f>IF('Calculations PJ'!BD52&lt;&gt;0,'Calculations PJ'!BD52*About!$B$45,0)</f>
        <v>0</v>
      </c>
      <c r="BE52">
        <f>IF('Calculations PJ'!BE52&lt;&gt;0,'Calculations PJ'!BE52*About!$B$45,0)</f>
        <v>0</v>
      </c>
      <c r="BF52">
        <f>IF('Calculations PJ'!BF52&lt;&gt;0,'Calculations PJ'!BF52*About!$B$45,0)</f>
        <v>0</v>
      </c>
      <c r="BG52">
        <f>IF('Calculations PJ'!BG52&lt;&gt;0,'Calculations PJ'!BG52*About!$B$45,0)</f>
        <v>0</v>
      </c>
      <c r="BH52">
        <f>IF('Calculations PJ'!BH52&lt;&gt;0,'Calculations PJ'!BH52*About!$B$45,0)</f>
        <v>0</v>
      </c>
    </row>
    <row r="53" spans="1:60" hidden="1" outlineLevel="1">
      <c r="B53" t="s">
        <v>150</v>
      </c>
      <c r="C53">
        <f>IF('Calculations PJ'!C53&lt;&gt;0,'Calculations PJ'!C53*About!$B$45,0)</f>
        <v>0</v>
      </c>
      <c r="D53">
        <f>IF('Calculations PJ'!D53&lt;&gt;0,'Calculations PJ'!D53*About!$B$45,0)</f>
        <v>0</v>
      </c>
      <c r="E53">
        <f>IF('Calculations PJ'!E53&lt;&gt;0,'Calculations PJ'!E53*About!$B$45,0)</f>
        <v>0</v>
      </c>
      <c r="F53">
        <f>IF('Calculations PJ'!F53&lt;&gt;0,'Calculations PJ'!F53*About!$B$45,0)</f>
        <v>0</v>
      </c>
      <c r="G53">
        <f>IF('Calculations PJ'!G53&lt;&gt;0,'Calculations PJ'!G53*About!$B$45,0)</f>
        <v>0</v>
      </c>
      <c r="H53">
        <f>IF('Calculations PJ'!H53&lt;&gt;0,'Calculations PJ'!H53*About!$B$45,0)</f>
        <v>0</v>
      </c>
      <c r="I53">
        <f>IF('Calculations PJ'!I53&lt;&gt;0,'Calculations PJ'!I53*About!$B$45,0)</f>
        <v>0</v>
      </c>
      <c r="J53">
        <f>IF('Calculations PJ'!J53&lt;&gt;0,'Calculations PJ'!J53*About!$B$45,0)</f>
        <v>0</v>
      </c>
      <c r="K53">
        <f>IF('Calculations PJ'!K53&lt;&gt;0,'Calculations PJ'!K53*About!$B$45,0)</f>
        <v>0</v>
      </c>
      <c r="L53">
        <f>IF('Calculations PJ'!L53&lt;&gt;0,'Calculations PJ'!L53*About!$B$45,0)</f>
        <v>0</v>
      </c>
      <c r="M53">
        <f>IF('Calculations PJ'!M53&lt;&gt;0,'Calculations PJ'!M53*About!$B$45,0)</f>
        <v>0</v>
      </c>
      <c r="N53">
        <f>IF('Calculations PJ'!N53&lt;&gt;0,'Calculations PJ'!N53*About!$B$45,0)</f>
        <v>0</v>
      </c>
      <c r="O53">
        <f>IF('Calculations PJ'!O53&lt;&gt;0,'Calculations PJ'!O53*About!$B$45,0)</f>
        <v>0</v>
      </c>
      <c r="P53">
        <f>IF('Calculations PJ'!P53&lt;&gt;0,'Calculations PJ'!P53*About!$B$45,0)</f>
        <v>0</v>
      </c>
      <c r="Q53">
        <f>IF('Calculations PJ'!Q53&lt;&gt;0,'Calculations PJ'!Q53*About!$B$45,0)</f>
        <v>0</v>
      </c>
      <c r="R53">
        <f>IF('Calculations PJ'!R53&lt;&gt;0,'Calculations PJ'!R53*About!$B$45,0)</f>
        <v>0</v>
      </c>
      <c r="S53">
        <f>IF('Calculations PJ'!S53&lt;&gt;0,'Calculations PJ'!S53*About!$B$45,0)</f>
        <v>0</v>
      </c>
      <c r="T53">
        <f>IF('Calculations PJ'!T53&lt;&gt;0,'Calculations PJ'!T53*About!$B$45,0)</f>
        <v>0</v>
      </c>
      <c r="U53">
        <f>IF('Calculations PJ'!U53&lt;&gt;0,'Calculations PJ'!U53*About!$B$45,0)</f>
        <v>0</v>
      </c>
      <c r="V53">
        <f>IF('Calculations PJ'!V53&lt;&gt;0,'Calculations PJ'!V53*About!$B$45,0)</f>
        <v>0</v>
      </c>
      <c r="W53">
        <f>IF('Calculations PJ'!W53&lt;&gt;0,'Calculations PJ'!W53*About!$B$45,0)</f>
        <v>0</v>
      </c>
      <c r="X53">
        <f>IF('Calculations PJ'!X53&lt;&gt;0,'Calculations PJ'!X53*About!$B$45,0)</f>
        <v>0</v>
      </c>
      <c r="Y53">
        <f>IF('Calculations PJ'!Y53&lt;&gt;0,'Calculations PJ'!Y53*About!$B$45,0)</f>
        <v>0</v>
      </c>
      <c r="Z53">
        <f>IF('Calculations PJ'!Z53&lt;&gt;0,'Calculations PJ'!Z53*About!$B$45,0)</f>
        <v>0</v>
      </c>
      <c r="AA53">
        <f>IF('Calculations PJ'!AA53&lt;&gt;0,'Calculations PJ'!AA53*About!$B$45,0)</f>
        <v>0</v>
      </c>
      <c r="AB53">
        <f>IF('Calculations PJ'!AB53&lt;&gt;0,'Calculations PJ'!AB53*About!$B$45,0)</f>
        <v>0</v>
      </c>
      <c r="AC53">
        <f>IF('Calculations PJ'!AC53&lt;&gt;0,'Calculations PJ'!AC53*About!$B$45,0)</f>
        <v>0</v>
      </c>
      <c r="AD53">
        <f>IF('Calculations PJ'!AD53&lt;&gt;0,'Calculations PJ'!AD53*About!$B$45,0)</f>
        <v>0</v>
      </c>
      <c r="AE53">
        <f>IF('Calculations PJ'!AE53&lt;&gt;0,'Calculations PJ'!AE53*About!$B$45,0)</f>
        <v>0</v>
      </c>
      <c r="AF53">
        <f>IF('Calculations PJ'!AF53&lt;&gt;0,'Calculations PJ'!AF53*About!$B$45,0)</f>
        <v>0</v>
      </c>
      <c r="AG53">
        <f>IF('Calculations PJ'!AG53&lt;&gt;0,'Calculations PJ'!AG53*About!$B$45,0)</f>
        <v>0</v>
      </c>
      <c r="AH53">
        <f>IF('Calculations PJ'!AH53&lt;&gt;0,'Calculations PJ'!AH53*About!$B$45,0)</f>
        <v>0</v>
      </c>
      <c r="AI53">
        <f>IF('Calculations PJ'!AI53&lt;&gt;0,'Calculations PJ'!AI53*About!$B$45,0)</f>
        <v>0</v>
      </c>
      <c r="AJ53">
        <f>IF('Calculations PJ'!AJ53&lt;&gt;0,'Calculations PJ'!AJ53*About!$B$45,0)</f>
        <v>0</v>
      </c>
      <c r="AK53">
        <f>IF('Calculations PJ'!AK53&lt;&gt;0,'Calculations PJ'!AK53*About!$B$45,0)</f>
        <v>0</v>
      </c>
      <c r="AL53">
        <f>IF('Calculations PJ'!AL53&lt;&gt;0,'Calculations PJ'!AL53*About!$B$45,0)</f>
        <v>0</v>
      </c>
      <c r="AM53">
        <f>IF('Calculations PJ'!AM53&lt;&gt;0,'Calculations PJ'!AM53*About!$B$45,0)</f>
        <v>0</v>
      </c>
      <c r="AN53">
        <f>IF('Calculations PJ'!AN53&lt;&gt;0,'Calculations PJ'!AN53*About!$B$45,0)</f>
        <v>0</v>
      </c>
      <c r="AO53">
        <f>IF('Calculations PJ'!AO53&lt;&gt;0,'Calculations PJ'!AO53*About!$B$45,0)</f>
        <v>0</v>
      </c>
      <c r="AP53">
        <f>IF('Calculations PJ'!AP53&lt;&gt;0,'Calculations PJ'!AP53*About!$B$45,0)</f>
        <v>0</v>
      </c>
      <c r="AQ53">
        <f>IF('Calculations PJ'!AQ53&lt;&gt;0,'Calculations PJ'!AQ53*About!$B$45,0)</f>
        <v>0</v>
      </c>
      <c r="AR53">
        <f>IF('Calculations PJ'!AR53&lt;&gt;0,'Calculations PJ'!AR53*About!$B$45,0)</f>
        <v>0</v>
      </c>
      <c r="AS53">
        <f>IF('Calculations PJ'!AS53&lt;&gt;0,'Calculations PJ'!AS53*About!$B$45,0)</f>
        <v>0</v>
      </c>
      <c r="AT53">
        <f>IF('Calculations PJ'!AT53&lt;&gt;0,'Calculations PJ'!AT53*About!$B$45,0)</f>
        <v>0</v>
      </c>
      <c r="AU53">
        <f>IF('Calculations PJ'!AU53&lt;&gt;0,'Calculations PJ'!AU53*About!$B$45,0)</f>
        <v>0</v>
      </c>
      <c r="AV53">
        <f>IF('Calculations PJ'!AV53&lt;&gt;0,'Calculations PJ'!AV53*About!$B$45,0)</f>
        <v>0</v>
      </c>
      <c r="AW53">
        <f>IF('Calculations PJ'!AW53&lt;&gt;0,'Calculations PJ'!AW53*About!$B$45,0)</f>
        <v>0</v>
      </c>
      <c r="AX53">
        <f>IF('Calculations PJ'!AX53&lt;&gt;0,'Calculations PJ'!AX53*About!$B$45,0)</f>
        <v>0</v>
      </c>
      <c r="AY53">
        <f>IF('Calculations PJ'!AY53&lt;&gt;0,'Calculations PJ'!AY53*About!$B$45,0)</f>
        <v>0</v>
      </c>
      <c r="AZ53">
        <f>IF('Calculations PJ'!AZ53&lt;&gt;0,'Calculations PJ'!AZ53*About!$B$45,0)</f>
        <v>0</v>
      </c>
      <c r="BA53">
        <f>IF('Calculations PJ'!BA53&lt;&gt;0,'Calculations PJ'!BA53*About!$B$45,0)</f>
        <v>0</v>
      </c>
      <c r="BB53">
        <f>IF('Calculations PJ'!BB53&lt;&gt;0,'Calculations PJ'!BB53*About!$B$45,0)</f>
        <v>0</v>
      </c>
      <c r="BC53">
        <f>IF('Calculations PJ'!BC53&lt;&gt;0,'Calculations PJ'!BC53*About!$B$45,0)</f>
        <v>0</v>
      </c>
      <c r="BD53">
        <f>IF('Calculations PJ'!BD53&lt;&gt;0,'Calculations PJ'!BD53*About!$B$45,0)</f>
        <v>0</v>
      </c>
      <c r="BE53">
        <f>IF('Calculations PJ'!BE53&lt;&gt;0,'Calculations PJ'!BE53*About!$B$45,0)</f>
        <v>0</v>
      </c>
      <c r="BF53">
        <f>IF('Calculations PJ'!BF53&lt;&gt;0,'Calculations PJ'!BF53*About!$B$45,0)</f>
        <v>0</v>
      </c>
      <c r="BG53">
        <f>IF('Calculations PJ'!BG53&lt;&gt;0,'Calculations PJ'!BG53*About!$B$45,0)</f>
        <v>0</v>
      </c>
      <c r="BH53">
        <f>IF('Calculations PJ'!BH53&lt;&gt;0,'Calculations PJ'!BH53*About!$B$45,0)</f>
        <v>0</v>
      </c>
    </row>
    <row r="54" spans="1:60" collapsed="1">
      <c r="A54" t="s">
        <v>152</v>
      </c>
      <c r="C54">
        <f>SUM(C55:C79)</f>
        <v>1142298384781823</v>
      </c>
      <c r="D54">
        <f t="shared" ref="D54:BH54" si="2">SUM(D55:D79)</f>
        <v>1153066155470441.5</v>
      </c>
      <c r="E54">
        <f t="shared" si="2"/>
        <v>1142592223594628.5</v>
      </c>
      <c r="F54">
        <f t="shared" si="2"/>
        <v>1185099325401943.5</v>
      </c>
      <c r="G54">
        <f t="shared" si="2"/>
        <v>1300407362749694.8</v>
      </c>
      <c r="H54">
        <f t="shared" si="2"/>
        <v>965203628038156</v>
      </c>
      <c r="I54">
        <f t="shared" si="2"/>
        <v>932070932226477.5</v>
      </c>
      <c r="J54">
        <f t="shared" si="2"/>
        <v>896317383778001</v>
      </c>
      <c r="K54">
        <f t="shared" si="2"/>
        <v>1188933447975488</v>
      </c>
      <c r="L54">
        <f t="shared" si="2"/>
        <v>1159397729383413.3</v>
      </c>
      <c r="M54">
        <f t="shared" si="2"/>
        <v>1189183002968900.5</v>
      </c>
      <c r="N54">
        <f t="shared" si="2"/>
        <v>1218106978722961.5</v>
      </c>
      <c r="O54">
        <f t="shared" si="2"/>
        <v>1244620813651996.8</v>
      </c>
      <c r="P54">
        <f t="shared" si="2"/>
        <v>1266640430191338</v>
      </c>
      <c r="Q54">
        <f t="shared" si="2"/>
        <v>1287409928906755.5</v>
      </c>
      <c r="R54">
        <f t="shared" si="2"/>
        <v>1302767879139853.5</v>
      </c>
      <c r="S54">
        <f t="shared" si="2"/>
        <v>1314062938743087.5</v>
      </c>
      <c r="T54">
        <f t="shared" si="2"/>
        <v>1323709945750234</v>
      </c>
      <c r="U54">
        <f t="shared" si="2"/>
        <v>1332381783486531.5</v>
      </c>
      <c r="V54">
        <f t="shared" si="2"/>
        <v>1340717210967387.5</v>
      </c>
      <c r="W54">
        <f t="shared" si="2"/>
        <v>1348564630011204</v>
      </c>
      <c r="X54">
        <f t="shared" si="2"/>
        <v>1353748115607899</v>
      </c>
      <c r="Y54">
        <f t="shared" si="2"/>
        <v>1355539363778617</v>
      </c>
      <c r="Z54">
        <f t="shared" si="2"/>
        <v>1356630851267197.5</v>
      </c>
      <c r="AA54">
        <f t="shared" si="2"/>
        <v>1357006202918556.5</v>
      </c>
      <c r="AB54">
        <f t="shared" si="2"/>
        <v>1357045621805984.5</v>
      </c>
      <c r="AC54">
        <f t="shared" si="2"/>
        <v>1356693555867138</v>
      </c>
      <c r="AD54">
        <f t="shared" si="2"/>
        <v>1355938519813012</v>
      </c>
      <c r="AE54">
        <f t="shared" si="2"/>
        <v>1354617916998932.3</v>
      </c>
      <c r="AF54">
        <f t="shared" si="2"/>
        <v>1352760940518601.8</v>
      </c>
      <c r="AG54">
        <f t="shared" si="2"/>
        <v>1350374871048876.8</v>
      </c>
      <c r="AH54">
        <f t="shared" si="2"/>
        <v>1347413791361753.5</v>
      </c>
      <c r="AI54">
        <f t="shared" si="2"/>
        <v>1343948040045595.5</v>
      </c>
      <c r="AJ54">
        <f t="shared" si="2"/>
        <v>1341402759891043.5</v>
      </c>
      <c r="AK54">
        <f t="shared" si="2"/>
        <v>1336698058085874.5</v>
      </c>
      <c r="AL54">
        <f t="shared" si="2"/>
        <v>1331123074784387</v>
      </c>
      <c r="AM54">
        <f t="shared" si="2"/>
        <v>1324727772847487.5</v>
      </c>
      <c r="AN54">
        <f t="shared" si="2"/>
        <v>1319218440910310</v>
      </c>
      <c r="AO54">
        <f t="shared" si="2"/>
        <v>1319218440910310</v>
      </c>
      <c r="AP54">
        <f t="shared" si="2"/>
        <v>1319218440910310</v>
      </c>
      <c r="AQ54">
        <f t="shared" si="2"/>
        <v>1319218440910310</v>
      </c>
      <c r="AR54">
        <f t="shared" si="2"/>
        <v>1319218440910310</v>
      </c>
      <c r="AS54">
        <f t="shared" si="2"/>
        <v>1319218440910310</v>
      </c>
      <c r="AT54">
        <f t="shared" si="2"/>
        <v>1319218440910310</v>
      </c>
      <c r="AU54">
        <f t="shared" si="2"/>
        <v>1319218440910310</v>
      </c>
      <c r="AV54">
        <f t="shared" si="2"/>
        <v>1319218440910310</v>
      </c>
      <c r="AW54">
        <f t="shared" si="2"/>
        <v>1319218440910310</v>
      </c>
      <c r="AX54">
        <f t="shared" si="2"/>
        <v>1319218440910310</v>
      </c>
      <c r="AY54">
        <f t="shared" si="2"/>
        <v>1319218440910310</v>
      </c>
      <c r="AZ54">
        <f t="shared" si="2"/>
        <v>1319218440910310</v>
      </c>
      <c r="BA54">
        <f t="shared" si="2"/>
        <v>1319218440910310</v>
      </c>
      <c r="BB54">
        <f t="shared" si="2"/>
        <v>1319218440910310</v>
      </c>
      <c r="BC54">
        <f t="shared" si="2"/>
        <v>1319218440910310</v>
      </c>
      <c r="BD54">
        <f t="shared" si="2"/>
        <v>1319218440910310</v>
      </c>
      <c r="BE54">
        <f t="shared" si="2"/>
        <v>1319218440910310</v>
      </c>
      <c r="BF54">
        <f t="shared" si="2"/>
        <v>1319218440910310</v>
      </c>
      <c r="BG54">
        <f t="shared" si="2"/>
        <v>1319218440910310</v>
      </c>
      <c r="BH54">
        <f t="shared" si="2"/>
        <v>1319218440910310</v>
      </c>
    </row>
    <row r="55" spans="1:60" hidden="1" outlineLevel="1">
      <c r="B55" t="s">
        <v>126</v>
      </c>
      <c r="C55">
        <f>IF('Calculations PJ'!C55&lt;&gt;0,'Calculations PJ'!C55*About!$B$45,0)</f>
        <v>492890911802.96478</v>
      </c>
      <c r="D55">
        <f>IF('Calculations PJ'!D55&lt;&gt;0,'Calculations PJ'!D55*About!$B$45,0)</f>
        <v>473933569041.31226</v>
      </c>
      <c r="E55">
        <f>IF('Calculations PJ'!E55&lt;&gt;0,'Calculations PJ'!E55*About!$B$45,0)</f>
        <v>360189512471.39734</v>
      </c>
      <c r="F55">
        <f>IF('Calculations PJ'!F55&lt;&gt;0,'Calculations PJ'!F55*About!$B$45,0)</f>
        <v>369668183852.22357</v>
      </c>
      <c r="G55">
        <f>IF('Calculations PJ'!G55&lt;&gt;0,'Calculations PJ'!G55*About!$B$45,0)</f>
        <v>0</v>
      </c>
      <c r="H55">
        <f>IF('Calculations PJ'!H55&lt;&gt;0,'Calculations PJ'!H55*About!$B$45,0)</f>
        <v>303317484186.43988</v>
      </c>
      <c r="I55">
        <f>IF('Calculations PJ'!I55&lt;&gt;0,'Calculations PJ'!I55*About!$B$45,0)</f>
        <v>236966784520.65613</v>
      </c>
      <c r="J55">
        <f>IF('Calculations PJ'!J55&lt;&gt;0,'Calculations PJ'!J55*About!$B$45,0)</f>
        <v>208530770378.1774</v>
      </c>
      <c r="K55">
        <f>IF('Calculations PJ'!K55&lt;&gt;0,'Calculations PJ'!K55*About!$B$45,0)</f>
        <v>322274826948.09235</v>
      </c>
      <c r="L55">
        <f>IF('Calculations PJ'!L55&lt;&gt;0,'Calculations PJ'!L55*About!$B$45,0)</f>
        <v>322274826948.09235</v>
      </c>
      <c r="M55">
        <f>IF('Calculations PJ'!M55&lt;&gt;0,'Calculations PJ'!M55*About!$B$45,0)</f>
        <v>312796155567.26611</v>
      </c>
      <c r="N55">
        <f>IF('Calculations PJ'!N55&lt;&gt;0,'Calculations PJ'!N55*About!$B$45,0)</f>
        <v>293838812805.61359</v>
      </c>
      <c r="O55">
        <f>IF('Calculations PJ'!O55&lt;&gt;0,'Calculations PJ'!O55*About!$B$45,0)</f>
        <v>284360141424.78735</v>
      </c>
      <c r="P55">
        <f>IF('Calculations PJ'!P55&lt;&gt;0,'Calculations PJ'!P55*About!$B$45,0)</f>
        <v>274881470043.96106</v>
      </c>
      <c r="Q55">
        <f>IF('Calculations PJ'!Q55&lt;&gt;0,'Calculations PJ'!Q55*About!$B$45,0)</f>
        <v>255924127282.30862</v>
      </c>
      <c r="R55">
        <f>IF('Calculations PJ'!R55&lt;&gt;0,'Calculations PJ'!R55*About!$B$45,0)</f>
        <v>246445455901.48239</v>
      </c>
      <c r="S55">
        <f>IF('Calculations PJ'!S55&lt;&gt;0,'Calculations PJ'!S55*About!$B$45,0)</f>
        <v>236966784520.65613</v>
      </c>
      <c r="T55">
        <f>IF('Calculations PJ'!T55&lt;&gt;0,'Calculations PJ'!T55*About!$B$45,0)</f>
        <v>218009441759.00366</v>
      </c>
      <c r="U55">
        <f>IF('Calculations PJ'!U55&lt;&gt;0,'Calculations PJ'!U55*About!$B$45,0)</f>
        <v>218009441759.00366</v>
      </c>
      <c r="V55">
        <f>IF('Calculations PJ'!V55&lt;&gt;0,'Calculations PJ'!V55*About!$B$45,0)</f>
        <v>218009441759.00366</v>
      </c>
      <c r="W55">
        <f>IF('Calculations PJ'!W55&lt;&gt;0,'Calculations PJ'!W55*About!$B$45,0)</f>
        <v>218009441759.00366</v>
      </c>
      <c r="X55">
        <f>IF('Calculations PJ'!X55&lt;&gt;0,'Calculations PJ'!X55*About!$B$45,0)</f>
        <v>218009441759.00366</v>
      </c>
      <c r="Y55">
        <f>IF('Calculations PJ'!Y55&lt;&gt;0,'Calculations PJ'!Y55*About!$B$45,0)</f>
        <v>218009441759.00366</v>
      </c>
      <c r="Z55">
        <f>IF('Calculations PJ'!Z55&lt;&gt;0,'Calculations PJ'!Z55*About!$B$45,0)</f>
        <v>218009441759.00366</v>
      </c>
      <c r="AA55">
        <f>IF('Calculations PJ'!AA55&lt;&gt;0,'Calculations PJ'!AA55*About!$B$45,0)</f>
        <v>218009441759.00366</v>
      </c>
      <c r="AB55">
        <f>IF('Calculations PJ'!AB55&lt;&gt;0,'Calculations PJ'!AB55*About!$B$45,0)</f>
        <v>218009441759.00366</v>
      </c>
      <c r="AC55">
        <f>IF('Calculations PJ'!AC55&lt;&gt;0,'Calculations PJ'!AC55*About!$B$45,0)</f>
        <v>218009441759.00366</v>
      </c>
      <c r="AD55">
        <f>IF('Calculations PJ'!AD55&lt;&gt;0,'Calculations PJ'!AD55*About!$B$45,0)</f>
        <v>218009441759.00366</v>
      </c>
      <c r="AE55">
        <f>IF('Calculations PJ'!AE55&lt;&gt;0,'Calculations PJ'!AE55*About!$B$45,0)</f>
        <v>218009441759.00366</v>
      </c>
      <c r="AF55">
        <f>IF('Calculations PJ'!AF55&lt;&gt;0,'Calculations PJ'!AF55*About!$B$45,0)</f>
        <v>218009441759.00366</v>
      </c>
      <c r="AG55">
        <f>IF('Calculations PJ'!AG55&lt;&gt;0,'Calculations PJ'!AG55*About!$B$45,0)</f>
        <v>218009441759.00366</v>
      </c>
      <c r="AH55">
        <f>IF('Calculations PJ'!AH55&lt;&gt;0,'Calculations PJ'!AH55*About!$B$45,0)</f>
        <v>218009441759.00366</v>
      </c>
      <c r="AI55">
        <f>IF('Calculations PJ'!AI55&lt;&gt;0,'Calculations PJ'!AI55*About!$B$45,0)</f>
        <v>218009441759.00366</v>
      </c>
      <c r="AJ55">
        <f>IF('Calculations PJ'!AJ55&lt;&gt;0,'Calculations PJ'!AJ55*About!$B$45,0)</f>
        <v>218009441759.00366</v>
      </c>
      <c r="AK55">
        <f>IF('Calculations PJ'!AK55&lt;&gt;0,'Calculations PJ'!AK55*About!$B$45,0)</f>
        <v>218009441759.00366</v>
      </c>
      <c r="AL55">
        <f>IF('Calculations PJ'!AL55&lt;&gt;0,'Calculations PJ'!AL55*About!$B$45,0)</f>
        <v>218009441759.00366</v>
      </c>
      <c r="AM55">
        <f>IF('Calculations PJ'!AM55&lt;&gt;0,'Calculations PJ'!AM55*About!$B$45,0)</f>
        <v>218009441759.00366</v>
      </c>
      <c r="AN55">
        <f>IF('Calculations PJ'!AN55&lt;&gt;0,'Calculations PJ'!AN55*About!$B$45,0)</f>
        <v>218009441759.00366</v>
      </c>
      <c r="AO55">
        <f>IF('Calculations PJ'!AO55&lt;&gt;0,'Calculations PJ'!AO55*About!$B$45,0)</f>
        <v>218009441759.00366</v>
      </c>
      <c r="AP55">
        <f>IF('Calculations PJ'!AP55&lt;&gt;0,'Calculations PJ'!AP55*About!$B$45,0)</f>
        <v>218009441759.00366</v>
      </c>
      <c r="AQ55">
        <f>IF('Calculations PJ'!AQ55&lt;&gt;0,'Calculations PJ'!AQ55*About!$B$45,0)</f>
        <v>218009441759.00366</v>
      </c>
      <c r="AR55">
        <f>IF('Calculations PJ'!AR55&lt;&gt;0,'Calculations PJ'!AR55*About!$B$45,0)</f>
        <v>218009441759.00366</v>
      </c>
      <c r="AS55">
        <f>IF('Calculations PJ'!AS55&lt;&gt;0,'Calculations PJ'!AS55*About!$B$45,0)</f>
        <v>218009441759.00366</v>
      </c>
      <c r="AT55">
        <f>IF('Calculations PJ'!AT55&lt;&gt;0,'Calculations PJ'!AT55*About!$B$45,0)</f>
        <v>218009441759.00366</v>
      </c>
      <c r="AU55">
        <f>IF('Calculations PJ'!AU55&lt;&gt;0,'Calculations PJ'!AU55*About!$B$45,0)</f>
        <v>218009441759.00366</v>
      </c>
      <c r="AV55">
        <f>IF('Calculations PJ'!AV55&lt;&gt;0,'Calculations PJ'!AV55*About!$B$45,0)</f>
        <v>218009441759.00366</v>
      </c>
      <c r="AW55">
        <f>IF('Calculations PJ'!AW55&lt;&gt;0,'Calculations PJ'!AW55*About!$B$45,0)</f>
        <v>218009441759.00366</v>
      </c>
      <c r="AX55">
        <f>IF('Calculations PJ'!AX55&lt;&gt;0,'Calculations PJ'!AX55*About!$B$45,0)</f>
        <v>218009441759.00366</v>
      </c>
      <c r="AY55">
        <f>IF('Calculations PJ'!AY55&lt;&gt;0,'Calculations PJ'!AY55*About!$B$45,0)</f>
        <v>218009441759.00366</v>
      </c>
      <c r="AZ55">
        <f>IF('Calculations PJ'!AZ55&lt;&gt;0,'Calculations PJ'!AZ55*About!$B$45,0)</f>
        <v>218009441759.00366</v>
      </c>
      <c r="BA55">
        <f>IF('Calculations PJ'!BA55&lt;&gt;0,'Calculations PJ'!BA55*About!$B$45,0)</f>
        <v>218009441759.00366</v>
      </c>
      <c r="BB55">
        <f>IF('Calculations PJ'!BB55&lt;&gt;0,'Calculations PJ'!BB55*About!$B$45,0)</f>
        <v>218009441759.00366</v>
      </c>
      <c r="BC55">
        <f>IF('Calculations PJ'!BC55&lt;&gt;0,'Calculations PJ'!BC55*About!$B$45,0)</f>
        <v>218009441759.00366</v>
      </c>
      <c r="BD55">
        <f>IF('Calculations PJ'!BD55&lt;&gt;0,'Calculations PJ'!BD55*About!$B$45,0)</f>
        <v>218009441759.00366</v>
      </c>
      <c r="BE55">
        <f>IF('Calculations PJ'!BE55&lt;&gt;0,'Calculations PJ'!BE55*About!$B$45,0)</f>
        <v>218009441759.00366</v>
      </c>
      <c r="BF55">
        <f>IF('Calculations PJ'!BF55&lt;&gt;0,'Calculations PJ'!BF55*About!$B$45,0)</f>
        <v>218009441759.00366</v>
      </c>
      <c r="BG55">
        <f>IF('Calculations PJ'!BG55&lt;&gt;0,'Calculations PJ'!BG55*About!$B$45,0)</f>
        <v>218009441759.00366</v>
      </c>
      <c r="BH55">
        <f>IF('Calculations PJ'!BH55&lt;&gt;0,'Calculations PJ'!BH55*About!$B$45,0)</f>
        <v>218009441759.00366</v>
      </c>
    </row>
    <row r="56" spans="1:60" hidden="1" outlineLevel="1">
      <c r="B56" t="s">
        <v>127</v>
      </c>
      <c r="C56">
        <f>IF('Calculations PJ'!C56&lt;&gt;0,'Calculations PJ'!C56*About!$B$45,0)</f>
        <v>1318009255503.8892</v>
      </c>
      <c r="D56">
        <f>IF('Calculations PJ'!D56&lt;&gt;0,'Calculations PJ'!D56*About!$B$45,0)</f>
        <v>955450075187.28552</v>
      </c>
      <c r="E56">
        <f>IF('Calculations PJ'!E56&lt;&gt;0,'Calculations PJ'!E56*About!$B$45,0)</f>
        <v>1436018714195.176</v>
      </c>
      <c r="F56">
        <f>IF('Calculations PJ'!F56&lt;&gt;0,'Calculations PJ'!F56*About!$B$45,0)</f>
        <v>1515639553794.1165</v>
      </c>
      <c r="G56">
        <f>IF('Calculations PJ'!G56&lt;&gt;0,'Calculations PJ'!G56*About!$B$45,0)</f>
        <v>1683412037234.7412</v>
      </c>
      <c r="H56">
        <f>IF('Calculations PJ'!H56&lt;&gt;0,'Calculations PJ'!H56*About!$B$45,0)</f>
        <v>1748814869762.4421</v>
      </c>
      <c r="I56">
        <f>IF('Calculations PJ'!I56&lt;&gt;0,'Calculations PJ'!I56*About!$B$45,0)</f>
        <v>1839810115018.374</v>
      </c>
      <c r="J56">
        <f>IF('Calculations PJ'!J56&lt;&gt;0,'Calculations PJ'!J56*About!$B$45,0)</f>
        <v>1593838592685.9331</v>
      </c>
      <c r="K56">
        <f>IF('Calculations PJ'!K56&lt;&gt;0,'Calculations PJ'!K56*About!$B$45,0)</f>
        <v>2173933281192.4993</v>
      </c>
      <c r="L56">
        <f>IF('Calculations PJ'!L56&lt;&gt;0,'Calculations PJ'!L56*About!$B$45,0)</f>
        <v>2208056498163.4736</v>
      </c>
      <c r="M56">
        <f>IF('Calculations PJ'!M56&lt;&gt;0,'Calculations PJ'!M56*About!$B$45,0)</f>
        <v>2227961708063.2085</v>
      </c>
      <c r="N56">
        <f>IF('Calculations PJ'!N56&lt;&gt;0,'Calculations PJ'!N56*About!$B$45,0)</f>
        <v>2249288718670.0679</v>
      </c>
      <c r="O56">
        <f>IF('Calculations PJ'!O56&lt;&gt;0,'Calculations PJ'!O56*About!$B$45,0)</f>
        <v>2270615729276.9272</v>
      </c>
      <c r="P56">
        <f>IF('Calculations PJ'!P56&lt;&gt;0,'Calculations PJ'!P56*About!$B$45,0)</f>
        <v>2290520939176.6616</v>
      </c>
      <c r="Q56">
        <f>IF('Calculations PJ'!Q56&lt;&gt;0,'Calculations PJ'!Q56*About!$B$45,0)</f>
        <v>2311847949783.521</v>
      </c>
      <c r="R56">
        <f>IF('Calculations PJ'!R56&lt;&gt;0,'Calculations PJ'!R56*About!$B$45,0)</f>
        <v>2333174960390.3804</v>
      </c>
      <c r="S56">
        <f>IF('Calculations PJ'!S56&lt;&gt;0,'Calculations PJ'!S56*About!$B$45,0)</f>
        <v>2354501970997.2388</v>
      </c>
      <c r="T56">
        <f>IF('Calculations PJ'!T56&lt;&gt;0,'Calculations PJ'!T56*About!$B$45,0)</f>
        <v>2374407180896.9741</v>
      </c>
      <c r="U56">
        <f>IF('Calculations PJ'!U56&lt;&gt;0,'Calculations PJ'!U56*About!$B$45,0)</f>
        <v>2395734191503.8335</v>
      </c>
      <c r="V56">
        <f>IF('Calculations PJ'!V56&lt;&gt;0,'Calculations PJ'!V56*About!$B$45,0)</f>
        <v>2417061202110.6924</v>
      </c>
      <c r="W56">
        <f>IF('Calculations PJ'!W56&lt;&gt;0,'Calculations PJ'!W56*About!$B$45,0)</f>
        <v>2436966412010.4277</v>
      </c>
      <c r="X56">
        <f>IF('Calculations PJ'!X56&lt;&gt;0,'Calculations PJ'!X56*About!$B$45,0)</f>
        <v>2446919016960.2954</v>
      </c>
      <c r="Y56">
        <f>IF('Calculations PJ'!Y56&lt;&gt;0,'Calculations PJ'!Y56*About!$B$45,0)</f>
        <v>2441231814131.7998</v>
      </c>
      <c r="Z56">
        <f>IF('Calculations PJ'!Z56&lt;&gt;0,'Calculations PJ'!Z56*About!$B$45,0)</f>
        <v>2434122810596.1797</v>
      </c>
      <c r="AA56">
        <f>IF('Calculations PJ'!AA56&lt;&gt;0,'Calculations PJ'!AA56*About!$B$45,0)</f>
        <v>2428435607767.6841</v>
      </c>
      <c r="AB56">
        <f>IF('Calculations PJ'!AB56&lt;&gt;0,'Calculations PJ'!AB56*About!$B$45,0)</f>
        <v>2422748404939.188</v>
      </c>
      <c r="AC56">
        <f>IF('Calculations PJ'!AC56&lt;&gt;0,'Calculations PJ'!AC56*About!$B$45,0)</f>
        <v>2415639401403.5684</v>
      </c>
      <c r="AD56">
        <f>IF('Calculations PJ'!AD56&lt;&gt;0,'Calculations PJ'!AD56*About!$B$45,0)</f>
        <v>2409952198575.0728</v>
      </c>
      <c r="AE56">
        <f>IF('Calculations PJ'!AE56&lt;&gt;0,'Calculations PJ'!AE56*About!$B$45,0)</f>
        <v>2404264995746.5767</v>
      </c>
      <c r="AF56">
        <f>IF('Calculations PJ'!AF56&lt;&gt;0,'Calculations PJ'!AF56*About!$B$45,0)</f>
        <v>2397155992210.9575</v>
      </c>
      <c r="AG56">
        <f>IF('Calculations PJ'!AG56&lt;&gt;0,'Calculations PJ'!AG56*About!$B$45,0)</f>
        <v>2391468789382.4619</v>
      </c>
      <c r="AH56">
        <f>IF('Calculations PJ'!AH56&lt;&gt;0,'Calculations PJ'!AH56*About!$B$45,0)</f>
        <v>2385781586553.9658</v>
      </c>
      <c r="AI56">
        <f>IF('Calculations PJ'!AI56&lt;&gt;0,'Calculations PJ'!AI56*About!$B$45,0)</f>
        <v>2378672583018.3462</v>
      </c>
      <c r="AJ56">
        <f>IF('Calculations PJ'!AJ56&lt;&gt;0,'Calculations PJ'!AJ56*About!$B$45,0)</f>
        <v>2372985380189.8506</v>
      </c>
      <c r="AK56">
        <f>IF('Calculations PJ'!AK56&lt;&gt;0,'Calculations PJ'!AK56*About!$B$45,0)</f>
        <v>2367298177361.3545</v>
      </c>
      <c r="AL56">
        <f>IF('Calculations PJ'!AL56&lt;&gt;0,'Calculations PJ'!AL56*About!$B$45,0)</f>
        <v>2360189173825.7354</v>
      </c>
      <c r="AM56">
        <f>IF('Calculations PJ'!AM56&lt;&gt;0,'Calculations PJ'!AM56*About!$B$45,0)</f>
        <v>2354501970997.2388</v>
      </c>
      <c r="AN56">
        <f>IF('Calculations PJ'!AN56&lt;&gt;0,'Calculations PJ'!AN56*About!$B$45,0)</f>
        <v>2348814768168.7432</v>
      </c>
      <c r="AO56">
        <f>IF('Calculations PJ'!AO56&lt;&gt;0,'Calculations PJ'!AO56*About!$B$45,0)</f>
        <v>2348814768168.7432</v>
      </c>
      <c r="AP56">
        <f>IF('Calculations PJ'!AP56&lt;&gt;0,'Calculations PJ'!AP56*About!$B$45,0)</f>
        <v>2348814768168.7432</v>
      </c>
      <c r="AQ56">
        <f>IF('Calculations PJ'!AQ56&lt;&gt;0,'Calculations PJ'!AQ56*About!$B$45,0)</f>
        <v>2348814768168.7432</v>
      </c>
      <c r="AR56">
        <f>IF('Calculations PJ'!AR56&lt;&gt;0,'Calculations PJ'!AR56*About!$B$45,0)</f>
        <v>2348814768168.7432</v>
      </c>
      <c r="AS56">
        <f>IF('Calculations PJ'!AS56&lt;&gt;0,'Calculations PJ'!AS56*About!$B$45,0)</f>
        <v>2348814768168.7432</v>
      </c>
      <c r="AT56">
        <f>IF('Calculations PJ'!AT56&lt;&gt;0,'Calculations PJ'!AT56*About!$B$45,0)</f>
        <v>2348814768168.7432</v>
      </c>
      <c r="AU56">
        <f>IF('Calculations PJ'!AU56&lt;&gt;0,'Calculations PJ'!AU56*About!$B$45,0)</f>
        <v>2348814768168.7432</v>
      </c>
      <c r="AV56">
        <f>IF('Calculations PJ'!AV56&lt;&gt;0,'Calculations PJ'!AV56*About!$B$45,0)</f>
        <v>2348814768168.7432</v>
      </c>
      <c r="AW56">
        <f>IF('Calculations PJ'!AW56&lt;&gt;0,'Calculations PJ'!AW56*About!$B$45,0)</f>
        <v>2348814768168.7432</v>
      </c>
      <c r="AX56">
        <f>IF('Calculations PJ'!AX56&lt;&gt;0,'Calculations PJ'!AX56*About!$B$45,0)</f>
        <v>2348814768168.7432</v>
      </c>
      <c r="AY56">
        <f>IF('Calculations PJ'!AY56&lt;&gt;0,'Calculations PJ'!AY56*About!$B$45,0)</f>
        <v>2348814768168.7432</v>
      </c>
      <c r="AZ56">
        <f>IF('Calculations PJ'!AZ56&lt;&gt;0,'Calculations PJ'!AZ56*About!$B$45,0)</f>
        <v>2348814768168.7432</v>
      </c>
      <c r="BA56">
        <f>IF('Calculations PJ'!BA56&lt;&gt;0,'Calculations PJ'!BA56*About!$B$45,0)</f>
        <v>2348814768168.7432</v>
      </c>
      <c r="BB56">
        <f>IF('Calculations PJ'!BB56&lt;&gt;0,'Calculations PJ'!BB56*About!$B$45,0)</f>
        <v>2348814768168.7432</v>
      </c>
      <c r="BC56">
        <f>IF('Calculations PJ'!BC56&lt;&gt;0,'Calculations PJ'!BC56*About!$B$45,0)</f>
        <v>2348814768168.7432</v>
      </c>
      <c r="BD56">
        <f>IF('Calculations PJ'!BD56&lt;&gt;0,'Calculations PJ'!BD56*About!$B$45,0)</f>
        <v>2348814768168.7432</v>
      </c>
      <c r="BE56">
        <f>IF('Calculations PJ'!BE56&lt;&gt;0,'Calculations PJ'!BE56*About!$B$45,0)</f>
        <v>2348814768168.7432</v>
      </c>
      <c r="BF56">
        <f>IF('Calculations PJ'!BF56&lt;&gt;0,'Calculations PJ'!BF56*About!$B$45,0)</f>
        <v>2348814768168.7432</v>
      </c>
      <c r="BG56">
        <f>IF('Calculations PJ'!BG56&lt;&gt;0,'Calculations PJ'!BG56*About!$B$45,0)</f>
        <v>2348814768168.7432</v>
      </c>
      <c r="BH56">
        <f>IF('Calculations PJ'!BH56&lt;&gt;0,'Calculations PJ'!BH56*About!$B$45,0)</f>
        <v>2348814768168.7432</v>
      </c>
    </row>
    <row r="57" spans="1:60" hidden="1" outlineLevel="1">
      <c r="B57" t="s">
        <v>128</v>
      </c>
      <c r="C57">
        <f>IF('Calculations PJ'!C57&lt;&gt;0,'Calculations PJ'!C57*About!$B$45,0)</f>
        <v>0</v>
      </c>
      <c r="D57">
        <f>IF('Calculations PJ'!D57&lt;&gt;0,'Calculations PJ'!D57*About!$B$45,0)</f>
        <v>0</v>
      </c>
      <c r="E57">
        <f>IF('Calculations PJ'!E57&lt;&gt;0,'Calculations PJ'!E57*About!$B$45,0)</f>
        <v>0</v>
      </c>
      <c r="F57">
        <f>IF('Calculations PJ'!F57&lt;&gt;0,'Calculations PJ'!F57*About!$B$45,0)</f>
        <v>0</v>
      </c>
      <c r="G57">
        <f>IF('Calculations PJ'!G57&lt;&gt;0,'Calculations PJ'!G57*About!$B$45,0)</f>
        <v>0</v>
      </c>
      <c r="H57">
        <f>IF('Calculations PJ'!H57&lt;&gt;0,'Calculations PJ'!H57*About!$B$45,0)</f>
        <v>0</v>
      </c>
      <c r="I57">
        <f>IF('Calculations PJ'!I57&lt;&gt;0,'Calculations PJ'!I57*About!$B$45,0)</f>
        <v>0</v>
      </c>
      <c r="J57">
        <f>IF('Calculations PJ'!J57&lt;&gt;0,'Calculations PJ'!J57*About!$B$45,0)</f>
        <v>0</v>
      </c>
      <c r="K57">
        <f>IF('Calculations PJ'!K57&lt;&gt;0,'Calculations PJ'!K57*About!$B$45,0)</f>
        <v>0</v>
      </c>
      <c r="L57">
        <f>IF('Calculations PJ'!L57&lt;&gt;0,'Calculations PJ'!L57*About!$B$45,0)</f>
        <v>0</v>
      </c>
      <c r="M57">
        <f>IF('Calculations PJ'!M57&lt;&gt;0,'Calculations PJ'!M57*About!$B$45,0)</f>
        <v>0</v>
      </c>
      <c r="N57">
        <f>IF('Calculations PJ'!N57&lt;&gt;0,'Calculations PJ'!N57*About!$B$45,0)</f>
        <v>0</v>
      </c>
      <c r="O57">
        <f>IF('Calculations PJ'!O57&lt;&gt;0,'Calculations PJ'!O57*About!$B$45,0)</f>
        <v>0</v>
      </c>
      <c r="P57">
        <f>IF('Calculations PJ'!P57&lt;&gt;0,'Calculations PJ'!P57*About!$B$45,0)</f>
        <v>0</v>
      </c>
      <c r="Q57">
        <f>IF('Calculations PJ'!Q57&lt;&gt;0,'Calculations PJ'!Q57*About!$B$45,0)</f>
        <v>0</v>
      </c>
      <c r="R57">
        <f>IF('Calculations PJ'!R57&lt;&gt;0,'Calculations PJ'!R57*About!$B$45,0)</f>
        <v>0</v>
      </c>
      <c r="S57">
        <f>IF('Calculations PJ'!S57&lt;&gt;0,'Calculations PJ'!S57*About!$B$45,0)</f>
        <v>0</v>
      </c>
      <c r="T57">
        <f>IF('Calculations PJ'!T57&lt;&gt;0,'Calculations PJ'!T57*About!$B$45,0)</f>
        <v>0</v>
      </c>
      <c r="U57">
        <f>IF('Calculations PJ'!U57&lt;&gt;0,'Calculations PJ'!U57*About!$B$45,0)</f>
        <v>0</v>
      </c>
      <c r="V57">
        <f>IF('Calculations PJ'!V57&lt;&gt;0,'Calculations PJ'!V57*About!$B$45,0)</f>
        <v>0</v>
      </c>
      <c r="W57">
        <f>IF('Calculations PJ'!W57&lt;&gt;0,'Calculations PJ'!W57*About!$B$45,0)</f>
        <v>0</v>
      </c>
      <c r="X57">
        <f>IF('Calculations PJ'!X57&lt;&gt;0,'Calculations PJ'!X57*About!$B$45,0)</f>
        <v>0</v>
      </c>
      <c r="Y57">
        <f>IF('Calculations PJ'!Y57&lt;&gt;0,'Calculations PJ'!Y57*About!$B$45,0)</f>
        <v>0</v>
      </c>
      <c r="Z57">
        <f>IF('Calculations PJ'!Z57&lt;&gt;0,'Calculations PJ'!Z57*About!$B$45,0)</f>
        <v>0</v>
      </c>
      <c r="AA57">
        <f>IF('Calculations PJ'!AA57&lt;&gt;0,'Calculations PJ'!AA57*About!$B$45,0)</f>
        <v>0</v>
      </c>
      <c r="AB57">
        <f>IF('Calculations PJ'!AB57&lt;&gt;0,'Calculations PJ'!AB57*About!$B$45,0)</f>
        <v>0</v>
      </c>
      <c r="AC57">
        <f>IF('Calculations PJ'!AC57&lt;&gt;0,'Calculations PJ'!AC57*About!$B$45,0)</f>
        <v>0</v>
      </c>
      <c r="AD57">
        <f>IF('Calculations PJ'!AD57&lt;&gt;0,'Calculations PJ'!AD57*About!$B$45,0)</f>
        <v>0</v>
      </c>
      <c r="AE57">
        <f>IF('Calculations PJ'!AE57&lt;&gt;0,'Calculations PJ'!AE57*About!$B$45,0)</f>
        <v>0</v>
      </c>
      <c r="AF57">
        <f>IF('Calculations PJ'!AF57&lt;&gt;0,'Calculations PJ'!AF57*About!$B$45,0)</f>
        <v>0</v>
      </c>
      <c r="AG57">
        <f>IF('Calculations PJ'!AG57&lt;&gt;0,'Calculations PJ'!AG57*About!$B$45,0)</f>
        <v>0</v>
      </c>
      <c r="AH57">
        <f>IF('Calculations PJ'!AH57&lt;&gt;0,'Calculations PJ'!AH57*About!$B$45,0)</f>
        <v>0</v>
      </c>
      <c r="AI57">
        <f>IF('Calculations PJ'!AI57&lt;&gt;0,'Calculations PJ'!AI57*About!$B$45,0)</f>
        <v>0</v>
      </c>
      <c r="AJ57">
        <f>IF('Calculations PJ'!AJ57&lt;&gt;0,'Calculations PJ'!AJ57*About!$B$45,0)</f>
        <v>0</v>
      </c>
      <c r="AK57">
        <f>IF('Calculations PJ'!AK57&lt;&gt;0,'Calculations PJ'!AK57*About!$B$45,0)</f>
        <v>0</v>
      </c>
      <c r="AL57">
        <f>IF('Calculations PJ'!AL57&lt;&gt;0,'Calculations PJ'!AL57*About!$B$45,0)</f>
        <v>0</v>
      </c>
      <c r="AM57">
        <f>IF('Calculations PJ'!AM57&lt;&gt;0,'Calculations PJ'!AM57*About!$B$45,0)</f>
        <v>0</v>
      </c>
      <c r="AN57">
        <f>IF('Calculations PJ'!AN57&lt;&gt;0,'Calculations PJ'!AN57*About!$B$45,0)</f>
        <v>0</v>
      </c>
      <c r="AO57">
        <f>IF('Calculations PJ'!AO57&lt;&gt;0,'Calculations PJ'!AO57*About!$B$45,0)</f>
        <v>0</v>
      </c>
      <c r="AP57">
        <f>IF('Calculations PJ'!AP57&lt;&gt;0,'Calculations PJ'!AP57*About!$B$45,0)</f>
        <v>0</v>
      </c>
      <c r="AQ57">
        <f>IF('Calculations PJ'!AQ57&lt;&gt;0,'Calculations PJ'!AQ57*About!$B$45,0)</f>
        <v>0</v>
      </c>
      <c r="AR57">
        <f>IF('Calculations PJ'!AR57&lt;&gt;0,'Calculations PJ'!AR57*About!$B$45,0)</f>
        <v>0</v>
      </c>
      <c r="AS57">
        <f>IF('Calculations PJ'!AS57&lt;&gt;0,'Calculations PJ'!AS57*About!$B$45,0)</f>
        <v>0</v>
      </c>
      <c r="AT57">
        <f>IF('Calculations PJ'!AT57&lt;&gt;0,'Calculations PJ'!AT57*About!$B$45,0)</f>
        <v>0</v>
      </c>
      <c r="AU57">
        <f>IF('Calculations PJ'!AU57&lt;&gt;0,'Calculations PJ'!AU57*About!$B$45,0)</f>
        <v>0</v>
      </c>
      <c r="AV57">
        <f>IF('Calculations PJ'!AV57&lt;&gt;0,'Calculations PJ'!AV57*About!$B$45,0)</f>
        <v>0</v>
      </c>
      <c r="AW57">
        <f>IF('Calculations PJ'!AW57&lt;&gt;0,'Calculations PJ'!AW57*About!$B$45,0)</f>
        <v>0</v>
      </c>
      <c r="AX57">
        <f>IF('Calculations PJ'!AX57&lt;&gt;0,'Calculations PJ'!AX57*About!$B$45,0)</f>
        <v>0</v>
      </c>
      <c r="AY57">
        <f>IF('Calculations PJ'!AY57&lt;&gt;0,'Calculations PJ'!AY57*About!$B$45,0)</f>
        <v>0</v>
      </c>
      <c r="AZ57">
        <f>IF('Calculations PJ'!AZ57&lt;&gt;0,'Calculations PJ'!AZ57*About!$B$45,0)</f>
        <v>0</v>
      </c>
      <c r="BA57">
        <f>IF('Calculations PJ'!BA57&lt;&gt;0,'Calculations PJ'!BA57*About!$B$45,0)</f>
        <v>0</v>
      </c>
      <c r="BB57">
        <f>IF('Calculations PJ'!BB57&lt;&gt;0,'Calculations PJ'!BB57*About!$B$45,0)</f>
        <v>0</v>
      </c>
      <c r="BC57">
        <f>IF('Calculations PJ'!BC57&lt;&gt;0,'Calculations PJ'!BC57*About!$B$45,0)</f>
        <v>0</v>
      </c>
      <c r="BD57">
        <f>IF('Calculations PJ'!BD57&lt;&gt;0,'Calculations PJ'!BD57*About!$B$45,0)</f>
        <v>0</v>
      </c>
      <c r="BE57">
        <f>IF('Calculations PJ'!BE57&lt;&gt;0,'Calculations PJ'!BE57*About!$B$45,0)</f>
        <v>0</v>
      </c>
      <c r="BF57">
        <f>IF('Calculations PJ'!BF57&lt;&gt;0,'Calculations PJ'!BF57*About!$B$45,0)</f>
        <v>0</v>
      </c>
      <c r="BG57">
        <f>IF('Calculations PJ'!BG57&lt;&gt;0,'Calculations PJ'!BG57*About!$B$45,0)</f>
        <v>0</v>
      </c>
      <c r="BH57">
        <f>IF('Calculations PJ'!BH57&lt;&gt;0,'Calculations PJ'!BH57*About!$B$45,0)</f>
        <v>0</v>
      </c>
    </row>
    <row r="58" spans="1:60" hidden="1" outlineLevel="1">
      <c r="B58" t="s">
        <v>129</v>
      </c>
      <c r="C58">
        <f>IF('Calculations PJ'!C58&lt;&gt;0,'Calculations PJ'!C58*About!$B$45,0)</f>
        <v>7468719114522.0391</v>
      </c>
      <c r="D58">
        <f>IF('Calculations PJ'!D58&lt;&gt;0,'Calculations PJ'!D58*About!$B$45,0)</f>
        <v>5414217092727.9512</v>
      </c>
      <c r="E58">
        <f>IF('Calculations PJ'!E58&lt;&gt;0,'Calculations PJ'!E58*About!$B$45,0)</f>
        <v>8137439380439.3301</v>
      </c>
      <c r="F58">
        <f>IF('Calculations PJ'!F58&lt;&gt;0,'Calculations PJ'!F58*About!$B$45,0)</f>
        <v>8588624138166.6611</v>
      </c>
      <c r="G58">
        <f>IF('Calculations PJ'!G58&lt;&gt;0,'Calculations PJ'!G58*About!$B$45,0)</f>
        <v>9539334877663.5332</v>
      </c>
      <c r="H58">
        <f>IF('Calculations PJ'!H58&lt;&gt;0,'Calculations PJ'!H58*About!$B$45,0)</f>
        <v>9909950928653.8398</v>
      </c>
      <c r="I58">
        <f>IF('Calculations PJ'!I58&lt;&gt;0,'Calculations PJ'!I58*About!$B$45,0)</f>
        <v>10425590651770.785</v>
      </c>
      <c r="J58">
        <f>IF('Calculations PJ'!J58&lt;&gt;0,'Calculations PJ'!J58*About!$B$45,0)</f>
        <v>9031752025220.2891</v>
      </c>
      <c r="K58">
        <f>IF('Calculations PJ'!K58&lt;&gt;0,'Calculations PJ'!K58*About!$B$45,0)</f>
        <v>12318955260090.828</v>
      </c>
      <c r="L58">
        <f>IF('Calculations PJ'!L58&lt;&gt;0,'Calculations PJ'!L58*About!$B$45,0)</f>
        <v>12512320156259.686</v>
      </c>
      <c r="M58">
        <f>IF('Calculations PJ'!M58&lt;&gt;0,'Calculations PJ'!M58*About!$B$45,0)</f>
        <v>12625116345691.518</v>
      </c>
      <c r="N58">
        <f>IF('Calculations PJ'!N58&lt;&gt;0,'Calculations PJ'!N58*About!$B$45,0)</f>
        <v>12745969405797.051</v>
      </c>
      <c r="O58">
        <f>IF('Calculations PJ'!O58&lt;&gt;0,'Calculations PJ'!O58*About!$B$45,0)</f>
        <v>12866822465902.586</v>
      </c>
      <c r="P58">
        <f>IF('Calculations PJ'!P58&lt;&gt;0,'Calculations PJ'!P58*About!$B$45,0)</f>
        <v>12979618655334.418</v>
      </c>
      <c r="Q58">
        <f>IF('Calculations PJ'!Q58&lt;&gt;0,'Calculations PJ'!Q58*About!$B$45,0)</f>
        <v>13100471715439.955</v>
      </c>
      <c r="R58">
        <f>IF('Calculations PJ'!R58&lt;&gt;0,'Calculations PJ'!R58*About!$B$45,0)</f>
        <v>13221324775545.486</v>
      </c>
      <c r="S58">
        <f>IF('Calculations PJ'!S58&lt;&gt;0,'Calculations PJ'!S58*About!$B$45,0)</f>
        <v>13342177835651.021</v>
      </c>
      <c r="T58">
        <f>IF('Calculations PJ'!T58&lt;&gt;0,'Calculations PJ'!T58*About!$B$45,0)</f>
        <v>13454974025082.854</v>
      </c>
      <c r="U58">
        <f>IF('Calculations PJ'!U58&lt;&gt;0,'Calculations PJ'!U58*About!$B$45,0)</f>
        <v>13575827085188.391</v>
      </c>
      <c r="V58">
        <f>IF('Calculations PJ'!V58&lt;&gt;0,'Calculations PJ'!V58*About!$B$45,0)</f>
        <v>13696680145293.924</v>
      </c>
      <c r="W58">
        <f>IF('Calculations PJ'!W58&lt;&gt;0,'Calculations PJ'!W58*About!$B$45,0)</f>
        <v>13809476334725.758</v>
      </c>
      <c r="X58">
        <f>IF('Calculations PJ'!X58&lt;&gt;0,'Calculations PJ'!X58*About!$B$45,0)</f>
        <v>13865874429441.674</v>
      </c>
      <c r="Y58">
        <f>IF('Calculations PJ'!Y58&lt;&gt;0,'Calculations PJ'!Y58*About!$B$45,0)</f>
        <v>13833646946746.865</v>
      </c>
      <c r="Z58">
        <f>IF('Calculations PJ'!Z58&lt;&gt;0,'Calculations PJ'!Z58*About!$B$45,0)</f>
        <v>13793362593378.352</v>
      </c>
      <c r="AA58">
        <f>IF('Calculations PJ'!AA58&lt;&gt;0,'Calculations PJ'!AA58*About!$B$45,0)</f>
        <v>13761135110683.541</v>
      </c>
      <c r="AB58">
        <f>IF('Calculations PJ'!AB58&lt;&gt;0,'Calculations PJ'!AB58*About!$B$45,0)</f>
        <v>13728907627988.732</v>
      </c>
      <c r="AC58">
        <f>IF('Calculations PJ'!AC58&lt;&gt;0,'Calculations PJ'!AC58*About!$B$45,0)</f>
        <v>13688623274620.221</v>
      </c>
      <c r="AD58">
        <f>IF('Calculations PJ'!AD58&lt;&gt;0,'Calculations PJ'!AD58*About!$B$45,0)</f>
        <v>13656395791925.412</v>
      </c>
      <c r="AE58">
        <f>IF('Calculations PJ'!AE58&lt;&gt;0,'Calculations PJ'!AE58*About!$B$45,0)</f>
        <v>13624168309230.604</v>
      </c>
      <c r="AF58">
        <f>IF('Calculations PJ'!AF58&lt;&gt;0,'Calculations PJ'!AF58*About!$B$45,0)</f>
        <v>13583883955862.092</v>
      </c>
      <c r="AG58">
        <f>IF('Calculations PJ'!AG58&lt;&gt;0,'Calculations PJ'!AG58*About!$B$45,0)</f>
        <v>13551656473167.283</v>
      </c>
      <c r="AH58">
        <f>IF('Calculations PJ'!AH58&lt;&gt;0,'Calculations PJ'!AH58*About!$B$45,0)</f>
        <v>13519428990472.473</v>
      </c>
      <c r="AI58">
        <f>IF('Calculations PJ'!AI58&lt;&gt;0,'Calculations PJ'!AI58*About!$B$45,0)</f>
        <v>13479144637103.961</v>
      </c>
      <c r="AJ58">
        <f>IF('Calculations PJ'!AJ58&lt;&gt;0,'Calculations PJ'!AJ58*About!$B$45,0)</f>
        <v>13446917154409.152</v>
      </c>
      <c r="AK58">
        <f>IF('Calculations PJ'!AK58&lt;&gt;0,'Calculations PJ'!AK58*About!$B$45,0)</f>
        <v>13414689671714.342</v>
      </c>
      <c r="AL58">
        <f>IF('Calculations PJ'!AL58&lt;&gt;0,'Calculations PJ'!AL58*About!$B$45,0)</f>
        <v>13374405318345.832</v>
      </c>
      <c r="AM58">
        <f>IF('Calculations PJ'!AM58&lt;&gt;0,'Calculations PJ'!AM58*About!$B$45,0)</f>
        <v>13342177835651.021</v>
      </c>
      <c r="AN58">
        <f>IF('Calculations PJ'!AN58&lt;&gt;0,'Calculations PJ'!AN58*About!$B$45,0)</f>
        <v>13309950352956.213</v>
      </c>
      <c r="AO58">
        <f>IF('Calculations PJ'!AO58&lt;&gt;0,'Calculations PJ'!AO58*About!$B$45,0)</f>
        <v>13309950352956.213</v>
      </c>
      <c r="AP58">
        <f>IF('Calculations PJ'!AP58&lt;&gt;0,'Calculations PJ'!AP58*About!$B$45,0)</f>
        <v>13309950352956.213</v>
      </c>
      <c r="AQ58">
        <f>IF('Calculations PJ'!AQ58&lt;&gt;0,'Calculations PJ'!AQ58*About!$B$45,0)</f>
        <v>13309950352956.213</v>
      </c>
      <c r="AR58">
        <f>IF('Calculations PJ'!AR58&lt;&gt;0,'Calculations PJ'!AR58*About!$B$45,0)</f>
        <v>13309950352956.213</v>
      </c>
      <c r="AS58">
        <f>IF('Calculations PJ'!AS58&lt;&gt;0,'Calculations PJ'!AS58*About!$B$45,0)</f>
        <v>13309950352956.213</v>
      </c>
      <c r="AT58">
        <f>IF('Calculations PJ'!AT58&lt;&gt;0,'Calculations PJ'!AT58*About!$B$45,0)</f>
        <v>13309950352956.213</v>
      </c>
      <c r="AU58">
        <f>IF('Calculations PJ'!AU58&lt;&gt;0,'Calculations PJ'!AU58*About!$B$45,0)</f>
        <v>13309950352956.213</v>
      </c>
      <c r="AV58">
        <f>IF('Calculations PJ'!AV58&lt;&gt;0,'Calculations PJ'!AV58*About!$B$45,0)</f>
        <v>13309950352956.213</v>
      </c>
      <c r="AW58">
        <f>IF('Calculations PJ'!AW58&lt;&gt;0,'Calculations PJ'!AW58*About!$B$45,0)</f>
        <v>13309950352956.213</v>
      </c>
      <c r="AX58">
        <f>IF('Calculations PJ'!AX58&lt;&gt;0,'Calculations PJ'!AX58*About!$B$45,0)</f>
        <v>13309950352956.213</v>
      </c>
      <c r="AY58">
        <f>IF('Calculations PJ'!AY58&lt;&gt;0,'Calculations PJ'!AY58*About!$B$45,0)</f>
        <v>13309950352956.213</v>
      </c>
      <c r="AZ58">
        <f>IF('Calculations PJ'!AZ58&lt;&gt;0,'Calculations PJ'!AZ58*About!$B$45,0)</f>
        <v>13309950352956.213</v>
      </c>
      <c r="BA58">
        <f>IF('Calculations PJ'!BA58&lt;&gt;0,'Calculations PJ'!BA58*About!$B$45,0)</f>
        <v>13309950352956.213</v>
      </c>
      <c r="BB58">
        <f>IF('Calculations PJ'!BB58&lt;&gt;0,'Calculations PJ'!BB58*About!$B$45,0)</f>
        <v>13309950352956.213</v>
      </c>
      <c r="BC58">
        <f>IF('Calculations PJ'!BC58&lt;&gt;0,'Calculations PJ'!BC58*About!$B$45,0)</f>
        <v>13309950352956.213</v>
      </c>
      <c r="BD58">
        <f>IF('Calculations PJ'!BD58&lt;&gt;0,'Calculations PJ'!BD58*About!$B$45,0)</f>
        <v>13309950352956.213</v>
      </c>
      <c r="BE58">
        <f>IF('Calculations PJ'!BE58&lt;&gt;0,'Calculations PJ'!BE58*About!$B$45,0)</f>
        <v>13309950352956.213</v>
      </c>
      <c r="BF58">
        <f>IF('Calculations PJ'!BF58&lt;&gt;0,'Calculations PJ'!BF58*About!$B$45,0)</f>
        <v>13309950352956.213</v>
      </c>
      <c r="BG58">
        <f>IF('Calculations PJ'!BG58&lt;&gt;0,'Calculations PJ'!BG58*About!$B$45,0)</f>
        <v>13309950352956.213</v>
      </c>
      <c r="BH58">
        <f>IF('Calculations PJ'!BH58&lt;&gt;0,'Calculations PJ'!BH58*About!$B$45,0)</f>
        <v>13309950352956.213</v>
      </c>
    </row>
    <row r="59" spans="1:60" hidden="1" outlineLevel="1">
      <c r="B59" t="s">
        <v>130</v>
      </c>
      <c r="C59">
        <f>IF('Calculations PJ'!C59&lt;&gt;0,'Calculations PJ'!C59*About!$B$45,0)</f>
        <v>15630329106982.477</v>
      </c>
      <c r="D59">
        <f>IF('Calculations PJ'!D59&lt;&gt;0,'Calculations PJ'!D59*About!$B$45,0)</f>
        <v>14218007071239.367</v>
      </c>
      <c r="E59">
        <f>IF('Calculations PJ'!E59&lt;&gt;0,'Calculations PJ'!E59*About!$B$45,0)</f>
        <v>15886253234264.789</v>
      </c>
      <c r="F59">
        <f>IF('Calculations PJ'!F59&lt;&gt;0,'Calculations PJ'!F59*About!$B$45,0)</f>
        <v>17791466181810.863</v>
      </c>
      <c r="G59">
        <f>IF('Calculations PJ'!G59&lt;&gt;0,'Calculations PJ'!G59*About!$B$45,0)</f>
        <v>19033172132699.098</v>
      </c>
      <c r="H59">
        <f>IF('Calculations PJ'!H59&lt;&gt;0,'Calculations PJ'!H59*About!$B$45,0)</f>
        <v>21090043822338.395</v>
      </c>
      <c r="I59">
        <f>IF('Calculations PJ'!I59&lt;&gt;0,'Calculations PJ'!I59*About!$B$45,0)</f>
        <v>23440754324783.305</v>
      </c>
      <c r="J59">
        <f>IF('Calculations PJ'!J59&lt;&gt;0,'Calculations PJ'!J59*About!$B$45,0)</f>
        <v>20322271440491.473</v>
      </c>
      <c r="K59">
        <f>IF('Calculations PJ'!K59&lt;&gt;0,'Calculations PJ'!K59*About!$B$45,0)</f>
        <v>21857816204185.32</v>
      </c>
      <c r="L59">
        <f>IF('Calculations PJ'!L59&lt;&gt;0,'Calculations PJ'!L59*About!$B$45,0)</f>
        <v>22985778098503.645</v>
      </c>
      <c r="M59">
        <f>IF('Calculations PJ'!M59&lt;&gt;0,'Calculations PJ'!M59*About!$B$45,0)</f>
        <v>23952602579347.922</v>
      </c>
      <c r="N59">
        <f>IF('Calculations PJ'!N59&lt;&gt;0,'Calculations PJ'!N59*About!$B$45,0)</f>
        <v>24919427060192.199</v>
      </c>
      <c r="O59">
        <f>IF('Calculations PJ'!O59&lt;&gt;0,'Calculations PJ'!O59*About!$B$45,0)</f>
        <v>25886251541036.473</v>
      </c>
      <c r="P59">
        <f>IF('Calculations PJ'!P59&lt;&gt;0,'Calculations PJ'!P59*About!$B$45,0)</f>
        <v>26853076021880.754</v>
      </c>
      <c r="Q59">
        <f>IF('Calculations PJ'!Q59&lt;&gt;0,'Calculations PJ'!Q59*About!$B$45,0)</f>
        <v>27810421831344.203</v>
      </c>
      <c r="R59">
        <f>IF('Calculations PJ'!R59&lt;&gt;0,'Calculations PJ'!R59*About!$B$45,0)</f>
        <v>28777246312188.48</v>
      </c>
      <c r="S59">
        <f>IF('Calculations PJ'!S59&lt;&gt;0,'Calculations PJ'!S59*About!$B$45,0)</f>
        <v>29744070793032.758</v>
      </c>
      <c r="T59">
        <f>IF('Calculations PJ'!T59&lt;&gt;0,'Calculations PJ'!T59*About!$B$45,0)</f>
        <v>30720373945257.855</v>
      </c>
      <c r="U59">
        <f>IF('Calculations PJ'!U59&lt;&gt;0,'Calculations PJ'!U59*About!$B$45,0)</f>
        <v>31677719754721.313</v>
      </c>
      <c r="V59">
        <f>IF('Calculations PJ'!V59&lt;&gt;0,'Calculations PJ'!V59*About!$B$45,0)</f>
        <v>32654022906946.418</v>
      </c>
      <c r="W59">
        <f>IF('Calculations PJ'!W59&lt;&gt;0,'Calculations PJ'!W59*About!$B$45,0)</f>
        <v>33601890045029.043</v>
      </c>
      <c r="X59">
        <f>IF('Calculations PJ'!X59&lt;&gt;0,'Calculations PJ'!X59*About!$B$45,0)</f>
        <v>34578193197254.141</v>
      </c>
      <c r="Y59">
        <f>IF('Calculations PJ'!Y59&lt;&gt;0,'Calculations PJ'!Y59*About!$B$45,0)</f>
        <v>35545017678098.422</v>
      </c>
      <c r="Z59">
        <f>IF('Calculations PJ'!Z59&lt;&gt;0,'Calculations PJ'!Z59*About!$B$45,0)</f>
        <v>36511842158942.695</v>
      </c>
      <c r="AA59">
        <f>IF('Calculations PJ'!AA59&lt;&gt;0,'Calculations PJ'!AA59*About!$B$45,0)</f>
        <v>37478666639786.969</v>
      </c>
      <c r="AB59">
        <f>IF('Calculations PJ'!AB59&lt;&gt;0,'Calculations PJ'!AB59*About!$B$45,0)</f>
        <v>38436012449250.422</v>
      </c>
      <c r="AC59">
        <f>IF('Calculations PJ'!AC59&lt;&gt;0,'Calculations PJ'!AC59*About!$B$45,0)</f>
        <v>39402836930094.711</v>
      </c>
      <c r="AD59">
        <f>IF('Calculations PJ'!AD59&lt;&gt;0,'Calculations PJ'!AD59*About!$B$45,0)</f>
        <v>40369661410938.984</v>
      </c>
      <c r="AE59">
        <f>IF('Calculations PJ'!AE59&lt;&gt;0,'Calculations PJ'!AE59*About!$B$45,0)</f>
        <v>41336485891783.258</v>
      </c>
      <c r="AF59">
        <f>IF('Calculations PJ'!AF59&lt;&gt;0,'Calculations PJ'!AF59*About!$B$45,0)</f>
        <v>42303310372627.531</v>
      </c>
      <c r="AG59">
        <f>IF('Calculations PJ'!AG59&lt;&gt;0,'Calculations PJ'!AG59*About!$B$45,0)</f>
        <v>43270134853471.805</v>
      </c>
      <c r="AH59">
        <f>IF('Calculations PJ'!AH59&lt;&gt;0,'Calculations PJ'!AH59*About!$B$45,0)</f>
        <v>44227480662935.258</v>
      </c>
      <c r="AI59">
        <f>IF('Calculations PJ'!AI59&lt;&gt;0,'Calculations PJ'!AI59*About!$B$45,0)</f>
        <v>45203783815160.359</v>
      </c>
      <c r="AJ59">
        <f>IF('Calculations PJ'!AJ59&lt;&gt;0,'Calculations PJ'!AJ59*About!$B$45,0)</f>
        <v>46170608296004.633</v>
      </c>
      <c r="AK59">
        <f>IF('Calculations PJ'!AK59&lt;&gt;0,'Calculations PJ'!AK59*About!$B$45,0)</f>
        <v>47137432776848.922</v>
      </c>
      <c r="AL59">
        <f>IF('Calculations PJ'!AL59&lt;&gt;0,'Calculations PJ'!AL59*About!$B$45,0)</f>
        <v>48094778586312.367</v>
      </c>
      <c r="AM59">
        <f>IF('Calculations PJ'!AM59&lt;&gt;0,'Calculations PJ'!AM59*About!$B$45,0)</f>
        <v>49061603067156.648</v>
      </c>
      <c r="AN59">
        <f>IF('Calculations PJ'!AN59&lt;&gt;0,'Calculations PJ'!AN59*About!$B$45,0)</f>
        <v>50028427548000.922</v>
      </c>
      <c r="AO59">
        <f>IF('Calculations PJ'!AO59&lt;&gt;0,'Calculations PJ'!AO59*About!$B$45,0)</f>
        <v>50028427548000.922</v>
      </c>
      <c r="AP59">
        <f>IF('Calculations PJ'!AP59&lt;&gt;0,'Calculations PJ'!AP59*About!$B$45,0)</f>
        <v>50028427548000.922</v>
      </c>
      <c r="AQ59">
        <f>IF('Calculations PJ'!AQ59&lt;&gt;0,'Calculations PJ'!AQ59*About!$B$45,0)</f>
        <v>50028427548000.922</v>
      </c>
      <c r="AR59">
        <f>IF('Calculations PJ'!AR59&lt;&gt;0,'Calculations PJ'!AR59*About!$B$45,0)</f>
        <v>50028427548000.922</v>
      </c>
      <c r="AS59">
        <f>IF('Calculations PJ'!AS59&lt;&gt;0,'Calculations PJ'!AS59*About!$B$45,0)</f>
        <v>50028427548000.922</v>
      </c>
      <c r="AT59">
        <f>IF('Calculations PJ'!AT59&lt;&gt;0,'Calculations PJ'!AT59*About!$B$45,0)</f>
        <v>50028427548000.922</v>
      </c>
      <c r="AU59">
        <f>IF('Calculations PJ'!AU59&lt;&gt;0,'Calculations PJ'!AU59*About!$B$45,0)</f>
        <v>50028427548000.922</v>
      </c>
      <c r="AV59">
        <f>IF('Calculations PJ'!AV59&lt;&gt;0,'Calculations PJ'!AV59*About!$B$45,0)</f>
        <v>50028427548000.922</v>
      </c>
      <c r="AW59">
        <f>IF('Calculations PJ'!AW59&lt;&gt;0,'Calculations PJ'!AW59*About!$B$45,0)</f>
        <v>50028427548000.922</v>
      </c>
      <c r="AX59">
        <f>IF('Calculations PJ'!AX59&lt;&gt;0,'Calculations PJ'!AX59*About!$B$45,0)</f>
        <v>50028427548000.922</v>
      </c>
      <c r="AY59">
        <f>IF('Calculations PJ'!AY59&lt;&gt;0,'Calculations PJ'!AY59*About!$B$45,0)</f>
        <v>50028427548000.922</v>
      </c>
      <c r="AZ59">
        <f>IF('Calculations PJ'!AZ59&lt;&gt;0,'Calculations PJ'!AZ59*About!$B$45,0)</f>
        <v>50028427548000.922</v>
      </c>
      <c r="BA59">
        <f>IF('Calculations PJ'!BA59&lt;&gt;0,'Calculations PJ'!BA59*About!$B$45,0)</f>
        <v>50028427548000.922</v>
      </c>
      <c r="BB59">
        <f>IF('Calculations PJ'!BB59&lt;&gt;0,'Calculations PJ'!BB59*About!$B$45,0)</f>
        <v>50028427548000.922</v>
      </c>
      <c r="BC59">
        <f>IF('Calculations PJ'!BC59&lt;&gt;0,'Calculations PJ'!BC59*About!$B$45,0)</f>
        <v>50028427548000.922</v>
      </c>
      <c r="BD59">
        <f>IF('Calculations PJ'!BD59&lt;&gt;0,'Calculations PJ'!BD59*About!$B$45,0)</f>
        <v>50028427548000.922</v>
      </c>
      <c r="BE59">
        <f>IF('Calculations PJ'!BE59&lt;&gt;0,'Calculations PJ'!BE59*About!$B$45,0)</f>
        <v>50028427548000.922</v>
      </c>
      <c r="BF59">
        <f>IF('Calculations PJ'!BF59&lt;&gt;0,'Calculations PJ'!BF59*About!$B$45,0)</f>
        <v>50028427548000.922</v>
      </c>
      <c r="BG59">
        <f>IF('Calculations PJ'!BG59&lt;&gt;0,'Calculations PJ'!BG59*About!$B$45,0)</f>
        <v>50028427548000.922</v>
      </c>
      <c r="BH59">
        <f>IF('Calculations PJ'!BH59&lt;&gt;0,'Calculations PJ'!BH59*About!$B$45,0)</f>
        <v>50028427548000.922</v>
      </c>
    </row>
    <row r="60" spans="1:60" hidden="1" outlineLevel="1">
      <c r="B60" t="s">
        <v>131</v>
      </c>
      <c r="C60">
        <f>IF('Calculations PJ'!C60&lt;&gt;0,'Calculations PJ'!C60*About!$B$45,0)</f>
        <v>8170614730272.2227</v>
      </c>
      <c r="D60">
        <f>IF('Calculations PJ'!D60&lt;&gt;0,'Calculations PJ'!D60*About!$B$45,0)</f>
        <v>8104264030606.4404</v>
      </c>
      <c r="E60">
        <f>IF('Calculations PJ'!E60&lt;&gt;0,'Calculations PJ'!E60*About!$B$45,0)</f>
        <v>8549761585505.2725</v>
      </c>
      <c r="F60">
        <f>IF('Calculations PJ'!F60&lt;&gt;0,'Calculations PJ'!F60*About!$B$45,0)</f>
        <v>8587676271028.5781</v>
      </c>
      <c r="G60">
        <f>IF('Calculations PJ'!G60&lt;&gt;0,'Calculations PJ'!G60*About!$B$45,0)</f>
        <v>8388624172031.2266</v>
      </c>
      <c r="H60">
        <f>IF('Calculations PJ'!H60&lt;&gt;0,'Calculations PJ'!H60*About!$B$45,0)</f>
        <v>8587676271028.5781</v>
      </c>
      <c r="I60">
        <f>IF('Calculations PJ'!I60&lt;&gt;0,'Calculations PJ'!I60*About!$B$45,0)</f>
        <v>8094785359225.6123</v>
      </c>
      <c r="J60">
        <f>IF('Calculations PJ'!J60&lt;&gt;0,'Calculations PJ'!J60*About!$B$45,0)</f>
        <v>5753553528161.5313</v>
      </c>
      <c r="K60">
        <f>IF('Calculations PJ'!K60&lt;&gt;0,'Calculations PJ'!K60*About!$B$45,0)</f>
        <v>7658766475707.6064</v>
      </c>
      <c r="L60">
        <f>IF('Calculations PJ'!L60&lt;&gt;0,'Calculations PJ'!L60*About!$B$45,0)</f>
        <v>7687202489850.084</v>
      </c>
      <c r="M60">
        <f>IF('Calculations PJ'!M60&lt;&gt;0,'Calculations PJ'!M60*About!$B$45,0)</f>
        <v>7393363677044.4707</v>
      </c>
      <c r="N60">
        <f>IF('Calculations PJ'!N60&lt;&gt;0,'Calculations PJ'!N60*About!$B$45,0)</f>
        <v>7401174169853.0762</v>
      </c>
      <c r="O60">
        <f>IF('Calculations PJ'!O60&lt;&gt;0,'Calculations PJ'!O60*About!$B$45,0)</f>
        <v>7408862623711.5459</v>
      </c>
      <c r="P60">
        <f>IF('Calculations PJ'!P60&lt;&gt;0,'Calculations PJ'!P60*About!$B$45,0)</f>
        <v>7416795155470.2832</v>
      </c>
      <c r="Q60">
        <f>IF('Calculations PJ'!Q60&lt;&gt;0,'Calculations PJ'!Q60*About!$B$45,0)</f>
        <v>7424605648278.8877</v>
      </c>
      <c r="R60">
        <f>IF('Calculations PJ'!R60&lt;&gt;0,'Calculations PJ'!R60*About!$B$45,0)</f>
        <v>7432294102137.3555</v>
      </c>
      <c r="S60">
        <f>IF('Calculations PJ'!S60&lt;&gt;0,'Calculations PJ'!S60*About!$B$45,0)</f>
        <v>7440226633896.0957</v>
      </c>
      <c r="T60">
        <f>IF('Calculations PJ'!T60&lt;&gt;0,'Calculations PJ'!T60*About!$B$45,0)</f>
        <v>7447915087754.5635</v>
      </c>
      <c r="U60">
        <f>IF('Calculations PJ'!U60&lt;&gt;0,'Calculations PJ'!U60*About!$B$45,0)</f>
        <v>7455603541613.0332</v>
      </c>
      <c r="V60">
        <f>IF('Calculations PJ'!V60&lt;&gt;0,'Calculations PJ'!V60*About!$B$45,0)</f>
        <v>7463658112321.9063</v>
      </c>
      <c r="W60">
        <f>IF('Calculations PJ'!W60&lt;&gt;0,'Calculations PJ'!W60*About!$B$45,0)</f>
        <v>7471346566180.375</v>
      </c>
      <c r="X60">
        <f>IF('Calculations PJ'!X60&lt;&gt;0,'Calculations PJ'!X60*About!$B$45,0)</f>
        <v>7450233827807.1162</v>
      </c>
      <c r="Y60">
        <f>IF('Calculations PJ'!Y60&lt;&gt;0,'Calculations PJ'!Y60*About!$B$45,0)</f>
        <v>7390068625390.8379</v>
      </c>
      <c r="Z60">
        <f>IF('Calculations PJ'!Z60&lt;&gt;0,'Calculations PJ'!Z60*About!$B$45,0)</f>
        <v>7329781384024.4258</v>
      </c>
      <c r="AA60">
        <f>IF('Calculations PJ'!AA60&lt;&gt;0,'Calculations PJ'!AA60*About!$B$45,0)</f>
        <v>7269738220558.2842</v>
      </c>
      <c r="AB60">
        <f>IF('Calculations PJ'!AB60&lt;&gt;0,'Calculations PJ'!AB60*About!$B$45,0)</f>
        <v>7209573018142.0059</v>
      </c>
      <c r="AC60">
        <f>IF('Calculations PJ'!AC60&lt;&gt;0,'Calculations PJ'!AC60*About!$B$45,0)</f>
        <v>7149163737825.46</v>
      </c>
      <c r="AD60">
        <f>IF('Calculations PJ'!AD60&lt;&gt;0,'Calculations PJ'!AD60*About!$B$45,0)</f>
        <v>7089242613309.4512</v>
      </c>
      <c r="AE60">
        <f>IF('Calculations PJ'!AE60&lt;&gt;0,'Calculations PJ'!AE60*About!$B$45,0)</f>
        <v>7029077410893.1738</v>
      </c>
      <c r="AF60">
        <f>IF('Calculations PJ'!AF60&lt;&gt;0,'Calculations PJ'!AF60*About!$B$45,0)</f>
        <v>6968790169526.7617</v>
      </c>
      <c r="AG60">
        <f>IF('Calculations PJ'!AG60&lt;&gt;0,'Calculations PJ'!AG60*About!$B$45,0)</f>
        <v>6908624967110.4854</v>
      </c>
      <c r="AH60">
        <f>IF('Calculations PJ'!AH60&lt;&gt;0,'Calculations PJ'!AH60*About!$B$45,0)</f>
        <v>6848581803644.3418</v>
      </c>
      <c r="AI60">
        <f>IF('Calculations PJ'!AI60&lt;&gt;0,'Calculations PJ'!AI60*About!$B$45,0)</f>
        <v>6788294562277.9307</v>
      </c>
      <c r="AJ60">
        <f>IF('Calculations PJ'!AJ60&lt;&gt;0,'Calculations PJ'!AJ60*About!$B$45,0)</f>
        <v>6728129359861.6533</v>
      </c>
      <c r="AK60">
        <f>IF('Calculations PJ'!AK60&lt;&gt;0,'Calculations PJ'!AK60*About!$B$45,0)</f>
        <v>6667964157445.377</v>
      </c>
      <c r="AL60">
        <f>IF('Calculations PJ'!AL60&lt;&gt;0,'Calculations PJ'!AL60*About!$B$45,0)</f>
        <v>6607920993979.2334</v>
      </c>
      <c r="AM60">
        <f>IF('Calculations PJ'!AM60&lt;&gt;0,'Calculations PJ'!AM60*About!$B$45,0)</f>
        <v>6547023557862.1494</v>
      </c>
      <c r="AN60">
        <f>IF('Calculations PJ'!AN60&lt;&gt;0,'Calculations PJ'!AN60*About!$B$45,0)</f>
        <v>6486248160695.1992</v>
      </c>
      <c r="AO60">
        <f>IF('Calculations PJ'!AO60&lt;&gt;0,'Calculations PJ'!AO60*About!$B$45,0)</f>
        <v>6486248160695.1992</v>
      </c>
      <c r="AP60">
        <f>IF('Calculations PJ'!AP60&lt;&gt;0,'Calculations PJ'!AP60*About!$B$45,0)</f>
        <v>6486248160695.1992</v>
      </c>
      <c r="AQ60">
        <f>IF('Calculations PJ'!AQ60&lt;&gt;0,'Calculations PJ'!AQ60*About!$B$45,0)</f>
        <v>6486248160695.1992</v>
      </c>
      <c r="AR60">
        <f>IF('Calculations PJ'!AR60&lt;&gt;0,'Calculations PJ'!AR60*About!$B$45,0)</f>
        <v>6486248160695.1992</v>
      </c>
      <c r="AS60">
        <f>IF('Calculations PJ'!AS60&lt;&gt;0,'Calculations PJ'!AS60*About!$B$45,0)</f>
        <v>6486248160695.1992</v>
      </c>
      <c r="AT60">
        <f>IF('Calculations PJ'!AT60&lt;&gt;0,'Calculations PJ'!AT60*About!$B$45,0)</f>
        <v>6486248160695.1992</v>
      </c>
      <c r="AU60">
        <f>IF('Calculations PJ'!AU60&lt;&gt;0,'Calculations PJ'!AU60*About!$B$45,0)</f>
        <v>6486248160695.1992</v>
      </c>
      <c r="AV60">
        <f>IF('Calculations PJ'!AV60&lt;&gt;0,'Calculations PJ'!AV60*About!$B$45,0)</f>
        <v>6486248160695.1992</v>
      </c>
      <c r="AW60">
        <f>IF('Calculations PJ'!AW60&lt;&gt;0,'Calculations PJ'!AW60*About!$B$45,0)</f>
        <v>6486248160695.1992</v>
      </c>
      <c r="AX60">
        <f>IF('Calculations PJ'!AX60&lt;&gt;0,'Calculations PJ'!AX60*About!$B$45,0)</f>
        <v>6486248160695.1992</v>
      </c>
      <c r="AY60">
        <f>IF('Calculations PJ'!AY60&lt;&gt;0,'Calculations PJ'!AY60*About!$B$45,0)</f>
        <v>6486248160695.1992</v>
      </c>
      <c r="AZ60">
        <f>IF('Calculations PJ'!AZ60&lt;&gt;0,'Calculations PJ'!AZ60*About!$B$45,0)</f>
        <v>6486248160695.1992</v>
      </c>
      <c r="BA60">
        <f>IF('Calculations PJ'!BA60&lt;&gt;0,'Calculations PJ'!BA60*About!$B$45,0)</f>
        <v>6486248160695.1992</v>
      </c>
      <c r="BB60">
        <f>IF('Calculations PJ'!BB60&lt;&gt;0,'Calculations PJ'!BB60*About!$B$45,0)</f>
        <v>6486248160695.1992</v>
      </c>
      <c r="BC60">
        <f>IF('Calculations PJ'!BC60&lt;&gt;0,'Calculations PJ'!BC60*About!$B$45,0)</f>
        <v>6486248160695.1992</v>
      </c>
      <c r="BD60">
        <f>IF('Calculations PJ'!BD60&lt;&gt;0,'Calculations PJ'!BD60*About!$B$45,0)</f>
        <v>6486248160695.1992</v>
      </c>
      <c r="BE60">
        <f>IF('Calculations PJ'!BE60&lt;&gt;0,'Calculations PJ'!BE60*About!$B$45,0)</f>
        <v>6486248160695.1992</v>
      </c>
      <c r="BF60">
        <f>IF('Calculations PJ'!BF60&lt;&gt;0,'Calculations PJ'!BF60*About!$B$45,0)</f>
        <v>6486248160695.1992</v>
      </c>
      <c r="BG60">
        <f>IF('Calculations PJ'!BG60&lt;&gt;0,'Calculations PJ'!BG60*About!$B$45,0)</f>
        <v>6486248160695.1992</v>
      </c>
      <c r="BH60">
        <f>IF('Calculations PJ'!BH60&lt;&gt;0,'Calculations PJ'!BH60*About!$B$45,0)</f>
        <v>6486248160695.1992</v>
      </c>
    </row>
    <row r="61" spans="1:60" hidden="1" outlineLevel="1">
      <c r="B61" t="s">
        <v>132</v>
      </c>
      <c r="C61">
        <f>IF('Calculations PJ'!C61&lt;&gt;0,'Calculations PJ'!C61*About!$B$45,0)</f>
        <v>0</v>
      </c>
      <c r="D61">
        <f>IF('Calculations PJ'!D61&lt;&gt;0,'Calculations PJ'!D61*About!$B$45,0)</f>
        <v>0</v>
      </c>
      <c r="E61">
        <f>IF('Calculations PJ'!E61&lt;&gt;0,'Calculations PJ'!E61*About!$B$45,0)</f>
        <v>0</v>
      </c>
      <c r="F61">
        <f>IF('Calculations PJ'!F61&lt;&gt;0,'Calculations PJ'!F61*About!$B$45,0)</f>
        <v>0</v>
      </c>
      <c r="G61">
        <f>IF('Calculations PJ'!G61&lt;&gt;0,'Calculations PJ'!G61*About!$B$45,0)</f>
        <v>0</v>
      </c>
      <c r="H61">
        <f>IF('Calculations PJ'!H61&lt;&gt;0,'Calculations PJ'!H61*About!$B$45,0)</f>
        <v>0</v>
      </c>
      <c r="I61">
        <f>IF('Calculations PJ'!I61&lt;&gt;0,'Calculations PJ'!I61*About!$B$45,0)</f>
        <v>0</v>
      </c>
      <c r="J61">
        <f>IF('Calculations PJ'!J61&lt;&gt;0,'Calculations PJ'!J61*About!$B$45,0)</f>
        <v>0</v>
      </c>
      <c r="K61">
        <f>IF('Calculations PJ'!K61&lt;&gt;0,'Calculations PJ'!K61*About!$B$45,0)</f>
        <v>0</v>
      </c>
      <c r="L61">
        <f>IF('Calculations PJ'!L61&lt;&gt;0,'Calculations PJ'!L61*About!$B$45,0)</f>
        <v>0</v>
      </c>
      <c r="M61">
        <f>IF('Calculations PJ'!M61&lt;&gt;0,'Calculations PJ'!M61*About!$B$45,0)</f>
        <v>0</v>
      </c>
      <c r="N61">
        <f>IF('Calculations PJ'!N61&lt;&gt;0,'Calculations PJ'!N61*About!$B$45,0)</f>
        <v>0</v>
      </c>
      <c r="O61">
        <f>IF('Calculations PJ'!O61&lt;&gt;0,'Calculations PJ'!O61*About!$B$45,0)</f>
        <v>0</v>
      </c>
      <c r="P61">
        <f>IF('Calculations PJ'!P61&lt;&gt;0,'Calculations PJ'!P61*About!$B$45,0)</f>
        <v>0</v>
      </c>
      <c r="Q61">
        <f>IF('Calculations PJ'!Q61&lt;&gt;0,'Calculations PJ'!Q61*About!$B$45,0)</f>
        <v>0</v>
      </c>
      <c r="R61">
        <f>IF('Calculations PJ'!R61&lt;&gt;0,'Calculations PJ'!R61*About!$B$45,0)</f>
        <v>0</v>
      </c>
      <c r="S61">
        <f>IF('Calculations PJ'!S61&lt;&gt;0,'Calculations PJ'!S61*About!$B$45,0)</f>
        <v>0</v>
      </c>
      <c r="T61">
        <f>IF('Calculations PJ'!T61&lt;&gt;0,'Calculations PJ'!T61*About!$B$45,0)</f>
        <v>0</v>
      </c>
      <c r="U61">
        <f>IF('Calculations PJ'!U61&lt;&gt;0,'Calculations PJ'!U61*About!$B$45,0)</f>
        <v>0</v>
      </c>
      <c r="V61">
        <f>IF('Calculations PJ'!V61&lt;&gt;0,'Calculations PJ'!V61*About!$B$45,0)</f>
        <v>0</v>
      </c>
      <c r="W61">
        <f>IF('Calculations PJ'!W61&lt;&gt;0,'Calculations PJ'!W61*About!$B$45,0)</f>
        <v>0</v>
      </c>
      <c r="X61">
        <f>IF('Calculations PJ'!X61&lt;&gt;0,'Calculations PJ'!X61*About!$B$45,0)</f>
        <v>0</v>
      </c>
      <c r="Y61">
        <f>IF('Calculations PJ'!Y61&lt;&gt;0,'Calculations PJ'!Y61*About!$B$45,0)</f>
        <v>0</v>
      </c>
      <c r="Z61">
        <f>IF('Calculations PJ'!Z61&lt;&gt;0,'Calculations PJ'!Z61*About!$B$45,0)</f>
        <v>0</v>
      </c>
      <c r="AA61">
        <f>IF('Calculations PJ'!AA61&lt;&gt;0,'Calculations PJ'!AA61*About!$B$45,0)</f>
        <v>0</v>
      </c>
      <c r="AB61">
        <f>IF('Calculations PJ'!AB61&lt;&gt;0,'Calculations PJ'!AB61*About!$B$45,0)</f>
        <v>0</v>
      </c>
      <c r="AC61">
        <f>IF('Calculations PJ'!AC61&lt;&gt;0,'Calculations PJ'!AC61*About!$B$45,0)</f>
        <v>0</v>
      </c>
      <c r="AD61">
        <f>IF('Calculations PJ'!AD61&lt;&gt;0,'Calculations PJ'!AD61*About!$B$45,0)</f>
        <v>0</v>
      </c>
      <c r="AE61">
        <f>IF('Calculations PJ'!AE61&lt;&gt;0,'Calculations PJ'!AE61*About!$B$45,0)</f>
        <v>0</v>
      </c>
      <c r="AF61">
        <f>IF('Calculations PJ'!AF61&lt;&gt;0,'Calculations PJ'!AF61*About!$B$45,0)</f>
        <v>0</v>
      </c>
      <c r="AG61">
        <f>IF('Calculations PJ'!AG61&lt;&gt;0,'Calculations PJ'!AG61*About!$B$45,0)</f>
        <v>0</v>
      </c>
      <c r="AH61">
        <f>IF('Calculations PJ'!AH61&lt;&gt;0,'Calculations PJ'!AH61*About!$B$45,0)</f>
        <v>0</v>
      </c>
      <c r="AI61">
        <f>IF('Calculations PJ'!AI61&lt;&gt;0,'Calculations PJ'!AI61*About!$B$45,0)</f>
        <v>0</v>
      </c>
      <c r="AJ61">
        <f>IF('Calculations PJ'!AJ61&lt;&gt;0,'Calculations PJ'!AJ61*About!$B$45,0)</f>
        <v>0</v>
      </c>
      <c r="AK61">
        <f>IF('Calculations PJ'!AK61&lt;&gt;0,'Calculations PJ'!AK61*About!$B$45,0)</f>
        <v>0</v>
      </c>
      <c r="AL61">
        <f>IF('Calculations PJ'!AL61&lt;&gt;0,'Calculations PJ'!AL61*About!$B$45,0)</f>
        <v>0</v>
      </c>
      <c r="AM61">
        <f>IF('Calculations PJ'!AM61&lt;&gt;0,'Calculations PJ'!AM61*About!$B$45,0)</f>
        <v>0</v>
      </c>
      <c r="AN61">
        <f>IF('Calculations PJ'!AN61&lt;&gt;0,'Calculations PJ'!AN61*About!$B$45,0)</f>
        <v>0</v>
      </c>
      <c r="AO61">
        <f>IF('Calculations PJ'!AO61&lt;&gt;0,'Calculations PJ'!AO61*About!$B$45,0)</f>
        <v>0</v>
      </c>
      <c r="AP61">
        <f>IF('Calculations PJ'!AP61&lt;&gt;0,'Calculations PJ'!AP61*About!$B$45,0)</f>
        <v>0</v>
      </c>
      <c r="AQ61">
        <f>IF('Calculations PJ'!AQ61&lt;&gt;0,'Calculations PJ'!AQ61*About!$B$45,0)</f>
        <v>0</v>
      </c>
      <c r="AR61">
        <f>IF('Calculations PJ'!AR61&lt;&gt;0,'Calculations PJ'!AR61*About!$B$45,0)</f>
        <v>0</v>
      </c>
      <c r="AS61">
        <f>IF('Calculations PJ'!AS61&lt;&gt;0,'Calculations PJ'!AS61*About!$B$45,0)</f>
        <v>0</v>
      </c>
      <c r="AT61">
        <f>IF('Calculations PJ'!AT61&lt;&gt;0,'Calculations PJ'!AT61*About!$B$45,0)</f>
        <v>0</v>
      </c>
      <c r="AU61">
        <f>IF('Calculations PJ'!AU61&lt;&gt;0,'Calculations PJ'!AU61*About!$B$45,0)</f>
        <v>0</v>
      </c>
      <c r="AV61">
        <f>IF('Calculations PJ'!AV61&lt;&gt;0,'Calculations PJ'!AV61*About!$B$45,0)</f>
        <v>0</v>
      </c>
      <c r="AW61">
        <f>IF('Calculations PJ'!AW61&lt;&gt;0,'Calculations PJ'!AW61*About!$B$45,0)</f>
        <v>0</v>
      </c>
      <c r="AX61">
        <f>IF('Calculations PJ'!AX61&lt;&gt;0,'Calculations PJ'!AX61*About!$B$45,0)</f>
        <v>0</v>
      </c>
      <c r="AY61">
        <f>IF('Calculations PJ'!AY61&lt;&gt;0,'Calculations PJ'!AY61*About!$B$45,0)</f>
        <v>0</v>
      </c>
      <c r="AZ61">
        <f>IF('Calculations PJ'!AZ61&lt;&gt;0,'Calculations PJ'!AZ61*About!$B$45,0)</f>
        <v>0</v>
      </c>
      <c r="BA61">
        <f>IF('Calculations PJ'!BA61&lt;&gt;0,'Calculations PJ'!BA61*About!$B$45,0)</f>
        <v>0</v>
      </c>
      <c r="BB61">
        <f>IF('Calculations PJ'!BB61&lt;&gt;0,'Calculations PJ'!BB61*About!$B$45,0)</f>
        <v>0</v>
      </c>
      <c r="BC61">
        <f>IF('Calculations PJ'!BC61&lt;&gt;0,'Calculations PJ'!BC61*About!$B$45,0)</f>
        <v>0</v>
      </c>
      <c r="BD61">
        <f>IF('Calculations PJ'!BD61&lt;&gt;0,'Calculations PJ'!BD61*About!$B$45,0)</f>
        <v>0</v>
      </c>
      <c r="BE61">
        <f>IF('Calculations PJ'!BE61&lt;&gt;0,'Calculations PJ'!BE61*About!$B$45,0)</f>
        <v>0</v>
      </c>
      <c r="BF61">
        <f>IF('Calculations PJ'!BF61&lt;&gt;0,'Calculations PJ'!BF61*About!$B$45,0)</f>
        <v>0</v>
      </c>
      <c r="BG61">
        <f>IF('Calculations PJ'!BG61&lt;&gt;0,'Calculations PJ'!BG61*About!$B$45,0)</f>
        <v>0</v>
      </c>
      <c r="BH61">
        <f>IF('Calculations PJ'!BH61&lt;&gt;0,'Calculations PJ'!BH61*About!$B$45,0)</f>
        <v>0</v>
      </c>
    </row>
    <row r="62" spans="1:60" hidden="1" outlineLevel="1">
      <c r="B62" t="s">
        <v>133</v>
      </c>
      <c r="C62">
        <f>IF('Calculations PJ'!C62&lt;&gt;0,'Calculations PJ'!C62*About!$B$45,0)</f>
        <v>30957340729778.512</v>
      </c>
      <c r="D62">
        <f>IF('Calculations PJ'!D62&lt;&gt;0,'Calculations PJ'!D62*About!$B$45,0)</f>
        <v>29355445266418.879</v>
      </c>
      <c r="E62">
        <f>IF('Calculations PJ'!E62&lt;&gt;0,'Calculations PJ'!E62*About!$B$45,0)</f>
        <v>30303312404501.504</v>
      </c>
      <c r="F62">
        <f>IF('Calculations PJ'!F62&lt;&gt;0,'Calculations PJ'!F62*About!$B$45,0)</f>
        <v>33573454030886.563</v>
      </c>
      <c r="G62">
        <f>IF('Calculations PJ'!G62&lt;&gt;0,'Calculations PJ'!G62*About!$B$45,0)</f>
        <v>32180089337905.105</v>
      </c>
      <c r="H62">
        <f>IF('Calculations PJ'!H62&lt;&gt;0,'Calculations PJ'!H62*About!$B$45,0)</f>
        <v>33383880603270.035</v>
      </c>
      <c r="I62">
        <f>IF('Calculations PJ'!I62&lt;&gt;0,'Calculations PJ'!I62*About!$B$45,0)</f>
        <v>34530799840350.012</v>
      </c>
      <c r="J62">
        <f>IF('Calculations PJ'!J62&lt;&gt;0,'Calculations PJ'!J62*About!$B$45,0)</f>
        <v>29924165549268.457</v>
      </c>
      <c r="K62">
        <f>IF('Calculations PJ'!K62&lt;&gt;0,'Calculations PJ'!K62*About!$B$45,0)</f>
        <v>36672979572416.742</v>
      </c>
      <c r="L62">
        <f>IF('Calculations PJ'!L62&lt;&gt;0,'Calculations PJ'!L62*About!$B$45,0)</f>
        <v>37241699855266.313</v>
      </c>
      <c r="M62">
        <f>IF('Calculations PJ'!M62&lt;&gt;0,'Calculations PJ'!M62*About!$B$45,0)</f>
        <v>37592410696356.883</v>
      </c>
      <c r="N62">
        <f>IF('Calculations PJ'!N62&lt;&gt;0,'Calculations PJ'!N62*About!$B$45,0)</f>
        <v>37943121537447.461</v>
      </c>
      <c r="O62">
        <f>IF('Calculations PJ'!O62&lt;&gt;0,'Calculations PJ'!O62*About!$B$45,0)</f>
        <v>38303311049918.852</v>
      </c>
      <c r="P62">
        <f>IF('Calculations PJ'!P62&lt;&gt;0,'Calculations PJ'!P62*About!$B$45,0)</f>
        <v>38654021891009.43</v>
      </c>
      <c r="Q62">
        <f>IF('Calculations PJ'!Q62&lt;&gt;0,'Calculations PJ'!Q62*About!$B$45,0)</f>
        <v>39004732732100</v>
      </c>
      <c r="R62">
        <f>IF('Calculations PJ'!R62&lt;&gt;0,'Calculations PJ'!R62*About!$B$45,0)</f>
        <v>39355443573190.57</v>
      </c>
      <c r="S62">
        <f>IF('Calculations PJ'!S62&lt;&gt;0,'Calculations PJ'!S62*About!$B$45,0)</f>
        <v>39706154414281.141</v>
      </c>
      <c r="T62">
        <f>IF('Calculations PJ'!T62&lt;&gt;0,'Calculations PJ'!T62*About!$B$45,0)</f>
        <v>40056865255371.711</v>
      </c>
      <c r="U62">
        <f>IF('Calculations PJ'!U62&lt;&gt;0,'Calculations PJ'!U62*About!$B$45,0)</f>
        <v>40417054767843.109</v>
      </c>
      <c r="V62">
        <f>IF('Calculations PJ'!V62&lt;&gt;0,'Calculations PJ'!V62*About!$B$45,0)</f>
        <v>40767765608933.68</v>
      </c>
      <c r="W62">
        <f>IF('Calculations PJ'!W62&lt;&gt;0,'Calculations PJ'!W62*About!$B$45,0)</f>
        <v>41118476450024.25</v>
      </c>
      <c r="X62">
        <f>IF('Calculations PJ'!X62&lt;&gt;0,'Calculations PJ'!X62*About!$B$45,0)</f>
        <v>41279613863498.297</v>
      </c>
      <c r="Y62">
        <f>IF('Calculations PJ'!Y62&lt;&gt;0,'Calculations PJ'!Y62*About!$B$45,0)</f>
        <v>41175348478309.203</v>
      </c>
      <c r="Z62">
        <f>IF('Calculations PJ'!Z62&lt;&gt;0,'Calculations PJ'!Z62*About!$B$45,0)</f>
        <v>41071083093120.117</v>
      </c>
      <c r="AA62">
        <f>IF('Calculations PJ'!AA62&lt;&gt;0,'Calculations PJ'!AA62*About!$B$45,0)</f>
        <v>40966817707931.031</v>
      </c>
      <c r="AB62">
        <f>IF('Calculations PJ'!AB62&lt;&gt;0,'Calculations PJ'!AB62*About!$B$45,0)</f>
        <v>40862552322741.945</v>
      </c>
      <c r="AC62">
        <f>IF('Calculations PJ'!AC62&lt;&gt;0,'Calculations PJ'!AC62*About!$B$45,0)</f>
        <v>40758286937552.852</v>
      </c>
      <c r="AD62">
        <f>IF('Calculations PJ'!AD62&lt;&gt;0,'Calculations PJ'!AD62*About!$B$45,0)</f>
        <v>40654021552363.766</v>
      </c>
      <c r="AE62">
        <f>IF('Calculations PJ'!AE62&lt;&gt;0,'Calculations PJ'!AE62*About!$B$45,0)</f>
        <v>40549756167174.68</v>
      </c>
      <c r="AF62">
        <f>IF('Calculations PJ'!AF62&lt;&gt;0,'Calculations PJ'!AF62*About!$B$45,0)</f>
        <v>40445490781985.586</v>
      </c>
      <c r="AG62">
        <f>IF('Calculations PJ'!AG62&lt;&gt;0,'Calculations PJ'!AG62*About!$B$45,0)</f>
        <v>40341225396796.5</v>
      </c>
      <c r="AH62">
        <f>IF('Calculations PJ'!AH62&lt;&gt;0,'Calculations PJ'!AH62*About!$B$45,0)</f>
        <v>40236960011607.414</v>
      </c>
      <c r="AI62">
        <f>IF('Calculations PJ'!AI62&lt;&gt;0,'Calculations PJ'!AI62*About!$B$45,0)</f>
        <v>40132694626418.328</v>
      </c>
      <c r="AJ62">
        <f>IF('Calculations PJ'!AJ62&lt;&gt;0,'Calculations PJ'!AJ62*About!$B$45,0)</f>
        <v>40028429241229.227</v>
      </c>
      <c r="AK62">
        <f>IF('Calculations PJ'!AK62&lt;&gt;0,'Calculations PJ'!AK62*About!$B$45,0)</f>
        <v>39924163856040.141</v>
      </c>
      <c r="AL62">
        <f>IF('Calculations PJ'!AL62&lt;&gt;0,'Calculations PJ'!AL62*About!$B$45,0)</f>
        <v>39819898470851.055</v>
      </c>
      <c r="AM62">
        <f>IF('Calculations PJ'!AM62&lt;&gt;0,'Calculations PJ'!AM62*About!$B$45,0)</f>
        <v>39715633085661.969</v>
      </c>
      <c r="AN62">
        <f>IF('Calculations PJ'!AN62&lt;&gt;0,'Calculations PJ'!AN62*About!$B$45,0)</f>
        <v>39611367700472.875</v>
      </c>
      <c r="AO62">
        <f>IF('Calculations PJ'!AO62&lt;&gt;0,'Calculations PJ'!AO62*About!$B$45,0)</f>
        <v>39611367700472.875</v>
      </c>
      <c r="AP62">
        <f>IF('Calculations PJ'!AP62&lt;&gt;0,'Calculations PJ'!AP62*About!$B$45,0)</f>
        <v>39611367700472.875</v>
      </c>
      <c r="AQ62">
        <f>IF('Calculations PJ'!AQ62&lt;&gt;0,'Calculations PJ'!AQ62*About!$B$45,0)</f>
        <v>39611367700472.875</v>
      </c>
      <c r="AR62">
        <f>IF('Calculations PJ'!AR62&lt;&gt;0,'Calculations PJ'!AR62*About!$B$45,0)</f>
        <v>39611367700472.875</v>
      </c>
      <c r="AS62">
        <f>IF('Calculations PJ'!AS62&lt;&gt;0,'Calculations PJ'!AS62*About!$B$45,0)</f>
        <v>39611367700472.875</v>
      </c>
      <c r="AT62">
        <f>IF('Calculations PJ'!AT62&lt;&gt;0,'Calculations PJ'!AT62*About!$B$45,0)</f>
        <v>39611367700472.875</v>
      </c>
      <c r="AU62">
        <f>IF('Calculations PJ'!AU62&lt;&gt;0,'Calculations PJ'!AU62*About!$B$45,0)</f>
        <v>39611367700472.875</v>
      </c>
      <c r="AV62">
        <f>IF('Calculations PJ'!AV62&lt;&gt;0,'Calculations PJ'!AV62*About!$B$45,0)</f>
        <v>39611367700472.875</v>
      </c>
      <c r="AW62">
        <f>IF('Calculations PJ'!AW62&lt;&gt;0,'Calculations PJ'!AW62*About!$B$45,0)</f>
        <v>39611367700472.875</v>
      </c>
      <c r="AX62">
        <f>IF('Calculations PJ'!AX62&lt;&gt;0,'Calculations PJ'!AX62*About!$B$45,0)</f>
        <v>39611367700472.875</v>
      </c>
      <c r="AY62">
        <f>IF('Calculations PJ'!AY62&lt;&gt;0,'Calculations PJ'!AY62*About!$B$45,0)</f>
        <v>39611367700472.875</v>
      </c>
      <c r="AZ62">
        <f>IF('Calculations PJ'!AZ62&lt;&gt;0,'Calculations PJ'!AZ62*About!$B$45,0)</f>
        <v>39611367700472.875</v>
      </c>
      <c r="BA62">
        <f>IF('Calculations PJ'!BA62&lt;&gt;0,'Calculations PJ'!BA62*About!$B$45,0)</f>
        <v>39611367700472.875</v>
      </c>
      <c r="BB62">
        <f>IF('Calculations PJ'!BB62&lt;&gt;0,'Calculations PJ'!BB62*About!$B$45,0)</f>
        <v>39611367700472.875</v>
      </c>
      <c r="BC62">
        <f>IF('Calculations PJ'!BC62&lt;&gt;0,'Calculations PJ'!BC62*About!$B$45,0)</f>
        <v>39611367700472.875</v>
      </c>
      <c r="BD62">
        <f>IF('Calculations PJ'!BD62&lt;&gt;0,'Calculations PJ'!BD62*About!$B$45,0)</f>
        <v>39611367700472.875</v>
      </c>
      <c r="BE62">
        <f>IF('Calculations PJ'!BE62&lt;&gt;0,'Calculations PJ'!BE62*About!$B$45,0)</f>
        <v>39611367700472.875</v>
      </c>
      <c r="BF62">
        <f>IF('Calculations PJ'!BF62&lt;&gt;0,'Calculations PJ'!BF62*About!$B$45,0)</f>
        <v>39611367700472.875</v>
      </c>
      <c r="BG62">
        <f>IF('Calculations PJ'!BG62&lt;&gt;0,'Calculations PJ'!BG62*About!$B$45,0)</f>
        <v>39611367700472.875</v>
      </c>
      <c r="BH62">
        <f>IF('Calculations PJ'!BH62&lt;&gt;0,'Calculations PJ'!BH62*About!$B$45,0)</f>
        <v>39611367700472.875</v>
      </c>
    </row>
    <row r="63" spans="1:60" hidden="1" outlineLevel="1">
      <c r="B63" t="s">
        <v>134</v>
      </c>
      <c r="C63">
        <f>IF('Calculations PJ'!C63&lt;&gt;0,'Calculations PJ'!C63*About!$B$45,0)</f>
        <v>142289075433273.28</v>
      </c>
      <c r="D63">
        <f>IF('Calculations PJ'!D63&lt;&gt;0,'Calculations PJ'!D63*About!$B$45,0)</f>
        <v>137900450583950.67</v>
      </c>
      <c r="E63">
        <f>IF('Calculations PJ'!E63&lt;&gt;0,'Calculations PJ'!E63*About!$B$45,0)</f>
        <v>51398095562530.273</v>
      </c>
      <c r="F63">
        <f>IF('Calculations PJ'!F63&lt;&gt;0,'Calculations PJ'!F63*About!$B$45,0)</f>
        <v>39061604760384.859</v>
      </c>
      <c r="G63">
        <f>IF('Calculations PJ'!G63&lt;&gt;0,'Calculations PJ'!G63*About!$B$45,0)</f>
        <v>57563971295757.641</v>
      </c>
      <c r="H63">
        <f>IF('Calculations PJ'!H63&lt;&gt;0,'Calculations PJ'!H63*About!$B$45,0)</f>
        <v>9677723479823.8301</v>
      </c>
      <c r="I63">
        <f>IF('Calculations PJ'!I63&lt;&gt;0,'Calculations PJ'!I63*About!$B$45,0)</f>
        <v>24298574084748.043</v>
      </c>
      <c r="J63">
        <f>IF('Calculations PJ'!J63&lt;&gt;0,'Calculations PJ'!J63*About!$B$45,0)</f>
        <v>19056868811151.191</v>
      </c>
      <c r="K63">
        <f>IF('Calculations PJ'!K63&lt;&gt;0,'Calculations PJ'!K63*About!$B$45,0)</f>
        <v>66412311029759.07</v>
      </c>
      <c r="L63">
        <f>IF('Calculations PJ'!L63&lt;&gt;0,'Calculations PJ'!L63*About!$B$45,0)</f>
        <v>58535356542872.242</v>
      </c>
      <c r="M63">
        <f>IF('Calculations PJ'!M63&lt;&gt;0,'Calculations PJ'!M63*About!$B$45,0)</f>
        <v>59069450247129.906</v>
      </c>
      <c r="N63">
        <f>IF('Calculations PJ'!N63&lt;&gt;0,'Calculations PJ'!N63*About!$B$45,0)</f>
        <v>60818255394503.719</v>
      </c>
      <c r="O63">
        <f>IF('Calculations PJ'!O63&lt;&gt;0,'Calculations PJ'!O63*About!$B$45,0)</f>
        <v>62308575304015.984</v>
      </c>
      <c r="P63">
        <f>IF('Calculations PJ'!P63&lt;&gt;0,'Calculations PJ'!P63*About!$B$45,0)</f>
        <v>65371032140129.742</v>
      </c>
      <c r="Q63">
        <f>IF('Calculations PJ'!Q63&lt;&gt;0,'Calculations PJ'!Q63*About!$B$45,0)</f>
        <v>70102799121331.172</v>
      </c>
      <c r="R63">
        <f>IF('Calculations PJ'!R63&lt;&gt;0,'Calculations PJ'!R63*About!$B$45,0)</f>
        <v>72143393490226.469</v>
      </c>
      <c r="S63">
        <f>IF('Calculations PJ'!S63&lt;&gt;0,'Calculations PJ'!S63*About!$B$45,0)</f>
        <v>72291718608034.109</v>
      </c>
      <c r="T63">
        <f>IF('Calculations PJ'!T63&lt;&gt;0,'Calculations PJ'!T63*About!$B$45,0)</f>
        <v>72289615575357.672</v>
      </c>
      <c r="U63">
        <f>IF('Calculations PJ'!U63&lt;&gt;0,'Calculations PJ'!U63*About!$B$45,0)</f>
        <v>72118030339202.625</v>
      </c>
      <c r="V63">
        <f>IF('Calculations PJ'!V63&lt;&gt;0,'Calculations PJ'!V63*About!$B$45,0)</f>
        <v>71761702038549.531</v>
      </c>
      <c r="W63">
        <f>IF('Calculations PJ'!W63&lt;&gt;0,'Calculations PJ'!W63*About!$B$45,0)</f>
        <v>71239631678954.719</v>
      </c>
      <c r="X63">
        <f>IF('Calculations PJ'!X63&lt;&gt;0,'Calculations PJ'!X63*About!$B$45,0)</f>
        <v>70365759046262.57</v>
      </c>
      <c r="Y63">
        <f>IF('Calculations PJ'!Y63&lt;&gt;0,'Calculations PJ'!Y63*About!$B$45,0)</f>
        <v>69141401290129.781</v>
      </c>
      <c r="Z63">
        <f>IF('Calculations PJ'!Z63&lt;&gt;0,'Calculations PJ'!Z63*About!$B$45,0)</f>
        <v>67567990876666.156</v>
      </c>
      <c r="AA63">
        <f>IF('Calculations PJ'!AA63&lt;&gt;0,'Calculations PJ'!AA63*About!$B$45,0)</f>
        <v>65638639771019.828</v>
      </c>
      <c r="AB63">
        <f>IF('Calculations PJ'!AB63&lt;&gt;0,'Calculations PJ'!AB63*About!$B$45,0)</f>
        <v>63714585254868.977</v>
      </c>
      <c r="AC63">
        <f>IF('Calculations PJ'!AC63&lt;&gt;0,'Calculations PJ'!AC63*About!$B$45,0)</f>
        <v>61787665806490.531</v>
      </c>
      <c r="AD63">
        <f>IF('Calculations PJ'!AD63&lt;&gt;0,'Calculations PJ'!AD63*About!$B$45,0)</f>
        <v>59855891705960.703</v>
      </c>
      <c r="AE63">
        <f>IF('Calculations PJ'!AE63&lt;&gt;0,'Calculations PJ'!AE63*About!$B$45,0)</f>
        <v>57927265495759.977</v>
      </c>
      <c r="AF63">
        <f>IF('Calculations PJ'!AF63&lt;&gt;0,'Calculations PJ'!AF63*About!$B$45,0)</f>
        <v>56002547071731.969</v>
      </c>
      <c r="AG63">
        <f>IF('Calculations PJ'!AG63&lt;&gt;0,'Calculations PJ'!AG63*About!$B$45,0)</f>
        <v>54079544071919.578</v>
      </c>
      <c r="AH63">
        <f>IF('Calculations PJ'!AH63&lt;&gt;0,'Calculations PJ'!AH63*About!$B$45,0)</f>
        <v>52140775282460.93</v>
      </c>
      <c r="AI63">
        <f>IF('Calculations PJ'!AI63&lt;&gt;0,'Calculations PJ'!AI63*About!$B$45,0)</f>
        <v>50218656157346.117</v>
      </c>
      <c r="AJ63">
        <f>IF('Calculations PJ'!AJ63&lt;&gt;0,'Calculations PJ'!AJ63*About!$B$45,0)</f>
        <v>48297579886180.672</v>
      </c>
      <c r="AK63">
        <f>IF('Calculations PJ'!AK63&lt;&gt;0,'Calculations PJ'!AK63*About!$B$45,0)</f>
        <v>46359261696464.625</v>
      </c>
      <c r="AL63">
        <f>IF('Calculations PJ'!AL63&lt;&gt;0,'Calculations PJ'!AL63*About!$B$45,0)</f>
        <v>44432181265130.688</v>
      </c>
      <c r="AM63">
        <f>IF('Calculations PJ'!AM63&lt;&gt;0,'Calculations PJ'!AM63*About!$B$45,0)</f>
        <v>42499928223151.414</v>
      </c>
      <c r="AN63">
        <f>IF('Calculations PJ'!AN63&lt;&gt;0,'Calculations PJ'!AN63*About!$B$45,0)</f>
        <v>40572131558760.789</v>
      </c>
      <c r="AO63">
        <f>IF('Calculations PJ'!AO63&lt;&gt;0,'Calculations PJ'!AO63*About!$B$45,0)</f>
        <v>40572131558760.789</v>
      </c>
      <c r="AP63">
        <f>IF('Calculations PJ'!AP63&lt;&gt;0,'Calculations PJ'!AP63*About!$B$45,0)</f>
        <v>40572131558760.789</v>
      </c>
      <c r="AQ63">
        <f>IF('Calculations PJ'!AQ63&lt;&gt;0,'Calculations PJ'!AQ63*About!$B$45,0)</f>
        <v>40572131558760.789</v>
      </c>
      <c r="AR63">
        <f>IF('Calculations PJ'!AR63&lt;&gt;0,'Calculations PJ'!AR63*About!$B$45,0)</f>
        <v>40572131558760.789</v>
      </c>
      <c r="AS63">
        <f>IF('Calculations PJ'!AS63&lt;&gt;0,'Calculations PJ'!AS63*About!$B$45,0)</f>
        <v>40572131558760.789</v>
      </c>
      <c r="AT63">
        <f>IF('Calculations PJ'!AT63&lt;&gt;0,'Calculations PJ'!AT63*About!$B$45,0)</f>
        <v>40572131558760.789</v>
      </c>
      <c r="AU63">
        <f>IF('Calculations PJ'!AU63&lt;&gt;0,'Calculations PJ'!AU63*About!$B$45,0)</f>
        <v>40572131558760.789</v>
      </c>
      <c r="AV63">
        <f>IF('Calculations PJ'!AV63&lt;&gt;0,'Calculations PJ'!AV63*About!$B$45,0)</f>
        <v>40572131558760.789</v>
      </c>
      <c r="AW63">
        <f>IF('Calculations PJ'!AW63&lt;&gt;0,'Calculations PJ'!AW63*About!$B$45,0)</f>
        <v>40572131558760.789</v>
      </c>
      <c r="AX63">
        <f>IF('Calculations PJ'!AX63&lt;&gt;0,'Calculations PJ'!AX63*About!$B$45,0)</f>
        <v>40572131558760.789</v>
      </c>
      <c r="AY63">
        <f>IF('Calculations PJ'!AY63&lt;&gt;0,'Calculations PJ'!AY63*About!$B$45,0)</f>
        <v>40572131558760.789</v>
      </c>
      <c r="AZ63">
        <f>IF('Calculations PJ'!AZ63&lt;&gt;0,'Calculations PJ'!AZ63*About!$B$45,0)</f>
        <v>40572131558760.789</v>
      </c>
      <c r="BA63">
        <f>IF('Calculations PJ'!BA63&lt;&gt;0,'Calculations PJ'!BA63*About!$B$45,0)</f>
        <v>40572131558760.789</v>
      </c>
      <c r="BB63">
        <f>IF('Calculations PJ'!BB63&lt;&gt;0,'Calculations PJ'!BB63*About!$B$45,0)</f>
        <v>40572131558760.789</v>
      </c>
      <c r="BC63">
        <f>IF('Calculations PJ'!BC63&lt;&gt;0,'Calculations PJ'!BC63*About!$B$45,0)</f>
        <v>40572131558760.789</v>
      </c>
      <c r="BD63">
        <f>IF('Calculations PJ'!BD63&lt;&gt;0,'Calculations PJ'!BD63*About!$B$45,0)</f>
        <v>40572131558760.789</v>
      </c>
      <c r="BE63">
        <f>IF('Calculations PJ'!BE63&lt;&gt;0,'Calculations PJ'!BE63*About!$B$45,0)</f>
        <v>40572131558760.789</v>
      </c>
      <c r="BF63">
        <f>IF('Calculations PJ'!BF63&lt;&gt;0,'Calculations PJ'!BF63*About!$B$45,0)</f>
        <v>40572131558760.789</v>
      </c>
      <c r="BG63">
        <f>IF('Calculations PJ'!BG63&lt;&gt;0,'Calculations PJ'!BG63*About!$B$45,0)</f>
        <v>40572131558760.789</v>
      </c>
      <c r="BH63">
        <f>IF('Calculations PJ'!BH63&lt;&gt;0,'Calculations PJ'!BH63*About!$B$45,0)</f>
        <v>40572131558760.789</v>
      </c>
    </row>
    <row r="64" spans="1:60" hidden="1" outlineLevel="1">
      <c r="B64" t="s">
        <v>135</v>
      </c>
      <c r="C64">
        <f>IF('Calculations PJ'!C64&lt;&gt;0,'Calculations PJ'!C64*About!$B$45,0)</f>
        <v>62834112583497.188</v>
      </c>
      <c r="D64">
        <f>IF('Calculations PJ'!D64&lt;&gt;0,'Calculations PJ'!D64*About!$B$45,0)</f>
        <v>74388612996724.375</v>
      </c>
      <c r="E64">
        <f>IF('Calculations PJ'!E64&lt;&gt;0,'Calculations PJ'!E64*About!$B$45,0)</f>
        <v>67658756316337.734</v>
      </c>
      <c r="F64">
        <f>IF('Calculations PJ'!F64&lt;&gt;0,'Calculations PJ'!F64*About!$B$45,0)</f>
        <v>70047381504305.953</v>
      </c>
      <c r="G64">
        <f>IF('Calculations PJ'!G64&lt;&gt;0,'Calculations PJ'!G64*About!$B$45,0)</f>
        <v>77137427697163.984</v>
      </c>
      <c r="H64">
        <f>IF('Calculations PJ'!H64&lt;&gt;0,'Calculations PJ'!H64*About!$B$45,0)</f>
        <v>81270128419204.219</v>
      </c>
      <c r="I64">
        <f>IF('Calculations PJ'!I64&lt;&gt;0,'Calculations PJ'!I64*About!$B$45,0)</f>
        <v>76530792728791.094</v>
      </c>
      <c r="J64">
        <f>IF('Calculations PJ'!J64&lt;&gt;0,'Calculations PJ'!J64*About!$B$45,0)</f>
        <v>74540271738817.594</v>
      </c>
      <c r="K64">
        <f>IF('Calculations PJ'!K64&lt;&gt;0,'Calculations PJ'!K64*About!$B$45,0)</f>
        <v>95999983745008.219</v>
      </c>
      <c r="L64">
        <f>IF('Calculations PJ'!L64&lt;&gt;0,'Calculations PJ'!L64*About!$B$45,0)</f>
        <v>97488135151797.922</v>
      </c>
      <c r="M64">
        <f>IF('Calculations PJ'!M64&lt;&gt;0,'Calculations PJ'!M64*About!$B$45,0)</f>
        <v>98407566275738.078</v>
      </c>
      <c r="N64">
        <f>IF('Calculations PJ'!N64&lt;&gt;0,'Calculations PJ'!N64*About!$B$45,0)</f>
        <v>99336476071059.047</v>
      </c>
      <c r="O64">
        <f>IF('Calculations PJ'!O64&lt;&gt;0,'Calculations PJ'!O64*About!$B$45,0)</f>
        <v>100255907194999.19</v>
      </c>
      <c r="P64">
        <f>IF('Calculations PJ'!P64&lt;&gt;0,'Calculations PJ'!P64*About!$B$45,0)</f>
        <v>101175338318939.33</v>
      </c>
      <c r="Q64">
        <f>IF('Calculations PJ'!Q64&lt;&gt;0,'Calculations PJ'!Q64*About!$B$45,0)</f>
        <v>102104248114260.31</v>
      </c>
      <c r="R64">
        <f>IF('Calculations PJ'!R64&lt;&gt;0,'Calculations PJ'!R64*About!$B$45,0)</f>
        <v>103023679238200.45</v>
      </c>
      <c r="S64">
        <f>IF('Calculations PJ'!S64&lt;&gt;0,'Calculations PJ'!S64*About!$B$45,0)</f>
        <v>103943110362140.59</v>
      </c>
      <c r="T64">
        <f>IF('Calculations PJ'!T64&lt;&gt;0,'Calculations PJ'!T64*About!$B$45,0)</f>
        <v>104872020157461.58</v>
      </c>
      <c r="U64">
        <f>IF('Calculations PJ'!U64&lt;&gt;0,'Calculations PJ'!U64*About!$B$45,0)</f>
        <v>105791451281401.72</v>
      </c>
      <c r="V64">
        <f>IF('Calculations PJ'!V64&lt;&gt;0,'Calculations PJ'!V64*About!$B$45,0)</f>
        <v>106710882405341.86</v>
      </c>
      <c r="W64">
        <f>IF('Calculations PJ'!W64&lt;&gt;0,'Calculations PJ'!W64*About!$B$45,0)</f>
        <v>107639792200662.84</v>
      </c>
      <c r="X64">
        <f>IF('Calculations PJ'!X64&lt;&gt;0,'Calculations PJ'!X64*About!$B$45,0)</f>
        <v>108047375070038.36</v>
      </c>
      <c r="Y64">
        <f>IF('Calculations PJ'!Y64&lt;&gt;0,'Calculations PJ'!Y64*About!$B$45,0)</f>
        <v>107781972271375.23</v>
      </c>
      <c r="Z64">
        <f>IF('Calculations PJ'!Z64&lt;&gt;0,'Calculations PJ'!Z64*About!$B$45,0)</f>
        <v>107507090801331.28</v>
      </c>
      <c r="AA64">
        <f>IF('Calculations PJ'!AA64&lt;&gt;0,'Calculations PJ'!AA64*About!$B$45,0)</f>
        <v>107232209331287.31</v>
      </c>
      <c r="AB64">
        <f>IF('Calculations PJ'!AB64&lt;&gt;0,'Calculations PJ'!AB64*About!$B$45,0)</f>
        <v>106966806532624.17</v>
      </c>
      <c r="AC64">
        <f>IF('Calculations PJ'!AC64&lt;&gt;0,'Calculations PJ'!AC64*About!$B$45,0)</f>
        <v>106691925062580.22</v>
      </c>
      <c r="AD64">
        <f>IF('Calculations PJ'!AD64&lt;&gt;0,'Calculations PJ'!AD64*About!$B$45,0)</f>
        <v>106417043592536.25</v>
      </c>
      <c r="AE64">
        <f>IF('Calculations PJ'!AE64&lt;&gt;0,'Calculations PJ'!AE64*About!$B$45,0)</f>
        <v>106151640793873.11</v>
      </c>
      <c r="AF64">
        <f>IF('Calculations PJ'!AF64&lt;&gt;0,'Calculations PJ'!AF64*About!$B$45,0)</f>
        <v>105876759323829.16</v>
      </c>
      <c r="AG64">
        <f>IF('Calculations PJ'!AG64&lt;&gt;0,'Calculations PJ'!AG64*About!$B$45,0)</f>
        <v>105601877853785.19</v>
      </c>
      <c r="AH64">
        <f>IF('Calculations PJ'!AH64&lt;&gt;0,'Calculations PJ'!AH64*About!$B$45,0)</f>
        <v>105336475055122.06</v>
      </c>
      <c r="AI64">
        <f>IF('Calculations PJ'!AI64&lt;&gt;0,'Calculations PJ'!AI64*About!$B$45,0)</f>
        <v>105061593585078.11</v>
      </c>
      <c r="AJ64">
        <f>IF('Calculations PJ'!AJ64&lt;&gt;0,'Calculations PJ'!AJ64*About!$B$45,0)</f>
        <v>104786712115034.14</v>
      </c>
      <c r="AK64">
        <f>IF('Calculations PJ'!AK64&lt;&gt;0,'Calculations PJ'!AK64*About!$B$45,0)</f>
        <v>104521309316371</v>
      </c>
      <c r="AL64">
        <f>IF('Calculations PJ'!AL64&lt;&gt;0,'Calculations PJ'!AL64*About!$B$45,0)</f>
        <v>104246427846327.05</v>
      </c>
      <c r="AM64">
        <f>IF('Calculations PJ'!AM64&lt;&gt;0,'Calculations PJ'!AM64*About!$B$45,0)</f>
        <v>103971546376283.08</v>
      </c>
      <c r="AN64">
        <f>IF('Calculations PJ'!AN64&lt;&gt;0,'Calculations PJ'!AN64*About!$B$45,0)</f>
        <v>103696664906239.13</v>
      </c>
      <c r="AO64">
        <f>IF('Calculations PJ'!AO64&lt;&gt;0,'Calculations PJ'!AO64*About!$B$45,0)</f>
        <v>103696664906239.13</v>
      </c>
      <c r="AP64">
        <f>IF('Calculations PJ'!AP64&lt;&gt;0,'Calculations PJ'!AP64*About!$B$45,0)</f>
        <v>103696664906239.13</v>
      </c>
      <c r="AQ64">
        <f>IF('Calculations PJ'!AQ64&lt;&gt;0,'Calculations PJ'!AQ64*About!$B$45,0)</f>
        <v>103696664906239.13</v>
      </c>
      <c r="AR64">
        <f>IF('Calculations PJ'!AR64&lt;&gt;0,'Calculations PJ'!AR64*About!$B$45,0)</f>
        <v>103696664906239.13</v>
      </c>
      <c r="AS64">
        <f>IF('Calculations PJ'!AS64&lt;&gt;0,'Calculations PJ'!AS64*About!$B$45,0)</f>
        <v>103696664906239.13</v>
      </c>
      <c r="AT64">
        <f>IF('Calculations PJ'!AT64&lt;&gt;0,'Calculations PJ'!AT64*About!$B$45,0)</f>
        <v>103696664906239.13</v>
      </c>
      <c r="AU64">
        <f>IF('Calculations PJ'!AU64&lt;&gt;0,'Calculations PJ'!AU64*About!$B$45,0)</f>
        <v>103696664906239.13</v>
      </c>
      <c r="AV64">
        <f>IF('Calculations PJ'!AV64&lt;&gt;0,'Calculations PJ'!AV64*About!$B$45,0)</f>
        <v>103696664906239.13</v>
      </c>
      <c r="AW64">
        <f>IF('Calculations PJ'!AW64&lt;&gt;0,'Calculations PJ'!AW64*About!$B$45,0)</f>
        <v>103696664906239.13</v>
      </c>
      <c r="AX64">
        <f>IF('Calculations PJ'!AX64&lt;&gt;0,'Calculations PJ'!AX64*About!$B$45,0)</f>
        <v>103696664906239.13</v>
      </c>
      <c r="AY64">
        <f>IF('Calculations PJ'!AY64&lt;&gt;0,'Calculations PJ'!AY64*About!$B$45,0)</f>
        <v>103696664906239.13</v>
      </c>
      <c r="AZ64">
        <f>IF('Calculations PJ'!AZ64&lt;&gt;0,'Calculations PJ'!AZ64*About!$B$45,0)</f>
        <v>103696664906239.13</v>
      </c>
      <c r="BA64">
        <f>IF('Calculations PJ'!BA64&lt;&gt;0,'Calculations PJ'!BA64*About!$B$45,0)</f>
        <v>103696664906239.13</v>
      </c>
      <c r="BB64">
        <f>IF('Calculations PJ'!BB64&lt;&gt;0,'Calculations PJ'!BB64*About!$B$45,0)</f>
        <v>103696664906239.13</v>
      </c>
      <c r="BC64">
        <f>IF('Calculations PJ'!BC64&lt;&gt;0,'Calculations PJ'!BC64*About!$B$45,0)</f>
        <v>103696664906239.13</v>
      </c>
      <c r="BD64">
        <f>IF('Calculations PJ'!BD64&lt;&gt;0,'Calculations PJ'!BD64*About!$B$45,0)</f>
        <v>103696664906239.13</v>
      </c>
      <c r="BE64">
        <f>IF('Calculations PJ'!BE64&lt;&gt;0,'Calculations PJ'!BE64*About!$B$45,0)</f>
        <v>103696664906239.13</v>
      </c>
      <c r="BF64">
        <f>IF('Calculations PJ'!BF64&lt;&gt;0,'Calculations PJ'!BF64*About!$B$45,0)</f>
        <v>103696664906239.13</v>
      </c>
      <c r="BG64">
        <f>IF('Calculations PJ'!BG64&lt;&gt;0,'Calculations PJ'!BG64*About!$B$45,0)</f>
        <v>103696664906239.13</v>
      </c>
      <c r="BH64">
        <f>IF('Calculations PJ'!BH64&lt;&gt;0,'Calculations PJ'!BH64*About!$B$45,0)</f>
        <v>103696664906239.13</v>
      </c>
    </row>
    <row r="65" spans="1:60" hidden="1" outlineLevel="1">
      <c r="B65" t="s">
        <v>136</v>
      </c>
      <c r="C65">
        <f>IF('Calculations PJ'!C65&lt;&gt;0,'Calculations PJ'!C65*About!$B$45,0)</f>
        <v>5175354573931.1299</v>
      </c>
      <c r="D65">
        <f>IF('Calculations PJ'!D65&lt;&gt;0,'Calculations PJ'!D65*About!$B$45,0)</f>
        <v>5450236043975.0908</v>
      </c>
      <c r="E65">
        <f>IF('Calculations PJ'!E65&lt;&gt;0,'Calculations PJ'!E65*About!$B$45,0)</f>
        <v>5715638842638.2256</v>
      </c>
      <c r="F65">
        <f>IF('Calculations PJ'!F65&lt;&gt;0,'Calculations PJ'!F65*About!$B$45,0)</f>
        <v>5848340241969.793</v>
      </c>
      <c r="G65">
        <f>IF('Calculations PJ'!G65&lt;&gt;0,'Calculations PJ'!G65*About!$B$45,0)</f>
        <v>5345970658786.002</v>
      </c>
      <c r="H65">
        <f>IF('Calculations PJ'!H65&lt;&gt;0,'Calculations PJ'!H65*About!$B$45,0)</f>
        <v>5412321358451.7861</v>
      </c>
      <c r="I65">
        <f>IF('Calculations PJ'!I65&lt;&gt;0,'Calculations PJ'!I65*About!$B$45,0)</f>
        <v>4909951775267.9951</v>
      </c>
      <c r="J65">
        <f>IF('Calculations PJ'!J65&lt;&gt;0,'Calculations PJ'!J65*About!$B$45,0)</f>
        <v>5165875902550.3037</v>
      </c>
      <c r="K65">
        <f>IF('Calculations PJ'!K65&lt;&gt;0,'Calculations PJ'!K65*About!$B$45,0)</f>
        <v>7971562631274.8721</v>
      </c>
      <c r="L65">
        <f>IF('Calculations PJ'!L65&lt;&gt;0,'Calculations PJ'!L65*About!$B$45,0)</f>
        <v>8094785359225.6123</v>
      </c>
      <c r="M65">
        <f>IF('Calculations PJ'!M65&lt;&gt;0,'Calculations PJ'!M65*About!$B$45,0)</f>
        <v>8236965429938.0068</v>
      </c>
      <c r="N65">
        <f>IF('Calculations PJ'!N65&lt;&gt;0,'Calculations PJ'!N65*About!$B$45,0)</f>
        <v>8379145500650.4004</v>
      </c>
      <c r="O65">
        <f>IF('Calculations PJ'!O65&lt;&gt;0,'Calculations PJ'!O65*About!$B$45,0)</f>
        <v>8521325571362.7949</v>
      </c>
      <c r="P65">
        <f>IF('Calculations PJ'!P65&lt;&gt;0,'Calculations PJ'!P65*About!$B$45,0)</f>
        <v>8672984313456.0146</v>
      </c>
      <c r="Q65">
        <f>IF('Calculations PJ'!Q65&lt;&gt;0,'Calculations PJ'!Q65*About!$B$45,0)</f>
        <v>8815164384168.4082</v>
      </c>
      <c r="R65">
        <f>IF('Calculations PJ'!R65&lt;&gt;0,'Calculations PJ'!R65*About!$B$45,0)</f>
        <v>8957344454880.8008</v>
      </c>
      <c r="S65">
        <f>IF('Calculations PJ'!S65&lt;&gt;0,'Calculations PJ'!S65*About!$B$45,0)</f>
        <v>9099524525593.1953</v>
      </c>
      <c r="T65">
        <f>IF('Calculations PJ'!T65&lt;&gt;0,'Calculations PJ'!T65*About!$B$45,0)</f>
        <v>9241704596305.5898</v>
      </c>
      <c r="U65">
        <f>IF('Calculations PJ'!U65&lt;&gt;0,'Calculations PJ'!U65*About!$B$45,0)</f>
        <v>9393363338398.8086</v>
      </c>
      <c r="V65">
        <f>IF('Calculations PJ'!V65&lt;&gt;0,'Calculations PJ'!V65*About!$B$45,0)</f>
        <v>9535543409111.2031</v>
      </c>
      <c r="W65">
        <f>IF('Calculations PJ'!W65&lt;&gt;0,'Calculations PJ'!W65*About!$B$45,0)</f>
        <v>9677723479823.5977</v>
      </c>
      <c r="X65">
        <f>IF('Calculations PJ'!X65&lt;&gt;0,'Calculations PJ'!X65*About!$B$45,0)</f>
        <v>9819903550535.9902</v>
      </c>
      <c r="Y65">
        <f>IF('Calculations PJ'!Y65&lt;&gt;0,'Calculations PJ'!Y65*About!$B$45,0)</f>
        <v>9962083621248.3828</v>
      </c>
      <c r="Z65">
        <f>IF('Calculations PJ'!Z65&lt;&gt;0,'Calculations PJ'!Z65*About!$B$45,0)</f>
        <v>10113742363341.604</v>
      </c>
      <c r="AA65">
        <f>IF('Calculations PJ'!AA65&lt;&gt;0,'Calculations PJ'!AA65*About!$B$45,0)</f>
        <v>10255922434053.998</v>
      </c>
      <c r="AB65">
        <f>IF('Calculations PJ'!AB65&lt;&gt;0,'Calculations PJ'!AB65*About!$B$45,0)</f>
        <v>10398102504766.391</v>
      </c>
      <c r="AC65">
        <f>IF('Calculations PJ'!AC65&lt;&gt;0,'Calculations PJ'!AC65*About!$B$45,0)</f>
        <v>10540282575478.783</v>
      </c>
      <c r="AD65">
        <f>IF('Calculations PJ'!AD65&lt;&gt;0,'Calculations PJ'!AD65*About!$B$45,0)</f>
        <v>10691941317572.004</v>
      </c>
      <c r="AE65">
        <f>IF('Calculations PJ'!AE65&lt;&gt;0,'Calculations PJ'!AE65*About!$B$45,0)</f>
        <v>10834121388284.398</v>
      </c>
      <c r="AF65">
        <f>IF('Calculations PJ'!AF65&lt;&gt;0,'Calculations PJ'!AF65*About!$B$45,0)</f>
        <v>10976301458996.791</v>
      </c>
      <c r="AG65">
        <f>IF('Calculations PJ'!AG65&lt;&gt;0,'Calculations PJ'!AG65*About!$B$45,0)</f>
        <v>11118481529709.186</v>
      </c>
      <c r="AH65">
        <f>IF('Calculations PJ'!AH65&lt;&gt;0,'Calculations PJ'!AH65*About!$B$45,0)</f>
        <v>11260661600421.58</v>
      </c>
      <c r="AI65">
        <f>IF('Calculations PJ'!AI65&lt;&gt;0,'Calculations PJ'!AI65*About!$B$45,0)</f>
        <v>11412320342514.799</v>
      </c>
      <c r="AJ65">
        <f>IF('Calculations PJ'!AJ65&lt;&gt;0,'Calculations PJ'!AJ65*About!$B$45,0)</f>
        <v>11554500413227.191</v>
      </c>
      <c r="AK65">
        <f>IF('Calculations PJ'!AK65&lt;&gt;0,'Calculations PJ'!AK65*About!$B$45,0)</f>
        <v>11696680483939.586</v>
      </c>
      <c r="AL65">
        <f>IF('Calculations PJ'!AL65&lt;&gt;0,'Calculations PJ'!AL65*About!$B$45,0)</f>
        <v>11838860554651.98</v>
      </c>
      <c r="AM65">
        <f>IF('Calculations PJ'!AM65&lt;&gt;0,'Calculations PJ'!AM65*About!$B$45,0)</f>
        <v>11981040625364.375</v>
      </c>
      <c r="AN65">
        <f>IF('Calculations PJ'!AN65&lt;&gt;0,'Calculations PJ'!AN65*About!$B$45,0)</f>
        <v>12132699367457.594</v>
      </c>
      <c r="AO65">
        <f>IF('Calculations PJ'!AO65&lt;&gt;0,'Calculations PJ'!AO65*About!$B$45,0)</f>
        <v>12132699367457.594</v>
      </c>
      <c r="AP65">
        <f>IF('Calculations PJ'!AP65&lt;&gt;0,'Calculations PJ'!AP65*About!$B$45,0)</f>
        <v>12132699367457.594</v>
      </c>
      <c r="AQ65">
        <f>IF('Calculations PJ'!AQ65&lt;&gt;0,'Calculations PJ'!AQ65*About!$B$45,0)</f>
        <v>12132699367457.594</v>
      </c>
      <c r="AR65">
        <f>IF('Calculations PJ'!AR65&lt;&gt;0,'Calculations PJ'!AR65*About!$B$45,0)</f>
        <v>12132699367457.594</v>
      </c>
      <c r="AS65">
        <f>IF('Calculations PJ'!AS65&lt;&gt;0,'Calculations PJ'!AS65*About!$B$45,0)</f>
        <v>12132699367457.594</v>
      </c>
      <c r="AT65">
        <f>IF('Calculations PJ'!AT65&lt;&gt;0,'Calculations PJ'!AT65*About!$B$45,0)</f>
        <v>12132699367457.594</v>
      </c>
      <c r="AU65">
        <f>IF('Calculations PJ'!AU65&lt;&gt;0,'Calculations PJ'!AU65*About!$B$45,0)</f>
        <v>12132699367457.594</v>
      </c>
      <c r="AV65">
        <f>IF('Calculations PJ'!AV65&lt;&gt;0,'Calculations PJ'!AV65*About!$B$45,0)</f>
        <v>12132699367457.594</v>
      </c>
      <c r="AW65">
        <f>IF('Calculations PJ'!AW65&lt;&gt;0,'Calculations PJ'!AW65*About!$B$45,0)</f>
        <v>12132699367457.594</v>
      </c>
      <c r="AX65">
        <f>IF('Calculations PJ'!AX65&lt;&gt;0,'Calculations PJ'!AX65*About!$B$45,0)</f>
        <v>12132699367457.594</v>
      </c>
      <c r="AY65">
        <f>IF('Calculations PJ'!AY65&lt;&gt;0,'Calculations PJ'!AY65*About!$B$45,0)</f>
        <v>12132699367457.594</v>
      </c>
      <c r="AZ65">
        <f>IF('Calculations PJ'!AZ65&lt;&gt;0,'Calculations PJ'!AZ65*About!$B$45,0)</f>
        <v>12132699367457.594</v>
      </c>
      <c r="BA65">
        <f>IF('Calculations PJ'!BA65&lt;&gt;0,'Calculations PJ'!BA65*About!$B$45,0)</f>
        <v>12132699367457.594</v>
      </c>
      <c r="BB65">
        <f>IF('Calculations PJ'!BB65&lt;&gt;0,'Calculations PJ'!BB65*About!$B$45,0)</f>
        <v>12132699367457.594</v>
      </c>
      <c r="BC65">
        <f>IF('Calculations PJ'!BC65&lt;&gt;0,'Calculations PJ'!BC65*About!$B$45,0)</f>
        <v>12132699367457.594</v>
      </c>
      <c r="BD65">
        <f>IF('Calculations PJ'!BD65&lt;&gt;0,'Calculations PJ'!BD65*About!$B$45,0)</f>
        <v>12132699367457.594</v>
      </c>
      <c r="BE65">
        <f>IF('Calculations PJ'!BE65&lt;&gt;0,'Calculations PJ'!BE65*About!$B$45,0)</f>
        <v>12132699367457.594</v>
      </c>
      <c r="BF65">
        <f>IF('Calculations PJ'!BF65&lt;&gt;0,'Calculations PJ'!BF65*About!$B$45,0)</f>
        <v>12132699367457.594</v>
      </c>
      <c r="BG65">
        <f>IF('Calculations PJ'!BG65&lt;&gt;0,'Calculations PJ'!BG65*About!$B$45,0)</f>
        <v>12132699367457.594</v>
      </c>
      <c r="BH65">
        <f>IF('Calculations PJ'!BH65&lt;&gt;0,'Calculations PJ'!BH65*About!$B$45,0)</f>
        <v>12132699367457.594</v>
      </c>
    </row>
    <row r="66" spans="1:60" hidden="1" outlineLevel="1">
      <c r="B66" t="s">
        <v>137</v>
      </c>
      <c r="C66">
        <f>IF('Calculations PJ'!C66&lt;&gt;0,'Calculations PJ'!C66*About!$B$45,0)</f>
        <v>46018949553911.414</v>
      </c>
      <c r="D66">
        <f>IF('Calculations PJ'!D66&lt;&gt;0,'Calculations PJ'!D66*About!$B$45,0)</f>
        <v>50246436989759.922</v>
      </c>
      <c r="E66">
        <f>IF('Calculations PJ'!E66&lt;&gt;0,'Calculations PJ'!E66*About!$B$45,0)</f>
        <v>50635062516373.805</v>
      </c>
      <c r="F66">
        <f>IF('Calculations PJ'!F66&lt;&gt;0,'Calculations PJ'!F66*About!$B$45,0)</f>
        <v>55440748906452.711</v>
      </c>
      <c r="G66">
        <f>IF('Calculations PJ'!G66&lt;&gt;0,'Calculations PJ'!G66*About!$B$45,0)</f>
        <v>43393357581422.555</v>
      </c>
      <c r="H66">
        <f>IF('Calculations PJ'!H66&lt;&gt;0,'Calculations PJ'!H66*About!$B$45,0)</f>
        <v>44066343249461.219</v>
      </c>
      <c r="I66">
        <f>IF('Calculations PJ'!I66&lt;&gt;0,'Calculations PJ'!I66*About!$B$45,0)</f>
        <v>44616106189549.133</v>
      </c>
      <c r="J66">
        <f>IF('Calculations PJ'!J66&lt;&gt;0,'Calculations PJ'!J66*About!$B$45,0)</f>
        <v>38663500562390.25</v>
      </c>
      <c r="K66">
        <f>IF('Calculations PJ'!K66&lt;&gt;0,'Calculations PJ'!K66*About!$B$45,0)</f>
        <v>50151650275951.656</v>
      </c>
      <c r="L66">
        <f>IF('Calculations PJ'!L66&lt;&gt;0,'Calculations PJ'!L66*About!$B$45,0)</f>
        <v>50104256919047.531</v>
      </c>
      <c r="M66">
        <f>IF('Calculations PJ'!M66&lt;&gt;0,'Calculations PJ'!M66*About!$B$45,0)</f>
        <v>49857811463146.047</v>
      </c>
      <c r="N66">
        <f>IF('Calculations PJ'!N66&lt;&gt;0,'Calculations PJ'!N66*About!$B$45,0)</f>
        <v>49620844678625.398</v>
      </c>
      <c r="O66">
        <f>IF('Calculations PJ'!O66&lt;&gt;0,'Calculations PJ'!O66*About!$B$45,0)</f>
        <v>49383877894104.742</v>
      </c>
      <c r="P66">
        <f>IF('Calculations PJ'!P66&lt;&gt;0,'Calculations PJ'!P66*About!$B$45,0)</f>
        <v>49137432438203.258</v>
      </c>
      <c r="Q66">
        <f>IF('Calculations PJ'!Q66&lt;&gt;0,'Calculations PJ'!Q66*About!$B$45,0)</f>
        <v>48900465653682.602</v>
      </c>
      <c r="R66">
        <f>IF('Calculations PJ'!R66&lt;&gt;0,'Calculations PJ'!R66*About!$B$45,0)</f>
        <v>48663498869161.945</v>
      </c>
      <c r="S66">
        <f>IF('Calculations PJ'!S66&lt;&gt;0,'Calculations PJ'!S66*About!$B$45,0)</f>
        <v>48417053413260.461</v>
      </c>
      <c r="T66">
        <f>IF('Calculations PJ'!T66&lt;&gt;0,'Calculations PJ'!T66*About!$B$45,0)</f>
        <v>48180086628739.805</v>
      </c>
      <c r="U66">
        <f>IF('Calculations PJ'!U66&lt;&gt;0,'Calculations PJ'!U66*About!$B$45,0)</f>
        <v>47943119844219.148</v>
      </c>
      <c r="V66">
        <f>IF('Calculations PJ'!V66&lt;&gt;0,'Calculations PJ'!V66*About!$B$45,0)</f>
        <v>47696674388317.664</v>
      </c>
      <c r="W66">
        <f>IF('Calculations PJ'!W66&lt;&gt;0,'Calculations PJ'!W66*About!$B$45,0)</f>
        <v>47459707603797.008</v>
      </c>
      <c r="X66">
        <f>IF('Calculations PJ'!X66&lt;&gt;0,'Calculations PJ'!X66*About!$B$45,0)</f>
        <v>47222740819276.352</v>
      </c>
      <c r="Y66">
        <f>IF('Calculations PJ'!Y66&lt;&gt;0,'Calculations PJ'!Y66*About!$B$45,0)</f>
        <v>46976295363374.875</v>
      </c>
      <c r="Z66">
        <f>IF('Calculations PJ'!Z66&lt;&gt;0,'Calculations PJ'!Z66*About!$B$45,0)</f>
        <v>46739328578854.219</v>
      </c>
      <c r="AA66">
        <f>IF('Calculations PJ'!AA66&lt;&gt;0,'Calculations PJ'!AA66*About!$B$45,0)</f>
        <v>46502361794333.563</v>
      </c>
      <c r="AB66">
        <f>IF('Calculations PJ'!AB66&lt;&gt;0,'Calculations PJ'!AB66*About!$B$45,0)</f>
        <v>46255916338432.07</v>
      </c>
      <c r="AC66">
        <f>IF('Calculations PJ'!AC66&lt;&gt;0,'Calculations PJ'!AC66*About!$B$45,0)</f>
        <v>46018949553911.414</v>
      </c>
      <c r="AD66">
        <f>IF('Calculations PJ'!AD66&lt;&gt;0,'Calculations PJ'!AD66*About!$B$45,0)</f>
        <v>45781982769390.758</v>
      </c>
      <c r="AE66">
        <f>IF('Calculations PJ'!AE66&lt;&gt;0,'Calculations PJ'!AE66*About!$B$45,0)</f>
        <v>45535537313489.281</v>
      </c>
      <c r="AF66">
        <f>IF('Calculations PJ'!AF66&lt;&gt;0,'Calculations PJ'!AF66*About!$B$45,0)</f>
        <v>45298570528968.625</v>
      </c>
      <c r="AG66">
        <f>IF('Calculations PJ'!AG66&lt;&gt;0,'Calculations PJ'!AG66*About!$B$45,0)</f>
        <v>45061603744447.969</v>
      </c>
      <c r="AH66">
        <f>IF('Calculations PJ'!AH66&lt;&gt;0,'Calculations PJ'!AH66*About!$B$45,0)</f>
        <v>44815158288546.484</v>
      </c>
      <c r="AI66">
        <f>IF('Calculations PJ'!AI66&lt;&gt;0,'Calculations PJ'!AI66*About!$B$45,0)</f>
        <v>44578191504025.828</v>
      </c>
      <c r="AJ66">
        <f>IF('Calculations PJ'!AJ66&lt;&gt;0,'Calculations PJ'!AJ66*About!$B$45,0)</f>
        <v>44341224719505.172</v>
      </c>
      <c r="AK66">
        <f>IF('Calculations PJ'!AK66&lt;&gt;0,'Calculations PJ'!AK66*About!$B$45,0)</f>
        <v>44094779263603.695</v>
      </c>
      <c r="AL66">
        <f>IF('Calculations PJ'!AL66&lt;&gt;0,'Calculations PJ'!AL66*About!$B$45,0)</f>
        <v>43857812479083.039</v>
      </c>
      <c r="AM66">
        <f>IF('Calculations PJ'!AM66&lt;&gt;0,'Calculations PJ'!AM66*About!$B$45,0)</f>
        <v>43620845694562.383</v>
      </c>
      <c r="AN66">
        <f>IF('Calculations PJ'!AN66&lt;&gt;0,'Calculations PJ'!AN66*About!$B$45,0)</f>
        <v>43374400238660.898</v>
      </c>
      <c r="AO66">
        <f>IF('Calculations PJ'!AO66&lt;&gt;0,'Calculations PJ'!AO66*About!$B$45,0)</f>
        <v>43374400238660.898</v>
      </c>
      <c r="AP66">
        <f>IF('Calculations PJ'!AP66&lt;&gt;0,'Calculations PJ'!AP66*About!$B$45,0)</f>
        <v>43374400238660.898</v>
      </c>
      <c r="AQ66">
        <f>IF('Calculations PJ'!AQ66&lt;&gt;0,'Calculations PJ'!AQ66*About!$B$45,0)</f>
        <v>43374400238660.898</v>
      </c>
      <c r="AR66">
        <f>IF('Calculations PJ'!AR66&lt;&gt;0,'Calculations PJ'!AR66*About!$B$45,0)</f>
        <v>43374400238660.898</v>
      </c>
      <c r="AS66">
        <f>IF('Calculations PJ'!AS66&lt;&gt;0,'Calculations PJ'!AS66*About!$B$45,0)</f>
        <v>43374400238660.898</v>
      </c>
      <c r="AT66">
        <f>IF('Calculations PJ'!AT66&lt;&gt;0,'Calculations PJ'!AT66*About!$B$45,0)</f>
        <v>43374400238660.898</v>
      </c>
      <c r="AU66">
        <f>IF('Calculations PJ'!AU66&lt;&gt;0,'Calculations PJ'!AU66*About!$B$45,0)</f>
        <v>43374400238660.898</v>
      </c>
      <c r="AV66">
        <f>IF('Calculations PJ'!AV66&lt;&gt;0,'Calculations PJ'!AV66*About!$B$45,0)</f>
        <v>43374400238660.898</v>
      </c>
      <c r="AW66">
        <f>IF('Calculations PJ'!AW66&lt;&gt;0,'Calculations PJ'!AW66*About!$B$45,0)</f>
        <v>43374400238660.898</v>
      </c>
      <c r="AX66">
        <f>IF('Calculations PJ'!AX66&lt;&gt;0,'Calculations PJ'!AX66*About!$B$45,0)</f>
        <v>43374400238660.898</v>
      </c>
      <c r="AY66">
        <f>IF('Calculations PJ'!AY66&lt;&gt;0,'Calculations PJ'!AY66*About!$B$45,0)</f>
        <v>43374400238660.898</v>
      </c>
      <c r="AZ66">
        <f>IF('Calculations PJ'!AZ66&lt;&gt;0,'Calculations PJ'!AZ66*About!$B$45,0)</f>
        <v>43374400238660.898</v>
      </c>
      <c r="BA66">
        <f>IF('Calculations PJ'!BA66&lt;&gt;0,'Calculations PJ'!BA66*About!$B$45,0)</f>
        <v>43374400238660.898</v>
      </c>
      <c r="BB66">
        <f>IF('Calculations PJ'!BB66&lt;&gt;0,'Calculations PJ'!BB66*About!$B$45,0)</f>
        <v>43374400238660.898</v>
      </c>
      <c r="BC66">
        <f>IF('Calculations PJ'!BC66&lt;&gt;0,'Calculations PJ'!BC66*About!$B$45,0)</f>
        <v>43374400238660.898</v>
      </c>
      <c r="BD66">
        <f>IF('Calculations PJ'!BD66&lt;&gt;0,'Calculations PJ'!BD66*About!$B$45,0)</f>
        <v>43374400238660.898</v>
      </c>
      <c r="BE66">
        <f>IF('Calculations PJ'!BE66&lt;&gt;0,'Calculations PJ'!BE66*About!$B$45,0)</f>
        <v>43374400238660.898</v>
      </c>
      <c r="BF66">
        <f>IF('Calculations PJ'!BF66&lt;&gt;0,'Calculations PJ'!BF66*About!$B$45,0)</f>
        <v>43374400238660.898</v>
      </c>
      <c r="BG66">
        <f>IF('Calculations PJ'!BG66&lt;&gt;0,'Calculations PJ'!BG66*About!$B$45,0)</f>
        <v>43374400238660.898</v>
      </c>
      <c r="BH66">
        <f>IF('Calculations PJ'!BH66&lt;&gt;0,'Calculations PJ'!BH66*About!$B$45,0)</f>
        <v>43374400238660.898</v>
      </c>
    </row>
    <row r="67" spans="1:60" hidden="1" outlineLevel="1">
      <c r="B67" t="s">
        <v>138</v>
      </c>
      <c r="C67">
        <f>IF('Calculations PJ'!C67&lt;&gt;0,'Calculations PJ'!C67*About!$B$45,0)</f>
        <v>4189572750325.2002</v>
      </c>
      <c r="D67">
        <f>IF('Calculations PJ'!D67&lt;&gt;0,'Calculations PJ'!D67*About!$B$45,0)</f>
        <v>4976302474933.7783</v>
      </c>
      <c r="E67">
        <f>IF('Calculations PJ'!E67&lt;&gt;0,'Calculations PJ'!E67*About!$B$45,0)</f>
        <v>8758292355883.4512</v>
      </c>
      <c r="F67">
        <f>IF('Calculations PJ'!F67&lt;&gt;0,'Calculations PJ'!F67*About!$B$45,0)</f>
        <v>9592415437396.1602</v>
      </c>
      <c r="G67">
        <f>IF('Calculations PJ'!G67&lt;&gt;0,'Calculations PJ'!G67*About!$B$45,0)</f>
        <v>9232225924924.7637</v>
      </c>
      <c r="H67">
        <f>IF('Calculations PJ'!H67&lt;&gt;0,'Calculations PJ'!H67*About!$B$45,0)</f>
        <v>10075827677818.299</v>
      </c>
      <c r="I67">
        <f>IF('Calculations PJ'!I67&lt;&gt;0,'Calculations PJ'!I67*About!$B$45,0)</f>
        <v>11298576285944.885</v>
      </c>
      <c r="J67">
        <f>IF('Calculations PJ'!J67&lt;&gt;0,'Calculations PJ'!J67*About!$B$45,0)</f>
        <v>9791467536393.5117</v>
      </c>
      <c r="K67">
        <f>IF('Calculations PJ'!K67&lt;&gt;0,'Calculations PJ'!K67*About!$B$45,0)</f>
        <v>12255922095408.334</v>
      </c>
      <c r="L67">
        <f>IF('Calculations PJ'!L67&lt;&gt;0,'Calculations PJ'!L67*About!$B$45,0)</f>
        <v>12445495523024.861</v>
      </c>
      <c r="M67">
        <f>IF('Calculations PJ'!M67&lt;&gt;0,'Calculations PJ'!M67*About!$B$45,0)</f>
        <v>12559239579594.775</v>
      </c>
      <c r="N67">
        <f>IF('Calculations PJ'!N67&lt;&gt;0,'Calculations PJ'!N67*About!$B$45,0)</f>
        <v>12682462307545.518</v>
      </c>
      <c r="O67">
        <f>IF('Calculations PJ'!O67&lt;&gt;0,'Calculations PJ'!O67*About!$B$45,0)</f>
        <v>12796206364115.432</v>
      </c>
      <c r="P67">
        <f>IF('Calculations PJ'!P67&lt;&gt;0,'Calculations PJ'!P67*About!$B$45,0)</f>
        <v>12919429092066.172</v>
      </c>
      <c r="Q67">
        <f>IF('Calculations PJ'!Q67&lt;&gt;0,'Calculations PJ'!Q67*About!$B$45,0)</f>
        <v>13033173148636.088</v>
      </c>
      <c r="R67">
        <f>IF('Calculations PJ'!R67&lt;&gt;0,'Calculations PJ'!R67*About!$B$45,0)</f>
        <v>13156395876586.828</v>
      </c>
      <c r="S67">
        <f>IF('Calculations PJ'!S67&lt;&gt;0,'Calculations PJ'!S67*About!$B$45,0)</f>
        <v>13270139933156.742</v>
      </c>
      <c r="T67">
        <f>IF('Calculations PJ'!T67&lt;&gt;0,'Calculations PJ'!T67*About!$B$45,0)</f>
        <v>13383883989726.658</v>
      </c>
      <c r="U67">
        <f>IF('Calculations PJ'!U67&lt;&gt;0,'Calculations PJ'!U67*About!$B$45,0)</f>
        <v>13507106717677.398</v>
      </c>
      <c r="V67">
        <f>IF('Calculations PJ'!V67&lt;&gt;0,'Calculations PJ'!V67*About!$B$45,0)</f>
        <v>13620850774247.314</v>
      </c>
      <c r="W67">
        <f>IF('Calculations PJ'!W67&lt;&gt;0,'Calculations PJ'!W67*About!$B$45,0)</f>
        <v>13744073502198.055</v>
      </c>
      <c r="X67">
        <f>IF('Calculations PJ'!X67&lt;&gt;0,'Calculations PJ'!X67*About!$B$45,0)</f>
        <v>13791466859102.188</v>
      </c>
      <c r="Y67">
        <f>IF('Calculations PJ'!Y67&lt;&gt;0,'Calculations PJ'!Y67*About!$B$45,0)</f>
        <v>13763030844959.707</v>
      </c>
      <c r="Z67">
        <f>IF('Calculations PJ'!Z67&lt;&gt;0,'Calculations PJ'!Z67*About!$B$45,0)</f>
        <v>13725116159436.404</v>
      </c>
      <c r="AA67">
        <f>IF('Calculations PJ'!AA67&lt;&gt;0,'Calculations PJ'!AA67*About!$B$45,0)</f>
        <v>13687201473913.098</v>
      </c>
      <c r="AB67">
        <f>IF('Calculations PJ'!AB67&lt;&gt;0,'Calculations PJ'!AB67*About!$B$45,0)</f>
        <v>13658765459770.619</v>
      </c>
      <c r="AC67">
        <f>IF('Calculations PJ'!AC67&lt;&gt;0,'Calculations PJ'!AC67*About!$B$45,0)</f>
        <v>13620850774247.314</v>
      </c>
      <c r="AD67">
        <f>IF('Calculations PJ'!AD67&lt;&gt;0,'Calculations PJ'!AD67*About!$B$45,0)</f>
        <v>13582936088724.01</v>
      </c>
      <c r="AE67">
        <f>IF('Calculations PJ'!AE67&lt;&gt;0,'Calculations PJ'!AE67*About!$B$45,0)</f>
        <v>13554500074581.531</v>
      </c>
      <c r="AF67">
        <f>IF('Calculations PJ'!AF67&lt;&gt;0,'Calculations PJ'!AF67*About!$B$45,0)</f>
        <v>13516585389058.225</v>
      </c>
      <c r="AG67">
        <f>IF('Calculations PJ'!AG67&lt;&gt;0,'Calculations PJ'!AG67*About!$B$45,0)</f>
        <v>13478670703534.922</v>
      </c>
      <c r="AH67">
        <f>IF('Calculations PJ'!AH67&lt;&gt;0,'Calculations PJ'!AH67*About!$B$45,0)</f>
        <v>13450234689392.441</v>
      </c>
      <c r="AI67">
        <f>IF('Calculations PJ'!AI67&lt;&gt;0,'Calculations PJ'!AI67*About!$B$45,0)</f>
        <v>13412320003869.137</v>
      </c>
      <c r="AJ67">
        <f>IF('Calculations PJ'!AJ67&lt;&gt;0,'Calculations PJ'!AJ67*About!$B$45,0)</f>
        <v>13374405318345.832</v>
      </c>
      <c r="AK67">
        <f>IF('Calculations PJ'!AK67&lt;&gt;0,'Calculations PJ'!AK67*About!$B$45,0)</f>
        <v>13345969304203.354</v>
      </c>
      <c r="AL67">
        <f>IF('Calculations PJ'!AL67&lt;&gt;0,'Calculations PJ'!AL67*About!$B$45,0)</f>
        <v>13308054618680.047</v>
      </c>
      <c r="AM67">
        <f>IF('Calculations PJ'!AM67&lt;&gt;0,'Calculations PJ'!AM67*About!$B$45,0)</f>
        <v>13270139933156.742</v>
      </c>
      <c r="AN67">
        <f>IF('Calculations PJ'!AN67&lt;&gt;0,'Calculations PJ'!AN67*About!$B$45,0)</f>
        <v>13241703919014.266</v>
      </c>
      <c r="AO67">
        <f>IF('Calculations PJ'!AO67&lt;&gt;0,'Calculations PJ'!AO67*About!$B$45,0)</f>
        <v>13241703919014.266</v>
      </c>
      <c r="AP67">
        <f>IF('Calculations PJ'!AP67&lt;&gt;0,'Calculations PJ'!AP67*About!$B$45,0)</f>
        <v>13241703919014.266</v>
      </c>
      <c r="AQ67">
        <f>IF('Calculations PJ'!AQ67&lt;&gt;0,'Calculations PJ'!AQ67*About!$B$45,0)</f>
        <v>13241703919014.266</v>
      </c>
      <c r="AR67">
        <f>IF('Calculations PJ'!AR67&lt;&gt;0,'Calculations PJ'!AR67*About!$B$45,0)</f>
        <v>13241703919014.266</v>
      </c>
      <c r="AS67">
        <f>IF('Calculations PJ'!AS67&lt;&gt;0,'Calculations PJ'!AS67*About!$B$45,0)</f>
        <v>13241703919014.266</v>
      </c>
      <c r="AT67">
        <f>IF('Calculations PJ'!AT67&lt;&gt;0,'Calculations PJ'!AT67*About!$B$45,0)</f>
        <v>13241703919014.266</v>
      </c>
      <c r="AU67">
        <f>IF('Calculations PJ'!AU67&lt;&gt;0,'Calculations PJ'!AU67*About!$B$45,0)</f>
        <v>13241703919014.266</v>
      </c>
      <c r="AV67">
        <f>IF('Calculations PJ'!AV67&lt;&gt;0,'Calculations PJ'!AV67*About!$B$45,0)</f>
        <v>13241703919014.266</v>
      </c>
      <c r="AW67">
        <f>IF('Calculations PJ'!AW67&lt;&gt;0,'Calculations PJ'!AW67*About!$B$45,0)</f>
        <v>13241703919014.266</v>
      </c>
      <c r="AX67">
        <f>IF('Calculations PJ'!AX67&lt;&gt;0,'Calculations PJ'!AX67*About!$B$45,0)</f>
        <v>13241703919014.266</v>
      </c>
      <c r="AY67">
        <f>IF('Calculations PJ'!AY67&lt;&gt;0,'Calculations PJ'!AY67*About!$B$45,0)</f>
        <v>13241703919014.266</v>
      </c>
      <c r="AZ67">
        <f>IF('Calculations PJ'!AZ67&lt;&gt;0,'Calculations PJ'!AZ67*About!$B$45,0)</f>
        <v>13241703919014.266</v>
      </c>
      <c r="BA67">
        <f>IF('Calculations PJ'!BA67&lt;&gt;0,'Calculations PJ'!BA67*About!$B$45,0)</f>
        <v>13241703919014.266</v>
      </c>
      <c r="BB67">
        <f>IF('Calculations PJ'!BB67&lt;&gt;0,'Calculations PJ'!BB67*About!$B$45,0)</f>
        <v>13241703919014.266</v>
      </c>
      <c r="BC67">
        <f>IF('Calculations PJ'!BC67&lt;&gt;0,'Calculations PJ'!BC67*About!$B$45,0)</f>
        <v>13241703919014.266</v>
      </c>
      <c r="BD67">
        <f>IF('Calculations PJ'!BD67&lt;&gt;0,'Calculations PJ'!BD67*About!$B$45,0)</f>
        <v>13241703919014.266</v>
      </c>
      <c r="BE67">
        <f>IF('Calculations PJ'!BE67&lt;&gt;0,'Calculations PJ'!BE67*About!$B$45,0)</f>
        <v>13241703919014.266</v>
      </c>
      <c r="BF67">
        <f>IF('Calculations PJ'!BF67&lt;&gt;0,'Calculations PJ'!BF67*About!$B$45,0)</f>
        <v>13241703919014.266</v>
      </c>
      <c r="BG67">
        <f>IF('Calculations PJ'!BG67&lt;&gt;0,'Calculations PJ'!BG67*About!$B$45,0)</f>
        <v>13241703919014.266</v>
      </c>
      <c r="BH67">
        <f>IF('Calculations PJ'!BH67&lt;&gt;0,'Calculations PJ'!BH67*About!$B$45,0)</f>
        <v>13241703919014.266</v>
      </c>
    </row>
    <row r="68" spans="1:60" hidden="1" outlineLevel="1">
      <c r="B68" t="s">
        <v>139</v>
      </c>
      <c r="C68">
        <f>IF('Calculations PJ'!C68&lt;&gt;0,'Calculations PJ'!C68*About!$B$45,0)</f>
        <v>109270123678164.95</v>
      </c>
      <c r="D68">
        <f>IF('Calculations PJ'!D68&lt;&gt;0,'Calculations PJ'!D68*About!$B$45,0)</f>
        <v>113649269856106.69</v>
      </c>
      <c r="E68">
        <f>IF('Calculations PJ'!E68&lt;&gt;0,'Calculations PJ'!E68*About!$B$45,0)</f>
        <v>132625569960520.81</v>
      </c>
      <c r="F68">
        <f>IF('Calculations PJ'!F68&lt;&gt;0,'Calculations PJ'!F68*About!$B$45,0)</f>
        <v>145772487165726.81</v>
      </c>
      <c r="G68">
        <f>IF('Calculations PJ'!G68&lt;&gt;0,'Calculations PJ'!G68*About!$B$45,0)</f>
        <v>150123197329526.06</v>
      </c>
      <c r="H68">
        <f>IF('Calculations PJ'!H68&lt;&gt;0,'Calculations PJ'!H68*About!$B$45,0)</f>
        <v>155649262744547.78</v>
      </c>
      <c r="I68">
        <f>IF('Calculations PJ'!I68&lt;&gt;0,'Calculations PJ'!I68*About!$B$45,0)</f>
        <v>149090022149016</v>
      </c>
      <c r="J68">
        <f>IF('Calculations PJ'!J68&lt;&gt;0,'Calculations PJ'!J68*About!$B$45,0)</f>
        <v>140606611263176.52</v>
      </c>
      <c r="K68">
        <f>IF('Calculations PJ'!K68&lt;&gt;0,'Calculations PJ'!K68*About!$B$45,0)</f>
        <v>178928879655857.03</v>
      </c>
      <c r="L68">
        <f>IF('Calculations PJ'!L68&lt;&gt;0,'Calculations PJ'!L68*About!$B$45,0)</f>
        <v>181706130370439.09</v>
      </c>
      <c r="M68">
        <f>IF('Calculations PJ'!M68&lt;&gt;0,'Calculations PJ'!M68*About!$B$45,0)</f>
        <v>183421769890368.66</v>
      </c>
      <c r="N68">
        <f>IF('Calculations PJ'!N68&lt;&gt;0,'Calculations PJ'!N68*About!$B$45,0)</f>
        <v>185137409410298.22</v>
      </c>
      <c r="O68">
        <f>IF('Calculations PJ'!O68&lt;&gt;0,'Calculations PJ'!O68*About!$B$45,0)</f>
        <v>186862527601608.59</v>
      </c>
      <c r="P68">
        <f>IF('Calculations PJ'!P68&lt;&gt;0,'Calculations PJ'!P68*About!$B$45,0)</f>
        <v>188578167121538.13</v>
      </c>
      <c r="Q68">
        <f>IF('Calculations PJ'!Q68&lt;&gt;0,'Calculations PJ'!Q68*About!$B$45,0)</f>
        <v>190303285312848.53</v>
      </c>
      <c r="R68">
        <f>IF('Calculations PJ'!R68&lt;&gt;0,'Calculations PJ'!R68*About!$B$45,0)</f>
        <v>192018924832778.09</v>
      </c>
      <c r="S68">
        <f>IF('Calculations PJ'!S68&lt;&gt;0,'Calculations PJ'!S68*About!$B$45,0)</f>
        <v>193744043024088.47</v>
      </c>
      <c r="T68">
        <f>IF('Calculations PJ'!T68&lt;&gt;0,'Calculations PJ'!T68*About!$B$45,0)</f>
        <v>195459682544018</v>
      </c>
      <c r="U68">
        <f>IF('Calculations PJ'!U68&lt;&gt;0,'Calculations PJ'!U68*About!$B$45,0)</f>
        <v>197175322063947.56</v>
      </c>
      <c r="V68">
        <f>IF('Calculations PJ'!V68&lt;&gt;0,'Calculations PJ'!V68*About!$B$45,0)</f>
        <v>198900440255257.94</v>
      </c>
      <c r="W68">
        <f>IF('Calculations PJ'!W68&lt;&gt;0,'Calculations PJ'!W68*About!$B$45,0)</f>
        <v>200616079775187.47</v>
      </c>
      <c r="X68">
        <f>IF('Calculations PJ'!X68&lt;&gt;0,'Calculations PJ'!X68*About!$B$45,0)</f>
        <v>201383852157034.41</v>
      </c>
      <c r="Y68">
        <f>IF('Calculations PJ'!Y68&lt;&gt;0,'Calculations PJ'!Y68*About!$B$45,0)</f>
        <v>200881482573850.63</v>
      </c>
      <c r="Z68">
        <f>IF('Calculations PJ'!Z68&lt;&gt;0,'Calculations PJ'!Z68*About!$B$45,0)</f>
        <v>200379112990666.81</v>
      </c>
      <c r="AA68">
        <f>IF('Calculations PJ'!AA68&lt;&gt;0,'Calculations PJ'!AA68*About!$B$45,0)</f>
        <v>199867264736102.22</v>
      </c>
      <c r="AB68">
        <f>IF('Calculations PJ'!AB68&lt;&gt;0,'Calculations PJ'!AB68*About!$B$45,0)</f>
        <v>199364895152918.44</v>
      </c>
      <c r="AC68">
        <f>IF('Calculations PJ'!AC68&lt;&gt;0,'Calculations PJ'!AC68*About!$B$45,0)</f>
        <v>198853046898353.78</v>
      </c>
      <c r="AD68">
        <f>IF('Calculations PJ'!AD68&lt;&gt;0,'Calculations PJ'!AD68*About!$B$45,0)</f>
        <v>198350677315170</v>
      </c>
      <c r="AE68">
        <f>IF('Calculations PJ'!AE68&lt;&gt;0,'Calculations PJ'!AE68*About!$B$45,0)</f>
        <v>197838829060605.38</v>
      </c>
      <c r="AF68">
        <f>IF('Calculations PJ'!AF68&lt;&gt;0,'Calculations PJ'!AF68*About!$B$45,0)</f>
        <v>197336459477421.59</v>
      </c>
      <c r="AG68">
        <f>IF('Calculations PJ'!AG68&lt;&gt;0,'Calculations PJ'!AG68*About!$B$45,0)</f>
        <v>196834089894237.81</v>
      </c>
      <c r="AH68">
        <f>IF('Calculations PJ'!AH68&lt;&gt;0,'Calculations PJ'!AH68*About!$B$45,0)</f>
        <v>196322241639673.19</v>
      </c>
      <c r="AI68">
        <f>IF('Calculations PJ'!AI68&lt;&gt;0,'Calculations PJ'!AI68*About!$B$45,0)</f>
        <v>195819872056489.41</v>
      </c>
      <c r="AJ68">
        <f>IF('Calculations PJ'!AJ68&lt;&gt;0,'Calculations PJ'!AJ68*About!$B$45,0)</f>
        <v>195308023801924.78</v>
      </c>
      <c r="AK68">
        <f>IF('Calculations PJ'!AK68&lt;&gt;0,'Calculations PJ'!AK68*About!$B$45,0)</f>
        <v>194805654218741</v>
      </c>
      <c r="AL68">
        <f>IF('Calculations PJ'!AL68&lt;&gt;0,'Calculations PJ'!AL68*About!$B$45,0)</f>
        <v>194293805964176.38</v>
      </c>
      <c r="AM68">
        <f>IF('Calculations PJ'!AM68&lt;&gt;0,'Calculations PJ'!AM68*About!$B$45,0)</f>
        <v>193781957709611.75</v>
      </c>
      <c r="AN68">
        <f>IF('Calculations PJ'!AN68&lt;&gt;0,'Calculations PJ'!AN68*About!$B$45,0)</f>
        <v>193270109455047.16</v>
      </c>
      <c r="AO68">
        <f>IF('Calculations PJ'!AO68&lt;&gt;0,'Calculations PJ'!AO68*About!$B$45,0)</f>
        <v>193270109455047.16</v>
      </c>
      <c r="AP68">
        <f>IF('Calculations PJ'!AP68&lt;&gt;0,'Calculations PJ'!AP68*About!$B$45,0)</f>
        <v>193270109455047.16</v>
      </c>
      <c r="AQ68">
        <f>IF('Calculations PJ'!AQ68&lt;&gt;0,'Calculations PJ'!AQ68*About!$B$45,0)</f>
        <v>193270109455047.16</v>
      </c>
      <c r="AR68">
        <f>IF('Calculations PJ'!AR68&lt;&gt;0,'Calculations PJ'!AR68*About!$B$45,0)</f>
        <v>193270109455047.16</v>
      </c>
      <c r="AS68">
        <f>IF('Calculations PJ'!AS68&lt;&gt;0,'Calculations PJ'!AS68*About!$B$45,0)</f>
        <v>193270109455047.16</v>
      </c>
      <c r="AT68">
        <f>IF('Calculations PJ'!AT68&lt;&gt;0,'Calculations PJ'!AT68*About!$B$45,0)</f>
        <v>193270109455047.16</v>
      </c>
      <c r="AU68">
        <f>IF('Calculations PJ'!AU68&lt;&gt;0,'Calculations PJ'!AU68*About!$B$45,0)</f>
        <v>193270109455047.16</v>
      </c>
      <c r="AV68">
        <f>IF('Calculations PJ'!AV68&lt;&gt;0,'Calculations PJ'!AV68*About!$B$45,0)</f>
        <v>193270109455047.16</v>
      </c>
      <c r="AW68">
        <f>IF('Calculations PJ'!AW68&lt;&gt;0,'Calculations PJ'!AW68*About!$B$45,0)</f>
        <v>193270109455047.16</v>
      </c>
      <c r="AX68">
        <f>IF('Calculations PJ'!AX68&lt;&gt;0,'Calculations PJ'!AX68*About!$B$45,0)</f>
        <v>193270109455047.16</v>
      </c>
      <c r="AY68">
        <f>IF('Calculations PJ'!AY68&lt;&gt;0,'Calculations PJ'!AY68*About!$B$45,0)</f>
        <v>193270109455047.16</v>
      </c>
      <c r="AZ68">
        <f>IF('Calculations PJ'!AZ68&lt;&gt;0,'Calculations PJ'!AZ68*About!$B$45,0)</f>
        <v>193270109455047.16</v>
      </c>
      <c r="BA68">
        <f>IF('Calculations PJ'!BA68&lt;&gt;0,'Calculations PJ'!BA68*About!$B$45,0)</f>
        <v>193270109455047.16</v>
      </c>
      <c r="BB68">
        <f>IF('Calculations PJ'!BB68&lt;&gt;0,'Calculations PJ'!BB68*About!$B$45,0)</f>
        <v>193270109455047.16</v>
      </c>
      <c r="BC68">
        <f>IF('Calculations PJ'!BC68&lt;&gt;0,'Calculations PJ'!BC68*About!$B$45,0)</f>
        <v>193270109455047.16</v>
      </c>
      <c r="BD68">
        <f>IF('Calculations PJ'!BD68&lt;&gt;0,'Calculations PJ'!BD68*About!$B$45,0)</f>
        <v>193270109455047.16</v>
      </c>
      <c r="BE68">
        <f>IF('Calculations PJ'!BE68&lt;&gt;0,'Calculations PJ'!BE68*About!$B$45,0)</f>
        <v>193270109455047.16</v>
      </c>
      <c r="BF68">
        <f>IF('Calculations PJ'!BF68&lt;&gt;0,'Calculations PJ'!BF68*About!$B$45,0)</f>
        <v>193270109455047.16</v>
      </c>
      <c r="BG68">
        <f>IF('Calculations PJ'!BG68&lt;&gt;0,'Calculations PJ'!BG68*About!$B$45,0)</f>
        <v>193270109455047.16</v>
      </c>
      <c r="BH68">
        <f>IF('Calculations PJ'!BH68&lt;&gt;0,'Calculations PJ'!BH68*About!$B$45,0)</f>
        <v>193270109455047.16</v>
      </c>
    </row>
    <row r="69" spans="1:60" hidden="1" outlineLevel="1">
      <c r="B69" t="s">
        <v>140</v>
      </c>
      <c r="C69">
        <f>IF('Calculations PJ'!C69&lt;&gt;0,'Calculations PJ'!C69*About!$B$45,0)</f>
        <v>0</v>
      </c>
      <c r="D69">
        <f>IF('Calculations PJ'!D69&lt;&gt;0,'Calculations PJ'!D69*About!$B$45,0)</f>
        <v>0</v>
      </c>
      <c r="E69">
        <f>IF('Calculations PJ'!E69&lt;&gt;0,'Calculations PJ'!E69*About!$B$45,0)</f>
        <v>0</v>
      </c>
      <c r="F69">
        <f>IF('Calculations PJ'!F69&lt;&gt;0,'Calculations PJ'!F69*About!$B$45,0)</f>
        <v>0</v>
      </c>
      <c r="G69">
        <f>IF('Calculations PJ'!G69&lt;&gt;0,'Calculations PJ'!G69*About!$B$45,0)</f>
        <v>0</v>
      </c>
      <c r="H69">
        <f>IF('Calculations PJ'!H69&lt;&gt;0,'Calculations PJ'!H69*About!$B$45,0)</f>
        <v>0</v>
      </c>
      <c r="I69">
        <f>IF('Calculations PJ'!I69&lt;&gt;0,'Calculations PJ'!I69*About!$B$45,0)</f>
        <v>0</v>
      </c>
      <c r="J69">
        <f>IF('Calculations PJ'!J69&lt;&gt;0,'Calculations PJ'!J69*About!$B$45,0)</f>
        <v>0</v>
      </c>
      <c r="K69">
        <f>IF('Calculations PJ'!K69&lt;&gt;0,'Calculations PJ'!K69*About!$B$45,0)</f>
        <v>0</v>
      </c>
      <c r="L69">
        <f>IF('Calculations PJ'!L69&lt;&gt;0,'Calculations PJ'!L69*About!$B$45,0)</f>
        <v>0</v>
      </c>
      <c r="M69">
        <f>IF('Calculations PJ'!M69&lt;&gt;0,'Calculations PJ'!M69*About!$B$45,0)</f>
        <v>0</v>
      </c>
      <c r="N69">
        <f>IF('Calculations PJ'!N69&lt;&gt;0,'Calculations PJ'!N69*About!$B$45,0)</f>
        <v>0</v>
      </c>
      <c r="O69">
        <f>IF('Calculations PJ'!O69&lt;&gt;0,'Calculations PJ'!O69*About!$B$45,0)</f>
        <v>0</v>
      </c>
      <c r="P69">
        <f>IF('Calculations PJ'!P69&lt;&gt;0,'Calculations PJ'!P69*About!$B$45,0)</f>
        <v>0</v>
      </c>
      <c r="Q69">
        <f>IF('Calculations PJ'!Q69&lt;&gt;0,'Calculations PJ'!Q69*About!$B$45,0)</f>
        <v>0</v>
      </c>
      <c r="R69">
        <f>IF('Calculations PJ'!R69&lt;&gt;0,'Calculations PJ'!R69*About!$B$45,0)</f>
        <v>0</v>
      </c>
      <c r="S69">
        <f>IF('Calculations PJ'!S69&lt;&gt;0,'Calculations PJ'!S69*About!$B$45,0)</f>
        <v>0</v>
      </c>
      <c r="T69">
        <f>IF('Calculations PJ'!T69&lt;&gt;0,'Calculations PJ'!T69*About!$B$45,0)</f>
        <v>0</v>
      </c>
      <c r="U69">
        <f>IF('Calculations PJ'!U69&lt;&gt;0,'Calculations PJ'!U69*About!$B$45,0)</f>
        <v>0</v>
      </c>
      <c r="V69">
        <f>IF('Calculations PJ'!V69&lt;&gt;0,'Calculations PJ'!V69*About!$B$45,0)</f>
        <v>0</v>
      </c>
      <c r="W69">
        <f>IF('Calculations PJ'!W69&lt;&gt;0,'Calculations PJ'!W69*About!$B$45,0)</f>
        <v>0</v>
      </c>
      <c r="X69">
        <f>IF('Calculations PJ'!X69&lt;&gt;0,'Calculations PJ'!X69*About!$B$45,0)</f>
        <v>0</v>
      </c>
      <c r="Y69">
        <f>IF('Calculations PJ'!Y69&lt;&gt;0,'Calculations PJ'!Y69*About!$B$45,0)</f>
        <v>0</v>
      </c>
      <c r="Z69">
        <f>IF('Calculations PJ'!Z69&lt;&gt;0,'Calculations PJ'!Z69*About!$B$45,0)</f>
        <v>0</v>
      </c>
      <c r="AA69">
        <f>IF('Calculations PJ'!AA69&lt;&gt;0,'Calculations PJ'!AA69*About!$B$45,0)</f>
        <v>0</v>
      </c>
      <c r="AB69">
        <f>IF('Calculations PJ'!AB69&lt;&gt;0,'Calculations PJ'!AB69*About!$B$45,0)</f>
        <v>0</v>
      </c>
      <c r="AC69">
        <f>IF('Calculations PJ'!AC69&lt;&gt;0,'Calculations PJ'!AC69*About!$B$45,0)</f>
        <v>0</v>
      </c>
      <c r="AD69">
        <f>IF('Calculations PJ'!AD69&lt;&gt;0,'Calculations PJ'!AD69*About!$B$45,0)</f>
        <v>0</v>
      </c>
      <c r="AE69">
        <f>IF('Calculations PJ'!AE69&lt;&gt;0,'Calculations PJ'!AE69*About!$B$45,0)</f>
        <v>0</v>
      </c>
      <c r="AF69">
        <f>IF('Calculations PJ'!AF69&lt;&gt;0,'Calculations PJ'!AF69*About!$B$45,0)</f>
        <v>0</v>
      </c>
      <c r="AG69">
        <f>IF('Calculations PJ'!AG69&lt;&gt;0,'Calculations PJ'!AG69*About!$B$45,0)</f>
        <v>0</v>
      </c>
      <c r="AH69">
        <f>IF('Calculations PJ'!AH69&lt;&gt;0,'Calculations PJ'!AH69*About!$B$45,0)</f>
        <v>0</v>
      </c>
      <c r="AI69">
        <f>IF('Calculations PJ'!AI69&lt;&gt;0,'Calculations PJ'!AI69*About!$B$45,0)</f>
        <v>0</v>
      </c>
      <c r="AJ69">
        <f>IF('Calculations PJ'!AJ69&lt;&gt;0,'Calculations PJ'!AJ69*About!$B$45,0)</f>
        <v>0</v>
      </c>
      <c r="AK69">
        <f>IF('Calculations PJ'!AK69&lt;&gt;0,'Calculations PJ'!AK69*About!$B$45,0)</f>
        <v>0</v>
      </c>
      <c r="AL69">
        <f>IF('Calculations PJ'!AL69&lt;&gt;0,'Calculations PJ'!AL69*About!$B$45,0)</f>
        <v>0</v>
      </c>
      <c r="AM69">
        <f>IF('Calculations PJ'!AM69&lt;&gt;0,'Calculations PJ'!AM69*About!$B$45,0)</f>
        <v>0</v>
      </c>
      <c r="AN69">
        <f>IF('Calculations PJ'!AN69&lt;&gt;0,'Calculations PJ'!AN69*About!$B$45,0)</f>
        <v>0</v>
      </c>
      <c r="AO69">
        <f>IF('Calculations PJ'!AO69&lt;&gt;0,'Calculations PJ'!AO69*About!$B$45,0)</f>
        <v>0</v>
      </c>
      <c r="AP69">
        <f>IF('Calculations PJ'!AP69&lt;&gt;0,'Calculations PJ'!AP69*About!$B$45,0)</f>
        <v>0</v>
      </c>
      <c r="AQ69">
        <f>IF('Calculations PJ'!AQ69&lt;&gt;0,'Calculations PJ'!AQ69*About!$B$45,0)</f>
        <v>0</v>
      </c>
      <c r="AR69">
        <f>IF('Calculations PJ'!AR69&lt;&gt;0,'Calculations PJ'!AR69*About!$B$45,0)</f>
        <v>0</v>
      </c>
      <c r="AS69">
        <f>IF('Calculations PJ'!AS69&lt;&gt;0,'Calculations PJ'!AS69*About!$B$45,0)</f>
        <v>0</v>
      </c>
      <c r="AT69">
        <f>IF('Calculations PJ'!AT69&lt;&gt;0,'Calculations PJ'!AT69*About!$B$45,0)</f>
        <v>0</v>
      </c>
      <c r="AU69">
        <f>IF('Calculations PJ'!AU69&lt;&gt;0,'Calculations PJ'!AU69*About!$B$45,0)</f>
        <v>0</v>
      </c>
      <c r="AV69">
        <f>IF('Calculations PJ'!AV69&lt;&gt;0,'Calculations PJ'!AV69*About!$B$45,0)</f>
        <v>0</v>
      </c>
      <c r="AW69">
        <f>IF('Calculations PJ'!AW69&lt;&gt;0,'Calculations PJ'!AW69*About!$B$45,0)</f>
        <v>0</v>
      </c>
      <c r="AX69">
        <f>IF('Calculations PJ'!AX69&lt;&gt;0,'Calculations PJ'!AX69*About!$B$45,0)</f>
        <v>0</v>
      </c>
      <c r="AY69">
        <f>IF('Calculations PJ'!AY69&lt;&gt;0,'Calculations PJ'!AY69*About!$B$45,0)</f>
        <v>0</v>
      </c>
      <c r="AZ69">
        <f>IF('Calculations PJ'!AZ69&lt;&gt;0,'Calculations PJ'!AZ69*About!$B$45,0)</f>
        <v>0</v>
      </c>
      <c r="BA69">
        <f>IF('Calculations PJ'!BA69&lt;&gt;0,'Calculations PJ'!BA69*About!$B$45,0)</f>
        <v>0</v>
      </c>
      <c r="BB69">
        <f>IF('Calculations PJ'!BB69&lt;&gt;0,'Calculations PJ'!BB69*About!$B$45,0)</f>
        <v>0</v>
      </c>
      <c r="BC69">
        <f>IF('Calculations PJ'!BC69&lt;&gt;0,'Calculations PJ'!BC69*About!$B$45,0)</f>
        <v>0</v>
      </c>
      <c r="BD69">
        <f>IF('Calculations PJ'!BD69&lt;&gt;0,'Calculations PJ'!BD69*About!$B$45,0)</f>
        <v>0</v>
      </c>
      <c r="BE69">
        <f>IF('Calculations PJ'!BE69&lt;&gt;0,'Calculations PJ'!BE69*About!$B$45,0)</f>
        <v>0</v>
      </c>
      <c r="BF69">
        <f>IF('Calculations PJ'!BF69&lt;&gt;0,'Calculations PJ'!BF69*About!$B$45,0)</f>
        <v>0</v>
      </c>
      <c r="BG69">
        <f>IF('Calculations PJ'!BG69&lt;&gt;0,'Calculations PJ'!BG69*About!$B$45,0)</f>
        <v>0</v>
      </c>
      <c r="BH69">
        <f>IF('Calculations PJ'!BH69&lt;&gt;0,'Calculations PJ'!BH69*About!$B$45,0)</f>
        <v>0</v>
      </c>
    </row>
    <row r="70" spans="1:60" hidden="1" outlineLevel="1">
      <c r="B70" t="s">
        <v>141</v>
      </c>
      <c r="C70">
        <f>IF('Calculations PJ'!C70&lt;&gt;0,'Calculations PJ'!C70*About!$B$45,0)</f>
        <v>0</v>
      </c>
      <c r="D70">
        <f>IF('Calculations PJ'!D70&lt;&gt;0,'Calculations PJ'!D70*About!$B$45,0)</f>
        <v>0</v>
      </c>
      <c r="E70">
        <f>IF('Calculations PJ'!E70&lt;&gt;0,'Calculations PJ'!E70*About!$B$45,0)</f>
        <v>0</v>
      </c>
      <c r="F70">
        <f>IF('Calculations PJ'!F70&lt;&gt;0,'Calculations PJ'!F70*About!$B$45,0)</f>
        <v>0</v>
      </c>
      <c r="G70">
        <f>IF('Calculations PJ'!G70&lt;&gt;0,'Calculations PJ'!G70*About!$B$45,0)</f>
        <v>0</v>
      </c>
      <c r="H70">
        <f>IF('Calculations PJ'!H70&lt;&gt;0,'Calculations PJ'!H70*About!$B$45,0)</f>
        <v>0</v>
      </c>
      <c r="I70">
        <f>IF('Calculations PJ'!I70&lt;&gt;0,'Calculations PJ'!I70*About!$B$45,0)</f>
        <v>0</v>
      </c>
      <c r="J70">
        <f>IF('Calculations PJ'!J70&lt;&gt;0,'Calculations PJ'!J70*About!$B$45,0)</f>
        <v>0</v>
      </c>
      <c r="K70">
        <f>IF('Calculations PJ'!K70&lt;&gt;0,'Calculations PJ'!K70*About!$B$45,0)</f>
        <v>0</v>
      </c>
      <c r="L70">
        <f>IF('Calculations PJ'!L70&lt;&gt;0,'Calculations PJ'!L70*About!$B$45,0)</f>
        <v>0</v>
      </c>
      <c r="M70">
        <f>IF('Calculations PJ'!M70&lt;&gt;0,'Calculations PJ'!M70*About!$B$45,0)</f>
        <v>0</v>
      </c>
      <c r="N70">
        <f>IF('Calculations PJ'!N70&lt;&gt;0,'Calculations PJ'!N70*About!$B$45,0)</f>
        <v>0</v>
      </c>
      <c r="O70">
        <f>IF('Calculations PJ'!O70&lt;&gt;0,'Calculations PJ'!O70*About!$B$45,0)</f>
        <v>0</v>
      </c>
      <c r="P70">
        <f>IF('Calculations PJ'!P70&lt;&gt;0,'Calculations PJ'!P70*About!$B$45,0)</f>
        <v>0</v>
      </c>
      <c r="Q70">
        <f>IF('Calculations PJ'!Q70&lt;&gt;0,'Calculations PJ'!Q70*About!$B$45,0)</f>
        <v>0</v>
      </c>
      <c r="R70">
        <f>IF('Calculations PJ'!R70&lt;&gt;0,'Calculations PJ'!R70*About!$B$45,0)</f>
        <v>0</v>
      </c>
      <c r="S70">
        <f>IF('Calculations PJ'!S70&lt;&gt;0,'Calculations PJ'!S70*About!$B$45,0)</f>
        <v>0</v>
      </c>
      <c r="T70">
        <f>IF('Calculations PJ'!T70&lt;&gt;0,'Calculations PJ'!T70*About!$B$45,0)</f>
        <v>0</v>
      </c>
      <c r="U70">
        <f>IF('Calculations PJ'!U70&lt;&gt;0,'Calculations PJ'!U70*About!$B$45,0)</f>
        <v>0</v>
      </c>
      <c r="V70">
        <f>IF('Calculations PJ'!V70&lt;&gt;0,'Calculations PJ'!V70*About!$B$45,0)</f>
        <v>0</v>
      </c>
      <c r="W70">
        <f>IF('Calculations PJ'!W70&lt;&gt;0,'Calculations PJ'!W70*About!$B$45,0)</f>
        <v>0</v>
      </c>
      <c r="X70">
        <f>IF('Calculations PJ'!X70&lt;&gt;0,'Calculations PJ'!X70*About!$B$45,0)</f>
        <v>0</v>
      </c>
      <c r="Y70">
        <f>IF('Calculations PJ'!Y70&lt;&gt;0,'Calculations PJ'!Y70*About!$B$45,0)</f>
        <v>0</v>
      </c>
      <c r="Z70">
        <f>IF('Calculations PJ'!Z70&lt;&gt;0,'Calculations PJ'!Z70*About!$B$45,0)</f>
        <v>0</v>
      </c>
      <c r="AA70">
        <f>IF('Calculations PJ'!AA70&lt;&gt;0,'Calculations PJ'!AA70*About!$B$45,0)</f>
        <v>0</v>
      </c>
      <c r="AB70">
        <f>IF('Calculations PJ'!AB70&lt;&gt;0,'Calculations PJ'!AB70*About!$B$45,0)</f>
        <v>0</v>
      </c>
      <c r="AC70">
        <f>IF('Calculations PJ'!AC70&lt;&gt;0,'Calculations PJ'!AC70*About!$B$45,0)</f>
        <v>0</v>
      </c>
      <c r="AD70">
        <f>IF('Calculations PJ'!AD70&lt;&gt;0,'Calculations PJ'!AD70*About!$B$45,0)</f>
        <v>0</v>
      </c>
      <c r="AE70">
        <f>IF('Calculations PJ'!AE70&lt;&gt;0,'Calculations PJ'!AE70*About!$B$45,0)</f>
        <v>0</v>
      </c>
      <c r="AF70">
        <f>IF('Calculations PJ'!AF70&lt;&gt;0,'Calculations PJ'!AF70*About!$B$45,0)</f>
        <v>0</v>
      </c>
      <c r="AG70">
        <f>IF('Calculations PJ'!AG70&lt;&gt;0,'Calculations PJ'!AG70*About!$B$45,0)</f>
        <v>0</v>
      </c>
      <c r="AH70">
        <f>IF('Calculations PJ'!AH70&lt;&gt;0,'Calculations PJ'!AH70*About!$B$45,0)</f>
        <v>0</v>
      </c>
      <c r="AI70">
        <f>IF('Calculations PJ'!AI70&lt;&gt;0,'Calculations PJ'!AI70*About!$B$45,0)</f>
        <v>0</v>
      </c>
      <c r="AJ70">
        <f>IF('Calculations PJ'!AJ70&lt;&gt;0,'Calculations PJ'!AJ70*About!$B$45,0)</f>
        <v>0</v>
      </c>
      <c r="AK70">
        <f>IF('Calculations PJ'!AK70&lt;&gt;0,'Calculations PJ'!AK70*About!$B$45,0)</f>
        <v>0</v>
      </c>
      <c r="AL70">
        <f>IF('Calculations PJ'!AL70&lt;&gt;0,'Calculations PJ'!AL70*About!$B$45,0)</f>
        <v>0</v>
      </c>
      <c r="AM70">
        <f>IF('Calculations PJ'!AM70&lt;&gt;0,'Calculations PJ'!AM70*About!$B$45,0)</f>
        <v>0</v>
      </c>
      <c r="AN70">
        <f>IF('Calculations PJ'!AN70&lt;&gt;0,'Calculations PJ'!AN70*About!$B$45,0)</f>
        <v>0</v>
      </c>
      <c r="AO70">
        <f>IF('Calculations PJ'!AO70&lt;&gt;0,'Calculations PJ'!AO70*About!$B$45,0)</f>
        <v>0</v>
      </c>
      <c r="AP70">
        <f>IF('Calculations PJ'!AP70&lt;&gt;0,'Calculations PJ'!AP70*About!$B$45,0)</f>
        <v>0</v>
      </c>
      <c r="AQ70">
        <f>IF('Calculations PJ'!AQ70&lt;&gt;0,'Calculations PJ'!AQ70*About!$B$45,0)</f>
        <v>0</v>
      </c>
      <c r="AR70">
        <f>IF('Calculations PJ'!AR70&lt;&gt;0,'Calculations PJ'!AR70*About!$B$45,0)</f>
        <v>0</v>
      </c>
      <c r="AS70">
        <f>IF('Calculations PJ'!AS70&lt;&gt;0,'Calculations PJ'!AS70*About!$B$45,0)</f>
        <v>0</v>
      </c>
      <c r="AT70">
        <f>IF('Calculations PJ'!AT70&lt;&gt;0,'Calculations PJ'!AT70*About!$B$45,0)</f>
        <v>0</v>
      </c>
      <c r="AU70">
        <f>IF('Calculations PJ'!AU70&lt;&gt;0,'Calculations PJ'!AU70*About!$B$45,0)</f>
        <v>0</v>
      </c>
      <c r="AV70">
        <f>IF('Calculations PJ'!AV70&lt;&gt;0,'Calculations PJ'!AV70*About!$B$45,0)</f>
        <v>0</v>
      </c>
      <c r="AW70">
        <f>IF('Calculations PJ'!AW70&lt;&gt;0,'Calculations PJ'!AW70*About!$B$45,0)</f>
        <v>0</v>
      </c>
      <c r="AX70">
        <f>IF('Calculations PJ'!AX70&lt;&gt;0,'Calculations PJ'!AX70*About!$B$45,0)</f>
        <v>0</v>
      </c>
      <c r="AY70">
        <f>IF('Calculations PJ'!AY70&lt;&gt;0,'Calculations PJ'!AY70*About!$B$45,0)</f>
        <v>0</v>
      </c>
      <c r="AZ70">
        <f>IF('Calculations PJ'!AZ70&lt;&gt;0,'Calculations PJ'!AZ70*About!$B$45,0)</f>
        <v>0</v>
      </c>
      <c r="BA70">
        <f>IF('Calculations PJ'!BA70&lt;&gt;0,'Calculations PJ'!BA70*About!$B$45,0)</f>
        <v>0</v>
      </c>
      <c r="BB70">
        <f>IF('Calculations PJ'!BB70&lt;&gt;0,'Calculations PJ'!BB70*About!$B$45,0)</f>
        <v>0</v>
      </c>
      <c r="BC70">
        <f>IF('Calculations PJ'!BC70&lt;&gt;0,'Calculations PJ'!BC70*About!$B$45,0)</f>
        <v>0</v>
      </c>
      <c r="BD70">
        <f>IF('Calculations PJ'!BD70&lt;&gt;0,'Calculations PJ'!BD70*About!$B$45,0)</f>
        <v>0</v>
      </c>
      <c r="BE70">
        <f>IF('Calculations PJ'!BE70&lt;&gt;0,'Calculations PJ'!BE70*About!$B$45,0)</f>
        <v>0</v>
      </c>
      <c r="BF70">
        <f>IF('Calculations PJ'!BF70&lt;&gt;0,'Calculations PJ'!BF70*About!$B$45,0)</f>
        <v>0</v>
      </c>
      <c r="BG70">
        <f>IF('Calculations PJ'!BG70&lt;&gt;0,'Calculations PJ'!BG70*About!$B$45,0)</f>
        <v>0</v>
      </c>
      <c r="BH70">
        <f>IF('Calculations PJ'!BH70&lt;&gt;0,'Calculations PJ'!BH70*About!$B$45,0)</f>
        <v>0</v>
      </c>
    </row>
    <row r="71" spans="1:60" hidden="1" outlineLevel="1">
      <c r="B71" t="s">
        <v>142</v>
      </c>
      <c r="C71">
        <f>IF('Calculations PJ'!C71&lt;&gt;0,'Calculations PJ'!C71*About!$B$45,0)</f>
        <v>18957342761.652493</v>
      </c>
      <c r="D71">
        <f>IF('Calculations PJ'!D71&lt;&gt;0,'Calculations PJ'!D71*About!$B$45,0)</f>
        <v>28436014142.478733</v>
      </c>
      <c r="E71">
        <f>IF('Calculations PJ'!E71&lt;&gt;0,'Calculations PJ'!E71*About!$B$45,0)</f>
        <v>28436014142.478733</v>
      </c>
      <c r="F71">
        <f>IF('Calculations PJ'!F71&lt;&gt;0,'Calculations PJ'!F71*About!$B$45,0)</f>
        <v>28436014142.478733</v>
      </c>
      <c r="G71">
        <f>IF('Calculations PJ'!G71&lt;&gt;0,'Calculations PJ'!G71*About!$B$45,0)</f>
        <v>28436014142.478733</v>
      </c>
      <c r="H71">
        <f>IF('Calculations PJ'!H71&lt;&gt;0,'Calculations PJ'!H71*About!$B$45,0)</f>
        <v>28436014142.478733</v>
      </c>
      <c r="I71">
        <f>IF('Calculations PJ'!I71&lt;&gt;0,'Calculations PJ'!I71*About!$B$45,0)</f>
        <v>28436014142.478733</v>
      </c>
      <c r="J71">
        <f>IF('Calculations PJ'!J71&lt;&gt;0,'Calculations PJ'!J71*About!$B$45,0)</f>
        <v>28436014142.478733</v>
      </c>
      <c r="K71">
        <f>IF('Calculations PJ'!K71&lt;&gt;0,'Calculations PJ'!K71*About!$B$45,0)</f>
        <v>28436014142.478733</v>
      </c>
      <c r="L71">
        <f>IF('Calculations PJ'!L71&lt;&gt;0,'Calculations PJ'!L71*About!$B$45,0)</f>
        <v>28436014142.478733</v>
      </c>
      <c r="M71">
        <f>IF('Calculations PJ'!M71&lt;&gt;0,'Calculations PJ'!M71*About!$B$45,0)</f>
        <v>28436014142.478733</v>
      </c>
      <c r="N71">
        <f>IF('Calculations PJ'!N71&lt;&gt;0,'Calculations PJ'!N71*About!$B$45,0)</f>
        <v>28466054499.434906</v>
      </c>
      <c r="O71">
        <f>IF('Calculations PJ'!O71&lt;&gt;0,'Calculations PJ'!O71*About!$B$45,0)</f>
        <v>28495625475.813637</v>
      </c>
      <c r="P71">
        <f>IF('Calculations PJ'!P71&lt;&gt;0,'Calculations PJ'!P71*About!$B$45,0)</f>
        <v>28526135213.347244</v>
      </c>
      <c r="Q71">
        <f>IF('Calculations PJ'!Q71&lt;&gt;0,'Calculations PJ'!Q71*About!$B$45,0)</f>
        <v>28556175570.303413</v>
      </c>
      <c r="R71">
        <f>IF('Calculations PJ'!R71&lt;&gt;0,'Calculations PJ'!R71*About!$B$45,0)</f>
        <v>28585746546.682144</v>
      </c>
      <c r="S71">
        <f>IF('Calculations PJ'!S71&lt;&gt;0,'Calculations PJ'!S71*About!$B$45,0)</f>
        <v>28616256284.215759</v>
      </c>
      <c r="T71">
        <f>IF('Calculations PJ'!T71&lt;&gt;0,'Calculations PJ'!T71*About!$B$45,0)</f>
        <v>28645827260.594482</v>
      </c>
      <c r="U71">
        <f>IF('Calculations PJ'!U71&lt;&gt;0,'Calculations PJ'!U71*About!$B$45,0)</f>
        <v>28675398236.973209</v>
      </c>
      <c r="V71">
        <f>IF('Calculations PJ'!V71&lt;&gt;0,'Calculations PJ'!V71*About!$B$45,0)</f>
        <v>28706377355.084263</v>
      </c>
      <c r="W71">
        <f>IF('Calculations PJ'!W71&lt;&gt;0,'Calculations PJ'!W71*About!$B$45,0)</f>
        <v>28735948331.462994</v>
      </c>
      <c r="X71">
        <f>IF('Calculations PJ'!X71&lt;&gt;0,'Calculations PJ'!X71*About!$B$45,0)</f>
        <v>28654745491.565845</v>
      </c>
      <c r="Y71">
        <f>IF('Calculations PJ'!Y71&lt;&gt;0,'Calculations PJ'!Y71*About!$B$45,0)</f>
        <v>28423340866.887852</v>
      </c>
      <c r="Z71">
        <f>IF('Calculations PJ'!Z71&lt;&gt;0,'Calculations PJ'!Z71*About!$B$45,0)</f>
        <v>28191466861.632427</v>
      </c>
      <c r="AA71">
        <f>IF('Calculations PJ'!AA71&lt;&gt;0,'Calculations PJ'!AA71*About!$B$45,0)</f>
        <v>27960531617.531879</v>
      </c>
      <c r="AB71">
        <f>IF('Calculations PJ'!AB71&lt;&gt;0,'Calculations PJ'!AB71*About!$B$45,0)</f>
        <v>27729126992.853889</v>
      </c>
      <c r="AC71">
        <f>IF('Calculations PJ'!AC71&lt;&gt;0,'Calculations PJ'!AC71*About!$B$45,0)</f>
        <v>27496783607.021023</v>
      </c>
      <c r="AD71">
        <f>IF('Calculations PJ'!AD71&lt;&gt;0,'Calculations PJ'!AD71*About!$B$45,0)</f>
        <v>27266317743.49791</v>
      </c>
      <c r="AE71">
        <f>IF('Calculations PJ'!AE71&lt;&gt;0,'Calculations PJ'!AE71*About!$B$45,0)</f>
        <v>27034913118.81992</v>
      </c>
      <c r="AF71">
        <f>IF('Calculations PJ'!AF71&lt;&gt;0,'Calculations PJ'!AF71*About!$B$45,0)</f>
        <v>26803039113.564484</v>
      </c>
      <c r="AG71">
        <f>IF('Calculations PJ'!AG71&lt;&gt;0,'Calculations PJ'!AG71*About!$B$45,0)</f>
        <v>26571634488.886494</v>
      </c>
      <c r="AH71">
        <f>IF('Calculations PJ'!AH71&lt;&gt;0,'Calculations PJ'!AH71*About!$B$45,0)</f>
        <v>26340699244.785938</v>
      </c>
      <c r="AI71">
        <f>IF('Calculations PJ'!AI71&lt;&gt;0,'Calculations PJ'!AI71*About!$B$45,0)</f>
        <v>26108825239.530514</v>
      </c>
      <c r="AJ71">
        <f>IF('Calculations PJ'!AJ71&lt;&gt;0,'Calculations PJ'!AJ71*About!$B$45,0)</f>
        <v>25877420614.85252</v>
      </c>
      <c r="AK71">
        <f>IF('Calculations PJ'!AK71&lt;&gt;0,'Calculations PJ'!AK71*About!$B$45,0)</f>
        <v>25646015990.174534</v>
      </c>
      <c r="AL71">
        <f>IF('Calculations PJ'!AL71&lt;&gt;0,'Calculations PJ'!AL71*About!$B$45,0)</f>
        <v>25415080746.073986</v>
      </c>
      <c r="AM71">
        <f>IF('Calculations PJ'!AM71&lt;&gt;0,'Calculations PJ'!AM71*About!$B$45,0)</f>
        <v>25180859837.931355</v>
      </c>
      <c r="AN71">
        <f>IF('Calculations PJ'!AN71&lt;&gt;0,'Calculations PJ'!AN71*About!$B$45,0)</f>
        <v>24947108310.366161</v>
      </c>
      <c r="AO71">
        <f>IF('Calculations PJ'!AO71&lt;&gt;0,'Calculations PJ'!AO71*About!$B$45,0)</f>
        <v>24947108310.366161</v>
      </c>
      <c r="AP71">
        <f>IF('Calculations PJ'!AP71&lt;&gt;0,'Calculations PJ'!AP71*About!$B$45,0)</f>
        <v>24947108310.366161</v>
      </c>
      <c r="AQ71">
        <f>IF('Calculations PJ'!AQ71&lt;&gt;0,'Calculations PJ'!AQ71*About!$B$45,0)</f>
        <v>24947108310.366161</v>
      </c>
      <c r="AR71">
        <f>IF('Calculations PJ'!AR71&lt;&gt;0,'Calculations PJ'!AR71*About!$B$45,0)</f>
        <v>24947108310.366161</v>
      </c>
      <c r="AS71">
        <f>IF('Calculations PJ'!AS71&lt;&gt;0,'Calculations PJ'!AS71*About!$B$45,0)</f>
        <v>24947108310.366161</v>
      </c>
      <c r="AT71">
        <f>IF('Calculations PJ'!AT71&lt;&gt;0,'Calculations PJ'!AT71*About!$B$45,0)</f>
        <v>24947108310.366161</v>
      </c>
      <c r="AU71">
        <f>IF('Calculations PJ'!AU71&lt;&gt;0,'Calculations PJ'!AU71*About!$B$45,0)</f>
        <v>24947108310.366161</v>
      </c>
      <c r="AV71">
        <f>IF('Calculations PJ'!AV71&lt;&gt;0,'Calculations PJ'!AV71*About!$B$45,0)</f>
        <v>24947108310.366161</v>
      </c>
      <c r="AW71">
        <f>IF('Calculations PJ'!AW71&lt;&gt;0,'Calculations PJ'!AW71*About!$B$45,0)</f>
        <v>24947108310.366161</v>
      </c>
      <c r="AX71">
        <f>IF('Calculations PJ'!AX71&lt;&gt;0,'Calculations PJ'!AX71*About!$B$45,0)</f>
        <v>24947108310.366161</v>
      </c>
      <c r="AY71">
        <f>IF('Calculations PJ'!AY71&lt;&gt;0,'Calculations PJ'!AY71*About!$B$45,0)</f>
        <v>24947108310.366161</v>
      </c>
      <c r="AZ71">
        <f>IF('Calculations PJ'!AZ71&lt;&gt;0,'Calculations PJ'!AZ71*About!$B$45,0)</f>
        <v>24947108310.366161</v>
      </c>
      <c r="BA71">
        <f>IF('Calculations PJ'!BA71&lt;&gt;0,'Calculations PJ'!BA71*About!$B$45,0)</f>
        <v>24947108310.366161</v>
      </c>
      <c r="BB71">
        <f>IF('Calculations PJ'!BB71&lt;&gt;0,'Calculations PJ'!BB71*About!$B$45,0)</f>
        <v>24947108310.366161</v>
      </c>
      <c r="BC71">
        <f>IF('Calculations PJ'!BC71&lt;&gt;0,'Calculations PJ'!BC71*About!$B$45,0)</f>
        <v>24947108310.366161</v>
      </c>
      <c r="BD71">
        <f>IF('Calculations PJ'!BD71&lt;&gt;0,'Calculations PJ'!BD71*About!$B$45,0)</f>
        <v>24947108310.366161</v>
      </c>
      <c r="BE71">
        <f>IF('Calculations PJ'!BE71&lt;&gt;0,'Calculations PJ'!BE71*About!$B$45,0)</f>
        <v>24947108310.366161</v>
      </c>
      <c r="BF71">
        <f>IF('Calculations PJ'!BF71&lt;&gt;0,'Calculations PJ'!BF71*About!$B$45,0)</f>
        <v>24947108310.366161</v>
      </c>
      <c r="BG71">
        <f>IF('Calculations PJ'!BG71&lt;&gt;0,'Calculations PJ'!BG71*About!$B$45,0)</f>
        <v>24947108310.366161</v>
      </c>
      <c r="BH71">
        <f>IF('Calculations PJ'!BH71&lt;&gt;0,'Calculations PJ'!BH71*About!$B$45,0)</f>
        <v>24947108310.366161</v>
      </c>
    </row>
    <row r="72" spans="1:60" hidden="1" outlineLevel="1">
      <c r="B72" t="s">
        <v>143</v>
      </c>
      <c r="C72">
        <f>IF('Calculations PJ'!C72&lt;&gt;0,'Calculations PJ'!C72*About!$B$45,0)</f>
        <v>37914685523.304985</v>
      </c>
      <c r="D72">
        <f>IF('Calculations PJ'!D72&lt;&gt;0,'Calculations PJ'!D72*About!$B$45,0)</f>
        <v>37914685523.304985</v>
      </c>
      <c r="E72">
        <f>IF('Calculations PJ'!E72&lt;&gt;0,'Calculations PJ'!E72*About!$B$45,0)</f>
        <v>37914685523.304985</v>
      </c>
      <c r="F72">
        <f>IF('Calculations PJ'!F72&lt;&gt;0,'Calculations PJ'!F72*About!$B$45,0)</f>
        <v>37914685523.304985</v>
      </c>
      <c r="G72">
        <f>IF('Calculations PJ'!G72&lt;&gt;0,'Calculations PJ'!G72*About!$B$45,0)</f>
        <v>37914685523.304985</v>
      </c>
      <c r="H72">
        <f>IF('Calculations PJ'!H72&lt;&gt;0,'Calculations PJ'!H72*About!$B$45,0)</f>
        <v>37914685523.304985</v>
      </c>
      <c r="I72">
        <f>IF('Calculations PJ'!I72&lt;&gt;0,'Calculations PJ'!I72*About!$B$45,0)</f>
        <v>37914685523.304985</v>
      </c>
      <c r="J72">
        <f>IF('Calculations PJ'!J72&lt;&gt;0,'Calculations PJ'!J72*About!$B$45,0)</f>
        <v>37914685523.304985</v>
      </c>
      <c r="K72">
        <f>IF('Calculations PJ'!K72&lt;&gt;0,'Calculations PJ'!K72*About!$B$45,0)</f>
        <v>47393356904.131226</v>
      </c>
      <c r="L72">
        <f>IF('Calculations PJ'!L72&lt;&gt;0,'Calculations PJ'!L72*About!$B$45,0)</f>
        <v>47393356904.131226</v>
      </c>
      <c r="M72">
        <f>IF('Calculations PJ'!M72&lt;&gt;0,'Calculations PJ'!M72*About!$B$45,0)</f>
        <v>47393356904.131226</v>
      </c>
      <c r="N72">
        <f>IF('Calculations PJ'!N72&lt;&gt;0,'Calculations PJ'!N72*About!$B$45,0)</f>
        <v>47443424165.724846</v>
      </c>
      <c r="O72">
        <f>IF('Calculations PJ'!O72&lt;&gt;0,'Calculations PJ'!O72*About!$B$45,0)</f>
        <v>47492709126.356064</v>
      </c>
      <c r="P72">
        <f>IF('Calculations PJ'!P72&lt;&gt;0,'Calculations PJ'!P72*About!$B$45,0)</f>
        <v>47543558688.912079</v>
      </c>
      <c r="Q72">
        <f>IF('Calculations PJ'!Q72&lt;&gt;0,'Calculations PJ'!Q72*About!$B$45,0)</f>
        <v>47593625950.505692</v>
      </c>
      <c r="R72">
        <f>IF('Calculations PJ'!R72&lt;&gt;0,'Calculations PJ'!R72*About!$B$45,0)</f>
        <v>47642910911.136902</v>
      </c>
      <c r="S72">
        <f>IF('Calculations PJ'!S72&lt;&gt;0,'Calculations PJ'!S72*About!$B$45,0)</f>
        <v>47693760473.692932</v>
      </c>
      <c r="T72">
        <f>IF('Calculations PJ'!T72&lt;&gt;0,'Calculations PJ'!T72*About!$B$45,0)</f>
        <v>47743045434.324142</v>
      </c>
      <c r="U72">
        <f>IF('Calculations PJ'!U72&lt;&gt;0,'Calculations PJ'!U72*About!$B$45,0)</f>
        <v>47792330394.95536</v>
      </c>
      <c r="V72">
        <f>IF('Calculations PJ'!V72&lt;&gt;0,'Calculations PJ'!V72*About!$B$45,0)</f>
        <v>47843962258.473778</v>
      </c>
      <c r="W72">
        <f>IF('Calculations PJ'!W72&lt;&gt;0,'Calculations PJ'!W72*About!$B$45,0)</f>
        <v>47893247219.104996</v>
      </c>
      <c r="X72">
        <f>IF('Calculations PJ'!X72&lt;&gt;0,'Calculations PJ'!X72*About!$B$45,0)</f>
        <v>47757909152.609749</v>
      </c>
      <c r="Y72">
        <f>IF('Calculations PJ'!Y72&lt;&gt;0,'Calculations PJ'!Y72*About!$B$45,0)</f>
        <v>47372234778.146423</v>
      </c>
      <c r="Z72">
        <f>IF('Calculations PJ'!Z72&lt;&gt;0,'Calculations PJ'!Z72*About!$B$45,0)</f>
        <v>46985778102.720711</v>
      </c>
      <c r="AA72">
        <f>IF('Calculations PJ'!AA72&lt;&gt;0,'Calculations PJ'!AA72*About!$B$45,0)</f>
        <v>46600886029.219795</v>
      </c>
      <c r="AB72">
        <f>IF('Calculations PJ'!AB72&lt;&gt;0,'Calculations PJ'!AB72*About!$B$45,0)</f>
        <v>46215211654.756477</v>
      </c>
      <c r="AC72">
        <f>IF('Calculations PJ'!AC72&lt;&gt;0,'Calculations PJ'!AC72*About!$B$45,0)</f>
        <v>45827972678.368362</v>
      </c>
      <c r="AD72">
        <f>IF('Calculations PJ'!AD72&lt;&gt;0,'Calculations PJ'!AD72*About!$B$45,0)</f>
        <v>45443862905.829842</v>
      </c>
      <c r="AE72">
        <f>IF('Calculations PJ'!AE72&lt;&gt;0,'Calculations PJ'!AE72*About!$B$45,0)</f>
        <v>45058188531.366524</v>
      </c>
      <c r="AF72">
        <f>IF('Calculations PJ'!AF72&lt;&gt;0,'Calculations PJ'!AF72*About!$B$45,0)</f>
        <v>44671731855.940796</v>
      </c>
      <c r="AG72">
        <f>IF('Calculations PJ'!AG72&lt;&gt;0,'Calculations PJ'!AG72*About!$B$45,0)</f>
        <v>44286057481.477486</v>
      </c>
      <c r="AH72">
        <f>IF('Calculations PJ'!AH72&lt;&gt;0,'Calculations PJ'!AH72*About!$B$45,0)</f>
        <v>43901165407.976563</v>
      </c>
      <c r="AI72">
        <f>IF('Calculations PJ'!AI72&lt;&gt;0,'Calculations PJ'!AI72*About!$B$45,0)</f>
        <v>43514708732.55085</v>
      </c>
      <c r="AJ72">
        <f>IF('Calculations PJ'!AJ72&lt;&gt;0,'Calculations PJ'!AJ72*About!$B$45,0)</f>
        <v>43129034358.087524</v>
      </c>
      <c r="AK72">
        <f>IF('Calculations PJ'!AK72&lt;&gt;0,'Calculations PJ'!AK72*About!$B$45,0)</f>
        <v>42743359983.624207</v>
      </c>
      <c r="AL72">
        <f>IF('Calculations PJ'!AL72&lt;&gt;0,'Calculations PJ'!AL72*About!$B$45,0)</f>
        <v>42358467910.123291</v>
      </c>
      <c r="AM72">
        <f>IF('Calculations PJ'!AM72&lt;&gt;0,'Calculations PJ'!AM72*About!$B$45,0)</f>
        <v>41968099729.885574</v>
      </c>
      <c r="AN72">
        <f>IF('Calculations PJ'!AN72&lt;&gt;0,'Calculations PJ'!AN72*About!$B$45,0)</f>
        <v>41578513850.61026</v>
      </c>
      <c r="AO72">
        <f>IF('Calculations PJ'!AO72&lt;&gt;0,'Calculations PJ'!AO72*About!$B$45,0)</f>
        <v>41578513850.61026</v>
      </c>
      <c r="AP72">
        <f>IF('Calculations PJ'!AP72&lt;&gt;0,'Calculations PJ'!AP72*About!$B$45,0)</f>
        <v>41578513850.61026</v>
      </c>
      <c r="AQ72">
        <f>IF('Calculations PJ'!AQ72&lt;&gt;0,'Calculations PJ'!AQ72*About!$B$45,0)</f>
        <v>41578513850.61026</v>
      </c>
      <c r="AR72">
        <f>IF('Calculations PJ'!AR72&lt;&gt;0,'Calculations PJ'!AR72*About!$B$45,0)</f>
        <v>41578513850.61026</v>
      </c>
      <c r="AS72">
        <f>IF('Calculations PJ'!AS72&lt;&gt;0,'Calculations PJ'!AS72*About!$B$45,0)</f>
        <v>41578513850.61026</v>
      </c>
      <c r="AT72">
        <f>IF('Calculations PJ'!AT72&lt;&gt;0,'Calculations PJ'!AT72*About!$B$45,0)</f>
        <v>41578513850.61026</v>
      </c>
      <c r="AU72">
        <f>IF('Calculations PJ'!AU72&lt;&gt;0,'Calculations PJ'!AU72*About!$B$45,0)</f>
        <v>41578513850.61026</v>
      </c>
      <c r="AV72">
        <f>IF('Calculations PJ'!AV72&lt;&gt;0,'Calculations PJ'!AV72*About!$B$45,0)</f>
        <v>41578513850.61026</v>
      </c>
      <c r="AW72">
        <f>IF('Calculations PJ'!AW72&lt;&gt;0,'Calculations PJ'!AW72*About!$B$45,0)</f>
        <v>41578513850.61026</v>
      </c>
      <c r="AX72">
        <f>IF('Calculations PJ'!AX72&lt;&gt;0,'Calculations PJ'!AX72*About!$B$45,0)</f>
        <v>41578513850.61026</v>
      </c>
      <c r="AY72">
        <f>IF('Calculations PJ'!AY72&lt;&gt;0,'Calculations PJ'!AY72*About!$B$45,0)</f>
        <v>41578513850.61026</v>
      </c>
      <c r="AZ72">
        <f>IF('Calculations PJ'!AZ72&lt;&gt;0,'Calculations PJ'!AZ72*About!$B$45,0)</f>
        <v>41578513850.61026</v>
      </c>
      <c r="BA72">
        <f>IF('Calculations PJ'!BA72&lt;&gt;0,'Calculations PJ'!BA72*About!$B$45,0)</f>
        <v>41578513850.61026</v>
      </c>
      <c r="BB72">
        <f>IF('Calculations PJ'!BB72&lt;&gt;0,'Calculations PJ'!BB72*About!$B$45,0)</f>
        <v>41578513850.61026</v>
      </c>
      <c r="BC72">
        <f>IF('Calculations PJ'!BC72&lt;&gt;0,'Calculations PJ'!BC72*About!$B$45,0)</f>
        <v>41578513850.61026</v>
      </c>
      <c r="BD72">
        <f>IF('Calculations PJ'!BD72&lt;&gt;0,'Calculations PJ'!BD72*About!$B$45,0)</f>
        <v>41578513850.61026</v>
      </c>
      <c r="BE72">
        <f>IF('Calculations PJ'!BE72&lt;&gt;0,'Calculations PJ'!BE72*About!$B$45,0)</f>
        <v>41578513850.61026</v>
      </c>
      <c r="BF72">
        <f>IF('Calculations PJ'!BF72&lt;&gt;0,'Calculations PJ'!BF72*About!$B$45,0)</f>
        <v>41578513850.61026</v>
      </c>
      <c r="BG72">
        <f>IF('Calculations PJ'!BG72&lt;&gt;0,'Calculations PJ'!BG72*About!$B$45,0)</f>
        <v>41578513850.61026</v>
      </c>
      <c r="BH72">
        <f>IF('Calculations PJ'!BH72&lt;&gt;0,'Calculations PJ'!BH72*About!$B$45,0)</f>
        <v>41578513850.61026</v>
      </c>
    </row>
    <row r="73" spans="1:60" hidden="1" outlineLevel="1">
      <c r="B73" t="s">
        <v>144</v>
      </c>
      <c r="C73">
        <f>IF('Calculations PJ'!C73&lt;&gt;0,'Calculations PJ'!C73*About!$B$45,0)</f>
        <v>0</v>
      </c>
      <c r="D73">
        <f>IF('Calculations PJ'!D73&lt;&gt;0,'Calculations PJ'!D73*About!$B$45,0)</f>
        <v>0</v>
      </c>
      <c r="E73">
        <f>IF('Calculations PJ'!E73&lt;&gt;0,'Calculations PJ'!E73*About!$B$45,0)</f>
        <v>0</v>
      </c>
      <c r="F73">
        <f>IF('Calculations PJ'!F73&lt;&gt;0,'Calculations PJ'!F73*About!$B$45,0)</f>
        <v>0</v>
      </c>
      <c r="G73">
        <f>IF('Calculations PJ'!G73&lt;&gt;0,'Calculations PJ'!G73*About!$B$45,0)</f>
        <v>0</v>
      </c>
      <c r="H73">
        <f>IF('Calculations PJ'!H73&lt;&gt;0,'Calculations PJ'!H73*About!$B$45,0)</f>
        <v>0</v>
      </c>
      <c r="I73">
        <f>IF('Calculations PJ'!I73&lt;&gt;0,'Calculations PJ'!I73*About!$B$45,0)</f>
        <v>0</v>
      </c>
      <c r="J73">
        <f>IF('Calculations PJ'!J73&lt;&gt;0,'Calculations PJ'!J73*About!$B$45,0)</f>
        <v>0</v>
      </c>
      <c r="K73">
        <f>IF('Calculations PJ'!K73&lt;&gt;0,'Calculations PJ'!K73*About!$B$45,0)</f>
        <v>0</v>
      </c>
      <c r="L73">
        <f>IF('Calculations PJ'!L73&lt;&gt;0,'Calculations PJ'!L73*About!$B$45,0)</f>
        <v>0</v>
      </c>
      <c r="M73">
        <f>IF('Calculations PJ'!M73&lt;&gt;0,'Calculations PJ'!M73*About!$B$45,0)</f>
        <v>0</v>
      </c>
      <c r="N73">
        <f>IF('Calculations PJ'!N73&lt;&gt;0,'Calculations PJ'!N73*About!$B$45,0)</f>
        <v>0</v>
      </c>
      <c r="O73">
        <f>IF('Calculations PJ'!O73&lt;&gt;0,'Calculations PJ'!O73*About!$B$45,0)</f>
        <v>0</v>
      </c>
      <c r="P73">
        <f>IF('Calculations PJ'!P73&lt;&gt;0,'Calculations PJ'!P73*About!$B$45,0)</f>
        <v>0</v>
      </c>
      <c r="Q73">
        <f>IF('Calculations PJ'!Q73&lt;&gt;0,'Calculations PJ'!Q73*About!$B$45,0)</f>
        <v>0</v>
      </c>
      <c r="R73">
        <f>IF('Calculations PJ'!R73&lt;&gt;0,'Calculations PJ'!R73*About!$B$45,0)</f>
        <v>0</v>
      </c>
      <c r="S73">
        <f>IF('Calculations PJ'!S73&lt;&gt;0,'Calculations PJ'!S73*About!$B$45,0)</f>
        <v>0</v>
      </c>
      <c r="T73">
        <f>IF('Calculations PJ'!T73&lt;&gt;0,'Calculations PJ'!T73*About!$B$45,0)</f>
        <v>0</v>
      </c>
      <c r="U73">
        <f>IF('Calculations PJ'!U73&lt;&gt;0,'Calculations PJ'!U73*About!$B$45,0)</f>
        <v>0</v>
      </c>
      <c r="V73">
        <f>IF('Calculations PJ'!V73&lt;&gt;0,'Calculations PJ'!V73*About!$B$45,0)</f>
        <v>0</v>
      </c>
      <c r="W73">
        <f>IF('Calculations PJ'!W73&lt;&gt;0,'Calculations PJ'!W73*About!$B$45,0)</f>
        <v>0</v>
      </c>
      <c r="X73">
        <f>IF('Calculations PJ'!X73&lt;&gt;0,'Calculations PJ'!X73*About!$B$45,0)</f>
        <v>0</v>
      </c>
      <c r="Y73">
        <f>IF('Calculations PJ'!Y73&lt;&gt;0,'Calculations PJ'!Y73*About!$B$45,0)</f>
        <v>0</v>
      </c>
      <c r="Z73">
        <f>IF('Calculations PJ'!Z73&lt;&gt;0,'Calculations PJ'!Z73*About!$B$45,0)</f>
        <v>0</v>
      </c>
      <c r="AA73">
        <f>IF('Calculations PJ'!AA73&lt;&gt;0,'Calculations PJ'!AA73*About!$B$45,0)</f>
        <v>0</v>
      </c>
      <c r="AB73">
        <f>IF('Calculations PJ'!AB73&lt;&gt;0,'Calculations PJ'!AB73*About!$B$45,0)</f>
        <v>0</v>
      </c>
      <c r="AC73">
        <f>IF('Calculations PJ'!AC73&lt;&gt;0,'Calculations PJ'!AC73*About!$B$45,0)</f>
        <v>0</v>
      </c>
      <c r="AD73">
        <f>IF('Calculations PJ'!AD73&lt;&gt;0,'Calculations PJ'!AD73*About!$B$45,0)</f>
        <v>0</v>
      </c>
      <c r="AE73">
        <f>IF('Calculations PJ'!AE73&lt;&gt;0,'Calculations PJ'!AE73*About!$B$45,0)</f>
        <v>0</v>
      </c>
      <c r="AF73">
        <f>IF('Calculations PJ'!AF73&lt;&gt;0,'Calculations PJ'!AF73*About!$B$45,0)</f>
        <v>0</v>
      </c>
      <c r="AG73">
        <f>IF('Calculations PJ'!AG73&lt;&gt;0,'Calculations PJ'!AG73*About!$B$45,0)</f>
        <v>0</v>
      </c>
      <c r="AH73">
        <f>IF('Calculations PJ'!AH73&lt;&gt;0,'Calculations PJ'!AH73*About!$B$45,0)</f>
        <v>0</v>
      </c>
      <c r="AI73">
        <f>IF('Calculations PJ'!AI73&lt;&gt;0,'Calculations PJ'!AI73*About!$B$45,0)</f>
        <v>0</v>
      </c>
      <c r="AJ73">
        <f>IF('Calculations PJ'!AJ73&lt;&gt;0,'Calculations PJ'!AJ73*About!$B$45,0)</f>
        <v>0</v>
      </c>
      <c r="AK73">
        <f>IF('Calculations PJ'!AK73&lt;&gt;0,'Calculations PJ'!AK73*About!$B$45,0)</f>
        <v>0</v>
      </c>
      <c r="AL73">
        <f>IF('Calculations PJ'!AL73&lt;&gt;0,'Calculations PJ'!AL73*About!$B$45,0)</f>
        <v>0</v>
      </c>
      <c r="AM73">
        <f>IF('Calculations PJ'!AM73&lt;&gt;0,'Calculations PJ'!AM73*About!$B$45,0)</f>
        <v>0</v>
      </c>
      <c r="AN73">
        <f>IF('Calculations PJ'!AN73&lt;&gt;0,'Calculations PJ'!AN73*About!$B$45,0)</f>
        <v>0</v>
      </c>
      <c r="AO73">
        <f>IF('Calculations PJ'!AO73&lt;&gt;0,'Calculations PJ'!AO73*About!$B$45,0)</f>
        <v>0</v>
      </c>
      <c r="AP73">
        <f>IF('Calculations PJ'!AP73&lt;&gt;0,'Calculations PJ'!AP73*About!$B$45,0)</f>
        <v>0</v>
      </c>
      <c r="AQ73">
        <f>IF('Calculations PJ'!AQ73&lt;&gt;0,'Calculations PJ'!AQ73*About!$B$45,0)</f>
        <v>0</v>
      </c>
      <c r="AR73">
        <f>IF('Calculations PJ'!AR73&lt;&gt;0,'Calculations PJ'!AR73*About!$B$45,0)</f>
        <v>0</v>
      </c>
      <c r="AS73">
        <f>IF('Calculations PJ'!AS73&lt;&gt;0,'Calculations PJ'!AS73*About!$B$45,0)</f>
        <v>0</v>
      </c>
      <c r="AT73">
        <f>IF('Calculations PJ'!AT73&lt;&gt;0,'Calculations PJ'!AT73*About!$B$45,0)</f>
        <v>0</v>
      </c>
      <c r="AU73">
        <f>IF('Calculations PJ'!AU73&lt;&gt;0,'Calculations PJ'!AU73*About!$B$45,0)</f>
        <v>0</v>
      </c>
      <c r="AV73">
        <f>IF('Calculations PJ'!AV73&lt;&gt;0,'Calculations PJ'!AV73*About!$B$45,0)</f>
        <v>0</v>
      </c>
      <c r="AW73">
        <f>IF('Calculations PJ'!AW73&lt;&gt;0,'Calculations PJ'!AW73*About!$B$45,0)</f>
        <v>0</v>
      </c>
      <c r="AX73">
        <f>IF('Calculations PJ'!AX73&lt;&gt;0,'Calculations PJ'!AX73*About!$B$45,0)</f>
        <v>0</v>
      </c>
      <c r="AY73">
        <f>IF('Calculations PJ'!AY73&lt;&gt;0,'Calculations PJ'!AY73*About!$B$45,0)</f>
        <v>0</v>
      </c>
      <c r="AZ73">
        <f>IF('Calculations PJ'!AZ73&lt;&gt;0,'Calculations PJ'!AZ73*About!$B$45,0)</f>
        <v>0</v>
      </c>
      <c r="BA73">
        <f>IF('Calculations PJ'!BA73&lt;&gt;0,'Calculations PJ'!BA73*About!$B$45,0)</f>
        <v>0</v>
      </c>
      <c r="BB73">
        <f>IF('Calculations PJ'!BB73&lt;&gt;0,'Calculations PJ'!BB73*About!$B$45,0)</f>
        <v>0</v>
      </c>
      <c r="BC73">
        <f>IF('Calculations PJ'!BC73&lt;&gt;0,'Calculations PJ'!BC73*About!$B$45,0)</f>
        <v>0</v>
      </c>
      <c r="BD73">
        <f>IF('Calculations PJ'!BD73&lt;&gt;0,'Calculations PJ'!BD73*About!$B$45,0)</f>
        <v>0</v>
      </c>
      <c r="BE73">
        <f>IF('Calculations PJ'!BE73&lt;&gt;0,'Calculations PJ'!BE73*About!$B$45,0)</f>
        <v>0</v>
      </c>
      <c r="BF73">
        <f>IF('Calculations PJ'!BF73&lt;&gt;0,'Calculations PJ'!BF73*About!$B$45,0)</f>
        <v>0</v>
      </c>
      <c r="BG73">
        <f>IF('Calculations PJ'!BG73&lt;&gt;0,'Calculations PJ'!BG73*About!$B$45,0)</f>
        <v>0</v>
      </c>
      <c r="BH73">
        <f>IF('Calculations PJ'!BH73&lt;&gt;0,'Calculations PJ'!BH73*About!$B$45,0)</f>
        <v>0</v>
      </c>
    </row>
    <row r="74" spans="1:60" hidden="1" outlineLevel="1">
      <c r="B74" t="s">
        <v>145</v>
      </c>
      <c r="C74">
        <f>IF('Calculations PJ'!C74&lt;&gt;0,'Calculations PJ'!C74*About!$B$45,0)</f>
        <v>4492890234511.6406</v>
      </c>
      <c r="D74">
        <f>IF('Calculations PJ'!D74&lt;&gt;0,'Calculations PJ'!D74*About!$B$45,0)</f>
        <v>5317534644643.5234</v>
      </c>
      <c r="E74">
        <f>IF('Calculations PJ'!E74&lt;&gt;0,'Calculations PJ'!E74*About!$B$45,0)</f>
        <v>5412321358451.7861</v>
      </c>
      <c r="F74">
        <f>IF('Calculations PJ'!F74&lt;&gt;0,'Calculations PJ'!F74*About!$B$45,0)</f>
        <v>5791468213684.8359</v>
      </c>
      <c r="G74">
        <f>IF('Calculations PJ'!G74&lt;&gt;0,'Calculations PJ'!G74*About!$B$45,0)</f>
        <v>5658766814353.2686</v>
      </c>
      <c r="H74">
        <f>IF('Calculations PJ'!H74&lt;&gt;0,'Calculations PJ'!H74*About!$B$45,0)</f>
        <v>6208529754441.1904</v>
      </c>
      <c r="I74">
        <f>IF('Calculations PJ'!I74&lt;&gt;0,'Calculations PJ'!I74*About!$B$45,0)</f>
        <v>6853079408337.376</v>
      </c>
      <c r="J74">
        <f>IF('Calculations PJ'!J74&lt;&gt;0,'Calculations PJ'!J74*About!$B$45,0)</f>
        <v>5943126955778.0557</v>
      </c>
      <c r="K74">
        <f>IF('Calculations PJ'!K74&lt;&gt;0,'Calculations PJ'!K74*About!$B$45,0)</f>
        <v>9165875225258.9785</v>
      </c>
      <c r="L74">
        <f>IF('Calculations PJ'!L74&lt;&gt;0,'Calculations PJ'!L74*About!$B$45,0)</f>
        <v>9431278023922.1133</v>
      </c>
      <c r="M74">
        <f>IF('Calculations PJ'!M74&lt;&gt;0,'Calculations PJ'!M74*About!$B$45,0)</f>
        <v>9819903550535.9902</v>
      </c>
      <c r="N74">
        <f>IF('Calculations PJ'!N74&lt;&gt;0,'Calculations PJ'!N74*About!$B$45,0)</f>
        <v>10218007748530.691</v>
      </c>
      <c r="O74">
        <f>IF('Calculations PJ'!O74&lt;&gt;0,'Calculations PJ'!O74*About!$B$45,0)</f>
        <v>10606633275144.568</v>
      </c>
      <c r="P74">
        <f>IF('Calculations PJ'!P74&lt;&gt;0,'Calculations PJ'!P74*About!$B$45,0)</f>
        <v>10995258801758.443</v>
      </c>
      <c r="Q74">
        <f>IF('Calculations PJ'!Q74&lt;&gt;0,'Calculations PJ'!Q74*About!$B$45,0)</f>
        <v>11393362999753.146</v>
      </c>
      <c r="R74">
        <f>IF('Calculations PJ'!R74&lt;&gt;0,'Calculations PJ'!R74*About!$B$45,0)</f>
        <v>11781988526367.021</v>
      </c>
      <c r="S74">
        <f>IF('Calculations PJ'!S74&lt;&gt;0,'Calculations PJ'!S74*About!$B$45,0)</f>
        <v>12170614052980.898</v>
      </c>
      <c r="T74">
        <f>IF('Calculations PJ'!T74&lt;&gt;0,'Calculations PJ'!T74*About!$B$45,0)</f>
        <v>12568718250975.602</v>
      </c>
      <c r="U74">
        <f>IF('Calculations PJ'!U74&lt;&gt;0,'Calculations PJ'!U74*About!$B$45,0)</f>
        <v>12957343777589.477</v>
      </c>
      <c r="V74">
        <f>IF('Calculations PJ'!V74&lt;&gt;0,'Calculations PJ'!V74*About!$B$45,0)</f>
        <v>13355447975584.18</v>
      </c>
      <c r="W74">
        <f>IF('Calculations PJ'!W74&lt;&gt;0,'Calculations PJ'!W74*About!$B$45,0)</f>
        <v>13744073502198.055</v>
      </c>
      <c r="X74">
        <f>IF('Calculations PJ'!X74&lt;&gt;0,'Calculations PJ'!X74*About!$B$45,0)</f>
        <v>14132699028811.932</v>
      </c>
      <c r="Y74">
        <f>IF('Calculations PJ'!Y74&lt;&gt;0,'Calculations PJ'!Y74*About!$B$45,0)</f>
        <v>14530803226806.635</v>
      </c>
      <c r="Z74">
        <f>IF('Calculations PJ'!Z74&lt;&gt;0,'Calculations PJ'!Z74*About!$B$45,0)</f>
        <v>14919428753420.51</v>
      </c>
      <c r="AA74">
        <f>IF('Calculations PJ'!AA74&lt;&gt;0,'Calculations PJ'!AA74*About!$B$45,0)</f>
        <v>15317532951415.213</v>
      </c>
      <c r="AB74">
        <f>IF('Calculations PJ'!AB74&lt;&gt;0,'Calculations PJ'!AB74*About!$B$45,0)</f>
        <v>15706158478029.088</v>
      </c>
      <c r="AC74">
        <f>IF('Calculations PJ'!AC74&lt;&gt;0,'Calculations PJ'!AC74*About!$B$45,0)</f>
        <v>16094784004642.965</v>
      </c>
      <c r="AD74">
        <f>IF('Calculations PJ'!AD74&lt;&gt;0,'Calculations PJ'!AD74*About!$B$45,0)</f>
        <v>16492888202637.666</v>
      </c>
      <c r="AE74">
        <f>IF('Calculations PJ'!AE74&lt;&gt;0,'Calculations PJ'!AE74*About!$B$45,0)</f>
        <v>16881513729251.541</v>
      </c>
      <c r="AF74">
        <f>IF('Calculations PJ'!AF74&lt;&gt;0,'Calculations PJ'!AF74*About!$B$45,0)</f>
        <v>17279617927246.246</v>
      </c>
      <c r="AG74">
        <f>IF('Calculations PJ'!AG74&lt;&gt;0,'Calculations PJ'!AG74*About!$B$45,0)</f>
        <v>17668243453860.121</v>
      </c>
      <c r="AH74">
        <f>IF('Calculations PJ'!AH74&lt;&gt;0,'Calculations PJ'!AH74*About!$B$45,0)</f>
        <v>18056868980473.996</v>
      </c>
      <c r="AI74">
        <f>IF('Calculations PJ'!AI74&lt;&gt;0,'Calculations PJ'!AI74*About!$B$45,0)</f>
        <v>18454973178468.699</v>
      </c>
      <c r="AJ74">
        <f>IF('Calculations PJ'!AJ74&lt;&gt;0,'Calculations PJ'!AJ74*About!$B$45,0)</f>
        <v>18843598705082.574</v>
      </c>
      <c r="AK74">
        <f>IF('Calculations PJ'!AK74&lt;&gt;0,'Calculations PJ'!AK74*About!$B$45,0)</f>
        <v>19241702903077.277</v>
      </c>
      <c r="AL74">
        <f>IF('Calculations PJ'!AL74&lt;&gt;0,'Calculations PJ'!AL74*About!$B$45,0)</f>
        <v>19630328429691.156</v>
      </c>
      <c r="AM74">
        <f>IF('Calculations PJ'!AM74&lt;&gt;0,'Calculations PJ'!AM74*About!$B$45,0)</f>
        <v>20018953956305.031</v>
      </c>
      <c r="AN74">
        <f>IF('Calculations PJ'!AN74&lt;&gt;0,'Calculations PJ'!AN74*About!$B$45,0)</f>
        <v>20417058154299.73</v>
      </c>
      <c r="AO74">
        <f>IF('Calculations PJ'!AO74&lt;&gt;0,'Calculations PJ'!AO74*About!$B$45,0)</f>
        <v>20417058154299.73</v>
      </c>
      <c r="AP74">
        <f>IF('Calculations PJ'!AP74&lt;&gt;0,'Calculations PJ'!AP74*About!$B$45,0)</f>
        <v>20417058154299.73</v>
      </c>
      <c r="AQ74">
        <f>IF('Calculations PJ'!AQ74&lt;&gt;0,'Calculations PJ'!AQ74*About!$B$45,0)</f>
        <v>20417058154299.73</v>
      </c>
      <c r="AR74">
        <f>IF('Calculations PJ'!AR74&lt;&gt;0,'Calculations PJ'!AR74*About!$B$45,0)</f>
        <v>20417058154299.73</v>
      </c>
      <c r="AS74">
        <f>IF('Calculations PJ'!AS74&lt;&gt;0,'Calculations PJ'!AS74*About!$B$45,0)</f>
        <v>20417058154299.73</v>
      </c>
      <c r="AT74">
        <f>IF('Calculations PJ'!AT74&lt;&gt;0,'Calculations PJ'!AT74*About!$B$45,0)</f>
        <v>20417058154299.73</v>
      </c>
      <c r="AU74">
        <f>IF('Calculations PJ'!AU74&lt;&gt;0,'Calculations PJ'!AU74*About!$B$45,0)</f>
        <v>20417058154299.73</v>
      </c>
      <c r="AV74">
        <f>IF('Calculations PJ'!AV74&lt;&gt;0,'Calculations PJ'!AV74*About!$B$45,0)</f>
        <v>20417058154299.73</v>
      </c>
      <c r="AW74">
        <f>IF('Calculations PJ'!AW74&lt;&gt;0,'Calculations PJ'!AW74*About!$B$45,0)</f>
        <v>20417058154299.73</v>
      </c>
      <c r="AX74">
        <f>IF('Calculations PJ'!AX74&lt;&gt;0,'Calculations PJ'!AX74*About!$B$45,0)</f>
        <v>20417058154299.73</v>
      </c>
      <c r="AY74">
        <f>IF('Calculations PJ'!AY74&lt;&gt;0,'Calculations PJ'!AY74*About!$B$45,0)</f>
        <v>20417058154299.73</v>
      </c>
      <c r="AZ74">
        <f>IF('Calculations PJ'!AZ74&lt;&gt;0,'Calculations PJ'!AZ74*About!$B$45,0)</f>
        <v>20417058154299.73</v>
      </c>
      <c r="BA74">
        <f>IF('Calculations PJ'!BA74&lt;&gt;0,'Calculations PJ'!BA74*About!$B$45,0)</f>
        <v>20417058154299.73</v>
      </c>
      <c r="BB74">
        <f>IF('Calculations PJ'!BB74&lt;&gt;0,'Calculations PJ'!BB74*About!$B$45,0)</f>
        <v>20417058154299.73</v>
      </c>
      <c r="BC74">
        <f>IF('Calculations PJ'!BC74&lt;&gt;0,'Calculations PJ'!BC74*About!$B$45,0)</f>
        <v>20417058154299.73</v>
      </c>
      <c r="BD74">
        <f>IF('Calculations PJ'!BD74&lt;&gt;0,'Calculations PJ'!BD74*About!$B$45,0)</f>
        <v>20417058154299.73</v>
      </c>
      <c r="BE74">
        <f>IF('Calculations PJ'!BE74&lt;&gt;0,'Calculations PJ'!BE74*About!$B$45,0)</f>
        <v>20417058154299.73</v>
      </c>
      <c r="BF74">
        <f>IF('Calculations PJ'!BF74&lt;&gt;0,'Calculations PJ'!BF74*About!$B$45,0)</f>
        <v>20417058154299.73</v>
      </c>
      <c r="BG74">
        <f>IF('Calculations PJ'!BG74&lt;&gt;0,'Calculations PJ'!BG74*About!$B$45,0)</f>
        <v>20417058154299.73</v>
      </c>
      <c r="BH74">
        <f>IF('Calculations PJ'!BH74&lt;&gt;0,'Calculations PJ'!BH74*About!$B$45,0)</f>
        <v>20417058154299.73</v>
      </c>
    </row>
    <row r="75" spans="1:60" hidden="1" outlineLevel="1">
      <c r="B75" t="s">
        <v>146</v>
      </c>
      <c r="C75">
        <f>IF('Calculations PJ'!C75&lt;&gt;0,'Calculations PJ'!C75*About!$B$45,0)</f>
        <v>0</v>
      </c>
      <c r="D75">
        <f>IF('Calculations PJ'!D75&lt;&gt;0,'Calculations PJ'!D75*About!$B$45,0)</f>
        <v>0</v>
      </c>
      <c r="E75">
        <f>IF('Calculations PJ'!E75&lt;&gt;0,'Calculations PJ'!E75*About!$B$45,0)</f>
        <v>0</v>
      </c>
      <c r="F75">
        <f>IF('Calculations PJ'!F75&lt;&gt;0,'Calculations PJ'!F75*About!$B$45,0)</f>
        <v>0</v>
      </c>
      <c r="G75">
        <f>IF('Calculations PJ'!G75&lt;&gt;0,'Calculations PJ'!G75*About!$B$45,0)</f>
        <v>0</v>
      </c>
      <c r="H75">
        <f>IF('Calculations PJ'!H75&lt;&gt;0,'Calculations PJ'!H75*About!$B$45,0)</f>
        <v>0</v>
      </c>
      <c r="I75">
        <f>IF('Calculations PJ'!I75&lt;&gt;0,'Calculations PJ'!I75*About!$B$45,0)</f>
        <v>0</v>
      </c>
      <c r="J75">
        <f>IF('Calculations PJ'!J75&lt;&gt;0,'Calculations PJ'!J75*About!$B$45,0)</f>
        <v>0</v>
      </c>
      <c r="K75">
        <f>IF('Calculations PJ'!K75&lt;&gt;0,'Calculations PJ'!K75*About!$B$45,0)</f>
        <v>0</v>
      </c>
      <c r="L75">
        <f>IF('Calculations PJ'!L75&lt;&gt;0,'Calculations PJ'!L75*About!$B$45,0)</f>
        <v>0</v>
      </c>
      <c r="M75">
        <f>IF('Calculations PJ'!M75&lt;&gt;0,'Calculations PJ'!M75*About!$B$45,0)</f>
        <v>0</v>
      </c>
      <c r="N75">
        <f>IF('Calculations PJ'!N75&lt;&gt;0,'Calculations PJ'!N75*About!$B$45,0)</f>
        <v>0</v>
      </c>
      <c r="O75">
        <f>IF('Calculations PJ'!O75&lt;&gt;0,'Calculations PJ'!O75*About!$B$45,0)</f>
        <v>0</v>
      </c>
      <c r="P75">
        <f>IF('Calculations PJ'!P75&lt;&gt;0,'Calculations PJ'!P75*About!$B$45,0)</f>
        <v>0</v>
      </c>
      <c r="Q75">
        <f>IF('Calculations PJ'!Q75&lt;&gt;0,'Calculations PJ'!Q75*About!$B$45,0)</f>
        <v>0</v>
      </c>
      <c r="R75">
        <f>IF('Calculations PJ'!R75&lt;&gt;0,'Calculations PJ'!R75*About!$B$45,0)</f>
        <v>0</v>
      </c>
      <c r="S75">
        <f>IF('Calculations PJ'!S75&lt;&gt;0,'Calculations PJ'!S75*About!$B$45,0)</f>
        <v>0</v>
      </c>
      <c r="T75">
        <f>IF('Calculations PJ'!T75&lt;&gt;0,'Calculations PJ'!T75*About!$B$45,0)</f>
        <v>0</v>
      </c>
      <c r="U75">
        <f>IF('Calculations PJ'!U75&lt;&gt;0,'Calculations PJ'!U75*About!$B$45,0)</f>
        <v>0</v>
      </c>
      <c r="V75">
        <f>IF('Calculations PJ'!V75&lt;&gt;0,'Calculations PJ'!V75*About!$B$45,0)</f>
        <v>0</v>
      </c>
      <c r="W75">
        <f>IF('Calculations PJ'!W75&lt;&gt;0,'Calculations PJ'!W75*About!$B$45,0)</f>
        <v>0</v>
      </c>
      <c r="X75">
        <f>IF('Calculations PJ'!X75&lt;&gt;0,'Calculations PJ'!X75*About!$B$45,0)</f>
        <v>0</v>
      </c>
      <c r="Y75">
        <f>IF('Calculations PJ'!Y75&lt;&gt;0,'Calculations PJ'!Y75*About!$B$45,0)</f>
        <v>0</v>
      </c>
      <c r="Z75">
        <f>IF('Calculations PJ'!Z75&lt;&gt;0,'Calculations PJ'!Z75*About!$B$45,0)</f>
        <v>0</v>
      </c>
      <c r="AA75">
        <f>IF('Calculations PJ'!AA75&lt;&gt;0,'Calculations PJ'!AA75*About!$B$45,0)</f>
        <v>0</v>
      </c>
      <c r="AB75">
        <f>IF('Calculations PJ'!AB75&lt;&gt;0,'Calculations PJ'!AB75*About!$B$45,0)</f>
        <v>0</v>
      </c>
      <c r="AC75">
        <f>IF('Calculations PJ'!AC75&lt;&gt;0,'Calculations PJ'!AC75*About!$B$45,0)</f>
        <v>0</v>
      </c>
      <c r="AD75">
        <f>IF('Calculations PJ'!AD75&lt;&gt;0,'Calculations PJ'!AD75*About!$B$45,0)</f>
        <v>0</v>
      </c>
      <c r="AE75">
        <f>IF('Calculations PJ'!AE75&lt;&gt;0,'Calculations PJ'!AE75*About!$B$45,0)</f>
        <v>0</v>
      </c>
      <c r="AF75">
        <f>IF('Calculations PJ'!AF75&lt;&gt;0,'Calculations PJ'!AF75*About!$B$45,0)</f>
        <v>0</v>
      </c>
      <c r="AG75">
        <f>IF('Calculations PJ'!AG75&lt;&gt;0,'Calculations PJ'!AG75*About!$B$45,0)</f>
        <v>0</v>
      </c>
      <c r="AH75">
        <f>IF('Calculations PJ'!AH75&lt;&gt;0,'Calculations PJ'!AH75*About!$B$45,0)</f>
        <v>0</v>
      </c>
      <c r="AI75">
        <f>IF('Calculations PJ'!AI75&lt;&gt;0,'Calculations PJ'!AI75*About!$B$45,0)</f>
        <v>0</v>
      </c>
      <c r="AJ75">
        <f>IF('Calculations PJ'!AJ75&lt;&gt;0,'Calculations PJ'!AJ75*About!$B$45,0)</f>
        <v>0</v>
      </c>
      <c r="AK75">
        <f>IF('Calculations PJ'!AK75&lt;&gt;0,'Calculations PJ'!AK75*About!$B$45,0)</f>
        <v>0</v>
      </c>
      <c r="AL75">
        <f>IF('Calculations PJ'!AL75&lt;&gt;0,'Calculations PJ'!AL75*About!$B$45,0)</f>
        <v>0</v>
      </c>
      <c r="AM75">
        <f>IF('Calculations PJ'!AM75&lt;&gt;0,'Calculations PJ'!AM75*About!$B$45,0)</f>
        <v>0</v>
      </c>
      <c r="AN75">
        <f>IF('Calculations PJ'!AN75&lt;&gt;0,'Calculations PJ'!AN75*About!$B$45,0)</f>
        <v>0</v>
      </c>
      <c r="AO75">
        <f>IF('Calculations PJ'!AO75&lt;&gt;0,'Calculations PJ'!AO75*About!$B$45,0)</f>
        <v>0</v>
      </c>
      <c r="AP75">
        <f>IF('Calculations PJ'!AP75&lt;&gt;0,'Calculations PJ'!AP75*About!$B$45,0)</f>
        <v>0</v>
      </c>
      <c r="AQ75">
        <f>IF('Calculations PJ'!AQ75&lt;&gt;0,'Calculations PJ'!AQ75*About!$B$45,0)</f>
        <v>0</v>
      </c>
      <c r="AR75">
        <f>IF('Calculations PJ'!AR75&lt;&gt;0,'Calculations PJ'!AR75*About!$B$45,0)</f>
        <v>0</v>
      </c>
      <c r="AS75">
        <f>IF('Calculations PJ'!AS75&lt;&gt;0,'Calculations PJ'!AS75*About!$B$45,0)</f>
        <v>0</v>
      </c>
      <c r="AT75">
        <f>IF('Calculations PJ'!AT75&lt;&gt;0,'Calculations PJ'!AT75*About!$B$45,0)</f>
        <v>0</v>
      </c>
      <c r="AU75">
        <f>IF('Calculations PJ'!AU75&lt;&gt;0,'Calculations PJ'!AU75*About!$B$45,0)</f>
        <v>0</v>
      </c>
      <c r="AV75">
        <f>IF('Calculations PJ'!AV75&lt;&gt;0,'Calculations PJ'!AV75*About!$B$45,0)</f>
        <v>0</v>
      </c>
      <c r="AW75">
        <f>IF('Calculations PJ'!AW75&lt;&gt;0,'Calculations PJ'!AW75*About!$B$45,0)</f>
        <v>0</v>
      </c>
      <c r="AX75">
        <f>IF('Calculations PJ'!AX75&lt;&gt;0,'Calculations PJ'!AX75*About!$B$45,0)</f>
        <v>0</v>
      </c>
      <c r="AY75">
        <f>IF('Calculations PJ'!AY75&lt;&gt;0,'Calculations PJ'!AY75*About!$B$45,0)</f>
        <v>0</v>
      </c>
      <c r="AZ75">
        <f>IF('Calculations PJ'!AZ75&lt;&gt;0,'Calculations PJ'!AZ75*About!$B$45,0)</f>
        <v>0</v>
      </c>
      <c r="BA75">
        <f>IF('Calculations PJ'!BA75&lt;&gt;0,'Calculations PJ'!BA75*About!$B$45,0)</f>
        <v>0</v>
      </c>
      <c r="BB75">
        <f>IF('Calculations PJ'!BB75&lt;&gt;0,'Calculations PJ'!BB75*About!$B$45,0)</f>
        <v>0</v>
      </c>
      <c r="BC75">
        <f>IF('Calculations PJ'!BC75&lt;&gt;0,'Calculations PJ'!BC75*About!$B$45,0)</f>
        <v>0</v>
      </c>
      <c r="BD75">
        <f>IF('Calculations PJ'!BD75&lt;&gt;0,'Calculations PJ'!BD75*About!$B$45,0)</f>
        <v>0</v>
      </c>
      <c r="BE75">
        <f>IF('Calculations PJ'!BE75&lt;&gt;0,'Calculations PJ'!BE75*About!$B$45,0)</f>
        <v>0</v>
      </c>
      <c r="BF75">
        <f>IF('Calculations PJ'!BF75&lt;&gt;0,'Calculations PJ'!BF75*About!$B$45,0)</f>
        <v>0</v>
      </c>
      <c r="BG75">
        <f>IF('Calculations PJ'!BG75&lt;&gt;0,'Calculations PJ'!BG75*About!$B$45,0)</f>
        <v>0</v>
      </c>
      <c r="BH75">
        <f>IF('Calculations PJ'!BH75&lt;&gt;0,'Calculations PJ'!BH75*About!$B$45,0)</f>
        <v>0</v>
      </c>
    </row>
    <row r="76" spans="1:60" hidden="1" outlineLevel="1">
      <c r="B76" t="s">
        <v>147</v>
      </c>
      <c r="C76">
        <f>IF('Calculations PJ'!C76&lt;&gt;0,'Calculations PJ'!C76*About!$B$45,0)</f>
        <v>161033148088857.09</v>
      </c>
      <c r="D76">
        <f>IF('Calculations PJ'!D76&lt;&gt;0,'Calculations PJ'!D76*About!$B$45,0)</f>
        <v>165895706507220.94</v>
      </c>
      <c r="E76">
        <f>IF('Calculations PJ'!E76&lt;&gt;0,'Calculations PJ'!E76*About!$B$45,0)</f>
        <v>175535515301521.22</v>
      </c>
      <c r="F76">
        <f>IF('Calculations PJ'!F76&lt;&gt;0,'Calculations PJ'!F76*About!$B$45,0)</f>
        <v>192464422387676.91</v>
      </c>
      <c r="G76">
        <f>IF('Calculations PJ'!G76&lt;&gt;0,'Calculations PJ'!G76*About!$B$45,0)</f>
        <v>235715599898387.03</v>
      </c>
      <c r="H76">
        <f>IF('Calculations PJ'!H76&lt;&gt;0,'Calculations PJ'!H76*About!$B$45,0)</f>
        <v>76180081887700.516</v>
      </c>
      <c r="I76">
        <f>IF('Calculations PJ'!I76&lt;&gt;0,'Calculations PJ'!I76*About!$B$45,0)</f>
        <v>70047381504305.945</v>
      </c>
      <c r="J76">
        <f>IF('Calculations PJ'!J76&lt;&gt;0,'Calculations PJ'!J76*About!$B$45,0)</f>
        <v>25165872516093.68</v>
      </c>
      <c r="K76">
        <f>IF('Calculations PJ'!K76&lt;&gt;0,'Calculations PJ'!K76*About!$B$45,0)</f>
        <v>40123215955037.5</v>
      </c>
      <c r="L76">
        <f>IF('Calculations PJ'!L76&lt;&gt;0,'Calculations PJ'!L76*About!$B$45,0)</f>
        <v>40853073651361.117</v>
      </c>
      <c r="M76">
        <f>IF('Calculations PJ'!M76&lt;&gt;0,'Calculations PJ'!M76*About!$B$45,0)</f>
        <v>41601888690446.398</v>
      </c>
      <c r="N76">
        <f>IF('Calculations PJ'!N76&lt;&gt;0,'Calculations PJ'!N76*About!$B$45,0)</f>
        <v>42058272745537.977</v>
      </c>
      <c r="O76">
        <f>IF('Calculations PJ'!O76&lt;&gt;0,'Calculations PJ'!O76*About!$B$45,0)</f>
        <v>42514782907544.711</v>
      </c>
      <c r="P76">
        <f>IF('Calculations PJ'!P76&lt;&gt;0,'Calculations PJ'!P76*About!$B$45,0)</f>
        <v>42961562184340.352</v>
      </c>
      <c r="Q76">
        <f>IF('Calculations PJ'!Q76&lt;&gt;0,'Calculations PJ'!Q76*About!$B$45,0)</f>
        <v>43417946239431.953</v>
      </c>
      <c r="R76">
        <f>IF('Calculations PJ'!R76&lt;&gt;0,'Calculations PJ'!R76*About!$B$45,0)</f>
        <v>43874456401438.68</v>
      </c>
      <c r="S76">
        <f>IF('Calculations PJ'!S76&lt;&gt;0,'Calculations PJ'!S76*About!$B$45,0)</f>
        <v>44330714349615.133</v>
      </c>
      <c r="T76">
        <f>IF('Calculations PJ'!T76&lt;&gt;0,'Calculations PJ'!T76*About!$B$45,0)</f>
        <v>44777745840241.047</v>
      </c>
      <c r="U76">
        <f>IF('Calculations PJ'!U76&lt;&gt;0,'Calculations PJ'!U76*About!$B$45,0)</f>
        <v>45234256002247.773</v>
      </c>
      <c r="V76">
        <f>IF('Calculations PJ'!V76&lt;&gt;0,'Calculations PJ'!V76*About!$B$45,0)</f>
        <v>45690387843509.102</v>
      </c>
      <c r="W76">
        <f>IF('Calculations PJ'!W76&lt;&gt;0,'Calculations PJ'!W76*About!$B$45,0)</f>
        <v>46137419334135</v>
      </c>
      <c r="X76">
        <f>IF('Calculations PJ'!X76&lt;&gt;0,'Calculations PJ'!X76*About!$B$45,0)</f>
        <v>46367766600832.219</v>
      </c>
      <c r="Y76">
        <f>IF('Calculations PJ'!Y76&lt;&gt;0,'Calculations PJ'!Y76*About!$B$45,0)</f>
        <v>46297235910664.125</v>
      </c>
      <c r="Z76">
        <f>IF('Calculations PJ'!Z76&lt;&gt;0,'Calculations PJ'!Z76*About!$B$45,0)</f>
        <v>46217352656030.375</v>
      </c>
      <c r="AA76">
        <f>IF('Calculations PJ'!AA76&lt;&gt;0,'Calculations PJ'!AA76*About!$B$45,0)</f>
        <v>46146695858947.141</v>
      </c>
      <c r="AB76">
        <f>IF('Calculations PJ'!AB76&lt;&gt;0,'Calculations PJ'!AB76*About!$B$45,0)</f>
        <v>46076165168779.063</v>
      </c>
      <c r="AC76">
        <f>IF('Calculations PJ'!AC76&lt;&gt;0,'Calculations PJ'!AC76*About!$B$45,0)</f>
        <v>45996408021060.438</v>
      </c>
      <c r="AD76">
        <f>IF('Calculations PJ'!AD76&lt;&gt;0,'Calculations PJ'!AD76*About!$B$45,0)</f>
        <v>45925625117062.078</v>
      </c>
      <c r="AE76">
        <f>IF('Calculations PJ'!AE76&lt;&gt;0,'Calculations PJ'!AE76*About!$B$45,0)</f>
        <v>45855094426894</v>
      </c>
      <c r="AF76">
        <f>IF('Calculations PJ'!AF76&lt;&gt;0,'Calculations PJ'!AF76*About!$B$45,0)</f>
        <v>45775211172260.234</v>
      </c>
      <c r="AG76">
        <f>IF('Calculations PJ'!AG76&lt;&gt;0,'Calculations PJ'!AG76*About!$B$45,0)</f>
        <v>45704680482092.156</v>
      </c>
      <c r="AH76">
        <f>IF('Calculations PJ'!AH76&lt;&gt;0,'Calculations PJ'!AH76*About!$B$45,0)</f>
        <v>45634023685008.93</v>
      </c>
      <c r="AI76">
        <f>IF('Calculations PJ'!AI76&lt;&gt;0,'Calculations PJ'!AI76*About!$B$45,0)</f>
        <v>45554140430375.164</v>
      </c>
      <c r="AJ76">
        <f>IF('Calculations PJ'!AJ76&lt;&gt;0,'Calculations PJ'!AJ76*About!$B$45,0)</f>
        <v>45483609740207.078</v>
      </c>
      <c r="AK76">
        <f>IF('Calculations PJ'!AK76&lt;&gt;0,'Calculations PJ'!AK76*About!$B$45,0)</f>
        <v>45413079050039</v>
      </c>
      <c r="AL76">
        <f>IF('Calculations PJ'!AL76&lt;&gt;0,'Calculations PJ'!AL76*About!$B$45,0)</f>
        <v>45332943581574.961</v>
      </c>
      <c r="AM76">
        <f>IF('Calculations PJ'!AM76&lt;&gt;0,'Calculations PJ'!AM76*About!$B$45,0)</f>
        <v>45263169532897.703</v>
      </c>
      <c r="AN76">
        <f>IF('Calculations PJ'!AN76&lt;&gt;0,'Calculations PJ'!AN76*About!$B$45,0)</f>
        <v>45183790705924.492</v>
      </c>
      <c r="AO76">
        <f>IF('Calculations PJ'!AO76&lt;&gt;0,'Calculations PJ'!AO76*About!$B$45,0)</f>
        <v>45183790705924.492</v>
      </c>
      <c r="AP76">
        <f>IF('Calculations PJ'!AP76&lt;&gt;0,'Calculations PJ'!AP76*About!$B$45,0)</f>
        <v>45183790705924.492</v>
      </c>
      <c r="AQ76">
        <f>IF('Calculations PJ'!AQ76&lt;&gt;0,'Calculations PJ'!AQ76*About!$B$45,0)</f>
        <v>45183790705924.492</v>
      </c>
      <c r="AR76">
        <f>IF('Calculations PJ'!AR76&lt;&gt;0,'Calculations PJ'!AR76*About!$B$45,0)</f>
        <v>45183790705924.492</v>
      </c>
      <c r="AS76">
        <f>IF('Calculations PJ'!AS76&lt;&gt;0,'Calculations PJ'!AS76*About!$B$45,0)</f>
        <v>45183790705924.492</v>
      </c>
      <c r="AT76">
        <f>IF('Calculations PJ'!AT76&lt;&gt;0,'Calculations PJ'!AT76*About!$B$45,0)</f>
        <v>45183790705924.492</v>
      </c>
      <c r="AU76">
        <f>IF('Calculations PJ'!AU76&lt;&gt;0,'Calculations PJ'!AU76*About!$B$45,0)</f>
        <v>45183790705924.492</v>
      </c>
      <c r="AV76">
        <f>IF('Calculations PJ'!AV76&lt;&gt;0,'Calculations PJ'!AV76*About!$B$45,0)</f>
        <v>45183790705924.492</v>
      </c>
      <c r="AW76">
        <f>IF('Calculations PJ'!AW76&lt;&gt;0,'Calculations PJ'!AW76*About!$B$45,0)</f>
        <v>45183790705924.492</v>
      </c>
      <c r="AX76">
        <f>IF('Calculations PJ'!AX76&lt;&gt;0,'Calculations PJ'!AX76*About!$B$45,0)</f>
        <v>45183790705924.492</v>
      </c>
      <c r="AY76">
        <f>IF('Calculations PJ'!AY76&lt;&gt;0,'Calculations PJ'!AY76*About!$B$45,0)</f>
        <v>45183790705924.492</v>
      </c>
      <c r="AZ76">
        <f>IF('Calculations PJ'!AZ76&lt;&gt;0,'Calculations PJ'!AZ76*About!$B$45,0)</f>
        <v>45183790705924.492</v>
      </c>
      <c r="BA76">
        <f>IF('Calculations PJ'!BA76&lt;&gt;0,'Calculations PJ'!BA76*About!$B$45,0)</f>
        <v>45183790705924.492</v>
      </c>
      <c r="BB76">
        <f>IF('Calculations PJ'!BB76&lt;&gt;0,'Calculations PJ'!BB76*About!$B$45,0)</f>
        <v>45183790705924.492</v>
      </c>
      <c r="BC76">
        <f>IF('Calculations PJ'!BC76&lt;&gt;0,'Calculations PJ'!BC76*About!$B$45,0)</f>
        <v>45183790705924.492</v>
      </c>
      <c r="BD76">
        <f>IF('Calculations PJ'!BD76&lt;&gt;0,'Calculations PJ'!BD76*About!$B$45,0)</f>
        <v>45183790705924.492</v>
      </c>
      <c r="BE76">
        <f>IF('Calculations PJ'!BE76&lt;&gt;0,'Calculations PJ'!BE76*About!$B$45,0)</f>
        <v>45183790705924.492</v>
      </c>
      <c r="BF76">
        <f>IF('Calculations PJ'!BF76&lt;&gt;0,'Calculations PJ'!BF76*About!$B$45,0)</f>
        <v>45183790705924.492</v>
      </c>
      <c r="BG76">
        <f>IF('Calculations PJ'!BG76&lt;&gt;0,'Calculations PJ'!BG76*About!$B$45,0)</f>
        <v>45183790705924.492</v>
      </c>
      <c r="BH76">
        <f>IF('Calculations PJ'!BH76&lt;&gt;0,'Calculations PJ'!BH76*About!$B$45,0)</f>
        <v>45183790705924.492</v>
      </c>
    </row>
    <row r="77" spans="1:60" hidden="1" outlineLevel="1">
      <c r="B77" t="s">
        <v>148</v>
      </c>
      <c r="C77">
        <f>IF('Calculations PJ'!C77&lt;&gt;0,'Calculations PJ'!C77*About!$B$45,0)</f>
        <v>542900382008204</v>
      </c>
      <c r="D77">
        <f>IF('Calculations PJ'!D77&lt;&gt;0,'Calculations PJ'!D77*About!$B$45,0)</f>
        <v>536653937568239.5</v>
      </c>
      <c r="E77">
        <f>IF('Calculations PJ'!E77&lt;&gt;0,'Calculations PJ'!E77*About!$B$45,0)</f>
        <v>580113645849327.88</v>
      </c>
      <c r="F77">
        <f>IF('Calculations PJ'!F77&lt;&gt;0,'Calculations PJ'!F77*About!$B$45,0)</f>
        <v>590587577725140.88</v>
      </c>
      <c r="G77">
        <f>IF('Calculations PJ'!G77&lt;&gt;0,'Calculations PJ'!G77*About!$B$45,0)</f>
        <v>645345862292174</v>
      </c>
      <c r="H77">
        <f>IF('Calculations PJ'!H77&lt;&gt;0,'Calculations PJ'!H77*About!$B$45,0)</f>
        <v>501573374787801.56</v>
      </c>
      <c r="I77">
        <f>IF('Calculations PJ'!I77&lt;&gt;0,'Calculations PJ'!I77*About!$B$45,0)</f>
        <v>465791390325182.5</v>
      </c>
      <c r="J77">
        <f>IF('Calculations PJ'!J77&lt;&gt;0,'Calculations PJ'!J77*About!$B$45,0)</f>
        <v>510483325885778.19</v>
      </c>
      <c r="K77">
        <f>IF('Calculations PJ'!K77&lt;&gt;0,'Calculations PJ'!K77*About!$B$45,0)</f>
        <v>646843492370344.63</v>
      </c>
      <c r="L77">
        <f>IF('Calculations PJ'!L77&lt;&gt;0,'Calculations PJ'!L77*About!$B$45,0)</f>
        <v>617706056545684.75</v>
      </c>
      <c r="M77">
        <f>IF('Calculations PJ'!M77&lt;&gt;0,'Calculations PJ'!M77*About!$B$45,0)</f>
        <v>642028327308884.88</v>
      </c>
      <c r="N77">
        <f>IF('Calculations PJ'!N77&lt;&gt;0,'Calculations PJ'!N77*About!$B$45,0)</f>
        <v>664227375682780</v>
      </c>
      <c r="O77">
        <f>IF('Calculations PJ'!O77&lt;&gt;0,'Calculations PJ'!O77*About!$B$45,0)</f>
        <v>684274765653227.5</v>
      </c>
      <c r="P77">
        <f>IF('Calculations PJ'!P77&lt;&gt;0,'Calculations PJ'!P77*About!$B$45,0)</f>
        <v>698284241954088.75</v>
      </c>
      <c r="Q77">
        <f>IF('Calculations PJ'!Q77&lt;&gt;0,'Calculations PJ'!Q77*About!$B$45,0)</f>
        <v>709355330126893.75</v>
      </c>
      <c r="R77">
        <f>IF('Calculations PJ'!R77&lt;&gt;0,'Calculations PJ'!R77*About!$B$45,0)</f>
        <v>717706039613401.75</v>
      </c>
      <c r="S77">
        <f>IF('Calculations PJ'!S77&lt;&gt;0,'Calculations PJ'!S77*About!$B$45,0)</f>
        <v>723895612025081.25</v>
      </c>
      <c r="T77">
        <f>IF('Calculations PJ'!T77&lt;&gt;0,'Calculations PJ'!T77*About!$B$45,0)</f>
        <v>728587554358590.25</v>
      </c>
      <c r="U77">
        <f>IF('Calculations PJ'!U77&lt;&gt;0,'Calculations PJ'!U77*About!$B$45,0)</f>
        <v>732445373610586.5</v>
      </c>
      <c r="V77">
        <f>IF('Calculations PJ'!V77&lt;&gt;0,'Calculations PJ'!V77*About!$B$45,0)</f>
        <v>736151534120489.63</v>
      </c>
      <c r="W77">
        <f>IF('Calculations PJ'!W77&lt;&gt;0,'Calculations PJ'!W77*About!$B$45,0)</f>
        <v>739573334488967.75</v>
      </c>
      <c r="X77">
        <f>IF('Calculations PJ'!X77&lt;&gt;0,'Calculations PJ'!X77*About!$B$45,0)</f>
        <v>742701296044640.38</v>
      </c>
      <c r="Y77">
        <f>IF('Calculations PJ'!Y77&lt;&gt;0,'Calculations PJ'!Y77*About!$B$45,0)</f>
        <v>745525940116126.63</v>
      </c>
      <c r="Z77">
        <f>IF('Calculations PJ'!Z77&lt;&gt;0,'Calculations PJ'!Z77*About!$B$45,0)</f>
        <v>748028309360664.88</v>
      </c>
      <c r="AA77">
        <f>IF('Calculations PJ'!AA77&lt;&gt;0,'Calculations PJ'!AA77*About!$B$45,0)</f>
        <v>750161010421350.75</v>
      </c>
      <c r="AB77">
        <f>IF('Calculations PJ'!AB77&lt;&gt;0,'Calculations PJ'!AB77*About!$B$45,0)</f>
        <v>751952479312326.75</v>
      </c>
      <c r="AC77">
        <f>IF('Calculations PJ'!AC77&lt;&gt;0,'Calculations PJ'!AC77*About!$B$45,0)</f>
        <v>753383758690831.5</v>
      </c>
      <c r="AD77">
        <f>IF('Calculations PJ'!AD77&lt;&gt;0,'Calculations PJ'!AD77*About!$B$45,0)</f>
        <v>754369540514437.5</v>
      </c>
      <c r="AE77">
        <f>IF('Calculations PJ'!AE77&lt;&gt;0,'Calculations PJ'!AE77*About!$B$45,0)</f>
        <v>754805559397955.5</v>
      </c>
      <c r="AF77">
        <f>IF('Calculations PJ'!AF77&lt;&gt;0,'Calculations PJ'!AF77*About!$B$45,0)</f>
        <v>754710772684147.38</v>
      </c>
      <c r="AG77">
        <f>IF('Calculations PJ'!AG77&lt;&gt;0,'Calculations PJ'!AG77*About!$B$45,0)</f>
        <v>754075701701631.88</v>
      </c>
      <c r="AH77">
        <f>IF('Calculations PJ'!AH77&lt;&gt;0,'Calculations PJ'!AH77*About!$B$45,0)</f>
        <v>752890867779028.63</v>
      </c>
      <c r="AI77">
        <f>IF('Calculations PJ'!AI77&lt;&gt;0,'Calculations PJ'!AI77*About!$B$45,0)</f>
        <v>751165749587718.25</v>
      </c>
      <c r="AJ77">
        <f>IF('Calculations PJ'!AJ77&lt;&gt;0,'Calculations PJ'!AJ77*About!$B$45,0)</f>
        <v>750379019863109.63</v>
      </c>
      <c r="AK77">
        <f>IF('Calculations PJ'!AK77&lt;&gt;0,'Calculations PJ'!AK77*About!$B$45,0)</f>
        <v>747421674392291.88</v>
      </c>
      <c r="AL77">
        <f>IF('Calculations PJ'!AL77&lt;&gt;0,'Calculations PJ'!AL77*About!$B$45,0)</f>
        <v>743639684511342.25</v>
      </c>
      <c r="AM77">
        <f>IF('Calculations PJ'!AM77&lt;&gt;0,'Calculations PJ'!AM77*About!$B$45,0)</f>
        <v>739014092877499</v>
      </c>
      <c r="AN77">
        <f>IF('Calculations PJ'!AN77&lt;&gt;0,'Calculations PJ'!AN77*About!$B$45,0)</f>
        <v>735260539010691.88</v>
      </c>
      <c r="AO77">
        <f>IF('Calculations PJ'!AO77&lt;&gt;0,'Calculations PJ'!AO77*About!$B$45,0)</f>
        <v>735260539010691.88</v>
      </c>
      <c r="AP77">
        <f>IF('Calculations PJ'!AP77&lt;&gt;0,'Calculations PJ'!AP77*About!$B$45,0)</f>
        <v>735260539010691.88</v>
      </c>
      <c r="AQ77">
        <f>IF('Calculations PJ'!AQ77&lt;&gt;0,'Calculations PJ'!AQ77*About!$B$45,0)</f>
        <v>735260539010691.88</v>
      </c>
      <c r="AR77">
        <f>IF('Calculations PJ'!AR77&lt;&gt;0,'Calculations PJ'!AR77*About!$B$45,0)</f>
        <v>735260539010691.88</v>
      </c>
      <c r="AS77">
        <f>IF('Calculations PJ'!AS77&lt;&gt;0,'Calculations PJ'!AS77*About!$B$45,0)</f>
        <v>735260539010691.88</v>
      </c>
      <c r="AT77">
        <f>IF('Calculations PJ'!AT77&lt;&gt;0,'Calculations PJ'!AT77*About!$B$45,0)</f>
        <v>735260539010691.88</v>
      </c>
      <c r="AU77">
        <f>IF('Calculations PJ'!AU77&lt;&gt;0,'Calculations PJ'!AU77*About!$B$45,0)</f>
        <v>735260539010691.88</v>
      </c>
      <c r="AV77">
        <f>IF('Calculations PJ'!AV77&lt;&gt;0,'Calculations PJ'!AV77*About!$B$45,0)</f>
        <v>735260539010691.88</v>
      </c>
      <c r="AW77">
        <f>IF('Calculations PJ'!AW77&lt;&gt;0,'Calculations PJ'!AW77*About!$B$45,0)</f>
        <v>735260539010691.88</v>
      </c>
      <c r="AX77">
        <f>IF('Calculations PJ'!AX77&lt;&gt;0,'Calculations PJ'!AX77*About!$B$45,0)</f>
        <v>735260539010691.88</v>
      </c>
      <c r="AY77">
        <f>IF('Calculations PJ'!AY77&lt;&gt;0,'Calculations PJ'!AY77*About!$B$45,0)</f>
        <v>735260539010691.88</v>
      </c>
      <c r="AZ77">
        <f>IF('Calculations PJ'!AZ77&lt;&gt;0,'Calculations PJ'!AZ77*About!$B$45,0)</f>
        <v>735260539010691.88</v>
      </c>
      <c r="BA77">
        <f>IF('Calculations PJ'!BA77&lt;&gt;0,'Calculations PJ'!BA77*About!$B$45,0)</f>
        <v>735260539010691.88</v>
      </c>
      <c r="BB77">
        <f>IF('Calculations PJ'!BB77&lt;&gt;0,'Calculations PJ'!BB77*About!$B$45,0)</f>
        <v>735260539010691.88</v>
      </c>
      <c r="BC77">
        <f>IF('Calculations PJ'!BC77&lt;&gt;0,'Calculations PJ'!BC77*About!$B$45,0)</f>
        <v>735260539010691.88</v>
      </c>
      <c r="BD77">
        <f>IF('Calculations PJ'!BD77&lt;&gt;0,'Calculations PJ'!BD77*About!$B$45,0)</f>
        <v>735260539010691.88</v>
      </c>
      <c r="BE77">
        <f>IF('Calculations PJ'!BE77&lt;&gt;0,'Calculations PJ'!BE77*About!$B$45,0)</f>
        <v>735260539010691.88</v>
      </c>
      <c r="BF77">
        <f>IF('Calculations PJ'!BF77&lt;&gt;0,'Calculations PJ'!BF77*About!$B$45,0)</f>
        <v>735260539010691.88</v>
      </c>
      <c r="BG77">
        <f>IF('Calculations PJ'!BG77&lt;&gt;0,'Calculations PJ'!BG77*About!$B$45,0)</f>
        <v>735260539010691.88</v>
      </c>
      <c r="BH77">
        <f>IF('Calculations PJ'!BH77&lt;&gt;0,'Calculations PJ'!BH77*About!$B$45,0)</f>
        <v>735260539010691.88</v>
      </c>
    </row>
    <row r="78" spans="1:60" hidden="1" outlineLevel="1">
      <c r="B78" t="s">
        <v>149</v>
      </c>
      <c r="C78">
        <f>IF('Calculations PJ'!C78&lt;&gt;0,'Calculations PJ'!C78*About!$B$45,0)</f>
        <v>0</v>
      </c>
      <c r="D78">
        <f>IF('Calculations PJ'!D78&lt;&gt;0,'Calculations PJ'!D78*About!$B$45,0)</f>
        <v>0</v>
      </c>
      <c r="E78">
        <f>IF('Calculations PJ'!E78&lt;&gt;0,'Calculations PJ'!E78*About!$B$45,0)</f>
        <v>0</v>
      </c>
      <c r="F78">
        <f>IF('Calculations PJ'!F78&lt;&gt;0,'Calculations PJ'!F78*About!$B$45,0)</f>
        <v>0</v>
      </c>
      <c r="G78">
        <f>IF('Calculations PJ'!G78&lt;&gt;0,'Calculations PJ'!G78*About!$B$45,0)</f>
        <v>0</v>
      </c>
      <c r="H78">
        <f>IF('Calculations PJ'!H78&lt;&gt;0,'Calculations PJ'!H78*About!$B$45,0)</f>
        <v>0</v>
      </c>
      <c r="I78">
        <f>IF('Calculations PJ'!I78&lt;&gt;0,'Calculations PJ'!I78*About!$B$45,0)</f>
        <v>0</v>
      </c>
      <c r="J78">
        <f>IF('Calculations PJ'!J78&lt;&gt;0,'Calculations PJ'!J78*About!$B$45,0)</f>
        <v>0</v>
      </c>
      <c r="K78">
        <f>IF('Calculations PJ'!K78&lt;&gt;0,'Calculations PJ'!K78*About!$B$45,0)</f>
        <v>0</v>
      </c>
      <c r="L78">
        <f>IF('Calculations PJ'!L78&lt;&gt;0,'Calculations PJ'!L78*About!$B$45,0)</f>
        <v>0</v>
      </c>
      <c r="M78">
        <f>IF('Calculations PJ'!M78&lt;&gt;0,'Calculations PJ'!M78*About!$B$45,0)</f>
        <v>0</v>
      </c>
      <c r="N78">
        <f>IF('Calculations PJ'!N78&lt;&gt;0,'Calculations PJ'!N78*About!$B$45,0)</f>
        <v>0</v>
      </c>
      <c r="O78">
        <f>IF('Calculations PJ'!O78&lt;&gt;0,'Calculations PJ'!O78*About!$B$45,0)</f>
        <v>0</v>
      </c>
      <c r="P78">
        <f>IF('Calculations PJ'!P78&lt;&gt;0,'Calculations PJ'!P78*About!$B$45,0)</f>
        <v>0</v>
      </c>
      <c r="Q78">
        <f>IF('Calculations PJ'!Q78&lt;&gt;0,'Calculations PJ'!Q78*About!$B$45,0)</f>
        <v>0</v>
      </c>
      <c r="R78">
        <f>IF('Calculations PJ'!R78&lt;&gt;0,'Calculations PJ'!R78*About!$B$45,0)</f>
        <v>0</v>
      </c>
      <c r="S78">
        <f>IF('Calculations PJ'!S78&lt;&gt;0,'Calculations PJ'!S78*About!$B$45,0)</f>
        <v>0</v>
      </c>
      <c r="T78">
        <f>IF('Calculations PJ'!T78&lt;&gt;0,'Calculations PJ'!T78*About!$B$45,0)</f>
        <v>0</v>
      </c>
      <c r="U78">
        <f>IF('Calculations PJ'!U78&lt;&gt;0,'Calculations PJ'!U78*About!$B$45,0)</f>
        <v>0</v>
      </c>
      <c r="V78">
        <f>IF('Calculations PJ'!V78&lt;&gt;0,'Calculations PJ'!V78*About!$B$45,0)</f>
        <v>0</v>
      </c>
      <c r="W78">
        <f>IF('Calculations PJ'!W78&lt;&gt;0,'Calculations PJ'!W78*About!$B$45,0)</f>
        <v>0</v>
      </c>
      <c r="X78">
        <f>IF('Calculations PJ'!X78&lt;&gt;0,'Calculations PJ'!X78*About!$B$45,0)</f>
        <v>0</v>
      </c>
      <c r="Y78">
        <f>IF('Calculations PJ'!Y78&lt;&gt;0,'Calculations PJ'!Y78*About!$B$45,0)</f>
        <v>0</v>
      </c>
      <c r="Z78">
        <f>IF('Calculations PJ'!Z78&lt;&gt;0,'Calculations PJ'!Z78*About!$B$45,0)</f>
        <v>0</v>
      </c>
      <c r="AA78">
        <f>IF('Calculations PJ'!AA78&lt;&gt;0,'Calculations PJ'!AA78*About!$B$45,0)</f>
        <v>0</v>
      </c>
      <c r="AB78">
        <f>IF('Calculations PJ'!AB78&lt;&gt;0,'Calculations PJ'!AB78*About!$B$45,0)</f>
        <v>0</v>
      </c>
      <c r="AC78">
        <f>IF('Calculations PJ'!AC78&lt;&gt;0,'Calculations PJ'!AC78*About!$B$45,0)</f>
        <v>0</v>
      </c>
      <c r="AD78">
        <f>IF('Calculations PJ'!AD78&lt;&gt;0,'Calculations PJ'!AD78*About!$B$45,0)</f>
        <v>0</v>
      </c>
      <c r="AE78">
        <f>IF('Calculations PJ'!AE78&lt;&gt;0,'Calculations PJ'!AE78*About!$B$45,0)</f>
        <v>0</v>
      </c>
      <c r="AF78">
        <f>IF('Calculations PJ'!AF78&lt;&gt;0,'Calculations PJ'!AF78*About!$B$45,0)</f>
        <v>0</v>
      </c>
      <c r="AG78">
        <f>IF('Calculations PJ'!AG78&lt;&gt;0,'Calculations PJ'!AG78*About!$B$45,0)</f>
        <v>0</v>
      </c>
      <c r="AH78">
        <f>IF('Calculations PJ'!AH78&lt;&gt;0,'Calculations PJ'!AH78*About!$B$45,0)</f>
        <v>0</v>
      </c>
      <c r="AI78">
        <f>IF('Calculations PJ'!AI78&lt;&gt;0,'Calculations PJ'!AI78*About!$B$45,0)</f>
        <v>0</v>
      </c>
      <c r="AJ78">
        <f>IF('Calculations PJ'!AJ78&lt;&gt;0,'Calculations PJ'!AJ78*About!$B$45,0)</f>
        <v>0</v>
      </c>
      <c r="AK78">
        <f>IF('Calculations PJ'!AK78&lt;&gt;0,'Calculations PJ'!AK78*About!$B$45,0)</f>
        <v>0</v>
      </c>
      <c r="AL78">
        <f>IF('Calculations PJ'!AL78&lt;&gt;0,'Calculations PJ'!AL78*About!$B$45,0)</f>
        <v>0</v>
      </c>
      <c r="AM78">
        <f>IF('Calculations PJ'!AM78&lt;&gt;0,'Calculations PJ'!AM78*About!$B$45,0)</f>
        <v>0</v>
      </c>
      <c r="AN78">
        <f>IF('Calculations PJ'!AN78&lt;&gt;0,'Calculations PJ'!AN78*About!$B$45,0)</f>
        <v>0</v>
      </c>
      <c r="AO78">
        <f>IF('Calculations PJ'!AO78&lt;&gt;0,'Calculations PJ'!AO78*About!$B$45,0)</f>
        <v>0</v>
      </c>
      <c r="AP78">
        <f>IF('Calculations PJ'!AP78&lt;&gt;0,'Calculations PJ'!AP78*About!$B$45,0)</f>
        <v>0</v>
      </c>
      <c r="AQ78">
        <f>IF('Calculations PJ'!AQ78&lt;&gt;0,'Calculations PJ'!AQ78*About!$B$45,0)</f>
        <v>0</v>
      </c>
      <c r="AR78">
        <f>IF('Calculations PJ'!AR78&lt;&gt;0,'Calculations PJ'!AR78*About!$B$45,0)</f>
        <v>0</v>
      </c>
      <c r="AS78">
        <f>IF('Calculations PJ'!AS78&lt;&gt;0,'Calculations PJ'!AS78*About!$B$45,0)</f>
        <v>0</v>
      </c>
      <c r="AT78">
        <f>IF('Calculations PJ'!AT78&lt;&gt;0,'Calculations PJ'!AT78*About!$B$45,0)</f>
        <v>0</v>
      </c>
      <c r="AU78">
        <f>IF('Calculations PJ'!AU78&lt;&gt;0,'Calculations PJ'!AU78*About!$B$45,0)</f>
        <v>0</v>
      </c>
      <c r="AV78">
        <f>IF('Calculations PJ'!AV78&lt;&gt;0,'Calculations PJ'!AV78*About!$B$45,0)</f>
        <v>0</v>
      </c>
      <c r="AW78">
        <f>IF('Calculations PJ'!AW78&lt;&gt;0,'Calculations PJ'!AW78*About!$B$45,0)</f>
        <v>0</v>
      </c>
      <c r="AX78">
        <f>IF('Calculations PJ'!AX78&lt;&gt;0,'Calculations PJ'!AX78*About!$B$45,0)</f>
        <v>0</v>
      </c>
      <c r="AY78">
        <f>IF('Calculations PJ'!AY78&lt;&gt;0,'Calculations PJ'!AY78*About!$B$45,0)</f>
        <v>0</v>
      </c>
      <c r="AZ78">
        <f>IF('Calculations PJ'!AZ78&lt;&gt;0,'Calculations PJ'!AZ78*About!$B$45,0)</f>
        <v>0</v>
      </c>
      <c r="BA78">
        <f>IF('Calculations PJ'!BA78&lt;&gt;0,'Calculations PJ'!BA78*About!$B$45,0)</f>
        <v>0</v>
      </c>
      <c r="BB78">
        <f>IF('Calculations PJ'!BB78&lt;&gt;0,'Calculations PJ'!BB78*About!$B$45,0)</f>
        <v>0</v>
      </c>
      <c r="BC78">
        <f>IF('Calculations PJ'!BC78&lt;&gt;0,'Calculations PJ'!BC78*About!$B$45,0)</f>
        <v>0</v>
      </c>
      <c r="BD78">
        <f>IF('Calculations PJ'!BD78&lt;&gt;0,'Calculations PJ'!BD78*About!$B$45,0)</f>
        <v>0</v>
      </c>
      <c r="BE78">
        <f>IF('Calculations PJ'!BE78&lt;&gt;0,'Calculations PJ'!BE78*About!$B$45,0)</f>
        <v>0</v>
      </c>
      <c r="BF78">
        <f>IF('Calculations PJ'!BF78&lt;&gt;0,'Calculations PJ'!BF78*About!$B$45,0)</f>
        <v>0</v>
      </c>
      <c r="BG78">
        <f>IF('Calculations PJ'!BG78&lt;&gt;0,'Calculations PJ'!BG78*About!$B$45,0)</f>
        <v>0</v>
      </c>
      <c r="BH78">
        <f>IF('Calculations PJ'!BH78&lt;&gt;0,'Calculations PJ'!BH78*About!$B$45,0)</f>
        <v>0</v>
      </c>
    </row>
    <row r="79" spans="1:60" hidden="1" outlineLevel="1">
      <c r="B79" t="s">
        <v>150</v>
      </c>
      <c r="C79">
        <f>IF('Calculations PJ'!C79&lt;&gt;0,'Calculations PJ'!C79*About!$B$45,0)</f>
        <v>0</v>
      </c>
      <c r="D79">
        <f>IF('Calculations PJ'!D79&lt;&gt;0,'Calculations PJ'!D79*About!$B$45,0)</f>
        <v>0</v>
      </c>
      <c r="E79">
        <f>IF('Calculations PJ'!E79&lt;&gt;0,'Calculations PJ'!E79*About!$B$45,0)</f>
        <v>0</v>
      </c>
      <c r="F79">
        <f>IF('Calculations PJ'!F79&lt;&gt;0,'Calculations PJ'!F79*About!$B$45,0)</f>
        <v>0</v>
      </c>
      <c r="G79">
        <f>IF('Calculations PJ'!G79&lt;&gt;0,'Calculations PJ'!G79*About!$B$45,0)</f>
        <v>0</v>
      </c>
      <c r="H79">
        <f>IF('Calculations PJ'!H79&lt;&gt;0,'Calculations PJ'!H79*About!$B$45,0)</f>
        <v>0</v>
      </c>
      <c r="I79">
        <f>IF('Calculations PJ'!I79&lt;&gt;0,'Calculations PJ'!I79*About!$B$45,0)</f>
        <v>0</v>
      </c>
      <c r="J79">
        <f>IF('Calculations PJ'!J79&lt;&gt;0,'Calculations PJ'!J79*About!$B$45,0)</f>
        <v>0</v>
      </c>
      <c r="K79">
        <f>IF('Calculations PJ'!K79&lt;&gt;0,'Calculations PJ'!K79*About!$B$45,0)</f>
        <v>0</v>
      </c>
      <c r="L79">
        <f>IF('Calculations PJ'!L79&lt;&gt;0,'Calculations PJ'!L79*About!$B$45,0)</f>
        <v>0</v>
      </c>
      <c r="M79">
        <f>IF('Calculations PJ'!M79&lt;&gt;0,'Calculations PJ'!M79*About!$B$45,0)</f>
        <v>0</v>
      </c>
      <c r="N79">
        <f>IF('Calculations PJ'!N79&lt;&gt;0,'Calculations PJ'!N79*About!$B$45,0)</f>
        <v>0</v>
      </c>
      <c r="O79">
        <f>IF('Calculations PJ'!O79&lt;&gt;0,'Calculations PJ'!O79*About!$B$45,0)</f>
        <v>0</v>
      </c>
      <c r="P79">
        <f>IF('Calculations PJ'!P79&lt;&gt;0,'Calculations PJ'!P79*About!$B$45,0)</f>
        <v>0</v>
      </c>
      <c r="Q79">
        <f>IF('Calculations PJ'!Q79&lt;&gt;0,'Calculations PJ'!Q79*About!$B$45,0)</f>
        <v>0</v>
      </c>
      <c r="R79">
        <f>IF('Calculations PJ'!R79&lt;&gt;0,'Calculations PJ'!R79*About!$B$45,0)</f>
        <v>0</v>
      </c>
      <c r="S79">
        <f>IF('Calculations PJ'!S79&lt;&gt;0,'Calculations PJ'!S79*About!$B$45,0)</f>
        <v>0</v>
      </c>
      <c r="T79">
        <f>IF('Calculations PJ'!T79&lt;&gt;0,'Calculations PJ'!T79*About!$B$45,0)</f>
        <v>0</v>
      </c>
      <c r="U79">
        <f>IF('Calculations PJ'!U79&lt;&gt;0,'Calculations PJ'!U79*About!$B$45,0)</f>
        <v>0</v>
      </c>
      <c r="V79">
        <f>IF('Calculations PJ'!V79&lt;&gt;0,'Calculations PJ'!V79*About!$B$45,0)</f>
        <v>0</v>
      </c>
      <c r="W79">
        <f>IF('Calculations PJ'!W79&lt;&gt;0,'Calculations PJ'!W79*About!$B$45,0)</f>
        <v>0</v>
      </c>
      <c r="X79">
        <f>IF('Calculations PJ'!X79&lt;&gt;0,'Calculations PJ'!X79*About!$B$45,0)</f>
        <v>0</v>
      </c>
      <c r="Y79">
        <f>IF('Calculations PJ'!Y79&lt;&gt;0,'Calculations PJ'!Y79*About!$B$45,0)</f>
        <v>0</v>
      </c>
      <c r="Z79">
        <f>IF('Calculations PJ'!Z79&lt;&gt;0,'Calculations PJ'!Z79*About!$B$45,0)</f>
        <v>0</v>
      </c>
      <c r="AA79">
        <f>IF('Calculations PJ'!AA79&lt;&gt;0,'Calculations PJ'!AA79*About!$B$45,0)</f>
        <v>0</v>
      </c>
      <c r="AB79">
        <f>IF('Calculations PJ'!AB79&lt;&gt;0,'Calculations PJ'!AB79*About!$B$45,0)</f>
        <v>0</v>
      </c>
      <c r="AC79">
        <f>IF('Calculations PJ'!AC79&lt;&gt;0,'Calculations PJ'!AC79*About!$B$45,0)</f>
        <v>0</v>
      </c>
      <c r="AD79">
        <f>IF('Calculations PJ'!AD79&lt;&gt;0,'Calculations PJ'!AD79*About!$B$45,0)</f>
        <v>0</v>
      </c>
      <c r="AE79">
        <f>IF('Calculations PJ'!AE79&lt;&gt;0,'Calculations PJ'!AE79*About!$B$45,0)</f>
        <v>0</v>
      </c>
      <c r="AF79">
        <f>IF('Calculations PJ'!AF79&lt;&gt;0,'Calculations PJ'!AF79*About!$B$45,0)</f>
        <v>0</v>
      </c>
      <c r="AG79">
        <f>IF('Calculations PJ'!AG79&lt;&gt;0,'Calculations PJ'!AG79*About!$B$45,0)</f>
        <v>0</v>
      </c>
      <c r="AH79">
        <f>IF('Calculations PJ'!AH79&lt;&gt;0,'Calculations PJ'!AH79*About!$B$45,0)</f>
        <v>0</v>
      </c>
      <c r="AI79">
        <f>IF('Calculations PJ'!AI79&lt;&gt;0,'Calculations PJ'!AI79*About!$B$45,0)</f>
        <v>0</v>
      </c>
      <c r="AJ79">
        <f>IF('Calculations PJ'!AJ79&lt;&gt;0,'Calculations PJ'!AJ79*About!$B$45,0)</f>
        <v>0</v>
      </c>
      <c r="AK79">
        <f>IF('Calculations PJ'!AK79&lt;&gt;0,'Calculations PJ'!AK79*About!$B$45,0)</f>
        <v>0</v>
      </c>
      <c r="AL79">
        <f>IF('Calculations PJ'!AL79&lt;&gt;0,'Calculations PJ'!AL79*About!$B$45,0)</f>
        <v>0</v>
      </c>
      <c r="AM79">
        <f>IF('Calculations PJ'!AM79&lt;&gt;0,'Calculations PJ'!AM79*About!$B$45,0)</f>
        <v>0</v>
      </c>
      <c r="AN79">
        <f>IF('Calculations PJ'!AN79&lt;&gt;0,'Calculations PJ'!AN79*About!$B$45,0)</f>
        <v>0</v>
      </c>
      <c r="AO79">
        <f>IF('Calculations PJ'!AO79&lt;&gt;0,'Calculations PJ'!AO79*About!$B$45,0)</f>
        <v>0</v>
      </c>
      <c r="AP79">
        <f>IF('Calculations PJ'!AP79&lt;&gt;0,'Calculations PJ'!AP79*About!$B$45,0)</f>
        <v>0</v>
      </c>
      <c r="AQ79">
        <f>IF('Calculations PJ'!AQ79&lt;&gt;0,'Calculations PJ'!AQ79*About!$B$45,0)</f>
        <v>0</v>
      </c>
      <c r="AR79">
        <f>IF('Calculations PJ'!AR79&lt;&gt;0,'Calculations PJ'!AR79*About!$B$45,0)</f>
        <v>0</v>
      </c>
      <c r="AS79">
        <f>IF('Calculations PJ'!AS79&lt;&gt;0,'Calculations PJ'!AS79*About!$B$45,0)</f>
        <v>0</v>
      </c>
      <c r="AT79">
        <f>IF('Calculations PJ'!AT79&lt;&gt;0,'Calculations PJ'!AT79*About!$B$45,0)</f>
        <v>0</v>
      </c>
      <c r="AU79">
        <f>IF('Calculations PJ'!AU79&lt;&gt;0,'Calculations PJ'!AU79*About!$B$45,0)</f>
        <v>0</v>
      </c>
      <c r="AV79">
        <f>IF('Calculations PJ'!AV79&lt;&gt;0,'Calculations PJ'!AV79*About!$B$45,0)</f>
        <v>0</v>
      </c>
      <c r="AW79">
        <f>IF('Calculations PJ'!AW79&lt;&gt;0,'Calculations PJ'!AW79*About!$B$45,0)</f>
        <v>0</v>
      </c>
      <c r="AX79">
        <f>IF('Calculations PJ'!AX79&lt;&gt;0,'Calculations PJ'!AX79*About!$B$45,0)</f>
        <v>0</v>
      </c>
      <c r="AY79">
        <f>IF('Calculations PJ'!AY79&lt;&gt;0,'Calculations PJ'!AY79*About!$B$45,0)</f>
        <v>0</v>
      </c>
      <c r="AZ79">
        <f>IF('Calculations PJ'!AZ79&lt;&gt;0,'Calculations PJ'!AZ79*About!$B$45,0)</f>
        <v>0</v>
      </c>
      <c r="BA79">
        <f>IF('Calculations PJ'!BA79&lt;&gt;0,'Calculations PJ'!BA79*About!$B$45,0)</f>
        <v>0</v>
      </c>
      <c r="BB79">
        <f>IF('Calculations PJ'!BB79&lt;&gt;0,'Calculations PJ'!BB79*About!$B$45,0)</f>
        <v>0</v>
      </c>
      <c r="BC79">
        <f>IF('Calculations PJ'!BC79&lt;&gt;0,'Calculations PJ'!BC79*About!$B$45,0)</f>
        <v>0</v>
      </c>
      <c r="BD79">
        <f>IF('Calculations PJ'!BD79&lt;&gt;0,'Calculations PJ'!BD79*About!$B$45,0)</f>
        <v>0</v>
      </c>
      <c r="BE79">
        <f>IF('Calculations PJ'!BE79&lt;&gt;0,'Calculations PJ'!BE79*About!$B$45,0)</f>
        <v>0</v>
      </c>
      <c r="BF79">
        <f>IF('Calculations PJ'!BF79&lt;&gt;0,'Calculations PJ'!BF79*About!$B$45,0)</f>
        <v>0</v>
      </c>
      <c r="BG79">
        <f>IF('Calculations PJ'!BG79&lt;&gt;0,'Calculations PJ'!BG79*About!$B$45,0)</f>
        <v>0</v>
      </c>
      <c r="BH79">
        <f>IF('Calculations PJ'!BH79&lt;&gt;0,'Calculations PJ'!BH79*About!$B$45,0)</f>
        <v>0</v>
      </c>
    </row>
    <row r="80" spans="1:60" collapsed="1">
      <c r="A80" t="s">
        <v>153</v>
      </c>
      <c r="C80">
        <f>SUM(C81:C105)</f>
        <v>170274852685162.63</v>
      </c>
      <c r="D80">
        <f t="shared" ref="D80:BH80" si="3">SUM(D81:D105)</f>
        <v>168018928896526.06</v>
      </c>
      <c r="E80">
        <f t="shared" si="3"/>
        <v>200113710192003.72</v>
      </c>
      <c r="F80">
        <f t="shared" si="3"/>
        <v>206132666518828.31</v>
      </c>
      <c r="G80">
        <f t="shared" si="3"/>
        <v>182767741565091.63</v>
      </c>
      <c r="H80">
        <f t="shared" si="3"/>
        <v>190483380069084.22</v>
      </c>
      <c r="I80">
        <f t="shared" si="3"/>
        <v>195478639886779.63</v>
      </c>
      <c r="J80">
        <f t="shared" si="3"/>
        <v>169800919116121.38</v>
      </c>
      <c r="K80">
        <f t="shared" si="3"/>
        <v>170540255483825.78</v>
      </c>
      <c r="L80">
        <f t="shared" si="3"/>
        <v>173075800078196.81</v>
      </c>
      <c r="M80">
        <f t="shared" si="3"/>
        <v>174972008287931.09</v>
      </c>
      <c r="N80">
        <f t="shared" si="3"/>
        <v>176877695169046.22</v>
      </c>
      <c r="O80">
        <f t="shared" si="3"/>
        <v>178754946036018.88</v>
      </c>
      <c r="P80">
        <f t="shared" si="3"/>
        <v>180651154245753.16</v>
      </c>
      <c r="Q80">
        <f t="shared" si="3"/>
        <v>182518926441344.97</v>
      </c>
      <c r="R80">
        <f t="shared" si="3"/>
        <v>184443570665221.78</v>
      </c>
      <c r="S80">
        <f t="shared" si="3"/>
        <v>186330300203575.16</v>
      </c>
      <c r="T80">
        <f t="shared" si="3"/>
        <v>188226508413309.53</v>
      </c>
      <c r="U80">
        <f t="shared" si="3"/>
        <v>190122716623043.81</v>
      </c>
      <c r="V80">
        <f t="shared" si="3"/>
        <v>192018924832778.09</v>
      </c>
      <c r="W80">
        <f t="shared" si="3"/>
        <v>193915133042512.38</v>
      </c>
      <c r="X80">
        <f t="shared" si="3"/>
        <v>195811341252246.66</v>
      </c>
      <c r="Y80">
        <f t="shared" si="3"/>
        <v>197707549461980.91</v>
      </c>
      <c r="Z80">
        <f t="shared" si="3"/>
        <v>199594279000334.41</v>
      </c>
      <c r="AA80">
        <f t="shared" si="3"/>
        <v>201499965881449.5</v>
      </c>
      <c r="AB80">
        <f t="shared" si="3"/>
        <v>203386695419802.94</v>
      </c>
      <c r="AC80">
        <f t="shared" si="3"/>
        <v>205292382300918.09</v>
      </c>
      <c r="AD80">
        <f t="shared" si="3"/>
        <v>207198069182033.22</v>
      </c>
      <c r="AE80">
        <f t="shared" si="3"/>
        <v>209094277391767.5</v>
      </c>
      <c r="AF80">
        <f t="shared" si="3"/>
        <v>210990485601501.84</v>
      </c>
      <c r="AG80">
        <f t="shared" si="3"/>
        <v>212877215139855.31</v>
      </c>
      <c r="AH80">
        <f t="shared" si="3"/>
        <v>214763944678208.78</v>
      </c>
      <c r="AI80">
        <f t="shared" si="3"/>
        <v>216660152887943</v>
      </c>
      <c r="AJ80">
        <f t="shared" si="3"/>
        <v>218575318440439</v>
      </c>
      <c r="AK80">
        <f t="shared" si="3"/>
        <v>220462047978792.44</v>
      </c>
      <c r="AL80">
        <f t="shared" si="3"/>
        <v>222386692202669.19</v>
      </c>
      <c r="AM80">
        <f t="shared" si="3"/>
        <v>224263943069641.84</v>
      </c>
      <c r="AN80">
        <f t="shared" si="3"/>
        <v>226160151279376.16</v>
      </c>
      <c r="AO80">
        <f t="shared" si="3"/>
        <v>226160151279376.16</v>
      </c>
      <c r="AP80">
        <f t="shared" si="3"/>
        <v>226160151279376.16</v>
      </c>
      <c r="AQ80">
        <f t="shared" si="3"/>
        <v>226160151279376.16</v>
      </c>
      <c r="AR80">
        <f t="shared" si="3"/>
        <v>226160151279376.16</v>
      </c>
      <c r="AS80">
        <f t="shared" si="3"/>
        <v>226160151279376.16</v>
      </c>
      <c r="AT80">
        <f t="shared" si="3"/>
        <v>226160151279376.16</v>
      </c>
      <c r="AU80">
        <f t="shared" si="3"/>
        <v>226160151279376.16</v>
      </c>
      <c r="AV80">
        <f t="shared" si="3"/>
        <v>226160151279376.16</v>
      </c>
      <c r="AW80">
        <f t="shared" si="3"/>
        <v>226160151279376.16</v>
      </c>
      <c r="AX80">
        <f t="shared" si="3"/>
        <v>226160151279376.16</v>
      </c>
      <c r="AY80">
        <f t="shared" si="3"/>
        <v>226160151279376.16</v>
      </c>
      <c r="AZ80">
        <f t="shared" si="3"/>
        <v>226160151279376.16</v>
      </c>
      <c r="BA80">
        <f t="shared" si="3"/>
        <v>226160151279376.16</v>
      </c>
      <c r="BB80">
        <f t="shared" si="3"/>
        <v>226160151279376.16</v>
      </c>
      <c r="BC80">
        <f t="shared" si="3"/>
        <v>226160151279376.16</v>
      </c>
      <c r="BD80">
        <f t="shared" si="3"/>
        <v>226160151279376.16</v>
      </c>
      <c r="BE80">
        <f t="shared" si="3"/>
        <v>226160151279376.16</v>
      </c>
      <c r="BF80">
        <f t="shared" si="3"/>
        <v>226160151279376.16</v>
      </c>
      <c r="BG80">
        <f t="shared" si="3"/>
        <v>226160151279376.16</v>
      </c>
      <c r="BH80">
        <f t="shared" si="3"/>
        <v>226160151279376.16</v>
      </c>
    </row>
    <row r="81" spans="2:60" hidden="1" outlineLevel="1">
      <c r="B81" t="s">
        <v>126</v>
      </c>
      <c r="C81">
        <f>IF('Calculations PJ'!C81&lt;&gt;0,'Calculations PJ'!C81*About!$B$45,0)</f>
        <v>109677706547540.47</v>
      </c>
      <c r="D81">
        <f>IF('Calculations PJ'!D81&lt;&gt;0,'Calculations PJ'!D81*About!$B$45,0)</f>
        <v>111308038025042.61</v>
      </c>
      <c r="E81">
        <f>IF('Calculations PJ'!E81&lt;&gt;0,'Calculations PJ'!E81*About!$B$45,0)</f>
        <v>129857797917319.56</v>
      </c>
      <c r="F81">
        <f>IF('Calculations PJ'!F81&lt;&gt;0,'Calculations PJ'!F81*About!$B$45,0)</f>
        <v>127459694057970.52</v>
      </c>
      <c r="G81">
        <f>IF('Calculations PJ'!G81&lt;&gt;0,'Calculations PJ'!G81*About!$B$45,0)</f>
        <v>128379125181910.66</v>
      </c>
      <c r="H81">
        <f>IF('Calculations PJ'!H81&lt;&gt;0,'Calculations PJ'!H81*About!$B$45,0)</f>
        <v>132805664716756.5</v>
      </c>
      <c r="I81">
        <f>IF('Calculations PJ'!I81&lt;&gt;0,'Calculations PJ'!I81*About!$B$45,0)</f>
        <v>133895711925551.53</v>
      </c>
      <c r="J81">
        <f>IF('Calculations PJ'!J81&lt;&gt;0,'Calculations PJ'!J81*About!$B$45,0)</f>
        <v>120853060105534.63</v>
      </c>
      <c r="K81">
        <f>IF('Calculations PJ'!K81&lt;&gt;0,'Calculations PJ'!K81*About!$B$45,0)</f>
        <v>119317515341840.77</v>
      </c>
      <c r="L81">
        <f>IF('Calculations PJ'!L81&lt;&gt;0,'Calculations PJ'!L81*About!$B$45,0)</f>
        <v>121710879865499.38</v>
      </c>
      <c r="M81">
        <f>IF('Calculations PJ'!M81&lt;&gt;0,'Calculations PJ'!M81*About!$B$45,0)</f>
        <v>123711353460422.78</v>
      </c>
      <c r="N81">
        <f>IF('Calculations PJ'!N81&lt;&gt;0,'Calculations PJ'!N81*About!$B$45,0)</f>
        <v>125721305726726.98</v>
      </c>
      <c r="O81">
        <f>IF('Calculations PJ'!O81&lt;&gt;0,'Calculations PJ'!O81*About!$B$45,0)</f>
        <v>127721779321650.36</v>
      </c>
      <c r="P81">
        <f>IF('Calculations PJ'!P81&lt;&gt;0,'Calculations PJ'!P81*About!$B$45,0)</f>
        <v>129731731587954.59</v>
      </c>
      <c r="Q81">
        <f>IF('Calculations PJ'!Q81&lt;&gt;0,'Calculations PJ'!Q81*About!$B$45,0)</f>
        <v>131732205182877.97</v>
      </c>
      <c r="R81">
        <f>IF('Calculations PJ'!R81&lt;&gt;0,'Calculations PJ'!R81*About!$B$45,0)</f>
        <v>133742157449182.17</v>
      </c>
      <c r="S81">
        <f>IF('Calculations PJ'!S81&lt;&gt;0,'Calculations PJ'!S81*About!$B$45,0)</f>
        <v>135742631044105.52</v>
      </c>
      <c r="T81">
        <f>IF('Calculations PJ'!T81&lt;&gt;0,'Calculations PJ'!T81*About!$B$45,0)</f>
        <v>137752583310409.75</v>
      </c>
      <c r="U81">
        <f>IF('Calculations PJ'!U81&lt;&gt;0,'Calculations PJ'!U81*About!$B$45,0)</f>
        <v>139762535576713.94</v>
      </c>
      <c r="V81">
        <f>IF('Calculations PJ'!V81&lt;&gt;0,'Calculations PJ'!V81*About!$B$45,0)</f>
        <v>141772487843018.16</v>
      </c>
      <c r="W81">
        <f>IF('Calculations PJ'!W81&lt;&gt;0,'Calculations PJ'!W81*About!$B$45,0)</f>
        <v>143782440109322.34</v>
      </c>
      <c r="X81">
        <f>IF('Calculations PJ'!X81&lt;&gt;0,'Calculations PJ'!X81*About!$B$45,0)</f>
        <v>145792392375626.56</v>
      </c>
      <c r="Y81">
        <f>IF('Calculations PJ'!Y81&lt;&gt;0,'Calculations PJ'!Y81*About!$B$45,0)</f>
        <v>147802344641930.75</v>
      </c>
      <c r="Z81">
        <f>IF('Calculations PJ'!Z81&lt;&gt;0,'Calculations PJ'!Z81*About!$B$45,0)</f>
        <v>149812296908234.97</v>
      </c>
      <c r="AA81">
        <f>IF('Calculations PJ'!AA81&lt;&gt;0,'Calculations PJ'!AA81*About!$B$45,0)</f>
        <v>151822249174539.16</v>
      </c>
      <c r="AB81">
        <f>IF('Calculations PJ'!AB81&lt;&gt;0,'Calculations PJ'!AB81*About!$B$45,0)</f>
        <v>153832201440843.38</v>
      </c>
      <c r="AC81">
        <f>IF('Calculations PJ'!AC81&lt;&gt;0,'Calculations PJ'!AC81*About!$B$45,0)</f>
        <v>155842153707147.59</v>
      </c>
      <c r="AD81">
        <f>IF('Calculations PJ'!AD81&lt;&gt;0,'Calculations PJ'!AD81*About!$B$45,0)</f>
        <v>157852105973451.78</v>
      </c>
      <c r="AE81">
        <f>IF('Calculations PJ'!AE81&lt;&gt;0,'Calculations PJ'!AE81*About!$B$45,0)</f>
        <v>159862058239755.97</v>
      </c>
      <c r="AF81">
        <f>IF('Calculations PJ'!AF81&lt;&gt;0,'Calculations PJ'!AF81*About!$B$45,0)</f>
        <v>161872010506060.22</v>
      </c>
      <c r="AG81">
        <f>IF('Calculations PJ'!AG81&lt;&gt;0,'Calculations PJ'!AG81*About!$B$45,0)</f>
        <v>163881962772364.41</v>
      </c>
      <c r="AH81">
        <f>IF('Calculations PJ'!AH81&lt;&gt;0,'Calculations PJ'!AH81*About!$B$45,0)</f>
        <v>165891915038668.59</v>
      </c>
      <c r="AI81">
        <f>IF('Calculations PJ'!AI81&lt;&gt;0,'Calculations PJ'!AI81*About!$B$45,0)</f>
        <v>167901867304972.81</v>
      </c>
      <c r="AJ81">
        <f>IF('Calculations PJ'!AJ81&lt;&gt;0,'Calculations PJ'!AJ81*About!$B$45,0)</f>
        <v>169911819571277.03</v>
      </c>
      <c r="AK81">
        <f>IF('Calculations PJ'!AK81&lt;&gt;0,'Calculations PJ'!AK81*About!$B$45,0)</f>
        <v>171921771837581.22</v>
      </c>
      <c r="AL81">
        <f>IF('Calculations PJ'!AL81&lt;&gt;0,'Calculations PJ'!AL81*About!$B$45,0)</f>
        <v>173931724103885.44</v>
      </c>
      <c r="AM81">
        <f>IF('Calculations PJ'!AM81&lt;&gt;0,'Calculations PJ'!AM81*About!$B$45,0)</f>
        <v>175941676370189.63</v>
      </c>
      <c r="AN81">
        <f>IF('Calculations PJ'!AN81&lt;&gt;0,'Calculations PJ'!AN81*About!$B$45,0)</f>
        <v>177951628636493.84</v>
      </c>
      <c r="AO81">
        <f>IF('Calculations PJ'!AO81&lt;&gt;0,'Calculations PJ'!AO81*About!$B$45,0)</f>
        <v>177951628636493.84</v>
      </c>
      <c r="AP81">
        <f>IF('Calculations PJ'!AP81&lt;&gt;0,'Calculations PJ'!AP81*About!$B$45,0)</f>
        <v>177951628636493.84</v>
      </c>
      <c r="AQ81">
        <f>IF('Calculations PJ'!AQ81&lt;&gt;0,'Calculations PJ'!AQ81*About!$B$45,0)</f>
        <v>177951628636493.84</v>
      </c>
      <c r="AR81">
        <f>IF('Calculations PJ'!AR81&lt;&gt;0,'Calculations PJ'!AR81*About!$B$45,0)</f>
        <v>177951628636493.84</v>
      </c>
      <c r="AS81">
        <f>IF('Calculations PJ'!AS81&lt;&gt;0,'Calculations PJ'!AS81*About!$B$45,0)</f>
        <v>177951628636493.84</v>
      </c>
      <c r="AT81">
        <f>IF('Calculations PJ'!AT81&lt;&gt;0,'Calculations PJ'!AT81*About!$B$45,0)</f>
        <v>177951628636493.84</v>
      </c>
      <c r="AU81">
        <f>IF('Calculations PJ'!AU81&lt;&gt;0,'Calculations PJ'!AU81*About!$B$45,0)</f>
        <v>177951628636493.84</v>
      </c>
      <c r="AV81">
        <f>IF('Calculations PJ'!AV81&lt;&gt;0,'Calculations PJ'!AV81*About!$B$45,0)</f>
        <v>177951628636493.84</v>
      </c>
      <c r="AW81">
        <f>IF('Calculations PJ'!AW81&lt;&gt;0,'Calculations PJ'!AW81*About!$B$45,0)</f>
        <v>177951628636493.84</v>
      </c>
      <c r="AX81">
        <f>IF('Calculations PJ'!AX81&lt;&gt;0,'Calculations PJ'!AX81*About!$B$45,0)</f>
        <v>177951628636493.84</v>
      </c>
      <c r="AY81">
        <f>IF('Calculations PJ'!AY81&lt;&gt;0,'Calculations PJ'!AY81*About!$B$45,0)</f>
        <v>177951628636493.84</v>
      </c>
      <c r="AZ81">
        <f>IF('Calculations PJ'!AZ81&lt;&gt;0,'Calculations PJ'!AZ81*About!$B$45,0)</f>
        <v>177951628636493.84</v>
      </c>
      <c r="BA81">
        <f>IF('Calculations PJ'!BA81&lt;&gt;0,'Calculations PJ'!BA81*About!$B$45,0)</f>
        <v>177951628636493.84</v>
      </c>
      <c r="BB81">
        <f>IF('Calculations PJ'!BB81&lt;&gt;0,'Calculations PJ'!BB81*About!$B$45,0)</f>
        <v>177951628636493.84</v>
      </c>
      <c r="BC81">
        <f>IF('Calculations PJ'!BC81&lt;&gt;0,'Calculations PJ'!BC81*About!$B$45,0)</f>
        <v>177951628636493.84</v>
      </c>
      <c r="BD81">
        <f>IF('Calculations PJ'!BD81&lt;&gt;0,'Calculations PJ'!BD81*About!$B$45,0)</f>
        <v>177951628636493.84</v>
      </c>
      <c r="BE81">
        <f>IF('Calculations PJ'!BE81&lt;&gt;0,'Calculations PJ'!BE81*About!$B$45,0)</f>
        <v>177951628636493.84</v>
      </c>
      <c r="BF81">
        <f>IF('Calculations PJ'!BF81&lt;&gt;0,'Calculations PJ'!BF81*About!$B$45,0)</f>
        <v>177951628636493.84</v>
      </c>
      <c r="BG81">
        <f>IF('Calculations PJ'!BG81&lt;&gt;0,'Calculations PJ'!BG81*About!$B$45,0)</f>
        <v>177951628636493.84</v>
      </c>
      <c r="BH81">
        <f>IF('Calculations PJ'!BH81&lt;&gt;0,'Calculations PJ'!BH81*About!$B$45,0)</f>
        <v>177951628636493.84</v>
      </c>
    </row>
    <row r="82" spans="2:60" hidden="1" outlineLevel="1">
      <c r="B82" t="s">
        <v>127</v>
      </c>
      <c r="C82">
        <f>IF('Calculations PJ'!C82&lt;&gt;0,'Calculations PJ'!C82*About!$B$45,0)</f>
        <v>621326909013.1604</v>
      </c>
      <c r="D82">
        <f>IF('Calculations PJ'!D82&lt;&gt;0,'Calculations PJ'!D82*About!$B$45,0)</f>
        <v>652606524569.88696</v>
      </c>
      <c r="E82">
        <f>IF('Calculations PJ'!E82&lt;&gt;0,'Calculations PJ'!E82*About!$B$45,0)</f>
        <v>781990388918.16516</v>
      </c>
      <c r="F82">
        <f>IF('Calculations PJ'!F82&lt;&gt;0,'Calculations PJ'!F82*About!$B$45,0)</f>
        <v>803317399525.02429</v>
      </c>
      <c r="G82">
        <f>IF('Calculations PJ'!G82&lt;&gt;0,'Calculations PJ'!G82*About!$B$45,0)</f>
        <v>847393221445.86633</v>
      </c>
      <c r="H82">
        <f>IF('Calculations PJ'!H82&lt;&gt;0,'Calculations PJ'!H82*About!$B$45,0)</f>
        <v>917061456094.93921</v>
      </c>
      <c r="I82">
        <f>IF('Calculations PJ'!I82&lt;&gt;0,'Calculations PJ'!I82*About!$B$45,0)</f>
        <v>978198886501.26855</v>
      </c>
      <c r="J82">
        <f>IF('Calculations PJ'!J82&lt;&gt;0,'Calculations PJ'!J82*About!$B$45,0)</f>
        <v>463507030522.40332</v>
      </c>
      <c r="K82">
        <f>IF('Calculations PJ'!K82&lt;&gt;0,'Calculations PJ'!K82*About!$B$45,0)</f>
        <v>440758219208.42035</v>
      </c>
      <c r="L82">
        <f>IF('Calculations PJ'!L82&lt;&gt;0,'Calculations PJ'!L82*About!$B$45,0)</f>
        <v>442180019915.54431</v>
      </c>
      <c r="M82">
        <f>IF('Calculations PJ'!M82&lt;&gt;0,'Calculations PJ'!M82*About!$B$45,0)</f>
        <v>440758219208.42035</v>
      </c>
      <c r="N82">
        <f>IF('Calculations PJ'!N82&lt;&gt;0,'Calculations PJ'!N82*About!$B$45,0)</f>
        <v>439336418501.29645</v>
      </c>
      <c r="O82">
        <f>IF('Calculations PJ'!O82&lt;&gt;0,'Calculations PJ'!O82*About!$B$45,0)</f>
        <v>437914617794.17249</v>
      </c>
      <c r="P82">
        <f>IF('Calculations PJ'!P82&lt;&gt;0,'Calculations PJ'!P82*About!$B$45,0)</f>
        <v>436492817087.04858</v>
      </c>
      <c r="Q82">
        <f>IF('Calculations PJ'!Q82&lt;&gt;0,'Calculations PJ'!Q82*About!$B$45,0)</f>
        <v>435071016379.92462</v>
      </c>
      <c r="R82">
        <f>IF('Calculations PJ'!R82&lt;&gt;0,'Calculations PJ'!R82*About!$B$45,0)</f>
        <v>433649215672.80066</v>
      </c>
      <c r="S82">
        <f>IF('Calculations PJ'!S82&lt;&gt;0,'Calculations PJ'!S82*About!$B$45,0)</f>
        <v>432227414965.67676</v>
      </c>
      <c r="T82">
        <f>IF('Calculations PJ'!T82&lt;&gt;0,'Calculations PJ'!T82*About!$B$45,0)</f>
        <v>432227414965.67676</v>
      </c>
      <c r="U82">
        <f>IF('Calculations PJ'!U82&lt;&gt;0,'Calculations PJ'!U82*About!$B$45,0)</f>
        <v>430805614258.5528</v>
      </c>
      <c r="V82">
        <f>IF('Calculations PJ'!V82&lt;&gt;0,'Calculations PJ'!V82*About!$B$45,0)</f>
        <v>429383813551.42889</v>
      </c>
      <c r="W82">
        <f>IF('Calculations PJ'!W82&lt;&gt;0,'Calculations PJ'!W82*About!$B$45,0)</f>
        <v>427962012844.30493</v>
      </c>
      <c r="X82">
        <f>IF('Calculations PJ'!X82&lt;&gt;0,'Calculations PJ'!X82*About!$B$45,0)</f>
        <v>426540212137.18097</v>
      </c>
      <c r="Y82">
        <f>IF('Calculations PJ'!Y82&lt;&gt;0,'Calculations PJ'!Y82*About!$B$45,0)</f>
        <v>425118411430.05713</v>
      </c>
      <c r="Z82">
        <f>IF('Calculations PJ'!Z82&lt;&gt;0,'Calculations PJ'!Z82*About!$B$45,0)</f>
        <v>423696610722.93317</v>
      </c>
      <c r="AA82">
        <f>IF('Calculations PJ'!AA82&lt;&gt;0,'Calculations PJ'!AA82*About!$B$45,0)</f>
        <v>422274810015.8092</v>
      </c>
      <c r="AB82">
        <f>IF('Calculations PJ'!AB82&lt;&gt;0,'Calculations PJ'!AB82*About!$B$45,0)</f>
        <v>420853009308.6853</v>
      </c>
      <c r="AC82">
        <f>IF('Calculations PJ'!AC82&lt;&gt;0,'Calculations PJ'!AC82*About!$B$45,0)</f>
        <v>420853009308.6853</v>
      </c>
      <c r="AD82">
        <f>IF('Calculations PJ'!AD82&lt;&gt;0,'Calculations PJ'!AD82*About!$B$45,0)</f>
        <v>419431208601.56134</v>
      </c>
      <c r="AE82">
        <f>IF('Calculations PJ'!AE82&lt;&gt;0,'Calculations PJ'!AE82*About!$B$45,0)</f>
        <v>418009407894.43744</v>
      </c>
      <c r="AF82">
        <f>IF('Calculations PJ'!AF82&lt;&gt;0,'Calculations PJ'!AF82*About!$B$45,0)</f>
        <v>416587607187.31348</v>
      </c>
      <c r="AG82">
        <f>IF('Calculations PJ'!AG82&lt;&gt;0,'Calculations PJ'!AG82*About!$B$45,0)</f>
        <v>415165806480.18951</v>
      </c>
      <c r="AH82">
        <f>IF('Calculations PJ'!AH82&lt;&gt;0,'Calculations PJ'!AH82*About!$B$45,0)</f>
        <v>413744005773.06561</v>
      </c>
      <c r="AI82">
        <f>IF('Calculations PJ'!AI82&lt;&gt;0,'Calculations PJ'!AI82*About!$B$45,0)</f>
        <v>412322205065.94165</v>
      </c>
      <c r="AJ82">
        <f>IF('Calculations PJ'!AJ82&lt;&gt;0,'Calculations PJ'!AJ82*About!$B$45,0)</f>
        <v>410900404358.81775</v>
      </c>
      <c r="AK82">
        <f>IF('Calculations PJ'!AK82&lt;&gt;0,'Calculations PJ'!AK82*About!$B$45,0)</f>
        <v>409478603651.69379</v>
      </c>
      <c r="AL82">
        <f>IF('Calculations PJ'!AL82&lt;&gt;0,'Calculations PJ'!AL82*About!$B$45,0)</f>
        <v>409478603651.69379</v>
      </c>
      <c r="AM82">
        <f>IF('Calculations PJ'!AM82&lt;&gt;0,'Calculations PJ'!AM82*About!$B$45,0)</f>
        <v>408056802944.56982</v>
      </c>
      <c r="AN82">
        <f>IF('Calculations PJ'!AN82&lt;&gt;0,'Calculations PJ'!AN82*About!$B$45,0)</f>
        <v>406635002237.44592</v>
      </c>
      <c r="AO82">
        <f>IF('Calculations PJ'!AO82&lt;&gt;0,'Calculations PJ'!AO82*About!$B$45,0)</f>
        <v>406635002237.44592</v>
      </c>
      <c r="AP82">
        <f>IF('Calculations PJ'!AP82&lt;&gt;0,'Calculations PJ'!AP82*About!$B$45,0)</f>
        <v>406635002237.44592</v>
      </c>
      <c r="AQ82">
        <f>IF('Calculations PJ'!AQ82&lt;&gt;0,'Calculations PJ'!AQ82*About!$B$45,0)</f>
        <v>406635002237.44592</v>
      </c>
      <c r="AR82">
        <f>IF('Calculations PJ'!AR82&lt;&gt;0,'Calculations PJ'!AR82*About!$B$45,0)</f>
        <v>406635002237.44592</v>
      </c>
      <c r="AS82">
        <f>IF('Calculations PJ'!AS82&lt;&gt;0,'Calculations PJ'!AS82*About!$B$45,0)</f>
        <v>406635002237.44592</v>
      </c>
      <c r="AT82">
        <f>IF('Calculations PJ'!AT82&lt;&gt;0,'Calculations PJ'!AT82*About!$B$45,0)</f>
        <v>406635002237.44592</v>
      </c>
      <c r="AU82">
        <f>IF('Calculations PJ'!AU82&lt;&gt;0,'Calculations PJ'!AU82*About!$B$45,0)</f>
        <v>406635002237.44592</v>
      </c>
      <c r="AV82">
        <f>IF('Calculations PJ'!AV82&lt;&gt;0,'Calculations PJ'!AV82*About!$B$45,0)</f>
        <v>406635002237.44592</v>
      </c>
      <c r="AW82">
        <f>IF('Calculations PJ'!AW82&lt;&gt;0,'Calculations PJ'!AW82*About!$B$45,0)</f>
        <v>406635002237.44592</v>
      </c>
      <c r="AX82">
        <f>IF('Calculations PJ'!AX82&lt;&gt;0,'Calculations PJ'!AX82*About!$B$45,0)</f>
        <v>406635002237.44592</v>
      </c>
      <c r="AY82">
        <f>IF('Calculations PJ'!AY82&lt;&gt;0,'Calculations PJ'!AY82*About!$B$45,0)</f>
        <v>406635002237.44592</v>
      </c>
      <c r="AZ82">
        <f>IF('Calculations PJ'!AZ82&lt;&gt;0,'Calculations PJ'!AZ82*About!$B$45,0)</f>
        <v>406635002237.44592</v>
      </c>
      <c r="BA82">
        <f>IF('Calculations PJ'!BA82&lt;&gt;0,'Calculations PJ'!BA82*About!$B$45,0)</f>
        <v>406635002237.44592</v>
      </c>
      <c r="BB82">
        <f>IF('Calculations PJ'!BB82&lt;&gt;0,'Calculations PJ'!BB82*About!$B$45,0)</f>
        <v>406635002237.44592</v>
      </c>
      <c r="BC82">
        <f>IF('Calculations PJ'!BC82&lt;&gt;0,'Calculations PJ'!BC82*About!$B$45,0)</f>
        <v>406635002237.44592</v>
      </c>
      <c r="BD82">
        <f>IF('Calculations PJ'!BD82&lt;&gt;0,'Calculations PJ'!BD82*About!$B$45,0)</f>
        <v>406635002237.44592</v>
      </c>
      <c r="BE82">
        <f>IF('Calculations PJ'!BE82&lt;&gt;0,'Calculations PJ'!BE82*About!$B$45,0)</f>
        <v>406635002237.44592</v>
      </c>
      <c r="BF82">
        <f>IF('Calculations PJ'!BF82&lt;&gt;0,'Calculations PJ'!BF82*About!$B$45,0)</f>
        <v>406635002237.44592</v>
      </c>
      <c r="BG82">
        <f>IF('Calculations PJ'!BG82&lt;&gt;0,'Calculations PJ'!BG82*About!$B$45,0)</f>
        <v>406635002237.44592</v>
      </c>
      <c r="BH82">
        <f>IF('Calculations PJ'!BH82&lt;&gt;0,'Calculations PJ'!BH82*About!$B$45,0)</f>
        <v>406635002237.44592</v>
      </c>
    </row>
    <row r="83" spans="2:60" hidden="1" outlineLevel="1">
      <c r="B83" t="s">
        <v>128</v>
      </c>
      <c r="C83">
        <f>IF('Calculations PJ'!C83&lt;&gt;0,'Calculations PJ'!C83*About!$B$45,0)</f>
        <v>0</v>
      </c>
      <c r="D83">
        <f>IF('Calculations PJ'!D83&lt;&gt;0,'Calculations PJ'!D83*About!$B$45,0)</f>
        <v>0</v>
      </c>
      <c r="E83">
        <f>IF('Calculations PJ'!E83&lt;&gt;0,'Calculations PJ'!E83*About!$B$45,0)</f>
        <v>0</v>
      </c>
      <c r="F83">
        <f>IF('Calculations PJ'!F83&lt;&gt;0,'Calculations PJ'!F83*About!$B$45,0)</f>
        <v>0</v>
      </c>
      <c r="G83">
        <f>IF('Calculations PJ'!G83&lt;&gt;0,'Calculations PJ'!G83*About!$B$45,0)</f>
        <v>0</v>
      </c>
      <c r="H83">
        <f>IF('Calculations PJ'!H83&lt;&gt;0,'Calculations PJ'!H83*About!$B$45,0)</f>
        <v>0</v>
      </c>
      <c r="I83">
        <f>IF('Calculations PJ'!I83&lt;&gt;0,'Calculations PJ'!I83*About!$B$45,0)</f>
        <v>0</v>
      </c>
      <c r="J83">
        <f>IF('Calculations PJ'!J83&lt;&gt;0,'Calculations PJ'!J83*About!$B$45,0)</f>
        <v>0</v>
      </c>
      <c r="K83">
        <f>IF('Calculations PJ'!K83&lt;&gt;0,'Calculations PJ'!K83*About!$B$45,0)</f>
        <v>0</v>
      </c>
      <c r="L83">
        <f>IF('Calculations PJ'!L83&lt;&gt;0,'Calculations PJ'!L83*About!$B$45,0)</f>
        <v>0</v>
      </c>
      <c r="M83">
        <f>IF('Calculations PJ'!M83&lt;&gt;0,'Calculations PJ'!M83*About!$B$45,0)</f>
        <v>0</v>
      </c>
      <c r="N83">
        <f>IF('Calculations PJ'!N83&lt;&gt;0,'Calculations PJ'!N83*About!$B$45,0)</f>
        <v>0</v>
      </c>
      <c r="O83">
        <f>IF('Calculations PJ'!O83&lt;&gt;0,'Calculations PJ'!O83*About!$B$45,0)</f>
        <v>0</v>
      </c>
      <c r="P83">
        <f>IF('Calculations PJ'!P83&lt;&gt;0,'Calculations PJ'!P83*About!$B$45,0)</f>
        <v>0</v>
      </c>
      <c r="Q83">
        <f>IF('Calculations PJ'!Q83&lt;&gt;0,'Calculations PJ'!Q83*About!$B$45,0)</f>
        <v>0</v>
      </c>
      <c r="R83">
        <f>IF('Calculations PJ'!R83&lt;&gt;0,'Calculations PJ'!R83*About!$B$45,0)</f>
        <v>0</v>
      </c>
      <c r="S83">
        <f>IF('Calculations PJ'!S83&lt;&gt;0,'Calculations PJ'!S83*About!$B$45,0)</f>
        <v>0</v>
      </c>
      <c r="T83">
        <f>IF('Calculations PJ'!T83&lt;&gt;0,'Calculations PJ'!T83*About!$B$45,0)</f>
        <v>0</v>
      </c>
      <c r="U83">
        <f>IF('Calculations PJ'!U83&lt;&gt;0,'Calculations PJ'!U83*About!$B$45,0)</f>
        <v>0</v>
      </c>
      <c r="V83">
        <f>IF('Calculations PJ'!V83&lt;&gt;0,'Calculations PJ'!V83*About!$B$45,0)</f>
        <v>0</v>
      </c>
      <c r="W83">
        <f>IF('Calculations PJ'!W83&lt;&gt;0,'Calculations PJ'!W83*About!$B$45,0)</f>
        <v>0</v>
      </c>
      <c r="X83">
        <f>IF('Calculations PJ'!X83&lt;&gt;0,'Calculations PJ'!X83*About!$B$45,0)</f>
        <v>0</v>
      </c>
      <c r="Y83">
        <f>IF('Calculations PJ'!Y83&lt;&gt;0,'Calculations PJ'!Y83*About!$B$45,0)</f>
        <v>0</v>
      </c>
      <c r="Z83">
        <f>IF('Calculations PJ'!Z83&lt;&gt;0,'Calculations PJ'!Z83*About!$B$45,0)</f>
        <v>0</v>
      </c>
      <c r="AA83">
        <f>IF('Calculations PJ'!AA83&lt;&gt;0,'Calculations PJ'!AA83*About!$B$45,0)</f>
        <v>0</v>
      </c>
      <c r="AB83">
        <f>IF('Calculations PJ'!AB83&lt;&gt;0,'Calculations PJ'!AB83*About!$B$45,0)</f>
        <v>0</v>
      </c>
      <c r="AC83">
        <f>IF('Calculations PJ'!AC83&lt;&gt;0,'Calculations PJ'!AC83*About!$B$45,0)</f>
        <v>0</v>
      </c>
      <c r="AD83">
        <f>IF('Calculations PJ'!AD83&lt;&gt;0,'Calculations PJ'!AD83*About!$B$45,0)</f>
        <v>0</v>
      </c>
      <c r="AE83">
        <f>IF('Calculations PJ'!AE83&lt;&gt;0,'Calculations PJ'!AE83*About!$B$45,0)</f>
        <v>0</v>
      </c>
      <c r="AF83">
        <f>IF('Calculations PJ'!AF83&lt;&gt;0,'Calculations PJ'!AF83*About!$B$45,0)</f>
        <v>0</v>
      </c>
      <c r="AG83">
        <f>IF('Calculations PJ'!AG83&lt;&gt;0,'Calculations PJ'!AG83*About!$B$45,0)</f>
        <v>0</v>
      </c>
      <c r="AH83">
        <f>IF('Calculations PJ'!AH83&lt;&gt;0,'Calculations PJ'!AH83*About!$B$45,0)</f>
        <v>0</v>
      </c>
      <c r="AI83">
        <f>IF('Calculations PJ'!AI83&lt;&gt;0,'Calculations PJ'!AI83*About!$B$45,0)</f>
        <v>0</v>
      </c>
      <c r="AJ83">
        <f>IF('Calculations PJ'!AJ83&lt;&gt;0,'Calculations PJ'!AJ83*About!$B$45,0)</f>
        <v>0</v>
      </c>
      <c r="AK83">
        <f>IF('Calculations PJ'!AK83&lt;&gt;0,'Calculations PJ'!AK83*About!$B$45,0)</f>
        <v>0</v>
      </c>
      <c r="AL83">
        <f>IF('Calculations PJ'!AL83&lt;&gt;0,'Calculations PJ'!AL83*About!$B$45,0)</f>
        <v>0</v>
      </c>
      <c r="AM83">
        <f>IF('Calculations PJ'!AM83&lt;&gt;0,'Calculations PJ'!AM83*About!$B$45,0)</f>
        <v>0</v>
      </c>
      <c r="AN83">
        <f>IF('Calculations PJ'!AN83&lt;&gt;0,'Calculations PJ'!AN83*About!$B$45,0)</f>
        <v>0</v>
      </c>
      <c r="AO83">
        <f>IF('Calculations PJ'!AO83&lt;&gt;0,'Calculations PJ'!AO83*About!$B$45,0)</f>
        <v>0</v>
      </c>
      <c r="AP83">
        <f>IF('Calculations PJ'!AP83&lt;&gt;0,'Calculations PJ'!AP83*About!$B$45,0)</f>
        <v>0</v>
      </c>
      <c r="AQ83">
        <f>IF('Calculations PJ'!AQ83&lt;&gt;0,'Calculations PJ'!AQ83*About!$B$45,0)</f>
        <v>0</v>
      </c>
      <c r="AR83">
        <f>IF('Calculations PJ'!AR83&lt;&gt;0,'Calculations PJ'!AR83*About!$B$45,0)</f>
        <v>0</v>
      </c>
      <c r="AS83">
        <f>IF('Calculations PJ'!AS83&lt;&gt;0,'Calculations PJ'!AS83*About!$B$45,0)</f>
        <v>0</v>
      </c>
      <c r="AT83">
        <f>IF('Calculations PJ'!AT83&lt;&gt;0,'Calculations PJ'!AT83*About!$B$45,0)</f>
        <v>0</v>
      </c>
      <c r="AU83">
        <f>IF('Calculations PJ'!AU83&lt;&gt;0,'Calculations PJ'!AU83*About!$B$45,0)</f>
        <v>0</v>
      </c>
      <c r="AV83">
        <f>IF('Calculations PJ'!AV83&lt;&gt;0,'Calculations PJ'!AV83*About!$B$45,0)</f>
        <v>0</v>
      </c>
      <c r="AW83">
        <f>IF('Calculations PJ'!AW83&lt;&gt;0,'Calculations PJ'!AW83*About!$B$45,0)</f>
        <v>0</v>
      </c>
      <c r="AX83">
        <f>IF('Calculations PJ'!AX83&lt;&gt;0,'Calculations PJ'!AX83*About!$B$45,0)</f>
        <v>0</v>
      </c>
      <c r="AY83">
        <f>IF('Calculations PJ'!AY83&lt;&gt;0,'Calculations PJ'!AY83*About!$B$45,0)</f>
        <v>0</v>
      </c>
      <c r="AZ83">
        <f>IF('Calculations PJ'!AZ83&lt;&gt;0,'Calculations PJ'!AZ83*About!$B$45,0)</f>
        <v>0</v>
      </c>
      <c r="BA83">
        <f>IF('Calculations PJ'!BA83&lt;&gt;0,'Calculations PJ'!BA83*About!$B$45,0)</f>
        <v>0</v>
      </c>
      <c r="BB83">
        <f>IF('Calculations PJ'!BB83&lt;&gt;0,'Calculations PJ'!BB83*About!$B$45,0)</f>
        <v>0</v>
      </c>
      <c r="BC83">
        <f>IF('Calculations PJ'!BC83&lt;&gt;0,'Calculations PJ'!BC83*About!$B$45,0)</f>
        <v>0</v>
      </c>
      <c r="BD83">
        <f>IF('Calculations PJ'!BD83&lt;&gt;0,'Calculations PJ'!BD83*About!$B$45,0)</f>
        <v>0</v>
      </c>
      <c r="BE83">
        <f>IF('Calculations PJ'!BE83&lt;&gt;0,'Calculations PJ'!BE83*About!$B$45,0)</f>
        <v>0</v>
      </c>
      <c r="BF83">
        <f>IF('Calculations PJ'!BF83&lt;&gt;0,'Calculations PJ'!BF83*About!$B$45,0)</f>
        <v>0</v>
      </c>
      <c r="BG83">
        <f>IF('Calculations PJ'!BG83&lt;&gt;0,'Calculations PJ'!BG83*About!$B$45,0)</f>
        <v>0</v>
      </c>
      <c r="BH83">
        <f>IF('Calculations PJ'!BH83&lt;&gt;0,'Calculations PJ'!BH83*About!$B$45,0)</f>
        <v>0</v>
      </c>
    </row>
    <row r="84" spans="2:60" hidden="1" outlineLevel="1">
      <c r="B84" t="s">
        <v>129</v>
      </c>
      <c r="C84">
        <f>IF('Calculations PJ'!C84&lt;&gt;0,'Calculations PJ'!C84*About!$B$45,0)</f>
        <v>3520852484407.9087</v>
      </c>
      <c r="D84">
        <f>IF('Calculations PJ'!D84&lt;&gt;0,'Calculations PJ'!D84*About!$B$45,0)</f>
        <v>3698103639229.3594</v>
      </c>
      <c r="E84">
        <f>IF('Calculations PJ'!E84&lt;&gt;0,'Calculations PJ'!E84*About!$B$45,0)</f>
        <v>4431278870536.2695</v>
      </c>
      <c r="F84">
        <f>IF('Calculations PJ'!F84&lt;&gt;0,'Calculations PJ'!F84*About!$B$45,0)</f>
        <v>4552131930641.8047</v>
      </c>
      <c r="G84">
        <f>IF('Calculations PJ'!G84&lt;&gt;0,'Calculations PJ'!G84*About!$B$45,0)</f>
        <v>4801894921526.5752</v>
      </c>
      <c r="H84">
        <f>IF('Calculations PJ'!H84&lt;&gt;0,'Calculations PJ'!H84*About!$B$45,0)</f>
        <v>5196681584537.9893</v>
      </c>
      <c r="I84">
        <f>IF('Calculations PJ'!I84&lt;&gt;0,'Calculations PJ'!I84*About!$B$45,0)</f>
        <v>5543127023507.1885</v>
      </c>
      <c r="J84">
        <f>IF('Calculations PJ'!J84&lt;&gt;0,'Calculations PJ'!J84*About!$B$45,0)</f>
        <v>2626539839626.9526</v>
      </c>
      <c r="K84">
        <f>IF('Calculations PJ'!K84&lt;&gt;0,'Calculations PJ'!K84*About!$B$45,0)</f>
        <v>2497629908847.7153</v>
      </c>
      <c r="L84">
        <f>IF('Calculations PJ'!L84&lt;&gt;0,'Calculations PJ'!L84*About!$B$45,0)</f>
        <v>2505686779521.418</v>
      </c>
      <c r="M84">
        <f>IF('Calculations PJ'!M84&lt;&gt;0,'Calculations PJ'!M84*About!$B$45,0)</f>
        <v>2497629908847.7153</v>
      </c>
      <c r="N84">
        <f>IF('Calculations PJ'!N84&lt;&gt;0,'Calculations PJ'!N84*About!$B$45,0)</f>
        <v>2489573038174.0127</v>
      </c>
      <c r="O84">
        <f>IF('Calculations PJ'!O84&lt;&gt;0,'Calculations PJ'!O84*About!$B$45,0)</f>
        <v>2481516167500.311</v>
      </c>
      <c r="P84">
        <f>IF('Calculations PJ'!P84&lt;&gt;0,'Calculations PJ'!P84*About!$B$45,0)</f>
        <v>2473459296826.6084</v>
      </c>
      <c r="Q84">
        <f>IF('Calculations PJ'!Q84&lt;&gt;0,'Calculations PJ'!Q84*About!$B$45,0)</f>
        <v>2465402426152.9063</v>
      </c>
      <c r="R84">
        <f>IF('Calculations PJ'!R84&lt;&gt;0,'Calculations PJ'!R84*About!$B$45,0)</f>
        <v>2457345555479.2041</v>
      </c>
      <c r="S84">
        <f>IF('Calculations PJ'!S84&lt;&gt;0,'Calculations PJ'!S84*About!$B$45,0)</f>
        <v>2449288684805.502</v>
      </c>
      <c r="T84">
        <f>IF('Calculations PJ'!T84&lt;&gt;0,'Calculations PJ'!T84*About!$B$45,0)</f>
        <v>2449288684805.502</v>
      </c>
      <c r="U84">
        <f>IF('Calculations PJ'!U84&lt;&gt;0,'Calculations PJ'!U84*About!$B$45,0)</f>
        <v>2441231814131.7993</v>
      </c>
      <c r="V84">
        <f>IF('Calculations PJ'!V84&lt;&gt;0,'Calculations PJ'!V84*About!$B$45,0)</f>
        <v>2433174943458.0967</v>
      </c>
      <c r="W84">
        <f>IF('Calculations PJ'!W84&lt;&gt;0,'Calculations PJ'!W84*About!$B$45,0)</f>
        <v>2425118072784.3945</v>
      </c>
      <c r="X84">
        <f>IF('Calculations PJ'!X84&lt;&gt;0,'Calculations PJ'!X84*About!$B$45,0)</f>
        <v>2417061202110.6924</v>
      </c>
      <c r="Y84">
        <f>IF('Calculations PJ'!Y84&lt;&gt;0,'Calculations PJ'!Y84*About!$B$45,0)</f>
        <v>2409004331436.9902</v>
      </c>
      <c r="Z84">
        <f>IF('Calculations PJ'!Z84&lt;&gt;0,'Calculations PJ'!Z84*About!$B$45,0)</f>
        <v>2400947460763.2876</v>
      </c>
      <c r="AA84">
        <f>IF('Calculations PJ'!AA84&lt;&gt;0,'Calculations PJ'!AA84*About!$B$45,0)</f>
        <v>2392890590089.5859</v>
      </c>
      <c r="AB84">
        <f>IF('Calculations PJ'!AB84&lt;&gt;0,'Calculations PJ'!AB84*About!$B$45,0)</f>
        <v>2384833719415.8833</v>
      </c>
      <c r="AC84">
        <f>IF('Calculations PJ'!AC84&lt;&gt;0,'Calculations PJ'!AC84*About!$B$45,0)</f>
        <v>2384833719415.8833</v>
      </c>
      <c r="AD84">
        <f>IF('Calculations PJ'!AD84&lt;&gt;0,'Calculations PJ'!AD84*About!$B$45,0)</f>
        <v>2376776848742.1812</v>
      </c>
      <c r="AE84">
        <f>IF('Calculations PJ'!AE84&lt;&gt;0,'Calculations PJ'!AE84*About!$B$45,0)</f>
        <v>2368719978068.4785</v>
      </c>
      <c r="AF84">
        <f>IF('Calculations PJ'!AF84&lt;&gt;0,'Calculations PJ'!AF84*About!$B$45,0)</f>
        <v>2360663107394.7764</v>
      </c>
      <c r="AG84">
        <f>IF('Calculations PJ'!AG84&lt;&gt;0,'Calculations PJ'!AG84*About!$B$45,0)</f>
        <v>2352606236721.0737</v>
      </c>
      <c r="AH84">
        <f>IF('Calculations PJ'!AH84&lt;&gt;0,'Calculations PJ'!AH84*About!$B$45,0)</f>
        <v>2344549366047.3716</v>
      </c>
      <c r="AI84">
        <f>IF('Calculations PJ'!AI84&lt;&gt;0,'Calculations PJ'!AI84*About!$B$45,0)</f>
        <v>2336492495373.6694</v>
      </c>
      <c r="AJ84">
        <f>IF('Calculations PJ'!AJ84&lt;&gt;0,'Calculations PJ'!AJ84*About!$B$45,0)</f>
        <v>2328435624699.9673</v>
      </c>
      <c r="AK84">
        <f>IF('Calculations PJ'!AK84&lt;&gt;0,'Calculations PJ'!AK84*About!$B$45,0)</f>
        <v>2320378754026.2646</v>
      </c>
      <c r="AL84">
        <f>IF('Calculations PJ'!AL84&lt;&gt;0,'Calculations PJ'!AL84*About!$B$45,0)</f>
        <v>2320378754026.2646</v>
      </c>
      <c r="AM84">
        <f>IF('Calculations PJ'!AM84&lt;&gt;0,'Calculations PJ'!AM84*About!$B$45,0)</f>
        <v>2312321883352.5625</v>
      </c>
      <c r="AN84">
        <f>IF('Calculations PJ'!AN84&lt;&gt;0,'Calculations PJ'!AN84*About!$B$45,0)</f>
        <v>2304265012678.8604</v>
      </c>
      <c r="AO84">
        <f>IF('Calculations PJ'!AO84&lt;&gt;0,'Calculations PJ'!AO84*About!$B$45,0)</f>
        <v>2304265012678.8604</v>
      </c>
      <c r="AP84">
        <f>IF('Calculations PJ'!AP84&lt;&gt;0,'Calculations PJ'!AP84*About!$B$45,0)</f>
        <v>2304265012678.8604</v>
      </c>
      <c r="AQ84">
        <f>IF('Calculations PJ'!AQ84&lt;&gt;0,'Calculations PJ'!AQ84*About!$B$45,0)</f>
        <v>2304265012678.8604</v>
      </c>
      <c r="AR84">
        <f>IF('Calculations PJ'!AR84&lt;&gt;0,'Calculations PJ'!AR84*About!$B$45,0)</f>
        <v>2304265012678.8604</v>
      </c>
      <c r="AS84">
        <f>IF('Calculations PJ'!AS84&lt;&gt;0,'Calculations PJ'!AS84*About!$B$45,0)</f>
        <v>2304265012678.8604</v>
      </c>
      <c r="AT84">
        <f>IF('Calculations PJ'!AT84&lt;&gt;0,'Calculations PJ'!AT84*About!$B$45,0)</f>
        <v>2304265012678.8604</v>
      </c>
      <c r="AU84">
        <f>IF('Calculations PJ'!AU84&lt;&gt;0,'Calculations PJ'!AU84*About!$B$45,0)</f>
        <v>2304265012678.8604</v>
      </c>
      <c r="AV84">
        <f>IF('Calculations PJ'!AV84&lt;&gt;0,'Calculations PJ'!AV84*About!$B$45,0)</f>
        <v>2304265012678.8604</v>
      </c>
      <c r="AW84">
        <f>IF('Calculations PJ'!AW84&lt;&gt;0,'Calculations PJ'!AW84*About!$B$45,0)</f>
        <v>2304265012678.8604</v>
      </c>
      <c r="AX84">
        <f>IF('Calculations PJ'!AX84&lt;&gt;0,'Calculations PJ'!AX84*About!$B$45,0)</f>
        <v>2304265012678.8604</v>
      </c>
      <c r="AY84">
        <f>IF('Calculations PJ'!AY84&lt;&gt;0,'Calculations PJ'!AY84*About!$B$45,0)</f>
        <v>2304265012678.8604</v>
      </c>
      <c r="AZ84">
        <f>IF('Calculations PJ'!AZ84&lt;&gt;0,'Calculations PJ'!AZ84*About!$B$45,0)</f>
        <v>2304265012678.8604</v>
      </c>
      <c r="BA84">
        <f>IF('Calculations PJ'!BA84&lt;&gt;0,'Calculations PJ'!BA84*About!$B$45,0)</f>
        <v>2304265012678.8604</v>
      </c>
      <c r="BB84">
        <f>IF('Calculations PJ'!BB84&lt;&gt;0,'Calculations PJ'!BB84*About!$B$45,0)</f>
        <v>2304265012678.8604</v>
      </c>
      <c r="BC84">
        <f>IF('Calculations PJ'!BC84&lt;&gt;0,'Calculations PJ'!BC84*About!$B$45,0)</f>
        <v>2304265012678.8604</v>
      </c>
      <c r="BD84">
        <f>IF('Calculations PJ'!BD84&lt;&gt;0,'Calculations PJ'!BD84*About!$B$45,0)</f>
        <v>2304265012678.8604</v>
      </c>
      <c r="BE84">
        <f>IF('Calculations PJ'!BE84&lt;&gt;0,'Calculations PJ'!BE84*About!$B$45,0)</f>
        <v>2304265012678.8604</v>
      </c>
      <c r="BF84">
        <f>IF('Calculations PJ'!BF84&lt;&gt;0,'Calculations PJ'!BF84*About!$B$45,0)</f>
        <v>2304265012678.8604</v>
      </c>
      <c r="BG84">
        <f>IF('Calculations PJ'!BG84&lt;&gt;0,'Calculations PJ'!BG84*About!$B$45,0)</f>
        <v>2304265012678.8604</v>
      </c>
      <c r="BH84">
        <f>IF('Calculations PJ'!BH84&lt;&gt;0,'Calculations PJ'!BH84*About!$B$45,0)</f>
        <v>2304265012678.8604</v>
      </c>
    </row>
    <row r="85" spans="2:60" hidden="1" outlineLevel="1">
      <c r="B85" t="s">
        <v>130</v>
      </c>
      <c r="C85">
        <f>IF('Calculations PJ'!C85&lt;&gt;0,'Calculations PJ'!C85*About!$B$45,0)</f>
        <v>3497629739524.8843</v>
      </c>
      <c r="D85">
        <f>IF('Calculations PJ'!D85&lt;&gt;0,'Calculations PJ'!D85*About!$B$45,0)</f>
        <v>3620852467475.6255</v>
      </c>
      <c r="E85">
        <f>IF('Calculations PJ'!E85&lt;&gt;0,'Calculations PJ'!E85*About!$B$45,0)</f>
        <v>3772511209568.8457</v>
      </c>
      <c r="F85">
        <f>IF('Calculations PJ'!F85&lt;&gt;0,'Calculations PJ'!F85*About!$B$45,0)</f>
        <v>3933648623042.8921</v>
      </c>
      <c r="G85">
        <f>IF('Calculations PJ'!G85&lt;&gt;0,'Calculations PJ'!G85*About!$B$45,0)</f>
        <v>3924169951662.0649</v>
      </c>
      <c r="H85">
        <f>IF('Calculations PJ'!H85&lt;&gt;0,'Calculations PJ'!H85*About!$B$45,0)</f>
        <v>4398103520703.3779</v>
      </c>
      <c r="I85">
        <f>IF('Calculations PJ'!I85&lt;&gt;0,'Calculations PJ'!I85*About!$B$45,0)</f>
        <v>4189572750325.2012</v>
      </c>
      <c r="J85">
        <f>IF('Calculations PJ'!J85&lt;&gt;0,'Calculations PJ'!J85*About!$B$45,0)</f>
        <v>3327013654670.0122</v>
      </c>
      <c r="K85">
        <f>IF('Calculations PJ'!K85&lt;&gt;0,'Calculations PJ'!K85*About!$B$45,0)</f>
        <v>3393364354335.7959</v>
      </c>
      <c r="L85">
        <f>IF('Calculations PJ'!L85&lt;&gt;0,'Calculations PJ'!L85*About!$B$45,0)</f>
        <v>3402843025716.6221</v>
      </c>
      <c r="M85">
        <f>IF('Calculations PJ'!M85&lt;&gt;0,'Calculations PJ'!M85*About!$B$45,0)</f>
        <v>3393364354335.7959</v>
      </c>
      <c r="N85">
        <f>IF('Calculations PJ'!N85&lt;&gt;0,'Calculations PJ'!N85*About!$B$45,0)</f>
        <v>3383885682954.9697</v>
      </c>
      <c r="O85">
        <f>IF('Calculations PJ'!O85&lt;&gt;0,'Calculations PJ'!O85*About!$B$45,0)</f>
        <v>3374407011574.1436</v>
      </c>
      <c r="P85">
        <f>IF('Calculations PJ'!P85&lt;&gt;0,'Calculations PJ'!P85*About!$B$45,0)</f>
        <v>3364928340193.3174</v>
      </c>
      <c r="Q85">
        <f>IF('Calculations PJ'!Q85&lt;&gt;0,'Calculations PJ'!Q85*About!$B$45,0)</f>
        <v>3355449668812.4907</v>
      </c>
      <c r="R85">
        <f>IF('Calculations PJ'!R85&lt;&gt;0,'Calculations PJ'!R85*About!$B$45,0)</f>
        <v>3345970997431.6646</v>
      </c>
      <c r="S85">
        <f>IF('Calculations PJ'!S85&lt;&gt;0,'Calculations PJ'!S85*About!$B$45,0)</f>
        <v>3336492326050.8384</v>
      </c>
      <c r="T85">
        <f>IF('Calculations PJ'!T85&lt;&gt;0,'Calculations PJ'!T85*About!$B$45,0)</f>
        <v>3327013654670.0122</v>
      </c>
      <c r="U85">
        <f>IF('Calculations PJ'!U85&lt;&gt;0,'Calculations PJ'!U85*About!$B$45,0)</f>
        <v>3317534983289.1855</v>
      </c>
      <c r="V85">
        <f>IF('Calculations PJ'!V85&lt;&gt;0,'Calculations PJ'!V85*About!$B$45,0)</f>
        <v>3308056311908.3599</v>
      </c>
      <c r="W85">
        <f>IF('Calculations PJ'!W85&lt;&gt;0,'Calculations PJ'!W85*About!$B$45,0)</f>
        <v>3298577640527.5332</v>
      </c>
      <c r="X85">
        <f>IF('Calculations PJ'!X85&lt;&gt;0,'Calculations PJ'!X85*About!$B$45,0)</f>
        <v>3289098969146.707</v>
      </c>
      <c r="Y85">
        <f>IF('Calculations PJ'!Y85&lt;&gt;0,'Calculations PJ'!Y85*About!$B$45,0)</f>
        <v>3270141626385.0542</v>
      </c>
      <c r="Z85">
        <f>IF('Calculations PJ'!Z85&lt;&gt;0,'Calculations PJ'!Z85*About!$B$45,0)</f>
        <v>3260662955004.228</v>
      </c>
      <c r="AA85">
        <f>IF('Calculations PJ'!AA85&lt;&gt;0,'Calculations PJ'!AA85*About!$B$45,0)</f>
        <v>3251184283623.4019</v>
      </c>
      <c r="AB85">
        <f>IF('Calculations PJ'!AB85&lt;&gt;0,'Calculations PJ'!AB85*About!$B$45,0)</f>
        <v>3241705612242.5757</v>
      </c>
      <c r="AC85">
        <f>IF('Calculations PJ'!AC85&lt;&gt;0,'Calculations PJ'!AC85*About!$B$45,0)</f>
        <v>3232226940861.7495</v>
      </c>
      <c r="AD85">
        <f>IF('Calculations PJ'!AD85&lt;&gt;0,'Calculations PJ'!AD85*About!$B$45,0)</f>
        <v>3222748269480.9233</v>
      </c>
      <c r="AE85">
        <f>IF('Calculations PJ'!AE85&lt;&gt;0,'Calculations PJ'!AE85*About!$B$45,0)</f>
        <v>3213269598100.0972</v>
      </c>
      <c r="AF85">
        <f>IF('Calculations PJ'!AF85&lt;&gt;0,'Calculations PJ'!AF85*About!$B$45,0)</f>
        <v>3203790926719.2705</v>
      </c>
      <c r="AG85">
        <f>IF('Calculations PJ'!AG85&lt;&gt;0,'Calculations PJ'!AG85*About!$B$45,0)</f>
        <v>3194312255338.4448</v>
      </c>
      <c r="AH85">
        <f>IF('Calculations PJ'!AH85&lt;&gt;0,'Calculations PJ'!AH85*About!$B$45,0)</f>
        <v>3184833583957.6182</v>
      </c>
      <c r="AI85">
        <f>IF('Calculations PJ'!AI85&lt;&gt;0,'Calculations PJ'!AI85*About!$B$45,0)</f>
        <v>3175354912576.792</v>
      </c>
      <c r="AJ85">
        <f>IF('Calculations PJ'!AJ85&lt;&gt;0,'Calculations PJ'!AJ85*About!$B$45,0)</f>
        <v>3165876241195.9658</v>
      </c>
      <c r="AK85">
        <f>IF('Calculations PJ'!AK85&lt;&gt;0,'Calculations PJ'!AK85*About!$B$45,0)</f>
        <v>3156397569815.1396</v>
      </c>
      <c r="AL85">
        <f>IF('Calculations PJ'!AL85&lt;&gt;0,'Calculations PJ'!AL85*About!$B$45,0)</f>
        <v>3146918898434.313</v>
      </c>
      <c r="AM85">
        <f>IF('Calculations PJ'!AM85&lt;&gt;0,'Calculations PJ'!AM85*About!$B$45,0)</f>
        <v>3137440227053.4873</v>
      </c>
      <c r="AN85">
        <f>IF('Calculations PJ'!AN85&lt;&gt;0,'Calculations PJ'!AN85*About!$B$45,0)</f>
        <v>3127961555672.6606</v>
      </c>
      <c r="AO85">
        <f>IF('Calculations PJ'!AO85&lt;&gt;0,'Calculations PJ'!AO85*About!$B$45,0)</f>
        <v>3127961555672.6606</v>
      </c>
      <c r="AP85">
        <f>IF('Calculations PJ'!AP85&lt;&gt;0,'Calculations PJ'!AP85*About!$B$45,0)</f>
        <v>3127961555672.6606</v>
      </c>
      <c r="AQ85">
        <f>IF('Calculations PJ'!AQ85&lt;&gt;0,'Calculations PJ'!AQ85*About!$B$45,0)</f>
        <v>3127961555672.6606</v>
      </c>
      <c r="AR85">
        <f>IF('Calculations PJ'!AR85&lt;&gt;0,'Calculations PJ'!AR85*About!$B$45,0)</f>
        <v>3127961555672.6606</v>
      </c>
      <c r="AS85">
        <f>IF('Calculations PJ'!AS85&lt;&gt;0,'Calculations PJ'!AS85*About!$B$45,0)</f>
        <v>3127961555672.6606</v>
      </c>
      <c r="AT85">
        <f>IF('Calculations PJ'!AT85&lt;&gt;0,'Calculations PJ'!AT85*About!$B$45,0)</f>
        <v>3127961555672.6606</v>
      </c>
      <c r="AU85">
        <f>IF('Calculations PJ'!AU85&lt;&gt;0,'Calculations PJ'!AU85*About!$B$45,0)</f>
        <v>3127961555672.6606</v>
      </c>
      <c r="AV85">
        <f>IF('Calculations PJ'!AV85&lt;&gt;0,'Calculations PJ'!AV85*About!$B$45,0)</f>
        <v>3127961555672.6606</v>
      </c>
      <c r="AW85">
        <f>IF('Calculations PJ'!AW85&lt;&gt;0,'Calculations PJ'!AW85*About!$B$45,0)</f>
        <v>3127961555672.6606</v>
      </c>
      <c r="AX85">
        <f>IF('Calculations PJ'!AX85&lt;&gt;0,'Calculations PJ'!AX85*About!$B$45,0)</f>
        <v>3127961555672.6606</v>
      </c>
      <c r="AY85">
        <f>IF('Calculations PJ'!AY85&lt;&gt;0,'Calculations PJ'!AY85*About!$B$45,0)</f>
        <v>3127961555672.6606</v>
      </c>
      <c r="AZ85">
        <f>IF('Calculations PJ'!AZ85&lt;&gt;0,'Calculations PJ'!AZ85*About!$B$45,0)</f>
        <v>3127961555672.6606</v>
      </c>
      <c r="BA85">
        <f>IF('Calculations PJ'!BA85&lt;&gt;0,'Calculations PJ'!BA85*About!$B$45,0)</f>
        <v>3127961555672.6606</v>
      </c>
      <c r="BB85">
        <f>IF('Calculations PJ'!BB85&lt;&gt;0,'Calculations PJ'!BB85*About!$B$45,0)</f>
        <v>3127961555672.6606</v>
      </c>
      <c r="BC85">
        <f>IF('Calculations PJ'!BC85&lt;&gt;0,'Calculations PJ'!BC85*About!$B$45,0)</f>
        <v>3127961555672.6606</v>
      </c>
      <c r="BD85">
        <f>IF('Calculations PJ'!BD85&lt;&gt;0,'Calculations PJ'!BD85*About!$B$45,0)</f>
        <v>3127961555672.6606</v>
      </c>
      <c r="BE85">
        <f>IF('Calculations PJ'!BE85&lt;&gt;0,'Calculations PJ'!BE85*About!$B$45,0)</f>
        <v>3127961555672.6606</v>
      </c>
      <c r="BF85">
        <f>IF('Calculations PJ'!BF85&lt;&gt;0,'Calculations PJ'!BF85*About!$B$45,0)</f>
        <v>3127961555672.6606</v>
      </c>
      <c r="BG85">
        <f>IF('Calculations PJ'!BG85&lt;&gt;0,'Calculations PJ'!BG85*About!$B$45,0)</f>
        <v>3127961555672.6606</v>
      </c>
      <c r="BH85">
        <f>IF('Calculations PJ'!BH85&lt;&gt;0,'Calculations PJ'!BH85*About!$B$45,0)</f>
        <v>3127961555672.6606</v>
      </c>
    </row>
    <row r="86" spans="2:60" hidden="1" outlineLevel="1">
      <c r="B86" t="s">
        <v>131</v>
      </c>
      <c r="C86">
        <f>IF('Calculations PJ'!C86&lt;&gt;0,'Calculations PJ'!C86*About!$B$45,0)</f>
        <v>729857696323.62085</v>
      </c>
      <c r="D86">
        <f>IF('Calculations PJ'!D86&lt;&gt;0,'Calculations PJ'!D86*About!$B$45,0)</f>
        <v>720379024942.79468</v>
      </c>
      <c r="E86">
        <f>IF('Calculations PJ'!E86&lt;&gt;0,'Calculations PJ'!E86*About!$B$45,0)</f>
        <v>758293710466.09961</v>
      </c>
      <c r="F86">
        <f>IF('Calculations PJ'!F86&lt;&gt;0,'Calculations PJ'!F86*About!$B$45,0)</f>
        <v>767772381846.9259</v>
      </c>
      <c r="G86">
        <f>IF('Calculations PJ'!G86&lt;&gt;0,'Calculations PJ'!G86*About!$B$45,0)</f>
        <v>748815039085.27344</v>
      </c>
      <c r="H86">
        <f>IF('Calculations PJ'!H86&lt;&gt;0,'Calculations PJ'!H86*About!$B$45,0)</f>
        <v>767772381846.9259</v>
      </c>
      <c r="I86">
        <f>IF('Calculations PJ'!I86&lt;&gt;0,'Calculations PJ'!I86*About!$B$45,0)</f>
        <v>720379024942.79468</v>
      </c>
      <c r="J86">
        <f>IF('Calculations PJ'!J86&lt;&gt;0,'Calculations PJ'!J86*About!$B$45,0)</f>
        <v>511848254564.61725</v>
      </c>
      <c r="K86">
        <f>IF('Calculations PJ'!K86&lt;&gt;0,'Calculations PJ'!K86*About!$B$45,0)</f>
        <v>682464339419.48962</v>
      </c>
      <c r="L86">
        <f>IF('Calculations PJ'!L86&lt;&gt;0,'Calculations PJ'!L86*About!$B$45,0)</f>
        <v>682464339419.48962</v>
      </c>
      <c r="M86">
        <f>IF('Calculations PJ'!M86&lt;&gt;0,'Calculations PJ'!M86*About!$B$45,0)</f>
        <v>616113639753.70593</v>
      </c>
      <c r="N86">
        <f>IF('Calculations PJ'!N86&lt;&gt;0,'Calculations PJ'!N86*About!$B$45,0)</f>
        <v>616764514154.4231</v>
      </c>
      <c r="O86">
        <f>IF('Calculations PJ'!O86&lt;&gt;0,'Calculations PJ'!O86*About!$B$45,0)</f>
        <v>617405218642.62891</v>
      </c>
      <c r="P86">
        <f>IF('Calculations PJ'!P86&lt;&gt;0,'Calculations PJ'!P86*About!$B$45,0)</f>
        <v>618066262955.85718</v>
      </c>
      <c r="Q86">
        <f>IF('Calculations PJ'!Q86&lt;&gt;0,'Calculations PJ'!Q86*About!$B$45,0)</f>
        <v>618717137356.5741</v>
      </c>
      <c r="R86">
        <f>IF('Calculations PJ'!R86&lt;&gt;0,'Calculations PJ'!R86*About!$B$45,0)</f>
        <v>619357841844.78003</v>
      </c>
      <c r="S86">
        <f>IF('Calculations PJ'!S86&lt;&gt;0,'Calculations PJ'!S86*About!$B$45,0)</f>
        <v>620018886158.0083</v>
      </c>
      <c r="T86">
        <f>IF('Calculations PJ'!T86&lt;&gt;0,'Calculations PJ'!T86*About!$B$45,0)</f>
        <v>620659590646.21399</v>
      </c>
      <c r="U86">
        <f>IF('Calculations PJ'!U86&lt;&gt;0,'Calculations PJ'!U86*About!$B$45,0)</f>
        <v>621300295134.41968</v>
      </c>
      <c r="V86">
        <f>IF('Calculations PJ'!V86&lt;&gt;0,'Calculations PJ'!V86*About!$B$45,0)</f>
        <v>621971509360.15918</v>
      </c>
      <c r="W86">
        <f>IF('Calculations PJ'!W86&lt;&gt;0,'Calculations PJ'!W86*About!$B$45,0)</f>
        <v>622612213848.36487</v>
      </c>
      <c r="X86">
        <f>IF('Calculations PJ'!X86&lt;&gt;0,'Calculations PJ'!X86*About!$B$45,0)</f>
        <v>620852818983.92676</v>
      </c>
      <c r="Y86">
        <f>IF('Calculations PJ'!Y86&lt;&gt;0,'Calculations PJ'!Y86*About!$B$45,0)</f>
        <v>615839052115.90356</v>
      </c>
      <c r="Z86">
        <f>IF('Calculations PJ'!Z86&lt;&gt;0,'Calculations PJ'!Z86*About!$B$45,0)</f>
        <v>610815115335.36926</v>
      </c>
      <c r="AA86">
        <f>IF('Calculations PJ'!AA86&lt;&gt;0,'Calculations PJ'!AA86*About!$B$45,0)</f>
        <v>605811518379.85742</v>
      </c>
      <c r="AB86">
        <f>IF('Calculations PJ'!AB86&lt;&gt;0,'Calculations PJ'!AB86*About!$B$45,0)</f>
        <v>600797751511.83423</v>
      </c>
      <c r="AC86">
        <f>IF('Calculations PJ'!AC86&lt;&gt;0,'Calculations PJ'!AC86*About!$B$45,0)</f>
        <v>595763644818.7887</v>
      </c>
      <c r="AD86">
        <f>IF('Calculations PJ'!AD86&lt;&gt;0,'Calculations PJ'!AD86*About!$B$45,0)</f>
        <v>590770217775.78796</v>
      </c>
      <c r="AE86">
        <f>IF('Calculations PJ'!AE86&lt;&gt;0,'Calculations PJ'!AE86*About!$B$45,0)</f>
        <v>585756450907.76489</v>
      </c>
      <c r="AF86">
        <f>IF('Calculations PJ'!AF86&lt;&gt;0,'Calculations PJ'!AF86*About!$B$45,0)</f>
        <v>580732514127.23047</v>
      </c>
      <c r="AG86">
        <f>IF('Calculations PJ'!AG86&lt;&gt;0,'Calculations PJ'!AG86*About!$B$45,0)</f>
        <v>575718747259.20728</v>
      </c>
      <c r="AH86">
        <f>IF('Calculations PJ'!AH86&lt;&gt;0,'Calculations PJ'!AH86*About!$B$45,0)</f>
        <v>570715150303.69519</v>
      </c>
      <c r="AI86">
        <f>IF('Calculations PJ'!AI86&lt;&gt;0,'Calculations PJ'!AI86*About!$B$45,0)</f>
        <v>565691213523.16089</v>
      </c>
      <c r="AJ86">
        <f>IF('Calculations PJ'!AJ86&lt;&gt;0,'Calculations PJ'!AJ86*About!$B$45,0)</f>
        <v>560677446655.13782</v>
      </c>
      <c r="AK86">
        <f>IF('Calculations PJ'!AK86&lt;&gt;0,'Calculations PJ'!AK86*About!$B$45,0)</f>
        <v>555663679787.11475</v>
      </c>
      <c r="AL86">
        <f>IF('Calculations PJ'!AL86&lt;&gt;0,'Calculations PJ'!AL86*About!$B$45,0)</f>
        <v>550660082831.60291</v>
      </c>
      <c r="AM86">
        <f>IF('Calculations PJ'!AM86&lt;&gt;0,'Calculations PJ'!AM86*About!$B$45,0)</f>
        <v>545585296488.51251</v>
      </c>
      <c r="AN86">
        <f>IF('Calculations PJ'!AN86&lt;&gt;0,'Calculations PJ'!AN86*About!$B$45,0)</f>
        <v>540520680057.93335</v>
      </c>
      <c r="AO86">
        <f>IF('Calculations PJ'!AO86&lt;&gt;0,'Calculations PJ'!AO86*About!$B$45,0)</f>
        <v>540520680057.93335</v>
      </c>
      <c r="AP86">
        <f>IF('Calculations PJ'!AP86&lt;&gt;0,'Calculations PJ'!AP86*About!$B$45,0)</f>
        <v>540520680057.93335</v>
      </c>
      <c r="AQ86">
        <f>IF('Calculations PJ'!AQ86&lt;&gt;0,'Calculations PJ'!AQ86*About!$B$45,0)</f>
        <v>540520680057.93335</v>
      </c>
      <c r="AR86">
        <f>IF('Calculations PJ'!AR86&lt;&gt;0,'Calculations PJ'!AR86*About!$B$45,0)</f>
        <v>540520680057.93335</v>
      </c>
      <c r="AS86">
        <f>IF('Calculations PJ'!AS86&lt;&gt;0,'Calculations PJ'!AS86*About!$B$45,0)</f>
        <v>540520680057.93335</v>
      </c>
      <c r="AT86">
        <f>IF('Calculations PJ'!AT86&lt;&gt;0,'Calculations PJ'!AT86*About!$B$45,0)</f>
        <v>540520680057.93335</v>
      </c>
      <c r="AU86">
        <f>IF('Calculations PJ'!AU86&lt;&gt;0,'Calculations PJ'!AU86*About!$B$45,0)</f>
        <v>540520680057.93335</v>
      </c>
      <c r="AV86">
        <f>IF('Calculations PJ'!AV86&lt;&gt;0,'Calculations PJ'!AV86*About!$B$45,0)</f>
        <v>540520680057.93335</v>
      </c>
      <c r="AW86">
        <f>IF('Calculations PJ'!AW86&lt;&gt;0,'Calculations PJ'!AW86*About!$B$45,0)</f>
        <v>540520680057.93335</v>
      </c>
      <c r="AX86">
        <f>IF('Calculations PJ'!AX86&lt;&gt;0,'Calculations PJ'!AX86*About!$B$45,0)</f>
        <v>540520680057.93335</v>
      </c>
      <c r="AY86">
        <f>IF('Calculations PJ'!AY86&lt;&gt;0,'Calculations PJ'!AY86*About!$B$45,0)</f>
        <v>540520680057.93335</v>
      </c>
      <c r="AZ86">
        <f>IF('Calculations PJ'!AZ86&lt;&gt;0,'Calculations PJ'!AZ86*About!$B$45,0)</f>
        <v>540520680057.93335</v>
      </c>
      <c r="BA86">
        <f>IF('Calculations PJ'!BA86&lt;&gt;0,'Calculations PJ'!BA86*About!$B$45,0)</f>
        <v>540520680057.93335</v>
      </c>
      <c r="BB86">
        <f>IF('Calculations PJ'!BB86&lt;&gt;0,'Calculations PJ'!BB86*About!$B$45,0)</f>
        <v>540520680057.93335</v>
      </c>
      <c r="BC86">
        <f>IF('Calculations PJ'!BC86&lt;&gt;0,'Calculations PJ'!BC86*About!$B$45,0)</f>
        <v>540520680057.93335</v>
      </c>
      <c r="BD86">
        <f>IF('Calculations PJ'!BD86&lt;&gt;0,'Calculations PJ'!BD86*About!$B$45,0)</f>
        <v>540520680057.93335</v>
      </c>
      <c r="BE86">
        <f>IF('Calculations PJ'!BE86&lt;&gt;0,'Calculations PJ'!BE86*About!$B$45,0)</f>
        <v>540520680057.93335</v>
      </c>
      <c r="BF86">
        <f>IF('Calculations PJ'!BF86&lt;&gt;0,'Calculations PJ'!BF86*About!$B$45,0)</f>
        <v>540520680057.93335</v>
      </c>
      <c r="BG86">
        <f>IF('Calculations PJ'!BG86&lt;&gt;0,'Calculations PJ'!BG86*About!$B$45,0)</f>
        <v>540520680057.93335</v>
      </c>
      <c r="BH86">
        <f>IF('Calculations PJ'!BH86&lt;&gt;0,'Calculations PJ'!BH86*About!$B$45,0)</f>
        <v>540520680057.93335</v>
      </c>
    </row>
    <row r="87" spans="2:60" hidden="1" outlineLevel="1">
      <c r="B87" t="s">
        <v>132</v>
      </c>
      <c r="C87">
        <f>IF('Calculations PJ'!C87&lt;&gt;0,'Calculations PJ'!C87*About!$B$45,0)</f>
        <v>0</v>
      </c>
      <c r="D87">
        <f>IF('Calculations PJ'!D87&lt;&gt;0,'Calculations PJ'!D87*About!$B$45,0)</f>
        <v>0</v>
      </c>
      <c r="E87">
        <f>IF('Calculations PJ'!E87&lt;&gt;0,'Calculations PJ'!E87*About!$B$45,0)</f>
        <v>0</v>
      </c>
      <c r="F87">
        <f>IF('Calculations PJ'!F87&lt;&gt;0,'Calculations PJ'!F87*About!$B$45,0)</f>
        <v>0</v>
      </c>
      <c r="G87">
        <f>IF('Calculations PJ'!G87&lt;&gt;0,'Calculations PJ'!G87*About!$B$45,0)</f>
        <v>0</v>
      </c>
      <c r="H87">
        <f>IF('Calculations PJ'!H87&lt;&gt;0,'Calculations PJ'!H87*About!$B$45,0)</f>
        <v>0</v>
      </c>
      <c r="I87">
        <f>IF('Calculations PJ'!I87&lt;&gt;0,'Calculations PJ'!I87*About!$B$45,0)</f>
        <v>0</v>
      </c>
      <c r="J87">
        <f>IF('Calculations PJ'!J87&lt;&gt;0,'Calculations PJ'!J87*About!$B$45,0)</f>
        <v>0</v>
      </c>
      <c r="K87">
        <f>IF('Calculations PJ'!K87&lt;&gt;0,'Calculations PJ'!K87*About!$B$45,0)</f>
        <v>0</v>
      </c>
      <c r="L87">
        <f>IF('Calculations PJ'!L87&lt;&gt;0,'Calculations PJ'!L87*About!$B$45,0)</f>
        <v>0</v>
      </c>
      <c r="M87">
        <f>IF('Calculations PJ'!M87&lt;&gt;0,'Calculations PJ'!M87*About!$B$45,0)</f>
        <v>0</v>
      </c>
      <c r="N87">
        <f>IF('Calculations PJ'!N87&lt;&gt;0,'Calculations PJ'!N87*About!$B$45,0)</f>
        <v>0</v>
      </c>
      <c r="O87">
        <f>IF('Calculations PJ'!O87&lt;&gt;0,'Calculations PJ'!O87*About!$B$45,0)</f>
        <v>0</v>
      </c>
      <c r="P87">
        <f>IF('Calculations PJ'!P87&lt;&gt;0,'Calculations PJ'!P87*About!$B$45,0)</f>
        <v>0</v>
      </c>
      <c r="Q87">
        <f>IF('Calculations PJ'!Q87&lt;&gt;0,'Calculations PJ'!Q87*About!$B$45,0)</f>
        <v>0</v>
      </c>
      <c r="R87">
        <f>IF('Calculations PJ'!R87&lt;&gt;0,'Calculations PJ'!R87*About!$B$45,0)</f>
        <v>0</v>
      </c>
      <c r="S87">
        <f>IF('Calculations PJ'!S87&lt;&gt;0,'Calculations PJ'!S87*About!$B$45,0)</f>
        <v>0</v>
      </c>
      <c r="T87">
        <f>IF('Calculations PJ'!T87&lt;&gt;0,'Calculations PJ'!T87*About!$B$45,0)</f>
        <v>0</v>
      </c>
      <c r="U87">
        <f>IF('Calculations PJ'!U87&lt;&gt;0,'Calculations PJ'!U87*About!$B$45,0)</f>
        <v>0</v>
      </c>
      <c r="V87">
        <f>IF('Calculations PJ'!V87&lt;&gt;0,'Calculations PJ'!V87*About!$B$45,0)</f>
        <v>0</v>
      </c>
      <c r="W87">
        <f>IF('Calculations PJ'!W87&lt;&gt;0,'Calculations PJ'!W87*About!$B$45,0)</f>
        <v>0</v>
      </c>
      <c r="X87">
        <f>IF('Calculations PJ'!X87&lt;&gt;0,'Calculations PJ'!X87*About!$B$45,0)</f>
        <v>0</v>
      </c>
      <c r="Y87">
        <f>IF('Calculations PJ'!Y87&lt;&gt;0,'Calculations PJ'!Y87*About!$B$45,0)</f>
        <v>0</v>
      </c>
      <c r="Z87">
        <f>IF('Calculations PJ'!Z87&lt;&gt;0,'Calculations PJ'!Z87*About!$B$45,0)</f>
        <v>0</v>
      </c>
      <c r="AA87">
        <f>IF('Calculations PJ'!AA87&lt;&gt;0,'Calculations PJ'!AA87*About!$B$45,0)</f>
        <v>0</v>
      </c>
      <c r="AB87">
        <f>IF('Calculations PJ'!AB87&lt;&gt;0,'Calculations PJ'!AB87*About!$B$45,0)</f>
        <v>0</v>
      </c>
      <c r="AC87">
        <f>IF('Calculations PJ'!AC87&lt;&gt;0,'Calculations PJ'!AC87*About!$B$45,0)</f>
        <v>0</v>
      </c>
      <c r="AD87">
        <f>IF('Calculations PJ'!AD87&lt;&gt;0,'Calculations PJ'!AD87*About!$B$45,0)</f>
        <v>0</v>
      </c>
      <c r="AE87">
        <f>IF('Calculations PJ'!AE87&lt;&gt;0,'Calculations PJ'!AE87*About!$B$45,0)</f>
        <v>0</v>
      </c>
      <c r="AF87">
        <f>IF('Calculations PJ'!AF87&lt;&gt;0,'Calculations PJ'!AF87*About!$B$45,0)</f>
        <v>0</v>
      </c>
      <c r="AG87">
        <f>IF('Calculations PJ'!AG87&lt;&gt;0,'Calculations PJ'!AG87*About!$B$45,0)</f>
        <v>0</v>
      </c>
      <c r="AH87">
        <f>IF('Calculations PJ'!AH87&lt;&gt;0,'Calculations PJ'!AH87*About!$B$45,0)</f>
        <v>0</v>
      </c>
      <c r="AI87">
        <f>IF('Calculations PJ'!AI87&lt;&gt;0,'Calculations PJ'!AI87*About!$B$45,0)</f>
        <v>0</v>
      </c>
      <c r="AJ87">
        <f>IF('Calculations PJ'!AJ87&lt;&gt;0,'Calculations PJ'!AJ87*About!$B$45,0)</f>
        <v>0</v>
      </c>
      <c r="AK87">
        <f>IF('Calculations PJ'!AK87&lt;&gt;0,'Calculations PJ'!AK87*About!$B$45,0)</f>
        <v>0</v>
      </c>
      <c r="AL87">
        <f>IF('Calculations PJ'!AL87&lt;&gt;0,'Calculations PJ'!AL87*About!$B$45,0)</f>
        <v>0</v>
      </c>
      <c r="AM87">
        <f>IF('Calculations PJ'!AM87&lt;&gt;0,'Calculations PJ'!AM87*About!$B$45,0)</f>
        <v>0</v>
      </c>
      <c r="AN87">
        <f>IF('Calculations PJ'!AN87&lt;&gt;0,'Calculations PJ'!AN87*About!$B$45,0)</f>
        <v>0</v>
      </c>
      <c r="AO87">
        <f>IF('Calculations PJ'!AO87&lt;&gt;0,'Calculations PJ'!AO87*About!$B$45,0)</f>
        <v>0</v>
      </c>
      <c r="AP87">
        <f>IF('Calculations PJ'!AP87&lt;&gt;0,'Calculations PJ'!AP87*About!$B$45,0)</f>
        <v>0</v>
      </c>
      <c r="AQ87">
        <f>IF('Calculations PJ'!AQ87&lt;&gt;0,'Calculations PJ'!AQ87*About!$B$45,0)</f>
        <v>0</v>
      </c>
      <c r="AR87">
        <f>IF('Calculations PJ'!AR87&lt;&gt;0,'Calculations PJ'!AR87*About!$B$45,0)</f>
        <v>0</v>
      </c>
      <c r="AS87">
        <f>IF('Calculations PJ'!AS87&lt;&gt;0,'Calculations PJ'!AS87*About!$B$45,0)</f>
        <v>0</v>
      </c>
      <c r="AT87">
        <f>IF('Calculations PJ'!AT87&lt;&gt;0,'Calculations PJ'!AT87*About!$B$45,0)</f>
        <v>0</v>
      </c>
      <c r="AU87">
        <f>IF('Calculations PJ'!AU87&lt;&gt;0,'Calculations PJ'!AU87*About!$B$45,0)</f>
        <v>0</v>
      </c>
      <c r="AV87">
        <f>IF('Calculations PJ'!AV87&lt;&gt;0,'Calculations PJ'!AV87*About!$B$45,0)</f>
        <v>0</v>
      </c>
      <c r="AW87">
        <f>IF('Calculations PJ'!AW87&lt;&gt;0,'Calculations PJ'!AW87*About!$B$45,0)</f>
        <v>0</v>
      </c>
      <c r="AX87">
        <f>IF('Calculations PJ'!AX87&lt;&gt;0,'Calculations PJ'!AX87*About!$B$45,0)</f>
        <v>0</v>
      </c>
      <c r="AY87">
        <f>IF('Calculations PJ'!AY87&lt;&gt;0,'Calculations PJ'!AY87*About!$B$45,0)</f>
        <v>0</v>
      </c>
      <c r="AZ87">
        <f>IF('Calculations PJ'!AZ87&lt;&gt;0,'Calculations PJ'!AZ87*About!$B$45,0)</f>
        <v>0</v>
      </c>
      <c r="BA87">
        <f>IF('Calculations PJ'!BA87&lt;&gt;0,'Calculations PJ'!BA87*About!$B$45,0)</f>
        <v>0</v>
      </c>
      <c r="BB87">
        <f>IF('Calculations PJ'!BB87&lt;&gt;0,'Calculations PJ'!BB87*About!$B$45,0)</f>
        <v>0</v>
      </c>
      <c r="BC87">
        <f>IF('Calculations PJ'!BC87&lt;&gt;0,'Calculations PJ'!BC87*About!$B$45,0)</f>
        <v>0</v>
      </c>
      <c r="BD87">
        <f>IF('Calculations PJ'!BD87&lt;&gt;0,'Calculations PJ'!BD87*About!$B$45,0)</f>
        <v>0</v>
      </c>
      <c r="BE87">
        <f>IF('Calculations PJ'!BE87&lt;&gt;0,'Calculations PJ'!BE87*About!$B$45,0)</f>
        <v>0</v>
      </c>
      <c r="BF87">
        <f>IF('Calculations PJ'!BF87&lt;&gt;0,'Calculations PJ'!BF87*About!$B$45,0)</f>
        <v>0</v>
      </c>
      <c r="BG87">
        <f>IF('Calculations PJ'!BG87&lt;&gt;0,'Calculations PJ'!BG87*About!$B$45,0)</f>
        <v>0</v>
      </c>
      <c r="BH87">
        <f>IF('Calculations PJ'!BH87&lt;&gt;0,'Calculations PJ'!BH87*About!$B$45,0)</f>
        <v>0</v>
      </c>
    </row>
    <row r="88" spans="2:60" hidden="1" outlineLevel="1">
      <c r="B88" t="s">
        <v>133</v>
      </c>
      <c r="C88">
        <f>IF('Calculations PJ'!C88&lt;&gt;0,'Calculations PJ'!C88*About!$B$45,0)</f>
        <v>1222748608126.5857</v>
      </c>
      <c r="D88">
        <f>IF('Calculations PJ'!D88&lt;&gt;0,'Calculations PJ'!D88*About!$B$45,0)</f>
        <v>1260663293649.8906</v>
      </c>
      <c r="E88">
        <f>IF('Calculations PJ'!E88&lt;&gt;0,'Calculations PJ'!E88*About!$B$45,0)</f>
        <v>1298577979173.1958</v>
      </c>
      <c r="F88">
        <f>IF('Calculations PJ'!F88&lt;&gt;0,'Calculations PJ'!F88*About!$B$45,0)</f>
        <v>1355450007458.1531</v>
      </c>
      <c r="G88">
        <f>IF('Calculations PJ'!G88&lt;&gt;0,'Calculations PJ'!G88*About!$B$45,0)</f>
        <v>1374407350219.8054</v>
      </c>
      <c r="H88">
        <f>IF('Calculations PJ'!H88&lt;&gt;0,'Calculations PJ'!H88*About!$B$45,0)</f>
        <v>1402843364362.2842</v>
      </c>
      <c r="I88">
        <f>IF('Calculations PJ'!I88&lt;&gt;0,'Calculations PJ'!I88*About!$B$45,0)</f>
        <v>1554502106455.5042</v>
      </c>
      <c r="J88">
        <f>IF('Calculations PJ'!J88&lt;&gt;0,'Calculations PJ'!J88*About!$B$45,0)</f>
        <v>1289099307792.3694</v>
      </c>
      <c r="K88">
        <f>IF('Calculations PJ'!K88&lt;&gt;0,'Calculations PJ'!K88*About!$B$45,0)</f>
        <v>1203791265364.9331</v>
      </c>
      <c r="L88">
        <f>IF('Calculations PJ'!L88&lt;&gt;0,'Calculations PJ'!L88*About!$B$45,0)</f>
        <v>1203791265364.9331</v>
      </c>
      <c r="M88">
        <f>IF('Calculations PJ'!M88&lt;&gt;0,'Calculations PJ'!M88*About!$B$45,0)</f>
        <v>1203791265364.9331</v>
      </c>
      <c r="N88">
        <f>IF('Calculations PJ'!N88&lt;&gt;0,'Calculations PJ'!N88*About!$B$45,0)</f>
        <v>1203791265364.9331</v>
      </c>
      <c r="O88">
        <f>IF('Calculations PJ'!O88&lt;&gt;0,'Calculations PJ'!O88*About!$B$45,0)</f>
        <v>1194312593984.1069</v>
      </c>
      <c r="P88">
        <f>IF('Calculations PJ'!P88&lt;&gt;0,'Calculations PJ'!P88*About!$B$45,0)</f>
        <v>1194312593984.1069</v>
      </c>
      <c r="Q88">
        <f>IF('Calculations PJ'!Q88&lt;&gt;0,'Calculations PJ'!Q88*About!$B$45,0)</f>
        <v>1184833922603.2808</v>
      </c>
      <c r="R88">
        <f>IF('Calculations PJ'!R88&lt;&gt;0,'Calculations PJ'!R88*About!$B$45,0)</f>
        <v>1184833922603.2808</v>
      </c>
      <c r="S88">
        <f>IF('Calculations PJ'!S88&lt;&gt;0,'Calculations PJ'!S88*About!$B$45,0)</f>
        <v>1184833922603.2808</v>
      </c>
      <c r="T88">
        <f>IF('Calculations PJ'!T88&lt;&gt;0,'Calculations PJ'!T88*About!$B$45,0)</f>
        <v>1175355251222.4543</v>
      </c>
      <c r="U88">
        <f>IF('Calculations PJ'!U88&lt;&gt;0,'Calculations PJ'!U88*About!$B$45,0)</f>
        <v>1175355251222.4543</v>
      </c>
      <c r="V88">
        <f>IF('Calculations PJ'!V88&lt;&gt;0,'Calculations PJ'!V88*About!$B$45,0)</f>
        <v>1175355251222.4543</v>
      </c>
      <c r="W88">
        <f>IF('Calculations PJ'!W88&lt;&gt;0,'Calculations PJ'!W88*About!$B$45,0)</f>
        <v>1165876579841.6282</v>
      </c>
      <c r="X88">
        <f>IF('Calculations PJ'!X88&lt;&gt;0,'Calculations PJ'!X88*About!$B$45,0)</f>
        <v>1165876579841.6282</v>
      </c>
      <c r="Y88">
        <f>IF('Calculations PJ'!Y88&lt;&gt;0,'Calculations PJ'!Y88*About!$B$45,0)</f>
        <v>1165876579841.6282</v>
      </c>
      <c r="Z88">
        <f>IF('Calculations PJ'!Z88&lt;&gt;0,'Calculations PJ'!Z88*About!$B$45,0)</f>
        <v>1156397908460.8018</v>
      </c>
      <c r="AA88">
        <f>IF('Calculations PJ'!AA88&lt;&gt;0,'Calculations PJ'!AA88*About!$B$45,0)</f>
        <v>1156397908460.8018</v>
      </c>
      <c r="AB88">
        <f>IF('Calculations PJ'!AB88&lt;&gt;0,'Calculations PJ'!AB88*About!$B$45,0)</f>
        <v>1146919237079.9756</v>
      </c>
      <c r="AC88">
        <f>IF('Calculations PJ'!AC88&lt;&gt;0,'Calculations PJ'!AC88*About!$B$45,0)</f>
        <v>1146919237079.9756</v>
      </c>
      <c r="AD88">
        <f>IF('Calculations PJ'!AD88&lt;&gt;0,'Calculations PJ'!AD88*About!$B$45,0)</f>
        <v>1146919237079.9756</v>
      </c>
      <c r="AE88">
        <f>IF('Calculations PJ'!AE88&lt;&gt;0,'Calculations PJ'!AE88*About!$B$45,0)</f>
        <v>1137440565699.1494</v>
      </c>
      <c r="AF88">
        <f>IF('Calculations PJ'!AF88&lt;&gt;0,'Calculations PJ'!AF88*About!$B$45,0)</f>
        <v>1137440565699.1494</v>
      </c>
      <c r="AG88">
        <f>IF('Calculations PJ'!AG88&lt;&gt;0,'Calculations PJ'!AG88*About!$B$45,0)</f>
        <v>1137440565699.1494</v>
      </c>
      <c r="AH88">
        <f>IF('Calculations PJ'!AH88&lt;&gt;0,'Calculations PJ'!AH88*About!$B$45,0)</f>
        <v>1127961894318.323</v>
      </c>
      <c r="AI88">
        <f>IF('Calculations PJ'!AI88&lt;&gt;0,'Calculations PJ'!AI88*About!$B$45,0)</f>
        <v>1127961894318.323</v>
      </c>
      <c r="AJ88">
        <f>IF('Calculations PJ'!AJ88&lt;&gt;0,'Calculations PJ'!AJ88*About!$B$45,0)</f>
        <v>1127961894318.323</v>
      </c>
      <c r="AK88">
        <f>IF('Calculations PJ'!AK88&lt;&gt;0,'Calculations PJ'!AK88*About!$B$45,0)</f>
        <v>1118483222937.4968</v>
      </c>
      <c r="AL88">
        <f>IF('Calculations PJ'!AL88&lt;&gt;0,'Calculations PJ'!AL88*About!$B$45,0)</f>
        <v>1118483222937.4968</v>
      </c>
      <c r="AM88">
        <f>IF('Calculations PJ'!AM88&lt;&gt;0,'Calculations PJ'!AM88*About!$B$45,0)</f>
        <v>1109004551556.6707</v>
      </c>
      <c r="AN88">
        <f>IF('Calculations PJ'!AN88&lt;&gt;0,'Calculations PJ'!AN88*About!$B$45,0)</f>
        <v>1109004551556.6707</v>
      </c>
      <c r="AO88">
        <f>IF('Calculations PJ'!AO88&lt;&gt;0,'Calculations PJ'!AO88*About!$B$45,0)</f>
        <v>1109004551556.6707</v>
      </c>
      <c r="AP88">
        <f>IF('Calculations PJ'!AP88&lt;&gt;0,'Calculations PJ'!AP88*About!$B$45,0)</f>
        <v>1109004551556.6707</v>
      </c>
      <c r="AQ88">
        <f>IF('Calculations PJ'!AQ88&lt;&gt;0,'Calculations PJ'!AQ88*About!$B$45,0)</f>
        <v>1109004551556.6707</v>
      </c>
      <c r="AR88">
        <f>IF('Calculations PJ'!AR88&lt;&gt;0,'Calculations PJ'!AR88*About!$B$45,0)</f>
        <v>1109004551556.6707</v>
      </c>
      <c r="AS88">
        <f>IF('Calculations PJ'!AS88&lt;&gt;0,'Calculations PJ'!AS88*About!$B$45,0)</f>
        <v>1109004551556.6707</v>
      </c>
      <c r="AT88">
        <f>IF('Calculations PJ'!AT88&lt;&gt;0,'Calculations PJ'!AT88*About!$B$45,0)</f>
        <v>1109004551556.6707</v>
      </c>
      <c r="AU88">
        <f>IF('Calculations PJ'!AU88&lt;&gt;0,'Calculations PJ'!AU88*About!$B$45,0)</f>
        <v>1109004551556.6707</v>
      </c>
      <c r="AV88">
        <f>IF('Calculations PJ'!AV88&lt;&gt;0,'Calculations PJ'!AV88*About!$B$45,0)</f>
        <v>1109004551556.6707</v>
      </c>
      <c r="AW88">
        <f>IF('Calculations PJ'!AW88&lt;&gt;0,'Calculations PJ'!AW88*About!$B$45,0)</f>
        <v>1109004551556.6707</v>
      </c>
      <c r="AX88">
        <f>IF('Calculations PJ'!AX88&lt;&gt;0,'Calculations PJ'!AX88*About!$B$45,0)</f>
        <v>1109004551556.6707</v>
      </c>
      <c r="AY88">
        <f>IF('Calculations PJ'!AY88&lt;&gt;0,'Calculations PJ'!AY88*About!$B$45,0)</f>
        <v>1109004551556.6707</v>
      </c>
      <c r="AZ88">
        <f>IF('Calculations PJ'!AZ88&lt;&gt;0,'Calculations PJ'!AZ88*About!$B$45,0)</f>
        <v>1109004551556.6707</v>
      </c>
      <c r="BA88">
        <f>IF('Calculations PJ'!BA88&lt;&gt;0,'Calculations PJ'!BA88*About!$B$45,0)</f>
        <v>1109004551556.6707</v>
      </c>
      <c r="BB88">
        <f>IF('Calculations PJ'!BB88&lt;&gt;0,'Calculations PJ'!BB88*About!$B$45,0)</f>
        <v>1109004551556.6707</v>
      </c>
      <c r="BC88">
        <f>IF('Calculations PJ'!BC88&lt;&gt;0,'Calculations PJ'!BC88*About!$B$45,0)</f>
        <v>1109004551556.6707</v>
      </c>
      <c r="BD88">
        <f>IF('Calculations PJ'!BD88&lt;&gt;0,'Calculations PJ'!BD88*About!$B$45,0)</f>
        <v>1109004551556.6707</v>
      </c>
      <c r="BE88">
        <f>IF('Calculations PJ'!BE88&lt;&gt;0,'Calculations PJ'!BE88*About!$B$45,0)</f>
        <v>1109004551556.6707</v>
      </c>
      <c r="BF88">
        <f>IF('Calculations PJ'!BF88&lt;&gt;0,'Calculations PJ'!BF88*About!$B$45,0)</f>
        <v>1109004551556.6707</v>
      </c>
      <c r="BG88">
        <f>IF('Calculations PJ'!BG88&lt;&gt;0,'Calculations PJ'!BG88*About!$B$45,0)</f>
        <v>1109004551556.6707</v>
      </c>
      <c r="BH88">
        <f>IF('Calculations PJ'!BH88&lt;&gt;0,'Calculations PJ'!BH88*About!$B$45,0)</f>
        <v>1109004551556.6707</v>
      </c>
    </row>
    <row r="89" spans="2:60" hidden="1" outlineLevel="1">
      <c r="B89" t="s">
        <v>134</v>
      </c>
      <c r="C89">
        <f>IF('Calculations PJ'!C89&lt;&gt;0,'Calculations PJ'!C89*About!$B$45,0)</f>
        <v>0</v>
      </c>
      <c r="D89">
        <f>IF('Calculations PJ'!D89&lt;&gt;0,'Calculations PJ'!D89*About!$B$45,0)</f>
        <v>0</v>
      </c>
      <c r="E89">
        <f>IF('Calculations PJ'!E89&lt;&gt;0,'Calculations PJ'!E89*About!$B$45,0)</f>
        <v>0</v>
      </c>
      <c r="F89">
        <f>IF('Calculations PJ'!F89&lt;&gt;0,'Calculations PJ'!F89*About!$B$45,0)</f>
        <v>0</v>
      </c>
      <c r="G89">
        <f>IF('Calculations PJ'!G89&lt;&gt;0,'Calculations PJ'!G89*About!$B$45,0)</f>
        <v>0</v>
      </c>
      <c r="H89">
        <f>IF('Calculations PJ'!H89&lt;&gt;0,'Calculations PJ'!H89*About!$B$45,0)</f>
        <v>0</v>
      </c>
      <c r="I89">
        <f>IF('Calculations PJ'!I89&lt;&gt;0,'Calculations PJ'!I89*About!$B$45,0)</f>
        <v>0</v>
      </c>
      <c r="J89">
        <f>IF('Calculations PJ'!J89&lt;&gt;0,'Calculations PJ'!J89*About!$B$45,0)</f>
        <v>0</v>
      </c>
      <c r="K89">
        <f>IF('Calculations PJ'!K89&lt;&gt;0,'Calculations PJ'!K89*About!$B$45,0)</f>
        <v>0</v>
      </c>
      <c r="L89">
        <f>IF('Calculations PJ'!L89&lt;&gt;0,'Calculations PJ'!L89*About!$B$45,0)</f>
        <v>0</v>
      </c>
      <c r="M89">
        <f>IF('Calculations PJ'!M89&lt;&gt;0,'Calculations PJ'!M89*About!$B$45,0)</f>
        <v>0</v>
      </c>
      <c r="N89">
        <f>IF('Calculations PJ'!N89&lt;&gt;0,'Calculations PJ'!N89*About!$B$45,0)</f>
        <v>0</v>
      </c>
      <c r="O89">
        <f>IF('Calculations PJ'!O89&lt;&gt;0,'Calculations PJ'!O89*About!$B$45,0)</f>
        <v>0</v>
      </c>
      <c r="P89">
        <f>IF('Calculations PJ'!P89&lt;&gt;0,'Calculations PJ'!P89*About!$B$45,0)</f>
        <v>0</v>
      </c>
      <c r="Q89">
        <f>IF('Calculations PJ'!Q89&lt;&gt;0,'Calculations PJ'!Q89*About!$B$45,0)</f>
        <v>0</v>
      </c>
      <c r="R89">
        <f>IF('Calculations PJ'!R89&lt;&gt;0,'Calculations PJ'!R89*About!$B$45,0)</f>
        <v>0</v>
      </c>
      <c r="S89">
        <f>IF('Calculations PJ'!S89&lt;&gt;0,'Calculations PJ'!S89*About!$B$45,0)</f>
        <v>0</v>
      </c>
      <c r="T89">
        <f>IF('Calculations PJ'!T89&lt;&gt;0,'Calculations PJ'!T89*About!$B$45,0)</f>
        <v>0</v>
      </c>
      <c r="U89">
        <f>IF('Calculations PJ'!U89&lt;&gt;0,'Calculations PJ'!U89*About!$B$45,0)</f>
        <v>0</v>
      </c>
      <c r="V89">
        <f>IF('Calculations PJ'!V89&lt;&gt;0,'Calculations PJ'!V89*About!$B$45,0)</f>
        <v>0</v>
      </c>
      <c r="W89">
        <f>IF('Calculations PJ'!W89&lt;&gt;0,'Calculations PJ'!W89*About!$B$45,0)</f>
        <v>0</v>
      </c>
      <c r="X89">
        <f>IF('Calculations PJ'!X89&lt;&gt;0,'Calculations PJ'!X89*About!$B$45,0)</f>
        <v>0</v>
      </c>
      <c r="Y89">
        <f>IF('Calculations PJ'!Y89&lt;&gt;0,'Calculations PJ'!Y89*About!$B$45,0)</f>
        <v>0</v>
      </c>
      <c r="Z89">
        <f>IF('Calculations PJ'!Z89&lt;&gt;0,'Calculations PJ'!Z89*About!$B$45,0)</f>
        <v>0</v>
      </c>
      <c r="AA89">
        <f>IF('Calculations PJ'!AA89&lt;&gt;0,'Calculations PJ'!AA89*About!$B$45,0)</f>
        <v>0</v>
      </c>
      <c r="AB89">
        <f>IF('Calculations PJ'!AB89&lt;&gt;0,'Calculations PJ'!AB89*About!$B$45,0)</f>
        <v>0</v>
      </c>
      <c r="AC89">
        <f>IF('Calculations PJ'!AC89&lt;&gt;0,'Calculations PJ'!AC89*About!$B$45,0)</f>
        <v>0</v>
      </c>
      <c r="AD89">
        <f>IF('Calculations PJ'!AD89&lt;&gt;0,'Calculations PJ'!AD89*About!$B$45,0)</f>
        <v>0</v>
      </c>
      <c r="AE89">
        <f>IF('Calculations PJ'!AE89&lt;&gt;0,'Calculations PJ'!AE89*About!$B$45,0)</f>
        <v>0</v>
      </c>
      <c r="AF89">
        <f>IF('Calculations PJ'!AF89&lt;&gt;0,'Calculations PJ'!AF89*About!$B$45,0)</f>
        <v>0</v>
      </c>
      <c r="AG89">
        <f>IF('Calculations PJ'!AG89&lt;&gt;0,'Calculations PJ'!AG89*About!$B$45,0)</f>
        <v>0</v>
      </c>
      <c r="AH89">
        <f>IF('Calculations PJ'!AH89&lt;&gt;0,'Calculations PJ'!AH89*About!$B$45,0)</f>
        <v>0</v>
      </c>
      <c r="AI89">
        <f>IF('Calculations PJ'!AI89&lt;&gt;0,'Calculations PJ'!AI89*About!$B$45,0)</f>
        <v>0</v>
      </c>
      <c r="AJ89">
        <f>IF('Calculations PJ'!AJ89&lt;&gt;0,'Calculations PJ'!AJ89*About!$B$45,0)</f>
        <v>0</v>
      </c>
      <c r="AK89">
        <f>IF('Calculations PJ'!AK89&lt;&gt;0,'Calculations PJ'!AK89*About!$B$45,0)</f>
        <v>0</v>
      </c>
      <c r="AL89">
        <f>IF('Calculations PJ'!AL89&lt;&gt;0,'Calculations PJ'!AL89*About!$B$45,0)</f>
        <v>0</v>
      </c>
      <c r="AM89">
        <f>IF('Calculations PJ'!AM89&lt;&gt;0,'Calculations PJ'!AM89*About!$B$45,0)</f>
        <v>0</v>
      </c>
      <c r="AN89">
        <f>IF('Calculations PJ'!AN89&lt;&gt;0,'Calculations PJ'!AN89*About!$B$45,0)</f>
        <v>0</v>
      </c>
      <c r="AO89">
        <f>IF('Calculations PJ'!AO89&lt;&gt;0,'Calculations PJ'!AO89*About!$B$45,0)</f>
        <v>0</v>
      </c>
      <c r="AP89">
        <f>IF('Calculations PJ'!AP89&lt;&gt;0,'Calculations PJ'!AP89*About!$B$45,0)</f>
        <v>0</v>
      </c>
      <c r="AQ89">
        <f>IF('Calculations PJ'!AQ89&lt;&gt;0,'Calculations PJ'!AQ89*About!$B$45,0)</f>
        <v>0</v>
      </c>
      <c r="AR89">
        <f>IF('Calculations PJ'!AR89&lt;&gt;0,'Calculations PJ'!AR89*About!$B$45,0)</f>
        <v>0</v>
      </c>
      <c r="AS89">
        <f>IF('Calculations PJ'!AS89&lt;&gt;0,'Calculations PJ'!AS89*About!$B$45,0)</f>
        <v>0</v>
      </c>
      <c r="AT89">
        <f>IF('Calculations PJ'!AT89&lt;&gt;0,'Calculations PJ'!AT89*About!$B$45,0)</f>
        <v>0</v>
      </c>
      <c r="AU89">
        <f>IF('Calculations PJ'!AU89&lt;&gt;0,'Calculations PJ'!AU89*About!$B$45,0)</f>
        <v>0</v>
      </c>
      <c r="AV89">
        <f>IF('Calculations PJ'!AV89&lt;&gt;0,'Calculations PJ'!AV89*About!$B$45,0)</f>
        <v>0</v>
      </c>
      <c r="AW89">
        <f>IF('Calculations PJ'!AW89&lt;&gt;0,'Calculations PJ'!AW89*About!$B$45,0)</f>
        <v>0</v>
      </c>
      <c r="AX89">
        <f>IF('Calculations PJ'!AX89&lt;&gt;0,'Calculations PJ'!AX89*About!$B$45,0)</f>
        <v>0</v>
      </c>
      <c r="AY89">
        <f>IF('Calculations PJ'!AY89&lt;&gt;0,'Calculations PJ'!AY89*About!$B$45,0)</f>
        <v>0</v>
      </c>
      <c r="AZ89">
        <f>IF('Calculations PJ'!AZ89&lt;&gt;0,'Calculations PJ'!AZ89*About!$B$45,0)</f>
        <v>0</v>
      </c>
      <c r="BA89">
        <f>IF('Calculations PJ'!BA89&lt;&gt;0,'Calculations PJ'!BA89*About!$B$45,0)</f>
        <v>0</v>
      </c>
      <c r="BB89">
        <f>IF('Calculations PJ'!BB89&lt;&gt;0,'Calculations PJ'!BB89*About!$B$45,0)</f>
        <v>0</v>
      </c>
      <c r="BC89">
        <f>IF('Calculations PJ'!BC89&lt;&gt;0,'Calculations PJ'!BC89*About!$B$45,0)</f>
        <v>0</v>
      </c>
      <c r="BD89">
        <f>IF('Calculations PJ'!BD89&lt;&gt;0,'Calculations PJ'!BD89*About!$B$45,0)</f>
        <v>0</v>
      </c>
      <c r="BE89">
        <f>IF('Calculations PJ'!BE89&lt;&gt;0,'Calculations PJ'!BE89*About!$B$45,0)</f>
        <v>0</v>
      </c>
      <c r="BF89">
        <f>IF('Calculations PJ'!BF89&lt;&gt;0,'Calculations PJ'!BF89*About!$B$45,0)</f>
        <v>0</v>
      </c>
      <c r="BG89">
        <f>IF('Calculations PJ'!BG89&lt;&gt;0,'Calculations PJ'!BG89*About!$B$45,0)</f>
        <v>0</v>
      </c>
      <c r="BH89">
        <f>IF('Calculations PJ'!BH89&lt;&gt;0,'Calculations PJ'!BH89*About!$B$45,0)</f>
        <v>0</v>
      </c>
    </row>
    <row r="90" spans="2:60" hidden="1" outlineLevel="1">
      <c r="B90" t="s">
        <v>135</v>
      </c>
      <c r="C90">
        <f>IF('Calculations PJ'!C90&lt;&gt;0,'Calculations PJ'!C90*About!$B$45,0)</f>
        <v>3981041979947.0229</v>
      </c>
      <c r="D90">
        <f>IF('Calculations PJ'!D90&lt;&gt;0,'Calculations PJ'!D90*About!$B$45,0)</f>
        <v>3962084637185.3701</v>
      </c>
      <c r="E90">
        <f>IF('Calculations PJ'!E90&lt;&gt;0,'Calculations PJ'!E90*About!$B$45,0)</f>
        <v>3876776594757.9341</v>
      </c>
      <c r="F90">
        <f>IF('Calculations PJ'!F90&lt;&gt;0,'Calculations PJ'!F90*About!$B$45,0)</f>
        <v>3706160509903.062</v>
      </c>
      <c r="G90">
        <f>IF('Calculations PJ'!G90&lt;&gt;0,'Calculations PJ'!G90*About!$B$45,0)</f>
        <v>3658767152998.9307</v>
      </c>
      <c r="H90">
        <f>IF('Calculations PJ'!H90&lt;&gt;0,'Calculations PJ'!H90*About!$B$45,0)</f>
        <v>3535544425048.1895</v>
      </c>
      <c r="I90">
        <f>IF('Calculations PJ'!I90&lt;&gt;0,'Calculations PJ'!I90*About!$B$45,0)</f>
        <v>3478672396763.2319</v>
      </c>
      <c r="J90">
        <f>IF('Calculations PJ'!J90&lt;&gt;0,'Calculations PJ'!J90*About!$B$45,0)</f>
        <v>2853080085628.6997</v>
      </c>
      <c r="K90">
        <f>IF('Calculations PJ'!K90&lt;&gt;0,'Calculations PJ'!K90*About!$B$45,0)</f>
        <v>2815165400105.395</v>
      </c>
      <c r="L90">
        <f>IF('Calculations PJ'!L90&lt;&gt;0,'Calculations PJ'!L90*About!$B$45,0)</f>
        <v>2824644071486.2212</v>
      </c>
      <c r="M90">
        <f>IF('Calculations PJ'!M90&lt;&gt;0,'Calculations PJ'!M90*About!$B$45,0)</f>
        <v>2815165400105.395</v>
      </c>
      <c r="N90">
        <f>IF('Calculations PJ'!N90&lt;&gt;0,'Calculations PJ'!N90*About!$B$45,0)</f>
        <v>2805686728724.5684</v>
      </c>
      <c r="O90">
        <f>IF('Calculations PJ'!O90&lt;&gt;0,'Calculations PJ'!O90*About!$B$45,0)</f>
        <v>2796208057343.7427</v>
      </c>
      <c r="P90">
        <f>IF('Calculations PJ'!P90&lt;&gt;0,'Calculations PJ'!P90*About!$B$45,0)</f>
        <v>2786729385962.916</v>
      </c>
      <c r="Q90">
        <f>IF('Calculations PJ'!Q90&lt;&gt;0,'Calculations PJ'!Q90*About!$B$45,0)</f>
        <v>2777250714582.0898</v>
      </c>
      <c r="R90">
        <f>IF('Calculations PJ'!R90&lt;&gt;0,'Calculations PJ'!R90*About!$B$45,0)</f>
        <v>2777250714582.0898</v>
      </c>
      <c r="S90">
        <f>IF('Calculations PJ'!S90&lt;&gt;0,'Calculations PJ'!S90*About!$B$45,0)</f>
        <v>2767772043201.2637</v>
      </c>
      <c r="T90">
        <f>IF('Calculations PJ'!T90&lt;&gt;0,'Calculations PJ'!T90*About!$B$45,0)</f>
        <v>2758293371820.4375</v>
      </c>
      <c r="U90">
        <f>IF('Calculations PJ'!U90&lt;&gt;0,'Calculations PJ'!U90*About!$B$45,0)</f>
        <v>2748814700439.6108</v>
      </c>
      <c r="V90">
        <f>IF('Calculations PJ'!V90&lt;&gt;0,'Calculations PJ'!V90*About!$B$45,0)</f>
        <v>2739336029058.7852</v>
      </c>
      <c r="W90">
        <f>IF('Calculations PJ'!W90&lt;&gt;0,'Calculations PJ'!W90*About!$B$45,0)</f>
        <v>2729857357677.9585</v>
      </c>
      <c r="X90">
        <f>IF('Calculations PJ'!X90&lt;&gt;0,'Calculations PJ'!X90*About!$B$45,0)</f>
        <v>2720378686297.1323</v>
      </c>
      <c r="Y90">
        <f>IF('Calculations PJ'!Y90&lt;&gt;0,'Calculations PJ'!Y90*About!$B$45,0)</f>
        <v>2720378686297.1323</v>
      </c>
      <c r="Z90">
        <f>IF('Calculations PJ'!Z90&lt;&gt;0,'Calculations PJ'!Z90*About!$B$45,0)</f>
        <v>2710900014916.3062</v>
      </c>
      <c r="AA90">
        <f>IF('Calculations PJ'!AA90&lt;&gt;0,'Calculations PJ'!AA90*About!$B$45,0)</f>
        <v>2701421343535.48</v>
      </c>
      <c r="AB90">
        <f>IF('Calculations PJ'!AB90&lt;&gt;0,'Calculations PJ'!AB90*About!$B$45,0)</f>
        <v>2691942672154.6533</v>
      </c>
      <c r="AC90">
        <f>IF('Calculations PJ'!AC90&lt;&gt;0,'Calculations PJ'!AC90*About!$B$45,0)</f>
        <v>2682464000773.8276</v>
      </c>
      <c r="AD90">
        <f>IF('Calculations PJ'!AD90&lt;&gt;0,'Calculations PJ'!AD90*About!$B$45,0)</f>
        <v>2672985329393.001</v>
      </c>
      <c r="AE90">
        <f>IF('Calculations PJ'!AE90&lt;&gt;0,'Calculations PJ'!AE90*About!$B$45,0)</f>
        <v>2663506658012.1748</v>
      </c>
      <c r="AF90">
        <f>IF('Calculations PJ'!AF90&lt;&gt;0,'Calculations PJ'!AF90*About!$B$45,0)</f>
        <v>2663506658012.1748</v>
      </c>
      <c r="AG90">
        <f>IF('Calculations PJ'!AG90&lt;&gt;0,'Calculations PJ'!AG90*About!$B$45,0)</f>
        <v>2654027986631.3486</v>
      </c>
      <c r="AH90">
        <f>IF('Calculations PJ'!AH90&lt;&gt;0,'Calculations PJ'!AH90*About!$B$45,0)</f>
        <v>2644549315250.5225</v>
      </c>
      <c r="AI90">
        <f>IF('Calculations PJ'!AI90&lt;&gt;0,'Calculations PJ'!AI90*About!$B$45,0)</f>
        <v>2635070643869.6958</v>
      </c>
      <c r="AJ90">
        <f>IF('Calculations PJ'!AJ90&lt;&gt;0,'Calculations PJ'!AJ90*About!$B$45,0)</f>
        <v>2625591972488.8701</v>
      </c>
      <c r="AK90">
        <f>IF('Calculations PJ'!AK90&lt;&gt;0,'Calculations PJ'!AK90*About!$B$45,0)</f>
        <v>2616113301108.0435</v>
      </c>
      <c r="AL90">
        <f>IF('Calculations PJ'!AL90&lt;&gt;0,'Calculations PJ'!AL90*About!$B$45,0)</f>
        <v>2616113301108.0435</v>
      </c>
      <c r="AM90">
        <f>IF('Calculations PJ'!AM90&lt;&gt;0,'Calculations PJ'!AM90*About!$B$45,0)</f>
        <v>2606634629727.2173</v>
      </c>
      <c r="AN90">
        <f>IF('Calculations PJ'!AN90&lt;&gt;0,'Calculations PJ'!AN90*About!$B$45,0)</f>
        <v>2597155958346.3916</v>
      </c>
      <c r="AO90">
        <f>IF('Calculations PJ'!AO90&lt;&gt;0,'Calculations PJ'!AO90*About!$B$45,0)</f>
        <v>2597155958346.3916</v>
      </c>
      <c r="AP90">
        <f>IF('Calculations PJ'!AP90&lt;&gt;0,'Calculations PJ'!AP90*About!$B$45,0)</f>
        <v>2597155958346.3916</v>
      </c>
      <c r="AQ90">
        <f>IF('Calculations PJ'!AQ90&lt;&gt;0,'Calculations PJ'!AQ90*About!$B$45,0)</f>
        <v>2597155958346.3916</v>
      </c>
      <c r="AR90">
        <f>IF('Calculations PJ'!AR90&lt;&gt;0,'Calculations PJ'!AR90*About!$B$45,0)</f>
        <v>2597155958346.3916</v>
      </c>
      <c r="AS90">
        <f>IF('Calculations PJ'!AS90&lt;&gt;0,'Calculations PJ'!AS90*About!$B$45,0)</f>
        <v>2597155958346.3916</v>
      </c>
      <c r="AT90">
        <f>IF('Calculations PJ'!AT90&lt;&gt;0,'Calculations PJ'!AT90*About!$B$45,0)</f>
        <v>2597155958346.3916</v>
      </c>
      <c r="AU90">
        <f>IF('Calculations PJ'!AU90&lt;&gt;0,'Calculations PJ'!AU90*About!$B$45,0)</f>
        <v>2597155958346.3916</v>
      </c>
      <c r="AV90">
        <f>IF('Calculations PJ'!AV90&lt;&gt;0,'Calculations PJ'!AV90*About!$B$45,0)</f>
        <v>2597155958346.3916</v>
      </c>
      <c r="AW90">
        <f>IF('Calculations PJ'!AW90&lt;&gt;0,'Calculations PJ'!AW90*About!$B$45,0)</f>
        <v>2597155958346.3916</v>
      </c>
      <c r="AX90">
        <f>IF('Calculations PJ'!AX90&lt;&gt;0,'Calculations PJ'!AX90*About!$B$45,0)</f>
        <v>2597155958346.3916</v>
      </c>
      <c r="AY90">
        <f>IF('Calculations PJ'!AY90&lt;&gt;0,'Calculations PJ'!AY90*About!$B$45,0)</f>
        <v>2597155958346.3916</v>
      </c>
      <c r="AZ90">
        <f>IF('Calculations PJ'!AZ90&lt;&gt;0,'Calculations PJ'!AZ90*About!$B$45,0)</f>
        <v>2597155958346.3916</v>
      </c>
      <c r="BA90">
        <f>IF('Calculations PJ'!BA90&lt;&gt;0,'Calculations PJ'!BA90*About!$B$45,0)</f>
        <v>2597155958346.3916</v>
      </c>
      <c r="BB90">
        <f>IF('Calculations PJ'!BB90&lt;&gt;0,'Calculations PJ'!BB90*About!$B$45,0)</f>
        <v>2597155958346.3916</v>
      </c>
      <c r="BC90">
        <f>IF('Calculations PJ'!BC90&lt;&gt;0,'Calculations PJ'!BC90*About!$B$45,0)</f>
        <v>2597155958346.3916</v>
      </c>
      <c r="BD90">
        <f>IF('Calculations PJ'!BD90&lt;&gt;0,'Calculations PJ'!BD90*About!$B$45,0)</f>
        <v>2597155958346.3916</v>
      </c>
      <c r="BE90">
        <f>IF('Calculations PJ'!BE90&lt;&gt;0,'Calculations PJ'!BE90*About!$B$45,0)</f>
        <v>2597155958346.3916</v>
      </c>
      <c r="BF90">
        <f>IF('Calculations PJ'!BF90&lt;&gt;0,'Calculations PJ'!BF90*About!$B$45,0)</f>
        <v>2597155958346.3916</v>
      </c>
      <c r="BG90">
        <f>IF('Calculations PJ'!BG90&lt;&gt;0,'Calculations PJ'!BG90*About!$B$45,0)</f>
        <v>2597155958346.3916</v>
      </c>
      <c r="BH90">
        <f>IF('Calculations PJ'!BH90&lt;&gt;0,'Calculations PJ'!BH90*About!$B$45,0)</f>
        <v>2597155958346.3916</v>
      </c>
    </row>
    <row r="91" spans="2:60" hidden="1" outlineLevel="1">
      <c r="B91" t="s">
        <v>136</v>
      </c>
      <c r="C91">
        <f>IF('Calculations PJ'!C91&lt;&gt;0,'Calculations PJ'!C91*About!$B$45,0)</f>
        <v>1838862247880.2915</v>
      </c>
      <c r="D91">
        <f>IF('Calculations PJ'!D91&lt;&gt;0,'Calculations PJ'!D91*About!$B$45,0)</f>
        <v>1933648961688.554</v>
      </c>
      <c r="E91">
        <f>IF('Calculations PJ'!E91&lt;&gt;0,'Calculations PJ'!E91*About!$B$45,0)</f>
        <v>2037914346877.6426</v>
      </c>
      <c r="F91">
        <f>IF('Calculations PJ'!F91&lt;&gt;0,'Calculations PJ'!F91*About!$B$45,0)</f>
        <v>2075829032400.9475</v>
      </c>
      <c r="G91">
        <f>IF('Calculations PJ'!G91&lt;&gt;0,'Calculations PJ'!G91*About!$B$45,0)</f>
        <v>1971563647211.8591</v>
      </c>
      <c r="H91">
        <f>IF('Calculations PJ'!H91&lt;&gt;0,'Calculations PJ'!H91*About!$B$45,0)</f>
        <v>1990520989973.5115</v>
      </c>
      <c r="I91">
        <f>IF('Calculations PJ'!I91&lt;&gt;0,'Calculations PJ'!I91*About!$B$45,0)</f>
        <v>2189573088970.8628</v>
      </c>
      <c r="J91">
        <f>IF('Calculations PJ'!J91&lt;&gt;0,'Calculations PJ'!J91*About!$B$45,0)</f>
        <v>1905212947546.075</v>
      </c>
      <c r="K91">
        <f>IF('Calculations PJ'!K91&lt;&gt;0,'Calculations PJ'!K91*About!$B$45,0)</f>
        <v>1658767491644.5928</v>
      </c>
      <c r="L91">
        <f>IF('Calculations PJ'!L91&lt;&gt;0,'Calculations PJ'!L91*About!$B$45,0)</f>
        <v>1687203505787.0718</v>
      </c>
      <c r="M91">
        <f>IF('Calculations PJ'!M91&lt;&gt;0,'Calculations PJ'!M91*About!$B$45,0)</f>
        <v>1715639519929.5505</v>
      </c>
      <c r="N91">
        <f>IF('Calculations PJ'!N91&lt;&gt;0,'Calculations PJ'!N91*About!$B$45,0)</f>
        <v>1744075534072.0293</v>
      </c>
      <c r="O91">
        <f>IF('Calculations PJ'!O91&lt;&gt;0,'Calculations PJ'!O91*About!$B$45,0)</f>
        <v>1772511548214.5081</v>
      </c>
      <c r="P91">
        <f>IF('Calculations PJ'!P91&lt;&gt;0,'Calculations PJ'!P91*About!$B$45,0)</f>
        <v>1800947562356.9866</v>
      </c>
      <c r="Q91">
        <f>IF('Calculations PJ'!Q91&lt;&gt;0,'Calculations PJ'!Q91*About!$B$45,0)</f>
        <v>1829383576499.4653</v>
      </c>
      <c r="R91">
        <f>IF('Calculations PJ'!R91&lt;&gt;0,'Calculations PJ'!R91*About!$B$45,0)</f>
        <v>1867298262022.7703</v>
      </c>
      <c r="S91">
        <f>IF('Calculations PJ'!S91&lt;&gt;0,'Calculations PJ'!S91*About!$B$45,0)</f>
        <v>1895734276165.249</v>
      </c>
      <c r="T91">
        <f>IF('Calculations PJ'!T91&lt;&gt;0,'Calculations PJ'!T91*About!$B$45,0)</f>
        <v>1924170290307.7275</v>
      </c>
      <c r="U91">
        <f>IF('Calculations PJ'!U91&lt;&gt;0,'Calculations PJ'!U91*About!$B$45,0)</f>
        <v>1952606304450.2065</v>
      </c>
      <c r="V91">
        <f>IF('Calculations PJ'!V91&lt;&gt;0,'Calculations PJ'!V91*About!$B$45,0)</f>
        <v>1981042318592.6851</v>
      </c>
      <c r="W91">
        <f>IF('Calculations PJ'!W91&lt;&gt;0,'Calculations PJ'!W91*About!$B$45,0)</f>
        <v>2009478332735.1641</v>
      </c>
      <c r="X91">
        <f>IF('Calculations PJ'!X91&lt;&gt;0,'Calculations PJ'!X91*About!$B$45,0)</f>
        <v>2047393018258.469</v>
      </c>
      <c r="Y91">
        <f>IF('Calculations PJ'!Y91&lt;&gt;0,'Calculations PJ'!Y91*About!$B$45,0)</f>
        <v>2075829032400.9475</v>
      </c>
      <c r="Z91">
        <f>IF('Calculations PJ'!Z91&lt;&gt;0,'Calculations PJ'!Z91*About!$B$45,0)</f>
        <v>2104265046543.4265</v>
      </c>
      <c r="AA91">
        <f>IF('Calculations PJ'!AA91&lt;&gt;0,'Calculations PJ'!AA91*About!$B$45,0)</f>
        <v>2132701060685.9053</v>
      </c>
      <c r="AB91">
        <f>IF('Calculations PJ'!AB91&lt;&gt;0,'Calculations PJ'!AB91*About!$B$45,0)</f>
        <v>2161137074828.3838</v>
      </c>
      <c r="AC91">
        <f>IF('Calculations PJ'!AC91&lt;&gt;0,'Calculations PJ'!AC91*About!$B$45,0)</f>
        <v>2189573088970.8628</v>
      </c>
      <c r="AD91">
        <f>IF('Calculations PJ'!AD91&lt;&gt;0,'Calculations PJ'!AD91*About!$B$45,0)</f>
        <v>2227487774494.1675</v>
      </c>
      <c r="AE91">
        <f>IF('Calculations PJ'!AE91&lt;&gt;0,'Calculations PJ'!AE91*About!$B$45,0)</f>
        <v>2255923788636.646</v>
      </c>
      <c r="AF91">
        <f>IF('Calculations PJ'!AF91&lt;&gt;0,'Calculations PJ'!AF91*About!$B$45,0)</f>
        <v>2284359802779.125</v>
      </c>
      <c r="AG91">
        <f>IF('Calculations PJ'!AG91&lt;&gt;0,'Calculations PJ'!AG91*About!$B$45,0)</f>
        <v>2312795816921.6035</v>
      </c>
      <c r="AH91">
        <f>IF('Calculations PJ'!AH91&lt;&gt;0,'Calculations PJ'!AH91*About!$B$45,0)</f>
        <v>2341231831064.0825</v>
      </c>
      <c r="AI91">
        <f>IF('Calculations PJ'!AI91&lt;&gt;0,'Calculations PJ'!AI91*About!$B$45,0)</f>
        <v>2369667845206.5615</v>
      </c>
      <c r="AJ91">
        <f>IF('Calculations PJ'!AJ91&lt;&gt;0,'Calculations PJ'!AJ91*About!$B$45,0)</f>
        <v>2407582530729.8662</v>
      </c>
      <c r="AK91">
        <f>IF('Calculations PJ'!AK91&lt;&gt;0,'Calculations PJ'!AK91*About!$B$45,0)</f>
        <v>2436018544872.3447</v>
      </c>
      <c r="AL91">
        <f>IF('Calculations PJ'!AL91&lt;&gt;0,'Calculations PJ'!AL91*About!$B$45,0)</f>
        <v>2464454559014.8237</v>
      </c>
      <c r="AM91">
        <f>IF('Calculations PJ'!AM91&lt;&gt;0,'Calculations PJ'!AM91*About!$B$45,0)</f>
        <v>2492890573157.3022</v>
      </c>
      <c r="AN91">
        <f>IF('Calculations PJ'!AN91&lt;&gt;0,'Calculations PJ'!AN91*About!$B$45,0)</f>
        <v>2521326587299.7813</v>
      </c>
      <c r="AO91">
        <f>IF('Calculations PJ'!AO91&lt;&gt;0,'Calculations PJ'!AO91*About!$B$45,0)</f>
        <v>2521326587299.7813</v>
      </c>
      <c r="AP91">
        <f>IF('Calculations PJ'!AP91&lt;&gt;0,'Calculations PJ'!AP91*About!$B$45,0)</f>
        <v>2521326587299.7813</v>
      </c>
      <c r="AQ91">
        <f>IF('Calculations PJ'!AQ91&lt;&gt;0,'Calculations PJ'!AQ91*About!$B$45,0)</f>
        <v>2521326587299.7813</v>
      </c>
      <c r="AR91">
        <f>IF('Calculations PJ'!AR91&lt;&gt;0,'Calculations PJ'!AR91*About!$B$45,0)</f>
        <v>2521326587299.7813</v>
      </c>
      <c r="AS91">
        <f>IF('Calculations PJ'!AS91&lt;&gt;0,'Calculations PJ'!AS91*About!$B$45,0)</f>
        <v>2521326587299.7813</v>
      </c>
      <c r="AT91">
        <f>IF('Calculations PJ'!AT91&lt;&gt;0,'Calculations PJ'!AT91*About!$B$45,0)</f>
        <v>2521326587299.7813</v>
      </c>
      <c r="AU91">
        <f>IF('Calculations PJ'!AU91&lt;&gt;0,'Calculations PJ'!AU91*About!$B$45,0)</f>
        <v>2521326587299.7813</v>
      </c>
      <c r="AV91">
        <f>IF('Calculations PJ'!AV91&lt;&gt;0,'Calculations PJ'!AV91*About!$B$45,0)</f>
        <v>2521326587299.7813</v>
      </c>
      <c r="AW91">
        <f>IF('Calculations PJ'!AW91&lt;&gt;0,'Calculations PJ'!AW91*About!$B$45,0)</f>
        <v>2521326587299.7813</v>
      </c>
      <c r="AX91">
        <f>IF('Calculations PJ'!AX91&lt;&gt;0,'Calculations PJ'!AX91*About!$B$45,0)</f>
        <v>2521326587299.7813</v>
      </c>
      <c r="AY91">
        <f>IF('Calculations PJ'!AY91&lt;&gt;0,'Calculations PJ'!AY91*About!$B$45,0)</f>
        <v>2521326587299.7813</v>
      </c>
      <c r="AZ91">
        <f>IF('Calculations PJ'!AZ91&lt;&gt;0,'Calculations PJ'!AZ91*About!$B$45,0)</f>
        <v>2521326587299.7813</v>
      </c>
      <c r="BA91">
        <f>IF('Calculations PJ'!BA91&lt;&gt;0,'Calculations PJ'!BA91*About!$B$45,0)</f>
        <v>2521326587299.7813</v>
      </c>
      <c r="BB91">
        <f>IF('Calculations PJ'!BB91&lt;&gt;0,'Calculations PJ'!BB91*About!$B$45,0)</f>
        <v>2521326587299.7813</v>
      </c>
      <c r="BC91">
        <f>IF('Calculations PJ'!BC91&lt;&gt;0,'Calculations PJ'!BC91*About!$B$45,0)</f>
        <v>2521326587299.7813</v>
      </c>
      <c r="BD91">
        <f>IF('Calculations PJ'!BD91&lt;&gt;0,'Calculations PJ'!BD91*About!$B$45,0)</f>
        <v>2521326587299.7813</v>
      </c>
      <c r="BE91">
        <f>IF('Calculations PJ'!BE91&lt;&gt;0,'Calculations PJ'!BE91*About!$B$45,0)</f>
        <v>2521326587299.7813</v>
      </c>
      <c r="BF91">
        <f>IF('Calculations PJ'!BF91&lt;&gt;0,'Calculations PJ'!BF91*About!$B$45,0)</f>
        <v>2521326587299.7813</v>
      </c>
      <c r="BG91">
        <f>IF('Calculations PJ'!BG91&lt;&gt;0,'Calculations PJ'!BG91*About!$B$45,0)</f>
        <v>2521326587299.7813</v>
      </c>
      <c r="BH91">
        <f>IF('Calculations PJ'!BH91&lt;&gt;0,'Calculations PJ'!BH91*About!$B$45,0)</f>
        <v>2521326587299.7813</v>
      </c>
    </row>
    <row r="92" spans="2:60" hidden="1" outlineLevel="1">
      <c r="B92" t="s">
        <v>137</v>
      </c>
      <c r="C92">
        <f>IF('Calculations PJ'!C92&lt;&gt;0,'Calculations PJ'!C92*About!$B$45,0)</f>
        <v>142180070712.39368</v>
      </c>
      <c r="D92">
        <f>IF('Calculations PJ'!D92&lt;&gt;0,'Calculations PJ'!D92*About!$B$45,0)</f>
        <v>151658742093.21994</v>
      </c>
      <c r="E92">
        <f>IF('Calculations PJ'!E92&lt;&gt;0,'Calculations PJ'!E92*About!$B$45,0)</f>
        <v>151658742093.21994</v>
      </c>
      <c r="F92">
        <f>IF('Calculations PJ'!F92&lt;&gt;0,'Calculations PJ'!F92*About!$B$45,0)</f>
        <v>161137413474.04617</v>
      </c>
      <c r="G92">
        <f>IF('Calculations PJ'!G92&lt;&gt;0,'Calculations PJ'!G92*About!$B$45,0)</f>
        <v>161137413474.04617</v>
      </c>
      <c r="H92">
        <f>IF('Calculations PJ'!H92&lt;&gt;0,'Calculations PJ'!H92*About!$B$45,0)</f>
        <v>161137413474.04617</v>
      </c>
      <c r="I92">
        <f>IF('Calculations PJ'!I92&lt;&gt;0,'Calculations PJ'!I92*About!$B$45,0)</f>
        <v>161137413474.04617</v>
      </c>
      <c r="J92">
        <f>IF('Calculations PJ'!J92&lt;&gt;0,'Calculations PJ'!J92*About!$B$45,0)</f>
        <v>151658742093.21994</v>
      </c>
      <c r="K92">
        <f>IF('Calculations PJ'!K92&lt;&gt;0,'Calculations PJ'!K92*About!$B$45,0)</f>
        <v>132701399331.56744</v>
      </c>
      <c r="L92">
        <f>IF('Calculations PJ'!L92&lt;&gt;0,'Calculations PJ'!L92*About!$B$45,0)</f>
        <v>132701399331.56744</v>
      </c>
      <c r="M92">
        <f>IF('Calculations PJ'!M92&lt;&gt;0,'Calculations PJ'!M92*About!$B$45,0)</f>
        <v>132701399331.56744</v>
      </c>
      <c r="N92">
        <f>IF('Calculations PJ'!N92&lt;&gt;0,'Calculations PJ'!N92*About!$B$45,0)</f>
        <v>132701399331.56744</v>
      </c>
      <c r="O92">
        <f>IF('Calculations PJ'!O92&lt;&gt;0,'Calculations PJ'!O92*About!$B$45,0)</f>
        <v>132701399331.56744</v>
      </c>
      <c r="P92">
        <f>IF('Calculations PJ'!P92&lt;&gt;0,'Calculations PJ'!P92*About!$B$45,0)</f>
        <v>132701399331.56744</v>
      </c>
      <c r="Q92">
        <f>IF('Calculations PJ'!Q92&lt;&gt;0,'Calculations PJ'!Q92*About!$B$45,0)</f>
        <v>132701399331.56744</v>
      </c>
      <c r="R92">
        <f>IF('Calculations PJ'!R92&lt;&gt;0,'Calculations PJ'!R92*About!$B$45,0)</f>
        <v>132701399331.56744</v>
      </c>
      <c r="S92">
        <f>IF('Calculations PJ'!S92&lt;&gt;0,'Calculations PJ'!S92*About!$B$45,0)</f>
        <v>132701399331.56744</v>
      </c>
      <c r="T92">
        <f>IF('Calculations PJ'!T92&lt;&gt;0,'Calculations PJ'!T92*About!$B$45,0)</f>
        <v>132701399331.56744</v>
      </c>
      <c r="U92">
        <f>IF('Calculations PJ'!U92&lt;&gt;0,'Calculations PJ'!U92*About!$B$45,0)</f>
        <v>132701399331.56744</v>
      </c>
      <c r="V92">
        <f>IF('Calculations PJ'!V92&lt;&gt;0,'Calculations PJ'!V92*About!$B$45,0)</f>
        <v>132701399331.56744</v>
      </c>
      <c r="W92">
        <f>IF('Calculations PJ'!W92&lt;&gt;0,'Calculations PJ'!W92*About!$B$45,0)</f>
        <v>132701399331.56744</v>
      </c>
      <c r="X92">
        <f>IF('Calculations PJ'!X92&lt;&gt;0,'Calculations PJ'!X92*About!$B$45,0)</f>
        <v>132701399331.56744</v>
      </c>
      <c r="Y92">
        <f>IF('Calculations PJ'!Y92&lt;&gt;0,'Calculations PJ'!Y92*About!$B$45,0)</f>
        <v>132701399331.56744</v>
      </c>
      <c r="Z92">
        <f>IF('Calculations PJ'!Z92&lt;&gt;0,'Calculations PJ'!Z92*About!$B$45,0)</f>
        <v>123222727950.7412</v>
      </c>
      <c r="AA92">
        <f>IF('Calculations PJ'!AA92&lt;&gt;0,'Calculations PJ'!AA92*About!$B$45,0)</f>
        <v>123222727950.7412</v>
      </c>
      <c r="AB92">
        <f>IF('Calculations PJ'!AB92&lt;&gt;0,'Calculations PJ'!AB92*About!$B$45,0)</f>
        <v>123222727950.7412</v>
      </c>
      <c r="AC92">
        <f>IF('Calculations PJ'!AC92&lt;&gt;0,'Calculations PJ'!AC92*About!$B$45,0)</f>
        <v>123222727950.7412</v>
      </c>
      <c r="AD92">
        <f>IF('Calculations PJ'!AD92&lt;&gt;0,'Calculations PJ'!AD92*About!$B$45,0)</f>
        <v>123222727950.7412</v>
      </c>
      <c r="AE92">
        <f>IF('Calculations PJ'!AE92&lt;&gt;0,'Calculations PJ'!AE92*About!$B$45,0)</f>
        <v>123222727950.7412</v>
      </c>
      <c r="AF92">
        <f>IF('Calculations PJ'!AF92&lt;&gt;0,'Calculations PJ'!AF92*About!$B$45,0)</f>
        <v>123222727950.7412</v>
      </c>
      <c r="AG92">
        <f>IF('Calculations PJ'!AG92&lt;&gt;0,'Calculations PJ'!AG92*About!$B$45,0)</f>
        <v>123222727950.7412</v>
      </c>
      <c r="AH92">
        <f>IF('Calculations PJ'!AH92&lt;&gt;0,'Calculations PJ'!AH92*About!$B$45,0)</f>
        <v>123222727950.7412</v>
      </c>
      <c r="AI92">
        <f>IF('Calculations PJ'!AI92&lt;&gt;0,'Calculations PJ'!AI92*About!$B$45,0)</f>
        <v>123222727950.7412</v>
      </c>
      <c r="AJ92">
        <f>IF('Calculations PJ'!AJ92&lt;&gt;0,'Calculations PJ'!AJ92*About!$B$45,0)</f>
        <v>123222727950.7412</v>
      </c>
      <c r="AK92">
        <f>IF('Calculations PJ'!AK92&lt;&gt;0,'Calculations PJ'!AK92*About!$B$45,0)</f>
        <v>123222727950.7412</v>
      </c>
      <c r="AL92">
        <f>IF('Calculations PJ'!AL92&lt;&gt;0,'Calculations PJ'!AL92*About!$B$45,0)</f>
        <v>123222727950.7412</v>
      </c>
      <c r="AM92">
        <f>IF('Calculations PJ'!AM92&lt;&gt;0,'Calculations PJ'!AM92*About!$B$45,0)</f>
        <v>123222727950.7412</v>
      </c>
      <c r="AN92">
        <f>IF('Calculations PJ'!AN92&lt;&gt;0,'Calculations PJ'!AN92*About!$B$45,0)</f>
        <v>123222727950.7412</v>
      </c>
      <c r="AO92">
        <f>IF('Calculations PJ'!AO92&lt;&gt;0,'Calculations PJ'!AO92*About!$B$45,0)</f>
        <v>123222727950.7412</v>
      </c>
      <c r="AP92">
        <f>IF('Calculations PJ'!AP92&lt;&gt;0,'Calculations PJ'!AP92*About!$B$45,0)</f>
        <v>123222727950.7412</v>
      </c>
      <c r="AQ92">
        <f>IF('Calculations PJ'!AQ92&lt;&gt;0,'Calculations PJ'!AQ92*About!$B$45,0)</f>
        <v>123222727950.7412</v>
      </c>
      <c r="AR92">
        <f>IF('Calculations PJ'!AR92&lt;&gt;0,'Calculations PJ'!AR92*About!$B$45,0)</f>
        <v>123222727950.7412</v>
      </c>
      <c r="AS92">
        <f>IF('Calculations PJ'!AS92&lt;&gt;0,'Calculations PJ'!AS92*About!$B$45,0)</f>
        <v>123222727950.7412</v>
      </c>
      <c r="AT92">
        <f>IF('Calculations PJ'!AT92&lt;&gt;0,'Calculations PJ'!AT92*About!$B$45,0)</f>
        <v>123222727950.7412</v>
      </c>
      <c r="AU92">
        <f>IF('Calculations PJ'!AU92&lt;&gt;0,'Calculations PJ'!AU92*About!$B$45,0)</f>
        <v>123222727950.7412</v>
      </c>
      <c r="AV92">
        <f>IF('Calculations PJ'!AV92&lt;&gt;0,'Calculations PJ'!AV92*About!$B$45,0)</f>
        <v>123222727950.7412</v>
      </c>
      <c r="AW92">
        <f>IF('Calculations PJ'!AW92&lt;&gt;0,'Calculations PJ'!AW92*About!$B$45,0)</f>
        <v>123222727950.7412</v>
      </c>
      <c r="AX92">
        <f>IF('Calculations PJ'!AX92&lt;&gt;0,'Calculations PJ'!AX92*About!$B$45,0)</f>
        <v>123222727950.7412</v>
      </c>
      <c r="AY92">
        <f>IF('Calculations PJ'!AY92&lt;&gt;0,'Calculations PJ'!AY92*About!$B$45,0)</f>
        <v>123222727950.7412</v>
      </c>
      <c r="AZ92">
        <f>IF('Calculations PJ'!AZ92&lt;&gt;0,'Calculations PJ'!AZ92*About!$B$45,0)</f>
        <v>123222727950.7412</v>
      </c>
      <c r="BA92">
        <f>IF('Calculations PJ'!BA92&lt;&gt;0,'Calculations PJ'!BA92*About!$B$45,0)</f>
        <v>123222727950.7412</v>
      </c>
      <c r="BB92">
        <f>IF('Calculations PJ'!BB92&lt;&gt;0,'Calculations PJ'!BB92*About!$B$45,0)</f>
        <v>123222727950.7412</v>
      </c>
      <c r="BC92">
        <f>IF('Calculations PJ'!BC92&lt;&gt;0,'Calculations PJ'!BC92*About!$B$45,0)</f>
        <v>123222727950.7412</v>
      </c>
      <c r="BD92">
        <f>IF('Calculations PJ'!BD92&lt;&gt;0,'Calculations PJ'!BD92*About!$B$45,0)</f>
        <v>123222727950.7412</v>
      </c>
      <c r="BE92">
        <f>IF('Calculations PJ'!BE92&lt;&gt;0,'Calculations PJ'!BE92*About!$B$45,0)</f>
        <v>123222727950.7412</v>
      </c>
      <c r="BF92">
        <f>IF('Calculations PJ'!BF92&lt;&gt;0,'Calculations PJ'!BF92*About!$B$45,0)</f>
        <v>123222727950.7412</v>
      </c>
      <c r="BG92">
        <f>IF('Calculations PJ'!BG92&lt;&gt;0,'Calculations PJ'!BG92*About!$B$45,0)</f>
        <v>123222727950.7412</v>
      </c>
      <c r="BH92">
        <f>IF('Calculations PJ'!BH92&lt;&gt;0,'Calculations PJ'!BH92*About!$B$45,0)</f>
        <v>123222727950.7412</v>
      </c>
    </row>
    <row r="93" spans="2:60" hidden="1" outlineLevel="1">
      <c r="B93" t="s">
        <v>138</v>
      </c>
      <c r="C93">
        <f>IF('Calculations PJ'!C93&lt;&gt;0,'Calculations PJ'!C93*About!$B$45,0)</f>
        <v>255924127282.30862</v>
      </c>
      <c r="D93">
        <f>IF('Calculations PJ'!D93&lt;&gt;0,'Calculations PJ'!D93*About!$B$45,0)</f>
        <v>218009441759.00366</v>
      </c>
      <c r="E93">
        <f>IF('Calculations PJ'!E93&lt;&gt;0,'Calculations PJ'!E93*About!$B$45,0)</f>
        <v>227488113139.82986</v>
      </c>
      <c r="F93">
        <f>IF('Calculations PJ'!F93&lt;&gt;0,'Calculations PJ'!F93*About!$B$45,0)</f>
        <v>94786713808.262451</v>
      </c>
      <c r="G93">
        <f>IF('Calculations PJ'!G93&lt;&gt;0,'Calculations PJ'!G93*About!$B$45,0)</f>
        <v>94786713808.262451</v>
      </c>
      <c r="H93">
        <f>IF('Calculations PJ'!H93&lt;&gt;0,'Calculations PJ'!H93*About!$B$45,0)</f>
        <v>104265385189.0887</v>
      </c>
      <c r="I93">
        <f>IF('Calculations PJ'!I93&lt;&gt;0,'Calculations PJ'!I93*About!$B$45,0)</f>
        <v>104265385189.0887</v>
      </c>
      <c r="J93">
        <f>IF('Calculations PJ'!J93&lt;&gt;0,'Calculations PJ'!J93*About!$B$45,0)</f>
        <v>94786713808.262451</v>
      </c>
      <c r="K93">
        <f>IF('Calculations PJ'!K93&lt;&gt;0,'Calculations PJ'!K93*About!$B$45,0)</f>
        <v>85308042427.436203</v>
      </c>
      <c r="L93">
        <f>IF('Calculations PJ'!L93&lt;&gt;0,'Calculations PJ'!L93*About!$B$45,0)</f>
        <v>85308042427.436203</v>
      </c>
      <c r="M93">
        <f>IF('Calculations PJ'!M93&lt;&gt;0,'Calculations PJ'!M93*About!$B$45,0)</f>
        <v>85308042427.436203</v>
      </c>
      <c r="N93">
        <f>IF('Calculations PJ'!N93&lt;&gt;0,'Calculations PJ'!N93*About!$B$45,0)</f>
        <v>85308042427.436203</v>
      </c>
      <c r="O93">
        <f>IF('Calculations PJ'!O93&lt;&gt;0,'Calculations PJ'!O93*About!$B$45,0)</f>
        <v>85308042427.436203</v>
      </c>
      <c r="P93">
        <f>IF('Calculations PJ'!P93&lt;&gt;0,'Calculations PJ'!P93*About!$B$45,0)</f>
        <v>85308042427.436203</v>
      </c>
      <c r="Q93">
        <f>IF('Calculations PJ'!Q93&lt;&gt;0,'Calculations PJ'!Q93*About!$B$45,0)</f>
        <v>85308042427.436203</v>
      </c>
      <c r="R93">
        <f>IF('Calculations PJ'!R93&lt;&gt;0,'Calculations PJ'!R93*About!$B$45,0)</f>
        <v>85308042427.436203</v>
      </c>
      <c r="S93">
        <f>IF('Calculations PJ'!S93&lt;&gt;0,'Calculations PJ'!S93*About!$B$45,0)</f>
        <v>85308042427.436203</v>
      </c>
      <c r="T93">
        <f>IF('Calculations PJ'!T93&lt;&gt;0,'Calculations PJ'!T93*About!$B$45,0)</f>
        <v>85308042427.436203</v>
      </c>
      <c r="U93">
        <f>IF('Calculations PJ'!U93&lt;&gt;0,'Calculations PJ'!U93*About!$B$45,0)</f>
        <v>85308042427.436203</v>
      </c>
      <c r="V93">
        <f>IF('Calculations PJ'!V93&lt;&gt;0,'Calculations PJ'!V93*About!$B$45,0)</f>
        <v>85308042427.436203</v>
      </c>
      <c r="W93">
        <f>IF('Calculations PJ'!W93&lt;&gt;0,'Calculations PJ'!W93*About!$B$45,0)</f>
        <v>85308042427.436203</v>
      </c>
      <c r="X93">
        <f>IF('Calculations PJ'!X93&lt;&gt;0,'Calculations PJ'!X93*About!$B$45,0)</f>
        <v>85308042427.436203</v>
      </c>
      <c r="Y93">
        <f>IF('Calculations PJ'!Y93&lt;&gt;0,'Calculations PJ'!Y93*About!$B$45,0)</f>
        <v>85308042427.436203</v>
      </c>
      <c r="Z93">
        <f>IF('Calculations PJ'!Z93&lt;&gt;0,'Calculations PJ'!Z93*About!$B$45,0)</f>
        <v>85308042427.436203</v>
      </c>
      <c r="AA93">
        <f>IF('Calculations PJ'!AA93&lt;&gt;0,'Calculations PJ'!AA93*About!$B$45,0)</f>
        <v>85308042427.436203</v>
      </c>
      <c r="AB93">
        <f>IF('Calculations PJ'!AB93&lt;&gt;0,'Calculations PJ'!AB93*About!$B$45,0)</f>
        <v>85308042427.436203</v>
      </c>
      <c r="AC93">
        <f>IF('Calculations PJ'!AC93&lt;&gt;0,'Calculations PJ'!AC93*About!$B$45,0)</f>
        <v>85308042427.436203</v>
      </c>
      <c r="AD93">
        <f>IF('Calculations PJ'!AD93&lt;&gt;0,'Calculations PJ'!AD93*About!$B$45,0)</f>
        <v>85308042427.436203</v>
      </c>
      <c r="AE93">
        <f>IF('Calculations PJ'!AE93&lt;&gt;0,'Calculations PJ'!AE93*About!$B$45,0)</f>
        <v>85308042427.436203</v>
      </c>
      <c r="AF93">
        <f>IF('Calculations PJ'!AF93&lt;&gt;0,'Calculations PJ'!AF93*About!$B$45,0)</f>
        <v>85308042427.436203</v>
      </c>
      <c r="AG93">
        <f>IF('Calculations PJ'!AG93&lt;&gt;0,'Calculations PJ'!AG93*About!$B$45,0)</f>
        <v>75829371046.60997</v>
      </c>
      <c r="AH93">
        <f>IF('Calculations PJ'!AH93&lt;&gt;0,'Calculations PJ'!AH93*About!$B$45,0)</f>
        <v>75829371046.60997</v>
      </c>
      <c r="AI93">
        <f>IF('Calculations PJ'!AI93&lt;&gt;0,'Calculations PJ'!AI93*About!$B$45,0)</f>
        <v>75829371046.60997</v>
      </c>
      <c r="AJ93">
        <f>IF('Calculations PJ'!AJ93&lt;&gt;0,'Calculations PJ'!AJ93*About!$B$45,0)</f>
        <v>75829371046.60997</v>
      </c>
      <c r="AK93">
        <f>IF('Calculations PJ'!AK93&lt;&gt;0,'Calculations PJ'!AK93*About!$B$45,0)</f>
        <v>75829371046.60997</v>
      </c>
      <c r="AL93">
        <f>IF('Calculations PJ'!AL93&lt;&gt;0,'Calculations PJ'!AL93*About!$B$45,0)</f>
        <v>75829371046.60997</v>
      </c>
      <c r="AM93">
        <f>IF('Calculations PJ'!AM93&lt;&gt;0,'Calculations PJ'!AM93*About!$B$45,0)</f>
        <v>75829371046.60997</v>
      </c>
      <c r="AN93">
        <f>IF('Calculations PJ'!AN93&lt;&gt;0,'Calculations PJ'!AN93*About!$B$45,0)</f>
        <v>75829371046.60997</v>
      </c>
      <c r="AO93">
        <f>IF('Calculations PJ'!AO93&lt;&gt;0,'Calculations PJ'!AO93*About!$B$45,0)</f>
        <v>75829371046.60997</v>
      </c>
      <c r="AP93">
        <f>IF('Calculations PJ'!AP93&lt;&gt;0,'Calculations PJ'!AP93*About!$B$45,0)</f>
        <v>75829371046.60997</v>
      </c>
      <c r="AQ93">
        <f>IF('Calculations PJ'!AQ93&lt;&gt;0,'Calculations PJ'!AQ93*About!$B$45,0)</f>
        <v>75829371046.60997</v>
      </c>
      <c r="AR93">
        <f>IF('Calculations PJ'!AR93&lt;&gt;0,'Calculations PJ'!AR93*About!$B$45,0)</f>
        <v>75829371046.60997</v>
      </c>
      <c r="AS93">
        <f>IF('Calculations PJ'!AS93&lt;&gt;0,'Calculations PJ'!AS93*About!$B$45,0)</f>
        <v>75829371046.60997</v>
      </c>
      <c r="AT93">
        <f>IF('Calculations PJ'!AT93&lt;&gt;0,'Calculations PJ'!AT93*About!$B$45,0)</f>
        <v>75829371046.60997</v>
      </c>
      <c r="AU93">
        <f>IF('Calculations PJ'!AU93&lt;&gt;0,'Calculations PJ'!AU93*About!$B$45,0)</f>
        <v>75829371046.60997</v>
      </c>
      <c r="AV93">
        <f>IF('Calculations PJ'!AV93&lt;&gt;0,'Calculations PJ'!AV93*About!$B$45,0)</f>
        <v>75829371046.60997</v>
      </c>
      <c r="AW93">
        <f>IF('Calculations PJ'!AW93&lt;&gt;0,'Calculations PJ'!AW93*About!$B$45,0)</f>
        <v>75829371046.60997</v>
      </c>
      <c r="AX93">
        <f>IF('Calculations PJ'!AX93&lt;&gt;0,'Calculations PJ'!AX93*About!$B$45,0)</f>
        <v>75829371046.60997</v>
      </c>
      <c r="AY93">
        <f>IF('Calculations PJ'!AY93&lt;&gt;0,'Calculations PJ'!AY93*About!$B$45,0)</f>
        <v>75829371046.60997</v>
      </c>
      <c r="AZ93">
        <f>IF('Calculations PJ'!AZ93&lt;&gt;0,'Calculations PJ'!AZ93*About!$B$45,0)</f>
        <v>75829371046.60997</v>
      </c>
      <c r="BA93">
        <f>IF('Calculations PJ'!BA93&lt;&gt;0,'Calculations PJ'!BA93*About!$B$45,0)</f>
        <v>75829371046.60997</v>
      </c>
      <c r="BB93">
        <f>IF('Calculations PJ'!BB93&lt;&gt;0,'Calculations PJ'!BB93*About!$B$45,0)</f>
        <v>75829371046.60997</v>
      </c>
      <c r="BC93">
        <f>IF('Calculations PJ'!BC93&lt;&gt;0,'Calculations PJ'!BC93*About!$B$45,0)</f>
        <v>75829371046.60997</v>
      </c>
      <c r="BD93">
        <f>IF('Calculations PJ'!BD93&lt;&gt;0,'Calculations PJ'!BD93*About!$B$45,0)</f>
        <v>75829371046.60997</v>
      </c>
      <c r="BE93">
        <f>IF('Calculations PJ'!BE93&lt;&gt;0,'Calculations PJ'!BE93*About!$B$45,0)</f>
        <v>75829371046.60997</v>
      </c>
      <c r="BF93">
        <f>IF('Calculations PJ'!BF93&lt;&gt;0,'Calculations PJ'!BF93*About!$B$45,0)</f>
        <v>75829371046.60997</v>
      </c>
      <c r="BG93">
        <f>IF('Calculations PJ'!BG93&lt;&gt;0,'Calculations PJ'!BG93*About!$B$45,0)</f>
        <v>75829371046.60997</v>
      </c>
      <c r="BH93">
        <f>IF('Calculations PJ'!BH93&lt;&gt;0,'Calculations PJ'!BH93*About!$B$45,0)</f>
        <v>75829371046.60997</v>
      </c>
    </row>
    <row r="94" spans="2:60" hidden="1" outlineLevel="1">
      <c r="B94" t="s">
        <v>139</v>
      </c>
      <c r="C94">
        <f>IF('Calculations PJ'!C94&lt;&gt;0,'Calculations PJ'!C94*About!$B$45,0)</f>
        <v>834123081512.70959</v>
      </c>
      <c r="D94">
        <f>IF('Calculations PJ'!D94&lt;&gt;0,'Calculations PJ'!D94*About!$B$45,0)</f>
        <v>1042653851890.8871</v>
      </c>
      <c r="E94">
        <f>IF('Calculations PJ'!E94&lt;&gt;0,'Calculations PJ'!E94*About!$B$45,0)</f>
        <v>976303152225.10327</v>
      </c>
      <c r="F94">
        <f>IF('Calculations PJ'!F94&lt;&gt;0,'Calculations PJ'!F94*About!$B$45,0)</f>
        <v>1033175180510.0608</v>
      </c>
      <c r="G94">
        <f>IF('Calculations PJ'!G94&lt;&gt;0,'Calculations PJ'!G94*About!$B$45,0)</f>
        <v>701421682181.14209</v>
      </c>
      <c r="H94">
        <f>IF('Calculations PJ'!H94&lt;&gt;0,'Calculations PJ'!H94*About!$B$45,0)</f>
        <v>691943010800.31592</v>
      </c>
      <c r="I94">
        <f>IF('Calculations PJ'!I94&lt;&gt;0,'Calculations PJ'!I94*About!$B$45,0)</f>
        <v>616113639753.70593</v>
      </c>
      <c r="J94">
        <f>IF('Calculations PJ'!J94&lt;&gt;0,'Calculations PJ'!J94*About!$B$45,0)</f>
        <v>502369583183.79102</v>
      </c>
      <c r="K94">
        <f>IF('Calculations PJ'!K94&lt;&gt;0,'Calculations PJ'!K94*About!$B$45,0)</f>
        <v>436018883518.00732</v>
      </c>
      <c r="L94">
        <f>IF('Calculations PJ'!L94&lt;&gt;0,'Calculations PJ'!L94*About!$B$45,0)</f>
        <v>436018883518.00732</v>
      </c>
      <c r="M94">
        <f>IF('Calculations PJ'!M94&lt;&gt;0,'Calculations PJ'!M94*About!$B$45,0)</f>
        <v>436018883518.00732</v>
      </c>
      <c r="N94">
        <f>IF('Calculations PJ'!N94&lt;&gt;0,'Calculations PJ'!N94*About!$B$45,0)</f>
        <v>436018883518.00732</v>
      </c>
      <c r="O94">
        <f>IF('Calculations PJ'!O94&lt;&gt;0,'Calculations PJ'!O94*About!$B$45,0)</f>
        <v>436018883518.00732</v>
      </c>
      <c r="P94">
        <f>IF('Calculations PJ'!P94&lt;&gt;0,'Calculations PJ'!P94*About!$B$45,0)</f>
        <v>436018883518.00732</v>
      </c>
      <c r="Q94">
        <f>IF('Calculations PJ'!Q94&lt;&gt;0,'Calculations PJ'!Q94*About!$B$45,0)</f>
        <v>426540212137.18103</v>
      </c>
      <c r="R94">
        <f>IF('Calculations PJ'!R94&lt;&gt;0,'Calculations PJ'!R94*About!$B$45,0)</f>
        <v>426540212137.18103</v>
      </c>
      <c r="S94">
        <f>IF('Calculations PJ'!S94&lt;&gt;0,'Calculations PJ'!S94*About!$B$45,0)</f>
        <v>426540212137.18103</v>
      </c>
      <c r="T94">
        <f>IF('Calculations PJ'!T94&lt;&gt;0,'Calculations PJ'!T94*About!$B$45,0)</f>
        <v>426540212137.18103</v>
      </c>
      <c r="U94">
        <f>IF('Calculations PJ'!U94&lt;&gt;0,'Calculations PJ'!U94*About!$B$45,0)</f>
        <v>426540212137.18103</v>
      </c>
      <c r="V94">
        <f>IF('Calculations PJ'!V94&lt;&gt;0,'Calculations PJ'!V94*About!$B$45,0)</f>
        <v>426540212137.18103</v>
      </c>
      <c r="W94">
        <f>IF('Calculations PJ'!W94&lt;&gt;0,'Calculations PJ'!W94*About!$B$45,0)</f>
        <v>426540212137.18103</v>
      </c>
      <c r="X94">
        <f>IF('Calculations PJ'!X94&lt;&gt;0,'Calculations PJ'!X94*About!$B$45,0)</f>
        <v>426540212137.18103</v>
      </c>
      <c r="Y94">
        <f>IF('Calculations PJ'!Y94&lt;&gt;0,'Calculations PJ'!Y94*About!$B$45,0)</f>
        <v>417061540756.3548</v>
      </c>
      <c r="Z94">
        <f>IF('Calculations PJ'!Z94&lt;&gt;0,'Calculations PJ'!Z94*About!$B$45,0)</f>
        <v>417061540756.3548</v>
      </c>
      <c r="AA94">
        <f>IF('Calculations PJ'!AA94&lt;&gt;0,'Calculations PJ'!AA94*About!$B$45,0)</f>
        <v>417061540756.3548</v>
      </c>
      <c r="AB94">
        <f>IF('Calculations PJ'!AB94&lt;&gt;0,'Calculations PJ'!AB94*About!$B$45,0)</f>
        <v>417061540756.3548</v>
      </c>
      <c r="AC94">
        <f>IF('Calculations PJ'!AC94&lt;&gt;0,'Calculations PJ'!AC94*About!$B$45,0)</f>
        <v>417061540756.3548</v>
      </c>
      <c r="AD94">
        <f>IF('Calculations PJ'!AD94&lt;&gt;0,'Calculations PJ'!AD94*About!$B$45,0)</f>
        <v>417061540756.3548</v>
      </c>
      <c r="AE94">
        <f>IF('Calculations PJ'!AE94&lt;&gt;0,'Calculations PJ'!AE94*About!$B$45,0)</f>
        <v>417061540756.3548</v>
      </c>
      <c r="AF94">
        <f>IF('Calculations PJ'!AF94&lt;&gt;0,'Calculations PJ'!AF94*About!$B$45,0)</f>
        <v>407582869375.5285</v>
      </c>
      <c r="AG94">
        <f>IF('Calculations PJ'!AG94&lt;&gt;0,'Calculations PJ'!AG94*About!$B$45,0)</f>
        <v>407582869375.5285</v>
      </c>
      <c r="AH94">
        <f>IF('Calculations PJ'!AH94&lt;&gt;0,'Calculations PJ'!AH94*About!$B$45,0)</f>
        <v>407582869375.5285</v>
      </c>
      <c r="AI94">
        <f>IF('Calculations PJ'!AI94&lt;&gt;0,'Calculations PJ'!AI94*About!$B$45,0)</f>
        <v>407582869375.5285</v>
      </c>
      <c r="AJ94">
        <f>IF('Calculations PJ'!AJ94&lt;&gt;0,'Calculations PJ'!AJ94*About!$B$45,0)</f>
        <v>407582869375.5285</v>
      </c>
      <c r="AK94">
        <f>IF('Calculations PJ'!AK94&lt;&gt;0,'Calculations PJ'!AK94*About!$B$45,0)</f>
        <v>407582869375.5285</v>
      </c>
      <c r="AL94">
        <f>IF('Calculations PJ'!AL94&lt;&gt;0,'Calculations PJ'!AL94*About!$B$45,0)</f>
        <v>407582869375.5285</v>
      </c>
      <c r="AM94">
        <f>IF('Calculations PJ'!AM94&lt;&gt;0,'Calculations PJ'!AM94*About!$B$45,0)</f>
        <v>407582869375.5285</v>
      </c>
      <c r="AN94">
        <f>IF('Calculations PJ'!AN94&lt;&gt;0,'Calculations PJ'!AN94*About!$B$45,0)</f>
        <v>398104197994.70227</v>
      </c>
      <c r="AO94">
        <f>IF('Calculations PJ'!AO94&lt;&gt;0,'Calculations PJ'!AO94*About!$B$45,0)</f>
        <v>398104197994.70227</v>
      </c>
      <c r="AP94">
        <f>IF('Calculations PJ'!AP94&lt;&gt;0,'Calculations PJ'!AP94*About!$B$45,0)</f>
        <v>398104197994.70227</v>
      </c>
      <c r="AQ94">
        <f>IF('Calculations PJ'!AQ94&lt;&gt;0,'Calculations PJ'!AQ94*About!$B$45,0)</f>
        <v>398104197994.70227</v>
      </c>
      <c r="AR94">
        <f>IF('Calculations PJ'!AR94&lt;&gt;0,'Calculations PJ'!AR94*About!$B$45,0)</f>
        <v>398104197994.70227</v>
      </c>
      <c r="AS94">
        <f>IF('Calculations PJ'!AS94&lt;&gt;0,'Calculations PJ'!AS94*About!$B$45,0)</f>
        <v>398104197994.70227</v>
      </c>
      <c r="AT94">
        <f>IF('Calculations PJ'!AT94&lt;&gt;0,'Calculations PJ'!AT94*About!$B$45,0)</f>
        <v>398104197994.70227</v>
      </c>
      <c r="AU94">
        <f>IF('Calculations PJ'!AU94&lt;&gt;0,'Calculations PJ'!AU94*About!$B$45,0)</f>
        <v>398104197994.70227</v>
      </c>
      <c r="AV94">
        <f>IF('Calculations PJ'!AV94&lt;&gt;0,'Calculations PJ'!AV94*About!$B$45,0)</f>
        <v>398104197994.70227</v>
      </c>
      <c r="AW94">
        <f>IF('Calculations PJ'!AW94&lt;&gt;0,'Calculations PJ'!AW94*About!$B$45,0)</f>
        <v>398104197994.70227</v>
      </c>
      <c r="AX94">
        <f>IF('Calculations PJ'!AX94&lt;&gt;0,'Calculations PJ'!AX94*About!$B$45,0)</f>
        <v>398104197994.70227</v>
      </c>
      <c r="AY94">
        <f>IF('Calculations PJ'!AY94&lt;&gt;0,'Calculations PJ'!AY94*About!$B$45,0)</f>
        <v>398104197994.70227</v>
      </c>
      <c r="AZ94">
        <f>IF('Calculations PJ'!AZ94&lt;&gt;0,'Calculations PJ'!AZ94*About!$B$45,0)</f>
        <v>398104197994.70227</v>
      </c>
      <c r="BA94">
        <f>IF('Calculations PJ'!BA94&lt;&gt;0,'Calculations PJ'!BA94*About!$B$45,0)</f>
        <v>398104197994.70227</v>
      </c>
      <c r="BB94">
        <f>IF('Calculations PJ'!BB94&lt;&gt;0,'Calculations PJ'!BB94*About!$B$45,0)</f>
        <v>398104197994.70227</v>
      </c>
      <c r="BC94">
        <f>IF('Calculations PJ'!BC94&lt;&gt;0,'Calculations PJ'!BC94*About!$B$45,0)</f>
        <v>398104197994.70227</v>
      </c>
      <c r="BD94">
        <f>IF('Calculations PJ'!BD94&lt;&gt;0,'Calculations PJ'!BD94*About!$B$45,0)</f>
        <v>398104197994.70227</v>
      </c>
      <c r="BE94">
        <f>IF('Calculations PJ'!BE94&lt;&gt;0,'Calculations PJ'!BE94*About!$B$45,0)</f>
        <v>398104197994.70227</v>
      </c>
      <c r="BF94">
        <f>IF('Calculations PJ'!BF94&lt;&gt;0,'Calculations PJ'!BF94*About!$B$45,0)</f>
        <v>398104197994.70227</v>
      </c>
      <c r="BG94">
        <f>IF('Calculations PJ'!BG94&lt;&gt;0,'Calculations PJ'!BG94*About!$B$45,0)</f>
        <v>398104197994.70227</v>
      </c>
      <c r="BH94">
        <f>IF('Calculations PJ'!BH94&lt;&gt;0,'Calculations PJ'!BH94*About!$B$45,0)</f>
        <v>398104197994.70227</v>
      </c>
    </row>
    <row r="95" spans="2:60" hidden="1" outlineLevel="1">
      <c r="B95" t="s">
        <v>140</v>
      </c>
      <c r="C95">
        <f>IF('Calculations PJ'!C95&lt;&gt;0,'Calculations PJ'!C95*About!$B$45,0)</f>
        <v>0</v>
      </c>
      <c r="D95">
        <f>IF('Calculations PJ'!D95&lt;&gt;0,'Calculations PJ'!D95*About!$B$45,0)</f>
        <v>0</v>
      </c>
      <c r="E95">
        <f>IF('Calculations PJ'!E95&lt;&gt;0,'Calculations PJ'!E95*About!$B$45,0)</f>
        <v>0</v>
      </c>
      <c r="F95">
        <f>IF('Calculations PJ'!F95&lt;&gt;0,'Calculations PJ'!F95*About!$B$45,0)</f>
        <v>0</v>
      </c>
      <c r="G95">
        <f>IF('Calculations PJ'!G95&lt;&gt;0,'Calculations PJ'!G95*About!$B$45,0)</f>
        <v>0</v>
      </c>
      <c r="H95">
        <f>IF('Calculations PJ'!H95&lt;&gt;0,'Calculations PJ'!H95*About!$B$45,0)</f>
        <v>0</v>
      </c>
      <c r="I95">
        <f>IF('Calculations PJ'!I95&lt;&gt;0,'Calculations PJ'!I95*About!$B$45,0)</f>
        <v>0</v>
      </c>
      <c r="J95">
        <f>IF('Calculations PJ'!J95&lt;&gt;0,'Calculations PJ'!J95*About!$B$45,0)</f>
        <v>0</v>
      </c>
      <c r="K95">
        <f>IF('Calculations PJ'!K95&lt;&gt;0,'Calculations PJ'!K95*About!$B$45,0)</f>
        <v>0</v>
      </c>
      <c r="L95">
        <f>IF('Calculations PJ'!L95&lt;&gt;0,'Calculations PJ'!L95*About!$B$45,0)</f>
        <v>0</v>
      </c>
      <c r="M95">
        <f>IF('Calculations PJ'!M95&lt;&gt;0,'Calculations PJ'!M95*About!$B$45,0)</f>
        <v>0</v>
      </c>
      <c r="N95">
        <f>IF('Calculations PJ'!N95&lt;&gt;0,'Calculations PJ'!N95*About!$B$45,0)</f>
        <v>0</v>
      </c>
      <c r="O95">
        <f>IF('Calculations PJ'!O95&lt;&gt;0,'Calculations PJ'!O95*About!$B$45,0)</f>
        <v>0</v>
      </c>
      <c r="P95">
        <f>IF('Calculations PJ'!P95&lt;&gt;0,'Calculations PJ'!P95*About!$B$45,0)</f>
        <v>0</v>
      </c>
      <c r="Q95">
        <f>IF('Calculations PJ'!Q95&lt;&gt;0,'Calculations PJ'!Q95*About!$B$45,0)</f>
        <v>0</v>
      </c>
      <c r="R95">
        <f>IF('Calculations PJ'!R95&lt;&gt;0,'Calculations PJ'!R95*About!$B$45,0)</f>
        <v>0</v>
      </c>
      <c r="S95">
        <f>IF('Calculations PJ'!S95&lt;&gt;0,'Calculations PJ'!S95*About!$B$45,0)</f>
        <v>0</v>
      </c>
      <c r="T95">
        <f>IF('Calculations PJ'!T95&lt;&gt;0,'Calculations PJ'!T95*About!$B$45,0)</f>
        <v>0</v>
      </c>
      <c r="U95">
        <f>IF('Calculations PJ'!U95&lt;&gt;0,'Calculations PJ'!U95*About!$B$45,0)</f>
        <v>0</v>
      </c>
      <c r="V95">
        <f>IF('Calculations PJ'!V95&lt;&gt;0,'Calculations PJ'!V95*About!$B$45,0)</f>
        <v>0</v>
      </c>
      <c r="W95">
        <f>IF('Calculations PJ'!W95&lt;&gt;0,'Calculations PJ'!W95*About!$B$45,0)</f>
        <v>0</v>
      </c>
      <c r="X95">
        <f>IF('Calculations PJ'!X95&lt;&gt;0,'Calculations PJ'!X95*About!$B$45,0)</f>
        <v>0</v>
      </c>
      <c r="Y95">
        <f>IF('Calculations PJ'!Y95&lt;&gt;0,'Calculations PJ'!Y95*About!$B$45,0)</f>
        <v>0</v>
      </c>
      <c r="Z95">
        <f>IF('Calculations PJ'!Z95&lt;&gt;0,'Calculations PJ'!Z95*About!$B$45,0)</f>
        <v>0</v>
      </c>
      <c r="AA95">
        <f>IF('Calculations PJ'!AA95&lt;&gt;0,'Calculations PJ'!AA95*About!$B$45,0)</f>
        <v>0</v>
      </c>
      <c r="AB95">
        <f>IF('Calculations PJ'!AB95&lt;&gt;0,'Calculations PJ'!AB95*About!$B$45,0)</f>
        <v>0</v>
      </c>
      <c r="AC95">
        <f>IF('Calculations PJ'!AC95&lt;&gt;0,'Calculations PJ'!AC95*About!$B$45,0)</f>
        <v>0</v>
      </c>
      <c r="AD95">
        <f>IF('Calculations PJ'!AD95&lt;&gt;0,'Calculations PJ'!AD95*About!$B$45,0)</f>
        <v>0</v>
      </c>
      <c r="AE95">
        <f>IF('Calculations PJ'!AE95&lt;&gt;0,'Calculations PJ'!AE95*About!$B$45,0)</f>
        <v>0</v>
      </c>
      <c r="AF95">
        <f>IF('Calculations PJ'!AF95&lt;&gt;0,'Calculations PJ'!AF95*About!$B$45,0)</f>
        <v>0</v>
      </c>
      <c r="AG95">
        <f>IF('Calculations PJ'!AG95&lt;&gt;0,'Calculations PJ'!AG95*About!$B$45,0)</f>
        <v>0</v>
      </c>
      <c r="AH95">
        <f>IF('Calculations PJ'!AH95&lt;&gt;0,'Calculations PJ'!AH95*About!$B$45,0)</f>
        <v>0</v>
      </c>
      <c r="AI95">
        <f>IF('Calculations PJ'!AI95&lt;&gt;0,'Calculations PJ'!AI95*About!$B$45,0)</f>
        <v>0</v>
      </c>
      <c r="AJ95">
        <f>IF('Calculations PJ'!AJ95&lt;&gt;0,'Calculations PJ'!AJ95*About!$B$45,0)</f>
        <v>0</v>
      </c>
      <c r="AK95">
        <f>IF('Calculations PJ'!AK95&lt;&gt;0,'Calculations PJ'!AK95*About!$B$45,0)</f>
        <v>0</v>
      </c>
      <c r="AL95">
        <f>IF('Calculations PJ'!AL95&lt;&gt;0,'Calculations PJ'!AL95*About!$B$45,0)</f>
        <v>0</v>
      </c>
      <c r="AM95">
        <f>IF('Calculations PJ'!AM95&lt;&gt;0,'Calculations PJ'!AM95*About!$B$45,0)</f>
        <v>0</v>
      </c>
      <c r="AN95">
        <f>IF('Calculations PJ'!AN95&lt;&gt;0,'Calculations PJ'!AN95*About!$B$45,0)</f>
        <v>0</v>
      </c>
      <c r="AO95">
        <f>IF('Calculations PJ'!AO95&lt;&gt;0,'Calculations PJ'!AO95*About!$B$45,0)</f>
        <v>0</v>
      </c>
      <c r="AP95">
        <f>IF('Calculations PJ'!AP95&lt;&gt;0,'Calculations PJ'!AP95*About!$B$45,0)</f>
        <v>0</v>
      </c>
      <c r="AQ95">
        <f>IF('Calculations PJ'!AQ95&lt;&gt;0,'Calculations PJ'!AQ95*About!$B$45,0)</f>
        <v>0</v>
      </c>
      <c r="AR95">
        <f>IF('Calculations PJ'!AR95&lt;&gt;0,'Calculations PJ'!AR95*About!$B$45,0)</f>
        <v>0</v>
      </c>
      <c r="AS95">
        <f>IF('Calculations PJ'!AS95&lt;&gt;0,'Calculations PJ'!AS95*About!$B$45,0)</f>
        <v>0</v>
      </c>
      <c r="AT95">
        <f>IF('Calculations PJ'!AT95&lt;&gt;0,'Calculations PJ'!AT95*About!$B$45,0)</f>
        <v>0</v>
      </c>
      <c r="AU95">
        <f>IF('Calculations PJ'!AU95&lt;&gt;0,'Calculations PJ'!AU95*About!$B$45,0)</f>
        <v>0</v>
      </c>
      <c r="AV95">
        <f>IF('Calculations PJ'!AV95&lt;&gt;0,'Calculations PJ'!AV95*About!$B$45,0)</f>
        <v>0</v>
      </c>
      <c r="AW95">
        <f>IF('Calculations PJ'!AW95&lt;&gt;0,'Calculations PJ'!AW95*About!$B$45,0)</f>
        <v>0</v>
      </c>
      <c r="AX95">
        <f>IF('Calculations PJ'!AX95&lt;&gt;0,'Calculations PJ'!AX95*About!$B$45,0)</f>
        <v>0</v>
      </c>
      <c r="AY95">
        <f>IF('Calculations PJ'!AY95&lt;&gt;0,'Calculations PJ'!AY95*About!$B$45,0)</f>
        <v>0</v>
      </c>
      <c r="AZ95">
        <f>IF('Calculations PJ'!AZ95&lt;&gt;0,'Calculations PJ'!AZ95*About!$B$45,0)</f>
        <v>0</v>
      </c>
      <c r="BA95">
        <f>IF('Calculations PJ'!BA95&lt;&gt;0,'Calculations PJ'!BA95*About!$B$45,0)</f>
        <v>0</v>
      </c>
      <c r="BB95">
        <f>IF('Calculations PJ'!BB95&lt;&gt;0,'Calculations PJ'!BB95*About!$B$45,0)</f>
        <v>0</v>
      </c>
      <c r="BC95">
        <f>IF('Calculations PJ'!BC95&lt;&gt;0,'Calculations PJ'!BC95*About!$B$45,0)</f>
        <v>0</v>
      </c>
      <c r="BD95">
        <f>IF('Calculations PJ'!BD95&lt;&gt;0,'Calculations PJ'!BD95*About!$B$45,0)</f>
        <v>0</v>
      </c>
      <c r="BE95">
        <f>IF('Calculations PJ'!BE95&lt;&gt;0,'Calculations PJ'!BE95*About!$B$45,0)</f>
        <v>0</v>
      </c>
      <c r="BF95">
        <f>IF('Calculations PJ'!BF95&lt;&gt;0,'Calculations PJ'!BF95*About!$B$45,0)</f>
        <v>0</v>
      </c>
      <c r="BG95">
        <f>IF('Calculations PJ'!BG95&lt;&gt;0,'Calculations PJ'!BG95*About!$B$45,0)</f>
        <v>0</v>
      </c>
      <c r="BH95">
        <f>IF('Calculations PJ'!BH95&lt;&gt;0,'Calculations PJ'!BH95*About!$B$45,0)</f>
        <v>0</v>
      </c>
    </row>
    <row r="96" spans="2:60" hidden="1" outlineLevel="1">
      <c r="B96" t="s">
        <v>141</v>
      </c>
      <c r="C96">
        <f>IF('Calculations PJ'!C96&lt;&gt;0,'Calculations PJ'!C96*About!$B$45,0)</f>
        <v>0</v>
      </c>
      <c r="D96">
        <f>IF('Calculations PJ'!D96&lt;&gt;0,'Calculations PJ'!D96*About!$B$45,0)</f>
        <v>0</v>
      </c>
      <c r="E96">
        <f>IF('Calculations PJ'!E96&lt;&gt;0,'Calculations PJ'!E96*About!$B$45,0)</f>
        <v>0</v>
      </c>
      <c r="F96">
        <f>IF('Calculations PJ'!F96&lt;&gt;0,'Calculations PJ'!F96*About!$B$45,0)</f>
        <v>0</v>
      </c>
      <c r="G96">
        <f>IF('Calculations PJ'!G96&lt;&gt;0,'Calculations PJ'!G96*About!$B$45,0)</f>
        <v>0</v>
      </c>
      <c r="H96">
        <f>IF('Calculations PJ'!H96&lt;&gt;0,'Calculations PJ'!H96*About!$B$45,0)</f>
        <v>0</v>
      </c>
      <c r="I96">
        <f>IF('Calculations PJ'!I96&lt;&gt;0,'Calculations PJ'!I96*About!$B$45,0)</f>
        <v>0</v>
      </c>
      <c r="J96">
        <f>IF('Calculations PJ'!J96&lt;&gt;0,'Calculations PJ'!J96*About!$B$45,0)</f>
        <v>0</v>
      </c>
      <c r="K96">
        <f>IF('Calculations PJ'!K96&lt;&gt;0,'Calculations PJ'!K96*About!$B$45,0)</f>
        <v>0</v>
      </c>
      <c r="L96">
        <f>IF('Calculations PJ'!L96&lt;&gt;0,'Calculations PJ'!L96*About!$B$45,0)</f>
        <v>0</v>
      </c>
      <c r="M96">
        <f>IF('Calculations PJ'!M96&lt;&gt;0,'Calculations PJ'!M96*About!$B$45,0)</f>
        <v>0</v>
      </c>
      <c r="N96">
        <f>IF('Calculations PJ'!N96&lt;&gt;0,'Calculations PJ'!N96*About!$B$45,0)</f>
        <v>0</v>
      </c>
      <c r="O96">
        <f>IF('Calculations PJ'!O96&lt;&gt;0,'Calculations PJ'!O96*About!$B$45,0)</f>
        <v>0</v>
      </c>
      <c r="P96">
        <f>IF('Calculations PJ'!P96&lt;&gt;0,'Calculations PJ'!P96*About!$B$45,0)</f>
        <v>0</v>
      </c>
      <c r="Q96">
        <f>IF('Calculations PJ'!Q96&lt;&gt;0,'Calculations PJ'!Q96*About!$B$45,0)</f>
        <v>0</v>
      </c>
      <c r="R96">
        <f>IF('Calculations PJ'!R96&lt;&gt;0,'Calculations PJ'!R96*About!$B$45,0)</f>
        <v>0</v>
      </c>
      <c r="S96">
        <f>IF('Calculations PJ'!S96&lt;&gt;0,'Calculations PJ'!S96*About!$B$45,0)</f>
        <v>0</v>
      </c>
      <c r="T96">
        <f>IF('Calculations PJ'!T96&lt;&gt;0,'Calculations PJ'!T96*About!$B$45,0)</f>
        <v>0</v>
      </c>
      <c r="U96">
        <f>IF('Calculations PJ'!U96&lt;&gt;0,'Calculations PJ'!U96*About!$B$45,0)</f>
        <v>0</v>
      </c>
      <c r="V96">
        <f>IF('Calculations PJ'!V96&lt;&gt;0,'Calculations PJ'!V96*About!$B$45,0)</f>
        <v>0</v>
      </c>
      <c r="W96">
        <f>IF('Calculations PJ'!W96&lt;&gt;0,'Calculations PJ'!W96*About!$B$45,0)</f>
        <v>0</v>
      </c>
      <c r="X96">
        <f>IF('Calculations PJ'!X96&lt;&gt;0,'Calculations PJ'!X96*About!$B$45,0)</f>
        <v>0</v>
      </c>
      <c r="Y96">
        <f>IF('Calculations PJ'!Y96&lt;&gt;0,'Calculations PJ'!Y96*About!$B$45,0)</f>
        <v>0</v>
      </c>
      <c r="Z96">
        <f>IF('Calculations PJ'!Z96&lt;&gt;0,'Calculations PJ'!Z96*About!$B$45,0)</f>
        <v>0</v>
      </c>
      <c r="AA96">
        <f>IF('Calculations PJ'!AA96&lt;&gt;0,'Calculations PJ'!AA96*About!$B$45,0)</f>
        <v>0</v>
      </c>
      <c r="AB96">
        <f>IF('Calculations PJ'!AB96&lt;&gt;0,'Calculations PJ'!AB96*About!$B$45,0)</f>
        <v>0</v>
      </c>
      <c r="AC96">
        <f>IF('Calculations PJ'!AC96&lt;&gt;0,'Calculations PJ'!AC96*About!$B$45,0)</f>
        <v>0</v>
      </c>
      <c r="AD96">
        <f>IF('Calculations PJ'!AD96&lt;&gt;0,'Calculations PJ'!AD96*About!$B$45,0)</f>
        <v>0</v>
      </c>
      <c r="AE96">
        <f>IF('Calculations PJ'!AE96&lt;&gt;0,'Calculations PJ'!AE96*About!$B$45,0)</f>
        <v>0</v>
      </c>
      <c r="AF96">
        <f>IF('Calculations PJ'!AF96&lt;&gt;0,'Calculations PJ'!AF96*About!$B$45,0)</f>
        <v>0</v>
      </c>
      <c r="AG96">
        <f>IF('Calculations PJ'!AG96&lt;&gt;0,'Calculations PJ'!AG96*About!$B$45,0)</f>
        <v>0</v>
      </c>
      <c r="AH96">
        <f>IF('Calculations PJ'!AH96&lt;&gt;0,'Calculations PJ'!AH96*About!$B$45,0)</f>
        <v>0</v>
      </c>
      <c r="AI96">
        <f>IF('Calculations PJ'!AI96&lt;&gt;0,'Calculations PJ'!AI96*About!$B$45,0)</f>
        <v>0</v>
      </c>
      <c r="AJ96">
        <f>IF('Calculations PJ'!AJ96&lt;&gt;0,'Calculations PJ'!AJ96*About!$B$45,0)</f>
        <v>0</v>
      </c>
      <c r="AK96">
        <f>IF('Calculations PJ'!AK96&lt;&gt;0,'Calculations PJ'!AK96*About!$B$45,0)</f>
        <v>0</v>
      </c>
      <c r="AL96">
        <f>IF('Calculations PJ'!AL96&lt;&gt;0,'Calculations PJ'!AL96*About!$B$45,0)</f>
        <v>0</v>
      </c>
      <c r="AM96">
        <f>IF('Calculations PJ'!AM96&lt;&gt;0,'Calculations PJ'!AM96*About!$B$45,0)</f>
        <v>0</v>
      </c>
      <c r="AN96">
        <f>IF('Calculations PJ'!AN96&lt;&gt;0,'Calculations PJ'!AN96*About!$B$45,0)</f>
        <v>0</v>
      </c>
      <c r="AO96">
        <f>IF('Calculations PJ'!AO96&lt;&gt;0,'Calculations PJ'!AO96*About!$B$45,0)</f>
        <v>0</v>
      </c>
      <c r="AP96">
        <f>IF('Calculations PJ'!AP96&lt;&gt;0,'Calculations PJ'!AP96*About!$B$45,0)</f>
        <v>0</v>
      </c>
      <c r="AQ96">
        <f>IF('Calculations PJ'!AQ96&lt;&gt;0,'Calculations PJ'!AQ96*About!$B$45,0)</f>
        <v>0</v>
      </c>
      <c r="AR96">
        <f>IF('Calculations PJ'!AR96&lt;&gt;0,'Calculations PJ'!AR96*About!$B$45,0)</f>
        <v>0</v>
      </c>
      <c r="AS96">
        <f>IF('Calculations PJ'!AS96&lt;&gt;0,'Calculations PJ'!AS96*About!$B$45,0)</f>
        <v>0</v>
      </c>
      <c r="AT96">
        <f>IF('Calculations PJ'!AT96&lt;&gt;0,'Calculations PJ'!AT96*About!$B$45,0)</f>
        <v>0</v>
      </c>
      <c r="AU96">
        <f>IF('Calculations PJ'!AU96&lt;&gt;0,'Calculations PJ'!AU96*About!$B$45,0)</f>
        <v>0</v>
      </c>
      <c r="AV96">
        <f>IF('Calculations PJ'!AV96&lt;&gt;0,'Calculations PJ'!AV96*About!$B$45,0)</f>
        <v>0</v>
      </c>
      <c r="AW96">
        <f>IF('Calculations PJ'!AW96&lt;&gt;0,'Calculations PJ'!AW96*About!$B$45,0)</f>
        <v>0</v>
      </c>
      <c r="AX96">
        <f>IF('Calculations PJ'!AX96&lt;&gt;0,'Calculations PJ'!AX96*About!$B$45,0)</f>
        <v>0</v>
      </c>
      <c r="AY96">
        <f>IF('Calculations PJ'!AY96&lt;&gt;0,'Calculations PJ'!AY96*About!$B$45,0)</f>
        <v>0</v>
      </c>
      <c r="AZ96">
        <f>IF('Calculations PJ'!AZ96&lt;&gt;0,'Calculations PJ'!AZ96*About!$B$45,0)</f>
        <v>0</v>
      </c>
      <c r="BA96">
        <f>IF('Calculations PJ'!BA96&lt;&gt;0,'Calculations PJ'!BA96*About!$B$45,0)</f>
        <v>0</v>
      </c>
      <c r="BB96">
        <f>IF('Calculations PJ'!BB96&lt;&gt;0,'Calculations PJ'!BB96*About!$B$45,0)</f>
        <v>0</v>
      </c>
      <c r="BC96">
        <f>IF('Calculations PJ'!BC96&lt;&gt;0,'Calculations PJ'!BC96*About!$B$45,0)</f>
        <v>0</v>
      </c>
      <c r="BD96">
        <f>IF('Calculations PJ'!BD96&lt;&gt;0,'Calculations PJ'!BD96*About!$B$45,0)</f>
        <v>0</v>
      </c>
      <c r="BE96">
        <f>IF('Calculations PJ'!BE96&lt;&gt;0,'Calculations PJ'!BE96*About!$B$45,0)</f>
        <v>0</v>
      </c>
      <c r="BF96">
        <f>IF('Calculations PJ'!BF96&lt;&gt;0,'Calculations PJ'!BF96*About!$B$45,0)</f>
        <v>0</v>
      </c>
      <c r="BG96">
        <f>IF('Calculations PJ'!BG96&lt;&gt;0,'Calculations PJ'!BG96*About!$B$45,0)</f>
        <v>0</v>
      </c>
      <c r="BH96">
        <f>IF('Calculations PJ'!BH96&lt;&gt;0,'Calculations PJ'!BH96*About!$B$45,0)</f>
        <v>0</v>
      </c>
    </row>
    <row r="97" spans="1:60" hidden="1" outlineLevel="1">
      <c r="B97" t="s">
        <v>142</v>
      </c>
      <c r="C97">
        <f>IF('Calculations PJ'!C97&lt;&gt;0,'Calculations PJ'!C97*About!$B$45,0)</f>
        <v>0</v>
      </c>
      <c r="D97">
        <f>IF('Calculations PJ'!D97&lt;&gt;0,'Calculations PJ'!D97*About!$B$45,0)</f>
        <v>0</v>
      </c>
      <c r="E97">
        <f>IF('Calculations PJ'!E97&lt;&gt;0,'Calculations PJ'!E97*About!$B$45,0)</f>
        <v>0</v>
      </c>
      <c r="F97">
        <f>IF('Calculations PJ'!F97&lt;&gt;0,'Calculations PJ'!F97*About!$B$45,0)</f>
        <v>0</v>
      </c>
      <c r="G97">
        <f>IF('Calculations PJ'!G97&lt;&gt;0,'Calculations PJ'!G97*About!$B$45,0)</f>
        <v>0</v>
      </c>
      <c r="H97">
        <f>IF('Calculations PJ'!H97&lt;&gt;0,'Calculations PJ'!H97*About!$B$45,0)</f>
        <v>0</v>
      </c>
      <c r="I97">
        <f>IF('Calculations PJ'!I97&lt;&gt;0,'Calculations PJ'!I97*About!$B$45,0)</f>
        <v>0</v>
      </c>
      <c r="J97">
        <f>IF('Calculations PJ'!J97&lt;&gt;0,'Calculations PJ'!J97*About!$B$45,0)</f>
        <v>0</v>
      </c>
      <c r="K97">
        <f>IF('Calculations PJ'!K97&lt;&gt;0,'Calculations PJ'!K97*About!$B$45,0)</f>
        <v>0</v>
      </c>
      <c r="L97">
        <f>IF('Calculations PJ'!L97&lt;&gt;0,'Calculations PJ'!L97*About!$B$45,0)</f>
        <v>0</v>
      </c>
      <c r="M97">
        <f>IF('Calculations PJ'!M97&lt;&gt;0,'Calculations PJ'!M97*About!$B$45,0)</f>
        <v>0</v>
      </c>
      <c r="N97">
        <f>IF('Calculations PJ'!N97&lt;&gt;0,'Calculations PJ'!N97*About!$B$45,0)</f>
        <v>0</v>
      </c>
      <c r="O97">
        <f>IF('Calculations PJ'!O97&lt;&gt;0,'Calculations PJ'!O97*About!$B$45,0)</f>
        <v>0</v>
      </c>
      <c r="P97">
        <f>IF('Calculations PJ'!P97&lt;&gt;0,'Calculations PJ'!P97*About!$B$45,0)</f>
        <v>0</v>
      </c>
      <c r="Q97">
        <f>IF('Calculations PJ'!Q97&lt;&gt;0,'Calculations PJ'!Q97*About!$B$45,0)</f>
        <v>0</v>
      </c>
      <c r="R97">
        <f>IF('Calculations PJ'!R97&lt;&gt;0,'Calculations PJ'!R97*About!$B$45,0)</f>
        <v>0</v>
      </c>
      <c r="S97">
        <f>IF('Calculations PJ'!S97&lt;&gt;0,'Calculations PJ'!S97*About!$B$45,0)</f>
        <v>0</v>
      </c>
      <c r="T97">
        <f>IF('Calculations PJ'!T97&lt;&gt;0,'Calculations PJ'!T97*About!$B$45,0)</f>
        <v>0</v>
      </c>
      <c r="U97">
        <f>IF('Calculations PJ'!U97&lt;&gt;0,'Calculations PJ'!U97*About!$B$45,0)</f>
        <v>0</v>
      </c>
      <c r="V97">
        <f>IF('Calculations PJ'!V97&lt;&gt;0,'Calculations PJ'!V97*About!$B$45,0)</f>
        <v>0</v>
      </c>
      <c r="W97">
        <f>IF('Calculations PJ'!W97&lt;&gt;0,'Calculations PJ'!W97*About!$B$45,0)</f>
        <v>0</v>
      </c>
      <c r="X97">
        <f>IF('Calculations PJ'!X97&lt;&gt;0,'Calculations PJ'!X97*About!$B$45,0)</f>
        <v>0</v>
      </c>
      <c r="Y97">
        <f>IF('Calculations PJ'!Y97&lt;&gt;0,'Calculations PJ'!Y97*About!$B$45,0)</f>
        <v>0</v>
      </c>
      <c r="Z97">
        <f>IF('Calculations PJ'!Z97&lt;&gt;0,'Calculations PJ'!Z97*About!$B$45,0)</f>
        <v>0</v>
      </c>
      <c r="AA97">
        <f>IF('Calculations PJ'!AA97&lt;&gt;0,'Calculations PJ'!AA97*About!$B$45,0)</f>
        <v>0</v>
      </c>
      <c r="AB97">
        <f>IF('Calculations PJ'!AB97&lt;&gt;0,'Calculations PJ'!AB97*About!$B$45,0)</f>
        <v>0</v>
      </c>
      <c r="AC97">
        <f>IF('Calculations PJ'!AC97&lt;&gt;0,'Calculations PJ'!AC97*About!$B$45,0)</f>
        <v>0</v>
      </c>
      <c r="AD97">
        <f>IF('Calculations PJ'!AD97&lt;&gt;0,'Calculations PJ'!AD97*About!$B$45,0)</f>
        <v>0</v>
      </c>
      <c r="AE97">
        <f>IF('Calculations PJ'!AE97&lt;&gt;0,'Calculations PJ'!AE97*About!$B$45,0)</f>
        <v>0</v>
      </c>
      <c r="AF97">
        <f>IF('Calculations PJ'!AF97&lt;&gt;0,'Calculations PJ'!AF97*About!$B$45,0)</f>
        <v>0</v>
      </c>
      <c r="AG97">
        <f>IF('Calculations PJ'!AG97&lt;&gt;0,'Calculations PJ'!AG97*About!$B$45,0)</f>
        <v>0</v>
      </c>
      <c r="AH97">
        <f>IF('Calculations PJ'!AH97&lt;&gt;0,'Calculations PJ'!AH97*About!$B$45,0)</f>
        <v>0</v>
      </c>
      <c r="AI97">
        <f>IF('Calculations PJ'!AI97&lt;&gt;0,'Calculations PJ'!AI97*About!$B$45,0)</f>
        <v>0</v>
      </c>
      <c r="AJ97">
        <f>IF('Calculations PJ'!AJ97&lt;&gt;0,'Calculations PJ'!AJ97*About!$B$45,0)</f>
        <v>0</v>
      </c>
      <c r="AK97">
        <f>IF('Calculations PJ'!AK97&lt;&gt;0,'Calculations PJ'!AK97*About!$B$45,0)</f>
        <v>0</v>
      </c>
      <c r="AL97">
        <f>IF('Calculations PJ'!AL97&lt;&gt;0,'Calculations PJ'!AL97*About!$B$45,0)</f>
        <v>0</v>
      </c>
      <c r="AM97">
        <f>IF('Calculations PJ'!AM97&lt;&gt;0,'Calculations PJ'!AM97*About!$B$45,0)</f>
        <v>0</v>
      </c>
      <c r="AN97">
        <f>IF('Calculations PJ'!AN97&lt;&gt;0,'Calculations PJ'!AN97*About!$B$45,0)</f>
        <v>0</v>
      </c>
      <c r="AO97">
        <f>IF('Calculations PJ'!AO97&lt;&gt;0,'Calculations PJ'!AO97*About!$B$45,0)</f>
        <v>0</v>
      </c>
      <c r="AP97">
        <f>IF('Calculations PJ'!AP97&lt;&gt;0,'Calculations PJ'!AP97*About!$B$45,0)</f>
        <v>0</v>
      </c>
      <c r="AQ97">
        <f>IF('Calculations PJ'!AQ97&lt;&gt;0,'Calculations PJ'!AQ97*About!$B$45,0)</f>
        <v>0</v>
      </c>
      <c r="AR97">
        <f>IF('Calculations PJ'!AR97&lt;&gt;0,'Calculations PJ'!AR97*About!$B$45,0)</f>
        <v>0</v>
      </c>
      <c r="AS97">
        <f>IF('Calculations PJ'!AS97&lt;&gt;0,'Calculations PJ'!AS97*About!$B$45,0)</f>
        <v>0</v>
      </c>
      <c r="AT97">
        <f>IF('Calculations PJ'!AT97&lt;&gt;0,'Calculations PJ'!AT97*About!$B$45,0)</f>
        <v>0</v>
      </c>
      <c r="AU97">
        <f>IF('Calculations PJ'!AU97&lt;&gt;0,'Calculations PJ'!AU97*About!$B$45,0)</f>
        <v>0</v>
      </c>
      <c r="AV97">
        <f>IF('Calculations PJ'!AV97&lt;&gt;0,'Calculations PJ'!AV97*About!$B$45,0)</f>
        <v>0</v>
      </c>
      <c r="AW97">
        <f>IF('Calculations PJ'!AW97&lt;&gt;0,'Calculations PJ'!AW97*About!$B$45,0)</f>
        <v>0</v>
      </c>
      <c r="AX97">
        <f>IF('Calculations PJ'!AX97&lt;&gt;0,'Calculations PJ'!AX97*About!$B$45,0)</f>
        <v>0</v>
      </c>
      <c r="AY97">
        <f>IF('Calculations PJ'!AY97&lt;&gt;0,'Calculations PJ'!AY97*About!$B$45,0)</f>
        <v>0</v>
      </c>
      <c r="AZ97">
        <f>IF('Calculations PJ'!AZ97&lt;&gt;0,'Calculations PJ'!AZ97*About!$B$45,0)</f>
        <v>0</v>
      </c>
      <c r="BA97">
        <f>IF('Calculations PJ'!BA97&lt;&gt;0,'Calculations PJ'!BA97*About!$B$45,0)</f>
        <v>0</v>
      </c>
      <c r="BB97">
        <f>IF('Calculations PJ'!BB97&lt;&gt;0,'Calculations PJ'!BB97*About!$B$45,0)</f>
        <v>0</v>
      </c>
      <c r="BC97">
        <f>IF('Calculations PJ'!BC97&lt;&gt;0,'Calculations PJ'!BC97*About!$B$45,0)</f>
        <v>0</v>
      </c>
      <c r="BD97">
        <f>IF('Calculations PJ'!BD97&lt;&gt;0,'Calculations PJ'!BD97*About!$B$45,0)</f>
        <v>0</v>
      </c>
      <c r="BE97">
        <f>IF('Calculations PJ'!BE97&lt;&gt;0,'Calculations PJ'!BE97*About!$B$45,0)</f>
        <v>0</v>
      </c>
      <c r="BF97">
        <f>IF('Calculations PJ'!BF97&lt;&gt;0,'Calculations PJ'!BF97*About!$B$45,0)</f>
        <v>0</v>
      </c>
      <c r="BG97">
        <f>IF('Calculations PJ'!BG97&lt;&gt;0,'Calculations PJ'!BG97*About!$B$45,0)</f>
        <v>0</v>
      </c>
      <c r="BH97">
        <f>IF('Calculations PJ'!BH97&lt;&gt;0,'Calculations PJ'!BH97*About!$B$45,0)</f>
        <v>0</v>
      </c>
    </row>
    <row r="98" spans="1:60" hidden="1" outlineLevel="1">
      <c r="B98" t="s">
        <v>143</v>
      </c>
      <c r="C98">
        <f>IF('Calculations PJ'!C98&lt;&gt;0,'Calculations PJ'!C98*About!$B$45,0)</f>
        <v>0</v>
      </c>
      <c r="D98">
        <f>IF('Calculations PJ'!D98&lt;&gt;0,'Calculations PJ'!D98*About!$B$45,0)</f>
        <v>0</v>
      </c>
      <c r="E98">
        <f>IF('Calculations PJ'!E98&lt;&gt;0,'Calculations PJ'!E98*About!$B$45,0)</f>
        <v>0</v>
      </c>
      <c r="F98">
        <f>IF('Calculations PJ'!F98&lt;&gt;0,'Calculations PJ'!F98*About!$B$45,0)</f>
        <v>0</v>
      </c>
      <c r="G98">
        <f>IF('Calculations PJ'!G98&lt;&gt;0,'Calculations PJ'!G98*About!$B$45,0)</f>
        <v>0</v>
      </c>
      <c r="H98">
        <f>IF('Calculations PJ'!H98&lt;&gt;0,'Calculations PJ'!H98*About!$B$45,0)</f>
        <v>0</v>
      </c>
      <c r="I98">
        <f>IF('Calculations PJ'!I98&lt;&gt;0,'Calculations PJ'!I98*About!$B$45,0)</f>
        <v>0</v>
      </c>
      <c r="J98">
        <f>IF('Calculations PJ'!J98&lt;&gt;0,'Calculations PJ'!J98*About!$B$45,0)</f>
        <v>0</v>
      </c>
      <c r="K98">
        <f>IF('Calculations PJ'!K98&lt;&gt;0,'Calculations PJ'!K98*About!$B$45,0)</f>
        <v>0</v>
      </c>
      <c r="L98">
        <f>IF('Calculations PJ'!L98&lt;&gt;0,'Calculations PJ'!L98*About!$B$45,0)</f>
        <v>0</v>
      </c>
      <c r="M98">
        <f>IF('Calculations PJ'!M98&lt;&gt;0,'Calculations PJ'!M98*About!$B$45,0)</f>
        <v>0</v>
      </c>
      <c r="N98">
        <f>IF('Calculations PJ'!N98&lt;&gt;0,'Calculations PJ'!N98*About!$B$45,0)</f>
        <v>0</v>
      </c>
      <c r="O98">
        <f>IF('Calculations PJ'!O98&lt;&gt;0,'Calculations PJ'!O98*About!$B$45,0)</f>
        <v>0</v>
      </c>
      <c r="P98">
        <f>IF('Calculations PJ'!P98&lt;&gt;0,'Calculations PJ'!P98*About!$B$45,0)</f>
        <v>0</v>
      </c>
      <c r="Q98">
        <f>IF('Calculations PJ'!Q98&lt;&gt;0,'Calculations PJ'!Q98*About!$B$45,0)</f>
        <v>0</v>
      </c>
      <c r="R98">
        <f>IF('Calculations PJ'!R98&lt;&gt;0,'Calculations PJ'!R98*About!$B$45,0)</f>
        <v>0</v>
      </c>
      <c r="S98">
        <f>IF('Calculations PJ'!S98&lt;&gt;0,'Calculations PJ'!S98*About!$B$45,0)</f>
        <v>0</v>
      </c>
      <c r="T98">
        <f>IF('Calculations PJ'!T98&lt;&gt;0,'Calculations PJ'!T98*About!$B$45,0)</f>
        <v>0</v>
      </c>
      <c r="U98">
        <f>IF('Calculations PJ'!U98&lt;&gt;0,'Calculations PJ'!U98*About!$B$45,0)</f>
        <v>0</v>
      </c>
      <c r="V98">
        <f>IF('Calculations PJ'!V98&lt;&gt;0,'Calculations PJ'!V98*About!$B$45,0)</f>
        <v>0</v>
      </c>
      <c r="W98">
        <f>IF('Calculations PJ'!W98&lt;&gt;0,'Calculations PJ'!W98*About!$B$45,0)</f>
        <v>0</v>
      </c>
      <c r="X98">
        <f>IF('Calculations PJ'!X98&lt;&gt;0,'Calculations PJ'!X98*About!$B$45,0)</f>
        <v>0</v>
      </c>
      <c r="Y98">
        <f>IF('Calculations PJ'!Y98&lt;&gt;0,'Calculations PJ'!Y98*About!$B$45,0)</f>
        <v>0</v>
      </c>
      <c r="Z98">
        <f>IF('Calculations PJ'!Z98&lt;&gt;0,'Calculations PJ'!Z98*About!$B$45,0)</f>
        <v>0</v>
      </c>
      <c r="AA98">
        <f>IF('Calculations PJ'!AA98&lt;&gt;0,'Calculations PJ'!AA98*About!$B$45,0)</f>
        <v>0</v>
      </c>
      <c r="AB98">
        <f>IF('Calculations PJ'!AB98&lt;&gt;0,'Calculations PJ'!AB98*About!$B$45,0)</f>
        <v>0</v>
      </c>
      <c r="AC98">
        <f>IF('Calculations PJ'!AC98&lt;&gt;0,'Calculations PJ'!AC98*About!$B$45,0)</f>
        <v>0</v>
      </c>
      <c r="AD98">
        <f>IF('Calculations PJ'!AD98&lt;&gt;0,'Calculations PJ'!AD98*About!$B$45,0)</f>
        <v>0</v>
      </c>
      <c r="AE98">
        <f>IF('Calculations PJ'!AE98&lt;&gt;0,'Calculations PJ'!AE98*About!$B$45,0)</f>
        <v>0</v>
      </c>
      <c r="AF98">
        <f>IF('Calculations PJ'!AF98&lt;&gt;0,'Calculations PJ'!AF98*About!$B$45,0)</f>
        <v>0</v>
      </c>
      <c r="AG98">
        <f>IF('Calculations PJ'!AG98&lt;&gt;0,'Calculations PJ'!AG98*About!$B$45,0)</f>
        <v>0</v>
      </c>
      <c r="AH98">
        <f>IF('Calculations PJ'!AH98&lt;&gt;0,'Calculations PJ'!AH98*About!$B$45,0)</f>
        <v>0</v>
      </c>
      <c r="AI98">
        <f>IF('Calculations PJ'!AI98&lt;&gt;0,'Calculations PJ'!AI98*About!$B$45,0)</f>
        <v>0</v>
      </c>
      <c r="AJ98">
        <f>IF('Calculations PJ'!AJ98&lt;&gt;0,'Calculations PJ'!AJ98*About!$B$45,0)</f>
        <v>0</v>
      </c>
      <c r="AK98">
        <f>IF('Calculations PJ'!AK98&lt;&gt;0,'Calculations PJ'!AK98*About!$B$45,0)</f>
        <v>0</v>
      </c>
      <c r="AL98">
        <f>IF('Calculations PJ'!AL98&lt;&gt;0,'Calculations PJ'!AL98*About!$B$45,0)</f>
        <v>0</v>
      </c>
      <c r="AM98">
        <f>IF('Calculations PJ'!AM98&lt;&gt;0,'Calculations PJ'!AM98*About!$B$45,0)</f>
        <v>0</v>
      </c>
      <c r="AN98">
        <f>IF('Calculations PJ'!AN98&lt;&gt;0,'Calculations PJ'!AN98*About!$B$45,0)</f>
        <v>0</v>
      </c>
      <c r="AO98">
        <f>IF('Calculations PJ'!AO98&lt;&gt;0,'Calculations PJ'!AO98*About!$B$45,0)</f>
        <v>0</v>
      </c>
      <c r="AP98">
        <f>IF('Calculations PJ'!AP98&lt;&gt;0,'Calculations PJ'!AP98*About!$B$45,0)</f>
        <v>0</v>
      </c>
      <c r="AQ98">
        <f>IF('Calculations PJ'!AQ98&lt;&gt;0,'Calculations PJ'!AQ98*About!$B$45,0)</f>
        <v>0</v>
      </c>
      <c r="AR98">
        <f>IF('Calculations PJ'!AR98&lt;&gt;0,'Calculations PJ'!AR98*About!$B$45,0)</f>
        <v>0</v>
      </c>
      <c r="AS98">
        <f>IF('Calculations PJ'!AS98&lt;&gt;0,'Calculations PJ'!AS98*About!$B$45,0)</f>
        <v>0</v>
      </c>
      <c r="AT98">
        <f>IF('Calculations PJ'!AT98&lt;&gt;0,'Calculations PJ'!AT98*About!$B$45,0)</f>
        <v>0</v>
      </c>
      <c r="AU98">
        <f>IF('Calculations PJ'!AU98&lt;&gt;0,'Calculations PJ'!AU98*About!$B$45,0)</f>
        <v>0</v>
      </c>
      <c r="AV98">
        <f>IF('Calculations PJ'!AV98&lt;&gt;0,'Calculations PJ'!AV98*About!$B$45,0)</f>
        <v>0</v>
      </c>
      <c r="AW98">
        <f>IF('Calculations PJ'!AW98&lt;&gt;0,'Calculations PJ'!AW98*About!$B$45,0)</f>
        <v>0</v>
      </c>
      <c r="AX98">
        <f>IF('Calculations PJ'!AX98&lt;&gt;0,'Calculations PJ'!AX98*About!$B$45,0)</f>
        <v>0</v>
      </c>
      <c r="AY98">
        <f>IF('Calculations PJ'!AY98&lt;&gt;0,'Calculations PJ'!AY98*About!$B$45,0)</f>
        <v>0</v>
      </c>
      <c r="AZ98">
        <f>IF('Calculations PJ'!AZ98&lt;&gt;0,'Calculations PJ'!AZ98*About!$B$45,0)</f>
        <v>0</v>
      </c>
      <c r="BA98">
        <f>IF('Calculations PJ'!BA98&lt;&gt;0,'Calculations PJ'!BA98*About!$B$45,0)</f>
        <v>0</v>
      </c>
      <c r="BB98">
        <f>IF('Calculations PJ'!BB98&lt;&gt;0,'Calculations PJ'!BB98*About!$B$45,0)</f>
        <v>0</v>
      </c>
      <c r="BC98">
        <f>IF('Calculations PJ'!BC98&lt;&gt;0,'Calculations PJ'!BC98*About!$B$45,0)</f>
        <v>0</v>
      </c>
      <c r="BD98">
        <f>IF('Calculations PJ'!BD98&lt;&gt;0,'Calculations PJ'!BD98*About!$B$45,0)</f>
        <v>0</v>
      </c>
      <c r="BE98">
        <f>IF('Calculations PJ'!BE98&lt;&gt;0,'Calculations PJ'!BE98*About!$B$45,0)</f>
        <v>0</v>
      </c>
      <c r="BF98">
        <f>IF('Calculations PJ'!BF98&lt;&gt;0,'Calculations PJ'!BF98*About!$B$45,0)</f>
        <v>0</v>
      </c>
      <c r="BG98">
        <f>IF('Calculations PJ'!BG98&lt;&gt;0,'Calculations PJ'!BG98*About!$B$45,0)</f>
        <v>0</v>
      </c>
      <c r="BH98">
        <f>IF('Calculations PJ'!BH98&lt;&gt;0,'Calculations PJ'!BH98*About!$B$45,0)</f>
        <v>0</v>
      </c>
    </row>
    <row r="99" spans="1:60" hidden="1" outlineLevel="1">
      <c r="B99" t="s">
        <v>144</v>
      </c>
      <c r="C99">
        <f>IF('Calculations PJ'!C99&lt;&gt;0,'Calculations PJ'!C99*About!$B$45,0)</f>
        <v>0</v>
      </c>
      <c r="D99">
        <f>IF('Calculations PJ'!D99&lt;&gt;0,'Calculations PJ'!D99*About!$B$45,0)</f>
        <v>0</v>
      </c>
      <c r="E99">
        <f>IF('Calculations PJ'!E99&lt;&gt;0,'Calculations PJ'!E99*About!$B$45,0)</f>
        <v>0</v>
      </c>
      <c r="F99">
        <f>IF('Calculations PJ'!F99&lt;&gt;0,'Calculations PJ'!F99*About!$B$45,0)</f>
        <v>0</v>
      </c>
      <c r="G99">
        <f>IF('Calculations PJ'!G99&lt;&gt;0,'Calculations PJ'!G99*About!$B$45,0)</f>
        <v>0</v>
      </c>
      <c r="H99">
        <f>IF('Calculations PJ'!H99&lt;&gt;0,'Calculations PJ'!H99*About!$B$45,0)</f>
        <v>0</v>
      </c>
      <c r="I99">
        <f>IF('Calculations PJ'!I99&lt;&gt;0,'Calculations PJ'!I99*About!$B$45,0)</f>
        <v>0</v>
      </c>
      <c r="J99">
        <f>IF('Calculations PJ'!J99&lt;&gt;0,'Calculations PJ'!J99*About!$B$45,0)</f>
        <v>0</v>
      </c>
      <c r="K99">
        <f>IF('Calculations PJ'!K99&lt;&gt;0,'Calculations PJ'!K99*About!$B$45,0)</f>
        <v>0</v>
      </c>
      <c r="L99">
        <f>IF('Calculations PJ'!L99&lt;&gt;0,'Calculations PJ'!L99*About!$B$45,0)</f>
        <v>0</v>
      </c>
      <c r="M99">
        <f>IF('Calculations PJ'!M99&lt;&gt;0,'Calculations PJ'!M99*About!$B$45,0)</f>
        <v>0</v>
      </c>
      <c r="N99">
        <f>IF('Calculations PJ'!N99&lt;&gt;0,'Calculations PJ'!N99*About!$B$45,0)</f>
        <v>0</v>
      </c>
      <c r="O99">
        <f>IF('Calculations PJ'!O99&lt;&gt;0,'Calculations PJ'!O99*About!$B$45,0)</f>
        <v>0</v>
      </c>
      <c r="P99">
        <f>IF('Calculations PJ'!P99&lt;&gt;0,'Calculations PJ'!P99*About!$B$45,0)</f>
        <v>0</v>
      </c>
      <c r="Q99">
        <f>IF('Calculations PJ'!Q99&lt;&gt;0,'Calculations PJ'!Q99*About!$B$45,0)</f>
        <v>0</v>
      </c>
      <c r="R99">
        <f>IF('Calculations PJ'!R99&lt;&gt;0,'Calculations PJ'!R99*About!$B$45,0)</f>
        <v>0</v>
      </c>
      <c r="S99">
        <f>IF('Calculations PJ'!S99&lt;&gt;0,'Calculations PJ'!S99*About!$B$45,0)</f>
        <v>0</v>
      </c>
      <c r="T99">
        <f>IF('Calculations PJ'!T99&lt;&gt;0,'Calculations PJ'!T99*About!$B$45,0)</f>
        <v>0</v>
      </c>
      <c r="U99">
        <f>IF('Calculations PJ'!U99&lt;&gt;0,'Calculations PJ'!U99*About!$B$45,0)</f>
        <v>0</v>
      </c>
      <c r="V99">
        <f>IF('Calculations PJ'!V99&lt;&gt;0,'Calculations PJ'!V99*About!$B$45,0)</f>
        <v>0</v>
      </c>
      <c r="W99">
        <f>IF('Calculations PJ'!W99&lt;&gt;0,'Calculations PJ'!W99*About!$B$45,0)</f>
        <v>0</v>
      </c>
      <c r="X99">
        <f>IF('Calculations PJ'!X99&lt;&gt;0,'Calculations PJ'!X99*About!$B$45,0)</f>
        <v>0</v>
      </c>
      <c r="Y99">
        <f>IF('Calculations PJ'!Y99&lt;&gt;0,'Calculations PJ'!Y99*About!$B$45,0)</f>
        <v>0</v>
      </c>
      <c r="Z99">
        <f>IF('Calculations PJ'!Z99&lt;&gt;0,'Calculations PJ'!Z99*About!$B$45,0)</f>
        <v>0</v>
      </c>
      <c r="AA99">
        <f>IF('Calculations PJ'!AA99&lt;&gt;0,'Calculations PJ'!AA99*About!$B$45,0)</f>
        <v>0</v>
      </c>
      <c r="AB99">
        <f>IF('Calculations PJ'!AB99&lt;&gt;0,'Calculations PJ'!AB99*About!$B$45,0)</f>
        <v>0</v>
      </c>
      <c r="AC99">
        <f>IF('Calculations PJ'!AC99&lt;&gt;0,'Calculations PJ'!AC99*About!$B$45,0)</f>
        <v>0</v>
      </c>
      <c r="AD99">
        <f>IF('Calculations PJ'!AD99&lt;&gt;0,'Calculations PJ'!AD99*About!$B$45,0)</f>
        <v>0</v>
      </c>
      <c r="AE99">
        <f>IF('Calculations PJ'!AE99&lt;&gt;0,'Calculations PJ'!AE99*About!$B$45,0)</f>
        <v>0</v>
      </c>
      <c r="AF99">
        <f>IF('Calculations PJ'!AF99&lt;&gt;0,'Calculations PJ'!AF99*About!$B$45,0)</f>
        <v>0</v>
      </c>
      <c r="AG99">
        <f>IF('Calculations PJ'!AG99&lt;&gt;0,'Calculations PJ'!AG99*About!$B$45,0)</f>
        <v>0</v>
      </c>
      <c r="AH99">
        <f>IF('Calculations PJ'!AH99&lt;&gt;0,'Calculations PJ'!AH99*About!$B$45,0)</f>
        <v>0</v>
      </c>
      <c r="AI99">
        <f>IF('Calculations PJ'!AI99&lt;&gt;0,'Calculations PJ'!AI99*About!$B$45,0)</f>
        <v>0</v>
      </c>
      <c r="AJ99">
        <f>IF('Calculations PJ'!AJ99&lt;&gt;0,'Calculations PJ'!AJ99*About!$B$45,0)</f>
        <v>0</v>
      </c>
      <c r="AK99">
        <f>IF('Calculations PJ'!AK99&lt;&gt;0,'Calculations PJ'!AK99*About!$B$45,0)</f>
        <v>0</v>
      </c>
      <c r="AL99">
        <f>IF('Calculations PJ'!AL99&lt;&gt;0,'Calculations PJ'!AL99*About!$B$45,0)</f>
        <v>0</v>
      </c>
      <c r="AM99">
        <f>IF('Calculations PJ'!AM99&lt;&gt;0,'Calculations PJ'!AM99*About!$B$45,0)</f>
        <v>0</v>
      </c>
      <c r="AN99">
        <f>IF('Calculations PJ'!AN99&lt;&gt;0,'Calculations PJ'!AN99*About!$B$45,0)</f>
        <v>0</v>
      </c>
      <c r="AO99">
        <f>IF('Calculations PJ'!AO99&lt;&gt;0,'Calculations PJ'!AO99*About!$B$45,0)</f>
        <v>0</v>
      </c>
      <c r="AP99">
        <f>IF('Calculations PJ'!AP99&lt;&gt;0,'Calculations PJ'!AP99*About!$B$45,0)</f>
        <v>0</v>
      </c>
      <c r="AQ99">
        <f>IF('Calculations PJ'!AQ99&lt;&gt;0,'Calculations PJ'!AQ99*About!$B$45,0)</f>
        <v>0</v>
      </c>
      <c r="AR99">
        <f>IF('Calculations PJ'!AR99&lt;&gt;0,'Calculations PJ'!AR99*About!$B$45,0)</f>
        <v>0</v>
      </c>
      <c r="AS99">
        <f>IF('Calculations PJ'!AS99&lt;&gt;0,'Calculations PJ'!AS99*About!$B$45,0)</f>
        <v>0</v>
      </c>
      <c r="AT99">
        <f>IF('Calculations PJ'!AT99&lt;&gt;0,'Calculations PJ'!AT99*About!$B$45,0)</f>
        <v>0</v>
      </c>
      <c r="AU99">
        <f>IF('Calculations PJ'!AU99&lt;&gt;0,'Calculations PJ'!AU99*About!$B$45,0)</f>
        <v>0</v>
      </c>
      <c r="AV99">
        <f>IF('Calculations PJ'!AV99&lt;&gt;0,'Calculations PJ'!AV99*About!$B$45,0)</f>
        <v>0</v>
      </c>
      <c r="AW99">
        <f>IF('Calculations PJ'!AW99&lt;&gt;0,'Calculations PJ'!AW99*About!$B$45,0)</f>
        <v>0</v>
      </c>
      <c r="AX99">
        <f>IF('Calculations PJ'!AX99&lt;&gt;0,'Calculations PJ'!AX99*About!$B$45,0)</f>
        <v>0</v>
      </c>
      <c r="AY99">
        <f>IF('Calculations PJ'!AY99&lt;&gt;0,'Calculations PJ'!AY99*About!$B$45,0)</f>
        <v>0</v>
      </c>
      <c r="AZ99">
        <f>IF('Calculations PJ'!AZ99&lt;&gt;0,'Calculations PJ'!AZ99*About!$B$45,0)</f>
        <v>0</v>
      </c>
      <c r="BA99">
        <f>IF('Calculations PJ'!BA99&lt;&gt;0,'Calculations PJ'!BA99*About!$B$45,0)</f>
        <v>0</v>
      </c>
      <c r="BB99">
        <f>IF('Calculations PJ'!BB99&lt;&gt;0,'Calculations PJ'!BB99*About!$B$45,0)</f>
        <v>0</v>
      </c>
      <c r="BC99">
        <f>IF('Calculations PJ'!BC99&lt;&gt;0,'Calculations PJ'!BC99*About!$B$45,0)</f>
        <v>0</v>
      </c>
      <c r="BD99">
        <f>IF('Calculations PJ'!BD99&lt;&gt;0,'Calculations PJ'!BD99*About!$B$45,0)</f>
        <v>0</v>
      </c>
      <c r="BE99">
        <f>IF('Calculations PJ'!BE99&lt;&gt;0,'Calculations PJ'!BE99*About!$B$45,0)</f>
        <v>0</v>
      </c>
      <c r="BF99">
        <f>IF('Calculations PJ'!BF99&lt;&gt;0,'Calculations PJ'!BF99*About!$B$45,0)</f>
        <v>0</v>
      </c>
      <c r="BG99">
        <f>IF('Calculations PJ'!BG99&lt;&gt;0,'Calculations PJ'!BG99*About!$B$45,0)</f>
        <v>0</v>
      </c>
      <c r="BH99">
        <f>IF('Calculations PJ'!BH99&lt;&gt;0,'Calculations PJ'!BH99*About!$B$45,0)</f>
        <v>0</v>
      </c>
    </row>
    <row r="100" spans="1:60" hidden="1" outlineLevel="1">
      <c r="B100" t="s">
        <v>145</v>
      </c>
      <c r="C100">
        <f>IF('Calculations PJ'!C100&lt;&gt;0,'Calculations PJ'!C100*About!$B$45,0)</f>
        <v>777251053227.75208</v>
      </c>
      <c r="D100">
        <f>IF('Calculations PJ'!D100&lt;&gt;0,'Calculations PJ'!D100*About!$B$45,0)</f>
        <v>872037767036.01465</v>
      </c>
      <c r="E100">
        <f>IF('Calculations PJ'!E100&lt;&gt;0,'Calculations PJ'!E100*About!$B$45,0)</f>
        <v>938388466701.79822</v>
      </c>
      <c r="F100">
        <f>IF('Calculations PJ'!F100&lt;&gt;0,'Calculations PJ'!F100*About!$B$45,0)</f>
        <v>947867138082.62451</v>
      </c>
      <c r="G100">
        <f>IF('Calculations PJ'!G100&lt;&gt;0,'Calculations PJ'!G100*About!$B$45,0)</f>
        <v>1004739166367.582</v>
      </c>
      <c r="H100">
        <f>IF('Calculations PJ'!H100&lt;&gt;0,'Calculations PJ'!H100*About!$B$45,0)</f>
        <v>1156397908460.8018</v>
      </c>
      <c r="I100">
        <f>IF('Calculations PJ'!I100&lt;&gt;0,'Calculations PJ'!I100*About!$B$45,0)</f>
        <v>1127961894318.323</v>
      </c>
      <c r="J100">
        <f>IF('Calculations PJ'!J100&lt;&gt;0,'Calculations PJ'!J100*About!$B$45,0)</f>
        <v>862559095655.18835</v>
      </c>
      <c r="K100">
        <f>IF('Calculations PJ'!K100&lt;&gt;0,'Calculations PJ'!K100*About!$B$45,0)</f>
        <v>748815039085.27344</v>
      </c>
      <c r="L100">
        <f>IF('Calculations PJ'!L100&lt;&gt;0,'Calculations PJ'!L100*About!$B$45,0)</f>
        <v>748815039085.27344</v>
      </c>
      <c r="M100">
        <f>IF('Calculations PJ'!M100&lt;&gt;0,'Calculations PJ'!M100*About!$B$45,0)</f>
        <v>748815039085.27344</v>
      </c>
      <c r="N100">
        <f>IF('Calculations PJ'!N100&lt;&gt;0,'Calculations PJ'!N100*About!$B$45,0)</f>
        <v>748815039085.27344</v>
      </c>
      <c r="O100">
        <f>IF('Calculations PJ'!O100&lt;&gt;0,'Calculations PJ'!O100*About!$B$45,0)</f>
        <v>748815039085.27344</v>
      </c>
      <c r="P100">
        <f>IF('Calculations PJ'!P100&lt;&gt;0,'Calculations PJ'!P100*About!$B$45,0)</f>
        <v>739336367704.44714</v>
      </c>
      <c r="Q100">
        <f>IF('Calculations PJ'!Q100&lt;&gt;0,'Calculations PJ'!Q100*About!$B$45,0)</f>
        <v>739336367704.44714</v>
      </c>
      <c r="R100">
        <f>IF('Calculations PJ'!R100&lt;&gt;0,'Calculations PJ'!R100*About!$B$45,0)</f>
        <v>739336367704.44714</v>
      </c>
      <c r="S100">
        <f>IF('Calculations PJ'!S100&lt;&gt;0,'Calculations PJ'!S100*About!$B$45,0)</f>
        <v>739336367704.44714</v>
      </c>
      <c r="T100">
        <f>IF('Calculations PJ'!T100&lt;&gt;0,'Calculations PJ'!T100*About!$B$45,0)</f>
        <v>729857696323.62085</v>
      </c>
      <c r="U100">
        <f>IF('Calculations PJ'!U100&lt;&gt;0,'Calculations PJ'!U100*About!$B$45,0)</f>
        <v>729857696323.62085</v>
      </c>
      <c r="V100">
        <f>IF('Calculations PJ'!V100&lt;&gt;0,'Calculations PJ'!V100*About!$B$45,0)</f>
        <v>729857696323.62085</v>
      </c>
      <c r="W100">
        <f>IF('Calculations PJ'!W100&lt;&gt;0,'Calculations PJ'!W100*About!$B$45,0)</f>
        <v>729857696323.62085</v>
      </c>
      <c r="X100">
        <f>IF('Calculations PJ'!X100&lt;&gt;0,'Calculations PJ'!X100*About!$B$45,0)</f>
        <v>720379024942.79468</v>
      </c>
      <c r="Y100">
        <f>IF('Calculations PJ'!Y100&lt;&gt;0,'Calculations PJ'!Y100*About!$B$45,0)</f>
        <v>720379024942.79468</v>
      </c>
      <c r="Z100">
        <f>IF('Calculations PJ'!Z100&lt;&gt;0,'Calculations PJ'!Z100*About!$B$45,0)</f>
        <v>720379024942.79468</v>
      </c>
      <c r="AA100">
        <f>IF('Calculations PJ'!AA100&lt;&gt;0,'Calculations PJ'!AA100*About!$B$45,0)</f>
        <v>720379024942.79468</v>
      </c>
      <c r="AB100">
        <f>IF('Calculations PJ'!AB100&lt;&gt;0,'Calculations PJ'!AB100*About!$B$45,0)</f>
        <v>720379024942.79468</v>
      </c>
      <c r="AC100">
        <f>IF('Calculations PJ'!AC100&lt;&gt;0,'Calculations PJ'!AC100*About!$B$45,0)</f>
        <v>710900353561.96838</v>
      </c>
      <c r="AD100">
        <f>IF('Calculations PJ'!AD100&lt;&gt;0,'Calculations PJ'!AD100*About!$B$45,0)</f>
        <v>710900353561.96838</v>
      </c>
      <c r="AE100">
        <f>IF('Calculations PJ'!AE100&lt;&gt;0,'Calculations PJ'!AE100*About!$B$45,0)</f>
        <v>710900353561.96838</v>
      </c>
      <c r="AF100">
        <f>IF('Calculations PJ'!AF100&lt;&gt;0,'Calculations PJ'!AF100*About!$B$45,0)</f>
        <v>710900353561.96838</v>
      </c>
      <c r="AG100">
        <f>IF('Calculations PJ'!AG100&lt;&gt;0,'Calculations PJ'!AG100*About!$B$45,0)</f>
        <v>701421682181.14209</v>
      </c>
      <c r="AH100">
        <f>IF('Calculations PJ'!AH100&lt;&gt;0,'Calculations PJ'!AH100*About!$B$45,0)</f>
        <v>701421682181.14209</v>
      </c>
      <c r="AI100">
        <f>IF('Calculations PJ'!AI100&lt;&gt;0,'Calculations PJ'!AI100*About!$B$45,0)</f>
        <v>701421682181.14209</v>
      </c>
      <c r="AJ100">
        <f>IF('Calculations PJ'!AJ100&lt;&gt;0,'Calculations PJ'!AJ100*About!$B$45,0)</f>
        <v>701421682181.14209</v>
      </c>
      <c r="AK100">
        <f>IF('Calculations PJ'!AK100&lt;&gt;0,'Calculations PJ'!AK100*About!$B$45,0)</f>
        <v>701421682181.14209</v>
      </c>
      <c r="AL100">
        <f>IF('Calculations PJ'!AL100&lt;&gt;0,'Calculations PJ'!AL100*About!$B$45,0)</f>
        <v>691943010800.31592</v>
      </c>
      <c r="AM100">
        <f>IF('Calculations PJ'!AM100&lt;&gt;0,'Calculations PJ'!AM100*About!$B$45,0)</f>
        <v>691943010800.31592</v>
      </c>
      <c r="AN100">
        <f>IF('Calculations PJ'!AN100&lt;&gt;0,'Calculations PJ'!AN100*About!$B$45,0)</f>
        <v>691943010800.31592</v>
      </c>
      <c r="AO100">
        <f>IF('Calculations PJ'!AO100&lt;&gt;0,'Calculations PJ'!AO100*About!$B$45,0)</f>
        <v>691943010800.31592</v>
      </c>
      <c r="AP100">
        <f>IF('Calculations PJ'!AP100&lt;&gt;0,'Calculations PJ'!AP100*About!$B$45,0)</f>
        <v>691943010800.31592</v>
      </c>
      <c r="AQ100">
        <f>IF('Calculations PJ'!AQ100&lt;&gt;0,'Calculations PJ'!AQ100*About!$B$45,0)</f>
        <v>691943010800.31592</v>
      </c>
      <c r="AR100">
        <f>IF('Calculations PJ'!AR100&lt;&gt;0,'Calculations PJ'!AR100*About!$B$45,0)</f>
        <v>691943010800.31592</v>
      </c>
      <c r="AS100">
        <f>IF('Calculations PJ'!AS100&lt;&gt;0,'Calculations PJ'!AS100*About!$B$45,0)</f>
        <v>691943010800.31592</v>
      </c>
      <c r="AT100">
        <f>IF('Calculations PJ'!AT100&lt;&gt;0,'Calculations PJ'!AT100*About!$B$45,0)</f>
        <v>691943010800.31592</v>
      </c>
      <c r="AU100">
        <f>IF('Calculations PJ'!AU100&lt;&gt;0,'Calculations PJ'!AU100*About!$B$45,0)</f>
        <v>691943010800.31592</v>
      </c>
      <c r="AV100">
        <f>IF('Calculations PJ'!AV100&lt;&gt;0,'Calculations PJ'!AV100*About!$B$45,0)</f>
        <v>691943010800.31592</v>
      </c>
      <c r="AW100">
        <f>IF('Calculations PJ'!AW100&lt;&gt;0,'Calculations PJ'!AW100*About!$B$45,0)</f>
        <v>691943010800.31592</v>
      </c>
      <c r="AX100">
        <f>IF('Calculations PJ'!AX100&lt;&gt;0,'Calculations PJ'!AX100*About!$B$45,0)</f>
        <v>691943010800.31592</v>
      </c>
      <c r="AY100">
        <f>IF('Calculations PJ'!AY100&lt;&gt;0,'Calculations PJ'!AY100*About!$B$45,0)</f>
        <v>691943010800.31592</v>
      </c>
      <c r="AZ100">
        <f>IF('Calculations PJ'!AZ100&lt;&gt;0,'Calculations PJ'!AZ100*About!$B$45,0)</f>
        <v>691943010800.31592</v>
      </c>
      <c r="BA100">
        <f>IF('Calculations PJ'!BA100&lt;&gt;0,'Calculations PJ'!BA100*About!$B$45,0)</f>
        <v>691943010800.31592</v>
      </c>
      <c r="BB100">
        <f>IF('Calculations PJ'!BB100&lt;&gt;0,'Calculations PJ'!BB100*About!$B$45,0)</f>
        <v>691943010800.31592</v>
      </c>
      <c r="BC100">
        <f>IF('Calculations PJ'!BC100&lt;&gt;0,'Calculations PJ'!BC100*About!$B$45,0)</f>
        <v>691943010800.31592</v>
      </c>
      <c r="BD100">
        <f>IF('Calculations PJ'!BD100&lt;&gt;0,'Calculations PJ'!BD100*About!$B$45,0)</f>
        <v>691943010800.31592</v>
      </c>
      <c r="BE100">
        <f>IF('Calculations PJ'!BE100&lt;&gt;0,'Calculations PJ'!BE100*About!$B$45,0)</f>
        <v>691943010800.31592</v>
      </c>
      <c r="BF100">
        <f>IF('Calculations PJ'!BF100&lt;&gt;0,'Calculations PJ'!BF100*About!$B$45,0)</f>
        <v>691943010800.31592</v>
      </c>
      <c r="BG100">
        <f>IF('Calculations PJ'!BG100&lt;&gt;0,'Calculations PJ'!BG100*About!$B$45,0)</f>
        <v>691943010800.31592</v>
      </c>
      <c r="BH100">
        <f>IF('Calculations PJ'!BH100&lt;&gt;0,'Calculations PJ'!BH100*About!$B$45,0)</f>
        <v>691943010800.31592</v>
      </c>
    </row>
    <row r="101" spans="1:60" hidden="1" outlineLevel="1">
      <c r="B101" t="s">
        <v>146</v>
      </c>
      <c r="C101">
        <f>IF('Calculations PJ'!C101&lt;&gt;0,'Calculations PJ'!C101*About!$B$45,0)</f>
        <v>0</v>
      </c>
      <c r="D101">
        <f>IF('Calculations PJ'!D101&lt;&gt;0,'Calculations PJ'!D101*About!$B$45,0)</f>
        <v>0</v>
      </c>
      <c r="E101">
        <f>IF('Calculations PJ'!E101&lt;&gt;0,'Calculations PJ'!E101*About!$B$45,0)</f>
        <v>0</v>
      </c>
      <c r="F101">
        <f>IF('Calculations PJ'!F101&lt;&gt;0,'Calculations PJ'!F101*About!$B$45,0)</f>
        <v>0</v>
      </c>
      <c r="G101">
        <f>IF('Calculations PJ'!G101&lt;&gt;0,'Calculations PJ'!G101*About!$B$45,0)</f>
        <v>0</v>
      </c>
      <c r="H101">
        <f>IF('Calculations PJ'!H101&lt;&gt;0,'Calculations PJ'!H101*About!$B$45,0)</f>
        <v>0</v>
      </c>
      <c r="I101">
        <f>IF('Calculations PJ'!I101&lt;&gt;0,'Calculations PJ'!I101*About!$B$45,0)</f>
        <v>0</v>
      </c>
      <c r="J101">
        <f>IF('Calculations PJ'!J101&lt;&gt;0,'Calculations PJ'!J101*About!$B$45,0)</f>
        <v>0</v>
      </c>
      <c r="K101">
        <f>IF('Calculations PJ'!K101&lt;&gt;0,'Calculations PJ'!K101*About!$B$45,0)</f>
        <v>0</v>
      </c>
      <c r="L101">
        <f>IF('Calculations PJ'!L101&lt;&gt;0,'Calculations PJ'!L101*About!$B$45,0)</f>
        <v>0</v>
      </c>
      <c r="M101">
        <f>IF('Calculations PJ'!M101&lt;&gt;0,'Calculations PJ'!M101*About!$B$45,0)</f>
        <v>0</v>
      </c>
      <c r="N101">
        <f>IF('Calculations PJ'!N101&lt;&gt;0,'Calculations PJ'!N101*About!$B$45,0)</f>
        <v>0</v>
      </c>
      <c r="O101">
        <f>IF('Calculations PJ'!O101&lt;&gt;0,'Calculations PJ'!O101*About!$B$45,0)</f>
        <v>0</v>
      </c>
      <c r="P101">
        <f>IF('Calculations PJ'!P101&lt;&gt;0,'Calculations PJ'!P101*About!$B$45,0)</f>
        <v>0</v>
      </c>
      <c r="Q101">
        <f>IF('Calculations PJ'!Q101&lt;&gt;0,'Calculations PJ'!Q101*About!$B$45,0)</f>
        <v>0</v>
      </c>
      <c r="R101">
        <f>IF('Calculations PJ'!R101&lt;&gt;0,'Calculations PJ'!R101*About!$B$45,0)</f>
        <v>0</v>
      </c>
      <c r="S101">
        <f>IF('Calculations PJ'!S101&lt;&gt;0,'Calculations PJ'!S101*About!$B$45,0)</f>
        <v>0</v>
      </c>
      <c r="T101">
        <f>IF('Calculations PJ'!T101&lt;&gt;0,'Calculations PJ'!T101*About!$B$45,0)</f>
        <v>0</v>
      </c>
      <c r="U101">
        <f>IF('Calculations PJ'!U101&lt;&gt;0,'Calculations PJ'!U101*About!$B$45,0)</f>
        <v>0</v>
      </c>
      <c r="V101">
        <f>IF('Calculations PJ'!V101&lt;&gt;0,'Calculations PJ'!V101*About!$B$45,0)</f>
        <v>0</v>
      </c>
      <c r="W101">
        <f>IF('Calculations PJ'!W101&lt;&gt;0,'Calculations PJ'!W101*About!$B$45,0)</f>
        <v>0</v>
      </c>
      <c r="X101">
        <f>IF('Calculations PJ'!X101&lt;&gt;0,'Calculations PJ'!X101*About!$B$45,0)</f>
        <v>0</v>
      </c>
      <c r="Y101">
        <f>IF('Calculations PJ'!Y101&lt;&gt;0,'Calculations PJ'!Y101*About!$B$45,0)</f>
        <v>0</v>
      </c>
      <c r="Z101">
        <f>IF('Calculations PJ'!Z101&lt;&gt;0,'Calculations PJ'!Z101*About!$B$45,0)</f>
        <v>0</v>
      </c>
      <c r="AA101">
        <f>IF('Calculations PJ'!AA101&lt;&gt;0,'Calculations PJ'!AA101*About!$B$45,0)</f>
        <v>0</v>
      </c>
      <c r="AB101">
        <f>IF('Calculations PJ'!AB101&lt;&gt;0,'Calculations PJ'!AB101*About!$B$45,0)</f>
        <v>0</v>
      </c>
      <c r="AC101">
        <f>IF('Calculations PJ'!AC101&lt;&gt;0,'Calculations PJ'!AC101*About!$B$45,0)</f>
        <v>0</v>
      </c>
      <c r="AD101">
        <f>IF('Calculations PJ'!AD101&lt;&gt;0,'Calculations PJ'!AD101*About!$B$45,0)</f>
        <v>0</v>
      </c>
      <c r="AE101">
        <f>IF('Calculations PJ'!AE101&lt;&gt;0,'Calculations PJ'!AE101*About!$B$45,0)</f>
        <v>0</v>
      </c>
      <c r="AF101">
        <f>IF('Calculations PJ'!AF101&lt;&gt;0,'Calculations PJ'!AF101*About!$B$45,0)</f>
        <v>0</v>
      </c>
      <c r="AG101">
        <f>IF('Calculations PJ'!AG101&lt;&gt;0,'Calculations PJ'!AG101*About!$B$45,0)</f>
        <v>0</v>
      </c>
      <c r="AH101">
        <f>IF('Calculations PJ'!AH101&lt;&gt;0,'Calculations PJ'!AH101*About!$B$45,0)</f>
        <v>0</v>
      </c>
      <c r="AI101">
        <f>IF('Calculations PJ'!AI101&lt;&gt;0,'Calculations PJ'!AI101*About!$B$45,0)</f>
        <v>0</v>
      </c>
      <c r="AJ101">
        <f>IF('Calculations PJ'!AJ101&lt;&gt;0,'Calculations PJ'!AJ101*About!$B$45,0)</f>
        <v>0</v>
      </c>
      <c r="AK101">
        <f>IF('Calculations PJ'!AK101&lt;&gt;0,'Calculations PJ'!AK101*About!$B$45,0)</f>
        <v>0</v>
      </c>
      <c r="AL101">
        <f>IF('Calculations PJ'!AL101&lt;&gt;0,'Calculations PJ'!AL101*About!$B$45,0)</f>
        <v>0</v>
      </c>
      <c r="AM101">
        <f>IF('Calculations PJ'!AM101&lt;&gt;0,'Calculations PJ'!AM101*About!$B$45,0)</f>
        <v>0</v>
      </c>
      <c r="AN101">
        <f>IF('Calculations PJ'!AN101&lt;&gt;0,'Calculations PJ'!AN101*About!$B$45,0)</f>
        <v>0</v>
      </c>
      <c r="AO101">
        <f>IF('Calculations PJ'!AO101&lt;&gt;0,'Calculations PJ'!AO101*About!$B$45,0)</f>
        <v>0</v>
      </c>
      <c r="AP101">
        <f>IF('Calculations PJ'!AP101&lt;&gt;0,'Calculations PJ'!AP101*About!$B$45,0)</f>
        <v>0</v>
      </c>
      <c r="AQ101">
        <f>IF('Calculations PJ'!AQ101&lt;&gt;0,'Calculations PJ'!AQ101*About!$B$45,0)</f>
        <v>0</v>
      </c>
      <c r="AR101">
        <f>IF('Calculations PJ'!AR101&lt;&gt;0,'Calculations PJ'!AR101*About!$B$45,0)</f>
        <v>0</v>
      </c>
      <c r="AS101">
        <f>IF('Calculations PJ'!AS101&lt;&gt;0,'Calculations PJ'!AS101*About!$B$45,0)</f>
        <v>0</v>
      </c>
      <c r="AT101">
        <f>IF('Calculations PJ'!AT101&lt;&gt;0,'Calculations PJ'!AT101*About!$B$45,0)</f>
        <v>0</v>
      </c>
      <c r="AU101">
        <f>IF('Calculations PJ'!AU101&lt;&gt;0,'Calculations PJ'!AU101*About!$B$45,0)</f>
        <v>0</v>
      </c>
      <c r="AV101">
        <f>IF('Calculations PJ'!AV101&lt;&gt;0,'Calculations PJ'!AV101*About!$B$45,0)</f>
        <v>0</v>
      </c>
      <c r="AW101">
        <f>IF('Calculations PJ'!AW101&lt;&gt;0,'Calculations PJ'!AW101*About!$B$45,0)</f>
        <v>0</v>
      </c>
      <c r="AX101">
        <f>IF('Calculations PJ'!AX101&lt;&gt;0,'Calculations PJ'!AX101*About!$B$45,0)</f>
        <v>0</v>
      </c>
      <c r="AY101">
        <f>IF('Calculations PJ'!AY101&lt;&gt;0,'Calculations PJ'!AY101*About!$B$45,0)</f>
        <v>0</v>
      </c>
      <c r="AZ101">
        <f>IF('Calculations PJ'!AZ101&lt;&gt;0,'Calculations PJ'!AZ101*About!$B$45,0)</f>
        <v>0</v>
      </c>
      <c r="BA101">
        <f>IF('Calculations PJ'!BA101&lt;&gt;0,'Calculations PJ'!BA101*About!$B$45,0)</f>
        <v>0</v>
      </c>
      <c r="BB101">
        <f>IF('Calculations PJ'!BB101&lt;&gt;0,'Calculations PJ'!BB101*About!$B$45,0)</f>
        <v>0</v>
      </c>
      <c r="BC101">
        <f>IF('Calculations PJ'!BC101&lt;&gt;0,'Calculations PJ'!BC101*About!$B$45,0)</f>
        <v>0</v>
      </c>
      <c r="BD101">
        <f>IF('Calculations PJ'!BD101&lt;&gt;0,'Calculations PJ'!BD101*About!$B$45,0)</f>
        <v>0</v>
      </c>
      <c r="BE101">
        <f>IF('Calculations PJ'!BE101&lt;&gt;0,'Calculations PJ'!BE101*About!$B$45,0)</f>
        <v>0</v>
      </c>
      <c r="BF101">
        <f>IF('Calculations PJ'!BF101&lt;&gt;0,'Calculations PJ'!BF101*About!$B$45,0)</f>
        <v>0</v>
      </c>
      <c r="BG101">
        <f>IF('Calculations PJ'!BG101&lt;&gt;0,'Calculations PJ'!BG101*About!$B$45,0)</f>
        <v>0</v>
      </c>
      <c r="BH101">
        <f>IF('Calculations PJ'!BH101&lt;&gt;0,'Calculations PJ'!BH101*About!$B$45,0)</f>
        <v>0</v>
      </c>
    </row>
    <row r="102" spans="1:60" hidden="1" outlineLevel="1">
      <c r="B102" t="s">
        <v>147</v>
      </c>
      <c r="C102">
        <f>IF('Calculations PJ'!C102&lt;&gt;0,'Calculations PJ'!C102*About!$B$45,0)</f>
        <v>32786724306277.977</v>
      </c>
      <c r="D102">
        <f>IF('Calculations PJ'!D102&lt;&gt;0,'Calculations PJ'!D102*About!$B$45,0)</f>
        <v>29061606453613.27</v>
      </c>
      <c r="E102">
        <f>IF('Calculations PJ'!E102&lt;&gt;0,'Calculations PJ'!E102*About!$B$45,0)</f>
        <v>39668239728757.836</v>
      </c>
      <c r="F102">
        <f>IF('Calculations PJ'!F102&lt;&gt;0,'Calculations PJ'!F102*About!$B$45,0)</f>
        <v>47914683830076.664</v>
      </c>
      <c r="G102">
        <f>IF('Calculations PJ'!G102&lt;&gt;0,'Calculations PJ'!G102*About!$B$45,0)</f>
        <v>24492886848055.016</v>
      </c>
      <c r="H102">
        <f>IF('Calculations PJ'!H102&lt;&gt;0,'Calculations PJ'!H102*About!$B$45,0)</f>
        <v>26369663781458.613</v>
      </c>
      <c r="I102">
        <f>IF('Calculations PJ'!I102&lt;&gt;0,'Calculations PJ'!I102*About!$B$45,0)</f>
        <v>28236962043481.383</v>
      </c>
      <c r="J102">
        <f>IF('Calculations PJ'!J102&lt;&gt;0,'Calculations PJ'!J102*About!$B$45,0)</f>
        <v>23800943837254.699</v>
      </c>
      <c r="K102">
        <f>IF('Calculations PJ'!K102&lt;&gt;0,'Calculations PJ'!K102*About!$B$45,0)</f>
        <v>25450232657518.469</v>
      </c>
      <c r="L102">
        <f>IF('Calculations PJ'!L102&lt;&gt;0,'Calculations PJ'!L102*About!$B$45,0)</f>
        <v>25507104685803.426</v>
      </c>
      <c r="M102">
        <f>IF('Calculations PJ'!M102&lt;&gt;0,'Calculations PJ'!M102*About!$B$45,0)</f>
        <v>25507104685803.426</v>
      </c>
      <c r="N102">
        <f>IF('Calculations PJ'!N102&lt;&gt;0,'Calculations PJ'!N102*About!$B$45,0)</f>
        <v>25430624440356.098</v>
      </c>
      <c r="O102">
        <f>IF('Calculations PJ'!O102&lt;&gt;0,'Calculations PJ'!O102*About!$B$45,0)</f>
        <v>25354154364821.281</v>
      </c>
      <c r="P102">
        <f>IF('Calculations PJ'!P102&lt;&gt;0,'Calculations PJ'!P102*About!$B$45,0)</f>
        <v>25277663949461.445</v>
      </c>
      <c r="Q102">
        <f>IF('Calculations PJ'!Q102&lt;&gt;0,'Calculations PJ'!Q102*About!$B$45,0)</f>
        <v>25201183704014.117</v>
      </c>
      <c r="R102">
        <f>IF('Calculations PJ'!R102&lt;&gt;0,'Calculations PJ'!R102*About!$B$45,0)</f>
        <v>25124713628479.301</v>
      </c>
      <c r="S102">
        <f>IF('Calculations PJ'!S102&lt;&gt;0,'Calculations PJ'!S102*About!$B$45,0)</f>
        <v>25048223213119.461</v>
      </c>
      <c r="T102">
        <f>IF('Calculations PJ'!T102&lt;&gt;0,'Calculations PJ'!T102*About!$B$45,0)</f>
        <v>24971753137584.648</v>
      </c>
      <c r="U102">
        <f>IF('Calculations PJ'!U102&lt;&gt;0,'Calculations PJ'!U102*About!$B$45,0)</f>
        <v>24895283062049.832</v>
      </c>
      <c r="V102">
        <f>IF('Calculations PJ'!V102&lt;&gt;0,'Calculations PJ'!V102*About!$B$45,0)</f>
        <v>24818782476777.48</v>
      </c>
      <c r="W102">
        <f>IF('Calculations PJ'!W102&lt;&gt;0,'Calculations PJ'!W102*About!$B$45,0)</f>
        <v>24742312401242.668</v>
      </c>
      <c r="X102">
        <f>IF('Calculations PJ'!X102&lt;&gt;0,'Calculations PJ'!X102*About!$B$45,0)</f>
        <v>24668242425060.496</v>
      </c>
      <c r="Y102">
        <f>IF('Calculations PJ'!Y102&lt;&gt;0,'Calculations PJ'!Y102*About!$B$45,0)</f>
        <v>24597426820881.91</v>
      </c>
      <c r="Z102">
        <f>IF('Calculations PJ'!Z102&lt;&gt;0,'Calculations PJ'!Z102*About!$B$45,0)</f>
        <v>24536100057996.66</v>
      </c>
      <c r="AA102">
        <f>IF('Calculations PJ'!AA102&lt;&gt;0,'Calculations PJ'!AA102*About!$B$45,0)</f>
        <v>24465274283905.559</v>
      </c>
      <c r="AB102">
        <f>IF('Calculations PJ'!AB102&lt;&gt;0,'Calculations PJ'!AB102*About!$B$45,0)</f>
        <v>24394458679726.977</v>
      </c>
      <c r="AC102">
        <f>IF('Calculations PJ'!AC102&lt;&gt;0,'Calculations PJ'!AC102*About!$B$45,0)</f>
        <v>24323663415373.41</v>
      </c>
      <c r="AD102">
        <f>IF('Calculations PJ'!AD102&lt;&gt;0,'Calculations PJ'!AD102*About!$B$45,0)</f>
        <v>24252827471369.801</v>
      </c>
      <c r="AE102">
        <f>IF('Calculations PJ'!AE102&lt;&gt;0,'Calculations PJ'!AE102*About!$B$45,0)</f>
        <v>24182011867191.211</v>
      </c>
      <c r="AF102">
        <f>IF('Calculations PJ'!AF102&lt;&gt;0,'Calculations PJ'!AF102*About!$B$45,0)</f>
        <v>24111206432925.137</v>
      </c>
      <c r="AG102">
        <f>IF('Calculations PJ'!AG102&lt;&gt;0,'Calculations PJ'!AG102*About!$B$45,0)</f>
        <v>24040390828746.551</v>
      </c>
      <c r="AH102">
        <f>IF('Calculations PJ'!AH102&lt;&gt;0,'Calculations PJ'!AH102*About!$B$45,0)</f>
        <v>23969565054655.453</v>
      </c>
      <c r="AI102">
        <f>IF('Calculations PJ'!AI102&lt;&gt;0,'Calculations PJ'!AI102*About!$B$45,0)</f>
        <v>23898759620389.379</v>
      </c>
      <c r="AJ102">
        <f>IF('Calculations PJ'!AJ102&lt;&gt;0,'Calculations PJ'!AJ102*About!$B$45,0)</f>
        <v>23827944016210.789</v>
      </c>
      <c r="AK102">
        <f>IF('Calculations PJ'!AK102&lt;&gt;0,'Calculations PJ'!AK102*About!$B$45,0)</f>
        <v>23757128412032.203</v>
      </c>
      <c r="AL102">
        <f>IF('Calculations PJ'!AL102&lt;&gt;0,'Calculations PJ'!AL102*About!$B$45,0)</f>
        <v>23695781309321.934</v>
      </c>
      <c r="AM102">
        <f>IF('Calculations PJ'!AM102&lt;&gt;0,'Calculations PJ'!AM102*About!$B$45,0)</f>
        <v>23615548053237.582</v>
      </c>
      <c r="AN102">
        <f>IF('Calculations PJ'!AN102&lt;&gt;0,'Calculations PJ'!AN102*About!$B$45,0)</f>
        <v>23544783298621.555</v>
      </c>
      <c r="AO102">
        <f>IF('Calculations PJ'!AO102&lt;&gt;0,'Calculations PJ'!AO102*About!$B$45,0)</f>
        <v>23544783298621.555</v>
      </c>
      <c r="AP102">
        <f>IF('Calculations PJ'!AP102&lt;&gt;0,'Calculations PJ'!AP102*About!$B$45,0)</f>
        <v>23544783298621.555</v>
      </c>
      <c r="AQ102">
        <f>IF('Calculations PJ'!AQ102&lt;&gt;0,'Calculations PJ'!AQ102*About!$B$45,0)</f>
        <v>23544783298621.555</v>
      </c>
      <c r="AR102">
        <f>IF('Calculations PJ'!AR102&lt;&gt;0,'Calculations PJ'!AR102*About!$B$45,0)</f>
        <v>23544783298621.555</v>
      </c>
      <c r="AS102">
        <f>IF('Calculations PJ'!AS102&lt;&gt;0,'Calculations PJ'!AS102*About!$B$45,0)</f>
        <v>23544783298621.555</v>
      </c>
      <c r="AT102">
        <f>IF('Calculations PJ'!AT102&lt;&gt;0,'Calculations PJ'!AT102*About!$B$45,0)</f>
        <v>23544783298621.555</v>
      </c>
      <c r="AU102">
        <f>IF('Calculations PJ'!AU102&lt;&gt;0,'Calculations PJ'!AU102*About!$B$45,0)</f>
        <v>23544783298621.555</v>
      </c>
      <c r="AV102">
        <f>IF('Calculations PJ'!AV102&lt;&gt;0,'Calculations PJ'!AV102*About!$B$45,0)</f>
        <v>23544783298621.555</v>
      </c>
      <c r="AW102">
        <f>IF('Calculations PJ'!AW102&lt;&gt;0,'Calculations PJ'!AW102*About!$B$45,0)</f>
        <v>23544783298621.555</v>
      </c>
      <c r="AX102">
        <f>IF('Calculations PJ'!AX102&lt;&gt;0,'Calculations PJ'!AX102*About!$B$45,0)</f>
        <v>23544783298621.555</v>
      </c>
      <c r="AY102">
        <f>IF('Calculations PJ'!AY102&lt;&gt;0,'Calculations PJ'!AY102*About!$B$45,0)</f>
        <v>23544783298621.555</v>
      </c>
      <c r="AZ102">
        <f>IF('Calculations PJ'!AZ102&lt;&gt;0,'Calculations PJ'!AZ102*About!$B$45,0)</f>
        <v>23544783298621.555</v>
      </c>
      <c r="BA102">
        <f>IF('Calculations PJ'!BA102&lt;&gt;0,'Calculations PJ'!BA102*About!$B$45,0)</f>
        <v>23544783298621.555</v>
      </c>
      <c r="BB102">
        <f>IF('Calculations PJ'!BB102&lt;&gt;0,'Calculations PJ'!BB102*About!$B$45,0)</f>
        <v>23544783298621.555</v>
      </c>
      <c r="BC102">
        <f>IF('Calculations PJ'!BC102&lt;&gt;0,'Calculations PJ'!BC102*About!$B$45,0)</f>
        <v>23544783298621.555</v>
      </c>
      <c r="BD102">
        <f>IF('Calculations PJ'!BD102&lt;&gt;0,'Calculations PJ'!BD102*About!$B$45,0)</f>
        <v>23544783298621.555</v>
      </c>
      <c r="BE102">
        <f>IF('Calculations PJ'!BE102&lt;&gt;0,'Calculations PJ'!BE102*About!$B$45,0)</f>
        <v>23544783298621.555</v>
      </c>
      <c r="BF102">
        <f>IF('Calculations PJ'!BF102&lt;&gt;0,'Calculations PJ'!BF102*About!$B$45,0)</f>
        <v>23544783298621.555</v>
      </c>
      <c r="BG102">
        <f>IF('Calculations PJ'!BG102&lt;&gt;0,'Calculations PJ'!BG102*About!$B$45,0)</f>
        <v>23544783298621.555</v>
      </c>
      <c r="BH102">
        <f>IF('Calculations PJ'!BH102&lt;&gt;0,'Calculations PJ'!BH102*About!$B$45,0)</f>
        <v>23544783298621.555</v>
      </c>
    </row>
    <row r="103" spans="1:60" hidden="1" outlineLevel="1">
      <c r="B103" t="s">
        <v>148</v>
      </c>
      <c r="C103">
        <f>IF('Calculations PJ'!C103&lt;&gt;0,'Calculations PJ'!C103*About!$B$45,0)</f>
        <v>0</v>
      </c>
      <c r="D103">
        <f>IF('Calculations PJ'!D103&lt;&gt;0,'Calculations PJ'!D103*About!$B$45,0)</f>
        <v>0</v>
      </c>
      <c r="E103">
        <f>IF('Calculations PJ'!E103&lt;&gt;0,'Calculations PJ'!E103*About!$B$45,0)</f>
        <v>0</v>
      </c>
      <c r="F103">
        <f>IF('Calculations PJ'!F103&lt;&gt;0,'Calculations PJ'!F103*About!$B$45,0)</f>
        <v>0</v>
      </c>
      <c r="G103">
        <f>IF('Calculations PJ'!G103&lt;&gt;0,'Calculations PJ'!G103*About!$B$45,0)</f>
        <v>0</v>
      </c>
      <c r="H103">
        <f>IF('Calculations PJ'!H103&lt;&gt;0,'Calculations PJ'!H103*About!$B$45,0)</f>
        <v>0</v>
      </c>
      <c r="I103">
        <f>IF('Calculations PJ'!I103&lt;&gt;0,'Calculations PJ'!I103*About!$B$45,0)</f>
        <v>0</v>
      </c>
      <c r="J103">
        <f>IF('Calculations PJ'!J103&lt;&gt;0,'Calculations PJ'!J103*About!$B$45,0)</f>
        <v>0</v>
      </c>
      <c r="K103">
        <f>IF('Calculations PJ'!K103&lt;&gt;0,'Calculations PJ'!K103*About!$B$45,0)</f>
        <v>0</v>
      </c>
      <c r="L103">
        <f>IF('Calculations PJ'!L103&lt;&gt;0,'Calculations PJ'!L103*About!$B$45,0)</f>
        <v>0</v>
      </c>
      <c r="M103">
        <f>IF('Calculations PJ'!M103&lt;&gt;0,'Calculations PJ'!M103*About!$B$45,0)</f>
        <v>0</v>
      </c>
      <c r="N103">
        <f>IF('Calculations PJ'!N103&lt;&gt;0,'Calculations PJ'!N103*About!$B$45,0)</f>
        <v>0</v>
      </c>
      <c r="O103">
        <f>IF('Calculations PJ'!O103&lt;&gt;0,'Calculations PJ'!O103*About!$B$45,0)</f>
        <v>0</v>
      </c>
      <c r="P103">
        <f>IF('Calculations PJ'!P103&lt;&gt;0,'Calculations PJ'!P103*About!$B$45,0)</f>
        <v>0</v>
      </c>
      <c r="Q103">
        <f>IF('Calculations PJ'!Q103&lt;&gt;0,'Calculations PJ'!Q103*About!$B$45,0)</f>
        <v>0</v>
      </c>
      <c r="R103">
        <f>IF('Calculations PJ'!R103&lt;&gt;0,'Calculations PJ'!R103*About!$B$45,0)</f>
        <v>0</v>
      </c>
      <c r="S103">
        <f>IF('Calculations PJ'!S103&lt;&gt;0,'Calculations PJ'!S103*About!$B$45,0)</f>
        <v>0</v>
      </c>
      <c r="T103">
        <f>IF('Calculations PJ'!T103&lt;&gt;0,'Calculations PJ'!T103*About!$B$45,0)</f>
        <v>0</v>
      </c>
      <c r="U103">
        <f>IF('Calculations PJ'!U103&lt;&gt;0,'Calculations PJ'!U103*About!$B$45,0)</f>
        <v>0</v>
      </c>
      <c r="V103">
        <f>IF('Calculations PJ'!V103&lt;&gt;0,'Calculations PJ'!V103*About!$B$45,0)</f>
        <v>0</v>
      </c>
      <c r="W103">
        <f>IF('Calculations PJ'!W103&lt;&gt;0,'Calculations PJ'!W103*About!$B$45,0)</f>
        <v>0</v>
      </c>
      <c r="X103">
        <f>IF('Calculations PJ'!X103&lt;&gt;0,'Calculations PJ'!X103*About!$B$45,0)</f>
        <v>0</v>
      </c>
      <c r="Y103">
        <f>IF('Calculations PJ'!Y103&lt;&gt;0,'Calculations PJ'!Y103*About!$B$45,0)</f>
        <v>0</v>
      </c>
      <c r="Z103">
        <f>IF('Calculations PJ'!Z103&lt;&gt;0,'Calculations PJ'!Z103*About!$B$45,0)</f>
        <v>0</v>
      </c>
      <c r="AA103">
        <f>IF('Calculations PJ'!AA103&lt;&gt;0,'Calculations PJ'!AA103*About!$B$45,0)</f>
        <v>0</v>
      </c>
      <c r="AB103">
        <f>IF('Calculations PJ'!AB103&lt;&gt;0,'Calculations PJ'!AB103*About!$B$45,0)</f>
        <v>0</v>
      </c>
      <c r="AC103">
        <f>IF('Calculations PJ'!AC103&lt;&gt;0,'Calculations PJ'!AC103*About!$B$45,0)</f>
        <v>0</v>
      </c>
      <c r="AD103">
        <f>IF('Calculations PJ'!AD103&lt;&gt;0,'Calculations PJ'!AD103*About!$B$45,0)</f>
        <v>0</v>
      </c>
      <c r="AE103">
        <f>IF('Calculations PJ'!AE103&lt;&gt;0,'Calculations PJ'!AE103*About!$B$45,0)</f>
        <v>0</v>
      </c>
      <c r="AF103">
        <f>IF('Calculations PJ'!AF103&lt;&gt;0,'Calculations PJ'!AF103*About!$B$45,0)</f>
        <v>0</v>
      </c>
      <c r="AG103">
        <f>IF('Calculations PJ'!AG103&lt;&gt;0,'Calculations PJ'!AG103*About!$B$45,0)</f>
        <v>0</v>
      </c>
      <c r="AH103">
        <f>IF('Calculations PJ'!AH103&lt;&gt;0,'Calculations PJ'!AH103*About!$B$45,0)</f>
        <v>0</v>
      </c>
      <c r="AI103">
        <f>IF('Calculations PJ'!AI103&lt;&gt;0,'Calculations PJ'!AI103*About!$B$45,0)</f>
        <v>0</v>
      </c>
      <c r="AJ103">
        <f>IF('Calculations PJ'!AJ103&lt;&gt;0,'Calculations PJ'!AJ103*About!$B$45,0)</f>
        <v>0</v>
      </c>
      <c r="AK103">
        <f>IF('Calculations PJ'!AK103&lt;&gt;0,'Calculations PJ'!AK103*About!$B$45,0)</f>
        <v>0</v>
      </c>
      <c r="AL103">
        <f>IF('Calculations PJ'!AL103&lt;&gt;0,'Calculations PJ'!AL103*About!$B$45,0)</f>
        <v>0</v>
      </c>
      <c r="AM103">
        <f>IF('Calculations PJ'!AM103&lt;&gt;0,'Calculations PJ'!AM103*About!$B$45,0)</f>
        <v>0</v>
      </c>
      <c r="AN103">
        <f>IF('Calculations PJ'!AN103&lt;&gt;0,'Calculations PJ'!AN103*About!$B$45,0)</f>
        <v>0</v>
      </c>
      <c r="AO103">
        <f>IF('Calculations PJ'!AO103&lt;&gt;0,'Calculations PJ'!AO103*About!$B$45,0)</f>
        <v>0</v>
      </c>
      <c r="AP103">
        <f>IF('Calculations PJ'!AP103&lt;&gt;0,'Calculations PJ'!AP103*About!$B$45,0)</f>
        <v>0</v>
      </c>
      <c r="AQ103">
        <f>IF('Calculations PJ'!AQ103&lt;&gt;0,'Calculations PJ'!AQ103*About!$B$45,0)</f>
        <v>0</v>
      </c>
      <c r="AR103">
        <f>IF('Calculations PJ'!AR103&lt;&gt;0,'Calculations PJ'!AR103*About!$B$45,0)</f>
        <v>0</v>
      </c>
      <c r="AS103">
        <f>IF('Calculations PJ'!AS103&lt;&gt;0,'Calculations PJ'!AS103*About!$B$45,0)</f>
        <v>0</v>
      </c>
      <c r="AT103">
        <f>IF('Calculations PJ'!AT103&lt;&gt;0,'Calculations PJ'!AT103*About!$B$45,0)</f>
        <v>0</v>
      </c>
      <c r="AU103">
        <f>IF('Calculations PJ'!AU103&lt;&gt;0,'Calculations PJ'!AU103*About!$B$45,0)</f>
        <v>0</v>
      </c>
      <c r="AV103">
        <f>IF('Calculations PJ'!AV103&lt;&gt;0,'Calculations PJ'!AV103*About!$B$45,0)</f>
        <v>0</v>
      </c>
      <c r="AW103">
        <f>IF('Calculations PJ'!AW103&lt;&gt;0,'Calculations PJ'!AW103*About!$B$45,0)</f>
        <v>0</v>
      </c>
      <c r="AX103">
        <f>IF('Calculations PJ'!AX103&lt;&gt;0,'Calculations PJ'!AX103*About!$B$45,0)</f>
        <v>0</v>
      </c>
      <c r="AY103">
        <f>IF('Calculations PJ'!AY103&lt;&gt;0,'Calculations PJ'!AY103*About!$B$45,0)</f>
        <v>0</v>
      </c>
      <c r="AZ103">
        <f>IF('Calculations PJ'!AZ103&lt;&gt;0,'Calculations PJ'!AZ103*About!$B$45,0)</f>
        <v>0</v>
      </c>
      <c r="BA103">
        <f>IF('Calculations PJ'!BA103&lt;&gt;0,'Calculations PJ'!BA103*About!$B$45,0)</f>
        <v>0</v>
      </c>
      <c r="BB103">
        <f>IF('Calculations PJ'!BB103&lt;&gt;0,'Calculations PJ'!BB103*About!$B$45,0)</f>
        <v>0</v>
      </c>
      <c r="BC103">
        <f>IF('Calculations PJ'!BC103&lt;&gt;0,'Calculations PJ'!BC103*About!$B$45,0)</f>
        <v>0</v>
      </c>
      <c r="BD103">
        <f>IF('Calculations PJ'!BD103&lt;&gt;0,'Calculations PJ'!BD103*About!$B$45,0)</f>
        <v>0</v>
      </c>
      <c r="BE103">
        <f>IF('Calculations PJ'!BE103&lt;&gt;0,'Calculations PJ'!BE103*About!$B$45,0)</f>
        <v>0</v>
      </c>
      <c r="BF103">
        <f>IF('Calculations PJ'!BF103&lt;&gt;0,'Calculations PJ'!BF103*About!$B$45,0)</f>
        <v>0</v>
      </c>
      <c r="BG103">
        <f>IF('Calculations PJ'!BG103&lt;&gt;0,'Calculations PJ'!BG103*About!$B$45,0)</f>
        <v>0</v>
      </c>
      <c r="BH103">
        <f>IF('Calculations PJ'!BH103&lt;&gt;0,'Calculations PJ'!BH103*About!$B$45,0)</f>
        <v>0</v>
      </c>
    </row>
    <row r="104" spans="1:60" hidden="1" outlineLevel="1">
      <c r="B104" t="s">
        <v>149</v>
      </c>
      <c r="C104">
        <f>IF('Calculations PJ'!C104&lt;&gt;0,'Calculations PJ'!C104*About!$B$45,0)</f>
        <v>0</v>
      </c>
      <c r="D104">
        <f>IF('Calculations PJ'!D104&lt;&gt;0,'Calculations PJ'!D104*About!$B$45,0)</f>
        <v>0</v>
      </c>
      <c r="E104">
        <f>IF('Calculations PJ'!E104&lt;&gt;0,'Calculations PJ'!E104*About!$B$45,0)</f>
        <v>0</v>
      </c>
      <c r="F104">
        <f>IF('Calculations PJ'!F104&lt;&gt;0,'Calculations PJ'!F104*About!$B$45,0)</f>
        <v>0</v>
      </c>
      <c r="G104">
        <f>IF('Calculations PJ'!G104&lt;&gt;0,'Calculations PJ'!G104*About!$B$45,0)</f>
        <v>0</v>
      </c>
      <c r="H104">
        <f>IF('Calculations PJ'!H104&lt;&gt;0,'Calculations PJ'!H104*About!$B$45,0)</f>
        <v>0</v>
      </c>
      <c r="I104">
        <f>IF('Calculations PJ'!I104&lt;&gt;0,'Calculations PJ'!I104*About!$B$45,0)</f>
        <v>0</v>
      </c>
      <c r="J104">
        <f>IF('Calculations PJ'!J104&lt;&gt;0,'Calculations PJ'!J104*About!$B$45,0)</f>
        <v>0</v>
      </c>
      <c r="K104">
        <f>IF('Calculations PJ'!K104&lt;&gt;0,'Calculations PJ'!K104*About!$B$45,0)</f>
        <v>0</v>
      </c>
      <c r="L104">
        <f>IF('Calculations PJ'!L104&lt;&gt;0,'Calculations PJ'!L104*About!$B$45,0)</f>
        <v>0</v>
      </c>
      <c r="M104">
        <f>IF('Calculations PJ'!M104&lt;&gt;0,'Calculations PJ'!M104*About!$B$45,0)</f>
        <v>0</v>
      </c>
      <c r="N104">
        <f>IF('Calculations PJ'!N104&lt;&gt;0,'Calculations PJ'!N104*About!$B$45,0)</f>
        <v>0</v>
      </c>
      <c r="O104">
        <f>IF('Calculations PJ'!O104&lt;&gt;0,'Calculations PJ'!O104*About!$B$45,0)</f>
        <v>0</v>
      </c>
      <c r="P104">
        <f>IF('Calculations PJ'!P104&lt;&gt;0,'Calculations PJ'!P104*About!$B$45,0)</f>
        <v>0</v>
      </c>
      <c r="Q104">
        <f>IF('Calculations PJ'!Q104&lt;&gt;0,'Calculations PJ'!Q104*About!$B$45,0)</f>
        <v>0</v>
      </c>
      <c r="R104">
        <f>IF('Calculations PJ'!R104&lt;&gt;0,'Calculations PJ'!R104*About!$B$45,0)</f>
        <v>0</v>
      </c>
      <c r="S104">
        <f>IF('Calculations PJ'!S104&lt;&gt;0,'Calculations PJ'!S104*About!$B$45,0)</f>
        <v>0</v>
      </c>
      <c r="T104">
        <f>IF('Calculations PJ'!T104&lt;&gt;0,'Calculations PJ'!T104*About!$B$45,0)</f>
        <v>0</v>
      </c>
      <c r="U104">
        <f>IF('Calculations PJ'!U104&lt;&gt;0,'Calculations PJ'!U104*About!$B$45,0)</f>
        <v>0</v>
      </c>
      <c r="V104">
        <f>IF('Calculations PJ'!V104&lt;&gt;0,'Calculations PJ'!V104*About!$B$45,0)</f>
        <v>0</v>
      </c>
      <c r="W104">
        <f>IF('Calculations PJ'!W104&lt;&gt;0,'Calculations PJ'!W104*About!$B$45,0)</f>
        <v>0</v>
      </c>
      <c r="X104">
        <f>IF('Calculations PJ'!X104&lt;&gt;0,'Calculations PJ'!X104*About!$B$45,0)</f>
        <v>0</v>
      </c>
      <c r="Y104">
        <f>IF('Calculations PJ'!Y104&lt;&gt;0,'Calculations PJ'!Y104*About!$B$45,0)</f>
        <v>0</v>
      </c>
      <c r="Z104">
        <f>IF('Calculations PJ'!Z104&lt;&gt;0,'Calculations PJ'!Z104*About!$B$45,0)</f>
        <v>0</v>
      </c>
      <c r="AA104">
        <f>IF('Calculations PJ'!AA104&lt;&gt;0,'Calculations PJ'!AA104*About!$B$45,0)</f>
        <v>0</v>
      </c>
      <c r="AB104">
        <f>IF('Calculations PJ'!AB104&lt;&gt;0,'Calculations PJ'!AB104*About!$B$45,0)</f>
        <v>0</v>
      </c>
      <c r="AC104">
        <f>IF('Calculations PJ'!AC104&lt;&gt;0,'Calculations PJ'!AC104*About!$B$45,0)</f>
        <v>0</v>
      </c>
      <c r="AD104">
        <f>IF('Calculations PJ'!AD104&lt;&gt;0,'Calculations PJ'!AD104*About!$B$45,0)</f>
        <v>0</v>
      </c>
      <c r="AE104">
        <f>IF('Calculations PJ'!AE104&lt;&gt;0,'Calculations PJ'!AE104*About!$B$45,0)</f>
        <v>0</v>
      </c>
      <c r="AF104">
        <f>IF('Calculations PJ'!AF104&lt;&gt;0,'Calculations PJ'!AF104*About!$B$45,0)</f>
        <v>0</v>
      </c>
      <c r="AG104">
        <f>IF('Calculations PJ'!AG104&lt;&gt;0,'Calculations PJ'!AG104*About!$B$45,0)</f>
        <v>0</v>
      </c>
      <c r="AH104">
        <f>IF('Calculations PJ'!AH104&lt;&gt;0,'Calculations PJ'!AH104*About!$B$45,0)</f>
        <v>0</v>
      </c>
      <c r="AI104">
        <f>IF('Calculations PJ'!AI104&lt;&gt;0,'Calculations PJ'!AI104*About!$B$45,0)</f>
        <v>0</v>
      </c>
      <c r="AJ104">
        <f>IF('Calculations PJ'!AJ104&lt;&gt;0,'Calculations PJ'!AJ104*About!$B$45,0)</f>
        <v>0</v>
      </c>
      <c r="AK104">
        <f>IF('Calculations PJ'!AK104&lt;&gt;0,'Calculations PJ'!AK104*About!$B$45,0)</f>
        <v>0</v>
      </c>
      <c r="AL104">
        <f>IF('Calculations PJ'!AL104&lt;&gt;0,'Calculations PJ'!AL104*About!$B$45,0)</f>
        <v>0</v>
      </c>
      <c r="AM104">
        <f>IF('Calculations PJ'!AM104&lt;&gt;0,'Calculations PJ'!AM104*About!$B$45,0)</f>
        <v>0</v>
      </c>
      <c r="AN104">
        <f>IF('Calculations PJ'!AN104&lt;&gt;0,'Calculations PJ'!AN104*About!$B$45,0)</f>
        <v>0</v>
      </c>
      <c r="AO104">
        <f>IF('Calculations PJ'!AO104&lt;&gt;0,'Calculations PJ'!AO104*About!$B$45,0)</f>
        <v>0</v>
      </c>
      <c r="AP104">
        <f>IF('Calculations PJ'!AP104&lt;&gt;0,'Calculations PJ'!AP104*About!$B$45,0)</f>
        <v>0</v>
      </c>
      <c r="AQ104">
        <f>IF('Calculations PJ'!AQ104&lt;&gt;0,'Calculations PJ'!AQ104*About!$B$45,0)</f>
        <v>0</v>
      </c>
      <c r="AR104">
        <f>IF('Calculations PJ'!AR104&lt;&gt;0,'Calculations PJ'!AR104*About!$B$45,0)</f>
        <v>0</v>
      </c>
      <c r="AS104">
        <f>IF('Calculations PJ'!AS104&lt;&gt;0,'Calculations PJ'!AS104*About!$B$45,0)</f>
        <v>0</v>
      </c>
      <c r="AT104">
        <f>IF('Calculations PJ'!AT104&lt;&gt;0,'Calculations PJ'!AT104*About!$B$45,0)</f>
        <v>0</v>
      </c>
      <c r="AU104">
        <f>IF('Calculations PJ'!AU104&lt;&gt;0,'Calculations PJ'!AU104*About!$B$45,0)</f>
        <v>0</v>
      </c>
      <c r="AV104">
        <f>IF('Calculations PJ'!AV104&lt;&gt;0,'Calculations PJ'!AV104*About!$B$45,0)</f>
        <v>0</v>
      </c>
      <c r="AW104">
        <f>IF('Calculations PJ'!AW104&lt;&gt;0,'Calculations PJ'!AW104*About!$B$45,0)</f>
        <v>0</v>
      </c>
      <c r="AX104">
        <f>IF('Calculations PJ'!AX104&lt;&gt;0,'Calculations PJ'!AX104*About!$B$45,0)</f>
        <v>0</v>
      </c>
      <c r="AY104">
        <f>IF('Calculations PJ'!AY104&lt;&gt;0,'Calculations PJ'!AY104*About!$B$45,0)</f>
        <v>0</v>
      </c>
      <c r="AZ104">
        <f>IF('Calculations PJ'!AZ104&lt;&gt;0,'Calculations PJ'!AZ104*About!$B$45,0)</f>
        <v>0</v>
      </c>
      <c r="BA104">
        <f>IF('Calculations PJ'!BA104&lt;&gt;0,'Calculations PJ'!BA104*About!$B$45,0)</f>
        <v>0</v>
      </c>
      <c r="BB104">
        <f>IF('Calculations PJ'!BB104&lt;&gt;0,'Calculations PJ'!BB104*About!$B$45,0)</f>
        <v>0</v>
      </c>
      <c r="BC104">
        <f>IF('Calculations PJ'!BC104&lt;&gt;0,'Calculations PJ'!BC104*About!$B$45,0)</f>
        <v>0</v>
      </c>
      <c r="BD104">
        <f>IF('Calculations PJ'!BD104&lt;&gt;0,'Calculations PJ'!BD104*About!$B$45,0)</f>
        <v>0</v>
      </c>
      <c r="BE104">
        <f>IF('Calculations PJ'!BE104&lt;&gt;0,'Calculations PJ'!BE104*About!$B$45,0)</f>
        <v>0</v>
      </c>
      <c r="BF104">
        <f>IF('Calculations PJ'!BF104&lt;&gt;0,'Calculations PJ'!BF104*About!$B$45,0)</f>
        <v>0</v>
      </c>
      <c r="BG104">
        <f>IF('Calculations PJ'!BG104&lt;&gt;0,'Calculations PJ'!BG104*About!$B$45,0)</f>
        <v>0</v>
      </c>
      <c r="BH104">
        <f>IF('Calculations PJ'!BH104&lt;&gt;0,'Calculations PJ'!BH104*About!$B$45,0)</f>
        <v>0</v>
      </c>
    </row>
    <row r="105" spans="1:60" hidden="1" outlineLevel="1">
      <c r="B105" t="s">
        <v>150</v>
      </c>
      <c r="C105">
        <f>IF('Calculations PJ'!C105&lt;&gt;0,'Calculations PJ'!C105*About!$B$45,0)</f>
        <v>10388623833385.566</v>
      </c>
      <c r="D105">
        <f>IF('Calculations PJ'!D105&lt;&gt;0,'Calculations PJ'!D105*About!$B$45,0)</f>
        <v>9516586066349.5488</v>
      </c>
      <c r="E105">
        <f>IF('Calculations PJ'!E105&lt;&gt;0,'Calculations PJ'!E105*About!$B$45,0)</f>
        <v>11336490971468.189</v>
      </c>
      <c r="F105">
        <f>IF('Calculations PJ'!F105&lt;&gt;0,'Calculations PJ'!F105*About!$B$45,0)</f>
        <v>11327012300087.361</v>
      </c>
      <c r="G105">
        <f>IF('Calculations PJ'!G105&lt;&gt;0,'Calculations PJ'!G105*About!$B$45,0)</f>
        <v>10606633275144.568</v>
      </c>
      <c r="H105">
        <f>IF('Calculations PJ'!H105&lt;&gt;0,'Calculations PJ'!H105*About!$B$45,0)</f>
        <v>10985780130377.617</v>
      </c>
      <c r="I105">
        <f>IF('Calculations PJ'!I105&lt;&gt;0,'Calculations PJ'!I105*About!$B$45,0)</f>
        <v>12682462307545.518</v>
      </c>
      <c r="J105">
        <f>IF('Calculations PJ'!J105&lt;&gt;0,'Calculations PJ'!J105*About!$B$45,0)</f>
        <v>10559239918240.438</v>
      </c>
      <c r="K105">
        <f>IF('Calculations PJ'!K105&lt;&gt;0,'Calculations PJ'!K105*About!$B$45,0)</f>
        <v>11677723141177.934</v>
      </c>
      <c r="L105">
        <f>IF('Calculations PJ'!L105&lt;&gt;0,'Calculations PJ'!L105*About!$B$45,0)</f>
        <v>11706159155320.412</v>
      </c>
      <c r="M105">
        <f>IF('Calculations PJ'!M105&lt;&gt;0,'Calculations PJ'!M105*About!$B$45,0)</f>
        <v>11668244469797.107</v>
      </c>
      <c r="N105">
        <f>IF('Calculations PJ'!N105&lt;&gt;0,'Calculations PJ'!N105*About!$B$45,0)</f>
        <v>11639808455654.629</v>
      </c>
      <c r="O105">
        <f>IF('Calculations PJ'!O105&lt;&gt;0,'Calculations PJ'!O105*About!$B$45,0)</f>
        <v>11601893770131.324</v>
      </c>
      <c r="P105">
        <f>IF('Calculations PJ'!P105&lt;&gt;0,'Calculations PJ'!P105*About!$B$45,0)</f>
        <v>11573457755988.846</v>
      </c>
      <c r="Q105">
        <f>IF('Calculations PJ'!Q105&lt;&gt;0,'Calculations PJ'!Q105*About!$B$45,0)</f>
        <v>11535543070465.541</v>
      </c>
      <c r="R105">
        <f>IF('Calculations PJ'!R105&lt;&gt;0,'Calculations PJ'!R105*About!$B$45,0)</f>
        <v>11507107056323.063</v>
      </c>
      <c r="S105">
        <f>IF('Calculations PJ'!S105&lt;&gt;0,'Calculations PJ'!S105*About!$B$45,0)</f>
        <v>11469192370799.756</v>
      </c>
      <c r="T105">
        <f>IF('Calculations PJ'!T105&lt;&gt;0,'Calculations PJ'!T105*About!$B$45,0)</f>
        <v>11440756356657.277</v>
      </c>
      <c r="U105">
        <f>IF('Calculations PJ'!U105&lt;&gt;0,'Calculations PJ'!U105*About!$B$45,0)</f>
        <v>11402841671133.973</v>
      </c>
      <c r="V105">
        <f>IF('Calculations PJ'!V105&lt;&gt;0,'Calculations PJ'!V105*About!$B$45,0)</f>
        <v>11364926985610.668</v>
      </c>
      <c r="W105">
        <f>IF('Calculations PJ'!W105&lt;&gt;0,'Calculations PJ'!W105*About!$B$45,0)</f>
        <v>11336490971468.189</v>
      </c>
      <c r="X105">
        <f>IF('Calculations PJ'!X105&lt;&gt;0,'Calculations PJ'!X105*About!$B$45,0)</f>
        <v>11298576285944.885</v>
      </c>
      <c r="Y105">
        <f>IF('Calculations PJ'!Y105&lt;&gt;0,'Calculations PJ'!Y105*About!$B$45,0)</f>
        <v>11270140271802.406</v>
      </c>
      <c r="Z105">
        <f>IF('Calculations PJ'!Z105&lt;&gt;0,'Calculations PJ'!Z105*About!$B$45,0)</f>
        <v>11232225586279.1</v>
      </c>
      <c r="AA105">
        <f>IF('Calculations PJ'!AA105&lt;&gt;0,'Calculations PJ'!AA105*About!$B$45,0)</f>
        <v>11203789572136.621</v>
      </c>
      <c r="AB105">
        <f>IF('Calculations PJ'!AB105&lt;&gt;0,'Calculations PJ'!AB105*About!$B$45,0)</f>
        <v>11165874886613.316</v>
      </c>
      <c r="AC105">
        <f>IF('Calculations PJ'!AC105&lt;&gt;0,'Calculations PJ'!AC105*About!$B$45,0)</f>
        <v>11137438872470.838</v>
      </c>
      <c r="AD105">
        <f>IF('Calculations PJ'!AD105&lt;&gt;0,'Calculations PJ'!AD105*About!$B$45,0)</f>
        <v>11099524186947.533</v>
      </c>
      <c r="AE105">
        <f>IF('Calculations PJ'!AE105&lt;&gt;0,'Calculations PJ'!AE105*About!$B$45,0)</f>
        <v>11071088172805.055</v>
      </c>
      <c r="AF105">
        <f>IF('Calculations PJ'!AF105&lt;&gt;0,'Calculations PJ'!AF105*About!$B$45,0)</f>
        <v>11033173487281.75</v>
      </c>
      <c r="AG105">
        <f>IF('Calculations PJ'!AG105&lt;&gt;0,'Calculations PJ'!AG105*About!$B$45,0)</f>
        <v>11004737473139.27</v>
      </c>
      <c r="AH105">
        <f>IF('Calculations PJ'!AH105&lt;&gt;0,'Calculations PJ'!AH105*About!$B$45,0)</f>
        <v>10966822787615.967</v>
      </c>
      <c r="AI105">
        <f>IF('Calculations PJ'!AI105&lt;&gt;0,'Calculations PJ'!AI105*About!$B$45,0)</f>
        <v>10928908102092.66</v>
      </c>
      <c r="AJ105">
        <f>IF('Calculations PJ'!AJ105&lt;&gt;0,'Calculations PJ'!AJ105*About!$B$45,0)</f>
        <v>10900472087950.182</v>
      </c>
      <c r="AK105">
        <f>IF('Calculations PJ'!AK105&lt;&gt;0,'Calculations PJ'!AK105*About!$B$45,0)</f>
        <v>10862557402426.877</v>
      </c>
      <c r="AL105">
        <f>IF('Calculations PJ'!AL105&lt;&gt;0,'Calculations PJ'!AL105*About!$B$45,0)</f>
        <v>10834121388284.398</v>
      </c>
      <c r="AM105">
        <f>IF('Calculations PJ'!AM105&lt;&gt;0,'Calculations PJ'!AM105*About!$B$45,0)</f>
        <v>10796206702761.094</v>
      </c>
      <c r="AN105">
        <f>IF('Calculations PJ'!AN105&lt;&gt;0,'Calculations PJ'!AN105*About!$B$45,0)</f>
        <v>10767770688618.613</v>
      </c>
      <c r="AO105">
        <f>IF('Calculations PJ'!AO105&lt;&gt;0,'Calculations PJ'!AO105*About!$B$45,0)</f>
        <v>10767770688618.613</v>
      </c>
      <c r="AP105">
        <f>IF('Calculations PJ'!AP105&lt;&gt;0,'Calculations PJ'!AP105*About!$B$45,0)</f>
        <v>10767770688618.613</v>
      </c>
      <c r="AQ105">
        <f>IF('Calculations PJ'!AQ105&lt;&gt;0,'Calculations PJ'!AQ105*About!$B$45,0)</f>
        <v>10767770688618.613</v>
      </c>
      <c r="AR105">
        <f>IF('Calculations PJ'!AR105&lt;&gt;0,'Calculations PJ'!AR105*About!$B$45,0)</f>
        <v>10767770688618.613</v>
      </c>
      <c r="AS105">
        <f>IF('Calculations PJ'!AS105&lt;&gt;0,'Calculations PJ'!AS105*About!$B$45,0)</f>
        <v>10767770688618.613</v>
      </c>
      <c r="AT105">
        <f>IF('Calculations PJ'!AT105&lt;&gt;0,'Calculations PJ'!AT105*About!$B$45,0)</f>
        <v>10767770688618.613</v>
      </c>
      <c r="AU105">
        <f>IF('Calculations PJ'!AU105&lt;&gt;0,'Calculations PJ'!AU105*About!$B$45,0)</f>
        <v>10767770688618.613</v>
      </c>
      <c r="AV105">
        <f>IF('Calculations PJ'!AV105&lt;&gt;0,'Calculations PJ'!AV105*About!$B$45,0)</f>
        <v>10767770688618.613</v>
      </c>
      <c r="AW105">
        <f>IF('Calculations PJ'!AW105&lt;&gt;0,'Calculations PJ'!AW105*About!$B$45,0)</f>
        <v>10767770688618.613</v>
      </c>
      <c r="AX105">
        <f>IF('Calculations PJ'!AX105&lt;&gt;0,'Calculations PJ'!AX105*About!$B$45,0)</f>
        <v>10767770688618.613</v>
      </c>
      <c r="AY105">
        <f>IF('Calculations PJ'!AY105&lt;&gt;0,'Calculations PJ'!AY105*About!$B$45,0)</f>
        <v>10767770688618.613</v>
      </c>
      <c r="AZ105">
        <f>IF('Calculations PJ'!AZ105&lt;&gt;0,'Calculations PJ'!AZ105*About!$B$45,0)</f>
        <v>10767770688618.613</v>
      </c>
      <c r="BA105">
        <f>IF('Calculations PJ'!BA105&lt;&gt;0,'Calculations PJ'!BA105*About!$B$45,0)</f>
        <v>10767770688618.613</v>
      </c>
      <c r="BB105">
        <f>IF('Calculations PJ'!BB105&lt;&gt;0,'Calculations PJ'!BB105*About!$B$45,0)</f>
        <v>10767770688618.613</v>
      </c>
      <c r="BC105">
        <f>IF('Calculations PJ'!BC105&lt;&gt;0,'Calculations PJ'!BC105*About!$B$45,0)</f>
        <v>10767770688618.613</v>
      </c>
      <c r="BD105">
        <f>IF('Calculations PJ'!BD105&lt;&gt;0,'Calculations PJ'!BD105*About!$B$45,0)</f>
        <v>10767770688618.613</v>
      </c>
      <c r="BE105">
        <f>IF('Calculations PJ'!BE105&lt;&gt;0,'Calculations PJ'!BE105*About!$B$45,0)</f>
        <v>10767770688618.613</v>
      </c>
      <c r="BF105">
        <f>IF('Calculations PJ'!BF105&lt;&gt;0,'Calculations PJ'!BF105*About!$B$45,0)</f>
        <v>10767770688618.613</v>
      </c>
      <c r="BG105">
        <f>IF('Calculations PJ'!BG105&lt;&gt;0,'Calculations PJ'!BG105*About!$B$45,0)</f>
        <v>10767770688618.613</v>
      </c>
      <c r="BH105">
        <f>IF('Calculations PJ'!BH105&lt;&gt;0,'Calculations PJ'!BH105*About!$B$45,0)</f>
        <v>10767770688618.613</v>
      </c>
    </row>
    <row r="106" spans="1:60" collapsed="1">
      <c r="A106" t="s">
        <v>154</v>
      </c>
      <c r="C106">
        <f>SUM(C107:C131)</f>
        <v>360189512471.39734</v>
      </c>
      <c r="D106">
        <f t="shared" ref="D106:BH106" si="4">SUM(D107:D131)</f>
        <v>398104197994.70227</v>
      </c>
      <c r="E106">
        <f t="shared" si="4"/>
        <v>473933569041.31226</v>
      </c>
      <c r="F106">
        <f t="shared" si="4"/>
        <v>530805597326.26978</v>
      </c>
      <c r="G106">
        <f t="shared" si="4"/>
        <v>568720282849.57471</v>
      </c>
      <c r="H106">
        <f t="shared" si="4"/>
        <v>635070982515.35852</v>
      </c>
      <c r="I106">
        <f t="shared" si="4"/>
        <v>701421682181.14209</v>
      </c>
      <c r="J106">
        <f t="shared" si="4"/>
        <v>1232227279507.4119</v>
      </c>
      <c r="K106">
        <f t="shared" si="4"/>
        <v>2028435675496.8167</v>
      </c>
      <c r="L106">
        <f t="shared" si="4"/>
        <v>2274881131398.2988</v>
      </c>
      <c r="M106">
        <f t="shared" si="4"/>
        <v>2331753159683.2563</v>
      </c>
      <c r="N106">
        <f t="shared" si="4"/>
        <v>2398103859349.04</v>
      </c>
      <c r="O106">
        <f t="shared" si="4"/>
        <v>2454975887633.9976</v>
      </c>
      <c r="P106">
        <f t="shared" si="4"/>
        <v>2511847915918.9551</v>
      </c>
      <c r="Q106">
        <f t="shared" si="4"/>
        <v>2578198615584.7388</v>
      </c>
      <c r="R106">
        <f t="shared" si="4"/>
        <v>2635070643869.6958</v>
      </c>
      <c r="S106">
        <f t="shared" si="4"/>
        <v>2691942672154.6533</v>
      </c>
      <c r="T106">
        <f t="shared" si="4"/>
        <v>2758293371820.4375</v>
      </c>
      <c r="U106">
        <f t="shared" si="4"/>
        <v>2815165400105.395</v>
      </c>
      <c r="V106">
        <f t="shared" si="4"/>
        <v>2872037428390.3521</v>
      </c>
      <c r="W106">
        <f t="shared" si="4"/>
        <v>2938388128056.1362</v>
      </c>
      <c r="X106">
        <f t="shared" si="4"/>
        <v>2995260156341.0938</v>
      </c>
      <c r="Y106">
        <f t="shared" si="4"/>
        <v>3052132184626.0513</v>
      </c>
      <c r="Z106">
        <f t="shared" si="4"/>
        <v>3118482884291.8345</v>
      </c>
      <c r="AA106">
        <f t="shared" si="4"/>
        <v>3175354912576.792</v>
      </c>
      <c r="AB106">
        <f t="shared" si="4"/>
        <v>3232226940861.7495</v>
      </c>
      <c r="AC106">
        <f t="shared" si="4"/>
        <v>3298577640527.5332</v>
      </c>
      <c r="AD106">
        <f t="shared" si="4"/>
        <v>3355449668812.4907</v>
      </c>
      <c r="AE106">
        <f t="shared" si="4"/>
        <v>3412321697097.4482</v>
      </c>
      <c r="AF106">
        <f t="shared" si="4"/>
        <v>3478672396763.2319</v>
      </c>
      <c r="AG106">
        <f t="shared" si="4"/>
        <v>3535544425048.1895</v>
      </c>
      <c r="AH106">
        <f t="shared" si="4"/>
        <v>3592416453333.147</v>
      </c>
      <c r="AI106">
        <f t="shared" si="4"/>
        <v>3649288481618.1045</v>
      </c>
      <c r="AJ106">
        <f t="shared" si="4"/>
        <v>3715639181283.8882</v>
      </c>
      <c r="AK106">
        <f t="shared" si="4"/>
        <v>3772511209568.8457</v>
      </c>
      <c r="AL106">
        <f t="shared" si="4"/>
        <v>3829383237853.8032</v>
      </c>
      <c r="AM106">
        <f t="shared" si="4"/>
        <v>3895733937519.5869</v>
      </c>
      <c r="AN106">
        <f t="shared" si="4"/>
        <v>3952605965804.5439</v>
      </c>
      <c r="AO106">
        <f t="shared" si="4"/>
        <v>3952605965804.5439</v>
      </c>
      <c r="AP106">
        <f t="shared" si="4"/>
        <v>3952605965804.5439</v>
      </c>
      <c r="AQ106">
        <f t="shared" si="4"/>
        <v>3952605965804.5439</v>
      </c>
      <c r="AR106">
        <f t="shared" si="4"/>
        <v>3952605965804.5439</v>
      </c>
      <c r="AS106">
        <f t="shared" si="4"/>
        <v>3952605965804.5439</v>
      </c>
      <c r="AT106">
        <f t="shared" si="4"/>
        <v>3952605965804.5439</v>
      </c>
      <c r="AU106">
        <f t="shared" si="4"/>
        <v>3952605965804.5439</v>
      </c>
      <c r="AV106">
        <f t="shared" si="4"/>
        <v>3952605965804.5439</v>
      </c>
      <c r="AW106">
        <f t="shared" si="4"/>
        <v>3952605965804.5439</v>
      </c>
      <c r="AX106">
        <f t="shared" si="4"/>
        <v>3952605965804.5439</v>
      </c>
      <c r="AY106">
        <f t="shared" si="4"/>
        <v>3952605965804.5439</v>
      </c>
      <c r="AZ106">
        <f t="shared" si="4"/>
        <v>3952605965804.5439</v>
      </c>
      <c r="BA106">
        <f t="shared" si="4"/>
        <v>3952605965804.5439</v>
      </c>
      <c r="BB106">
        <f t="shared" si="4"/>
        <v>3952605965804.5439</v>
      </c>
      <c r="BC106">
        <f t="shared" si="4"/>
        <v>3952605965804.5439</v>
      </c>
      <c r="BD106">
        <f t="shared" si="4"/>
        <v>3952605965804.5439</v>
      </c>
      <c r="BE106">
        <f t="shared" si="4"/>
        <v>3952605965804.5439</v>
      </c>
      <c r="BF106">
        <f t="shared" si="4"/>
        <v>3952605965804.5439</v>
      </c>
      <c r="BG106">
        <f t="shared" si="4"/>
        <v>3952605965804.5439</v>
      </c>
      <c r="BH106">
        <f t="shared" si="4"/>
        <v>3952605965804.5439</v>
      </c>
    </row>
    <row r="107" spans="1:60" hidden="1" outlineLevel="1">
      <c r="B107" t="s">
        <v>126</v>
      </c>
      <c r="C107">
        <f>IF('Calculations PJ'!C107&lt;&gt;0,'Calculations PJ'!C107*About!$B$45,0)</f>
        <v>0</v>
      </c>
      <c r="D107">
        <f>IF('Calculations PJ'!D107&lt;&gt;0,'Calculations PJ'!D107*About!$B$45,0)</f>
        <v>0</v>
      </c>
      <c r="E107">
        <f>IF('Calculations PJ'!E107&lt;&gt;0,'Calculations PJ'!E107*About!$B$45,0)</f>
        <v>0</v>
      </c>
      <c r="F107">
        <f>IF('Calculations PJ'!F107&lt;&gt;0,'Calculations PJ'!F107*About!$B$45,0)</f>
        <v>0</v>
      </c>
      <c r="G107">
        <f>IF('Calculations PJ'!G107&lt;&gt;0,'Calculations PJ'!G107*About!$B$45,0)</f>
        <v>0</v>
      </c>
      <c r="H107">
        <f>IF('Calculations PJ'!H107&lt;&gt;0,'Calculations PJ'!H107*About!$B$45,0)</f>
        <v>0</v>
      </c>
      <c r="I107">
        <f>IF('Calculations PJ'!I107&lt;&gt;0,'Calculations PJ'!I107*About!$B$45,0)</f>
        <v>0</v>
      </c>
      <c r="J107">
        <f>IF('Calculations PJ'!J107&lt;&gt;0,'Calculations PJ'!J107*About!$B$45,0)</f>
        <v>0</v>
      </c>
      <c r="K107">
        <f>IF('Calculations PJ'!K107&lt;&gt;0,'Calculations PJ'!K107*About!$B$45,0)</f>
        <v>0</v>
      </c>
      <c r="L107">
        <f>IF('Calculations PJ'!L107&lt;&gt;0,'Calculations PJ'!L107*About!$B$45,0)</f>
        <v>0</v>
      </c>
      <c r="M107">
        <f>IF('Calculations PJ'!M107&lt;&gt;0,'Calculations PJ'!M107*About!$B$45,0)</f>
        <v>0</v>
      </c>
      <c r="N107">
        <f>IF('Calculations PJ'!N107&lt;&gt;0,'Calculations PJ'!N107*About!$B$45,0)</f>
        <v>0</v>
      </c>
      <c r="O107">
        <f>IF('Calculations PJ'!O107&lt;&gt;0,'Calculations PJ'!O107*About!$B$45,0)</f>
        <v>0</v>
      </c>
      <c r="P107">
        <f>IF('Calculations PJ'!P107&lt;&gt;0,'Calculations PJ'!P107*About!$B$45,0)</f>
        <v>0</v>
      </c>
      <c r="Q107">
        <f>IF('Calculations PJ'!Q107&lt;&gt;0,'Calculations PJ'!Q107*About!$B$45,0)</f>
        <v>0</v>
      </c>
      <c r="R107">
        <f>IF('Calculations PJ'!R107&lt;&gt;0,'Calculations PJ'!R107*About!$B$45,0)</f>
        <v>0</v>
      </c>
      <c r="S107">
        <f>IF('Calculations PJ'!S107&lt;&gt;0,'Calculations PJ'!S107*About!$B$45,0)</f>
        <v>0</v>
      </c>
      <c r="T107">
        <f>IF('Calculations PJ'!T107&lt;&gt;0,'Calculations PJ'!T107*About!$B$45,0)</f>
        <v>0</v>
      </c>
      <c r="U107">
        <f>IF('Calculations PJ'!U107&lt;&gt;0,'Calculations PJ'!U107*About!$B$45,0)</f>
        <v>0</v>
      </c>
      <c r="V107">
        <f>IF('Calculations PJ'!V107&lt;&gt;0,'Calculations PJ'!V107*About!$B$45,0)</f>
        <v>0</v>
      </c>
      <c r="W107">
        <f>IF('Calculations PJ'!W107&lt;&gt;0,'Calculations PJ'!W107*About!$B$45,0)</f>
        <v>0</v>
      </c>
      <c r="X107">
        <f>IF('Calculations PJ'!X107&lt;&gt;0,'Calculations PJ'!X107*About!$B$45,0)</f>
        <v>0</v>
      </c>
      <c r="Y107">
        <f>IF('Calculations PJ'!Y107&lt;&gt;0,'Calculations PJ'!Y107*About!$B$45,0)</f>
        <v>0</v>
      </c>
      <c r="Z107">
        <f>IF('Calculations PJ'!Z107&lt;&gt;0,'Calculations PJ'!Z107*About!$B$45,0)</f>
        <v>0</v>
      </c>
      <c r="AA107">
        <f>IF('Calculations PJ'!AA107&lt;&gt;0,'Calculations PJ'!AA107*About!$B$45,0)</f>
        <v>0</v>
      </c>
      <c r="AB107">
        <f>IF('Calculations PJ'!AB107&lt;&gt;0,'Calculations PJ'!AB107*About!$B$45,0)</f>
        <v>0</v>
      </c>
      <c r="AC107">
        <f>IF('Calculations PJ'!AC107&lt;&gt;0,'Calculations PJ'!AC107*About!$B$45,0)</f>
        <v>0</v>
      </c>
      <c r="AD107">
        <f>IF('Calculations PJ'!AD107&lt;&gt;0,'Calculations PJ'!AD107*About!$B$45,0)</f>
        <v>0</v>
      </c>
      <c r="AE107">
        <f>IF('Calculations PJ'!AE107&lt;&gt;0,'Calculations PJ'!AE107*About!$B$45,0)</f>
        <v>0</v>
      </c>
      <c r="AF107">
        <f>IF('Calculations PJ'!AF107&lt;&gt;0,'Calculations PJ'!AF107*About!$B$45,0)</f>
        <v>0</v>
      </c>
      <c r="AG107">
        <f>IF('Calculations PJ'!AG107&lt;&gt;0,'Calculations PJ'!AG107*About!$B$45,0)</f>
        <v>0</v>
      </c>
      <c r="AH107">
        <f>IF('Calculations PJ'!AH107&lt;&gt;0,'Calculations PJ'!AH107*About!$B$45,0)</f>
        <v>0</v>
      </c>
      <c r="AI107">
        <f>IF('Calculations PJ'!AI107&lt;&gt;0,'Calculations PJ'!AI107*About!$B$45,0)</f>
        <v>0</v>
      </c>
      <c r="AJ107">
        <f>IF('Calculations PJ'!AJ107&lt;&gt;0,'Calculations PJ'!AJ107*About!$B$45,0)</f>
        <v>0</v>
      </c>
      <c r="AK107">
        <f>IF('Calculations PJ'!AK107&lt;&gt;0,'Calculations PJ'!AK107*About!$B$45,0)</f>
        <v>0</v>
      </c>
      <c r="AL107">
        <f>IF('Calculations PJ'!AL107&lt;&gt;0,'Calculations PJ'!AL107*About!$B$45,0)</f>
        <v>0</v>
      </c>
      <c r="AM107">
        <f>IF('Calculations PJ'!AM107&lt;&gt;0,'Calculations PJ'!AM107*About!$B$45,0)</f>
        <v>0</v>
      </c>
      <c r="AN107">
        <f>IF('Calculations PJ'!AN107&lt;&gt;0,'Calculations PJ'!AN107*About!$B$45,0)</f>
        <v>0</v>
      </c>
      <c r="AO107">
        <f>IF('Calculations PJ'!AO107&lt;&gt;0,'Calculations PJ'!AO107*About!$B$45,0)</f>
        <v>0</v>
      </c>
      <c r="AP107">
        <f>IF('Calculations PJ'!AP107&lt;&gt;0,'Calculations PJ'!AP107*About!$B$45,0)</f>
        <v>0</v>
      </c>
      <c r="AQ107">
        <f>IF('Calculations PJ'!AQ107&lt;&gt;0,'Calculations PJ'!AQ107*About!$B$45,0)</f>
        <v>0</v>
      </c>
      <c r="AR107">
        <f>IF('Calculations PJ'!AR107&lt;&gt;0,'Calculations PJ'!AR107*About!$B$45,0)</f>
        <v>0</v>
      </c>
      <c r="AS107">
        <f>IF('Calculations PJ'!AS107&lt;&gt;0,'Calculations PJ'!AS107*About!$B$45,0)</f>
        <v>0</v>
      </c>
      <c r="AT107">
        <f>IF('Calculations PJ'!AT107&lt;&gt;0,'Calculations PJ'!AT107*About!$B$45,0)</f>
        <v>0</v>
      </c>
      <c r="AU107">
        <f>IF('Calculations PJ'!AU107&lt;&gt;0,'Calculations PJ'!AU107*About!$B$45,0)</f>
        <v>0</v>
      </c>
      <c r="AV107">
        <f>IF('Calculations PJ'!AV107&lt;&gt;0,'Calculations PJ'!AV107*About!$B$45,0)</f>
        <v>0</v>
      </c>
      <c r="AW107">
        <f>IF('Calculations PJ'!AW107&lt;&gt;0,'Calculations PJ'!AW107*About!$B$45,0)</f>
        <v>0</v>
      </c>
      <c r="AX107">
        <f>IF('Calculations PJ'!AX107&lt;&gt;0,'Calculations PJ'!AX107*About!$B$45,0)</f>
        <v>0</v>
      </c>
      <c r="AY107">
        <f>IF('Calculations PJ'!AY107&lt;&gt;0,'Calculations PJ'!AY107*About!$B$45,0)</f>
        <v>0</v>
      </c>
      <c r="AZ107">
        <f>IF('Calculations PJ'!AZ107&lt;&gt;0,'Calculations PJ'!AZ107*About!$B$45,0)</f>
        <v>0</v>
      </c>
      <c r="BA107">
        <f>IF('Calculations PJ'!BA107&lt;&gt;0,'Calculations PJ'!BA107*About!$B$45,0)</f>
        <v>0</v>
      </c>
      <c r="BB107">
        <f>IF('Calculations PJ'!BB107&lt;&gt;0,'Calculations PJ'!BB107*About!$B$45,0)</f>
        <v>0</v>
      </c>
      <c r="BC107">
        <f>IF('Calculations PJ'!BC107&lt;&gt;0,'Calculations PJ'!BC107*About!$B$45,0)</f>
        <v>0</v>
      </c>
      <c r="BD107">
        <f>IF('Calculations PJ'!BD107&lt;&gt;0,'Calculations PJ'!BD107*About!$B$45,0)</f>
        <v>0</v>
      </c>
      <c r="BE107">
        <f>IF('Calculations PJ'!BE107&lt;&gt;0,'Calculations PJ'!BE107*About!$B$45,0)</f>
        <v>0</v>
      </c>
      <c r="BF107">
        <f>IF('Calculations PJ'!BF107&lt;&gt;0,'Calculations PJ'!BF107*About!$B$45,0)</f>
        <v>0</v>
      </c>
      <c r="BG107">
        <f>IF('Calculations PJ'!BG107&lt;&gt;0,'Calculations PJ'!BG107*About!$B$45,0)</f>
        <v>0</v>
      </c>
      <c r="BH107">
        <f>IF('Calculations PJ'!BH107&lt;&gt;0,'Calculations PJ'!BH107*About!$B$45,0)</f>
        <v>0</v>
      </c>
    </row>
    <row r="108" spans="1:60" hidden="1" outlineLevel="1">
      <c r="B108" t="s">
        <v>127</v>
      </c>
      <c r="C108">
        <f>IF('Calculations PJ'!C108&lt;&gt;0,'Calculations PJ'!C108*About!$B$45,0)</f>
        <v>0</v>
      </c>
      <c r="D108">
        <f>IF('Calculations PJ'!D108&lt;&gt;0,'Calculations PJ'!D108*About!$B$45,0)</f>
        <v>0</v>
      </c>
      <c r="E108">
        <f>IF('Calculations PJ'!E108&lt;&gt;0,'Calculations PJ'!E108*About!$B$45,0)</f>
        <v>0</v>
      </c>
      <c r="F108">
        <f>IF('Calculations PJ'!F108&lt;&gt;0,'Calculations PJ'!F108*About!$B$45,0)</f>
        <v>0</v>
      </c>
      <c r="G108">
        <f>IF('Calculations PJ'!G108&lt;&gt;0,'Calculations PJ'!G108*About!$B$45,0)</f>
        <v>0</v>
      </c>
      <c r="H108">
        <f>IF('Calculations PJ'!H108&lt;&gt;0,'Calculations PJ'!H108*About!$B$45,0)</f>
        <v>0</v>
      </c>
      <c r="I108">
        <f>IF('Calculations PJ'!I108&lt;&gt;0,'Calculations PJ'!I108*About!$B$45,0)</f>
        <v>0</v>
      </c>
      <c r="J108">
        <f>IF('Calculations PJ'!J108&lt;&gt;0,'Calculations PJ'!J108*About!$B$45,0)</f>
        <v>0</v>
      </c>
      <c r="K108">
        <f>IF('Calculations PJ'!K108&lt;&gt;0,'Calculations PJ'!K108*About!$B$45,0)</f>
        <v>0</v>
      </c>
      <c r="L108">
        <f>IF('Calculations PJ'!L108&lt;&gt;0,'Calculations PJ'!L108*About!$B$45,0)</f>
        <v>0</v>
      </c>
      <c r="M108">
        <f>IF('Calculations PJ'!M108&lt;&gt;0,'Calculations PJ'!M108*About!$B$45,0)</f>
        <v>0</v>
      </c>
      <c r="N108">
        <f>IF('Calculations PJ'!N108&lt;&gt;0,'Calculations PJ'!N108*About!$B$45,0)</f>
        <v>0</v>
      </c>
      <c r="O108">
        <f>IF('Calculations PJ'!O108&lt;&gt;0,'Calculations PJ'!O108*About!$B$45,0)</f>
        <v>0</v>
      </c>
      <c r="P108">
        <f>IF('Calculations PJ'!P108&lt;&gt;0,'Calculations PJ'!P108*About!$B$45,0)</f>
        <v>0</v>
      </c>
      <c r="Q108">
        <f>IF('Calculations PJ'!Q108&lt;&gt;0,'Calculations PJ'!Q108*About!$B$45,0)</f>
        <v>0</v>
      </c>
      <c r="R108">
        <f>IF('Calculations PJ'!R108&lt;&gt;0,'Calculations PJ'!R108*About!$B$45,0)</f>
        <v>0</v>
      </c>
      <c r="S108">
        <f>IF('Calculations PJ'!S108&lt;&gt;0,'Calculations PJ'!S108*About!$B$45,0)</f>
        <v>0</v>
      </c>
      <c r="T108">
        <f>IF('Calculations PJ'!T108&lt;&gt;0,'Calculations PJ'!T108*About!$B$45,0)</f>
        <v>0</v>
      </c>
      <c r="U108">
        <f>IF('Calculations PJ'!U108&lt;&gt;0,'Calculations PJ'!U108*About!$B$45,0)</f>
        <v>0</v>
      </c>
      <c r="V108">
        <f>IF('Calculations PJ'!V108&lt;&gt;0,'Calculations PJ'!V108*About!$B$45,0)</f>
        <v>0</v>
      </c>
      <c r="W108">
        <f>IF('Calculations PJ'!W108&lt;&gt;0,'Calculations PJ'!W108*About!$B$45,0)</f>
        <v>0</v>
      </c>
      <c r="X108">
        <f>IF('Calculations PJ'!X108&lt;&gt;0,'Calculations PJ'!X108*About!$B$45,0)</f>
        <v>0</v>
      </c>
      <c r="Y108">
        <f>IF('Calculations PJ'!Y108&lt;&gt;0,'Calculations PJ'!Y108*About!$B$45,0)</f>
        <v>0</v>
      </c>
      <c r="Z108">
        <f>IF('Calculations PJ'!Z108&lt;&gt;0,'Calculations PJ'!Z108*About!$B$45,0)</f>
        <v>0</v>
      </c>
      <c r="AA108">
        <f>IF('Calculations PJ'!AA108&lt;&gt;0,'Calculations PJ'!AA108*About!$B$45,0)</f>
        <v>0</v>
      </c>
      <c r="AB108">
        <f>IF('Calculations PJ'!AB108&lt;&gt;0,'Calculations PJ'!AB108*About!$B$45,0)</f>
        <v>0</v>
      </c>
      <c r="AC108">
        <f>IF('Calculations PJ'!AC108&lt;&gt;0,'Calculations PJ'!AC108*About!$B$45,0)</f>
        <v>0</v>
      </c>
      <c r="AD108">
        <f>IF('Calculations PJ'!AD108&lt;&gt;0,'Calculations PJ'!AD108*About!$B$45,0)</f>
        <v>0</v>
      </c>
      <c r="AE108">
        <f>IF('Calculations PJ'!AE108&lt;&gt;0,'Calculations PJ'!AE108*About!$B$45,0)</f>
        <v>0</v>
      </c>
      <c r="AF108">
        <f>IF('Calculations PJ'!AF108&lt;&gt;0,'Calculations PJ'!AF108*About!$B$45,0)</f>
        <v>0</v>
      </c>
      <c r="AG108">
        <f>IF('Calculations PJ'!AG108&lt;&gt;0,'Calculations PJ'!AG108*About!$B$45,0)</f>
        <v>0</v>
      </c>
      <c r="AH108">
        <f>IF('Calculations PJ'!AH108&lt;&gt;0,'Calculations PJ'!AH108*About!$B$45,0)</f>
        <v>0</v>
      </c>
      <c r="AI108">
        <f>IF('Calculations PJ'!AI108&lt;&gt;0,'Calculations PJ'!AI108*About!$B$45,0)</f>
        <v>0</v>
      </c>
      <c r="AJ108">
        <f>IF('Calculations PJ'!AJ108&lt;&gt;0,'Calculations PJ'!AJ108*About!$B$45,0)</f>
        <v>0</v>
      </c>
      <c r="AK108">
        <f>IF('Calculations PJ'!AK108&lt;&gt;0,'Calculations PJ'!AK108*About!$B$45,0)</f>
        <v>0</v>
      </c>
      <c r="AL108">
        <f>IF('Calculations PJ'!AL108&lt;&gt;0,'Calculations PJ'!AL108*About!$B$45,0)</f>
        <v>0</v>
      </c>
      <c r="AM108">
        <f>IF('Calculations PJ'!AM108&lt;&gt;0,'Calculations PJ'!AM108*About!$B$45,0)</f>
        <v>0</v>
      </c>
      <c r="AN108">
        <f>IF('Calculations PJ'!AN108&lt;&gt;0,'Calculations PJ'!AN108*About!$B$45,0)</f>
        <v>0</v>
      </c>
      <c r="AO108">
        <f>IF('Calculations PJ'!AO108&lt;&gt;0,'Calculations PJ'!AO108*About!$B$45,0)</f>
        <v>0</v>
      </c>
      <c r="AP108">
        <f>IF('Calculations PJ'!AP108&lt;&gt;0,'Calculations PJ'!AP108*About!$B$45,0)</f>
        <v>0</v>
      </c>
      <c r="AQ108">
        <f>IF('Calculations PJ'!AQ108&lt;&gt;0,'Calculations PJ'!AQ108*About!$B$45,0)</f>
        <v>0</v>
      </c>
      <c r="AR108">
        <f>IF('Calculations PJ'!AR108&lt;&gt;0,'Calculations PJ'!AR108*About!$B$45,0)</f>
        <v>0</v>
      </c>
      <c r="AS108">
        <f>IF('Calculations PJ'!AS108&lt;&gt;0,'Calculations PJ'!AS108*About!$B$45,0)</f>
        <v>0</v>
      </c>
      <c r="AT108">
        <f>IF('Calculations PJ'!AT108&lt;&gt;0,'Calculations PJ'!AT108*About!$B$45,0)</f>
        <v>0</v>
      </c>
      <c r="AU108">
        <f>IF('Calculations PJ'!AU108&lt;&gt;0,'Calculations PJ'!AU108*About!$B$45,0)</f>
        <v>0</v>
      </c>
      <c r="AV108">
        <f>IF('Calculations PJ'!AV108&lt;&gt;0,'Calculations PJ'!AV108*About!$B$45,0)</f>
        <v>0</v>
      </c>
      <c r="AW108">
        <f>IF('Calculations PJ'!AW108&lt;&gt;0,'Calculations PJ'!AW108*About!$B$45,0)</f>
        <v>0</v>
      </c>
      <c r="AX108">
        <f>IF('Calculations PJ'!AX108&lt;&gt;0,'Calculations PJ'!AX108*About!$B$45,0)</f>
        <v>0</v>
      </c>
      <c r="AY108">
        <f>IF('Calculations PJ'!AY108&lt;&gt;0,'Calculations PJ'!AY108*About!$B$45,0)</f>
        <v>0</v>
      </c>
      <c r="AZ108">
        <f>IF('Calculations PJ'!AZ108&lt;&gt;0,'Calculations PJ'!AZ108*About!$B$45,0)</f>
        <v>0</v>
      </c>
      <c r="BA108">
        <f>IF('Calculations PJ'!BA108&lt;&gt;0,'Calculations PJ'!BA108*About!$B$45,0)</f>
        <v>0</v>
      </c>
      <c r="BB108">
        <f>IF('Calculations PJ'!BB108&lt;&gt;0,'Calculations PJ'!BB108*About!$B$45,0)</f>
        <v>0</v>
      </c>
      <c r="BC108">
        <f>IF('Calculations PJ'!BC108&lt;&gt;0,'Calculations PJ'!BC108*About!$B$45,0)</f>
        <v>0</v>
      </c>
      <c r="BD108">
        <f>IF('Calculations PJ'!BD108&lt;&gt;0,'Calculations PJ'!BD108*About!$B$45,0)</f>
        <v>0</v>
      </c>
      <c r="BE108">
        <f>IF('Calculations PJ'!BE108&lt;&gt;0,'Calculations PJ'!BE108*About!$B$45,0)</f>
        <v>0</v>
      </c>
      <c r="BF108">
        <f>IF('Calculations PJ'!BF108&lt;&gt;0,'Calculations PJ'!BF108*About!$B$45,0)</f>
        <v>0</v>
      </c>
      <c r="BG108">
        <f>IF('Calculations PJ'!BG108&lt;&gt;0,'Calculations PJ'!BG108*About!$B$45,0)</f>
        <v>0</v>
      </c>
      <c r="BH108">
        <f>IF('Calculations PJ'!BH108&lt;&gt;0,'Calculations PJ'!BH108*About!$B$45,0)</f>
        <v>0</v>
      </c>
    </row>
    <row r="109" spans="1:60" hidden="1" outlineLevel="1">
      <c r="B109" t="s">
        <v>128</v>
      </c>
      <c r="C109">
        <f>IF('Calculations PJ'!C109&lt;&gt;0,'Calculations PJ'!C109*About!$B$45,0)</f>
        <v>0</v>
      </c>
      <c r="D109">
        <f>IF('Calculations PJ'!D109&lt;&gt;0,'Calculations PJ'!D109*About!$B$45,0)</f>
        <v>0</v>
      </c>
      <c r="E109">
        <f>IF('Calculations PJ'!E109&lt;&gt;0,'Calculations PJ'!E109*About!$B$45,0)</f>
        <v>0</v>
      </c>
      <c r="F109">
        <f>IF('Calculations PJ'!F109&lt;&gt;0,'Calculations PJ'!F109*About!$B$45,0)</f>
        <v>0</v>
      </c>
      <c r="G109">
        <f>IF('Calculations PJ'!G109&lt;&gt;0,'Calculations PJ'!G109*About!$B$45,0)</f>
        <v>0</v>
      </c>
      <c r="H109">
        <f>IF('Calculations PJ'!H109&lt;&gt;0,'Calculations PJ'!H109*About!$B$45,0)</f>
        <v>0</v>
      </c>
      <c r="I109">
        <f>IF('Calculations PJ'!I109&lt;&gt;0,'Calculations PJ'!I109*About!$B$45,0)</f>
        <v>0</v>
      </c>
      <c r="J109">
        <f>IF('Calculations PJ'!J109&lt;&gt;0,'Calculations PJ'!J109*About!$B$45,0)</f>
        <v>0</v>
      </c>
      <c r="K109">
        <f>IF('Calculations PJ'!K109&lt;&gt;0,'Calculations PJ'!K109*About!$B$45,0)</f>
        <v>0</v>
      </c>
      <c r="L109">
        <f>IF('Calculations PJ'!L109&lt;&gt;0,'Calculations PJ'!L109*About!$B$45,0)</f>
        <v>0</v>
      </c>
      <c r="M109">
        <f>IF('Calculations PJ'!M109&lt;&gt;0,'Calculations PJ'!M109*About!$B$45,0)</f>
        <v>0</v>
      </c>
      <c r="N109">
        <f>IF('Calculations PJ'!N109&lt;&gt;0,'Calculations PJ'!N109*About!$B$45,0)</f>
        <v>0</v>
      </c>
      <c r="O109">
        <f>IF('Calculations PJ'!O109&lt;&gt;0,'Calculations PJ'!O109*About!$B$45,0)</f>
        <v>0</v>
      </c>
      <c r="P109">
        <f>IF('Calculations PJ'!P109&lt;&gt;0,'Calculations PJ'!P109*About!$B$45,0)</f>
        <v>0</v>
      </c>
      <c r="Q109">
        <f>IF('Calculations PJ'!Q109&lt;&gt;0,'Calculations PJ'!Q109*About!$B$45,0)</f>
        <v>0</v>
      </c>
      <c r="R109">
        <f>IF('Calculations PJ'!R109&lt;&gt;0,'Calculations PJ'!R109*About!$B$45,0)</f>
        <v>0</v>
      </c>
      <c r="S109">
        <f>IF('Calculations PJ'!S109&lt;&gt;0,'Calculations PJ'!S109*About!$B$45,0)</f>
        <v>0</v>
      </c>
      <c r="T109">
        <f>IF('Calculations PJ'!T109&lt;&gt;0,'Calculations PJ'!T109*About!$B$45,0)</f>
        <v>0</v>
      </c>
      <c r="U109">
        <f>IF('Calculations PJ'!U109&lt;&gt;0,'Calculations PJ'!U109*About!$B$45,0)</f>
        <v>0</v>
      </c>
      <c r="V109">
        <f>IF('Calculations PJ'!V109&lt;&gt;0,'Calculations PJ'!V109*About!$B$45,0)</f>
        <v>0</v>
      </c>
      <c r="W109">
        <f>IF('Calculations PJ'!W109&lt;&gt;0,'Calculations PJ'!W109*About!$B$45,0)</f>
        <v>0</v>
      </c>
      <c r="X109">
        <f>IF('Calculations PJ'!X109&lt;&gt;0,'Calculations PJ'!X109*About!$B$45,0)</f>
        <v>0</v>
      </c>
      <c r="Y109">
        <f>IF('Calculations PJ'!Y109&lt;&gt;0,'Calculations PJ'!Y109*About!$B$45,0)</f>
        <v>0</v>
      </c>
      <c r="Z109">
        <f>IF('Calculations PJ'!Z109&lt;&gt;0,'Calculations PJ'!Z109*About!$B$45,0)</f>
        <v>0</v>
      </c>
      <c r="AA109">
        <f>IF('Calculations PJ'!AA109&lt;&gt;0,'Calculations PJ'!AA109*About!$B$45,0)</f>
        <v>0</v>
      </c>
      <c r="AB109">
        <f>IF('Calculations PJ'!AB109&lt;&gt;0,'Calculations PJ'!AB109*About!$B$45,0)</f>
        <v>0</v>
      </c>
      <c r="AC109">
        <f>IF('Calculations PJ'!AC109&lt;&gt;0,'Calculations PJ'!AC109*About!$B$45,0)</f>
        <v>0</v>
      </c>
      <c r="AD109">
        <f>IF('Calculations PJ'!AD109&lt;&gt;0,'Calculations PJ'!AD109*About!$B$45,0)</f>
        <v>0</v>
      </c>
      <c r="AE109">
        <f>IF('Calculations PJ'!AE109&lt;&gt;0,'Calculations PJ'!AE109*About!$B$45,0)</f>
        <v>0</v>
      </c>
      <c r="AF109">
        <f>IF('Calculations PJ'!AF109&lt;&gt;0,'Calculations PJ'!AF109*About!$B$45,0)</f>
        <v>0</v>
      </c>
      <c r="AG109">
        <f>IF('Calculations PJ'!AG109&lt;&gt;0,'Calculations PJ'!AG109*About!$B$45,0)</f>
        <v>0</v>
      </c>
      <c r="AH109">
        <f>IF('Calculations PJ'!AH109&lt;&gt;0,'Calculations PJ'!AH109*About!$B$45,0)</f>
        <v>0</v>
      </c>
      <c r="AI109">
        <f>IF('Calculations PJ'!AI109&lt;&gt;0,'Calculations PJ'!AI109*About!$B$45,0)</f>
        <v>0</v>
      </c>
      <c r="AJ109">
        <f>IF('Calculations PJ'!AJ109&lt;&gt;0,'Calculations PJ'!AJ109*About!$B$45,0)</f>
        <v>0</v>
      </c>
      <c r="AK109">
        <f>IF('Calculations PJ'!AK109&lt;&gt;0,'Calculations PJ'!AK109*About!$B$45,0)</f>
        <v>0</v>
      </c>
      <c r="AL109">
        <f>IF('Calculations PJ'!AL109&lt;&gt;0,'Calculations PJ'!AL109*About!$B$45,0)</f>
        <v>0</v>
      </c>
      <c r="AM109">
        <f>IF('Calculations PJ'!AM109&lt;&gt;0,'Calculations PJ'!AM109*About!$B$45,0)</f>
        <v>0</v>
      </c>
      <c r="AN109">
        <f>IF('Calculations PJ'!AN109&lt;&gt;0,'Calculations PJ'!AN109*About!$B$45,0)</f>
        <v>0</v>
      </c>
      <c r="AO109">
        <f>IF('Calculations PJ'!AO109&lt;&gt;0,'Calculations PJ'!AO109*About!$B$45,0)</f>
        <v>0</v>
      </c>
      <c r="AP109">
        <f>IF('Calculations PJ'!AP109&lt;&gt;0,'Calculations PJ'!AP109*About!$B$45,0)</f>
        <v>0</v>
      </c>
      <c r="AQ109">
        <f>IF('Calculations PJ'!AQ109&lt;&gt;0,'Calculations PJ'!AQ109*About!$B$45,0)</f>
        <v>0</v>
      </c>
      <c r="AR109">
        <f>IF('Calculations PJ'!AR109&lt;&gt;0,'Calculations PJ'!AR109*About!$B$45,0)</f>
        <v>0</v>
      </c>
      <c r="AS109">
        <f>IF('Calculations PJ'!AS109&lt;&gt;0,'Calculations PJ'!AS109*About!$B$45,0)</f>
        <v>0</v>
      </c>
      <c r="AT109">
        <f>IF('Calculations PJ'!AT109&lt;&gt;0,'Calculations PJ'!AT109*About!$B$45,0)</f>
        <v>0</v>
      </c>
      <c r="AU109">
        <f>IF('Calculations PJ'!AU109&lt;&gt;0,'Calculations PJ'!AU109*About!$B$45,0)</f>
        <v>0</v>
      </c>
      <c r="AV109">
        <f>IF('Calculations PJ'!AV109&lt;&gt;0,'Calculations PJ'!AV109*About!$B$45,0)</f>
        <v>0</v>
      </c>
      <c r="AW109">
        <f>IF('Calculations PJ'!AW109&lt;&gt;0,'Calculations PJ'!AW109*About!$B$45,0)</f>
        <v>0</v>
      </c>
      <c r="AX109">
        <f>IF('Calculations PJ'!AX109&lt;&gt;0,'Calculations PJ'!AX109*About!$B$45,0)</f>
        <v>0</v>
      </c>
      <c r="AY109">
        <f>IF('Calculations PJ'!AY109&lt;&gt;0,'Calculations PJ'!AY109*About!$B$45,0)</f>
        <v>0</v>
      </c>
      <c r="AZ109">
        <f>IF('Calculations PJ'!AZ109&lt;&gt;0,'Calculations PJ'!AZ109*About!$B$45,0)</f>
        <v>0</v>
      </c>
      <c r="BA109">
        <f>IF('Calculations PJ'!BA109&lt;&gt;0,'Calculations PJ'!BA109*About!$B$45,0)</f>
        <v>0</v>
      </c>
      <c r="BB109">
        <f>IF('Calculations PJ'!BB109&lt;&gt;0,'Calculations PJ'!BB109*About!$B$45,0)</f>
        <v>0</v>
      </c>
      <c r="BC109">
        <f>IF('Calculations PJ'!BC109&lt;&gt;0,'Calculations PJ'!BC109*About!$B$45,0)</f>
        <v>0</v>
      </c>
      <c r="BD109">
        <f>IF('Calculations PJ'!BD109&lt;&gt;0,'Calculations PJ'!BD109*About!$B$45,0)</f>
        <v>0</v>
      </c>
      <c r="BE109">
        <f>IF('Calculations PJ'!BE109&lt;&gt;0,'Calculations PJ'!BE109*About!$B$45,0)</f>
        <v>0</v>
      </c>
      <c r="BF109">
        <f>IF('Calculations PJ'!BF109&lt;&gt;0,'Calculations PJ'!BF109*About!$B$45,0)</f>
        <v>0</v>
      </c>
      <c r="BG109">
        <f>IF('Calculations PJ'!BG109&lt;&gt;0,'Calculations PJ'!BG109*About!$B$45,0)</f>
        <v>0</v>
      </c>
      <c r="BH109">
        <f>IF('Calculations PJ'!BH109&lt;&gt;0,'Calculations PJ'!BH109*About!$B$45,0)</f>
        <v>0</v>
      </c>
    </row>
    <row r="110" spans="1:60" hidden="1" outlineLevel="1">
      <c r="B110" t="s">
        <v>129</v>
      </c>
      <c r="C110">
        <f>IF('Calculations PJ'!C110&lt;&gt;0,'Calculations PJ'!C110*About!$B$45,0)</f>
        <v>0</v>
      </c>
      <c r="D110">
        <f>IF('Calculations PJ'!D110&lt;&gt;0,'Calculations PJ'!D110*About!$B$45,0)</f>
        <v>0</v>
      </c>
      <c r="E110">
        <f>IF('Calculations PJ'!E110&lt;&gt;0,'Calculations PJ'!E110*About!$B$45,0)</f>
        <v>0</v>
      </c>
      <c r="F110">
        <f>IF('Calculations PJ'!F110&lt;&gt;0,'Calculations PJ'!F110*About!$B$45,0)</f>
        <v>0</v>
      </c>
      <c r="G110">
        <f>IF('Calculations PJ'!G110&lt;&gt;0,'Calculations PJ'!G110*About!$B$45,0)</f>
        <v>0</v>
      </c>
      <c r="H110">
        <f>IF('Calculations PJ'!H110&lt;&gt;0,'Calculations PJ'!H110*About!$B$45,0)</f>
        <v>0</v>
      </c>
      <c r="I110">
        <f>IF('Calculations PJ'!I110&lt;&gt;0,'Calculations PJ'!I110*About!$B$45,0)</f>
        <v>0</v>
      </c>
      <c r="J110">
        <f>IF('Calculations PJ'!J110&lt;&gt;0,'Calculations PJ'!J110*About!$B$45,0)</f>
        <v>0</v>
      </c>
      <c r="K110">
        <f>IF('Calculations PJ'!K110&lt;&gt;0,'Calculations PJ'!K110*About!$B$45,0)</f>
        <v>0</v>
      </c>
      <c r="L110">
        <f>IF('Calculations PJ'!L110&lt;&gt;0,'Calculations PJ'!L110*About!$B$45,0)</f>
        <v>0</v>
      </c>
      <c r="M110">
        <f>IF('Calculations PJ'!M110&lt;&gt;0,'Calculations PJ'!M110*About!$B$45,0)</f>
        <v>0</v>
      </c>
      <c r="N110">
        <f>IF('Calculations PJ'!N110&lt;&gt;0,'Calculations PJ'!N110*About!$B$45,0)</f>
        <v>0</v>
      </c>
      <c r="O110">
        <f>IF('Calculations PJ'!O110&lt;&gt;0,'Calculations PJ'!O110*About!$B$45,0)</f>
        <v>0</v>
      </c>
      <c r="P110">
        <f>IF('Calculations PJ'!P110&lt;&gt;0,'Calculations PJ'!P110*About!$B$45,0)</f>
        <v>0</v>
      </c>
      <c r="Q110">
        <f>IF('Calculations PJ'!Q110&lt;&gt;0,'Calculations PJ'!Q110*About!$B$45,0)</f>
        <v>0</v>
      </c>
      <c r="R110">
        <f>IF('Calculations PJ'!R110&lt;&gt;0,'Calculations PJ'!R110*About!$B$45,0)</f>
        <v>0</v>
      </c>
      <c r="S110">
        <f>IF('Calculations PJ'!S110&lt;&gt;0,'Calculations PJ'!S110*About!$B$45,0)</f>
        <v>0</v>
      </c>
      <c r="T110">
        <f>IF('Calculations PJ'!T110&lt;&gt;0,'Calculations PJ'!T110*About!$B$45,0)</f>
        <v>0</v>
      </c>
      <c r="U110">
        <f>IF('Calculations PJ'!U110&lt;&gt;0,'Calculations PJ'!U110*About!$B$45,0)</f>
        <v>0</v>
      </c>
      <c r="V110">
        <f>IF('Calculations PJ'!V110&lt;&gt;0,'Calculations PJ'!V110*About!$B$45,0)</f>
        <v>0</v>
      </c>
      <c r="W110">
        <f>IF('Calculations PJ'!W110&lt;&gt;0,'Calculations PJ'!W110*About!$B$45,0)</f>
        <v>0</v>
      </c>
      <c r="X110">
        <f>IF('Calculations PJ'!X110&lt;&gt;0,'Calculations PJ'!X110*About!$B$45,0)</f>
        <v>0</v>
      </c>
      <c r="Y110">
        <f>IF('Calculations PJ'!Y110&lt;&gt;0,'Calculations PJ'!Y110*About!$B$45,0)</f>
        <v>0</v>
      </c>
      <c r="Z110">
        <f>IF('Calculations PJ'!Z110&lt;&gt;0,'Calculations PJ'!Z110*About!$B$45,0)</f>
        <v>0</v>
      </c>
      <c r="AA110">
        <f>IF('Calculations PJ'!AA110&lt;&gt;0,'Calculations PJ'!AA110*About!$B$45,0)</f>
        <v>0</v>
      </c>
      <c r="AB110">
        <f>IF('Calculations PJ'!AB110&lt;&gt;0,'Calculations PJ'!AB110*About!$B$45,0)</f>
        <v>0</v>
      </c>
      <c r="AC110">
        <f>IF('Calculations PJ'!AC110&lt;&gt;0,'Calculations PJ'!AC110*About!$B$45,0)</f>
        <v>0</v>
      </c>
      <c r="AD110">
        <f>IF('Calculations PJ'!AD110&lt;&gt;0,'Calculations PJ'!AD110*About!$B$45,0)</f>
        <v>0</v>
      </c>
      <c r="AE110">
        <f>IF('Calculations PJ'!AE110&lt;&gt;0,'Calculations PJ'!AE110*About!$B$45,0)</f>
        <v>0</v>
      </c>
      <c r="AF110">
        <f>IF('Calculations PJ'!AF110&lt;&gt;0,'Calculations PJ'!AF110*About!$B$45,0)</f>
        <v>0</v>
      </c>
      <c r="AG110">
        <f>IF('Calculations PJ'!AG110&lt;&gt;0,'Calculations PJ'!AG110*About!$B$45,0)</f>
        <v>0</v>
      </c>
      <c r="AH110">
        <f>IF('Calculations PJ'!AH110&lt;&gt;0,'Calculations PJ'!AH110*About!$B$45,0)</f>
        <v>0</v>
      </c>
      <c r="AI110">
        <f>IF('Calculations PJ'!AI110&lt;&gt;0,'Calculations PJ'!AI110*About!$B$45,0)</f>
        <v>0</v>
      </c>
      <c r="AJ110">
        <f>IF('Calculations PJ'!AJ110&lt;&gt;0,'Calculations PJ'!AJ110*About!$B$45,0)</f>
        <v>0</v>
      </c>
      <c r="AK110">
        <f>IF('Calculations PJ'!AK110&lt;&gt;0,'Calculations PJ'!AK110*About!$B$45,0)</f>
        <v>0</v>
      </c>
      <c r="AL110">
        <f>IF('Calculations PJ'!AL110&lt;&gt;0,'Calculations PJ'!AL110*About!$B$45,0)</f>
        <v>0</v>
      </c>
      <c r="AM110">
        <f>IF('Calculations PJ'!AM110&lt;&gt;0,'Calculations PJ'!AM110*About!$B$45,0)</f>
        <v>0</v>
      </c>
      <c r="AN110">
        <f>IF('Calculations PJ'!AN110&lt;&gt;0,'Calculations PJ'!AN110*About!$B$45,0)</f>
        <v>0</v>
      </c>
      <c r="AO110">
        <f>IF('Calculations PJ'!AO110&lt;&gt;0,'Calculations PJ'!AO110*About!$B$45,0)</f>
        <v>0</v>
      </c>
      <c r="AP110">
        <f>IF('Calculations PJ'!AP110&lt;&gt;0,'Calculations PJ'!AP110*About!$B$45,0)</f>
        <v>0</v>
      </c>
      <c r="AQ110">
        <f>IF('Calculations PJ'!AQ110&lt;&gt;0,'Calculations PJ'!AQ110*About!$B$45,0)</f>
        <v>0</v>
      </c>
      <c r="AR110">
        <f>IF('Calculations PJ'!AR110&lt;&gt;0,'Calculations PJ'!AR110*About!$B$45,0)</f>
        <v>0</v>
      </c>
      <c r="AS110">
        <f>IF('Calculations PJ'!AS110&lt;&gt;0,'Calculations PJ'!AS110*About!$B$45,0)</f>
        <v>0</v>
      </c>
      <c r="AT110">
        <f>IF('Calculations PJ'!AT110&lt;&gt;0,'Calculations PJ'!AT110*About!$B$45,0)</f>
        <v>0</v>
      </c>
      <c r="AU110">
        <f>IF('Calculations PJ'!AU110&lt;&gt;0,'Calculations PJ'!AU110*About!$B$45,0)</f>
        <v>0</v>
      </c>
      <c r="AV110">
        <f>IF('Calculations PJ'!AV110&lt;&gt;0,'Calculations PJ'!AV110*About!$B$45,0)</f>
        <v>0</v>
      </c>
      <c r="AW110">
        <f>IF('Calculations PJ'!AW110&lt;&gt;0,'Calculations PJ'!AW110*About!$B$45,0)</f>
        <v>0</v>
      </c>
      <c r="AX110">
        <f>IF('Calculations PJ'!AX110&lt;&gt;0,'Calculations PJ'!AX110*About!$B$45,0)</f>
        <v>0</v>
      </c>
      <c r="AY110">
        <f>IF('Calculations PJ'!AY110&lt;&gt;0,'Calculations PJ'!AY110*About!$B$45,0)</f>
        <v>0</v>
      </c>
      <c r="AZ110">
        <f>IF('Calculations PJ'!AZ110&lt;&gt;0,'Calculations PJ'!AZ110*About!$B$45,0)</f>
        <v>0</v>
      </c>
      <c r="BA110">
        <f>IF('Calculations PJ'!BA110&lt;&gt;0,'Calculations PJ'!BA110*About!$B$45,0)</f>
        <v>0</v>
      </c>
      <c r="BB110">
        <f>IF('Calculations PJ'!BB110&lt;&gt;0,'Calculations PJ'!BB110*About!$B$45,0)</f>
        <v>0</v>
      </c>
      <c r="BC110">
        <f>IF('Calculations PJ'!BC110&lt;&gt;0,'Calculations PJ'!BC110*About!$B$45,0)</f>
        <v>0</v>
      </c>
      <c r="BD110">
        <f>IF('Calculations PJ'!BD110&lt;&gt;0,'Calculations PJ'!BD110*About!$B$45,0)</f>
        <v>0</v>
      </c>
      <c r="BE110">
        <f>IF('Calculations PJ'!BE110&lt;&gt;0,'Calculations PJ'!BE110*About!$B$45,0)</f>
        <v>0</v>
      </c>
      <c r="BF110">
        <f>IF('Calculations PJ'!BF110&lt;&gt;0,'Calculations PJ'!BF110*About!$B$45,0)</f>
        <v>0</v>
      </c>
      <c r="BG110">
        <f>IF('Calculations PJ'!BG110&lt;&gt;0,'Calculations PJ'!BG110*About!$B$45,0)</f>
        <v>0</v>
      </c>
      <c r="BH110">
        <f>IF('Calculations PJ'!BH110&lt;&gt;0,'Calculations PJ'!BH110*About!$B$45,0)</f>
        <v>0</v>
      </c>
    </row>
    <row r="111" spans="1:60" hidden="1" outlineLevel="1">
      <c r="B111" t="s">
        <v>130</v>
      </c>
      <c r="C111">
        <f>IF('Calculations PJ'!C111&lt;&gt;0,'Calculations PJ'!C111*About!$B$45,0)</f>
        <v>0</v>
      </c>
      <c r="D111">
        <f>IF('Calculations PJ'!D111&lt;&gt;0,'Calculations PJ'!D111*About!$B$45,0)</f>
        <v>0</v>
      </c>
      <c r="E111">
        <f>IF('Calculations PJ'!E111&lt;&gt;0,'Calculations PJ'!E111*About!$B$45,0)</f>
        <v>0</v>
      </c>
      <c r="F111">
        <f>IF('Calculations PJ'!F111&lt;&gt;0,'Calculations PJ'!F111*About!$B$45,0)</f>
        <v>0</v>
      </c>
      <c r="G111">
        <f>IF('Calculations PJ'!G111&lt;&gt;0,'Calculations PJ'!G111*About!$B$45,0)</f>
        <v>0</v>
      </c>
      <c r="H111">
        <f>IF('Calculations PJ'!H111&lt;&gt;0,'Calculations PJ'!H111*About!$B$45,0)</f>
        <v>0</v>
      </c>
      <c r="I111">
        <f>IF('Calculations PJ'!I111&lt;&gt;0,'Calculations PJ'!I111*About!$B$45,0)</f>
        <v>0</v>
      </c>
      <c r="J111">
        <f>IF('Calculations PJ'!J111&lt;&gt;0,'Calculations PJ'!J111*About!$B$45,0)</f>
        <v>0</v>
      </c>
      <c r="K111">
        <f>IF('Calculations PJ'!K111&lt;&gt;0,'Calculations PJ'!K111*About!$B$45,0)</f>
        <v>0</v>
      </c>
      <c r="L111">
        <f>IF('Calculations PJ'!L111&lt;&gt;0,'Calculations PJ'!L111*About!$B$45,0)</f>
        <v>0</v>
      </c>
      <c r="M111">
        <f>IF('Calculations PJ'!M111&lt;&gt;0,'Calculations PJ'!M111*About!$B$45,0)</f>
        <v>0</v>
      </c>
      <c r="N111">
        <f>IF('Calculations PJ'!N111&lt;&gt;0,'Calculations PJ'!N111*About!$B$45,0)</f>
        <v>0</v>
      </c>
      <c r="O111">
        <f>IF('Calculations PJ'!O111&lt;&gt;0,'Calculations PJ'!O111*About!$B$45,0)</f>
        <v>0</v>
      </c>
      <c r="P111">
        <f>IF('Calculations PJ'!P111&lt;&gt;0,'Calculations PJ'!P111*About!$B$45,0)</f>
        <v>0</v>
      </c>
      <c r="Q111">
        <f>IF('Calculations PJ'!Q111&lt;&gt;0,'Calculations PJ'!Q111*About!$B$45,0)</f>
        <v>0</v>
      </c>
      <c r="R111">
        <f>IF('Calculations PJ'!R111&lt;&gt;0,'Calculations PJ'!R111*About!$B$45,0)</f>
        <v>0</v>
      </c>
      <c r="S111">
        <f>IF('Calculations PJ'!S111&lt;&gt;0,'Calculations PJ'!S111*About!$B$45,0)</f>
        <v>0</v>
      </c>
      <c r="T111">
        <f>IF('Calculations PJ'!T111&lt;&gt;0,'Calculations PJ'!T111*About!$B$45,0)</f>
        <v>0</v>
      </c>
      <c r="U111">
        <f>IF('Calculations PJ'!U111&lt;&gt;0,'Calculations PJ'!U111*About!$B$45,0)</f>
        <v>0</v>
      </c>
      <c r="V111">
        <f>IF('Calculations PJ'!V111&lt;&gt;0,'Calculations PJ'!V111*About!$B$45,0)</f>
        <v>0</v>
      </c>
      <c r="W111">
        <f>IF('Calculations PJ'!W111&lt;&gt;0,'Calculations PJ'!W111*About!$B$45,0)</f>
        <v>0</v>
      </c>
      <c r="X111">
        <f>IF('Calculations PJ'!X111&lt;&gt;0,'Calculations PJ'!X111*About!$B$45,0)</f>
        <v>0</v>
      </c>
      <c r="Y111">
        <f>IF('Calculations PJ'!Y111&lt;&gt;0,'Calculations PJ'!Y111*About!$B$45,0)</f>
        <v>0</v>
      </c>
      <c r="Z111">
        <f>IF('Calculations PJ'!Z111&lt;&gt;0,'Calculations PJ'!Z111*About!$B$45,0)</f>
        <v>0</v>
      </c>
      <c r="AA111">
        <f>IF('Calculations PJ'!AA111&lt;&gt;0,'Calculations PJ'!AA111*About!$B$45,0)</f>
        <v>0</v>
      </c>
      <c r="AB111">
        <f>IF('Calculations PJ'!AB111&lt;&gt;0,'Calculations PJ'!AB111*About!$B$45,0)</f>
        <v>0</v>
      </c>
      <c r="AC111">
        <f>IF('Calculations PJ'!AC111&lt;&gt;0,'Calculations PJ'!AC111*About!$B$45,0)</f>
        <v>0</v>
      </c>
      <c r="AD111">
        <f>IF('Calculations PJ'!AD111&lt;&gt;0,'Calculations PJ'!AD111*About!$B$45,0)</f>
        <v>0</v>
      </c>
      <c r="AE111">
        <f>IF('Calculations PJ'!AE111&lt;&gt;0,'Calculations PJ'!AE111*About!$B$45,0)</f>
        <v>0</v>
      </c>
      <c r="AF111">
        <f>IF('Calculations PJ'!AF111&lt;&gt;0,'Calculations PJ'!AF111*About!$B$45,0)</f>
        <v>0</v>
      </c>
      <c r="AG111">
        <f>IF('Calculations PJ'!AG111&lt;&gt;0,'Calculations PJ'!AG111*About!$B$45,0)</f>
        <v>0</v>
      </c>
      <c r="AH111">
        <f>IF('Calculations PJ'!AH111&lt;&gt;0,'Calculations PJ'!AH111*About!$B$45,0)</f>
        <v>0</v>
      </c>
      <c r="AI111">
        <f>IF('Calculations PJ'!AI111&lt;&gt;0,'Calculations PJ'!AI111*About!$B$45,0)</f>
        <v>0</v>
      </c>
      <c r="AJ111">
        <f>IF('Calculations PJ'!AJ111&lt;&gt;0,'Calculations PJ'!AJ111*About!$B$45,0)</f>
        <v>0</v>
      </c>
      <c r="AK111">
        <f>IF('Calculations PJ'!AK111&lt;&gt;0,'Calculations PJ'!AK111*About!$B$45,0)</f>
        <v>0</v>
      </c>
      <c r="AL111">
        <f>IF('Calculations PJ'!AL111&lt;&gt;0,'Calculations PJ'!AL111*About!$B$45,0)</f>
        <v>0</v>
      </c>
      <c r="AM111">
        <f>IF('Calculations PJ'!AM111&lt;&gt;0,'Calculations PJ'!AM111*About!$B$45,0)</f>
        <v>0</v>
      </c>
      <c r="AN111">
        <f>IF('Calculations PJ'!AN111&lt;&gt;0,'Calculations PJ'!AN111*About!$B$45,0)</f>
        <v>0</v>
      </c>
      <c r="AO111">
        <f>IF('Calculations PJ'!AO111&lt;&gt;0,'Calculations PJ'!AO111*About!$B$45,0)</f>
        <v>0</v>
      </c>
      <c r="AP111">
        <f>IF('Calculations PJ'!AP111&lt;&gt;0,'Calculations PJ'!AP111*About!$B$45,0)</f>
        <v>0</v>
      </c>
      <c r="AQ111">
        <f>IF('Calculations PJ'!AQ111&lt;&gt;0,'Calculations PJ'!AQ111*About!$B$45,0)</f>
        <v>0</v>
      </c>
      <c r="AR111">
        <f>IF('Calculations PJ'!AR111&lt;&gt;0,'Calculations PJ'!AR111*About!$B$45,0)</f>
        <v>0</v>
      </c>
      <c r="AS111">
        <f>IF('Calculations PJ'!AS111&lt;&gt;0,'Calculations PJ'!AS111*About!$B$45,0)</f>
        <v>0</v>
      </c>
      <c r="AT111">
        <f>IF('Calculations PJ'!AT111&lt;&gt;0,'Calculations PJ'!AT111*About!$B$45,0)</f>
        <v>0</v>
      </c>
      <c r="AU111">
        <f>IF('Calculations PJ'!AU111&lt;&gt;0,'Calculations PJ'!AU111*About!$B$45,0)</f>
        <v>0</v>
      </c>
      <c r="AV111">
        <f>IF('Calculations PJ'!AV111&lt;&gt;0,'Calculations PJ'!AV111*About!$B$45,0)</f>
        <v>0</v>
      </c>
      <c r="AW111">
        <f>IF('Calculations PJ'!AW111&lt;&gt;0,'Calculations PJ'!AW111*About!$B$45,0)</f>
        <v>0</v>
      </c>
      <c r="AX111">
        <f>IF('Calculations PJ'!AX111&lt;&gt;0,'Calculations PJ'!AX111*About!$B$45,0)</f>
        <v>0</v>
      </c>
      <c r="AY111">
        <f>IF('Calculations PJ'!AY111&lt;&gt;0,'Calculations PJ'!AY111*About!$B$45,0)</f>
        <v>0</v>
      </c>
      <c r="AZ111">
        <f>IF('Calculations PJ'!AZ111&lt;&gt;0,'Calculations PJ'!AZ111*About!$B$45,0)</f>
        <v>0</v>
      </c>
      <c r="BA111">
        <f>IF('Calculations PJ'!BA111&lt;&gt;0,'Calculations PJ'!BA111*About!$B$45,0)</f>
        <v>0</v>
      </c>
      <c r="BB111">
        <f>IF('Calculations PJ'!BB111&lt;&gt;0,'Calculations PJ'!BB111*About!$B$45,0)</f>
        <v>0</v>
      </c>
      <c r="BC111">
        <f>IF('Calculations PJ'!BC111&lt;&gt;0,'Calculations PJ'!BC111*About!$B$45,0)</f>
        <v>0</v>
      </c>
      <c r="BD111">
        <f>IF('Calculations PJ'!BD111&lt;&gt;0,'Calculations PJ'!BD111*About!$B$45,0)</f>
        <v>0</v>
      </c>
      <c r="BE111">
        <f>IF('Calculations PJ'!BE111&lt;&gt;0,'Calculations PJ'!BE111*About!$B$45,0)</f>
        <v>0</v>
      </c>
      <c r="BF111">
        <f>IF('Calculations PJ'!BF111&lt;&gt;0,'Calculations PJ'!BF111*About!$B$45,0)</f>
        <v>0</v>
      </c>
      <c r="BG111">
        <f>IF('Calculations PJ'!BG111&lt;&gt;0,'Calculations PJ'!BG111*About!$B$45,0)</f>
        <v>0</v>
      </c>
      <c r="BH111">
        <f>IF('Calculations PJ'!BH111&lt;&gt;0,'Calculations PJ'!BH111*About!$B$45,0)</f>
        <v>0</v>
      </c>
    </row>
    <row r="112" spans="1:60" hidden="1" outlineLevel="1">
      <c r="B112" t="s">
        <v>131</v>
      </c>
      <c r="C112">
        <f>IF('Calculations PJ'!C112&lt;&gt;0,'Calculations PJ'!C112*About!$B$45,0)</f>
        <v>0</v>
      </c>
      <c r="D112">
        <f>IF('Calculations PJ'!D112&lt;&gt;0,'Calculations PJ'!D112*About!$B$45,0)</f>
        <v>0</v>
      </c>
      <c r="E112">
        <f>IF('Calculations PJ'!E112&lt;&gt;0,'Calculations PJ'!E112*About!$B$45,0)</f>
        <v>0</v>
      </c>
      <c r="F112">
        <f>IF('Calculations PJ'!F112&lt;&gt;0,'Calculations PJ'!F112*About!$B$45,0)</f>
        <v>0</v>
      </c>
      <c r="G112">
        <f>IF('Calculations PJ'!G112&lt;&gt;0,'Calculations PJ'!G112*About!$B$45,0)</f>
        <v>0</v>
      </c>
      <c r="H112">
        <f>IF('Calculations PJ'!H112&lt;&gt;0,'Calculations PJ'!H112*About!$B$45,0)</f>
        <v>0</v>
      </c>
      <c r="I112">
        <f>IF('Calculations PJ'!I112&lt;&gt;0,'Calculations PJ'!I112*About!$B$45,0)</f>
        <v>0</v>
      </c>
      <c r="J112">
        <f>IF('Calculations PJ'!J112&lt;&gt;0,'Calculations PJ'!J112*About!$B$45,0)</f>
        <v>0</v>
      </c>
      <c r="K112">
        <f>IF('Calculations PJ'!K112&lt;&gt;0,'Calculations PJ'!K112*About!$B$45,0)</f>
        <v>0</v>
      </c>
      <c r="L112">
        <f>IF('Calculations PJ'!L112&lt;&gt;0,'Calculations PJ'!L112*About!$B$45,0)</f>
        <v>0</v>
      </c>
      <c r="M112">
        <f>IF('Calculations PJ'!M112&lt;&gt;0,'Calculations PJ'!M112*About!$B$45,0)</f>
        <v>0</v>
      </c>
      <c r="N112">
        <f>IF('Calculations PJ'!N112&lt;&gt;0,'Calculations PJ'!N112*About!$B$45,0)</f>
        <v>0</v>
      </c>
      <c r="O112">
        <f>IF('Calculations PJ'!O112&lt;&gt;0,'Calculations PJ'!O112*About!$B$45,0)</f>
        <v>0</v>
      </c>
      <c r="P112">
        <f>IF('Calculations PJ'!P112&lt;&gt;0,'Calculations PJ'!P112*About!$B$45,0)</f>
        <v>0</v>
      </c>
      <c r="Q112">
        <f>IF('Calculations PJ'!Q112&lt;&gt;0,'Calculations PJ'!Q112*About!$B$45,0)</f>
        <v>0</v>
      </c>
      <c r="R112">
        <f>IF('Calculations PJ'!R112&lt;&gt;0,'Calculations PJ'!R112*About!$B$45,0)</f>
        <v>0</v>
      </c>
      <c r="S112">
        <f>IF('Calculations PJ'!S112&lt;&gt;0,'Calculations PJ'!S112*About!$B$45,0)</f>
        <v>0</v>
      </c>
      <c r="T112">
        <f>IF('Calculations PJ'!T112&lt;&gt;0,'Calculations PJ'!T112*About!$B$45,0)</f>
        <v>0</v>
      </c>
      <c r="U112">
        <f>IF('Calculations PJ'!U112&lt;&gt;0,'Calculations PJ'!U112*About!$B$45,0)</f>
        <v>0</v>
      </c>
      <c r="V112">
        <f>IF('Calculations PJ'!V112&lt;&gt;0,'Calculations PJ'!V112*About!$B$45,0)</f>
        <v>0</v>
      </c>
      <c r="W112">
        <f>IF('Calculations PJ'!W112&lt;&gt;0,'Calculations PJ'!W112*About!$B$45,0)</f>
        <v>0</v>
      </c>
      <c r="X112">
        <f>IF('Calculations PJ'!X112&lt;&gt;0,'Calculations PJ'!X112*About!$B$45,0)</f>
        <v>0</v>
      </c>
      <c r="Y112">
        <f>IF('Calculations PJ'!Y112&lt;&gt;0,'Calculations PJ'!Y112*About!$B$45,0)</f>
        <v>0</v>
      </c>
      <c r="Z112">
        <f>IF('Calculations PJ'!Z112&lt;&gt;0,'Calculations PJ'!Z112*About!$B$45,0)</f>
        <v>0</v>
      </c>
      <c r="AA112">
        <f>IF('Calculations PJ'!AA112&lt;&gt;0,'Calculations PJ'!AA112*About!$B$45,0)</f>
        <v>0</v>
      </c>
      <c r="AB112">
        <f>IF('Calculations PJ'!AB112&lt;&gt;0,'Calculations PJ'!AB112*About!$B$45,0)</f>
        <v>0</v>
      </c>
      <c r="AC112">
        <f>IF('Calculations PJ'!AC112&lt;&gt;0,'Calculations PJ'!AC112*About!$B$45,0)</f>
        <v>0</v>
      </c>
      <c r="AD112">
        <f>IF('Calculations PJ'!AD112&lt;&gt;0,'Calculations PJ'!AD112*About!$B$45,0)</f>
        <v>0</v>
      </c>
      <c r="AE112">
        <f>IF('Calculations PJ'!AE112&lt;&gt;0,'Calculations PJ'!AE112*About!$B$45,0)</f>
        <v>0</v>
      </c>
      <c r="AF112">
        <f>IF('Calculations PJ'!AF112&lt;&gt;0,'Calculations PJ'!AF112*About!$B$45,0)</f>
        <v>0</v>
      </c>
      <c r="AG112">
        <f>IF('Calculations PJ'!AG112&lt;&gt;0,'Calculations PJ'!AG112*About!$B$45,0)</f>
        <v>0</v>
      </c>
      <c r="AH112">
        <f>IF('Calculations PJ'!AH112&lt;&gt;0,'Calculations PJ'!AH112*About!$B$45,0)</f>
        <v>0</v>
      </c>
      <c r="AI112">
        <f>IF('Calculations PJ'!AI112&lt;&gt;0,'Calculations PJ'!AI112*About!$B$45,0)</f>
        <v>0</v>
      </c>
      <c r="AJ112">
        <f>IF('Calculations PJ'!AJ112&lt;&gt;0,'Calculations PJ'!AJ112*About!$B$45,0)</f>
        <v>0</v>
      </c>
      <c r="AK112">
        <f>IF('Calculations PJ'!AK112&lt;&gt;0,'Calculations PJ'!AK112*About!$B$45,0)</f>
        <v>0</v>
      </c>
      <c r="AL112">
        <f>IF('Calculations PJ'!AL112&lt;&gt;0,'Calculations PJ'!AL112*About!$B$45,0)</f>
        <v>0</v>
      </c>
      <c r="AM112">
        <f>IF('Calculations PJ'!AM112&lt;&gt;0,'Calculations PJ'!AM112*About!$B$45,0)</f>
        <v>0</v>
      </c>
      <c r="AN112">
        <f>IF('Calculations PJ'!AN112&lt;&gt;0,'Calculations PJ'!AN112*About!$B$45,0)</f>
        <v>0</v>
      </c>
      <c r="AO112">
        <f>IF('Calculations PJ'!AO112&lt;&gt;0,'Calculations PJ'!AO112*About!$B$45,0)</f>
        <v>0</v>
      </c>
      <c r="AP112">
        <f>IF('Calculations PJ'!AP112&lt;&gt;0,'Calculations PJ'!AP112*About!$B$45,0)</f>
        <v>0</v>
      </c>
      <c r="AQ112">
        <f>IF('Calculations PJ'!AQ112&lt;&gt;0,'Calculations PJ'!AQ112*About!$B$45,0)</f>
        <v>0</v>
      </c>
      <c r="AR112">
        <f>IF('Calculations PJ'!AR112&lt;&gt;0,'Calculations PJ'!AR112*About!$B$45,0)</f>
        <v>0</v>
      </c>
      <c r="AS112">
        <f>IF('Calculations PJ'!AS112&lt;&gt;0,'Calculations PJ'!AS112*About!$B$45,0)</f>
        <v>0</v>
      </c>
      <c r="AT112">
        <f>IF('Calculations PJ'!AT112&lt;&gt;0,'Calculations PJ'!AT112*About!$B$45,0)</f>
        <v>0</v>
      </c>
      <c r="AU112">
        <f>IF('Calculations PJ'!AU112&lt;&gt;0,'Calculations PJ'!AU112*About!$B$45,0)</f>
        <v>0</v>
      </c>
      <c r="AV112">
        <f>IF('Calculations PJ'!AV112&lt;&gt;0,'Calculations PJ'!AV112*About!$B$45,0)</f>
        <v>0</v>
      </c>
      <c r="AW112">
        <f>IF('Calculations PJ'!AW112&lt;&gt;0,'Calculations PJ'!AW112*About!$B$45,0)</f>
        <v>0</v>
      </c>
      <c r="AX112">
        <f>IF('Calculations PJ'!AX112&lt;&gt;0,'Calculations PJ'!AX112*About!$B$45,0)</f>
        <v>0</v>
      </c>
      <c r="AY112">
        <f>IF('Calculations PJ'!AY112&lt;&gt;0,'Calculations PJ'!AY112*About!$B$45,0)</f>
        <v>0</v>
      </c>
      <c r="AZ112">
        <f>IF('Calculations PJ'!AZ112&lt;&gt;0,'Calculations PJ'!AZ112*About!$B$45,0)</f>
        <v>0</v>
      </c>
      <c r="BA112">
        <f>IF('Calculations PJ'!BA112&lt;&gt;0,'Calculations PJ'!BA112*About!$B$45,0)</f>
        <v>0</v>
      </c>
      <c r="BB112">
        <f>IF('Calculations PJ'!BB112&lt;&gt;0,'Calculations PJ'!BB112*About!$B$45,0)</f>
        <v>0</v>
      </c>
      <c r="BC112">
        <f>IF('Calculations PJ'!BC112&lt;&gt;0,'Calculations PJ'!BC112*About!$B$45,0)</f>
        <v>0</v>
      </c>
      <c r="BD112">
        <f>IF('Calculations PJ'!BD112&lt;&gt;0,'Calculations PJ'!BD112*About!$B$45,0)</f>
        <v>0</v>
      </c>
      <c r="BE112">
        <f>IF('Calculations PJ'!BE112&lt;&gt;0,'Calculations PJ'!BE112*About!$B$45,0)</f>
        <v>0</v>
      </c>
      <c r="BF112">
        <f>IF('Calculations PJ'!BF112&lt;&gt;0,'Calculations PJ'!BF112*About!$B$45,0)</f>
        <v>0</v>
      </c>
      <c r="BG112">
        <f>IF('Calculations PJ'!BG112&lt;&gt;0,'Calculations PJ'!BG112*About!$B$45,0)</f>
        <v>0</v>
      </c>
      <c r="BH112">
        <f>IF('Calculations PJ'!BH112&lt;&gt;0,'Calculations PJ'!BH112*About!$B$45,0)</f>
        <v>0</v>
      </c>
    </row>
    <row r="113" spans="2:60" hidden="1" outlineLevel="1">
      <c r="B113" t="s">
        <v>132</v>
      </c>
      <c r="C113">
        <f>IF('Calculations PJ'!C113&lt;&gt;0,'Calculations PJ'!C113*About!$B$45,0)</f>
        <v>0</v>
      </c>
      <c r="D113">
        <f>IF('Calculations PJ'!D113&lt;&gt;0,'Calculations PJ'!D113*About!$B$45,0)</f>
        <v>0</v>
      </c>
      <c r="E113">
        <f>IF('Calculations PJ'!E113&lt;&gt;0,'Calculations PJ'!E113*About!$B$45,0)</f>
        <v>0</v>
      </c>
      <c r="F113">
        <f>IF('Calculations PJ'!F113&lt;&gt;0,'Calculations PJ'!F113*About!$B$45,0)</f>
        <v>0</v>
      </c>
      <c r="G113">
        <f>IF('Calculations PJ'!G113&lt;&gt;0,'Calculations PJ'!G113*About!$B$45,0)</f>
        <v>0</v>
      </c>
      <c r="H113">
        <f>IF('Calculations PJ'!H113&lt;&gt;0,'Calculations PJ'!H113*About!$B$45,0)</f>
        <v>0</v>
      </c>
      <c r="I113">
        <f>IF('Calculations PJ'!I113&lt;&gt;0,'Calculations PJ'!I113*About!$B$45,0)</f>
        <v>0</v>
      </c>
      <c r="J113">
        <f>IF('Calculations PJ'!J113&lt;&gt;0,'Calculations PJ'!J113*About!$B$45,0)</f>
        <v>0</v>
      </c>
      <c r="K113">
        <f>IF('Calculations PJ'!K113&lt;&gt;0,'Calculations PJ'!K113*About!$B$45,0)</f>
        <v>0</v>
      </c>
      <c r="L113">
        <f>IF('Calculations PJ'!L113&lt;&gt;0,'Calculations PJ'!L113*About!$B$45,0)</f>
        <v>0</v>
      </c>
      <c r="M113">
        <f>IF('Calculations PJ'!M113&lt;&gt;0,'Calculations PJ'!M113*About!$B$45,0)</f>
        <v>0</v>
      </c>
      <c r="N113">
        <f>IF('Calculations PJ'!N113&lt;&gt;0,'Calculations PJ'!N113*About!$B$45,0)</f>
        <v>0</v>
      </c>
      <c r="O113">
        <f>IF('Calculations PJ'!O113&lt;&gt;0,'Calculations PJ'!O113*About!$B$45,0)</f>
        <v>0</v>
      </c>
      <c r="P113">
        <f>IF('Calculations PJ'!P113&lt;&gt;0,'Calculations PJ'!P113*About!$B$45,0)</f>
        <v>0</v>
      </c>
      <c r="Q113">
        <f>IF('Calculations PJ'!Q113&lt;&gt;0,'Calculations PJ'!Q113*About!$B$45,0)</f>
        <v>0</v>
      </c>
      <c r="R113">
        <f>IF('Calculations PJ'!R113&lt;&gt;0,'Calculations PJ'!R113*About!$B$45,0)</f>
        <v>0</v>
      </c>
      <c r="S113">
        <f>IF('Calculations PJ'!S113&lt;&gt;0,'Calculations PJ'!S113*About!$B$45,0)</f>
        <v>0</v>
      </c>
      <c r="T113">
        <f>IF('Calculations PJ'!T113&lt;&gt;0,'Calculations PJ'!T113*About!$B$45,0)</f>
        <v>0</v>
      </c>
      <c r="U113">
        <f>IF('Calculations PJ'!U113&lt;&gt;0,'Calculations PJ'!U113*About!$B$45,0)</f>
        <v>0</v>
      </c>
      <c r="V113">
        <f>IF('Calculations PJ'!V113&lt;&gt;0,'Calculations PJ'!V113*About!$B$45,0)</f>
        <v>0</v>
      </c>
      <c r="W113">
        <f>IF('Calculations PJ'!W113&lt;&gt;0,'Calculations PJ'!W113*About!$B$45,0)</f>
        <v>0</v>
      </c>
      <c r="X113">
        <f>IF('Calculations PJ'!X113&lt;&gt;0,'Calculations PJ'!X113*About!$B$45,0)</f>
        <v>0</v>
      </c>
      <c r="Y113">
        <f>IF('Calculations PJ'!Y113&lt;&gt;0,'Calculations PJ'!Y113*About!$B$45,0)</f>
        <v>0</v>
      </c>
      <c r="Z113">
        <f>IF('Calculations PJ'!Z113&lt;&gt;0,'Calculations PJ'!Z113*About!$B$45,0)</f>
        <v>0</v>
      </c>
      <c r="AA113">
        <f>IF('Calculations PJ'!AA113&lt;&gt;0,'Calculations PJ'!AA113*About!$B$45,0)</f>
        <v>0</v>
      </c>
      <c r="AB113">
        <f>IF('Calculations PJ'!AB113&lt;&gt;0,'Calculations PJ'!AB113*About!$B$45,0)</f>
        <v>0</v>
      </c>
      <c r="AC113">
        <f>IF('Calculations PJ'!AC113&lt;&gt;0,'Calculations PJ'!AC113*About!$B$45,0)</f>
        <v>0</v>
      </c>
      <c r="AD113">
        <f>IF('Calculations PJ'!AD113&lt;&gt;0,'Calculations PJ'!AD113*About!$B$45,0)</f>
        <v>0</v>
      </c>
      <c r="AE113">
        <f>IF('Calculations PJ'!AE113&lt;&gt;0,'Calculations PJ'!AE113*About!$B$45,0)</f>
        <v>0</v>
      </c>
      <c r="AF113">
        <f>IF('Calculations PJ'!AF113&lt;&gt;0,'Calculations PJ'!AF113*About!$B$45,0)</f>
        <v>0</v>
      </c>
      <c r="AG113">
        <f>IF('Calculations PJ'!AG113&lt;&gt;0,'Calculations PJ'!AG113*About!$B$45,0)</f>
        <v>0</v>
      </c>
      <c r="AH113">
        <f>IF('Calculations PJ'!AH113&lt;&gt;0,'Calculations PJ'!AH113*About!$B$45,0)</f>
        <v>0</v>
      </c>
      <c r="AI113">
        <f>IF('Calculations PJ'!AI113&lt;&gt;0,'Calculations PJ'!AI113*About!$B$45,0)</f>
        <v>0</v>
      </c>
      <c r="AJ113">
        <f>IF('Calculations PJ'!AJ113&lt;&gt;0,'Calculations PJ'!AJ113*About!$B$45,0)</f>
        <v>0</v>
      </c>
      <c r="AK113">
        <f>IF('Calculations PJ'!AK113&lt;&gt;0,'Calculations PJ'!AK113*About!$B$45,0)</f>
        <v>0</v>
      </c>
      <c r="AL113">
        <f>IF('Calculations PJ'!AL113&lt;&gt;0,'Calculations PJ'!AL113*About!$B$45,0)</f>
        <v>0</v>
      </c>
      <c r="AM113">
        <f>IF('Calculations PJ'!AM113&lt;&gt;0,'Calculations PJ'!AM113*About!$B$45,0)</f>
        <v>0</v>
      </c>
      <c r="AN113">
        <f>IF('Calculations PJ'!AN113&lt;&gt;0,'Calculations PJ'!AN113*About!$B$45,0)</f>
        <v>0</v>
      </c>
      <c r="AO113">
        <f>IF('Calculations PJ'!AO113&lt;&gt;0,'Calculations PJ'!AO113*About!$B$45,0)</f>
        <v>0</v>
      </c>
      <c r="AP113">
        <f>IF('Calculations PJ'!AP113&lt;&gt;0,'Calculations PJ'!AP113*About!$B$45,0)</f>
        <v>0</v>
      </c>
      <c r="AQ113">
        <f>IF('Calculations PJ'!AQ113&lt;&gt;0,'Calculations PJ'!AQ113*About!$B$45,0)</f>
        <v>0</v>
      </c>
      <c r="AR113">
        <f>IF('Calculations PJ'!AR113&lt;&gt;0,'Calculations PJ'!AR113*About!$B$45,0)</f>
        <v>0</v>
      </c>
      <c r="AS113">
        <f>IF('Calculations PJ'!AS113&lt;&gt;0,'Calculations PJ'!AS113*About!$B$45,0)</f>
        <v>0</v>
      </c>
      <c r="AT113">
        <f>IF('Calculations PJ'!AT113&lt;&gt;0,'Calculations PJ'!AT113*About!$B$45,0)</f>
        <v>0</v>
      </c>
      <c r="AU113">
        <f>IF('Calculations PJ'!AU113&lt;&gt;0,'Calculations PJ'!AU113*About!$B$45,0)</f>
        <v>0</v>
      </c>
      <c r="AV113">
        <f>IF('Calculations PJ'!AV113&lt;&gt;0,'Calculations PJ'!AV113*About!$B$45,0)</f>
        <v>0</v>
      </c>
      <c r="AW113">
        <f>IF('Calculations PJ'!AW113&lt;&gt;0,'Calculations PJ'!AW113*About!$B$45,0)</f>
        <v>0</v>
      </c>
      <c r="AX113">
        <f>IF('Calculations PJ'!AX113&lt;&gt;0,'Calculations PJ'!AX113*About!$B$45,0)</f>
        <v>0</v>
      </c>
      <c r="AY113">
        <f>IF('Calculations PJ'!AY113&lt;&gt;0,'Calculations PJ'!AY113*About!$B$45,0)</f>
        <v>0</v>
      </c>
      <c r="AZ113">
        <f>IF('Calculations PJ'!AZ113&lt;&gt;0,'Calculations PJ'!AZ113*About!$B$45,0)</f>
        <v>0</v>
      </c>
      <c r="BA113">
        <f>IF('Calculations PJ'!BA113&lt;&gt;0,'Calculations PJ'!BA113*About!$B$45,0)</f>
        <v>0</v>
      </c>
      <c r="BB113">
        <f>IF('Calculations PJ'!BB113&lt;&gt;0,'Calculations PJ'!BB113*About!$B$45,0)</f>
        <v>0</v>
      </c>
      <c r="BC113">
        <f>IF('Calculations PJ'!BC113&lt;&gt;0,'Calculations PJ'!BC113*About!$B$45,0)</f>
        <v>0</v>
      </c>
      <c r="BD113">
        <f>IF('Calculations PJ'!BD113&lt;&gt;0,'Calculations PJ'!BD113*About!$B$45,0)</f>
        <v>0</v>
      </c>
      <c r="BE113">
        <f>IF('Calculations PJ'!BE113&lt;&gt;0,'Calculations PJ'!BE113*About!$B$45,0)</f>
        <v>0</v>
      </c>
      <c r="BF113">
        <f>IF('Calculations PJ'!BF113&lt;&gt;0,'Calculations PJ'!BF113*About!$B$45,0)</f>
        <v>0</v>
      </c>
      <c r="BG113">
        <f>IF('Calculations PJ'!BG113&lt;&gt;0,'Calculations PJ'!BG113*About!$B$45,0)</f>
        <v>0</v>
      </c>
      <c r="BH113">
        <f>IF('Calculations PJ'!BH113&lt;&gt;0,'Calculations PJ'!BH113*About!$B$45,0)</f>
        <v>0</v>
      </c>
    </row>
    <row r="114" spans="2:60" hidden="1" outlineLevel="1">
      <c r="B114" t="s">
        <v>133</v>
      </c>
      <c r="C114">
        <f>IF('Calculations PJ'!C114&lt;&gt;0,'Calculations PJ'!C114*About!$B$45,0)</f>
        <v>0</v>
      </c>
      <c r="D114">
        <f>IF('Calculations PJ'!D114&lt;&gt;0,'Calculations PJ'!D114*About!$B$45,0)</f>
        <v>0</v>
      </c>
      <c r="E114">
        <f>IF('Calculations PJ'!E114&lt;&gt;0,'Calculations PJ'!E114*About!$B$45,0)</f>
        <v>0</v>
      </c>
      <c r="F114">
        <f>IF('Calculations PJ'!F114&lt;&gt;0,'Calculations PJ'!F114*About!$B$45,0)</f>
        <v>0</v>
      </c>
      <c r="G114">
        <f>IF('Calculations PJ'!G114&lt;&gt;0,'Calculations PJ'!G114*About!$B$45,0)</f>
        <v>0</v>
      </c>
      <c r="H114">
        <f>IF('Calculations PJ'!H114&lt;&gt;0,'Calculations PJ'!H114*About!$B$45,0)</f>
        <v>0</v>
      </c>
      <c r="I114">
        <f>IF('Calculations PJ'!I114&lt;&gt;0,'Calculations PJ'!I114*About!$B$45,0)</f>
        <v>0</v>
      </c>
      <c r="J114">
        <f>IF('Calculations PJ'!J114&lt;&gt;0,'Calculations PJ'!J114*About!$B$45,0)</f>
        <v>0</v>
      </c>
      <c r="K114">
        <f>IF('Calculations PJ'!K114&lt;&gt;0,'Calculations PJ'!K114*About!$B$45,0)</f>
        <v>0</v>
      </c>
      <c r="L114">
        <f>IF('Calculations PJ'!L114&lt;&gt;0,'Calculations PJ'!L114*About!$B$45,0)</f>
        <v>0</v>
      </c>
      <c r="M114">
        <f>IF('Calculations PJ'!M114&lt;&gt;0,'Calculations PJ'!M114*About!$B$45,0)</f>
        <v>0</v>
      </c>
      <c r="N114">
        <f>IF('Calculations PJ'!N114&lt;&gt;0,'Calculations PJ'!N114*About!$B$45,0)</f>
        <v>0</v>
      </c>
      <c r="O114">
        <f>IF('Calculations PJ'!O114&lt;&gt;0,'Calculations PJ'!O114*About!$B$45,0)</f>
        <v>0</v>
      </c>
      <c r="P114">
        <f>IF('Calculations PJ'!P114&lt;&gt;0,'Calculations PJ'!P114*About!$B$45,0)</f>
        <v>0</v>
      </c>
      <c r="Q114">
        <f>IF('Calculations PJ'!Q114&lt;&gt;0,'Calculations PJ'!Q114*About!$B$45,0)</f>
        <v>0</v>
      </c>
      <c r="R114">
        <f>IF('Calculations PJ'!R114&lt;&gt;0,'Calculations PJ'!R114*About!$B$45,0)</f>
        <v>0</v>
      </c>
      <c r="S114">
        <f>IF('Calculations PJ'!S114&lt;&gt;0,'Calculations PJ'!S114*About!$B$45,0)</f>
        <v>0</v>
      </c>
      <c r="T114">
        <f>IF('Calculations PJ'!T114&lt;&gt;0,'Calculations PJ'!T114*About!$B$45,0)</f>
        <v>0</v>
      </c>
      <c r="U114">
        <f>IF('Calculations PJ'!U114&lt;&gt;0,'Calculations PJ'!U114*About!$B$45,0)</f>
        <v>0</v>
      </c>
      <c r="V114">
        <f>IF('Calculations PJ'!V114&lt;&gt;0,'Calculations PJ'!V114*About!$B$45,0)</f>
        <v>0</v>
      </c>
      <c r="W114">
        <f>IF('Calculations PJ'!W114&lt;&gt;0,'Calculations PJ'!W114*About!$B$45,0)</f>
        <v>0</v>
      </c>
      <c r="X114">
        <f>IF('Calculations PJ'!X114&lt;&gt;0,'Calculations PJ'!X114*About!$B$45,0)</f>
        <v>0</v>
      </c>
      <c r="Y114">
        <f>IF('Calculations PJ'!Y114&lt;&gt;0,'Calculations PJ'!Y114*About!$B$45,0)</f>
        <v>0</v>
      </c>
      <c r="Z114">
        <f>IF('Calculations PJ'!Z114&lt;&gt;0,'Calculations PJ'!Z114*About!$B$45,0)</f>
        <v>0</v>
      </c>
      <c r="AA114">
        <f>IF('Calculations PJ'!AA114&lt;&gt;0,'Calculations PJ'!AA114*About!$B$45,0)</f>
        <v>0</v>
      </c>
      <c r="AB114">
        <f>IF('Calculations PJ'!AB114&lt;&gt;0,'Calculations PJ'!AB114*About!$B$45,0)</f>
        <v>0</v>
      </c>
      <c r="AC114">
        <f>IF('Calculations PJ'!AC114&lt;&gt;0,'Calculations PJ'!AC114*About!$B$45,0)</f>
        <v>0</v>
      </c>
      <c r="AD114">
        <f>IF('Calculations PJ'!AD114&lt;&gt;0,'Calculations PJ'!AD114*About!$B$45,0)</f>
        <v>0</v>
      </c>
      <c r="AE114">
        <f>IF('Calculations PJ'!AE114&lt;&gt;0,'Calculations PJ'!AE114*About!$B$45,0)</f>
        <v>0</v>
      </c>
      <c r="AF114">
        <f>IF('Calculations PJ'!AF114&lt;&gt;0,'Calculations PJ'!AF114*About!$B$45,0)</f>
        <v>0</v>
      </c>
      <c r="AG114">
        <f>IF('Calculations PJ'!AG114&lt;&gt;0,'Calculations PJ'!AG114*About!$B$45,0)</f>
        <v>0</v>
      </c>
      <c r="AH114">
        <f>IF('Calculations PJ'!AH114&lt;&gt;0,'Calculations PJ'!AH114*About!$B$45,0)</f>
        <v>0</v>
      </c>
      <c r="AI114">
        <f>IF('Calculations PJ'!AI114&lt;&gt;0,'Calculations PJ'!AI114*About!$B$45,0)</f>
        <v>0</v>
      </c>
      <c r="AJ114">
        <f>IF('Calculations PJ'!AJ114&lt;&gt;0,'Calculations PJ'!AJ114*About!$B$45,0)</f>
        <v>0</v>
      </c>
      <c r="AK114">
        <f>IF('Calculations PJ'!AK114&lt;&gt;0,'Calculations PJ'!AK114*About!$B$45,0)</f>
        <v>0</v>
      </c>
      <c r="AL114">
        <f>IF('Calculations PJ'!AL114&lt;&gt;0,'Calculations PJ'!AL114*About!$B$45,0)</f>
        <v>0</v>
      </c>
      <c r="AM114">
        <f>IF('Calculations PJ'!AM114&lt;&gt;0,'Calculations PJ'!AM114*About!$B$45,0)</f>
        <v>0</v>
      </c>
      <c r="AN114">
        <f>IF('Calculations PJ'!AN114&lt;&gt;0,'Calculations PJ'!AN114*About!$B$45,0)</f>
        <v>0</v>
      </c>
      <c r="AO114">
        <f>IF('Calculations PJ'!AO114&lt;&gt;0,'Calculations PJ'!AO114*About!$B$45,0)</f>
        <v>0</v>
      </c>
      <c r="AP114">
        <f>IF('Calculations PJ'!AP114&lt;&gt;0,'Calculations PJ'!AP114*About!$B$45,0)</f>
        <v>0</v>
      </c>
      <c r="AQ114">
        <f>IF('Calculations PJ'!AQ114&lt;&gt;0,'Calculations PJ'!AQ114*About!$B$45,0)</f>
        <v>0</v>
      </c>
      <c r="AR114">
        <f>IF('Calculations PJ'!AR114&lt;&gt;0,'Calculations PJ'!AR114*About!$B$45,0)</f>
        <v>0</v>
      </c>
      <c r="AS114">
        <f>IF('Calculations PJ'!AS114&lt;&gt;0,'Calculations PJ'!AS114*About!$B$45,0)</f>
        <v>0</v>
      </c>
      <c r="AT114">
        <f>IF('Calculations PJ'!AT114&lt;&gt;0,'Calculations PJ'!AT114*About!$B$45,0)</f>
        <v>0</v>
      </c>
      <c r="AU114">
        <f>IF('Calculations PJ'!AU114&lt;&gt;0,'Calculations PJ'!AU114*About!$B$45,0)</f>
        <v>0</v>
      </c>
      <c r="AV114">
        <f>IF('Calculations PJ'!AV114&lt;&gt;0,'Calculations PJ'!AV114*About!$B$45,0)</f>
        <v>0</v>
      </c>
      <c r="AW114">
        <f>IF('Calculations PJ'!AW114&lt;&gt;0,'Calculations PJ'!AW114*About!$B$45,0)</f>
        <v>0</v>
      </c>
      <c r="AX114">
        <f>IF('Calculations PJ'!AX114&lt;&gt;0,'Calculations PJ'!AX114*About!$B$45,0)</f>
        <v>0</v>
      </c>
      <c r="AY114">
        <f>IF('Calculations PJ'!AY114&lt;&gt;0,'Calculations PJ'!AY114*About!$B$45,0)</f>
        <v>0</v>
      </c>
      <c r="AZ114">
        <f>IF('Calculations PJ'!AZ114&lt;&gt;0,'Calculations PJ'!AZ114*About!$B$45,0)</f>
        <v>0</v>
      </c>
      <c r="BA114">
        <f>IF('Calculations PJ'!BA114&lt;&gt;0,'Calculations PJ'!BA114*About!$B$45,0)</f>
        <v>0</v>
      </c>
      <c r="BB114">
        <f>IF('Calculations PJ'!BB114&lt;&gt;0,'Calculations PJ'!BB114*About!$B$45,0)</f>
        <v>0</v>
      </c>
      <c r="BC114">
        <f>IF('Calculations PJ'!BC114&lt;&gt;0,'Calculations PJ'!BC114*About!$B$45,0)</f>
        <v>0</v>
      </c>
      <c r="BD114">
        <f>IF('Calculations PJ'!BD114&lt;&gt;0,'Calculations PJ'!BD114*About!$B$45,0)</f>
        <v>0</v>
      </c>
      <c r="BE114">
        <f>IF('Calculations PJ'!BE114&lt;&gt;0,'Calculations PJ'!BE114*About!$B$45,0)</f>
        <v>0</v>
      </c>
      <c r="BF114">
        <f>IF('Calculations PJ'!BF114&lt;&gt;0,'Calculations PJ'!BF114*About!$B$45,0)</f>
        <v>0</v>
      </c>
      <c r="BG114">
        <f>IF('Calculations PJ'!BG114&lt;&gt;0,'Calculations PJ'!BG114*About!$B$45,0)</f>
        <v>0</v>
      </c>
      <c r="BH114">
        <f>IF('Calculations PJ'!BH114&lt;&gt;0,'Calculations PJ'!BH114*About!$B$45,0)</f>
        <v>0</v>
      </c>
    </row>
    <row r="115" spans="2:60" hidden="1" outlineLevel="1">
      <c r="B115" t="s">
        <v>134</v>
      </c>
      <c r="C115">
        <f>IF('Calculations PJ'!C115&lt;&gt;0,'Calculations PJ'!C115*About!$B$45,0)</f>
        <v>0</v>
      </c>
      <c r="D115">
        <f>IF('Calculations PJ'!D115&lt;&gt;0,'Calculations PJ'!D115*About!$B$45,0)</f>
        <v>0</v>
      </c>
      <c r="E115">
        <f>IF('Calculations PJ'!E115&lt;&gt;0,'Calculations PJ'!E115*About!$B$45,0)</f>
        <v>0</v>
      </c>
      <c r="F115">
        <f>IF('Calculations PJ'!F115&lt;&gt;0,'Calculations PJ'!F115*About!$B$45,0)</f>
        <v>0</v>
      </c>
      <c r="G115">
        <f>IF('Calculations PJ'!G115&lt;&gt;0,'Calculations PJ'!G115*About!$B$45,0)</f>
        <v>0</v>
      </c>
      <c r="H115">
        <f>IF('Calculations PJ'!H115&lt;&gt;0,'Calculations PJ'!H115*About!$B$45,0)</f>
        <v>0</v>
      </c>
      <c r="I115">
        <f>IF('Calculations PJ'!I115&lt;&gt;0,'Calculations PJ'!I115*About!$B$45,0)</f>
        <v>0</v>
      </c>
      <c r="J115">
        <f>IF('Calculations PJ'!J115&lt;&gt;0,'Calculations PJ'!J115*About!$B$45,0)</f>
        <v>0</v>
      </c>
      <c r="K115">
        <f>IF('Calculations PJ'!K115&lt;&gt;0,'Calculations PJ'!K115*About!$B$45,0)</f>
        <v>0</v>
      </c>
      <c r="L115">
        <f>IF('Calculations PJ'!L115&lt;&gt;0,'Calculations PJ'!L115*About!$B$45,0)</f>
        <v>0</v>
      </c>
      <c r="M115">
        <f>IF('Calculations PJ'!M115&lt;&gt;0,'Calculations PJ'!M115*About!$B$45,0)</f>
        <v>0</v>
      </c>
      <c r="N115">
        <f>IF('Calculations PJ'!N115&lt;&gt;0,'Calculations PJ'!N115*About!$B$45,0)</f>
        <v>0</v>
      </c>
      <c r="O115">
        <f>IF('Calculations PJ'!O115&lt;&gt;0,'Calculations PJ'!O115*About!$B$45,0)</f>
        <v>0</v>
      </c>
      <c r="P115">
        <f>IF('Calculations PJ'!P115&lt;&gt;0,'Calculations PJ'!P115*About!$B$45,0)</f>
        <v>0</v>
      </c>
      <c r="Q115">
        <f>IF('Calculations PJ'!Q115&lt;&gt;0,'Calculations PJ'!Q115*About!$B$45,0)</f>
        <v>0</v>
      </c>
      <c r="R115">
        <f>IF('Calculations PJ'!R115&lt;&gt;0,'Calculations PJ'!R115*About!$B$45,0)</f>
        <v>0</v>
      </c>
      <c r="S115">
        <f>IF('Calculations PJ'!S115&lt;&gt;0,'Calculations PJ'!S115*About!$B$45,0)</f>
        <v>0</v>
      </c>
      <c r="T115">
        <f>IF('Calculations PJ'!T115&lt;&gt;0,'Calculations PJ'!T115*About!$B$45,0)</f>
        <v>0</v>
      </c>
      <c r="U115">
        <f>IF('Calculations PJ'!U115&lt;&gt;0,'Calculations PJ'!U115*About!$B$45,0)</f>
        <v>0</v>
      </c>
      <c r="V115">
        <f>IF('Calculations PJ'!V115&lt;&gt;0,'Calculations PJ'!V115*About!$B$45,0)</f>
        <v>0</v>
      </c>
      <c r="W115">
        <f>IF('Calculations PJ'!W115&lt;&gt;0,'Calculations PJ'!W115*About!$B$45,0)</f>
        <v>0</v>
      </c>
      <c r="X115">
        <f>IF('Calculations PJ'!X115&lt;&gt;0,'Calculations PJ'!X115*About!$B$45,0)</f>
        <v>0</v>
      </c>
      <c r="Y115">
        <f>IF('Calculations PJ'!Y115&lt;&gt;0,'Calculations PJ'!Y115*About!$B$45,0)</f>
        <v>0</v>
      </c>
      <c r="Z115">
        <f>IF('Calculations PJ'!Z115&lt;&gt;0,'Calculations PJ'!Z115*About!$B$45,0)</f>
        <v>0</v>
      </c>
      <c r="AA115">
        <f>IF('Calculations PJ'!AA115&lt;&gt;0,'Calculations PJ'!AA115*About!$B$45,0)</f>
        <v>0</v>
      </c>
      <c r="AB115">
        <f>IF('Calculations PJ'!AB115&lt;&gt;0,'Calculations PJ'!AB115*About!$B$45,0)</f>
        <v>0</v>
      </c>
      <c r="AC115">
        <f>IF('Calculations PJ'!AC115&lt;&gt;0,'Calculations PJ'!AC115*About!$B$45,0)</f>
        <v>0</v>
      </c>
      <c r="AD115">
        <f>IF('Calculations PJ'!AD115&lt;&gt;0,'Calculations PJ'!AD115*About!$B$45,0)</f>
        <v>0</v>
      </c>
      <c r="AE115">
        <f>IF('Calculations PJ'!AE115&lt;&gt;0,'Calculations PJ'!AE115*About!$B$45,0)</f>
        <v>0</v>
      </c>
      <c r="AF115">
        <f>IF('Calculations PJ'!AF115&lt;&gt;0,'Calculations PJ'!AF115*About!$B$45,0)</f>
        <v>0</v>
      </c>
      <c r="AG115">
        <f>IF('Calculations PJ'!AG115&lt;&gt;0,'Calculations PJ'!AG115*About!$B$45,0)</f>
        <v>0</v>
      </c>
      <c r="AH115">
        <f>IF('Calculations PJ'!AH115&lt;&gt;0,'Calculations PJ'!AH115*About!$B$45,0)</f>
        <v>0</v>
      </c>
      <c r="AI115">
        <f>IF('Calculations PJ'!AI115&lt;&gt;0,'Calculations PJ'!AI115*About!$B$45,0)</f>
        <v>0</v>
      </c>
      <c r="AJ115">
        <f>IF('Calculations PJ'!AJ115&lt;&gt;0,'Calculations PJ'!AJ115*About!$B$45,0)</f>
        <v>0</v>
      </c>
      <c r="AK115">
        <f>IF('Calculations PJ'!AK115&lt;&gt;0,'Calculations PJ'!AK115*About!$B$45,0)</f>
        <v>0</v>
      </c>
      <c r="AL115">
        <f>IF('Calculations PJ'!AL115&lt;&gt;0,'Calculations PJ'!AL115*About!$B$45,0)</f>
        <v>0</v>
      </c>
      <c r="AM115">
        <f>IF('Calculations PJ'!AM115&lt;&gt;0,'Calculations PJ'!AM115*About!$B$45,0)</f>
        <v>0</v>
      </c>
      <c r="AN115">
        <f>IF('Calculations PJ'!AN115&lt;&gt;0,'Calculations PJ'!AN115*About!$B$45,0)</f>
        <v>0</v>
      </c>
      <c r="AO115">
        <f>IF('Calculations PJ'!AO115&lt;&gt;0,'Calculations PJ'!AO115*About!$B$45,0)</f>
        <v>0</v>
      </c>
      <c r="AP115">
        <f>IF('Calculations PJ'!AP115&lt;&gt;0,'Calculations PJ'!AP115*About!$B$45,0)</f>
        <v>0</v>
      </c>
      <c r="AQ115">
        <f>IF('Calculations PJ'!AQ115&lt;&gt;0,'Calculations PJ'!AQ115*About!$B$45,0)</f>
        <v>0</v>
      </c>
      <c r="AR115">
        <f>IF('Calculations PJ'!AR115&lt;&gt;0,'Calculations PJ'!AR115*About!$B$45,0)</f>
        <v>0</v>
      </c>
      <c r="AS115">
        <f>IF('Calculations PJ'!AS115&lt;&gt;0,'Calculations PJ'!AS115*About!$B$45,0)</f>
        <v>0</v>
      </c>
      <c r="AT115">
        <f>IF('Calculations PJ'!AT115&lt;&gt;0,'Calculations PJ'!AT115*About!$B$45,0)</f>
        <v>0</v>
      </c>
      <c r="AU115">
        <f>IF('Calculations PJ'!AU115&lt;&gt;0,'Calculations PJ'!AU115*About!$B$45,0)</f>
        <v>0</v>
      </c>
      <c r="AV115">
        <f>IF('Calculations PJ'!AV115&lt;&gt;0,'Calculations PJ'!AV115*About!$B$45,0)</f>
        <v>0</v>
      </c>
      <c r="AW115">
        <f>IF('Calculations PJ'!AW115&lt;&gt;0,'Calculations PJ'!AW115*About!$B$45,0)</f>
        <v>0</v>
      </c>
      <c r="AX115">
        <f>IF('Calculations PJ'!AX115&lt;&gt;0,'Calculations PJ'!AX115*About!$B$45,0)</f>
        <v>0</v>
      </c>
      <c r="AY115">
        <f>IF('Calculations PJ'!AY115&lt;&gt;0,'Calculations PJ'!AY115*About!$B$45,0)</f>
        <v>0</v>
      </c>
      <c r="AZ115">
        <f>IF('Calculations PJ'!AZ115&lt;&gt;0,'Calculations PJ'!AZ115*About!$B$45,0)</f>
        <v>0</v>
      </c>
      <c r="BA115">
        <f>IF('Calculations PJ'!BA115&lt;&gt;0,'Calculations PJ'!BA115*About!$B$45,0)</f>
        <v>0</v>
      </c>
      <c r="BB115">
        <f>IF('Calculations PJ'!BB115&lt;&gt;0,'Calculations PJ'!BB115*About!$B$45,0)</f>
        <v>0</v>
      </c>
      <c r="BC115">
        <f>IF('Calculations PJ'!BC115&lt;&gt;0,'Calculations PJ'!BC115*About!$B$45,0)</f>
        <v>0</v>
      </c>
      <c r="BD115">
        <f>IF('Calculations PJ'!BD115&lt;&gt;0,'Calculations PJ'!BD115*About!$B$45,0)</f>
        <v>0</v>
      </c>
      <c r="BE115">
        <f>IF('Calculations PJ'!BE115&lt;&gt;0,'Calculations PJ'!BE115*About!$B$45,0)</f>
        <v>0</v>
      </c>
      <c r="BF115">
        <f>IF('Calculations PJ'!BF115&lt;&gt;0,'Calculations PJ'!BF115*About!$B$45,0)</f>
        <v>0</v>
      </c>
      <c r="BG115">
        <f>IF('Calculations PJ'!BG115&lt;&gt;0,'Calculations PJ'!BG115*About!$B$45,0)</f>
        <v>0</v>
      </c>
      <c r="BH115">
        <f>IF('Calculations PJ'!BH115&lt;&gt;0,'Calculations PJ'!BH115*About!$B$45,0)</f>
        <v>0</v>
      </c>
    </row>
    <row r="116" spans="2:60" hidden="1" outlineLevel="1">
      <c r="B116" t="s">
        <v>135</v>
      </c>
      <c r="C116">
        <f>IF('Calculations PJ'!C116&lt;&gt;0,'Calculations PJ'!C116*About!$B$45,0)</f>
        <v>0</v>
      </c>
      <c r="D116">
        <f>IF('Calculations PJ'!D116&lt;&gt;0,'Calculations PJ'!D116*About!$B$45,0)</f>
        <v>0</v>
      </c>
      <c r="E116">
        <f>IF('Calculations PJ'!E116&lt;&gt;0,'Calculations PJ'!E116*About!$B$45,0)</f>
        <v>0</v>
      </c>
      <c r="F116">
        <f>IF('Calculations PJ'!F116&lt;&gt;0,'Calculations PJ'!F116*About!$B$45,0)</f>
        <v>0</v>
      </c>
      <c r="G116">
        <f>IF('Calculations PJ'!G116&lt;&gt;0,'Calculations PJ'!G116*About!$B$45,0)</f>
        <v>0</v>
      </c>
      <c r="H116">
        <f>IF('Calculations PJ'!H116&lt;&gt;0,'Calculations PJ'!H116*About!$B$45,0)</f>
        <v>0</v>
      </c>
      <c r="I116">
        <f>IF('Calculations PJ'!I116&lt;&gt;0,'Calculations PJ'!I116*About!$B$45,0)</f>
        <v>0</v>
      </c>
      <c r="J116">
        <f>IF('Calculations PJ'!J116&lt;&gt;0,'Calculations PJ'!J116*About!$B$45,0)</f>
        <v>0</v>
      </c>
      <c r="K116">
        <f>IF('Calculations PJ'!K116&lt;&gt;0,'Calculations PJ'!K116*About!$B$45,0)</f>
        <v>0</v>
      </c>
      <c r="L116">
        <f>IF('Calculations PJ'!L116&lt;&gt;0,'Calculations PJ'!L116*About!$B$45,0)</f>
        <v>0</v>
      </c>
      <c r="M116">
        <f>IF('Calculations PJ'!M116&lt;&gt;0,'Calculations PJ'!M116*About!$B$45,0)</f>
        <v>0</v>
      </c>
      <c r="N116">
        <f>IF('Calculations PJ'!N116&lt;&gt;0,'Calculations PJ'!N116*About!$B$45,0)</f>
        <v>0</v>
      </c>
      <c r="O116">
        <f>IF('Calculations PJ'!O116&lt;&gt;0,'Calculations PJ'!O116*About!$B$45,0)</f>
        <v>0</v>
      </c>
      <c r="P116">
        <f>IF('Calculations PJ'!P116&lt;&gt;0,'Calculations PJ'!P116*About!$B$45,0)</f>
        <v>0</v>
      </c>
      <c r="Q116">
        <f>IF('Calculations PJ'!Q116&lt;&gt;0,'Calculations PJ'!Q116*About!$B$45,0)</f>
        <v>0</v>
      </c>
      <c r="R116">
        <f>IF('Calculations PJ'!R116&lt;&gt;0,'Calculations PJ'!R116*About!$B$45,0)</f>
        <v>0</v>
      </c>
      <c r="S116">
        <f>IF('Calculations PJ'!S116&lt;&gt;0,'Calculations PJ'!S116*About!$B$45,0)</f>
        <v>0</v>
      </c>
      <c r="T116">
        <f>IF('Calculations PJ'!T116&lt;&gt;0,'Calculations PJ'!T116*About!$B$45,0)</f>
        <v>0</v>
      </c>
      <c r="U116">
        <f>IF('Calculations PJ'!U116&lt;&gt;0,'Calculations PJ'!U116*About!$B$45,0)</f>
        <v>0</v>
      </c>
      <c r="V116">
        <f>IF('Calculations PJ'!V116&lt;&gt;0,'Calculations PJ'!V116*About!$B$45,0)</f>
        <v>0</v>
      </c>
      <c r="W116">
        <f>IF('Calculations PJ'!W116&lt;&gt;0,'Calculations PJ'!W116*About!$B$45,0)</f>
        <v>0</v>
      </c>
      <c r="X116">
        <f>IF('Calculations PJ'!X116&lt;&gt;0,'Calculations PJ'!X116*About!$B$45,0)</f>
        <v>0</v>
      </c>
      <c r="Y116">
        <f>IF('Calculations PJ'!Y116&lt;&gt;0,'Calculations PJ'!Y116*About!$B$45,0)</f>
        <v>0</v>
      </c>
      <c r="Z116">
        <f>IF('Calculations PJ'!Z116&lt;&gt;0,'Calculations PJ'!Z116*About!$B$45,0)</f>
        <v>0</v>
      </c>
      <c r="AA116">
        <f>IF('Calculations PJ'!AA116&lt;&gt;0,'Calculations PJ'!AA116*About!$B$45,0)</f>
        <v>0</v>
      </c>
      <c r="AB116">
        <f>IF('Calculations PJ'!AB116&lt;&gt;0,'Calculations PJ'!AB116*About!$B$45,0)</f>
        <v>0</v>
      </c>
      <c r="AC116">
        <f>IF('Calculations PJ'!AC116&lt;&gt;0,'Calculations PJ'!AC116*About!$B$45,0)</f>
        <v>0</v>
      </c>
      <c r="AD116">
        <f>IF('Calculations PJ'!AD116&lt;&gt;0,'Calculations PJ'!AD116*About!$B$45,0)</f>
        <v>0</v>
      </c>
      <c r="AE116">
        <f>IF('Calculations PJ'!AE116&lt;&gt;0,'Calculations PJ'!AE116*About!$B$45,0)</f>
        <v>0</v>
      </c>
      <c r="AF116">
        <f>IF('Calculations PJ'!AF116&lt;&gt;0,'Calculations PJ'!AF116*About!$B$45,0)</f>
        <v>0</v>
      </c>
      <c r="AG116">
        <f>IF('Calculations PJ'!AG116&lt;&gt;0,'Calculations PJ'!AG116*About!$B$45,0)</f>
        <v>0</v>
      </c>
      <c r="AH116">
        <f>IF('Calculations PJ'!AH116&lt;&gt;0,'Calculations PJ'!AH116*About!$B$45,0)</f>
        <v>0</v>
      </c>
      <c r="AI116">
        <f>IF('Calculations PJ'!AI116&lt;&gt;0,'Calculations PJ'!AI116*About!$B$45,0)</f>
        <v>0</v>
      </c>
      <c r="AJ116">
        <f>IF('Calculations PJ'!AJ116&lt;&gt;0,'Calculations PJ'!AJ116*About!$B$45,0)</f>
        <v>0</v>
      </c>
      <c r="AK116">
        <f>IF('Calculations PJ'!AK116&lt;&gt;0,'Calculations PJ'!AK116*About!$B$45,0)</f>
        <v>0</v>
      </c>
      <c r="AL116">
        <f>IF('Calculations PJ'!AL116&lt;&gt;0,'Calculations PJ'!AL116*About!$B$45,0)</f>
        <v>0</v>
      </c>
      <c r="AM116">
        <f>IF('Calculations PJ'!AM116&lt;&gt;0,'Calculations PJ'!AM116*About!$B$45,0)</f>
        <v>0</v>
      </c>
      <c r="AN116">
        <f>IF('Calculations PJ'!AN116&lt;&gt;0,'Calculations PJ'!AN116*About!$B$45,0)</f>
        <v>0</v>
      </c>
      <c r="AO116">
        <f>IF('Calculations PJ'!AO116&lt;&gt;0,'Calculations PJ'!AO116*About!$B$45,0)</f>
        <v>0</v>
      </c>
      <c r="AP116">
        <f>IF('Calculations PJ'!AP116&lt;&gt;0,'Calculations PJ'!AP116*About!$B$45,0)</f>
        <v>0</v>
      </c>
      <c r="AQ116">
        <f>IF('Calculations PJ'!AQ116&lt;&gt;0,'Calculations PJ'!AQ116*About!$B$45,0)</f>
        <v>0</v>
      </c>
      <c r="AR116">
        <f>IF('Calculations PJ'!AR116&lt;&gt;0,'Calculations PJ'!AR116*About!$B$45,0)</f>
        <v>0</v>
      </c>
      <c r="AS116">
        <f>IF('Calculations PJ'!AS116&lt;&gt;0,'Calculations PJ'!AS116*About!$B$45,0)</f>
        <v>0</v>
      </c>
      <c r="AT116">
        <f>IF('Calculations PJ'!AT116&lt;&gt;0,'Calculations PJ'!AT116*About!$B$45,0)</f>
        <v>0</v>
      </c>
      <c r="AU116">
        <f>IF('Calculations PJ'!AU116&lt;&gt;0,'Calculations PJ'!AU116*About!$B$45,0)</f>
        <v>0</v>
      </c>
      <c r="AV116">
        <f>IF('Calculations PJ'!AV116&lt;&gt;0,'Calculations PJ'!AV116*About!$B$45,0)</f>
        <v>0</v>
      </c>
      <c r="AW116">
        <f>IF('Calculations PJ'!AW116&lt;&gt;0,'Calculations PJ'!AW116*About!$B$45,0)</f>
        <v>0</v>
      </c>
      <c r="AX116">
        <f>IF('Calculations PJ'!AX116&lt;&gt;0,'Calculations PJ'!AX116*About!$B$45,0)</f>
        <v>0</v>
      </c>
      <c r="AY116">
        <f>IF('Calculations PJ'!AY116&lt;&gt;0,'Calculations PJ'!AY116*About!$B$45,0)</f>
        <v>0</v>
      </c>
      <c r="AZ116">
        <f>IF('Calculations PJ'!AZ116&lt;&gt;0,'Calculations PJ'!AZ116*About!$B$45,0)</f>
        <v>0</v>
      </c>
      <c r="BA116">
        <f>IF('Calculations PJ'!BA116&lt;&gt;0,'Calculations PJ'!BA116*About!$B$45,0)</f>
        <v>0</v>
      </c>
      <c r="BB116">
        <f>IF('Calculations PJ'!BB116&lt;&gt;0,'Calculations PJ'!BB116*About!$B$45,0)</f>
        <v>0</v>
      </c>
      <c r="BC116">
        <f>IF('Calculations PJ'!BC116&lt;&gt;0,'Calculations PJ'!BC116*About!$B$45,0)</f>
        <v>0</v>
      </c>
      <c r="BD116">
        <f>IF('Calculations PJ'!BD116&lt;&gt;0,'Calculations PJ'!BD116*About!$B$45,0)</f>
        <v>0</v>
      </c>
      <c r="BE116">
        <f>IF('Calculations PJ'!BE116&lt;&gt;0,'Calculations PJ'!BE116*About!$B$45,0)</f>
        <v>0</v>
      </c>
      <c r="BF116">
        <f>IF('Calculations PJ'!BF116&lt;&gt;0,'Calculations PJ'!BF116*About!$B$45,0)</f>
        <v>0</v>
      </c>
      <c r="BG116">
        <f>IF('Calculations PJ'!BG116&lt;&gt;0,'Calculations PJ'!BG116*About!$B$45,0)</f>
        <v>0</v>
      </c>
      <c r="BH116">
        <f>IF('Calculations PJ'!BH116&lt;&gt;0,'Calculations PJ'!BH116*About!$B$45,0)</f>
        <v>0</v>
      </c>
    </row>
    <row r="117" spans="2:60" hidden="1" outlineLevel="1">
      <c r="B117" t="s">
        <v>136</v>
      </c>
      <c r="C117">
        <f>IF('Calculations PJ'!C117&lt;&gt;0,'Calculations PJ'!C117*About!$B$45,0)</f>
        <v>0</v>
      </c>
      <c r="D117">
        <f>IF('Calculations PJ'!D117&lt;&gt;0,'Calculations PJ'!D117*About!$B$45,0)</f>
        <v>0</v>
      </c>
      <c r="E117">
        <f>IF('Calculations PJ'!E117&lt;&gt;0,'Calculations PJ'!E117*About!$B$45,0)</f>
        <v>0</v>
      </c>
      <c r="F117">
        <f>IF('Calculations PJ'!F117&lt;&gt;0,'Calculations PJ'!F117*About!$B$45,0)</f>
        <v>0</v>
      </c>
      <c r="G117">
        <f>IF('Calculations PJ'!G117&lt;&gt;0,'Calculations PJ'!G117*About!$B$45,0)</f>
        <v>0</v>
      </c>
      <c r="H117">
        <f>IF('Calculations PJ'!H117&lt;&gt;0,'Calculations PJ'!H117*About!$B$45,0)</f>
        <v>0</v>
      </c>
      <c r="I117">
        <f>IF('Calculations PJ'!I117&lt;&gt;0,'Calculations PJ'!I117*About!$B$45,0)</f>
        <v>0</v>
      </c>
      <c r="J117">
        <f>IF('Calculations PJ'!J117&lt;&gt;0,'Calculations PJ'!J117*About!$B$45,0)</f>
        <v>0</v>
      </c>
      <c r="K117">
        <f>IF('Calculations PJ'!K117&lt;&gt;0,'Calculations PJ'!K117*About!$B$45,0)</f>
        <v>0</v>
      </c>
      <c r="L117">
        <f>IF('Calculations PJ'!L117&lt;&gt;0,'Calculations PJ'!L117*About!$B$45,0)</f>
        <v>0</v>
      </c>
      <c r="M117">
        <f>IF('Calculations PJ'!M117&lt;&gt;0,'Calculations PJ'!M117*About!$B$45,0)</f>
        <v>0</v>
      </c>
      <c r="N117">
        <f>IF('Calculations PJ'!N117&lt;&gt;0,'Calculations PJ'!N117*About!$B$45,0)</f>
        <v>0</v>
      </c>
      <c r="O117">
        <f>IF('Calculations PJ'!O117&lt;&gt;0,'Calculations PJ'!O117*About!$B$45,0)</f>
        <v>0</v>
      </c>
      <c r="P117">
        <f>IF('Calculations PJ'!P117&lt;&gt;0,'Calculations PJ'!P117*About!$B$45,0)</f>
        <v>0</v>
      </c>
      <c r="Q117">
        <f>IF('Calculations PJ'!Q117&lt;&gt;0,'Calculations PJ'!Q117*About!$B$45,0)</f>
        <v>0</v>
      </c>
      <c r="R117">
        <f>IF('Calculations PJ'!R117&lt;&gt;0,'Calculations PJ'!R117*About!$B$45,0)</f>
        <v>0</v>
      </c>
      <c r="S117">
        <f>IF('Calculations PJ'!S117&lt;&gt;0,'Calculations PJ'!S117*About!$B$45,0)</f>
        <v>0</v>
      </c>
      <c r="T117">
        <f>IF('Calculations PJ'!T117&lt;&gt;0,'Calculations PJ'!T117*About!$B$45,0)</f>
        <v>0</v>
      </c>
      <c r="U117">
        <f>IF('Calculations PJ'!U117&lt;&gt;0,'Calculations PJ'!U117*About!$B$45,0)</f>
        <v>0</v>
      </c>
      <c r="V117">
        <f>IF('Calculations PJ'!V117&lt;&gt;0,'Calculations PJ'!V117*About!$B$45,0)</f>
        <v>0</v>
      </c>
      <c r="W117">
        <f>IF('Calculations PJ'!W117&lt;&gt;0,'Calculations PJ'!W117*About!$B$45,0)</f>
        <v>0</v>
      </c>
      <c r="X117">
        <f>IF('Calculations PJ'!X117&lt;&gt;0,'Calculations PJ'!X117*About!$B$45,0)</f>
        <v>0</v>
      </c>
      <c r="Y117">
        <f>IF('Calculations PJ'!Y117&lt;&gt;0,'Calculations PJ'!Y117*About!$B$45,0)</f>
        <v>0</v>
      </c>
      <c r="Z117">
        <f>IF('Calculations PJ'!Z117&lt;&gt;0,'Calculations PJ'!Z117*About!$B$45,0)</f>
        <v>0</v>
      </c>
      <c r="AA117">
        <f>IF('Calculations PJ'!AA117&lt;&gt;0,'Calculations PJ'!AA117*About!$B$45,0)</f>
        <v>0</v>
      </c>
      <c r="AB117">
        <f>IF('Calculations PJ'!AB117&lt;&gt;0,'Calculations PJ'!AB117*About!$B$45,0)</f>
        <v>0</v>
      </c>
      <c r="AC117">
        <f>IF('Calculations PJ'!AC117&lt;&gt;0,'Calculations PJ'!AC117*About!$B$45,0)</f>
        <v>0</v>
      </c>
      <c r="AD117">
        <f>IF('Calculations PJ'!AD117&lt;&gt;0,'Calculations PJ'!AD117*About!$B$45,0)</f>
        <v>0</v>
      </c>
      <c r="AE117">
        <f>IF('Calculations PJ'!AE117&lt;&gt;0,'Calculations PJ'!AE117*About!$B$45,0)</f>
        <v>0</v>
      </c>
      <c r="AF117">
        <f>IF('Calculations PJ'!AF117&lt;&gt;0,'Calculations PJ'!AF117*About!$B$45,0)</f>
        <v>0</v>
      </c>
      <c r="AG117">
        <f>IF('Calculations PJ'!AG117&lt;&gt;0,'Calculations PJ'!AG117*About!$B$45,0)</f>
        <v>0</v>
      </c>
      <c r="AH117">
        <f>IF('Calculations PJ'!AH117&lt;&gt;0,'Calculations PJ'!AH117*About!$B$45,0)</f>
        <v>0</v>
      </c>
      <c r="AI117">
        <f>IF('Calculations PJ'!AI117&lt;&gt;0,'Calculations PJ'!AI117*About!$B$45,0)</f>
        <v>0</v>
      </c>
      <c r="AJ117">
        <f>IF('Calculations PJ'!AJ117&lt;&gt;0,'Calculations PJ'!AJ117*About!$B$45,0)</f>
        <v>0</v>
      </c>
      <c r="AK117">
        <f>IF('Calculations PJ'!AK117&lt;&gt;0,'Calculations PJ'!AK117*About!$B$45,0)</f>
        <v>0</v>
      </c>
      <c r="AL117">
        <f>IF('Calculations PJ'!AL117&lt;&gt;0,'Calculations PJ'!AL117*About!$B$45,0)</f>
        <v>0</v>
      </c>
      <c r="AM117">
        <f>IF('Calculations PJ'!AM117&lt;&gt;0,'Calculations PJ'!AM117*About!$B$45,0)</f>
        <v>0</v>
      </c>
      <c r="AN117">
        <f>IF('Calculations PJ'!AN117&lt;&gt;0,'Calculations PJ'!AN117*About!$B$45,0)</f>
        <v>0</v>
      </c>
      <c r="AO117">
        <f>IF('Calculations PJ'!AO117&lt;&gt;0,'Calculations PJ'!AO117*About!$B$45,0)</f>
        <v>0</v>
      </c>
      <c r="AP117">
        <f>IF('Calculations PJ'!AP117&lt;&gt;0,'Calculations PJ'!AP117*About!$B$45,0)</f>
        <v>0</v>
      </c>
      <c r="AQ117">
        <f>IF('Calculations PJ'!AQ117&lt;&gt;0,'Calculations PJ'!AQ117*About!$B$45,0)</f>
        <v>0</v>
      </c>
      <c r="AR117">
        <f>IF('Calculations PJ'!AR117&lt;&gt;0,'Calculations PJ'!AR117*About!$B$45,0)</f>
        <v>0</v>
      </c>
      <c r="AS117">
        <f>IF('Calculations PJ'!AS117&lt;&gt;0,'Calculations PJ'!AS117*About!$B$45,0)</f>
        <v>0</v>
      </c>
      <c r="AT117">
        <f>IF('Calculations PJ'!AT117&lt;&gt;0,'Calculations PJ'!AT117*About!$B$45,0)</f>
        <v>0</v>
      </c>
      <c r="AU117">
        <f>IF('Calculations PJ'!AU117&lt;&gt;0,'Calculations PJ'!AU117*About!$B$45,0)</f>
        <v>0</v>
      </c>
      <c r="AV117">
        <f>IF('Calculations PJ'!AV117&lt;&gt;0,'Calculations PJ'!AV117*About!$B$45,0)</f>
        <v>0</v>
      </c>
      <c r="AW117">
        <f>IF('Calculations PJ'!AW117&lt;&gt;0,'Calculations PJ'!AW117*About!$B$45,0)</f>
        <v>0</v>
      </c>
      <c r="AX117">
        <f>IF('Calculations PJ'!AX117&lt;&gt;0,'Calculations PJ'!AX117*About!$B$45,0)</f>
        <v>0</v>
      </c>
      <c r="AY117">
        <f>IF('Calculations PJ'!AY117&lt;&gt;0,'Calculations PJ'!AY117*About!$B$45,0)</f>
        <v>0</v>
      </c>
      <c r="AZ117">
        <f>IF('Calculations PJ'!AZ117&lt;&gt;0,'Calculations PJ'!AZ117*About!$B$45,0)</f>
        <v>0</v>
      </c>
      <c r="BA117">
        <f>IF('Calculations PJ'!BA117&lt;&gt;0,'Calculations PJ'!BA117*About!$B$45,0)</f>
        <v>0</v>
      </c>
      <c r="BB117">
        <f>IF('Calculations PJ'!BB117&lt;&gt;0,'Calculations PJ'!BB117*About!$B$45,0)</f>
        <v>0</v>
      </c>
      <c r="BC117">
        <f>IF('Calculations PJ'!BC117&lt;&gt;0,'Calculations PJ'!BC117*About!$B$45,0)</f>
        <v>0</v>
      </c>
      <c r="BD117">
        <f>IF('Calculations PJ'!BD117&lt;&gt;0,'Calculations PJ'!BD117*About!$B$45,0)</f>
        <v>0</v>
      </c>
      <c r="BE117">
        <f>IF('Calculations PJ'!BE117&lt;&gt;0,'Calculations PJ'!BE117*About!$B$45,0)</f>
        <v>0</v>
      </c>
      <c r="BF117">
        <f>IF('Calculations PJ'!BF117&lt;&gt;0,'Calculations PJ'!BF117*About!$B$45,0)</f>
        <v>0</v>
      </c>
      <c r="BG117">
        <f>IF('Calculations PJ'!BG117&lt;&gt;0,'Calculations PJ'!BG117*About!$B$45,0)</f>
        <v>0</v>
      </c>
      <c r="BH117">
        <f>IF('Calculations PJ'!BH117&lt;&gt;0,'Calculations PJ'!BH117*About!$B$45,0)</f>
        <v>0</v>
      </c>
    </row>
    <row r="118" spans="2:60" hidden="1" outlineLevel="1">
      <c r="B118" t="s">
        <v>137</v>
      </c>
      <c r="C118">
        <f>IF('Calculations PJ'!C118&lt;&gt;0,'Calculations PJ'!C118*About!$B$45,0)</f>
        <v>0</v>
      </c>
      <c r="D118">
        <f>IF('Calculations PJ'!D118&lt;&gt;0,'Calculations PJ'!D118*About!$B$45,0)</f>
        <v>0</v>
      </c>
      <c r="E118">
        <f>IF('Calculations PJ'!E118&lt;&gt;0,'Calculations PJ'!E118*About!$B$45,0)</f>
        <v>0</v>
      </c>
      <c r="F118">
        <f>IF('Calculations PJ'!F118&lt;&gt;0,'Calculations PJ'!F118*About!$B$45,0)</f>
        <v>0</v>
      </c>
      <c r="G118">
        <f>IF('Calculations PJ'!G118&lt;&gt;0,'Calculations PJ'!G118*About!$B$45,0)</f>
        <v>0</v>
      </c>
      <c r="H118">
        <f>IF('Calculations PJ'!H118&lt;&gt;0,'Calculations PJ'!H118*About!$B$45,0)</f>
        <v>0</v>
      </c>
      <c r="I118">
        <f>IF('Calculations PJ'!I118&lt;&gt;0,'Calculations PJ'!I118*About!$B$45,0)</f>
        <v>0</v>
      </c>
      <c r="J118">
        <f>IF('Calculations PJ'!J118&lt;&gt;0,'Calculations PJ'!J118*About!$B$45,0)</f>
        <v>0</v>
      </c>
      <c r="K118">
        <f>IF('Calculations PJ'!K118&lt;&gt;0,'Calculations PJ'!K118*About!$B$45,0)</f>
        <v>0</v>
      </c>
      <c r="L118">
        <f>IF('Calculations PJ'!L118&lt;&gt;0,'Calculations PJ'!L118*About!$B$45,0)</f>
        <v>0</v>
      </c>
      <c r="M118">
        <f>IF('Calculations PJ'!M118&lt;&gt;0,'Calculations PJ'!M118*About!$B$45,0)</f>
        <v>0</v>
      </c>
      <c r="N118">
        <f>IF('Calculations PJ'!N118&lt;&gt;0,'Calculations PJ'!N118*About!$B$45,0)</f>
        <v>0</v>
      </c>
      <c r="O118">
        <f>IF('Calculations PJ'!O118&lt;&gt;0,'Calculations PJ'!O118*About!$B$45,0)</f>
        <v>0</v>
      </c>
      <c r="P118">
        <f>IF('Calculations PJ'!P118&lt;&gt;0,'Calculations PJ'!P118*About!$B$45,0)</f>
        <v>0</v>
      </c>
      <c r="Q118">
        <f>IF('Calculations PJ'!Q118&lt;&gt;0,'Calculations PJ'!Q118*About!$B$45,0)</f>
        <v>0</v>
      </c>
      <c r="R118">
        <f>IF('Calculations PJ'!R118&lt;&gt;0,'Calculations PJ'!R118*About!$B$45,0)</f>
        <v>0</v>
      </c>
      <c r="S118">
        <f>IF('Calculations PJ'!S118&lt;&gt;0,'Calculations PJ'!S118*About!$B$45,0)</f>
        <v>0</v>
      </c>
      <c r="T118">
        <f>IF('Calculations PJ'!T118&lt;&gt;0,'Calculations PJ'!T118*About!$B$45,0)</f>
        <v>0</v>
      </c>
      <c r="U118">
        <f>IF('Calculations PJ'!U118&lt;&gt;0,'Calculations PJ'!U118*About!$B$45,0)</f>
        <v>0</v>
      </c>
      <c r="V118">
        <f>IF('Calculations PJ'!V118&lt;&gt;0,'Calculations PJ'!V118*About!$B$45,0)</f>
        <v>0</v>
      </c>
      <c r="W118">
        <f>IF('Calculations PJ'!W118&lt;&gt;0,'Calculations PJ'!W118*About!$B$45,0)</f>
        <v>0</v>
      </c>
      <c r="X118">
        <f>IF('Calculations PJ'!X118&lt;&gt;0,'Calculations PJ'!X118*About!$B$45,0)</f>
        <v>0</v>
      </c>
      <c r="Y118">
        <f>IF('Calculations PJ'!Y118&lt;&gt;0,'Calculations PJ'!Y118*About!$B$45,0)</f>
        <v>0</v>
      </c>
      <c r="Z118">
        <f>IF('Calculations PJ'!Z118&lt;&gt;0,'Calculations PJ'!Z118*About!$B$45,0)</f>
        <v>0</v>
      </c>
      <c r="AA118">
        <f>IF('Calculations PJ'!AA118&lt;&gt;0,'Calculations PJ'!AA118*About!$B$45,0)</f>
        <v>0</v>
      </c>
      <c r="AB118">
        <f>IF('Calculations PJ'!AB118&lt;&gt;0,'Calculations PJ'!AB118*About!$B$45,0)</f>
        <v>0</v>
      </c>
      <c r="AC118">
        <f>IF('Calculations PJ'!AC118&lt;&gt;0,'Calculations PJ'!AC118*About!$B$45,0)</f>
        <v>0</v>
      </c>
      <c r="AD118">
        <f>IF('Calculations PJ'!AD118&lt;&gt;0,'Calculations PJ'!AD118*About!$B$45,0)</f>
        <v>0</v>
      </c>
      <c r="AE118">
        <f>IF('Calculations PJ'!AE118&lt;&gt;0,'Calculations PJ'!AE118*About!$B$45,0)</f>
        <v>0</v>
      </c>
      <c r="AF118">
        <f>IF('Calculations PJ'!AF118&lt;&gt;0,'Calculations PJ'!AF118*About!$B$45,0)</f>
        <v>0</v>
      </c>
      <c r="AG118">
        <f>IF('Calculations PJ'!AG118&lt;&gt;0,'Calculations PJ'!AG118*About!$B$45,0)</f>
        <v>0</v>
      </c>
      <c r="AH118">
        <f>IF('Calculations PJ'!AH118&lt;&gt;0,'Calculations PJ'!AH118*About!$B$45,0)</f>
        <v>0</v>
      </c>
      <c r="AI118">
        <f>IF('Calculations PJ'!AI118&lt;&gt;0,'Calculations PJ'!AI118*About!$B$45,0)</f>
        <v>0</v>
      </c>
      <c r="AJ118">
        <f>IF('Calculations PJ'!AJ118&lt;&gt;0,'Calculations PJ'!AJ118*About!$B$45,0)</f>
        <v>0</v>
      </c>
      <c r="AK118">
        <f>IF('Calculations PJ'!AK118&lt;&gt;0,'Calculations PJ'!AK118*About!$B$45,0)</f>
        <v>0</v>
      </c>
      <c r="AL118">
        <f>IF('Calculations PJ'!AL118&lt;&gt;0,'Calculations PJ'!AL118*About!$B$45,0)</f>
        <v>0</v>
      </c>
      <c r="AM118">
        <f>IF('Calculations PJ'!AM118&lt;&gt;0,'Calculations PJ'!AM118*About!$B$45,0)</f>
        <v>0</v>
      </c>
      <c r="AN118">
        <f>IF('Calculations PJ'!AN118&lt;&gt;0,'Calculations PJ'!AN118*About!$B$45,0)</f>
        <v>0</v>
      </c>
      <c r="AO118">
        <f>IF('Calculations PJ'!AO118&lt;&gt;0,'Calculations PJ'!AO118*About!$B$45,0)</f>
        <v>0</v>
      </c>
      <c r="AP118">
        <f>IF('Calculations PJ'!AP118&lt;&gt;0,'Calculations PJ'!AP118*About!$B$45,0)</f>
        <v>0</v>
      </c>
      <c r="AQ118">
        <f>IF('Calculations PJ'!AQ118&lt;&gt;0,'Calculations PJ'!AQ118*About!$B$45,0)</f>
        <v>0</v>
      </c>
      <c r="AR118">
        <f>IF('Calculations PJ'!AR118&lt;&gt;0,'Calculations PJ'!AR118*About!$B$45,0)</f>
        <v>0</v>
      </c>
      <c r="AS118">
        <f>IF('Calculations PJ'!AS118&lt;&gt;0,'Calculations PJ'!AS118*About!$B$45,0)</f>
        <v>0</v>
      </c>
      <c r="AT118">
        <f>IF('Calculations PJ'!AT118&lt;&gt;0,'Calculations PJ'!AT118*About!$B$45,0)</f>
        <v>0</v>
      </c>
      <c r="AU118">
        <f>IF('Calculations PJ'!AU118&lt;&gt;0,'Calculations PJ'!AU118*About!$B$45,0)</f>
        <v>0</v>
      </c>
      <c r="AV118">
        <f>IF('Calculations PJ'!AV118&lt;&gt;0,'Calculations PJ'!AV118*About!$B$45,0)</f>
        <v>0</v>
      </c>
      <c r="AW118">
        <f>IF('Calculations PJ'!AW118&lt;&gt;0,'Calculations PJ'!AW118*About!$B$45,0)</f>
        <v>0</v>
      </c>
      <c r="AX118">
        <f>IF('Calculations PJ'!AX118&lt;&gt;0,'Calculations PJ'!AX118*About!$B$45,0)</f>
        <v>0</v>
      </c>
      <c r="AY118">
        <f>IF('Calculations PJ'!AY118&lt;&gt;0,'Calculations PJ'!AY118*About!$B$45,0)</f>
        <v>0</v>
      </c>
      <c r="AZ118">
        <f>IF('Calculations PJ'!AZ118&lt;&gt;0,'Calculations PJ'!AZ118*About!$B$45,0)</f>
        <v>0</v>
      </c>
      <c r="BA118">
        <f>IF('Calculations PJ'!BA118&lt;&gt;0,'Calculations PJ'!BA118*About!$B$45,0)</f>
        <v>0</v>
      </c>
      <c r="BB118">
        <f>IF('Calculations PJ'!BB118&lt;&gt;0,'Calculations PJ'!BB118*About!$B$45,0)</f>
        <v>0</v>
      </c>
      <c r="BC118">
        <f>IF('Calculations PJ'!BC118&lt;&gt;0,'Calculations PJ'!BC118*About!$B$45,0)</f>
        <v>0</v>
      </c>
      <c r="BD118">
        <f>IF('Calculations PJ'!BD118&lt;&gt;0,'Calculations PJ'!BD118*About!$B$45,0)</f>
        <v>0</v>
      </c>
      <c r="BE118">
        <f>IF('Calculations PJ'!BE118&lt;&gt;0,'Calculations PJ'!BE118*About!$B$45,0)</f>
        <v>0</v>
      </c>
      <c r="BF118">
        <f>IF('Calculations PJ'!BF118&lt;&gt;0,'Calculations PJ'!BF118*About!$B$45,0)</f>
        <v>0</v>
      </c>
      <c r="BG118">
        <f>IF('Calculations PJ'!BG118&lt;&gt;0,'Calculations PJ'!BG118*About!$B$45,0)</f>
        <v>0</v>
      </c>
      <c r="BH118">
        <f>IF('Calculations PJ'!BH118&lt;&gt;0,'Calculations PJ'!BH118*About!$B$45,0)</f>
        <v>0</v>
      </c>
    </row>
    <row r="119" spans="2:60" hidden="1" outlineLevel="1">
      <c r="B119" t="s">
        <v>138</v>
      </c>
      <c r="C119">
        <f>IF('Calculations PJ'!C119&lt;&gt;0,'Calculations PJ'!C119*About!$B$45,0)</f>
        <v>0</v>
      </c>
      <c r="D119">
        <f>IF('Calculations PJ'!D119&lt;&gt;0,'Calculations PJ'!D119*About!$B$45,0)</f>
        <v>0</v>
      </c>
      <c r="E119">
        <f>IF('Calculations PJ'!E119&lt;&gt;0,'Calculations PJ'!E119*About!$B$45,0)</f>
        <v>0</v>
      </c>
      <c r="F119">
        <f>IF('Calculations PJ'!F119&lt;&gt;0,'Calculations PJ'!F119*About!$B$45,0)</f>
        <v>0</v>
      </c>
      <c r="G119">
        <f>IF('Calculations PJ'!G119&lt;&gt;0,'Calculations PJ'!G119*About!$B$45,0)</f>
        <v>0</v>
      </c>
      <c r="H119">
        <f>IF('Calculations PJ'!H119&lt;&gt;0,'Calculations PJ'!H119*About!$B$45,0)</f>
        <v>0</v>
      </c>
      <c r="I119">
        <f>IF('Calculations PJ'!I119&lt;&gt;0,'Calculations PJ'!I119*About!$B$45,0)</f>
        <v>0</v>
      </c>
      <c r="J119">
        <f>IF('Calculations PJ'!J119&lt;&gt;0,'Calculations PJ'!J119*About!$B$45,0)</f>
        <v>0</v>
      </c>
      <c r="K119">
        <f>IF('Calculations PJ'!K119&lt;&gt;0,'Calculations PJ'!K119*About!$B$45,0)</f>
        <v>0</v>
      </c>
      <c r="L119">
        <f>IF('Calculations PJ'!L119&lt;&gt;0,'Calculations PJ'!L119*About!$B$45,0)</f>
        <v>0</v>
      </c>
      <c r="M119">
        <f>IF('Calculations PJ'!M119&lt;&gt;0,'Calculations PJ'!M119*About!$B$45,0)</f>
        <v>0</v>
      </c>
      <c r="N119">
        <f>IF('Calculations PJ'!N119&lt;&gt;0,'Calculations PJ'!N119*About!$B$45,0)</f>
        <v>0</v>
      </c>
      <c r="O119">
        <f>IF('Calculations PJ'!O119&lt;&gt;0,'Calculations PJ'!O119*About!$B$45,0)</f>
        <v>0</v>
      </c>
      <c r="P119">
        <f>IF('Calculations PJ'!P119&lt;&gt;0,'Calculations PJ'!P119*About!$B$45,0)</f>
        <v>0</v>
      </c>
      <c r="Q119">
        <f>IF('Calculations PJ'!Q119&lt;&gt;0,'Calculations PJ'!Q119*About!$B$45,0)</f>
        <v>0</v>
      </c>
      <c r="R119">
        <f>IF('Calculations PJ'!R119&lt;&gt;0,'Calculations PJ'!R119*About!$B$45,0)</f>
        <v>0</v>
      </c>
      <c r="S119">
        <f>IF('Calculations PJ'!S119&lt;&gt;0,'Calculations PJ'!S119*About!$B$45,0)</f>
        <v>0</v>
      </c>
      <c r="T119">
        <f>IF('Calculations PJ'!T119&lt;&gt;0,'Calculations PJ'!T119*About!$B$45,0)</f>
        <v>0</v>
      </c>
      <c r="U119">
        <f>IF('Calculations PJ'!U119&lt;&gt;0,'Calculations PJ'!U119*About!$B$45,0)</f>
        <v>0</v>
      </c>
      <c r="V119">
        <f>IF('Calculations PJ'!V119&lt;&gt;0,'Calculations PJ'!V119*About!$B$45,0)</f>
        <v>0</v>
      </c>
      <c r="W119">
        <f>IF('Calculations PJ'!W119&lt;&gt;0,'Calculations PJ'!W119*About!$B$45,0)</f>
        <v>0</v>
      </c>
      <c r="X119">
        <f>IF('Calculations PJ'!X119&lt;&gt;0,'Calculations PJ'!X119*About!$B$45,0)</f>
        <v>0</v>
      </c>
      <c r="Y119">
        <f>IF('Calculations PJ'!Y119&lt;&gt;0,'Calculations PJ'!Y119*About!$B$45,0)</f>
        <v>0</v>
      </c>
      <c r="Z119">
        <f>IF('Calculations PJ'!Z119&lt;&gt;0,'Calculations PJ'!Z119*About!$B$45,0)</f>
        <v>0</v>
      </c>
      <c r="AA119">
        <f>IF('Calculations PJ'!AA119&lt;&gt;0,'Calculations PJ'!AA119*About!$B$45,0)</f>
        <v>0</v>
      </c>
      <c r="AB119">
        <f>IF('Calculations PJ'!AB119&lt;&gt;0,'Calculations PJ'!AB119*About!$B$45,0)</f>
        <v>0</v>
      </c>
      <c r="AC119">
        <f>IF('Calculations PJ'!AC119&lt;&gt;0,'Calculations PJ'!AC119*About!$B$45,0)</f>
        <v>0</v>
      </c>
      <c r="AD119">
        <f>IF('Calculations PJ'!AD119&lt;&gt;0,'Calculations PJ'!AD119*About!$B$45,0)</f>
        <v>0</v>
      </c>
      <c r="AE119">
        <f>IF('Calculations PJ'!AE119&lt;&gt;0,'Calculations PJ'!AE119*About!$B$45,0)</f>
        <v>0</v>
      </c>
      <c r="AF119">
        <f>IF('Calculations PJ'!AF119&lt;&gt;0,'Calculations PJ'!AF119*About!$B$45,0)</f>
        <v>0</v>
      </c>
      <c r="AG119">
        <f>IF('Calculations PJ'!AG119&lt;&gt;0,'Calculations PJ'!AG119*About!$B$45,0)</f>
        <v>0</v>
      </c>
      <c r="AH119">
        <f>IF('Calculations PJ'!AH119&lt;&gt;0,'Calculations PJ'!AH119*About!$B$45,0)</f>
        <v>0</v>
      </c>
      <c r="AI119">
        <f>IF('Calculations PJ'!AI119&lt;&gt;0,'Calculations PJ'!AI119*About!$B$45,0)</f>
        <v>0</v>
      </c>
      <c r="AJ119">
        <f>IF('Calculations PJ'!AJ119&lt;&gt;0,'Calculations PJ'!AJ119*About!$B$45,0)</f>
        <v>0</v>
      </c>
      <c r="AK119">
        <f>IF('Calculations PJ'!AK119&lt;&gt;0,'Calculations PJ'!AK119*About!$B$45,0)</f>
        <v>0</v>
      </c>
      <c r="AL119">
        <f>IF('Calculations PJ'!AL119&lt;&gt;0,'Calculations PJ'!AL119*About!$B$45,0)</f>
        <v>0</v>
      </c>
      <c r="AM119">
        <f>IF('Calculations PJ'!AM119&lt;&gt;0,'Calculations PJ'!AM119*About!$B$45,0)</f>
        <v>0</v>
      </c>
      <c r="AN119">
        <f>IF('Calculations PJ'!AN119&lt;&gt;0,'Calculations PJ'!AN119*About!$B$45,0)</f>
        <v>0</v>
      </c>
      <c r="AO119">
        <f>IF('Calculations PJ'!AO119&lt;&gt;0,'Calculations PJ'!AO119*About!$B$45,0)</f>
        <v>0</v>
      </c>
      <c r="AP119">
        <f>IF('Calculations PJ'!AP119&lt;&gt;0,'Calculations PJ'!AP119*About!$B$45,0)</f>
        <v>0</v>
      </c>
      <c r="AQ119">
        <f>IF('Calculations PJ'!AQ119&lt;&gt;0,'Calculations PJ'!AQ119*About!$B$45,0)</f>
        <v>0</v>
      </c>
      <c r="AR119">
        <f>IF('Calculations PJ'!AR119&lt;&gt;0,'Calculations PJ'!AR119*About!$B$45,0)</f>
        <v>0</v>
      </c>
      <c r="AS119">
        <f>IF('Calculations PJ'!AS119&lt;&gt;0,'Calculations PJ'!AS119*About!$B$45,0)</f>
        <v>0</v>
      </c>
      <c r="AT119">
        <f>IF('Calculations PJ'!AT119&lt;&gt;0,'Calculations PJ'!AT119*About!$B$45,0)</f>
        <v>0</v>
      </c>
      <c r="AU119">
        <f>IF('Calculations PJ'!AU119&lt;&gt;0,'Calculations PJ'!AU119*About!$B$45,0)</f>
        <v>0</v>
      </c>
      <c r="AV119">
        <f>IF('Calculations PJ'!AV119&lt;&gt;0,'Calculations PJ'!AV119*About!$B$45,0)</f>
        <v>0</v>
      </c>
      <c r="AW119">
        <f>IF('Calculations PJ'!AW119&lt;&gt;0,'Calculations PJ'!AW119*About!$B$45,0)</f>
        <v>0</v>
      </c>
      <c r="AX119">
        <f>IF('Calculations PJ'!AX119&lt;&gt;0,'Calculations PJ'!AX119*About!$B$45,0)</f>
        <v>0</v>
      </c>
      <c r="AY119">
        <f>IF('Calculations PJ'!AY119&lt;&gt;0,'Calculations PJ'!AY119*About!$B$45,0)</f>
        <v>0</v>
      </c>
      <c r="AZ119">
        <f>IF('Calculations PJ'!AZ119&lt;&gt;0,'Calculations PJ'!AZ119*About!$B$45,0)</f>
        <v>0</v>
      </c>
      <c r="BA119">
        <f>IF('Calculations PJ'!BA119&lt;&gt;0,'Calculations PJ'!BA119*About!$B$45,0)</f>
        <v>0</v>
      </c>
      <c r="BB119">
        <f>IF('Calculations PJ'!BB119&lt;&gt;0,'Calculations PJ'!BB119*About!$B$45,0)</f>
        <v>0</v>
      </c>
      <c r="BC119">
        <f>IF('Calculations PJ'!BC119&lt;&gt;0,'Calculations PJ'!BC119*About!$B$45,0)</f>
        <v>0</v>
      </c>
      <c r="BD119">
        <f>IF('Calculations PJ'!BD119&lt;&gt;0,'Calculations PJ'!BD119*About!$B$45,0)</f>
        <v>0</v>
      </c>
      <c r="BE119">
        <f>IF('Calculations PJ'!BE119&lt;&gt;0,'Calculations PJ'!BE119*About!$B$45,0)</f>
        <v>0</v>
      </c>
      <c r="BF119">
        <f>IF('Calculations PJ'!BF119&lt;&gt;0,'Calculations PJ'!BF119*About!$B$45,0)</f>
        <v>0</v>
      </c>
      <c r="BG119">
        <f>IF('Calculations PJ'!BG119&lt;&gt;0,'Calculations PJ'!BG119*About!$B$45,0)</f>
        <v>0</v>
      </c>
      <c r="BH119">
        <f>IF('Calculations PJ'!BH119&lt;&gt;0,'Calculations PJ'!BH119*About!$B$45,0)</f>
        <v>0</v>
      </c>
    </row>
    <row r="120" spans="2:60" hidden="1" outlineLevel="1">
      <c r="B120" t="s">
        <v>139</v>
      </c>
      <c r="C120">
        <f>IF('Calculations PJ'!C120&lt;&gt;0,'Calculations PJ'!C120*About!$B$45,0)</f>
        <v>0</v>
      </c>
      <c r="D120">
        <f>IF('Calculations PJ'!D120&lt;&gt;0,'Calculations PJ'!D120*About!$B$45,0)</f>
        <v>0</v>
      </c>
      <c r="E120">
        <f>IF('Calculations PJ'!E120&lt;&gt;0,'Calculations PJ'!E120*About!$B$45,0)</f>
        <v>0</v>
      </c>
      <c r="F120">
        <f>IF('Calculations PJ'!F120&lt;&gt;0,'Calculations PJ'!F120*About!$B$45,0)</f>
        <v>0</v>
      </c>
      <c r="G120">
        <f>IF('Calculations PJ'!G120&lt;&gt;0,'Calculations PJ'!G120*About!$B$45,0)</f>
        <v>0</v>
      </c>
      <c r="H120">
        <f>IF('Calculations PJ'!H120&lt;&gt;0,'Calculations PJ'!H120*About!$B$45,0)</f>
        <v>0</v>
      </c>
      <c r="I120">
        <f>IF('Calculations PJ'!I120&lt;&gt;0,'Calculations PJ'!I120*About!$B$45,0)</f>
        <v>0</v>
      </c>
      <c r="J120">
        <f>IF('Calculations PJ'!J120&lt;&gt;0,'Calculations PJ'!J120*About!$B$45,0)</f>
        <v>0</v>
      </c>
      <c r="K120">
        <f>IF('Calculations PJ'!K120&lt;&gt;0,'Calculations PJ'!K120*About!$B$45,0)</f>
        <v>0</v>
      </c>
      <c r="L120">
        <f>IF('Calculations PJ'!L120&lt;&gt;0,'Calculations PJ'!L120*About!$B$45,0)</f>
        <v>0</v>
      </c>
      <c r="M120">
        <f>IF('Calculations PJ'!M120&lt;&gt;0,'Calculations PJ'!M120*About!$B$45,0)</f>
        <v>0</v>
      </c>
      <c r="N120">
        <f>IF('Calculations PJ'!N120&lt;&gt;0,'Calculations PJ'!N120*About!$B$45,0)</f>
        <v>0</v>
      </c>
      <c r="O120">
        <f>IF('Calculations PJ'!O120&lt;&gt;0,'Calculations PJ'!O120*About!$B$45,0)</f>
        <v>0</v>
      </c>
      <c r="P120">
        <f>IF('Calculations PJ'!P120&lt;&gt;0,'Calculations PJ'!P120*About!$B$45,0)</f>
        <v>0</v>
      </c>
      <c r="Q120">
        <f>IF('Calculations PJ'!Q120&lt;&gt;0,'Calculations PJ'!Q120*About!$B$45,0)</f>
        <v>0</v>
      </c>
      <c r="R120">
        <f>IF('Calculations PJ'!R120&lt;&gt;0,'Calculations PJ'!R120*About!$B$45,0)</f>
        <v>0</v>
      </c>
      <c r="S120">
        <f>IF('Calculations PJ'!S120&lt;&gt;0,'Calculations PJ'!S120*About!$B$45,0)</f>
        <v>0</v>
      </c>
      <c r="T120">
        <f>IF('Calculations PJ'!T120&lt;&gt;0,'Calculations PJ'!T120*About!$B$45,0)</f>
        <v>0</v>
      </c>
      <c r="U120">
        <f>IF('Calculations PJ'!U120&lt;&gt;0,'Calculations PJ'!U120*About!$B$45,0)</f>
        <v>0</v>
      </c>
      <c r="V120">
        <f>IF('Calculations PJ'!V120&lt;&gt;0,'Calculations PJ'!V120*About!$B$45,0)</f>
        <v>0</v>
      </c>
      <c r="W120">
        <f>IF('Calculations PJ'!W120&lt;&gt;0,'Calculations PJ'!W120*About!$B$45,0)</f>
        <v>0</v>
      </c>
      <c r="X120">
        <f>IF('Calculations PJ'!X120&lt;&gt;0,'Calculations PJ'!X120*About!$B$45,0)</f>
        <v>0</v>
      </c>
      <c r="Y120">
        <f>IF('Calculations PJ'!Y120&lt;&gt;0,'Calculations PJ'!Y120*About!$B$45,0)</f>
        <v>0</v>
      </c>
      <c r="Z120">
        <f>IF('Calculations PJ'!Z120&lt;&gt;0,'Calculations PJ'!Z120*About!$B$45,0)</f>
        <v>0</v>
      </c>
      <c r="AA120">
        <f>IF('Calculations PJ'!AA120&lt;&gt;0,'Calculations PJ'!AA120*About!$B$45,0)</f>
        <v>0</v>
      </c>
      <c r="AB120">
        <f>IF('Calculations PJ'!AB120&lt;&gt;0,'Calculations PJ'!AB120*About!$B$45,0)</f>
        <v>0</v>
      </c>
      <c r="AC120">
        <f>IF('Calculations PJ'!AC120&lt;&gt;0,'Calculations PJ'!AC120*About!$B$45,0)</f>
        <v>0</v>
      </c>
      <c r="AD120">
        <f>IF('Calculations PJ'!AD120&lt;&gt;0,'Calculations PJ'!AD120*About!$B$45,0)</f>
        <v>0</v>
      </c>
      <c r="AE120">
        <f>IF('Calculations PJ'!AE120&lt;&gt;0,'Calculations PJ'!AE120*About!$B$45,0)</f>
        <v>0</v>
      </c>
      <c r="AF120">
        <f>IF('Calculations PJ'!AF120&lt;&gt;0,'Calculations PJ'!AF120*About!$B$45,0)</f>
        <v>0</v>
      </c>
      <c r="AG120">
        <f>IF('Calculations PJ'!AG120&lt;&gt;0,'Calculations PJ'!AG120*About!$B$45,0)</f>
        <v>0</v>
      </c>
      <c r="AH120">
        <f>IF('Calculations PJ'!AH120&lt;&gt;0,'Calculations PJ'!AH120*About!$B$45,0)</f>
        <v>0</v>
      </c>
      <c r="AI120">
        <f>IF('Calculations PJ'!AI120&lt;&gt;0,'Calculations PJ'!AI120*About!$B$45,0)</f>
        <v>0</v>
      </c>
      <c r="AJ120">
        <f>IF('Calculations PJ'!AJ120&lt;&gt;0,'Calculations PJ'!AJ120*About!$B$45,0)</f>
        <v>0</v>
      </c>
      <c r="AK120">
        <f>IF('Calculations PJ'!AK120&lt;&gt;0,'Calculations PJ'!AK120*About!$B$45,0)</f>
        <v>0</v>
      </c>
      <c r="AL120">
        <f>IF('Calculations PJ'!AL120&lt;&gt;0,'Calculations PJ'!AL120*About!$B$45,0)</f>
        <v>0</v>
      </c>
      <c r="AM120">
        <f>IF('Calculations PJ'!AM120&lt;&gt;0,'Calculations PJ'!AM120*About!$B$45,0)</f>
        <v>0</v>
      </c>
      <c r="AN120">
        <f>IF('Calculations PJ'!AN120&lt;&gt;0,'Calculations PJ'!AN120*About!$B$45,0)</f>
        <v>0</v>
      </c>
      <c r="AO120">
        <f>IF('Calculations PJ'!AO120&lt;&gt;0,'Calculations PJ'!AO120*About!$B$45,0)</f>
        <v>0</v>
      </c>
      <c r="AP120">
        <f>IF('Calculations PJ'!AP120&lt;&gt;0,'Calculations PJ'!AP120*About!$B$45,0)</f>
        <v>0</v>
      </c>
      <c r="AQ120">
        <f>IF('Calculations PJ'!AQ120&lt;&gt;0,'Calculations PJ'!AQ120*About!$B$45,0)</f>
        <v>0</v>
      </c>
      <c r="AR120">
        <f>IF('Calculations PJ'!AR120&lt;&gt;0,'Calculations PJ'!AR120*About!$B$45,0)</f>
        <v>0</v>
      </c>
      <c r="AS120">
        <f>IF('Calculations PJ'!AS120&lt;&gt;0,'Calculations PJ'!AS120*About!$B$45,0)</f>
        <v>0</v>
      </c>
      <c r="AT120">
        <f>IF('Calculations PJ'!AT120&lt;&gt;0,'Calculations PJ'!AT120*About!$B$45,0)</f>
        <v>0</v>
      </c>
      <c r="AU120">
        <f>IF('Calculations PJ'!AU120&lt;&gt;0,'Calculations PJ'!AU120*About!$B$45,0)</f>
        <v>0</v>
      </c>
      <c r="AV120">
        <f>IF('Calculations PJ'!AV120&lt;&gt;0,'Calculations PJ'!AV120*About!$B$45,0)</f>
        <v>0</v>
      </c>
      <c r="AW120">
        <f>IF('Calculations PJ'!AW120&lt;&gt;0,'Calculations PJ'!AW120*About!$B$45,0)</f>
        <v>0</v>
      </c>
      <c r="AX120">
        <f>IF('Calculations PJ'!AX120&lt;&gt;0,'Calculations PJ'!AX120*About!$B$45,0)</f>
        <v>0</v>
      </c>
      <c r="AY120">
        <f>IF('Calculations PJ'!AY120&lt;&gt;0,'Calculations PJ'!AY120*About!$B$45,0)</f>
        <v>0</v>
      </c>
      <c r="AZ120">
        <f>IF('Calculations PJ'!AZ120&lt;&gt;0,'Calculations PJ'!AZ120*About!$B$45,0)</f>
        <v>0</v>
      </c>
      <c r="BA120">
        <f>IF('Calculations PJ'!BA120&lt;&gt;0,'Calculations PJ'!BA120*About!$B$45,0)</f>
        <v>0</v>
      </c>
      <c r="BB120">
        <f>IF('Calculations PJ'!BB120&lt;&gt;0,'Calculations PJ'!BB120*About!$B$45,0)</f>
        <v>0</v>
      </c>
      <c r="BC120">
        <f>IF('Calculations PJ'!BC120&lt;&gt;0,'Calculations PJ'!BC120*About!$B$45,0)</f>
        <v>0</v>
      </c>
      <c r="BD120">
        <f>IF('Calculations PJ'!BD120&lt;&gt;0,'Calculations PJ'!BD120*About!$B$45,0)</f>
        <v>0</v>
      </c>
      <c r="BE120">
        <f>IF('Calculations PJ'!BE120&lt;&gt;0,'Calculations PJ'!BE120*About!$B$45,0)</f>
        <v>0</v>
      </c>
      <c r="BF120">
        <f>IF('Calculations PJ'!BF120&lt;&gt;0,'Calculations PJ'!BF120*About!$B$45,0)</f>
        <v>0</v>
      </c>
      <c r="BG120">
        <f>IF('Calculations PJ'!BG120&lt;&gt;0,'Calculations PJ'!BG120*About!$B$45,0)</f>
        <v>0</v>
      </c>
      <c r="BH120">
        <f>IF('Calculations PJ'!BH120&lt;&gt;0,'Calculations PJ'!BH120*About!$B$45,0)</f>
        <v>0</v>
      </c>
    </row>
    <row r="121" spans="2:60" hidden="1" outlineLevel="1">
      <c r="B121" t="s">
        <v>140</v>
      </c>
      <c r="C121">
        <f>IF('Calculations PJ'!C121&lt;&gt;0,'Calculations PJ'!C121*About!$B$45,0)</f>
        <v>0</v>
      </c>
      <c r="D121">
        <f>IF('Calculations PJ'!D121&lt;&gt;0,'Calculations PJ'!D121*About!$B$45,0)</f>
        <v>0</v>
      </c>
      <c r="E121">
        <f>IF('Calculations PJ'!E121&lt;&gt;0,'Calculations PJ'!E121*About!$B$45,0)</f>
        <v>0</v>
      </c>
      <c r="F121">
        <f>IF('Calculations PJ'!F121&lt;&gt;0,'Calculations PJ'!F121*About!$B$45,0)</f>
        <v>0</v>
      </c>
      <c r="G121">
        <f>IF('Calculations PJ'!G121&lt;&gt;0,'Calculations PJ'!G121*About!$B$45,0)</f>
        <v>0</v>
      </c>
      <c r="H121">
        <f>IF('Calculations PJ'!H121&lt;&gt;0,'Calculations PJ'!H121*About!$B$45,0)</f>
        <v>0</v>
      </c>
      <c r="I121">
        <f>IF('Calculations PJ'!I121&lt;&gt;0,'Calculations PJ'!I121*About!$B$45,0)</f>
        <v>0</v>
      </c>
      <c r="J121">
        <f>IF('Calculations PJ'!J121&lt;&gt;0,'Calculations PJ'!J121*About!$B$45,0)</f>
        <v>0</v>
      </c>
      <c r="K121">
        <f>IF('Calculations PJ'!K121&lt;&gt;0,'Calculations PJ'!K121*About!$B$45,0)</f>
        <v>0</v>
      </c>
      <c r="L121">
        <f>IF('Calculations PJ'!L121&lt;&gt;0,'Calculations PJ'!L121*About!$B$45,0)</f>
        <v>0</v>
      </c>
      <c r="M121">
        <f>IF('Calculations PJ'!M121&lt;&gt;0,'Calculations PJ'!M121*About!$B$45,0)</f>
        <v>0</v>
      </c>
      <c r="N121">
        <f>IF('Calculations PJ'!N121&lt;&gt;0,'Calculations PJ'!N121*About!$B$45,0)</f>
        <v>0</v>
      </c>
      <c r="O121">
        <f>IF('Calculations PJ'!O121&lt;&gt;0,'Calculations PJ'!O121*About!$B$45,0)</f>
        <v>0</v>
      </c>
      <c r="P121">
        <f>IF('Calculations PJ'!P121&lt;&gt;0,'Calculations PJ'!P121*About!$B$45,0)</f>
        <v>0</v>
      </c>
      <c r="Q121">
        <f>IF('Calculations PJ'!Q121&lt;&gt;0,'Calculations PJ'!Q121*About!$B$45,0)</f>
        <v>0</v>
      </c>
      <c r="R121">
        <f>IF('Calculations PJ'!R121&lt;&gt;0,'Calculations PJ'!R121*About!$B$45,0)</f>
        <v>0</v>
      </c>
      <c r="S121">
        <f>IF('Calculations PJ'!S121&lt;&gt;0,'Calculations PJ'!S121*About!$B$45,0)</f>
        <v>0</v>
      </c>
      <c r="T121">
        <f>IF('Calculations PJ'!T121&lt;&gt;0,'Calculations PJ'!T121*About!$B$45,0)</f>
        <v>0</v>
      </c>
      <c r="U121">
        <f>IF('Calculations PJ'!U121&lt;&gt;0,'Calculations PJ'!U121*About!$B$45,0)</f>
        <v>0</v>
      </c>
      <c r="V121">
        <f>IF('Calculations PJ'!V121&lt;&gt;0,'Calculations PJ'!V121*About!$B$45,0)</f>
        <v>0</v>
      </c>
      <c r="W121">
        <f>IF('Calculations PJ'!W121&lt;&gt;0,'Calculations PJ'!W121*About!$B$45,0)</f>
        <v>0</v>
      </c>
      <c r="X121">
        <f>IF('Calculations PJ'!X121&lt;&gt;0,'Calculations PJ'!X121*About!$B$45,0)</f>
        <v>0</v>
      </c>
      <c r="Y121">
        <f>IF('Calculations PJ'!Y121&lt;&gt;0,'Calculations PJ'!Y121*About!$B$45,0)</f>
        <v>0</v>
      </c>
      <c r="Z121">
        <f>IF('Calculations PJ'!Z121&lt;&gt;0,'Calculations PJ'!Z121*About!$B$45,0)</f>
        <v>0</v>
      </c>
      <c r="AA121">
        <f>IF('Calculations PJ'!AA121&lt;&gt;0,'Calculations PJ'!AA121*About!$B$45,0)</f>
        <v>0</v>
      </c>
      <c r="AB121">
        <f>IF('Calculations PJ'!AB121&lt;&gt;0,'Calculations PJ'!AB121*About!$B$45,0)</f>
        <v>0</v>
      </c>
      <c r="AC121">
        <f>IF('Calculations PJ'!AC121&lt;&gt;0,'Calculations PJ'!AC121*About!$B$45,0)</f>
        <v>0</v>
      </c>
      <c r="AD121">
        <f>IF('Calculations PJ'!AD121&lt;&gt;0,'Calculations PJ'!AD121*About!$B$45,0)</f>
        <v>0</v>
      </c>
      <c r="AE121">
        <f>IF('Calculations PJ'!AE121&lt;&gt;0,'Calculations PJ'!AE121*About!$B$45,0)</f>
        <v>0</v>
      </c>
      <c r="AF121">
        <f>IF('Calculations PJ'!AF121&lt;&gt;0,'Calculations PJ'!AF121*About!$B$45,0)</f>
        <v>0</v>
      </c>
      <c r="AG121">
        <f>IF('Calculations PJ'!AG121&lt;&gt;0,'Calculations PJ'!AG121*About!$B$45,0)</f>
        <v>0</v>
      </c>
      <c r="AH121">
        <f>IF('Calculations PJ'!AH121&lt;&gt;0,'Calculations PJ'!AH121*About!$B$45,0)</f>
        <v>0</v>
      </c>
      <c r="AI121">
        <f>IF('Calculations PJ'!AI121&lt;&gt;0,'Calculations PJ'!AI121*About!$B$45,0)</f>
        <v>0</v>
      </c>
      <c r="AJ121">
        <f>IF('Calculations PJ'!AJ121&lt;&gt;0,'Calculations PJ'!AJ121*About!$B$45,0)</f>
        <v>0</v>
      </c>
      <c r="AK121">
        <f>IF('Calculations PJ'!AK121&lt;&gt;0,'Calculations PJ'!AK121*About!$B$45,0)</f>
        <v>0</v>
      </c>
      <c r="AL121">
        <f>IF('Calculations PJ'!AL121&lt;&gt;0,'Calculations PJ'!AL121*About!$B$45,0)</f>
        <v>0</v>
      </c>
      <c r="AM121">
        <f>IF('Calculations PJ'!AM121&lt;&gt;0,'Calculations PJ'!AM121*About!$B$45,0)</f>
        <v>0</v>
      </c>
      <c r="AN121">
        <f>IF('Calculations PJ'!AN121&lt;&gt;0,'Calculations PJ'!AN121*About!$B$45,0)</f>
        <v>0</v>
      </c>
      <c r="AO121">
        <f>IF('Calculations PJ'!AO121&lt;&gt;0,'Calculations PJ'!AO121*About!$B$45,0)</f>
        <v>0</v>
      </c>
      <c r="AP121">
        <f>IF('Calculations PJ'!AP121&lt;&gt;0,'Calculations PJ'!AP121*About!$B$45,0)</f>
        <v>0</v>
      </c>
      <c r="AQ121">
        <f>IF('Calculations PJ'!AQ121&lt;&gt;0,'Calculations PJ'!AQ121*About!$B$45,0)</f>
        <v>0</v>
      </c>
      <c r="AR121">
        <f>IF('Calculations PJ'!AR121&lt;&gt;0,'Calculations PJ'!AR121*About!$B$45,0)</f>
        <v>0</v>
      </c>
      <c r="AS121">
        <f>IF('Calculations PJ'!AS121&lt;&gt;0,'Calculations PJ'!AS121*About!$B$45,0)</f>
        <v>0</v>
      </c>
      <c r="AT121">
        <f>IF('Calculations PJ'!AT121&lt;&gt;0,'Calculations PJ'!AT121*About!$B$45,0)</f>
        <v>0</v>
      </c>
      <c r="AU121">
        <f>IF('Calculations PJ'!AU121&lt;&gt;0,'Calculations PJ'!AU121*About!$B$45,0)</f>
        <v>0</v>
      </c>
      <c r="AV121">
        <f>IF('Calculations PJ'!AV121&lt;&gt;0,'Calculations PJ'!AV121*About!$B$45,0)</f>
        <v>0</v>
      </c>
      <c r="AW121">
        <f>IF('Calculations PJ'!AW121&lt;&gt;0,'Calculations PJ'!AW121*About!$B$45,0)</f>
        <v>0</v>
      </c>
      <c r="AX121">
        <f>IF('Calculations PJ'!AX121&lt;&gt;0,'Calculations PJ'!AX121*About!$B$45,0)</f>
        <v>0</v>
      </c>
      <c r="AY121">
        <f>IF('Calculations PJ'!AY121&lt;&gt;0,'Calculations PJ'!AY121*About!$B$45,0)</f>
        <v>0</v>
      </c>
      <c r="AZ121">
        <f>IF('Calculations PJ'!AZ121&lt;&gt;0,'Calculations PJ'!AZ121*About!$B$45,0)</f>
        <v>0</v>
      </c>
      <c r="BA121">
        <f>IF('Calculations PJ'!BA121&lt;&gt;0,'Calculations PJ'!BA121*About!$B$45,0)</f>
        <v>0</v>
      </c>
      <c r="BB121">
        <f>IF('Calculations PJ'!BB121&lt;&gt;0,'Calculations PJ'!BB121*About!$B$45,0)</f>
        <v>0</v>
      </c>
      <c r="BC121">
        <f>IF('Calculations PJ'!BC121&lt;&gt;0,'Calculations PJ'!BC121*About!$B$45,0)</f>
        <v>0</v>
      </c>
      <c r="BD121">
        <f>IF('Calculations PJ'!BD121&lt;&gt;0,'Calculations PJ'!BD121*About!$B$45,0)</f>
        <v>0</v>
      </c>
      <c r="BE121">
        <f>IF('Calculations PJ'!BE121&lt;&gt;0,'Calculations PJ'!BE121*About!$B$45,0)</f>
        <v>0</v>
      </c>
      <c r="BF121">
        <f>IF('Calculations PJ'!BF121&lt;&gt;0,'Calculations PJ'!BF121*About!$B$45,0)</f>
        <v>0</v>
      </c>
      <c r="BG121">
        <f>IF('Calculations PJ'!BG121&lt;&gt;0,'Calculations PJ'!BG121*About!$B$45,0)</f>
        <v>0</v>
      </c>
      <c r="BH121">
        <f>IF('Calculations PJ'!BH121&lt;&gt;0,'Calculations PJ'!BH121*About!$B$45,0)</f>
        <v>0</v>
      </c>
    </row>
    <row r="122" spans="2:60" hidden="1" outlineLevel="1">
      <c r="B122" t="s">
        <v>141</v>
      </c>
      <c r="C122">
        <f>IF('Calculations PJ'!C122&lt;&gt;0,'Calculations PJ'!C122*About!$B$45,0)</f>
        <v>0</v>
      </c>
      <c r="D122">
        <f>IF('Calculations PJ'!D122&lt;&gt;0,'Calculations PJ'!D122*About!$B$45,0)</f>
        <v>0</v>
      </c>
      <c r="E122">
        <f>IF('Calculations PJ'!E122&lt;&gt;0,'Calculations PJ'!E122*About!$B$45,0)</f>
        <v>0</v>
      </c>
      <c r="F122">
        <f>IF('Calculations PJ'!F122&lt;&gt;0,'Calculations PJ'!F122*About!$B$45,0)</f>
        <v>0</v>
      </c>
      <c r="G122">
        <f>IF('Calculations PJ'!G122&lt;&gt;0,'Calculations PJ'!G122*About!$B$45,0)</f>
        <v>0</v>
      </c>
      <c r="H122">
        <f>IF('Calculations PJ'!H122&lt;&gt;0,'Calculations PJ'!H122*About!$B$45,0)</f>
        <v>0</v>
      </c>
      <c r="I122">
        <f>IF('Calculations PJ'!I122&lt;&gt;0,'Calculations PJ'!I122*About!$B$45,0)</f>
        <v>0</v>
      </c>
      <c r="J122">
        <f>IF('Calculations PJ'!J122&lt;&gt;0,'Calculations PJ'!J122*About!$B$45,0)</f>
        <v>0</v>
      </c>
      <c r="K122">
        <f>IF('Calculations PJ'!K122&lt;&gt;0,'Calculations PJ'!K122*About!$B$45,0)</f>
        <v>0</v>
      </c>
      <c r="L122">
        <f>IF('Calculations PJ'!L122&lt;&gt;0,'Calculations PJ'!L122*About!$B$45,0)</f>
        <v>0</v>
      </c>
      <c r="M122">
        <f>IF('Calculations PJ'!M122&lt;&gt;0,'Calculations PJ'!M122*About!$B$45,0)</f>
        <v>0</v>
      </c>
      <c r="N122">
        <f>IF('Calculations PJ'!N122&lt;&gt;0,'Calculations PJ'!N122*About!$B$45,0)</f>
        <v>0</v>
      </c>
      <c r="O122">
        <f>IF('Calculations PJ'!O122&lt;&gt;0,'Calculations PJ'!O122*About!$B$45,0)</f>
        <v>0</v>
      </c>
      <c r="P122">
        <f>IF('Calculations PJ'!P122&lt;&gt;0,'Calculations PJ'!P122*About!$B$45,0)</f>
        <v>0</v>
      </c>
      <c r="Q122">
        <f>IF('Calculations PJ'!Q122&lt;&gt;0,'Calculations PJ'!Q122*About!$B$45,0)</f>
        <v>0</v>
      </c>
      <c r="R122">
        <f>IF('Calculations PJ'!R122&lt;&gt;0,'Calculations PJ'!R122*About!$B$45,0)</f>
        <v>0</v>
      </c>
      <c r="S122">
        <f>IF('Calculations PJ'!S122&lt;&gt;0,'Calculations PJ'!S122*About!$B$45,0)</f>
        <v>0</v>
      </c>
      <c r="T122">
        <f>IF('Calculations PJ'!T122&lt;&gt;0,'Calculations PJ'!T122*About!$B$45,0)</f>
        <v>0</v>
      </c>
      <c r="U122">
        <f>IF('Calculations PJ'!U122&lt;&gt;0,'Calculations PJ'!U122*About!$B$45,0)</f>
        <v>0</v>
      </c>
      <c r="V122">
        <f>IF('Calculations PJ'!V122&lt;&gt;0,'Calculations PJ'!V122*About!$B$45,0)</f>
        <v>0</v>
      </c>
      <c r="W122">
        <f>IF('Calculations PJ'!W122&lt;&gt;0,'Calculations PJ'!W122*About!$B$45,0)</f>
        <v>0</v>
      </c>
      <c r="X122">
        <f>IF('Calculations PJ'!X122&lt;&gt;0,'Calculations PJ'!X122*About!$B$45,0)</f>
        <v>0</v>
      </c>
      <c r="Y122">
        <f>IF('Calculations PJ'!Y122&lt;&gt;0,'Calculations PJ'!Y122*About!$B$45,0)</f>
        <v>0</v>
      </c>
      <c r="Z122">
        <f>IF('Calculations PJ'!Z122&lt;&gt;0,'Calculations PJ'!Z122*About!$B$45,0)</f>
        <v>0</v>
      </c>
      <c r="AA122">
        <f>IF('Calculations PJ'!AA122&lt;&gt;0,'Calculations PJ'!AA122*About!$B$45,0)</f>
        <v>0</v>
      </c>
      <c r="AB122">
        <f>IF('Calculations PJ'!AB122&lt;&gt;0,'Calculations PJ'!AB122*About!$B$45,0)</f>
        <v>0</v>
      </c>
      <c r="AC122">
        <f>IF('Calculations PJ'!AC122&lt;&gt;0,'Calculations PJ'!AC122*About!$B$45,0)</f>
        <v>0</v>
      </c>
      <c r="AD122">
        <f>IF('Calculations PJ'!AD122&lt;&gt;0,'Calculations PJ'!AD122*About!$B$45,0)</f>
        <v>0</v>
      </c>
      <c r="AE122">
        <f>IF('Calculations PJ'!AE122&lt;&gt;0,'Calculations PJ'!AE122*About!$B$45,0)</f>
        <v>0</v>
      </c>
      <c r="AF122">
        <f>IF('Calculations PJ'!AF122&lt;&gt;0,'Calculations PJ'!AF122*About!$B$45,0)</f>
        <v>0</v>
      </c>
      <c r="AG122">
        <f>IF('Calculations PJ'!AG122&lt;&gt;0,'Calculations PJ'!AG122*About!$B$45,0)</f>
        <v>0</v>
      </c>
      <c r="AH122">
        <f>IF('Calculations PJ'!AH122&lt;&gt;0,'Calculations PJ'!AH122*About!$B$45,0)</f>
        <v>0</v>
      </c>
      <c r="AI122">
        <f>IF('Calculations PJ'!AI122&lt;&gt;0,'Calculations PJ'!AI122*About!$B$45,0)</f>
        <v>0</v>
      </c>
      <c r="AJ122">
        <f>IF('Calculations PJ'!AJ122&lt;&gt;0,'Calculations PJ'!AJ122*About!$B$45,0)</f>
        <v>0</v>
      </c>
      <c r="AK122">
        <f>IF('Calculations PJ'!AK122&lt;&gt;0,'Calculations PJ'!AK122*About!$B$45,0)</f>
        <v>0</v>
      </c>
      <c r="AL122">
        <f>IF('Calculations PJ'!AL122&lt;&gt;0,'Calculations PJ'!AL122*About!$B$45,0)</f>
        <v>0</v>
      </c>
      <c r="AM122">
        <f>IF('Calculations PJ'!AM122&lt;&gt;0,'Calculations PJ'!AM122*About!$B$45,0)</f>
        <v>0</v>
      </c>
      <c r="AN122">
        <f>IF('Calculations PJ'!AN122&lt;&gt;0,'Calculations PJ'!AN122*About!$B$45,0)</f>
        <v>0</v>
      </c>
      <c r="AO122">
        <f>IF('Calculations PJ'!AO122&lt;&gt;0,'Calculations PJ'!AO122*About!$B$45,0)</f>
        <v>0</v>
      </c>
      <c r="AP122">
        <f>IF('Calculations PJ'!AP122&lt;&gt;0,'Calculations PJ'!AP122*About!$B$45,0)</f>
        <v>0</v>
      </c>
      <c r="AQ122">
        <f>IF('Calculations PJ'!AQ122&lt;&gt;0,'Calculations PJ'!AQ122*About!$B$45,0)</f>
        <v>0</v>
      </c>
      <c r="AR122">
        <f>IF('Calculations PJ'!AR122&lt;&gt;0,'Calculations PJ'!AR122*About!$B$45,0)</f>
        <v>0</v>
      </c>
      <c r="AS122">
        <f>IF('Calculations PJ'!AS122&lt;&gt;0,'Calculations PJ'!AS122*About!$B$45,0)</f>
        <v>0</v>
      </c>
      <c r="AT122">
        <f>IF('Calculations PJ'!AT122&lt;&gt;0,'Calculations PJ'!AT122*About!$B$45,0)</f>
        <v>0</v>
      </c>
      <c r="AU122">
        <f>IF('Calculations PJ'!AU122&lt;&gt;0,'Calculations PJ'!AU122*About!$B$45,0)</f>
        <v>0</v>
      </c>
      <c r="AV122">
        <f>IF('Calculations PJ'!AV122&lt;&gt;0,'Calculations PJ'!AV122*About!$B$45,0)</f>
        <v>0</v>
      </c>
      <c r="AW122">
        <f>IF('Calculations PJ'!AW122&lt;&gt;0,'Calculations PJ'!AW122*About!$B$45,0)</f>
        <v>0</v>
      </c>
      <c r="AX122">
        <f>IF('Calculations PJ'!AX122&lt;&gt;0,'Calculations PJ'!AX122*About!$B$45,0)</f>
        <v>0</v>
      </c>
      <c r="AY122">
        <f>IF('Calculations PJ'!AY122&lt;&gt;0,'Calculations PJ'!AY122*About!$B$45,0)</f>
        <v>0</v>
      </c>
      <c r="AZ122">
        <f>IF('Calculations PJ'!AZ122&lt;&gt;0,'Calculations PJ'!AZ122*About!$B$45,0)</f>
        <v>0</v>
      </c>
      <c r="BA122">
        <f>IF('Calculations PJ'!BA122&lt;&gt;0,'Calculations PJ'!BA122*About!$B$45,0)</f>
        <v>0</v>
      </c>
      <c r="BB122">
        <f>IF('Calculations PJ'!BB122&lt;&gt;0,'Calculations PJ'!BB122*About!$B$45,0)</f>
        <v>0</v>
      </c>
      <c r="BC122">
        <f>IF('Calculations PJ'!BC122&lt;&gt;0,'Calculations PJ'!BC122*About!$B$45,0)</f>
        <v>0</v>
      </c>
      <c r="BD122">
        <f>IF('Calculations PJ'!BD122&lt;&gt;0,'Calculations PJ'!BD122*About!$B$45,0)</f>
        <v>0</v>
      </c>
      <c r="BE122">
        <f>IF('Calculations PJ'!BE122&lt;&gt;0,'Calculations PJ'!BE122*About!$B$45,0)</f>
        <v>0</v>
      </c>
      <c r="BF122">
        <f>IF('Calculations PJ'!BF122&lt;&gt;0,'Calculations PJ'!BF122*About!$B$45,0)</f>
        <v>0</v>
      </c>
      <c r="BG122">
        <f>IF('Calculations PJ'!BG122&lt;&gt;0,'Calculations PJ'!BG122*About!$B$45,0)</f>
        <v>0</v>
      </c>
      <c r="BH122">
        <f>IF('Calculations PJ'!BH122&lt;&gt;0,'Calculations PJ'!BH122*About!$B$45,0)</f>
        <v>0</v>
      </c>
    </row>
    <row r="123" spans="2:60" hidden="1" outlineLevel="1">
      <c r="B123" t="s">
        <v>142</v>
      </c>
      <c r="C123">
        <f>IF('Calculations PJ'!C123&lt;&gt;0,'Calculations PJ'!C123*About!$B$45,0)</f>
        <v>0</v>
      </c>
      <c r="D123">
        <f>IF('Calculations PJ'!D123&lt;&gt;0,'Calculations PJ'!D123*About!$B$45,0)</f>
        <v>0</v>
      </c>
      <c r="E123">
        <f>IF('Calculations PJ'!E123&lt;&gt;0,'Calculations PJ'!E123*About!$B$45,0)</f>
        <v>0</v>
      </c>
      <c r="F123">
        <f>IF('Calculations PJ'!F123&lt;&gt;0,'Calculations PJ'!F123*About!$B$45,0)</f>
        <v>0</v>
      </c>
      <c r="G123">
        <f>IF('Calculations PJ'!G123&lt;&gt;0,'Calculations PJ'!G123*About!$B$45,0)</f>
        <v>0</v>
      </c>
      <c r="H123">
        <f>IF('Calculations PJ'!H123&lt;&gt;0,'Calculations PJ'!H123*About!$B$45,0)</f>
        <v>0</v>
      </c>
      <c r="I123">
        <f>IF('Calculations PJ'!I123&lt;&gt;0,'Calculations PJ'!I123*About!$B$45,0)</f>
        <v>0</v>
      </c>
      <c r="J123">
        <f>IF('Calculations PJ'!J123&lt;&gt;0,'Calculations PJ'!J123*About!$B$45,0)</f>
        <v>0</v>
      </c>
      <c r="K123">
        <f>IF('Calculations PJ'!K123&lt;&gt;0,'Calculations PJ'!K123*About!$B$45,0)</f>
        <v>0</v>
      </c>
      <c r="L123">
        <f>IF('Calculations PJ'!L123&lt;&gt;0,'Calculations PJ'!L123*About!$B$45,0)</f>
        <v>0</v>
      </c>
      <c r="M123">
        <f>IF('Calculations PJ'!M123&lt;&gt;0,'Calculations PJ'!M123*About!$B$45,0)</f>
        <v>0</v>
      </c>
      <c r="N123">
        <f>IF('Calculations PJ'!N123&lt;&gt;0,'Calculations PJ'!N123*About!$B$45,0)</f>
        <v>0</v>
      </c>
      <c r="O123">
        <f>IF('Calculations PJ'!O123&lt;&gt;0,'Calculations PJ'!O123*About!$B$45,0)</f>
        <v>0</v>
      </c>
      <c r="P123">
        <f>IF('Calculations PJ'!P123&lt;&gt;0,'Calculations PJ'!P123*About!$B$45,0)</f>
        <v>0</v>
      </c>
      <c r="Q123">
        <f>IF('Calculations PJ'!Q123&lt;&gt;0,'Calculations PJ'!Q123*About!$B$45,0)</f>
        <v>0</v>
      </c>
      <c r="R123">
        <f>IF('Calculations PJ'!R123&lt;&gt;0,'Calculations PJ'!R123*About!$B$45,0)</f>
        <v>0</v>
      </c>
      <c r="S123">
        <f>IF('Calculations PJ'!S123&lt;&gt;0,'Calculations PJ'!S123*About!$B$45,0)</f>
        <v>0</v>
      </c>
      <c r="T123">
        <f>IF('Calculations PJ'!T123&lt;&gt;0,'Calculations PJ'!T123*About!$B$45,0)</f>
        <v>0</v>
      </c>
      <c r="U123">
        <f>IF('Calculations PJ'!U123&lt;&gt;0,'Calculations PJ'!U123*About!$B$45,0)</f>
        <v>0</v>
      </c>
      <c r="V123">
        <f>IF('Calculations PJ'!V123&lt;&gt;0,'Calculations PJ'!V123*About!$B$45,0)</f>
        <v>0</v>
      </c>
      <c r="W123">
        <f>IF('Calculations PJ'!W123&lt;&gt;0,'Calculations PJ'!W123*About!$B$45,0)</f>
        <v>0</v>
      </c>
      <c r="X123">
        <f>IF('Calculations PJ'!X123&lt;&gt;0,'Calculations PJ'!X123*About!$B$45,0)</f>
        <v>0</v>
      </c>
      <c r="Y123">
        <f>IF('Calculations PJ'!Y123&lt;&gt;0,'Calculations PJ'!Y123*About!$B$45,0)</f>
        <v>0</v>
      </c>
      <c r="Z123">
        <f>IF('Calculations PJ'!Z123&lt;&gt;0,'Calculations PJ'!Z123*About!$B$45,0)</f>
        <v>0</v>
      </c>
      <c r="AA123">
        <f>IF('Calculations PJ'!AA123&lt;&gt;0,'Calculations PJ'!AA123*About!$B$45,0)</f>
        <v>0</v>
      </c>
      <c r="AB123">
        <f>IF('Calculations PJ'!AB123&lt;&gt;0,'Calculations PJ'!AB123*About!$B$45,0)</f>
        <v>0</v>
      </c>
      <c r="AC123">
        <f>IF('Calculations PJ'!AC123&lt;&gt;0,'Calculations PJ'!AC123*About!$B$45,0)</f>
        <v>0</v>
      </c>
      <c r="AD123">
        <f>IF('Calculations PJ'!AD123&lt;&gt;0,'Calculations PJ'!AD123*About!$B$45,0)</f>
        <v>0</v>
      </c>
      <c r="AE123">
        <f>IF('Calculations PJ'!AE123&lt;&gt;0,'Calculations PJ'!AE123*About!$B$45,0)</f>
        <v>0</v>
      </c>
      <c r="AF123">
        <f>IF('Calculations PJ'!AF123&lt;&gt;0,'Calculations PJ'!AF123*About!$B$45,0)</f>
        <v>0</v>
      </c>
      <c r="AG123">
        <f>IF('Calculations PJ'!AG123&lt;&gt;0,'Calculations PJ'!AG123*About!$B$45,0)</f>
        <v>0</v>
      </c>
      <c r="AH123">
        <f>IF('Calculations PJ'!AH123&lt;&gt;0,'Calculations PJ'!AH123*About!$B$45,0)</f>
        <v>0</v>
      </c>
      <c r="AI123">
        <f>IF('Calculations PJ'!AI123&lt;&gt;0,'Calculations PJ'!AI123*About!$B$45,0)</f>
        <v>0</v>
      </c>
      <c r="AJ123">
        <f>IF('Calculations PJ'!AJ123&lt;&gt;0,'Calculations PJ'!AJ123*About!$B$45,0)</f>
        <v>0</v>
      </c>
      <c r="AK123">
        <f>IF('Calculations PJ'!AK123&lt;&gt;0,'Calculations PJ'!AK123*About!$B$45,0)</f>
        <v>0</v>
      </c>
      <c r="AL123">
        <f>IF('Calculations PJ'!AL123&lt;&gt;0,'Calculations PJ'!AL123*About!$B$45,0)</f>
        <v>0</v>
      </c>
      <c r="AM123">
        <f>IF('Calculations PJ'!AM123&lt;&gt;0,'Calculations PJ'!AM123*About!$B$45,0)</f>
        <v>0</v>
      </c>
      <c r="AN123">
        <f>IF('Calculations PJ'!AN123&lt;&gt;0,'Calculations PJ'!AN123*About!$B$45,0)</f>
        <v>0</v>
      </c>
      <c r="AO123">
        <f>IF('Calculations PJ'!AO123&lt;&gt;0,'Calculations PJ'!AO123*About!$B$45,0)</f>
        <v>0</v>
      </c>
      <c r="AP123">
        <f>IF('Calculations PJ'!AP123&lt;&gt;0,'Calculations PJ'!AP123*About!$B$45,0)</f>
        <v>0</v>
      </c>
      <c r="AQ123">
        <f>IF('Calculations PJ'!AQ123&lt;&gt;0,'Calculations PJ'!AQ123*About!$B$45,0)</f>
        <v>0</v>
      </c>
      <c r="AR123">
        <f>IF('Calculations PJ'!AR123&lt;&gt;0,'Calculations PJ'!AR123*About!$B$45,0)</f>
        <v>0</v>
      </c>
      <c r="AS123">
        <f>IF('Calculations PJ'!AS123&lt;&gt;0,'Calculations PJ'!AS123*About!$B$45,0)</f>
        <v>0</v>
      </c>
      <c r="AT123">
        <f>IF('Calculations PJ'!AT123&lt;&gt;0,'Calculations PJ'!AT123*About!$B$45,0)</f>
        <v>0</v>
      </c>
      <c r="AU123">
        <f>IF('Calculations PJ'!AU123&lt;&gt;0,'Calculations PJ'!AU123*About!$B$45,0)</f>
        <v>0</v>
      </c>
      <c r="AV123">
        <f>IF('Calculations PJ'!AV123&lt;&gt;0,'Calculations PJ'!AV123*About!$B$45,0)</f>
        <v>0</v>
      </c>
      <c r="AW123">
        <f>IF('Calculations PJ'!AW123&lt;&gt;0,'Calculations PJ'!AW123*About!$B$45,0)</f>
        <v>0</v>
      </c>
      <c r="AX123">
        <f>IF('Calculations PJ'!AX123&lt;&gt;0,'Calculations PJ'!AX123*About!$B$45,0)</f>
        <v>0</v>
      </c>
      <c r="AY123">
        <f>IF('Calculations PJ'!AY123&lt;&gt;0,'Calculations PJ'!AY123*About!$B$45,0)</f>
        <v>0</v>
      </c>
      <c r="AZ123">
        <f>IF('Calculations PJ'!AZ123&lt;&gt;0,'Calculations PJ'!AZ123*About!$B$45,0)</f>
        <v>0</v>
      </c>
      <c r="BA123">
        <f>IF('Calculations PJ'!BA123&lt;&gt;0,'Calculations PJ'!BA123*About!$B$45,0)</f>
        <v>0</v>
      </c>
      <c r="BB123">
        <f>IF('Calculations PJ'!BB123&lt;&gt;0,'Calculations PJ'!BB123*About!$B$45,0)</f>
        <v>0</v>
      </c>
      <c r="BC123">
        <f>IF('Calculations PJ'!BC123&lt;&gt;0,'Calculations PJ'!BC123*About!$B$45,0)</f>
        <v>0</v>
      </c>
      <c r="BD123">
        <f>IF('Calculations PJ'!BD123&lt;&gt;0,'Calculations PJ'!BD123*About!$B$45,0)</f>
        <v>0</v>
      </c>
      <c r="BE123">
        <f>IF('Calculations PJ'!BE123&lt;&gt;0,'Calculations PJ'!BE123*About!$B$45,0)</f>
        <v>0</v>
      </c>
      <c r="BF123">
        <f>IF('Calculations PJ'!BF123&lt;&gt;0,'Calculations PJ'!BF123*About!$B$45,0)</f>
        <v>0</v>
      </c>
      <c r="BG123">
        <f>IF('Calculations PJ'!BG123&lt;&gt;0,'Calculations PJ'!BG123*About!$B$45,0)</f>
        <v>0</v>
      </c>
      <c r="BH123">
        <f>IF('Calculations PJ'!BH123&lt;&gt;0,'Calculations PJ'!BH123*About!$B$45,0)</f>
        <v>0</v>
      </c>
    </row>
    <row r="124" spans="2:60" hidden="1" outlineLevel="1">
      <c r="B124" t="s">
        <v>143</v>
      </c>
      <c r="C124">
        <f>IF('Calculations PJ'!C124&lt;&gt;0,'Calculations PJ'!C124*About!$B$45,0)</f>
        <v>0</v>
      </c>
      <c r="D124">
        <f>IF('Calculations PJ'!D124&lt;&gt;0,'Calculations PJ'!D124*About!$B$45,0)</f>
        <v>0</v>
      </c>
      <c r="E124">
        <f>IF('Calculations PJ'!E124&lt;&gt;0,'Calculations PJ'!E124*About!$B$45,0)</f>
        <v>0</v>
      </c>
      <c r="F124">
        <f>IF('Calculations PJ'!F124&lt;&gt;0,'Calculations PJ'!F124*About!$B$45,0)</f>
        <v>0</v>
      </c>
      <c r="G124">
        <f>IF('Calculations PJ'!G124&lt;&gt;0,'Calculations PJ'!G124*About!$B$45,0)</f>
        <v>0</v>
      </c>
      <c r="H124">
        <f>IF('Calculations PJ'!H124&lt;&gt;0,'Calculations PJ'!H124*About!$B$45,0)</f>
        <v>0</v>
      </c>
      <c r="I124">
        <f>IF('Calculations PJ'!I124&lt;&gt;0,'Calculations PJ'!I124*About!$B$45,0)</f>
        <v>0</v>
      </c>
      <c r="J124">
        <f>IF('Calculations PJ'!J124&lt;&gt;0,'Calculations PJ'!J124*About!$B$45,0)</f>
        <v>0</v>
      </c>
      <c r="K124">
        <f>IF('Calculations PJ'!K124&lt;&gt;0,'Calculations PJ'!K124*About!$B$45,0)</f>
        <v>0</v>
      </c>
      <c r="L124">
        <f>IF('Calculations PJ'!L124&lt;&gt;0,'Calculations PJ'!L124*About!$B$45,0)</f>
        <v>0</v>
      </c>
      <c r="M124">
        <f>IF('Calculations PJ'!M124&lt;&gt;0,'Calculations PJ'!M124*About!$B$45,0)</f>
        <v>0</v>
      </c>
      <c r="N124">
        <f>IF('Calculations PJ'!N124&lt;&gt;0,'Calculations PJ'!N124*About!$B$45,0)</f>
        <v>0</v>
      </c>
      <c r="O124">
        <f>IF('Calculations PJ'!O124&lt;&gt;0,'Calculations PJ'!O124*About!$B$45,0)</f>
        <v>0</v>
      </c>
      <c r="P124">
        <f>IF('Calculations PJ'!P124&lt;&gt;0,'Calculations PJ'!P124*About!$B$45,0)</f>
        <v>0</v>
      </c>
      <c r="Q124">
        <f>IF('Calculations PJ'!Q124&lt;&gt;0,'Calculations PJ'!Q124*About!$B$45,0)</f>
        <v>0</v>
      </c>
      <c r="R124">
        <f>IF('Calculations PJ'!R124&lt;&gt;0,'Calculations PJ'!R124*About!$B$45,0)</f>
        <v>0</v>
      </c>
      <c r="S124">
        <f>IF('Calculations PJ'!S124&lt;&gt;0,'Calculations PJ'!S124*About!$B$45,0)</f>
        <v>0</v>
      </c>
      <c r="T124">
        <f>IF('Calculations PJ'!T124&lt;&gt;0,'Calculations PJ'!T124*About!$B$45,0)</f>
        <v>0</v>
      </c>
      <c r="U124">
        <f>IF('Calculations PJ'!U124&lt;&gt;0,'Calculations PJ'!U124*About!$B$45,0)</f>
        <v>0</v>
      </c>
      <c r="V124">
        <f>IF('Calculations PJ'!V124&lt;&gt;0,'Calculations PJ'!V124*About!$B$45,0)</f>
        <v>0</v>
      </c>
      <c r="W124">
        <f>IF('Calculations PJ'!W124&lt;&gt;0,'Calculations PJ'!W124*About!$B$45,0)</f>
        <v>0</v>
      </c>
      <c r="X124">
        <f>IF('Calculations PJ'!X124&lt;&gt;0,'Calculations PJ'!X124*About!$B$45,0)</f>
        <v>0</v>
      </c>
      <c r="Y124">
        <f>IF('Calculations PJ'!Y124&lt;&gt;0,'Calculations PJ'!Y124*About!$B$45,0)</f>
        <v>0</v>
      </c>
      <c r="Z124">
        <f>IF('Calculations PJ'!Z124&lt;&gt;0,'Calculations PJ'!Z124*About!$B$45,0)</f>
        <v>0</v>
      </c>
      <c r="AA124">
        <f>IF('Calculations PJ'!AA124&lt;&gt;0,'Calculations PJ'!AA124*About!$B$45,0)</f>
        <v>0</v>
      </c>
      <c r="AB124">
        <f>IF('Calculations PJ'!AB124&lt;&gt;0,'Calculations PJ'!AB124*About!$B$45,0)</f>
        <v>0</v>
      </c>
      <c r="AC124">
        <f>IF('Calculations PJ'!AC124&lt;&gt;0,'Calculations PJ'!AC124*About!$B$45,0)</f>
        <v>0</v>
      </c>
      <c r="AD124">
        <f>IF('Calculations PJ'!AD124&lt;&gt;0,'Calculations PJ'!AD124*About!$B$45,0)</f>
        <v>0</v>
      </c>
      <c r="AE124">
        <f>IF('Calculations PJ'!AE124&lt;&gt;0,'Calculations PJ'!AE124*About!$B$45,0)</f>
        <v>0</v>
      </c>
      <c r="AF124">
        <f>IF('Calculations PJ'!AF124&lt;&gt;0,'Calculations PJ'!AF124*About!$B$45,0)</f>
        <v>0</v>
      </c>
      <c r="AG124">
        <f>IF('Calculations PJ'!AG124&lt;&gt;0,'Calculations PJ'!AG124*About!$B$45,0)</f>
        <v>0</v>
      </c>
      <c r="AH124">
        <f>IF('Calculations PJ'!AH124&lt;&gt;0,'Calculations PJ'!AH124*About!$B$45,0)</f>
        <v>0</v>
      </c>
      <c r="AI124">
        <f>IF('Calculations PJ'!AI124&lt;&gt;0,'Calculations PJ'!AI124*About!$B$45,0)</f>
        <v>0</v>
      </c>
      <c r="AJ124">
        <f>IF('Calculations PJ'!AJ124&lt;&gt;0,'Calculations PJ'!AJ124*About!$B$45,0)</f>
        <v>0</v>
      </c>
      <c r="AK124">
        <f>IF('Calculations PJ'!AK124&lt;&gt;0,'Calculations PJ'!AK124*About!$B$45,0)</f>
        <v>0</v>
      </c>
      <c r="AL124">
        <f>IF('Calculations PJ'!AL124&lt;&gt;0,'Calculations PJ'!AL124*About!$B$45,0)</f>
        <v>0</v>
      </c>
      <c r="AM124">
        <f>IF('Calculations PJ'!AM124&lt;&gt;0,'Calculations PJ'!AM124*About!$B$45,0)</f>
        <v>0</v>
      </c>
      <c r="AN124">
        <f>IF('Calculations PJ'!AN124&lt;&gt;0,'Calculations PJ'!AN124*About!$B$45,0)</f>
        <v>0</v>
      </c>
      <c r="AO124">
        <f>IF('Calculations PJ'!AO124&lt;&gt;0,'Calculations PJ'!AO124*About!$B$45,0)</f>
        <v>0</v>
      </c>
      <c r="AP124">
        <f>IF('Calculations PJ'!AP124&lt;&gt;0,'Calculations PJ'!AP124*About!$B$45,0)</f>
        <v>0</v>
      </c>
      <c r="AQ124">
        <f>IF('Calculations PJ'!AQ124&lt;&gt;0,'Calculations PJ'!AQ124*About!$B$45,0)</f>
        <v>0</v>
      </c>
      <c r="AR124">
        <f>IF('Calculations PJ'!AR124&lt;&gt;0,'Calculations PJ'!AR124*About!$B$45,0)</f>
        <v>0</v>
      </c>
      <c r="AS124">
        <f>IF('Calculations PJ'!AS124&lt;&gt;0,'Calculations PJ'!AS124*About!$B$45,0)</f>
        <v>0</v>
      </c>
      <c r="AT124">
        <f>IF('Calculations PJ'!AT124&lt;&gt;0,'Calculations PJ'!AT124*About!$B$45,0)</f>
        <v>0</v>
      </c>
      <c r="AU124">
        <f>IF('Calculations PJ'!AU124&lt;&gt;0,'Calculations PJ'!AU124*About!$B$45,0)</f>
        <v>0</v>
      </c>
      <c r="AV124">
        <f>IF('Calculations PJ'!AV124&lt;&gt;0,'Calculations PJ'!AV124*About!$B$45,0)</f>
        <v>0</v>
      </c>
      <c r="AW124">
        <f>IF('Calculations PJ'!AW124&lt;&gt;0,'Calculations PJ'!AW124*About!$B$45,0)</f>
        <v>0</v>
      </c>
      <c r="AX124">
        <f>IF('Calculations PJ'!AX124&lt;&gt;0,'Calculations PJ'!AX124*About!$B$45,0)</f>
        <v>0</v>
      </c>
      <c r="AY124">
        <f>IF('Calculations PJ'!AY124&lt;&gt;0,'Calculations PJ'!AY124*About!$B$45,0)</f>
        <v>0</v>
      </c>
      <c r="AZ124">
        <f>IF('Calculations PJ'!AZ124&lt;&gt;0,'Calculations PJ'!AZ124*About!$B$45,0)</f>
        <v>0</v>
      </c>
      <c r="BA124">
        <f>IF('Calculations PJ'!BA124&lt;&gt;0,'Calculations PJ'!BA124*About!$B$45,0)</f>
        <v>0</v>
      </c>
      <c r="BB124">
        <f>IF('Calculations PJ'!BB124&lt;&gt;0,'Calculations PJ'!BB124*About!$B$45,0)</f>
        <v>0</v>
      </c>
      <c r="BC124">
        <f>IF('Calculations PJ'!BC124&lt;&gt;0,'Calculations PJ'!BC124*About!$B$45,0)</f>
        <v>0</v>
      </c>
      <c r="BD124">
        <f>IF('Calculations PJ'!BD124&lt;&gt;0,'Calculations PJ'!BD124*About!$B$45,0)</f>
        <v>0</v>
      </c>
      <c r="BE124">
        <f>IF('Calculations PJ'!BE124&lt;&gt;0,'Calculations PJ'!BE124*About!$B$45,0)</f>
        <v>0</v>
      </c>
      <c r="BF124">
        <f>IF('Calculations PJ'!BF124&lt;&gt;0,'Calculations PJ'!BF124*About!$B$45,0)</f>
        <v>0</v>
      </c>
      <c r="BG124">
        <f>IF('Calculations PJ'!BG124&lt;&gt;0,'Calculations PJ'!BG124*About!$B$45,0)</f>
        <v>0</v>
      </c>
      <c r="BH124">
        <f>IF('Calculations PJ'!BH124&lt;&gt;0,'Calculations PJ'!BH124*About!$B$45,0)</f>
        <v>0</v>
      </c>
    </row>
    <row r="125" spans="2:60" hidden="1" outlineLevel="1">
      <c r="B125" t="s">
        <v>144</v>
      </c>
      <c r="C125">
        <f>IF('Calculations PJ'!C125&lt;&gt;0,'Calculations PJ'!C125*About!$B$45,0)</f>
        <v>0</v>
      </c>
      <c r="D125">
        <f>IF('Calculations PJ'!D125&lt;&gt;0,'Calculations PJ'!D125*About!$B$45,0)</f>
        <v>0</v>
      </c>
      <c r="E125">
        <f>IF('Calculations PJ'!E125&lt;&gt;0,'Calculations PJ'!E125*About!$B$45,0)</f>
        <v>0</v>
      </c>
      <c r="F125">
        <f>IF('Calculations PJ'!F125&lt;&gt;0,'Calculations PJ'!F125*About!$B$45,0)</f>
        <v>0</v>
      </c>
      <c r="G125">
        <f>IF('Calculations PJ'!G125&lt;&gt;0,'Calculations PJ'!G125*About!$B$45,0)</f>
        <v>0</v>
      </c>
      <c r="H125">
        <f>IF('Calculations PJ'!H125&lt;&gt;0,'Calculations PJ'!H125*About!$B$45,0)</f>
        <v>0</v>
      </c>
      <c r="I125">
        <f>IF('Calculations PJ'!I125&lt;&gt;0,'Calculations PJ'!I125*About!$B$45,0)</f>
        <v>0</v>
      </c>
      <c r="J125">
        <f>IF('Calculations PJ'!J125&lt;&gt;0,'Calculations PJ'!J125*About!$B$45,0)</f>
        <v>0</v>
      </c>
      <c r="K125">
        <f>IF('Calculations PJ'!K125&lt;&gt;0,'Calculations PJ'!K125*About!$B$45,0)</f>
        <v>0</v>
      </c>
      <c r="L125">
        <f>IF('Calculations PJ'!L125&lt;&gt;0,'Calculations PJ'!L125*About!$B$45,0)</f>
        <v>0</v>
      </c>
      <c r="M125">
        <f>IF('Calculations PJ'!M125&lt;&gt;0,'Calculations PJ'!M125*About!$B$45,0)</f>
        <v>0</v>
      </c>
      <c r="N125">
        <f>IF('Calculations PJ'!N125&lt;&gt;0,'Calculations PJ'!N125*About!$B$45,0)</f>
        <v>0</v>
      </c>
      <c r="O125">
        <f>IF('Calculations PJ'!O125&lt;&gt;0,'Calculations PJ'!O125*About!$B$45,0)</f>
        <v>0</v>
      </c>
      <c r="P125">
        <f>IF('Calculations PJ'!P125&lt;&gt;0,'Calculations PJ'!P125*About!$B$45,0)</f>
        <v>0</v>
      </c>
      <c r="Q125">
        <f>IF('Calculations PJ'!Q125&lt;&gt;0,'Calculations PJ'!Q125*About!$B$45,0)</f>
        <v>0</v>
      </c>
      <c r="R125">
        <f>IF('Calculations PJ'!R125&lt;&gt;0,'Calculations PJ'!R125*About!$B$45,0)</f>
        <v>0</v>
      </c>
      <c r="S125">
        <f>IF('Calculations PJ'!S125&lt;&gt;0,'Calculations PJ'!S125*About!$B$45,0)</f>
        <v>0</v>
      </c>
      <c r="T125">
        <f>IF('Calculations PJ'!T125&lt;&gt;0,'Calculations PJ'!T125*About!$B$45,0)</f>
        <v>0</v>
      </c>
      <c r="U125">
        <f>IF('Calculations PJ'!U125&lt;&gt;0,'Calculations PJ'!U125*About!$B$45,0)</f>
        <v>0</v>
      </c>
      <c r="V125">
        <f>IF('Calculations PJ'!V125&lt;&gt;0,'Calculations PJ'!V125*About!$B$45,0)</f>
        <v>0</v>
      </c>
      <c r="W125">
        <f>IF('Calculations PJ'!W125&lt;&gt;0,'Calculations PJ'!W125*About!$B$45,0)</f>
        <v>0</v>
      </c>
      <c r="X125">
        <f>IF('Calculations PJ'!X125&lt;&gt;0,'Calculations PJ'!X125*About!$B$45,0)</f>
        <v>0</v>
      </c>
      <c r="Y125">
        <f>IF('Calculations PJ'!Y125&lt;&gt;0,'Calculations PJ'!Y125*About!$B$45,0)</f>
        <v>0</v>
      </c>
      <c r="Z125">
        <f>IF('Calculations PJ'!Z125&lt;&gt;0,'Calculations PJ'!Z125*About!$B$45,0)</f>
        <v>0</v>
      </c>
      <c r="AA125">
        <f>IF('Calculations PJ'!AA125&lt;&gt;0,'Calculations PJ'!AA125*About!$B$45,0)</f>
        <v>0</v>
      </c>
      <c r="AB125">
        <f>IF('Calculations PJ'!AB125&lt;&gt;0,'Calculations PJ'!AB125*About!$B$45,0)</f>
        <v>0</v>
      </c>
      <c r="AC125">
        <f>IF('Calculations PJ'!AC125&lt;&gt;0,'Calculations PJ'!AC125*About!$B$45,0)</f>
        <v>0</v>
      </c>
      <c r="AD125">
        <f>IF('Calculations PJ'!AD125&lt;&gt;0,'Calculations PJ'!AD125*About!$B$45,0)</f>
        <v>0</v>
      </c>
      <c r="AE125">
        <f>IF('Calculations PJ'!AE125&lt;&gt;0,'Calculations PJ'!AE125*About!$B$45,0)</f>
        <v>0</v>
      </c>
      <c r="AF125">
        <f>IF('Calculations PJ'!AF125&lt;&gt;0,'Calculations PJ'!AF125*About!$B$45,0)</f>
        <v>0</v>
      </c>
      <c r="AG125">
        <f>IF('Calculations PJ'!AG125&lt;&gt;0,'Calculations PJ'!AG125*About!$B$45,0)</f>
        <v>0</v>
      </c>
      <c r="AH125">
        <f>IF('Calculations PJ'!AH125&lt;&gt;0,'Calculations PJ'!AH125*About!$B$45,0)</f>
        <v>0</v>
      </c>
      <c r="AI125">
        <f>IF('Calculations PJ'!AI125&lt;&gt;0,'Calculations PJ'!AI125*About!$B$45,0)</f>
        <v>0</v>
      </c>
      <c r="AJ125">
        <f>IF('Calculations PJ'!AJ125&lt;&gt;0,'Calculations PJ'!AJ125*About!$B$45,0)</f>
        <v>0</v>
      </c>
      <c r="AK125">
        <f>IF('Calculations PJ'!AK125&lt;&gt;0,'Calculations PJ'!AK125*About!$B$45,0)</f>
        <v>0</v>
      </c>
      <c r="AL125">
        <f>IF('Calculations PJ'!AL125&lt;&gt;0,'Calculations PJ'!AL125*About!$B$45,0)</f>
        <v>0</v>
      </c>
      <c r="AM125">
        <f>IF('Calculations PJ'!AM125&lt;&gt;0,'Calculations PJ'!AM125*About!$B$45,0)</f>
        <v>0</v>
      </c>
      <c r="AN125">
        <f>IF('Calculations PJ'!AN125&lt;&gt;0,'Calculations PJ'!AN125*About!$B$45,0)</f>
        <v>0</v>
      </c>
      <c r="AO125">
        <f>IF('Calculations PJ'!AO125&lt;&gt;0,'Calculations PJ'!AO125*About!$B$45,0)</f>
        <v>0</v>
      </c>
      <c r="AP125">
        <f>IF('Calculations PJ'!AP125&lt;&gt;0,'Calculations PJ'!AP125*About!$B$45,0)</f>
        <v>0</v>
      </c>
      <c r="AQ125">
        <f>IF('Calculations PJ'!AQ125&lt;&gt;0,'Calculations PJ'!AQ125*About!$B$45,0)</f>
        <v>0</v>
      </c>
      <c r="AR125">
        <f>IF('Calculations PJ'!AR125&lt;&gt;0,'Calculations PJ'!AR125*About!$B$45,0)</f>
        <v>0</v>
      </c>
      <c r="AS125">
        <f>IF('Calculations PJ'!AS125&lt;&gt;0,'Calculations PJ'!AS125*About!$B$45,0)</f>
        <v>0</v>
      </c>
      <c r="AT125">
        <f>IF('Calculations PJ'!AT125&lt;&gt;0,'Calculations PJ'!AT125*About!$B$45,0)</f>
        <v>0</v>
      </c>
      <c r="AU125">
        <f>IF('Calculations PJ'!AU125&lt;&gt;0,'Calculations PJ'!AU125*About!$B$45,0)</f>
        <v>0</v>
      </c>
      <c r="AV125">
        <f>IF('Calculations PJ'!AV125&lt;&gt;0,'Calculations PJ'!AV125*About!$B$45,0)</f>
        <v>0</v>
      </c>
      <c r="AW125">
        <f>IF('Calculations PJ'!AW125&lt;&gt;0,'Calculations PJ'!AW125*About!$B$45,0)</f>
        <v>0</v>
      </c>
      <c r="AX125">
        <f>IF('Calculations PJ'!AX125&lt;&gt;0,'Calculations PJ'!AX125*About!$B$45,0)</f>
        <v>0</v>
      </c>
      <c r="AY125">
        <f>IF('Calculations PJ'!AY125&lt;&gt;0,'Calculations PJ'!AY125*About!$B$45,0)</f>
        <v>0</v>
      </c>
      <c r="AZ125">
        <f>IF('Calculations PJ'!AZ125&lt;&gt;0,'Calculations PJ'!AZ125*About!$B$45,0)</f>
        <v>0</v>
      </c>
      <c r="BA125">
        <f>IF('Calculations PJ'!BA125&lt;&gt;0,'Calculations PJ'!BA125*About!$B$45,0)</f>
        <v>0</v>
      </c>
      <c r="BB125">
        <f>IF('Calculations PJ'!BB125&lt;&gt;0,'Calculations PJ'!BB125*About!$B$45,0)</f>
        <v>0</v>
      </c>
      <c r="BC125">
        <f>IF('Calculations PJ'!BC125&lt;&gt;0,'Calculations PJ'!BC125*About!$B$45,0)</f>
        <v>0</v>
      </c>
      <c r="BD125">
        <f>IF('Calculations PJ'!BD125&lt;&gt;0,'Calculations PJ'!BD125*About!$B$45,0)</f>
        <v>0</v>
      </c>
      <c r="BE125">
        <f>IF('Calculations PJ'!BE125&lt;&gt;0,'Calculations PJ'!BE125*About!$B$45,0)</f>
        <v>0</v>
      </c>
      <c r="BF125">
        <f>IF('Calculations PJ'!BF125&lt;&gt;0,'Calculations PJ'!BF125*About!$B$45,0)</f>
        <v>0</v>
      </c>
      <c r="BG125">
        <f>IF('Calculations PJ'!BG125&lt;&gt;0,'Calculations PJ'!BG125*About!$B$45,0)</f>
        <v>0</v>
      </c>
      <c r="BH125">
        <f>IF('Calculations PJ'!BH125&lt;&gt;0,'Calculations PJ'!BH125*About!$B$45,0)</f>
        <v>0</v>
      </c>
    </row>
    <row r="126" spans="2:60" hidden="1" outlineLevel="1">
      <c r="B126" t="s">
        <v>145</v>
      </c>
      <c r="C126">
        <f>IF('Calculations PJ'!C126&lt;&gt;0,'Calculations PJ'!C126*About!$B$45,0)</f>
        <v>0</v>
      </c>
      <c r="D126">
        <f>IF('Calculations PJ'!D126&lt;&gt;0,'Calculations PJ'!D126*About!$B$45,0)</f>
        <v>0</v>
      </c>
      <c r="E126">
        <f>IF('Calculations PJ'!E126&lt;&gt;0,'Calculations PJ'!E126*About!$B$45,0)</f>
        <v>0</v>
      </c>
      <c r="F126">
        <f>IF('Calculations PJ'!F126&lt;&gt;0,'Calculations PJ'!F126*About!$B$45,0)</f>
        <v>0</v>
      </c>
      <c r="G126">
        <f>IF('Calculations PJ'!G126&lt;&gt;0,'Calculations PJ'!G126*About!$B$45,0)</f>
        <v>0</v>
      </c>
      <c r="H126">
        <f>IF('Calculations PJ'!H126&lt;&gt;0,'Calculations PJ'!H126*About!$B$45,0)</f>
        <v>0</v>
      </c>
      <c r="I126">
        <f>IF('Calculations PJ'!I126&lt;&gt;0,'Calculations PJ'!I126*About!$B$45,0)</f>
        <v>0</v>
      </c>
      <c r="J126">
        <f>IF('Calculations PJ'!J126&lt;&gt;0,'Calculations PJ'!J126*About!$B$45,0)</f>
        <v>0</v>
      </c>
      <c r="K126">
        <f>IF('Calculations PJ'!K126&lt;&gt;0,'Calculations PJ'!K126*About!$B$45,0)</f>
        <v>0</v>
      </c>
      <c r="L126">
        <f>IF('Calculations PJ'!L126&lt;&gt;0,'Calculations PJ'!L126*About!$B$45,0)</f>
        <v>0</v>
      </c>
      <c r="M126">
        <f>IF('Calculations PJ'!M126&lt;&gt;0,'Calculations PJ'!M126*About!$B$45,0)</f>
        <v>0</v>
      </c>
      <c r="N126">
        <f>IF('Calculations PJ'!N126&lt;&gt;0,'Calculations PJ'!N126*About!$B$45,0)</f>
        <v>0</v>
      </c>
      <c r="O126">
        <f>IF('Calculations PJ'!O126&lt;&gt;0,'Calculations PJ'!O126*About!$B$45,0)</f>
        <v>0</v>
      </c>
      <c r="P126">
        <f>IF('Calculations PJ'!P126&lt;&gt;0,'Calculations PJ'!P126*About!$B$45,0)</f>
        <v>0</v>
      </c>
      <c r="Q126">
        <f>IF('Calculations PJ'!Q126&lt;&gt;0,'Calculations PJ'!Q126*About!$B$45,0)</f>
        <v>0</v>
      </c>
      <c r="R126">
        <f>IF('Calculations PJ'!R126&lt;&gt;0,'Calculations PJ'!R126*About!$B$45,0)</f>
        <v>0</v>
      </c>
      <c r="S126">
        <f>IF('Calculations PJ'!S126&lt;&gt;0,'Calculations PJ'!S126*About!$B$45,0)</f>
        <v>0</v>
      </c>
      <c r="T126">
        <f>IF('Calculations PJ'!T126&lt;&gt;0,'Calculations PJ'!T126*About!$B$45,0)</f>
        <v>0</v>
      </c>
      <c r="U126">
        <f>IF('Calculations PJ'!U126&lt;&gt;0,'Calculations PJ'!U126*About!$B$45,0)</f>
        <v>0</v>
      </c>
      <c r="V126">
        <f>IF('Calculations PJ'!V126&lt;&gt;0,'Calculations PJ'!V126*About!$B$45,0)</f>
        <v>0</v>
      </c>
      <c r="W126">
        <f>IF('Calculations PJ'!W126&lt;&gt;0,'Calculations PJ'!W126*About!$B$45,0)</f>
        <v>0</v>
      </c>
      <c r="X126">
        <f>IF('Calculations PJ'!X126&lt;&gt;0,'Calculations PJ'!X126*About!$B$45,0)</f>
        <v>0</v>
      </c>
      <c r="Y126">
        <f>IF('Calculations PJ'!Y126&lt;&gt;0,'Calculations PJ'!Y126*About!$B$45,0)</f>
        <v>0</v>
      </c>
      <c r="Z126">
        <f>IF('Calculations PJ'!Z126&lt;&gt;0,'Calculations PJ'!Z126*About!$B$45,0)</f>
        <v>0</v>
      </c>
      <c r="AA126">
        <f>IF('Calculations PJ'!AA126&lt;&gt;0,'Calculations PJ'!AA126*About!$B$45,0)</f>
        <v>0</v>
      </c>
      <c r="AB126">
        <f>IF('Calculations PJ'!AB126&lt;&gt;0,'Calculations PJ'!AB126*About!$B$45,0)</f>
        <v>0</v>
      </c>
      <c r="AC126">
        <f>IF('Calculations PJ'!AC126&lt;&gt;0,'Calculations PJ'!AC126*About!$B$45,0)</f>
        <v>0</v>
      </c>
      <c r="AD126">
        <f>IF('Calculations PJ'!AD126&lt;&gt;0,'Calculations PJ'!AD126*About!$B$45,0)</f>
        <v>0</v>
      </c>
      <c r="AE126">
        <f>IF('Calculations PJ'!AE126&lt;&gt;0,'Calculations PJ'!AE126*About!$B$45,0)</f>
        <v>0</v>
      </c>
      <c r="AF126">
        <f>IF('Calculations PJ'!AF126&lt;&gt;0,'Calculations PJ'!AF126*About!$B$45,0)</f>
        <v>0</v>
      </c>
      <c r="AG126">
        <f>IF('Calculations PJ'!AG126&lt;&gt;0,'Calculations PJ'!AG126*About!$B$45,0)</f>
        <v>0</v>
      </c>
      <c r="AH126">
        <f>IF('Calculations PJ'!AH126&lt;&gt;0,'Calculations PJ'!AH126*About!$B$45,0)</f>
        <v>0</v>
      </c>
      <c r="AI126">
        <f>IF('Calculations PJ'!AI126&lt;&gt;0,'Calculations PJ'!AI126*About!$B$45,0)</f>
        <v>0</v>
      </c>
      <c r="AJ126">
        <f>IF('Calculations PJ'!AJ126&lt;&gt;0,'Calculations PJ'!AJ126*About!$B$45,0)</f>
        <v>0</v>
      </c>
      <c r="AK126">
        <f>IF('Calculations PJ'!AK126&lt;&gt;0,'Calculations PJ'!AK126*About!$B$45,0)</f>
        <v>0</v>
      </c>
      <c r="AL126">
        <f>IF('Calculations PJ'!AL126&lt;&gt;0,'Calculations PJ'!AL126*About!$B$45,0)</f>
        <v>0</v>
      </c>
      <c r="AM126">
        <f>IF('Calculations PJ'!AM126&lt;&gt;0,'Calculations PJ'!AM126*About!$B$45,0)</f>
        <v>0</v>
      </c>
      <c r="AN126">
        <f>IF('Calculations PJ'!AN126&lt;&gt;0,'Calculations PJ'!AN126*About!$B$45,0)</f>
        <v>0</v>
      </c>
      <c r="AO126">
        <f>IF('Calculations PJ'!AO126&lt;&gt;0,'Calculations PJ'!AO126*About!$B$45,0)</f>
        <v>0</v>
      </c>
      <c r="AP126">
        <f>IF('Calculations PJ'!AP126&lt;&gt;0,'Calculations PJ'!AP126*About!$B$45,0)</f>
        <v>0</v>
      </c>
      <c r="AQ126">
        <f>IF('Calculations PJ'!AQ126&lt;&gt;0,'Calculations PJ'!AQ126*About!$B$45,0)</f>
        <v>0</v>
      </c>
      <c r="AR126">
        <f>IF('Calculations PJ'!AR126&lt;&gt;0,'Calculations PJ'!AR126*About!$B$45,0)</f>
        <v>0</v>
      </c>
      <c r="AS126">
        <f>IF('Calculations PJ'!AS126&lt;&gt;0,'Calculations PJ'!AS126*About!$B$45,0)</f>
        <v>0</v>
      </c>
      <c r="AT126">
        <f>IF('Calculations PJ'!AT126&lt;&gt;0,'Calculations PJ'!AT126*About!$B$45,0)</f>
        <v>0</v>
      </c>
      <c r="AU126">
        <f>IF('Calculations PJ'!AU126&lt;&gt;0,'Calculations PJ'!AU126*About!$B$45,0)</f>
        <v>0</v>
      </c>
      <c r="AV126">
        <f>IF('Calculations PJ'!AV126&lt;&gt;0,'Calculations PJ'!AV126*About!$B$45,0)</f>
        <v>0</v>
      </c>
      <c r="AW126">
        <f>IF('Calculations PJ'!AW126&lt;&gt;0,'Calculations PJ'!AW126*About!$B$45,0)</f>
        <v>0</v>
      </c>
      <c r="AX126">
        <f>IF('Calculations PJ'!AX126&lt;&gt;0,'Calculations PJ'!AX126*About!$B$45,0)</f>
        <v>0</v>
      </c>
      <c r="AY126">
        <f>IF('Calculations PJ'!AY126&lt;&gt;0,'Calculations PJ'!AY126*About!$B$45,0)</f>
        <v>0</v>
      </c>
      <c r="AZ126">
        <f>IF('Calculations PJ'!AZ126&lt;&gt;0,'Calculations PJ'!AZ126*About!$B$45,0)</f>
        <v>0</v>
      </c>
      <c r="BA126">
        <f>IF('Calculations PJ'!BA126&lt;&gt;0,'Calculations PJ'!BA126*About!$B$45,0)</f>
        <v>0</v>
      </c>
      <c r="BB126">
        <f>IF('Calculations PJ'!BB126&lt;&gt;0,'Calculations PJ'!BB126*About!$B$45,0)</f>
        <v>0</v>
      </c>
      <c r="BC126">
        <f>IF('Calculations PJ'!BC126&lt;&gt;0,'Calculations PJ'!BC126*About!$B$45,0)</f>
        <v>0</v>
      </c>
      <c r="BD126">
        <f>IF('Calculations PJ'!BD126&lt;&gt;0,'Calculations PJ'!BD126*About!$B$45,0)</f>
        <v>0</v>
      </c>
      <c r="BE126">
        <f>IF('Calculations PJ'!BE126&lt;&gt;0,'Calculations PJ'!BE126*About!$B$45,0)</f>
        <v>0</v>
      </c>
      <c r="BF126">
        <f>IF('Calculations PJ'!BF126&lt;&gt;0,'Calculations PJ'!BF126*About!$B$45,0)</f>
        <v>0</v>
      </c>
      <c r="BG126">
        <f>IF('Calculations PJ'!BG126&lt;&gt;0,'Calculations PJ'!BG126*About!$B$45,0)</f>
        <v>0</v>
      </c>
      <c r="BH126">
        <f>IF('Calculations PJ'!BH126&lt;&gt;0,'Calculations PJ'!BH126*About!$B$45,0)</f>
        <v>0</v>
      </c>
    </row>
    <row r="127" spans="2:60" hidden="1" outlineLevel="1">
      <c r="B127" t="s">
        <v>146</v>
      </c>
      <c r="C127">
        <f>IF('Calculations PJ'!C127&lt;&gt;0,'Calculations PJ'!C127*About!$B$45,0)</f>
        <v>0</v>
      </c>
      <c r="D127">
        <f>IF('Calculations PJ'!D127&lt;&gt;0,'Calculations PJ'!D127*About!$B$45,0)</f>
        <v>0</v>
      </c>
      <c r="E127">
        <f>IF('Calculations PJ'!E127&lt;&gt;0,'Calculations PJ'!E127*About!$B$45,0)</f>
        <v>0</v>
      </c>
      <c r="F127">
        <f>IF('Calculations PJ'!F127&lt;&gt;0,'Calculations PJ'!F127*About!$B$45,0)</f>
        <v>0</v>
      </c>
      <c r="G127">
        <f>IF('Calculations PJ'!G127&lt;&gt;0,'Calculations PJ'!G127*About!$B$45,0)</f>
        <v>0</v>
      </c>
      <c r="H127">
        <f>IF('Calculations PJ'!H127&lt;&gt;0,'Calculations PJ'!H127*About!$B$45,0)</f>
        <v>0</v>
      </c>
      <c r="I127">
        <f>IF('Calculations PJ'!I127&lt;&gt;0,'Calculations PJ'!I127*About!$B$45,0)</f>
        <v>0</v>
      </c>
      <c r="J127">
        <f>IF('Calculations PJ'!J127&lt;&gt;0,'Calculations PJ'!J127*About!$B$45,0)</f>
        <v>0</v>
      </c>
      <c r="K127">
        <f>IF('Calculations PJ'!K127&lt;&gt;0,'Calculations PJ'!K127*About!$B$45,0)</f>
        <v>0</v>
      </c>
      <c r="L127">
        <f>IF('Calculations PJ'!L127&lt;&gt;0,'Calculations PJ'!L127*About!$B$45,0)</f>
        <v>0</v>
      </c>
      <c r="M127">
        <f>IF('Calculations PJ'!M127&lt;&gt;0,'Calculations PJ'!M127*About!$B$45,0)</f>
        <v>0</v>
      </c>
      <c r="N127">
        <f>IF('Calculations PJ'!N127&lt;&gt;0,'Calculations PJ'!N127*About!$B$45,0)</f>
        <v>0</v>
      </c>
      <c r="O127">
        <f>IF('Calculations PJ'!O127&lt;&gt;0,'Calculations PJ'!O127*About!$B$45,0)</f>
        <v>0</v>
      </c>
      <c r="P127">
        <f>IF('Calculations PJ'!P127&lt;&gt;0,'Calculations PJ'!P127*About!$B$45,0)</f>
        <v>0</v>
      </c>
      <c r="Q127">
        <f>IF('Calculations PJ'!Q127&lt;&gt;0,'Calculations PJ'!Q127*About!$B$45,0)</f>
        <v>0</v>
      </c>
      <c r="R127">
        <f>IF('Calculations PJ'!R127&lt;&gt;0,'Calculations PJ'!R127*About!$B$45,0)</f>
        <v>0</v>
      </c>
      <c r="S127">
        <f>IF('Calculations PJ'!S127&lt;&gt;0,'Calculations PJ'!S127*About!$B$45,0)</f>
        <v>0</v>
      </c>
      <c r="T127">
        <f>IF('Calculations PJ'!T127&lt;&gt;0,'Calculations PJ'!T127*About!$B$45,0)</f>
        <v>0</v>
      </c>
      <c r="U127">
        <f>IF('Calculations PJ'!U127&lt;&gt;0,'Calculations PJ'!U127*About!$B$45,0)</f>
        <v>0</v>
      </c>
      <c r="V127">
        <f>IF('Calculations PJ'!V127&lt;&gt;0,'Calculations PJ'!V127*About!$B$45,0)</f>
        <v>0</v>
      </c>
      <c r="W127">
        <f>IF('Calculations PJ'!W127&lt;&gt;0,'Calculations PJ'!W127*About!$B$45,0)</f>
        <v>0</v>
      </c>
      <c r="X127">
        <f>IF('Calculations PJ'!X127&lt;&gt;0,'Calculations PJ'!X127*About!$B$45,0)</f>
        <v>0</v>
      </c>
      <c r="Y127">
        <f>IF('Calculations PJ'!Y127&lt;&gt;0,'Calculations PJ'!Y127*About!$B$45,0)</f>
        <v>0</v>
      </c>
      <c r="Z127">
        <f>IF('Calculations PJ'!Z127&lt;&gt;0,'Calculations PJ'!Z127*About!$B$45,0)</f>
        <v>0</v>
      </c>
      <c r="AA127">
        <f>IF('Calculations PJ'!AA127&lt;&gt;0,'Calculations PJ'!AA127*About!$B$45,0)</f>
        <v>0</v>
      </c>
      <c r="AB127">
        <f>IF('Calculations PJ'!AB127&lt;&gt;0,'Calculations PJ'!AB127*About!$B$45,0)</f>
        <v>0</v>
      </c>
      <c r="AC127">
        <f>IF('Calculations PJ'!AC127&lt;&gt;0,'Calculations PJ'!AC127*About!$B$45,0)</f>
        <v>0</v>
      </c>
      <c r="AD127">
        <f>IF('Calculations PJ'!AD127&lt;&gt;0,'Calculations PJ'!AD127*About!$B$45,0)</f>
        <v>0</v>
      </c>
      <c r="AE127">
        <f>IF('Calculations PJ'!AE127&lt;&gt;0,'Calculations PJ'!AE127*About!$B$45,0)</f>
        <v>0</v>
      </c>
      <c r="AF127">
        <f>IF('Calculations PJ'!AF127&lt;&gt;0,'Calculations PJ'!AF127*About!$B$45,0)</f>
        <v>0</v>
      </c>
      <c r="AG127">
        <f>IF('Calculations PJ'!AG127&lt;&gt;0,'Calculations PJ'!AG127*About!$B$45,0)</f>
        <v>0</v>
      </c>
      <c r="AH127">
        <f>IF('Calculations PJ'!AH127&lt;&gt;0,'Calculations PJ'!AH127*About!$B$45,0)</f>
        <v>0</v>
      </c>
      <c r="AI127">
        <f>IF('Calculations PJ'!AI127&lt;&gt;0,'Calculations PJ'!AI127*About!$B$45,0)</f>
        <v>0</v>
      </c>
      <c r="AJ127">
        <f>IF('Calculations PJ'!AJ127&lt;&gt;0,'Calculations PJ'!AJ127*About!$B$45,0)</f>
        <v>0</v>
      </c>
      <c r="AK127">
        <f>IF('Calculations PJ'!AK127&lt;&gt;0,'Calculations PJ'!AK127*About!$B$45,0)</f>
        <v>0</v>
      </c>
      <c r="AL127">
        <f>IF('Calculations PJ'!AL127&lt;&gt;0,'Calculations PJ'!AL127*About!$B$45,0)</f>
        <v>0</v>
      </c>
      <c r="AM127">
        <f>IF('Calculations PJ'!AM127&lt;&gt;0,'Calculations PJ'!AM127*About!$B$45,0)</f>
        <v>0</v>
      </c>
      <c r="AN127">
        <f>IF('Calculations PJ'!AN127&lt;&gt;0,'Calculations PJ'!AN127*About!$B$45,0)</f>
        <v>0</v>
      </c>
      <c r="AO127">
        <f>IF('Calculations PJ'!AO127&lt;&gt;0,'Calculations PJ'!AO127*About!$B$45,0)</f>
        <v>0</v>
      </c>
      <c r="AP127">
        <f>IF('Calculations PJ'!AP127&lt;&gt;0,'Calculations PJ'!AP127*About!$B$45,0)</f>
        <v>0</v>
      </c>
      <c r="AQ127">
        <f>IF('Calculations PJ'!AQ127&lt;&gt;0,'Calculations PJ'!AQ127*About!$B$45,0)</f>
        <v>0</v>
      </c>
      <c r="AR127">
        <f>IF('Calculations PJ'!AR127&lt;&gt;0,'Calculations PJ'!AR127*About!$B$45,0)</f>
        <v>0</v>
      </c>
      <c r="AS127">
        <f>IF('Calculations PJ'!AS127&lt;&gt;0,'Calculations PJ'!AS127*About!$B$45,0)</f>
        <v>0</v>
      </c>
      <c r="AT127">
        <f>IF('Calculations PJ'!AT127&lt;&gt;0,'Calculations PJ'!AT127*About!$B$45,0)</f>
        <v>0</v>
      </c>
      <c r="AU127">
        <f>IF('Calculations PJ'!AU127&lt;&gt;0,'Calculations PJ'!AU127*About!$B$45,0)</f>
        <v>0</v>
      </c>
      <c r="AV127">
        <f>IF('Calculations PJ'!AV127&lt;&gt;0,'Calculations PJ'!AV127*About!$B$45,0)</f>
        <v>0</v>
      </c>
      <c r="AW127">
        <f>IF('Calculations PJ'!AW127&lt;&gt;0,'Calculations PJ'!AW127*About!$B$45,0)</f>
        <v>0</v>
      </c>
      <c r="AX127">
        <f>IF('Calculations PJ'!AX127&lt;&gt;0,'Calculations PJ'!AX127*About!$B$45,0)</f>
        <v>0</v>
      </c>
      <c r="AY127">
        <f>IF('Calculations PJ'!AY127&lt;&gt;0,'Calculations PJ'!AY127*About!$B$45,0)</f>
        <v>0</v>
      </c>
      <c r="AZ127">
        <f>IF('Calculations PJ'!AZ127&lt;&gt;0,'Calculations PJ'!AZ127*About!$B$45,0)</f>
        <v>0</v>
      </c>
      <c r="BA127">
        <f>IF('Calculations PJ'!BA127&lt;&gt;0,'Calculations PJ'!BA127*About!$B$45,0)</f>
        <v>0</v>
      </c>
      <c r="BB127">
        <f>IF('Calculations PJ'!BB127&lt;&gt;0,'Calculations PJ'!BB127*About!$B$45,0)</f>
        <v>0</v>
      </c>
      <c r="BC127">
        <f>IF('Calculations PJ'!BC127&lt;&gt;0,'Calculations PJ'!BC127*About!$B$45,0)</f>
        <v>0</v>
      </c>
      <c r="BD127">
        <f>IF('Calculations PJ'!BD127&lt;&gt;0,'Calculations PJ'!BD127*About!$B$45,0)</f>
        <v>0</v>
      </c>
      <c r="BE127">
        <f>IF('Calculations PJ'!BE127&lt;&gt;0,'Calculations PJ'!BE127*About!$B$45,0)</f>
        <v>0</v>
      </c>
      <c r="BF127">
        <f>IF('Calculations PJ'!BF127&lt;&gt;0,'Calculations PJ'!BF127*About!$B$45,0)</f>
        <v>0</v>
      </c>
      <c r="BG127">
        <f>IF('Calculations PJ'!BG127&lt;&gt;0,'Calculations PJ'!BG127*About!$B$45,0)</f>
        <v>0</v>
      </c>
      <c r="BH127">
        <f>IF('Calculations PJ'!BH127&lt;&gt;0,'Calculations PJ'!BH127*About!$B$45,0)</f>
        <v>0</v>
      </c>
    </row>
    <row r="128" spans="2:60" hidden="1" outlineLevel="1">
      <c r="B128" t="s">
        <v>147</v>
      </c>
      <c r="C128">
        <f>IF('Calculations PJ'!C128&lt;&gt;0,'Calculations PJ'!C128*About!$B$45,0)</f>
        <v>360189512471.39734</v>
      </c>
      <c r="D128">
        <f>IF('Calculations PJ'!D128&lt;&gt;0,'Calculations PJ'!D128*About!$B$45,0)</f>
        <v>398104197994.70227</v>
      </c>
      <c r="E128">
        <f>IF('Calculations PJ'!E128&lt;&gt;0,'Calculations PJ'!E128*About!$B$45,0)</f>
        <v>473933569041.31226</v>
      </c>
      <c r="F128">
        <f>IF('Calculations PJ'!F128&lt;&gt;0,'Calculations PJ'!F128*About!$B$45,0)</f>
        <v>530805597326.26978</v>
      </c>
      <c r="G128">
        <f>IF('Calculations PJ'!G128&lt;&gt;0,'Calculations PJ'!G128*About!$B$45,0)</f>
        <v>568720282849.57471</v>
      </c>
      <c r="H128">
        <f>IF('Calculations PJ'!H128&lt;&gt;0,'Calculations PJ'!H128*About!$B$45,0)</f>
        <v>635070982515.35852</v>
      </c>
      <c r="I128">
        <f>IF('Calculations PJ'!I128&lt;&gt;0,'Calculations PJ'!I128*About!$B$45,0)</f>
        <v>701421682181.14209</v>
      </c>
      <c r="J128">
        <f>IF('Calculations PJ'!J128&lt;&gt;0,'Calculations PJ'!J128*About!$B$45,0)</f>
        <v>1232227279507.4119</v>
      </c>
      <c r="K128">
        <f>IF('Calculations PJ'!K128&lt;&gt;0,'Calculations PJ'!K128*About!$B$45,0)</f>
        <v>2028435675496.8167</v>
      </c>
      <c r="L128">
        <f>IF('Calculations PJ'!L128&lt;&gt;0,'Calculations PJ'!L128*About!$B$45,0)</f>
        <v>2274881131398.2988</v>
      </c>
      <c r="M128">
        <f>IF('Calculations PJ'!M128&lt;&gt;0,'Calculations PJ'!M128*About!$B$45,0)</f>
        <v>2331753159683.2563</v>
      </c>
      <c r="N128">
        <f>IF('Calculations PJ'!N128&lt;&gt;0,'Calculations PJ'!N128*About!$B$45,0)</f>
        <v>2398103859349.04</v>
      </c>
      <c r="O128">
        <f>IF('Calculations PJ'!O128&lt;&gt;0,'Calculations PJ'!O128*About!$B$45,0)</f>
        <v>2454975887633.9976</v>
      </c>
      <c r="P128">
        <f>IF('Calculations PJ'!P128&lt;&gt;0,'Calculations PJ'!P128*About!$B$45,0)</f>
        <v>2511847915918.9551</v>
      </c>
      <c r="Q128">
        <f>IF('Calculations PJ'!Q128&lt;&gt;0,'Calculations PJ'!Q128*About!$B$45,0)</f>
        <v>2578198615584.7388</v>
      </c>
      <c r="R128">
        <f>IF('Calculations PJ'!R128&lt;&gt;0,'Calculations PJ'!R128*About!$B$45,0)</f>
        <v>2635070643869.6958</v>
      </c>
      <c r="S128">
        <f>IF('Calculations PJ'!S128&lt;&gt;0,'Calculations PJ'!S128*About!$B$45,0)</f>
        <v>2691942672154.6533</v>
      </c>
      <c r="T128">
        <f>IF('Calculations PJ'!T128&lt;&gt;0,'Calculations PJ'!T128*About!$B$45,0)</f>
        <v>2758293371820.4375</v>
      </c>
      <c r="U128">
        <f>IF('Calculations PJ'!U128&lt;&gt;0,'Calculations PJ'!U128*About!$B$45,0)</f>
        <v>2815165400105.395</v>
      </c>
      <c r="V128">
        <f>IF('Calculations PJ'!V128&lt;&gt;0,'Calculations PJ'!V128*About!$B$45,0)</f>
        <v>2872037428390.3521</v>
      </c>
      <c r="W128">
        <f>IF('Calculations PJ'!W128&lt;&gt;0,'Calculations PJ'!W128*About!$B$45,0)</f>
        <v>2938388128056.1362</v>
      </c>
      <c r="X128">
        <f>IF('Calculations PJ'!X128&lt;&gt;0,'Calculations PJ'!X128*About!$B$45,0)</f>
        <v>2995260156341.0938</v>
      </c>
      <c r="Y128">
        <f>IF('Calculations PJ'!Y128&lt;&gt;0,'Calculations PJ'!Y128*About!$B$45,0)</f>
        <v>3052132184626.0513</v>
      </c>
      <c r="Z128">
        <f>IF('Calculations PJ'!Z128&lt;&gt;0,'Calculations PJ'!Z128*About!$B$45,0)</f>
        <v>3118482884291.8345</v>
      </c>
      <c r="AA128">
        <f>IF('Calculations PJ'!AA128&lt;&gt;0,'Calculations PJ'!AA128*About!$B$45,0)</f>
        <v>3175354912576.792</v>
      </c>
      <c r="AB128">
        <f>IF('Calculations PJ'!AB128&lt;&gt;0,'Calculations PJ'!AB128*About!$B$45,0)</f>
        <v>3232226940861.7495</v>
      </c>
      <c r="AC128">
        <f>IF('Calculations PJ'!AC128&lt;&gt;0,'Calculations PJ'!AC128*About!$B$45,0)</f>
        <v>3298577640527.5332</v>
      </c>
      <c r="AD128">
        <f>IF('Calculations PJ'!AD128&lt;&gt;0,'Calculations PJ'!AD128*About!$B$45,0)</f>
        <v>3355449668812.4907</v>
      </c>
      <c r="AE128">
        <f>IF('Calculations PJ'!AE128&lt;&gt;0,'Calculations PJ'!AE128*About!$B$45,0)</f>
        <v>3412321697097.4482</v>
      </c>
      <c r="AF128">
        <f>IF('Calculations PJ'!AF128&lt;&gt;0,'Calculations PJ'!AF128*About!$B$45,0)</f>
        <v>3478672396763.2319</v>
      </c>
      <c r="AG128">
        <f>IF('Calculations PJ'!AG128&lt;&gt;0,'Calculations PJ'!AG128*About!$B$45,0)</f>
        <v>3535544425048.1895</v>
      </c>
      <c r="AH128">
        <f>IF('Calculations PJ'!AH128&lt;&gt;0,'Calculations PJ'!AH128*About!$B$45,0)</f>
        <v>3592416453333.147</v>
      </c>
      <c r="AI128">
        <f>IF('Calculations PJ'!AI128&lt;&gt;0,'Calculations PJ'!AI128*About!$B$45,0)</f>
        <v>3649288481618.1045</v>
      </c>
      <c r="AJ128">
        <f>IF('Calculations PJ'!AJ128&lt;&gt;0,'Calculations PJ'!AJ128*About!$B$45,0)</f>
        <v>3715639181283.8882</v>
      </c>
      <c r="AK128">
        <f>IF('Calculations PJ'!AK128&lt;&gt;0,'Calculations PJ'!AK128*About!$B$45,0)</f>
        <v>3772511209568.8457</v>
      </c>
      <c r="AL128">
        <f>IF('Calculations PJ'!AL128&lt;&gt;0,'Calculations PJ'!AL128*About!$B$45,0)</f>
        <v>3829383237853.8032</v>
      </c>
      <c r="AM128">
        <f>IF('Calculations PJ'!AM128&lt;&gt;0,'Calculations PJ'!AM128*About!$B$45,0)</f>
        <v>3895733937519.5869</v>
      </c>
      <c r="AN128">
        <f>IF('Calculations PJ'!AN128&lt;&gt;0,'Calculations PJ'!AN128*About!$B$45,0)</f>
        <v>3952605965804.5439</v>
      </c>
      <c r="AO128">
        <f>IF('Calculations PJ'!AO128&lt;&gt;0,'Calculations PJ'!AO128*About!$B$45,0)</f>
        <v>3952605965804.5439</v>
      </c>
      <c r="AP128">
        <f>IF('Calculations PJ'!AP128&lt;&gt;0,'Calculations PJ'!AP128*About!$B$45,0)</f>
        <v>3952605965804.5439</v>
      </c>
      <c r="AQ128">
        <f>IF('Calculations PJ'!AQ128&lt;&gt;0,'Calculations PJ'!AQ128*About!$B$45,0)</f>
        <v>3952605965804.5439</v>
      </c>
      <c r="AR128">
        <f>IF('Calculations PJ'!AR128&lt;&gt;0,'Calculations PJ'!AR128*About!$B$45,0)</f>
        <v>3952605965804.5439</v>
      </c>
      <c r="AS128">
        <f>IF('Calculations PJ'!AS128&lt;&gt;0,'Calculations PJ'!AS128*About!$B$45,0)</f>
        <v>3952605965804.5439</v>
      </c>
      <c r="AT128">
        <f>IF('Calculations PJ'!AT128&lt;&gt;0,'Calculations PJ'!AT128*About!$B$45,0)</f>
        <v>3952605965804.5439</v>
      </c>
      <c r="AU128">
        <f>IF('Calculations PJ'!AU128&lt;&gt;0,'Calculations PJ'!AU128*About!$B$45,0)</f>
        <v>3952605965804.5439</v>
      </c>
      <c r="AV128">
        <f>IF('Calculations PJ'!AV128&lt;&gt;0,'Calculations PJ'!AV128*About!$B$45,0)</f>
        <v>3952605965804.5439</v>
      </c>
      <c r="AW128">
        <f>IF('Calculations PJ'!AW128&lt;&gt;0,'Calculations PJ'!AW128*About!$B$45,0)</f>
        <v>3952605965804.5439</v>
      </c>
      <c r="AX128">
        <f>IF('Calculations PJ'!AX128&lt;&gt;0,'Calculations PJ'!AX128*About!$B$45,0)</f>
        <v>3952605965804.5439</v>
      </c>
      <c r="AY128">
        <f>IF('Calculations PJ'!AY128&lt;&gt;0,'Calculations PJ'!AY128*About!$B$45,0)</f>
        <v>3952605965804.5439</v>
      </c>
      <c r="AZ128">
        <f>IF('Calculations PJ'!AZ128&lt;&gt;0,'Calculations PJ'!AZ128*About!$B$45,0)</f>
        <v>3952605965804.5439</v>
      </c>
      <c r="BA128">
        <f>IF('Calculations PJ'!BA128&lt;&gt;0,'Calculations PJ'!BA128*About!$B$45,0)</f>
        <v>3952605965804.5439</v>
      </c>
      <c r="BB128">
        <f>IF('Calculations PJ'!BB128&lt;&gt;0,'Calculations PJ'!BB128*About!$B$45,0)</f>
        <v>3952605965804.5439</v>
      </c>
      <c r="BC128">
        <f>IF('Calculations PJ'!BC128&lt;&gt;0,'Calculations PJ'!BC128*About!$B$45,0)</f>
        <v>3952605965804.5439</v>
      </c>
      <c r="BD128">
        <f>IF('Calculations PJ'!BD128&lt;&gt;0,'Calculations PJ'!BD128*About!$B$45,0)</f>
        <v>3952605965804.5439</v>
      </c>
      <c r="BE128">
        <f>IF('Calculations PJ'!BE128&lt;&gt;0,'Calculations PJ'!BE128*About!$B$45,0)</f>
        <v>3952605965804.5439</v>
      </c>
      <c r="BF128">
        <f>IF('Calculations PJ'!BF128&lt;&gt;0,'Calculations PJ'!BF128*About!$B$45,0)</f>
        <v>3952605965804.5439</v>
      </c>
      <c r="BG128">
        <f>IF('Calculations PJ'!BG128&lt;&gt;0,'Calculations PJ'!BG128*About!$B$45,0)</f>
        <v>3952605965804.5439</v>
      </c>
      <c r="BH128">
        <f>IF('Calculations PJ'!BH128&lt;&gt;0,'Calculations PJ'!BH128*About!$B$45,0)</f>
        <v>3952605965804.5439</v>
      </c>
    </row>
    <row r="129" spans="1:60" hidden="1" outlineLevel="1">
      <c r="B129" t="s">
        <v>148</v>
      </c>
      <c r="C129">
        <f>IF('Calculations PJ'!C129&lt;&gt;0,'Calculations PJ'!C129*About!$B$45,0)</f>
        <v>0</v>
      </c>
      <c r="D129">
        <f>IF('Calculations PJ'!D129&lt;&gt;0,'Calculations PJ'!D129*About!$B$45,0)</f>
        <v>0</v>
      </c>
      <c r="E129">
        <f>IF('Calculations PJ'!E129&lt;&gt;0,'Calculations PJ'!E129*About!$B$45,0)</f>
        <v>0</v>
      </c>
      <c r="F129">
        <f>IF('Calculations PJ'!F129&lt;&gt;0,'Calculations PJ'!F129*About!$B$45,0)</f>
        <v>0</v>
      </c>
      <c r="G129">
        <f>IF('Calculations PJ'!G129&lt;&gt;0,'Calculations PJ'!G129*About!$B$45,0)</f>
        <v>0</v>
      </c>
      <c r="H129">
        <f>IF('Calculations PJ'!H129&lt;&gt;0,'Calculations PJ'!H129*About!$B$45,0)</f>
        <v>0</v>
      </c>
      <c r="I129">
        <f>IF('Calculations PJ'!I129&lt;&gt;0,'Calculations PJ'!I129*About!$B$45,0)</f>
        <v>0</v>
      </c>
      <c r="J129">
        <f>IF('Calculations PJ'!J129&lt;&gt;0,'Calculations PJ'!J129*About!$B$45,0)</f>
        <v>0</v>
      </c>
      <c r="K129">
        <f>IF('Calculations PJ'!K129&lt;&gt;0,'Calculations PJ'!K129*About!$B$45,0)</f>
        <v>0</v>
      </c>
      <c r="L129">
        <f>IF('Calculations PJ'!L129&lt;&gt;0,'Calculations PJ'!L129*About!$B$45,0)</f>
        <v>0</v>
      </c>
      <c r="M129">
        <f>IF('Calculations PJ'!M129&lt;&gt;0,'Calculations PJ'!M129*About!$B$45,0)</f>
        <v>0</v>
      </c>
      <c r="N129">
        <f>IF('Calculations PJ'!N129&lt;&gt;0,'Calculations PJ'!N129*About!$B$45,0)</f>
        <v>0</v>
      </c>
      <c r="O129">
        <f>IF('Calculations PJ'!O129&lt;&gt;0,'Calculations PJ'!O129*About!$B$45,0)</f>
        <v>0</v>
      </c>
      <c r="P129">
        <f>IF('Calculations PJ'!P129&lt;&gt;0,'Calculations PJ'!P129*About!$B$45,0)</f>
        <v>0</v>
      </c>
      <c r="Q129">
        <f>IF('Calculations PJ'!Q129&lt;&gt;0,'Calculations PJ'!Q129*About!$B$45,0)</f>
        <v>0</v>
      </c>
      <c r="R129">
        <f>IF('Calculations PJ'!R129&lt;&gt;0,'Calculations PJ'!R129*About!$B$45,0)</f>
        <v>0</v>
      </c>
      <c r="S129">
        <f>IF('Calculations PJ'!S129&lt;&gt;0,'Calculations PJ'!S129*About!$B$45,0)</f>
        <v>0</v>
      </c>
      <c r="T129">
        <f>IF('Calculations PJ'!T129&lt;&gt;0,'Calculations PJ'!T129*About!$B$45,0)</f>
        <v>0</v>
      </c>
      <c r="U129">
        <f>IF('Calculations PJ'!U129&lt;&gt;0,'Calculations PJ'!U129*About!$B$45,0)</f>
        <v>0</v>
      </c>
      <c r="V129">
        <f>IF('Calculations PJ'!V129&lt;&gt;0,'Calculations PJ'!V129*About!$B$45,0)</f>
        <v>0</v>
      </c>
      <c r="W129">
        <f>IF('Calculations PJ'!W129&lt;&gt;0,'Calculations PJ'!W129*About!$B$45,0)</f>
        <v>0</v>
      </c>
      <c r="X129">
        <f>IF('Calculations PJ'!X129&lt;&gt;0,'Calculations PJ'!X129*About!$B$45,0)</f>
        <v>0</v>
      </c>
      <c r="Y129">
        <f>IF('Calculations PJ'!Y129&lt;&gt;0,'Calculations PJ'!Y129*About!$B$45,0)</f>
        <v>0</v>
      </c>
      <c r="Z129">
        <f>IF('Calculations PJ'!Z129&lt;&gt;0,'Calculations PJ'!Z129*About!$B$45,0)</f>
        <v>0</v>
      </c>
      <c r="AA129">
        <f>IF('Calculations PJ'!AA129&lt;&gt;0,'Calculations PJ'!AA129*About!$B$45,0)</f>
        <v>0</v>
      </c>
      <c r="AB129">
        <f>IF('Calculations PJ'!AB129&lt;&gt;0,'Calculations PJ'!AB129*About!$B$45,0)</f>
        <v>0</v>
      </c>
      <c r="AC129">
        <f>IF('Calculations PJ'!AC129&lt;&gt;0,'Calculations PJ'!AC129*About!$B$45,0)</f>
        <v>0</v>
      </c>
      <c r="AD129">
        <f>IF('Calculations PJ'!AD129&lt;&gt;0,'Calculations PJ'!AD129*About!$B$45,0)</f>
        <v>0</v>
      </c>
      <c r="AE129">
        <f>IF('Calculations PJ'!AE129&lt;&gt;0,'Calculations PJ'!AE129*About!$B$45,0)</f>
        <v>0</v>
      </c>
      <c r="AF129">
        <f>IF('Calculations PJ'!AF129&lt;&gt;0,'Calculations PJ'!AF129*About!$B$45,0)</f>
        <v>0</v>
      </c>
      <c r="AG129">
        <f>IF('Calculations PJ'!AG129&lt;&gt;0,'Calculations PJ'!AG129*About!$B$45,0)</f>
        <v>0</v>
      </c>
      <c r="AH129">
        <f>IF('Calculations PJ'!AH129&lt;&gt;0,'Calculations PJ'!AH129*About!$B$45,0)</f>
        <v>0</v>
      </c>
      <c r="AI129">
        <f>IF('Calculations PJ'!AI129&lt;&gt;0,'Calculations PJ'!AI129*About!$B$45,0)</f>
        <v>0</v>
      </c>
      <c r="AJ129">
        <f>IF('Calculations PJ'!AJ129&lt;&gt;0,'Calculations PJ'!AJ129*About!$B$45,0)</f>
        <v>0</v>
      </c>
      <c r="AK129">
        <f>IF('Calculations PJ'!AK129&lt;&gt;0,'Calculations PJ'!AK129*About!$B$45,0)</f>
        <v>0</v>
      </c>
      <c r="AL129">
        <f>IF('Calculations PJ'!AL129&lt;&gt;0,'Calculations PJ'!AL129*About!$B$45,0)</f>
        <v>0</v>
      </c>
      <c r="AM129">
        <f>IF('Calculations PJ'!AM129&lt;&gt;0,'Calculations PJ'!AM129*About!$B$45,0)</f>
        <v>0</v>
      </c>
      <c r="AN129">
        <f>IF('Calculations PJ'!AN129&lt;&gt;0,'Calculations PJ'!AN129*About!$B$45,0)</f>
        <v>0</v>
      </c>
      <c r="AO129">
        <f>IF('Calculations PJ'!AO129&lt;&gt;0,'Calculations PJ'!AO129*About!$B$45,0)</f>
        <v>0</v>
      </c>
      <c r="AP129">
        <f>IF('Calculations PJ'!AP129&lt;&gt;0,'Calculations PJ'!AP129*About!$B$45,0)</f>
        <v>0</v>
      </c>
      <c r="AQ129">
        <f>IF('Calculations PJ'!AQ129&lt;&gt;0,'Calculations PJ'!AQ129*About!$B$45,0)</f>
        <v>0</v>
      </c>
      <c r="AR129">
        <f>IF('Calculations PJ'!AR129&lt;&gt;0,'Calculations PJ'!AR129*About!$B$45,0)</f>
        <v>0</v>
      </c>
      <c r="AS129">
        <f>IF('Calculations PJ'!AS129&lt;&gt;0,'Calculations PJ'!AS129*About!$B$45,0)</f>
        <v>0</v>
      </c>
      <c r="AT129">
        <f>IF('Calculations PJ'!AT129&lt;&gt;0,'Calculations PJ'!AT129*About!$B$45,0)</f>
        <v>0</v>
      </c>
      <c r="AU129">
        <f>IF('Calculations PJ'!AU129&lt;&gt;0,'Calculations PJ'!AU129*About!$B$45,0)</f>
        <v>0</v>
      </c>
      <c r="AV129">
        <f>IF('Calculations PJ'!AV129&lt;&gt;0,'Calculations PJ'!AV129*About!$B$45,0)</f>
        <v>0</v>
      </c>
      <c r="AW129">
        <f>IF('Calculations PJ'!AW129&lt;&gt;0,'Calculations PJ'!AW129*About!$B$45,0)</f>
        <v>0</v>
      </c>
      <c r="AX129">
        <f>IF('Calculations PJ'!AX129&lt;&gt;0,'Calculations PJ'!AX129*About!$B$45,0)</f>
        <v>0</v>
      </c>
      <c r="AY129">
        <f>IF('Calculations PJ'!AY129&lt;&gt;0,'Calculations PJ'!AY129*About!$B$45,0)</f>
        <v>0</v>
      </c>
      <c r="AZ129">
        <f>IF('Calculations PJ'!AZ129&lt;&gt;0,'Calculations PJ'!AZ129*About!$B$45,0)</f>
        <v>0</v>
      </c>
      <c r="BA129">
        <f>IF('Calculations PJ'!BA129&lt;&gt;0,'Calculations PJ'!BA129*About!$B$45,0)</f>
        <v>0</v>
      </c>
      <c r="BB129">
        <f>IF('Calculations PJ'!BB129&lt;&gt;0,'Calculations PJ'!BB129*About!$B$45,0)</f>
        <v>0</v>
      </c>
      <c r="BC129">
        <f>IF('Calculations PJ'!BC129&lt;&gt;0,'Calculations PJ'!BC129*About!$B$45,0)</f>
        <v>0</v>
      </c>
      <c r="BD129">
        <f>IF('Calculations PJ'!BD129&lt;&gt;0,'Calculations PJ'!BD129*About!$B$45,0)</f>
        <v>0</v>
      </c>
      <c r="BE129">
        <f>IF('Calculations PJ'!BE129&lt;&gt;0,'Calculations PJ'!BE129*About!$B$45,0)</f>
        <v>0</v>
      </c>
      <c r="BF129">
        <f>IF('Calculations PJ'!BF129&lt;&gt;0,'Calculations PJ'!BF129*About!$B$45,0)</f>
        <v>0</v>
      </c>
      <c r="BG129">
        <f>IF('Calculations PJ'!BG129&lt;&gt;0,'Calculations PJ'!BG129*About!$B$45,0)</f>
        <v>0</v>
      </c>
      <c r="BH129">
        <f>IF('Calculations PJ'!BH129&lt;&gt;0,'Calculations PJ'!BH129*About!$B$45,0)</f>
        <v>0</v>
      </c>
    </row>
    <row r="130" spans="1:60" hidden="1" outlineLevel="1">
      <c r="B130" t="s">
        <v>149</v>
      </c>
      <c r="C130">
        <f>IF('Calculations PJ'!C130&lt;&gt;0,'Calculations PJ'!C130*About!$B$45,0)</f>
        <v>0</v>
      </c>
      <c r="D130">
        <f>IF('Calculations PJ'!D130&lt;&gt;0,'Calculations PJ'!D130*About!$B$45,0)</f>
        <v>0</v>
      </c>
      <c r="E130">
        <f>IF('Calculations PJ'!E130&lt;&gt;0,'Calculations PJ'!E130*About!$B$45,0)</f>
        <v>0</v>
      </c>
      <c r="F130">
        <f>IF('Calculations PJ'!F130&lt;&gt;0,'Calculations PJ'!F130*About!$B$45,0)</f>
        <v>0</v>
      </c>
      <c r="G130">
        <f>IF('Calculations PJ'!G130&lt;&gt;0,'Calculations PJ'!G130*About!$B$45,0)</f>
        <v>0</v>
      </c>
      <c r="H130">
        <f>IF('Calculations PJ'!H130&lt;&gt;0,'Calculations PJ'!H130*About!$B$45,0)</f>
        <v>0</v>
      </c>
      <c r="I130">
        <f>IF('Calculations PJ'!I130&lt;&gt;0,'Calculations PJ'!I130*About!$B$45,0)</f>
        <v>0</v>
      </c>
      <c r="J130">
        <f>IF('Calculations PJ'!J130&lt;&gt;0,'Calculations PJ'!J130*About!$B$45,0)</f>
        <v>0</v>
      </c>
      <c r="K130">
        <f>IF('Calculations PJ'!K130&lt;&gt;0,'Calculations PJ'!K130*About!$B$45,0)</f>
        <v>0</v>
      </c>
      <c r="L130">
        <f>IF('Calculations PJ'!L130&lt;&gt;0,'Calculations PJ'!L130*About!$B$45,0)</f>
        <v>0</v>
      </c>
      <c r="M130">
        <f>IF('Calculations PJ'!M130&lt;&gt;0,'Calculations PJ'!M130*About!$B$45,0)</f>
        <v>0</v>
      </c>
      <c r="N130">
        <f>IF('Calculations PJ'!N130&lt;&gt;0,'Calculations PJ'!N130*About!$B$45,0)</f>
        <v>0</v>
      </c>
      <c r="O130">
        <f>IF('Calculations PJ'!O130&lt;&gt;0,'Calculations PJ'!O130*About!$B$45,0)</f>
        <v>0</v>
      </c>
      <c r="P130">
        <f>IF('Calculations PJ'!P130&lt;&gt;0,'Calculations PJ'!P130*About!$B$45,0)</f>
        <v>0</v>
      </c>
      <c r="Q130">
        <f>IF('Calculations PJ'!Q130&lt;&gt;0,'Calculations PJ'!Q130*About!$B$45,0)</f>
        <v>0</v>
      </c>
      <c r="R130">
        <f>IF('Calculations PJ'!R130&lt;&gt;0,'Calculations PJ'!R130*About!$B$45,0)</f>
        <v>0</v>
      </c>
      <c r="S130">
        <f>IF('Calculations PJ'!S130&lt;&gt;0,'Calculations PJ'!S130*About!$B$45,0)</f>
        <v>0</v>
      </c>
      <c r="T130">
        <f>IF('Calculations PJ'!T130&lt;&gt;0,'Calculations PJ'!T130*About!$B$45,0)</f>
        <v>0</v>
      </c>
      <c r="U130">
        <f>IF('Calculations PJ'!U130&lt;&gt;0,'Calculations PJ'!U130*About!$B$45,0)</f>
        <v>0</v>
      </c>
      <c r="V130">
        <f>IF('Calculations PJ'!V130&lt;&gt;0,'Calculations PJ'!V130*About!$B$45,0)</f>
        <v>0</v>
      </c>
      <c r="W130">
        <f>IF('Calculations PJ'!W130&lt;&gt;0,'Calculations PJ'!W130*About!$B$45,0)</f>
        <v>0</v>
      </c>
      <c r="X130">
        <f>IF('Calculations PJ'!X130&lt;&gt;0,'Calculations PJ'!X130*About!$B$45,0)</f>
        <v>0</v>
      </c>
      <c r="Y130">
        <f>IF('Calculations PJ'!Y130&lt;&gt;0,'Calculations PJ'!Y130*About!$B$45,0)</f>
        <v>0</v>
      </c>
      <c r="Z130">
        <f>IF('Calculations PJ'!Z130&lt;&gt;0,'Calculations PJ'!Z130*About!$B$45,0)</f>
        <v>0</v>
      </c>
      <c r="AA130">
        <f>IF('Calculations PJ'!AA130&lt;&gt;0,'Calculations PJ'!AA130*About!$B$45,0)</f>
        <v>0</v>
      </c>
      <c r="AB130">
        <f>IF('Calculations PJ'!AB130&lt;&gt;0,'Calculations PJ'!AB130*About!$B$45,0)</f>
        <v>0</v>
      </c>
      <c r="AC130">
        <f>IF('Calculations PJ'!AC130&lt;&gt;0,'Calculations PJ'!AC130*About!$B$45,0)</f>
        <v>0</v>
      </c>
      <c r="AD130">
        <f>IF('Calculations PJ'!AD130&lt;&gt;0,'Calculations PJ'!AD130*About!$B$45,0)</f>
        <v>0</v>
      </c>
      <c r="AE130">
        <f>IF('Calculations PJ'!AE130&lt;&gt;0,'Calculations PJ'!AE130*About!$B$45,0)</f>
        <v>0</v>
      </c>
      <c r="AF130">
        <f>IF('Calculations PJ'!AF130&lt;&gt;0,'Calculations PJ'!AF130*About!$B$45,0)</f>
        <v>0</v>
      </c>
      <c r="AG130">
        <f>IF('Calculations PJ'!AG130&lt;&gt;0,'Calculations PJ'!AG130*About!$B$45,0)</f>
        <v>0</v>
      </c>
      <c r="AH130">
        <f>IF('Calculations PJ'!AH130&lt;&gt;0,'Calculations PJ'!AH130*About!$B$45,0)</f>
        <v>0</v>
      </c>
      <c r="AI130">
        <f>IF('Calculations PJ'!AI130&lt;&gt;0,'Calculations PJ'!AI130*About!$B$45,0)</f>
        <v>0</v>
      </c>
      <c r="AJ130">
        <f>IF('Calculations PJ'!AJ130&lt;&gt;0,'Calculations PJ'!AJ130*About!$B$45,0)</f>
        <v>0</v>
      </c>
      <c r="AK130">
        <f>IF('Calculations PJ'!AK130&lt;&gt;0,'Calculations PJ'!AK130*About!$B$45,0)</f>
        <v>0</v>
      </c>
      <c r="AL130">
        <f>IF('Calculations PJ'!AL130&lt;&gt;0,'Calculations PJ'!AL130*About!$B$45,0)</f>
        <v>0</v>
      </c>
      <c r="AM130">
        <f>IF('Calculations PJ'!AM130&lt;&gt;0,'Calculations PJ'!AM130*About!$B$45,0)</f>
        <v>0</v>
      </c>
      <c r="AN130">
        <f>IF('Calculations PJ'!AN130&lt;&gt;0,'Calculations PJ'!AN130*About!$B$45,0)</f>
        <v>0</v>
      </c>
      <c r="AO130">
        <f>IF('Calculations PJ'!AO130&lt;&gt;0,'Calculations PJ'!AO130*About!$B$45,0)</f>
        <v>0</v>
      </c>
      <c r="AP130">
        <f>IF('Calculations PJ'!AP130&lt;&gt;0,'Calculations PJ'!AP130*About!$B$45,0)</f>
        <v>0</v>
      </c>
      <c r="AQ130">
        <f>IF('Calculations PJ'!AQ130&lt;&gt;0,'Calculations PJ'!AQ130*About!$B$45,0)</f>
        <v>0</v>
      </c>
      <c r="AR130">
        <f>IF('Calculations PJ'!AR130&lt;&gt;0,'Calculations PJ'!AR130*About!$B$45,0)</f>
        <v>0</v>
      </c>
      <c r="AS130">
        <f>IF('Calculations PJ'!AS130&lt;&gt;0,'Calculations PJ'!AS130*About!$B$45,0)</f>
        <v>0</v>
      </c>
      <c r="AT130">
        <f>IF('Calculations PJ'!AT130&lt;&gt;0,'Calculations PJ'!AT130*About!$B$45,0)</f>
        <v>0</v>
      </c>
      <c r="AU130">
        <f>IF('Calculations PJ'!AU130&lt;&gt;0,'Calculations PJ'!AU130*About!$B$45,0)</f>
        <v>0</v>
      </c>
      <c r="AV130">
        <f>IF('Calculations PJ'!AV130&lt;&gt;0,'Calculations PJ'!AV130*About!$B$45,0)</f>
        <v>0</v>
      </c>
      <c r="AW130">
        <f>IF('Calculations PJ'!AW130&lt;&gt;0,'Calculations PJ'!AW130*About!$B$45,0)</f>
        <v>0</v>
      </c>
      <c r="AX130">
        <f>IF('Calculations PJ'!AX130&lt;&gt;0,'Calculations PJ'!AX130*About!$B$45,0)</f>
        <v>0</v>
      </c>
      <c r="AY130">
        <f>IF('Calculations PJ'!AY130&lt;&gt;0,'Calculations PJ'!AY130*About!$B$45,0)</f>
        <v>0</v>
      </c>
      <c r="AZ130">
        <f>IF('Calculations PJ'!AZ130&lt;&gt;0,'Calculations PJ'!AZ130*About!$B$45,0)</f>
        <v>0</v>
      </c>
      <c r="BA130">
        <f>IF('Calculations PJ'!BA130&lt;&gt;0,'Calculations PJ'!BA130*About!$B$45,0)</f>
        <v>0</v>
      </c>
      <c r="BB130">
        <f>IF('Calculations PJ'!BB130&lt;&gt;0,'Calculations PJ'!BB130*About!$B$45,0)</f>
        <v>0</v>
      </c>
      <c r="BC130">
        <f>IF('Calculations PJ'!BC130&lt;&gt;0,'Calculations PJ'!BC130*About!$B$45,0)</f>
        <v>0</v>
      </c>
      <c r="BD130">
        <f>IF('Calculations PJ'!BD130&lt;&gt;0,'Calculations PJ'!BD130*About!$B$45,0)</f>
        <v>0</v>
      </c>
      <c r="BE130">
        <f>IF('Calculations PJ'!BE130&lt;&gt;0,'Calculations PJ'!BE130*About!$B$45,0)</f>
        <v>0</v>
      </c>
      <c r="BF130">
        <f>IF('Calculations PJ'!BF130&lt;&gt;0,'Calculations PJ'!BF130*About!$B$45,0)</f>
        <v>0</v>
      </c>
      <c r="BG130">
        <f>IF('Calculations PJ'!BG130&lt;&gt;0,'Calculations PJ'!BG130*About!$B$45,0)</f>
        <v>0</v>
      </c>
      <c r="BH130">
        <f>IF('Calculations PJ'!BH130&lt;&gt;0,'Calculations PJ'!BH130*About!$B$45,0)</f>
        <v>0</v>
      </c>
    </row>
    <row r="131" spans="1:60" hidden="1" outlineLevel="1">
      <c r="B131" t="s">
        <v>150</v>
      </c>
      <c r="C131">
        <f>IF('Calculations PJ'!C131&lt;&gt;0,'Calculations PJ'!C131*About!$B$45,0)</f>
        <v>0</v>
      </c>
      <c r="D131">
        <f>IF('Calculations PJ'!D131&lt;&gt;0,'Calculations PJ'!D131*About!$B$45,0)</f>
        <v>0</v>
      </c>
      <c r="E131">
        <f>IF('Calculations PJ'!E131&lt;&gt;0,'Calculations PJ'!E131*About!$B$45,0)</f>
        <v>0</v>
      </c>
      <c r="F131">
        <f>IF('Calculations PJ'!F131&lt;&gt;0,'Calculations PJ'!F131*About!$B$45,0)</f>
        <v>0</v>
      </c>
      <c r="G131">
        <f>IF('Calculations PJ'!G131&lt;&gt;0,'Calculations PJ'!G131*About!$B$45,0)</f>
        <v>0</v>
      </c>
      <c r="H131">
        <f>IF('Calculations PJ'!H131&lt;&gt;0,'Calculations PJ'!H131*About!$B$45,0)</f>
        <v>0</v>
      </c>
      <c r="I131">
        <f>IF('Calculations PJ'!I131&lt;&gt;0,'Calculations PJ'!I131*About!$B$45,0)</f>
        <v>0</v>
      </c>
      <c r="J131">
        <f>IF('Calculations PJ'!J131&lt;&gt;0,'Calculations PJ'!J131*About!$B$45,0)</f>
        <v>0</v>
      </c>
      <c r="K131">
        <f>IF('Calculations PJ'!K131&lt;&gt;0,'Calculations PJ'!K131*About!$B$45,0)</f>
        <v>0</v>
      </c>
      <c r="L131">
        <f>IF('Calculations PJ'!L131&lt;&gt;0,'Calculations PJ'!L131*About!$B$45,0)</f>
        <v>0</v>
      </c>
      <c r="M131">
        <f>IF('Calculations PJ'!M131&lt;&gt;0,'Calculations PJ'!M131*About!$B$45,0)</f>
        <v>0</v>
      </c>
      <c r="N131">
        <f>IF('Calculations PJ'!N131&lt;&gt;0,'Calculations PJ'!N131*About!$B$45,0)</f>
        <v>0</v>
      </c>
      <c r="O131">
        <f>IF('Calculations PJ'!O131&lt;&gt;0,'Calculations PJ'!O131*About!$B$45,0)</f>
        <v>0</v>
      </c>
      <c r="P131">
        <f>IF('Calculations PJ'!P131&lt;&gt;0,'Calculations PJ'!P131*About!$B$45,0)</f>
        <v>0</v>
      </c>
      <c r="Q131">
        <f>IF('Calculations PJ'!Q131&lt;&gt;0,'Calculations PJ'!Q131*About!$B$45,0)</f>
        <v>0</v>
      </c>
      <c r="R131">
        <f>IF('Calculations PJ'!R131&lt;&gt;0,'Calculations PJ'!R131*About!$B$45,0)</f>
        <v>0</v>
      </c>
      <c r="S131">
        <f>IF('Calculations PJ'!S131&lt;&gt;0,'Calculations PJ'!S131*About!$B$45,0)</f>
        <v>0</v>
      </c>
      <c r="T131">
        <f>IF('Calculations PJ'!T131&lt;&gt;0,'Calculations PJ'!T131*About!$B$45,0)</f>
        <v>0</v>
      </c>
      <c r="U131">
        <f>IF('Calculations PJ'!U131&lt;&gt;0,'Calculations PJ'!U131*About!$B$45,0)</f>
        <v>0</v>
      </c>
      <c r="V131">
        <f>IF('Calculations PJ'!V131&lt;&gt;0,'Calculations PJ'!V131*About!$B$45,0)</f>
        <v>0</v>
      </c>
      <c r="W131">
        <f>IF('Calculations PJ'!W131&lt;&gt;0,'Calculations PJ'!W131*About!$B$45,0)</f>
        <v>0</v>
      </c>
      <c r="X131">
        <f>IF('Calculations PJ'!X131&lt;&gt;0,'Calculations PJ'!X131*About!$B$45,0)</f>
        <v>0</v>
      </c>
      <c r="Y131">
        <f>IF('Calculations PJ'!Y131&lt;&gt;0,'Calculations PJ'!Y131*About!$B$45,0)</f>
        <v>0</v>
      </c>
      <c r="Z131">
        <f>IF('Calculations PJ'!Z131&lt;&gt;0,'Calculations PJ'!Z131*About!$B$45,0)</f>
        <v>0</v>
      </c>
      <c r="AA131">
        <f>IF('Calculations PJ'!AA131&lt;&gt;0,'Calculations PJ'!AA131*About!$B$45,0)</f>
        <v>0</v>
      </c>
      <c r="AB131">
        <f>IF('Calculations PJ'!AB131&lt;&gt;0,'Calculations PJ'!AB131*About!$B$45,0)</f>
        <v>0</v>
      </c>
      <c r="AC131">
        <f>IF('Calculations PJ'!AC131&lt;&gt;0,'Calculations PJ'!AC131*About!$B$45,0)</f>
        <v>0</v>
      </c>
      <c r="AD131">
        <f>IF('Calculations PJ'!AD131&lt;&gt;0,'Calculations PJ'!AD131*About!$B$45,0)</f>
        <v>0</v>
      </c>
      <c r="AE131">
        <f>IF('Calculations PJ'!AE131&lt;&gt;0,'Calculations PJ'!AE131*About!$B$45,0)</f>
        <v>0</v>
      </c>
      <c r="AF131">
        <f>IF('Calculations PJ'!AF131&lt;&gt;0,'Calculations PJ'!AF131*About!$B$45,0)</f>
        <v>0</v>
      </c>
      <c r="AG131">
        <f>IF('Calculations PJ'!AG131&lt;&gt;0,'Calculations PJ'!AG131*About!$B$45,0)</f>
        <v>0</v>
      </c>
      <c r="AH131">
        <f>IF('Calculations PJ'!AH131&lt;&gt;0,'Calculations PJ'!AH131*About!$B$45,0)</f>
        <v>0</v>
      </c>
      <c r="AI131">
        <f>IF('Calculations PJ'!AI131&lt;&gt;0,'Calculations PJ'!AI131*About!$B$45,0)</f>
        <v>0</v>
      </c>
      <c r="AJ131">
        <f>IF('Calculations PJ'!AJ131&lt;&gt;0,'Calculations PJ'!AJ131*About!$B$45,0)</f>
        <v>0</v>
      </c>
      <c r="AK131">
        <f>IF('Calculations PJ'!AK131&lt;&gt;0,'Calculations PJ'!AK131*About!$B$45,0)</f>
        <v>0</v>
      </c>
      <c r="AL131">
        <f>IF('Calculations PJ'!AL131&lt;&gt;0,'Calculations PJ'!AL131*About!$B$45,0)</f>
        <v>0</v>
      </c>
      <c r="AM131">
        <f>IF('Calculations PJ'!AM131&lt;&gt;0,'Calculations PJ'!AM131*About!$B$45,0)</f>
        <v>0</v>
      </c>
      <c r="AN131">
        <f>IF('Calculations PJ'!AN131&lt;&gt;0,'Calculations PJ'!AN131*About!$B$45,0)</f>
        <v>0</v>
      </c>
      <c r="AO131">
        <f>IF('Calculations PJ'!AO131&lt;&gt;0,'Calculations PJ'!AO131*About!$B$45,0)</f>
        <v>0</v>
      </c>
      <c r="AP131">
        <f>IF('Calculations PJ'!AP131&lt;&gt;0,'Calculations PJ'!AP131*About!$B$45,0)</f>
        <v>0</v>
      </c>
      <c r="AQ131">
        <f>IF('Calculations PJ'!AQ131&lt;&gt;0,'Calculations PJ'!AQ131*About!$B$45,0)</f>
        <v>0</v>
      </c>
      <c r="AR131">
        <f>IF('Calculations PJ'!AR131&lt;&gt;0,'Calculations PJ'!AR131*About!$B$45,0)</f>
        <v>0</v>
      </c>
      <c r="AS131">
        <f>IF('Calculations PJ'!AS131&lt;&gt;0,'Calculations PJ'!AS131*About!$B$45,0)</f>
        <v>0</v>
      </c>
      <c r="AT131">
        <f>IF('Calculations PJ'!AT131&lt;&gt;0,'Calculations PJ'!AT131*About!$B$45,0)</f>
        <v>0</v>
      </c>
      <c r="AU131">
        <f>IF('Calculations PJ'!AU131&lt;&gt;0,'Calculations PJ'!AU131*About!$B$45,0)</f>
        <v>0</v>
      </c>
      <c r="AV131">
        <f>IF('Calculations PJ'!AV131&lt;&gt;0,'Calculations PJ'!AV131*About!$B$45,0)</f>
        <v>0</v>
      </c>
      <c r="AW131">
        <f>IF('Calculations PJ'!AW131&lt;&gt;0,'Calculations PJ'!AW131*About!$B$45,0)</f>
        <v>0</v>
      </c>
      <c r="AX131">
        <f>IF('Calculations PJ'!AX131&lt;&gt;0,'Calculations PJ'!AX131*About!$B$45,0)</f>
        <v>0</v>
      </c>
      <c r="AY131">
        <f>IF('Calculations PJ'!AY131&lt;&gt;0,'Calculations PJ'!AY131*About!$B$45,0)</f>
        <v>0</v>
      </c>
      <c r="AZ131">
        <f>IF('Calculations PJ'!AZ131&lt;&gt;0,'Calculations PJ'!AZ131*About!$B$45,0)</f>
        <v>0</v>
      </c>
      <c r="BA131">
        <f>IF('Calculations PJ'!BA131&lt;&gt;0,'Calculations PJ'!BA131*About!$B$45,0)</f>
        <v>0</v>
      </c>
      <c r="BB131">
        <f>IF('Calculations PJ'!BB131&lt;&gt;0,'Calculations PJ'!BB131*About!$B$45,0)</f>
        <v>0</v>
      </c>
      <c r="BC131">
        <f>IF('Calculations PJ'!BC131&lt;&gt;0,'Calculations PJ'!BC131*About!$B$45,0)</f>
        <v>0</v>
      </c>
      <c r="BD131">
        <f>IF('Calculations PJ'!BD131&lt;&gt;0,'Calculations PJ'!BD131*About!$B$45,0)</f>
        <v>0</v>
      </c>
      <c r="BE131">
        <f>IF('Calculations PJ'!BE131&lt;&gt;0,'Calculations PJ'!BE131*About!$B$45,0)</f>
        <v>0</v>
      </c>
      <c r="BF131">
        <f>IF('Calculations PJ'!BF131&lt;&gt;0,'Calculations PJ'!BF131*About!$B$45,0)</f>
        <v>0</v>
      </c>
      <c r="BG131">
        <f>IF('Calculations PJ'!BG131&lt;&gt;0,'Calculations PJ'!BG131*About!$B$45,0)</f>
        <v>0</v>
      </c>
      <c r="BH131">
        <f>IF('Calculations PJ'!BH131&lt;&gt;0,'Calculations PJ'!BH131*About!$B$45,0)</f>
        <v>0</v>
      </c>
    </row>
    <row r="132" spans="1:60" collapsed="1">
      <c r="A132" t="s">
        <v>155</v>
      </c>
      <c r="C132">
        <f>SUM(C133:C157)</f>
        <v>168066322253430.16</v>
      </c>
      <c r="D132">
        <f t="shared" ref="D132:BH132" si="5">SUM(D133:D157)</f>
        <v>121990500671233.78</v>
      </c>
      <c r="E132">
        <f t="shared" si="5"/>
        <v>117298558337724.78</v>
      </c>
      <c r="F132">
        <f t="shared" si="5"/>
        <v>119175335271128.38</v>
      </c>
      <c r="G132">
        <f t="shared" si="5"/>
        <v>125052111527240.66</v>
      </c>
      <c r="H132">
        <f t="shared" si="5"/>
        <v>137497607050265.52</v>
      </c>
      <c r="I132">
        <f t="shared" si="5"/>
        <v>119677704854312.16</v>
      </c>
      <c r="J132">
        <f t="shared" si="5"/>
        <v>122654007667891.61</v>
      </c>
      <c r="K132">
        <f t="shared" si="5"/>
        <v>134805664378110.86</v>
      </c>
      <c r="L132">
        <f t="shared" si="5"/>
        <v>134104242695929.72</v>
      </c>
      <c r="M132">
        <f t="shared" si="5"/>
        <v>133592394441365.09</v>
      </c>
      <c r="N132">
        <f t="shared" si="5"/>
        <v>133118460872323.78</v>
      </c>
      <c r="O132">
        <f t="shared" si="5"/>
        <v>132625569960520.81</v>
      </c>
      <c r="P132">
        <f t="shared" si="5"/>
        <v>132142157720098.69</v>
      </c>
      <c r="Q132">
        <f t="shared" si="5"/>
        <v>131658745479676.56</v>
      </c>
      <c r="R132">
        <f t="shared" si="5"/>
        <v>131165854567873.56</v>
      </c>
      <c r="S132">
        <f t="shared" si="5"/>
        <v>130682442327451.44</v>
      </c>
      <c r="T132">
        <f t="shared" si="5"/>
        <v>130199030087029.31</v>
      </c>
      <c r="U132">
        <f t="shared" si="5"/>
        <v>129725096517988</v>
      </c>
      <c r="V132">
        <f t="shared" si="5"/>
        <v>129222726934804.19</v>
      </c>
      <c r="W132">
        <f t="shared" si="5"/>
        <v>128739314694382.06</v>
      </c>
      <c r="X132">
        <f t="shared" si="5"/>
        <v>128246423782579.09</v>
      </c>
      <c r="Y132">
        <f t="shared" si="5"/>
        <v>127763011542156.95</v>
      </c>
      <c r="Z132">
        <f t="shared" si="5"/>
        <v>127270120630354</v>
      </c>
      <c r="AA132">
        <f t="shared" si="5"/>
        <v>126796187061312.67</v>
      </c>
      <c r="AB132">
        <f t="shared" si="5"/>
        <v>126293817478128.88</v>
      </c>
      <c r="AC132">
        <f t="shared" si="5"/>
        <v>125819883909087.59</v>
      </c>
      <c r="AD132">
        <f t="shared" si="5"/>
        <v>125336471668665.44</v>
      </c>
      <c r="AE132">
        <f t="shared" si="5"/>
        <v>124843580756862.47</v>
      </c>
      <c r="AF132">
        <f t="shared" si="5"/>
        <v>124350689845059.5</v>
      </c>
      <c r="AG132">
        <f t="shared" si="5"/>
        <v>123867277604637.38</v>
      </c>
      <c r="AH132">
        <f t="shared" si="5"/>
        <v>123383865364215.25</v>
      </c>
      <c r="AI132">
        <f t="shared" si="5"/>
        <v>122890974452412.27</v>
      </c>
      <c r="AJ132">
        <f t="shared" si="5"/>
        <v>122417040883370.94</v>
      </c>
      <c r="AK132">
        <f t="shared" si="5"/>
        <v>121914671300187.16</v>
      </c>
      <c r="AL132">
        <f t="shared" si="5"/>
        <v>121440737731145.86</v>
      </c>
      <c r="AM132">
        <f t="shared" si="5"/>
        <v>120947846819342.88</v>
      </c>
      <c r="AN132">
        <f t="shared" si="5"/>
        <v>120464434578920.75</v>
      </c>
      <c r="AO132">
        <f t="shared" si="5"/>
        <v>120464434578920.75</v>
      </c>
      <c r="AP132">
        <f t="shared" si="5"/>
        <v>120464434578920.75</v>
      </c>
      <c r="AQ132">
        <f t="shared" si="5"/>
        <v>120464434578920.75</v>
      </c>
      <c r="AR132">
        <f t="shared" si="5"/>
        <v>120464434578920.75</v>
      </c>
      <c r="AS132">
        <f t="shared" si="5"/>
        <v>120464434578920.75</v>
      </c>
      <c r="AT132">
        <f t="shared" si="5"/>
        <v>120464434578920.75</v>
      </c>
      <c r="AU132">
        <f t="shared" si="5"/>
        <v>120464434578920.75</v>
      </c>
      <c r="AV132">
        <f t="shared" si="5"/>
        <v>120464434578920.75</v>
      </c>
      <c r="AW132">
        <f t="shared" si="5"/>
        <v>120464434578920.75</v>
      </c>
      <c r="AX132">
        <f t="shared" si="5"/>
        <v>120464434578920.75</v>
      </c>
      <c r="AY132">
        <f t="shared" si="5"/>
        <v>120464434578920.75</v>
      </c>
      <c r="AZ132">
        <f t="shared" si="5"/>
        <v>120464434578920.75</v>
      </c>
      <c r="BA132">
        <f t="shared" si="5"/>
        <v>120464434578920.75</v>
      </c>
      <c r="BB132">
        <f t="shared" si="5"/>
        <v>120464434578920.75</v>
      </c>
      <c r="BC132">
        <f t="shared" si="5"/>
        <v>120464434578920.75</v>
      </c>
      <c r="BD132">
        <f t="shared" si="5"/>
        <v>120464434578920.75</v>
      </c>
      <c r="BE132">
        <f t="shared" si="5"/>
        <v>120464434578920.75</v>
      </c>
      <c r="BF132">
        <f t="shared" si="5"/>
        <v>120464434578920.75</v>
      </c>
      <c r="BG132">
        <f t="shared" si="5"/>
        <v>120464434578920.75</v>
      </c>
      <c r="BH132">
        <f t="shared" si="5"/>
        <v>120464434578920.75</v>
      </c>
    </row>
    <row r="133" spans="1:60" hidden="1" outlineLevel="1">
      <c r="B133" t="s">
        <v>126</v>
      </c>
      <c r="C133">
        <f>IF('Calculations PJ'!C133&lt;&gt;0,'Calculations PJ'!C133*About!$B$45,0)</f>
        <v>0</v>
      </c>
      <c r="D133">
        <f>IF('Calculations PJ'!D133&lt;&gt;0,'Calculations PJ'!D133*About!$B$45,0)</f>
        <v>0</v>
      </c>
      <c r="E133">
        <f>IF('Calculations PJ'!E133&lt;&gt;0,'Calculations PJ'!E133*About!$B$45,0)</f>
        <v>0</v>
      </c>
      <c r="F133">
        <f>IF('Calculations PJ'!F133&lt;&gt;0,'Calculations PJ'!F133*About!$B$45,0)</f>
        <v>0</v>
      </c>
      <c r="G133">
        <f>IF('Calculations PJ'!G133&lt;&gt;0,'Calculations PJ'!G133*About!$B$45,0)</f>
        <v>0</v>
      </c>
      <c r="H133">
        <f>IF('Calculations PJ'!H133&lt;&gt;0,'Calculations PJ'!H133*About!$B$45,0)</f>
        <v>0</v>
      </c>
      <c r="I133">
        <f>IF('Calculations PJ'!I133&lt;&gt;0,'Calculations PJ'!I133*About!$B$45,0)</f>
        <v>0</v>
      </c>
      <c r="J133">
        <f>IF('Calculations PJ'!J133&lt;&gt;0,'Calculations PJ'!J133*About!$B$45,0)</f>
        <v>0</v>
      </c>
      <c r="K133">
        <f>IF('Calculations PJ'!K133&lt;&gt;0,'Calculations PJ'!K133*About!$B$45,0)</f>
        <v>0</v>
      </c>
      <c r="L133">
        <f>IF('Calculations PJ'!L133&lt;&gt;0,'Calculations PJ'!L133*About!$B$45,0)</f>
        <v>0</v>
      </c>
      <c r="M133">
        <f>IF('Calculations PJ'!M133&lt;&gt;0,'Calculations PJ'!M133*About!$B$45,0)</f>
        <v>0</v>
      </c>
      <c r="N133">
        <f>IF('Calculations PJ'!N133&lt;&gt;0,'Calculations PJ'!N133*About!$B$45,0)</f>
        <v>0</v>
      </c>
      <c r="O133">
        <f>IF('Calculations PJ'!O133&lt;&gt;0,'Calculations PJ'!O133*About!$B$45,0)</f>
        <v>0</v>
      </c>
      <c r="P133">
        <f>IF('Calculations PJ'!P133&lt;&gt;0,'Calculations PJ'!P133*About!$B$45,0)</f>
        <v>0</v>
      </c>
      <c r="Q133">
        <f>IF('Calculations PJ'!Q133&lt;&gt;0,'Calculations PJ'!Q133*About!$B$45,0)</f>
        <v>0</v>
      </c>
      <c r="R133">
        <f>IF('Calculations PJ'!R133&lt;&gt;0,'Calculations PJ'!R133*About!$B$45,0)</f>
        <v>0</v>
      </c>
      <c r="S133">
        <f>IF('Calculations PJ'!S133&lt;&gt;0,'Calculations PJ'!S133*About!$B$45,0)</f>
        <v>0</v>
      </c>
      <c r="T133">
        <f>IF('Calculations PJ'!T133&lt;&gt;0,'Calculations PJ'!T133*About!$B$45,0)</f>
        <v>0</v>
      </c>
      <c r="U133">
        <f>IF('Calculations PJ'!U133&lt;&gt;0,'Calculations PJ'!U133*About!$B$45,0)</f>
        <v>0</v>
      </c>
      <c r="V133">
        <f>IF('Calculations PJ'!V133&lt;&gt;0,'Calculations PJ'!V133*About!$B$45,0)</f>
        <v>0</v>
      </c>
      <c r="W133">
        <f>IF('Calculations PJ'!W133&lt;&gt;0,'Calculations PJ'!W133*About!$B$45,0)</f>
        <v>0</v>
      </c>
      <c r="X133">
        <f>IF('Calculations PJ'!X133&lt;&gt;0,'Calculations PJ'!X133*About!$B$45,0)</f>
        <v>0</v>
      </c>
      <c r="Y133">
        <f>IF('Calculations PJ'!Y133&lt;&gt;0,'Calculations PJ'!Y133*About!$B$45,0)</f>
        <v>0</v>
      </c>
      <c r="Z133">
        <f>IF('Calculations PJ'!Z133&lt;&gt;0,'Calculations PJ'!Z133*About!$B$45,0)</f>
        <v>0</v>
      </c>
      <c r="AA133">
        <f>IF('Calculations PJ'!AA133&lt;&gt;0,'Calculations PJ'!AA133*About!$B$45,0)</f>
        <v>0</v>
      </c>
      <c r="AB133">
        <f>IF('Calculations PJ'!AB133&lt;&gt;0,'Calculations PJ'!AB133*About!$B$45,0)</f>
        <v>0</v>
      </c>
      <c r="AC133">
        <f>IF('Calculations PJ'!AC133&lt;&gt;0,'Calculations PJ'!AC133*About!$B$45,0)</f>
        <v>0</v>
      </c>
      <c r="AD133">
        <f>IF('Calculations PJ'!AD133&lt;&gt;0,'Calculations PJ'!AD133*About!$B$45,0)</f>
        <v>0</v>
      </c>
      <c r="AE133">
        <f>IF('Calculations PJ'!AE133&lt;&gt;0,'Calculations PJ'!AE133*About!$B$45,0)</f>
        <v>0</v>
      </c>
      <c r="AF133">
        <f>IF('Calculations PJ'!AF133&lt;&gt;0,'Calculations PJ'!AF133*About!$B$45,0)</f>
        <v>0</v>
      </c>
      <c r="AG133">
        <f>IF('Calculations PJ'!AG133&lt;&gt;0,'Calculations PJ'!AG133*About!$B$45,0)</f>
        <v>0</v>
      </c>
      <c r="AH133">
        <f>IF('Calculations PJ'!AH133&lt;&gt;0,'Calculations PJ'!AH133*About!$B$45,0)</f>
        <v>0</v>
      </c>
      <c r="AI133">
        <f>IF('Calculations PJ'!AI133&lt;&gt;0,'Calculations PJ'!AI133*About!$B$45,0)</f>
        <v>0</v>
      </c>
      <c r="AJ133">
        <f>IF('Calculations PJ'!AJ133&lt;&gt;0,'Calculations PJ'!AJ133*About!$B$45,0)</f>
        <v>0</v>
      </c>
      <c r="AK133">
        <f>IF('Calculations PJ'!AK133&lt;&gt;0,'Calculations PJ'!AK133*About!$B$45,0)</f>
        <v>0</v>
      </c>
      <c r="AL133">
        <f>IF('Calculations PJ'!AL133&lt;&gt;0,'Calculations PJ'!AL133*About!$B$45,0)</f>
        <v>0</v>
      </c>
      <c r="AM133">
        <f>IF('Calculations PJ'!AM133&lt;&gt;0,'Calculations PJ'!AM133*About!$B$45,0)</f>
        <v>0</v>
      </c>
      <c r="AN133">
        <f>IF('Calculations PJ'!AN133&lt;&gt;0,'Calculations PJ'!AN133*About!$B$45,0)</f>
        <v>0</v>
      </c>
      <c r="AO133">
        <f>IF('Calculations PJ'!AO133&lt;&gt;0,'Calculations PJ'!AO133*About!$B$45,0)</f>
        <v>0</v>
      </c>
      <c r="AP133">
        <f>IF('Calculations PJ'!AP133&lt;&gt;0,'Calculations PJ'!AP133*About!$B$45,0)</f>
        <v>0</v>
      </c>
      <c r="AQ133">
        <f>IF('Calculations PJ'!AQ133&lt;&gt;0,'Calculations PJ'!AQ133*About!$B$45,0)</f>
        <v>0</v>
      </c>
      <c r="AR133">
        <f>IF('Calculations PJ'!AR133&lt;&gt;0,'Calculations PJ'!AR133*About!$B$45,0)</f>
        <v>0</v>
      </c>
      <c r="AS133">
        <f>IF('Calculations PJ'!AS133&lt;&gt;0,'Calculations PJ'!AS133*About!$B$45,0)</f>
        <v>0</v>
      </c>
      <c r="AT133">
        <f>IF('Calculations PJ'!AT133&lt;&gt;0,'Calculations PJ'!AT133*About!$B$45,0)</f>
        <v>0</v>
      </c>
      <c r="AU133">
        <f>IF('Calculations PJ'!AU133&lt;&gt;0,'Calculations PJ'!AU133*About!$B$45,0)</f>
        <v>0</v>
      </c>
      <c r="AV133">
        <f>IF('Calculations PJ'!AV133&lt;&gt;0,'Calculations PJ'!AV133*About!$B$45,0)</f>
        <v>0</v>
      </c>
      <c r="AW133">
        <f>IF('Calculations PJ'!AW133&lt;&gt;0,'Calculations PJ'!AW133*About!$B$45,0)</f>
        <v>0</v>
      </c>
      <c r="AX133">
        <f>IF('Calculations PJ'!AX133&lt;&gt;0,'Calculations PJ'!AX133*About!$B$45,0)</f>
        <v>0</v>
      </c>
      <c r="AY133">
        <f>IF('Calculations PJ'!AY133&lt;&gt;0,'Calculations PJ'!AY133*About!$B$45,0)</f>
        <v>0</v>
      </c>
      <c r="AZ133">
        <f>IF('Calculations PJ'!AZ133&lt;&gt;0,'Calculations PJ'!AZ133*About!$B$45,0)</f>
        <v>0</v>
      </c>
      <c r="BA133">
        <f>IF('Calculations PJ'!BA133&lt;&gt;0,'Calculations PJ'!BA133*About!$B$45,0)</f>
        <v>0</v>
      </c>
      <c r="BB133">
        <f>IF('Calculations PJ'!BB133&lt;&gt;0,'Calculations PJ'!BB133*About!$B$45,0)</f>
        <v>0</v>
      </c>
      <c r="BC133">
        <f>IF('Calculations PJ'!BC133&lt;&gt;0,'Calculations PJ'!BC133*About!$B$45,0)</f>
        <v>0</v>
      </c>
      <c r="BD133">
        <f>IF('Calculations PJ'!BD133&lt;&gt;0,'Calculations PJ'!BD133*About!$B$45,0)</f>
        <v>0</v>
      </c>
      <c r="BE133">
        <f>IF('Calculations PJ'!BE133&lt;&gt;0,'Calculations PJ'!BE133*About!$B$45,0)</f>
        <v>0</v>
      </c>
      <c r="BF133">
        <f>IF('Calculations PJ'!BF133&lt;&gt;0,'Calculations PJ'!BF133*About!$B$45,0)</f>
        <v>0</v>
      </c>
      <c r="BG133">
        <f>IF('Calculations PJ'!BG133&lt;&gt;0,'Calculations PJ'!BG133*About!$B$45,0)</f>
        <v>0</v>
      </c>
      <c r="BH133">
        <f>IF('Calculations PJ'!BH133&lt;&gt;0,'Calculations PJ'!BH133*About!$B$45,0)</f>
        <v>0</v>
      </c>
    </row>
    <row r="134" spans="1:60" hidden="1" outlineLevel="1">
      <c r="B134" t="s">
        <v>127</v>
      </c>
      <c r="C134">
        <f>IF('Calculations PJ'!C134&lt;&gt;0,'Calculations PJ'!C134*About!$B$45,0)</f>
        <v>0</v>
      </c>
      <c r="D134">
        <f>IF('Calculations PJ'!D134&lt;&gt;0,'Calculations PJ'!D134*About!$B$45,0)</f>
        <v>0</v>
      </c>
      <c r="E134">
        <f>IF('Calculations PJ'!E134&lt;&gt;0,'Calculations PJ'!E134*About!$B$45,0)</f>
        <v>0</v>
      </c>
      <c r="F134">
        <f>IF('Calculations PJ'!F134&lt;&gt;0,'Calculations PJ'!F134*About!$B$45,0)</f>
        <v>0</v>
      </c>
      <c r="G134">
        <f>IF('Calculations PJ'!G134&lt;&gt;0,'Calculations PJ'!G134*About!$B$45,0)</f>
        <v>0</v>
      </c>
      <c r="H134">
        <f>IF('Calculations PJ'!H134&lt;&gt;0,'Calculations PJ'!H134*About!$B$45,0)</f>
        <v>0</v>
      </c>
      <c r="I134">
        <f>IF('Calculations PJ'!I134&lt;&gt;0,'Calculations PJ'!I134*About!$B$45,0)</f>
        <v>0</v>
      </c>
      <c r="J134">
        <f>IF('Calculations PJ'!J134&lt;&gt;0,'Calculations PJ'!J134*About!$B$45,0)</f>
        <v>0</v>
      </c>
      <c r="K134">
        <f>IF('Calculations PJ'!K134&lt;&gt;0,'Calculations PJ'!K134*About!$B$45,0)</f>
        <v>0</v>
      </c>
      <c r="L134">
        <f>IF('Calculations PJ'!L134&lt;&gt;0,'Calculations PJ'!L134*About!$B$45,0)</f>
        <v>0</v>
      </c>
      <c r="M134">
        <f>IF('Calculations PJ'!M134&lt;&gt;0,'Calculations PJ'!M134*About!$B$45,0)</f>
        <v>0</v>
      </c>
      <c r="N134">
        <f>IF('Calculations PJ'!N134&lt;&gt;0,'Calculations PJ'!N134*About!$B$45,0)</f>
        <v>0</v>
      </c>
      <c r="O134">
        <f>IF('Calculations PJ'!O134&lt;&gt;0,'Calculations PJ'!O134*About!$B$45,0)</f>
        <v>0</v>
      </c>
      <c r="P134">
        <f>IF('Calculations PJ'!P134&lt;&gt;0,'Calculations PJ'!P134*About!$B$45,0)</f>
        <v>0</v>
      </c>
      <c r="Q134">
        <f>IF('Calculations PJ'!Q134&lt;&gt;0,'Calculations PJ'!Q134*About!$B$45,0)</f>
        <v>0</v>
      </c>
      <c r="R134">
        <f>IF('Calculations PJ'!R134&lt;&gt;0,'Calculations PJ'!R134*About!$B$45,0)</f>
        <v>0</v>
      </c>
      <c r="S134">
        <f>IF('Calculations PJ'!S134&lt;&gt;0,'Calculations PJ'!S134*About!$B$45,0)</f>
        <v>0</v>
      </c>
      <c r="T134">
        <f>IF('Calculations PJ'!T134&lt;&gt;0,'Calculations PJ'!T134*About!$B$45,0)</f>
        <v>0</v>
      </c>
      <c r="U134">
        <f>IF('Calculations PJ'!U134&lt;&gt;0,'Calculations PJ'!U134*About!$B$45,0)</f>
        <v>0</v>
      </c>
      <c r="V134">
        <f>IF('Calculations PJ'!V134&lt;&gt;0,'Calculations PJ'!V134*About!$B$45,0)</f>
        <v>0</v>
      </c>
      <c r="W134">
        <f>IF('Calculations PJ'!W134&lt;&gt;0,'Calculations PJ'!W134*About!$B$45,0)</f>
        <v>0</v>
      </c>
      <c r="X134">
        <f>IF('Calculations PJ'!X134&lt;&gt;0,'Calculations PJ'!X134*About!$B$45,0)</f>
        <v>0</v>
      </c>
      <c r="Y134">
        <f>IF('Calculations PJ'!Y134&lt;&gt;0,'Calculations PJ'!Y134*About!$B$45,0)</f>
        <v>0</v>
      </c>
      <c r="Z134">
        <f>IF('Calculations PJ'!Z134&lt;&gt;0,'Calculations PJ'!Z134*About!$B$45,0)</f>
        <v>0</v>
      </c>
      <c r="AA134">
        <f>IF('Calculations PJ'!AA134&lt;&gt;0,'Calculations PJ'!AA134*About!$B$45,0)</f>
        <v>0</v>
      </c>
      <c r="AB134">
        <f>IF('Calculations PJ'!AB134&lt;&gt;0,'Calculations PJ'!AB134*About!$B$45,0)</f>
        <v>0</v>
      </c>
      <c r="AC134">
        <f>IF('Calculations PJ'!AC134&lt;&gt;0,'Calculations PJ'!AC134*About!$B$45,0)</f>
        <v>0</v>
      </c>
      <c r="AD134">
        <f>IF('Calculations PJ'!AD134&lt;&gt;0,'Calculations PJ'!AD134*About!$B$45,0)</f>
        <v>0</v>
      </c>
      <c r="AE134">
        <f>IF('Calculations PJ'!AE134&lt;&gt;0,'Calculations PJ'!AE134*About!$B$45,0)</f>
        <v>0</v>
      </c>
      <c r="AF134">
        <f>IF('Calculations PJ'!AF134&lt;&gt;0,'Calculations PJ'!AF134*About!$B$45,0)</f>
        <v>0</v>
      </c>
      <c r="AG134">
        <f>IF('Calculations PJ'!AG134&lt;&gt;0,'Calculations PJ'!AG134*About!$B$45,0)</f>
        <v>0</v>
      </c>
      <c r="AH134">
        <f>IF('Calculations PJ'!AH134&lt;&gt;0,'Calculations PJ'!AH134*About!$B$45,0)</f>
        <v>0</v>
      </c>
      <c r="AI134">
        <f>IF('Calculations PJ'!AI134&lt;&gt;0,'Calculations PJ'!AI134*About!$B$45,0)</f>
        <v>0</v>
      </c>
      <c r="AJ134">
        <f>IF('Calculations PJ'!AJ134&lt;&gt;0,'Calculations PJ'!AJ134*About!$B$45,0)</f>
        <v>0</v>
      </c>
      <c r="AK134">
        <f>IF('Calculations PJ'!AK134&lt;&gt;0,'Calculations PJ'!AK134*About!$B$45,0)</f>
        <v>0</v>
      </c>
      <c r="AL134">
        <f>IF('Calculations PJ'!AL134&lt;&gt;0,'Calculations PJ'!AL134*About!$B$45,0)</f>
        <v>0</v>
      </c>
      <c r="AM134">
        <f>IF('Calculations PJ'!AM134&lt;&gt;0,'Calculations PJ'!AM134*About!$B$45,0)</f>
        <v>0</v>
      </c>
      <c r="AN134">
        <f>IF('Calculations PJ'!AN134&lt;&gt;0,'Calculations PJ'!AN134*About!$B$45,0)</f>
        <v>0</v>
      </c>
      <c r="AO134">
        <f>IF('Calculations PJ'!AO134&lt;&gt;0,'Calculations PJ'!AO134*About!$B$45,0)</f>
        <v>0</v>
      </c>
      <c r="AP134">
        <f>IF('Calculations PJ'!AP134&lt;&gt;0,'Calculations PJ'!AP134*About!$B$45,0)</f>
        <v>0</v>
      </c>
      <c r="AQ134">
        <f>IF('Calculations PJ'!AQ134&lt;&gt;0,'Calculations PJ'!AQ134*About!$B$45,0)</f>
        <v>0</v>
      </c>
      <c r="AR134">
        <f>IF('Calculations PJ'!AR134&lt;&gt;0,'Calculations PJ'!AR134*About!$B$45,0)</f>
        <v>0</v>
      </c>
      <c r="AS134">
        <f>IF('Calculations PJ'!AS134&lt;&gt;0,'Calculations PJ'!AS134*About!$B$45,0)</f>
        <v>0</v>
      </c>
      <c r="AT134">
        <f>IF('Calculations PJ'!AT134&lt;&gt;0,'Calculations PJ'!AT134*About!$B$45,0)</f>
        <v>0</v>
      </c>
      <c r="AU134">
        <f>IF('Calculations PJ'!AU134&lt;&gt;0,'Calculations PJ'!AU134*About!$B$45,0)</f>
        <v>0</v>
      </c>
      <c r="AV134">
        <f>IF('Calculations PJ'!AV134&lt;&gt;0,'Calculations PJ'!AV134*About!$B$45,0)</f>
        <v>0</v>
      </c>
      <c r="AW134">
        <f>IF('Calculations PJ'!AW134&lt;&gt;0,'Calculations PJ'!AW134*About!$B$45,0)</f>
        <v>0</v>
      </c>
      <c r="AX134">
        <f>IF('Calculations PJ'!AX134&lt;&gt;0,'Calculations PJ'!AX134*About!$B$45,0)</f>
        <v>0</v>
      </c>
      <c r="AY134">
        <f>IF('Calculations PJ'!AY134&lt;&gt;0,'Calculations PJ'!AY134*About!$B$45,0)</f>
        <v>0</v>
      </c>
      <c r="AZ134">
        <f>IF('Calculations PJ'!AZ134&lt;&gt;0,'Calculations PJ'!AZ134*About!$B$45,0)</f>
        <v>0</v>
      </c>
      <c r="BA134">
        <f>IF('Calculations PJ'!BA134&lt;&gt;0,'Calculations PJ'!BA134*About!$B$45,0)</f>
        <v>0</v>
      </c>
      <c r="BB134">
        <f>IF('Calculations PJ'!BB134&lt;&gt;0,'Calculations PJ'!BB134*About!$B$45,0)</f>
        <v>0</v>
      </c>
      <c r="BC134">
        <f>IF('Calculations PJ'!BC134&lt;&gt;0,'Calculations PJ'!BC134*About!$B$45,0)</f>
        <v>0</v>
      </c>
      <c r="BD134">
        <f>IF('Calculations PJ'!BD134&lt;&gt;0,'Calculations PJ'!BD134*About!$B$45,0)</f>
        <v>0</v>
      </c>
      <c r="BE134">
        <f>IF('Calculations PJ'!BE134&lt;&gt;0,'Calculations PJ'!BE134*About!$B$45,0)</f>
        <v>0</v>
      </c>
      <c r="BF134">
        <f>IF('Calculations PJ'!BF134&lt;&gt;0,'Calculations PJ'!BF134*About!$B$45,0)</f>
        <v>0</v>
      </c>
      <c r="BG134">
        <f>IF('Calculations PJ'!BG134&lt;&gt;0,'Calculations PJ'!BG134*About!$B$45,0)</f>
        <v>0</v>
      </c>
      <c r="BH134">
        <f>IF('Calculations PJ'!BH134&lt;&gt;0,'Calculations PJ'!BH134*About!$B$45,0)</f>
        <v>0</v>
      </c>
    </row>
    <row r="135" spans="1:60" hidden="1" outlineLevel="1">
      <c r="B135" t="s">
        <v>128</v>
      </c>
      <c r="C135">
        <f>IF('Calculations PJ'!C135&lt;&gt;0,'Calculations PJ'!C135*About!$B$45,0)</f>
        <v>0</v>
      </c>
      <c r="D135">
        <f>IF('Calculations PJ'!D135&lt;&gt;0,'Calculations PJ'!D135*About!$B$45,0)</f>
        <v>0</v>
      </c>
      <c r="E135">
        <f>IF('Calculations PJ'!E135&lt;&gt;0,'Calculations PJ'!E135*About!$B$45,0)</f>
        <v>0</v>
      </c>
      <c r="F135">
        <f>IF('Calculations PJ'!F135&lt;&gt;0,'Calculations PJ'!F135*About!$B$45,0)</f>
        <v>0</v>
      </c>
      <c r="G135">
        <f>IF('Calculations PJ'!G135&lt;&gt;0,'Calculations PJ'!G135*About!$B$45,0)</f>
        <v>0</v>
      </c>
      <c r="H135">
        <f>IF('Calculations PJ'!H135&lt;&gt;0,'Calculations PJ'!H135*About!$B$45,0)</f>
        <v>0</v>
      </c>
      <c r="I135">
        <f>IF('Calculations PJ'!I135&lt;&gt;0,'Calculations PJ'!I135*About!$B$45,0)</f>
        <v>0</v>
      </c>
      <c r="J135">
        <f>IF('Calculations PJ'!J135&lt;&gt;0,'Calculations PJ'!J135*About!$B$45,0)</f>
        <v>0</v>
      </c>
      <c r="K135">
        <f>IF('Calculations PJ'!K135&lt;&gt;0,'Calculations PJ'!K135*About!$B$45,0)</f>
        <v>0</v>
      </c>
      <c r="L135">
        <f>IF('Calculations PJ'!L135&lt;&gt;0,'Calculations PJ'!L135*About!$B$45,0)</f>
        <v>0</v>
      </c>
      <c r="M135">
        <f>IF('Calculations PJ'!M135&lt;&gt;0,'Calculations PJ'!M135*About!$B$45,0)</f>
        <v>0</v>
      </c>
      <c r="N135">
        <f>IF('Calculations PJ'!N135&lt;&gt;0,'Calculations PJ'!N135*About!$B$45,0)</f>
        <v>0</v>
      </c>
      <c r="O135">
        <f>IF('Calculations PJ'!O135&lt;&gt;0,'Calculations PJ'!O135*About!$B$45,0)</f>
        <v>0</v>
      </c>
      <c r="P135">
        <f>IF('Calculations PJ'!P135&lt;&gt;0,'Calculations PJ'!P135*About!$B$45,0)</f>
        <v>0</v>
      </c>
      <c r="Q135">
        <f>IF('Calculations PJ'!Q135&lt;&gt;0,'Calculations PJ'!Q135*About!$B$45,0)</f>
        <v>0</v>
      </c>
      <c r="R135">
        <f>IF('Calculations PJ'!R135&lt;&gt;0,'Calculations PJ'!R135*About!$B$45,0)</f>
        <v>0</v>
      </c>
      <c r="S135">
        <f>IF('Calculations PJ'!S135&lt;&gt;0,'Calculations PJ'!S135*About!$B$45,0)</f>
        <v>0</v>
      </c>
      <c r="T135">
        <f>IF('Calculations PJ'!T135&lt;&gt;0,'Calculations PJ'!T135*About!$B$45,0)</f>
        <v>0</v>
      </c>
      <c r="U135">
        <f>IF('Calculations PJ'!U135&lt;&gt;0,'Calculations PJ'!U135*About!$B$45,0)</f>
        <v>0</v>
      </c>
      <c r="V135">
        <f>IF('Calculations PJ'!V135&lt;&gt;0,'Calculations PJ'!V135*About!$B$45,0)</f>
        <v>0</v>
      </c>
      <c r="W135">
        <f>IF('Calculations PJ'!W135&lt;&gt;0,'Calculations PJ'!W135*About!$B$45,0)</f>
        <v>0</v>
      </c>
      <c r="X135">
        <f>IF('Calculations PJ'!X135&lt;&gt;0,'Calculations PJ'!X135*About!$B$45,0)</f>
        <v>0</v>
      </c>
      <c r="Y135">
        <f>IF('Calculations PJ'!Y135&lt;&gt;0,'Calculations PJ'!Y135*About!$B$45,0)</f>
        <v>0</v>
      </c>
      <c r="Z135">
        <f>IF('Calculations PJ'!Z135&lt;&gt;0,'Calculations PJ'!Z135*About!$B$45,0)</f>
        <v>0</v>
      </c>
      <c r="AA135">
        <f>IF('Calculations PJ'!AA135&lt;&gt;0,'Calculations PJ'!AA135*About!$B$45,0)</f>
        <v>0</v>
      </c>
      <c r="AB135">
        <f>IF('Calculations PJ'!AB135&lt;&gt;0,'Calculations PJ'!AB135*About!$B$45,0)</f>
        <v>0</v>
      </c>
      <c r="AC135">
        <f>IF('Calculations PJ'!AC135&lt;&gt;0,'Calculations PJ'!AC135*About!$B$45,0)</f>
        <v>0</v>
      </c>
      <c r="AD135">
        <f>IF('Calculations PJ'!AD135&lt;&gt;0,'Calculations PJ'!AD135*About!$B$45,0)</f>
        <v>0</v>
      </c>
      <c r="AE135">
        <f>IF('Calculations PJ'!AE135&lt;&gt;0,'Calculations PJ'!AE135*About!$B$45,0)</f>
        <v>0</v>
      </c>
      <c r="AF135">
        <f>IF('Calculations PJ'!AF135&lt;&gt;0,'Calculations PJ'!AF135*About!$B$45,0)</f>
        <v>0</v>
      </c>
      <c r="AG135">
        <f>IF('Calculations PJ'!AG135&lt;&gt;0,'Calculations PJ'!AG135*About!$B$45,0)</f>
        <v>0</v>
      </c>
      <c r="AH135">
        <f>IF('Calculations PJ'!AH135&lt;&gt;0,'Calculations PJ'!AH135*About!$B$45,0)</f>
        <v>0</v>
      </c>
      <c r="AI135">
        <f>IF('Calculations PJ'!AI135&lt;&gt;0,'Calculations PJ'!AI135*About!$B$45,0)</f>
        <v>0</v>
      </c>
      <c r="AJ135">
        <f>IF('Calculations PJ'!AJ135&lt;&gt;0,'Calculations PJ'!AJ135*About!$B$45,0)</f>
        <v>0</v>
      </c>
      <c r="AK135">
        <f>IF('Calculations PJ'!AK135&lt;&gt;0,'Calculations PJ'!AK135*About!$B$45,0)</f>
        <v>0</v>
      </c>
      <c r="AL135">
        <f>IF('Calculations PJ'!AL135&lt;&gt;0,'Calculations PJ'!AL135*About!$B$45,0)</f>
        <v>0</v>
      </c>
      <c r="AM135">
        <f>IF('Calculations PJ'!AM135&lt;&gt;0,'Calculations PJ'!AM135*About!$B$45,0)</f>
        <v>0</v>
      </c>
      <c r="AN135">
        <f>IF('Calculations PJ'!AN135&lt;&gt;0,'Calculations PJ'!AN135*About!$B$45,0)</f>
        <v>0</v>
      </c>
      <c r="AO135">
        <f>IF('Calculations PJ'!AO135&lt;&gt;0,'Calculations PJ'!AO135*About!$B$45,0)</f>
        <v>0</v>
      </c>
      <c r="AP135">
        <f>IF('Calculations PJ'!AP135&lt;&gt;0,'Calculations PJ'!AP135*About!$B$45,0)</f>
        <v>0</v>
      </c>
      <c r="AQ135">
        <f>IF('Calculations PJ'!AQ135&lt;&gt;0,'Calculations PJ'!AQ135*About!$B$45,0)</f>
        <v>0</v>
      </c>
      <c r="AR135">
        <f>IF('Calculations PJ'!AR135&lt;&gt;0,'Calculations PJ'!AR135*About!$B$45,0)</f>
        <v>0</v>
      </c>
      <c r="AS135">
        <f>IF('Calculations PJ'!AS135&lt;&gt;0,'Calculations PJ'!AS135*About!$B$45,0)</f>
        <v>0</v>
      </c>
      <c r="AT135">
        <f>IF('Calculations PJ'!AT135&lt;&gt;0,'Calculations PJ'!AT135*About!$B$45,0)</f>
        <v>0</v>
      </c>
      <c r="AU135">
        <f>IF('Calculations PJ'!AU135&lt;&gt;0,'Calculations PJ'!AU135*About!$B$45,0)</f>
        <v>0</v>
      </c>
      <c r="AV135">
        <f>IF('Calculations PJ'!AV135&lt;&gt;0,'Calculations PJ'!AV135*About!$B$45,0)</f>
        <v>0</v>
      </c>
      <c r="AW135">
        <f>IF('Calculations PJ'!AW135&lt;&gt;0,'Calculations PJ'!AW135*About!$B$45,0)</f>
        <v>0</v>
      </c>
      <c r="AX135">
        <f>IF('Calculations PJ'!AX135&lt;&gt;0,'Calculations PJ'!AX135*About!$B$45,0)</f>
        <v>0</v>
      </c>
      <c r="AY135">
        <f>IF('Calculations PJ'!AY135&lt;&gt;0,'Calculations PJ'!AY135*About!$B$45,0)</f>
        <v>0</v>
      </c>
      <c r="AZ135">
        <f>IF('Calculations PJ'!AZ135&lt;&gt;0,'Calculations PJ'!AZ135*About!$B$45,0)</f>
        <v>0</v>
      </c>
      <c r="BA135">
        <f>IF('Calculations PJ'!BA135&lt;&gt;0,'Calculations PJ'!BA135*About!$B$45,0)</f>
        <v>0</v>
      </c>
      <c r="BB135">
        <f>IF('Calculations PJ'!BB135&lt;&gt;0,'Calculations PJ'!BB135*About!$B$45,0)</f>
        <v>0</v>
      </c>
      <c r="BC135">
        <f>IF('Calculations PJ'!BC135&lt;&gt;0,'Calculations PJ'!BC135*About!$B$45,0)</f>
        <v>0</v>
      </c>
      <c r="BD135">
        <f>IF('Calculations PJ'!BD135&lt;&gt;0,'Calculations PJ'!BD135*About!$B$45,0)</f>
        <v>0</v>
      </c>
      <c r="BE135">
        <f>IF('Calculations PJ'!BE135&lt;&gt;0,'Calculations PJ'!BE135*About!$B$45,0)</f>
        <v>0</v>
      </c>
      <c r="BF135">
        <f>IF('Calculations PJ'!BF135&lt;&gt;0,'Calculations PJ'!BF135*About!$B$45,0)</f>
        <v>0</v>
      </c>
      <c r="BG135">
        <f>IF('Calculations PJ'!BG135&lt;&gt;0,'Calculations PJ'!BG135*About!$B$45,0)</f>
        <v>0</v>
      </c>
      <c r="BH135">
        <f>IF('Calculations PJ'!BH135&lt;&gt;0,'Calculations PJ'!BH135*About!$B$45,0)</f>
        <v>0</v>
      </c>
    </row>
    <row r="136" spans="1:60" hidden="1" outlineLevel="1">
      <c r="B136" t="s">
        <v>129</v>
      </c>
      <c r="C136">
        <f>IF('Calculations PJ'!C136&lt;&gt;0,'Calculations PJ'!C136*About!$B$45,0)</f>
        <v>0</v>
      </c>
      <c r="D136">
        <f>IF('Calculations PJ'!D136&lt;&gt;0,'Calculations PJ'!D136*About!$B$45,0)</f>
        <v>0</v>
      </c>
      <c r="E136">
        <f>IF('Calculations PJ'!E136&lt;&gt;0,'Calculations PJ'!E136*About!$B$45,0)</f>
        <v>0</v>
      </c>
      <c r="F136">
        <f>IF('Calculations PJ'!F136&lt;&gt;0,'Calculations PJ'!F136*About!$B$45,0)</f>
        <v>0</v>
      </c>
      <c r="G136">
        <f>IF('Calculations PJ'!G136&lt;&gt;0,'Calculations PJ'!G136*About!$B$45,0)</f>
        <v>0</v>
      </c>
      <c r="H136">
        <f>IF('Calculations PJ'!H136&lt;&gt;0,'Calculations PJ'!H136*About!$B$45,0)</f>
        <v>0</v>
      </c>
      <c r="I136">
        <f>IF('Calculations PJ'!I136&lt;&gt;0,'Calculations PJ'!I136*About!$B$45,0)</f>
        <v>0</v>
      </c>
      <c r="J136">
        <f>IF('Calculations PJ'!J136&lt;&gt;0,'Calculations PJ'!J136*About!$B$45,0)</f>
        <v>0</v>
      </c>
      <c r="K136">
        <f>IF('Calculations PJ'!K136&lt;&gt;0,'Calculations PJ'!K136*About!$B$45,0)</f>
        <v>0</v>
      </c>
      <c r="L136">
        <f>IF('Calculations PJ'!L136&lt;&gt;0,'Calculations PJ'!L136*About!$B$45,0)</f>
        <v>0</v>
      </c>
      <c r="M136">
        <f>IF('Calculations PJ'!M136&lt;&gt;0,'Calculations PJ'!M136*About!$B$45,0)</f>
        <v>0</v>
      </c>
      <c r="N136">
        <f>IF('Calculations PJ'!N136&lt;&gt;0,'Calculations PJ'!N136*About!$B$45,0)</f>
        <v>0</v>
      </c>
      <c r="O136">
        <f>IF('Calculations PJ'!O136&lt;&gt;0,'Calculations PJ'!O136*About!$B$45,0)</f>
        <v>0</v>
      </c>
      <c r="P136">
        <f>IF('Calculations PJ'!P136&lt;&gt;0,'Calculations PJ'!P136*About!$B$45,0)</f>
        <v>0</v>
      </c>
      <c r="Q136">
        <f>IF('Calculations PJ'!Q136&lt;&gt;0,'Calculations PJ'!Q136*About!$B$45,0)</f>
        <v>0</v>
      </c>
      <c r="R136">
        <f>IF('Calculations PJ'!R136&lt;&gt;0,'Calculations PJ'!R136*About!$B$45,0)</f>
        <v>0</v>
      </c>
      <c r="S136">
        <f>IF('Calculations PJ'!S136&lt;&gt;0,'Calculations PJ'!S136*About!$B$45,0)</f>
        <v>0</v>
      </c>
      <c r="T136">
        <f>IF('Calculations PJ'!T136&lt;&gt;0,'Calculations PJ'!T136*About!$B$45,0)</f>
        <v>0</v>
      </c>
      <c r="U136">
        <f>IF('Calculations PJ'!U136&lt;&gt;0,'Calculations PJ'!U136*About!$B$45,0)</f>
        <v>0</v>
      </c>
      <c r="V136">
        <f>IF('Calculations PJ'!V136&lt;&gt;0,'Calculations PJ'!V136*About!$B$45,0)</f>
        <v>0</v>
      </c>
      <c r="W136">
        <f>IF('Calculations PJ'!W136&lt;&gt;0,'Calculations PJ'!W136*About!$B$45,0)</f>
        <v>0</v>
      </c>
      <c r="X136">
        <f>IF('Calculations PJ'!X136&lt;&gt;0,'Calculations PJ'!X136*About!$B$45,0)</f>
        <v>0</v>
      </c>
      <c r="Y136">
        <f>IF('Calculations PJ'!Y136&lt;&gt;0,'Calculations PJ'!Y136*About!$B$45,0)</f>
        <v>0</v>
      </c>
      <c r="Z136">
        <f>IF('Calculations PJ'!Z136&lt;&gt;0,'Calculations PJ'!Z136*About!$B$45,0)</f>
        <v>0</v>
      </c>
      <c r="AA136">
        <f>IF('Calculations PJ'!AA136&lt;&gt;0,'Calculations PJ'!AA136*About!$B$45,0)</f>
        <v>0</v>
      </c>
      <c r="AB136">
        <f>IF('Calculations PJ'!AB136&lt;&gt;0,'Calculations PJ'!AB136*About!$B$45,0)</f>
        <v>0</v>
      </c>
      <c r="AC136">
        <f>IF('Calculations PJ'!AC136&lt;&gt;0,'Calculations PJ'!AC136*About!$B$45,0)</f>
        <v>0</v>
      </c>
      <c r="AD136">
        <f>IF('Calculations PJ'!AD136&lt;&gt;0,'Calculations PJ'!AD136*About!$B$45,0)</f>
        <v>0</v>
      </c>
      <c r="AE136">
        <f>IF('Calculations PJ'!AE136&lt;&gt;0,'Calculations PJ'!AE136*About!$B$45,0)</f>
        <v>0</v>
      </c>
      <c r="AF136">
        <f>IF('Calculations PJ'!AF136&lt;&gt;0,'Calculations PJ'!AF136*About!$B$45,0)</f>
        <v>0</v>
      </c>
      <c r="AG136">
        <f>IF('Calculations PJ'!AG136&lt;&gt;0,'Calculations PJ'!AG136*About!$B$45,0)</f>
        <v>0</v>
      </c>
      <c r="AH136">
        <f>IF('Calculations PJ'!AH136&lt;&gt;0,'Calculations PJ'!AH136*About!$B$45,0)</f>
        <v>0</v>
      </c>
      <c r="AI136">
        <f>IF('Calculations PJ'!AI136&lt;&gt;0,'Calculations PJ'!AI136*About!$B$45,0)</f>
        <v>0</v>
      </c>
      <c r="AJ136">
        <f>IF('Calculations PJ'!AJ136&lt;&gt;0,'Calculations PJ'!AJ136*About!$B$45,0)</f>
        <v>0</v>
      </c>
      <c r="AK136">
        <f>IF('Calculations PJ'!AK136&lt;&gt;0,'Calculations PJ'!AK136*About!$B$45,0)</f>
        <v>0</v>
      </c>
      <c r="AL136">
        <f>IF('Calculations PJ'!AL136&lt;&gt;0,'Calculations PJ'!AL136*About!$B$45,0)</f>
        <v>0</v>
      </c>
      <c r="AM136">
        <f>IF('Calculations PJ'!AM136&lt;&gt;0,'Calculations PJ'!AM136*About!$B$45,0)</f>
        <v>0</v>
      </c>
      <c r="AN136">
        <f>IF('Calculations PJ'!AN136&lt;&gt;0,'Calculations PJ'!AN136*About!$B$45,0)</f>
        <v>0</v>
      </c>
      <c r="AO136">
        <f>IF('Calculations PJ'!AO136&lt;&gt;0,'Calculations PJ'!AO136*About!$B$45,0)</f>
        <v>0</v>
      </c>
      <c r="AP136">
        <f>IF('Calculations PJ'!AP136&lt;&gt;0,'Calculations PJ'!AP136*About!$B$45,0)</f>
        <v>0</v>
      </c>
      <c r="AQ136">
        <f>IF('Calculations PJ'!AQ136&lt;&gt;0,'Calculations PJ'!AQ136*About!$B$45,0)</f>
        <v>0</v>
      </c>
      <c r="AR136">
        <f>IF('Calculations PJ'!AR136&lt;&gt;0,'Calculations PJ'!AR136*About!$B$45,0)</f>
        <v>0</v>
      </c>
      <c r="AS136">
        <f>IF('Calculations PJ'!AS136&lt;&gt;0,'Calculations PJ'!AS136*About!$B$45,0)</f>
        <v>0</v>
      </c>
      <c r="AT136">
        <f>IF('Calculations PJ'!AT136&lt;&gt;0,'Calculations PJ'!AT136*About!$B$45,0)</f>
        <v>0</v>
      </c>
      <c r="AU136">
        <f>IF('Calculations PJ'!AU136&lt;&gt;0,'Calculations PJ'!AU136*About!$B$45,0)</f>
        <v>0</v>
      </c>
      <c r="AV136">
        <f>IF('Calculations PJ'!AV136&lt;&gt;0,'Calculations PJ'!AV136*About!$B$45,0)</f>
        <v>0</v>
      </c>
      <c r="AW136">
        <f>IF('Calculations PJ'!AW136&lt;&gt;0,'Calculations PJ'!AW136*About!$B$45,0)</f>
        <v>0</v>
      </c>
      <c r="AX136">
        <f>IF('Calculations PJ'!AX136&lt;&gt;0,'Calculations PJ'!AX136*About!$B$45,0)</f>
        <v>0</v>
      </c>
      <c r="AY136">
        <f>IF('Calculations PJ'!AY136&lt;&gt;0,'Calculations PJ'!AY136*About!$B$45,0)</f>
        <v>0</v>
      </c>
      <c r="AZ136">
        <f>IF('Calculations PJ'!AZ136&lt;&gt;0,'Calculations PJ'!AZ136*About!$B$45,0)</f>
        <v>0</v>
      </c>
      <c r="BA136">
        <f>IF('Calculations PJ'!BA136&lt;&gt;0,'Calculations PJ'!BA136*About!$B$45,0)</f>
        <v>0</v>
      </c>
      <c r="BB136">
        <f>IF('Calculations PJ'!BB136&lt;&gt;0,'Calculations PJ'!BB136*About!$B$45,0)</f>
        <v>0</v>
      </c>
      <c r="BC136">
        <f>IF('Calculations PJ'!BC136&lt;&gt;0,'Calculations PJ'!BC136*About!$B$45,0)</f>
        <v>0</v>
      </c>
      <c r="BD136">
        <f>IF('Calculations PJ'!BD136&lt;&gt;0,'Calculations PJ'!BD136*About!$B$45,0)</f>
        <v>0</v>
      </c>
      <c r="BE136">
        <f>IF('Calculations PJ'!BE136&lt;&gt;0,'Calculations PJ'!BE136*About!$B$45,0)</f>
        <v>0</v>
      </c>
      <c r="BF136">
        <f>IF('Calculations PJ'!BF136&lt;&gt;0,'Calculations PJ'!BF136*About!$B$45,0)</f>
        <v>0</v>
      </c>
      <c r="BG136">
        <f>IF('Calculations PJ'!BG136&lt;&gt;0,'Calculations PJ'!BG136*About!$B$45,0)</f>
        <v>0</v>
      </c>
      <c r="BH136">
        <f>IF('Calculations PJ'!BH136&lt;&gt;0,'Calculations PJ'!BH136*About!$B$45,0)</f>
        <v>0</v>
      </c>
    </row>
    <row r="137" spans="1:60" hidden="1" outlineLevel="1">
      <c r="B137" t="s">
        <v>130</v>
      </c>
      <c r="C137">
        <f>IF('Calculations PJ'!C137&lt;&gt;0,'Calculations PJ'!C137*About!$B$45,0)</f>
        <v>112407563905218.44</v>
      </c>
      <c r="D137">
        <f>IF('Calculations PJ'!D137&lt;&gt;0,'Calculations PJ'!D137*About!$B$45,0)</f>
        <v>63819894407103.109</v>
      </c>
      <c r="E137">
        <f>IF('Calculations PJ'!E137&lt;&gt;0,'Calculations PJ'!E137*About!$B$45,0)</f>
        <v>62180084258220.164</v>
      </c>
      <c r="F137">
        <f>IF('Calculations PJ'!F137&lt;&gt;0,'Calculations PJ'!F137*About!$B$45,0)</f>
        <v>62616103141738.18</v>
      </c>
      <c r="G137">
        <f>IF('Calculations PJ'!G137&lt;&gt;0,'Calculations PJ'!G137*About!$B$45,0)</f>
        <v>66862547920348.336</v>
      </c>
      <c r="H137">
        <f>IF('Calculations PJ'!H137&lt;&gt;0,'Calculations PJ'!H137*About!$B$45,0)</f>
        <v>70151646889495.047</v>
      </c>
      <c r="I137">
        <f>IF('Calculations PJ'!I137&lt;&gt;0,'Calculations PJ'!I137*About!$B$45,0)</f>
        <v>67582926945291.125</v>
      </c>
      <c r="J137">
        <f>IF('Calculations PJ'!J137&lt;&gt;0,'Calculations PJ'!J137*About!$B$45,0)</f>
        <v>59573449628492.953</v>
      </c>
      <c r="K137">
        <f>IF('Calculations PJ'!K137&lt;&gt;0,'Calculations PJ'!K137*About!$B$45,0)</f>
        <v>69165865065889.109</v>
      </c>
      <c r="L137">
        <f>IF('Calculations PJ'!L137&lt;&gt;0,'Calculations PJ'!L137*About!$B$45,0)</f>
        <v>68729846182371.109</v>
      </c>
      <c r="M137">
        <f>IF('Calculations PJ'!M137&lt;&gt;0,'Calculations PJ'!M137*About!$B$45,0)</f>
        <v>67905201772239.219</v>
      </c>
      <c r="N137">
        <f>IF('Calculations PJ'!N137&lt;&gt;0,'Calculations PJ'!N137*About!$B$45,0)</f>
        <v>67090036033488.164</v>
      </c>
      <c r="O137">
        <f>IF('Calculations PJ'!O137&lt;&gt;0,'Calculations PJ'!O137*About!$B$45,0)</f>
        <v>66265391623356.273</v>
      </c>
      <c r="P137">
        <f>IF('Calculations PJ'!P137&lt;&gt;0,'Calculations PJ'!P137*About!$B$45,0)</f>
        <v>65450225884605.219</v>
      </c>
      <c r="Q137">
        <f>IF('Calculations PJ'!Q137&lt;&gt;0,'Calculations PJ'!Q137*About!$B$45,0)</f>
        <v>64635060145854.164</v>
      </c>
      <c r="R137">
        <f>IF('Calculations PJ'!R137&lt;&gt;0,'Calculations PJ'!R137*About!$B$45,0)</f>
        <v>63810415735722.273</v>
      </c>
      <c r="S137">
        <f>IF('Calculations PJ'!S137&lt;&gt;0,'Calculations PJ'!S137*About!$B$45,0)</f>
        <v>62995249996971.219</v>
      </c>
      <c r="T137">
        <f>IF('Calculations PJ'!T137&lt;&gt;0,'Calculations PJ'!T137*About!$B$45,0)</f>
        <v>62170605586839.344</v>
      </c>
      <c r="U137">
        <f>IF('Calculations PJ'!U137&lt;&gt;0,'Calculations PJ'!U137*About!$B$45,0)</f>
        <v>61355439848088.289</v>
      </c>
      <c r="V137">
        <f>IF('Calculations PJ'!V137&lt;&gt;0,'Calculations PJ'!V137*About!$B$45,0)</f>
        <v>60530795437956.398</v>
      </c>
      <c r="W137">
        <f>IF('Calculations PJ'!W137&lt;&gt;0,'Calculations PJ'!W137*About!$B$45,0)</f>
        <v>59715629699205.344</v>
      </c>
      <c r="X137">
        <f>IF('Calculations PJ'!X137&lt;&gt;0,'Calculations PJ'!X137*About!$B$45,0)</f>
        <v>58890985289073.461</v>
      </c>
      <c r="Y137">
        <f>IF('Calculations PJ'!Y137&lt;&gt;0,'Calculations PJ'!Y137*About!$B$45,0)</f>
        <v>58075819550322.406</v>
      </c>
      <c r="Z137">
        <f>IF('Calculations PJ'!Z137&lt;&gt;0,'Calculations PJ'!Z137*About!$B$45,0)</f>
        <v>57251175140190.516</v>
      </c>
      <c r="AA137">
        <f>IF('Calculations PJ'!AA137&lt;&gt;0,'Calculations PJ'!AA137*About!$B$45,0)</f>
        <v>56436009401439.461</v>
      </c>
      <c r="AB137">
        <f>IF('Calculations PJ'!AB137&lt;&gt;0,'Calculations PJ'!AB137*About!$B$45,0)</f>
        <v>55611364991307.578</v>
      </c>
      <c r="AC137">
        <f>IF('Calculations PJ'!AC137&lt;&gt;0,'Calculations PJ'!AC137*About!$B$45,0)</f>
        <v>54796199252556.523</v>
      </c>
      <c r="AD137">
        <f>IF('Calculations PJ'!AD137&lt;&gt;0,'Calculations PJ'!AD137*About!$B$45,0)</f>
        <v>53981033513805.469</v>
      </c>
      <c r="AE137">
        <f>IF('Calculations PJ'!AE137&lt;&gt;0,'Calculations PJ'!AE137*About!$B$45,0)</f>
        <v>53156389103673.578</v>
      </c>
      <c r="AF137">
        <f>IF('Calculations PJ'!AF137&lt;&gt;0,'Calculations PJ'!AF137*About!$B$45,0)</f>
        <v>52341223364922.523</v>
      </c>
      <c r="AG137">
        <f>IF('Calculations PJ'!AG137&lt;&gt;0,'Calculations PJ'!AG137*About!$B$45,0)</f>
        <v>51516578954790.641</v>
      </c>
      <c r="AH137">
        <f>IF('Calculations PJ'!AH137&lt;&gt;0,'Calculations PJ'!AH137*About!$B$45,0)</f>
        <v>50701413216039.586</v>
      </c>
      <c r="AI137">
        <f>IF('Calculations PJ'!AI137&lt;&gt;0,'Calculations PJ'!AI137*About!$B$45,0)</f>
        <v>49876768805907.703</v>
      </c>
      <c r="AJ137">
        <f>IF('Calculations PJ'!AJ137&lt;&gt;0,'Calculations PJ'!AJ137*About!$B$45,0)</f>
        <v>49061603067156.641</v>
      </c>
      <c r="AK137">
        <f>IF('Calculations PJ'!AK137&lt;&gt;0,'Calculations PJ'!AK137*About!$B$45,0)</f>
        <v>48236958657024.766</v>
      </c>
      <c r="AL137">
        <f>IF('Calculations PJ'!AL137&lt;&gt;0,'Calculations PJ'!AL137*About!$B$45,0)</f>
        <v>47421792918273.703</v>
      </c>
      <c r="AM137">
        <f>IF('Calculations PJ'!AM137&lt;&gt;0,'Calculations PJ'!AM137*About!$B$45,0)</f>
        <v>46597148508141.82</v>
      </c>
      <c r="AN137">
        <f>IF('Calculations PJ'!AN137&lt;&gt;0,'Calculations PJ'!AN137*About!$B$45,0)</f>
        <v>45781982769390.758</v>
      </c>
      <c r="AO137">
        <f>IF('Calculations PJ'!AO137&lt;&gt;0,'Calculations PJ'!AO137*About!$B$45,0)</f>
        <v>45781982769390.758</v>
      </c>
      <c r="AP137">
        <f>IF('Calculations PJ'!AP137&lt;&gt;0,'Calculations PJ'!AP137*About!$B$45,0)</f>
        <v>45781982769390.758</v>
      </c>
      <c r="AQ137">
        <f>IF('Calculations PJ'!AQ137&lt;&gt;0,'Calculations PJ'!AQ137*About!$B$45,0)</f>
        <v>45781982769390.758</v>
      </c>
      <c r="AR137">
        <f>IF('Calculations PJ'!AR137&lt;&gt;0,'Calculations PJ'!AR137*About!$B$45,0)</f>
        <v>45781982769390.758</v>
      </c>
      <c r="AS137">
        <f>IF('Calculations PJ'!AS137&lt;&gt;0,'Calculations PJ'!AS137*About!$B$45,0)</f>
        <v>45781982769390.758</v>
      </c>
      <c r="AT137">
        <f>IF('Calculations PJ'!AT137&lt;&gt;0,'Calculations PJ'!AT137*About!$B$45,0)</f>
        <v>45781982769390.758</v>
      </c>
      <c r="AU137">
        <f>IF('Calculations PJ'!AU137&lt;&gt;0,'Calculations PJ'!AU137*About!$B$45,0)</f>
        <v>45781982769390.758</v>
      </c>
      <c r="AV137">
        <f>IF('Calculations PJ'!AV137&lt;&gt;0,'Calculations PJ'!AV137*About!$B$45,0)</f>
        <v>45781982769390.758</v>
      </c>
      <c r="AW137">
        <f>IF('Calculations PJ'!AW137&lt;&gt;0,'Calculations PJ'!AW137*About!$B$45,0)</f>
        <v>45781982769390.758</v>
      </c>
      <c r="AX137">
        <f>IF('Calculations PJ'!AX137&lt;&gt;0,'Calculations PJ'!AX137*About!$B$45,0)</f>
        <v>45781982769390.758</v>
      </c>
      <c r="AY137">
        <f>IF('Calculations PJ'!AY137&lt;&gt;0,'Calculations PJ'!AY137*About!$B$45,0)</f>
        <v>45781982769390.758</v>
      </c>
      <c r="AZ137">
        <f>IF('Calculations PJ'!AZ137&lt;&gt;0,'Calculations PJ'!AZ137*About!$B$45,0)</f>
        <v>45781982769390.758</v>
      </c>
      <c r="BA137">
        <f>IF('Calculations PJ'!BA137&lt;&gt;0,'Calculations PJ'!BA137*About!$B$45,0)</f>
        <v>45781982769390.758</v>
      </c>
      <c r="BB137">
        <f>IF('Calculations PJ'!BB137&lt;&gt;0,'Calculations PJ'!BB137*About!$B$45,0)</f>
        <v>45781982769390.758</v>
      </c>
      <c r="BC137">
        <f>IF('Calculations PJ'!BC137&lt;&gt;0,'Calculations PJ'!BC137*About!$B$45,0)</f>
        <v>45781982769390.758</v>
      </c>
      <c r="BD137">
        <f>IF('Calculations PJ'!BD137&lt;&gt;0,'Calculations PJ'!BD137*About!$B$45,0)</f>
        <v>45781982769390.758</v>
      </c>
      <c r="BE137">
        <f>IF('Calculations PJ'!BE137&lt;&gt;0,'Calculations PJ'!BE137*About!$B$45,0)</f>
        <v>45781982769390.758</v>
      </c>
      <c r="BF137">
        <f>IF('Calculations PJ'!BF137&lt;&gt;0,'Calculations PJ'!BF137*About!$B$45,0)</f>
        <v>45781982769390.758</v>
      </c>
      <c r="BG137">
        <f>IF('Calculations PJ'!BG137&lt;&gt;0,'Calculations PJ'!BG137*About!$B$45,0)</f>
        <v>45781982769390.758</v>
      </c>
      <c r="BH137">
        <f>IF('Calculations PJ'!BH137&lt;&gt;0,'Calculations PJ'!BH137*About!$B$45,0)</f>
        <v>45781982769390.758</v>
      </c>
    </row>
    <row r="138" spans="1:60" hidden="1" outlineLevel="1">
      <c r="B138" t="s">
        <v>131</v>
      </c>
      <c r="C138">
        <f>IF('Calculations PJ'!C138&lt;&gt;0,'Calculations PJ'!C138*About!$B$45,0)</f>
        <v>0</v>
      </c>
      <c r="D138">
        <f>IF('Calculations PJ'!D138&lt;&gt;0,'Calculations PJ'!D138*About!$B$45,0)</f>
        <v>0</v>
      </c>
      <c r="E138">
        <f>IF('Calculations PJ'!E138&lt;&gt;0,'Calculations PJ'!E138*About!$B$45,0)</f>
        <v>0</v>
      </c>
      <c r="F138">
        <f>IF('Calculations PJ'!F138&lt;&gt;0,'Calculations PJ'!F138*About!$B$45,0)</f>
        <v>0</v>
      </c>
      <c r="G138">
        <f>IF('Calculations PJ'!G138&lt;&gt;0,'Calculations PJ'!G138*About!$B$45,0)</f>
        <v>0</v>
      </c>
      <c r="H138">
        <f>IF('Calculations PJ'!H138&lt;&gt;0,'Calculations PJ'!H138*About!$B$45,0)</f>
        <v>0</v>
      </c>
      <c r="I138">
        <f>IF('Calculations PJ'!I138&lt;&gt;0,'Calculations PJ'!I138*About!$B$45,0)</f>
        <v>0</v>
      </c>
      <c r="J138">
        <f>IF('Calculations PJ'!J138&lt;&gt;0,'Calculations PJ'!J138*About!$B$45,0)</f>
        <v>0</v>
      </c>
      <c r="K138">
        <f>IF('Calculations PJ'!K138&lt;&gt;0,'Calculations PJ'!K138*About!$B$45,0)</f>
        <v>0</v>
      </c>
      <c r="L138">
        <f>IF('Calculations PJ'!L138&lt;&gt;0,'Calculations PJ'!L138*About!$B$45,0)</f>
        <v>0</v>
      </c>
      <c r="M138">
        <f>IF('Calculations PJ'!M138&lt;&gt;0,'Calculations PJ'!M138*About!$B$45,0)</f>
        <v>0</v>
      </c>
      <c r="N138">
        <f>IF('Calculations PJ'!N138&lt;&gt;0,'Calculations PJ'!N138*About!$B$45,0)</f>
        <v>0</v>
      </c>
      <c r="O138">
        <f>IF('Calculations PJ'!O138&lt;&gt;0,'Calculations PJ'!O138*About!$B$45,0)</f>
        <v>0</v>
      </c>
      <c r="P138">
        <f>IF('Calculations PJ'!P138&lt;&gt;0,'Calculations PJ'!P138*About!$B$45,0)</f>
        <v>0</v>
      </c>
      <c r="Q138">
        <f>IF('Calculations PJ'!Q138&lt;&gt;0,'Calculations PJ'!Q138*About!$B$45,0)</f>
        <v>0</v>
      </c>
      <c r="R138">
        <f>IF('Calculations PJ'!R138&lt;&gt;0,'Calculations PJ'!R138*About!$B$45,0)</f>
        <v>0</v>
      </c>
      <c r="S138">
        <f>IF('Calculations PJ'!S138&lt;&gt;0,'Calculations PJ'!S138*About!$B$45,0)</f>
        <v>0</v>
      </c>
      <c r="T138">
        <f>IF('Calculations PJ'!T138&lt;&gt;0,'Calculations PJ'!T138*About!$B$45,0)</f>
        <v>0</v>
      </c>
      <c r="U138">
        <f>IF('Calculations PJ'!U138&lt;&gt;0,'Calculations PJ'!U138*About!$B$45,0)</f>
        <v>0</v>
      </c>
      <c r="V138">
        <f>IF('Calculations PJ'!V138&lt;&gt;0,'Calculations PJ'!V138*About!$B$45,0)</f>
        <v>0</v>
      </c>
      <c r="W138">
        <f>IF('Calculations PJ'!W138&lt;&gt;0,'Calculations PJ'!W138*About!$B$45,0)</f>
        <v>0</v>
      </c>
      <c r="X138">
        <f>IF('Calculations PJ'!X138&lt;&gt;0,'Calculations PJ'!X138*About!$B$45,0)</f>
        <v>0</v>
      </c>
      <c r="Y138">
        <f>IF('Calculations PJ'!Y138&lt;&gt;0,'Calculations PJ'!Y138*About!$B$45,0)</f>
        <v>0</v>
      </c>
      <c r="Z138">
        <f>IF('Calculations PJ'!Z138&lt;&gt;0,'Calculations PJ'!Z138*About!$B$45,0)</f>
        <v>0</v>
      </c>
      <c r="AA138">
        <f>IF('Calculations PJ'!AA138&lt;&gt;0,'Calculations PJ'!AA138*About!$B$45,0)</f>
        <v>0</v>
      </c>
      <c r="AB138">
        <f>IF('Calculations PJ'!AB138&lt;&gt;0,'Calculations PJ'!AB138*About!$B$45,0)</f>
        <v>0</v>
      </c>
      <c r="AC138">
        <f>IF('Calculations PJ'!AC138&lt;&gt;0,'Calculations PJ'!AC138*About!$B$45,0)</f>
        <v>0</v>
      </c>
      <c r="AD138">
        <f>IF('Calculations PJ'!AD138&lt;&gt;0,'Calculations PJ'!AD138*About!$B$45,0)</f>
        <v>0</v>
      </c>
      <c r="AE138">
        <f>IF('Calculations PJ'!AE138&lt;&gt;0,'Calculations PJ'!AE138*About!$B$45,0)</f>
        <v>0</v>
      </c>
      <c r="AF138">
        <f>IF('Calculations PJ'!AF138&lt;&gt;0,'Calculations PJ'!AF138*About!$B$45,0)</f>
        <v>0</v>
      </c>
      <c r="AG138">
        <f>IF('Calculations PJ'!AG138&lt;&gt;0,'Calculations PJ'!AG138*About!$B$45,0)</f>
        <v>0</v>
      </c>
      <c r="AH138">
        <f>IF('Calculations PJ'!AH138&lt;&gt;0,'Calculations PJ'!AH138*About!$B$45,0)</f>
        <v>0</v>
      </c>
      <c r="AI138">
        <f>IF('Calculations PJ'!AI138&lt;&gt;0,'Calculations PJ'!AI138*About!$B$45,0)</f>
        <v>0</v>
      </c>
      <c r="AJ138">
        <f>IF('Calculations PJ'!AJ138&lt;&gt;0,'Calculations PJ'!AJ138*About!$B$45,0)</f>
        <v>0</v>
      </c>
      <c r="AK138">
        <f>IF('Calculations PJ'!AK138&lt;&gt;0,'Calculations PJ'!AK138*About!$B$45,0)</f>
        <v>0</v>
      </c>
      <c r="AL138">
        <f>IF('Calculations PJ'!AL138&lt;&gt;0,'Calculations PJ'!AL138*About!$B$45,0)</f>
        <v>0</v>
      </c>
      <c r="AM138">
        <f>IF('Calculations PJ'!AM138&lt;&gt;0,'Calculations PJ'!AM138*About!$B$45,0)</f>
        <v>0</v>
      </c>
      <c r="AN138">
        <f>IF('Calculations PJ'!AN138&lt;&gt;0,'Calculations PJ'!AN138*About!$B$45,0)</f>
        <v>0</v>
      </c>
      <c r="AO138">
        <f>IF('Calculations PJ'!AO138&lt;&gt;0,'Calculations PJ'!AO138*About!$B$45,0)</f>
        <v>0</v>
      </c>
      <c r="AP138">
        <f>IF('Calculations PJ'!AP138&lt;&gt;0,'Calculations PJ'!AP138*About!$B$45,0)</f>
        <v>0</v>
      </c>
      <c r="AQ138">
        <f>IF('Calculations PJ'!AQ138&lt;&gt;0,'Calculations PJ'!AQ138*About!$B$45,0)</f>
        <v>0</v>
      </c>
      <c r="AR138">
        <f>IF('Calculations PJ'!AR138&lt;&gt;0,'Calculations PJ'!AR138*About!$B$45,0)</f>
        <v>0</v>
      </c>
      <c r="AS138">
        <f>IF('Calculations PJ'!AS138&lt;&gt;0,'Calculations PJ'!AS138*About!$B$45,0)</f>
        <v>0</v>
      </c>
      <c r="AT138">
        <f>IF('Calculations PJ'!AT138&lt;&gt;0,'Calculations PJ'!AT138*About!$B$45,0)</f>
        <v>0</v>
      </c>
      <c r="AU138">
        <f>IF('Calculations PJ'!AU138&lt;&gt;0,'Calculations PJ'!AU138*About!$B$45,0)</f>
        <v>0</v>
      </c>
      <c r="AV138">
        <f>IF('Calculations PJ'!AV138&lt;&gt;0,'Calculations PJ'!AV138*About!$B$45,0)</f>
        <v>0</v>
      </c>
      <c r="AW138">
        <f>IF('Calculations PJ'!AW138&lt;&gt;0,'Calculations PJ'!AW138*About!$B$45,0)</f>
        <v>0</v>
      </c>
      <c r="AX138">
        <f>IF('Calculations PJ'!AX138&lt;&gt;0,'Calculations PJ'!AX138*About!$B$45,0)</f>
        <v>0</v>
      </c>
      <c r="AY138">
        <f>IF('Calculations PJ'!AY138&lt;&gt;0,'Calculations PJ'!AY138*About!$B$45,0)</f>
        <v>0</v>
      </c>
      <c r="AZ138">
        <f>IF('Calculations PJ'!AZ138&lt;&gt;0,'Calculations PJ'!AZ138*About!$B$45,0)</f>
        <v>0</v>
      </c>
      <c r="BA138">
        <f>IF('Calculations PJ'!BA138&lt;&gt;0,'Calculations PJ'!BA138*About!$B$45,0)</f>
        <v>0</v>
      </c>
      <c r="BB138">
        <f>IF('Calculations PJ'!BB138&lt;&gt;0,'Calculations PJ'!BB138*About!$B$45,0)</f>
        <v>0</v>
      </c>
      <c r="BC138">
        <f>IF('Calculations PJ'!BC138&lt;&gt;0,'Calculations PJ'!BC138*About!$B$45,0)</f>
        <v>0</v>
      </c>
      <c r="BD138">
        <f>IF('Calculations PJ'!BD138&lt;&gt;0,'Calculations PJ'!BD138*About!$B$45,0)</f>
        <v>0</v>
      </c>
      <c r="BE138">
        <f>IF('Calculations PJ'!BE138&lt;&gt;0,'Calculations PJ'!BE138*About!$B$45,0)</f>
        <v>0</v>
      </c>
      <c r="BF138">
        <f>IF('Calculations PJ'!BF138&lt;&gt;0,'Calculations PJ'!BF138*About!$B$45,0)</f>
        <v>0</v>
      </c>
      <c r="BG138">
        <f>IF('Calculations PJ'!BG138&lt;&gt;0,'Calculations PJ'!BG138*About!$B$45,0)</f>
        <v>0</v>
      </c>
      <c r="BH138">
        <f>IF('Calculations PJ'!BH138&lt;&gt;0,'Calculations PJ'!BH138*About!$B$45,0)</f>
        <v>0</v>
      </c>
    </row>
    <row r="139" spans="1:60" hidden="1" outlineLevel="1">
      <c r="B139" t="s">
        <v>132</v>
      </c>
      <c r="C139">
        <f>IF('Calculations PJ'!C139&lt;&gt;0,'Calculations PJ'!C139*About!$B$45,0)</f>
        <v>0</v>
      </c>
      <c r="D139">
        <f>IF('Calculations PJ'!D139&lt;&gt;0,'Calculations PJ'!D139*About!$B$45,0)</f>
        <v>0</v>
      </c>
      <c r="E139">
        <f>IF('Calculations PJ'!E139&lt;&gt;0,'Calculations PJ'!E139*About!$B$45,0)</f>
        <v>0</v>
      </c>
      <c r="F139">
        <f>IF('Calculations PJ'!F139&lt;&gt;0,'Calculations PJ'!F139*About!$B$45,0)</f>
        <v>0</v>
      </c>
      <c r="G139">
        <f>IF('Calculations PJ'!G139&lt;&gt;0,'Calculations PJ'!G139*About!$B$45,0)</f>
        <v>0</v>
      </c>
      <c r="H139">
        <f>IF('Calculations PJ'!H139&lt;&gt;0,'Calculations PJ'!H139*About!$B$45,0)</f>
        <v>0</v>
      </c>
      <c r="I139">
        <f>IF('Calculations PJ'!I139&lt;&gt;0,'Calculations PJ'!I139*About!$B$45,0)</f>
        <v>0</v>
      </c>
      <c r="J139">
        <f>IF('Calculations PJ'!J139&lt;&gt;0,'Calculations PJ'!J139*About!$B$45,0)</f>
        <v>0</v>
      </c>
      <c r="K139">
        <f>IF('Calculations PJ'!K139&lt;&gt;0,'Calculations PJ'!K139*About!$B$45,0)</f>
        <v>0</v>
      </c>
      <c r="L139">
        <f>IF('Calculations PJ'!L139&lt;&gt;0,'Calculations PJ'!L139*About!$B$45,0)</f>
        <v>0</v>
      </c>
      <c r="M139">
        <f>IF('Calculations PJ'!M139&lt;&gt;0,'Calculations PJ'!M139*About!$B$45,0)</f>
        <v>0</v>
      </c>
      <c r="N139">
        <f>IF('Calculations PJ'!N139&lt;&gt;0,'Calculations PJ'!N139*About!$B$45,0)</f>
        <v>0</v>
      </c>
      <c r="O139">
        <f>IF('Calculations PJ'!O139&lt;&gt;0,'Calculations PJ'!O139*About!$B$45,0)</f>
        <v>0</v>
      </c>
      <c r="P139">
        <f>IF('Calculations PJ'!P139&lt;&gt;0,'Calculations PJ'!P139*About!$B$45,0)</f>
        <v>0</v>
      </c>
      <c r="Q139">
        <f>IF('Calculations PJ'!Q139&lt;&gt;0,'Calculations PJ'!Q139*About!$B$45,0)</f>
        <v>0</v>
      </c>
      <c r="R139">
        <f>IF('Calculations PJ'!R139&lt;&gt;0,'Calculations PJ'!R139*About!$B$45,0)</f>
        <v>0</v>
      </c>
      <c r="S139">
        <f>IF('Calculations PJ'!S139&lt;&gt;0,'Calculations PJ'!S139*About!$B$45,0)</f>
        <v>0</v>
      </c>
      <c r="T139">
        <f>IF('Calculations PJ'!T139&lt;&gt;0,'Calculations PJ'!T139*About!$B$45,0)</f>
        <v>0</v>
      </c>
      <c r="U139">
        <f>IF('Calculations PJ'!U139&lt;&gt;0,'Calculations PJ'!U139*About!$B$45,0)</f>
        <v>0</v>
      </c>
      <c r="V139">
        <f>IF('Calculations PJ'!V139&lt;&gt;0,'Calculations PJ'!V139*About!$B$45,0)</f>
        <v>0</v>
      </c>
      <c r="W139">
        <f>IF('Calculations PJ'!W139&lt;&gt;0,'Calculations PJ'!W139*About!$B$45,0)</f>
        <v>0</v>
      </c>
      <c r="X139">
        <f>IF('Calculations PJ'!X139&lt;&gt;0,'Calculations PJ'!X139*About!$B$45,0)</f>
        <v>0</v>
      </c>
      <c r="Y139">
        <f>IF('Calculations PJ'!Y139&lt;&gt;0,'Calculations PJ'!Y139*About!$B$45,0)</f>
        <v>0</v>
      </c>
      <c r="Z139">
        <f>IF('Calculations PJ'!Z139&lt;&gt;0,'Calculations PJ'!Z139*About!$B$45,0)</f>
        <v>0</v>
      </c>
      <c r="AA139">
        <f>IF('Calculations PJ'!AA139&lt;&gt;0,'Calculations PJ'!AA139*About!$B$45,0)</f>
        <v>0</v>
      </c>
      <c r="AB139">
        <f>IF('Calculations PJ'!AB139&lt;&gt;0,'Calculations PJ'!AB139*About!$B$45,0)</f>
        <v>0</v>
      </c>
      <c r="AC139">
        <f>IF('Calculations PJ'!AC139&lt;&gt;0,'Calculations PJ'!AC139*About!$B$45,0)</f>
        <v>0</v>
      </c>
      <c r="AD139">
        <f>IF('Calculations PJ'!AD139&lt;&gt;0,'Calculations PJ'!AD139*About!$B$45,0)</f>
        <v>0</v>
      </c>
      <c r="AE139">
        <f>IF('Calculations PJ'!AE139&lt;&gt;0,'Calculations PJ'!AE139*About!$B$45,0)</f>
        <v>0</v>
      </c>
      <c r="AF139">
        <f>IF('Calculations PJ'!AF139&lt;&gt;0,'Calculations PJ'!AF139*About!$B$45,0)</f>
        <v>0</v>
      </c>
      <c r="AG139">
        <f>IF('Calculations PJ'!AG139&lt;&gt;0,'Calculations PJ'!AG139*About!$B$45,0)</f>
        <v>0</v>
      </c>
      <c r="AH139">
        <f>IF('Calculations PJ'!AH139&lt;&gt;0,'Calculations PJ'!AH139*About!$B$45,0)</f>
        <v>0</v>
      </c>
      <c r="AI139">
        <f>IF('Calculations PJ'!AI139&lt;&gt;0,'Calculations PJ'!AI139*About!$B$45,0)</f>
        <v>0</v>
      </c>
      <c r="AJ139">
        <f>IF('Calculations PJ'!AJ139&lt;&gt;0,'Calculations PJ'!AJ139*About!$B$45,0)</f>
        <v>0</v>
      </c>
      <c r="AK139">
        <f>IF('Calculations PJ'!AK139&lt;&gt;0,'Calculations PJ'!AK139*About!$B$45,0)</f>
        <v>0</v>
      </c>
      <c r="AL139">
        <f>IF('Calculations PJ'!AL139&lt;&gt;0,'Calculations PJ'!AL139*About!$B$45,0)</f>
        <v>0</v>
      </c>
      <c r="AM139">
        <f>IF('Calculations PJ'!AM139&lt;&gt;0,'Calculations PJ'!AM139*About!$B$45,0)</f>
        <v>0</v>
      </c>
      <c r="AN139">
        <f>IF('Calculations PJ'!AN139&lt;&gt;0,'Calculations PJ'!AN139*About!$B$45,0)</f>
        <v>0</v>
      </c>
      <c r="AO139">
        <f>IF('Calculations PJ'!AO139&lt;&gt;0,'Calculations PJ'!AO139*About!$B$45,0)</f>
        <v>0</v>
      </c>
      <c r="AP139">
        <f>IF('Calculations PJ'!AP139&lt;&gt;0,'Calculations PJ'!AP139*About!$B$45,0)</f>
        <v>0</v>
      </c>
      <c r="AQ139">
        <f>IF('Calculations PJ'!AQ139&lt;&gt;0,'Calculations PJ'!AQ139*About!$B$45,0)</f>
        <v>0</v>
      </c>
      <c r="AR139">
        <f>IF('Calculations PJ'!AR139&lt;&gt;0,'Calculations PJ'!AR139*About!$B$45,0)</f>
        <v>0</v>
      </c>
      <c r="AS139">
        <f>IF('Calculations PJ'!AS139&lt;&gt;0,'Calculations PJ'!AS139*About!$B$45,0)</f>
        <v>0</v>
      </c>
      <c r="AT139">
        <f>IF('Calculations PJ'!AT139&lt;&gt;0,'Calculations PJ'!AT139*About!$B$45,0)</f>
        <v>0</v>
      </c>
      <c r="AU139">
        <f>IF('Calculations PJ'!AU139&lt;&gt;0,'Calculations PJ'!AU139*About!$B$45,0)</f>
        <v>0</v>
      </c>
      <c r="AV139">
        <f>IF('Calculations PJ'!AV139&lt;&gt;0,'Calculations PJ'!AV139*About!$B$45,0)</f>
        <v>0</v>
      </c>
      <c r="AW139">
        <f>IF('Calculations PJ'!AW139&lt;&gt;0,'Calculations PJ'!AW139*About!$B$45,0)</f>
        <v>0</v>
      </c>
      <c r="AX139">
        <f>IF('Calculations PJ'!AX139&lt;&gt;0,'Calculations PJ'!AX139*About!$B$45,0)</f>
        <v>0</v>
      </c>
      <c r="AY139">
        <f>IF('Calculations PJ'!AY139&lt;&gt;0,'Calculations PJ'!AY139*About!$B$45,0)</f>
        <v>0</v>
      </c>
      <c r="AZ139">
        <f>IF('Calculations PJ'!AZ139&lt;&gt;0,'Calculations PJ'!AZ139*About!$B$45,0)</f>
        <v>0</v>
      </c>
      <c r="BA139">
        <f>IF('Calculations PJ'!BA139&lt;&gt;0,'Calculations PJ'!BA139*About!$B$45,0)</f>
        <v>0</v>
      </c>
      <c r="BB139">
        <f>IF('Calculations PJ'!BB139&lt;&gt;0,'Calculations PJ'!BB139*About!$B$45,0)</f>
        <v>0</v>
      </c>
      <c r="BC139">
        <f>IF('Calculations PJ'!BC139&lt;&gt;0,'Calculations PJ'!BC139*About!$B$45,0)</f>
        <v>0</v>
      </c>
      <c r="BD139">
        <f>IF('Calculations PJ'!BD139&lt;&gt;0,'Calculations PJ'!BD139*About!$B$45,0)</f>
        <v>0</v>
      </c>
      <c r="BE139">
        <f>IF('Calculations PJ'!BE139&lt;&gt;0,'Calculations PJ'!BE139*About!$B$45,0)</f>
        <v>0</v>
      </c>
      <c r="BF139">
        <f>IF('Calculations PJ'!BF139&lt;&gt;0,'Calculations PJ'!BF139*About!$B$45,0)</f>
        <v>0</v>
      </c>
      <c r="BG139">
        <f>IF('Calculations PJ'!BG139&lt;&gt;0,'Calculations PJ'!BG139*About!$B$45,0)</f>
        <v>0</v>
      </c>
      <c r="BH139">
        <f>IF('Calculations PJ'!BH139&lt;&gt;0,'Calculations PJ'!BH139*About!$B$45,0)</f>
        <v>0</v>
      </c>
    </row>
    <row r="140" spans="1:60" hidden="1" outlineLevel="1">
      <c r="B140" t="s">
        <v>133</v>
      </c>
      <c r="C140">
        <f>IF('Calculations PJ'!C140&lt;&gt;0,'Calculations PJ'!C140*About!$B$45,0)</f>
        <v>0</v>
      </c>
      <c r="D140">
        <f>IF('Calculations PJ'!D140&lt;&gt;0,'Calculations PJ'!D140*About!$B$45,0)</f>
        <v>0</v>
      </c>
      <c r="E140">
        <f>IF('Calculations PJ'!E140&lt;&gt;0,'Calculations PJ'!E140*About!$B$45,0)</f>
        <v>0</v>
      </c>
      <c r="F140">
        <f>IF('Calculations PJ'!F140&lt;&gt;0,'Calculations PJ'!F140*About!$B$45,0)</f>
        <v>0</v>
      </c>
      <c r="G140">
        <f>IF('Calculations PJ'!G140&lt;&gt;0,'Calculations PJ'!G140*About!$B$45,0)</f>
        <v>0</v>
      </c>
      <c r="H140">
        <f>IF('Calculations PJ'!H140&lt;&gt;0,'Calculations PJ'!H140*About!$B$45,0)</f>
        <v>0</v>
      </c>
      <c r="I140">
        <f>IF('Calculations PJ'!I140&lt;&gt;0,'Calculations PJ'!I140*About!$B$45,0)</f>
        <v>0</v>
      </c>
      <c r="J140">
        <f>IF('Calculations PJ'!J140&lt;&gt;0,'Calculations PJ'!J140*About!$B$45,0)</f>
        <v>0</v>
      </c>
      <c r="K140">
        <f>IF('Calculations PJ'!K140&lt;&gt;0,'Calculations PJ'!K140*About!$B$45,0)</f>
        <v>0</v>
      </c>
      <c r="L140">
        <f>IF('Calculations PJ'!L140&lt;&gt;0,'Calculations PJ'!L140*About!$B$45,0)</f>
        <v>0</v>
      </c>
      <c r="M140">
        <f>IF('Calculations PJ'!M140&lt;&gt;0,'Calculations PJ'!M140*About!$B$45,0)</f>
        <v>0</v>
      </c>
      <c r="N140">
        <f>IF('Calculations PJ'!N140&lt;&gt;0,'Calculations PJ'!N140*About!$B$45,0)</f>
        <v>0</v>
      </c>
      <c r="O140">
        <f>IF('Calculations PJ'!O140&lt;&gt;0,'Calculations PJ'!O140*About!$B$45,0)</f>
        <v>0</v>
      </c>
      <c r="P140">
        <f>IF('Calculations PJ'!P140&lt;&gt;0,'Calculations PJ'!P140*About!$B$45,0)</f>
        <v>0</v>
      </c>
      <c r="Q140">
        <f>IF('Calculations PJ'!Q140&lt;&gt;0,'Calculations PJ'!Q140*About!$B$45,0)</f>
        <v>0</v>
      </c>
      <c r="R140">
        <f>IF('Calculations PJ'!R140&lt;&gt;0,'Calculations PJ'!R140*About!$B$45,0)</f>
        <v>0</v>
      </c>
      <c r="S140">
        <f>IF('Calculations PJ'!S140&lt;&gt;0,'Calculations PJ'!S140*About!$B$45,0)</f>
        <v>0</v>
      </c>
      <c r="T140">
        <f>IF('Calculations PJ'!T140&lt;&gt;0,'Calculations PJ'!T140*About!$B$45,0)</f>
        <v>0</v>
      </c>
      <c r="U140">
        <f>IF('Calculations PJ'!U140&lt;&gt;0,'Calculations PJ'!U140*About!$B$45,0)</f>
        <v>0</v>
      </c>
      <c r="V140">
        <f>IF('Calculations PJ'!V140&lt;&gt;0,'Calculations PJ'!V140*About!$B$45,0)</f>
        <v>0</v>
      </c>
      <c r="W140">
        <f>IF('Calculations PJ'!W140&lt;&gt;0,'Calculations PJ'!W140*About!$B$45,0)</f>
        <v>0</v>
      </c>
      <c r="X140">
        <f>IF('Calculations PJ'!X140&lt;&gt;0,'Calculations PJ'!X140*About!$B$45,0)</f>
        <v>0</v>
      </c>
      <c r="Y140">
        <f>IF('Calculations PJ'!Y140&lt;&gt;0,'Calculations PJ'!Y140*About!$B$45,0)</f>
        <v>0</v>
      </c>
      <c r="Z140">
        <f>IF('Calculations PJ'!Z140&lt;&gt;0,'Calculations PJ'!Z140*About!$B$45,0)</f>
        <v>0</v>
      </c>
      <c r="AA140">
        <f>IF('Calculations PJ'!AA140&lt;&gt;0,'Calculations PJ'!AA140*About!$B$45,0)</f>
        <v>0</v>
      </c>
      <c r="AB140">
        <f>IF('Calculations PJ'!AB140&lt;&gt;0,'Calculations PJ'!AB140*About!$B$45,0)</f>
        <v>0</v>
      </c>
      <c r="AC140">
        <f>IF('Calculations PJ'!AC140&lt;&gt;0,'Calculations PJ'!AC140*About!$B$45,0)</f>
        <v>0</v>
      </c>
      <c r="AD140">
        <f>IF('Calculations PJ'!AD140&lt;&gt;0,'Calculations PJ'!AD140*About!$B$45,0)</f>
        <v>0</v>
      </c>
      <c r="AE140">
        <f>IF('Calculations PJ'!AE140&lt;&gt;0,'Calculations PJ'!AE140*About!$B$45,0)</f>
        <v>0</v>
      </c>
      <c r="AF140">
        <f>IF('Calculations PJ'!AF140&lt;&gt;0,'Calculations PJ'!AF140*About!$B$45,0)</f>
        <v>0</v>
      </c>
      <c r="AG140">
        <f>IF('Calculations PJ'!AG140&lt;&gt;0,'Calculations PJ'!AG140*About!$B$45,0)</f>
        <v>0</v>
      </c>
      <c r="AH140">
        <f>IF('Calculations PJ'!AH140&lt;&gt;0,'Calculations PJ'!AH140*About!$B$45,0)</f>
        <v>0</v>
      </c>
      <c r="AI140">
        <f>IF('Calculations PJ'!AI140&lt;&gt;0,'Calculations PJ'!AI140*About!$B$45,0)</f>
        <v>0</v>
      </c>
      <c r="AJ140">
        <f>IF('Calculations PJ'!AJ140&lt;&gt;0,'Calculations PJ'!AJ140*About!$B$45,0)</f>
        <v>0</v>
      </c>
      <c r="AK140">
        <f>IF('Calculations PJ'!AK140&lt;&gt;0,'Calculations PJ'!AK140*About!$B$45,0)</f>
        <v>0</v>
      </c>
      <c r="AL140">
        <f>IF('Calculations PJ'!AL140&lt;&gt;0,'Calculations PJ'!AL140*About!$B$45,0)</f>
        <v>0</v>
      </c>
      <c r="AM140">
        <f>IF('Calculations PJ'!AM140&lt;&gt;0,'Calculations PJ'!AM140*About!$B$45,0)</f>
        <v>0</v>
      </c>
      <c r="AN140">
        <f>IF('Calculations PJ'!AN140&lt;&gt;0,'Calculations PJ'!AN140*About!$B$45,0)</f>
        <v>0</v>
      </c>
      <c r="AO140">
        <f>IF('Calculations PJ'!AO140&lt;&gt;0,'Calculations PJ'!AO140*About!$B$45,0)</f>
        <v>0</v>
      </c>
      <c r="AP140">
        <f>IF('Calculations PJ'!AP140&lt;&gt;0,'Calculations PJ'!AP140*About!$B$45,0)</f>
        <v>0</v>
      </c>
      <c r="AQ140">
        <f>IF('Calculations PJ'!AQ140&lt;&gt;0,'Calculations PJ'!AQ140*About!$B$45,0)</f>
        <v>0</v>
      </c>
      <c r="AR140">
        <f>IF('Calculations PJ'!AR140&lt;&gt;0,'Calculations PJ'!AR140*About!$B$45,0)</f>
        <v>0</v>
      </c>
      <c r="AS140">
        <f>IF('Calculations PJ'!AS140&lt;&gt;0,'Calculations PJ'!AS140*About!$B$45,0)</f>
        <v>0</v>
      </c>
      <c r="AT140">
        <f>IF('Calculations PJ'!AT140&lt;&gt;0,'Calculations PJ'!AT140*About!$B$45,0)</f>
        <v>0</v>
      </c>
      <c r="AU140">
        <f>IF('Calculations PJ'!AU140&lt;&gt;0,'Calculations PJ'!AU140*About!$B$45,0)</f>
        <v>0</v>
      </c>
      <c r="AV140">
        <f>IF('Calculations PJ'!AV140&lt;&gt;0,'Calculations PJ'!AV140*About!$B$45,0)</f>
        <v>0</v>
      </c>
      <c r="AW140">
        <f>IF('Calculations PJ'!AW140&lt;&gt;0,'Calculations PJ'!AW140*About!$B$45,0)</f>
        <v>0</v>
      </c>
      <c r="AX140">
        <f>IF('Calculations PJ'!AX140&lt;&gt;0,'Calculations PJ'!AX140*About!$B$45,0)</f>
        <v>0</v>
      </c>
      <c r="AY140">
        <f>IF('Calculations PJ'!AY140&lt;&gt;0,'Calculations PJ'!AY140*About!$B$45,0)</f>
        <v>0</v>
      </c>
      <c r="AZ140">
        <f>IF('Calculations PJ'!AZ140&lt;&gt;0,'Calculations PJ'!AZ140*About!$B$45,0)</f>
        <v>0</v>
      </c>
      <c r="BA140">
        <f>IF('Calculations PJ'!BA140&lt;&gt;0,'Calculations PJ'!BA140*About!$B$45,0)</f>
        <v>0</v>
      </c>
      <c r="BB140">
        <f>IF('Calculations PJ'!BB140&lt;&gt;0,'Calculations PJ'!BB140*About!$B$45,0)</f>
        <v>0</v>
      </c>
      <c r="BC140">
        <f>IF('Calculations PJ'!BC140&lt;&gt;0,'Calculations PJ'!BC140*About!$B$45,0)</f>
        <v>0</v>
      </c>
      <c r="BD140">
        <f>IF('Calculations PJ'!BD140&lt;&gt;0,'Calculations PJ'!BD140*About!$B$45,0)</f>
        <v>0</v>
      </c>
      <c r="BE140">
        <f>IF('Calculations PJ'!BE140&lt;&gt;0,'Calculations PJ'!BE140*About!$B$45,0)</f>
        <v>0</v>
      </c>
      <c r="BF140">
        <f>IF('Calculations PJ'!BF140&lt;&gt;0,'Calculations PJ'!BF140*About!$B$45,0)</f>
        <v>0</v>
      </c>
      <c r="BG140">
        <f>IF('Calculations PJ'!BG140&lt;&gt;0,'Calculations PJ'!BG140*About!$B$45,0)</f>
        <v>0</v>
      </c>
      <c r="BH140">
        <f>IF('Calculations PJ'!BH140&lt;&gt;0,'Calculations PJ'!BH140*About!$B$45,0)</f>
        <v>0</v>
      </c>
    </row>
    <row r="141" spans="1:60" hidden="1" outlineLevel="1">
      <c r="B141" t="s">
        <v>134</v>
      </c>
      <c r="C141">
        <f>IF('Calculations PJ'!C141&lt;&gt;0,'Calculations PJ'!C141*About!$B$45,0)</f>
        <v>0</v>
      </c>
      <c r="D141">
        <f>IF('Calculations PJ'!D141&lt;&gt;0,'Calculations PJ'!D141*About!$B$45,0)</f>
        <v>0</v>
      </c>
      <c r="E141">
        <f>IF('Calculations PJ'!E141&lt;&gt;0,'Calculations PJ'!E141*About!$B$45,0)</f>
        <v>0</v>
      </c>
      <c r="F141">
        <f>IF('Calculations PJ'!F141&lt;&gt;0,'Calculations PJ'!F141*About!$B$45,0)</f>
        <v>0</v>
      </c>
      <c r="G141">
        <f>IF('Calculations PJ'!G141&lt;&gt;0,'Calculations PJ'!G141*About!$B$45,0)</f>
        <v>0</v>
      </c>
      <c r="H141">
        <f>IF('Calculations PJ'!H141&lt;&gt;0,'Calculations PJ'!H141*About!$B$45,0)</f>
        <v>0</v>
      </c>
      <c r="I141">
        <f>IF('Calculations PJ'!I141&lt;&gt;0,'Calculations PJ'!I141*About!$B$45,0)</f>
        <v>0</v>
      </c>
      <c r="J141">
        <f>IF('Calculations PJ'!J141&lt;&gt;0,'Calculations PJ'!J141*About!$B$45,0)</f>
        <v>0</v>
      </c>
      <c r="K141">
        <f>IF('Calculations PJ'!K141&lt;&gt;0,'Calculations PJ'!K141*About!$B$45,0)</f>
        <v>0</v>
      </c>
      <c r="L141">
        <f>IF('Calculations PJ'!L141&lt;&gt;0,'Calculations PJ'!L141*About!$B$45,0)</f>
        <v>0</v>
      </c>
      <c r="M141">
        <f>IF('Calculations PJ'!M141&lt;&gt;0,'Calculations PJ'!M141*About!$B$45,0)</f>
        <v>0</v>
      </c>
      <c r="N141">
        <f>IF('Calculations PJ'!N141&lt;&gt;0,'Calculations PJ'!N141*About!$B$45,0)</f>
        <v>0</v>
      </c>
      <c r="O141">
        <f>IF('Calculations PJ'!O141&lt;&gt;0,'Calculations PJ'!O141*About!$B$45,0)</f>
        <v>0</v>
      </c>
      <c r="P141">
        <f>IF('Calculations PJ'!P141&lt;&gt;0,'Calculations PJ'!P141*About!$B$45,0)</f>
        <v>0</v>
      </c>
      <c r="Q141">
        <f>IF('Calculations PJ'!Q141&lt;&gt;0,'Calculations PJ'!Q141*About!$B$45,0)</f>
        <v>0</v>
      </c>
      <c r="R141">
        <f>IF('Calculations PJ'!R141&lt;&gt;0,'Calculations PJ'!R141*About!$B$45,0)</f>
        <v>0</v>
      </c>
      <c r="S141">
        <f>IF('Calculations PJ'!S141&lt;&gt;0,'Calculations PJ'!S141*About!$B$45,0)</f>
        <v>0</v>
      </c>
      <c r="T141">
        <f>IF('Calculations PJ'!T141&lt;&gt;0,'Calculations PJ'!T141*About!$B$45,0)</f>
        <v>0</v>
      </c>
      <c r="U141">
        <f>IF('Calculations PJ'!U141&lt;&gt;0,'Calculations PJ'!U141*About!$B$45,0)</f>
        <v>0</v>
      </c>
      <c r="V141">
        <f>IF('Calculations PJ'!V141&lt;&gt;0,'Calculations PJ'!V141*About!$B$45,0)</f>
        <v>0</v>
      </c>
      <c r="W141">
        <f>IF('Calculations PJ'!W141&lt;&gt;0,'Calculations PJ'!W141*About!$B$45,0)</f>
        <v>0</v>
      </c>
      <c r="X141">
        <f>IF('Calculations PJ'!X141&lt;&gt;0,'Calculations PJ'!X141*About!$B$45,0)</f>
        <v>0</v>
      </c>
      <c r="Y141">
        <f>IF('Calculations PJ'!Y141&lt;&gt;0,'Calculations PJ'!Y141*About!$B$45,0)</f>
        <v>0</v>
      </c>
      <c r="Z141">
        <f>IF('Calculations PJ'!Z141&lt;&gt;0,'Calculations PJ'!Z141*About!$B$45,0)</f>
        <v>0</v>
      </c>
      <c r="AA141">
        <f>IF('Calculations PJ'!AA141&lt;&gt;0,'Calculations PJ'!AA141*About!$B$45,0)</f>
        <v>0</v>
      </c>
      <c r="AB141">
        <f>IF('Calculations PJ'!AB141&lt;&gt;0,'Calculations PJ'!AB141*About!$B$45,0)</f>
        <v>0</v>
      </c>
      <c r="AC141">
        <f>IF('Calculations PJ'!AC141&lt;&gt;0,'Calculations PJ'!AC141*About!$B$45,0)</f>
        <v>0</v>
      </c>
      <c r="AD141">
        <f>IF('Calculations PJ'!AD141&lt;&gt;0,'Calculations PJ'!AD141*About!$B$45,0)</f>
        <v>0</v>
      </c>
      <c r="AE141">
        <f>IF('Calculations PJ'!AE141&lt;&gt;0,'Calculations PJ'!AE141*About!$B$45,0)</f>
        <v>0</v>
      </c>
      <c r="AF141">
        <f>IF('Calculations PJ'!AF141&lt;&gt;0,'Calculations PJ'!AF141*About!$B$45,0)</f>
        <v>0</v>
      </c>
      <c r="AG141">
        <f>IF('Calculations PJ'!AG141&lt;&gt;0,'Calculations PJ'!AG141*About!$B$45,0)</f>
        <v>0</v>
      </c>
      <c r="AH141">
        <f>IF('Calculations PJ'!AH141&lt;&gt;0,'Calculations PJ'!AH141*About!$B$45,0)</f>
        <v>0</v>
      </c>
      <c r="AI141">
        <f>IF('Calculations PJ'!AI141&lt;&gt;0,'Calculations PJ'!AI141*About!$B$45,0)</f>
        <v>0</v>
      </c>
      <c r="AJ141">
        <f>IF('Calculations PJ'!AJ141&lt;&gt;0,'Calculations PJ'!AJ141*About!$B$45,0)</f>
        <v>0</v>
      </c>
      <c r="AK141">
        <f>IF('Calculations PJ'!AK141&lt;&gt;0,'Calculations PJ'!AK141*About!$B$45,0)</f>
        <v>0</v>
      </c>
      <c r="AL141">
        <f>IF('Calculations PJ'!AL141&lt;&gt;0,'Calculations PJ'!AL141*About!$B$45,0)</f>
        <v>0</v>
      </c>
      <c r="AM141">
        <f>IF('Calculations PJ'!AM141&lt;&gt;0,'Calculations PJ'!AM141*About!$B$45,0)</f>
        <v>0</v>
      </c>
      <c r="AN141">
        <f>IF('Calculations PJ'!AN141&lt;&gt;0,'Calculations PJ'!AN141*About!$B$45,0)</f>
        <v>0</v>
      </c>
      <c r="AO141">
        <f>IF('Calculations PJ'!AO141&lt;&gt;0,'Calculations PJ'!AO141*About!$B$45,0)</f>
        <v>0</v>
      </c>
      <c r="AP141">
        <f>IF('Calculations PJ'!AP141&lt;&gt;0,'Calculations PJ'!AP141*About!$B$45,0)</f>
        <v>0</v>
      </c>
      <c r="AQ141">
        <f>IF('Calculations PJ'!AQ141&lt;&gt;0,'Calculations PJ'!AQ141*About!$B$45,0)</f>
        <v>0</v>
      </c>
      <c r="AR141">
        <f>IF('Calculations PJ'!AR141&lt;&gt;0,'Calculations PJ'!AR141*About!$B$45,0)</f>
        <v>0</v>
      </c>
      <c r="AS141">
        <f>IF('Calculations PJ'!AS141&lt;&gt;0,'Calculations PJ'!AS141*About!$B$45,0)</f>
        <v>0</v>
      </c>
      <c r="AT141">
        <f>IF('Calculations PJ'!AT141&lt;&gt;0,'Calculations PJ'!AT141*About!$B$45,0)</f>
        <v>0</v>
      </c>
      <c r="AU141">
        <f>IF('Calculations PJ'!AU141&lt;&gt;0,'Calculations PJ'!AU141*About!$B$45,0)</f>
        <v>0</v>
      </c>
      <c r="AV141">
        <f>IF('Calculations PJ'!AV141&lt;&gt;0,'Calculations PJ'!AV141*About!$B$45,0)</f>
        <v>0</v>
      </c>
      <c r="AW141">
        <f>IF('Calculations PJ'!AW141&lt;&gt;0,'Calculations PJ'!AW141*About!$B$45,0)</f>
        <v>0</v>
      </c>
      <c r="AX141">
        <f>IF('Calculations PJ'!AX141&lt;&gt;0,'Calculations PJ'!AX141*About!$B$45,0)</f>
        <v>0</v>
      </c>
      <c r="AY141">
        <f>IF('Calculations PJ'!AY141&lt;&gt;0,'Calculations PJ'!AY141*About!$B$45,0)</f>
        <v>0</v>
      </c>
      <c r="AZ141">
        <f>IF('Calculations PJ'!AZ141&lt;&gt;0,'Calculations PJ'!AZ141*About!$B$45,0)</f>
        <v>0</v>
      </c>
      <c r="BA141">
        <f>IF('Calculations PJ'!BA141&lt;&gt;0,'Calculations PJ'!BA141*About!$B$45,0)</f>
        <v>0</v>
      </c>
      <c r="BB141">
        <f>IF('Calculations PJ'!BB141&lt;&gt;0,'Calculations PJ'!BB141*About!$B$45,0)</f>
        <v>0</v>
      </c>
      <c r="BC141">
        <f>IF('Calculations PJ'!BC141&lt;&gt;0,'Calculations PJ'!BC141*About!$B$45,0)</f>
        <v>0</v>
      </c>
      <c r="BD141">
        <f>IF('Calculations PJ'!BD141&lt;&gt;0,'Calculations PJ'!BD141*About!$B$45,0)</f>
        <v>0</v>
      </c>
      <c r="BE141">
        <f>IF('Calculations PJ'!BE141&lt;&gt;0,'Calculations PJ'!BE141*About!$B$45,0)</f>
        <v>0</v>
      </c>
      <c r="BF141">
        <f>IF('Calculations PJ'!BF141&lt;&gt;0,'Calculations PJ'!BF141*About!$B$45,0)</f>
        <v>0</v>
      </c>
      <c r="BG141">
        <f>IF('Calculations PJ'!BG141&lt;&gt;0,'Calculations PJ'!BG141*About!$B$45,0)</f>
        <v>0</v>
      </c>
      <c r="BH141">
        <f>IF('Calculations PJ'!BH141&lt;&gt;0,'Calculations PJ'!BH141*About!$B$45,0)</f>
        <v>0</v>
      </c>
    </row>
    <row r="142" spans="1:60" hidden="1" outlineLevel="1">
      <c r="B142" t="s">
        <v>135</v>
      </c>
      <c r="C142">
        <f>IF('Calculations PJ'!C142&lt;&gt;0,'Calculations PJ'!C142*About!$B$45,0)</f>
        <v>0</v>
      </c>
      <c r="D142">
        <f>IF('Calculations PJ'!D142&lt;&gt;0,'Calculations PJ'!D142*About!$B$45,0)</f>
        <v>0</v>
      </c>
      <c r="E142">
        <f>IF('Calculations PJ'!E142&lt;&gt;0,'Calculations PJ'!E142*About!$B$45,0)</f>
        <v>0</v>
      </c>
      <c r="F142">
        <f>IF('Calculations PJ'!F142&lt;&gt;0,'Calculations PJ'!F142*About!$B$45,0)</f>
        <v>0</v>
      </c>
      <c r="G142">
        <f>IF('Calculations PJ'!G142&lt;&gt;0,'Calculations PJ'!G142*About!$B$45,0)</f>
        <v>0</v>
      </c>
      <c r="H142">
        <f>IF('Calculations PJ'!H142&lt;&gt;0,'Calculations PJ'!H142*About!$B$45,0)</f>
        <v>0</v>
      </c>
      <c r="I142">
        <f>IF('Calculations PJ'!I142&lt;&gt;0,'Calculations PJ'!I142*About!$B$45,0)</f>
        <v>0</v>
      </c>
      <c r="J142">
        <f>IF('Calculations PJ'!J142&lt;&gt;0,'Calculations PJ'!J142*About!$B$45,0)</f>
        <v>0</v>
      </c>
      <c r="K142">
        <f>IF('Calculations PJ'!K142&lt;&gt;0,'Calculations PJ'!K142*About!$B$45,0)</f>
        <v>0</v>
      </c>
      <c r="L142">
        <f>IF('Calculations PJ'!L142&lt;&gt;0,'Calculations PJ'!L142*About!$B$45,0)</f>
        <v>0</v>
      </c>
      <c r="M142">
        <f>IF('Calculations PJ'!M142&lt;&gt;0,'Calculations PJ'!M142*About!$B$45,0)</f>
        <v>0</v>
      </c>
      <c r="N142">
        <f>IF('Calculations PJ'!N142&lt;&gt;0,'Calculations PJ'!N142*About!$B$45,0)</f>
        <v>0</v>
      </c>
      <c r="O142">
        <f>IF('Calculations PJ'!O142&lt;&gt;0,'Calculations PJ'!O142*About!$B$45,0)</f>
        <v>0</v>
      </c>
      <c r="P142">
        <f>IF('Calculations PJ'!P142&lt;&gt;0,'Calculations PJ'!P142*About!$B$45,0)</f>
        <v>0</v>
      </c>
      <c r="Q142">
        <f>IF('Calculations PJ'!Q142&lt;&gt;0,'Calculations PJ'!Q142*About!$B$45,0)</f>
        <v>0</v>
      </c>
      <c r="R142">
        <f>IF('Calculations PJ'!R142&lt;&gt;0,'Calculations PJ'!R142*About!$B$45,0)</f>
        <v>0</v>
      </c>
      <c r="S142">
        <f>IF('Calculations PJ'!S142&lt;&gt;0,'Calculations PJ'!S142*About!$B$45,0)</f>
        <v>0</v>
      </c>
      <c r="T142">
        <f>IF('Calculations PJ'!T142&lt;&gt;0,'Calculations PJ'!T142*About!$B$45,0)</f>
        <v>0</v>
      </c>
      <c r="U142">
        <f>IF('Calculations PJ'!U142&lt;&gt;0,'Calculations PJ'!U142*About!$B$45,0)</f>
        <v>0</v>
      </c>
      <c r="V142">
        <f>IF('Calculations PJ'!V142&lt;&gt;0,'Calculations PJ'!V142*About!$B$45,0)</f>
        <v>0</v>
      </c>
      <c r="W142">
        <f>IF('Calculations PJ'!W142&lt;&gt;0,'Calculations PJ'!W142*About!$B$45,0)</f>
        <v>0</v>
      </c>
      <c r="X142">
        <f>IF('Calculations PJ'!X142&lt;&gt;0,'Calculations PJ'!X142*About!$B$45,0)</f>
        <v>0</v>
      </c>
      <c r="Y142">
        <f>IF('Calculations PJ'!Y142&lt;&gt;0,'Calculations PJ'!Y142*About!$B$45,0)</f>
        <v>0</v>
      </c>
      <c r="Z142">
        <f>IF('Calculations PJ'!Z142&lt;&gt;0,'Calculations PJ'!Z142*About!$B$45,0)</f>
        <v>0</v>
      </c>
      <c r="AA142">
        <f>IF('Calculations PJ'!AA142&lt;&gt;0,'Calculations PJ'!AA142*About!$B$45,0)</f>
        <v>0</v>
      </c>
      <c r="AB142">
        <f>IF('Calculations PJ'!AB142&lt;&gt;0,'Calculations PJ'!AB142*About!$B$45,0)</f>
        <v>0</v>
      </c>
      <c r="AC142">
        <f>IF('Calculations PJ'!AC142&lt;&gt;0,'Calculations PJ'!AC142*About!$B$45,0)</f>
        <v>0</v>
      </c>
      <c r="AD142">
        <f>IF('Calculations PJ'!AD142&lt;&gt;0,'Calculations PJ'!AD142*About!$B$45,0)</f>
        <v>0</v>
      </c>
      <c r="AE142">
        <f>IF('Calculations PJ'!AE142&lt;&gt;0,'Calculations PJ'!AE142*About!$B$45,0)</f>
        <v>0</v>
      </c>
      <c r="AF142">
        <f>IF('Calculations PJ'!AF142&lt;&gt;0,'Calculations PJ'!AF142*About!$B$45,0)</f>
        <v>0</v>
      </c>
      <c r="AG142">
        <f>IF('Calculations PJ'!AG142&lt;&gt;0,'Calculations PJ'!AG142*About!$B$45,0)</f>
        <v>0</v>
      </c>
      <c r="AH142">
        <f>IF('Calculations PJ'!AH142&lt;&gt;0,'Calculations PJ'!AH142*About!$B$45,0)</f>
        <v>0</v>
      </c>
      <c r="AI142">
        <f>IF('Calculations PJ'!AI142&lt;&gt;0,'Calculations PJ'!AI142*About!$B$45,0)</f>
        <v>0</v>
      </c>
      <c r="AJ142">
        <f>IF('Calculations PJ'!AJ142&lt;&gt;0,'Calculations PJ'!AJ142*About!$B$45,0)</f>
        <v>0</v>
      </c>
      <c r="AK142">
        <f>IF('Calculations PJ'!AK142&lt;&gt;0,'Calculations PJ'!AK142*About!$B$45,0)</f>
        <v>0</v>
      </c>
      <c r="AL142">
        <f>IF('Calculations PJ'!AL142&lt;&gt;0,'Calculations PJ'!AL142*About!$B$45,0)</f>
        <v>0</v>
      </c>
      <c r="AM142">
        <f>IF('Calculations PJ'!AM142&lt;&gt;0,'Calculations PJ'!AM142*About!$B$45,0)</f>
        <v>0</v>
      </c>
      <c r="AN142">
        <f>IF('Calculations PJ'!AN142&lt;&gt;0,'Calculations PJ'!AN142*About!$B$45,0)</f>
        <v>0</v>
      </c>
      <c r="AO142">
        <f>IF('Calculations PJ'!AO142&lt;&gt;0,'Calculations PJ'!AO142*About!$B$45,0)</f>
        <v>0</v>
      </c>
      <c r="AP142">
        <f>IF('Calculations PJ'!AP142&lt;&gt;0,'Calculations PJ'!AP142*About!$B$45,0)</f>
        <v>0</v>
      </c>
      <c r="AQ142">
        <f>IF('Calculations PJ'!AQ142&lt;&gt;0,'Calculations PJ'!AQ142*About!$B$45,0)</f>
        <v>0</v>
      </c>
      <c r="AR142">
        <f>IF('Calculations PJ'!AR142&lt;&gt;0,'Calculations PJ'!AR142*About!$B$45,0)</f>
        <v>0</v>
      </c>
      <c r="AS142">
        <f>IF('Calculations PJ'!AS142&lt;&gt;0,'Calculations PJ'!AS142*About!$B$45,0)</f>
        <v>0</v>
      </c>
      <c r="AT142">
        <f>IF('Calculations PJ'!AT142&lt;&gt;0,'Calculations PJ'!AT142*About!$B$45,0)</f>
        <v>0</v>
      </c>
      <c r="AU142">
        <f>IF('Calculations PJ'!AU142&lt;&gt;0,'Calculations PJ'!AU142*About!$B$45,0)</f>
        <v>0</v>
      </c>
      <c r="AV142">
        <f>IF('Calculations PJ'!AV142&lt;&gt;0,'Calculations PJ'!AV142*About!$B$45,0)</f>
        <v>0</v>
      </c>
      <c r="AW142">
        <f>IF('Calculations PJ'!AW142&lt;&gt;0,'Calculations PJ'!AW142*About!$B$45,0)</f>
        <v>0</v>
      </c>
      <c r="AX142">
        <f>IF('Calculations PJ'!AX142&lt;&gt;0,'Calculations PJ'!AX142*About!$B$45,0)</f>
        <v>0</v>
      </c>
      <c r="AY142">
        <f>IF('Calculations PJ'!AY142&lt;&gt;0,'Calculations PJ'!AY142*About!$B$45,0)</f>
        <v>0</v>
      </c>
      <c r="AZ142">
        <f>IF('Calculations PJ'!AZ142&lt;&gt;0,'Calculations PJ'!AZ142*About!$B$45,0)</f>
        <v>0</v>
      </c>
      <c r="BA142">
        <f>IF('Calculations PJ'!BA142&lt;&gt;0,'Calculations PJ'!BA142*About!$B$45,0)</f>
        <v>0</v>
      </c>
      <c r="BB142">
        <f>IF('Calculations PJ'!BB142&lt;&gt;0,'Calculations PJ'!BB142*About!$B$45,0)</f>
        <v>0</v>
      </c>
      <c r="BC142">
        <f>IF('Calculations PJ'!BC142&lt;&gt;0,'Calculations PJ'!BC142*About!$B$45,0)</f>
        <v>0</v>
      </c>
      <c r="BD142">
        <f>IF('Calculations PJ'!BD142&lt;&gt;0,'Calculations PJ'!BD142*About!$B$45,0)</f>
        <v>0</v>
      </c>
      <c r="BE142">
        <f>IF('Calculations PJ'!BE142&lt;&gt;0,'Calculations PJ'!BE142*About!$B$45,0)</f>
        <v>0</v>
      </c>
      <c r="BF142">
        <f>IF('Calculations PJ'!BF142&lt;&gt;0,'Calculations PJ'!BF142*About!$B$45,0)</f>
        <v>0</v>
      </c>
      <c r="BG142">
        <f>IF('Calculations PJ'!BG142&lt;&gt;0,'Calculations PJ'!BG142*About!$B$45,0)</f>
        <v>0</v>
      </c>
      <c r="BH142">
        <f>IF('Calculations PJ'!BH142&lt;&gt;0,'Calculations PJ'!BH142*About!$B$45,0)</f>
        <v>0</v>
      </c>
    </row>
    <row r="143" spans="1:60" hidden="1" outlineLevel="1">
      <c r="B143" t="s">
        <v>136</v>
      </c>
      <c r="C143">
        <f>IF('Calculations PJ'!C143&lt;&gt;0,'Calculations PJ'!C143*About!$B$45,0)</f>
        <v>0</v>
      </c>
      <c r="D143">
        <f>IF('Calculations PJ'!D143&lt;&gt;0,'Calculations PJ'!D143*About!$B$45,0)</f>
        <v>0</v>
      </c>
      <c r="E143">
        <f>IF('Calculations PJ'!E143&lt;&gt;0,'Calculations PJ'!E143*About!$B$45,0)</f>
        <v>0</v>
      </c>
      <c r="F143">
        <f>IF('Calculations PJ'!F143&lt;&gt;0,'Calculations PJ'!F143*About!$B$45,0)</f>
        <v>0</v>
      </c>
      <c r="G143">
        <f>IF('Calculations PJ'!G143&lt;&gt;0,'Calculations PJ'!G143*About!$B$45,0)</f>
        <v>0</v>
      </c>
      <c r="H143">
        <f>IF('Calculations PJ'!H143&lt;&gt;0,'Calculations PJ'!H143*About!$B$45,0)</f>
        <v>0</v>
      </c>
      <c r="I143">
        <f>IF('Calculations PJ'!I143&lt;&gt;0,'Calculations PJ'!I143*About!$B$45,0)</f>
        <v>0</v>
      </c>
      <c r="J143">
        <f>IF('Calculations PJ'!J143&lt;&gt;0,'Calculations PJ'!J143*About!$B$45,0)</f>
        <v>0</v>
      </c>
      <c r="K143">
        <f>IF('Calculations PJ'!K143&lt;&gt;0,'Calculations PJ'!K143*About!$B$45,0)</f>
        <v>0</v>
      </c>
      <c r="L143">
        <f>IF('Calculations PJ'!L143&lt;&gt;0,'Calculations PJ'!L143*About!$B$45,0)</f>
        <v>0</v>
      </c>
      <c r="M143">
        <f>IF('Calculations PJ'!M143&lt;&gt;0,'Calculations PJ'!M143*About!$B$45,0)</f>
        <v>0</v>
      </c>
      <c r="N143">
        <f>IF('Calculations PJ'!N143&lt;&gt;0,'Calculations PJ'!N143*About!$B$45,0)</f>
        <v>0</v>
      </c>
      <c r="O143">
        <f>IF('Calculations PJ'!O143&lt;&gt;0,'Calculations PJ'!O143*About!$B$45,0)</f>
        <v>0</v>
      </c>
      <c r="P143">
        <f>IF('Calculations PJ'!P143&lt;&gt;0,'Calculations PJ'!P143*About!$B$45,0)</f>
        <v>0</v>
      </c>
      <c r="Q143">
        <f>IF('Calculations PJ'!Q143&lt;&gt;0,'Calculations PJ'!Q143*About!$B$45,0)</f>
        <v>0</v>
      </c>
      <c r="R143">
        <f>IF('Calculations PJ'!R143&lt;&gt;0,'Calculations PJ'!R143*About!$B$45,0)</f>
        <v>0</v>
      </c>
      <c r="S143">
        <f>IF('Calculations PJ'!S143&lt;&gt;0,'Calculations PJ'!S143*About!$B$45,0)</f>
        <v>0</v>
      </c>
      <c r="T143">
        <f>IF('Calculations PJ'!T143&lt;&gt;0,'Calculations PJ'!T143*About!$B$45,0)</f>
        <v>0</v>
      </c>
      <c r="U143">
        <f>IF('Calculations PJ'!U143&lt;&gt;0,'Calculations PJ'!U143*About!$B$45,0)</f>
        <v>0</v>
      </c>
      <c r="V143">
        <f>IF('Calculations PJ'!V143&lt;&gt;0,'Calculations PJ'!V143*About!$B$45,0)</f>
        <v>0</v>
      </c>
      <c r="W143">
        <f>IF('Calculations PJ'!W143&lt;&gt;0,'Calculations PJ'!W143*About!$B$45,0)</f>
        <v>0</v>
      </c>
      <c r="X143">
        <f>IF('Calculations PJ'!X143&lt;&gt;0,'Calculations PJ'!X143*About!$B$45,0)</f>
        <v>0</v>
      </c>
      <c r="Y143">
        <f>IF('Calculations PJ'!Y143&lt;&gt;0,'Calculations PJ'!Y143*About!$B$45,0)</f>
        <v>0</v>
      </c>
      <c r="Z143">
        <f>IF('Calculations PJ'!Z143&lt;&gt;0,'Calculations PJ'!Z143*About!$B$45,0)</f>
        <v>0</v>
      </c>
      <c r="AA143">
        <f>IF('Calculations PJ'!AA143&lt;&gt;0,'Calculations PJ'!AA143*About!$B$45,0)</f>
        <v>0</v>
      </c>
      <c r="AB143">
        <f>IF('Calculations PJ'!AB143&lt;&gt;0,'Calculations PJ'!AB143*About!$B$45,0)</f>
        <v>0</v>
      </c>
      <c r="AC143">
        <f>IF('Calculations PJ'!AC143&lt;&gt;0,'Calculations PJ'!AC143*About!$B$45,0)</f>
        <v>0</v>
      </c>
      <c r="AD143">
        <f>IF('Calculations PJ'!AD143&lt;&gt;0,'Calculations PJ'!AD143*About!$B$45,0)</f>
        <v>0</v>
      </c>
      <c r="AE143">
        <f>IF('Calculations PJ'!AE143&lt;&gt;0,'Calculations PJ'!AE143*About!$B$45,0)</f>
        <v>0</v>
      </c>
      <c r="AF143">
        <f>IF('Calculations PJ'!AF143&lt;&gt;0,'Calculations PJ'!AF143*About!$B$45,0)</f>
        <v>0</v>
      </c>
      <c r="AG143">
        <f>IF('Calculations PJ'!AG143&lt;&gt;0,'Calculations PJ'!AG143*About!$B$45,0)</f>
        <v>0</v>
      </c>
      <c r="AH143">
        <f>IF('Calculations PJ'!AH143&lt;&gt;0,'Calculations PJ'!AH143*About!$B$45,0)</f>
        <v>0</v>
      </c>
      <c r="AI143">
        <f>IF('Calculations PJ'!AI143&lt;&gt;0,'Calculations PJ'!AI143*About!$B$45,0)</f>
        <v>0</v>
      </c>
      <c r="AJ143">
        <f>IF('Calculations PJ'!AJ143&lt;&gt;0,'Calculations PJ'!AJ143*About!$B$45,0)</f>
        <v>0</v>
      </c>
      <c r="AK143">
        <f>IF('Calculations PJ'!AK143&lt;&gt;0,'Calculations PJ'!AK143*About!$B$45,0)</f>
        <v>0</v>
      </c>
      <c r="AL143">
        <f>IF('Calculations PJ'!AL143&lt;&gt;0,'Calculations PJ'!AL143*About!$B$45,0)</f>
        <v>0</v>
      </c>
      <c r="AM143">
        <f>IF('Calculations PJ'!AM143&lt;&gt;0,'Calculations PJ'!AM143*About!$B$45,0)</f>
        <v>0</v>
      </c>
      <c r="AN143">
        <f>IF('Calculations PJ'!AN143&lt;&gt;0,'Calculations PJ'!AN143*About!$B$45,0)</f>
        <v>0</v>
      </c>
      <c r="AO143">
        <f>IF('Calculations PJ'!AO143&lt;&gt;0,'Calculations PJ'!AO143*About!$B$45,0)</f>
        <v>0</v>
      </c>
      <c r="AP143">
        <f>IF('Calculations PJ'!AP143&lt;&gt;0,'Calculations PJ'!AP143*About!$B$45,0)</f>
        <v>0</v>
      </c>
      <c r="AQ143">
        <f>IF('Calculations PJ'!AQ143&lt;&gt;0,'Calculations PJ'!AQ143*About!$B$45,0)</f>
        <v>0</v>
      </c>
      <c r="AR143">
        <f>IF('Calculations PJ'!AR143&lt;&gt;0,'Calculations PJ'!AR143*About!$B$45,0)</f>
        <v>0</v>
      </c>
      <c r="AS143">
        <f>IF('Calculations PJ'!AS143&lt;&gt;0,'Calculations PJ'!AS143*About!$B$45,0)</f>
        <v>0</v>
      </c>
      <c r="AT143">
        <f>IF('Calculations PJ'!AT143&lt;&gt;0,'Calculations PJ'!AT143*About!$B$45,0)</f>
        <v>0</v>
      </c>
      <c r="AU143">
        <f>IF('Calculations PJ'!AU143&lt;&gt;0,'Calculations PJ'!AU143*About!$B$45,0)</f>
        <v>0</v>
      </c>
      <c r="AV143">
        <f>IF('Calculations PJ'!AV143&lt;&gt;0,'Calculations PJ'!AV143*About!$B$45,0)</f>
        <v>0</v>
      </c>
      <c r="AW143">
        <f>IF('Calculations PJ'!AW143&lt;&gt;0,'Calculations PJ'!AW143*About!$B$45,0)</f>
        <v>0</v>
      </c>
      <c r="AX143">
        <f>IF('Calculations PJ'!AX143&lt;&gt;0,'Calculations PJ'!AX143*About!$B$45,0)</f>
        <v>0</v>
      </c>
      <c r="AY143">
        <f>IF('Calculations PJ'!AY143&lt;&gt;0,'Calculations PJ'!AY143*About!$B$45,0)</f>
        <v>0</v>
      </c>
      <c r="AZ143">
        <f>IF('Calculations PJ'!AZ143&lt;&gt;0,'Calculations PJ'!AZ143*About!$B$45,0)</f>
        <v>0</v>
      </c>
      <c r="BA143">
        <f>IF('Calculations PJ'!BA143&lt;&gt;0,'Calculations PJ'!BA143*About!$B$45,0)</f>
        <v>0</v>
      </c>
      <c r="BB143">
        <f>IF('Calculations PJ'!BB143&lt;&gt;0,'Calculations PJ'!BB143*About!$B$45,0)</f>
        <v>0</v>
      </c>
      <c r="BC143">
        <f>IF('Calculations PJ'!BC143&lt;&gt;0,'Calculations PJ'!BC143*About!$B$45,0)</f>
        <v>0</v>
      </c>
      <c r="BD143">
        <f>IF('Calculations PJ'!BD143&lt;&gt;0,'Calculations PJ'!BD143*About!$B$45,0)</f>
        <v>0</v>
      </c>
      <c r="BE143">
        <f>IF('Calculations PJ'!BE143&lt;&gt;0,'Calculations PJ'!BE143*About!$B$45,0)</f>
        <v>0</v>
      </c>
      <c r="BF143">
        <f>IF('Calculations PJ'!BF143&lt;&gt;0,'Calculations PJ'!BF143*About!$B$45,0)</f>
        <v>0</v>
      </c>
      <c r="BG143">
        <f>IF('Calculations PJ'!BG143&lt;&gt;0,'Calculations PJ'!BG143*About!$B$45,0)</f>
        <v>0</v>
      </c>
      <c r="BH143">
        <f>IF('Calculations PJ'!BH143&lt;&gt;0,'Calculations PJ'!BH143*About!$B$45,0)</f>
        <v>0</v>
      </c>
    </row>
    <row r="144" spans="1:60" hidden="1" outlineLevel="1">
      <c r="B144" t="s">
        <v>137</v>
      </c>
      <c r="C144">
        <f>IF('Calculations PJ'!C144&lt;&gt;0,'Calculations PJ'!C144*About!$B$45,0)</f>
        <v>0</v>
      </c>
      <c r="D144">
        <f>IF('Calculations PJ'!D144&lt;&gt;0,'Calculations PJ'!D144*About!$B$45,0)</f>
        <v>0</v>
      </c>
      <c r="E144">
        <f>IF('Calculations PJ'!E144&lt;&gt;0,'Calculations PJ'!E144*About!$B$45,0)</f>
        <v>0</v>
      </c>
      <c r="F144">
        <f>IF('Calculations PJ'!F144&lt;&gt;0,'Calculations PJ'!F144*About!$B$45,0)</f>
        <v>0</v>
      </c>
      <c r="G144">
        <f>IF('Calculations PJ'!G144&lt;&gt;0,'Calculations PJ'!G144*About!$B$45,0)</f>
        <v>0</v>
      </c>
      <c r="H144">
        <f>IF('Calculations PJ'!H144&lt;&gt;0,'Calculations PJ'!H144*About!$B$45,0)</f>
        <v>0</v>
      </c>
      <c r="I144">
        <f>IF('Calculations PJ'!I144&lt;&gt;0,'Calculations PJ'!I144*About!$B$45,0)</f>
        <v>0</v>
      </c>
      <c r="J144">
        <f>IF('Calculations PJ'!J144&lt;&gt;0,'Calculations PJ'!J144*About!$B$45,0)</f>
        <v>0</v>
      </c>
      <c r="K144">
        <f>IF('Calculations PJ'!K144&lt;&gt;0,'Calculations PJ'!K144*About!$B$45,0)</f>
        <v>0</v>
      </c>
      <c r="L144">
        <f>IF('Calculations PJ'!L144&lt;&gt;0,'Calculations PJ'!L144*About!$B$45,0)</f>
        <v>0</v>
      </c>
      <c r="M144">
        <f>IF('Calculations PJ'!M144&lt;&gt;0,'Calculations PJ'!M144*About!$B$45,0)</f>
        <v>0</v>
      </c>
      <c r="N144">
        <f>IF('Calculations PJ'!N144&lt;&gt;0,'Calculations PJ'!N144*About!$B$45,0)</f>
        <v>0</v>
      </c>
      <c r="O144">
        <f>IF('Calculations PJ'!O144&lt;&gt;0,'Calculations PJ'!O144*About!$B$45,0)</f>
        <v>0</v>
      </c>
      <c r="P144">
        <f>IF('Calculations PJ'!P144&lt;&gt;0,'Calculations PJ'!P144*About!$B$45,0)</f>
        <v>0</v>
      </c>
      <c r="Q144">
        <f>IF('Calculations PJ'!Q144&lt;&gt;0,'Calculations PJ'!Q144*About!$B$45,0)</f>
        <v>0</v>
      </c>
      <c r="R144">
        <f>IF('Calculations PJ'!R144&lt;&gt;0,'Calculations PJ'!R144*About!$B$45,0)</f>
        <v>0</v>
      </c>
      <c r="S144">
        <f>IF('Calculations PJ'!S144&lt;&gt;0,'Calculations PJ'!S144*About!$B$45,0)</f>
        <v>0</v>
      </c>
      <c r="T144">
        <f>IF('Calculations PJ'!T144&lt;&gt;0,'Calculations PJ'!T144*About!$B$45,0)</f>
        <v>0</v>
      </c>
      <c r="U144">
        <f>IF('Calculations PJ'!U144&lt;&gt;0,'Calculations PJ'!U144*About!$B$45,0)</f>
        <v>0</v>
      </c>
      <c r="V144">
        <f>IF('Calculations PJ'!V144&lt;&gt;0,'Calculations PJ'!V144*About!$B$45,0)</f>
        <v>0</v>
      </c>
      <c r="W144">
        <f>IF('Calculations PJ'!W144&lt;&gt;0,'Calculations PJ'!W144*About!$B$45,0)</f>
        <v>0</v>
      </c>
      <c r="X144">
        <f>IF('Calculations PJ'!X144&lt;&gt;0,'Calculations PJ'!X144*About!$B$45,0)</f>
        <v>0</v>
      </c>
      <c r="Y144">
        <f>IF('Calculations PJ'!Y144&lt;&gt;0,'Calculations PJ'!Y144*About!$B$45,0)</f>
        <v>0</v>
      </c>
      <c r="Z144">
        <f>IF('Calculations PJ'!Z144&lt;&gt;0,'Calculations PJ'!Z144*About!$B$45,0)</f>
        <v>0</v>
      </c>
      <c r="AA144">
        <f>IF('Calculations PJ'!AA144&lt;&gt;0,'Calculations PJ'!AA144*About!$B$45,0)</f>
        <v>0</v>
      </c>
      <c r="AB144">
        <f>IF('Calculations PJ'!AB144&lt;&gt;0,'Calculations PJ'!AB144*About!$B$45,0)</f>
        <v>0</v>
      </c>
      <c r="AC144">
        <f>IF('Calculations PJ'!AC144&lt;&gt;0,'Calculations PJ'!AC144*About!$B$45,0)</f>
        <v>0</v>
      </c>
      <c r="AD144">
        <f>IF('Calculations PJ'!AD144&lt;&gt;0,'Calculations PJ'!AD144*About!$B$45,0)</f>
        <v>0</v>
      </c>
      <c r="AE144">
        <f>IF('Calculations PJ'!AE144&lt;&gt;0,'Calculations PJ'!AE144*About!$B$45,0)</f>
        <v>0</v>
      </c>
      <c r="AF144">
        <f>IF('Calculations PJ'!AF144&lt;&gt;0,'Calculations PJ'!AF144*About!$B$45,0)</f>
        <v>0</v>
      </c>
      <c r="AG144">
        <f>IF('Calculations PJ'!AG144&lt;&gt;0,'Calculations PJ'!AG144*About!$B$45,0)</f>
        <v>0</v>
      </c>
      <c r="AH144">
        <f>IF('Calculations PJ'!AH144&lt;&gt;0,'Calculations PJ'!AH144*About!$B$45,0)</f>
        <v>0</v>
      </c>
      <c r="AI144">
        <f>IF('Calculations PJ'!AI144&lt;&gt;0,'Calculations PJ'!AI144*About!$B$45,0)</f>
        <v>0</v>
      </c>
      <c r="AJ144">
        <f>IF('Calculations PJ'!AJ144&lt;&gt;0,'Calculations PJ'!AJ144*About!$B$45,0)</f>
        <v>0</v>
      </c>
      <c r="AK144">
        <f>IF('Calculations PJ'!AK144&lt;&gt;0,'Calculations PJ'!AK144*About!$B$45,0)</f>
        <v>0</v>
      </c>
      <c r="AL144">
        <f>IF('Calculations PJ'!AL144&lt;&gt;0,'Calculations PJ'!AL144*About!$B$45,0)</f>
        <v>0</v>
      </c>
      <c r="AM144">
        <f>IF('Calculations PJ'!AM144&lt;&gt;0,'Calculations PJ'!AM144*About!$B$45,0)</f>
        <v>0</v>
      </c>
      <c r="AN144">
        <f>IF('Calculations PJ'!AN144&lt;&gt;0,'Calculations PJ'!AN144*About!$B$45,0)</f>
        <v>0</v>
      </c>
      <c r="AO144">
        <f>IF('Calculations PJ'!AO144&lt;&gt;0,'Calculations PJ'!AO144*About!$B$45,0)</f>
        <v>0</v>
      </c>
      <c r="AP144">
        <f>IF('Calculations PJ'!AP144&lt;&gt;0,'Calculations PJ'!AP144*About!$B$45,0)</f>
        <v>0</v>
      </c>
      <c r="AQ144">
        <f>IF('Calculations PJ'!AQ144&lt;&gt;0,'Calculations PJ'!AQ144*About!$B$45,0)</f>
        <v>0</v>
      </c>
      <c r="AR144">
        <f>IF('Calculations PJ'!AR144&lt;&gt;0,'Calculations PJ'!AR144*About!$B$45,0)</f>
        <v>0</v>
      </c>
      <c r="AS144">
        <f>IF('Calculations PJ'!AS144&lt;&gt;0,'Calculations PJ'!AS144*About!$B$45,0)</f>
        <v>0</v>
      </c>
      <c r="AT144">
        <f>IF('Calculations PJ'!AT144&lt;&gt;0,'Calculations PJ'!AT144*About!$B$45,0)</f>
        <v>0</v>
      </c>
      <c r="AU144">
        <f>IF('Calculations PJ'!AU144&lt;&gt;0,'Calculations PJ'!AU144*About!$B$45,0)</f>
        <v>0</v>
      </c>
      <c r="AV144">
        <f>IF('Calculations PJ'!AV144&lt;&gt;0,'Calculations PJ'!AV144*About!$B$45,0)</f>
        <v>0</v>
      </c>
      <c r="AW144">
        <f>IF('Calculations PJ'!AW144&lt;&gt;0,'Calculations PJ'!AW144*About!$B$45,0)</f>
        <v>0</v>
      </c>
      <c r="AX144">
        <f>IF('Calculations PJ'!AX144&lt;&gt;0,'Calculations PJ'!AX144*About!$B$45,0)</f>
        <v>0</v>
      </c>
      <c r="AY144">
        <f>IF('Calculations PJ'!AY144&lt;&gt;0,'Calculations PJ'!AY144*About!$B$45,0)</f>
        <v>0</v>
      </c>
      <c r="AZ144">
        <f>IF('Calculations PJ'!AZ144&lt;&gt;0,'Calculations PJ'!AZ144*About!$B$45,0)</f>
        <v>0</v>
      </c>
      <c r="BA144">
        <f>IF('Calculations PJ'!BA144&lt;&gt;0,'Calculations PJ'!BA144*About!$B$45,0)</f>
        <v>0</v>
      </c>
      <c r="BB144">
        <f>IF('Calculations PJ'!BB144&lt;&gt;0,'Calculations PJ'!BB144*About!$B$45,0)</f>
        <v>0</v>
      </c>
      <c r="BC144">
        <f>IF('Calculations PJ'!BC144&lt;&gt;0,'Calculations PJ'!BC144*About!$B$45,0)</f>
        <v>0</v>
      </c>
      <c r="BD144">
        <f>IF('Calculations PJ'!BD144&lt;&gt;0,'Calculations PJ'!BD144*About!$B$45,0)</f>
        <v>0</v>
      </c>
      <c r="BE144">
        <f>IF('Calculations PJ'!BE144&lt;&gt;0,'Calculations PJ'!BE144*About!$B$45,0)</f>
        <v>0</v>
      </c>
      <c r="BF144">
        <f>IF('Calculations PJ'!BF144&lt;&gt;0,'Calculations PJ'!BF144*About!$B$45,0)</f>
        <v>0</v>
      </c>
      <c r="BG144">
        <f>IF('Calculations PJ'!BG144&lt;&gt;0,'Calculations PJ'!BG144*About!$B$45,0)</f>
        <v>0</v>
      </c>
      <c r="BH144">
        <f>IF('Calculations PJ'!BH144&lt;&gt;0,'Calculations PJ'!BH144*About!$B$45,0)</f>
        <v>0</v>
      </c>
    </row>
    <row r="145" spans="1:60" hidden="1" outlineLevel="1">
      <c r="B145" t="s">
        <v>138</v>
      </c>
      <c r="C145">
        <f>IF('Calculations PJ'!C145&lt;&gt;0,'Calculations PJ'!C145*About!$B$45,0)</f>
        <v>0</v>
      </c>
      <c r="D145">
        <f>IF('Calculations PJ'!D145&lt;&gt;0,'Calculations PJ'!D145*About!$B$45,0)</f>
        <v>0</v>
      </c>
      <c r="E145">
        <f>IF('Calculations PJ'!E145&lt;&gt;0,'Calculations PJ'!E145*About!$B$45,0)</f>
        <v>0</v>
      </c>
      <c r="F145">
        <f>IF('Calculations PJ'!F145&lt;&gt;0,'Calculations PJ'!F145*About!$B$45,0)</f>
        <v>0</v>
      </c>
      <c r="G145">
        <f>IF('Calculations PJ'!G145&lt;&gt;0,'Calculations PJ'!G145*About!$B$45,0)</f>
        <v>0</v>
      </c>
      <c r="H145">
        <f>IF('Calculations PJ'!H145&lt;&gt;0,'Calculations PJ'!H145*About!$B$45,0)</f>
        <v>0</v>
      </c>
      <c r="I145">
        <f>IF('Calculations PJ'!I145&lt;&gt;0,'Calculations PJ'!I145*About!$B$45,0)</f>
        <v>0</v>
      </c>
      <c r="J145">
        <f>IF('Calculations PJ'!J145&lt;&gt;0,'Calculations PJ'!J145*About!$B$45,0)</f>
        <v>0</v>
      </c>
      <c r="K145">
        <f>IF('Calculations PJ'!K145&lt;&gt;0,'Calculations PJ'!K145*About!$B$45,0)</f>
        <v>0</v>
      </c>
      <c r="L145">
        <f>IF('Calculations PJ'!L145&lt;&gt;0,'Calculations PJ'!L145*About!$B$45,0)</f>
        <v>0</v>
      </c>
      <c r="M145">
        <f>IF('Calculations PJ'!M145&lt;&gt;0,'Calculations PJ'!M145*About!$B$45,0)</f>
        <v>0</v>
      </c>
      <c r="N145">
        <f>IF('Calculations PJ'!N145&lt;&gt;0,'Calculations PJ'!N145*About!$B$45,0)</f>
        <v>0</v>
      </c>
      <c r="O145">
        <f>IF('Calculations PJ'!O145&lt;&gt;0,'Calculations PJ'!O145*About!$B$45,0)</f>
        <v>0</v>
      </c>
      <c r="P145">
        <f>IF('Calculations PJ'!P145&lt;&gt;0,'Calculations PJ'!P145*About!$B$45,0)</f>
        <v>0</v>
      </c>
      <c r="Q145">
        <f>IF('Calculations PJ'!Q145&lt;&gt;0,'Calculations PJ'!Q145*About!$B$45,0)</f>
        <v>0</v>
      </c>
      <c r="R145">
        <f>IF('Calculations PJ'!R145&lt;&gt;0,'Calculations PJ'!R145*About!$B$45,0)</f>
        <v>0</v>
      </c>
      <c r="S145">
        <f>IF('Calculations PJ'!S145&lt;&gt;0,'Calculations PJ'!S145*About!$B$45,0)</f>
        <v>0</v>
      </c>
      <c r="T145">
        <f>IF('Calculations PJ'!T145&lt;&gt;0,'Calculations PJ'!T145*About!$B$45,0)</f>
        <v>0</v>
      </c>
      <c r="U145">
        <f>IF('Calculations PJ'!U145&lt;&gt;0,'Calculations PJ'!U145*About!$B$45,0)</f>
        <v>0</v>
      </c>
      <c r="V145">
        <f>IF('Calculations PJ'!V145&lt;&gt;0,'Calculations PJ'!V145*About!$B$45,0)</f>
        <v>0</v>
      </c>
      <c r="W145">
        <f>IF('Calculations PJ'!W145&lt;&gt;0,'Calculations PJ'!W145*About!$B$45,0)</f>
        <v>0</v>
      </c>
      <c r="X145">
        <f>IF('Calculations PJ'!X145&lt;&gt;0,'Calculations PJ'!X145*About!$B$45,0)</f>
        <v>0</v>
      </c>
      <c r="Y145">
        <f>IF('Calculations PJ'!Y145&lt;&gt;0,'Calculations PJ'!Y145*About!$B$45,0)</f>
        <v>0</v>
      </c>
      <c r="Z145">
        <f>IF('Calculations PJ'!Z145&lt;&gt;0,'Calculations PJ'!Z145*About!$B$45,0)</f>
        <v>0</v>
      </c>
      <c r="AA145">
        <f>IF('Calculations PJ'!AA145&lt;&gt;0,'Calculations PJ'!AA145*About!$B$45,0)</f>
        <v>0</v>
      </c>
      <c r="AB145">
        <f>IF('Calculations PJ'!AB145&lt;&gt;0,'Calculations PJ'!AB145*About!$B$45,0)</f>
        <v>0</v>
      </c>
      <c r="AC145">
        <f>IF('Calculations PJ'!AC145&lt;&gt;0,'Calculations PJ'!AC145*About!$B$45,0)</f>
        <v>0</v>
      </c>
      <c r="AD145">
        <f>IF('Calculations PJ'!AD145&lt;&gt;0,'Calculations PJ'!AD145*About!$B$45,0)</f>
        <v>0</v>
      </c>
      <c r="AE145">
        <f>IF('Calculations PJ'!AE145&lt;&gt;0,'Calculations PJ'!AE145*About!$B$45,0)</f>
        <v>0</v>
      </c>
      <c r="AF145">
        <f>IF('Calculations PJ'!AF145&lt;&gt;0,'Calculations PJ'!AF145*About!$B$45,0)</f>
        <v>0</v>
      </c>
      <c r="AG145">
        <f>IF('Calculations PJ'!AG145&lt;&gt;0,'Calculations PJ'!AG145*About!$B$45,0)</f>
        <v>0</v>
      </c>
      <c r="AH145">
        <f>IF('Calculations PJ'!AH145&lt;&gt;0,'Calculations PJ'!AH145*About!$B$45,0)</f>
        <v>0</v>
      </c>
      <c r="AI145">
        <f>IF('Calculations PJ'!AI145&lt;&gt;0,'Calculations PJ'!AI145*About!$B$45,0)</f>
        <v>0</v>
      </c>
      <c r="AJ145">
        <f>IF('Calculations PJ'!AJ145&lt;&gt;0,'Calculations PJ'!AJ145*About!$B$45,0)</f>
        <v>0</v>
      </c>
      <c r="AK145">
        <f>IF('Calculations PJ'!AK145&lt;&gt;0,'Calculations PJ'!AK145*About!$B$45,0)</f>
        <v>0</v>
      </c>
      <c r="AL145">
        <f>IF('Calculations PJ'!AL145&lt;&gt;0,'Calculations PJ'!AL145*About!$B$45,0)</f>
        <v>0</v>
      </c>
      <c r="AM145">
        <f>IF('Calculations PJ'!AM145&lt;&gt;0,'Calculations PJ'!AM145*About!$B$45,0)</f>
        <v>0</v>
      </c>
      <c r="AN145">
        <f>IF('Calculations PJ'!AN145&lt;&gt;0,'Calculations PJ'!AN145*About!$B$45,0)</f>
        <v>0</v>
      </c>
      <c r="AO145">
        <f>IF('Calculations PJ'!AO145&lt;&gt;0,'Calculations PJ'!AO145*About!$B$45,0)</f>
        <v>0</v>
      </c>
      <c r="AP145">
        <f>IF('Calculations PJ'!AP145&lt;&gt;0,'Calculations PJ'!AP145*About!$B$45,0)</f>
        <v>0</v>
      </c>
      <c r="AQ145">
        <f>IF('Calculations PJ'!AQ145&lt;&gt;0,'Calculations PJ'!AQ145*About!$B$45,0)</f>
        <v>0</v>
      </c>
      <c r="AR145">
        <f>IF('Calculations PJ'!AR145&lt;&gt;0,'Calculations PJ'!AR145*About!$B$45,0)</f>
        <v>0</v>
      </c>
      <c r="AS145">
        <f>IF('Calculations PJ'!AS145&lt;&gt;0,'Calculations PJ'!AS145*About!$B$45,0)</f>
        <v>0</v>
      </c>
      <c r="AT145">
        <f>IF('Calculations PJ'!AT145&lt;&gt;0,'Calculations PJ'!AT145*About!$B$45,0)</f>
        <v>0</v>
      </c>
      <c r="AU145">
        <f>IF('Calculations PJ'!AU145&lt;&gt;0,'Calculations PJ'!AU145*About!$B$45,0)</f>
        <v>0</v>
      </c>
      <c r="AV145">
        <f>IF('Calculations PJ'!AV145&lt;&gt;0,'Calculations PJ'!AV145*About!$B$45,0)</f>
        <v>0</v>
      </c>
      <c r="AW145">
        <f>IF('Calculations PJ'!AW145&lt;&gt;0,'Calculations PJ'!AW145*About!$B$45,0)</f>
        <v>0</v>
      </c>
      <c r="AX145">
        <f>IF('Calculations PJ'!AX145&lt;&gt;0,'Calculations PJ'!AX145*About!$B$45,0)</f>
        <v>0</v>
      </c>
      <c r="AY145">
        <f>IF('Calculations PJ'!AY145&lt;&gt;0,'Calculations PJ'!AY145*About!$B$45,0)</f>
        <v>0</v>
      </c>
      <c r="AZ145">
        <f>IF('Calculations PJ'!AZ145&lt;&gt;0,'Calculations PJ'!AZ145*About!$B$45,0)</f>
        <v>0</v>
      </c>
      <c r="BA145">
        <f>IF('Calculations PJ'!BA145&lt;&gt;0,'Calculations PJ'!BA145*About!$B$45,0)</f>
        <v>0</v>
      </c>
      <c r="BB145">
        <f>IF('Calculations PJ'!BB145&lt;&gt;0,'Calculations PJ'!BB145*About!$B$45,0)</f>
        <v>0</v>
      </c>
      <c r="BC145">
        <f>IF('Calculations PJ'!BC145&lt;&gt;0,'Calculations PJ'!BC145*About!$B$45,0)</f>
        <v>0</v>
      </c>
      <c r="BD145">
        <f>IF('Calculations PJ'!BD145&lt;&gt;0,'Calculations PJ'!BD145*About!$B$45,0)</f>
        <v>0</v>
      </c>
      <c r="BE145">
        <f>IF('Calculations PJ'!BE145&lt;&gt;0,'Calculations PJ'!BE145*About!$B$45,0)</f>
        <v>0</v>
      </c>
      <c r="BF145">
        <f>IF('Calculations PJ'!BF145&lt;&gt;0,'Calculations PJ'!BF145*About!$B$45,0)</f>
        <v>0</v>
      </c>
      <c r="BG145">
        <f>IF('Calculations PJ'!BG145&lt;&gt;0,'Calculations PJ'!BG145*About!$B$45,0)</f>
        <v>0</v>
      </c>
      <c r="BH145">
        <f>IF('Calculations PJ'!BH145&lt;&gt;0,'Calculations PJ'!BH145*About!$B$45,0)</f>
        <v>0</v>
      </c>
    </row>
    <row r="146" spans="1:60" hidden="1" outlineLevel="1">
      <c r="B146" t="s">
        <v>139</v>
      </c>
      <c r="C146">
        <f>IF('Calculations PJ'!C146&lt;&gt;0,'Calculations PJ'!C146*About!$B$45,0)</f>
        <v>0</v>
      </c>
      <c r="D146">
        <f>IF('Calculations PJ'!D146&lt;&gt;0,'Calculations PJ'!D146*About!$B$45,0)</f>
        <v>0</v>
      </c>
      <c r="E146">
        <f>IF('Calculations PJ'!E146&lt;&gt;0,'Calculations PJ'!E146*About!$B$45,0)</f>
        <v>0</v>
      </c>
      <c r="F146">
        <f>IF('Calculations PJ'!F146&lt;&gt;0,'Calculations PJ'!F146*About!$B$45,0)</f>
        <v>0</v>
      </c>
      <c r="G146">
        <f>IF('Calculations PJ'!G146&lt;&gt;0,'Calculations PJ'!G146*About!$B$45,0)</f>
        <v>0</v>
      </c>
      <c r="H146">
        <f>IF('Calculations PJ'!H146&lt;&gt;0,'Calculations PJ'!H146*About!$B$45,0)</f>
        <v>0</v>
      </c>
      <c r="I146">
        <f>IF('Calculations PJ'!I146&lt;&gt;0,'Calculations PJ'!I146*About!$B$45,0)</f>
        <v>0</v>
      </c>
      <c r="J146">
        <f>IF('Calculations PJ'!J146&lt;&gt;0,'Calculations PJ'!J146*About!$B$45,0)</f>
        <v>0</v>
      </c>
      <c r="K146">
        <f>IF('Calculations PJ'!K146&lt;&gt;0,'Calculations PJ'!K146*About!$B$45,0)</f>
        <v>0</v>
      </c>
      <c r="L146">
        <f>IF('Calculations PJ'!L146&lt;&gt;0,'Calculations PJ'!L146*About!$B$45,0)</f>
        <v>0</v>
      </c>
      <c r="M146">
        <f>IF('Calculations PJ'!M146&lt;&gt;0,'Calculations PJ'!M146*About!$B$45,0)</f>
        <v>0</v>
      </c>
      <c r="N146">
        <f>IF('Calculations PJ'!N146&lt;&gt;0,'Calculations PJ'!N146*About!$B$45,0)</f>
        <v>0</v>
      </c>
      <c r="O146">
        <f>IF('Calculations PJ'!O146&lt;&gt;0,'Calculations PJ'!O146*About!$B$45,0)</f>
        <v>0</v>
      </c>
      <c r="P146">
        <f>IF('Calculations PJ'!P146&lt;&gt;0,'Calculations PJ'!P146*About!$B$45,0)</f>
        <v>0</v>
      </c>
      <c r="Q146">
        <f>IF('Calculations PJ'!Q146&lt;&gt;0,'Calculations PJ'!Q146*About!$B$45,0)</f>
        <v>0</v>
      </c>
      <c r="R146">
        <f>IF('Calculations PJ'!R146&lt;&gt;0,'Calculations PJ'!R146*About!$B$45,0)</f>
        <v>0</v>
      </c>
      <c r="S146">
        <f>IF('Calculations PJ'!S146&lt;&gt;0,'Calculations PJ'!S146*About!$B$45,0)</f>
        <v>0</v>
      </c>
      <c r="T146">
        <f>IF('Calculations PJ'!T146&lt;&gt;0,'Calculations PJ'!T146*About!$B$45,0)</f>
        <v>0</v>
      </c>
      <c r="U146">
        <f>IF('Calculations PJ'!U146&lt;&gt;0,'Calculations PJ'!U146*About!$B$45,0)</f>
        <v>0</v>
      </c>
      <c r="V146">
        <f>IF('Calculations PJ'!V146&lt;&gt;0,'Calculations PJ'!V146*About!$B$45,0)</f>
        <v>0</v>
      </c>
      <c r="W146">
        <f>IF('Calculations PJ'!W146&lt;&gt;0,'Calculations PJ'!W146*About!$B$45,0)</f>
        <v>0</v>
      </c>
      <c r="X146">
        <f>IF('Calculations PJ'!X146&lt;&gt;0,'Calculations PJ'!X146*About!$B$45,0)</f>
        <v>0</v>
      </c>
      <c r="Y146">
        <f>IF('Calculations PJ'!Y146&lt;&gt;0,'Calculations PJ'!Y146*About!$B$45,0)</f>
        <v>0</v>
      </c>
      <c r="Z146">
        <f>IF('Calculations PJ'!Z146&lt;&gt;0,'Calculations PJ'!Z146*About!$B$45,0)</f>
        <v>0</v>
      </c>
      <c r="AA146">
        <f>IF('Calculations PJ'!AA146&lt;&gt;0,'Calculations PJ'!AA146*About!$B$45,0)</f>
        <v>0</v>
      </c>
      <c r="AB146">
        <f>IF('Calculations PJ'!AB146&lt;&gt;0,'Calculations PJ'!AB146*About!$B$45,0)</f>
        <v>0</v>
      </c>
      <c r="AC146">
        <f>IF('Calculations PJ'!AC146&lt;&gt;0,'Calculations PJ'!AC146*About!$B$45,0)</f>
        <v>0</v>
      </c>
      <c r="AD146">
        <f>IF('Calculations PJ'!AD146&lt;&gt;0,'Calculations PJ'!AD146*About!$B$45,0)</f>
        <v>0</v>
      </c>
      <c r="AE146">
        <f>IF('Calculations PJ'!AE146&lt;&gt;0,'Calculations PJ'!AE146*About!$B$45,0)</f>
        <v>0</v>
      </c>
      <c r="AF146">
        <f>IF('Calculations PJ'!AF146&lt;&gt;0,'Calculations PJ'!AF146*About!$B$45,0)</f>
        <v>0</v>
      </c>
      <c r="AG146">
        <f>IF('Calculations PJ'!AG146&lt;&gt;0,'Calculations PJ'!AG146*About!$B$45,0)</f>
        <v>0</v>
      </c>
      <c r="AH146">
        <f>IF('Calculations PJ'!AH146&lt;&gt;0,'Calculations PJ'!AH146*About!$B$45,0)</f>
        <v>0</v>
      </c>
      <c r="AI146">
        <f>IF('Calculations PJ'!AI146&lt;&gt;0,'Calculations PJ'!AI146*About!$B$45,0)</f>
        <v>0</v>
      </c>
      <c r="AJ146">
        <f>IF('Calculations PJ'!AJ146&lt;&gt;0,'Calculations PJ'!AJ146*About!$B$45,0)</f>
        <v>0</v>
      </c>
      <c r="AK146">
        <f>IF('Calculations PJ'!AK146&lt;&gt;0,'Calculations PJ'!AK146*About!$B$45,0)</f>
        <v>0</v>
      </c>
      <c r="AL146">
        <f>IF('Calculations PJ'!AL146&lt;&gt;0,'Calculations PJ'!AL146*About!$B$45,0)</f>
        <v>0</v>
      </c>
      <c r="AM146">
        <f>IF('Calculations PJ'!AM146&lt;&gt;0,'Calculations PJ'!AM146*About!$B$45,0)</f>
        <v>0</v>
      </c>
      <c r="AN146">
        <f>IF('Calculations PJ'!AN146&lt;&gt;0,'Calculations PJ'!AN146*About!$B$45,0)</f>
        <v>0</v>
      </c>
      <c r="AO146">
        <f>IF('Calculations PJ'!AO146&lt;&gt;0,'Calculations PJ'!AO146*About!$B$45,0)</f>
        <v>0</v>
      </c>
      <c r="AP146">
        <f>IF('Calculations PJ'!AP146&lt;&gt;0,'Calculations PJ'!AP146*About!$B$45,0)</f>
        <v>0</v>
      </c>
      <c r="AQ146">
        <f>IF('Calculations PJ'!AQ146&lt;&gt;0,'Calculations PJ'!AQ146*About!$B$45,0)</f>
        <v>0</v>
      </c>
      <c r="AR146">
        <f>IF('Calculations PJ'!AR146&lt;&gt;0,'Calculations PJ'!AR146*About!$B$45,0)</f>
        <v>0</v>
      </c>
      <c r="AS146">
        <f>IF('Calculations PJ'!AS146&lt;&gt;0,'Calculations PJ'!AS146*About!$B$45,0)</f>
        <v>0</v>
      </c>
      <c r="AT146">
        <f>IF('Calculations PJ'!AT146&lt;&gt;0,'Calculations PJ'!AT146*About!$B$45,0)</f>
        <v>0</v>
      </c>
      <c r="AU146">
        <f>IF('Calculations PJ'!AU146&lt;&gt;0,'Calculations PJ'!AU146*About!$B$45,0)</f>
        <v>0</v>
      </c>
      <c r="AV146">
        <f>IF('Calculations PJ'!AV146&lt;&gt;0,'Calculations PJ'!AV146*About!$B$45,0)</f>
        <v>0</v>
      </c>
      <c r="AW146">
        <f>IF('Calculations PJ'!AW146&lt;&gt;0,'Calculations PJ'!AW146*About!$B$45,0)</f>
        <v>0</v>
      </c>
      <c r="AX146">
        <f>IF('Calculations PJ'!AX146&lt;&gt;0,'Calculations PJ'!AX146*About!$B$45,0)</f>
        <v>0</v>
      </c>
      <c r="AY146">
        <f>IF('Calculations PJ'!AY146&lt;&gt;0,'Calculations PJ'!AY146*About!$B$45,0)</f>
        <v>0</v>
      </c>
      <c r="AZ146">
        <f>IF('Calculations PJ'!AZ146&lt;&gt;0,'Calculations PJ'!AZ146*About!$B$45,0)</f>
        <v>0</v>
      </c>
      <c r="BA146">
        <f>IF('Calculations PJ'!BA146&lt;&gt;0,'Calculations PJ'!BA146*About!$B$45,0)</f>
        <v>0</v>
      </c>
      <c r="BB146">
        <f>IF('Calculations PJ'!BB146&lt;&gt;0,'Calculations PJ'!BB146*About!$B$45,0)</f>
        <v>0</v>
      </c>
      <c r="BC146">
        <f>IF('Calculations PJ'!BC146&lt;&gt;0,'Calculations PJ'!BC146*About!$B$45,0)</f>
        <v>0</v>
      </c>
      <c r="BD146">
        <f>IF('Calculations PJ'!BD146&lt;&gt;0,'Calculations PJ'!BD146*About!$B$45,0)</f>
        <v>0</v>
      </c>
      <c r="BE146">
        <f>IF('Calculations PJ'!BE146&lt;&gt;0,'Calculations PJ'!BE146*About!$B$45,0)</f>
        <v>0</v>
      </c>
      <c r="BF146">
        <f>IF('Calculations PJ'!BF146&lt;&gt;0,'Calculations PJ'!BF146*About!$B$45,0)</f>
        <v>0</v>
      </c>
      <c r="BG146">
        <f>IF('Calculations PJ'!BG146&lt;&gt;0,'Calculations PJ'!BG146*About!$B$45,0)</f>
        <v>0</v>
      </c>
      <c r="BH146">
        <f>IF('Calculations PJ'!BH146&lt;&gt;0,'Calculations PJ'!BH146*About!$B$45,0)</f>
        <v>0</v>
      </c>
    </row>
    <row r="147" spans="1:60" hidden="1" outlineLevel="1">
      <c r="B147" t="s">
        <v>140</v>
      </c>
      <c r="C147">
        <f>IF('Calculations PJ'!C147&lt;&gt;0,'Calculations PJ'!C147*About!$B$45,0)</f>
        <v>0</v>
      </c>
      <c r="D147">
        <f>IF('Calculations PJ'!D147&lt;&gt;0,'Calculations PJ'!D147*About!$B$45,0)</f>
        <v>0</v>
      </c>
      <c r="E147">
        <f>IF('Calculations PJ'!E147&lt;&gt;0,'Calculations PJ'!E147*About!$B$45,0)</f>
        <v>0</v>
      </c>
      <c r="F147">
        <f>IF('Calculations PJ'!F147&lt;&gt;0,'Calculations PJ'!F147*About!$B$45,0)</f>
        <v>0</v>
      </c>
      <c r="G147">
        <f>IF('Calculations PJ'!G147&lt;&gt;0,'Calculations PJ'!G147*About!$B$45,0)</f>
        <v>0</v>
      </c>
      <c r="H147">
        <f>IF('Calculations PJ'!H147&lt;&gt;0,'Calculations PJ'!H147*About!$B$45,0)</f>
        <v>0</v>
      </c>
      <c r="I147">
        <f>IF('Calculations PJ'!I147&lt;&gt;0,'Calculations PJ'!I147*About!$B$45,0)</f>
        <v>0</v>
      </c>
      <c r="J147">
        <f>IF('Calculations PJ'!J147&lt;&gt;0,'Calculations PJ'!J147*About!$B$45,0)</f>
        <v>0</v>
      </c>
      <c r="K147">
        <f>IF('Calculations PJ'!K147&lt;&gt;0,'Calculations PJ'!K147*About!$B$45,0)</f>
        <v>0</v>
      </c>
      <c r="L147">
        <f>IF('Calculations PJ'!L147&lt;&gt;0,'Calculations PJ'!L147*About!$B$45,0)</f>
        <v>0</v>
      </c>
      <c r="M147">
        <f>IF('Calculations PJ'!M147&lt;&gt;0,'Calculations PJ'!M147*About!$B$45,0)</f>
        <v>0</v>
      </c>
      <c r="N147">
        <f>IF('Calculations PJ'!N147&lt;&gt;0,'Calculations PJ'!N147*About!$B$45,0)</f>
        <v>0</v>
      </c>
      <c r="O147">
        <f>IF('Calculations PJ'!O147&lt;&gt;0,'Calculations PJ'!O147*About!$B$45,0)</f>
        <v>0</v>
      </c>
      <c r="P147">
        <f>IF('Calculations PJ'!P147&lt;&gt;0,'Calculations PJ'!P147*About!$B$45,0)</f>
        <v>0</v>
      </c>
      <c r="Q147">
        <f>IF('Calculations PJ'!Q147&lt;&gt;0,'Calculations PJ'!Q147*About!$B$45,0)</f>
        <v>0</v>
      </c>
      <c r="R147">
        <f>IF('Calculations PJ'!R147&lt;&gt;0,'Calculations PJ'!R147*About!$B$45,0)</f>
        <v>0</v>
      </c>
      <c r="S147">
        <f>IF('Calculations PJ'!S147&lt;&gt;0,'Calculations PJ'!S147*About!$B$45,0)</f>
        <v>0</v>
      </c>
      <c r="T147">
        <f>IF('Calculations PJ'!T147&lt;&gt;0,'Calculations PJ'!T147*About!$B$45,0)</f>
        <v>0</v>
      </c>
      <c r="U147">
        <f>IF('Calculations PJ'!U147&lt;&gt;0,'Calculations PJ'!U147*About!$B$45,0)</f>
        <v>0</v>
      </c>
      <c r="V147">
        <f>IF('Calculations PJ'!V147&lt;&gt;0,'Calculations PJ'!V147*About!$B$45,0)</f>
        <v>0</v>
      </c>
      <c r="W147">
        <f>IF('Calculations PJ'!W147&lt;&gt;0,'Calculations PJ'!W147*About!$B$45,0)</f>
        <v>0</v>
      </c>
      <c r="X147">
        <f>IF('Calculations PJ'!X147&lt;&gt;0,'Calculations PJ'!X147*About!$B$45,0)</f>
        <v>0</v>
      </c>
      <c r="Y147">
        <f>IF('Calculations PJ'!Y147&lt;&gt;0,'Calculations PJ'!Y147*About!$B$45,0)</f>
        <v>0</v>
      </c>
      <c r="Z147">
        <f>IF('Calculations PJ'!Z147&lt;&gt;0,'Calculations PJ'!Z147*About!$B$45,0)</f>
        <v>0</v>
      </c>
      <c r="AA147">
        <f>IF('Calculations PJ'!AA147&lt;&gt;0,'Calculations PJ'!AA147*About!$B$45,0)</f>
        <v>0</v>
      </c>
      <c r="AB147">
        <f>IF('Calculations PJ'!AB147&lt;&gt;0,'Calculations PJ'!AB147*About!$B$45,0)</f>
        <v>0</v>
      </c>
      <c r="AC147">
        <f>IF('Calculations PJ'!AC147&lt;&gt;0,'Calculations PJ'!AC147*About!$B$45,0)</f>
        <v>0</v>
      </c>
      <c r="AD147">
        <f>IF('Calculations PJ'!AD147&lt;&gt;0,'Calculations PJ'!AD147*About!$B$45,0)</f>
        <v>0</v>
      </c>
      <c r="AE147">
        <f>IF('Calculations PJ'!AE147&lt;&gt;0,'Calculations PJ'!AE147*About!$B$45,0)</f>
        <v>0</v>
      </c>
      <c r="AF147">
        <f>IF('Calculations PJ'!AF147&lt;&gt;0,'Calculations PJ'!AF147*About!$B$45,0)</f>
        <v>0</v>
      </c>
      <c r="AG147">
        <f>IF('Calculations PJ'!AG147&lt;&gt;0,'Calculations PJ'!AG147*About!$B$45,0)</f>
        <v>0</v>
      </c>
      <c r="AH147">
        <f>IF('Calculations PJ'!AH147&lt;&gt;0,'Calculations PJ'!AH147*About!$B$45,0)</f>
        <v>0</v>
      </c>
      <c r="AI147">
        <f>IF('Calculations PJ'!AI147&lt;&gt;0,'Calculations PJ'!AI147*About!$B$45,0)</f>
        <v>0</v>
      </c>
      <c r="AJ147">
        <f>IF('Calculations PJ'!AJ147&lt;&gt;0,'Calculations PJ'!AJ147*About!$B$45,0)</f>
        <v>0</v>
      </c>
      <c r="AK147">
        <f>IF('Calculations PJ'!AK147&lt;&gt;0,'Calculations PJ'!AK147*About!$B$45,0)</f>
        <v>0</v>
      </c>
      <c r="AL147">
        <f>IF('Calculations PJ'!AL147&lt;&gt;0,'Calculations PJ'!AL147*About!$B$45,0)</f>
        <v>0</v>
      </c>
      <c r="AM147">
        <f>IF('Calculations PJ'!AM147&lt;&gt;0,'Calculations PJ'!AM147*About!$B$45,0)</f>
        <v>0</v>
      </c>
      <c r="AN147">
        <f>IF('Calculations PJ'!AN147&lt;&gt;0,'Calculations PJ'!AN147*About!$B$45,0)</f>
        <v>0</v>
      </c>
      <c r="AO147">
        <f>IF('Calculations PJ'!AO147&lt;&gt;0,'Calculations PJ'!AO147*About!$B$45,0)</f>
        <v>0</v>
      </c>
      <c r="AP147">
        <f>IF('Calculations PJ'!AP147&lt;&gt;0,'Calculations PJ'!AP147*About!$B$45,0)</f>
        <v>0</v>
      </c>
      <c r="AQ147">
        <f>IF('Calculations PJ'!AQ147&lt;&gt;0,'Calculations PJ'!AQ147*About!$B$45,0)</f>
        <v>0</v>
      </c>
      <c r="AR147">
        <f>IF('Calculations PJ'!AR147&lt;&gt;0,'Calculations PJ'!AR147*About!$B$45,0)</f>
        <v>0</v>
      </c>
      <c r="AS147">
        <f>IF('Calculations PJ'!AS147&lt;&gt;0,'Calculations PJ'!AS147*About!$B$45,0)</f>
        <v>0</v>
      </c>
      <c r="AT147">
        <f>IF('Calculations PJ'!AT147&lt;&gt;0,'Calculations PJ'!AT147*About!$B$45,0)</f>
        <v>0</v>
      </c>
      <c r="AU147">
        <f>IF('Calculations PJ'!AU147&lt;&gt;0,'Calculations PJ'!AU147*About!$B$45,0)</f>
        <v>0</v>
      </c>
      <c r="AV147">
        <f>IF('Calculations PJ'!AV147&lt;&gt;0,'Calculations PJ'!AV147*About!$B$45,0)</f>
        <v>0</v>
      </c>
      <c r="AW147">
        <f>IF('Calculations PJ'!AW147&lt;&gt;0,'Calculations PJ'!AW147*About!$B$45,0)</f>
        <v>0</v>
      </c>
      <c r="AX147">
        <f>IF('Calculations PJ'!AX147&lt;&gt;0,'Calculations PJ'!AX147*About!$B$45,0)</f>
        <v>0</v>
      </c>
      <c r="AY147">
        <f>IF('Calculations PJ'!AY147&lt;&gt;0,'Calculations PJ'!AY147*About!$B$45,0)</f>
        <v>0</v>
      </c>
      <c r="AZ147">
        <f>IF('Calculations PJ'!AZ147&lt;&gt;0,'Calculations PJ'!AZ147*About!$B$45,0)</f>
        <v>0</v>
      </c>
      <c r="BA147">
        <f>IF('Calculations PJ'!BA147&lt;&gt;0,'Calculations PJ'!BA147*About!$B$45,0)</f>
        <v>0</v>
      </c>
      <c r="BB147">
        <f>IF('Calculations PJ'!BB147&lt;&gt;0,'Calculations PJ'!BB147*About!$B$45,0)</f>
        <v>0</v>
      </c>
      <c r="BC147">
        <f>IF('Calculations PJ'!BC147&lt;&gt;0,'Calculations PJ'!BC147*About!$B$45,0)</f>
        <v>0</v>
      </c>
      <c r="BD147">
        <f>IF('Calculations PJ'!BD147&lt;&gt;0,'Calculations PJ'!BD147*About!$B$45,0)</f>
        <v>0</v>
      </c>
      <c r="BE147">
        <f>IF('Calculations PJ'!BE147&lt;&gt;0,'Calculations PJ'!BE147*About!$B$45,0)</f>
        <v>0</v>
      </c>
      <c r="BF147">
        <f>IF('Calculations PJ'!BF147&lt;&gt;0,'Calculations PJ'!BF147*About!$B$45,0)</f>
        <v>0</v>
      </c>
      <c r="BG147">
        <f>IF('Calculations PJ'!BG147&lt;&gt;0,'Calculations PJ'!BG147*About!$B$45,0)</f>
        <v>0</v>
      </c>
      <c r="BH147">
        <f>IF('Calculations PJ'!BH147&lt;&gt;0,'Calculations PJ'!BH147*About!$B$45,0)</f>
        <v>0</v>
      </c>
    </row>
    <row r="148" spans="1:60" hidden="1" outlineLevel="1">
      <c r="B148" t="s">
        <v>141</v>
      </c>
      <c r="C148">
        <f>IF('Calculations PJ'!C148&lt;&gt;0,'Calculations PJ'!C148*About!$B$45,0)</f>
        <v>0</v>
      </c>
      <c r="D148">
        <f>IF('Calculations PJ'!D148&lt;&gt;0,'Calculations PJ'!D148*About!$B$45,0)</f>
        <v>0</v>
      </c>
      <c r="E148">
        <f>IF('Calculations PJ'!E148&lt;&gt;0,'Calculations PJ'!E148*About!$B$45,0)</f>
        <v>0</v>
      </c>
      <c r="F148">
        <f>IF('Calculations PJ'!F148&lt;&gt;0,'Calculations PJ'!F148*About!$B$45,0)</f>
        <v>0</v>
      </c>
      <c r="G148">
        <f>IF('Calculations PJ'!G148&lt;&gt;0,'Calculations PJ'!G148*About!$B$45,0)</f>
        <v>0</v>
      </c>
      <c r="H148">
        <f>IF('Calculations PJ'!H148&lt;&gt;0,'Calculations PJ'!H148*About!$B$45,0)</f>
        <v>0</v>
      </c>
      <c r="I148">
        <f>IF('Calculations PJ'!I148&lt;&gt;0,'Calculations PJ'!I148*About!$B$45,0)</f>
        <v>0</v>
      </c>
      <c r="J148">
        <f>IF('Calculations PJ'!J148&lt;&gt;0,'Calculations PJ'!J148*About!$B$45,0)</f>
        <v>0</v>
      </c>
      <c r="K148">
        <f>IF('Calculations PJ'!K148&lt;&gt;0,'Calculations PJ'!K148*About!$B$45,0)</f>
        <v>0</v>
      </c>
      <c r="L148">
        <f>IF('Calculations PJ'!L148&lt;&gt;0,'Calculations PJ'!L148*About!$B$45,0)</f>
        <v>0</v>
      </c>
      <c r="M148">
        <f>IF('Calculations PJ'!M148&lt;&gt;0,'Calculations PJ'!M148*About!$B$45,0)</f>
        <v>0</v>
      </c>
      <c r="N148">
        <f>IF('Calculations PJ'!N148&lt;&gt;0,'Calculations PJ'!N148*About!$B$45,0)</f>
        <v>0</v>
      </c>
      <c r="O148">
        <f>IF('Calculations PJ'!O148&lt;&gt;0,'Calculations PJ'!O148*About!$B$45,0)</f>
        <v>0</v>
      </c>
      <c r="P148">
        <f>IF('Calculations PJ'!P148&lt;&gt;0,'Calculations PJ'!P148*About!$B$45,0)</f>
        <v>0</v>
      </c>
      <c r="Q148">
        <f>IF('Calculations PJ'!Q148&lt;&gt;0,'Calculations PJ'!Q148*About!$B$45,0)</f>
        <v>0</v>
      </c>
      <c r="R148">
        <f>IF('Calculations PJ'!R148&lt;&gt;0,'Calculations PJ'!R148*About!$B$45,0)</f>
        <v>0</v>
      </c>
      <c r="S148">
        <f>IF('Calculations PJ'!S148&lt;&gt;0,'Calculations PJ'!S148*About!$B$45,0)</f>
        <v>0</v>
      </c>
      <c r="T148">
        <f>IF('Calculations PJ'!T148&lt;&gt;0,'Calculations PJ'!T148*About!$B$45,0)</f>
        <v>0</v>
      </c>
      <c r="U148">
        <f>IF('Calculations PJ'!U148&lt;&gt;0,'Calculations PJ'!U148*About!$B$45,0)</f>
        <v>0</v>
      </c>
      <c r="V148">
        <f>IF('Calculations PJ'!V148&lt;&gt;0,'Calculations PJ'!V148*About!$B$45,0)</f>
        <v>0</v>
      </c>
      <c r="W148">
        <f>IF('Calculations PJ'!W148&lt;&gt;0,'Calculations PJ'!W148*About!$B$45,0)</f>
        <v>0</v>
      </c>
      <c r="X148">
        <f>IF('Calculations PJ'!X148&lt;&gt;0,'Calculations PJ'!X148*About!$B$45,0)</f>
        <v>0</v>
      </c>
      <c r="Y148">
        <f>IF('Calculations PJ'!Y148&lt;&gt;0,'Calculations PJ'!Y148*About!$B$45,0)</f>
        <v>0</v>
      </c>
      <c r="Z148">
        <f>IF('Calculations PJ'!Z148&lt;&gt;0,'Calculations PJ'!Z148*About!$B$45,0)</f>
        <v>0</v>
      </c>
      <c r="AA148">
        <f>IF('Calculations PJ'!AA148&lt;&gt;0,'Calculations PJ'!AA148*About!$B$45,0)</f>
        <v>0</v>
      </c>
      <c r="AB148">
        <f>IF('Calculations PJ'!AB148&lt;&gt;0,'Calculations PJ'!AB148*About!$B$45,0)</f>
        <v>0</v>
      </c>
      <c r="AC148">
        <f>IF('Calculations PJ'!AC148&lt;&gt;0,'Calculations PJ'!AC148*About!$B$45,0)</f>
        <v>0</v>
      </c>
      <c r="AD148">
        <f>IF('Calculations PJ'!AD148&lt;&gt;0,'Calculations PJ'!AD148*About!$B$45,0)</f>
        <v>0</v>
      </c>
      <c r="AE148">
        <f>IF('Calculations PJ'!AE148&lt;&gt;0,'Calculations PJ'!AE148*About!$B$45,0)</f>
        <v>0</v>
      </c>
      <c r="AF148">
        <f>IF('Calculations PJ'!AF148&lt;&gt;0,'Calculations PJ'!AF148*About!$B$45,0)</f>
        <v>0</v>
      </c>
      <c r="AG148">
        <f>IF('Calculations PJ'!AG148&lt;&gt;0,'Calculations PJ'!AG148*About!$B$45,0)</f>
        <v>0</v>
      </c>
      <c r="AH148">
        <f>IF('Calculations PJ'!AH148&lt;&gt;0,'Calculations PJ'!AH148*About!$B$45,0)</f>
        <v>0</v>
      </c>
      <c r="AI148">
        <f>IF('Calculations PJ'!AI148&lt;&gt;0,'Calculations PJ'!AI148*About!$B$45,0)</f>
        <v>0</v>
      </c>
      <c r="AJ148">
        <f>IF('Calculations PJ'!AJ148&lt;&gt;0,'Calculations PJ'!AJ148*About!$B$45,0)</f>
        <v>0</v>
      </c>
      <c r="AK148">
        <f>IF('Calculations PJ'!AK148&lt;&gt;0,'Calculations PJ'!AK148*About!$B$45,0)</f>
        <v>0</v>
      </c>
      <c r="AL148">
        <f>IF('Calculations PJ'!AL148&lt;&gt;0,'Calculations PJ'!AL148*About!$B$45,0)</f>
        <v>0</v>
      </c>
      <c r="AM148">
        <f>IF('Calculations PJ'!AM148&lt;&gt;0,'Calculations PJ'!AM148*About!$B$45,0)</f>
        <v>0</v>
      </c>
      <c r="AN148">
        <f>IF('Calculations PJ'!AN148&lt;&gt;0,'Calculations PJ'!AN148*About!$B$45,0)</f>
        <v>0</v>
      </c>
      <c r="AO148">
        <f>IF('Calculations PJ'!AO148&lt;&gt;0,'Calculations PJ'!AO148*About!$B$45,0)</f>
        <v>0</v>
      </c>
      <c r="AP148">
        <f>IF('Calculations PJ'!AP148&lt;&gt;0,'Calculations PJ'!AP148*About!$B$45,0)</f>
        <v>0</v>
      </c>
      <c r="AQ148">
        <f>IF('Calculations PJ'!AQ148&lt;&gt;0,'Calculations PJ'!AQ148*About!$B$45,0)</f>
        <v>0</v>
      </c>
      <c r="AR148">
        <f>IF('Calculations PJ'!AR148&lt;&gt;0,'Calculations PJ'!AR148*About!$B$45,0)</f>
        <v>0</v>
      </c>
      <c r="AS148">
        <f>IF('Calculations PJ'!AS148&lt;&gt;0,'Calculations PJ'!AS148*About!$B$45,0)</f>
        <v>0</v>
      </c>
      <c r="AT148">
        <f>IF('Calculations PJ'!AT148&lt;&gt;0,'Calculations PJ'!AT148*About!$B$45,0)</f>
        <v>0</v>
      </c>
      <c r="AU148">
        <f>IF('Calculations PJ'!AU148&lt;&gt;0,'Calculations PJ'!AU148*About!$B$45,0)</f>
        <v>0</v>
      </c>
      <c r="AV148">
        <f>IF('Calculations PJ'!AV148&lt;&gt;0,'Calculations PJ'!AV148*About!$B$45,0)</f>
        <v>0</v>
      </c>
      <c r="AW148">
        <f>IF('Calculations PJ'!AW148&lt;&gt;0,'Calculations PJ'!AW148*About!$B$45,0)</f>
        <v>0</v>
      </c>
      <c r="AX148">
        <f>IF('Calculations PJ'!AX148&lt;&gt;0,'Calculations PJ'!AX148*About!$B$45,0)</f>
        <v>0</v>
      </c>
      <c r="AY148">
        <f>IF('Calculations PJ'!AY148&lt;&gt;0,'Calculations PJ'!AY148*About!$B$45,0)</f>
        <v>0</v>
      </c>
      <c r="AZ148">
        <f>IF('Calculations PJ'!AZ148&lt;&gt;0,'Calculations PJ'!AZ148*About!$B$45,0)</f>
        <v>0</v>
      </c>
      <c r="BA148">
        <f>IF('Calculations PJ'!BA148&lt;&gt;0,'Calculations PJ'!BA148*About!$B$45,0)</f>
        <v>0</v>
      </c>
      <c r="BB148">
        <f>IF('Calculations PJ'!BB148&lt;&gt;0,'Calculations PJ'!BB148*About!$B$45,0)</f>
        <v>0</v>
      </c>
      <c r="BC148">
        <f>IF('Calculations PJ'!BC148&lt;&gt;0,'Calculations PJ'!BC148*About!$B$45,0)</f>
        <v>0</v>
      </c>
      <c r="BD148">
        <f>IF('Calculations PJ'!BD148&lt;&gt;0,'Calculations PJ'!BD148*About!$B$45,0)</f>
        <v>0</v>
      </c>
      <c r="BE148">
        <f>IF('Calculations PJ'!BE148&lt;&gt;0,'Calculations PJ'!BE148*About!$B$45,0)</f>
        <v>0</v>
      </c>
      <c r="BF148">
        <f>IF('Calculations PJ'!BF148&lt;&gt;0,'Calculations PJ'!BF148*About!$B$45,0)</f>
        <v>0</v>
      </c>
      <c r="BG148">
        <f>IF('Calculations PJ'!BG148&lt;&gt;0,'Calculations PJ'!BG148*About!$B$45,0)</f>
        <v>0</v>
      </c>
      <c r="BH148">
        <f>IF('Calculations PJ'!BH148&lt;&gt;0,'Calculations PJ'!BH148*About!$B$45,0)</f>
        <v>0</v>
      </c>
    </row>
    <row r="149" spans="1:60" hidden="1" outlineLevel="1">
      <c r="B149" t="s">
        <v>142</v>
      </c>
      <c r="C149">
        <f>IF('Calculations PJ'!C149&lt;&gt;0,'Calculations PJ'!C149*About!$B$45,0)</f>
        <v>0</v>
      </c>
      <c r="D149">
        <f>IF('Calculations PJ'!D149&lt;&gt;0,'Calculations PJ'!D149*About!$B$45,0)</f>
        <v>0</v>
      </c>
      <c r="E149">
        <f>IF('Calculations PJ'!E149&lt;&gt;0,'Calculations PJ'!E149*About!$B$45,0)</f>
        <v>0</v>
      </c>
      <c r="F149">
        <f>IF('Calculations PJ'!F149&lt;&gt;0,'Calculations PJ'!F149*About!$B$45,0)</f>
        <v>0</v>
      </c>
      <c r="G149">
        <f>IF('Calculations PJ'!G149&lt;&gt;0,'Calculations PJ'!G149*About!$B$45,0)</f>
        <v>0</v>
      </c>
      <c r="H149">
        <f>IF('Calculations PJ'!H149&lt;&gt;0,'Calculations PJ'!H149*About!$B$45,0)</f>
        <v>0</v>
      </c>
      <c r="I149">
        <f>IF('Calculations PJ'!I149&lt;&gt;0,'Calculations PJ'!I149*About!$B$45,0)</f>
        <v>0</v>
      </c>
      <c r="J149">
        <f>IF('Calculations PJ'!J149&lt;&gt;0,'Calculations PJ'!J149*About!$B$45,0)</f>
        <v>0</v>
      </c>
      <c r="K149">
        <f>IF('Calculations PJ'!K149&lt;&gt;0,'Calculations PJ'!K149*About!$B$45,0)</f>
        <v>0</v>
      </c>
      <c r="L149">
        <f>IF('Calculations PJ'!L149&lt;&gt;0,'Calculations PJ'!L149*About!$B$45,0)</f>
        <v>0</v>
      </c>
      <c r="M149">
        <f>IF('Calculations PJ'!M149&lt;&gt;0,'Calculations PJ'!M149*About!$B$45,0)</f>
        <v>0</v>
      </c>
      <c r="N149">
        <f>IF('Calculations PJ'!N149&lt;&gt;0,'Calculations PJ'!N149*About!$B$45,0)</f>
        <v>0</v>
      </c>
      <c r="O149">
        <f>IF('Calculations PJ'!O149&lt;&gt;0,'Calculations PJ'!O149*About!$B$45,0)</f>
        <v>0</v>
      </c>
      <c r="P149">
        <f>IF('Calculations PJ'!P149&lt;&gt;0,'Calculations PJ'!P149*About!$B$45,0)</f>
        <v>0</v>
      </c>
      <c r="Q149">
        <f>IF('Calculations PJ'!Q149&lt;&gt;0,'Calculations PJ'!Q149*About!$B$45,0)</f>
        <v>0</v>
      </c>
      <c r="R149">
        <f>IF('Calculations PJ'!R149&lt;&gt;0,'Calculations PJ'!R149*About!$B$45,0)</f>
        <v>0</v>
      </c>
      <c r="S149">
        <f>IF('Calculations PJ'!S149&lt;&gt;0,'Calculations PJ'!S149*About!$B$45,0)</f>
        <v>0</v>
      </c>
      <c r="T149">
        <f>IF('Calculations PJ'!T149&lt;&gt;0,'Calculations PJ'!T149*About!$B$45,0)</f>
        <v>0</v>
      </c>
      <c r="U149">
        <f>IF('Calculations PJ'!U149&lt;&gt;0,'Calculations PJ'!U149*About!$B$45,0)</f>
        <v>0</v>
      </c>
      <c r="V149">
        <f>IF('Calculations PJ'!V149&lt;&gt;0,'Calculations PJ'!V149*About!$B$45,0)</f>
        <v>0</v>
      </c>
      <c r="W149">
        <f>IF('Calculations PJ'!W149&lt;&gt;0,'Calculations PJ'!W149*About!$B$45,0)</f>
        <v>0</v>
      </c>
      <c r="X149">
        <f>IF('Calculations PJ'!X149&lt;&gt;0,'Calculations PJ'!X149*About!$B$45,0)</f>
        <v>0</v>
      </c>
      <c r="Y149">
        <f>IF('Calculations PJ'!Y149&lt;&gt;0,'Calculations PJ'!Y149*About!$B$45,0)</f>
        <v>0</v>
      </c>
      <c r="Z149">
        <f>IF('Calculations PJ'!Z149&lt;&gt;0,'Calculations PJ'!Z149*About!$B$45,0)</f>
        <v>0</v>
      </c>
      <c r="AA149">
        <f>IF('Calculations PJ'!AA149&lt;&gt;0,'Calculations PJ'!AA149*About!$B$45,0)</f>
        <v>0</v>
      </c>
      <c r="AB149">
        <f>IF('Calculations PJ'!AB149&lt;&gt;0,'Calculations PJ'!AB149*About!$B$45,0)</f>
        <v>0</v>
      </c>
      <c r="AC149">
        <f>IF('Calculations PJ'!AC149&lt;&gt;0,'Calculations PJ'!AC149*About!$B$45,0)</f>
        <v>0</v>
      </c>
      <c r="AD149">
        <f>IF('Calculations PJ'!AD149&lt;&gt;0,'Calculations PJ'!AD149*About!$B$45,0)</f>
        <v>0</v>
      </c>
      <c r="AE149">
        <f>IF('Calculations PJ'!AE149&lt;&gt;0,'Calculations PJ'!AE149*About!$B$45,0)</f>
        <v>0</v>
      </c>
      <c r="AF149">
        <f>IF('Calculations PJ'!AF149&lt;&gt;0,'Calculations PJ'!AF149*About!$B$45,0)</f>
        <v>0</v>
      </c>
      <c r="AG149">
        <f>IF('Calculations PJ'!AG149&lt;&gt;0,'Calculations PJ'!AG149*About!$B$45,0)</f>
        <v>0</v>
      </c>
      <c r="AH149">
        <f>IF('Calculations PJ'!AH149&lt;&gt;0,'Calculations PJ'!AH149*About!$B$45,0)</f>
        <v>0</v>
      </c>
      <c r="AI149">
        <f>IF('Calculations PJ'!AI149&lt;&gt;0,'Calculations PJ'!AI149*About!$B$45,0)</f>
        <v>0</v>
      </c>
      <c r="AJ149">
        <f>IF('Calculations PJ'!AJ149&lt;&gt;0,'Calculations PJ'!AJ149*About!$B$45,0)</f>
        <v>0</v>
      </c>
      <c r="AK149">
        <f>IF('Calculations PJ'!AK149&lt;&gt;0,'Calculations PJ'!AK149*About!$B$45,0)</f>
        <v>0</v>
      </c>
      <c r="AL149">
        <f>IF('Calculations PJ'!AL149&lt;&gt;0,'Calculations PJ'!AL149*About!$B$45,0)</f>
        <v>0</v>
      </c>
      <c r="AM149">
        <f>IF('Calculations PJ'!AM149&lt;&gt;0,'Calculations PJ'!AM149*About!$B$45,0)</f>
        <v>0</v>
      </c>
      <c r="AN149">
        <f>IF('Calculations PJ'!AN149&lt;&gt;0,'Calculations PJ'!AN149*About!$B$45,0)</f>
        <v>0</v>
      </c>
      <c r="AO149">
        <f>IF('Calculations PJ'!AO149&lt;&gt;0,'Calculations PJ'!AO149*About!$B$45,0)</f>
        <v>0</v>
      </c>
      <c r="AP149">
        <f>IF('Calculations PJ'!AP149&lt;&gt;0,'Calculations PJ'!AP149*About!$B$45,0)</f>
        <v>0</v>
      </c>
      <c r="AQ149">
        <f>IF('Calculations PJ'!AQ149&lt;&gt;0,'Calculations PJ'!AQ149*About!$B$45,0)</f>
        <v>0</v>
      </c>
      <c r="AR149">
        <f>IF('Calculations PJ'!AR149&lt;&gt;0,'Calculations PJ'!AR149*About!$B$45,0)</f>
        <v>0</v>
      </c>
      <c r="AS149">
        <f>IF('Calculations PJ'!AS149&lt;&gt;0,'Calculations PJ'!AS149*About!$B$45,0)</f>
        <v>0</v>
      </c>
      <c r="AT149">
        <f>IF('Calculations PJ'!AT149&lt;&gt;0,'Calculations PJ'!AT149*About!$B$45,0)</f>
        <v>0</v>
      </c>
      <c r="AU149">
        <f>IF('Calculations PJ'!AU149&lt;&gt;0,'Calculations PJ'!AU149*About!$B$45,0)</f>
        <v>0</v>
      </c>
      <c r="AV149">
        <f>IF('Calculations PJ'!AV149&lt;&gt;0,'Calculations PJ'!AV149*About!$B$45,0)</f>
        <v>0</v>
      </c>
      <c r="AW149">
        <f>IF('Calculations PJ'!AW149&lt;&gt;0,'Calculations PJ'!AW149*About!$B$45,0)</f>
        <v>0</v>
      </c>
      <c r="AX149">
        <f>IF('Calculations PJ'!AX149&lt;&gt;0,'Calculations PJ'!AX149*About!$B$45,0)</f>
        <v>0</v>
      </c>
      <c r="AY149">
        <f>IF('Calculations PJ'!AY149&lt;&gt;0,'Calculations PJ'!AY149*About!$B$45,0)</f>
        <v>0</v>
      </c>
      <c r="AZ149">
        <f>IF('Calculations PJ'!AZ149&lt;&gt;0,'Calculations PJ'!AZ149*About!$B$45,0)</f>
        <v>0</v>
      </c>
      <c r="BA149">
        <f>IF('Calculations PJ'!BA149&lt;&gt;0,'Calculations PJ'!BA149*About!$B$45,0)</f>
        <v>0</v>
      </c>
      <c r="BB149">
        <f>IF('Calculations PJ'!BB149&lt;&gt;0,'Calculations PJ'!BB149*About!$B$45,0)</f>
        <v>0</v>
      </c>
      <c r="BC149">
        <f>IF('Calculations PJ'!BC149&lt;&gt;0,'Calculations PJ'!BC149*About!$B$45,0)</f>
        <v>0</v>
      </c>
      <c r="BD149">
        <f>IF('Calculations PJ'!BD149&lt;&gt;0,'Calculations PJ'!BD149*About!$B$45,0)</f>
        <v>0</v>
      </c>
      <c r="BE149">
        <f>IF('Calculations PJ'!BE149&lt;&gt;0,'Calculations PJ'!BE149*About!$B$45,0)</f>
        <v>0</v>
      </c>
      <c r="BF149">
        <f>IF('Calculations PJ'!BF149&lt;&gt;0,'Calculations PJ'!BF149*About!$B$45,0)</f>
        <v>0</v>
      </c>
      <c r="BG149">
        <f>IF('Calculations PJ'!BG149&lt;&gt;0,'Calculations PJ'!BG149*About!$B$45,0)</f>
        <v>0</v>
      </c>
      <c r="BH149">
        <f>IF('Calculations PJ'!BH149&lt;&gt;0,'Calculations PJ'!BH149*About!$B$45,0)</f>
        <v>0</v>
      </c>
    </row>
    <row r="150" spans="1:60" hidden="1" outlineLevel="1">
      <c r="B150" t="s">
        <v>143</v>
      </c>
      <c r="C150">
        <f>IF('Calculations PJ'!C150&lt;&gt;0,'Calculations PJ'!C150*About!$B$45,0)</f>
        <v>0</v>
      </c>
      <c r="D150">
        <f>IF('Calculations PJ'!D150&lt;&gt;0,'Calculations PJ'!D150*About!$B$45,0)</f>
        <v>0</v>
      </c>
      <c r="E150">
        <f>IF('Calculations PJ'!E150&lt;&gt;0,'Calculations PJ'!E150*About!$B$45,0)</f>
        <v>0</v>
      </c>
      <c r="F150">
        <f>IF('Calculations PJ'!F150&lt;&gt;0,'Calculations PJ'!F150*About!$B$45,0)</f>
        <v>0</v>
      </c>
      <c r="G150">
        <f>IF('Calculations PJ'!G150&lt;&gt;0,'Calculations PJ'!G150*About!$B$45,0)</f>
        <v>0</v>
      </c>
      <c r="H150">
        <f>IF('Calculations PJ'!H150&lt;&gt;0,'Calculations PJ'!H150*About!$B$45,0)</f>
        <v>0</v>
      </c>
      <c r="I150">
        <f>IF('Calculations PJ'!I150&lt;&gt;0,'Calculations PJ'!I150*About!$B$45,0)</f>
        <v>0</v>
      </c>
      <c r="J150">
        <f>IF('Calculations PJ'!J150&lt;&gt;0,'Calculations PJ'!J150*About!$B$45,0)</f>
        <v>0</v>
      </c>
      <c r="K150">
        <f>IF('Calculations PJ'!K150&lt;&gt;0,'Calculations PJ'!K150*About!$B$45,0)</f>
        <v>0</v>
      </c>
      <c r="L150">
        <f>IF('Calculations PJ'!L150&lt;&gt;0,'Calculations PJ'!L150*About!$B$45,0)</f>
        <v>0</v>
      </c>
      <c r="M150">
        <f>IF('Calculations PJ'!M150&lt;&gt;0,'Calculations PJ'!M150*About!$B$45,0)</f>
        <v>0</v>
      </c>
      <c r="N150">
        <f>IF('Calculations PJ'!N150&lt;&gt;0,'Calculations PJ'!N150*About!$B$45,0)</f>
        <v>0</v>
      </c>
      <c r="O150">
        <f>IF('Calculations PJ'!O150&lt;&gt;0,'Calculations PJ'!O150*About!$B$45,0)</f>
        <v>0</v>
      </c>
      <c r="P150">
        <f>IF('Calculations PJ'!P150&lt;&gt;0,'Calculations PJ'!P150*About!$B$45,0)</f>
        <v>0</v>
      </c>
      <c r="Q150">
        <f>IF('Calculations PJ'!Q150&lt;&gt;0,'Calculations PJ'!Q150*About!$B$45,0)</f>
        <v>0</v>
      </c>
      <c r="R150">
        <f>IF('Calculations PJ'!R150&lt;&gt;0,'Calculations PJ'!R150*About!$B$45,0)</f>
        <v>0</v>
      </c>
      <c r="S150">
        <f>IF('Calculations PJ'!S150&lt;&gt;0,'Calculations PJ'!S150*About!$B$45,0)</f>
        <v>0</v>
      </c>
      <c r="T150">
        <f>IF('Calculations PJ'!T150&lt;&gt;0,'Calculations PJ'!T150*About!$B$45,0)</f>
        <v>0</v>
      </c>
      <c r="U150">
        <f>IF('Calculations PJ'!U150&lt;&gt;0,'Calculations PJ'!U150*About!$B$45,0)</f>
        <v>0</v>
      </c>
      <c r="V150">
        <f>IF('Calculations PJ'!V150&lt;&gt;0,'Calculations PJ'!V150*About!$B$45,0)</f>
        <v>0</v>
      </c>
      <c r="W150">
        <f>IF('Calculations PJ'!W150&lt;&gt;0,'Calculations PJ'!W150*About!$B$45,0)</f>
        <v>0</v>
      </c>
      <c r="X150">
        <f>IF('Calculations PJ'!X150&lt;&gt;0,'Calculations PJ'!X150*About!$B$45,0)</f>
        <v>0</v>
      </c>
      <c r="Y150">
        <f>IF('Calculations PJ'!Y150&lt;&gt;0,'Calculations PJ'!Y150*About!$B$45,0)</f>
        <v>0</v>
      </c>
      <c r="Z150">
        <f>IF('Calculations PJ'!Z150&lt;&gt;0,'Calculations PJ'!Z150*About!$B$45,0)</f>
        <v>0</v>
      </c>
      <c r="AA150">
        <f>IF('Calculations PJ'!AA150&lt;&gt;0,'Calculations PJ'!AA150*About!$B$45,0)</f>
        <v>0</v>
      </c>
      <c r="AB150">
        <f>IF('Calculations PJ'!AB150&lt;&gt;0,'Calculations PJ'!AB150*About!$B$45,0)</f>
        <v>0</v>
      </c>
      <c r="AC150">
        <f>IF('Calculations PJ'!AC150&lt;&gt;0,'Calculations PJ'!AC150*About!$B$45,0)</f>
        <v>0</v>
      </c>
      <c r="AD150">
        <f>IF('Calculations PJ'!AD150&lt;&gt;0,'Calculations PJ'!AD150*About!$B$45,0)</f>
        <v>0</v>
      </c>
      <c r="AE150">
        <f>IF('Calculations PJ'!AE150&lt;&gt;0,'Calculations PJ'!AE150*About!$B$45,0)</f>
        <v>0</v>
      </c>
      <c r="AF150">
        <f>IF('Calculations PJ'!AF150&lt;&gt;0,'Calculations PJ'!AF150*About!$B$45,0)</f>
        <v>0</v>
      </c>
      <c r="AG150">
        <f>IF('Calculations PJ'!AG150&lt;&gt;0,'Calculations PJ'!AG150*About!$B$45,0)</f>
        <v>0</v>
      </c>
      <c r="AH150">
        <f>IF('Calculations PJ'!AH150&lt;&gt;0,'Calculations PJ'!AH150*About!$B$45,0)</f>
        <v>0</v>
      </c>
      <c r="AI150">
        <f>IF('Calculations PJ'!AI150&lt;&gt;0,'Calculations PJ'!AI150*About!$B$45,0)</f>
        <v>0</v>
      </c>
      <c r="AJ150">
        <f>IF('Calculations PJ'!AJ150&lt;&gt;0,'Calculations PJ'!AJ150*About!$B$45,0)</f>
        <v>0</v>
      </c>
      <c r="AK150">
        <f>IF('Calculations PJ'!AK150&lt;&gt;0,'Calculations PJ'!AK150*About!$B$45,0)</f>
        <v>0</v>
      </c>
      <c r="AL150">
        <f>IF('Calculations PJ'!AL150&lt;&gt;0,'Calculations PJ'!AL150*About!$B$45,0)</f>
        <v>0</v>
      </c>
      <c r="AM150">
        <f>IF('Calculations PJ'!AM150&lt;&gt;0,'Calculations PJ'!AM150*About!$B$45,0)</f>
        <v>0</v>
      </c>
      <c r="AN150">
        <f>IF('Calculations PJ'!AN150&lt;&gt;0,'Calculations PJ'!AN150*About!$B$45,0)</f>
        <v>0</v>
      </c>
      <c r="AO150">
        <f>IF('Calculations PJ'!AO150&lt;&gt;0,'Calculations PJ'!AO150*About!$B$45,0)</f>
        <v>0</v>
      </c>
      <c r="AP150">
        <f>IF('Calculations PJ'!AP150&lt;&gt;0,'Calculations PJ'!AP150*About!$B$45,0)</f>
        <v>0</v>
      </c>
      <c r="AQ150">
        <f>IF('Calculations PJ'!AQ150&lt;&gt;0,'Calculations PJ'!AQ150*About!$B$45,0)</f>
        <v>0</v>
      </c>
      <c r="AR150">
        <f>IF('Calculations PJ'!AR150&lt;&gt;0,'Calculations PJ'!AR150*About!$B$45,0)</f>
        <v>0</v>
      </c>
      <c r="AS150">
        <f>IF('Calculations PJ'!AS150&lt;&gt;0,'Calculations PJ'!AS150*About!$B$45,0)</f>
        <v>0</v>
      </c>
      <c r="AT150">
        <f>IF('Calculations PJ'!AT150&lt;&gt;0,'Calculations PJ'!AT150*About!$B$45,0)</f>
        <v>0</v>
      </c>
      <c r="AU150">
        <f>IF('Calculations PJ'!AU150&lt;&gt;0,'Calculations PJ'!AU150*About!$B$45,0)</f>
        <v>0</v>
      </c>
      <c r="AV150">
        <f>IF('Calculations PJ'!AV150&lt;&gt;0,'Calculations PJ'!AV150*About!$B$45,0)</f>
        <v>0</v>
      </c>
      <c r="AW150">
        <f>IF('Calculations PJ'!AW150&lt;&gt;0,'Calculations PJ'!AW150*About!$B$45,0)</f>
        <v>0</v>
      </c>
      <c r="AX150">
        <f>IF('Calculations PJ'!AX150&lt;&gt;0,'Calculations PJ'!AX150*About!$B$45,0)</f>
        <v>0</v>
      </c>
      <c r="AY150">
        <f>IF('Calculations PJ'!AY150&lt;&gt;0,'Calculations PJ'!AY150*About!$B$45,0)</f>
        <v>0</v>
      </c>
      <c r="AZ150">
        <f>IF('Calculations PJ'!AZ150&lt;&gt;0,'Calculations PJ'!AZ150*About!$B$45,0)</f>
        <v>0</v>
      </c>
      <c r="BA150">
        <f>IF('Calculations PJ'!BA150&lt;&gt;0,'Calculations PJ'!BA150*About!$B$45,0)</f>
        <v>0</v>
      </c>
      <c r="BB150">
        <f>IF('Calculations PJ'!BB150&lt;&gt;0,'Calculations PJ'!BB150*About!$B$45,0)</f>
        <v>0</v>
      </c>
      <c r="BC150">
        <f>IF('Calculations PJ'!BC150&lt;&gt;0,'Calculations PJ'!BC150*About!$B$45,0)</f>
        <v>0</v>
      </c>
      <c r="BD150">
        <f>IF('Calculations PJ'!BD150&lt;&gt;0,'Calculations PJ'!BD150*About!$B$45,0)</f>
        <v>0</v>
      </c>
      <c r="BE150">
        <f>IF('Calculations PJ'!BE150&lt;&gt;0,'Calculations PJ'!BE150*About!$B$45,0)</f>
        <v>0</v>
      </c>
      <c r="BF150">
        <f>IF('Calculations PJ'!BF150&lt;&gt;0,'Calculations PJ'!BF150*About!$B$45,0)</f>
        <v>0</v>
      </c>
      <c r="BG150">
        <f>IF('Calculations PJ'!BG150&lt;&gt;0,'Calculations PJ'!BG150*About!$B$45,0)</f>
        <v>0</v>
      </c>
      <c r="BH150">
        <f>IF('Calculations PJ'!BH150&lt;&gt;0,'Calculations PJ'!BH150*About!$B$45,0)</f>
        <v>0</v>
      </c>
    </row>
    <row r="151" spans="1:60" hidden="1" outlineLevel="1">
      <c r="B151" t="s">
        <v>144</v>
      </c>
      <c r="C151">
        <f>IF('Calculations PJ'!C151&lt;&gt;0,'Calculations PJ'!C151*About!$B$45,0)</f>
        <v>0</v>
      </c>
      <c r="D151">
        <f>IF('Calculations PJ'!D151&lt;&gt;0,'Calculations PJ'!D151*About!$B$45,0)</f>
        <v>0</v>
      </c>
      <c r="E151">
        <f>IF('Calculations PJ'!E151&lt;&gt;0,'Calculations PJ'!E151*About!$B$45,0)</f>
        <v>0</v>
      </c>
      <c r="F151">
        <f>IF('Calculations PJ'!F151&lt;&gt;0,'Calculations PJ'!F151*About!$B$45,0)</f>
        <v>0</v>
      </c>
      <c r="G151">
        <f>IF('Calculations PJ'!G151&lt;&gt;0,'Calculations PJ'!G151*About!$B$45,0)</f>
        <v>0</v>
      </c>
      <c r="H151">
        <f>IF('Calculations PJ'!H151&lt;&gt;0,'Calculations PJ'!H151*About!$B$45,0)</f>
        <v>0</v>
      </c>
      <c r="I151">
        <f>IF('Calculations PJ'!I151&lt;&gt;0,'Calculations PJ'!I151*About!$B$45,0)</f>
        <v>0</v>
      </c>
      <c r="J151">
        <f>IF('Calculations PJ'!J151&lt;&gt;0,'Calculations PJ'!J151*About!$B$45,0)</f>
        <v>0</v>
      </c>
      <c r="K151">
        <f>IF('Calculations PJ'!K151&lt;&gt;0,'Calculations PJ'!K151*About!$B$45,0)</f>
        <v>0</v>
      </c>
      <c r="L151">
        <f>IF('Calculations PJ'!L151&lt;&gt;0,'Calculations PJ'!L151*About!$B$45,0)</f>
        <v>0</v>
      </c>
      <c r="M151">
        <f>IF('Calculations PJ'!M151&lt;&gt;0,'Calculations PJ'!M151*About!$B$45,0)</f>
        <v>0</v>
      </c>
      <c r="N151">
        <f>IF('Calculations PJ'!N151&lt;&gt;0,'Calculations PJ'!N151*About!$B$45,0)</f>
        <v>0</v>
      </c>
      <c r="O151">
        <f>IF('Calculations PJ'!O151&lt;&gt;0,'Calculations PJ'!O151*About!$B$45,0)</f>
        <v>0</v>
      </c>
      <c r="P151">
        <f>IF('Calculations PJ'!P151&lt;&gt;0,'Calculations PJ'!P151*About!$B$45,0)</f>
        <v>0</v>
      </c>
      <c r="Q151">
        <f>IF('Calculations PJ'!Q151&lt;&gt;0,'Calculations PJ'!Q151*About!$B$45,0)</f>
        <v>0</v>
      </c>
      <c r="R151">
        <f>IF('Calculations PJ'!R151&lt;&gt;0,'Calculations PJ'!R151*About!$B$45,0)</f>
        <v>0</v>
      </c>
      <c r="S151">
        <f>IF('Calculations PJ'!S151&lt;&gt;0,'Calculations PJ'!S151*About!$B$45,0)</f>
        <v>0</v>
      </c>
      <c r="T151">
        <f>IF('Calculations PJ'!T151&lt;&gt;0,'Calculations PJ'!T151*About!$B$45,0)</f>
        <v>0</v>
      </c>
      <c r="U151">
        <f>IF('Calculations PJ'!U151&lt;&gt;0,'Calculations PJ'!U151*About!$B$45,0)</f>
        <v>0</v>
      </c>
      <c r="V151">
        <f>IF('Calculations PJ'!V151&lt;&gt;0,'Calculations PJ'!V151*About!$B$45,0)</f>
        <v>0</v>
      </c>
      <c r="W151">
        <f>IF('Calculations PJ'!W151&lt;&gt;0,'Calculations PJ'!W151*About!$B$45,0)</f>
        <v>0</v>
      </c>
      <c r="X151">
        <f>IF('Calculations PJ'!X151&lt;&gt;0,'Calculations PJ'!X151*About!$B$45,0)</f>
        <v>0</v>
      </c>
      <c r="Y151">
        <f>IF('Calculations PJ'!Y151&lt;&gt;0,'Calculations PJ'!Y151*About!$B$45,0)</f>
        <v>0</v>
      </c>
      <c r="Z151">
        <f>IF('Calculations PJ'!Z151&lt;&gt;0,'Calculations PJ'!Z151*About!$B$45,0)</f>
        <v>0</v>
      </c>
      <c r="AA151">
        <f>IF('Calculations PJ'!AA151&lt;&gt;0,'Calculations PJ'!AA151*About!$B$45,0)</f>
        <v>0</v>
      </c>
      <c r="AB151">
        <f>IF('Calculations PJ'!AB151&lt;&gt;0,'Calculations PJ'!AB151*About!$B$45,0)</f>
        <v>0</v>
      </c>
      <c r="AC151">
        <f>IF('Calculations PJ'!AC151&lt;&gt;0,'Calculations PJ'!AC151*About!$B$45,0)</f>
        <v>0</v>
      </c>
      <c r="AD151">
        <f>IF('Calculations PJ'!AD151&lt;&gt;0,'Calculations PJ'!AD151*About!$B$45,0)</f>
        <v>0</v>
      </c>
      <c r="AE151">
        <f>IF('Calculations PJ'!AE151&lt;&gt;0,'Calculations PJ'!AE151*About!$B$45,0)</f>
        <v>0</v>
      </c>
      <c r="AF151">
        <f>IF('Calculations PJ'!AF151&lt;&gt;0,'Calculations PJ'!AF151*About!$B$45,0)</f>
        <v>0</v>
      </c>
      <c r="AG151">
        <f>IF('Calculations PJ'!AG151&lt;&gt;0,'Calculations PJ'!AG151*About!$B$45,0)</f>
        <v>0</v>
      </c>
      <c r="AH151">
        <f>IF('Calculations PJ'!AH151&lt;&gt;0,'Calculations PJ'!AH151*About!$B$45,0)</f>
        <v>0</v>
      </c>
      <c r="AI151">
        <f>IF('Calculations PJ'!AI151&lt;&gt;0,'Calculations PJ'!AI151*About!$B$45,0)</f>
        <v>0</v>
      </c>
      <c r="AJ151">
        <f>IF('Calculations PJ'!AJ151&lt;&gt;0,'Calculations PJ'!AJ151*About!$B$45,0)</f>
        <v>0</v>
      </c>
      <c r="AK151">
        <f>IF('Calculations PJ'!AK151&lt;&gt;0,'Calculations PJ'!AK151*About!$B$45,0)</f>
        <v>0</v>
      </c>
      <c r="AL151">
        <f>IF('Calculations PJ'!AL151&lt;&gt;0,'Calculations PJ'!AL151*About!$B$45,0)</f>
        <v>0</v>
      </c>
      <c r="AM151">
        <f>IF('Calculations PJ'!AM151&lt;&gt;0,'Calculations PJ'!AM151*About!$B$45,0)</f>
        <v>0</v>
      </c>
      <c r="AN151">
        <f>IF('Calculations PJ'!AN151&lt;&gt;0,'Calculations PJ'!AN151*About!$B$45,0)</f>
        <v>0</v>
      </c>
      <c r="AO151">
        <f>IF('Calculations PJ'!AO151&lt;&gt;0,'Calculations PJ'!AO151*About!$B$45,0)</f>
        <v>0</v>
      </c>
      <c r="AP151">
        <f>IF('Calculations PJ'!AP151&lt;&gt;0,'Calculations PJ'!AP151*About!$B$45,0)</f>
        <v>0</v>
      </c>
      <c r="AQ151">
        <f>IF('Calculations PJ'!AQ151&lt;&gt;0,'Calculations PJ'!AQ151*About!$B$45,0)</f>
        <v>0</v>
      </c>
      <c r="AR151">
        <f>IF('Calculations PJ'!AR151&lt;&gt;0,'Calculations PJ'!AR151*About!$B$45,0)</f>
        <v>0</v>
      </c>
      <c r="AS151">
        <f>IF('Calculations PJ'!AS151&lt;&gt;0,'Calculations PJ'!AS151*About!$B$45,0)</f>
        <v>0</v>
      </c>
      <c r="AT151">
        <f>IF('Calculations PJ'!AT151&lt;&gt;0,'Calculations PJ'!AT151*About!$B$45,0)</f>
        <v>0</v>
      </c>
      <c r="AU151">
        <f>IF('Calculations PJ'!AU151&lt;&gt;0,'Calculations PJ'!AU151*About!$B$45,0)</f>
        <v>0</v>
      </c>
      <c r="AV151">
        <f>IF('Calculations PJ'!AV151&lt;&gt;0,'Calculations PJ'!AV151*About!$B$45,0)</f>
        <v>0</v>
      </c>
      <c r="AW151">
        <f>IF('Calculations PJ'!AW151&lt;&gt;0,'Calculations PJ'!AW151*About!$B$45,0)</f>
        <v>0</v>
      </c>
      <c r="AX151">
        <f>IF('Calculations PJ'!AX151&lt;&gt;0,'Calculations PJ'!AX151*About!$B$45,0)</f>
        <v>0</v>
      </c>
      <c r="AY151">
        <f>IF('Calculations PJ'!AY151&lt;&gt;0,'Calculations PJ'!AY151*About!$B$45,0)</f>
        <v>0</v>
      </c>
      <c r="AZ151">
        <f>IF('Calculations PJ'!AZ151&lt;&gt;0,'Calculations PJ'!AZ151*About!$B$45,0)</f>
        <v>0</v>
      </c>
      <c r="BA151">
        <f>IF('Calculations PJ'!BA151&lt;&gt;0,'Calculations PJ'!BA151*About!$B$45,0)</f>
        <v>0</v>
      </c>
      <c r="BB151">
        <f>IF('Calculations PJ'!BB151&lt;&gt;0,'Calculations PJ'!BB151*About!$B$45,0)</f>
        <v>0</v>
      </c>
      <c r="BC151">
        <f>IF('Calculations PJ'!BC151&lt;&gt;0,'Calculations PJ'!BC151*About!$B$45,0)</f>
        <v>0</v>
      </c>
      <c r="BD151">
        <f>IF('Calculations PJ'!BD151&lt;&gt;0,'Calculations PJ'!BD151*About!$B$45,0)</f>
        <v>0</v>
      </c>
      <c r="BE151">
        <f>IF('Calculations PJ'!BE151&lt;&gt;0,'Calculations PJ'!BE151*About!$B$45,0)</f>
        <v>0</v>
      </c>
      <c r="BF151">
        <f>IF('Calculations PJ'!BF151&lt;&gt;0,'Calculations PJ'!BF151*About!$B$45,0)</f>
        <v>0</v>
      </c>
      <c r="BG151">
        <f>IF('Calculations PJ'!BG151&lt;&gt;0,'Calculations PJ'!BG151*About!$B$45,0)</f>
        <v>0</v>
      </c>
      <c r="BH151">
        <f>IF('Calculations PJ'!BH151&lt;&gt;0,'Calculations PJ'!BH151*About!$B$45,0)</f>
        <v>0</v>
      </c>
    </row>
    <row r="152" spans="1:60" hidden="1" outlineLevel="1">
      <c r="B152" t="s">
        <v>145</v>
      </c>
      <c r="C152">
        <f>IF('Calculations PJ'!C152&lt;&gt;0,'Calculations PJ'!C152*About!$B$45,0)</f>
        <v>0</v>
      </c>
      <c r="D152">
        <f>IF('Calculations PJ'!D152&lt;&gt;0,'Calculations PJ'!D152*About!$B$45,0)</f>
        <v>0</v>
      </c>
      <c r="E152">
        <f>IF('Calculations PJ'!E152&lt;&gt;0,'Calculations PJ'!E152*About!$B$45,0)</f>
        <v>0</v>
      </c>
      <c r="F152">
        <f>IF('Calculations PJ'!F152&lt;&gt;0,'Calculations PJ'!F152*About!$B$45,0)</f>
        <v>0</v>
      </c>
      <c r="G152">
        <f>IF('Calculations PJ'!G152&lt;&gt;0,'Calculations PJ'!G152*About!$B$45,0)</f>
        <v>0</v>
      </c>
      <c r="H152">
        <f>IF('Calculations PJ'!H152&lt;&gt;0,'Calculations PJ'!H152*About!$B$45,0)</f>
        <v>0</v>
      </c>
      <c r="I152">
        <f>IF('Calculations PJ'!I152&lt;&gt;0,'Calculations PJ'!I152*About!$B$45,0)</f>
        <v>0</v>
      </c>
      <c r="J152">
        <f>IF('Calculations PJ'!J152&lt;&gt;0,'Calculations PJ'!J152*About!$B$45,0)</f>
        <v>0</v>
      </c>
      <c r="K152">
        <f>IF('Calculations PJ'!K152&lt;&gt;0,'Calculations PJ'!K152*About!$B$45,0)</f>
        <v>0</v>
      </c>
      <c r="L152">
        <f>IF('Calculations PJ'!L152&lt;&gt;0,'Calculations PJ'!L152*About!$B$45,0)</f>
        <v>0</v>
      </c>
      <c r="M152">
        <f>IF('Calculations PJ'!M152&lt;&gt;0,'Calculations PJ'!M152*About!$B$45,0)</f>
        <v>0</v>
      </c>
      <c r="N152">
        <f>IF('Calculations PJ'!N152&lt;&gt;0,'Calculations PJ'!N152*About!$B$45,0)</f>
        <v>0</v>
      </c>
      <c r="O152">
        <f>IF('Calculations PJ'!O152&lt;&gt;0,'Calculations PJ'!O152*About!$B$45,0)</f>
        <v>0</v>
      </c>
      <c r="P152">
        <f>IF('Calculations PJ'!P152&lt;&gt;0,'Calculations PJ'!P152*About!$B$45,0)</f>
        <v>0</v>
      </c>
      <c r="Q152">
        <f>IF('Calculations PJ'!Q152&lt;&gt;0,'Calculations PJ'!Q152*About!$B$45,0)</f>
        <v>0</v>
      </c>
      <c r="R152">
        <f>IF('Calculations PJ'!R152&lt;&gt;0,'Calculations PJ'!R152*About!$B$45,0)</f>
        <v>0</v>
      </c>
      <c r="S152">
        <f>IF('Calculations PJ'!S152&lt;&gt;0,'Calculations PJ'!S152*About!$B$45,0)</f>
        <v>0</v>
      </c>
      <c r="T152">
        <f>IF('Calculations PJ'!T152&lt;&gt;0,'Calculations PJ'!T152*About!$B$45,0)</f>
        <v>0</v>
      </c>
      <c r="U152">
        <f>IF('Calculations PJ'!U152&lt;&gt;0,'Calculations PJ'!U152*About!$B$45,0)</f>
        <v>0</v>
      </c>
      <c r="V152">
        <f>IF('Calculations PJ'!V152&lt;&gt;0,'Calculations PJ'!V152*About!$B$45,0)</f>
        <v>0</v>
      </c>
      <c r="W152">
        <f>IF('Calculations PJ'!W152&lt;&gt;0,'Calculations PJ'!W152*About!$B$45,0)</f>
        <v>0</v>
      </c>
      <c r="X152">
        <f>IF('Calculations PJ'!X152&lt;&gt;0,'Calculations PJ'!X152*About!$B$45,0)</f>
        <v>0</v>
      </c>
      <c r="Y152">
        <f>IF('Calculations PJ'!Y152&lt;&gt;0,'Calculations PJ'!Y152*About!$B$45,0)</f>
        <v>0</v>
      </c>
      <c r="Z152">
        <f>IF('Calculations PJ'!Z152&lt;&gt;0,'Calculations PJ'!Z152*About!$B$45,0)</f>
        <v>0</v>
      </c>
      <c r="AA152">
        <f>IF('Calculations PJ'!AA152&lt;&gt;0,'Calculations PJ'!AA152*About!$B$45,0)</f>
        <v>0</v>
      </c>
      <c r="AB152">
        <f>IF('Calculations PJ'!AB152&lt;&gt;0,'Calculations PJ'!AB152*About!$B$45,0)</f>
        <v>0</v>
      </c>
      <c r="AC152">
        <f>IF('Calculations PJ'!AC152&lt;&gt;0,'Calculations PJ'!AC152*About!$B$45,0)</f>
        <v>0</v>
      </c>
      <c r="AD152">
        <f>IF('Calculations PJ'!AD152&lt;&gt;0,'Calculations PJ'!AD152*About!$B$45,0)</f>
        <v>0</v>
      </c>
      <c r="AE152">
        <f>IF('Calculations PJ'!AE152&lt;&gt;0,'Calculations PJ'!AE152*About!$B$45,0)</f>
        <v>0</v>
      </c>
      <c r="AF152">
        <f>IF('Calculations PJ'!AF152&lt;&gt;0,'Calculations PJ'!AF152*About!$B$45,0)</f>
        <v>0</v>
      </c>
      <c r="AG152">
        <f>IF('Calculations PJ'!AG152&lt;&gt;0,'Calculations PJ'!AG152*About!$B$45,0)</f>
        <v>0</v>
      </c>
      <c r="AH152">
        <f>IF('Calculations PJ'!AH152&lt;&gt;0,'Calculations PJ'!AH152*About!$B$45,0)</f>
        <v>0</v>
      </c>
      <c r="AI152">
        <f>IF('Calculations PJ'!AI152&lt;&gt;0,'Calculations PJ'!AI152*About!$B$45,0)</f>
        <v>0</v>
      </c>
      <c r="AJ152">
        <f>IF('Calculations PJ'!AJ152&lt;&gt;0,'Calculations PJ'!AJ152*About!$B$45,0)</f>
        <v>0</v>
      </c>
      <c r="AK152">
        <f>IF('Calculations PJ'!AK152&lt;&gt;0,'Calculations PJ'!AK152*About!$B$45,0)</f>
        <v>0</v>
      </c>
      <c r="AL152">
        <f>IF('Calculations PJ'!AL152&lt;&gt;0,'Calculations PJ'!AL152*About!$B$45,0)</f>
        <v>0</v>
      </c>
      <c r="AM152">
        <f>IF('Calculations PJ'!AM152&lt;&gt;0,'Calculations PJ'!AM152*About!$B$45,0)</f>
        <v>0</v>
      </c>
      <c r="AN152">
        <f>IF('Calculations PJ'!AN152&lt;&gt;0,'Calculations PJ'!AN152*About!$B$45,0)</f>
        <v>0</v>
      </c>
      <c r="AO152">
        <f>IF('Calculations PJ'!AO152&lt;&gt;0,'Calculations PJ'!AO152*About!$B$45,0)</f>
        <v>0</v>
      </c>
      <c r="AP152">
        <f>IF('Calculations PJ'!AP152&lt;&gt;0,'Calculations PJ'!AP152*About!$B$45,0)</f>
        <v>0</v>
      </c>
      <c r="AQ152">
        <f>IF('Calculations PJ'!AQ152&lt;&gt;0,'Calculations PJ'!AQ152*About!$B$45,0)</f>
        <v>0</v>
      </c>
      <c r="AR152">
        <f>IF('Calculations PJ'!AR152&lt;&gt;0,'Calculations PJ'!AR152*About!$B$45,0)</f>
        <v>0</v>
      </c>
      <c r="AS152">
        <f>IF('Calculations PJ'!AS152&lt;&gt;0,'Calculations PJ'!AS152*About!$B$45,0)</f>
        <v>0</v>
      </c>
      <c r="AT152">
        <f>IF('Calculations PJ'!AT152&lt;&gt;0,'Calculations PJ'!AT152*About!$B$45,0)</f>
        <v>0</v>
      </c>
      <c r="AU152">
        <f>IF('Calculations PJ'!AU152&lt;&gt;0,'Calculations PJ'!AU152*About!$B$45,0)</f>
        <v>0</v>
      </c>
      <c r="AV152">
        <f>IF('Calculations PJ'!AV152&lt;&gt;0,'Calculations PJ'!AV152*About!$B$45,0)</f>
        <v>0</v>
      </c>
      <c r="AW152">
        <f>IF('Calculations PJ'!AW152&lt;&gt;0,'Calculations PJ'!AW152*About!$B$45,0)</f>
        <v>0</v>
      </c>
      <c r="AX152">
        <f>IF('Calculations PJ'!AX152&lt;&gt;0,'Calculations PJ'!AX152*About!$B$45,0)</f>
        <v>0</v>
      </c>
      <c r="AY152">
        <f>IF('Calculations PJ'!AY152&lt;&gt;0,'Calculations PJ'!AY152*About!$B$45,0)</f>
        <v>0</v>
      </c>
      <c r="AZ152">
        <f>IF('Calculations PJ'!AZ152&lt;&gt;0,'Calculations PJ'!AZ152*About!$B$45,0)</f>
        <v>0</v>
      </c>
      <c r="BA152">
        <f>IF('Calculations PJ'!BA152&lt;&gt;0,'Calculations PJ'!BA152*About!$B$45,0)</f>
        <v>0</v>
      </c>
      <c r="BB152">
        <f>IF('Calculations PJ'!BB152&lt;&gt;0,'Calculations PJ'!BB152*About!$B$45,0)</f>
        <v>0</v>
      </c>
      <c r="BC152">
        <f>IF('Calculations PJ'!BC152&lt;&gt;0,'Calculations PJ'!BC152*About!$B$45,0)</f>
        <v>0</v>
      </c>
      <c r="BD152">
        <f>IF('Calculations PJ'!BD152&lt;&gt;0,'Calculations PJ'!BD152*About!$B$45,0)</f>
        <v>0</v>
      </c>
      <c r="BE152">
        <f>IF('Calculations PJ'!BE152&lt;&gt;0,'Calculations PJ'!BE152*About!$B$45,0)</f>
        <v>0</v>
      </c>
      <c r="BF152">
        <f>IF('Calculations PJ'!BF152&lt;&gt;0,'Calculations PJ'!BF152*About!$B$45,0)</f>
        <v>0</v>
      </c>
      <c r="BG152">
        <f>IF('Calculations PJ'!BG152&lt;&gt;0,'Calculations PJ'!BG152*About!$B$45,0)</f>
        <v>0</v>
      </c>
      <c r="BH152">
        <f>IF('Calculations PJ'!BH152&lt;&gt;0,'Calculations PJ'!BH152*About!$B$45,0)</f>
        <v>0</v>
      </c>
    </row>
    <row r="153" spans="1:60" hidden="1" outlineLevel="1">
      <c r="B153" t="s">
        <v>146</v>
      </c>
      <c r="C153">
        <f>IF('Calculations PJ'!C153&lt;&gt;0,'Calculations PJ'!C153*About!$B$45,0)</f>
        <v>0</v>
      </c>
      <c r="D153">
        <f>IF('Calculations PJ'!D153&lt;&gt;0,'Calculations PJ'!D153*About!$B$45,0)</f>
        <v>0</v>
      </c>
      <c r="E153">
        <f>IF('Calculations PJ'!E153&lt;&gt;0,'Calculations PJ'!E153*About!$B$45,0)</f>
        <v>0</v>
      </c>
      <c r="F153">
        <f>IF('Calculations PJ'!F153&lt;&gt;0,'Calculations PJ'!F153*About!$B$45,0)</f>
        <v>0</v>
      </c>
      <c r="G153">
        <f>IF('Calculations PJ'!G153&lt;&gt;0,'Calculations PJ'!G153*About!$B$45,0)</f>
        <v>0</v>
      </c>
      <c r="H153">
        <f>IF('Calculations PJ'!H153&lt;&gt;0,'Calculations PJ'!H153*About!$B$45,0)</f>
        <v>0</v>
      </c>
      <c r="I153">
        <f>IF('Calculations PJ'!I153&lt;&gt;0,'Calculations PJ'!I153*About!$B$45,0)</f>
        <v>0</v>
      </c>
      <c r="J153">
        <f>IF('Calculations PJ'!J153&lt;&gt;0,'Calculations PJ'!J153*About!$B$45,0)</f>
        <v>0</v>
      </c>
      <c r="K153">
        <f>IF('Calculations PJ'!K153&lt;&gt;0,'Calculations PJ'!K153*About!$B$45,0)</f>
        <v>0</v>
      </c>
      <c r="L153">
        <f>IF('Calculations PJ'!L153&lt;&gt;0,'Calculations PJ'!L153*About!$B$45,0)</f>
        <v>0</v>
      </c>
      <c r="M153">
        <f>IF('Calculations PJ'!M153&lt;&gt;0,'Calculations PJ'!M153*About!$B$45,0)</f>
        <v>0</v>
      </c>
      <c r="N153">
        <f>IF('Calculations PJ'!N153&lt;&gt;0,'Calculations PJ'!N153*About!$B$45,0)</f>
        <v>0</v>
      </c>
      <c r="O153">
        <f>IF('Calculations PJ'!O153&lt;&gt;0,'Calculations PJ'!O153*About!$B$45,0)</f>
        <v>0</v>
      </c>
      <c r="P153">
        <f>IF('Calculations PJ'!P153&lt;&gt;0,'Calculations PJ'!P153*About!$B$45,0)</f>
        <v>0</v>
      </c>
      <c r="Q153">
        <f>IF('Calculations PJ'!Q153&lt;&gt;0,'Calculations PJ'!Q153*About!$B$45,0)</f>
        <v>0</v>
      </c>
      <c r="R153">
        <f>IF('Calculations PJ'!R153&lt;&gt;0,'Calculations PJ'!R153*About!$B$45,0)</f>
        <v>0</v>
      </c>
      <c r="S153">
        <f>IF('Calculations PJ'!S153&lt;&gt;0,'Calculations PJ'!S153*About!$B$45,0)</f>
        <v>0</v>
      </c>
      <c r="T153">
        <f>IF('Calculations PJ'!T153&lt;&gt;0,'Calculations PJ'!T153*About!$B$45,0)</f>
        <v>0</v>
      </c>
      <c r="U153">
        <f>IF('Calculations PJ'!U153&lt;&gt;0,'Calculations PJ'!U153*About!$B$45,0)</f>
        <v>0</v>
      </c>
      <c r="V153">
        <f>IF('Calculations PJ'!V153&lt;&gt;0,'Calculations PJ'!V153*About!$B$45,0)</f>
        <v>0</v>
      </c>
      <c r="W153">
        <f>IF('Calculations PJ'!W153&lt;&gt;0,'Calculations PJ'!W153*About!$B$45,0)</f>
        <v>0</v>
      </c>
      <c r="X153">
        <f>IF('Calculations PJ'!X153&lt;&gt;0,'Calculations PJ'!X153*About!$B$45,0)</f>
        <v>0</v>
      </c>
      <c r="Y153">
        <f>IF('Calculations PJ'!Y153&lt;&gt;0,'Calculations PJ'!Y153*About!$B$45,0)</f>
        <v>0</v>
      </c>
      <c r="Z153">
        <f>IF('Calculations PJ'!Z153&lt;&gt;0,'Calculations PJ'!Z153*About!$B$45,0)</f>
        <v>0</v>
      </c>
      <c r="AA153">
        <f>IF('Calculations PJ'!AA153&lt;&gt;0,'Calculations PJ'!AA153*About!$B$45,0)</f>
        <v>0</v>
      </c>
      <c r="AB153">
        <f>IF('Calculations PJ'!AB153&lt;&gt;0,'Calculations PJ'!AB153*About!$B$45,0)</f>
        <v>0</v>
      </c>
      <c r="AC153">
        <f>IF('Calculations PJ'!AC153&lt;&gt;0,'Calculations PJ'!AC153*About!$B$45,0)</f>
        <v>0</v>
      </c>
      <c r="AD153">
        <f>IF('Calculations PJ'!AD153&lt;&gt;0,'Calculations PJ'!AD153*About!$B$45,0)</f>
        <v>0</v>
      </c>
      <c r="AE153">
        <f>IF('Calculations PJ'!AE153&lt;&gt;0,'Calculations PJ'!AE153*About!$B$45,0)</f>
        <v>0</v>
      </c>
      <c r="AF153">
        <f>IF('Calculations PJ'!AF153&lt;&gt;0,'Calculations PJ'!AF153*About!$B$45,0)</f>
        <v>0</v>
      </c>
      <c r="AG153">
        <f>IF('Calculations PJ'!AG153&lt;&gt;0,'Calculations PJ'!AG153*About!$B$45,0)</f>
        <v>0</v>
      </c>
      <c r="AH153">
        <f>IF('Calculations PJ'!AH153&lt;&gt;0,'Calculations PJ'!AH153*About!$B$45,0)</f>
        <v>0</v>
      </c>
      <c r="AI153">
        <f>IF('Calculations PJ'!AI153&lt;&gt;0,'Calculations PJ'!AI153*About!$B$45,0)</f>
        <v>0</v>
      </c>
      <c r="AJ153">
        <f>IF('Calculations PJ'!AJ153&lt;&gt;0,'Calculations PJ'!AJ153*About!$B$45,0)</f>
        <v>0</v>
      </c>
      <c r="AK153">
        <f>IF('Calculations PJ'!AK153&lt;&gt;0,'Calculations PJ'!AK153*About!$B$45,0)</f>
        <v>0</v>
      </c>
      <c r="AL153">
        <f>IF('Calculations PJ'!AL153&lt;&gt;0,'Calculations PJ'!AL153*About!$B$45,0)</f>
        <v>0</v>
      </c>
      <c r="AM153">
        <f>IF('Calculations PJ'!AM153&lt;&gt;0,'Calculations PJ'!AM153*About!$B$45,0)</f>
        <v>0</v>
      </c>
      <c r="AN153">
        <f>IF('Calculations PJ'!AN153&lt;&gt;0,'Calculations PJ'!AN153*About!$B$45,0)</f>
        <v>0</v>
      </c>
      <c r="AO153">
        <f>IF('Calculations PJ'!AO153&lt;&gt;0,'Calculations PJ'!AO153*About!$B$45,0)</f>
        <v>0</v>
      </c>
      <c r="AP153">
        <f>IF('Calculations PJ'!AP153&lt;&gt;0,'Calculations PJ'!AP153*About!$B$45,0)</f>
        <v>0</v>
      </c>
      <c r="AQ153">
        <f>IF('Calculations PJ'!AQ153&lt;&gt;0,'Calculations PJ'!AQ153*About!$B$45,0)</f>
        <v>0</v>
      </c>
      <c r="AR153">
        <f>IF('Calculations PJ'!AR153&lt;&gt;0,'Calculations PJ'!AR153*About!$B$45,0)</f>
        <v>0</v>
      </c>
      <c r="AS153">
        <f>IF('Calculations PJ'!AS153&lt;&gt;0,'Calculations PJ'!AS153*About!$B$45,0)</f>
        <v>0</v>
      </c>
      <c r="AT153">
        <f>IF('Calculations PJ'!AT153&lt;&gt;0,'Calculations PJ'!AT153*About!$B$45,0)</f>
        <v>0</v>
      </c>
      <c r="AU153">
        <f>IF('Calculations PJ'!AU153&lt;&gt;0,'Calculations PJ'!AU153*About!$B$45,0)</f>
        <v>0</v>
      </c>
      <c r="AV153">
        <f>IF('Calculations PJ'!AV153&lt;&gt;0,'Calculations PJ'!AV153*About!$B$45,0)</f>
        <v>0</v>
      </c>
      <c r="AW153">
        <f>IF('Calculations PJ'!AW153&lt;&gt;0,'Calculations PJ'!AW153*About!$B$45,0)</f>
        <v>0</v>
      </c>
      <c r="AX153">
        <f>IF('Calculations PJ'!AX153&lt;&gt;0,'Calculations PJ'!AX153*About!$B$45,0)</f>
        <v>0</v>
      </c>
      <c r="AY153">
        <f>IF('Calculations PJ'!AY153&lt;&gt;0,'Calculations PJ'!AY153*About!$B$45,0)</f>
        <v>0</v>
      </c>
      <c r="AZ153">
        <f>IF('Calculations PJ'!AZ153&lt;&gt;0,'Calculations PJ'!AZ153*About!$B$45,0)</f>
        <v>0</v>
      </c>
      <c r="BA153">
        <f>IF('Calculations PJ'!BA153&lt;&gt;0,'Calculations PJ'!BA153*About!$B$45,0)</f>
        <v>0</v>
      </c>
      <c r="BB153">
        <f>IF('Calculations PJ'!BB153&lt;&gt;0,'Calculations PJ'!BB153*About!$B$45,0)</f>
        <v>0</v>
      </c>
      <c r="BC153">
        <f>IF('Calculations PJ'!BC153&lt;&gt;0,'Calculations PJ'!BC153*About!$B$45,0)</f>
        <v>0</v>
      </c>
      <c r="BD153">
        <f>IF('Calculations PJ'!BD153&lt;&gt;0,'Calculations PJ'!BD153*About!$B$45,0)</f>
        <v>0</v>
      </c>
      <c r="BE153">
        <f>IF('Calculations PJ'!BE153&lt;&gt;0,'Calculations PJ'!BE153*About!$B$45,0)</f>
        <v>0</v>
      </c>
      <c r="BF153">
        <f>IF('Calculations PJ'!BF153&lt;&gt;0,'Calculations PJ'!BF153*About!$B$45,0)</f>
        <v>0</v>
      </c>
      <c r="BG153">
        <f>IF('Calculations PJ'!BG153&lt;&gt;0,'Calculations PJ'!BG153*About!$B$45,0)</f>
        <v>0</v>
      </c>
      <c r="BH153">
        <f>IF('Calculations PJ'!BH153&lt;&gt;0,'Calculations PJ'!BH153*About!$B$45,0)</f>
        <v>0</v>
      </c>
    </row>
    <row r="154" spans="1:60" hidden="1" outlineLevel="1">
      <c r="B154" t="s">
        <v>147</v>
      </c>
      <c r="C154">
        <f>IF('Calculations PJ'!C154&lt;&gt;0,'Calculations PJ'!C154*About!$B$45,0)</f>
        <v>55658758348211.711</v>
      </c>
      <c r="D154">
        <f>IF('Calculations PJ'!D154&lt;&gt;0,'Calculations PJ'!D154*About!$B$45,0)</f>
        <v>58170606264130.664</v>
      </c>
      <c r="E154">
        <f>IF('Calculations PJ'!E154&lt;&gt;0,'Calculations PJ'!E154*About!$B$45,0)</f>
        <v>55118474079504.617</v>
      </c>
      <c r="F154">
        <f>IF('Calculations PJ'!F154&lt;&gt;0,'Calculations PJ'!F154*About!$B$45,0)</f>
        <v>56559232129390.203</v>
      </c>
      <c r="G154">
        <f>IF('Calculations PJ'!G154&lt;&gt;0,'Calculations PJ'!G154*About!$B$45,0)</f>
        <v>58189563606892.32</v>
      </c>
      <c r="H154">
        <f>IF('Calculations PJ'!H154&lt;&gt;0,'Calculations PJ'!H154*About!$B$45,0)</f>
        <v>67345960160770.469</v>
      </c>
      <c r="I154">
        <f>IF('Calculations PJ'!I154&lt;&gt;0,'Calculations PJ'!I154*About!$B$45,0)</f>
        <v>52094777909021.039</v>
      </c>
      <c r="J154">
        <f>IF('Calculations PJ'!J154&lt;&gt;0,'Calculations PJ'!J154*About!$B$45,0)</f>
        <v>63080558039398.656</v>
      </c>
      <c r="K154">
        <f>IF('Calculations PJ'!K154&lt;&gt;0,'Calculations PJ'!K154*About!$B$45,0)</f>
        <v>65639799312221.75</v>
      </c>
      <c r="L154">
        <f>IF('Calculations PJ'!L154&lt;&gt;0,'Calculations PJ'!L154*About!$B$45,0)</f>
        <v>65374396513558.609</v>
      </c>
      <c r="M154">
        <f>IF('Calculations PJ'!M154&lt;&gt;0,'Calculations PJ'!M154*About!$B$45,0)</f>
        <v>65687192669125.875</v>
      </c>
      <c r="N154">
        <f>IF('Calculations PJ'!N154&lt;&gt;0,'Calculations PJ'!N154*About!$B$45,0)</f>
        <v>66028424838835.617</v>
      </c>
      <c r="O154">
        <f>IF('Calculations PJ'!O154&lt;&gt;0,'Calculations PJ'!O154*About!$B$45,0)</f>
        <v>66360178337164.547</v>
      </c>
      <c r="P154">
        <f>IF('Calculations PJ'!P154&lt;&gt;0,'Calculations PJ'!P154*About!$B$45,0)</f>
        <v>66691931835493.461</v>
      </c>
      <c r="Q154">
        <f>IF('Calculations PJ'!Q154&lt;&gt;0,'Calculations PJ'!Q154*About!$B$45,0)</f>
        <v>67023685333822.391</v>
      </c>
      <c r="R154">
        <f>IF('Calculations PJ'!R154&lt;&gt;0,'Calculations PJ'!R154*About!$B$45,0)</f>
        <v>67355438832151.297</v>
      </c>
      <c r="S154">
        <f>IF('Calculations PJ'!S154&lt;&gt;0,'Calculations PJ'!S154*About!$B$45,0)</f>
        <v>67687192330480.211</v>
      </c>
      <c r="T154">
        <f>IF('Calculations PJ'!T154&lt;&gt;0,'Calculations PJ'!T154*About!$B$45,0)</f>
        <v>68028424500189.961</v>
      </c>
      <c r="U154">
        <f>IF('Calculations PJ'!U154&lt;&gt;0,'Calculations PJ'!U154*About!$B$45,0)</f>
        <v>68369656669899.703</v>
      </c>
      <c r="V154">
        <f>IF('Calculations PJ'!V154&lt;&gt;0,'Calculations PJ'!V154*About!$B$45,0)</f>
        <v>68691931496847.797</v>
      </c>
      <c r="W154">
        <f>IF('Calculations PJ'!W154&lt;&gt;0,'Calculations PJ'!W154*About!$B$45,0)</f>
        <v>69023684995176.711</v>
      </c>
      <c r="X154">
        <f>IF('Calculations PJ'!X154&lt;&gt;0,'Calculations PJ'!X154*About!$B$45,0)</f>
        <v>69355438493505.641</v>
      </c>
      <c r="Y154">
        <f>IF('Calculations PJ'!Y154&lt;&gt;0,'Calculations PJ'!Y154*About!$B$45,0)</f>
        <v>69687191991834.547</v>
      </c>
      <c r="Z154">
        <f>IF('Calculations PJ'!Z154&lt;&gt;0,'Calculations PJ'!Z154*About!$B$45,0)</f>
        <v>70018945490163.477</v>
      </c>
      <c r="AA154">
        <f>IF('Calculations PJ'!AA154&lt;&gt;0,'Calculations PJ'!AA154*About!$B$45,0)</f>
        <v>70360177659873.211</v>
      </c>
      <c r="AB154">
        <f>IF('Calculations PJ'!AB154&lt;&gt;0,'Calculations PJ'!AB154*About!$B$45,0)</f>
        <v>70682452486821.297</v>
      </c>
      <c r="AC154">
        <f>IF('Calculations PJ'!AC154&lt;&gt;0,'Calculations PJ'!AC154*About!$B$45,0)</f>
        <v>71023684656531.063</v>
      </c>
      <c r="AD154">
        <f>IF('Calculations PJ'!AD154&lt;&gt;0,'Calculations PJ'!AD154*About!$B$45,0)</f>
        <v>71355438154859.969</v>
      </c>
      <c r="AE154">
        <f>IF('Calculations PJ'!AE154&lt;&gt;0,'Calculations PJ'!AE154*About!$B$45,0)</f>
        <v>71687191653188.891</v>
      </c>
      <c r="AF154">
        <f>IF('Calculations PJ'!AF154&lt;&gt;0,'Calculations PJ'!AF154*About!$B$45,0)</f>
        <v>72009466480136.984</v>
      </c>
      <c r="AG154">
        <f>IF('Calculations PJ'!AG154&lt;&gt;0,'Calculations PJ'!AG154*About!$B$45,0)</f>
        <v>72350698649846.734</v>
      </c>
      <c r="AH154">
        <f>IF('Calculations PJ'!AH154&lt;&gt;0,'Calculations PJ'!AH154*About!$B$45,0)</f>
        <v>72682452148175.656</v>
      </c>
      <c r="AI154">
        <f>IF('Calculations PJ'!AI154&lt;&gt;0,'Calculations PJ'!AI154*About!$B$45,0)</f>
        <v>73014205646504.563</v>
      </c>
      <c r="AJ154">
        <f>IF('Calculations PJ'!AJ154&lt;&gt;0,'Calculations PJ'!AJ154*About!$B$45,0)</f>
        <v>73355437816214.297</v>
      </c>
      <c r="AK154">
        <f>IF('Calculations PJ'!AK154&lt;&gt;0,'Calculations PJ'!AK154*About!$B$45,0)</f>
        <v>73677712643162.391</v>
      </c>
      <c r="AL154">
        <f>IF('Calculations PJ'!AL154&lt;&gt;0,'Calculations PJ'!AL154*About!$B$45,0)</f>
        <v>74018944812872.156</v>
      </c>
      <c r="AM154">
        <f>IF('Calculations PJ'!AM154&lt;&gt;0,'Calculations PJ'!AM154*About!$B$45,0)</f>
        <v>74350698311201.063</v>
      </c>
      <c r="AN154">
        <f>IF('Calculations PJ'!AN154&lt;&gt;0,'Calculations PJ'!AN154*About!$B$45,0)</f>
        <v>74682451809529.984</v>
      </c>
      <c r="AO154">
        <f>IF('Calculations PJ'!AO154&lt;&gt;0,'Calculations PJ'!AO154*About!$B$45,0)</f>
        <v>74682451809529.984</v>
      </c>
      <c r="AP154">
        <f>IF('Calculations PJ'!AP154&lt;&gt;0,'Calculations PJ'!AP154*About!$B$45,0)</f>
        <v>74682451809529.984</v>
      </c>
      <c r="AQ154">
        <f>IF('Calculations PJ'!AQ154&lt;&gt;0,'Calculations PJ'!AQ154*About!$B$45,0)</f>
        <v>74682451809529.984</v>
      </c>
      <c r="AR154">
        <f>IF('Calculations PJ'!AR154&lt;&gt;0,'Calculations PJ'!AR154*About!$B$45,0)</f>
        <v>74682451809529.984</v>
      </c>
      <c r="AS154">
        <f>IF('Calculations PJ'!AS154&lt;&gt;0,'Calculations PJ'!AS154*About!$B$45,0)</f>
        <v>74682451809529.984</v>
      </c>
      <c r="AT154">
        <f>IF('Calculations PJ'!AT154&lt;&gt;0,'Calculations PJ'!AT154*About!$B$45,0)</f>
        <v>74682451809529.984</v>
      </c>
      <c r="AU154">
        <f>IF('Calculations PJ'!AU154&lt;&gt;0,'Calculations PJ'!AU154*About!$B$45,0)</f>
        <v>74682451809529.984</v>
      </c>
      <c r="AV154">
        <f>IF('Calculations PJ'!AV154&lt;&gt;0,'Calculations PJ'!AV154*About!$B$45,0)</f>
        <v>74682451809529.984</v>
      </c>
      <c r="AW154">
        <f>IF('Calculations PJ'!AW154&lt;&gt;0,'Calculations PJ'!AW154*About!$B$45,0)</f>
        <v>74682451809529.984</v>
      </c>
      <c r="AX154">
        <f>IF('Calculations PJ'!AX154&lt;&gt;0,'Calculations PJ'!AX154*About!$B$45,0)</f>
        <v>74682451809529.984</v>
      </c>
      <c r="AY154">
        <f>IF('Calculations PJ'!AY154&lt;&gt;0,'Calculations PJ'!AY154*About!$B$45,0)</f>
        <v>74682451809529.984</v>
      </c>
      <c r="AZ154">
        <f>IF('Calculations PJ'!AZ154&lt;&gt;0,'Calculations PJ'!AZ154*About!$B$45,0)</f>
        <v>74682451809529.984</v>
      </c>
      <c r="BA154">
        <f>IF('Calculations PJ'!BA154&lt;&gt;0,'Calculations PJ'!BA154*About!$B$45,0)</f>
        <v>74682451809529.984</v>
      </c>
      <c r="BB154">
        <f>IF('Calculations PJ'!BB154&lt;&gt;0,'Calculations PJ'!BB154*About!$B$45,0)</f>
        <v>74682451809529.984</v>
      </c>
      <c r="BC154">
        <f>IF('Calculations PJ'!BC154&lt;&gt;0,'Calculations PJ'!BC154*About!$B$45,0)</f>
        <v>74682451809529.984</v>
      </c>
      <c r="BD154">
        <f>IF('Calculations PJ'!BD154&lt;&gt;0,'Calculations PJ'!BD154*About!$B$45,0)</f>
        <v>74682451809529.984</v>
      </c>
      <c r="BE154">
        <f>IF('Calculations PJ'!BE154&lt;&gt;0,'Calculations PJ'!BE154*About!$B$45,0)</f>
        <v>74682451809529.984</v>
      </c>
      <c r="BF154">
        <f>IF('Calculations PJ'!BF154&lt;&gt;0,'Calculations PJ'!BF154*About!$B$45,0)</f>
        <v>74682451809529.984</v>
      </c>
      <c r="BG154">
        <f>IF('Calculations PJ'!BG154&lt;&gt;0,'Calculations PJ'!BG154*About!$B$45,0)</f>
        <v>74682451809529.984</v>
      </c>
      <c r="BH154">
        <f>IF('Calculations PJ'!BH154&lt;&gt;0,'Calculations PJ'!BH154*About!$B$45,0)</f>
        <v>74682451809529.984</v>
      </c>
    </row>
    <row r="155" spans="1:60" hidden="1" outlineLevel="1">
      <c r="B155" t="s">
        <v>148</v>
      </c>
      <c r="C155">
        <f>IF('Calculations PJ'!C155&lt;&gt;0,'Calculations PJ'!C155*About!$B$45,0)</f>
        <v>0</v>
      </c>
      <c r="D155">
        <f>IF('Calculations PJ'!D155&lt;&gt;0,'Calculations PJ'!D155*About!$B$45,0)</f>
        <v>0</v>
      </c>
      <c r="E155">
        <f>IF('Calculations PJ'!E155&lt;&gt;0,'Calculations PJ'!E155*About!$B$45,0)</f>
        <v>0</v>
      </c>
      <c r="F155">
        <f>IF('Calculations PJ'!F155&lt;&gt;0,'Calculations PJ'!F155*About!$B$45,0)</f>
        <v>0</v>
      </c>
      <c r="G155">
        <f>IF('Calculations PJ'!G155&lt;&gt;0,'Calculations PJ'!G155*About!$B$45,0)</f>
        <v>0</v>
      </c>
      <c r="H155">
        <f>IF('Calculations PJ'!H155&lt;&gt;0,'Calculations PJ'!H155*About!$B$45,0)</f>
        <v>0</v>
      </c>
      <c r="I155">
        <f>IF('Calculations PJ'!I155&lt;&gt;0,'Calculations PJ'!I155*About!$B$45,0)</f>
        <v>0</v>
      </c>
      <c r="J155">
        <f>IF('Calculations PJ'!J155&lt;&gt;0,'Calculations PJ'!J155*About!$B$45,0)</f>
        <v>0</v>
      </c>
      <c r="K155">
        <f>IF('Calculations PJ'!K155&lt;&gt;0,'Calculations PJ'!K155*About!$B$45,0)</f>
        <v>0</v>
      </c>
      <c r="L155">
        <f>IF('Calculations PJ'!L155&lt;&gt;0,'Calculations PJ'!L155*About!$B$45,0)</f>
        <v>0</v>
      </c>
      <c r="M155">
        <f>IF('Calculations PJ'!M155&lt;&gt;0,'Calculations PJ'!M155*About!$B$45,0)</f>
        <v>0</v>
      </c>
      <c r="N155">
        <f>IF('Calculations PJ'!N155&lt;&gt;0,'Calculations PJ'!N155*About!$B$45,0)</f>
        <v>0</v>
      </c>
      <c r="O155">
        <f>IF('Calculations PJ'!O155&lt;&gt;0,'Calculations PJ'!O155*About!$B$45,0)</f>
        <v>0</v>
      </c>
      <c r="P155">
        <f>IF('Calculations PJ'!P155&lt;&gt;0,'Calculations PJ'!P155*About!$B$45,0)</f>
        <v>0</v>
      </c>
      <c r="Q155">
        <f>IF('Calculations PJ'!Q155&lt;&gt;0,'Calculations PJ'!Q155*About!$B$45,0)</f>
        <v>0</v>
      </c>
      <c r="R155">
        <f>IF('Calculations PJ'!R155&lt;&gt;0,'Calculations PJ'!R155*About!$B$45,0)</f>
        <v>0</v>
      </c>
      <c r="S155">
        <f>IF('Calculations PJ'!S155&lt;&gt;0,'Calculations PJ'!S155*About!$B$45,0)</f>
        <v>0</v>
      </c>
      <c r="T155">
        <f>IF('Calculations PJ'!T155&lt;&gt;0,'Calculations PJ'!T155*About!$B$45,0)</f>
        <v>0</v>
      </c>
      <c r="U155">
        <f>IF('Calculations PJ'!U155&lt;&gt;0,'Calculations PJ'!U155*About!$B$45,0)</f>
        <v>0</v>
      </c>
      <c r="V155">
        <f>IF('Calculations PJ'!V155&lt;&gt;0,'Calculations PJ'!V155*About!$B$45,0)</f>
        <v>0</v>
      </c>
      <c r="W155">
        <f>IF('Calculations PJ'!W155&lt;&gt;0,'Calculations PJ'!W155*About!$B$45,0)</f>
        <v>0</v>
      </c>
      <c r="X155">
        <f>IF('Calculations PJ'!X155&lt;&gt;0,'Calculations PJ'!X155*About!$B$45,0)</f>
        <v>0</v>
      </c>
      <c r="Y155">
        <f>IF('Calculations PJ'!Y155&lt;&gt;0,'Calculations PJ'!Y155*About!$B$45,0)</f>
        <v>0</v>
      </c>
      <c r="Z155">
        <f>IF('Calculations PJ'!Z155&lt;&gt;0,'Calculations PJ'!Z155*About!$B$45,0)</f>
        <v>0</v>
      </c>
      <c r="AA155">
        <f>IF('Calculations PJ'!AA155&lt;&gt;0,'Calculations PJ'!AA155*About!$B$45,0)</f>
        <v>0</v>
      </c>
      <c r="AB155">
        <f>IF('Calculations PJ'!AB155&lt;&gt;0,'Calculations PJ'!AB155*About!$B$45,0)</f>
        <v>0</v>
      </c>
      <c r="AC155">
        <f>IF('Calculations PJ'!AC155&lt;&gt;0,'Calculations PJ'!AC155*About!$B$45,0)</f>
        <v>0</v>
      </c>
      <c r="AD155">
        <f>IF('Calculations PJ'!AD155&lt;&gt;0,'Calculations PJ'!AD155*About!$B$45,0)</f>
        <v>0</v>
      </c>
      <c r="AE155">
        <f>IF('Calculations PJ'!AE155&lt;&gt;0,'Calculations PJ'!AE155*About!$B$45,0)</f>
        <v>0</v>
      </c>
      <c r="AF155">
        <f>IF('Calculations PJ'!AF155&lt;&gt;0,'Calculations PJ'!AF155*About!$B$45,0)</f>
        <v>0</v>
      </c>
      <c r="AG155">
        <f>IF('Calculations PJ'!AG155&lt;&gt;0,'Calculations PJ'!AG155*About!$B$45,0)</f>
        <v>0</v>
      </c>
      <c r="AH155">
        <f>IF('Calculations PJ'!AH155&lt;&gt;0,'Calculations PJ'!AH155*About!$B$45,0)</f>
        <v>0</v>
      </c>
      <c r="AI155">
        <f>IF('Calculations PJ'!AI155&lt;&gt;0,'Calculations PJ'!AI155*About!$B$45,0)</f>
        <v>0</v>
      </c>
      <c r="AJ155">
        <f>IF('Calculations PJ'!AJ155&lt;&gt;0,'Calculations PJ'!AJ155*About!$B$45,0)</f>
        <v>0</v>
      </c>
      <c r="AK155">
        <f>IF('Calculations PJ'!AK155&lt;&gt;0,'Calculations PJ'!AK155*About!$B$45,0)</f>
        <v>0</v>
      </c>
      <c r="AL155">
        <f>IF('Calculations PJ'!AL155&lt;&gt;0,'Calculations PJ'!AL155*About!$B$45,0)</f>
        <v>0</v>
      </c>
      <c r="AM155">
        <f>IF('Calculations PJ'!AM155&lt;&gt;0,'Calculations PJ'!AM155*About!$B$45,0)</f>
        <v>0</v>
      </c>
      <c r="AN155">
        <f>IF('Calculations PJ'!AN155&lt;&gt;0,'Calculations PJ'!AN155*About!$B$45,0)</f>
        <v>0</v>
      </c>
      <c r="AO155">
        <f>IF('Calculations PJ'!AO155&lt;&gt;0,'Calculations PJ'!AO155*About!$B$45,0)</f>
        <v>0</v>
      </c>
      <c r="AP155">
        <f>IF('Calculations PJ'!AP155&lt;&gt;0,'Calculations PJ'!AP155*About!$B$45,0)</f>
        <v>0</v>
      </c>
      <c r="AQ155">
        <f>IF('Calculations PJ'!AQ155&lt;&gt;0,'Calculations PJ'!AQ155*About!$B$45,0)</f>
        <v>0</v>
      </c>
      <c r="AR155">
        <f>IF('Calculations PJ'!AR155&lt;&gt;0,'Calculations PJ'!AR155*About!$B$45,0)</f>
        <v>0</v>
      </c>
      <c r="AS155">
        <f>IF('Calculations PJ'!AS155&lt;&gt;0,'Calculations PJ'!AS155*About!$B$45,0)</f>
        <v>0</v>
      </c>
      <c r="AT155">
        <f>IF('Calculations PJ'!AT155&lt;&gt;0,'Calculations PJ'!AT155*About!$B$45,0)</f>
        <v>0</v>
      </c>
      <c r="AU155">
        <f>IF('Calculations PJ'!AU155&lt;&gt;0,'Calculations PJ'!AU155*About!$B$45,0)</f>
        <v>0</v>
      </c>
      <c r="AV155">
        <f>IF('Calculations PJ'!AV155&lt;&gt;0,'Calculations PJ'!AV155*About!$B$45,0)</f>
        <v>0</v>
      </c>
      <c r="AW155">
        <f>IF('Calculations PJ'!AW155&lt;&gt;0,'Calculations PJ'!AW155*About!$B$45,0)</f>
        <v>0</v>
      </c>
      <c r="AX155">
        <f>IF('Calculations PJ'!AX155&lt;&gt;0,'Calculations PJ'!AX155*About!$B$45,0)</f>
        <v>0</v>
      </c>
      <c r="AY155">
        <f>IF('Calculations PJ'!AY155&lt;&gt;0,'Calculations PJ'!AY155*About!$B$45,0)</f>
        <v>0</v>
      </c>
      <c r="AZ155">
        <f>IF('Calculations PJ'!AZ155&lt;&gt;0,'Calculations PJ'!AZ155*About!$B$45,0)</f>
        <v>0</v>
      </c>
      <c r="BA155">
        <f>IF('Calculations PJ'!BA155&lt;&gt;0,'Calculations PJ'!BA155*About!$B$45,0)</f>
        <v>0</v>
      </c>
      <c r="BB155">
        <f>IF('Calculations PJ'!BB155&lt;&gt;0,'Calculations PJ'!BB155*About!$B$45,0)</f>
        <v>0</v>
      </c>
      <c r="BC155">
        <f>IF('Calculations PJ'!BC155&lt;&gt;0,'Calculations PJ'!BC155*About!$B$45,0)</f>
        <v>0</v>
      </c>
      <c r="BD155">
        <f>IF('Calculations PJ'!BD155&lt;&gt;0,'Calculations PJ'!BD155*About!$B$45,0)</f>
        <v>0</v>
      </c>
      <c r="BE155">
        <f>IF('Calculations PJ'!BE155&lt;&gt;0,'Calculations PJ'!BE155*About!$B$45,0)</f>
        <v>0</v>
      </c>
      <c r="BF155">
        <f>IF('Calculations PJ'!BF155&lt;&gt;0,'Calculations PJ'!BF155*About!$B$45,0)</f>
        <v>0</v>
      </c>
      <c r="BG155">
        <f>IF('Calculations PJ'!BG155&lt;&gt;0,'Calculations PJ'!BG155*About!$B$45,0)</f>
        <v>0</v>
      </c>
      <c r="BH155">
        <f>IF('Calculations PJ'!BH155&lt;&gt;0,'Calculations PJ'!BH155*About!$B$45,0)</f>
        <v>0</v>
      </c>
    </row>
    <row r="156" spans="1:60" hidden="1" outlineLevel="1">
      <c r="B156" t="s">
        <v>149</v>
      </c>
      <c r="C156">
        <f>IF('Calculations PJ'!C156&lt;&gt;0,'Calculations PJ'!C156*About!$B$45,0)</f>
        <v>0</v>
      </c>
      <c r="D156">
        <f>IF('Calculations PJ'!D156&lt;&gt;0,'Calculations PJ'!D156*About!$B$45,0)</f>
        <v>0</v>
      </c>
      <c r="E156">
        <f>IF('Calculations PJ'!E156&lt;&gt;0,'Calculations PJ'!E156*About!$B$45,0)</f>
        <v>0</v>
      </c>
      <c r="F156">
        <f>IF('Calculations PJ'!F156&lt;&gt;0,'Calculations PJ'!F156*About!$B$45,0)</f>
        <v>0</v>
      </c>
      <c r="G156">
        <f>IF('Calculations PJ'!G156&lt;&gt;0,'Calculations PJ'!G156*About!$B$45,0)</f>
        <v>0</v>
      </c>
      <c r="H156">
        <f>IF('Calculations PJ'!H156&lt;&gt;0,'Calculations PJ'!H156*About!$B$45,0)</f>
        <v>0</v>
      </c>
      <c r="I156">
        <f>IF('Calculations PJ'!I156&lt;&gt;0,'Calculations PJ'!I156*About!$B$45,0)</f>
        <v>0</v>
      </c>
      <c r="J156">
        <f>IF('Calculations PJ'!J156&lt;&gt;0,'Calculations PJ'!J156*About!$B$45,0)</f>
        <v>0</v>
      </c>
      <c r="K156">
        <f>IF('Calculations PJ'!K156&lt;&gt;0,'Calculations PJ'!K156*About!$B$45,0)</f>
        <v>0</v>
      </c>
      <c r="L156">
        <f>IF('Calculations PJ'!L156&lt;&gt;0,'Calculations PJ'!L156*About!$B$45,0)</f>
        <v>0</v>
      </c>
      <c r="M156">
        <f>IF('Calculations PJ'!M156&lt;&gt;0,'Calculations PJ'!M156*About!$B$45,0)</f>
        <v>0</v>
      </c>
      <c r="N156">
        <f>IF('Calculations PJ'!N156&lt;&gt;0,'Calculations PJ'!N156*About!$B$45,0)</f>
        <v>0</v>
      </c>
      <c r="O156">
        <f>IF('Calculations PJ'!O156&lt;&gt;0,'Calculations PJ'!O156*About!$B$45,0)</f>
        <v>0</v>
      </c>
      <c r="P156">
        <f>IF('Calculations PJ'!P156&lt;&gt;0,'Calculations PJ'!P156*About!$B$45,0)</f>
        <v>0</v>
      </c>
      <c r="Q156">
        <f>IF('Calculations PJ'!Q156&lt;&gt;0,'Calculations PJ'!Q156*About!$B$45,0)</f>
        <v>0</v>
      </c>
      <c r="R156">
        <f>IF('Calculations PJ'!R156&lt;&gt;0,'Calculations PJ'!R156*About!$B$45,0)</f>
        <v>0</v>
      </c>
      <c r="S156">
        <f>IF('Calculations PJ'!S156&lt;&gt;0,'Calculations PJ'!S156*About!$B$45,0)</f>
        <v>0</v>
      </c>
      <c r="T156">
        <f>IF('Calculations PJ'!T156&lt;&gt;0,'Calculations PJ'!T156*About!$B$45,0)</f>
        <v>0</v>
      </c>
      <c r="U156">
        <f>IF('Calculations PJ'!U156&lt;&gt;0,'Calculations PJ'!U156*About!$B$45,0)</f>
        <v>0</v>
      </c>
      <c r="V156">
        <f>IF('Calculations PJ'!V156&lt;&gt;0,'Calculations PJ'!V156*About!$B$45,0)</f>
        <v>0</v>
      </c>
      <c r="W156">
        <f>IF('Calculations PJ'!W156&lt;&gt;0,'Calculations PJ'!W156*About!$B$45,0)</f>
        <v>0</v>
      </c>
      <c r="X156">
        <f>IF('Calculations PJ'!X156&lt;&gt;0,'Calculations PJ'!X156*About!$B$45,0)</f>
        <v>0</v>
      </c>
      <c r="Y156">
        <f>IF('Calculations PJ'!Y156&lt;&gt;0,'Calculations PJ'!Y156*About!$B$45,0)</f>
        <v>0</v>
      </c>
      <c r="Z156">
        <f>IF('Calculations PJ'!Z156&lt;&gt;0,'Calculations PJ'!Z156*About!$B$45,0)</f>
        <v>0</v>
      </c>
      <c r="AA156">
        <f>IF('Calculations PJ'!AA156&lt;&gt;0,'Calculations PJ'!AA156*About!$B$45,0)</f>
        <v>0</v>
      </c>
      <c r="AB156">
        <f>IF('Calculations PJ'!AB156&lt;&gt;0,'Calculations PJ'!AB156*About!$B$45,0)</f>
        <v>0</v>
      </c>
      <c r="AC156">
        <f>IF('Calculations PJ'!AC156&lt;&gt;0,'Calculations PJ'!AC156*About!$B$45,0)</f>
        <v>0</v>
      </c>
      <c r="AD156">
        <f>IF('Calculations PJ'!AD156&lt;&gt;0,'Calculations PJ'!AD156*About!$B$45,0)</f>
        <v>0</v>
      </c>
      <c r="AE156">
        <f>IF('Calculations PJ'!AE156&lt;&gt;0,'Calculations PJ'!AE156*About!$B$45,0)</f>
        <v>0</v>
      </c>
      <c r="AF156">
        <f>IF('Calculations PJ'!AF156&lt;&gt;0,'Calculations PJ'!AF156*About!$B$45,0)</f>
        <v>0</v>
      </c>
      <c r="AG156">
        <f>IF('Calculations PJ'!AG156&lt;&gt;0,'Calculations PJ'!AG156*About!$B$45,0)</f>
        <v>0</v>
      </c>
      <c r="AH156">
        <f>IF('Calculations PJ'!AH156&lt;&gt;0,'Calculations PJ'!AH156*About!$B$45,0)</f>
        <v>0</v>
      </c>
      <c r="AI156">
        <f>IF('Calculations PJ'!AI156&lt;&gt;0,'Calculations PJ'!AI156*About!$B$45,0)</f>
        <v>0</v>
      </c>
      <c r="AJ156">
        <f>IF('Calculations PJ'!AJ156&lt;&gt;0,'Calculations PJ'!AJ156*About!$B$45,0)</f>
        <v>0</v>
      </c>
      <c r="AK156">
        <f>IF('Calculations PJ'!AK156&lt;&gt;0,'Calculations PJ'!AK156*About!$B$45,0)</f>
        <v>0</v>
      </c>
      <c r="AL156">
        <f>IF('Calculations PJ'!AL156&lt;&gt;0,'Calculations PJ'!AL156*About!$B$45,0)</f>
        <v>0</v>
      </c>
      <c r="AM156">
        <f>IF('Calculations PJ'!AM156&lt;&gt;0,'Calculations PJ'!AM156*About!$B$45,0)</f>
        <v>0</v>
      </c>
      <c r="AN156">
        <f>IF('Calculations PJ'!AN156&lt;&gt;0,'Calculations PJ'!AN156*About!$B$45,0)</f>
        <v>0</v>
      </c>
      <c r="AO156">
        <f>IF('Calculations PJ'!AO156&lt;&gt;0,'Calculations PJ'!AO156*About!$B$45,0)</f>
        <v>0</v>
      </c>
      <c r="AP156">
        <f>IF('Calculations PJ'!AP156&lt;&gt;0,'Calculations PJ'!AP156*About!$B$45,0)</f>
        <v>0</v>
      </c>
      <c r="AQ156">
        <f>IF('Calculations PJ'!AQ156&lt;&gt;0,'Calculations PJ'!AQ156*About!$B$45,0)</f>
        <v>0</v>
      </c>
      <c r="AR156">
        <f>IF('Calculations PJ'!AR156&lt;&gt;0,'Calculations PJ'!AR156*About!$B$45,0)</f>
        <v>0</v>
      </c>
      <c r="AS156">
        <f>IF('Calculations PJ'!AS156&lt;&gt;0,'Calculations PJ'!AS156*About!$B$45,0)</f>
        <v>0</v>
      </c>
      <c r="AT156">
        <f>IF('Calculations PJ'!AT156&lt;&gt;0,'Calculations PJ'!AT156*About!$B$45,0)</f>
        <v>0</v>
      </c>
      <c r="AU156">
        <f>IF('Calculations PJ'!AU156&lt;&gt;0,'Calculations PJ'!AU156*About!$B$45,0)</f>
        <v>0</v>
      </c>
      <c r="AV156">
        <f>IF('Calculations PJ'!AV156&lt;&gt;0,'Calculations PJ'!AV156*About!$B$45,0)</f>
        <v>0</v>
      </c>
      <c r="AW156">
        <f>IF('Calculations PJ'!AW156&lt;&gt;0,'Calculations PJ'!AW156*About!$B$45,0)</f>
        <v>0</v>
      </c>
      <c r="AX156">
        <f>IF('Calculations PJ'!AX156&lt;&gt;0,'Calculations PJ'!AX156*About!$B$45,0)</f>
        <v>0</v>
      </c>
      <c r="AY156">
        <f>IF('Calculations PJ'!AY156&lt;&gt;0,'Calculations PJ'!AY156*About!$B$45,0)</f>
        <v>0</v>
      </c>
      <c r="AZ156">
        <f>IF('Calculations PJ'!AZ156&lt;&gt;0,'Calculations PJ'!AZ156*About!$B$45,0)</f>
        <v>0</v>
      </c>
      <c r="BA156">
        <f>IF('Calculations PJ'!BA156&lt;&gt;0,'Calculations PJ'!BA156*About!$B$45,0)</f>
        <v>0</v>
      </c>
      <c r="BB156">
        <f>IF('Calculations PJ'!BB156&lt;&gt;0,'Calculations PJ'!BB156*About!$B$45,0)</f>
        <v>0</v>
      </c>
      <c r="BC156">
        <f>IF('Calculations PJ'!BC156&lt;&gt;0,'Calculations PJ'!BC156*About!$B$45,0)</f>
        <v>0</v>
      </c>
      <c r="BD156">
        <f>IF('Calculations PJ'!BD156&lt;&gt;0,'Calculations PJ'!BD156*About!$B$45,0)</f>
        <v>0</v>
      </c>
      <c r="BE156">
        <f>IF('Calculations PJ'!BE156&lt;&gt;0,'Calculations PJ'!BE156*About!$B$45,0)</f>
        <v>0</v>
      </c>
      <c r="BF156">
        <f>IF('Calculations PJ'!BF156&lt;&gt;0,'Calculations PJ'!BF156*About!$B$45,0)</f>
        <v>0</v>
      </c>
      <c r="BG156">
        <f>IF('Calculations PJ'!BG156&lt;&gt;0,'Calculations PJ'!BG156*About!$B$45,0)</f>
        <v>0</v>
      </c>
      <c r="BH156">
        <f>IF('Calculations PJ'!BH156&lt;&gt;0,'Calculations PJ'!BH156*About!$B$45,0)</f>
        <v>0</v>
      </c>
    </row>
    <row r="157" spans="1:60" hidden="1" outlineLevel="1">
      <c r="B157" t="s">
        <v>150</v>
      </c>
      <c r="C157">
        <f>IF('Calculations PJ'!C157&lt;&gt;0,'Calculations PJ'!C157*About!$B$45,0)</f>
        <v>0</v>
      </c>
      <c r="D157">
        <f>IF('Calculations PJ'!D157&lt;&gt;0,'Calculations PJ'!D157*About!$B$45,0)</f>
        <v>0</v>
      </c>
      <c r="E157">
        <f>IF('Calculations PJ'!E157&lt;&gt;0,'Calculations PJ'!E157*About!$B$45,0)</f>
        <v>0</v>
      </c>
      <c r="F157">
        <f>IF('Calculations PJ'!F157&lt;&gt;0,'Calculations PJ'!F157*About!$B$45,0)</f>
        <v>0</v>
      </c>
      <c r="G157">
        <f>IF('Calculations PJ'!G157&lt;&gt;0,'Calculations PJ'!G157*About!$B$45,0)</f>
        <v>0</v>
      </c>
      <c r="H157">
        <f>IF('Calculations PJ'!H157&lt;&gt;0,'Calculations PJ'!H157*About!$B$45,0)</f>
        <v>0</v>
      </c>
      <c r="I157">
        <f>IF('Calculations PJ'!I157&lt;&gt;0,'Calculations PJ'!I157*About!$B$45,0)</f>
        <v>0</v>
      </c>
      <c r="J157">
        <f>IF('Calculations PJ'!J157&lt;&gt;0,'Calculations PJ'!J157*About!$B$45,0)</f>
        <v>0</v>
      </c>
      <c r="K157">
        <f>IF('Calculations PJ'!K157&lt;&gt;0,'Calculations PJ'!K157*About!$B$45,0)</f>
        <v>0</v>
      </c>
      <c r="L157">
        <f>IF('Calculations PJ'!L157&lt;&gt;0,'Calculations PJ'!L157*About!$B$45,0)</f>
        <v>0</v>
      </c>
      <c r="M157">
        <f>IF('Calculations PJ'!M157&lt;&gt;0,'Calculations PJ'!M157*About!$B$45,0)</f>
        <v>0</v>
      </c>
      <c r="N157">
        <f>IF('Calculations PJ'!N157&lt;&gt;0,'Calculations PJ'!N157*About!$B$45,0)</f>
        <v>0</v>
      </c>
      <c r="O157">
        <f>IF('Calculations PJ'!O157&lt;&gt;0,'Calculations PJ'!O157*About!$B$45,0)</f>
        <v>0</v>
      </c>
      <c r="P157">
        <f>IF('Calculations PJ'!P157&lt;&gt;0,'Calculations PJ'!P157*About!$B$45,0)</f>
        <v>0</v>
      </c>
      <c r="Q157">
        <f>IF('Calculations PJ'!Q157&lt;&gt;0,'Calculations PJ'!Q157*About!$B$45,0)</f>
        <v>0</v>
      </c>
      <c r="R157">
        <f>IF('Calculations PJ'!R157&lt;&gt;0,'Calculations PJ'!R157*About!$B$45,0)</f>
        <v>0</v>
      </c>
      <c r="S157">
        <f>IF('Calculations PJ'!S157&lt;&gt;0,'Calculations PJ'!S157*About!$B$45,0)</f>
        <v>0</v>
      </c>
      <c r="T157">
        <f>IF('Calculations PJ'!T157&lt;&gt;0,'Calculations PJ'!T157*About!$B$45,0)</f>
        <v>0</v>
      </c>
      <c r="U157">
        <f>IF('Calculations PJ'!U157&lt;&gt;0,'Calculations PJ'!U157*About!$B$45,0)</f>
        <v>0</v>
      </c>
      <c r="V157">
        <f>IF('Calculations PJ'!V157&lt;&gt;0,'Calculations PJ'!V157*About!$B$45,0)</f>
        <v>0</v>
      </c>
      <c r="W157">
        <f>IF('Calculations PJ'!W157&lt;&gt;0,'Calculations PJ'!W157*About!$B$45,0)</f>
        <v>0</v>
      </c>
      <c r="X157">
        <f>IF('Calculations PJ'!X157&lt;&gt;0,'Calculations PJ'!X157*About!$B$45,0)</f>
        <v>0</v>
      </c>
      <c r="Y157">
        <f>IF('Calculations PJ'!Y157&lt;&gt;0,'Calculations PJ'!Y157*About!$B$45,0)</f>
        <v>0</v>
      </c>
      <c r="Z157">
        <f>IF('Calculations PJ'!Z157&lt;&gt;0,'Calculations PJ'!Z157*About!$B$45,0)</f>
        <v>0</v>
      </c>
      <c r="AA157">
        <f>IF('Calculations PJ'!AA157&lt;&gt;0,'Calculations PJ'!AA157*About!$B$45,0)</f>
        <v>0</v>
      </c>
      <c r="AB157">
        <f>IF('Calculations PJ'!AB157&lt;&gt;0,'Calculations PJ'!AB157*About!$B$45,0)</f>
        <v>0</v>
      </c>
      <c r="AC157">
        <f>IF('Calculations PJ'!AC157&lt;&gt;0,'Calculations PJ'!AC157*About!$B$45,0)</f>
        <v>0</v>
      </c>
      <c r="AD157">
        <f>IF('Calculations PJ'!AD157&lt;&gt;0,'Calculations PJ'!AD157*About!$B$45,0)</f>
        <v>0</v>
      </c>
      <c r="AE157">
        <f>IF('Calculations PJ'!AE157&lt;&gt;0,'Calculations PJ'!AE157*About!$B$45,0)</f>
        <v>0</v>
      </c>
      <c r="AF157">
        <f>IF('Calculations PJ'!AF157&lt;&gt;0,'Calculations PJ'!AF157*About!$B$45,0)</f>
        <v>0</v>
      </c>
      <c r="AG157">
        <f>IF('Calculations PJ'!AG157&lt;&gt;0,'Calculations PJ'!AG157*About!$B$45,0)</f>
        <v>0</v>
      </c>
      <c r="AH157">
        <f>IF('Calculations PJ'!AH157&lt;&gt;0,'Calculations PJ'!AH157*About!$B$45,0)</f>
        <v>0</v>
      </c>
      <c r="AI157">
        <f>IF('Calculations PJ'!AI157&lt;&gt;0,'Calculations PJ'!AI157*About!$B$45,0)</f>
        <v>0</v>
      </c>
      <c r="AJ157">
        <f>IF('Calculations PJ'!AJ157&lt;&gt;0,'Calculations PJ'!AJ157*About!$B$45,0)</f>
        <v>0</v>
      </c>
      <c r="AK157">
        <f>IF('Calculations PJ'!AK157&lt;&gt;0,'Calculations PJ'!AK157*About!$B$45,0)</f>
        <v>0</v>
      </c>
      <c r="AL157">
        <f>IF('Calculations PJ'!AL157&lt;&gt;0,'Calculations PJ'!AL157*About!$B$45,0)</f>
        <v>0</v>
      </c>
      <c r="AM157">
        <f>IF('Calculations PJ'!AM157&lt;&gt;0,'Calculations PJ'!AM157*About!$B$45,0)</f>
        <v>0</v>
      </c>
      <c r="AN157">
        <f>IF('Calculations PJ'!AN157&lt;&gt;0,'Calculations PJ'!AN157*About!$B$45,0)</f>
        <v>0</v>
      </c>
      <c r="AO157">
        <f>IF('Calculations PJ'!AO157&lt;&gt;0,'Calculations PJ'!AO157*About!$B$45,0)</f>
        <v>0</v>
      </c>
      <c r="AP157">
        <f>IF('Calculations PJ'!AP157&lt;&gt;0,'Calculations PJ'!AP157*About!$B$45,0)</f>
        <v>0</v>
      </c>
      <c r="AQ157">
        <f>IF('Calculations PJ'!AQ157&lt;&gt;0,'Calculations PJ'!AQ157*About!$B$45,0)</f>
        <v>0</v>
      </c>
      <c r="AR157">
        <f>IF('Calculations PJ'!AR157&lt;&gt;0,'Calculations PJ'!AR157*About!$B$45,0)</f>
        <v>0</v>
      </c>
      <c r="AS157">
        <f>IF('Calculations PJ'!AS157&lt;&gt;0,'Calculations PJ'!AS157*About!$B$45,0)</f>
        <v>0</v>
      </c>
      <c r="AT157">
        <f>IF('Calculations PJ'!AT157&lt;&gt;0,'Calculations PJ'!AT157*About!$B$45,0)</f>
        <v>0</v>
      </c>
      <c r="AU157">
        <f>IF('Calculations PJ'!AU157&lt;&gt;0,'Calculations PJ'!AU157*About!$B$45,0)</f>
        <v>0</v>
      </c>
      <c r="AV157">
        <f>IF('Calculations PJ'!AV157&lt;&gt;0,'Calculations PJ'!AV157*About!$B$45,0)</f>
        <v>0</v>
      </c>
      <c r="AW157">
        <f>IF('Calculations PJ'!AW157&lt;&gt;0,'Calculations PJ'!AW157*About!$B$45,0)</f>
        <v>0</v>
      </c>
      <c r="AX157">
        <f>IF('Calculations PJ'!AX157&lt;&gt;0,'Calculations PJ'!AX157*About!$B$45,0)</f>
        <v>0</v>
      </c>
      <c r="AY157">
        <f>IF('Calculations PJ'!AY157&lt;&gt;0,'Calculations PJ'!AY157*About!$B$45,0)</f>
        <v>0</v>
      </c>
      <c r="AZ157">
        <f>IF('Calculations PJ'!AZ157&lt;&gt;0,'Calculations PJ'!AZ157*About!$B$45,0)</f>
        <v>0</v>
      </c>
      <c r="BA157">
        <f>IF('Calculations PJ'!BA157&lt;&gt;0,'Calculations PJ'!BA157*About!$B$45,0)</f>
        <v>0</v>
      </c>
      <c r="BB157">
        <f>IF('Calculations PJ'!BB157&lt;&gt;0,'Calculations PJ'!BB157*About!$B$45,0)</f>
        <v>0</v>
      </c>
      <c r="BC157">
        <f>IF('Calculations PJ'!BC157&lt;&gt;0,'Calculations PJ'!BC157*About!$B$45,0)</f>
        <v>0</v>
      </c>
      <c r="BD157">
        <f>IF('Calculations PJ'!BD157&lt;&gt;0,'Calculations PJ'!BD157*About!$B$45,0)</f>
        <v>0</v>
      </c>
      <c r="BE157">
        <f>IF('Calculations PJ'!BE157&lt;&gt;0,'Calculations PJ'!BE157*About!$B$45,0)</f>
        <v>0</v>
      </c>
      <c r="BF157">
        <f>IF('Calculations PJ'!BF157&lt;&gt;0,'Calculations PJ'!BF157*About!$B$45,0)</f>
        <v>0</v>
      </c>
      <c r="BG157">
        <f>IF('Calculations PJ'!BG157&lt;&gt;0,'Calculations PJ'!BG157*About!$B$45,0)</f>
        <v>0</v>
      </c>
      <c r="BH157">
        <f>IF('Calculations PJ'!BH157&lt;&gt;0,'Calculations PJ'!BH157*About!$B$45,0)</f>
        <v>0</v>
      </c>
    </row>
    <row r="158" spans="1:60" collapsed="1">
      <c r="A158" t="s">
        <v>156</v>
      </c>
      <c r="C158">
        <f>SUM(C159:C183)</f>
        <v>272289053421305.19</v>
      </c>
      <c r="D158">
        <f t="shared" ref="D158:BH158" si="6">SUM(D159:D183)</f>
        <v>261170571891596</v>
      </c>
      <c r="E158">
        <f t="shared" si="6"/>
        <v>195104232367236.97</v>
      </c>
      <c r="F158">
        <f t="shared" si="6"/>
        <v>201914657754360.53</v>
      </c>
      <c r="G158">
        <f t="shared" si="6"/>
        <v>220909915201536.28</v>
      </c>
      <c r="H158">
        <f t="shared" si="6"/>
        <v>155924144214591.97</v>
      </c>
      <c r="I158">
        <f t="shared" si="6"/>
        <v>172687174551582.91</v>
      </c>
      <c r="J158">
        <f t="shared" si="6"/>
        <v>151483386672674.66</v>
      </c>
      <c r="K158">
        <f t="shared" si="6"/>
        <v>201824610376242.81</v>
      </c>
      <c r="L158">
        <f t="shared" si="6"/>
        <v>194734385613964.56</v>
      </c>
      <c r="M158">
        <f t="shared" si="6"/>
        <v>197391701707527.28</v>
      </c>
      <c r="N158">
        <f t="shared" si="6"/>
        <v>201244621699659.75</v>
      </c>
      <c r="O158">
        <f t="shared" si="6"/>
        <v>204858016143595.25</v>
      </c>
      <c r="P158">
        <f t="shared" si="6"/>
        <v>210043542820326.38</v>
      </c>
      <c r="Q158">
        <f t="shared" si="6"/>
        <v>216888903317667.25</v>
      </c>
      <c r="R158">
        <f t="shared" si="6"/>
        <v>221081008235128.28</v>
      </c>
      <c r="S158">
        <f t="shared" si="6"/>
        <v>223342924522172.47</v>
      </c>
      <c r="T158">
        <f t="shared" si="6"/>
        <v>225435460009776.75</v>
      </c>
      <c r="U158">
        <f t="shared" si="6"/>
        <v>227377470636664.06</v>
      </c>
      <c r="V158">
        <f t="shared" si="6"/>
        <v>229163167172487.13</v>
      </c>
      <c r="W158">
        <f t="shared" si="6"/>
        <v>230773650018696.31</v>
      </c>
      <c r="X158">
        <f t="shared" si="6"/>
        <v>232004448446747.09</v>
      </c>
      <c r="Y158">
        <f t="shared" si="6"/>
        <v>232904470103042.78</v>
      </c>
      <c r="Z158">
        <f t="shared" si="6"/>
        <v>233436484106148.88</v>
      </c>
      <c r="AA158">
        <f t="shared" si="6"/>
        <v>233622031394647.25</v>
      </c>
      <c r="AB158">
        <f t="shared" si="6"/>
        <v>233822356290924.88</v>
      </c>
      <c r="AC158">
        <f t="shared" si="6"/>
        <v>234029299620161.53</v>
      </c>
      <c r="AD158">
        <f t="shared" si="6"/>
        <v>234202942895492.75</v>
      </c>
      <c r="AE158">
        <f t="shared" si="6"/>
        <v>234408174769101.31</v>
      </c>
      <c r="AF158">
        <f t="shared" si="6"/>
        <v>234588880761642.97</v>
      </c>
      <c r="AG158">
        <f t="shared" si="6"/>
        <v>234809214517020.72</v>
      </c>
      <c r="AH158">
        <f t="shared" si="6"/>
        <v>234994822793087.63</v>
      </c>
      <c r="AI158">
        <f t="shared" si="6"/>
        <v>235206564098685.06</v>
      </c>
      <c r="AJ158">
        <f t="shared" si="6"/>
        <v>235400388568567.28</v>
      </c>
      <c r="AK158">
        <f t="shared" si="6"/>
        <v>235576971119898.81</v>
      </c>
      <c r="AL158">
        <f t="shared" si="6"/>
        <v>235793225096852.16</v>
      </c>
      <c r="AM158">
        <f t="shared" si="6"/>
        <v>235975886877337.81</v>
      </c>
      <c r="AN158">
        <f t="shared" si="6"/>
        <v>236153524017128.5</v>
      </c>
      <c r="AO158">
        <f t="shared" si="6"/>
        <v>236153524017128.5</v>
      </c>
      <c r="AP158">
        <f t="shared" si="6"/>
        <v>236153524017128.5</v>
      </c>
      <c r="AQ158">
        <f t="shared" si="6"/>
        <v>236153524017128.5</v>
      </c>
      <c r="AR158">
        <f t="shared" si="6"/>
        <v>236153524017128.5</v>
      </c>
      <c r="AS158">
        <f t="shared" si="6"/>
        <v>236153524017128.5</v>
      </c>
      <c r="AT158">
        <f t="shared" si="6"/>
        <v>236153524017128.5</v>
      </c>
      <c r="AU158">
        <f t="shared" si="6"/>
        <v>236153524017128.5</v>
      </c>
      <c r="AV158">
        <f t="shared" si="6"/>
        <v>236153524017128.5</v>
      </c>
      <c r="AW158">
        <f t="shared" si="6"/>
        <v>236153524017128.5</v>
      </c>
      <c r="AX158">
        <f t="shared" si="6"/>
        <v>236153524017128.5</v>
      </c>
      <c r="AY158">
        <f t="shared" si="6"/>
        <v>236153524017128.5</v>
      </c>
      <c r="AZ158">
        <f t="shared" si="6"/>
        <v>236153524017128.5</v>
      </c>
      <c r="BA158">
        <f t="shared" si="6"/>
        <v>236153524017128.5</v>
      </c>
      <c r="BB158">
        <f t="shared" si="6"/>
        <v>236153524017128.5</v>
      </c>
      <c r="BC158">
        <f t="shared" si="6"/>
        <v>236153524017128.5</v>
      </c>
      <c r="BD158">
        <f t="shared" si="6"/>
        <v>236153524017128.5</v>
      </c>
      <c r="BE158">
        <f t="shared" si="6"/>
        <v>236153524017128.5</v>
      </c>
      <c r="BF158">
        <f t="shared" si="6"/>
        <v>236153524017128.5</v>
      </c>
      <c r="BG158">
        <f t="shared" si="6"/>
        <v>236153524017128.5</v>
      </c>
      <c r="BH158">
        <f t="shared" si="6"/>
        <v>236153524017128.5</v>
      </c>
    </row>
    <row r="159" spans="1:60" hidden="1" outlineLevel="1">
      <c r="B159" t="s">
        <v>126</v>
      </c>
      <c r="C159">
        <f>IF('Calculations PJ'!C159&lt;&gt;0,'Calculations PJ'!C159*About!$B$45,0)</f>
        <v>0</v>
      </c>
      <c r="D159">
        <f>IF('Calculations PJ'!D159&lt;&gt;0,'Calculations PJ'!D159*About!$B$45,0)</f>
        <v>0</v>
      </c>
      <c r="E159">
        <f>IF('Calculations PJ'!E159&lt;&gt;0,'Calculations PJ'!E159*About!$B$45,0)</f>
        <v>0</v>
      </c>
      <c r="F159">
        <f>IF('Calculations PJ'!F159&lt;&gt;0,'Calculations PJ'!F159*About!$B$45,0)</f>
        <v>0</v>
      </c>
      <c r="G159">
        <f>IF('Calculations PJ'!G159&lt;&gt;0,'Calculations PJ'!G159*About!$B$45,0)</f>
        <v>0</v>
      </c>
      <c r="H159">
        <f>IF('Calculations PJ'!H159&lt;&gt;0,'Calculations PJ'!H159*About!$B$45,0)</f>
        <v>0</v>
      </c>
      <c r="I159">
        <f>IF('Calculations PJ'!I159&lt;&gt;0,'Calculations PJ'!I159*About!$B$45,0)</f>
        <v>0</v>
      </c>
      <c r="J159">
        <f>IF('Calculations PJ'!J159&lt;&gt;0,'Calculations PJ'!J159*About!$B$45,0)</f>
        <v>0</v>
      </c>
      <c r="K159">
        <f>IF('Calculations PJ'!K159&lt;&gt;0,'Calculations PJ'!K159*About!$B$45,0)</f>
        <v>0</v>
      </c>
      <c r="L159">
        <f>IF('Calculations PJ'!L159&lt;&gt;0,'Calculations PJ'!L159*About!$B$45,0)</f>
        <v>0</v>
      </c>
      <c r="M159">
        <f>IF('Calculations PJ'!M159&lt;&gt;0,'Calculations PJ'!M159*About!$B$45,0)</f>
        <v>0</v>
      </c>
      <c r="N159">
        <f>IF('Calculations PJ'!N159&lt;&gt;0,'Calculations PJ'!N159*About!$B$45,0)</f>
        <v>0</v>
      </c>
      <c r="O159">
        <f>IF('Calculations PJ'!O159&lt;&gt;0,'Calculations PJ'!O159*About!$B$45,0)</f>
        <v>0</v>
      </c>
      <c r="P159">
        <f>IF('Calculations PJ'!P159&lt;&gt;0,'Calculations PJ'!P159*About!$B$45,0)</f>
        <v>0</v>
      </c>
      <c r="Q159">
        <f>IF('Calculations PJ'!Q159&lt;&gt;0,'Calculations PJ'!Q159*About!$B$45,0)</f>
        <v>0</v>
      </c>
      <c r="R159">
        <f>IF('Calculations PJ'!R159&lt;&gt;0,'Calculations PJ'!R159*About!$B$45,0)</f>
        <v>0</v>
      </c>
      <c r="S159">
        <f>IF('Calculations PJ'!S159&lt;&gt;0,'Calculations PJ'!S159*About!$B$45,0)</f>
        <v>0</v>
      </c>
      <c r="T159">
        <f>IF('Calculations PJ'!T159&lt;&gt;0,'Calculations PJ'!T159*About!$B$45,0)</f>
        <v>0</v>
      </c>
      <c r="U159">
        <f>IF('Calculations PJ'!U159&lt;&gt;0,'Calculations PJ'!U159*About!$B$45,0)</f>
        <v>0</v>
      </c>
      <c r="V159">
        <f>IF('Calculations PJ'!V159&lt;&gt;0,'Calculations PJ'!V159*About!$B$45,0)</f>
        <v>0</v>
      </c>
      <c r="W159">
        <f>IF('Calculations PJ'!W159&lt;&gt;0,'Calculations PJ'!W159*About!$B$45,0)</f>
        <v>0</v>
      </c>
      <c r="X159">
        <f>IF('Calculations PJ'!X159&lt;&gt;0,'Calculations PJ'!X159*About!$B$45,0)</f>
        <v>0</v>
      </c>
      <c r="Y159">
        <f>IF('Calculations PJ'!Y159&lt;&gt;0,'Calculations PJ'!Y159*About!$B$45,0)</f>
        <v>0</v>
      </c>
      <c r="Z159">
        <f>IF('Calculations PJ'!Z159&lt;&gt;0,'Calculations PJ'!Z159*About!$B$45,0)</f>
        <v>0</v>
      </c>
      <c r="AA159">
        <f>IF('Calculations PJ'!AA159&lt;&gt;0,'Calculations PJ'!AA159*About!$B$45,0)</f>
        <v>0</v>
      </c>
      <c r="AB159">
        <f>IF('Calculations PJ'!AB159&lt;&gt;0,'Calculations PJ'!AB159*About!$B$45,0)</f>
        <v>0</v>
      </c>
      <c r="AC159">
        <f>IF('Calculations PJ'!AC159&lt;&gt;0,'Calculations PJ'!AC159*About!$B$45,0)</f>
        <v>0</v>
      </c>
      <c r="AD159">
        <f>IF('Calculations PJ'!AD159&lt;&gt;0,'Calculations PJ'!AD159*About!$B$45,0)</f>
        <v>0</v>
      </c>
      <c r="AE159">
        <f>IF('Calculations PJ'!AE159&lt;&gt;0,'Calculations PJ'!AE159*About!$B$45,0)</f>
        <v>0</v>
      </c>
      <c r="AF159">
        <f>IF('Calculations PJ'!AF159&lt;&gt;0,'Calculations PJ'!AF159*About!$B$45,0)</f>
        <v>0</v>
      </c>
      <c r="AG159">
        <f>IF('Calculations PJ'!AG159&lt;&gt;0,'Calculations PJ'!AG159*About!$B$45,0)</f>
        <v>0</v>
      </c>
      <c r="AH159">
        <f>IF('Calculations PJ'!AH159&lt;&gt;0,'Calculations PJ'!AH159*About!$B$45,0)</f>
        <v>0</v>
      </c>
      <c r="AI159">
        <f>IF('Calculations PJ'!AI159&lt;&gt;0,'Calculations PJ'!AI159*About!$B$45,0)</f>
        <v>0</v>
      </c>
      <c r="AJ159">
        <f>IF('Calculations PJ'!AJ159&lt;&gt;0,'Calculations PJ'!AJ159*About!$B$45,0)</f>
        <v>0</v>
      </c>
      <c r="AK159">
        <f>IF('Calculations PJ'!AK159&lt;&gt;0,'Calculations PJ'!AK159*About!$B$45,0)</f>
        <v>0</v>
      </c>
      <c r="AL159">
        <f>IF('Calculations PJ'!AL159&lt;&gt;0,'Calculations PJ'!AL159*About!$B$45,0)</f>
        <v>0</v>
      </c>
      <c r="AM159">
        <f>IF('Calculations PJ'!AM159&lt;&gt;0,'Calculations PJ'!AM159*About!$B$45,0)</f>
        <v>0</v>
      </c>
      <c r="AN159">
        <f>IF('Calculations PJ'!AN159&lt;&gt;0,'Calculations PJ'!AN159*About!$B$45,0)</f>
        <v>0</v>
      </c>
      <c r="AO159">
        <f>IF('Calculations PJ'!AO159&lt;&gt;0,'Calculations PJ'!AO159*About!$B$45,0)</f>
        <v>0</v>
      </c>
      <c r="AP159">
        <f>IF('Calculations PJ'!AP159&lt;&gt;0,'Calculations PJ'!AP159*About!$B$45,0)</f>
        <v>0</v>
      </c>
      <c r="AQ159">
        <f>IF('Calculations PJ'!AQ159&lt;&gt;0,'Calculations PJ'!AQ159*About!$B$45,0)</f>
        <v>0</v>
      </c>
      <c r="AR159">
        <f>IF('Calculations PJ'!AR159&lt;&gt;0,'Calculations PJ'!AR159*About!$B$45,0)</f>
        <v>0</v>
      </c>
      <c r="AS159">
        <f>IF('Calculations PJ'!AS159&lt;&gt;0,'Calculations PJ'!AS159*About!$B$45,0)</f>
        <v>0</v>
      </c>
      <c r="AT159">
        <f>IF('Calculations PJ'!AT159&lt;&gt;0,'Calculations PJ'!AT159*About!$B$45,0)</f>
        <v>0</v>
      </c>
      <c r="AU159">
        <f>IF('Calculations PJ'!AU159&lt;&gt;0,'Calculations PJ'!AU159*About!$B$45,0)</f>
        <v>0</v>
      </c>
      <c r="AV159">
        <f>IF('Calculations PJ'!AV159&lt;&gt;0,'Calculations PJ'!AV159*About!$B$45,0)</f>
        <v>0</v>
      </c>
      <c r="AW159">
        <f>IF('Calculations PJ'!AW159&lt;&gt;0,'Calculations PJ'!AW159*About!$B$45,0)</f>
        <v>0</v>
      </c>
      <c r="AX159">
        <f>IF('Calculations PJ'!AX159&lt;&gt;0,'Calculations PJ'!AX159*About!$B$45,0)</f>
        <v>0</v>
      </c>
      <c r="AY159">
        <f>IF('Calculations PJ'!AY159&lt;&gt;0,'Calculations PJ'!AY159*About!$B$45,0)</f>
        <v>0</v>
      </c>
      <c r="AZ159">
        <f>IF('Calculations PJ'!AZ159&lt;&gt;0,'Calculations PJ'!AZ159*About!$B$45,0)</f>
        <v>0</v>
      </c>
      <c r="BA159">
        <f>IF('Calculations PJ'!BA159&lt;&gt;0,'Calculations PJ'!BA159*About!$B$45,0)</f>
        <v>0</v>
      </c>
      <c r="BB159">
        <f>IF('Calculations PJ'!BB159&lt;&gt;0,'Calculations PJ'!BB159*About!$B$45,0)</f>
        <v>0</v>
      </c>
      <c r="BC159">
        <f>IF('Calculations PJ'!BC159&lt;&gt;0,'Calculations PJ'!BC159*About!$B$45,0)</f>
        <v>0</v>
      </c>
      <c r="BD159">
        <f>IF('Calculations PJ'!BD159&lt;&gt;0,'Calculations PJ'!BD159*About!$B$45,0)</f>
        <v>0</v>
      </c>
      <c r="BE159">
        <f>IF('Calculations PJ'!BE159&lt;&gt;0,'Calculations PJ'!BE159*About!$B$45,0)</f>
        <v>0</v>
      </c>
      <c r="BF159">
        <f>IF('Calculations PJ'!BF159&lt;&gt;0,'Calculations PJ'!BF159*About!$B$45,0)</f>
        <v>0</v>
      </c>
      <c r="BG159">
        <f>IF('Calculations PJ'!BG159&lt;&gt;0,'Calculations PJ'!BG159*About!$B$45,0)</f>
        <v>0</v>
      </c>
      <c r="BH159">
        <f>IF('Calculations PJ'!BH159&lt;&gt;0,'Calculations PJ'!BH159*About!$B$45,0)</f>
        <v>0</v>
      </c>
    </row>
    <row r="160" spans="1:60" hidden="1" outlineLevel="1">
      <c r="B160" t="s">
        <v>127</v>
      </c>
      <c r="C160">
        <f>IF('Calculations PJ'!C160&lt;&gt;0,'Calculations PJ'!C160*About!$B$45,0)</f>
        <v>317061557688.63788</v>
      </c>
      <c r="D160">
        <f>IF('Calculations PJ'!D160&lt;&gt;0,'Calculations PJ'!D160*About!$B$45,0)</f>
        <v>314217956274.39001</v>
      </c>
      <c r="E160">
        <f>IF('Calculations PJ'!E160&lt;&gt;0,'Calculations PJ'!E160*About!$B$45,0)</f>
        <v>295734547081.77887</v>
      </c>
      <c r="F160">
        <f>IF('Calculations PJ'!F160&lt;&gt;0,'Calculations PJ'!F160*About!$B$45,0)</f>
        <v>287203742839.03522</v>
      </c>
      <c r="G160">
        <f>IF('Calculations PJ'!G160&lt;&gt;0,'Calculations PJ'!G160*About!$B$45,0)</f>
        <v>271563935060.67191</v>
      </c>
      <c r="H160">
        <f>IF('Calculations PJ'!H160&lt;&gt;0,'Calculations PJ'!H160*About!$B$45,0)</f>
        <v>270142134353.54797</v>
      </c>
      <c r="I160">
        <f>IF('Calculations PJ'!I160&lt;&gt;0,'Calculations PJ'!I160*About!$B$45,0)</f>
        <v>274407536474.91977</v>
      </c>
      <c r="J160">
        <f>IF('Calculations PJ'!J160&lt;&gt;0,'Calculations PJ'!J160*About!$B$45,0)</f>
        <v>257345927989.43259</v>
      </c>
      <c r="K160">
        <f>IF('Calculations PJ'!K160&lt;&gt;0,'Calculations PJ'!K160*About!$B$45,0)</f>
        <v>317061557688.63788</v>
      </c>
      <c r="L160">
        <f>IF('Calculations PJ'!L160&lt;&gt;0,'Calculations PJ'!L160*About!$B$45,0)</f>
        <v>307108952738.77032</v>
      </c>
      <c r="M160">
        <f>IF('Calculations PJ'!M160&lt;&gt;0,'Calculations PJ'!M160*About!$B$45,0)</f>
        <v>295734547081.77887</v>
      </c>
      <c r="N160">
        <f>IF('Calculations PJ'!N160&lt;&gt;0,'Calculations PJ'!N160*About!$B$45,0)</f>
        <v>284360141424.78735</v>
      </c>
      <c r="O160">
        <f>IF('Calculations PJ'!O160&lt;&gt;0,'Calculations PJ'!O160*About!$B$45,0)</f>
        <v>274407536474.91977</v>
      </c>
      <c r="P160">
        <f>IF('Calculations PJ'!P160&lt;&gt;0,'Calculations PJ'!P160*About!$B$45,0)</f>
        <v>263033130817.92831</v>
      </c>
      <c r="Q160">
        <f>IF('Calculations PJ'!Q160&lt;&gt;0,'Calculations PJ'!Q160*About!$B$45,0)</f>
        <v>251658725160.93683</v>
      </c>
      <c r="R160">
        <f>IF('Calculations PJ'!R160&lt;&gt;0,'Calculations PJ'!R160*About!$B$45,0)</f>
        <v>241706120211.06924</v>
      </c>
      <c r="S160">
        <f>IF('Calculations PJ'!S160&lt;&gt;0,'Calculations PJ'!S160*About!$B$45,0)</f>
        <v>230331714554.07776</v>
      </c>
      <c r="T160">
        <f>IF('Calculations PJ'!T160&lt;&gt;0,'Calculations PJ'!T160*About!$B$45,0)</f>
        <v>218957308897.08624</v>
      </c>
      <c r="U160">
        <f>IF('Calculations PJ'!U160&lt;&gt;0,'Calculations PJ'!U160*About!$B$45,0)</f>
        <v>207582903240.09476</v>
      </c>
      <c r="V160">
        <f>IF('Calculations PJ'!V160&lt;&gt;0,'Calculations PJ'!V160*About!$B$45,0)</f>
        <v>197630298290.2272</v>
      </c>
      <c r="W160">
        <f>IF('Calculations PJ'!W160&lt;&gt;0,'Calculations PJ'!W160*About!$B$45,0)</f>
        <v>186255892633.23572</v>
      </c>
      <c r="X160">
        <f>IF('Calculations PJ'!X160&lt;&gt;0,'Calculations PJ'!X160*About!$B$45,0)</f>
        <v>174881486976.24423</v>
      </c>
      <c r="Y160">
        <f>IF('Calculations PJ'!Y160&lt;&gt;0,'Calculations PJ'!Y160*About!$B$45,0)</f>
        <v>164928882026.37665</v>
      </c>
      <c r="Z160">
        <f>IF('Calculations PJ'!Z160&lt;&gt;0,'Calculations PJ'!Z160*About!$B$45,0)</f>
        <v>153554476369.38516</v>
      </c>
      <c r="AA160">
        <f>IF('Calculations PJ'!AA160&lt;&gt;0,'Calculations PJ'!AA160*About!$B$45,0)</f>
        <v>142180070712.39368</v>
      </c>
      <c r="AB160">
        <f>IF('Calculations PJ'!AB160&lt;&gt;0,'Calculations PJ'!AB160*About!$B$45,0)</f>
        <v>130805665055.40219</v>
      </c>
      <c r="AC160">
        <f>IF('Calculations PJ'!AC160&lt;&gt;0,'Calculations PJ'!AC160*About!$B$45,0)</f>
        <v>120853060105.53462</v>
      </c>
      <c r="AD160">
        <f>IF('Calculations PJ'!AD160&lt;&gt;0,'Calculations PJ'!AD160*About!$B$45,0)</f>
        <v>109478654448.54312</v>
      </c>
      <c r="AE160">
        <f>IF('Calculations PJ'!AE160&lt;&gt;0,'Calculations PJ'!AE160*About!$B$45,0)</f>
        <v>98104248791.551636</v>
      </c>
      <c r="AF160">
        <f>IF('Calculations PJ'!AF160&lt;&gt;0,'Calculations PJ'!AF160*About!$B$45,0)</f>
        <v>88151643841.684082</v>
      </c>
      <c r="AG160">
        <f>IF('Calculations PJ'!AG160&lt;&gt;0,'Calculations PJ'!AG160*About!$B$45,0)</f>
        <v>76777238184.692581</v>
      </c>
      <c r="AH160">
        <f>IF('Calculations PJ'!AH160&lt;&gt;0,'Calculations PJ'!AH160*About!$B$45,0)</f>
        <v>65402832527.701096</v>
      </c>
      <c r="AI160">
        <f>IF('Calculations PJ'!AI160&lt;&gt;0,'Calculations PJ'!AI160*About!$B$45,0)</f>
        <v>55450227577.833534</v>
      </c>
      <c r="AJ160">
        <f>IF('Calculations PJ'!AJ160&lt;&gt;0,'Calculations PJ'!AJ160*About!$B$45,0)</f>
        <v>44075821920.842041</v>
      </c>
      <c r="AK160">
        <f>IF('Calculations PJ'!AK160&lt;&gt;0,'Calculations PJ'!AK160*About!$B$45,0)</f>
        <v>32701416263.850548</v>
      </c>
      <c r="AL160">
        <f>IF('Calculations PJ'!AL160&lt;&gt;0,'Calculations PJ'!AL160*About!$B$45,0)</f>
        <v>21327010606.859051</v>
      </c>
      <c r="AM160">
        <f>IF('Calculations PJ'!AM160&lt;&gt;0,'Calculations PJ'!AM160*About!$B$45,0)</f>
        <v>11374405656.991495</v>
      </c>
      <c r="AN160">
        <f>IF('Calculations PJ'!AN160&lt;&gt;0,'Calculations PJ'!AN160*About!$B$45,0)</f>
        <v>0</v>
      </c>
      <c r="AO160">
        <f>IF('Calculations PJ'!AO160&lt;&gt;0,'Calculations PJ'!AO160*About!$B$45,0)</f>
        <v>0</v>
      </c>
      <c r="AP160">
        <f>IF('Calculations PJ'!AP160&lt;&gt;0,'Calculations PJ'!AP160*About!$B$45,0)</f>
        <v>0</v>
      </c>
      <c r="AQ160">
        <f>IF('Calculations PJ'!AQ160&lt;&gt;0,'Calculations PJ'!AQ160*About!$B$45,0)</f>
        <v>0</v>
      </c>
      <c r="AR160">
        <f>IF('Calculations PJ'!AR160&lt;&gt;0,'Calculations PJ'!AR160*About!$B$45,0)</f>
        <v>0</v>
      </c>
      <c r="AS160">
        <f>IF('Calculations PJ'!AS160&lt;&gt;0,'Calculations PJ'!AS160*About!$B$45,0)</f>
        <v>0</v>
      </c>
      <c r="AT160">
        <f>IF('Calculations PJ'!AT160&lt;&gt;0,'Calculations PJ'!AT160*About!$B$45,0)</f>
        <v>0</v>
      </c>
      <c r="AU160">
        <f>IF('Calculations PJ'!AU160&lt;&gt;0,'Calculations PJ'!AU160*About!$B$45,0)</f>
        <v>0</v>
      </c>
      <c r="AV160">
        <f>IF('Calculations PJ'!AV160&lt;&gt;0,'Calculations PJ'!AV160*About!$B$45,0)</f>
        <v>0</v>
      </c>
      <c r="AW160">
        <f>IF('Calculations PJ'!AW160&lt;&gt;0,'Calculations PJ'!AW160*About!$B$45,0)</f>
        <v>0</v>
      </c>
      <c r="AX160">
        <f>IF('Calculations PJ'!AX160&lt;&gt;0,'Calculations PJ'!AX160*About!$B$45,0)</f>
        <v>0</v>
      </c>
      <c r="AY160">
        <f>IF('Calculations PJ'!AY160&lt;&gt;0,'Calculations PJ'!AY160*About!$B$45,0)</f>
        <v>0</v>
      </c>
      <c r="AZ160">
        <f>IF('Calculations PJ'!AZ160&lt;&gt;0,'Calculations PJ'!AZ160*About!$B$45,0)</f>
        <v>0</v>
      </c>
      <c r="BA160">
        <f>IF('Calculations PJ'!BA160&lt;&gt;0,'Calculations PJ'!BA160*About!$B$45,0)</f>
        <v>0</v>
      </c>
      <c r="BB160">
        <f>IF('Calculations PJ'!BB160&lt;&gt;0,'Calculations PJ'!BB160*About!$B$45,0)</f>
        <v>0</v>
      </c>
      <c r="BC160">
        <f>IF('Calculations PJ'!BC160&lt;&gt;0,'Calculations PJ'!BC160*About!$B$45,0)</f>
        <v>0</v>
      </c>
      <c r="BD160">
        <f>IF('Calculations PJ'!BD160&lt;&gt;0,'Calculations PJ'!BD160*About!$B$45,0)</f>
        <v>0</v>
      </c>
      <c r="BE160">
        <f>IF('Calculations PJ'!BE160&lt;&gt;0,'Calculations PJ'!BE160*About!$B$45,0)</f>
        <v>0</v>
      </c>
      <c r="BF160">
        <f>IF('Calculations PJ'!BF160&lt;&gt;0,'Calculations PJ'!BF160*About!$B$45,0)</f>
        <v>0</v>
      </c>
      <c r="BG160">
        <f>IF('Calculations PJ'!BG160&lt;&gt;0,'Calculations PJ'!BG160*About!$B$45,0)</f>
        <v>0</v>
      </c>
      <c r="BH160">
        <f>IF('Calculations PJ'!BH160&lt;&gt;0,'Calculations PJ'!BH160*About!$B$45,0)</f>
        <v>0</v>
      </c>
    </row>
    <row r="161" spans="2:60" hidden="1" outlineLevel="1">
      <c r="B161" t="s">
        <v>128</v>
      </c>
      <c r="C161">
        <f>IF('Calculations PJ'!C161&lt;&gt;0,'Calculations PJ'!C161*About!$B$45,0)</f>
        <v>0</v>
      </c>
      <c r="D161">
        <f>IF('Calculations PJ'!D161&lt;&gt;0,'Calculations PJ'!D161*About!$B$45,0)</f>
        <v>0</v>
      </c>
      <c r="E161">
        <f>IF('Calculations PJ'!E161&lt;&gt;0,'Calculations PJ'!E161*About!$B$45,0)</f>
        <v>0</v>
      </c>
      <c r="F161">
        <f>IF('Calculations PJ'!F161&lt;&gt;0,'Calculations PJ'!F161*About!$B$45,0)</f>
        <v>0</v>
      </c>
      <c r="G161">
        <f>IF('Calculations PJ'!G161&lt;&gt;0,'Calculations PJ'!G161*About!$B$45,0)</f>
        <v>0</v>
      </c>
      <c r="H161">
        <f>IF('Calculations PJ'!H161&lt;&gt;0,'Calculations PJ'!H161*About!$B$45,0)</f>
        <v>0</v>
      </c>
      <c r="I161">
        <f>IF('Calculations PJ'!I161&lt;&gt;0,'Calculations PJ'!I161*About!$B$45,0)</f>
        <v>0</v>
      </c>
      <c r="J161">
        <f>IF('Calculations PJ'!J161&lt;&gt;0,'Calculations PJ'!J161*About!$B$45,0)</f>
        <v>0</v>
      </c>
      <c r="K161">
        <f>IF('Calculations PJ'!K161&lt;&gt;0,'Calculations PJ'!K161*About!$B$45,0)</f>
        <v>0</v>
      </c>
      <c r="L161">
        <f>IF('Calculations PJ'!L161&lt;&gt;0,'Calculations PJ'!L161*About!$B$45,0)</f>
        <v>0</v>
      </c>
      <c r="M161">
        <f>IF('Calculations PJ'!M161&lt;&gt;0,'Calculations PJ'!M161*About!$B$45,0)</f>
        <v>0</v>
      </c>
      <c r="N161">
        <f>IF('Calculations PJ'!N161&lt;&gt;0,'Calculations PJ'!N161*About!$B$45,0)</f>
        <v>0</v>
      </c>
      <c r="O161">
        <f>IF('Calculations PJ'!O161&lt;&gt;0,'Calculations PJ'!O161*About!$B$45,0)</f>
        <v>0</v>
      </c>
      <c r="P161">
        <f>IF('Calculations PJ'!P161&lt;&gt;0,'Calculations PJ'!P161*About!$B$45,0)</f>
        <v>0</v>
      </c>
      <c r="Q161">
        <f>IF('Calculations PJ'!Q161&lt;&gt;0,'Calculations PJ'!Q161*About!$B$45,0)</f>
        <v>0</v>
      </c>
      <c r="R161">
        <f>IF('Calculations PJ'!R161&lt;&gt;0,'Calculations PJ'!R161*About!$B$45,0)</f>
        <v>0</v>
      </c>
      <c r="S161">
        <f>IF('Calculations PJ'!S161&lt;&gt;0,'Calculations PJ'!S161*About!$B$45,0)</f>
        <v>0</v>
      </c>
      <c r="T161">
        <f>IF('Calculations PJ'!T161&lt;&gt;0,'Calculations PJ'!T161*About!$B$45,0)</f>
        <v>0</v>
      </c>
      <c r="U161">
        <f>IF('Calculations PJ'!U161&lt;&gt;0,'Calculations PJ'!U161*About!$B$45,0)</f>
        <v>0</v>
      </c>
      <c r="V161">
        <f>IF('Calculations PJ'!V161&lt;&gt;0,'Calculations PJ'!V161*About!$B$45,0)</f>
        <v>0</v>
      </c>
      <c r="W161">
        <f>IF('Calculations PJ'!W161&lt;&gt;0,'Calculations PJ'!W161*About!$B$45,0)</f>
        <v>0</v>
      </c>
      <c r="X161">
        <f>IF('Calculations PJ'!X161&lt;&gt;0,'Calculations PJ'!X161*About!$B$45,0)</f>
        <v>0</v>
      </c>
      <c r="Y161">
        <f>IF('Calculations PJ'!Y161&lt;&gt;0,'Calculations PJ'!Y161*About!$B$45,0)</f>
        <v>0</v>
      </c>
      <c r="Z161">
        <f>IF('Calculations PJ'!Z161&lt;&gt;0,'Calculations PJ'!Z161*About!$B$45,0)</f>
        <v>0</v>
      </c>
      <c r="AA161">
        <f>IF('Calculations PJ'!AA161&lt;&gt;0,'Calculations PJ'!AA161*About!$B$45,0)</f>
        <v>0</v>
      </c>
      <c r="AB161">
        <f>IF('Calculations PJ'!AB161&lt;&gt;0,'Calculations PJ'!AB161*About!$B$45,0)</f>
        <v>0</v>
      </c>
      <c r="AC161">
        <f>IF('Calculations PJ'!AC161&lt;&gt;0,'Calculations PJ'!AC161*About!$B$45,0)</f>
        <v>0</v>
      </c>
      <c r="AD161">
        <f>IF('Calculations PJ'!AD161&lt;&gt;0,'Calculations PJ'!AD161*About!$B$45,0)</f>
        <v>0</v>
      </c>
      <c r="AE161">
        <f>IF('Calculations PJ'!AE161&lt;&gt;0,'Calculations PJ'!AE161*About!$B$45,0)</f>
        <v>0</v>
      </c>
      <c r="AF161">
        <f>IF('Calculations PJ'!AF161&lt;&gt;0,'Calculations PJ'!AF161*About!$B$45,0)</f>
        <v>0</v>
      </c>
      <c r="AG161">
        <f>IF('Calculations PJ'!AG161&lt;&gt;0,'Calculations PJ'!AG161*About!$B$45,0)</f>
        <v>0</v>
      </c>
      <c r="AH161">
        <f>IF('Calculations PJ'!AH161&lt;&gt;0,'Calculations PJ'!AH161*About!$B$45,0)</f>
        <v>0</v>
      </c>
      <c r="AI161">
        <f>IF('Calculations PJ'!AI161&lt;&gt;0,'Calculations PJ'!AI161*About!$B$45,0)</f>
        <v>0</v>
      </c>
      <c r="AJ161">
        <f>IF('Calculations PJ'!AJ161&lt;&gt;0,'Calculations PJ'!AJ161*About!$B$45,0)</f>
        <v>0</v>
      </c>
      <c r="AK161">
        <f>IF('Calculations PJ'!AK161&lt;&gt;0,'Calculations PJ'!AK161*About!$B$45,0)</f>
        <v>0</v>
      </c>
      <c r="AL161">
        <f>IF('Calculations PJ'!AL161&lt;&gt;0,'Calculations PJ'!AL161*About!$B$45,0)</f>
        <v>0</v>
      </c>
      <c r="AM161">
        <f>IF('Calculations PJ'!AM161&lt;&gt;0,'Calculations PJ'!AM161*About!$B$45,0)</f>
        <v>0</v>
      </c>
      <c r="AN161">
        <f>IF('Calculations PJ'!AN161&lt;&gt;0,'Calculations PJ'!AN161*About!$B$45,0)</f>
        <v>0</v>
      </c>
      <c r="AO161">
        <f>IF('Calculations PJ'!AO161&lt;&gt;0,'Calculations PJ'!AO161*About!$B$45,0)</f>
        <v>0</v>
      </c>
      <c r="AP161">
        <f>IF('Calculations PJ'!AP161&lt;&gt;0,'Calculations PJ'!AP161*About!$B$45,0)</f>
        <v>0</v>
      </c>
      <c r="AQ161">
        <f>IF('Calculations PJ'!AQ161&lt;&gt;0,'Calculations PJ'!AQ161*About!$B$45,0)</f>
        <v>0</v>
      </c>
      <c r="AR161">
        <f>IF('Calculations PJ'!AR161&lt;&gt;0,'Calculations PJ'!AR161*About!$B$45,0)</f>
        <v>0</v>
      </c>
      <c r="AS161">
        <f>IF('Calculations PJ'!AS161&lt;&gt;0,'Calculations PJ'!AS161*About!$B$45,0)</f>
        <v>0</v>
      </c>
      <c r="AT161">
        <f>IF('Calculations PJ'!AT161&lt;&gt;0,'Calculations PJ'!AT161*About!$B$45,0)</f>
        <v>0</v>
      </c>
      <c r="AU161">
        <f>IF('Calculations PJ'!AU161&lt;&gt;0,'Calculations PJ'!AU161*About!$B$45,0)</f>
        <v>0</v>
      </c>
      <c r="AV161">
        <f>IF('Calculations PJ'!AV161&lt;&gt;0,'Calculations PJ'!AV161*About!$B$45,0)</f>
        <v>0</v>
      </c>
      <c r="AW161">
        <f>IF('Calculations PJ'!AW161&lt;&gt;0,'Calculations PJ'!AW161*About!$B$45,0)</f>
        <v>0</v>
      </c>
      <c r="AX161">
        <f>IF('Calculations PJ'!AX161&lt;&gt;0,'Calculations PJ'!AX161*About!$B$45,0)</f>
        <v>0</v>
      </c>
      <c r="AY161">
        <f>IF('Calculations PJ'!AY161&lt;&gt;0,'Calculations PJ'!AY161*About!$B$45,0)</f>
        <v>0</v>
      </c>
      <c r="AZ161">
        <f>IF('Calculations PJ'!AZ161&lt;&gt;0,'Calculations PJ'!AZ161*About!$B$45,0)</f>
        <v>0</v>
      </c>
      <c r="BA161">
        <f>IF('Calculations PJ'!BA161&lt;&gt;0,'Calculations PJ'!BA161*About!$B$45,0)</f>
        <v>0</v>
      </c>
      <c r="BB161">
        <f>IF('Calculations PJ'!BB161&lt;&gt;0,'Calculations PJ'!BB161*About!$B$45,0)</f>
        <v>0</v>
      </c>
      <c r="BC161">
        <f>IF('Calculations PJ'!BC161&lt;&gt;0,'Calculations PJ'!BC161*About!$B$45,0)</f>
        <v>0</v>
      </c>
      <c r="BD161">
        <f>IF('Calculations PJ'!BD161&lt;&gt;0,'Calculations PJ'!BD161*About!$B$45,0)</f>
        <v>0</v>
      </c>
      <c r="BE161">
        <f>IF('Calculations PJ'!BE161&lt;&gt;0,'Calculations PJ'!BE161*About!$B$45,0)</f>
        <v>0</v>
      </c>
      <c r="BF161">
        <f>IF('Calculations PJ'!BF161&lt;&gt;0,'Calculations PJ'!BF161*About!$B$45,0)</f>
        <v>0</v>
      </c>
      <c r="BG161">
        <f>IF('Calculations PJ'!BG161&lt;&gt;0,'Calculations PJ'!BG161*About!$B$45,0)</f>
        <v>0</v>
      </c>
      <c r="BH161">
        <f>IF('Calculations PJ'!BH161&lt;&gt;0,'Calculations PJ'!BH161*About!$B$45,0)</f>
        <v>0</v>
      </c>
    </row>
    <row r="162" spans="2:60" hidden="1" outlineLevel="1">
      <c r="B162" t="s">
        <v>129</v>
      </c>
      <c r="C162">
        <f>IF('Calculations PJ'!C162&lt;&gt;0,'Calculations PJ'!C162*About!$B$45,0)</f>
        <v>1796682160235.6147</v>
      </c>
      <c r="D162">
        <f>IF('Calculations PJ'!D162&lt;&gt;0,'Calculations PJ'!D162*About!$B$45,0)</f>
        <v>1780568418888.21</v>
      </c>
      <c r="E162">
        <f>IF('Calculations PJ'!E162&lt;&gt;0,'Calculations PJ'!E162*About!$B$45,0)</f>
        <v>1675829100130.0801</v>
      </c>
      <c r="F162">
        <f>IF('Calculations PJ'!F162&lt;&gt;0,'Calculations PJ'!F162*About!$B$45,0)</f>
        <v>1627487876087.8662</v>
      </c>
      <c r="G162">
        <f>IF('Calculations PJ'!G162&lt;&gt;0,'Calculations PJ'!G162*About!$B$45,0)</f>
        <v>1538862298677.1409</v>
      </c>
      <c r="H162">
        <f>IF('Calculations PJ'!H162&lt;&gt;0,'Calculations PJ'!H162*About!$B$45,0)</f>
        <v>1530805428003.4385</v>
      </c>
      <c r="I162">
        <f>IF('Calculations PJ'!I162&lt;&gt;0,'Calculations PJ'!I162*About!$B$45,0)</f>
        <v>1554976040024.5454</v>
      </c>
      <c r="J162">
        <f>IF('Calculations PJ'!J162&lt;&gt;0,'Calculations PJ'!J162*About!$B$45,0)</f>
        <v>1458293591940.1177</v>
      </c>
      <c r="K162">
        <f>IF('Calculations PJ'!K162&lt;&gt;0,'Calculations PJ'!K162*About!$B$45,0)</f>
        <v>1796682160235.6147</v>
      </c>
      <c r="L162">
        <f>IF('Calculations PJ'!L162&lt;&gt;0,'Calculations PJ'!L162*About!$B$45,0)</f>
        <v>1740284065519.6987</v>
      </c>
      <c r="M162">
        <f>IF('Calculations PJ'!M162&lt;&gt;0,'Calculations PJ'!M162*About!$B$45,0)</f>
        <v>1675829100130.0801</v>
      </c>
      <c r="N162">
        <f>IF('Calculations PJ'!N162&lt;&gt;0,'Calculations PJ'!N162*About!$B$45,0)</f>
        <v>1611374134740.4617</v>
      </c>
      <c r="O162">
        <f>IF('Calculations PJ'!O162&lt;&gt;0,'Calculations PJ'!O162*About!$B$45,0)</f>
        <v>1554976040024.5454</v>
      </c>
      <c r="P162">
        <f>IF('Calculations PJ'!P162&lt;&gt;0,'Calculations PJ'!P162*About!$B$45,0)</f>
        <v>1490521074634.927</v>
      </c>
      <c r="Q162">
        <f>IF('Calculations PJ'!Q162&lt;&gt;0,'Calculations PJ'!Q162*About!$B$45,0)</f>
        <v>1426066109245.3086</v>
      </c>
      <c r="R162">
        <f>IF('Calculations PJ'!R162&lt;&gt;0,'Calculations PJ'!R162*About!$B$45,0)</f>
        <v>1369668014529.3923</v>
      </c>
      <c r="S162">
        <f>IF('Calculations PJ'!S162&lt;&gt;0,'Calculations PJ'!S162*About!$B$45,0)</f>
        <v>1305213049139.7739</v>
      </c>
      <c r="T162">
        <f>IF('Calculations PJ'!T162&lt;&gt;0,'Calculations PJ'!T162*About!$B$45,0)</f>
        <v>1240758083750.1555</v>
      </c>
      <c r="U162">
        <f>IF('Calculations PJ'!U162&lt;&gt;0,'Calculations PJ'!U162*About!$B$45,0)</f>
        <v>1176303118360.5369</v>
      </c>
      <c r="V162">
        <f>IF('Calculations PJ'!V162&lt;&gt;0,'Calculations PJ'!V162*About!$B$45,0)</f>
        <v>1119905023644.6208</v>
      </c>
      <c r="W162">
        <f>IF('Calculations PJ'!W162&lt;&gt;0,'Calculations PJ'!W162*About!$B$45,0)</f>
        <v>1055450058255.0023</v>
      </c>
      <c r="X162">
        <f>IF('Calculations PJ'!X162&lt;&gt;0,'Calculations PJ'!X162*About!$B$45,0)</f>
        <v>990995092865.38379</v>
      </c>
      <c r="Y162">
        <f>IF('Calculations PJ'!Y162&lt;&gt;0,'Calculations PJ'!Y162*About!$B$45,0)</f>
        <v>934596998149.46765</v>
      </c>
      <c r="Z162">
        <f>IF('Calculations PJ'!Z162&lt;&gt;0,'Calculations PJ'!Z162*About!$B$45,0)</f>
        <v>870142032759.84937</v>
      </c>
      <c r="AA162">
        <f>IF('Calculations PJ'!AA162&lt;&gt;0,'Calculations PJ'!AA162*About!$B$45,0)</f>
        <v>805687067370.23083</v>
      </c>
      <c r="AB162">
        <f>IF('Calculations PJ'!AB162&lt;&gt;0,'Calculations PJ'!AB162*About!$B$45,0)</f>
        <v>741232101980.61243</v>
      </c>
      <c r="AC162">
        <f>IF('Calculations PJ'!AC162&lt;&gt;0,'Calculations PJ'!AC162*About!$B$45,0)</f>
        <v>684834007264.69617</v>
      </c>
      <c r="AD162">
        <f>IF('Calculations PJ'!AD162&lt;&gt;0,'Calculations PJ'!AD162*About!$B$45,0)</f>
        <v>620379041875.07776</v>
      </c>
      <c r="AE162">
        <f>IF('Calculations PJ'!AE162&lt;&gt;0,'Calculations PJ'!AE162*About!$B$45,0)</f>
        <v>555924076485.45923</v>
      </c>
      <c r="AF162">
        <f>IF('Calculations PJ'!AF162&lt;&gt;0,'Calculations PJ'!AF162*About!$B$45,0)</f>
        <v>499525981769.54315</v>
      </c>
      <c r="AG162">
        <f>IF('Calculations PJ'!AG162&lt;&gt;0,'Calculations PJ'!AG162*About!$B$45,0)</f>
        <v>435071016379.92468</v>
      </c>
      <c r="AH162">
        <f>IF('Calculations PJ'!AH162&lt;&gt;0,'Calculations PJ'!AH162*About!$B$45,0)</f>
        <v>370616050990.30621</v>
      </c>
      <c r="AI162">
        <f>IF('Calculations PJ'!AI162&lt;&gt;0,'Calculations PJ'!AI162*About!$B$45,0)</f>
        <v>314217956274.39001</v>
      </c>
      <c r="AJ162">
        <f>IF('Calculations PJ'!AJ162&lt;&gt;0,'Calculations PJ'!AJ162*About!$B$45,0)</f>
        <v>249762990884.77158</v>
      </c>
      <c r="AK162">
        <f>IF('Calculations PJ'!AK162&lt;&gt;0,'Calculations PJ'!AK162*About!$B$45,0)</f>
        <v>185308025495.15311</v>
      </c>
      <c r="AL162">
        <f>IF('Calculations PJ'!AL162&lt;&gt;0,'Calculations PJ'!AL162*About!$B$45,0)</f>
        <v>120853060105.53462</v>
      </c>
      <c r="AM162">
        <f>IF('Calculations PJ'!AM162&lt;&gt;0,'Calculations PJ'!AM162*About!$B$45,0)</f>
        <v>64454965389.618469</v>
      </c>
      <c r="AN162">
        <f>IF('Calculations PJ'!AN162&lt;&gt;0,'Calculations PJ'!AN162*About!$B$45,0)</f>
        <v>0</v>
      </c>
      <c r="AO162">
        <f>IF('Calculations PJ'!AO162&lt;&gt;0,'Calculations PJ'!AO162*About!$B$45,0)</f>
        <v>0</v>
      </c>
      <c r="AP162">
        <f>IF('Calculations PJ'!AP162&lt;&gt;0,'Calculations PJ'!AP162*About!$B$45,0)</f>
        <v>0</v>
      </c>
      <c r="AQ162">
        <f>IF('Calculations PJ'!AQ162&lt;&gt;0,'Calculations PJ'!AQ162*About!$B$45,0)</f>
        <v>0</v>
      </c>
      <c r="AR162">
        <f>IF('Calculations PJ'!AR162&lt;&gt;0,'Calculations PJ'!AR162*About!$B$45,0)</f>
        <v>0</v>
      </c>
      <c r="AS162">
        <f>IF('Calculations PJ'!AS162&lt;&gt;0,'Calculations PJ'!AS162*About!$B$45,0)</f>
        <v>0</v>
      </c>
      <c r="AT162">
        <f>IF('Calculations PJ'!AT162&lt;&gt;0,'Calculations PJ'!AT162*About!$B$45,0)</f>
        <v>0</v>
      </c>
      <c r="AU162">
        <f>IF('Calculations PJ'!AU162&lt;&gt;0,'Calculations PJ'!AU162*About!$B$45,0)</f>
        <v>0</v>
      </c>
      <c r="AV162">
        <f>IF('Calculations PJ'!AV162&lt;&gt;0,'Calculations PJ'!AV162*About!$B$45,0)</f>
        <v>0</v>
      </c>
      <c r="AW162">
        <f>IF('Calculations PJ'!AW162&lt;&gt;0,'Calculations PJ'!AW162*About!$B$45,0)</f>
        <v>0</v>
      </c>
      <c r="AX162">
        <f>IF('Calculations PJ'!AX162&lt;&gt;0,'Calculations PJ'!AX162*About!$B$45,0)</f>
        <v>0</v>
      </c>
      <c r="AY162">
        <f>IF('Calculations PJ'!AY162&lt;&gt;0,'Calculations PJ'!AY162*About!$B$45,0)</f>
        <v>0</v>
      </c>
      <c r="AZ162">
        <f>IF('Calculations PJ'!AZ162&lt;&gt;0,'Calculations PJ'!AZ162*About!$B$45,0)</f>
        <v>0</v>
      </c>
      <c r="BA162">
        <f>IF('Calculations PJ'!BA162&lt;&gt;0,'Calculations PJ'!BA162*About!$B$45,0)</f>
        <v>0</v>
      </c>
      <c r="BB162">
        <f>IF('Calculations PJ'!BB162&lt;&gt;0,'Calculations PJ'!BB162*About!$B$45,0)</f>
        <v>0</v>
      </c>
      <c r="BC162">
        <f>IF('Calculations PJ'!BC162&lt;&gt;0,'Calculations PJ'!BC162*About!$B$45,0)</f>
        <v>0</v>
      </c>
      <c r="BD162">
        <f>IF('Calculations PJ'!BD162&lt;&gt;0,'Calculations PJ'!BD162*About!$B$45,0)</f>
        <v>0</v>
      </c>
      <c r="BE162">
        <f>IF('Calculations PJ'!BE162&lt;&gt;0,'Calculations PJ'!BE162*About!$B$45,0)</f>
        <v>0</v>
      </c>
      <c r="BF162">
        <f>IF('Calculations PJ'!BF162&lt;&gt;0,'Calculations PJ'!BF162*About!$B$45,0)</f>
        <v>0</v>
      </c>
      <c r="BG162">
        <f>IF('Calculations PJ'!BG162&lt;&gt;0,'Calculations PJ'!BG162*About!$B$45,0)</f>
        <v>0</v>
      </c>
      <c r="BH162">
        <f>IF('Calculations PJ'!BH162&lt;&gt;0,'Calculations PJ'!BH162*About!$B$45,0)</f>
        <v>0</v>
      </c>
    </row>
    <row r="163" spans="2:60" hidden="1" outlineLevel="1">
      <c r="B163" t="s">
        <v>130</v>
      </c>
      <c r="C163">
        <f>IF('Calculations PJ'!C163&lt;&gt;0,'Calculations PJ'!C163*About!$B$45,0)</f>
        <v>5914690941635.5771</v>
      </c>
      <c r="D163">
        <f>IF('Calculations PJ'!D163&lt;&gt;0,'Calculations PJ'!D163*About!$B$45,0)</f>
        <v>3014217499102.7456</v>
      </c>
      <c r="E163">
        <f>IF('Calculations PJ'!E163&lt;&gt;0,'Calculations PJ'!E163*About!$B$45,0)</f>
        <v>1905212947546.075</v>
      </c>
      <c r="F163">
        <f>IF('Calculations PJ'!F163&lt;&gt;0,'Calculations PJ'!F163*About!$B$45,0)</f>
        <v>1990520989973.5112</v>
      </c>
      <c r="G163">
        <f>IF('Calculations PJ'!G163&lt;&gt;0,'Calculations PJ'!G163*About!$B$45,0)</f>
        <v>1706160848548.7239</v>
      </c>
      <c r="H163">
        <f>IF('Calculations PJ'!H163&lt;&gt;0,'Calculations PJ'!H163*About!$B$45,0)</f>
        <v>511848254564.61725</v>
      </c>
      <c r="I163">
        <f>IF('Calculations PJ'!I163&lt;&gt;0,'Calculations PJ'!I163*About!$B$45,0)</f>
        <v>805687067370.23071</v>
      </c>
      <c r="J163">
        <f>IF('Calculations PJ'!J163&lt;&gt;0,'Calculations PJ'!J163*About!$B$45,0)</f>
        <v>890995109797.66699</v>
      </c>
      <c r="K163">
        <f>IF('Calculations PJ'!K163&lt;&gt;0,'Calculations PJ'!K163*About!$B$45,0)</f>
        <v>1099525880175.8445</v>
      </c>
      <c r="L163">
        <f>IF('Calculations PJ'!L163&lt;&gt;0,'Calculations PJ'!L163*About!$B$45,0)</f>
        <v>1061611194652.5396</v>
      </c>
      <c r="M163">
        <f>IF('Calculations PJ'!M163&lt;&gt;0,'Calculations PJ'!M163*About!$B$45,0)</f>
        <v>1023696509129.2345</v>
      </c>
      <c r="N163">
        <f>IF('Calculations PJ'!N163&lt;&gt;0,'Calculations PJ'!N163*About!$B$45,0)</f>
        <v>985781823605.92957</v>
      </c>
      <c r="O163">
        <f>IF('Calculations PJ'!O163&lt;&gt;0,'Calculations PJ'!O163*About!$B$45,0)</f>
        <v>947867138082.62439</v>
      </c>
      <c r="P163">
        <f>IF('Calculations PJ'!P163&lt;&gt;0,'Calculations PJ'!P163*About!$B$45,0)</f>
        <v>909952452559.31946</v>
      </c>
      <c r="Q163">
        <f>IF('Calculations PJ'!Q163&lt;&gt;0,'Calculations PJ'!Q163*About!$B$45,0)</f>
        <v>872037767036.01453</v>
      </c>
      <c r="R163">
        <f>IF('Calculations PJ'!R163&lt;&gt;0,'Calculations PJ'!R163*About!$B$45,0)</f>
        <v>843601752893.53589</v>
      </c>
      <c r="S163">
        <f>IF('Calculations PJ'!S163&lt;&gt;0,'Calculations PJ'!S163*About!$B$45,0)</f>
        <v>805687067370.23096</v>
      </c>
      <c r="T163">
        <f>IF('Calculations PJ'!T163&lt;&gt;0,'Calculations PJ'!T163*About!$B$45,0)</f>
        <v>758293710466.09961</v>
      </c>
      <c r="U163">
        <f>IF('Calculations PJ'!U163&lt;&gt;0,'Calculations PJ'!U163*About!$B$45,0)</f>
        <v>720379024942.79468</v>
      </c>
      <c r="V163">
        <f>IF('Calculations PJ'!V163&lt;&gt;0,'Calculations PJ'!V163*About!$B$45,0)</f>
        <v>682464339419.48962</v>
      </c>
      <c r="W163">
        <f>IF('Calculations PJ'!W163&lt;&gt;0,'Calculations PJ'!W163*About!$B$45,0)</f>
        <v>644549653896.18469</v>
      </c>
      <c r="X163">
        <f>IF('Calculations PJ'!X163&lt;&gt;0,'Calculations PJ'!X163*About!$B$45,0)</f>
        <v>606634968372.87976</v>
      </c>
      <c r="Y163">
        <f>IF('Calculations PJ'!Y163&lt;&gt;0,'Calculations PJ'!Y163*About!$B$45,0)</f>
        <v>568720282849.57483</v>
      </c>
      <c r="Z163">
        <f>IF('Calculations PJ'!Z163&lt;&gt;0,'Calculations PJ'!Z163*About!$B$45,0)</f>
        <v>530805597326.26978</v>
      </c>
      <c r="AA163">
        <f>IF('Calculations PJ'!AA163&lt;&gt;0,'Calculations PJ'!AA163*About!$B$45,0)</f>
        <v>492890911802.96478</v>
      </c>
      <c r="AB163">
        <f>IF('Calculations PJ'!AB163&lt;&gt;0,'Calculations PJ'!AB163*About!$B$45,0)</f>
        <v>464454897660.48602</v>
      </c>
      <c r="AC163">
        <f>IF('Calculations PJ'!AC163&lt;&gt;0,'Calculations PJ'!AC163*About!$B$45,0)</f>
        <v>417061540756.35486</v>
      </c>
      <c r="AD163">
        <f>IF('Calculations PJ'!AD163&lt;&gt;0,'Calculations PJ'!AD163*About!$B$45,0)</f>
        <v>379146855233.0498</v>
      </c>
      <c r="AE163">
        <f>IF('Calculations PJ'!AE163&lt;&gt;0,'Calculations PJ'!AE163*About!$B$45,0)</f>
        <v>341232169709.74481</v>
      </c>
      <c r="AF163">
        <f>IF('Calculations PJ'!AF163&lt;&gt;0,'Calculations PJ'!AF163*About!$B$45,0)</f>
        <v>293838812805.61365</v>
      </c>
      <c r="AG163">
        <f>IF('Calculations PJ'!AG163&lt;&gt;0,'Calculations PJ'!AG163*About!$B$45,0)</f>
        <v>265402798663.13489</v>
      </c>
      <c r="AH163">
        <f>IF('Calculations PJ'!AH163&lt;&gt;0,'Calculations PJ'!AH163*About!$B$45,0)</f>
        <v>227488113139.8299</v>
      </c>
      <c r="AI163">
        <f>IF('Calculations PJ'!AI163&lt;&gt;0,'Calculations PJ'!AI163*About!$B$45,0)</f>
        <v>189573427616.5249</v>
      </c>
      <c r="AJ163">
        <f>IF('Calculations PJ'!AJ163&lt;&gt;0,'Calculations PJ'!AJ163*About!$B$45,0)</f>
        <v>151658742093.21994</v>
      </c>
      <c r="AK163">
        <f>IF('Calculations PJ'!AK163&lt;&gt;0,'Calculations PJ'!AK163*About!$B$45,0)</f>
        <v>113744056569.91493</v>
      </c>
      <c r="AL163">
        <f>IF('Calculations PJ'!AL163&lt;&gt;0,'Calculations PJ'!AL163*About!$B$45,0)</f>
        <v>85308042427.436203</v>
      </c>
      <c r="AM163">
        <f>IF('Calculations PJ'!AM163&lt;&gt;0,'Calculations PJ'!AM163*About!$B$45,0)</f>
        <v>37914685523.304985</v>
      </c>
      <c r="AN163">
        <f>IF('Calculations PJ'!AN163&lt;&gt;0,'Calculations PJ'!AN163*About!$B$45,0)</f>
        <v>0</v>
      </c>
      <c r="AO163">
        <f>IF('Calculations PJ'!AO163&lt;&gt;0,'Calculations PJ'!AO163*About!$B$45,0)</f>
        <v>0</v>
      </c>
      <c r="AP163">
        <f>IF('Calculations PJ'!AP163&lt;&gt;0,'Calculations PJ'!AP163*About!$B$45,0)</f>
        <v>0</v>
      </c>
      <c r="AQ163">
        <f>IF('Calculations PJ'!AQ163&lt;&gt;0,'Calculations PJ'!AQ163*About!$B$45,0)</f>
        <v>0</v>
      </c>
      <c r="AR163">
        <f>IF('Calculations PJ'!AR163&lt;&gt;0,'Calculations PJ'!AR163*About!$B$45,0)</f>
        <v>0</v>
      </c>
      <c r="AS163">
        <f>IF('Calculations PJ'!AS163&lt;&gt;0,'Calculations PJ'!AS163*About!$B$45,0)</f>
        <v>0</v>
      </c>
      <c r="AT163">
        <f>IF('Calculations PJ'!AT163&lt;&gt;0,'Calculations PJ'!AT163*About!$B$45,0)</f>
        <v>0</v>
      </c>
      <c r="AU163">
        <f>IF('Calculations PJ'!AU163&lt;&gt;0,'Calculations PJ'!AU163*About!$B$45,0)</f>
        <v>0</v>
      </c>
      <c r="AV163">
        <f>IF('Calculations PJ'!AV163&lt;&gt;0,'Calculations PJ'!AV163*About!$B$45,0)</f>
        <v>0</v>
      </c>
      <c r="AW163">
        <f>IF('Calculations PJ'!AW163&lt;&gt;0,'Calculations PJ'!AW163*About!$B$45,0)</f>
        <v>0</v>
      </c>
      <c r="AX163">
        <f>IF('Calculations PJ'!AX163&lt;&gt;0,'Calculations PJ'!AX163*About!$B$45,0)</f>
        <v>0</v>
      </c>
      <c r="AY163">
        <f>IF('Calculations PJ'!AY163&lt;&gt;0,'Calculations PJ'!AY163*About!$B$45,0)</f>
        <v>0</v>
      </c>
      <c r="AZ163">
        <f>IF('Calculations PJ'!AZ163&lt;&gt;0,'Calculations PJ'!AZ163*About!$B$45,0)</f>
        <v>0</v>
      </c>
      <c r="BA163">
        <f>IF('Calculations PJ'!BA163&lt;&gt;0,'Calculations PJ'!BA163*About!$B$45,0)</f>
        <v>0</v>
      </c>
      <c r="BB163">
        <f>IF('Calculations PJ'!BB163&lt;&gt;0,'Calculations PJ'!BB163*About!$B$45,0)</f>
        <v>0</v>
      </c>
      <c r="BC163">
        <f>IF('Calculations PJ'!BC163&lt;&gt;0,'Calculations PJ'!BC163*About!$B$45,0)</f>
        <v>0</v>
      </c>
      <c r="BD163">
        <f>IF('Calculations PJ'!BD163&lt;&gt;0,'Calculations PJ'!BD163*About!$B$45,0)</f>
        <v>0</v>
      </c>
      <c r="BE163">
        <f>IF('Calculations PJ'!BE163&lt;&gt;0,'Calculations PJ'!BE163*About!$B$45,0)</f>
        <v>0</v>
      </c>
      <c r="BF163">
        <f>IF('Calculations PJ'!BF163&lt;&gt;0,'Calculations PJ'!BF163*About!$B$45,0)</f>
        <v>0</v>
      </c>
      <c r="BG163">
        <f>IF('Calculations PJ'!BG163&lt;&gt;0,'Calculations PJ'!BG163*About!$B$45,0)</f>
        <v>0</v>
      </c>
      <c r="BH163">
        <f>IF('Calculations PJ'!BH163&lt;&gt;0,'Calculations PJ'!BH163*About!$B$45,0)</f>
        <v>0</v>
      </c>
    </row>
    <row r="164" spans="2:60" hidden="1" outlineLevel="1">
      <c r="B164" t="s">
        <v>131</v>
      </c>
      <c r="C164">
        <f>IF('Calculations PJ'!C164&lt;&gt;0,'Calculations PJ'!C164*About!$B$45,0)</f>
        <v>28436014142.478733</v>
      </c>
      <c r="D164">
        <f>IF('Calculations PJ'!D164&lt;&gt;0,'Calculations PJ'!D164*About!$B$45,0)</f>
        <v>28436014142.478733</v>
      </c>
      <c r="E164">
        <f>IF('Calculations PJ'!E164&lt;&gt;0,'Calculations PJ'!E164*About!$B$45,0)</f>
        <v>28436014142.478733</v>
      </c>
      <c r="F164">
        <f>IF('Calculations PJ'!F164&lt;&gt;0,'Calculations PJ'!F164*About!$B$45,0)</f>
        <v>28436014142.478733</v>
      </c>
      <c r="G164">
        <f>IF('Calculations PJ'!G164&lt;&gt;0,'Calculations PJ'!G164*About!$B$45,0)</f>
        <v>28436014142.478733</v>
      </c>
      <c r="H164">
        <f>IF('Calculations PJ'!H164&lt;&gt;0,'Calculations PJ'!H164*About!$B$45,0)</f>
        <v>28436014142.478733</v>
      </c>
      <c r="I164">
        <f>IF('Calculations PJ'!I164&lt;&gt;0,'Calculations PJ'!I164*About!$B$45,0)</f>
        <v>28436014142.478733</v>
      </c>
      <c r="J164">
        <f>IF('Calculations PJ'!J164&lt;&gt;0,'Calculations PJ'!J164*About!$B$45,0)</f>
        <v>18957342761.652493</v>
      </c>
      <c r="K164">
        <f>IF('Calculations PJ'!K164&lt;&gt;0,'Calculations PJ'!K164*About!$B$45,0)</f>
        <v>28436014142.478733</v>
      </c>
      <c r="L164">
        <f>IF('Calculations PJ'!L164&lt;&gt;0,'Calculations PJ'!L164*About!$B$45,0)</f>
        <v>28436014142.478733</v>
      </c>
      <c r="M164">
        <f>IF('Calculations PJ'!M164&lt;&gt;0,'Calculations PJ'!M164*About!$B$45,0)</f>
        <v>28436014142.478733</v>
      </c>
      <c r="N164">
        <f>IF('Calculations PJ'!N164&lt;&gt;0,'Calculations PJ'!N164*About!$B$45,0)</f>
        <v>28466054499.434906</v>
      </c>
      <c r="O164">
        <f>IF('Calculations PJ'!O164&lt;&gt;0,'Calculations PJ'!O164*About!$B$45,0)</f>
        <v>28495625475.813637</v>
      </c>
      <c r="P164">
        <f>IF('Calculations PJ'!P164&lt;&gt;0,'Calculations PJ'!P164*About!$B$45,0)</f>
        <v>28526135213.347244</v>
      </c>
      <c r="Q164">
        <f>IF('Calculations PJ'!Q164&lt;&gt;0,'Calculations PJ'!Q164*About!$B$45,0)</f>
        <v>28556175570.303413</v>
      </c>
      <c r="R164">
        <f>IF('Calculations PJ'!R164&lt;&gt;0,'Calculations PJ'!R164*About!$B$45,0)</f>
        <v>28585746546.682144</v>
      </c>
      <c r="S164">
        <f>IF('Calculations PJ'!S164&lt;&gt;0,'Calculations PJ'!S164*About!$B$45,0)</f>
        <v>28616256284.215759</v>
      </c>
      <c r="T164">
        <f>IF('Calculations PJ'!T164&lt;&gt;0,'Calculations PJ'!T164*About!$B$45,0)</f>
        <v>28645827260.594482</v>
      </c>
      <c r="U164">
        <f>IF('Calculations PJ'!U164&lt;&gt;0,'Calculations PJ'!U164*About!$B$45,0)</f>
        <v>28675398236.973209</v>
      </c>
      <c r="V164">
        <f>IF('Calculations PJ'!V164&lt;&gt;0,'Calculations PJ'!V164*About!$B$45,0)</f>
        <v>28706377355.084263</v>
      </c>
      <c r="W164">
        <f>IF('Calculations PJ'!W164&lt;&gt;0,'Calculations PJ'!W164*About!$B$45,0)</f>
        <v>28735948331.462994</v>
      </c>
      <c r="X164">
        <f>IF('Calculations PJ'!X164&lt;&gt;0,'Calculations PJ'!X164*About!$B$45,0)</f>
        <v>28654745491.565845</v>
      </c>
      <c r="Y164">
        <f>IF('Calculations PJ'!Y164&lt;&gt;0,'Calculations PJ'!Y164*About!$B$45,0)</f>
        <v>28423340866.887852</v>
      </c>
      <c r="Z164">
        <f>IF('Calculations PJ'!Z164&lt;&gt;0,'Calculations PJ'!Z164*About!$B$45,0)</f>
        <v>28191466861.632427</v>
      </c>
      <c r="AA164">
        <f>IF('Calculations PJ'!AA164&lt;&gt;0,'Calculations PJ'!AA164*About!$B$45,0)</f>
        <v>27960531617.531879</v>
      </c>
      <c r="AB164">
        <f>IF('Calculations PJ'!AB164&lt;&gt;0,'Calculations PJ'!AB164*About!$B$45,0)</f>
        <v>27729126992.853889</v>
      </c>
      <c r="AC164">
        <f>IF('Calculations PJ'!AC164&lt;&gt;0,'Calculations PJ'!AC164*About!$B$45,0)</f>
        <v>27496783607.021023</v>
      </c>
      <c r="AD164">
        <f>IF('Calculations PJ'!AD164&lt;&gt;0,'Calculations PJ'!AD164*About!$B$45,0)</f>
        <v>27266317743.49791</v>
      </c>
      <c r="AE164">
        <f>IF('Calculations PJ'!AE164&lt;&gt;0,'Calculations PJ'!AE164*About!$B$45,0)</f>
        <v>27034913118.81992</v>
      </c>
      <c r="AF164">
        <f>IF('Calculations PJ'!AF164&lt;&gt;0,'Calculations PJ'!AF164*About!$B$45,0)</f>
        <v>26803039113.564484</v>
      </c>
      <c r="AG164">
        <f>IF('Calculations PJ'!AG164&lt;&gt;0,'Calculations PJ'!AG164*About!$B$45,0)</f>
        <v>26571634488.886494</v>
      </c>
      <c r="AH164">
        <f>IF('Calculations PJ'!AH164&lt;&gt;0,'Calculations PJ'!AH164*About!$B$45,0)</f>
        <v>26340699244.785938</v>
      </c>
      <c r="AI164">
        <f>IF('Calculations PJ'!AI164&lt;&gt;0,'Calculations PJ'!AI164*About!$B$45,0)</f>
        <v>26108825239.530514</v>
      </c>
      <c r="AJ164">
        <f>IF('Calculations PJ'!AJ164&lt;&gt;0,'Calculations PJ'!AJ164*About!$B$45,0)</f>
        <v>25877420614.85252</v>
      </c>
      <c r="AK164">
        <f>IF('Calculations PJ'!AK164&lt;&gt;0,'Calculations PJ'!AK164*About!$B$45,0)</f>
        <v>25646015990.174534</v>
      </c>
      <c r="AL164">
        <f>IF('Calculations PJ'!AL164&lt;&gt;0,'Calculations PJ'!AL164*About!$B$45,0)</f>
        <v>25415080746.073986</v>
      </c>
      <c r="AM164">
        <f>IF('Calculations PJ'!AM164&lt;&gt;0,'Calculations PJ'!AM164*About!$B$45,0)</f>
        <v>25180859837.931355</v>
      </c>
      <c r="AN164">
        <f>IF('Calculations PJ'!AN164&lt;&gt;0,'Calculations PJ'!AN164*About!$B$45,0)</f>
        <v>24947108310.366161</v>
      </c>
      <c r="AO164">
        <f>IF('Calculations PJ'!AO164&lt;&gt;0,'Calculations PJ'!AO164*About!$B$45,0)</f>
        <v>24947108310.366161</v>
      </c>
      <c r="AP164">
        <f>IF('Calculations PJ'!AP164&lt;&gt;0,'Calculations PJ'!AP164*About!$B$45,0)</f>
        <v>24947108310.366161</v>
      </c>
      <c r="AQ164">
        <f>IF('Calculations PJ'!AQ164&lt;&gt;0,'Calculations PJ'!AQ164*About!$B$45,0)</f>
        <v>24947108310.366161</v>
      </c>
      <c r="AR164">
        <f>IF('Calculations PJ'!AR164&lt;&gt;0,'Calculations PJ'!AR164*About!$B$45,0)</f>
        <v>24947108310.366161</v>
      </c>
      <c r="AS164">
        <f>IF('Calculations PJ'!AS164&lt;&gt;0,'Calculations PJ'!AS164*About!$B$45,0)</f>
        <v>24947108310.366161</v>
      </c>
      <c r="AT164">
        <f>IF('Calculations PJ'!AT164&lt;&gt;0,'Calculations PJ'!AT164*About!$B$45,0)</f>
        <v>24947108310.366161</v>
      </c>
      <c r="AU164">
        <f>IF('Calculations PJ'!AU164&lt;&gt;0,'Calculations PJ'!AU164*About!$B$45,0)</f>
        <v>24947108310.366161</v>
      </c>
      <c r="AV164">
        <f>IF('Calculations PJ'!AV164&lt;&gt;0,'Calculations PJ'!AV164*About!$B$45,0)</f>
        <v>24947108310.366161</v>
      </c>
      <c r="AW164">
        <f>IF('Calculations PJ'!AW164&lt;&gt;0,'Calculations PJ'!AW164*About!$B$45,0)</f>
        <v>24947108310.366161</v>
      </c>
      <c r="AX164">
        <f>IF('Calculations PJ'!AX164&lt;&gt;0,'Calculations PJ'!AX164*About!$B$45,0)</f>
        <v>24947108310.366161</v>
      </c>
      <c r="AY164">
        <f>IF('Calculations PJ'!AY164&lt;&gt;0,'Calculations PJ'!AY164*About!$B$45,0)</f>
        <v>24947108310.366161</v>
      </c>
      <c r="AZ164">
        <f>IF('Calculations PJ'!AZ164&lt;&gt;0,'Calculations PJ'!AZ164*About!$B$45,0)</f>
        <v>24947108310.366161</v>
      </c>
      <c r="BA164">
        <f>IF('Calculations PJ'!BA164&lt;&gt;0,'Calculations PJ'!BA164*About!$B$45,0)</f>
        <v>24947108310.366161</v>
      </c>
      <c r="BB164">
        <f>IF('Calculations PJ'!BB164&lt;&gt;0,'Calculations PJ'!BB164*About!$B$45,0)</f>
        <v>24947108310.366161</v>
      </c>
      <c r="BC164">
        <f>IF('Calculations PJ'!BC164&lt;&gt;0,'Calculations PJ'!BC164*About!$B$45,0)</f>
        <v>24947108310.366161</v>
      </c>
      <c r="BD164">
        <f>IF('Calculations PJ'!BD164&lt;&gt;0,'Calculations PJ'!BD164*About!$B$45,0)</f>
        <v>24947108310.366161</v>
      </c>
      <c r="BE164">
        <f>IF('Calculations PJ'!BE164&lt;&gt;0,'Calculations PJ'!BE164*About!$B$45,0)</f>
        <v>24947108310.366161</v>
      </c>
      <c r="BF164">
        <f>IF('Calculations PJ'!BF164&lt;&gt;0,'Calculations PJ'!BF164*About!$B$45,0)</f>
        <v>24947108310.366161</v>
      </c>
      <c r="BG164">
        <f>IF('Calculations PJ'!BG164&lt;&gt;0,'Calculations PJ'!BG164*About!$B$45,0)</f>
        <v>24947108310.366161</v>
      </c>
      <c r="BH164">
        <f>IF('Calculations PJ'!BH164&lt;&gt;0,'Calculations PJ'!BH164*About!$B$45,0)</f>
        <v>24947108310.366161</v>
      </c>
    </row>
    <row r="165" spans="2:60" hidden="1" outlineLevel="1">
      <c r="B165" t="s">
        <v>132</v>
      </c>
      <c r="C165">
        <f>IF('Calculations PJ'!C165&lt;&gt;0,'Calculations PJ'!C165*About!$B$45,0)</f>
        <v>0</v>
      </c>
      <c r="D165">
        <f>IF('Calculations PJ'!D165&lt;&gt;0,'Calculations PJ'!D165*About!$B$45,0)</f>
        <v>0</v>
      </c>
      <c r="E165">
        <f>IF('Calculations PJ'!E165&lt;&gt;0,'Calculations PJ'!E165*About!$B$45,0)</f>
        <v>0</v>
      </c>
      <c r="F165">
        <f>IF('Calculations PJ'!F165&lt;&gt;0,'Calculations PJ'!F165*About!$B$45,0)</f>
        <v>0</v>
      </c>
      <c r="G165">
        <f>IF('Calculations PJ'!G165&lt;&gt;0,'Calculations PJ'!G165*About!$B$45,0)</f>
        <v>0</v>
      </c>
      <c r="H165">
        <f>IF('Calculations PJ'!H165&lt;&gt;0,'Calculations PJ'!H165*About!$B$45,0)</f>
        <v>0</v>
      </c>
      <c r="I165">
        <f>IF('Calculations PJ'!I165&lt;&gt;0,'Calculations PJ'!I165*About!$B$45,0)</f>
        <v>0</v>
      </c>
      <c r="J165">
        <f>IF('Calculations PJ'!J165&lt;&gt;0,'Calculations PJ'!J165*About!$B$45,0)</f>
        <v>0</v>
      </c>
      <c r="K165">
        <f>IF('Calculations PJ'!K165&lt;&gt;0,'Calculations PJ'!K165*About!$B$45,0)</f>
        <v>0</v>
      </c>
      <c r="L165">
        <f>IF('Calculations PJ'!L165&lt;&gt;0,'Calculations PJ'!L165*About!$B$45,0)</f>
        <v>0</v>
      </c>
      <c r="M165">
        <f>IF('Calculations PJ'!M165&lt;&gt;0,'Calculations PJ'!M165*About!$B$45,0)</f>
        <v>0</v>
      </c>
      <c r="N165">
        <f>IF('Calculations PJ'!N165&lt;&gt;0,'Calculations PJ'!N165*About!$B$45,0)</f>
        <v>0</v>
      </c>
      <c r="O165">
        <f>IF('Calculations PJ'!O165&lt;&gt;0,'Calculations PJ'!O165*About!$B$45,0)</f>
        <v>0</v>
      </c>
      <c r="P165">
        <f>IF('Calculations PJ'!P165&lt;&gt;0,'Calculations PJ'!P165*About!$B$45,0)</f>
        <v>0</v>
      </c>
      <c r="Q165">
        <f>IF('Calculations PJ'!Q165&lt;&gt;0,'Calculations PJ'!Q165*About!$B$45,0)</f>
        <v>0</v>
      </c>
      <c r="R165">
        <f>IF('Calculations PJ'!R165&lt;&gt;0,'Calculations PJ'!R165*About!$B$45,0)</f>
        <v>0</v>
      </c>
      <c r="S165">
        <f>IF('Calculations PJ'!S165&lt;&gt;0,'Calculations PJ'!S165*About!$B$45,0)</f>
        <v>0</v>
      </c>
      <c r="T165">
        <f>IF('Calculations PJ'!T165&lt;&gt;0,'Calculations PJ'!T165*About!$B$45,0)</f>
        <v>0</v>
      </c>
      <c r="U165">
        <f>IF('Calculations PJ'!U165&lt;&gt;0,'Calculations PJ'!U165*About!$B$45,0)</f>
        <v>0</v>
      </c>
      <c r="V165">
        <f>IF('Calculations PJ'!V165&lt;&gt;0,'Calculations PJ'!V165*About!$B$45,0)</f>
        <v>0</v>
      </c>
      <c r="W165">
        <f>IF('Calculations PJ'!W165&lt;&gt;0,'Calculations PJ'!W165*About!$B$45,0)</f>
        <v>0</v>
      </c>
      <c r="X165">
        <f>IF('Calculations PJ'!X165&lt;&gt;0,'Calculations PJ'!X165*About!$B$45,0)</f>
        <v>0</v>
      </c>
      <c r="Y165">
        <f>IF('Calculations PJ'!Y165&lt;&gt;0,'Calculations PJ'!Y165*About!$B$45,0)</f>
        <v>0</v>
      </c>
      <c r="Z165">
        <f>IF('Calculations PJ'!Z165&lt;&gt;0,'Calculations PJ'!Z165*About!$B$45,0)</f>
        <v>0</v>
      </c>
      <c r="AA165">
        <f>IF('Calculations PJ'!AA165&lt;&gt;0,'Calculations PJ'!AA165*About!$B$45,0)</f>
        <v>0</v>
      </c>
      <c r="AB165">
        <f>IF('Calculations PJ'!AB165&lt;&gt;0,'Calculations PJ'!AB165*About!$B$45,0)</f>
        <v>0</v>
      </c>
      <c r="AC165">
        <f>IF('Calculations PJ'!AC165&lt;&gt;0,'Calculations PJ'!AC165*About!$B$45,0)</f>
        <v>0</v>
      </c>
      <c r="AD165">
        <f>IF('Calculations PJ'!AD165&lt;&gt;0,'Calculations PJ'!AD165*About!$B$45,0)</f>
        <v>0</v>
      </c>
      <c r="AE165">
        <f>IF('Calculations PJ'!AE165&lt;&gt;0,'Calculations PJ'!AE165*About!$B$45,0)</f>
        <v>0</v>
      </c>
      <c r="AF165">
        <f>IF('Calculations PJ'!AF165&lt;&gt;0,'Calculations PJ'!AF165*About!$B$45,0)</f>
        <v>0</v>
      </c>
      <c r="AG165">
        <f>IF('Calculations PJ'!AG165&lt;&gt;0,'Calculations PJ'!AG165*About!$B$45,0)</f>
        <v>0</v>
      </c>
      <c r="AH165">
        <f>IF('Calculations PJ'!AH165&lt;&gt;0,'Calculations PJ'!AH165*About!$B$45,0)</f>
        <v>0</v>
      </c>
      <c r="AI165">
        <f>IF('Calculations PJ'!AI165&lt;&gt;0,'Calculations PJ'!AI165*About!$B$45,0)</f>
        <v>0</v>
      </c>
      <c r="AJ165">
        <f>IF('Calculations PJ'!AJ165&lt;&gt;0,'Calculations PJ'!AJ165*About!$B$45,0)</f>
        <v>0</v>
      </c>
      <c r="AK165">
        <f>IF('Calculations PJ'!AK165&lt;&gt;0,'Calculations PJ'!AK165*About!$B$45,0)</f>
        <v>0</v>
      </c>
      <c r="AL165">
        <f>IF('Calculations PJ'!AL165&lt;&gt;0,'Calculations PJ'!AL165*About!$B$45,0)</f>
        <v>0</v>
      </c>
      <c r="AM165">
        <f>IF('Calculations PJ'!AM165&lt;&gt;0,'Calculations PJ'!AM165*About!$B$45,0)</f>
        <v>0</v>
      </c>
      <c r="AN165">
        <f>IF('Calculations PJ'!AN165&lt;&gt;0,'Calculations PJ'!AN165*About!$B$45,0)</f>
        <v>0</v>
      </c>
      <c r="AO165">
        <f>IF('Calculations PJ'!AO165&lt;&gt;0,'Calculations PJ'!AO165*About!$B$45,0)</f>
        <v>0</v>
      </c>
      <c r="AP165">
        <f>IF('Calculations PJ'!AP165&lt;&gt;0,'Calculations PJ'!AP165*About!$B$45,0)</f>
        <v>0</v>
      </c>
      <c r="AQ165">
        <f>IF('Calculations PJ'!AQ165&lt;&gt;0,'Calculations PJ'!AQ165*About!$B$45,0)</f>
        <v>0</v>
      </c>
      <c r="AR165">
        <f>IF('Calculations PJ'!AR165&lt;&gt;0,'Calculations PJ'!AR165*About!$B$45,0)</f>
        <v>0</v>
      </c>
      <c r="AS165">
        <f>IF('Calculations PJ'!AS165&lt;&gt;0,'Calculations PJ'!AS165*About!$B$45,0)</f>
        <v>0</v>
      </c>
      <c r="AT165">
        <f>IF('Calculations PJ'!AT165&lt;&gt;0,'Calculations PJ'!AT165*About!$B$45,0)</f>
        <v>0</v>
      </c>
      <c r="AU165">
        <f>IF('Calculations PJ'!AU165&lt;&gt;0,'Calculations PJ'!AU165*About!$B$45,0)</f>
        <v>0</v>
      </c>
      <c r="AV165">
        <f>IF('Calculations PJ'!AV165&lt;&gt;0,'Calculations PJ'!AV165*About!$B$45,0)</f>
        <v>0</v>
      </c>
      <c r="AW165">
        <f>IF('Calculations PJ'!AW165&lt;&gt;0,'Calculations PJ'!AW165*About!$B$45,0)</f>
        <v>0</v>
      </c>
      <c r="AX165">
        <f>IF('Calculations PJ'!AX165&lt;&gt;0,'Calculations PJ'!AX165*About!$B$45,0)</f>
        <v>0</v>
      </c>
      <c r="AY165">
        <f>IF('Calculations PJ'!AY165&lt;&gt;0,'Calculations PJ'!AY165*About!$B$45,0)</f>
        <v>0</v>
      </c>
      <c r="AZ165">
        <f>IF('Calculations PJ'!AZ165&lt;&gt;0,'Calculations PJ'!AZ165*About!$B$45,0)</f>
        <v>0</v>
      </c>
      <c r="BA165">
        <f>IF('Calculations PJ'!BA165&lt;&gt;0,'Calculations PJ'!BA165*About!$B$45,0)</f>
        <v>0</v>
      </c>
      <c r="BB165">
        <f>IF('Calculations PJ'!BB165&lt;&gt;0,'Calculations PJ'!BB165*About!$B$45,0)</f>
        <v>0</v>
      </c>
      <c r="BC165">
        <f>IF('Calculations PJ'!BC165&lt;&gt;0,'Calculations PJ'!BC165*About!$B$45,0)</f>
        <v>0</v>
      </c>
      <c r="BD165">
        <f>IF('Calculations PJ'!BD165&lt;&gt;0,'Calculations PJ'!BD165*About!$B$45,0)</f>
        <v>0</v>
      </c>
      <c r="BE165">
        <f>IF('Calculations PJ'!BE165&lt;&gt;0,'Calculations PJ'!BE165*About!$B$45,0)</f>
        <v>0</v>
      </c>
      <c r="BF165">
        <f>IF('Calculations PJ'!BF165&lt;&gt;0,'Calculations PJ'!BF165*About!$B$45,0)</f>
        <v>0</v>
      </c>
      <c r="BG165">
        <f>IF('Calculations PJ'!BG165&lt;&gt;0,'Calculations PJ'!BG165*About!$B$45,0)</f>
        <v>0</v>
      </c>
      <c r="BH165">
        <f>IF('Calculations PJ'!BH165&lt;&gt;0,'Calculations PJ'!BH165*About!$B$45,0)</f>
        <v>0</v>
      </c>
    </row>
    <row r="166" spans="2:60" hidden="1" outlineLevel="1">
      <c r="B166" t="s">
        <v>133</v>
      </c>
      <c r="C166">
        <f>IF('Calculations PJ'!C166&lt;&gt;0,'Calculations PJ'!C166*About!$B$45,0)</f>
        <v>4881515761125.5166</v>
      </c>
      <c r="D166">
        <f>IF('Calculations PJ'!D166&lt;&gt;0,'Calculations PJ'!D166*About!$B$45,0)</f>
        <v>1014217837748.4083</v>
      </c>
      <c r="E166">
        <f>IF('Calculations PJ'!E166&lt;&gt;0,'Calculations PJ'!E166*About!$B$45,0)</f>
        <v>4976302474933.7783</v>
      </c>
      <c r="F166">
        <f>IF('Calculations PJ'!F166&lt;&gt;0,'Calculations PJ'!F166*About!$B$45,0)</f>
        <v>9668244808442.7695</v>
      </c>
      <c r="G166">
        <f>IF('Calculations PJ'!G166&lt;&gt;0,'Calculations PJ'!G166*About!$B$45,0)</f>
        <v>8331752143746.2686</v>
      </c>
      <c r="H166">
        <f>IF('Calculations PJ'!H166&lt;&gt;0,'Calculations PJ'!H166*About!$B$45,0)</f>
        <v>2502369244538.1289</v>
      </c>
      <c r="I166">
        <f>IF('Calculations PJ'!I166&lt;&gt;0,'Calculations PJ'!I166*About!$B$45,0)</f>
        <v>3905212608900.4131</v>
      </c>
      <c r="J166">
        <f>IF('Calculations PJ'!J166&lt;&gt;0,'Calculations PJ'!J166*About!$B$45,0)</f>
        <v>3914691280281.2393</v>
      </c>
      <c r="K166">
        <f>IF('Calculations PJ'!K166&lt;&gt;0,'Calculations PJ'!K166*About!$B$45,0)</f>
        <v>4834122404221.3848</v>
      </c>
      <c r="L166">
        <f>IF('Calculations PJ'!L166&lt;&gt;0,'Calculations PJ'!L166*About!$B$45,0)</f>
        <v>4672984990747.3389</v>
      </c>
      <c r="M166">
        <f>IF('Calculations PJ'!M166&lt;&gt;0,'Calculations PJ'!M166*About!$B$45,0)</f>
        <v>4511847577273.292</v>
      </c>
      <c r="N166">
        <f>IF('Calculations PJ'!N166&lt;&gt;0,'Calculations PJ'!N166*About!$B$45,0)</f>
        <v>4341231492418.4204</v>
      </c>
      <c r="O166">
        <f>IF('Calculations PJ'!O166&lt;&gt;0,'Calculations PJ'!O166*About!$B$45,0)</f>
        <v>4180094078944.374</v>
      </c>
      <c r="P166">
        <f>IF('Calculations PJ'!P166&lt;&gt;0,'Calculations PJ'!P166*About!$B$45,0)</f>
        <v>4009477994089.502</v>
      </c>
      <c r="Q166">
        <f>IF('Calculations PJ'!Q166&lt;&gt;0,'Calculations PJ'!Q166*About!$B$45,0)</f>
        <v>3838861909234.6289</v>
      </c>
      <c r="R166">
        <f>IF('Calculations PJ'!R166&lt;&gt;0,'Calculations PJ'!R166*About!$B$45,0)</f>
        <v>3677724495760.583</v>
      </c>
      <c r="S166">
        <f>IF('Calculations PJ'!S166&lt;&gt;0,'Calculations PJ'!S166*About!$B$45,0)</f>
        <v>3507108410905.7109</v>
      </c>
      <c r="T166">
        <f>IF('Calculations PJ'!T166&lt;&gt;0,'Calculations PJ'!T166*About!$B$45,0)</f>
        <v>3336492326050.8384</v>
      </c>
      <c r="U166">
        <f>IF('Calculations PJ'!U166&lt;&gt;0,'Calculations PJ'!U166*About!$B$45,0)</f>
        <v>3175354912576.792</v>
      </c>
      <c r="V166">
        <f>IF('Calculations PJ'!V166&lt;&gt;0,'Calculations PJ'!V166*About!$B$45,0)</f>
        <v>3004738827721.9194</v>
      </c>
      <c r="W166">
        <f>IF('Calculations PJ'!W166&lt;&gt;0,'Calculations PJ'!W166*About!$B$45,0)</f>
        <v>2843601414247.8735</v>
      </c>
      <c r="X166">
        <f>IF('Calculations PJ'!X166&lt;&gt;0,'Calculations PJ'!X166*About!$B$45,0)</f>
        <v>2672985329393.001</v>
      </c>
      <c r="Y166">
        <f>IF('Calculations PJ'!Y166&lt;&gt;0,'Calculations PJ'!Y166*About!$B$45,0)</f>
        <v>2502369244538.1289</v>
      </c>
      <c r="Z166">
        <f>IF('Calculations PJ'!Z166&lt;&gt;0,'Calculations PJ'!Z166*About!$B$45,0)</f>
        <v>2341231831064.0825</v>
      </c>
      <c r="AA166">
        <f>IF('Calculations PJ'!AA166&lt;&gt;0,'Calculations PJ'!AA166*About!$B$45,0)</f>
        <v>2170615746209.2102</v>
      </c>
      <c r="AB166">
        <f>IF('Calculations PJ'!AB166&lt;&gt;0,'Calculations PJ'!AB166*About!$B$45,0)</f>
        <v>1999999661354.3376</v>
      </c>
      <c r="AC166">
        <f>IF('Calculations PJ'!AC166&lt;&gt;0,'Calculations PJ'!AC166*About!$B$45,0)</f>
        <v>1838862247880.2915</v>
      </c>
      <c r="AD166">
        <f>IF('Calculations PJ'!AD166&lt;&gt;0,'Calculations PJ'!AD166*About!$B$45,0)</f>
        <v>1668246163025.4192</v>
      </c>
      <c r="AE166">
        <f>IF('Calculations PJ'!AE166&lt;&gt;0,'Calculations PJ'!AE166*About!$B$45,0)</f>
        <v>1507108749551.373</v>
      </c>
      <c r="AF166">
        <f>IF('Calculations PJ'!AF166&lt;&gt;0,'Calculations PJ'!AF166*About!$B$45,0)</f>
        <v>1336492664696.5005</v>
      </c>
      <c r="AG166">
        <f>IF('Calculations PJ'!AG166&lt;&gt;0,'Calculations PJ'!AG166*About!$B$45,0)</f>
        <v>1165876579841.6282</v>
      </c>
      <c r="AH166">
        <f>IF('Calculations PJ'!AH166&lt;&gt;0,'Calculations PJ'!AH166*About!$B$45,0)</f>
        <v>1004739166367.582</v>
      </c>
      <c r="AI166">
        <f>IF('Calculations PJ'!AI166&lt;&gt;0,'Calculations PJ'!AI166*About!$B$45,0)</f>
        <v>834123081512.70959</v>
      </c>
      <c r="AJ166">
        <f>IF('Calculations PJ'!AJ166&lt;&gt;0,'Calculations PJ'!AJ166*About!$B$45,0)</f>
        <v>663506996657.83716</v>
      </c>
      <c r="AK166">
        <f>IF('Calculations PJ'!AK166&lt;&gt;0,'Calculations PJ'!AK166*About!$B$45,0)</f>
        <v>502369583183.79102</v>
      </c>
      <c r="AL166">
        <f>IF('Calculations PJ'!AL166&lt;&gt;0,'Calculations PJ'!AL166*About!$B$45,0)</f>
        <v>331753498328.91858</v>
      </c>
      <c r="AM166">
        <f>IF('Calculations PJ'!AM166&lt;&gt;0,'Calculations PJ'!AM166*About!$B$45,0)</f>
        <v>170616084854.87241</v>
      </c>
      <c r="AN166">
        <f>IF('Calculations PJ'!AN166&lt;&gt;0,'Calculations PJ'!AN166*About!$B$45,0)</f>
        <v>0</v>
      </c>
      <c r="AO166">
        <f>IF('Calculations PJ'!AO166&lt;&gt;0,'Calculations PJ'!AO166*About!$B$45,0)</f>
        <v>0</v>
      </c>
      <c r="AP166">
        <f>IF('Calculations PJ'!AP166&lt;&gt;0,'Calculations PJ'!AP166*About!$B$45,0)</f>
        <v>0</v>
      </c>
      <c r="AQ166">
        <f>IF('Calculations PJ'!AQ166&lt;&gt;0,'Calculations PJ'!AQ166*About!$B$45,0)</f>
        <v>0</v>
      </c>
      <c r="AR166">
        <f>IF('Calculations PJ'!AR166&lt;&gt;0,'Calculations PJ'!AR166*About!$B$45,0)</f>
        <v>0</v>
      </c>
      <c r="AS166">
        <f>IF('Calculations PJ'!AS166&lt;&gt;0,'Calculations PJ'!AS166*About!$B$45,0)</f>
        <v>0</v>
      </c>
      <c r="AT166">
        <f>IF('Calculations PJ'!AT166&lt;&gt;0,'Calculations PJ'!AT166*About!$B$45,0)</f>
        <v>0</v>
      </c>
      <c r="AU166">
        <f>IF('Calculations PJ'!AU166&lt;&gt;0,'Calculations PJ'!AU166*About!$B$45,0)</f>
        <v>0</v>
      </c>
      <c r="AV166">
        <f>IF('Calculations PJ'!AV166&lt;&gt;0,'Calculations PJ'!AV166*About!$B$45,0)</f>
        <v>0</v>
      </c>
      <c r="AW166">
        <f>IF('Calculations PJ'!AW166&lt;&gt;0,'Calculations PJ'!AW166*About!$B$45,0)</f>
        <v>0</v>
      </c>
      <c r="AX166">
        <f>IF('Calculations PJ'!AX166&lt;&gt;0,'Calculations PJ'!AX166*About!$B$45,0)</f>
        <v>0</v>
      </c>
      <c r="AY166">
        <f>IF('Calculations PJ'!AY166&lt;&gt;0,'Calculations PJ'!AY166*About!$B$45,0)</f>
        <v>0</v>
      </c>
      <c r="AZ166">
        <f>IF('Calculations PJ'!AZ166&lt;&gt;0,'Calculations PJ'!AZ166*About!$B$45,0)</f>
        <v>0</v>
      </c>
      <c r="BA166">
        <f>IF('Calculations PJ'!BA166&lt;&gt;0,'Calculations PJ'!BA166*About!$B$45,0)</f>
        <v>0</v>
      </c>
      <c r="BB166">
        <f>IF('Calculations PJ'!BB166&lt;&gt;0,'Calculations PJ'!BB166*About!$B$45,0)</f>
        <v>0</v>
      </c>
      <c r="BC166">
        <f>IF('Calculations PJ'!BC166&lt;&gt;0,'Calculations PJ'!BC166*About!$B$45,0)</f>
        <v>0</v>
      </c>
      <c r="BD166">
        <f>IF('Calculations PJ'!BD166&lt;&gt;0,'Calculations PJ'!BD166*About!$B$45,0)</f>
        <v>0</v>
      </c>
      <c r="BE166">
        <f>IF('Calculations PJ'!BE166&lt;&gt;0,'Calculations PJ'!BE166*About!$B$45,0)</f>
        <v>0</v>
      </c>
      <c r="BF166">
        <f>IF('Calculations PJ'!BF166&lt;&gt;0,'Calculations PJ'!BF166*About!$B$45,0)</f>
        <v>0</v>
      </c>
      <c r="BG166">
        <f>IF('Calculations PJ'!BG166&lt;&gt;0,'Calculations PJ'!BG166*About!$B$45,0)</f>
        <v>0</v>
      </c>
      <c r="BH166">
        <f>IF('Calculations PJ'!BH166&lt;&gt;0,'Calculations PJ'!BH166*About!$B$45,0)</f>
        <v>0</v>
      </c>
    </row>
    <row r="167" spans="2:60" hidden="1" outlineLevel="1">
      <c r="B167" t="s">
        <v>134</v>
      </c>
      <c r="C167">
        <f>IF('Calculations PJ'!C167&lt;&gt;0,'Calculations PJ'!C167*About!$B$45,0)</f>
        <v>142289075433273.28</v>
      </c>
      <c r="D167">
        <f>IF('Calculations PJ'!D167&lt;&gt;0,'Calculations PJ'!D167*About!$B$45,0)</f>
        <v>137900450583950.67</v>
      </c>
      <c r="E167">
        <f>IF('Calculations PJ'!E167&lt;&gt;0,'Calculations PJ'!E167*About!$B$45,0)</f>
        <v>51398095562530.273</v>
      </c>
      <c r="F167">
        <f>IF('Calculations PJ'!F167&lt;&gt;0,'Calculations PJ'!F167*About!$B$45,0)</f>
        <v>39061604760384.859</v>
      </c>
      <c r="G167">
        <f>IF('Calculations PJ'!G167&lt;&gt;0,'Calculations PJ'!G167*About!$B$45,0)</f>
        <v>57563971295757.641</v>
      </c>
      <c r="H167">
        <f>IF('Calculations PJ'!H167&lt;&gt;0,'Calculations PJ'!H167*About!$B$45,0)</f>
        <v>9677723479823.8301</v>
      </c>
      <c r="I167">
        <f>IF('Calculations PJ'!I167&lt;&gt;0,'Calculations PJ'!I167*About!$B$45,0)</f>
        <v>24298574084748.043</v>
      </c>
      <c r="J167">
        <f>IF('Calculations PJ'!J167&lt;&gt;0,'Calculations PJ'!J167*About!$B$45,0)</f>
        <v>19056868811151.191</v>
      </c>
      <c r="K167">
        <f>IF('Calculations PJ'!K167&lt;&gt;0,'Calculations PJ'!K167*About!$B$45,0)</f>
        <v>66412311029759.07</v>
      </c>
      <c r="L167">
        <f>IF('Calculations PJ'!L167&lt;&gt;0,'Calculations PJ'!L167*About!$B$45,0)</f>
        <v>58535356542872.242</v>
      </c>
      <c r="M167">
        <f>IF('Calculations PJ'!M167&lt;&gt;0,'Calculations PJ'!M167*About!$B$45,0)</f>
        <v>59069450247129.906</v>
      </c>
      <c r="N167">
        <f>IF('Calculations PJ'!N167&lt;&gt;0,'Calculations PJ'!N167*About!$B$45,0)</f>
        <v>60818255394503.719</v>
      </c>
      <c r="O167">
        <f>IF('Calculations PJ'!O167&lt;&gt;0,'Calculations PJ'!O167*About!$B$45,0)</f>
        <v>62308575304015.984</v>
      </c>
      <c r="P167">
        <f>IF('Calculations PJ'!P167&lt;&gt;0,'Calculations PJ'!P167*About!$B$45,0)</f>
        <v>65371032140129.742</v>
      </c>
      <c r="Q167">
        <f>IF('Calculations PJ'!Q167&lt;&gt;0,'Calculations PJ'!Q167*About!$B$45,0)</f>
        <v>70102799121331.172</v>
      </c>
      <c r="R167">
        <f>IF('Calculations PJ'!R167&lt;&gt;0,'Calculations PJ'!R167*About!$B$45,0)</f>
        <v>72143393490226.469</v>
      </c>
      <c r="S167">
        <f>IF('Calculations PJ'!S167&lt;&gt;0,'Calculations PJ'!S167*About!$B$45,0)</f>
        <v>72291718608034.109</v>
      </c>
      <c r="T167">
        <f>IF('Calculations PJ'!T167&lt;&gt;0,'Calculations PJ'!T167*About!$B$45,0)</f>
        <v>72289615575357.672</v>
      </c>
      <c r="U167">
        <f>IF('Calculations PJ'!U167&lt;&gt;0,'Calculations PJ'!U167*About!$B$45,0)</f>
        <v>72118030339202.625</v>
      </c>
      <c r="V167">
        <f>IF('Calculations PJ'!V167&lt;&gt;0,'Calculations PJ'!V167*About!$B$45,0)</f>
        <v>71761702038549.531</v>
      </c>
      <c r="W167">
        <f>IF('Calculations PJ'!W167&lt;&gt;0,'Calculations PJ'!W167*About!$B$45,0)</f>
        <v>71239631678954.719</v>
      </c>
      <c r="X167">
        <f>IF('Calculations PJ'!X167&lt;&gt;0,'Calculations PJ'!X167*About!$B$45,0)</f>
        <v>70365759046262.57</v>
      </c>
      <c r="Y167">
        <f>IF('Calculations PJ'!Y167&lt;&gt;0,'Calculations PJ'!Y167*About!$B$45,0)</f>
        <v>69141401290129.781</v>
      </c>
      <c r="Z167">
        <f>IF('Calculations PJ'!Z167&lt;&gt;0,'Calculations PJ'!Z167*About!$B$45,0)</f>
        <v>67567990876666.156</v>
      </c>
      <c r="AA167">
        <f>IF('Calculations PJ'!AA167&lt;&gt;0,'Calculations PJ'!AA167*About!$B$45,0)</f>
        <v>65638639771019.828</v>
      </c>
      <c r="AB167">
        <f>IF('Calculations PJ'!AB167&lt;&gt;0,'Calculations PJ'!AB167*About!$B$45,0)</f>
        <v>63714585254868.977</v>
      </c>
      <c r="AC167">
        <f>IF('Calculations PJ'!AC167&lt;&gt;0,'Calculations PJ'!AC167*About!$B$45,0)</f>
        <v>61787665806490.531</v>
      </c>
      <c r="AD167">
        <f>IF('Calculations PJ'!AD167&lt;&gt;0,'Calculations PJ'!AD167*About!$B$45,0)</f>
        <v>59855891705960.703</v>
      </c>
      <c r="AE167">
        <f>IF('Calculations PJ'!AE167&lt;&gt;0,'Calculations PJ'!AE167*About!$B$45,0)</f>
        <v>57927265495759.977</v>
      </c>
      <c r="AF167">
        <f>IF('Calculations PJ'!AF167&lt;&gt;0,'Calculations PJ'!AF167*About!$B$45,0)</f>
        <v>56002547071731.969</v>
      </c>
      <c r="AG167">
        <f>IF('Calculations PJ'!AG167&lt;&gt;0,'Calculations PJ'!AG167*About!$B$45,0)</f>
        <v>54079544071919.578</v>
      </c>
      <c r="AH167">
        <f>IF('Calculations PJ'!AH167&lt;&gt;0,'Calculations PJ'!AH167*About!$B$45,0)</f>
        <v>52140775282460.93</v>
      </c>
      <c r="AI167">
        <f>IF('Calculations PJ'!AI167&lt;&gt;0,'Calculations PJ'!AI167*About!$B$45,0)</f>
        <v>50218656157346.117</v>
      </c>
      <c r="AJ167">
        <f>IF('Calculations PJ'!AJ167&lt;&gt;0,'Calculations PJ'!AJ167*About!$B$45,0)</f>
        <v>48297579886180.672</v>
      </c>
      <c r="AK167">
        <f>IF('Calculations PJ'!AK167&lt;&gt;0,'Calculations PJ'!AK167*About!$B$45,0)</f>
        <v>46359261696464.625</v>
      </c>
      <c r="AL167">
        <f>IF('Calculations PJ'!AL167&lt;&gt;0,'Calculations PJ'!AL167*About!$B$45,0)</f>
        <v>44432181265130.688</v>
      </c>
      <c r="AM167">
        <f>IF('Calculations PJ'!AM167&lt;&gt;0,'Calculations PJ'!AM167*About!$B$45,0)</f>
        <v>42499928223151.414</v>
      </c>
      <c r="AN167">
        <f>IF('Calculations PJ'!AN167&lt;&gt;0,'Calculations PJ'!AN167*About!$B$45,0)</f>
        <v>40572131558760.789</v>
      </c>
      <c r="AO167">
        <f>IF('Calculations PJ'!AO167&lt;&gt;0,'Calculations PJ'!AO167*About!$B$45,0)</f>
        <v>40572131558760.789</v>
      </c>
      <c r="AP167">
        <f>IF('Calculations PJ'!AP167&lt;&gt;0,'Calculations PJ'!AP167*About!$B$45,0)</f>
        <v>40572131558760.789</v>
      </c>
      <c r="AQ167">
        <f>IF('Calculations PJ'!AQ167&lt;&gt;0,'Calculations PJ'!AQ167*About!$B$45,0)</f>
        <v>40572131558760.789</v>
      </c>
      <c r="AR167">
        <f>IF('Calculations PJ'!AR167&lt;&gt;0,'Calculations PJ'!AR167*About!$B$45,0)</f>
        <v>40572131558760.789</v>
      </c>
      <c r="AS167">
        <f>IF('Calculations PJ'!AS167&lt;&gt;0,'Calculations PJ'!AS167*About!$B$45,0)</f>
        <v>40572131558760.789</v>
      </c>
      <c r="AT167">
        <f>IF('Calculations PJ'!AT167&lt;&gt;0,'Calculations PJ'!AT167*About!$B$45,0)</f>
        <v>40572131558760.789</v>
      </c>
      <c r="AU167">
        <f>IF('Calculations PJ'!AU167&lt;&gt;0,'Calculations PJ'!AU167*About!$B$45,0)</f>
        <v>40572131558760.789</v>
      </c>
      <c r="AV167">
        <f>IF('Calculations PJ'!AV167&lt;&gt;0,'Calculations PJ'!AV167*About!$B$45,0)</f>
        <v>40572131558760.789</v>
      </c>
      <c r="AW167">
        <f>IF('Calculations PJ'!AW167&lt;&gt;0,'Calculations PJ'!AW167*About!$B$45,0)</f>
        <v>40572131558760.789</v>
      </c>
      <c r="AX167">
        <f>IF('Calculations PJ'!AX167&lt;&gt;0,'Calculations PJ'!AX167*About!$B$45,0)</f>
        <v>40572131558760.789</v>
      </c>
      <c r="AY167">
        <f>IF('Calculations PJ'!AY167&lt;&gt;0,'Calculations PJ'!AY167*About!$B$45,0)</f>
        <v>40572131558760.789</v>
      </c>
      <c r="AZ167">
        <f>IF('Calculations PJ'!AZ167&lt;&gt;0,'Calculations PJ'!AZ167*About!$B$45,0)</f>
        <v>40572131558760.789</v>
      </c>
      <c r="BA167">
        <f>IF('Calculations PJ'!BA167&lt;&gt;0,'Calculations PJ'!BA167*About!$B$45,0)</f>
        <v>40572131558760.789</v>
      </c>
      <c r="BB167">
        <f>IF('Calculations PJ'!BB167&lt;&gt;0,'Calculations PJ'!BB167*About!$B$45,0)</f>
        <v>40572131558760.789</v>
      </c>
      <c r="BC167">
        <f>IF('Calculations PJ'!BC167&lt;&gt;0,'Calculations PJ'!BC167*About!$B$45,0)</f>
        <v>40572131558760.789</v>
      </c>
      <c r="BD167">
        <f>IF('Calculations PJ'!BD167&lt;&gt;0,'Calculations PJ'!BD167*About!$B$45,0)</f>
        <v>40572131558760.789</v>
      </c>
      <c r="BE167">
        <f>IF('Calculations PJ'!BE167&lt;&gt;0,'Calculations PJ'!BE167*About!$B$45,0)</f>
        <v>40572131558760.789</v>
      </c>
      <c r="BF167">
        <f>IF('Calculations PJ'!BF167&lt;&gt;0,'Calculations PJ'!BF167*About!$B$45,0)</f>
        <v>40572131558760.789</v>
      </c>
      <c r="BG167">
        <f>IF('Calculations PJ'!BG167&lt;&gt;0,'Calculations PJ'!BG167*About!$B$45,0)</f>
        <v>40572131558760.789</v>
      </c>
      <c r="BH167">
        <f>IF('Calculations PJ'!BH167&lt;&gt;0,'Calculations PJ'!BH167*About!$B$45,0)</f>
        <v>40572131558760.789</v>
      </c>
    </row>
    <row r="168" spans="2:60" hidden="1" outlineLevel="1">
      <c r="B168" t="s">
        <v>135</v>
      </c>
      <c r="C168">
        <f>IF('Calculations PJ'!C168&lt;&gt;0,'Calculations PJ'!C168*About!$B$45,0)</f>
        <v>5004738489076.2578</v>
      </c>
      <c r="D168">
        <f>IF('Calculations PJ'!D168&lt;&gt;0,'Calculations PJ'!D168*About!$B$45,0)</f>
        <v>2322274488302.4302</v>
      </c>
      <c r="E168">
        <f>IF('Calculations PJ'!E168&lt;&gt;0,'Calculations PJ'!E168*About!$B$45,0)</f>
        <v>3582937781952.3208</v>
      </c>
      <c r="F168">
        <f>IF('Calculations PJ'!F168&lt;&gt;0,'Calculations PJ'!F168*About!$B$45,0)</f>
        <v>8748813684502.625</v>
      </c>
      <c r="G168">
        <f>IF('Calculations PJ'!G168&lt;&gt;0,'Calculations PJ'!G168*About!$B$45,0)</f>
        <v>7298576963236.209</v>
      </c>
      <c r="H168">
        <f>IF('Calculations PJ'!H168&lt;&gt;0,'Calculations PJ'!H168*About!$B$45,0)</f>
        <v>6597155281055.0664</v>
      </c>
      <c r="I168">
        <f>IF('Calculations PJ'!I168&lt;&gt;0,'Calculations PJ'!I168*About!$B$45,0)</f>
        <v>8521325571362.7949</v>
      </c>
      <c r="J168">
        <f>IF('Calculations PJ'!J168&lt;&gt;0,'Calculations PJ'!J168*About!$B$45,0)</f>
        <v>6417060524819.3672</v>
      </c>
      <c r="K168">
        <f>IF('Calculations PJ'!K168&lt;&gt;0,'Calculations PJ'!K168*About!$B$45,0)</f>
        <v>6682463323482.5039</v>
      </c>
      <c r="L168">
        <f>IF('Calculations PJ'!L168&lt;&gt;0,'Calculations PJ'!L168*About!$B$45,0)</f>
        <v>6701420666244.1553</v>
      </c>
      <c r="M168">
        <f>IF('Calculations PJ'!M168&lt;&gt;0,'Calculations PJ'!M168*About!$B$45,0)</f>
        <v>6777250037290.7656</v>
      </c>
      <c r="N168">
        <f>IF('Calculations PJ'!N168&lt;&gt;0,'Calculations PJ'!N168*About!$B$45,0)</f>
        <v>6843600736956.5488</v>
      </c>
      <c r="O168">
        <f>IF('Calculations PJ'!O168&lt;&gt;0,'Calculations PJ'!O168*About!$B$45,0)</f>
        <v>6909951436622.333</v>
      </c>
      <c r="P168">
        <f>IF('Calculations PJ'!P168&lt;&gt;0,'Calculations PJ'!P168*About!$B$45,0)</f>
        <v>6995259479049.7686</v>
      </c>
      <c r="Q168">
        <f>IF('Calculations PJ'!Q168&lt;&gt;0,'Calculations PJ'!Q168*About!$B$45,0)</f>
        <v>7061610178715.5527</v>
      </c>
      <c r="R168">
        <f>IF('Calculations PJ'!R168&lt;&gt;0,'Calculations PJ'!R168*About!$B$45,0)</f>
        <v>7127960878381.3369</v>
      </c>
      <c r="S168">
        <f>IF('Calculations PJ'!S168&lt;&gt;0,'Calculations PJ'!S168*About!$B$45,0)</f>
        <v>7213268920808.7725</v>
      </c>
      <c r="T168">
        <f>IF('Calculations PJ'!T168&lt;&gt;0,'Calculations PJ'!T168*About!$B$45,0)</f>
        <v>7279619620474.5557</v>
      </c>
      <c r="U168">
        <f>IF('Calculations PJ'!U168&lt;&gt;0,'Calculations PJ'!U168*About!$B$45,0)</f>
        <v>7345970320140.3398</v>
      </c>
      <c r="V168">
        <f>IF('Calculations PJ'!V168&lt;&gt;0,'Calculations PJ'!V168*About!$B$45,0)</f>
        <v>7431278362567.7764</v>
      </c>
      <c r="W168">
        <f>IF('Calculations PJ'!W168&lt;&gt;0,'Calculations PJ'!W168*About!$B$45,0)</f>
        <v>7497629062233.5596</v>
      </c>
      <c r="X168">
        <f>IF('Calculations PJ'!X168&lt;&gt;0,'Calculations PJ'!X168*About!$B$45,0)</f>
        <v>7563979761899.3438</v>
      </c>
      <c r="Y168">
        <f>IF('Calculations PJ'!Y168&lt;&gt;0,'Calculations PJ'!Y168*About!$B$45,0)</f>
        <v>7639809132945.9541</v>
      </c>
      <c r="Z168">
        <f>IF('Calculations PJ'!Z168&lt;&gt;0,'Calculations PJ'!Z168*About!$B$45,0)</f>
        <v>7715638503992.5645</v>
      </c>
      <c r="AA168">
        <f>IF('Calculations PJ'!AA168&lt;&gt;0,'Calculations PJ'!AA168*About!$B$45,0)</f>
        <v>7781989203658.3467</v>
      </c>
      <c r="AB168">
        <f>IF('Calculations PJ'!AB168&lt;&gt;0,'Calculations PJ'!AB168*About!$B$45,0)</f>
        <v>7848339903324.1299</v>
      </c>
      <c r="AC168">
        <f>IF('Calculations PJ'!AC168&lt;&gt;0,'Calculations PJ'!AC168*About!$B$45,0)</f>
        <v>7933647945751.5664</v>
      </c>
      <c r="AD168">
        <f>IF('Calculations PJ'!AD168&lt;&gt;0,'Calculations PJ'!AD168*About!$B$45,0)</f>
        <v>7999998645417.3506</v>
      </c>
      <c r="AE168">
        <f>IF('Calculations PJ'!AE168&lt;&gt;0,'Calculations PJ'!AE168*About!$B$45,0)</f>
        <v>8066349345083.1348</v>
      </c>
      <c r="AF168">
        <f>IF('Calculations PJ'!AF168&lt;&gt;0,'Calculations PJ'!AF168*About!$B$45,0)</f>
        <v>8151657387510.5723</v>
      </c>
      <c r="AG168">
        <f>IF('Calculations PJ'!AG168&lt;&gt;0,'Calculations PJ'!AG168*About!$B$45,0)</f>
        <v>8218008087176.3545</v>
      </c>
      <c r="AH168">
        <f>IF('Calculations PJ'!AH168&lt;&gt;0,'Calculations PJ'!AH168*About!$B$45,0)</f>
        <v>8284358786842.1387</v>
      </c>
      <c r="AI168">
        <f>IF('Calculations PJ'!AI168&lt;&gt;0,'Calculations PJ'!AI168*About!$B$45,0)</f>
        <v>8360188157888.748</v>
      </c>
      <c r="AJ168">
        <f>IF('Calculations PJ'!AJ168&lt;&gt;0,'Calculations PJ'!AJ168*About!$B$45,0)</f>
        <v>8436017528935.3584</v>
      </c>
      <c r="AK168">
        <f>IF('Calculations PJ'!AK168&lt;&gt;0,'Calculations PJ'!AK168*About!$B$45,0)</f>
        <v>8502368228601.1426</v>
      </c>
      <c r="AL168">
        <f>IF('Calculations PJ'!AL168&lt;&gt;0,'Calculations PJ'!AL168*About!$B$45,0)</f>
        <v>8578197599647.7529</v>
      </c>
      <c r="AM168">
        <f>IF('Calculations PJ'!AM168&lt;&gt;0,'Calculations PJ'!AM168*About!$B$45,0)</f>
        <v>8654026970694.3623</v>
      </c>
      <c r="AN168">
        <f>IF('Calculations PJ'!AN168&lt;&gt;0,'Calculations PJ'!AN168*About!$B$45,0)</f>
        <v>8720377670360.1445</v>
      </c>
      <c r="AO168">
        <f>IF('Calculations PJ'!AO168&lt;&gt;0,'Calculations PJ'!AO168*About!$B$45,0)</f>
        <v>8720377670360.1445</v>
      </c>
      <c r="AP168">
        <f>IF('Calculations PJ'!AP168&lt;&gt;0,'Calculations PJ'!AP168*About!$B$45,0)</f>
        <v>8720377670360.1445</v>
      </c>
      <c r="AQ168">
        <f>IF('Calculations PJ'!AQ168&lt;&gt;0,'Calculations PJ'!AQ168*About!$B$45,0)</f>
        <v>8720377670360.1445</v>
      </c>
      <c r="AR168">
        <f>IF('Calculations PJ'!AR168&lt;&gt;0,'Calculations PJ'!AR168*About!$B$45,0)</f>
        <v>8720377670360.1445</v>
      </c>
      <c r="AS168">
        <f>IF('Calculations PJ'!AS168&lt;&gt;0,'Calculations PJ'!AS168*About!$B$45,0)</f>
        <v>8720377670360.1445</v>
      </c>
      <c r="AT168">
        <f>IF('Calculations PJ'!AT168&lt;&gt;0,'Calculations PJ'!AT168*About!$B$45,0)</f>
        <v>8720377670360.1445</v>
      </c>
      <c r="AU168">
        <f>IF('Calculations PJ'!AU168&lt;&gt;0,'Calculations PJ'!AU168*About!$B$45,0)</f>
        <v>8720377670360.1445</v>
      </c>
      <c r="AV168">
        <f>IF('Calculations PJ'!AV168&lt;&gt;0,'Calculations PJ'!AV168*About!$B$45,0)</f>
        <v>8720377670360.1445</v>
      </c>
      <c r="AW168">
        <f>IF('Calculations PJ'!AW168&lt;&gt;0,'Calculations PJ'!AW168*About!$B$45,0)</f>
        <v>8720377670360.1445</v>
      </c>
      <c r="AX168">
        <f>IF('Calculations PJ'!AX168&lt;&gt;0,'Calculations PJ'!AX168*About!$B$45,0)</f>
        <v>8720377670360.1445</v>
      </c>
      <c r="AY168">
        <f>IF('Calculations PJ'!AY168&lt;&gt;0,'Calculations PJ'!AY168*About!$B$45,0)</f>
        <v>8720377670360.1445</v>
      </c>
      <c r="AZ168">
        <f>IF('Calculations PJ'!AZ168&lt;&gt;0,'Calculations PJ'!AZ168*About!$B$45,0)</f>
        <v>8720377670360.1445</v>
      </c>
      <c r="BA168">
        <f>IF('Calculations PJ'!BA168&lt;&gt;0,'Calculations PJ'!BA168*About!$B$45,0)</f>
        <v>8720377670360.1445</v>
      </c>
      <c r="BB168">
        <f>IF('Calculations PJ'!BB168&lt;&gt;0,'Calculations PJ'!BB168*About!$B$45,0)</f>
        <v>8720377670360.1445</v>
      </c>
      <c r="BC168">
        <f>IF('Calculations PJ'!BC168&lt;&gt;0,'Calculations PJ'!BC168*About!$B$45,0)</f>
        <v>8720377670360.1445</v>
      </c>
      <c r="BD168">
        <f>IF('Calculations PJ'!BD168&lt;&gt;0,'Calculations PJ'!BD168*About!$B$45,0)</f>
        <v>8720377670360.1445</v>
      </c>
      <c r="BE168">
        <f>IF('Calculations PJ'!BE168&lt;&gt;0,'Calculations PJ'!BE168*About!$B$45,0)</f>
        <v>8720377670360.1445</v>
      </c>
      <c r="BF168">
        <f>IF('Calculations PJ'!BF168&lt;&gt;0,'Calculations PJ'!BF168*About!$B$45,0)</f>
        <v>8720377670360.1445</v>
      </c>
      <c r="BG168">
        <f>IF('Calculations PJ'!BG168&lt;&gt;0,'Calculations PJ'!BG168*About!$B$45,0)</f>
        <v>8720377670360.1445</v>
      </c>
      <c r="BH168">
        <f>IF('Calculations PJ'!BH168&lt;&gt;0,'Calculations PJ'!BH168*About!$B$45,0)</f>
        <v>8720377670360.1445</v>
      </c>
    </row>
    <row r="169" spans="2:60" hidden="1" outlineLevel="1">
      <c r="B169" t="s">
        <v>136</v>
      </c>
      <c r="C169">
        <f>IF('Calculations PJ'!C169&lt;&gt;0,'Calculations PJ'!C169*About!$B$45,0)</f>
        <v>483412240422.13849</v>
      </c>
      <c r="D169">
        <f>IF('Calculations PJ'!D169&lt;&gt;0,'Calculations PJ'!D169*About!$B$45,0)</f>
        <v>454976226279.65973</v>
      </c>
      <c r="E169">
        <f>IF('Calculations PJ'!E169&lt;&gt;0,'Calculations PJ'!E169*About!$B$45,0)</f>
        <v>672985668038.66333</v>
      </c>
      <c r="F169">
        <f>IF('Calculations PJ'!F169&lt;&gt;0,'Calculations PJ'!F169*About!$B$45,0)</f>
        <v>862559095655.18835</v>
      </c>
      <c r="G169">
        <f>IF('Calculations PJ'!G169&lt;&gt;0,'Calculations PJ'!G169*About!$B$45,0)</f>
        <v>853080424274.36206</v>
      </c>
      <c r="H169">
        <f>IF('Calculations PJ'!H169&lt;&gt;0,'Calculations PJ'!H169*About!$B$45,0)</f>
        <v>255924127282.30862</v>
      </c>
      <c r="I169">
        <f>IF('Calculations PJ'!I169&lt;&gt;0,'Calculations PJ'!I169*About!$B$45,0)</f>
        <v>398104197994.70227</v>
      </c>
      <c r="J169">
        <f>IF('Calculations PJ'!J169&lt;&gt;0,'Calculations PJ'!J169*About!$B$45,0)</f>
        <v>398104197994.70227</v>
      </c>
      <c r="K169">
        <f>IF('Calculations PJ'!K169&lt;&gt;0,'Calculations PJ'!K169*About!$B$45,0)</f>
        <v>492890911802.96478</v>
      </c>
      <c r="L169">
        <f>IF('Calculations PJ'!L169&lt;&gt;0,'Calculations PJ'!L169*About!$B$45,0)</f>
        <v>473933569041.31226</v>
      </c>
      <c r="M169">
        <f>IF('Calculations PJ'!M169&lt;&gt;0,'Calculations PJ'!M169*About!$B$45,0)</f>
        <v>464454897660.48602</v>
      </c>
      <c r="N169">
        <f>IF('Calculations PJ'!N169&lt;&gt;0,'Calculations PJ'!N169*About!$B$45,0)</f>
        <v>445497554898.8335</v>
      </c>
      <c r="O169">
        <f>IF('Calculations PJ'!O169&lt;&gt;0,'Calculations PJ'!O169*About!$B$45,0)</f>
        <v>426540212137.18103</v>
      </c>
      <c r="P169">
        <f>IF('Calculations PJ'!P169&lt;&gt;0,'Calculations PJ'!P169*About!$B$45,0)</f>
        <v>407582869375.5285</v>
      </c>
      <c r="Q169">
        <f>IF('Calculations PJ'!Q169&lt;&gt;0,'Calculations PJ'!Q169*About!$B$45,0)</f>
        <v>388625526613.87604</v>
      </c>
      <c r="R169">
        <f>IF('Calculations PJ'!R169&lt;&gt;0,'Calculations PJ'!R169*About!$B$45,0)</f>
        <v>379146855233.0498</v>
      </c>
      <c r="S169">
        <f>IF('Calculations PJ'!S169&lt;&gt;0,'Calculations PJ'!S169*About!$B$45,0)</f>
        <v>360189512471.39734</v>
      </c>
      <c r="T169">
        <f>IF('Calculations PJ'!T169&lt;&gt;0,'Calculations PJ'!T169*About!$B$45,0)</f>
        <v>341232169709.74481</v>
      </c>
      <c r="U169">
        <f>IF('Calculations PJ'!U169&lt;&gt;0,'Calculations PJ'!U169*About!$B$45,0)</f>
        <v>322274826948.09235</v>
      </c>
      <c r="V169">
        <f>IF('Calculations PJ'!V169&lt;&gt;0,'Calculations PJ'!V169*About!$B$45,0)</f>
        <v>303317484186.43988</v>
      </c>
      <c r="W169">
        <f>IF('Calculations PJ'!W169&lt;&gt;0,'Calculations PJ'!W169*About!$B$45,0)</f>
        <v>293838812805.61359</v>
      </c>
      <c r="X169">
        <f>IF('Calculations PJ'!X169&lt;&gt;0,'Calculations PJ'!X169*About!$B$45,0)</f>
        <v>274881470043.96106</v>
      </c>
      <c r="Y169">
        <f>IF('Calculations PJ'!Y169&lt;&gt;0,'Calculations PJ'!Y169*About!$B$45,0)</f>
        <v>255924127282.30862</v>
      </c>
      <c r="Z169">
        <f>IF('Calculations PJ'!Z169&lt;&gt;0,'Calculations PJ'!Z169*About!$B$45,0)</f>
        <v>236966784520.65613</v>
      </c>
      <c r="AA169">
        <f>IF('Calculations PJ'!AA169&lt;&gt;0,'Calculations PJ'!AA169*About!$B$45,0)</f>
        <v>218009441759.00366</v>
      </c>
      <c r="AB169">
        <f>IF('Calculations PJ'!AB169&lt;&gt;0,'Calculations PJ'!AB169*About!$B$45,0)</f>
        <v>208530770378.1774</v>
      </c>
      <c r="AC169">
        <f>IF('Calculations PJ'!AC169&lt;&gt;0,'Calculations PJ'!AC169*About!$B$45,0)</f>
        <v>189573427616.5249</v>
      </c>
      <c r="AD169">
        <f>IF('Calculations PJ'!AD169&lt;&gt;0,'Calculations PJ'!AD169*About!$B$45,0)</f>
        <v>170616084854.87241</v>
      </c>
      <c r="AE169">
        <f>IF('Calculations PJ'!AE169&lt;&gt;0,'Calculations PJ'!AE169*About!$B$45,0)</f>
        <v>151658742093.21994</v>
      </c>
      <c r="AF169">
        <f>IF('Calculations PJ'!AF169&lt;&gt;0,'Calculations PJ'!AF169*About!$B$45,0)</f>
        <v>132701399331.56744</v>
      </c>
      <c r="AG169">
        <f>IF('Calculations PJ'!AG169&lt;&gt;0,'Calculations PJ'!AG169*About!$B$45,0)</f>
        <v>123222727950.7412</v>
      </c>
      <c r="AH169">
        <f>IF('Calculations PJ'!AH169&lt;&gt;0,'Calculations PJ'!AH169*About!$B$45,0)</f>
        <v>104265385189.0887</v>
      </c>
      <c r="AI169">
        <f>IF('Calculations PJ'!AI169&lt;&gt;0,'Calculations PJ'!AI169*About!$B$45,0)</f>
        <v>85308042427.436203</v>
      </c>
      <c r="AJ169">
        <f>IF('Calculations PJ'!AJ169&lt;&gt;0,'Calculations PJ'!AJ169*About!$B$45,0)</f>
        <v>66350699665.783722</v>
      </c>
      <c r="AK169">
        <f>IF('Calculations PJ'!AK169&lt;&gt;0,'Calculations PJ'!AK169*About!$B$45,0)</f>
        <v>47393356904.131226</v>
      </c>
      <c r="AL169">
        <f>IF('Calculations PJ'!AL169&lt;&gt;0,'Calculations PJ'!AL169*About!$B$45,0)</f>
        <v>37914685523.304985</v>
      </c>
      <c r="AM169">
        <f>IF('Calculations PJ'!AM169&lt;&gt;0,'Calculations PJ'!AM169*About!$B$45,0)</f>
        <v>18957342761.652493</v>
      </c>
      <c r="AN169">
        <f>IF('Calculations PJ'!AN169&lt;&gt;0,'Calculations PJ'!AN169*About!$B$45,0)</f>
        <v>0</v>
      </c>
      <c r="AO169">
        <f>IF('Calculations PJ'!AO169&lt;&gt;0,'Calculations PJ'!AO169*About!$B$45,0)</f>
        <v>0</v>
      </c>
      <c r="AP169">
        <f>IF('Calculations PJ'!AP169&lt;&gt;0,'Calculations PJ'!AP169*About!$B$45,0)</f>
        <v>0</v>
      </c>
      <c r="AQ169">
        <f>IF('Calculations PJ'!AQ169&lt;&gt;0,'Calculations PJ'!AQ169*About!$B$45,0)</f>
        <v>0</v>
      </c>
      <c r="AR169">
        <f>IF('Calculations PJ'!AR169&lt;&gt;0,'Calculations PJ'!AR169*About!$B$45,0)</f>
        <v>0</v>
      </c>
      <c r="AS169">
        <f>IF('Calculations PJ'!AS169&lt;&gt;0,'Calculations PJ'!AS169*About!$B$45,0)</f>
        <v>0</v>
      </c>
      <c r="AT169">
        <f>IF('Calculations PJ'!AT169&lt;&gt;0,'Calculations PJ'!AT169*About!$B$45,0)</f>
        <v>0</v>
      </c>
      <c r="AU169">
        <f>IF('Calculations PJ'!AU169&lt;&gt;0,'Calculations PJ'!AU169*About!$B$45,0)</f>
        <v>0</v>
      </c>
      <c r="AV169">
        <f>IF('Calculations PJ'!AV169&lt;&gt;0,'Calculations PJ'!AV169*About!$B$45,0)</f>
        <v>0</v>
      </c>
      <c r="AW169">
        <f>IF('Calculations PJ'!AW169&lt;&gt;0,'Calculations PJ'!AW169*About!$B$45,0)</f>
        <v>0</v>
      </c>
      <c r="AX169">
        <f>IF('Calculations PJ'!AX169&lt;&gt;0,'Calculations PJ'!AX169*About!$B$45,0)</f>
        <v>0</v>
      </c>
      <c r="AY169">
        <f>IF('Calculations PJ'!AY169&lt;&gt;0,'Calculations PJ'!AY169*About!$B$45,0)</f>
        <v>0</v>
      </c>
      <c r="AZ169">
        <f>IF('Calculations PJ'!AZ169&lt;&gt;0,'Calculations PJ'!AZ169*About!$B$45,0)</f>
        <v>0</v>
      </c>
      <c r="BA169">
        <f>IF('Calculations PJ'!BA169&lt;&gt;0,'Calculations PJ'!BA169*About!$B$45,0)</f>
        <v>0</v>
      </c>
      <c r="BB169">
        <f>IF('Calculations PJ'!BB169&lt;&gt;0,'Calculations PJ'!BB169*About!$B$45,0)</f>
        <v>0</v>
      </c>
      <c r="BC169">
        <f>IF('Calculations PJ'!BC169&lt;&gt;0,'Calculations PJ'!BC169*About!$B$45,0)</f>
        <v>0</v>
      </c>
      <c r="BD169">
        <f>IF('Calculations PJ'!BD169&lt;&gt;0,'Calculations PJ'!BD169*About!$B$45,0)</f>
        <v>0</v>
      </c>
      <c r="BE169">
        <f>IF('Calculations PJ'!BE169&lt;&gt;0,'Calculations PJ'!BE169*About!$B$45,0)</f>
        <v>0</v>
      </c>
      <c r="BF169">
        <f>IF('Calculations PJ'!BF169&lt;&gt;0,'Calculations PJ'!BF169*About!$B$45,0)</f>
        <v>0</v>
      </c>
      <c r="BG169">
        <f>IF('Calculations PJ'!BG169&lt;&gt;0,'Calculations PJ'!BG169*About!$B$45,0)</f>
        <v>0</v>
      </c>
      <c r="BH169">
        <f>IF('Calculations PJ'!BH169&lt;&gt;0,'Calculations PJ'!BH169*About!$B$45,0)</f>
        <v>0</v>
      </c>
    </row>
    <row r="170" spans="2:60" hidden="1" outlineLevel="1">
      <c r="B170" t="s">
        <v>137</v>
      </c>
      <c r="C170">
        <f>IF('Calculations PJ'!C170&lt;&gt;0,'Calculations PJ'!C170*About!$B$45,0)</f>
        <v>2218009103113.3413</v>
      </c>
      <c r="D170">
        <f>IF('Calculations PJ'!D170&lt;&gt;0,'Calculations PJ'!D170*About!$B$45,0)</f>
        <v>1459715392647.2417</v>
      </c>
      <c r="E170">
        <f>IF('Calculations PJ'!E170&lt;&gt;0,'Calculations PJ'!E170*About!$B$45,0)</f>
        <v>1014217837748.4083</v>
      </c>
      <c r="F170">
        <f>IF('Calculations PJ'!F170&lt;&gt;0,'Calculations PJ'!F170*About!$B$45,0)</f>
        <v>672985668038.66333</v>
      </c>
      <c r="G170">
        <f>IF('Calculations PJ'!G170&lt;&gt;0,'Calculations PJ'!G170*About!$B$45,0)</f>
        <v>445497554898.83356</v>
      </c>
      <c r="H170">
        <f>IF('Calculations PJ'!H170&lt;&gt;0,'Calculations PJ'!H170*About!$B$45,0)</f>
        <v>142180070712.39371</v>
      </c>
      <c r="I170">
        <f>IF('Calculations PJ'!I170&lt;&gt;0,'Calculations PJ'!I170*About!$B$45,0)</f>
        <v>218009441759.00366</v>
      </c>
      <c r="J170">
        <f>IF('Calculations PJ'!J170&lt;&gt;0,'Calculations PJ'!J170*About!$B$45,0)</f>
        <v>218009441759.00366</v>
      </c>
      <c r="K170">
        <f>IF('Calculations PJ'!K170&lt;&gt;0,'Calculations PJ'!K170*About!$B$45,0)</f>
        <v>265402798663.13489</v>
      </c>
      <c r="L170">
        <f>IF('Calculations PJ'!L170&lt;&gt;0,'Calculations PJ'!L170*About!$B$45,0)</f>
        <v>255924127282.30862</v>
      </c>
      <c r="M170">
        <f>IF('Calculations PJ'!M170&lt;&gt;0,'Calculations PJ'!M170*About!$B$45,0)</f>
        <v>246445455901.48239</v>
      </c>
      <c r="N170">
        <f>IF('Calculations PJ'!N170&lt;&gt;0,'Calculations PJ'!N170*About!$B$45,0)</f>
        <v>236966784520.65613</v>
      </c>
      <c r="O170">
        <f>IF('Calculations PJ'!O170&lt;&gt;0,'Calculations PJ'!O170*About!$B$45,0)</f>
        <v>227488113139.8299</v>
      </c>
      <c r="P170">
        <f>IF('Calculations PJ'!P170&lt;&gt;0,'Calculations PJ'!P170*About!$B$45,0)</f>
        <v>218009441759.00366</v>
      </c>
      <c r="Q170">
        <f>IF('Calculations PJ'!Q170&lt;&gt;0,'Calculations PJ'!Q170*About!$B$45,0)</f>
        <v>208530770378.1774</v>
      </c>
      <c r="R170">
        <f>IF('Calculations PJ'!R170&lt;&gt;0,'Calculations PJ'!R170*About!$B$45,0)</f>
        <v>208530770378.1774</v>
      </c>
      <c r="S170">
        <f>IF('Calculations PJ'!S170&lt;&gt;0,'Calculations PJ'!S170*About!$B$45,0)</f>
        <v>199052098997.35117</v>
      </c>
      <c r="T170">
        <f>IF('Calculations PJ'!T170&lt;&gt;0,'Calculations PJ'!T170*About!$B$45,0)</f>
        <v>189573427616.5249</v>
      </c>
      <c r="U170">
        <f>IF('Calculations PJ'!U170&lt;&gt;0,'Calculations PJ'!U170*About!$B$45,0)</f>
        <v>180094756235.69867</v>
      </c>
      <c r="V170">
        <f>IF('Calculations PJ'!V170&lt;&gt;0,'Calculations PJ'!V170*About!$B$45,0)</f>
        <v>170616084854.87244</v>
      </c>
      <c r="W170">
        <f>IF('Calculations PJ'!W170&lt;&gt;0,'Calculations PJ'!W170*About!$B$45,0)</f>
        <v>161137413474.04617</v>
      </c>
      <c r="X170">
        <f>IF('Calculations PJ'!X170&lt;&gt;0,'Calculations PJ'!X170*About!$B$45,0)</f>
        <v>151658742093.21994</v>
      </c>
      <c r="Y170">
        <f>IF('Calculations PJ'!Y170&lt;&gt;0,'Calculations PJ'!Y170*About!$B$45,0)</f>
        <v>142180070712.39371</v>
      </c>
      <c r="Z170">
        <f>IF('Calculations PJ'!Z170&lt;&gt;0,'Calculations PJ'!Z170*About!$B$45,0)</f>
        <v>132701399331.56744</v>
      </c>
      <c r="AA170">
        <f>IF('Calculations PJ'!AA170&lt;&gt;0,'Calculations PJ'!AA170*About!$B$45,0)</f>
        <v>123222727950.7412</v>
      </c>
      <c r="AB170">
        <f>IF('Calculations PJ'!AB170&lt;&gt;0,'Calculations PJ'!AB170*About!$B$45,0)</f>
        <v>113744056569.91493</v>
      </c>
      <c r="AC170">
        <f>IF('Calculations PJ'!AC170&lt;&gt;0,'Calculations PJ'!AC170*About!$B$45,0)</f>
        <v>104265385189.0887</v>
      </c>
      <c r="AD170">
        <f>IF('Calculations PJ'!AD170&lt;&gt;0,'Calculations PJ'!AD170*About!$B$45,0)</f>
        <v>94786713808.262436</v>
      </c>
      <c r="AE170">
        <f>IF('Calculations PJ'!AE170&lt;&gt;0,'Calculations PJ'!AE170*About!$B$45,0)</f>
        <v>85308042427.436203</v>
      </c>
      <c r="AF170">
        <f>IF('Calculations PJ'!AF170&lt;&gt;0,'Calculations PJ'!AF170*About!$B$45,0)</f>
        <v>75829371046.60997</v>
      </c>
      <c r="AG170">
        <f>IF('Calculations PJ'!AG170&lt;&gt;0,'Calculations PJ'!AG170*About!$B$45,0)</f>
        <v>75829371046.60997</v>
      </c>
      <c r="AH170">
        <f>IF('Calculations PJ'!AH170&lt;&gt;0,'Calculations PJ'!AH170*About!$B$45,0)</f>
        <v>66350699665.783707</v>
      </c>
      <c r="AI170">
        <f>IF('Calculations PJ'!AI170&lt;&gt;0,'Calculations PJ'!AI170*About!$B$45,0)</f>
        <v>66350699665.783722</v>
      </c>
      <c r="AJ170">
        <f>IF('Calculations PJ'!AJ170&lt;&gt;0,'Calculations PJ'!AJ170*About!$B$45,0)</f>
        <v>56872028284.957466</v>
      </c>
      <c r="AK170">
        <f>IF('Calculations PJ'!AK170&lt;&gt;0,'Calculations PJ'!AK170*About!$B$45,0)</f>
        <v>47393356904.131226</v>
      </c>
      <c r="AL170">
        <f>IF('Calculations PJ'!AL170&lt;&gt;0,'Calculations PJ'!AL170*About!$B$45,0)</f>
        <v>37914685523.304985</v>
      </c>
      <c r="AM170">
        <f>IF('Calculations PJ'!AM170&lt;&gt;0,'Calculations PJ'!AM170*About!$B$45,0)</f>
        <v>28436014142.478733</v>
      </c>
      <c r="AN170">
        <f>IF('Calculations PJ'!AN170&lt;&gt;0,'Calculations PJ'!AN170*About!$B$45,0)</f>
        <v>18957342761.652493</v>
      </c>
      <c r="AO170">
        <f>IF('Calculations PJ'!AO170&lt;&gt;0,'Calculations PJ'!AO170*About!$B$45,0)</f>
        <v>18957342761.652493</v>
      </c>
      <c r="AP170">
        <f>IF('Calculations PJ'!AP170&lt;&gt;0,'Calculations PJ'!AP170*About!$B$45,0)</f>
        <v>18957342761.652493</v>
      </c>
      <c r="AQ170">
        <f>IF('Calculations PJ'!AQ170&lt;&gt;0,'Calculations PJ'!AQ170*About!$B$45,0)</f>
        <v>18957342761.652493</v>
      </c>
      <c r="AR170">
        <f>IF('Calculations PJ'!AR170&lt;&gt;0,'Calculations PJ'!AR170*About!$B$45,0)</f>
        <v>18957342761.652493</v>
      </c>
      <c r="AS170">
        <f>IF('Calculations PJ'!AS170&lt;&gt;0,'Calculations PJ'!AS170*About!$B$45,0)</f>
        <v>18957342761.652493</v>
      </c>
      <c r="AT170">
        <f>IF('Calculations PJ'!AT170&lt;&gt;0,'Calculations PJ'!AT170*About!$B$45,0)</f>
        <v>18957342761.652493</v>
      </c>
      <c r="AU170">
        <f>IF('Calculations PJ'!AU170&lt;&gt;0,'Calculations PJ'!AU170*About!$B$45,0)</f>
        <v>18957342761.652493</v>
      </c>
      <c r="AV170">
        <f>IF('Calculations PJ'!AV170&lt;&gt;0,'Calculations PJ'!AV170*About!$B$45,0)</f>
        <v>18957342761.652493</v>
      </c>
      <c r="AW170">
        <f>IF('Calculations PJ'!AW170&lt;&gt;0,'Calculations PJ'!AW170*About!$B$45,0)</f>
        <v>18957342761.652493</v>
      </c>
      <c r="AX170">
        <f>IF('Calculations PJ'!AX170&lt;&gt;0,'Calculations PJ'!AX170*About!$B$45,0)</f>
        <v>18957342761.652493</v>
      </c>
      <c r="AY170">
        <f>IF('Calculations PJ'!AY170&lt;&gt;0,'Calculations PJ'!AY170*About!$B$45,0)</f>
        <v>18957342761.652493</v>
      </c>
      <c r="AZ170">
        <f>IF('Calculations PJ'!AZ170&lt;&gt;0,'Calculations PJ'!AZ170*About!$B$45,0)</f>
        <v>18957342761.652493</v>
      </c>
      <c r="BA170">
        <f>IF('Calculations PJ'!BA170&lt;&gt;0,'Calculations PJ'!BA170*About!$B$45,0)</f>
        <v>18957342761.652493</v>
      </c>
      <c r="BB170">
        <f>IF('Calculations PJ'!BB170&lt;&gt;0,'Calculations PJ'!BB170*About!$B$45,0)</f>
        <v>18957342761.652493</v>
      </c>
      <c r="BC170">
        <f>IF('Calculations PJ'!BC170&lt;&gt;0,'Calculations PJ'!BC170*About!$B$45,0)</f>
        <v>18957342761.652493</v>
      </c>
      <c r="BD170">
        <f>IF('Calculations PJ'!BD170&lt;&gt;0,'Calculations PJ'!BD170*About!$B$45,0)</f>
        <v>18957342761.652493</v>
      </c>
      <c r="BE170">
        <f>IF('Calculations PJ'!BE170&lt;&gt;0,'Calculations PJ'!BE170*About!$B$45,0)</f>
        <v>18957342761.652493</v>
      </c>
      <c r="BF170">
        <f>IF('Calculations PJ'!BF170&lt;&gt;0,'Calculations PJ'!BF170*About!$B$45,0)</f>
        <v>18957342761.652493</v>
      </c>
      <c r="BG170">
        <f>IF('Calculations PJ'!BG170&lt;&gt;0,'Calculations PJ'!BG170*About!$B$45,0)</f>
        <v>18957342761.652493</v>
      </c>
      <c r="BH170">
        <f>IF('Calculations PJ'!BH170&lt;&gt;0,'Calculations PJ'!BH170*About!$B$45,0)</f>
        <v>18957342761.652493</v>
      </c>
    </row>
    <row r="171" spans="2:60" hidden="1" outlineLevel="1">
      <c r="B171" t="s">
        <v>138</v>
      </c>
      <c r="C171">
        <f>IF('Calculations PJ'!C171&lt;&gt;0,'Calculations PJ'!C171*About!$B$45,0)</f>
        <v>97137424310707.344</v>
      </c>
      <c r="D171">
        <f>IF('Calculations PJ'!D171&lt;&gt;0,'Calculations PJ'!D171*About!$B$45,0)</f>
        <v>104720361415368.36</v>
      </c>
      <c r="E171">
        <f>IF('Calculations PJ'!E171&lt;&gt;0,'Calculations PJ'!E171*About!$B$45,0)</f>
        <v>115971544344409.11</v>
      </c>
      <c r="F171">
        <f>IF('Calculations PJ'!F171&lt;&gt;0,'Calculations PJ'!F171*About!$B$45,0)</f>
        <v>119658747511550.52</v>
      </c>
      <c r="G171">
        <f>IF('Calculations PJ'!G171&lt;&gt;0,'Calculations PJ'!G171*About!$B$45,0)</f>
        <v>115345952033274.58</v>
      </c>
      <c r="H171">
        <f>IF('Calculations PJ'!H171&lt;&gt;0,'Calculations PJ'!H171*About!$B$45,0)</f>
        <v>111165857954330.2</v>
      </c>
      <c r="I171">
        <f>IF('Calculations PJ'!I171&lt;&gt;0,'Calculations PJ'!I171*About!$B$45,0)</f>
        <v>106834105133292.61</v>
      </c>
      <c r="J171">
        <f>IF('Calculations PJ'!J171&lt;&gt;0,'Calculations PJ'!J171*About!$B$45,0)</f>
        <v>103545006164145.91</v>
      </c>
      <c r="K171">
        <f>IF('Calculations PJ'!K171&lt;&gt;0,'Calculations PJ'!K171*About!$B$45,0)</f>
        <v>104113726446995.48</v>
      </c>
      <c r="L171">
        <f>IF('Calculations PJ'!L171&lt;&gt;0,'Calculations PJ'!L171*About!$B$45,0)</f>
        <v>105241688341313.8</v>
      </c>
      <c r="M171">
        <f>IF('Calculations PJ'!M171&lt;&gt;0,'Calculations PJ'!M171*About!$B$45,0)</f>
        <v>107421782758903.83</v>
      </c>
      <c r="N171">
        <f>IF('Calculations PJ'!N171&lt;&gt;0,'Calculations PJ'!N171*About!$B$45,0)</f>
        <v>109611355847874.7</v>
      </c>
      <c r="O171">
        <f>IF('Calculations PJ'!O171&lt;&gt;0,'Calculations PJ'!O171*About!$B$45,0)</f>
        <v>111800928936845.56</v>
      </c>
      <c r="P171">
        <f>IF('Calculations PJ'!P171&lt;&gt;0,'Calculations PJ'!P171*About!$B$45,0)</f>
        <v>113981023354435.59</v>
      </c>
      <c r="Q171">
        <f>IF('Calculations PJ'!Q171&lt;&gt;0,'Calculations PJ'!Q171*About!$B$45,0)</f>
        <v>116170596443406.47</v>
      </c>
      <c r="R171">
        <f>IF('Calculations PJ'!R171&lt;&gt;0,'Calculations PJ'!R171*About!$B$45,0)</f>
        <v>118350690860996.5</v>
      </c>
      <c r="S171">
        <f>IF('Calculations PJ'!S171&lt;&gt;0,'Calculations PJ'!S171*About!$B$45,0)</f>
        <v>120540263949967.36</v>
      </c>
      <c r="T171">
        <f>IF('Calculations PJ'!T171&lt;&gt;0,'Calculations PJ'!T171*About!$B$45,0)</f>
        <v>122720358367557.39</v>
      </c>
      <c r="U171">
        <f>IF('Calculations PJ'!U171&lt;&gt;0,'Calculations PJ'!U171*About!$B$45,0)</f>
        <v>124909931456528.27</v>
      </c>
      <c r="V171">
        <f>IF('Calculations PJ'!V171&lt;&gt;0,'Calculations PJ'!V171*About!$B$45,0)</f>
        <v>127099504545499.13</v>
      </c>
      <c r="W171">
        <f>IF('Calculations PJ'!W171&lt;&gt;0,'Calculations PJ'!W171*About!$B$45,0)</f>
        <v>129279598963089.14</v>
      </c>
      <c r="X171">
        <f>IF('Calculations PJ'!X171&lt;&gt;0,'Calculations PJ'!X171*About!$B$45,0)</f>
        <v>131469172052060.03</v>
      </c>
      <c r="Y171">
        <f>IF('Calculations PJ'!Y171&lt;&gt;0,'Calculations PJ'!Y171*About!$B$45,0)</f>
        <v>133649266469650.06</v>
      </c>
      <c r="Z171">
        <f>IF('Calculations PJ'!Z171&lt;&gt;0,'Calculations PJ'!Z171*About!$B$45,0)</f>
        <v>135829360887240.11</v>
      </c>
      <c r="AA171">
        <f>IF('Calculations PJ'!AA171&lt;&gt;0,'Calculations PJ'!AA171*About!$B$45,0)</f>
        <v>138009455304830.13</v>
      </c>
      <c r="AB171">
        <f>IF('Calculations PJ'!AB171&lt;&gt;0,'Calculations PJ'!AB171*About!$B$45,0)</f>
        <v>140199028393800.98</v>
      </c>
      <c r="AC171">
        <f>IF('Calculations PJ'!AC171&lt;&gt;0,'Calculations PJ'!AC171*About!$B$45,0)</f>
        <v>142388601482771.84</v>
      </c>
      <c r="AD171">
        <f>IF('Calculations PJ'!AD171&lt;&gt;0,'Calculations PJ'!AD171*About!$B$45,0)</f>
        <v>144568695900361.91</v>
      </c>
      <c r="AE171">
        <f>IF('Calculations PJ'!AE171&lt;&gt;0,'Calculations PJ'!AE171*About!$B$45,0)</f>
        <v>146758268989332.75</v>
      </c>
      <c r="AF171">
        <f>IF('Calculations PJ'!AF171&lt;&gt;0,'Calculations PJ'!AF171*About!$B$45,0)</f>
        <v>148938363406922.78</v>
      </c>
      <c r="AG171">
        <f>IF('Calculations PJ'!AG171&lt;&gt;0,'Calculations PJ'!AG171*About!$B$45,0)</f>
        <v>151127936495893.66</v>
      </c>
      <c r="AH171">
        <f>IF('Calculations PJ'!AH171&lt;&gt;0,'Calculations PJ'!AH171*About!$B$45,0)</f>
        <v>153317509584864.5</v>
      </c>
      <c r="AI171">
        <f>IF('Calculations PJ'!AI171&lt;&gt;0,'Calculations PJ'!AI171*About!$B$45,0)</f>
        <v>155497604002454.56</v>
      </c>
      <c r="AJ171">
        <f>IF('Calculations PJ'!AJ171&lt;&gt;0,'Calculations PJ'!AJ171*About!$B$45,0)</f>
        <v>157687177091425.44</v>
      </c>
      <c r="AK171">
        <f>IF('Calculations PJ'!AK171&lt;&gt;0,'Calculations PJ'!AK171*About!$B$45,0)</f>
        <v>159867271509015.44</v>
      </c>
      <c r="AL171">
        <f>IF('Calculations PJ'!AL171&lt;&gt;0,'Calculations PJ'!AL171*About!$B$45,0)</f>
        <v>162056844597986.31</v>
      </c>
      <c r="AM171">
        <f>IF('Calculations PJ'!AM171&lt;&gt;0,'Calculations PJ'!AM171*About!$B$45,0)</f>
        <v>164236939015576.34</v>
      </c>
      <c r="AN171">
        <f>IF('Calculations PJ'!AN171&lt;&gt;0,'Calculations PJ'!AN171*About!$B$45,0)</f>
        <v>166426512104547.22</v>
      </c>
      <c r="AO171">
        <f>IF('Calculations PJ'!AO171&lt;&gt;0,'Calculations PJ'!AO171*About!$B$45,0)</f>
        <v>166426512104547.22</v>
      </c>
      <c r="AP171">
        <f>IF('Calculations PJ'!AP171&lt;&gt;0,'Calculations PJ'!AP171*About!$B$45,0)</f>
        <v>166426512104547.22</v>
      </c>
      <c r="AQ171">
        <f>IF('Calculations PJ'!AQ171&lt;&gt;0,'Calculations PJ'!AQ171*About!$B$45,0)</f>
        <v>166426512104547.22</v>
      </c>
      <c r="AR171">
        <f>IF('Calculations PJ'!AR171&lt;&gt;0,'Calculations PJ'!AR171*About!$B$45,0)</f>
        <v>166426512104547.22</v>
      </c>
      <c r="AS171">
        <f>IF('Calculations PJ'!AS171&lt;&gt;0,'Calculations PJ'!AS171*About!$B$45,0)</f>
        <v>166426512104547.22</v>
      </c>
      <c r="AT171">
        <f>IF('Calculations PJ'!AT171&lt;&gt;0,'Calculations PJ'!AT171*About!$B$45,0)</f>
        <v>166426512104547.22</v>
      </c>
      <c r="AU171">
        <f>IF('Calculations PJ'!AU171&lt;&gt;0,'Calculations PJ'!AU171*About!$B$45,0)</f>
        <v>166426512104547.22</v>
      </c>
      <c r="AV171">
        <f>IF('Calculations PJ'!AV171&lt;&gt;0,'Calculations PJ'!AV171*About!$B$45,0)</f>
        <v>166426512104547.22</v>
      </c>
      <c r="AW171">
        <f>IF('Calculations PJ'!AW171&lt;&gt;0,'Calculations PJ'!AW171*About!$B$45,0)</f>
        <v>166426512104547.22</v>
      </c>
      <c r="AX171">
        <f>IF('Calculations PJ'!AX171&lt;&gt;0,'Calculations PJ'!AX171*About!$B$45,0)</f>
        <v>166426512104547.22</v>
      </c>
      <c r="AY171">
        <f>IF('Calculations PJ'!AY171&lt;&gt;0,'Calculations PJ'!AY171*About!$B$45,0)</f>
        <v>166426512104547.22</v>
      </c>
      <c r="AZ171">
        <f>IF('Calculations PJ'!AZ171&lt;&gt;0,'Calculations PJ'!AZ171*About!$B$45,0)</f>
        <v>166426512104547.22</v>
      </c>
      <c r="BA171">
        <f>IF('Calculations PJ'!BA171&lt;&gt;0,'Calculations PJ'!BA171*About!$B$45,0)</f>
        <v>166426512104547.22</v>
      </c>
      <c r="BB171">
        <f>IF('Calculations PJ'!BB171&lt;&gt;0,'Calculations PJ'!BB171*About!$B$45,0)</f>
        <v>166426512104547.22</v>
      </c>
      <c r="BC171">
        <f>IF('Calculations PJ'!BC171&lt;&gt;0,'Calculations PJ'!BC171*About!$B$45,0)</f>
        <v>166426512104547.22</v>
      </c>
      <c r="BD171">
        <f>IF('Calculations PJ'!BD171&lt;&gt;0,'Calculations PJ'!BD171*About!$B$45,0)</f>
        <v>166426512104547.22</v>
      </c>
      <c r="BE171">
        <f>IF('Calculations PJ'!BE171&lt;&gt;0,'Calculations PJ'!BE171*About!$B$45,0)</f>
        <v>166426512104547.22</v>
      </c>
      <c r="BF171">
        <f>IF('Calculations PJ'!BF171&lt;&gt;0,'Calculations PJ'!BF171*About!$B$45,0)</f>
        <v>166426512104547.22</v>
      </c>
      <c r="BG171">
        <f>IF('Calculations PJ'!BG171&lt;&gt;0,'Calculations PJ'!BG171*About!$B$45,0)</f>
        <v>166426512104547.22</v>
      </c>
      <c r="BH171">
        <f>IF('Calculations PJ'!BH171&lt;&gt;0,'Calculations PJ'!BH171*About!$B$45,0)</f>
        <v>166426512104547.22</v>
      </c>
    </row>
    <row r="172" spans="2:60" hidden="1" outlineLevel="1">
      <c r="B172" t="s">
        <v>139</v>
      </c>
      <c r="C172">
        <f>IF('Calculations PJ'!C172&lt;&gt;0,'Calculations PJ'!C172*About!$B$45,0)</f>
        <v>4919430446648.8203</v>
      </c>
      <c r="D172">
        <f>IF('Calculations PJ'!D172&lt;&gt;0,'Calculations PJ'!D172*About!$B$45,0)</f>
        <v>2578198615584.7388</v>
      </c>
      <c r="E172">
        <f>IF('Calculations PJ'!E172&lt;&gt;0,'Calculations PJ'!E172*About!$B$45,0)</f>
        <v>3336492326050.8384</v>
      </c>
      <c r="F172">
        <f>IF('Calculations PJ'!F172&lt;&gt;0,'Calculations PJ'!F172*About!$B$45,0)</f>
        <v>3516587082286.5371</v>
      </c>
      <c r="G172">
        <f>IF('Calculations PJ'!G172&lt;&gt;0,'Calculations PJ'!G172*About!$B$45,0)</f>
        <v>4464454220369.1611</v>
      </c>
      <c r="H172">
        <f>IF('Calculations PJ'!H172&lt;&gt;0,'Calculations PJ'!H172*About!$B$45,0)</f>
        <v>4303316806895.1152</v>
      </c>
      <c r="I172">
        <f>IF('Calculations PJ'!I172&lt;&gt;0,'Calculations PJ'!I172*About!$B$45,0)</f>
        <v>3090046870149.356</v>
      </c>
      <c r="J172">
        <f>IF('Calculations PJ'!J172&lt;&gt;0,'Calculations PJ'!J172*About!$B$45,0)</f>
        <v>2360189173825.7349</v>
      </c>
      <c r="K172">
        <f>IF('Calculations PJ'!K172&lt;&gt;0,'Calculations PJ'!K172*About!$B$45,0)</f>
        <v>2549762601442.2598</v>
      </c>
      <c r="L172">
        <f>IF('Calculations PJ'!L172&lt;&gt;0,'Calculations PJ'!L172*About!$B$45,0)</f>
        <v>2540283930061.4336</v>
      </c>
      <c r="M172">
        <f>IF('Calculations PJ'!M172&lt;&gt;0,'Calculations PJ'!M172*About!$B$45,0)</f>
        <v>2540283930061.4336</v>
      </c>
      <c r="N172">
        <f>IF('Calculations PJ'!N172&lt;&gt;0,'Calculations PJ'!N172*About!$B$45,0)</f>
        <v>2540283930061.4341</v>
      </c>
      <c r="O172">
        <f>IF('Calculations PJ'!O172&lt;&gt;0,'Calculations PJ'!O172*About!$B$45,0)</f>
        <v>2540283930061.4341</v>
      </c>
      <c r="P172">
        <f>IF('Calculations PJ'!P172&lt;&gt;0,'Calculations PJ'!P172*About!$B$45,0)</f>
        <v>2540283930061.4341</v>
      </c>
      <c r="Q172">
        <f>IF('Calculations PJ'!Q172&lt;&gt;0,'Calculations PJ'!Q172*About!$B$45,0)</f>
        <v>2540283930061.4341</v>
      </c>
      <c r="R172">
        <f>IF('Calculations PJ'!R172&lt;&gt;0,'Calculations PJ'!R172*About!$B$45,0)</f>
        <v>2549762601442.2598</v>
      </c>
      <c r="S172">
        <f>IF('Calculations PJ'!S172&lt;&gt;0,'Calculations PJ'!S172*About!$B$45,0)</f>
        <v>2540283930061.4336</v>
      </c>
      <c r="T172">
        <f>IF('Calculations PJ'!T172&lt;&gt;0,'Calculations PJ'!T172*About!$B$45,0)</f>
        <v>2540283930061.4336</v>
      </c>
      <c r="U172">
        <f>IF('Calculations PJ'!U172&lt;&gt;0,'Calculations PJ'!U172*About!$B$45,0)</f>
        <v>2540283930061.4336</v>
      </c>
      <c r="V172">
        <f>IF('Calculations PJ'!V172&lt;&gt;0,'Calculations PJ'!V172*About!$B$45,0)</f>
        <v>2540283930061.4336</v>
      </c>
      <c r="W172">
        <f>IF('Calculations PJ'!W172&lt;&gt;0,'Calculations PJ'!W172*About!$B$45,0)</f>
        <v>2549762601442.2598</v>
      </c>
      <c r="X172">
        <f>IF('Calculations PJ'!X172&lt;&gt;0,'Calculations PJ'!X172*About!$B$45,0)</f>
        <v>2540283930061.4341</v>
      </c>
      <c r="Y172">
        <f>IF('Calculations PJ'!Y172&lt;&gt;0,'Calculations PJ'!Y172*About!$B$45,0)</f>
        <v>2549762601442.2603</v>
      </c>
      <c r="Z172">
        <f>IF('Calculations PJ'!Z172&lt;&gt;0,'Calculations PJ'!Z172*About!$B$45,0)</f>
        <v>2540283930061.4336</v>
      </c>
      <c r="AA172">
        <f>IF('Calculations PJ'!AA172&lt;&gt;0,'Calculations PJ'!AA172*About!$B$45,0)</f>
        <v>2549762601442.2598</v>
      </c>
      <c r="AB172">
        <f>IF('Calculations PJ'!AB172&lt;&gt;0,'Calculations PJ'!AB172*About!$B$45,0)</f>
        <v>2549762601442.2598</v>
      </c>
      <c r="AC172">
        <f>IF('Calculations PJ'!AC172&lt;&gt;0,'Calculations PJ'!AC172*About!$B$45,0)</f>
        <v>2549762601442.2598</v>
      </c>
      <c r="AD172">
        <f>IF('Calculations PJ'!AD172&lt;&gt;0,'Calculations PJ'!AD172*About!$B$45,0)</f>
        <v>2549762601442.2598</v>
      </c>
      <c r="AE172">
        <f>IF('Calculations PJ'!AE172&lt;&gt;0,'Calculations PJ'!AE172*About!$B$45,0)</f>
        <v>2559241272823.0859</v>
      </c>
      <c r="AF172">
        <f>IF('Calculations PJ'!AF172&lt;&gt;0,'Calculations PJ'!AF172*About!$B$45,0)</f>
        <v>2549762601442.2603</v>
      </c>
      <c r="AG172">
        <f>IF('Calculations PJ'!AG172&lt;&gt;0,'Calculations PJ'!AG172*About!$B$45,0)</f>
        <v>2559241272823.0864</v>
      </c>
      <c r="AH172">
        <f>IF('Calculations PJ'!AH172&lt;&gt;0,'Calculations PJ'!AH172*About!$B$45,0)</f>
        <v>2549762601442.2598</v>
      </c>
      <c r="AI172">
        <f>IF('Calculations PJ'!AI172&lt;&gt;0,'Calculations PJ'!AI172*About!$B$45,0)</f>
        <v>2559241272823.0864</v>
      </c>
      <c r="AJ172">
        <f>IF('Calculations PJ'!AJ172&lt;&gt;0,'Calculations PJ'!AJ172*About!$B$45,0)</f>
        <v>2559241272823.0864</v>
      </c>
      <c r="AK172">
        <f>IF('Calculations PJ'!AK172&lt;&gt;0,'Calculations PJ'!AK172*About!$B$45,0)</f>
        <v>2559241272823.0859</v>
      </c>
      <c r="AL172">
        <f>IF('Calculations PJ'!AL172&lt;&gt;0,'Calculations PJ'!AL172*About!$B$45,0)</f>
        <v>2559241272823.0859</v>
      </c>
      <c r="AM172">
        <f>IF('Calculations PJ'!AM172&lt;&gt;0,'Calculations PJ'!AM172*About!$B$45,0)</f>
        <v>2559241272823.0864</v>
      </c>
      <c r="AN172">
        <f>IF('Calculations PJ'!AN172&lt;&gt;0,'Calculations PJ'!AN172*About!$B$45,0)</f>
        <v>2559241272823.0864</v>
      </c>
      <c r="AO172">
        <f>IF('Calculations PJ'!AO172&lt;&gt;0,'Calculations PJ'!AO172*About!$B$45,0)</f>
        <v>2559241272823.0864</v>
      </c>
      <c r="AP172">
        <f>IF('Calculations PJ'!AP172&lt;&gt;0,'Calculations PJ'!AP172*About!$B$45,0)</f>
        <v>2559241272823.0864</v>
      </c>
      <c r="AQ172">
        <f>IF('Calculations PJ'!AQ172&lt;&gt;0,'Calculations PJ'!AQ172*About!$B$45,0)</f>
        <v>2559241272823.0864</v>
      </c>
      <c r="AR172">
        <f>IF('Calculations PJ'!AR172&lt;&gt;0,'Calculations PJ'!AR172*About!$B$45,0)</f>
        <v>2559241272823.0864</v>
      </c>
      <c r="AS172">
        <f>IF('Calculations PJ'!AS172&lt;&gt;0,'Calculations PJ'!AS172*About!$B$45,0)</f>
        <v>2559241272823.0864</v>
      </c>
      <c r="AT172">
        <f>IF('Calculations PJ'!AT172&lt;&gt;0,'Calculations PJ'!AT172*About!$B$45,0)</f>
        <v>2559241272823.0864</v>
      </c>
      <c r="AU172">
        <f>IF('Calculations PJ'!AU172&lt;&gt;0,'Calculations PJ'!AU172*About!$B$45,0)</f>
        <v>2559241272823.0864</v>
      </c>
      <c r="AV172">
        <f>IF('Calculations PJ'!AV172&lt;&gt;0,'Calculations PJ'!AV172*About!$B$45,0)</f>
        <v>2559241272823.0864</v>
      </c>
      <c r="AW172">
        <f>IF('Calculations PJ'!AW172&lt;&gt;0,'Calculations PJ'!AW172*About!$B$45,0)</f>
        <v>2559241272823.0864</v>
      </c>
      <c r="AX172">
        <f>IF('Calculations PJ'!AX172&lt;&gt;0,'Calculations PJ'!AX172*About!$B$45,0)</f>
        <v>2559241272823.0864</v>
      </c>
      <c r="AY172">
        <f>IF('Calculations PJ'!AY172&lt;&gt;0,'Calculations PJ'!AY172*About!$B$45,0)</f>
        <v>2559241272823.0864</v>
      </c>
      <c r="AZ172">
        <f>IF('Calculations PJ'!AZ172&lt;&gt;0,'Calculations PJ'!AZ172*About!$B$45,0)</f>
        <v>2559241272823.0864</v>
      </c>
      <c r="BA172">
        <f>IF('Calculations PJ'!BA172&lt;&gt;0,'Calculations PJ'!BA172*About!$B$45,0)</f>
        <v>2559241272823.0864</v>
      </c>
      <c r="BB172">
        <f>IF('Calculations PJ'!BB172&lt;&gt;0,'Calculations PJ'!BB172*About!$B$45,0)</f>
        <v>2559241272823.0864</v>
      </c>
      <c r="BC172">
        <f>IF('Calculations PJ'!BC172&lt;&gt;0,'Calculations PJ'!BC172*About!$B$45,0)</f>
        <v>2559241272823.0864</v>
      </c>
      <c r="BD172">
        <f>IF('Calculations PJ'!BD172&lt;&gt;0,'Calculations PJ'!BD172*About!$B$45,0)</f>
        <v>2559241272823.0864</v>
      </c>
      <c r="BE172">
        <f>IF('Calculations PJ'!BE172&lt;&gt;0,'Calculations PJ'!BE172*About!$B$45,0)</f>
        <v>2559241272823.0864</v>
      </c>
      <c r="BF172">
        <f>IF('Calculations PJ'!BF172&lt;&gt;0,'Calculations PJ'!BF172*About!$B$45,0)</f>
        <v>2559241272823.0864</v>
      </c>
      <c r="BG172">
        <f>IF('Calculations PJ'!BG172&lt;&gt;0,'Calculations PJ'!BG172*About!$B$45,0)</f>
        <v>2559241272823.0864</v>
      </c>
      <c r="BH172">
        <f>IF('Calculations PJ'!BH172&lt;&gt;0,'Calculations PJ'!BH172*About!$B$45,0)</f>
        <v>2559241272823.0864</v>
      </c>
    </row>
    <row r="173" spans="2:60" hidden="1" outlineLevel="1">
      <c r="B173" t="s">
        <v>140</v>
      </c>
      <c r="C173">
        <f>IF('Calculations PJ'!C173&lt;&gt;0,'Calculations PJ'!C173*About!$B$45,0)</f>
        <v>0</v>
      </c>
      <c r="D173">
        <f>IF('Calculations PJ'!D173&lt;&gt;0,'Calculations PJ'!D173*About!$B$45,0)</f>
        <v>0</v>
      </c>
      <c r="E173">
        <f>IF('Calculations PJ'!E173&lt;&gt;0,'Calculations PJ'!E173*About!$B$45,0)</f>
        <v>0</v>
      </c>
      <c r="F173">
        <f>IF('Calculations PJ'!F173&lt;&gt;0,'Calculations PJ'!F173*About!$B$45,0)</f>
        <v>0</v>
      </c>
      <c r="G173">
        <f>IF('Calculations PJ'!G173&lt;&gt;0,'Calculations PJ'!G173*About!$B$45,0)</f>
        <v>0</v>
      </c>
      <c r="H173">
        <f>IF('Calculations PJ'!H173&lt;&gt;0,'Calculations PJ'!H173*About!$B$45,0)</f>
        <v>0</v>
      </c>
      <c r="I173">
        <f>IF('Calculations PJ'!I173&lt;&gt;0,'Calculations PJ'!I173*About!$B$45,0)</f>
        <v>0</v>
      </c>
      <c r="J173">
        <f>IF('Calculations PJ'!J173&lt;&gt;0,'Calculations PJ'!J173*About!$B$45,0)</f>
        <v>0</v>
      </c>
      <c r="K173">
        <f>IF('Calculations PJ'!K173&lt;&gt;0,'Calculations PJ'!K173*About!$B$45,0)</f>
        <v>0</v>
      </c>
      <c r="L173">
        <f>IF('Calculations PJ'!L173&lt;&gt;0,'Calculations PJ'!L173*About!$B$45,0)</f>
        <v>0</v>
      </c>
      <c r="M173">
        <f>IF('Calculations PJ'!M173&lt;&gt;0,'Calculations PJ'!M173*About!$B$45,0)</f>
        <v>0</v>
      </c>
      <c r="N173">
        <f>IF('Calculations PJ'!N173&lt;&gt;0,'Calculations PJ'!N173*About!$B$45,0)</f>
        <v>0</v>
      </c>
      <c r="O173">
        <f>IF('Calculations PJ'!O173&lt;&gt;0,'Calculations PJ'!O173*About!$B$45,0)</f>
        <v>0</v>
      </c>
      <c r="P173">
        <f>IF('Calculations PJ'!P173&lt;&gt;0,'Calculations PJ'!P173*About!$B$45,0)</f>
        <v>0</v>
      </c>
      <c r="Q173">
        <f>IF('Calculations PJ'!Q173&lt;&gt;0,'Calculations PJ'!Q173*About!$B$45,0)</f>
        <v>0</v>
      </c>
      <c r="R173">
        <f>IF('Calculations PJ'!R173&lt;&gt;0,'Calculations PJ'!R173*About!$B$45,0)</f>
        <v>0</v>
      </c>
      <c r="S173">
        <f>IF('Calculations PJ'!S173&lt;&gt;0,'Calculations PJ'!S173*About!$B$45,0)</f>
        <v>0</v>
      </c>
      <c r="T173">
        <f>IF('Calculations PJ'!T173&lt;&gt;0,'Calculations PJ'!T173*About!$B$45,0)</f>
        <v>0</v>
      </c>
      <c r="U173">
        <f>IF('Calculations PJ'!U173&lt;&gt;0,'Calculations PJ'!U173*About!$B$45,0)</f>
        <v>0</v>
      </c>
      <c r="V173">
        <f>IF('Calculations PJ'!V173&lt;&gt;0,'Calculations PJ'!V173*About!$B$45,0)</f>
        <v>0</v>
      </c>
      <c r="W173">
        <f>IF('Calculations PJ'!W173&lt;&gt;0,'Calculations PJ'!W173*About!$B$45,0)</f>
        <v>0</v>
      </c>
      <c r="X173">
        <f>IF('Calculations PJ'!X173&lt;&gt;0,'Calculations PJ'!X173*About!$B$45,0)</f>
        <v>0</v>
      </c>
      <c r="Y173">
        <f>IF('Calculations PJ'!Y173&lt;&gt;0,'Calculations PJ'!Y173*About!$B$45,0)</f>
        <v>0</v>
      </c>
      <c r="Z173">
        <f>IF('Calculations PJ'!Z173&lt;&gt;0,'Calculations PJ'!Z173*About!$B$45,0)</f>
        <v>0</v>
      </c>
      <c r="AA173">
        <f>IF('Calculations PJ'!AA173&lt;&gt;0,'Calculations PJ'!AA173*About!$B$45,0)</f>
        <v>0</v>
      </c>
      <c r="AB173">
        <f>IF('Calculations PJ'!AB173&lt;&gt;0,'Calculations PJ'!AB173*About!$B$45,0)</f>
        <v>0</v>
      </c>
      <c r="AC173">
        <f>IF('Calculations PJ'!AC173&lt;&gt;0,'Calculations PJ'!AC173*About!$B$45,0)</f>
        <v>0</v>
      </c>
      <c r="AD173">
        <f>IF('Calculations PJ'!AD173&lt;&gt;0,'Calculations PJ'!AD173*About!$B$45,0)</f>
        <v>0</v>
      </c>
      <c r="AE173">
        <f>IF('Calculations PJ'!AE173&lt;&gt;0,'Calculations PJ'!AE173*About!$B$45,0)</f>
        <v>0</v>
      </c>
      <c r="AF173">
        <f>IF('Calculations PJ'!AF173&lt;&gt;0,'Calculations PJ'!AF173*About!$B$45,0)</f>
        <v>0</v>
      </c>
      <c r="AG173">
        <f>IF('Calculations PJ'!AG173&lt;&gt;0,'Calculations PJ'!AG173*About!$B$45,0)</f>
        <v>0</v>
      </c>
      <c r="AH173">
        <f>IF('Calculations PJ'!AH173&lt;&gt;0,'Calculations PJ'!AH173*About!$B$45,0)</f>
        <v>0</v>
      </c>
      <c r="AI173">
        <f>IF('Calculations PJ'!AI173&lt;&gt;0,'Calculations PJ'!AI173*About!$B$45,0)</f>
        <v>0</v>
      </c>
      <c r="AJ173">
        <f>IF('Calculations PJ'!AJ173&lt;&gt;0,'Calculations PJ'!AJ173*About!$B$45,0)</f>
        <v>0</v>
      </c>
      <c r="AK173">
        <f>IF('Calculations PJ'!AK173&lt;&gt;0,'Calculations PJ'!AK173*About!$B$45,0)</f>
        <v>0</v>
      </c>
      <c r="AL173">
        <f>IF('Calculations PJ'!AL173&lt;&gt;0,'Calculations PJ'!AL173*About!$B$45,0)</f>
        <v>0</v>
      </c>
      <c r="AM173">
        <f>IF('Calculations PJ'!AM173&lt;&gt;0,'Calculations PJ'!AM173*About!$B$45,0)</f>
        <v>0</v>
      </c>
      <c r="AN173">
        <f>IF('Calculations PJ'!AN173&lt;&gt;0,'Calculations PJ'!AN173*About!$B$45,0)</f>
        <v>0</v>
      </c>
      <c r="AO173">
        <f>IF('Calculations PJ'!AO173&lt;&gt;0,'Calculations PJ'!AO173*About!$B$45,0)</f>
        <v>0</v>
      </c>
      <c r="AP173">
        <f>IF('Calculations PJ'!AP173&lt;&gt;0,'Calculations PJ'!AP173*About!$B$45,0)</f>
        <v>0</v>
      </c>
      <c r="AQ173">
        <f>IF('Calculations PJ'!AQ173&lt;&gt;0,'Calculations PJ'!AQ173*About!$B$45,0)</f>
        <v>0</v>
      </c>
      <c r="AR173">
        <f>IF('Calculations PJ'!AR173&lt;&gt;0,'Calculations PJ'!AR173*About!$B$45,0)</f>
        <v>0</v>
      </c>
      <c r="AS173">
        <f>IF('Calculations PJ'!AS173&lt;&gt;0,'Calculations PJ'!AS173*About!$B$45,0)</f>
        <v>0</v>
      </c>
      <c r="AT173">
        <f>IF('Calculations PJ'!AT173&lt;&gt;0,'Calculations PJ'!AT173*About!$B$45,0)</f>
        <v>0</v>
      </c>
      <c r="AU173">
        <f>IF('Calculations PJ'!AU173&lt;&gt;0,'Calculations PJ'!AU173*About!$B$45,0)</f>
        <v>0</v>
      </c>
      <c r="AV173">
        <f>IF('Calculations PJ'!AV173&lt;&gt;0,'Calculations PJ'!AV173*About!$B$45,0)</f>
        <v>0</v>
      </c>
      <c r="AW173">
        <f>IF('Calculations PJ'!AW173&lt;&gt;0,'Calculations PJ'!AW173*About!$B$45,0)</f>
        <v>0</v>
      </c>
      <c r="AX173">
        <f>IF('Calculations PJ'!AX173&lt;&gt;0,'Calculations PJ'!AX173*About!$B$45,0)</f>
        <v>0</v>
      </c>
      <c r="AY173">
        <f>IF('Calculations PJ'!AY173&lt;&gt;0,'Calculations PJ'!AY173*About!$B$45,0)</f>
        <v>0</v>
      </c>
      <c r="AZ173">
        <f>IF('Calculations PJ'!AZ173&lt;&gt;0,'Calculations PJ'!AZ173*About!$B$45,0)</f>
        <v>0</v>
      </c>
      <c r="BA173">
        <f>IF('Calculations PJ'!BA173&lt;&gt;0,'Calculations PJ'!BA173*About!$B$45,0)</f>
        <v>0</v>
      </c>
      <c r="BB173">
        <f>IF('Calculations PJ'!BB173&lt;&gt;0,'Calculations PJ'!BB173*About!$B$45,0)</f>
        <v>0</v>
      </c>
      <c r="BC173">
        <f>IF('Calculations PJ'!BC173&lt;&gt;0,'Calculations PJ'!BC173*About!$B$45,0)</f>
        <v>0</v>
      </c>
      <c r="BD173">
        <f>IF('Calculations PJ'!BD173&lt;&gt;0,'Calculations PJ'!BD173*About!$B$45,0)</f>
        <v>0</v>
      </c>
      <c r="BE173">
        <f>IF('Calculations PJ'!BE173&lt;&gt;0,'Calculations PJ'!BE173*About!$B$45,0)</f>
        <v>0</v>
      </c>
      <c r="BF173">
        <f>IF('Calculations PJ'!BF173&lt;&gt;0,'Calculations PJ'!BF173*About!$B$45,0)</f>
        <v>0</v>
      </c>
      <c r="BG173">
        <f>IF('Calculations PJ'!BG173&lt;&gt;0,'Calculations PJ'!BG173*About!$B$45,0)</f>
        <v>0</v>
      </c>
      <c r="BH173">
        <f>IF('Calculations PJ'!BH173&lt;&gt;0,'Calculations PJ'!BH173*About!$B$45,0)</f>
        <v>0</v>
      </c>
    </row>
    <row r="174" spans="2:60" hidden="1" outlineLevel="1">
      <c r="B174" t="s">
        <v>141</v>
      </c>
      <c r="C174">
        <f>IF('Calculations PJ'!C174&lt;&gt;0,'Calculations PJ'!C174*About!$B$45,0)</f>
        <v>0</v>
      </c>
      <c r="D174">
        <f>IF('Calculations PJ'!D174&lt;&gt;0,'Calculations PJ'!D174*About!$B$45,0)</f>
        <v>0</v>
      </c>
      <c r="E174">
        <f>IF('Calculations PJ'!E174&lt;&gt;0,'Calculations PJ'!E174*About!$B$45,0)</f>
        <v>0</v>
      </c>
      <c r="F174">
        <f>IF('Calculations PJ'!F174&lt;&gt;0,'Calculations PJ'!F174*About!$B$45,0)</f>
        <v>0</v>
      </c>
      <c r="G174">
        <f>IF('Calculations PJ'!G174&lt;&gt;0,'Calculations PJ'!G174*About!$B$45,0)</f>
        <v>0</v>
      </c>
      <c r="H174">
        <f>IF('Calculations PJ'!H174&lt;&gt;0,'Calculations PJ'!H174*About!$B$45,0)</f>
        <v>0</v>
      </c>
      <c r="I174">
        <f>IF('Calculations PJ'!I174&lt;&gt;0,'Calculations PJ'!I174*About!$B$45,0)</f>
        <v>0</v>
      </c>
      <c r="J174">
        <f>IF('Calculations PJ'!J174&lt;&gt;0,'Calculations PJ'!J174*About!$B$45,0)</f>
        <v>0</v>
      </c>
      <c r="K174">
        <f>IF('Calculations PJ'!K174&lt;&gt;0,'Calculations PJ'!K174*About!$B$45,0)</f>
        <v>0</v>
      </c>
      <c r="L174">
        <f>IF('Calculations PJ'!L174&lt;&gt;0,'Calculations PJ'!L174*About!$B$45,0)</f>
        <v>0</v>
      </c>
      <c r="M174">
        <f>IF('Calculations PJ'!M174&lt;&gt;0,'Calculations PJ'!M174*About!$B$45,0)</f>
        <v>0</v>
      </c>
      <c r="N174">
        <f>IF('Calculations PJ'!N174&lt;&gt;0,'Calculations PJ'!N174*About!$B$45,0)</f>
        <v>0</v>
      </c>
      <c r="O174">
        <f>IF('Calculations PJ'!O174&lt;&gt;0,'Calculations PJ'!O174*About!$B$45,0)</f>
        <v>0</v>
      </c>
      <c r="P174">
        <f>IF('Calculations PJ'!P174&lt;&gt;0,'Calculations PJ'!P174*About!$B$45,0)</f>
        <v>0</v>
      </c>
      <c r="Q174">
        <f>IF('Calculations PJ'!Q174&lt;&gt;0,'Calculations PJ'!Q174*About!$B$45,0)</f>
        <v>0</v>
      </c>
      <c r="R174">
        <f>IF('Calculations PJ'!R174&lt;&gt;0,'Calculations PJ'!R174*About!$B$45,0)</f>
        <v>0</v>
      </c>
      <c r="S174">
        <f>IF('Calculations PJ'!S174&lt;&gt;0,'Calculations PJ'!S174*About!$B$45,0)</f>
        <v>0</v>
      </c>
      <c r="T174">
        <f>IF('Calculations PJ'!T174&lt;&gt;0,'Calculations PJ'!T174*About!$B$45,0)</f>
        <v>0</v>
      </c>
      <c r="U174">
        <f>IF('Calculations PJ'!U174&lt;&gt;0,'Calculations PJ'!U174*About!$B$45,0)</f>
        <v>0</v>
      </c>
      <c r="V174">
        <f>IF('Calculations PJ'!V174&lt;&gt;0,'Calculations PJ'!V174*About!$B$45,0)</f>
        <v>0</v>
      </c>
      <c r="W174">
        <f>IF('Calculations PJ'!W174&lt;&gt;0,'Calculations PJ'!W174*About!$B$45,0)</f>
        <v>0</v>
      </c>
      <c r="X174">
        <f>IF('Calculations PJ'!X174&lt;&gt;0,'Calculations PJ'!X174*About!$B$45,0)</f>
        <v>0</v>
      </c>
      <c r="Y174">
        <f>IF('Calculations PJ'!Y174&lt;&gt;0,'Calculations PJ'!Y174*About!$B$45,0)</f>
        <v>0</v>
      </c>
      <c r="Z174">
        <f>IF('Calculations PJ'!Z174&lt;&gt;0,'Calculations PJ'!Z174*About!$B$45,0)</f>
        <v>0</v>
      </c>
      <c r="AA174">
        <f>IF('Calculations PJ'!AA174&lt;&gt;0,'Calculations PJ'!AA174*About!$B$45,0)</f>
        <v>0</v>
      </c>
      <c r="AB174">
        <f>IF('Calculations PJ'!AB174&lt;&gt;0,'Calculations PJ'!AB174*About!$B$45,0)</f>
        <v>0</v>
      </c>
      <c r="AC174">
        <f>IF('Calculations PJ'!AC174&lt;&gt;0,'Calculations PJ'!AC174*About!$B$45,0)</f>
        <v>0</v>
      </c>
      <c r="AD174">
        <f>IF('Calculations PJ'!AD174&lt;&gt;0,'Calculations PJ'!AD174*About!$B$45,0)</f>
        <v>0</v>
      </c>
      <c r="AE174">
        <f>IF('Calculations PJ'!AE174&lt;&gt;0,'Calculations PJ'!AE174*About!$B$45,0)</f>
        <v>0</v>
      </c>
      <c r="AF174">
        <f>IF('Calculations PJ'!AF174&lt;&gt;0,'Calculations PJ'!AF174*About!$B$45,0)</f>
        <v>0</v>
      </c>
      <c r="AG174">
        <f>IF('Calculations PJ'!AG174&lt;&gt;0,'Calculations PJ'!AG174*About!$B$45,0)</f>
        <v>0</v>
      </c>
      <c r="AH174">
        <f>IF('Calculations PJ'!AH174&lt;&gt;0,'Calculations PJ'!AH174*About!$B$45,0)</f>
        <v>0</v>
      </c>
      <c r="AI174">
        <f>IF('Calculations PJ'!AI174&lt;&gt;0,'Calculations PJ'!AI174*About!$B$45,0)</f>
        <v>0</v>
      </c>
      <c r="AJ174">
        <f>IF('Calculations PJ'!AJ174&lt;&gt;0,'Calculations PJ'!AJ174*About!$B$45,0)</f>
        <v>0</v>
      </c>
      <c r="AK174">
        <f>IF('Calculations PJ'!AK174&lt;&gt;0,'Calculations PJ'!AK174*About!$B$45,0)</f>
        <v>0</v>
      </c>
      <c r="AL174">
        <f>IF('Calculations PJ'!AL174&lt;&gt;0,'Calculations PJ'!AL174*About!$B$45,0)</f>
        <v>0</v>
      </c>
      <c r="AM174">
        <f>IF('Calculations PJ'!AM174&lt;&gt;0,'Calculations PJ'!AM174*About!$B$45,0)</f>
        <v>0</v>
      </c>
      <c r="AN174">
        <f>IF('Calculations PJ'!AN174&lt;&gt;0,'Calculations PJ'!AN174*About!$B$45,0)</f>
        <v>0</v>
      </c>
      <c r="AO174">
        <f>IF('Calculations PJ'!AO174&lt;&gt;0,'Calculations PJ'!AO174*About!$B$45,0)</f>
        <v>0</v>
      </c>
      <c r="AP174">
        <f>IF('Calculations PJ'!AP174&lt;&gt;0,'Calculations PJ'!AP174*About!$B$45,0)</f>
        <v>0</v>
      </c>
      <c r="AQ174">
        <f>IF('Calculations PJ'!AQ174&lt;&gt;0,'Calculations PJ'!AQ174*About!$B$45,0)</f>
        <v>0</v>
      </c>
      <c r="AR174">
        <f>IF('Calculations PJ'!AR174&lt;&gt;0,'Calculations PJ'!AR174*About!$B$45,0)</f>
        <v>0</v>
      </c>
      <c r="AS174">
        <f>IF('Calculations PJ'!AS174&lt;&gt;0,'Calculations PJ'!AS174*About!$B$45,0)</f>
        <v>0</v>
      </c>
      <c r="AT174">
        <f>IF('Calculations PJ'!AT174&lt;&gt;0,'Calculations PJ'!AT174*About!$B$45,0)</f>
        <v>0</v>
      </c>
      <c r="AU174">
        <f>IF('Calculations PJ'!AU174&lt;&gt;0,'Calculations PJ'!AU174*About!$B$45,0)</f>
        <v>0</v>
      </c>
      <c r="AV174">
        <f>IF('Calculations PJ'!AV174&lt;&gt;0,'Calculations PJ'!AV174*About!$B$45,0)</f>
        <v>0</v>
      </c>
      <c r="AW174">
        <f>IF('Calculations PJ'!AW174&lt;&gt;0,'Calculations PJ'!AW174*About!$B$45,0)</f>
        <v>0</v>
      </c>
      <c r="AX174">
        <f>IF('Calculations PJ'!AX174&lt;&gt;0,'Calculations PJ'!AX174*About!$B$45,0)</f>
        <v>0</v>
      </c>
      <c r="AY174">
        <f>IF('Calculations PJ'!AY174&lt;&gt;0,'Calculations PJ'!AY174*About!$B$45,0)</f>
        <v>0</v>
      </c>
      <c r="AZ174">
        <f>IF('Calculations PJ'!AZ174&lt;&gt;0,'Calculations PJ'!AZ174*About!$B$45,0)</f>
        <v>0</v>
      </c>
      <c r="BA174">
        <f>IF('Calculations PJ'!BA174&lt;&gt;0,'Calculations PJ'!BA174*About!$B$45,0)</f>
        <v>0</v>
      </c>
      <c r="BB174">
        <f>IF('Calculations PJ'!BB174&lt;&gt;0,'Calculations PJ'!BB174*About!$B$45,0)</f>
        <v>0</v>
      </c>
      <c r="BC174">
        <f>IF('Calculations PJ'!BC174&lt;&gt;0,'Calculations PJ'!BC174*About!$B$45,0)</f>
        <v>0</v>
      </c>
      <c r="BD174">
        <f>IF('Calculations PJ'!BD174&lt;&gt;0,'Calculations PJ'!BD174*About!$B$45,0)</f>
        <v>0</v>
      </c>
      <c r="BE174">
        <f>IF('Calculations PJ'!BE174&lt;&gt;0,'Calculations PJ'!BE174*About!$B$45,0)</f>
        <v>0</v>
      </c>
      <c r="BF174">
        <f>IF('Calculations PJ'!BF174&lt;&gt;0,'Calculations PJ'!BF174*About!$B$45,0)</f>
        <v>0</v>
      </c>
      <c r="BG174">
        <f>IF('Calculations PJ'!BG174&lt;&gt;0,'Calculations PJ'!BG174*About!$B$45,0)</f>
        <v>0</v>
      </c>
      <c r="BH174">
        <f>IF('Calculations PJ'!BH174&lt;&gt;0,'Calculations PJ'!BH174*About!$B$45,0)</f>
        <v>0</v>
      </c>
    </row>
    <row r="175" spans="2:60" hidden="1" outlineLevel="1">
      <c r="B175" t="s">
        <v>142</v>
      </c>
      <c r="C175">
        <f>IF('Calculations PJ'!C175&lt;&gt;0,'Calculations PJ'!C175*About!$B$45,0)</f>
        <v>9478671380.8262463</v>
      </c>
      <c r="D175">
        <f>IF('Calculations PJ'!D175&lt;&gt;0,'Calculations PJ'!D175*About!$B$45,0)</f>
        <v>9478671380.8262463</v>
      </c>
      <c r="E175">
        <f>IF('Calculations PJ'!E175&lt;&gt;0,'Calculations PJ'!E175*About!$B$45,0)</f>
        <v>9478671380.8262463</v>
      </c>
      <c r="F175">
        <f>IF('Calculations PJ'!F175&lt;&gt;0,'Calculations PJ'!F175*About!$B$45,0)</f>
        <v>9478671380.8262463</v>
      </c>
      <c r="G175">
        <f>IF('Calculations PJ'!G175&lt;&gt;0,'Calculations PJ'!G175*About!$B$45,0)</f>
        <v>9478671380.8262463</v>
      </c>
      <c r="H175">
        <f>IF('Calculations PJ'!H175&lt;&gt;0,'Calculations PJ'!H175*About!$B$45,0)</f>
        <v>9478671380.8262463</v>
      </c>
      <c r="I175">
        <f>IF('Calculations PJ'!I175&lt;&gt;0,'Calculations PJ'!I175*About!$B$45,0)</f>
        <v>9478671380.8262463</v>
      </c>
      <c r="J175">
        <f>IF('Calculations PJ'!J175&lt;&gt;0,'Calculations PJ'!J175*About!$B$45,0)</f>
        <v>9478671380.8262463</v>
      </c>
      <c r="K175">
        <f>IF('Calculations PJ'!K175&lt;&gt;0,'Calculations PJ'!K175*About!$B$45,0)</f>
        <v>9478671380.8262463</v>
      </c>
      <c r="L175">
        <f>IF('Calculations PJ'!L175&lt;&gt;0,'Calculations PJ'!L175*About!$B$45,0)</f>
        <v>18957342761.652493</v>
      </c>
      <c r="M175">
        <f>IF('Calculations PJ'!M175&lt;&gt;0,'Calculations PJ'!M175*About!$B$45,0)</f>
        <v>18957342761.652493</v>
      </c>
      <c r="N175">
        <f>IF('Calculations PJ'!N175&lt;&gt;0,'Calculations PJ'!N175*About!$B$45,0)</f>
        <v>18977369666.28994</v>
      </c>
      <c r="O175">
        <f>IF('Calculations PJ'!O175&lt;&gt;0,'Calculations PJ'!O175*About!$B$45,0)</f>
        <v>18997083650.542427</v>
      </c>
      <c r="P175">
        <f>IF('Calculations PJ'!P175&lt;&gt;0,'Calculations PJ'!P175*About!$B$45,0)</f>
        <v>19017423475.564831</v>
      </c>
      <c r="Q175">
        <f>IF('Calculations PJ'!Q175&lt;&gt;0,'Calculations PJ'!Q175*About!$B$45,0)</f>
        <v>19037450380.202278</v>
      </c>
      <c r="R175">
        <f>IF('Calculations PJ'!R175&lt;&gt;0,'Calculations PJ'!R175*About!$B$45,0)</f>
        <v>19057164364.454762</v>
      </c>
      <c r="S175">
        <f>IF('Calculations PJ'!S175&lt;&gt;0,'Calculations PJ'!S175*About!$B$45,0)</f>
        <v>19077504189.477169</v>
      </c>
      <c r="T175">
        <f>IF('Calculations PJ'!T175&lt;&gt;0,'Calculations PJ'!T175*About!$B$45,0)</f>
        <v>19097218173.729652</v>
      </c>
      <c r="U175">
        <f>IF('Calculations PJ'!U175&lt;&gt;0,'Calculations PJ'!U175*About!$B$45,0)</f>
        <v>19116932157.982136</v>
      </c>
      <c r="V175">
        <f>IF('Calculations PJ'!V175&lt;&gt;0,'Calculations PJ'!V175*About!$B$45,0)</f>
        <v>19137584903.389503</v>
      </c>
      <c r="W175">
        <f>IF('Calculations PJ'!W175&lt;&gt;0,'Calculations PJ'!W175*About!$B$45,0)</f>
        <v>19157298887.641991</v>
      </c>
      <c r="X175">
        <f>IF('Calculations PJ'!X175&lt;&gt;0,'Calculations PJ'!X175*About!$B$45,0)</f>
        <v>19103163661.043896</v>
      </c>
      <c r="Y175">
        <f>IF('Calculations PJ'!Y175&lt;&gt;0,'Calculations PJ'!Y175*About!$B$45,0)</f>
        <v>18948893911.258568</v>
      </c>
      <c r="Z175">
        <f>IF('Calculations PJ'!Z175&lt;&gt;0,'Calculations PJ'!Z175*About!$B$45,0)</f>
        <v>18794311241.088287</v>
      </c>
      <c r="AA175">
        <f>IF('Calculations PJ'!AA175&lt;&gt;0,'Calculations PJ'!AA175*About!$B$45,0)</f>
        <v>18640354411.68792</v>
      </c>
      <c r="AB175">
        <f>IF('Calculations PJ'!AB175&lt;&gt;0,'Calculations PJ'!AB175*About!$B$45,0)</f>
        <v>18486084661.902592</v>
      </c>
      <c r="AC175">
        <f>IF('Calculations PJ'!AC175&lt;&gt;0,'Calculations PJ'!AC175*About!$B$45,0)</f>
        <v>18331189071.347347</v>
      </c>
      <c r="AD175">
        <f>IF('Calculations PJ'!AD175&lt;&gt;0,'Calculations PJ'!AD175*About!$B$45,0)</f>
        <v>18177545162.33194</v>
      </c>
      <c r="AE175">
        <f>IF('Calculations PJ'!AE175&lt;&gt;0,'Calculations PJ'!AE175*About!$B$45,0)</f>
        <v>18023275412.546612</v>
      </c>
      <c r="AF175">
        <f>IF('Calculations PJ'!AF175&lt;&gt;0,'Calculations PJ'!AF175*About!$B$45,0)</f>
        <v>17868692742.376324</v>
      </c>
      <c r="AG175">
        <f>IF('Calculations PJ'!AG175&lt;&gt;0,'Calculations PJ'!AG175*About!$B$45,0)</f>
        <v>17714422992.590996</v>
      </c>
      <c r="AH175">
        <f>IF('Calculations PJ'!AH175&lt;&gt;0,'Calculations PJ'!AH175*About!$B$45,0)</f>
        <v>17560466163.190632</v>
      </c>
      <c r="AI175">
        <f>IF('Calculations PJ'!AI175&lt;&gt;0,'Calculations PJ'!AI175*About!$B$45,0)</f>
        <v>17405883493.020344</v>
      </c>
      <c r="AJ175">
        <f>IF('Calculations PJ'!AJ175&lt;&gt;0,'Calculations PJ'!AJ175*About!$B$45,0)</f>
        <v>17251613743.235012</v>
      </c>
      <c r="AK175">
        <f>IF('Calculations PJ'!AK175&lt;&gt;0,'Calculations PJ'!AK175*About!$B$45,0)</f>
        <v>17097343993.449686</v>
      </c>
      <c r="AL175">
        <f>IF('Calculations PJ'!AL175&lt;&gt;0,'Calculations PJ'!AL175*About!$B$45,0)</f>
        <v>16943387164.049322</v>
      </c>
      <c r="AM175">
        <f>IF('Calculations PJ'!AM175&lt;&gt;0,'Calculations PJ'!AM175*About!$B$45,0)</f>
        <v>16787239891.954235</v>
      </c>
      <c r="AN175">
        <f>IF('Calculations PJ'!AN175&lt;&gt;0,'Calculations PJ'!AN175*About!$B$45,0)</f>
        <v>16631405540.244106</v>
      </c>
      <c r="AO175">
        <f>IF('Calculations PJ'!AO175&lt;&gt;0,'Calculations PJ'!AO175*About!$B$45,0)</f>
        <v>16631405540.244106</v>
      </c>
      <c r="AP175">
        <f>IF('Calculations PJ'!AP175&lt;&gt;0,'Calculations PJ'!AP175*About!$B$45,0)</f>
        <v>16631405540.244106</v>
      </c>
      <c r="AQ175">
        <f>IF('Calculations PJ'!AQ175&lt;&gt;0,'Calculations PJ'!AQ175*About!$B$45,0)</f>
        <v>16631405540.244106</v>
      </c>
      <c r="AR175">
        <f>IF('Calculations PJ'!AR175&lt;&gt;0,'Calculations PJ'!AR175*About!$B$45,0)</f>
        <v>16631405540.244106</v>
      </c>
      <c r="AS175">
        <f>IF('Calculations PJ'!AS175&lt;&gt;0,'Calculations PJ'!AS175*About!$B$45,0)</f>
        <v>16631405540.244106</v>
      </c>
      <c r="AT175">
        <f>IF('Calculations PJ'!AT175&lt;&gt;0,'Calculations PJ'!AT175*About!$B$45,0)</f>
        <v>16631405540.244106</v>
      </c>
      <c r="AU175">
        <f>IF('Calculations PJ'!AU175&lt;&gt;0,'Calculations PJ'!AU175*About!$B$45,0)</f>
        <v>16631405540.244106</v>
      </c>
      <c r="AV175">
        <f>IF('Calculations PJ'!AV175&lt;&gt;0,'Calculations PJ'!AV175*About!$B$45,0)</f>
        <v>16631405540.244106</v>
      </c>
      <c r="AW175">
        <f>IF('Calculations PJ'!AW175&lt;&gt;0,'Calculations PJ'!AW175*About!$B$45,0)</f>
        <v>16631405540.244106</v>
      </c>
      <c r="AX175">
        <f>IF('Calculations PJ'!AX175&lt;&gt;0,'Calculations PJ'!AX175*About!$B$45,0)</f>
        <v>16631405540.244106</v>
      </c>
      <c r="AY175">
        <f>IF('Calculations PJ'!AY175&lt;&gt;0,'Calculations PJ'!AY175*About!$B$45,0)</f>
        <v>16631405540.244106</v>
      </c>
      <c r="AZ175">
        <f>IF('Calculations PJ'!AZ175&lt;&gt;0,'Calculations PJ'!AZ175*About!$B$45,0)</f>
        <v>16631405540.244106</v>
      </c>
      <c r="BA175">
        <f>IF('Calculations PJ'!BA175&lt;&gt;0,'Calculations PJ'!BA175*About!$B$45,0)</f>
        <v>16631405540.244106</v>
      </c>
      <c r="BB175">
        <f>IF('Calculations PJ'!BB175&lt;&gt;0,'Calculations PJ'!BB175*About!$B$45,0)</f>
        <v>16631405540.244106</v>
      </c>
      <c r="BC175">
        <f>IF('Calculations PJ'!BC175&lt;&gt;0,'Calculations PJ'!BC175*About!$B$45,0)</f>
        <v>16631405540.244106</v>
      </c>
      <c r="BD175">
        <f>IF('Calculations PJ'!BD175&lt;&gt;0,'Calculations PJ'!BD175*About!$B$45,0)</f>
        <v>16631405540.244106</v>
      </c>
      <c r="BE175">
        <f>IF('Calculations PJ'!BE175&lt;&gt;0,'Calculations PJ'!BE175*About!$B$45,0)</f>
        <v>16631405540.244106</v>
      </c>
      <c r="BF175">
        <f>IF('Calculations PJ'!BF175&lt;&gt;0,'Calculations PJ'!BF175*About!$B$45,0)</f>
        <v>16631405540.244106</v>
      </c>
      <c r="BG175">
        <f>IF('Calculations PJ'!BG175&lt;&gt;0,'Calculations PJ'!BG175*About!$B$45,0)</f>
        <v>16631405540.244106</v>
      </c>
      <c r="BH175">
        <f>IF('Calculations PJ'!BH175&lt;&gt;0,'Calculations PJ'!BH175*About!$B$45,0)</f>
        <v>16631405540.244106</v>
      </c>
    </row>
    <row r="176" spans="2:60" hidden="1" outlineLevel="1">
      <c r="B176" t="s">
        <v>143</v>
      </c>
      <c r="C176">
        <f>IF('Calculations PJ'!C176&lt;&gt;0,'Calculations PJ'!C176*About!$B$45,0)</f>
        <v>379146855233.0498</v>
      </c>
      <c r="D176">
        <f>IF('Calculations PJ'!D176&lt;&gt;0,'Calculations PJ'!D176*About!$B$45,0)</f>
        <v>398104197994.70227</v>
      </c>
      <c r="E176">
        <f>IF('Calculations PJ'!E176&lt;&gt;0,'Calculations PJ'!E176*About!$B$45,0)</f>
        <v>417061540756.3548</v>
      </c>
      <c r="F176">
        <f>IF('Calculations PJ'!F176&lt;&gt;0,'Calculations PJ'!F176*About!$B$45,0)</f>
        <v>436018883518.00732</v>
      </c>
      <c r="G176">
        <f>IF('Calculations PJ'!G176&lt;&gt;0,'Calculations PJ'!G176*About!$B$45,0)</f>
        <v>445497554898.8335</v>
      </c>
      <c r="H176">
        <f>IF('Calculations PJ'!H176&lt;&gt;0,'Calculations PJ'!H176*About!$B$45,0)</f>
        <v>445497554898.8335</v>
      </c>
      <c r="I176">
        <f>IF('Calculations PJ'!I176&lt;&gt;0,'Calculations PJ'!I176*About!$B$45,0)</f>
        <v>445497554898.8335</v>
      </c>
      <c r="J176">
        <f>IF('Calculations PJ'!J176&lt;&gt;0,'Calculations PJ'!J176*About!$B$45,0)</f>
        <v>436018883518.00732</v>
      </c>
      <c r="K176">
        <f>IF('Calculations PJ'!K176&lt;&gt;0,'Calculations PJ'!K176*About!$B$45,0)</f>
        <v>511848254564.61725</v>
      </c>
      <c r="L176">
        <f>IF('Calculations PJ'!L176&lt;&gt;0,'Calculations PJ'!L176*About!$B$45,0)</f>
        <v>530805597326.26978</v>
      </c>
      <c r="M176">
        <f>IF('Calculations PJ'!M176&lt;&gt;0,'Calculations PJ'!M176*About!$B$45,0)</f>
        <v>540284268707.09595</v>
      </c>
      <c r="N176">
        <f>IF('Calculations PJ'!N176&lt;&gt;0,'Calculations PJ'!N176*About!$B$45,0)</f>
        <v>540855035489.26324</v>
      </c>
      <c r="O176">
        <f>IF('Calculations PJ'!O176&lt;&gt;0,'Calculations PJ'!O176*About!$B$45,0)</f>
        <v>541416884040.45905</v>
      </c>
      <c r="P176">
        <f>IF('Calculations PJ'!P176&lt;&gt;0,'Calculations PJ'!P176*About!$B$45,0)</f>
        <v>541996569053.5976</v>
      </c>
      <c r="Q176">
        <f>IF('Calculations PJ'!Q176&lt;&gt;0,'Calculations PJ'!Q176*About!$B$45,0)</f>
        <v>542567335835.76483</v>
      </c>
      <c r="R176">
        <f>IF('Calculations PJ'!R176&lt;&gt;0,'Calculations PJ'!R176*About!$B$45,0)</f>
        <v>543129184386.96063</v>
      </c>
      <c r="S176">
        <f>IF('Calculations PJ'!S176&lt;&gt;0,'Calculations PJ'!S176*About!$B$45,0)</f>
        <v>543708869400.0993</v>
      </c>
      <c r="T176">
        <f>IF('Calculations PJ'!T176&lt;&gt;0,'Calculations PJ'!T176*About!$B$45,0)</f>
        <v>544270717951.29504</v>
      </c>
      <c r="U176">
        <f>IF('Calculations PJ'!U176&lt;&gt;0,'Calculations PJ'!U176*About!$B$45,0)</f>
        <v>544832566502.49091</v>
      </c>
      <c r="V176">
        <f>IF('Calculations PJ'!V176&lt;&gt;0,'Calculations PJ'!V176*About!$B$45,0)</f>
        <v>545421169746.60089</v>
      </c>
      <c r="W176">
        <f>IF('Calculations PJ'!W176&lt;&gt;0,'Calculations PJ'!W176*About!$B$45,0)</f>
        <v>545983018297.79675</v>
      </c>
      <c r="X176">
        <f>IF('Calculations PJ'!X176&lt;&gt;0,'Calculations PJ'!X176*About!$B$45,0)</f>
        <v>544440164339.75098</v>
      </c>
      <c r="Y176">
        <f>IF('Calculations PJ'!Y176&lt;&gt;0,'Calculations PJ'!Y176*About!$B$45,0)</f>
        <v>540043476470.86908</v>
      </c>
      <c r="Z176">
        <f>IF('Calculations PJ'!Z176&lt;&gt;0,'Calculations PJ'!Z176*About!$B$45,0)</f>
        <v>535637870371.01599</v>
      </c>
      <c r="AA176">
        <f>IF('Calculations PJ'!AA176&lt;&gt;0,'Calculations PJ'!AA176*About!$B$45,0)</f>
        <v>531250100733.10559</v>
      </c>
      <c r="AB176">
        <f>IF('Calculations PJ'!AB176&lt;&gt;0,'Calculations PJ'!AB176*About!$B$45,0)</f>
        <v>526853412864.22369</v>
      </c>
      <c r="AC176">
        <f>IF('Calculations PJ'!AC176&lt;&gt;0,'Calculations PJ'!AC176*About!$B$45,0)</f>
        <v>522438888533.39923</v>
      </c>
      <c r="AD176">
        <f>IF('Calculations PJ'!AD176&lt;&gt;0,'Calculations PJ'!AD176*About!$B$45,0)</f>
        <v>518060037126.46008</v>
      </c>
      <c r="AE176">
        <f>IF('Calculations PJ'!AE176&lt;&gt;0,'Calculations PJ'!AE176*About!$B$45,0)</f>
        <v>513663349257.57831</v>
      </c>
      <c r="AF176">
        <f>IF('Calculations PJ'!AF176&lt;&gt;0,'Calculations PJ'!AF176*About!$B$45,0)</f>
        <v>509257743157.7251</v>
      </c>
      <c r="AG176">
        <f>IF('Calculations PJ'!AG176&lt;&gt;0,'Calculations PJ'!AG176*About!$B$45,0)</f>
        <v>504861055288.84332</v>
      </c>
      <c r="AH176">
        <f>IF('Calculations PJ'!AH176&lt;&gt;0,'Calculations PJ'!AH176*About!$B$45,0)</f>
        <v>500473285650.9328</v>
      </c>
      <c r="AI176">
        <f>IF('Calculations PJ'!AI176&lt;&gt;0,'Calculations PJ'!AI176*About!$B$45,0)</f>
        <v>496067679551.07965</v>
      </c>
      <c r="AJ176">
        <f>IF('Calculations PJ'!AJ176&lt;&gt;0,'Calculations PJ'!AJ176*About!$B$45,0)</f>
        <v>491670991682.19781</v>
      </c>
      <c r="AK176">
        <f>IF('Calculations PJ'!AK176&lt;&gt;0,'Calculations PJ'!AK176*About!$B$45,0)</f>
        <v>487274303813.31604</v>
      </c>
      <c r="AL176">
        <f>IF('Calculations PJ'!AL176&lt;&gt;0,'Calculations PJ'!AL176*About!$B$45,0)</f>
        <v>482886534175.40564</v>
      </c>
      <c r="AM176">
        <f>IF('Calculations PJ'!AM176&lt;&gt;0,'Calculations PJ'!AM176*About!$B$45,0)</f>
        <v>478436336920.69568</v>
      </c>
      <c r="AN176">
        <f>IF('Calculations PJ'!AN176&lt;&gt;0,'Calculations PJ'!AN176*About!$B$45,0)</f>
        <v>473995057896.95703</v>
      </c>
      <c r="AO176">
        <f>IF('Calculations PJ'!AO176&lt;&gt;0,'Calculations PJ'!AO176*About!$B$45,0)</f>
        <v>473995057896.95703</v>
      </c>
      <c r="AP176">
        <f>IF('Calculations PJ'!AP176&lt;&gt;0,'Calculations PJ'!AP176*About!$B$45,0)</f>
        <v>473995057896.95703</v>
      </c>
      <c r="AQ176">
        <f>IF('Calculations PJ'!AQ176&lt;&gt;0,'Calculations PJ'!AQ176*About!$B$45,0)</f>
        <v>473995057896.95703</v>
      </c>
      <c r="AR176">
        <f>IF('Calculations PJ'!AR176&lt;&gt;0,'Calculations PJ'!AR176*About!$B$45,0)</f>
        <v>473995057896.95703</v>
      </c>
      <c r="AS176">
        <f>IF('Calculations PJ'!AS176&lt;&gt;0,'Calculations PJ'!AS176*About!$B$45,0)</f>
        <v>473995057896.95703</v>
      </c>
      <c r="AT176">
        <f>IF('Calculations PJ'!AT176&lt;&gt;0,'Calculations PJ'!AT176*About!$B$45,0)</f>
        <v>473995057896.95703</v>
      </c>
      <c r="AU176">
        <f>IF('Calculations PJ'!AU176&lt;&gt;0,'Calculations PJ'!AU176*About!$B$45,0)</f>
        <v>473995057896.95703</v>
      </c>
      <c r="AV176">
        <f>IF('Calculations PJ'!AV176&lt;&gt;0,'Calculations PJ'!AV176*About!$B$45,0)</f>
        <v>473995057896.95703</v>
      </c>
      <c r="AW176">
        <f>IF('Calculations PJ'!AW176&lt;&gt;0,'Calculations PJ'!AW176*About!$B$45,0)</f>
        <v>473995057896.95703</v>
      </c>
      <c r="AX176">
        <f>IF('Calculations PJ'!AX176&lt;&gt;0,'Calculations PJ'!AX176*About!$B$45,0)</f>
        <v>473995057896.95703</v>
      </c>
      <c r="AY176">
        <f>IF('Calculations PJ'!AY176&lt;&gt;0,'Calculations PJ'!AY176*About!$B$45,0)</f>
        <v>473995057896.95703</v>
      </c>
      <c r="AZ176">
        <f>IF('Calculations PJ'!AZ176&lt;&gt;0,'Calculations PJ'!AZ176*About!$B$45,0)</f>
        <v>473995057896.95703</v>
      </c>
      <c r="BA176">
        <f>IF('Calculations PJ'!BA176&lt;&gt;0,'Calculations PJ'!BA176*About!$B$45,0)</f>
        <v>473995057896.95703</v>
      </c>
      <c r="BB176">
        <f>IF('Calculations PJ'!BB176&lt;&gt;0,'Calculations PJ'!BB176*About!$B$45,0)</f>
        <v>473995057896.95703</v>
      </c>
      <c r="BC176">
        <f>IF('Calculations PJ'!BC176&lt;&gt;0,'Calculations PJ'!BC176*About!$B$45,0)</f>
        <v>473995057896.95703</v>
      </c>
      <c r="BD176">
        <f>IF('Calculations PJ'!BD176&lt;&gt;0,'Calculations PJ'!BD176*About!$B$45,0)</f>
        <v>473995057896.95703</v>
      </c>
      <c r="BE176">
        <f>IF('Calculations PJ'!BE176&lt;&gt;0,'Calculations PJ'!BE176*About!$B$45,0)</f>
        <v>473995057896.95703</v>
      </c>
      <c r="BF176">
        <f>IF('Calculations PJ'!BF176&lt;&gt;0,'Calculations PJ'!BF176*About!$B$45,0)</f>
        <v>473995057896.95703</v>
      </c>
      <c r="BG176">
        <f>IF('Calculations PJ'!BG176&lt;&gt;0,'Calculations PJ'!BG176*About!$B$45,0)</f>
        <v>473995057896.95703</v>
      </c>
      <c r="BH176">
        <f>IF('Calculations PJ'!BH176&lt;&gt;0,'Calculations PJ'!BH176*About!$B$45,0)</f>
        <v>473995057896.95703</v>
      </c>
    </row>
    <row r="177" spans="1:60" hidden="1" outlineLevel="1">
      <c r="B177" t="s">
        <v>144</v>
      </c>
      <c r="C177">
        <f>IF('Calculations PJ'!C177&lt;&gt;0,'Calculations PJ'!C177*About!$B$45,0)</f>
        <v>0</v>
      </c>
      <c r="D177">
        <f>IF('Calculations PJ'!D177&lt;&gt;0,'Calculations PJ'!D177*About!$B$45,0)</f>
        <v>0</v>
      </c>
      <c r="E177">
        <f>IF('Calculations PJ'!E177&lt;&gt;0,'Calculations PJ'!E177*About!$B$45,0)</f>
        <v>0</v>
      </c>
      <c r="F177">
        <f>IF('Calculations PJ'!F177&lt;&gt;0,'Calculations PJ'!F177*About!$B$45,0)</f>
        <v>0</v>
      </c>
      <c r="G177">
        <f>IF('Calculations PJ'!G177&lt;&gt;0,'Calculations PJ'!G177*About!$B$45,0)</f>
        <v>0</v>
      </c>
      <c r="H177">
        <f>IF('Calculations PJ'!H177&lt;&gt;0,'Calculations PJ'!H177*About!$B$45,0)</f>
        <v>0</v>
      </c>
      <c r="I177">
        <f>IF('Calculations PJ'!I177&lt;&gt;0,'Calculations PJ'!I177*About!$B$45,0)</f>
        <v>0</v>
      </c>
      <c r="J177">
        <f>IF('Calculations PJ'!J177&lt;&gt;0,'Calculations PJ'!J177*About!$B$45,0)</f>
        <v>0</v>
      </c>
      <c r="K177">
        <f>IF('Calculations PJ'!K177&lt;&gt;0,'Calculations PJ'!K177*About!$B$45,0)</f>
        <v>0</v>
      </c>
      <c r="L177">
        <f>IF('Calculations PJ'!L177&lt;&gt;0,'Calculations PJ'!L177*About!$B$45,0)</f>
        <v>0</v>
      </c>
      <c r="M177">
        <f>IF('Calculations PJ'!M177&lt;&gt;0,'Calculations PJ'!M177*About!$B$45,0)</f>
        <v>0</v>
      </c>
      <c r="N177">
        <f>IF('Calculations PJ'!N177&lt;&gt;0,'Calculations PJ'!N177*About!$B$45,0)</f>
        <v>0</v>
      </c>
      <c r="O177">
        <f>IF('Calculations PJ'!O177&lt;&gt;0,'Calculations PJ'!O177*About!$B$45,0)</f>
        <v>0</v>
      </c>
      <c r="P177">
        <f>IF('Calculations PJ'!P177&lt;&gt;0,'Calculations PJ'!P177*About!$B$45,0)</f>
        <v>0</v>
      </c>
      <c r="Q177">
        <f>IF('Calculations PJ'!Q177&lt;&gt;0,'Calculations PJ'!Q177*About!$B$45,0)</f>
        <v>0</v>
      </c>
      <c r="R177">
        <f>IF('Calculations PJ'!R177&lt;&gt;0,'Calculations PJ'!R177*About!$B$45,0)</f>
        <v>0</v>
      </c>
      <c r="S177">
        <f>IF('Calculations PJ'!S177&lt;&gt;0,'Calculations PJ'!S177*About!$B$45,0)</f>
        <v>0</v>
      </c>
      <c r="T177">
        <f>IF('Calculations PJ'!T177&lt;&gt;0,'Calculations PJ'!T177*About!$B$45,0)</f>
        <v>0</v>
      </c>
      <c r="U177">
        <f>IF('Calculations PJ'!U177&lt;&gt;0,'Calculations PJ'!U177*About!$B$45,0)</f>
        <v>0</v>
      </c>
      <c r="V177">
        <f>IF('Calculations PJ'!V177&lt;&gt;0,'Calculations PJ'!V177*About!$B$45,0)</f>
        <v>0</v>
      </c>
      <c r="W177">
        <f>IF('Calculations PJ'!W177&lt;&gt;0,'Calculations PJ'!W177*About!$B$45,0)</f>
        <v>0</v>
      </c>
      <c r="X177">
        <f>IF('Calculations PJ'!X177&lt;&gt;0,'Calculations PJ'!X177*About!$B$45,0)</f>
        <v>0</v>
      </c>
      <c r="Y177">
        <f>IF('Calculations PJ'!Y177&lt;&gt;0,'Calculations PJ'!Y177*About!$B$45,0)</f>
        <v>0</v>
      </c>
      <c r="Z177">
        <f>IF('Calculations PJ'!Z177&lt;&gt;0,'Calculations PJ'!Z177*About!$B$45,0)</f>
        <v>0</v>
      </c>
      <c r="AA177">
        <f>IF('Calculations PJ'!AA177&lt;&gt;0,'Calculations PJ'!AA177*About!$B$45,0)</f>
        <v>0</v>
      </c>
      <c r="AB177">
        <f>IF('Calculations PJ'!AB177&lt;&gt;0,'Calculations PJ'!AB177*About!$B$45,0)</f>
        <v>0</v>
      </c>
      <c r="AC177">
        <f>IF('Calculations PJ'!AC177&lt;&gt;0,'Calculations PJ'!AC177*About!$B$45,0)</f>
        <v>0</v>
      </c>
      <c r="AD177">
        <f>IF('Calculations PJ'!AD177&lt;&gt;0,'Calculations PJ'!AD177*About!$B$45,0)</f>
        <v>0</v>
      </c>
      <c r="AE177">
        <f>IF('Calculations PJ'!AE177&lt;&gt;0,'Calculations PJ'!AE177*About!$B$45,0)</f>
        <v>0</v>
      </c>
      <c r="AF177">
        <f>IF('Calculations PJ'!AF177&lt;&gt;0,'Calculations PJ'!AF177*About!$B$45,0)</f>
        <v>0</v>
      </c>
      <c r="AG177">
        <f>IF('Calculations PJ'!AG177&lt;&gt;0,'Calculations PJ'!AG177*About!$B$45,0)</f>
        <v>0</v>
      </c>
      <c r="AH177">
        <f>IF('Calculations PJ'!AH177&lt;&gt;0,'Calculations PJ'!AH177*About!$B$45,0)</f>
        <v>0</v>
      </c>
      <c r="AI177">
        <f>IF('Calculations PJ'!AI177&lt;&gt;0,'Calculations PJ'!AI177*About!$B$45,0)</f>
        <v>0</v>
      </c>
      <c r="AJ177">
        <f>IF('Calculations PJ'!AJ177&lt;&gt;0,'Calculations PJ'!AJ177*About!$B$45,0)</f>
        <v>0</v>
      </c>
      <c r="AK177">
        <f>IF('Calculations PJ'!AK177&lt;&gt;0,'Calculations PJ'!AK177*About!$B$45,0)</f>
        <v>0</v>
      </c>
      <c r="AL177">
        <f>IF('Calculations PJ'!AL177&lt;&gt;0,'Calculations PJ'!AL177*About!$B$45,0)</f>
        <v>0</v>
      </c>
      <c r="AM177">
        <f>IF('Calculations PJ'!AM177&lt;&gt;0,'Calculations PJ'!AM177*About!$B$45,0)</f>
        <v>0</v>
      </c>
      <c r="AN177">
        <f>IF('Calculations PJ'!AN177&lt;&gt;0,'Calculations PJ'!AN177*About!$B$45,0)</f>
        <v>0</v>
      </c>
      <c r="AO177">
        <f>IF('Calculations PJ'!AO177&lt;&gt;0,'Calculations PJ'!AO177*About!$B$45,0)</f>
        <v>0</v>
      </c>
      <c r="AP177">
        <f>IF('Calculations PJ'!AP177&lt;&gt;0,'Calculations PJ'!AP177*About!$B$45,0)</f>
        <v>0</v>
      </c>
      <c r="AQ177">
        <f>IF('Calculations PJ'!AQ177&lt;&gt;0,'Calculations PJ'!AQ177*About!$B$45,0)</f>
        <v>0</v>
      </c>
      <c r="AR177">
        <f>IF('Calculations PJ'!AR177&lt;&gt;0,'Calculations PJ'!AR177*About!$B$45,0)</f>
        <v>0</v>
      </c>
      <c r="AS177">
        <f>IF('Calculations PJ'!AS177&lt;&gt;0,'Calculations PJ'!AS177*About!$B$45,0)</f>
        <v>0</v>
      </c>
      <c r="AT177">
        <f>IF('Calculations PJ'!AT177&lt;&gt;0,'Calculations PJ'!AT177*About!$B$45,0)</f>
        <v>0</v>
      </c>
      <c r="AU177">
        <f>IF('Calculations PJ'!AU177&lt;&gt;0,'Calculations PJ'!AU177*About!$B$45,0)</f>
        <v>0</v>
      </c>
      <c r="AV177">
        <f>IF('Calculations PJ'!AV177&lt;&gt;0,'Calculations PJ'!AV177*About!$B$45,0)</f>
        <v>0</v>
      </c>
      <c r="AW177">
        <f>IF('Calculations PJ'!AW177&lt;&gt;0,'Calculations PJ'!AW177*About!$B$45,0)</f>
        <v>0</v>
      </c>
      <c r="AX177">
        <f>IF('Calculations PJ'!AX177&lt;&gt;0,'Calculations PJ'!AX177*About!$B$45,0)</f>
        <v>0</v>
      </c>
      <c r="AY177">
        <f>IF('Calculations PJ'!AY177&lt;&gt;0,'Calculations PJ'!AY177*About!$B$45,0)</f>
        <v>0</v>
      </c>
      <c r="AZ177">
        <f>IF('Calculations PJ'!AZ177&lt;&gt;0,'Calculations PJ'!AZ177*About!$B$45,0)</f>
        <v>0</v>
      </c>
      <c r="BA177">
        <f>IF('Calculations PJ'!BA177&lt;&gt;0,'Calculations PJ'!BA177*About!$B$45,0)</f>
        <v>0</v>
      </c>
      <c r="BB177">
        <f>IF('Calculations PJ'!BB177&lt;&gt;0,'Calculations PJ'!BB177*About!$B$45,0)</f>
        <v>0</v>
      </c>
      <c r="BC177">
        <f>IF('Calculations PJ'!BC177&lt;&gt;0,'Calculations PJ'!BC177*About!$B$45,0)</f>
        <v>0</v>
      </c>
      <c r="BD177">
        <f>IF('Calculations PJ'!BD177&lt;&gt;0,'Calculations PJ'!BD177*About!$B$45,0)</f>
        <v>0</v>
      </c>
      <c r="BE177">
        <f>IF('Calculations PJ'!BE177&lt;&gt;0,'Calculations PJ'!BE177*About!$B$45,0)</f>
        <v>0</v>
      </c>
      <c r="BF177">
        <f>IF('Calculations PJ'!BF177&lt;&gt;0,'Calculations PJ'!BF177*About!$B$45,0)</f>
        <v>0</v>
      </c>
      <c r="BG177">
        <f>IF('Calculations PJ'!BG177&lt;&gt;0,'Calculations PJ'!BG177*About!$B$45,0)</f>
        <v>0</v>
      </c>
      <c r="BH177">
        <f>IF('Calculations PJ'!BH177&lt;&gt;0,'Calculations PJ'!BH177*About!$B$45,0)</f>
        <v>0</v>
      </c>
    </row>
    <row r="178" spans="1:60" hidden="1" outlineLevel="1">
      <c r="B178" t="s">
        <v>145</v>
      </c>
      <c r="C178">
        <f>IF('Calculations PJ'!C178&lt;&gt;0,'Calculations PJ'!C178*About!$B$45,0)</f>
        <v>0</v>
      </c>
      <c r="D178">
        <f>IF('Calculations PJ'!D178&lt;&gt;0,'Calculations PJ'!D178*About!$B$45,0)</f>
        <v>0</v>
      </c>
      <c r="E178">
        <f>IF('Calculations PJ'!E178&lt;&gt;0,'Calculations PJ'!E178*About!$B$45,0)</f>
        <v>0</v>
      </c>
      <c r="F178">
        <f>IF('Calculations PJ'!F178&lt;&gt;0,'Calculations PJ'!F178*About!$B$45,0)</f>
        <v>0</v>
      </c>
      <c r="G178">
        <f>IF('Calculations PJ'!G178&lt;&gt;0,'Calculations PJ'!G178*About!$B$45,0)</f>
        <v>0</v>
      </c>
      <c r="H178">
        <f>IF('Calculations PJ'!H178&lt;&gt;0,'Calculations PJ'!H178*About!$B$45,0)</f>
        <v>0</v>
      </c>
      <c r="I178">
        <f>IF('Calculations PJ'!I178&lt;&gt;0,'Calculations PJ'!I178*About!$B$45,0)</f>
        <v>0</v>
      </c>
      <c r="J178">
        <f>IF('Calculations PJ'!J178&lt;&gt;0,'Calculations PJ'!J178*About!$B$45,0)</f>
        <v>0</v>
      </c>
      <c r="K178">
        <f>IF('Calculations PJ'!K178&lt;&gt;0,'Calculations PJ'!K178*About!$B$45,0)</f>
        <v>0</v>
      </c>
      <c r="L178">
        <f>IF('Calculations PJ'!L178&lt;&gt;0,'Calculations PJ'!L178*About!$B$45,0)</f>
        <v>0</v>
      </c>
      <c r="M178">
        <f>IF('Calculations PJ'!M178&lt;&gt;0,'Calculations PJ'!M178*About!$B$45,0)</f>
        <v>0</v>
      </c>
      <c r="N178">
        <f>IF('Calculations PJ'!N178&lt;&gt;0,'Calculations PJ'!N178*About!$B$45,0)</f>
        <v>0</v>
      </c>
      <c r="O178">
        <f>IF('Calculations PJ'!O178&lt;&gt;0,'Calculations PJ'!O178*About!$B$45,0)</f>
        <v>0</v>
      </c>
      <c r="P178">
        <f>IF('Calculations PJ'!P178&lt;&gt;0,'Calculations PJ'!P178*About!$B$45,0)</f>
        <v>0</v>
      </c>
      <c r="Q178">
        <f>IF('Calculations PJ'!Q178&lt;&gt;0,'Calculations PJ'!Q178*About!$B$45,0)</f>
        <v>0</v>
      </c>
      <c r="R178">
        <f>IF('Calculations PJ'!R178&lt;&gt;0,'Calculations PJ'!R178*About!$B$45,0)</f>
        <v>0</v>
      </c>
      <c r="S178">
        <f>IF('Calculations PJ'!S178&lt;&gt;0,'Calculations PJ'!S178*About!$B$45,0)</f>
        <v>0</v>
      </c>
      <c r="T178">
        <f>IF('Calculations PJ'!T178&lt;&gt;0,'Calculations PJ'!T178*About!$B$45,0)</f>
        <v>0</v>
      </c>
      <c r="U178">
        <f>IF('Calculations PJ'!U178&lt;&gt;0,'Calculations PJ'!U178*About!$B$45,0)</f>
        <v>0</v>
      </c>
      <c r="V178">
        <f>IF('Calculations PJ'!V178&lt;&gt;0,'Calculations PJ'!V178*About!$B$45,0)</f>
        <v>0</v>
      </c>
      <c r="W178">
        <f>IF('Calculations PJ'!W178&lt;&gt;0,'Calculations PJ'!W178*About!$B$45,0)</f>
        <v>0</v>
      </c>
      <c r="X178">
        <f>IF('Calculations PJ'!X178&lt;&gt;0,'Calculations PJ'!X178*About!$B$45,0)</f>
        <v>0</v>
      </c>
      <c r="Y178">
        <f>IF('Calculations PJ'!Y178&lt;&gt;0,'Calculations PJ'!Y178*About!$B$45,0)</f>
        <v>0</v>
      </c>
      <c r="Z178">
        <f>IF('Calculations PJ'!Z178&lt;&gt;0,'Calculations PJ'!Z178*About!$B$45,0)</f>
        <v>0</v>
      </c>
      <c r="AA178">
        <f>IF('Calculations PJ'!AA178&lt;&gt;0,'Calculations PJ'!AA178*About!$B$45,0)</f>
        <v>0</v>
      </c>
      <c r="AB178">
        <f>IF('Calculations PJ'!AB178&lt;&gt;0,'Calculations PJ'!AB178*About!$B$45,0)</f>
        <v>0</v>
      </c>
      <c r="AC178">
        <f>IF('Calculations PJ'!AC178&lt;&gt;0,'Calculations PJ'!AC178*About!$B$45,0)</f>
        <v>0</v>
      </c>
      <c r="AD178">
        <f>IF('Calculations PJ'!AD178&lt;&gt;0,'Calculations PJ'!AD178*About!$B$45,0)</f>
        <v>0</v>
      </c>
      <c r="AE178">
        <f>IF('Calculations PJ'!AE178&lt;&gt;0,'Calculations PJ'!AE178*About!$B$45,0)</f>
        <v>0</v>
      </c>
      <c r="AF178">
        <f>IF('Calculations PJ'!AF178&lt;&gt;0,'Calculations PJ'!AF178*About!$B$45,0)</f>
        <v>0</v>
      </c>
      <c r="AG178">
        <f>IF('Calculations PJ'!AG178&lt;&gt;0,'Calculations PJ'!AG178*About!$B$45,0)</f>
        <v>0</v>
      </c>
      <c r="AH178">
        <f>IF('Calculations PJ'!AH178&lt;&gt;0,'Calculations PJ'!AH178*About!$B$45,0)</f>
        <v>0</v>
      </c>
      <c r="AI178">
        <f>IF('Calculations PJ'!AI178&lt;&gt;0,'Calculations PJ'!AI178*About!$B$45,0)</f>
        <v>0</v>
      </c>
      <c r="AJ178">
        <f>IF('Calculations PJ'!AJ178&lt;&gt;0,'Calculations PJ'!AJ178*About!$B$45,0)</f>
        <v>0</v>
      </c>
      <c r="AK178">
        <f>IF('Calculations PJ'!AK178&lt;&gt;0,'Calculations PJ'!AK178*About!$B$45,0)</f>
        <v>0</v>
      </c>
      <c r="AL178">
        <f>IF('Calculations PJ'!AL178&lt;&gt;0,'Calculations PJ'!AL178*About!$B$45,0)</f>
        <v>0</v>
      </c>
      <c r="AM178">
        <f>IF('Calculations PJ'!AM178&lt;&gt;0,'Calculations PJ'!AM178*About!$B$45,0)</f>
        <v>0</v>
      </c>
      <c r="AN178">
        <f>IF('Calculations PJ'!AN178&lt;&gt;0,'Calculations PJ'!AN178*About!$B$45,0)</f>
        <v>0</v>
      </c>
      <c r="AO178">
        <f>IF('Calculations PJ'!AO178&lt;&gt;0,'Calculations PJ'!AO178*About!$B$45,0)</f>
        <v>0</v>
      </c>
      <c r="AP178">
        <f>IF('Calculations PJ'!AP178&lt;&gt;0,'Calculations PJ'!AP178*About!$B$45,0)</f>
        <v>0</v>
      </c>
      <c r="AQ178">
        <f>IF('Calculations PJ'!AQ178&lt;&gt;0,'Calculations PJ'!AQ178*About!$B$45,0)</f>
        <v>0</v>
      </c>
      <c r="AR178">
        <f>IF('Calculations PJ'!AR178&lt;&gt;0,'Calculations PJ'!AR178*About!$B$45,0)</f>
        <v>0</v>
      </c>
      <c r="AS178">
        <f>IF('Calculations PJ'!AS178&lt;&gt;0,'Calculations PJ'!AS178*About!$B$45,0)</f>
        <v>0</v>
      </c>
      <c r="AT178">
        <f>IF('Calculations PJ'!AT178&lt;&gt;0,'Calculations PJ'!AT178*About!$B$45,0)</f>
        <v>0</v>
      </c>
      <c r="AU178">
        <f>IF('Calculations PJ'!AU178&lt;&gt;0,'Calculations PJ'!AU178*About!$B$45,0)</f>
        <v>0</v>
      </c>
      <c r="AV178">
        <f>IF('Calculations PJ'!AV178&lt;&gt;0,'Calculations PJ'!AV178*About!$B$45,0)</f>
        <v>0</v>
      </c>
      <c r="AW178">
        <f>IF('Calculations PJ'!AW178&lt;&gt;0,'Calculations PJ'!AW178*About!$B$45,0)</f>
        <v>0</v>
      </c>
      <c r="AX178">
        <f>IF('Calculations PJ'!AX178&lt;&gt;0,'Calculations PJ'!AX178*About!$B$45,0)</f>
        <v>0</v>
      </c>
      <c r="AY178">
        <f>IF('Calculations PJ'!AY178&lt;&gt;0,'Calculations PJ'!AY178*About!$B$45,0)</f>
        <v>0</v>
      </c>
      <c r="AZ178">
        <f>IF('Calculations PJ'!AZ178&lt;&gt;0,'Calculations PJ'!AZ178*About!$B$45,0)</f>
        <v>0</v>
      </c>
      <c r="BA178">
        <f>IF('Calculations PJ'!BA178&lt;&gt;0,'Calculations PJ'!BA178*About!$B$45,0)</f>
        <v>0</v>
      </c>
      <c r="BB178">
        <f>IF('Calculations PJ'!BB178&lt;&gt;0,'Calculations PJ'!BB178*About!$B$45,0)</f>
        <v>0</v>
      </c>
      <c r="BC178">
        <f>IF('Calculations PJ'!BC178&lt;&gt;0,'Calculations PJ'!BC178*About!$B$45,0)</f>
        <v>0</v>
      </c>
      <c r="BD178">
        <f>IF('Calculations PJ'!BD178&lt;&gt;0,'Calculations PJ'!BD178*About!$B$45,0)</f>
        <v>0</v>
      </c>
      <c r="BE178">
        <f>IF('Calculations PJ'!BE178&lt;&gt;0,'Calculations PJ'!BE178*About!$B$45,0)</f>
        <v>0</v>
      </c>
      <c r="BF178">
        <f>IF('Calculations PJ'!BF178&lt;&gt;0,'Calculations PJ'!BF178*About!$B$45,0)</f>
        <v>0</v>
      </c>
      <c r="BG178">
        <f>IF('Calculations PJ'!BG178&lt;&gt;0,'Calculations PJ'!BG178*About!$B$45,0)</f>
        <v>0</v>
      </c>
      <c r="BH178">
        <f>IF('Calculations PJ'!BH178&lt;&gt;0,'Calculations PJ'!BH178*About!$B$45,0)</f>
        <v>0</v>
      </c>
    </row>
    <row r="179" spans="1:60" hidden="1" outlineLevel="1">
      <c r="B179" t="s">
        <v>146</v>
      </c>
      <c r="C179">
        <f>IF('Calculations PJ'!C179&lt;&gt;0,'Calculations PJ'!C179*About!$B$45,0)</f>
        <v>0</v>
      </c>
      <c r="D179">
        <f>IF('Calculations PJ'!D179&lt;&gt;0,'Calculations PJ'!D179*About!$B$45,0)</f>
        <v>0</v>
      </c>
      <c r="E179">
        <f>IF('Calculations PJ'!E179&lt;&gt;0,'Calculations PJ'!E179*About!$B$45,0)</f>
        <v>0</v>
      </c>
      <c r="F179">
        <f>IF('Calculations PJ'!F179&lt;&gt;0,'Calculations PJ'!F179*About!$B$45,0)</f>
        <v>0</v>
      </c>
      <c r="G179">
        <f>IF('Calculations PJ'!G179&lt;&gt;0,'Calculations PJ'!G179*About!$B$45,0)</f>
        <v>0</v>
      </c>
      <c r="H179">
        <f>IF('Calculations PJ'!H179&lt;&gt;0,'Calculations PJ'!H179*About!$B$45,0)</f>
        <v>0</v>
      </c>
      <c r="I179">
        <f>IF('Calculations PJ'!I179&lt;&gt;0,'Calculations PJ'!I179*About!$B$45,0)</f>
        <v>0</v>
      </c>
      <c r="J179">
        <f>IF('Calculations PJ'!J179&lt;&gt;0,'Calculations PJ'!J179*About!$B$45,0)</f>
        <v>0</v>
      </c>
      <c r="K179">
        <f>IF('Calculations PJ'!K179&lt;&gt;0,'Calculations PJ'!K179*About!$B$45,0)</f>
        <v>0</v>
      </c>
      <c r="L179">
        <f>IF('Calculations PJ'!L179&lt;&gt;0,'Calculations PJ'!L179*About!$B$45,0)</f>
        <v>0</v>
      </c>
      <c r="M179">
        <f>IF('Calculations PJ'!M179&lt;&gt;0,'Calculations PJ'!M179*About!$B$45,0)</f>
        <v>0</v>
      </c>
      <c r="N179">
        <f>IF('Calculations PJ'!N179&lt;&gt;0,'Calculations PJ'!N179*About!$B$45,0)</f>
        <v>0</v>
      </c>
      <c r="O179">
        <f>IF('Calculations PJ'!O179&lt;&gt;0,'Calculations PJ'!O179*About!$B$45,0)</f>
        <v>0</v>
      </c>
      <c r="P179">
        <f>IF('Calculations PJ'!P179&lt;&gt;0,'Calculations PJ'!P179*About!$B$45,0)</f>
        <v>0</v>
      </c>
      <c r="Q179">
        <f>IF('Calculations PJ'!Q179&lt;&gt;0,'Calculations PJ'!Q179*About!$B$45,0)</f>
        <v>0</v>
      </c>
      <c r="R179">
        <f>IF('Calculations PJ'!R179&lt;&gt;0,'Calculations PJ'!R179*About!$B$45,0)</f>
        <v>0</v>
      </c>
      <c r="S179">
        <f>IF('Calculations PJ'!S179&lt;&gt;0,'Calculations PJ'!S179*About!$B$45,0)</f>
        <v>0</v>
      </c>
      <c r="T179">
        <f>IF('Calculations PJ'!T179&lt;&gt;0,'Calculations PJ'!T179*About!$B$45,0)</f>
        <v>0</v>
      </c>
      <c r="U179">
        <f>IF('Calculations PJ'!U179&lt;&gt;0,'Calculations PJ'!U179*About!$B$45,0)</f>
        <v>0</v>
      </c>
      <c r="V179">
        <f>IF('Calculations PJ'!V179&lt;&gt;0,'Calculations PJ'!V179*About!$B$45,0)</f>
        <v>0</v>
      </c>
      <c r="W179">
        <f>IF('Calculations PJ'!W179&lt;&gt;0,'Calculations PJ'!W179*About!$B$45,0)</f>
        <v>0</v>
      </c>
      <c r="X179">
        <f>IF('Calculations PJ'!X179&lt;&gt;0,'Calculations PJ'!X179*About!$B$45,0)</f>
        <v>0</v>
      </c>
      <c r="Y179">
        <f>IF('Calculations PJ'!Y179&lt;&gt;0,'Calculations PJ'!Y179*About!$B$45,0)</f>
        <v>0</v>
      </c>
      <c r="Z179">
        <f>IF('Calculations PJ'!Z179&lt;&gt;0,'Calculations PJ'!Z179*About!$B$45,0)</f>
        <v>0</v>
      </c>
      <c r="AA179">
        <f>IF('Calculations PJ'!AA179&lt;&gt;0,'Calculations PJ'!AA179*About!$B$45,0)</f>
        <v>0</v>
      </c>
      <c r="AB179">
        <f>IF('Calculations PJ'!AB179&lt;&gt;0,'Calculations PJ'!AB179*About!$B$45,0)</f>
        <v>0</v>
      </c>
      <c r="AC179">
        <f>IF('Calculations PJ'!AC179&lt;&gt;0,'Calculations PJ'!AC179*About!$B$45,0)</f>
        <v>0</v>
      </c>
      <c r="AD179">
        <f>IF('Calculations PJ'!AD179&lt;&gt;0,'Calculations PJ'!AD179*About!$B$45,0)</f>
        <v>0</v>
      </c>
      <c r="AE179">
        <f>IF('Calculations PJ'!AE179&lt;&gt;0,'Calculations PJ'!AE179*About!$B$45,0)</f>
        <v>0</v>
      </c>
      <c r="AF179">
        <f>IF('Calculations PJ'!AF179&lt;&gt;0,'Calculations PJ'!AF179*About!$B$45,0)</f>
        <v>0</v>
      </c>
      <c r="AG179">
        <f>IF('Calculations PJ'!AG179&lt;&gt;0,'Calculations PJ'!AG179*About!$B$45,0)</f>
        <v>0</v>
      </c>
      <c r="AH179">
        <f>IF('Calculations PJ'!AH179&lt;&gt;0,'Calculations PJ'!AH179*About!$B$45,0)</f>
        <v>0</v>
      </c>
      <c r="AI179">
        <f>IF('Calculations PJ'!AI179&lt;&gt;0,'Calculations PJ'!AI179*About!$B$45,0)</f>
        <v>0</v>
      </c>
      <c r="AJ179">
        <f>IF('Calculations PJ'!AJ179&lt;&gt;0,'Calculations PJ'!AJ179*About!$B$45,0)</f>
        <v>0</v>
      </c>
      <c r="AK179">
        <f>IF('Calculations PJ'!AK179&lt;&gt;0,'Calculations PJ'!AK179*About!$B$45,0)</f>
        <v>0</v>
      </c>
      <c r="AL179">
        <f>IF('Calculations PJ'!AL179&lt;&gt;0,'Calculations PJ'!AL179*About!$B$45,0)</f>
        <v>0</v>
      </c>
      <c r="AM179">
        <f>IF('Calculations PJ'!AM179&lt;&gt;0,'Calculations PJ'!AM179*About!$B$45,0)</f>
        <v>0</v>
      </c>
      <c r="AN179">
        <f>IF('Calculations PJ'!AN179&lt;&gt;0,'Calculations PJ'!AN179*About!$B$45,0)</f>
        <v>0</v>
      </c>
      <c r="AO179">
        <f>IF('Calculations PJ'!AO179&lt;&gt;0,'Calculations PJ'!AO179*About!$B$45,0)</f>
        <v>0</v>
      </c>
      <c r="AP179">
        <f>IF('Calculations PJ'!AP179&lt;&gt;0,'Calculations PJ'!AP179*About!$B$45,0)</f>
        <v>0</v>
      </c>
      <c r="AQ179">
        <f>IF('Calculations PJ'!AQ179&lt;&gt;0,'Calculations PJ'!AQ179*About!$B$45,0)</f>
        <v>0</v>
      </c>
      <c r="AR179">
        <f>IF('Calculations PJ'!AR179&lt;&gt;0,'Calculations PJ'!AR179*About!$B$45,0)</f>
        <v>0</v>
      </c>
      <c r="AS179">
        <f>IF('Calculations PJ'!AS179&lt;&gt;0,'Calculations PJ'!AS179*About!$B$45,0)</f>
        <v>0</v>
      </c>
      <c r="AT179">
        <f>IF('Calculations PJ'!AT179&lt;&gt;0,'Calculations PJ'!AT179*About!$B$45,0)</f>
        <v>0</v>
      </c>
      <c r="AU179">
        <f>IF('Calculations PJ'!AU179&lt;&gt;0,'Calculations PJ'!AU179*About!$B$45,0)</f>
        <v>0</v>
      </c>
      <c r="AV179">
        <f>IF('Calculations PJ'!AV179&lt;&gt;0,'Calculations PJ'!AV179*About!$B$45,0)</f>
        <v>0</v>
      </c>
      <c r="AW179">
        <f>IF('Calculations PJ'!AW179&lt;&gt;0,'Calculations PJ'!AW179*About!$B$45,0)</f>
        <v>0</v>
      </c>
      <c r="AX179">
        <f>IF('Calculations PJ'!AX179&lt;&gt;0,'Calculations PJ'!AX179*About!$B$45,0)</f>
        <v>0</v>
      </c>
      <c r="AY179">
        <f>IF('Calculations PJ'!AY179&lt;&gt;0,'Calculations PJ'!AY179*About!$B$45,0)</f>
        <v>0</v>
      </c>
      <c r="AZ179">
        <f>IF('Calculations PJ'!AZ179&lt;&gt;0,'Calculations PJ'!AZ179*About!$B$45,0)</f>
        <v>0</v>
      </c>
      <c r="BA179">
        <f>IF('Calculations PJ'!BA179&lt;&gt;0,'Calculations PJ'!BA179*About!$B$45,0)</f>
        <v>0</v>
      </c>
      <c r="BB179">
        <f>IF('Calculations PJ'!BB179&lt;&gt;0,'Calculations PJ'!BB179*About!$B$45,0)</f>
        <v>0</v>
      </c>
      <c r="BC179">
        <f>IF('Calculations PJ'!BC179&lt;&gt;0,'Calculations PJ'!BC179*About!$B$45,0)</f>
        <v>0</v>
      </c>
      <c r="BD179">
        <f>IF('Calculations PJ'!BD179&lt;&gt;0,'Calculations PJ'!BD179*About!$B$45,0)</f>
        <v>0</v>
      </c>
      <c r="BE179">
        <f>IF('Calculations PJ'!BE179&lt;&gt;0,'Calculations PJ'!BE179*About!$B$45,0)</f>
        <v>0</v>
      </c>
      <c r="BF179">
        <f>IF('Calculations PJ'!BF179&lt;&gt;0,'Calculations PJ'!BF179*About!$B$45,0)</f>
        <v>0</v>
      </c>
      <c r="BG179">
        <f>IF('Calculations PJ'!BG179&lt;&gt;0,'Calculations PJ'!BG179*About!$B$45,0)</f>
        <v>0</v>
      </c>
      <c r="BH179">
        <f>IF('Calculations PJ'!BH179&lt;&gt;0,'Calculations PJ'!BH179*About!$B$45,0)</f>
        <v>0</v>
      </c>
    </row>
    <row r="180" spans="1:60" hidden="1" outlineLevel="1">
      <c r="B180" t="s">
        <v>147</v>
      </c>
      <c r="C180">
        <f>IF('Calculations PJ'!C180&lt;&gt;0,'Calculations PJ'!C180*About!$B$45,0)</f>
        <v>6909951436622.334</v>
      </c>
      <c r="D180">
        <f>IF('Calculations PJ'!D180&lt;&gt;0,'Calculations PJ'!D180*About!$B$45,0)</f>
        <v>5175354573931.1299</v>
      </c>
      <c r="E180">
        <f>IF('Calculations PJ'!E180&lt;&gt;0,'Calculations PJ'!E180*About!$B$45,0)</f>
        <v>9819903550535.9902</v>
      </c>
      <c r="F180">
        <f>IF('Calculations PJ'!F180&lt;&gt;0,'Calculations PJ'!F180*About!$B$45,0)</f>
        <v>15345968965557.691</v>
      </c>
      <c r="G180">
        <f>IF('Calculations PJ'!G180&lt;&gt;0,'Calculations PJ'!G180*About!$B$45,0)</f>
        <v>22606631243270.594</v>
      </c>
      <c r="H180">
        <f>IF('Calculations PJ'!H180&lt;&gt;0,'Calculations PJ'!H180*About!$B$45,0)</f>
        <v>18483409192611.18</v>
      </c>
      <c r="I180">
        <f>IF('Calculations PJ'!I180&lt;&gt;0,'Calculations PJ'!I180*About!$B$45,0)</f>
        <v>22303313759084.156</v>
      </c>
      <c r="J180">
        <f>IF('Calculations PJ'!J180&lt;&gt;0,'Calculations PJ'!J180*About!$B$45,0)</f>
        <v>12502367551309.816</v>
      </c>
      <c r="K180">
        <f>IF('Calculations PJ'!K180&lt;&gt;0,'Calculations PJ'!K180*About!$B$45,0)</f>
        <v>12710898321687.994</v>
      </c>
      <c r="L180">
        <f>IF('Calculations PJ'!L180&lt;&gt;0,'Calculations PJ'!L180*About!$B$45,0)</f>
        <v>12625590279260.559</v>
      </c>
      <c r="M180">
        <f>IF('Calculations PJ'!M180&lt;&gt;0,'Calculations PJ'!M180*About!$B$45,0)</f>
        <v>12777249021353.779</v>
      </c>
      <c r="N180">
        <f>IF('Calculations PJ'!N180&lt;&gt;0,'Calculations PJ'!N180*About!$B$45,0)</f>
        <v>12937615398999.283</v>
      </c>
      <c r="O180">
        <f>IF('Calculations PJ'!O180&lt;&gt;0,'Calculations PJ'!O180*About!$B$45,0)</f>
        <v>13097993824079.609</v>
      </c>
      <c r="P180">
        <f>IF('Calculations PJ'!P180&lt;&gt;0,'Calculations PJ'!P180*About!$B$45,0)</f>
        <v>13267826825671.119</v>
      </c>
      <c r="Q180">
        <f>IF('Calculations PJ'!Q180&lt;&gt;0,'Calculations PJ'!Q180*About!$B$45,0)</f>
        <v>13437671874697.451</v>
      </c>
      <c r="R180">
        <f>IF('Calculations PJ'!R180&lt;&gt;0,'Calculations PJ'!R180*About!$B$45,0)</f>
        <v>13598050299777.773</v>
      </c>
      <c r="S180">
        <f>IF('Calculations PJ'!S180&lt;&gt;0,'Calculations PJ'!S180*About!$B$45,0)</f>
        <v>13758404629988.457</v>
      </c>
      <c r="T180">
        <f>IF('Calculations PJ'!T180&lt;&gt;0,'Calculations PJ'!T180*About!$B$45,0)</f>
        <v>13928261726449.609</v>
      </c>
      <c r="U180">
        <f>IF('Calculations PJ'!U180&lt;&gt;0,'Calculations PJ'!U180*About!$B$45,0)</f>
        <v>14088640151529.934</v>
      </c>
      <c r="V180">
        <f>IF('Calculations PJ'!V180&lt;&gt;0,'Calculations PJ'!V180*About!$B$45,0)</f>
        <v>14258461105686.625</v>
      </c>
      <c r="W180">
        <f>IF('Calculations PJ'!W180&lt;&gt;0,'Calculations PJ'!W180*About!$B$45,0)</f>
        <v>14428318202147.777</v>
      </c>
      <c r="X180">
        <f>IF('Calculations PJ'!X180&lt;&gt;0,'Calculations PJ'!X180*About!$B$45,0)</f>
        <v>14601018493226.674</v>
      </c>
      <c r="Y180">
        <f>IF('Calculations PJ'!Y180&lt;&gt;0,'Calculations PJ'!Y180*About!$B$45,0)</f>
        <v>14768095292067.457</v>
      </c>
      <c r="Z180">
        <f>IF('Calculations PJ'!Z180&lt;&gt;0,'Calculations PJ'!Z180*About!$B$45,0)</f>
        <v>14935184138343.059</v>
      </c>
      <c r="AA180">
        <f>IF('Calculations PJ'!AA180&lt;&gt;0,'Calculations PJ'!AA180*About!$B$45,0)</f>
        <v>15111727561129.844</v>
      </c>
      <c r="AB180">
        <f>IF('Calculations PJ'!AB180&lt;&gt;0,'Calculations PJ'!AB180*About!$B$45,0)</f>
        <v>15278804359970.625</v>
      </c>
      <c r="AC180">
        <f>IF('Calculations PJ'!AC180&lt;&gt;0,'Calculations PJ'!AC180*About!$B$45,0)</f>
        <v>15445905253681.049</v>
      </c>
      <c r="AD180">
        <f>IF('Calculations PJ'!AD180&lt;&gt;0,'Calculations PJ'!AD180*About!$B$45,0)</f>
        <v>15622436629033.016</v>
      </c>
      <c r="AE180">
        <f>IF('Calculations PJ'!AE180&lt;&gt;0,'Calculations PJ'!AE180*About!$B$45,0)</f>
        <v>15798992099254.623</v>
      </c>
      <c r="AF180">
        <f>IF('Calculations PJ'!AF180&lt;&gt;0,'Calculations PJ'!AF180*About!$B$45,0)</f>
        <v>15966080945530.225</v>
      </c>
      <c r="AG180">
        <f>IF('Calculations PJ'!AG180&lt;&gt;0,'Calculations PJ'!AG180*About!$B$45,0)</f>
        <v>16133157744371.004</v>
      </c>
      <c r="AH180">
        <f>IF('Calculations PJ'!AH180&lt;&gt;0,'Calculations PJ'!AH180*About!$B$45,0)</f>
        <v>16319179838538.615</v>
      </c>
      <c r="AI180">
        <f>IF('Calculations PJ'!AI180&lt;&gt;0,'Calculations PJ'!AI180*About!$B$45,0)</f>
        <v>16486268684814.221</v>
      </c>
      <c r="AJ180">
        <f>IF('Calculations PJ'!AJ180&lt;&gt;0,'Calculations PJ'!AJ180*About!$B$45,0)</f>
        <v>16653345483655</v>
      </c>
      <c r="AK180">
        <f>IF('Calculations PJ'!AK180&lt;&gt;0,'Calculations PJ'!AK180*About!$B$45,0)</f>
        <v>16829900953876.611</v>
      </c>
      <c r="AL180">
        <f>IF('Calculations PJ'!AL180&lt;&gt;0,'Calculations PJ'!AL180*About!$B$45,0)</f>
        <v>17006444376663.395</v>
      </c>
      <c r="AM180">
        <f>IF('Calculations PJ'!AM180&lt;&gt;0,'Calculations PJ'!AM180*About!$B$45,0)</f>
        <v>17173593460113.105</v>
      </c>
      <c r="AN180">
        <f>IF('Calculations PJ'!AN180&lt;&gt;0,'Calculations PJ'!AN180*About!$B$45,0)</f>
        <v>17340730496127.99</v>
      </c>
      <c r="AO180">
        <f>IF('Calculations PJ'!AO180&lt;&gt;0,'Calculations PJ'!AO180*About!$B$45,0)</f>
        <v>17340730496127.99</v>
      </c>
      <c r="AP180">
        <f>IF('Calculations PJ'!AP180&lt;&gt;0,'Calculations PJ'!AP180*About!$B$45,0)</f>
        <v>17340730496127.99</v>
      </c>
      <c r="AQ180">
        <f>IF('Calculations PJ'!AQ180&lt;&gt;0,'Calculations PJ'!AQ180*About!$B$45,0)</f>
        <v>17340730496127.99</v>
      </c>
      <c r="AR180">
        <f>IF('Calculations PJ'!AR180&lt;&gt;0,'Calculations PJ'!AR180*About!$B$45,0)</f>
        <v>17340730496127.99</v>
      </c>
      <c r="AS180">
        <f>IF('Calculations PJ'!AS180&lt;&gt;0,'Calculations PJ'!AS180*About!$B$45,0)</f>
        <v>17340730496127.99</v>
      </c>
      <c r="AT180">
        <f>IF('Calculations PJ'!AT180&lt;&gt;0,'Calculations PJ'!AT180*About!$B$45,0)</f>
        <v>17340730496127.99</v>
      </c>
      <c r="AU180">
        <f>IF('Calculations PJ'!AU180&lt;&gt;0,'Calculations PJ'!AU180*About!$B$45,0)</f>
        <v>17340730496127.99</v>
      </c>
      <c r="AV180">
        <f>IF('Calculations PJ'!AV180&lt;&gt;0,'Calculations PJ'!AV180*About!$B$45,0)</f>
        <v>17340730496127.99</v>
      </c>
      <c r="AW180">
        <f>IF('Calculations PJ'!AW180&lt;&gt;0,'Calculations PJ'!AW180*About!$B$45,0)</f>
        <v>17340730496127.99</v>
      </c>
      <c r="AX180">
        <f>IF('Calculations PJ'!AX180&lt;&gt;0,'Calculations PJ'!AX180*About!$B$45,0)</f>
        <v>17340730496127.99</v>
      </c>
      <c r="AY180">
        <f>IF('Calculations PJ'!AY180&lt;&gt;0,'Calculations PJ'!AY180*About!$B$45,0)</f>
        <v>17340730496127.99</v>
      </c>
      <c r="AZ180">
        <f>IF('Calculations PJ'!AZ180&lt;&gt;0,'Calculations PJ'!AZ180*About!$B$45,0)</f>
        <v>17340730496127.99</v>
      </c>
      <c r="BA180">
        <f>IF('Calculations PJ'!BA180&lt;&gt;0,'Calculations PJ'!BA180*About!$B$45,0)</f>
        <v>17340730496127.99</v>
      </c>
      <c r="BB180">
        <f>IF('Calculations PJ'!BB180&lt;&gt;0,'Calculations PJ'!BB180*About!$B$45,0)</f>
        <v>17340730496127.99</v>
      </c>
      <c r="BC180">
        <f>IF('Calculations PJ'!BC180&lt;&gt;0,'Calculations PJ'!BC180*About!$B$45,0)</f>
        <v>17340730496127.99</v>
      </c>
      <c r="BD180">
        <f>IF('Calculations PJ'!BD180&lt;&gt;0,'Calculations PJ'!BD180*About!$B$45,0)</f>
        <v>17340730496127.99</v>
      </c>
      <c r="BE180">
        <f>IF('Calculations PJ'!BE180&lt;&gt;0,'Calculations PJ'!BE180*About!$B$45,0)</f>
        <v>17340730496127.99</v>
      </c>
      <c r="BF180">
        <f>IF('Calculations PJ'!BF180&lt;&gt;0,'Calculations PJ'!BF180*About!$B$45,0)</f>
        <v>17340730496127.99</v>
      </c>
      <c r="BG180">
        <f>IF('Calculations PJ'!BG180&lt;&gt;0,'Calculations PJ'!BG180*About!$B$45,0)</f>
        <v>17340730496127.99</v>
      </c>
      <c r="BH180">
        <f>IF('Calculations PJ'!BH180&lt;&gt;0,'Calculations PJ'!BH180*About!$B$45,0)</f>
        <v>17340730496127.99</v>
      </c>
    </row>
    <row r="181" spans="1:60" hidden="1" outlineLevel="1">
      <c r="B181" t="s">
        <v>148</v>
      </c>
      <c r="C181">
        <f>IF('Calculations PJ'!C181&lt;&gt;0,'Calculations PJ'!C181*About!$B$45,0)</f>
        <v>0</v>
      </c>
      <c r="D181">
        <f>IF('Calculations PJ'!D181&lt;&gt;0,'Calculations PJ'!D181*About!$B$45,0)</f>
        <v>0</v>
      </c>
      <c r="E181">
        <f>IF('Calculations PJ'!E181&lt;&gt;0,'Calculations PJ'!E181*About!$B$45,0)</f>
        <v>0</v>
      </c>
      <c r="F181">
        <f>IF('Calculations PJ'!F181&lt;&gt;0,'Calculations PJ'!F181*About!$B$45,0)</f>
        <v>0</v>
      </c>
      <c r="G181">
        <f>IF('Calculations PJ'!G181&lt;&gt;0,'Calculations PJ'!G181*About!$B$45,0)</f>
        <v>0</v>
      </c>
      <c r="H181">
        <f>IF('Calculations PJ'!H181&lt;&gt;0,'Calculations PJ'!H181*About!$B$45,0)</f>
        <v>0</v>
      </c>
      <c r="I181">
        <f>IF('Calculations PJ'!I181&lt;&gt;0,'Calculations PJ'!I181*About!$B$45,0)</f>
        <v>0</v>
      </c>
      <c r="J181">
        <f>IF('Calculations PJ'!J181&lt;&gt;0,'Calculations PJ'!J181*About!$B$45,0)</f>
        <v>0</v>
      </c>
      <c r="K181">
        <f>IF('Calculations PJ'!K181&lt;&gt;0,'Calculations PJ'!K181*About!$B$45,0)</f>
        <v>0</v>
      </c>
      <c r="L181">
        <f>IF('Calculations PJ'!L181&lt;&gt;0,'Calculations PJ'!L181*About!$B$45,0)</f>
        <v>0</v>
      </c>
      <c r="M181">
        <f>IF('Calculations PJ'!M181&lt;&gt;0,'Calculations PJ'!M181*About!$B$45,0)</f>
        <v>0</v>
      </c>
      <c r="N181">
        <f>IF('Calculations PJ'!N181&lt;&gt;0,'Calculations PJ'!N181*About!$B$45,0)</f>
        <v>0</v>
      </c>
      <c r="O181">
        <f>IF('Calculations PJ'!O181&lt;&gt;0,'Calculations PJ'!O181*About!$B$45,0)</f>
        <v>0</v>
      </c>
      <c r="P181">
        <f>IF('Calculations PJ'!P181&lt;&gt;0,'Calculations PJ'!P181*About!$B$45,0)</f>
        <v>0</v>
      </c>
      <c r="Q181">
        <f>IF('Calculations PJ'!Q181&lt;&gt;0,'Calculations PJ'!Q181*About!$B$45,0)</f>
        <v>0</v>
      </c>
      <c r="R181">
        <f>IF('Calculations PJ'!R181&lt;&gt;0,'Calculations PJ'!R181*About!$B$45,0)</f>
        <v>0</v>
      </c>
      <c r="S181">
        <f>IF('Calculations PJ'!S181&lt;&gt;0,'Calculations PJ'!S181*About!$B$45,0)</f>
        <v>0</v>
      </c>
      <c r="T181">
        <f>IF('Calculations PJ'!T181&lt;&gt;0,'Calculations PJ'!T181*About!$B$45,0)</f>
        <v>0</v>
      </c>
      <c r="U181">
        <f>IF('Calculations PJ'!U181&lt;&gt;0,'Calculations PJ'!U181*About!$B$45,0)</f>
        <v>0</v>
      </c>
      <c r="V181">
        <f>IF('Calculations PJ'!V181&lt;&gt;0,'Calculations PJ'!V181*About!$B$45,0)</f>
        <v>0</v>
      </c>
      <c r="W181">
        <f>IF('Calculations PJ'!W181&lt;&gt;0,'Calculations PJ'!W181*About!$B$45,0)</f>
        <v>0</v>
      </c>
      <c r="X181">
        <f>IF('Calculations PJ'!X181&lt;&gt;0,'Calculations PJ'!X181*About!$B$45,0)</f>
        <v>0</v>
      </c>
      <c r="Y181">
        <f>IF('Calculations PJ'!Y181&lt;&gt;0,'Calculations PJ'!Y181*About!$B$45,0)</f>
        <v>0</v>
      </c>
      <c r="Z181">
        <f>IF('Calculations PJ'!Z181&lt;&gt;0,'Calculations PJ'!Z181*About!$B$45,0)</f>
        <v>0</v>
      </c>
      <c r="AA181">
        <f>IF('Calculations PJ'!AA181&lt;&gt;0,'Calculations PJ'!AA181*About!$B$45,0)</f>
        <v>0</v>
      </c>
      <c r="AB181">
        <f>IF('Calculations PJ'!AB181&lt;&gt;0,'Calculations PJ'!AB181*About!$B$45,0)</f>
        <v>0</v>
      </c>
      <c r="AC181">
        <f>IF('Calculations PJ'!AC181&lt;&gt;0,'Calculations PJ'!AC181*About!$B$45,0)</f>
        <v>0</v>
      </c>
      <c r="AD181">
        <f>IF('Calculations PJ'!AD181&lt;&gt;0,'Calculations PJ'!AD181*About!$B$45,0)</f>
        <v>0</v>
      </c>
      <c r="AE181">
        <f>IF('Calculations PJ'!AE181&lt;&gt;0,'Calculations PJ'!AE181*About!$B$45,0)</f>
        <v>0</v>
      </c>
      <c r="AF181">
        <f>IF('Calculations PJ'!AF181&lt;&gt;0,'Calculations PJ'!AF181*About!$B$45,0)</f>
        <v>0</v>
      </c>
      <c r="AG181">
        <f>IF('Calculations PJ'!AG181&lt;&gt;0,'Calculations PJ'!AG181*About!$B$45,0)</f>
        <v>0</v>
      </c>
      <c r="AH181">
        <f>IF('Calculations PJ'!AH181&lt;&gt;0,'Calculations PJ'!AH181*About!$B$45,0)</f>
        <v>0</v>
      </c>
      <c r="AI181">
        <f>IF('Calculations PJ'!AI181&lt;&gt;0,'Calculations PJ'!AI181*About!$B$45,0)</f>
        <v>0</v>
      </c>
      <c r="AJ181">
        <f>IF('Calculations PJ'!AJ181&lt;&gt;0,'Calculations PJ'!AJ181*About!$B$45,0)</f>
        <v>0</v>
      </c>
      <c r="AK181">
        <f>IF('Calculations PJ'!AK181&lt;&gt;0,'Calculations PJ'!AK181*About!$B$45,0)</f>
        <v>0</v>
      </c>
      <c r="AL181">
        <f>IF('Calculations PJ'!AL181&lt;&gt;0,'Calculations PJ'!AL181*About!$B$45,0)</f>
        <v>0</v>
      </c>
      <c r="AM181">
        <f>IF('Calculations PJ'!AM181&lt;&gt;0,'Calculations PJ'!AM181*About!$B$45,0)</f>
        <v>0</v>
      </c>
      <c r="AN181">
        <f>IF('Calculations PJ'!AN181&lt;&gt;0,'Calculations PJ'!AN181*About!$B$45,0)</f>
        <v>0</v>
      </c>
      <c r="AO181">
        <f>IF('Calculations PJ'!AO181&lt;&gt;0,'Calculations PJ'!AO181*About!$B$45,0)</f>
        <v>0</v>
      </c>
      <c r="AP181">
        <f>IF('Calculations PJ'!AP181&lt;&gt;0,'Calculations PJ'!AP181*About!$B$45,0)</f>
        <v>0</v>
      </c>
      <c r="AQ181">
        <f>IF('Calculations PJ'!AQ181&lt;&gt;0,'Calculations PJ'!AQ181*About!$B$45,0)</f>
        <v>0</v>
      </c>
      <c r="AR181">
        <f>IF('Calculations PJ'!AR181&lt;&gt;0,'Calculations PJ'!AR181*About!$B$45,0)</f>
        <v>0</v>
      </c>
      <c r="AS181">
        <f>IF('Calculations PJ'!AS181&lt;&gt;0,'Calculations PJ'!AS181*About!$B$45,0)</f>
        <v>0</v>
      </c>
      <c r="AT181">
        <f>IF('Calculations PJ'!AT181&lt;&gt;0,'Calculations PJ'!AT181*About!$B$45,0)</f>
        <v>0</v>
      </c>
      <c r="AU181">
        <f>IF('Calculations PJ'!AU181&lt;&gt;0,'Calculations PJ'!AU181*About!$B$45,0)</f>
        <v>0</v>
      </c>
      <c r="AV181">
        <f>IF('Calculations PJ'!AV181&lt;&gt;0,'Calculations PJ'!AV181*About!$B$45,0)</f>
        <v>0</v>
      </c>
      <c r="AW181">
        <f>IF('Calculations PJ'!AW181&lt;&gt;0,'Calculations PJ'!AW181*About!$B$45,0)</f>
        <v>0</v>
      </c>
      <c r="AX181">
        <f>IF('Calculations PJ'!AX181&lt;&gt;0,'Calculations PJ'!AX181*About!$B$45,0)</f>
        <v>0</v>
      </c>
      <c r="AY181">
        <f>IF('Calculations PJ'!AY181&lt;&gt;0,'Calculations PJ'!AY181*About!$B$45,0)</f>
        <v>0</v>
      </c>
      <c r="AZ181">
        <f>IF('Calculations PJ'!AZ181&lt;&gt;0,'Calculations PJ'!AZ181*About!$B$45,0)</f>
        <v>0</v>
      </c>
      <c r="BA181">
        <f>IF('Calculations PJ'!BA181&lt;&gt;0,'Calculations PJ'!BA181*About!$B$45,0)</f>
        <v>0</v>
      </c>
      <c r="BB181">
        <f>IF('Calculations PJ'!BB181&lt;&gt;0,'Calculations PJ'!BB181*About!$B$45,0)</f>
        <v>0</v>
      </c>
      <c r="BC181">
        <f>IF('Calculations PJ'!BC181&lt;&gt;0,'Calculations PJ'!BC181*About!$B$45,0)</f>
        <v>0</v>
      </c>
      <c r="BD181">
        <f>IF('Calculations PJ'!BD181&lt;&gt;0,'Calculations PJ'!BD181*About!$B$45,0)</f>
        <v>0</v>
      </c>
      <c r="BE181">
        <f>IF('Calculations PJ'!BE181&lt;&gt;0,'Calculations PJ'!BE181*About!$B$45,0)</f>
        <v>0</v>
      </c>
      <c r="BF181">
        <f>IF('Calculations PJ'!BF181&lt;&gt;0,'Calculations PJ'!BF181*About!$B$45,0)</f>
        <v>0</v>
      </c>
      <c r="BG181">
        <f>IF('Calculations PJ'!BG181&lt;&gt;0,'Calculations PJ'!BG181*About!$B$45,0)</f>
        <v>0</v>
      </c>
      <c r="BH181">
        <f>IF('Calculations PJ'!BH181&lt;&gt;0,'Calculations PJ'!BH181*About!$B$45,0)</f>
        <v>0</v>
      </c>
    </row>
    <row r="182" spans="1:60" hidden="1" outlineLevel="1">
      <c r="B182" t="s">
        <v>149</v>
      </c>
      <c r="C182">
        <f>IF('Calculations PJ'!C182&lt;&gt;0,'Calculations PJ'!C182*About!$B$45,0)</f>
        <v>0</v>
      </c>
      <c r="D182">
        <f>IF('Calculations PJ'!D182&lt;&gt;0,'Calculations PJ'!D182*About!$B$45,0)</f>
        <v>0</v>
      </c>
      <c r="E182">
        <f>IF('Calculations PJ'!E182&lt;&gt;0,'Calculations PJ'!E182*About!$B$45,0)</f>
        <v>0</v>
      </c>
      <c r="F182">
        <f>IF('Calculations PJ'!F182&lt;&gt;0,'Calculations PJ'!F182*About!$B$45,0)</f>
        <v>0</v>
      </c>
      <c r="G182">
        <f>IF('Calculations PJ'!G182&lt;&gt;0,'Calculations PJ'!G182*About!$B$45,0)</f>
        <v>0</v>
      </c>
      <c r="H182">
        <f>IF('Calculations PJ'!H182&lt;&gt;0,'Calculations PJ'!H182*About!$B$45,0)</f>
        <v>0</v>
      </c>
      <c r="I182">
        <f>IF('Calculations PJ'!I182&lt;&gt;0,'Calculations PJ'!I182*About!$B$45,0)</f>
        <v>0</v>
      </c>
      <c r="J182">
        <f>IF('Calculations PJ'!J182&lt;&gt;0,'Calculations PJ'!J182*About!$B$45,0)</f>
        <v>0</v>
      </c>
      <c r="K182">
        <f>IF('Calculations PJ'!K182&lt;&gt;0,'Calculations PJ'!K182*About!$B$45,0)</f>
        <v>0</v>
      </c>
      <c r="L182">
        <f>IF('Calculations PJ'!L182&lt;&gt;0,'Calculations PJ'!L182*About!$B$45,0)</f>
        <v>0</v>
      </c>
      <c r="M182">
        <f>IF('Calculations PJ'!M182&lt;&gt;0,'Calculations PJ'!M182*About!$B$45,0)</f>
        <v>0</v>
      </c>
      <c r="N182">
        <f>IF('Calculations PJ'!N182&lt;&gt;0,'Calculations PJ'!N182*About!$B$45,0)</f>
        <v>0</v>
      </c>
      <c r="O182">
        <f>IF('Calculations PJ'!O182&lt;&gt;0,'Calculations PJ'!O182*About!$B$45,0)</f>
        <v>0</v>
      </c>
      <c r="P182">
        <f>IF('Calculations PJ'!P182&lt;&gt;0,'Calculations PJ'!P182*About!$B$45,0)</f>
        <v>0</v>
      </c>
      <c r="Q182">
        <f>IF('Calculations PJ'!Q182&lt;&gt;0,'Calculations PJ'!Q182*About!$B$45,0)</f>
        <v>0</v>
      </c>
      <c r="R182">
        <f>IF('Calculations PJ'!R182&lt;&gt;0,'Calculations PJ'!R182*About!$B$45,0)</f>
        <v>0</v>
      </c>
      <c r="S182">
        <f>IF('Calculations PJ'!S182&lt;&gt;0,'Calculations PJ'!S182*About!$B$45,0)</f>
        <v>0</v>
      </c>
      <c r="T182">
        <f>IF('Calculations PJ'!T182&lt;&gt;0,'Calculations PJ'!T182*About!$B$45,0)</f>
        <v>0</v>
      </c>
      <c r="U182">
        <f>IF('Calculations PJ'!U182&lt;&gt;0,'Calculations PJ'!U182*About!$B$45,0)</f>
        <v>0</v>
      </c>
      <c r="V182">
        <f>IF('Calculations PJ'!V182&lt;&gt;0,'Calculations PJ'!V182*About!$B$45,0)</f>
        <v>0</v>
      </c>
      <c r="W182">
        <f>IF('Calculations PJ'!W182&lt;&gt;0,'Calculations PJ'!W182*About!$B$45,0)</f>
        <v>0</v>
      </c>
      <c r="X182">
        <f>IF('Calculations PJ'!X182&lt;&gt;0,'Calculations PJ'!X182*About!$B$45,0)</f>
        <v>0</v>
      </c>
      <c r="Y182">
        <f>IF('Calculations PJ'!Y182&lt;&gt;0,'Calculations PJ'!Y182*About!$B$45,0)</f>
        <v>0</v>
      </c>
      <c r="Z182">
        <f>IF('Calculations PJ'!Z182&lt;&gt;0,'Calculations PJ'!Z182*About!$B$45,0)</f>
        <v>0</v>
      </c>
      <c r="AA182">
        <f>IF('Calculations PJ'!AA182&lt;&gt;0,'Calculations PJ'!AA182*About!$B$45,0)</f>
        <v>0</v>
      </c>
      <c r="AB182">
        <f>IF('Calculations PJ'!AB182&lt;&gt;0,'Calculations PJ'!AB182*About!$B$45,0)</f>
        <v>0</v>
      </c>
      <c r="AC182">
        <f>IF('Calculations PJ'!AC182&lt;&gt;0,'Calculations PJ'!AC182*About!$B$45,0)</f>
        <v>0</v>
      </c>
      <c r="AD182">
        <f>IF('Calculations PJ'!AD182&lt;&gt;0,'Calculations PJ'!AD182*About!$B$45,0)</f>
        <v>0</v>
      </c>
      <c r="AE182">
        <f>IF('Calculations PJ'!AE182&lt;&gt;0,'Calculations PJ'!AE182*About!$B$45,0)</f>
        <v>0</v>
      </c>
      <c r="AF182">
        <f>IF('Calculations PJ'!AF182&lt;&gt;0,'Calculations PJ'!AF182*About!$B$45,0)</f>
        <v>0</v>
      </c>
      <c r="AG182">
        <f>IF('Calculations PJ'!AG182&lt;&gt;0,'Calculations PJ'!AG182*About!$B$45,0)</f>
        <v>0</v>
      </c>
      <c r="AH182">
        <f>IF('Calculations PJ'!AH182&lt;&gt;0,'Calculations PJ'!AH182*About!$B$45,0)</f>
        <v>0</v>
      </c>
      <c r="AI182">
        <f>IF('Calculations PJ'!AI182&lt;&gt;0,'Calculations PJ'!AI182*About!$B$45,0)</f>
        <v>0</v>
      </c>
      <c r="AJ182">
        <f>IF('Calculations PJ'!AJ182&lt;&gt;0,'Calculations PJ'!AJ182*About!$B$45,0)</f>
        <v>0</v>
      </c>
      <c r="AK182">
        <f>IF('Calculations PJ'!AK182&lt;&gt;0,'Calculations PJ'!AK182*About!$B$45,0)</f>
        <v>0</v>
      </c>
      <c r="AL182">
        <f>IF('Calculations PJ'!AL182&lt;&gt;0,'Calculations PJ'!AL182*About!$B$45,0)</f>
        <v>0</v>
      </c>
      <c r="AM182">
        <f>IF('Calculations PJ'!AM182&lt;&gt;0,'Calculations PJ'!AM182*About!$B$45,0)</f>
        <v>0</v>
      </c>
      <c r="AN182">
        <f>IF('Calculations PJ'!AN182&lt;&gt;0,'Calculations PJ'!AN182*About!$B$45,0)</f>
        <v>0</v>
      </c>
      <c r="AO182">
        <f>IF('Calculations PJ'!AO182&lt;&gt;0,'Calculations PJ'!AO182*About!$B$45,0)</f>
        <v>0</v>
      </c>
      <c r="AP182">
        <f>IF('Calculations PJ'!AP182&lt;&gt;0,'Calculations PJ'!AP182*About!$B$45,0)</f>
        <v>0</v>
      </c>
      <c r="AQ182">
        <f>IF('Calculations PJ'!AQ182&lt;&gt;0,'Calculations PJ'!AQ182*About!$B$45,0)</f>
        <v>0</v>
      </c>
      <c r="AR182">
        <f>IF('Calculations PJ'!AR182&lt;&gt;0,'Calculations PJ'!AR182*About!$B$45,0)</f>
        <v>0</v>
      </c>
      <c r="AS182">
        <f>IF('Calculations PJ'!AS182&lt;&gt;0,'Calculations PJ'!AS182*About!$B$45,0)</f>
        <v>0</v>
      </c>
      <c r="AT182">
        <f>IF('Calculations PJ'!AT182&lt;&gt;0,'Calculations PJ'!AT182*About!$B$45,0)</f>
        <v>0</v>
      </c>
      <c r="AU182">
        <f>IF('Calculations PJ'!AU182&lt;&gt;0,'Calculations PJ'!AU182*About!$B$45,0)</f>
        <v>0</v>
      </c>
      <c r="AV182">
        <f>IF('Calculations PJ'!AV182&lt;&gt;0,'Calculations PJ'!AV182*About!$B$45,0)</f>
        <v>0</v>
      </c>
      <c r="AW182">
        <f>IF('Calculations PJ'!AW182&lt;&gt;0,'Calculations PJ'!AW182*About!$B$45,0)</f>
        <v>0</v>
      </c>
      <c r="AX182">
        <f>IF('Calculations PJ'!AX182&lt;&gt;0,'Calculations PJ'!AX182*About!$B$45,0)</f>
        <v>0</v>
      </c>
      <c r="AY182">
        <f>IF('Calculations PJ'!AY182&lt;&gt;0,'Calculations PJ'!AY182*About!$B$45,0)</f>
        <v>0</v>
      </c>
      <c r="AZ182">
        <f>IF('Calculations PJ'!AZ182&lt;&gt;0,'Calculations PJ'!AZ182*About!$B$45,0)</f>
        <v>0</v>
      </c>
      <c r="BA182">
        <f>IF('Calculations PJ'!BA182&lt;&gt;0,'Calculations PJ'!BA182*About!$B$45,0)</f>
        <v>0</v>
      </c>
      <c r="BB182">
        <f>IF('Calculations PJ'!BB182&lt;&gt;0,'Calculations PJ'!BB182*About!$B$45,0)</f>
        <v>0</v>
      </c>
      <c r="BC182">
        <f>IF('Calculations PJ'!BC182&lt;&gt;0,'Calculations PJ'!BC182*About!$B$45,0)</f>
        <v>0</v>
      </c>
      <c r="BD182">
        <f>IF('Calculations PJ'!BD182&lt;&gt;0,'Calculations PJ'!BD182*About!$B$45,0)</f>
        <v>0</v>
      </c>
      <c r="BE182">
        <f>IF('Calculations PJ'!BE182&lt;&gt;0,'Calculations PJ'!BE182*About!$B$45,0)</f>
        <v>0</v>
      </c>
      <c r="BF182">
        <f>IF('Calculations PJ'!BF182&lt;&gt;0,'Calculations PJ'!BF182*About!$B$45,0)</f>
        <v>0</v>
      </c>
      <c r="BG182">
        <f>IF('Calculations PJ'!BG182&lt;&gt;0,'Calculations PJ'!BG182*About!$B$45,0)</f>
        <v>0</v>
      </c>
      <c r="BH182">
        <f>IF('Calculations PJ'!BH182&lt;&gt;0,'Calculations PJ'!BH182*About!$B$45,0)</f>
        <v>0</v>
      </c>
    </row>
    <row r="183" spans="1:60" hidden="1" outlineLevel="1">
      <c r="B183" t="s">
        <v>150</v>
      </c>
      <c r="C183">
        <f>IF('Calculations PJ'!C183&lt;&gt;0,'Calculations PJ'!C183*About!$B$45,0)</f>
        <v>0</v>
      </c>
      <c r="D183">
        <f>IF('Calculations PJ'!D183&lt;&gt;0,'Calculations PJ'!D183*About!$B$45,0)</f>
        <v>0</v>
      </c>
      <c r="E183">
        <f>IF('Calculations PJ'!E183&lt;&gt;0,'Calculations PJ'!E183*About!$B$45,0)</f>
        <v>0</v>
      </c>
      <c r="F183">
        <f>IF('Calculations PJ'!F183&lt;&gt;0,'Calculations PJ'!F183*About!$B$45,0)</f>
        <v>0</v>
      </c>
      <c r="G183">
        <f>IF('Calculations PJ'!G183&lt;&gt;0,'Calculations PJ'!G183*About!$B$45,0)</f>
        <v>0</v>
      </c>
      <c r="H183">
        <f>IF('Calculations PJ'!H183&lt;&gt;0,'Calculations PJ'!H183*About!$B$45,0)</f>
        <v>0</v>
      </c>
      <c r="I183">
        <f>IF('Calculations PJ'!I183&lt;&gt;0,'Calculations PJ'!I183*About!$B$45,0)</f>
        <v>0</v>
      </c>
      <c r="J183">
        <f>IF('Calculations PJ'!J183&lt;&gt;0,'Calculations PJ'!J183*About!$B$45,0)</f>
        <v>0</v>
      </c>
      <c r="K183">
        <f>IF('Calculations PJ'!K183&lt;&gt;0,'Calculations PJ'!K183*About!$B$45,0)</f>
        <v>0</v>
      </c>
      <c r="L183">
        <f>IF('Calculations PJ'!L183&lt;&gt;0,'Calculations PJ'!L183*About!$B$45,0)</f>
        <v>0</v>
      </c>
      <c r="M183">
        <f>IF('Calculations PJ'!M183&lt;&gt;0,'Calculations PJ'!M183*About!$B$45,0)</f>
        <v>0</v>
      </c>
      <c r="N183">
        <f>IF('Calculations PJ'!N183&lt;&gt;0,'Calculations PJ'!N183*About!$B$45,0)</f>
        <v>0</v>
      </c>
      <c r="O183">
        <f>IF('Calculations PJ'!O183&lt;&gt;0,'Calculations PJ'!O183*About!$B$45,0)</f>
        <v>0</v>
      </c>
      <c r="P183">
        <f>IF('Calculations PJ'!P183&lt;&gt;0,'Calculations PJ'!P183*About!$B$45,0)</f>
        <v>0</v>
      </c>
      <c r="Q183">
        <f>IF('Calculations PJ'!Q183&lt;&gt;0,'Calculations PJ'!Q183*About!$B$45,0)</f>
        <v>0</v>
      </c>
      <c r="R183">
        <f>IF('Calculations PJ'!R183&lt;&gt;0,'Calculations PJ'!R183*About!$B$45,0)</f>
        <v>0</v>
      </c>
      <c r="S183">
        <f>IF('Calculations PJ'!S183&lt;&gt;0,'Calculations PJ'!S183*About!$B$45,0)</f>
        <v>0</v>
      </c>
      <c r="T183">
        <f>IF('Calculations PJ'!T183&lt;&gt;0,'Calculations PJ'!T183*About!$B$45,0)</f>
        <v>0</v>
      </c>
      <c r="U183">
        <f>IF('Calculations PJ'!U183&lt;&gt;0,'Calculations PJ'!U183*About!$B$45,0)</f>
        <v>0</v>
      </c>
      <c r="V183">
        <f>IF('Calculations PJ'!V183&lt;&gt;0,'Calculations PJ'!V183*About!$B$45,0)</f>
        <v>0</v>
      </c>
      <c r="W183">
        <f>IF('Calculations PJ'!W183&lt;&gt;0,'Calculations PJ'!W183*About!$B$45,0)</f>
        <v>0</v>
      </c>
      <c r="X183">
        <f>IF('Calculations PJ'!X183&lt;&gt;0,'Calculations PJ'!X183*About!$B$45,0)</f>
        <v>0</v>
      </c>
      <c r="Y183">
        <f>IF('Calculations PJ'!Y183&lt;&gt;0,'Calculations PJ'!Y183*About!$B$45,0)</f>
        <v>0</v>
      </c>
      <c r="Z183">
        <f>IF('Calculations PJ'!Z183&lt;&gt;0,'Calculations PJ'!Z183*About!$B$45,0)</f>
        <v>0</v>
      </c>
      <c r="AA183">
        <f>IF('Calculations PJ'!AA183&lt;&gt;0,'Calculations PJ'!AA183*About!$B$45,0)</f>
        <v>0</v>
      </c>
      <c r="AB183">
        <f>IF('Calculations PJ'!AB183&lt;&gt;0,'Calculations PJ'!AB183*About!$B$45,0)</f>
        <v>0</v>
      </c>
      <c r="AC183">
        <f>IF('Calculations PJ'!AC183&lt;&gt;0,'Calculations PJ'!AC183*About!$B$45,0)</f>
        <v>0</v>
      </c>
      <c r="AD183">
        <f>IF('Calculations PJ'!AD183&lt;&gt;0,'Calculations PJ'!AD183*About!$B$45,0)</f>
        <v>0</v>
      </c>
      <c r="AE183">
        <f>IF('Calculations PJ'!AE183&lt;&gt;0,'Calculations PJ'!AE183*About!$B$45,0)</f>
        <v>0</v>
      </c>
      <c r="AF183">
        <f>IF('Calculations PJ'!AF183&lt;&gt;0,'Calculations PJ'!AF183*About!$B$45,0)</f>
        <v>0</v>
      </c>
      <c r="AG183">
        <f>IF('Calculations PJ'!AG183&lt;&gt;0,'Calculations PJ'!AG183*About!$B$45,0)</f>
        <v>0</v>
      </c>
      <c r="AH183">
        <f>IF('Calculations PJ'!AH183&lt;&gt;0,'Calculations PJ'!AH183*About!$B$45,0)</f>
        <v>0</v>
      </c>
      <c r="AI183">
        <f>IF('Calculations PJ'!AI183&lt;&gt;0,'Calculations PJ'!AI183*About!$B$45,0)</f>
        <v>0</v>
      </c>
      <c r="AJ183">
        <f>IF('Calculations PJ'!AJ183&lt;&gt;0,'Calculations PJ'!AJ183*About!$B$45,0)</f>
        <v>0</v>
      </c>
      <c r="AK183">
        <f>IF('Calculations PJ'!AK183&lt;&gt;0,'Calculations PJ'!AK183*About!$B$45,0)</f>
        <v>0</v>
      </c>
      <c r="AL183">
        <f>IF('Calculations PJ'!AL183&lt;&gt;0,'Calculations PJ'!AL183*About!$B$45,0)</f>
        <v>0</v>
      </c>
      <c r="AM183">
        <f>IF('Calculations PJ'!AM183&lt;&gt;0,'Calculations PJ'!AM183*About!$B$45,0)</f>
        <v>0</v>
      </c>
      <c r="AN183">
        <f>IF('Calculations PJ'!AN183&lt;&gt;0,'Calculations PJ'!AN183*About!$B$45,0)</f>
        <v>0</v>
      </c>
      <c r="AO183">
        <f>IF('Calculations PJ'!AO183&lt;&gt;0,'Calculations PJ'!AO183*About!$B$45,0)</f>
        <v>0</v>
      </c>
      <c r="AP183">
        <f>IF('Calculations PJ'!AP183&lt;&gt;0,'Calculations PJ'!AP183*About!$B$45,0)</f>
        <v>0</v>
      </c>
      <c r="AQ183">
        <f>IF('Calculations PJ'!AQ183&lt;&gt;0,'Calculations PJ'!AQ183*About!$B$45,0)</f>
        <v>0</v>
      </c>
      <c r="AR183">
        <f>IF('Calculations PJ'!AR183&lt;&gt;0,'Calculations PJ'!AR183*About!$B$45,0)</f>
        <v>0</v>
      </c>
      <c r="AS183">
        <f>IF('Calculations PJ'!AS183&lt;&gt;0,'Calculations PJ'!AS183*About!$B$45,0)</f>
        <v>0</v>
      </c>
      <c r="AT183">
        <f>IF('Calculations PJ'!AT183&lt;&gt;0,'Calculations PJ'!AT183*About!$B$45,0)</f>
        <v>0</v>
      </c>
      <c r="AU183">
        <f>IF('Calculations PJ'!AU183&lt;&gt;0,'Calculations PJ'!AU183*About!$B$45,0)</f>
        <v>0</v>
      </c>
      <c r="AV183">
        <f>IF('Calculations PJ'!AV183&lt;&gt;0,'Calculations PJ'!AV183*About!$B$45,0)</f>
        <v>0</v>
      </c>
      <c r="AW183">
        <f>IF('Calculations PJ'!AW183&lt;&gt;0,'Calculations PJ'!AW183*About!$B$45,0)</f>
        <v>0</v>
      </c>
      <c r="AX183">
        <f>IF('Calculations PJ'!AX183&lt;&gt;0,'Calculations PJ'!AX183*About!$B$45,0)</f>
        <v>0</v>
      </c>
      <c r="AY183">
        <f>IF('Calculations PJ'!AY183&lt;&gt;0,'Calculations PJ'!AY183*About!$B$45,0)</f>
        <v>0</v>
      </c>
      <c r="AZ183">
        <f>IF('Calculations PJ'!AZ183&lt;&gt;0,'Calculations PJ'!AZ183*About!$B$45,0)</f>
        <v>0</v>
      </c>
      <c r="BA183">
        <f>IF('Calculations PJ'!BA183&lt;&gt;0,'Calculations PJ'!BA183*About!$B$45,0)</f>
        <v>0</v>
      </c>
      <c r="BB183">
        <f>IF('Calculations PJ'!BB183&lt;&gt;0,'Calculations PJ'!BB183*About!$B$45,0)</f>
        <v>0</v>
      </c>
      <c r="BC183">
        <f>IF('Calculations PJ'!BC183&lt;&gt;0,'Calculations PJ'!BC183*About!$B$45,0)</f>
        <v>0</v>
      </c>
      <c r="BD183">
        <f>IF('Calculations PJ'!BD183&lt;&gt;0,'Calculations PJ'!BD183*About!$B$45,0)</f>
        <v>0</v>
      </c>
      <c r="BE183">
        <f>IF('Calculations PJ'!BE183&lt;&gt;0,'Calculations PJ'!BE183*About!$B$45,0)</f>
        <v>0</v>
      </c>
      <c r="BF183">
        <f>IF('Calculations PJ'!BF183&lt;&gt;0,'Calculations PJ'!BF183*About!$B$45,0)</f>
        <v>0</v>
      </c>
      <c r="BG183">
        <f>IF('Calculations PJ'!BG183&lt;&gt;0,'Calculations PJ'!BG183*About!$B$45,0)</f>
        <v>0</v>
      </c>
      <c r="BH183">
        <f>IF('Calculations PJ'!BH183&lt;&gt;0,'Calculations PJ'!BH183*About!$B$45,0)</f>
        <v>0</v>
      </c>
    </row>
    <row r="184" spans="1:60">
      <c r="A184" t="s">
        <v>157</v>
      </c>
      <c r="C184">
        <f>SUM(C185:C209)</f>
        <v>47383878232750.398</v>
      </c>
      <c r="D184">
        <f t="shared" ref="D184:BH184" si="7">SUM(D185:D209)</f>
        <v>46028428225292.242</v>
      </c>
      <c r="E184">
        <f t="shared" si="7"/>
        <v>49573451321721.266</v>
      </c>
      <c r="F184">
        <f t="shared" si="7"/>
        <v>50009470205239.266</v>
      </c>
      <c r="G184">
        <f t="shared" si="7"/>
        <v>49099517752679.953</v>
      </c>
      <c r="H184">
        <f t="shared" si="7"/>
        <v>49146911109584.086</v>
      </c>
      <c r="I184">
        <f t="shared" si="7"/>
        <v>49146911109584.086</v>
      </c>
      <c r="J184">
        <f t="shared" si="7"/>
        <v>48559233483972.859</v>
      </c>
      <c r="K184">
        <f t="shared" si="7"/>
        <v>40511841481651.359</v>
      </c>
      <c r="L184">
        <f t="shared" si="7"/>
        <v>42648334010889.609</v>
      </c>
      <c r="M184">
        <f t="shared" si="7"/>
        <v>42727954850488.547</v>
      </c>
      <c r="N184">
        <f t="shared" si="7"/>
        <v>42807565676635.172</v>
      </c>
      <c r="O184">
        <f t="shared" si="7"/>
        <v>42877697987861.156</v>
      </c>
      <c r="P184">
        <f t="shared" si="7"/>
        <v>42966787328928.414</v>
      </c>
      <c r="Q184">
        <f t="shared" si="7"/>
        <v>43027440812313.383</v>
      </c>
      <c r="R184">
        <f t="shared" si="7"/>
        <v>43097573123539.375</v>
      </c>
      <c r="S184">
        <f t="shared" si="7"/>
        <v>43186662464606.625</v>
      </c>
      <c r="T184">
        <f t="shared" si="7"/>
        <v>43256794775832.609</v>
      </c>
      <c r="U184">
        <f t="shared" si="7"/>
        <v>43317448415677.781</v>
      </c>
      <c r="V184">
        <f t="shared" si="7"/>
        <v>43397058928904.008</v>
      </c>
      <c r="W184">
        <f t="shared" si="7"/>
        <v>43486148582891.656</v>
      </c>
      <c r="X184">
        <f t="shared" si="7"/>
        <v>43556317818723.07</v>
      </c>
      <c r="Y184">
        <f t="shared" si="7"/>
        <v>43645494464577.734</v>
      </c>
      <c r="Z184">
        <f t="shared" si="7"/>
        <v>43715713924130.922</v>
      </c>
      <c r="AA184">
        <f t="shared" si="7"/>
        <v>43814369084906.219</v>
      </c>
      <c r="AB184">
        <f t="shared" si="7"/>
        <v>43884588387999.219</v>
      </c>
      <c r="AC184">
        <f t="shared" si="7"/>
        <v>43954808004012.617</v>
      </c>
      <c r="AD184">
        <f t="shared" si="7"/>
        <v>44025026994185.234</v>
      </c>
      <c r="AE184">
        <f t="shared" si="7"/>
        <v>44095246297278.25</v>
      </c>
      <c r="AF184">
        <f t="shared" si="7"/>
        <v>44184423099593.094</v>
      </c>
      <c r="AG184">
        <f t="shared" si="7"/>
        <v>44245163731305.281</v>
      </c>
      <c r="AH184">
        <f t="shared" si="7"/>
        <v>44324861549318.922</v>
      </c>
      <c r="AI184">
        <f t="shared" si="7"/>
        <v>44404559680252.953</v>
      </c>
      <c r="AJ184">
        <f t="shared" si="7"/>
        <v>44474778983345.953</v>
      </c>
      <c r="AK184">
        <f t="shared" si="7"/>
        <v>44535519615058.133</v>
      </c>
      <c r="AL184">
        <f t="shared" si="7"/>
        <v>44634174775833.43</v>
      </c>
      <c r="AM184">
        <f t="shared" si="7"/>
        <v>44704395017687.586</v>
      </c>
      <c r="AN184">
        <f t="shared" si="7"/>
        <v>44784093774462.375</v>
      </c>
      <c r="AO184">
        <f t="shared" si="7"/>
        <v>44784093774462.375</v>
      </c>
      <c r="AP184">
        <f t="shared" si="7"/>
        <v>44784093774462.375</v>
      </c>
      <c r="AQ184">
        <f t="shared" si="7"/>
        <v>44784093774462.375</v>
      </c>
      <c r="AR184">
        <f t="shared" si="7"/>
        <v>44784093774462.375</v>
      </c>
      <c r="AS184">
        <f t="shared" si="7"/>
        <v>44784093774462.375</v>
      </c>
      <c r="AT184">
        <f t="shared" si="7"/>
        <v>44784093774462.375</v>
      </c>
      <c r="AU184">
        <f t="shared" si="7"/>
        <v>44784093774462.375</v>
      </c>
      <c r="AV184">
        <f t="shared" si="7"/>
        <v>44784093774462.375</v>
      </c>
      <c r="AW184">
        <f t="shared" si="7"/>
        <v>44784093774462.375</v>
      </c>
      <c r="AX184">
        <f t="shared" si="7"/>
        <v>44784093774462.375</v>
      </c>
      <c r="AY184">
        <f t="shared" si="7"/>
        <v>44784093774462.375</v>
      </c>
      <c r="AZ184">
        <f t="shared" si="7"/>
        <v>44784093774462.375</v>
      </c>
      <c r="BA184">
        <f t="shared" si="7"/>
        <v>44784093774462.375</v>
      </c>
      <c r="BB184">
        <f t="shared" si="7"/>
        <v>44784093774462.375</v>
      </c>
      <c r="BC184">
        <f t="shared" si="7"/>
        <v>44784093774462.375</v>
      </c>
      <c r="BD184">
        <f t="shared" si="7"/>
        <v>44784093774462.375</v>
      </c>
      <c r="BE184">
        <f t="shared" si="7"/>
        <v>44784093774462.375</v>
      </c>
      <c r="BF184">
        <f t="shared" si="7"/>
        <v>44784093774462.375</v>
      </c>
      <c r="BG184">
        <f t="shared" si="7"/>
        <v>44784093774462.375</v>
      </c>
      <c r="BH184">
        <f t="shared" si="7"/>
        <v>44784093774462.375</v>
      </c>
    </row>
    <row r="185" spans="1:60" outlineLevel="1">
      <c r="B185" t="s">
        <v>126</v>
      </c>
      <c r="C185">
        <f>IF('Calculations PJ'!C185&lt;&gt;0,'Calculations PJ'!C185*About!$B$45,0)</f>
        <v>5715638842638.2256</v>
      </c>
      <c r="D185">
        <f>IF('Calculations PJ'!D185&lt;&gt;0,'Calculations PJ'!D185*About!$B$45,0)</f>
        <v>5763032199542.3574</v>
      </c>
      <c r="E185">
        <f>IF('Calculations PJ'!E185&lt;&gt;0,'Calculations PJ'!E185*About!$B$45,0)</f>
        <v>4729857019032.2969</v>
      </c>
      <c r="F185">
        <f>IF('Calculations PJ'!F185&lt;&gt;0,'Calculations PJ'!F185*About!$B$45,0)</f>
        <v>4824643732840.5586</v>
      </c>
      <c r="G185">
        <f>IF('Calculations PJ'!G185&lt;&gt;0,'Calculations PJ'!G185*About!$B$45,0)</f>
        <v>4672984990747.3389</v>
      </c>
      <c r="H185">
        <f>IF('Calculations PJ'!H185&lt;&gt;0,'Calculations PJ'!H185*About!$B$45,0)</f>
        <v>4644548976604.8604</v>
      </c>
      <c r="I185">
        <f>IF('Calculations PJ'!I185&lt;&gt;0,'Calculations PJ'!I185*About!$B$45,0)</f>
        <v>4654027647985.6865</v>
      </c>
      <c r="J185">
        <f>IF('Calculations PJ'!J185&lt;&gt;0,'Calculations PJ'!J185*About!$B$45,0)</f>
        <v>4644548976604.8604</v>
      </c>
      <c r="K185">
        <f>IF('Calculations PJ'!K185&lt;&gt;0,'Calculations PJ'!K185*About!$B$45,0)</f>
        <v>4104264707897.7642</v>
      </c>
      <c r="L185">
        <f>IF('Calculations PJ'!L185&lt;&gt;0,'Calculations PJ'!L185*About!$B$45,0)</f>
        <v>3984833448499.353</v>
      </c>
      <c r="M185">
        <f>IF('Calculations PJ'!M185&lt;&gt;0,'Calculations PJ'!M185*About!$B$45,0)</f>
        <v>3855923517720.1162</v>
      </c>
      <c r="N185">
        <f>IF('Calculations PJ'!N185&lt;&gt;0,'Calculations PJ'!N185*About!$B$45,0)</f>
        <v>3727013586940.8794</v>
      </c>
      <c r="O185">
        <f>IF('Calculations PJ'!O185&lt;&gt;0,'Calculations PJ'!O185*About!$B$45,0)</f>
        <v>3598103656161.6426</v>
      </c>
      <c r="P185">
        <f>IF('Calculations PJ'!P185&lt;&gt;0,'Calculations PJ'!P185*About!$B$45,0)</f>
        <v>3469193725382.4058</v>
      </c>
      <c r="Q185">
        <f>IF('Calculations PJ'!Q185&lt;&gt;0,'Calculations PJ'!Q185*About!$B$45,0)</f>
        <v>3340283794603.1689</v>
      </c>
      <c r="R185">
        <f>IF('Calculations PJ'!R185&lt;&gt;0,'Calculations PJ'!R185*About!$B$45,0)</f>
        <v>3211373863823.9316</v>
      </c>
      <c r="S185">
        <f>IF('Calculations PJ'!S185&lt;&gt;0,'Calculations PJ'!S185*About!$B$45,0)</f>
        <v>3082463933044.6948</v>
      </c>
      <c r="T185">
        <f>IF('Calculations PJ'!T185&lt;&gt;0,'Calculations PJ'!T185*About!$B$45,0)</f>
        <v>2953554002265.458</v>
      </c>
      <c r="U185">
        <f>IF('Calculations PJ'!U185&lt;&gt;0,'Calculations PJ'!U185*About!$B$45,0)</f>
        <v>2824644071486.2212</v>
      </c>
      <c r="V185">
        <f>IF('Calculations PJ'!V185&lt;&gt;0,'Calculations PJ'!V185*About!$B$45,0)</f>
        <v>2695734140706.9839</v>
      </c>
      <c r="W185">
        <f>IF('Calculations PJ'!W185&lt;&gt;0,'Calculations PJ'!W185*About!$B$45,0)</f>
        <v>2566824209927.7476</v>
      </c>
      <c r="X185">
        <f>IF('Calculations PJ'!X185&lt;&gt;0,'Calculations PJ'!X185*About!$B$45,0)</f>
        <v>2437914279148.5103</v>
      </c>
      <c r="Y185">
        <f>IF('Calculations PJ'!Y185&lt;&gt;0,'Calculations PJ'!Y185*About!$B$45,0)</f>
        <v>2309004348369.2734</v>
      </c>
      <c r="Z185">
        <f>IF('Calculations PJ'!Z185&lt;&gt;0,'Calculations PJ'!Z185*About!$B$45,0)</f>
        <v>2180094417590.0361</v>
      </c>
      <c r="AA185">
        <f>IF('Calculations PJ'!AA185&lt;&gt;0,'Calculations PJ'!AA185*About!$B$45,0)</f>
        <v>2051184486810.7996</v>
      </c>
      <c r="AB185">
        <f>IF('Calculations PJ'!AB185&lt;&gt;0,'Calculations PJ'!AB185*About!$B$45,0)</f>
        <v>1922274556031.5625</v>
      </c>
      <c r="AC185">
        <f>IF('Calculations PJ'!AC185&lt;&gt;0,'Calculations PJ'!AC185*About!$B$45,0)</f>
        <v>1793364625252.3254</v>
      </c>
      <c r="AD185">
        <f>IF('Calculations PJ'!AD185&lt;&gt;0,'Calculations PJ'!AD185*About!$B$45,0)</f>
        <v>1664454694473.0886</v>
      </c>
      <c r="AE185">
        <f>IF('Calculations PJ'!AE185&lt;&gt;0,'Calculations PJ'!AE185*About!$B$45,0)</f>
        <v>1535544763693.8518</v>
      </c>
      <c r="AF185">
        <f>IF('Calculations PJ'!AF185&lt;&gt;0,'Calculations PJ'!AF185*About!$B$45,0)</f>
        <v>1406634832914.6147</v>
      </c>
      <c r="AG185">
        <f>IF('Calculations PJ'!AG185&lt;&gt;0,'Calculations PJ'!AG185*About!$B$45,0)</f>
        <v>1277724902135.3779</v>
      </c>
      <c r="AH185">
        <f>IF('Calculations PJ'!AH185&lt;&gt;0,'Calculations PJ'!AH185*About!$B$45,0)</f>
        <v>1148814971356.1409</v>
      </c>
      <c r="AI185">
        <f>IF('Calculations PJ'!AI185&lt;&gt;0,'Calculations PJ'!AI185*About!$B$45,0)</f>
        <v>1019905040576.9041</v>
      </c>
      <c r="AJ185">
        <f>IF('Calculations PJ'!AJ185&lt;&gt;0,'Calculations PJ'!AJ185*About!$B$45,0)</f>
        <v>890995109797.66699</v>
      </c>
      <c r="AK185">
        <f>IF('Calculations PJ'!AK185&lt;&gt;0,'Calculations PJ'!AK185*About!$B$45,0)</f>
        <v>762085179018.43018</v>
      </c>
      <c r="AL185">
        <f>IF('Calculations PJ'!AL185&lt;&gt;0,'Calculations PJ'!AL185*About!$B$45,0)</f>
        <v>633175248239.19324</v>
      </c>
      <c r="AM185">
        <f>IF('Calculations PJ'!AM185&lt;&gt;0,'Calculations PJ'!AM185*About!$B$45,0)</f>
        <v>504265317459.95624</v>
      </c>
      <c r="AN185">
        <f>IF('Calculations PJ'!AN185&lt;&gt;0,'Calculations PJ'!AN185*About!$B$45,0)</f>
        <v>375355386680.7193</v>
      </c>
      <c r="AO185">
        <f>IF('Calculations PJ'!AO185&lt;&gt;0,'Calculations PJ'!AO185*About!$B$45,0)</f>
        <v>375355386680.7193</v>
      </c>
      <c r="AP185">
        <f>IF('Calculations PJ'!AP185&lt;&gt;0,'Calculations PJ'!AP185*About!$B$45,0)</f>
        <v>375355386680.7193</v>
      </c>
      <c r="AQ185">
        <f>IF('Calculations PJ'!AQ185&lt;&gt;0,'Calculations PJ'!AQ185*About!$B$45,0)</f>
        <v>375355386680.7193</v>
      </c>
      <c r="AR185">
        <f>IF('Calculations PJ'!AR185&lt;&gt;0,'Calculations PJ'!AR185*About!$B$45,0)</f>
        <v>375355386680.7193</v>
      </c>
      <c r="AS185">
        <f>IF('Calculations PJ'!AS185&lt;&gt;0,'Calculations PJ'!AS185*About!$B$45,0)</f>
        <v>375355386680.7193</v>
      </c>
      <c r="AT185">
        <f>IF('Calculations PJ'!AT185&lt;&gt;0,'Calculations PJ'!AT185*About!$B$45,0)</f>
        <v>375355386680.7193</v>
      </c>
      <c r="AU185">
        <f>IF('Calculations PJ'!AU185&lt;&gt;0,'Calculations PJ'!AU185*About!$B$45,0)</f>
        <v>375355386680.7193</v>
      </c>
      <c r="AV185">
        <f>IF('Calculations PJ'!AV185&lt;&gt;0,'Calculations PJ'!AV185*About!$B$45,0)</f>
        <v>375355386680.7193</v>
      </c>
      <c r="AW185">
        <f>IF('Calculations PJ'!AW185&lt;&gt;0,'Calculations PJ'!AW185*About!$B$45,0)</f>
        <v>375355386680.7193</v>
      </c>
      <c r="AX185">
        <f>IF('Calculations PJ'!AX185&lt;&gt;0,'Calculations PJ'!AX185*About!$B$45,0)</f>
        <v>375355386680.7193</v>
      </c>
      <c r="AY185">
        <f>IF('Calculations PJ'!AY185&lt;&gt;0,'Calculations PJ'!AY185*About!$B$45,0)</f>
        <v>375355386680.7193</v>
      </c>
      <c r="AZ185">
        <f>IF('Calculations PJ'!AZ185&lt;&gt;0,'Calculations PJ'!AZ185*About!$B$45,0)</f>
        <v>375355386680.7193</v>
      </c>
      <c r="BA185">
        <f>IF('Calculations PJ'!BA185&lt;&gt;0,'Calculations PJ'!BA185*About!$B$45,0)</f>
        <v>375355386680.7193</v>
      </c>
      <c r="BB185">
        <f>IF('Calculations PJ'!BB185&lt;&gt;0,'Calculations PJ'!BB185*About!$B$45,0)</f>
        <v>375355386680.7193</v>
      </c>
      <c r="BC185">
        <f>IF('Calculations PJ'!BC185&lt;&gt;0,'Calculations PJ'!BC185*About!$B$45,0)</f>
        <v>375355386680.7193</v>
      </c>
      <c r="BD185">
        <f>IF('Calculations PJ'!BD185&lt;&gt;0,'Calculations PJ'!BD185*About!$B$45,0)</f>
        <v>375355386680.7193</v>
      </c>
      <c r="BE185">
        <f>IF('Calculations PJ'!BE185&lt;&gt;0,'Calculations PJ'!BE185*About!$B$45,0)</f>
        <v>375355386680.7193</v>
      </c>
      <c r="BF185">
        <f>IF('Calculations PJ'!BF185&lt;&gt;0,'Calculations PJ'!BF185*About!$B$45,0)</f>
        <v>375355386680.7193</v>
      </c>
      <c r="BG185">
        <f>IF('Calculations PJ'!BG185&lt;&gt;0,'Calculations PJ'!BG185*About!$B$45,0)</f>
        <v>375355386680.7193</v>
      </c>
      <c r="BH185">
        <f>IF('Calculations PJ'!BH185&lt;&gt;0,'Calculations PJ'!BH185*About!$B$45,0)</f>
        <v>375355386680.7193</v>
      </c>
    </row>
    <row r="186" spans="1:60" outlineLevel="1">
      <c r="B186" t="s">
        <v>127</v>
      </c>
      <c r="C186">
        <f>IF('Calculations PJ'!C186&lt;&gt;0,'Calculations PJ'!C186*About!$B$45,0)</f>
        <v>1325118259039.509</v>
      </c>
      <c r="D186">
        <f>IF('Calculations PJ'!D186&lt;&gt;0,'Calculations PJ'!D186*About!$B$45,0)</f>
        <v>1150236772063.2649</v>
      </c>
      <c r="E186">
        <f>IF('Calculations PJ'!E186&lt;&gt;0,'Calculations PJ'!E186*About!$B$45,0)</f>
        <v>1069194131757.2003</v>
      </c>
      <c r="F186">
        <f>IF('Calculations PJ'!F186&lt;&gt;0,'Calculations PJ'!F186*About!$B$45,0)</f>
        <v>1256871825097.5601</v>
      </c>
      <c r="G186">
        <f>IF('Calculations PJ'!G186&lt;&gt;0,'Calculations PJ'!G186*About!$B$45,0)</f>
        <v>1231279412369.3291</v>
      </c>
      <c r="H186">
        <f>IF('Calculations PJ'!H186&lt;&gt;0,'Calculations PJ'!H186*About!$B$45,0)</f>
        <v>1177250985498.6194</v>
      </c>
      <c r="I186">
        <f>IF('Calculations PJ'!I186&lt;&gt;0,'Calculations PJ'!I186*About!$B$45,0)</f>
        <v>1143127768527.645</v>
      </c>
      <c r="J186">
        <f>IF('Calculations PJ'!J186&lt;&gt;0,'Calculations PJ'!J186*About!$B$45,0)</f>
        <v>1844075517139.7461</v>
      </c>
      <c r="K186">
        <f>IF('Calculations PJ'!K186&lt;&gt;0,'Calculations PJ'!K186*About!$B$45,0)</f>
        <v>1529857560865.356</v>
      </c>
      <c r="L186">
        <f>IF('Calculations PJ'!L186&lt;&gt;0,'Calculations PJ'!L186*About!$B$45,0)</f>
        <v>1625118208242.6597</v>
      </c>
      <c r="M186">
        <f>IF('Calculations PJ'!M186&lt;&gt;0,'Calculations PJ'!M186*About!$B$45,0)</f>
        <v>1633649012485.4033</v>
      </c>
      <c r="N186">
        <f>IF('Calculations PJ'!N186&lt;&gt;0,'Calculations PJ'!N186*About!$B$45,0)</f>
        <v>1642179816728.1472</v>
      </c>
      <c r="O186">
        <f>IF('Calculations PJ'!O186&lt;&gt;0,'Calculations PJ'!O186*About!$B$45,0)</f>
        <v>1650710620970.8904</v>
      </c>
      <c r="P186">
        <f>IF('Calculations PJ'!P186&lt;&gt;0,'Calculations PJ'!P186*About!$B$45,0)</f>
        <v>1659241425213.6343</v>
      </c>
      <c r="Q186">
        <f>IF('Calculations PJ'!Q186&lt;&gt;0,'Calculations PJ'!Q186*About!$B$45,0)</f>
        <v>1667772229456.3779</v>
      </c>
      <c r="R186">
        <f>IF('Calculations PJ'!R186&lt;&gt;0,'Calculations PJ'!R186*About!$B$45,0)</f>
        <v>1676303033699.1211</v>
      </c>
      <c r="S186">
        <f>IF('Calculations PJ'!S186&lt;&gt;0,'Calculations PJ'!S186*About!$B$45,0)</f>
        <v>1684833837941.865</v>
      </c>
      <c r="T186">
        <f>IF('Calculations PJ'!T186&lt;&gt;0,'Calculations PJ'!T186*About!$B$45,0)</f>
        <v>1693364642184.6086</v>
      </c>
      <c r="U186">
        <f>IF('Calculations PJ'!U186&lt;&gt;0,'Calculations PJ'!U186*About!$B$45,0)</f>
        <v>1701895446427.3523</v>
      </c>
      <c r="V186">
        <f>IF('Calculations PJ'!V186&lt;&gt;0,'Calculations PJ'!V186*About!$B$45,0)</f>
        <v>1710426250670.0957</v>
      </c>
      <c r="W186">
        <f>IF('Calculations PJ'!W186&lt;&gt;0,'Calculations PJ'!W186*About!$B$45,0)</f>
        <v>1718957054912.8394</v>
      </c>
      <c r="X186">
        <f>IF('Calculations PJ'!X186&lt;&gt;0,'Calculations PJ'!X186*About!$B$45,0)</f>
        <v>1727487859155.5833</v>
      </c>
      <c r="Y186">
        <f>IF('Calculations PJ'!Y186&lt;&gt;0,'Calculations PJ'!Y186*About!$B$45,0)</f>
        <v>1736018663398.3269</v>
      </c>
      <c r="Z186">
        <f>IF('Calculations PJ'!Z186&lt;&gt;0,'Calculations PJ'!Z186*About!$B$45,0)</f>
        <v>1745971268348.1943</v>
      </c>
      <c r="AA186">
        <f>IF('Calculations PJ'!AA186&lt;&gt;0,'Calculations PJ'!AA186*About!$B$45,0)</f>
        <v>1754502072590.938</v>
      </c>
      <c r="AB186">
        <f>IF('Calculations PJ'!AB186&lt;&gt;0,'Calculations PJ'!AB186*About!$B$45,0)</f>
        <v>1763032876833.6814</v>
      </c>
      <c r="AC186">
        <f>IF('Calculations PJ'!AC186&lt;&gt;0,'Calculations PJ'!AC186*About!$B$45,0)</f>
        <v>1771563681076.4253</v>
      </c>
      <c r="AD186">
        <f>IF('Calculations PJ'!AD186&lt;&gt;0,'Calculations PJ'!AD186*About!$B$45,0)</f>
        <v>1780094485319.1687</v>
      </c>
      <c r="AE186">
        <f>IF('Calculations PJ'!AE186&lt;&gt;0,'Calculations PJ'!AE186*About!$B$45,0)</f>
        <v>1788625289561.9124</v>
      </c>
      <c r="AF186">
        <f>IF('Calculations PJ'!AF186&lt;&gt;0,'Calculations PJ'!AF186*About!$B$45,0)</f>
        <v>1797156093804.656</v>
      </c>
      <c r="AG186">
        <f>IF('Calculations PJ'!AG186&lt;&gt;0,'Calculations PJ'!AG186*About!$B$45,0)</f>
        <v>1805686898047.3994</v>
      </c>
      <c r="AH186">
        <f>IF('Calculations PJ'!AH186&lt;&gt;0,'Calculations PJ'!AH186*About!$B$45,0)</f>
        <v>1814217702290.1433</v>
      </c>
      <c r="AI186">
        <f>IF('Calculations PJ'!AI186&lt;&gt;0,'Calculations PJ'!AI186*About!$B$45,0)</f>
        <v>1822748506532.887</v>
      </c>
      <c r="AJ186">
        <f>IF('Calculations PJ'!AJ186&lt;&gt;0,'Calculations PJ'!AJ186*About!$B$45,0)</f>
        <v>1831279310775.6306</v>
      </c>
      <c r="AK186">
        <f>IF('Calculations PJ'!AK186&lt;&gt;0,'Calculations PJ'!AK186*About!$B$45,0)</f>
        <v>1839810115018.374</v>
      </c>
      <c r="AL186">
        <f>IF('Calculations PJ'!AL186&lt;&gt;0,'Calculations PJ'!AL186*About!$B$45,0)</f>
        <v>1848340919261.1177</v>
      </c>
      <c r="AM186">
        <f>IF('Calculations PJ'!AM186&lt;&gt;0,'Calculations PJ'!AM186*About!$B$45,0)</f>
        <v>1856871723503.8616</v>
      </c>
      <c r="AN186">
        <f>IF('Calculations PJ'!AN186&lt;&gt;0,'Calculations PJ'!AN186*About!$B$45,0)</f>
        <v>1865402527746.6047</v>
      </c>
      <c r="AO186">
        <f>IF('Calculations PJ'!AO186&lt;&gt;0,'Calculations PJ'!AO186*About!$B$45,0)</f>
        <v>1865402527746.6047</v>
      </c>
      <c r="AP186">
        <f>IF('Calculations PJ'!AP186&lt;&gt;0,'Calculations PJ'!AP186*About!$B$45,0)</f>
        <v>1865402527746.6047</v>
      </c>
      <c r="AQ186">
        <f>IF('Calculations PJ'!AQ186&lt;&gt;0,'Calculations PJ'!AQ186*About!$B$45,0)</f>
        <v>1865402527746.6047</v>
      </c>
      <c r="AR186">
        <f>IF('Calculations PJ'!AR186&lt;&gt;0,'Calculations PJ'!AR186*About!$B$45,0)</f>
        <v>1865402527746.6047</v>
      </c>
      <c r="AS186">
        <f>IF('Calculations PJ'!AS186&lt;&gt;0,'Calculations PJ'!AS186*About!$B$45,0)</f>
        <v>1865402527746.6047</v>
      </c>
      <c r="AT186">
        <f>IF('Calculations PJ'!AT186&lt;&gt;0,'Calculations PJ'!AT186*About!$B$45,0)</f>
        <v>1865402527746.6047</v>
      </c>
      <c r="AU186">
        <f>IF('Calculations PJ'!AU186&lt;&gt;0,'Calculations PJ'!AU186*About!$B$45,0)</f>
        <v>1865402527746.6047</v>
      </c>
      <c r="AV186">
        <f>IF('Calculations PJ'!AV186&lt;&gt;0,'Calculations PJ'!AV186*About!$B$45,0)</f>
        <v>1865402527746.6047</v>
      </c>
      <c r="AW186">
        <f>IF('Calculations PJ'!AW186&lt;&gt;0,'Calculations PJ'!AW186*About!$B$45,0)</f>
        <v>1865402527746.6047</v>
      </c>
      <c r="AX186">
        <f>IF('Calculations PJ'!AX186&lt;&gt;0,'Calculations PJ'!AX186*About!$B$45,0)</f>
        <v>1865402527746.6047</v>
      </c>
      <c r="AY186">
        <f>IF('Calculations PJ'!AY186&lt;&gt;0,'Calculations PJ'!AY186*About!$B$45,0)</f>
        <v>1865402527746.6047</v>
      </c>
      <c r="AZ186">
        <f>IF('Calculations PJ'!AZ186&lt;&gt;0,'Calculations PJ'!AZ186*About!$B$45,0)</f>
        <v>1865402527746.6047</v>
      </c>
      <c r="BA186">
        <f>IF('Calculations PJ'!BA186&lt;&gt;0,'Calculations PJ'!BA186*About!$B$45,0)</f>
        <v>1865402527746.6047</v>
      </c>
      <c r="BB186">
        <f>IF('Calculations PJ'!BB186&lt;&gt;0,'Calculations PJ'!BB186*About!$B$45,0)</f>
        <v>1865402527746.6047</v>
      </c>
      <c r="BC186">
        <f>IF('Calculations PJ'!BC186&lt;&gt;0,'Calculations PJ'!BC186*About!$B$45,0)</f>
        <v>1865402527746.6047</v>
      </c>
      <c r="BD186">
        <f>IF('Calculations PJ'!BD186&lt;&gt;0,'Calculations PJ'!BD186*About!$B$45,0)</f>
        <v>1865402527746.6047</v>
      </c>
      <c r="BE186">
        <f>IF('Calculations PJ'!BE186&lt;&gt;0,'Calculations PJ'!BE186*About!$B$45,0)</f>
        <v>1865402527746.6047</v>
      </c>
      <c r="BF186">
        <f>IF('Calculations PJ'!BF186&lt;&gt;0,'Calculations PJ'!BF186*About!$B$45,0)</f>
        <v>1865402527746.6047</v>
      </c>
      <c r="BG186">
        <f>IF('Calculations PJ'!BG186&lt;&gt;0,'Calculations PJ'!BG186*About!$B$45,0)</f>
        <v>1865402527746.6047</v>
      </c>
      <c r="BH186">
        <f>IF('Calculations PJ'!BH186&lt;&gt;0,'Calculations PJ'!BH186*About!$B$45,0)</f>
        <v>1865402527746.6047</v>
      </c>
    </row>
    <row r="187" spans="1:60" outlineLevel="1">
      <c r="B187" t="s">
        <v>128</v>
      </c>
      <c r="C187">
        <f>IF('Calculations PJ'!C187&lt;&gt;0,'Calculations PJ'!C187*About!$B$45,0)</f>
        <v>0</v>
      </c>
      <c r="D187">
        <f>IF('Calculations PJ'!D187&lt;&gt;0,'Calculations PJ'!D187*About!$B$45,0)</f>
        <v>0</v>
      </c>
      <c r="E187">
        <f>IF('Calculations PJ'!E187&lt;&gt;0,'Calculations PJ'!E187*About!$B$45,0)</f>
        <v>0</v>
      </c>
      <c r="F187">
        <f>IF('Calculations PJ'!F187&lt;&gt;0,'Calculations PJ'!F187*About!$B$45,0)</f>
        <v>0</v>
      </c>
      <c r="G187">
        <f>IF('Calculations PJ'!G187&lt;&gt;0,'Calculations PJ'!G187*About!$B$45,0)</f>
        <v>0</v>
      </c>
      <c r="H187">
        <f>IF('Calculations PJ'!H187&lt;&gt;0,'Calculations PJ'!H187*About!$B$45,0)</f>
        <v>0</v>
      </c>
      <c r="I187">
        <f>IF('Calculations PJ'!I187&lt;&gt;0,'Calculations PJ'!I187*About!$B$45,0)</f>
        <v>0</v>
      </c>
      <c r="J187">
        <f>IF('Calculations PJ'!J187&lt;&gt;0,'Calculations PJ'!J187*About!$B$45,0)</f>
        <v>0</v>
      </c>
      <c r="K187">
        <f>IF('Calculations PJ'!K187&lt;&gt;0,'Calculations PJ'!K187*About!$B$45,0)</f>
        <v>0</v>
      </c>
      <c r="L187">
        <f>IF('Calculations PJ'!L187&lt;&gt;0,'Calculations PJ'!L187*About!$B$45,0)</f>
        <v>0</v>
      </c>
      <c r="M187">
        <f>IF('Calculations PJ'!M187&lt;&gt;0,'Calculations PJ'!M187*About!$B$45,0)</f>
        <v>0</v>
      </c>
      <c r="N187">
        <f>IF('Calculations PJ'!N187&lt;&gt;0,'Calculations PJ'!N187*About!$B$45,0)</f>
        <v>0</v>
      </c>
      <c r="O187">
        <f>IF('Calculations PJ'!O187&lt;&gt;0,'Calculations PJ'!O187*About!$B$45,0)</f>
        <v>0</v>
      </c>
      <c r="P187">
        <f>IF('Calculations PJ'!P187&lt;&gt;0,'Calculations PJ'!P187*About!$B$45,0)</f>
        <v>0</v>
      </c>
      <c r="Q187">
        <f>IF('Calculations PJ'!Q187&lt;&gt;0,'Calculations PJ'!Q187*About!$B$45,0)</f>
        <v>0</v>
      </c>
      <c r="R187">
        <f>IF('Calculations PJ'!R187&lt;&gt;0,'Calculations PJ'!R187*About!$B$45,0)</f>
        <v>0</v>
      </c>
      <c r="S187">
        <f>IF('Calculations PJ'!S187&lt;&gt;0,'Calculations PJ'!S187*About!$B$45,0)</f>
        <v>0</v>
      </c>
      <c r="T187">
        <f>IF('Calculations PJ'!T187&lt;&gt;0,'Calculations PJ'!T187*About!$B$45,0)</f>
        <v>0</v>
      </c>
      <c r="U187">
        <f>IF('Calculations PJ'!U187&lt;&gt;0,'Calculations PJ'!U187*About!$B$45,0)</f>
        <v>0</v>
      </c>
      <c r="V187">
        <f>IF('Calculations PJ'!V187&lt;&gt;0,'Calculations PJ'!V187*About!$B$45,0)</f>
        <v>0</v>
      </c>
      <c r="W187">
        <f>IF('Calculations PJ'!W187&lt;&gt;0,'Calculations PJ'!W187*About!$B$45,0)</f>
        <v>0</v>
      </c>
      <c r="X187">
        <f>IF('Calculations PJ'!X187&lt;&gt;0,'Calculations PJ'!X187*About!$B$45,0)</f>
        <v>0</v>
      </c>
      <c r="Y187">
        <f>IF('Calculations PJ'!Y187&lt;&gt;0,'Calculations PJ'!Y187*About!$B$45,0)</f>
        <v>0</v>
      </c>
      <c r="Z187">
        <f>IF('Calculations PJ'!Z187&lt;&gt;0,'Calculations PJ'!Z187*About!$B$45,0)</f>
        <v>0</v>
      </c>
      <c r="AA187">
        <f>IF('Calculations PJ'!AA187&lt;&gt;0,'Calculations PJ'!AA187*About!$B$45,0)</f>
        <v>0</v>
      </c>
      <c r="AB187">
        <f>IF('Calculations PJ'!AB187&lt;&gt;0,'Calculations PJ'!AB187*About!$B$45,0)</f>
        <v>0</v>
      </c>
      <c r="AC187">
        <f>IF('Calculations PJ'!AC187&lt;&gt;0,'Calculations PJ'!AC187*About!$B$45,0)</f>
        <v>0</v>
      </c>
      <c r="AD187">
        <f>IF('Calculations PJ'!AD187&lt;&gt;0,'Calculations PJ'!AD187*About!$B$45,0)</f>
        <v>0</v>
      </c>
      <c r="AE187">
        <f>IF('Calculations PJ'!AE187&lt;&gt;0,'Calculations PJ'!AE187*About!$B$45,0)</f>
        <v>0</v>
      </c>
      <c r="AF187">
        <f>IF('Calculations PJ'!AF187&lt;&gt;0,'Calculations PJ'!AF187*About!$B$45,0)</f>
        <v>0</v>
      </c>
      <c r="AG187">
        <f>IF('Calculations PJ'!AG187&lt;&gt;0,'Calculations PJ'!AG187*About!$B$45,0)</f>
        <v>0</v>
      </c>
      <c r="AH187">
        <f>IF('Calculations PJ'!AH187&lt;&gt;0,'Calculations PJ'!AH187*About!$B$45,0)</f>
        <v>0</v>
      </c>
      <c r="AI187">
        <f>IF('Calculations PJ'!AI187&lt;&gt;0,'Calculations PJ'!AI187*About!$B$45,0)</f>
        <v>0</v>
      </c>
      <c r="AJ187">
        <f>IF('Calculations PJ'!AJ187&lt;&gt;0,'Calculations PJ'!AJ187*About!$B$45,0)</f>
        <v>0</v>
      </c>
      <c r="AK187">
        <f>IF('Calculations PJ'!AK187&lt;&gt;0,'Calculations PJ'!AK187*About!$B$45,0)</f>
        <v>0</v>
      </c>
      <c r="AL187">
        <f>IF('Calculations PJ'!AL187&lt;&gt;0,'Calculations PJ'!AL187*About!$B$45,0)</f>
        <v>0</v>
      </c>
      <c r="AM187">
        <f>IF('Calculations PJ'!AM187&lt;&gt;0,'Calculations PJ'!AM187*About!$B$45,0)</f>
        <v>0</v>
      </c>
      <c r="AN187">
        <f>IF('Calculations PJ'!AN187&lt;&gt;0,'Calculations PJ'!AN187*About!$B$45,0)</f>
        <v>0</v>
      </c>
      <c r="AO187">
        <f>IF('Calculations PJ'!AO187&lt;&gt;0,'Calculations PJ'!AO187*About!$B$45,0)</f>
        <v>0</v>
      </c>
      <c r="AP187">
        <f>IF('Calculations PJ'!AP187&lt;&gt;0,'Calculations PJ'!AP187*About!$B$45,0)</f>
        <v>0</v>
      </c>
      <c r="AQ187">
        <f>IF('Calculations PJ'!AQ187&lt;&gt;0,'Calculations PJ'!AQ187*About!$B$45,0)</f>
        <v>0</v>
      </c>
      <c r="AR187">
        <f>IF('Calculations PJ'!AR187&lt;&gt;0,'Calculations PJ'!AR187*About!$B$45,0)</f>
        <v>0</v>
      </c>
      <c r="AS187">
        <f>IF('Calculations PJ'!AS187&lt;&gt;0,'Calculations PJ'!AS187*About!$B$45,0)</f>
        <v>0</v>
      </c>
      <c r="AT187">
        <f>IF('Calculations PJ'!AT187&lt;&gt;0,'Calculations PJ'!AT187*About!$B$45,0)</f>
        <v>0</v>
      </c>
      <c r="AU187">
        <f>IF('Calculations PJ'!AU187&lt;&gt;0,'Calculations PJ'!AU187*About!$B$45,0)</f>
        <v>0</v>
      </c>
      <c r="AV187">
        <f>IF('Calculations PJ'!AV187&lt;&gt;0,'Calculations PJ'!AV187*About!$B$45,0)</f>
        <v>0</v>
      </c>
      <c r="AW187">
        <f>IF('Calculations PJ'!AW187&lt;&gt;0,'Calculations PJ'!AW187*About!$B$45,0)</f>
        <v>0</v>
      </c>
      <c r="AX187">
        <f>IF('Calculations PJ'!AX187&lt;&gt;0,'Calculations PJ'!AX187*About!$B$45,0)</f>
        <v>0</v>
      </c>
      <c r="AY187">
        <f>IF('Calculations PJ'!AY187&lt;&gt;0,'Calculations PJ'!AY187*About!$B$45,0)</f>
        <v>0</v>
      </c>
      <c r="AZ187">
        <f>IF('Calculations PJ'!AZ187&lt;&gt;0,'Calculations PJ'!AZ187*About!$B$45,0)</f>
        <v>0</v>
      </c>
      <c r="BA187">
        <f>IF('Calculations PJ'!BA187&lt;&gt;0,'Calculations PJ'!BA187*About!$B$45,0)</f>
        <v>0</v>
      </c>
      <c r="BB187">
        <f>IF('Calculations PJ'!BB187&lt;&gt;0,'Calculations PJ'!BB187*About!$B$45,0)</f>
        <v>0</v>
      </c>
      <c r="BC187">
        <f>IF('Calculations PJ'!BC187&lt;&gt;0,'Calculations PJ'!BC187*About!$B$45,0)</f>
        <v>0</v>
      </c>
      <c r="BD187">
        <f>IF('Calculations PJ'!BD187&lt;&gt;0,'Calculations PJ'!BD187*About!$B$45,0)</f>
        <v>0</v>
      </c>
      <c r="BE187">
        <f>IF('Calculations PJ'!BE187&lt;&gt;0,'Calculations PJ'!BE187*About!$B$45,0)</f>
        <v>0</v>
      </c>
      <c r="BF187">
        <f>IF('Calculations PJ'!BF187&lt;&gt;0,'Calculations PJ'!BF187*About!$B$45,0)</f>
        <v>0</v>
      </c>
      <c r="BG187">
        <f>IF('Calculations PJ'!BG187&lt;&gt;0,'Calculations PJ'!BG187*About!$B$45,0)</f>
        <v>0</v>
      </c>
      <c r="BH187">
        <f>IF('Calculations PJ'!BH187&lt;&gt;0,'Calculations PJ'!BH187*About!$B$45,0)</f>
        <v>0</v>
      </c>
    </row>
    <row r="188" spans="1:60" outlineLevel="1">
      <c r="B188" t="s">
        <v>129</v>
      </c>
      <c r="C188">
        <f>IF('Calculations PJ'!C188&lt;&gt;0,'Calculations PJ'!C188*About!$B$45,0)</f>
        <v>7509003467890.5508</v>
      </c>
      <c r="D188">
        <f>IF('Calculations PJ'!D188&lt;&gt;0,'Calculations PJ'!D188*About!$B$45,0)</f>
        <v>6518008375025.168</v>
      </c>
      <c r="E188">
        <f>IF('Calculations PJ'!E188&lt;&gt;0,'Calculations PJ'!E188*About!$B$45,0)</f>
        <v>6058766746624.1357</v>
      </c>
      <c r="F188">
        <f>IF('Calculations PJ'!F188&lt;&gt;0,'Calculations PJ'!F188*About!$B$45,0)</f>
        <v>7122273675552.8398</v>
      </c>
      <c r="G188">
        <f>IF('Calculations PJ'!G188&lt;&gt;0,'Calculations PJ'!G188*About!$B$45,0)</f>
        <v>6977250003426.1992</v>
      </c>
      <c r="H188">
        <f>IF('Calculations PJ'!H188&lt;&gt;0,'Calculations PJ'!H188*About!$B$45,0)</f>
        <v>6671088917825.5107</v>
      </c>
      <c r="I188">
        <f>IF('Calculations PJ'!I188&lt;&gt;0,'Calculations PJ'!I188*About!$B$45,0)</f>
        <v>6477724021656.6543</v>
      </c>
      <c r="J188">
        <f>IF('Calculations PJ'!J188&lt;&gt;0,'Calculations PJ'!J188*About!$B$45,0)</f>
        <v>10449761263791.895</v>
      </c>
      <c r="K188">
        <f>IF('Calculations PJ'!K188&lt;&gt;0,'Calculations PJ'!K188*About!$B$45,0)</f>
        <v>8669192844903.6826</v>
      </c>
      <c r="L188">
        <f>IF('Calculations PJ'!L188&lt;&gt;0,'Calculations PJ'!L188*About!$B$45,0)</f>
        <v>9209003180041.7363</v>
      </c>
      <c r="M188">
        <f>IF('Calculations PJ'!M188&lt;&gt;0,'Calculations PJ'!M188*About!$B$45,0)</f>
        <v>9257344404083.9531</v>
      </c>
      <c r="N188">
        <f>IF('Calculations PJ'!N188&lt;&gt;0,'Calculations PJ'!N188*About!$B$45,0)</f>
        <v>9305685628126.166</v>
      </c>
      <c r="O188">
        <f>IF('Calculations PJ'!O188&lt;&gt;0,'Calculations PJ'!O188*About!$B$45,0)</f>
        <v>9354026852168.3789</v>
      </c>
      <c r="P188">
        <f>IF('Calculations PJ'!P188&lt;&gt;0,'Calculations PJ'!P188*About!$B$45,0)</f>
        <v>9402368076210.5938</v>
      </c>
      <c r="Q188">
        <f>IF('Calculations PJ'!Q188&lt;&gt;0,'Calculations PJ'!Q188*About!$B$45,0)</f>
        <v>9450709300252.8066</v>
      </c>
      <c r="R188">
        <f>IF('Calculations PJ'!R188&lt;&gt;0,'Calculations PJ'!R188*About!$B$45,0)</f>
        <v>9499050524295.0215</v>
      </c>
      <c r="S188">
        <f>IF('Calculations PJ'!S188&lt;&gt;0,'Calculations PJ'!S188*About!$B$45,0)</f>
        <v>9547391748337.2344</v>
      </c>
      <c r="T188">
        <f>IF('Calculations PJ'!T188&lt;&gt;0,'Calculations PJ'!T188*About!$B$45,0)</f>
        <v>9595732972379.4492</v>
      </c>
      <c r="U188">
        <f>IF('Calculations PJ'!U188&lt;&gt;0,'Calculations PJ'!U188*About!$B$45,0)</f>
        <v>9644074196421.6641</v>
      </c>
      <c r="V188">
        <f>IF('Calculations PJ'!V188&lt;&gt;0,'Calculations PJ'!V188*About!$B$45,0)</f>
        <v>9692415420463.875</v>
      </c>
      <c r="W188">
        <f>IF('Calculations PJ'!W188&lt;&gt;0,'Calculations PJ'!W188*About!$B$45,0)</f>
        <v>9740756644506.0918</v>
      </c>
      <c r="X188">
        <f>IF('Calculations PJ'!X188&lt;&gt;0,'Calculations PJ'!X188*About!$B$45,0)</f>
        <v>9789097868548.3047</v>
      </c>
      <c r="Y188">
        <f>IF('Calculations PJ'!Y188&lt;&gt;0,'Calculations PJ'!Y188*About!$B$45,0)</f>
        <v>9837439092590.5195</v>
      </c>
      <c r="Z188">
        <f>IF('Calculations PJ'!Z188&lt;&gt;0,'Calculations PJ'!Z188*About!$B$45,0)</f>
        <v>9893837187306.4336</v>
      </c>
      <c r="AA188">
        <f>IF('Calculations PJ'!AA188&lt;&gt;0,'Calculations PJ'!AA188*About!$B$45,0)</f>
        <v>9942178411348.6484</v>
      </c>
      <c r="AB188">
        <f>IF('Calculations PJ'!AB188&lt;&gt;0,'Calculations PJ'!AB188*About!$B$45,0)</f>
        <v>9990519635390.8613</v>
      </c>
      <c r="AC188">
        <f>IF('Calculations PJ'!AC188&lt;&gt;0,'Calculations PJ'!AC188*About!$B$45,0)</f>
        <v>10038860859433.078</v>
      </c>
      <c r="AD188">
        <f>IF('Calculations PJ'!AD188&lt;&gt;0,'Calculations PJ'!AD188*About!$B$45,0)</f>
        <v>10087202083475.289</v>
      </c>
      <c r="AE188">
        <f>IF('Calculations PJ'!AE188&lt;&gt;0,'Calculations PJ'!AE188*About!$B$45,0)</f>
        <v>10135543307517.504</v>
      </c>
      <c r="AF188">
        <f>IF('Calculations PJ'!AF188&lt;&gt;0,'Calculations PJ'!AF188*About!$B$45,0)</f>
        <v>10183884531559.717</v>
      </c>
      <c r="AG188">
        <f>IF('Calculations PJ'!AG188&lt;&gt;0,'Calculations PJ'!AG188*About!$B$45,0)</f>
        <v>10232225755601.932</v>
      </c>
      <c r="AH188">
        <f>IF('Calculations PJ'!AH188&lt;&gt;0,'Calculations PJ'!AH188*About!$B$45,0)</f>
        <v>10280566979644.146</v>
      </c>
      <c r="AI188">
        <f>IF('Calculations PJ'!AI188&lt;&gt;0,'Calculations PJ'!AI188*About!$B$45,0)</f>
        <v>10328908203686.359</v>
      </c>
      <c r="AJ188">
        <f>IF('Calculations PJ'!AJ188&lt;&gt;0,'Calculations PJ'!AJ188*About!$B$45,0)</f>
        <v>10377249427728.574</v>
      </c>
      <c r="AK188">
        <f>IF('Calculations PJ'!AK188&lt;&gt;0,'Calculations PJ'!AK188*About!$B$45,0)</f>
        <v>10425590651770.785</v>
      </c>
      <c r="AL188">
        <f>IF('Calculations PJ'!AL188&lt;&gt;0,'Calculations PJ'!AL188*About!$B$45,0)</f>
        <v>10473931875813</v>
      </c>
      <c r="AM188">
        <f>IF('Calculations PJ'!AM188&lt;&gt;0,'Calculations PJ'!AM188*About!$B$45,0)</f>
        <v>10522273099855.215</v>
      </c>
      <c r="AN188">
        <f>IF('Calculations PJ'!AN188&lt;&gt;0,'Calculations PJ'!AN188*About!$B$45,0)</f>
        <v>10570614323897.428</v>
      </c>
      <c r="AO188">
        <f>IF('Calculations PJ'!AO188&lt;&gt;0,'Calculations PJ'!AO188*About!$B$45,0)</f>
        <v>10570614323897.428</v>
      </c>
      <c r="AP188">
        <f>IF('Calculations PJ'!AP188&lt;&gt;0,'Calculations PJ'!AP188*About!$B$45,0)</f>
        <v>10570614323897.428</v>
      </c>
      <c r="AQ188">
        <f>IF('Calculations PJ'!AQ188&lt;&gt;0,'Calculations PJ'!AQ188*About!$B$45,0)</f>
        <v>10570614323897.428</v>
      </c>
      <c r="AR188">
        <f>IF('Calculations PJ'!AR188&lt;&gt;0,'Calculations PJ'!AR188*About!$B$45,0)</f>
        <v>10570614323897.428</v>
      </c>
      <c r="AS188">
        <f>IF('Calculations PJ'!AS188&lt;&gt;0,'Calculations PJ'!AS188*About!$B$45,0)</f>
        <v>10570614323897.428</v>
      </c>
      <c r="AT188">
        <f>IF('Calculations PJ'!AT188&lt;&gt;0,'Calculations PJ'!AT188*About!$B$45,0)</f>
        <v>10570614323897.428</v>
      </c>
      <c r="AU188">
        <f>IF('Calculations PJ'!AU188&lt;&gt;0,'Calculations PJ'!AU188*About!$B$45,0)</f>
        <v>10570614323897.428</v>
      </c>
      <c r="AV188">
        <f>IF('Calculations PJ'!AV188&lt;&gt;0,'Calculations PJ'!AV188*About!$B$45,0)</f>
        <v>10570614323897.428</v>
      </c>
      <c r="AW188">
        <f>IF('Calculations PJ'!AW188&lt;&gt;0,'Calculations PJ'!AW188*About!$B$45,0)</f>
        <v>10570614323897.428</v>
      </c>
      <c r="AX188">
        <f>IF('Calculations PJ'!AX188&lt;&gt;0,'Calculations PJ'!AX188*About!$B$45,0)</f>
        <v>10570614323897.428</v>
      </c>
      <c r="AY188">
        <f>IF('Calculations PJ'!AY188&lt;&gt;0,'Calculations PJ'!AY188*About!$B$45,0)</f>
        <v>10570614323897.428</v>
      </c>
      <c r="AZ188">
        <f>IF('Calculations PJ'!AZ188&lt;&gt;0,'Calculations PJ'!AZ188*About!$B$45,0)</f>
        <v>10570614323897.428</v>
      </c>
      <c r="BA188">
        <f>IF('Calculations PJ'!BA188&lt;&gt;0,'Calculations PJ'!BA188*About!$B$45,0)</f>
        <v>10570614323897.428</v>
      </c>
      <c r="BB188">
        <f>IF('Calculations PJ'!BB188&lt;&gt;0,'Calculations PJ'!BB188*About!$B$45,0)</f>
        <v>10570614323897.428</v>
      </c>
      <c r="BC188">
        <f>IF('Calculations PJ'!BC188&lt;&gt;0,'Calculations PJ'!BC188*About!$B$45,0)</f>
        <v>10570614323897.428</v>
      </c>
      <c r="BD188">
        <f>IF('Calculations PJ'!BD188&lt;&gt;0,'Calculations PJ'!BD188*About!$B$45,0)</f>
        <v>10570614323897.428</v>
      </c>
      <c r="BE188">
        <f>IF('Calculations PJ'!BE188&lt;&gt;0,'Calculations PJ'!BE188*About!$B$45,0)</f>
        <v>10570614323897.428</v>
      </c>
      <c r="BF188">
        <f>IF('Calculations PJ'!BF188&lt;&gt;0,'Calculations PJ'!BF188*About!$B$45,0)</f>
        <v>10570614323897.428</v>
      </c>
      <c r="BG188">
        <f>IF('Calculations PJ'!BG188&lt;&gt;0,'Calculations PJ'!BG188*About!$B$45,0)</f>
        <v>10570614323897.428</v>
      </c>
      <c r="BH188">
        <f>IF('Calculations PJ'!BH188&lt;&gt;0,'Calculations PJ'!BH188*About!$B$45,0)</f>
        <v>10570614323897.428</v>
      </c>
    </row>
    <row r="189" spans="1:60" outlineLevel="1">
      <c r="B189" t="s">
        <v>130</v>
      </c>
      <c r="C189">
        <f>IF('Calculations PJ'!C189&lt;&gt;0,'Calculations PJ'!C189*About!$B$45,0)</f>
        <v>1981042318592.6851</v>
      </c>
      <c r="D189">
        <f>IF('Calculations PJ'!D189&lt;&gt;0,'Calculations PJ'!D189*About!$B$45,0)</f>
        <v>2094786375162.6001</v>
      </c>
      <c r="E189">
        <f>IF('Calculations PJ'!E189&lt;&gt;0,'Calculations PJ'!E189*About!$B$45,0)</f>
        <v>2284359802779.125</v>
      </c>
      <c r="F189">
        <f>IF('Calculations PJ'!F189&lt;&gt;0,'Calculations PJ'!F189*About!$B$45,0)</f>
        <v>2388625187968.2139</v>
      </c>
      <c r="G189">
        <f>IF('Calculations PJ'!G189&lt;&gt;0,'Calculations PJ'!G189*About!$B$45,0)</f>
        <v>2710900014916.3062</v>
      </c>
      <c r="H189">
        <f>IF('Calculations PJ'!H189&lt;&gt;0,'Calculations PJ'!H189*About!$B$45,0)</f>
        <v>2976302813579.4409</v>
      </c>
      <c r="I189">
        <f>IF('Calculations PJ'!I189&lt;&gt;0,'Calculations PJ'!I189*About!$B$45,0)</f>
        <v>3061610856006.877</v>
      </c>
      <c r="J189">
        <f>IF('Calculations PJ'!J189&lt;&gt;0,'Calculations PJ'!J189*About!$B$45,0)</f>
        <v>2635070643869.6963</v>
      </c>
      <c r="K189">
        <f>IF('Calculations PJ'!K189&lt;&gt;0,'Calculations PJ'!K189*About!$B$45,0)</f>
        <v>2180094417590.0361</v>
      </c>
      <c r="L189">
        <f>IF('Calculations PJ'!L189&lt;&gt;0,'Calculations PJ'!L189*About!$B$45,0)</f>
        <v>2312795816921.6035</v>
      </c>
      <c r="M189">
        <f>IF('Calculations PJ'!M189&lt;&gt;0,'Calculations PJ'!M189*About!$B$45,0)</f>
        <v>2322274488302.4302</v>
      </c>
      <c r="N189">
        <f>IF('Calculations PJ'!N189&lt;&gt;0,'Calculations PJ'!N189*About!$B$45,0)</f>
        <v>2341231831064.0825</v>
      </c>
      <c r="O189">
        <f>IF('Calculations PJ'!O189&lt;&gt;0,'Calculations PJ'!O189*About!$B$45,0)</f>
        <v>2350710502444.9087</v>
      </c>
      <c r="P189">
        <f>IF('Calculations PJ'!P189&lt;&gt;0,'Calculations PJ'!P189*About!$B$45,0)</f>
        <v>2369667845206.5615</v>
      </c>
      <c r="Q189">
        <f>IF('Calculations PJ'!Q189&lt;&gt;0,'Calculations PJ'!Q189*About!$B$45,0)</f>
        <v>2379146516587.3872</v>
      </c>
      <c r="R189">
        <f>IF('Calculations PJ'!R189&lt;&gt;0,'Calculations PJ'!R189*About!$B$45,0)</f>
        <v>2388625187968.2139</v>
      </c>
      <c r="S189">
        <f>IF('Calculations PJ'!S189&lt;&gt;0,'Calculations PJ'!S189*About!$B$45,0)</f>
        <v>2398103859349.04</v>
      </c>
      <c r="T189">
        <f>IF('Calculations PJ'!T189&lt;&gt;0,'Calculations PJ'!T189*About!$B$45,0)</f>
        <v>2417061202110.6924</v>
      </c>
      <c r="U189">
        <f>IF('Calculations PJ'!U189&lt;&gt;0,'Calculations PJ'!U189*About!$B$45,0)</f>
        <v>2426539873491.519</v>
      </c>
      <c r="V189">
        <f>IF('Calculations PJ'!V189&lt;&gt;0,'Calculations PJ'!V189*About!$B$45,0)</f>
        <v>2436018544872.3447</v>
      </c>
      <c r="W189">
        <f>IF('Calculations PJ'!W189&lt;&gt;0,'Calculations PJ'!W189*About!$B$45,0)</f>
        <v>2454975887633.9976</v>
      </c>
      <c r="X189">
        <f>IF('Calculations PJ'!X189&lt;&gt;0,'Calculations PJ'!X189*About!$B$45,0)</f>
        <v>2454975887633.9976</v>
      </c>
      <c r="Y189">
        <f>IF('Calculations PJ'!Y189&lt;&gt;0,'Calculations PJ'!Y189*About!$B$45,0)</f>
        <v>2473933230395.6499</v>
      </c>
      <c r="Z189">
        <f>IF('Calculations PJ'!Z189&lt;&gt;0,'Calculations PJ'!Z189*About!$B$45,0)</f>
        <v>2483411901776.4766</v>
      </c>
      <c r="AA189">
        <f>IF('Calculations PJ'!AA189&lt;&gt;0,'Calculations PJ'!AA189*About!$B$45,0)</f>
        <v>2502369244538.1289</v>
      </c>
      <c r="AB189">
        <f>IF('Calculations PJ'!AB189&lt;&gt;0,'Calculations PJ'!AB189*About!$B$45,0)</f>
        <v>2511847915918.9551</v>
      </c>
      <c r="AC189">
        <f>IF('Calculations PJ'!AC189&lt;&gt;0,'Calculations PJ'!AC189*About!$B$45,0)</f>
        <v>2530805258680.6074</v>
      </c>
      <c r="AD189">
        <f>IF('Calculations PJ'!AD189&lt;&gt;0,'Calculations PJ'!AD189*About!$B$45,0)</f>
        <v>2530805258680.6074</v>
      </c>
      <c r="AE189">
        <f>IF('Calculations PJ'!AE189&lt;&gt;0,'Calculations PJ'!AE189*About!$B$45,0)</f>
        <v>2549762601442.2598</v>
      </c>
      <c r="AF189">
        <f>IF('Calculations PJ'!AF189&lt;&gt;0,'Calculations PJ'!AF189*About!$B$45,0)</f>
        <v>2559241272823.0864</v>
      </c>
      <c r="AG189">
        <f>IF('Calculations PJ'!AG189&lt;&gt;0,'Calculations PJ'!AG189*About!$B$45,0)</f>
        <v>2568719944203.9126</v>
      </c>
      <c r="AH189">
        <f>IF('Calculations PJ'!AH189&lt;&gt;0,'Calculations PJ'!AH189*About!$B$45,0)</f>
        <v>2587677286965.5649</v>
      </c>
      <c r="AI189">
        <f>IF('Calculations PJ'!AI189&lt;&gt;0,'Calculations PJ'!AI189*About!$B$45,0)</f>
        <v>2597155958346.3916</v>
      </c>
      <c r="AJ189">
        <f>IF('Calculations PJ'!AJ189&lt;&gt;0,'Calculations PJ'!AJ189*About!$B$45,0)</f>
        <v>2616113301108.0435</v>
      </c>
      <c r="AK189">
        <f>IF('Calculations PJ'!AK189&lt;&gt;0,'Calculations PJ'!AK189*About!$B$45,0)</f>
        <v>2616113301108.0435</v>
      </c>
      <c r="AL189">
        <f>IF('Calculations PJ'!AL189&lt;&gt;0,'Calculations PJ'!AL189*About!$B$45,0)</f>
        <v>2635070643869.6963</v>
      </c>
      <c r="AM189">
        <f>IF('Calculations PJ'!AM189&lt;&gt;0,'Calculations PJ'!AM189*About!$B$45,0)</f>
        <v>2644549315250.5225</v>
      </c>
      <c r="AN189">
        <f>IF('Calculations PJ'!AN189&lt;&gt;0,'Calculations PJ'!AN189*About!$B$45,0)</f>
        <v>2663506658012.1748</v>
      </c>
      <c r="AO189">
        <f>IF('Calculations PJ'!AO189&lt;&gt;0,'Calculations PJ'!AO189*About!$B$45,0)</f>
        <v>2663506658012.1748</v>
      </c>
      <c r="AP189">
        <f>IF('Calculations PJ'!AP189&lt;&gt;0,'Calculations PJ'!AP189*About!$B$45,0)</f>
        <v>2663506658012.1748</v>
      </c>
      <c r="AQ189">
        <f>IF('Calculations PJ'!AQ189&lt;&gt;0,'Calculations PJ'!AQ189*About!$B$45,0)</f>
        <v>2663506658012.1748</v>
      </c>
      <c r="AR189">
        <f>IF('Calculations PJ'!AR189&lt;&gt;0,'Calculations PJ'!AR189*About!$B$45,0)</f>
        <v>2663506658012.1748</v>
      </c>
      <c r="AS189">
        <f>IF('Calculations PJ'!AS189&lt;&gt;0,'Calculations PJ'!AS189*About!$B$45,0)</f>
        <v>2663506658012.1748</v>
      </c>
      <c r="AT189">
        <f>IF('Calculations PJ'!AT189&lt;&gt;0,'Calculations PJ'!AT189*About!$B$45,0)</f>
        <v>2663506658012.1748</v>
      </c>
      <c r="AU189">
        <f>IF('Calculations PJ'!AU189&lt;&gt;0,'Calculations PJ'!AU189*About!$B$45,0)</f>
        <v>2663506658012.1748</v>
      </c>
      <c r="AV189">
        <f>IF('Calculations PJ'!AV189&lt;&gt;0,'Calculations PJ'!AV189*About!$B$45,0)</f>
        <v>2663506658012.1748</v>
      </c>
      <c r="AW189">
        <f>IF('Calculations PJ'!AW189&lt;&gt;0,'Calculations PJ'!AW189*About!$B$45,0)</f>
        <v>2663506658012.1748</v>
      </c>
      <c r="AX189">
        <f>IF('Calculations PJ'!AX189&lt;&gt;0,'Calculations PJ'!AX189*About!$B$45,0)</f>
        <v>2663506658012.1748</v>
      </c>
      <c r="AY189">
        <f>IF('Calculations PJ'!AY189&lt;&gt;0,'Calculations PJ'!AY189*About!$B$45,0)</f>
        <v>2663506658012.1748</v>
      </c>
      <c r="AZ189">
        <f>IF('Calculations PJ'!AZ189&lt;&gt;0,'Calculations PJ'!AZ189*About!$B$45,0)</f>
        <v>2663506658012.1748</v>
      </c>
      <c r="BA189">
        <f>IF('Calculations PJ'!BA189&lt;&gt;0,'Calculations PJ'!BA189*About!$B$45,0)</f>
        <v>2663506658012.1748</v>
      </c>
      <c r="BB189">
        <f>IF('Calculations PJ'!BB189&lt;&gt;0,'Calculations PJ'!BB189*About!$B$45,0)</f>
        <v>2663506658012.1748</v>
      </c>
      <c r="BC189">
        <f>IF('Calculations PJ'!BC189&lt;&gt;0,'Calculations PJ'!BC189*About!$B$45,0)</f>
        <v>2663506658012.1748</v>
      </c>
      <c r="BD189">
        <f>IF('Calculations PJ'!BD189&lt;&gt;0,'Calculations PJ'!BD189*About!$B$45,0)</f>
        <v>2663506658012.1748</v>
      </c>
      <c r="BE189">
        <f>IF('Calculations PJ'!BE189&lt;&gt;0,'Calculations PJ'!BE189*About!$B$45,0)</f>
        <v>2663506658012.1748</v>
      </c>
      <c r="BF189">
        <f>IF('Calculations PJ'!BF189&lt;&gt;0,'Calculations PJ'!BF189*About!$B$45,0)</f>
        <v>2663506658012.1748</v>
      </c>
      <c r="BG189">
        <f>IF('Calculations PJ'!BG189&lt;&gt;0,'Calculations PJ'!BG189*About!$B$45,0)</f>
        <v>2663506658012.1748</v>
      </c>
      <c r="BH189">
        <f>IF('Calculations PJ'!BH189&lt;&gt;0,'Calculations PJ'!BH189*About!$B$45,0)</f>
        <v>2663506658012.1748</v>
      </c>
    </row>
    <row r="190" spans="1:60" outlineLevel="1">
      <c r="B190" t="s">
        <v>131</v>
      </c>
      <c r="C190">
        <f>IF('Calculations PJ'!C190&lt;&gt;0,'Calculations PJ'!C190*About!$B$45,0)</f>
        <v>28436014142.478733</v>
      </c>
      <c r="D190">
        <f>IF('Calculations PJ'!D190&lt;&gt;0,'Calculations PJ'!D190*About!$B$45,0)</f>
        <v>28436014142.478733</v>
      </c>
      <c r="E190">
        <f>IF('Calculations PJ'!E190&lt;&gt;0,'Calculations PJ'!E190*About!$B$45,0)</f>
        <v>28436014142.478733</v>
      </c>
      <c r="F190">
        <f>IF('Calculations PJ'!F190&lt;&gt;0,'Calculations PJ'!F190*About!$B$45,0)</f>
        <v>28436014142.478733</v>
      </c>
      <c r="G190">
        <f>IF('Calculations PJ'!G190&lt;&gt;0,'Calculations PJ'!G190*About!$B$45,0)</f>
        <v>28436014142.478733</v>
      </c>
      <c r="H190">
        <f>IF('Calculations PJ'!H190&lt;&gt;0,'Calculations PJ'!H190*About!$B$45,0)</f>
        <v>28436014142.478733</v>
      </c>
      <c r="I190">
        <f>IF('Calculations PJ'!I190&lt;&gt;0,'Calculations PJ'!I190*About!$B$45,0)</f>
        <v>28436014142.478733</v>
      </c>
      <c r="J190">
        <f>IF('Calculations PJ'!J190&lt;&gt;0,'Calculations PJ'!J190*About!$B$45,0)</f>
        <v>18957342761.652493</v>
      </c>
      <c r="K190">
        <f>IF('Calculations PJ'!K190&lt;&gt;0,'Calculations PJ'!K190*About!$B$45,0)</f>
        <v>28436014142.478733</v>
      </c>
      <c r="L190">
        <f>IF('Calculations PJ'!L190&lt;&gt;0,'Calculations PJ'!L190*About!$B$45,0)</f>
        <v>28436014142.478733</v>
      </c>
      <c r="M190">
        <f>IF('Calculations PJ'!M190&lt;&gt;0,'Calculations PJ'!M190*About!$B$45,0)</f>
        <v>28436014142.478733</v>
      </c>
      <c r="N190">
        <f>IF('Calculations PJ'!N190&lt;&gt;0,'Calculations PJ'!N190*About!$B$45,0)</f>
        <v>28466054499.434906</v>
      </c>
      <c r="O190">
        <f>IF('Calculations PJ'!O190&lt;&gt;0,'Calculations PJ'!O190*About!$B$45,0)</f>
        <v>28495625475.813637</v>
      </c>
      <c r="P190">
        <f>IF('Calculations PJ'!P190&lt;&gt;0,'Calculations PJ'!P190*About!$B$45,0)</f>
        <v>28526135213.347244</v>
      </c>
      <c r="Q190">
        <f>IF('Calculations PJ'!Q190&lt;&gt;0,'Calculations PJ'!Q190*About!$B$45,0)</f>
        <v>28556175570.303413</v>
      </c>
      <c r="R190">
        <f>IF('Calculations PJ'!R190&lt;&gt;0,'Calculations PJ'!R190*About!$B$45,0)</f>
        <v>28585746546.682144</v>
      </c>
      <c r="S190">
        <f>IF('Calculations PJ'!S190&lt;&gt;0,'Calculations PJ'!S190*About!$B$45,0)</f>
        <v>28616256284.215759</v>
      </c>
      <c r="T190">
        <f>IF('Calculations PJ'!T190&lt;&gt;0,'Calculations PJ'!T190*About!$B$45,0)</f>
        <v>28645827260.594482</v>
      </c>
      <c r="U190">
        <f>IF('Calculations PJ'!U190&lt;&gt;0,'Calculations PJ'!U190*About!$B$45,0)</f>
        <v>28675398236.973209</v>
      </c>
      <c r="V190">
        <f>IF('Calculations PJ'!V190&lt;&gt;0,'Calculations PJ'!V190*About!$B$45,0)</f>
        <v>28706377355.084263</v>
      </c>
      <c r="W190">
        <f>IF('Calculations PJ'!W190&lt;&gt;0,'Calculations PJ'!W190*About!$B$45,0)</f>
        <v>28735948331.462994</v>
      </c>
      <c r="X190">
        <f>IF('Calculations PJ'!X190&lt;&gt;0,'Calculations PJ'!X190*About!$B$45,0)</f>
        <v>28654745491.565845</v>
      </c>
      <c r="Y190">
        <f>IF('Calculations PJ'!Y190&lt;&gt;0,'Calculations PJ'!Y190*About!$B$45,0)</f>
        <v>28423340866.887852</v>
      </c>
      <c r="Z190">
        <f>IF('Calculations PJ'!Z190&lt;&gt;0,'Calculations PJ'!Z190*About!$B$45,0)</f>
        <v>28191466861.632427</v>
      </c>
      <c r="AA190">
        <f>IF('Calculations PJ'!AA190&lt;&gt;0,'Calculations PJ'!AA190*About!$B$45,0)</f>
        <v>27960531617.531879</v>
      </c>
      <c r="AB190">
        <f>IF('Calculations PJ'!AB190&lt;&gt;0,'Calculations PJ'!AB190*About!$B$45,0)</f>
        <v>27729126992.853889</v>
      </c>
      <c r="AC190">
        <f>IF('Calculations PJ'!AC190&lt;&gt;0,'Calculations PJ'!AC190*About!$B$45,0)</f>
        <v>27496783607.021023</v>
      </c>
      <c r="AD190">
        <f>IF('Calculations PJ'!AD190&lt;&gt;0,'Calculations PJ'!AD190*About!$B$45,0)</f>
        <v>27266317743.49791</v>
      </c>
      <c r="AE190">
        <f>IF('Calculations PJ'!AE190&lt;&gt;0,'Calculations PJ'!AE190*About!$B$45,0)</f>
        <v>27034913118.81992</v>
      </c>
      <c r="AF190">
        <f>IF('Calculations PJ'!AF190&lt;&gt;0,'Calculations PJ'!AF190*About!$B$45,0)</f>
        <v>26803039113.564484</v>
      </c>
      <c r="AG190">
        <f>IF('Calculations PJ'!AG190&lt;&gt;0,'Calculations PJ'!AG190*About!$B$45,0)</f>
        <v>26571634488.886494</v>
      </c>
      <c r="AH190">
        <f>IF('Calculations PJ'!AH190&lt;&gt;0,'Calculations PJ'!AH190*About!$B$45,0)</f>
        <v>26340699244.785938</v>
      </c>
      <c r="AI190">
        <f>IF('Calculations PJ'!AI190&lt;&gt;0,'Calculations PJ'!AI190*About!$B$45,0)</f>
        <v>26108825239.530514</v>
      </c>
      <c r="AJ190">
        <f>IF('Calculations PJ'!AJ190&lt;&gt;0,'Calculations PJ'!AJ190*About!$B$45,0)</f>
        <v>25877420614.85252</v>
      </c>
      <c r="AK190">
        <f>IF('Calculations PJ'!AK190&lt;&gt;0,'Calculations PJ'!AK190*About!$B$45,0)</f>
        <v>25646015990.174534</v>
      </c>
      <c r="AL190">
        <f>IF('Calculations PJ'!AL190&lt;&gt;0,'Calculations PJ'!AL190*About!$B$45,0)</f>
        <v>25415080746.073986</v>
      </c>
      <c r="AM190">
        <f>IF('Calculations PJ'!AM190&lt;&gt;0,'Calculations PJ'!AM190*About!$B$45,0)</f>
        <v>25180859837.931355</v>
      </c>
      <c r="AN190">
        <f>IF('Calculations PJ'!AN190&lt;&gt;0,'Calculations PJ'!AN190*About!$B$45,0)</f>
        <v>24947108310.366161</v>
      </c>
      <c r="AO190">
        <f>IF('Calculations PJ'!AO190&lt;&gt;0,'Calculations PJ'!AO190*About!$B$45,0)</f>
        <v>24947108310.366161</v>
      </c>
      <c r="AP190">
        <f>IF('Calculations PJ'!AP190&lt;&gt;0,'Calculations PJ'!AP190*About!$B$45,0)</f>
        <v>24947108310.366161</v>
      </c>
      <c r="AQ190">
        <f>IF('Calculations PJ'!AQ190&lt;&gt;0,'Calculations PJ'!AQ190*About!$B$45,0)</f>
        <v>24947108310.366161</v>
      </c>
      <c r="AR190">
        <f>IF('Calculations PJ'!AR190&lt;&gt;0,'Calculations PJ'!AR190*About!$B$45,0)</f>
        <v>24947108310.366161</v>
      </c>
      <c r="AS190">
        <f>IF('Calculations PJ'!AS190&lt;&gt;0,'Calculations PJ'!AS190*About!$B$45,0)</f>
        <v>24947108310.366161</v>
      </c>
      <c r="AT190">
        <f>IF('Calculations PJ'!AT190&lt;&gt;0,'Calculations PJ'!AT190*About!$B$45,0)</f>
        <v>24947108310.366161</v>
      </c>
      <c r="AU190">
        <f>IF('Calculations PJ'!AU190&lt;&gt;0,'Calculations PJ'!AU190*About!$B$45,0)</f>
        <v>24947108310.366161</v>
      </c>
      <c r="AV190">
        <f>IF('Calculations PJ'!AV190&lt;&gt;0,'Calculations PJ'!AV190*About!$B$45,0)</f>
        <v>24947108310.366161</v>
      </c>
      <c r="AW190">
        <f>IF('Calculations PJ'!AW190&lt;&gt;0,'Calculations PJ'!AW190*About!$B$45,0)</f>
        <v>24947108310.366161</v>
      </c>
      <c r="AX190">
        <f>IF('Calculations PJ'!AX190&lt;&gt;0,'Calculations PJ'!AX190*About!$B$45,0)</f>
        <v>24947108310.366161</v>
      </c>
      <c r="AY190">
        <f>IF('Calculations PJ'!AY190&lt;&gt;0,'Calculations PJ'!AY190*About!$B$45,0)</f>
        <v>24947108310.366161</v>
      </c>
      <c r="AZ190">
        <f>IF('Calculations PJ'!AZ190&lt;&gt;0,'Calculations PJ'!AZ190*About!$B$45,0)</f>
        <v>24947108310.366161</v>
      </c>
      <c r="BA190">
        <f>IF('Calculations PJ'!BA190&lt;&gt;0,'Calculations PJ'!BA190*About!$B$45,0)</f>
        <v>24947108310.366161</v>
      </c>
      <c r="BB190">
        <f>IF('Calculations PJ'!BB190&lt;&gt;0,'Calculations PJ'!BB190*About!$B$45,0)</f>
        <v>24947108310.366161</v>
      </c>
      <c r="BC190">
        <f>IF('Calculations PJ'!BC190&lt;&gt;0,'Calculations PJ'!BC190*About!$B$45,0)</f>
        <v>24947108310.366161</v>
      </c>
      <c r="BD190">
        <f>IF('Calculations PJ'!BD190&lt;&gt;0,'Calculations PJ'!BD190*About!$B$45,0)</f>
        <v>24947108310.366161</v>
      </c>
      <c r="BE190">
        <f>IF('Calculations PJ'!BE190&lt;&gt;0,'Calculations PJ'!BE190*About!$B$45,0)</f>
        <v>24947108310.366161</v>
      </c>
      <c r="BF190">
        <f>IF('Calculations PJ'!BF190&lt;&gt;0,'Calculations PJ'!BF190*About!$B$45,0)</f>
        <v>24947108310.366161</v>
      </c>
      <c r="BG190">
        <f>IF('Calculations PJ'!BG190&lt;&gt;0,'Calculations PJ'!BG190*About!$B$45,0)</f>
        <v>24947108310.366161</v>
      </c>
      <c r="BH190">
        <f>IF('Calculations PJ'!BH190&lt;&gt;0,'Calculations PJ'!BH190*About!$B$45,0)</f>
        <v>24947108310.366161</v>
      </c>
    </row>
    <row r="191" spans="1:60" outlineLevel="1">
      <c r="B191" t="s">
        <v>132</v>
      </c>
      <c r="C191">
        <f>IF('Calculations PJ'!C191&lt;&gt;0,'Calculations PJ'!C191*About!$B$45,0)</f>
        <v>0</v>
      </c>
      <c r="D191">
        <f>IF('Calculations PJ'!D191&lt;&gt;0,'Calculations PJ'!D191*About!$B$45,0)</f>
        <v>0</v>
      </c>
      <c r="E191">
        <f>IF('Calculations PJ'!E191&lt;&gt;0,'Calculations PJ'!E191*About!$B$45,0)</f>
        <v>0</v>
      </c>
      <c r="F191">
        <f>IF('Calculations PJ'!F191&lt;&gt;0,'Calculations PJ'!F191*About!$B$45,0)</f>
        <v>0</v>
      </c>
      <c r="G191">
        <f>IF('Calculations PJ'!G191&lt;&gt;0,'Calculations PJ'!G191*About!$B$45,0)</f>
        <v>0</v>
      </c>
      <c r="H191">
        <f>IF('Calculations PJ'!H191&lt;&gt;0,'Calculations PJ'!H191*About!$B$45,0)</f>
        <v>0</v>
      </c>
      <c r="I191">
        <f>IF('Calculations PJ'!I191&lt;&gt;0,'Calculations PJ'!I191*About!$B$45,0)</f>
        <v>0</v>
      </c>
      <c r="J191">
        <f>IF('Calculations PJ'!J191&lt;&gt;0,'Calculations PJ'!J191*About!$B$45,0)</f>
        <v>0</v>
      </c>
      <c r="K191">
        <f>IF('Calculations PJ'!K191&lt;&gt;0,'Calculations PJ'!K191*About!$B$45,0)</f>
        <v>0</v>
      </c>
      <c r="L191">
        <f>IF('Calculations PJ'!L191&lt;&gt;0,'Calculations PJ'!L191*About!$B$45,0)</f>
        <v>0</v>
      </c>
      <c r="M191">
        <f>IF('Calculations PJ'!M191&lt;&gt;0,'Calculations PJ'!M191*About!$B$45,0)</f>
        <v>0</v>
      </c>
      <c r="N191">
        <f>IF('Calculations PJ'!N191&lt;&gt;0,'Calculations PJ'!N191*About!$B$45,0)</f>
        <v>0</v>
      </c>
      <c r="O191">
        <f>IF('Calculations PJ'!O191&lt;&gt;0,'Calculations PJ'!O191*About!$B$45,0)</f>
        <v>0</v>
      </c>
      <c r="P191">
        <f>IF('Calculations PJ'!P191&lt;&gt;0,'Calculations PJ'!P191*About!$B$45,0)</f>
        <v>0</v>
      </c>
      <c r="Q191">
        <f>IF('Calculations PJ'!Q191&lt;&gt;0,'Calculations PJ'!Q191*About!$B$45,0)</f>
        <v>0</v>
      </c>
      <c r="R191">
        <f>IF('Calculations PJ'!R191&lt;&gt;0,'Calculations PJ'!R191*About!$B$45,0)</f>
        <v>0</v>
      </c>
      <c r="S191">
        <f>IF('Calculations PJ'!S191&lt;&gt;0,'Calculations PJ'!S191*About!$B$45,0)</f>
        <v>0</v>
      </c>
      <c r="T191">
        <f>IF('Calculations PJ'!T191&lt;&gt;0,'Calculations PJ'!T191*About!$B$45,0)</f>
        <v>0</v>
      </c>
      <c r="U191">
        <f>IF('Calculations PJ'!U191&lt;&gt;0,'Calculations PJ'!U191*About!$B$45,0)</f>
        <v>0</v>
      </c>
      <c r="V191">
        <f>IF('Calculations PJ'!V191&lt;&gt;0,'Calculations PJ'!V191*About!$B$45,0)</f>
        <v>0</v>
      </c>
      <c r="W191">
        <f>IF('Calculations PJ'!W191&lt;&gt;0,'Calculations PJ'!W191*About!$B$45,0)</f>
        <v>0</v>
      </c>
      <c r="X191">
        <f>IF('Calculations PJ'!X191&lt;&gt;0,'Calculations PJ'!X191*About!$B$45,0)</f>
        <v>0</v>
      </c>
      <c r="Y191">
        <f>IF('Calculations PJ'!Y191&lt;&gt;0,'Calculations PJ'!Y191*About!$B$45,0)</f>
        <v>0</v>
      </c>
      <c r="Z191">
        <f>IF('Calculations PJ'!Z191&lt;&gt;0,'Calculations PJ'!Z191*About!$B$45,0)</f>
        <v>0</v>
      </c>
      <c r="AA191">
        <f>IF('Calculations PJ'!AA191&lt;&gt;0,'Calculations PJ'!AA191*About!$B$45,0)</f>
        <v>0</v>
      </c>
      <c r="AB191">
        <f>IF('Calculations PJ'!AB191&lt;&gt;0,'Calculations PJ'!AB191*About!$B$45,0)</f>
        <v>0</v>
      </c>
      <c r="AC191">
        <f>IF('Calculations PJ'!AC191&lt;&gt;0,'Calculations PJ'!AC191*About!$B$45,0)</f>
        <v>0</v>
      </c>
      <c r="AD191">
        <f>IF('Calculations PJ'!AD191&lt;&gt;0,'Calculations PJ'!AD191*About!$B$45,0)</f>
        <v>0</v>
      </c>
      <c r="AE191">
        <f>IF('Calculations PJ'!AE191&lt;&gt;0,'Calculations PJ'!AE191*About!$B$45,0)</f>
        <v>0</v>
      </c>
      <c r="AF191">
        <f>IF('Calculations PJ'!AF191&lt;&gt;0,'Calculations PJ'!AF191*About!$B$45,0)</f>
        <v>0</v>
      </c>
      <c r="AG191">
        <f>IF('Calculations PJ'!AG191&lt;&gt;0,'Calculations PJ'!AG191*About!$B$45,0)</f>
        <v>0</v>
      </c>
      <c r="AH191">
        <f>IF('Calculations PJ'!AH191&lt;&gt;0,'Calculations PJ'!AH191*About!$B$45,0)</f>
        <v>0</v>
      </c>
      <c r="AI191">
        <f>IF('Calculations PJ'!AI191&lt;&gt;0,'Calculations PJ'!AI191*About!$B$45,0)</f>
        <v>0</v>
      </c>
      <c r="AJ191">
        <f>IF('Calculations PJ'!AJ191&lt;&gt;0,'Calculations PJ'!AJ191*About!$B$45,0)</f>
        <v>0</v>
      </c>
      <c r="AK191">
        <f>IF('Calculations PJ'!AK191&lt;&gt;0,'Calculations PJ'!AK191*About!$B$45,0)</f>
        <v>0</v>
      </c>
      <c r="AL191">
        <f>IF('Calculations PJ'!AL191&lt;&gt;0,'Calculations PJ'!AL191*About!$B$45,0)</f>
        <v>0</v>
      </c>
      <c r="AM191">
        <f>IF('Calculations PJ'!AM191&lt;&gt;0,'Calculations PJ'!AM191*About!$B$45,0)</f>
        <v>0</v>
      </c>
      <c r="AN191">
        <f>IF('Calculations PJ'!AN191&lt;&gt;0,'Calculations PJ'!AN191*About!$B$45,0)</f>
        <v>0</v>
      </c>
      <c r="AO191">
        <f>IF('Calculations PJ'!AO191&lt;&gt;0,'Calculations PJ'!AO191*About!$B$45,0)</f>
        <v>0</v>
      </c>
      <c r="AP191">
        <f>IF('Calculations PJ'!AP191&lt;&gt;0,'Calculations PJ'!AP191*About!$B$45,0)</f>
        <v>0</v>
      </c>
      <c r="AQ191">
        <f>IF('Calculations PJ'!AQ191&lt;&gt;0,'Calculations PJ'!AQ191*About!$B$45,0)</f>
        <v>0</v>
      </c>
      <c r="AR191">
        <f>IF('Calculations PJ'!AR191&lt;&gt;0,'Calculations PJ'!AR191*About!$B$45,0)</f>
        <v>0</v>
      </c>
      <c r="AS191">
        <f>IF('Calculations PJ'!AS191&lt;&gt;0,'Calculations PJ'!AS191*About!$B$45,0)</f>
        <v>0</v>
      </c>
      <c r="AT191">
        <f>IF('Calculations PJ'!AT191&lt;&gt;0,'Calculations PJ'!AT191*About!$B$45,0)</f>
        <v>0</v>
      </c>
      <c r="AU191">
        <f>IF('Calculations PJ'!AU191&lt;&gt;0,'Calculations PJ'!AU191*About!$B$45,0)</f>
        <v>0</v>
      </c>
      <c r="AV191">
        <f>IF('Calculations PJ'!AV191&lt;&gt;0,'Calculations PJ'!AV191*About!$B$45,0)</f>
        <v>0</v>
      </c>
      <c r="AW191">
        <f>IF('Calculations PJ'!AW191&lt;&gt;0,'Calculations PJ'!AW191*About!$B$45,0)</f>
        <v>0</v>
      </c>
      <c r="AX191">
        <f>IF('Calculations PJ'!AX191&lt;&gt;0,'Calculations PJ'!AX191*About!$B$45,0)</f>
        <v>0</v>
      </c>
      <c r="AY191">
        <f>IF('Calculations PJ'!AY191&lt;&gt;0,'Calculations PJ'!AY191*About!$B$45,0)</f>
        <v>0</v>
      </c>
      <c r="AZ191">
        <f>IF('Calculations PJ'!AZ191&lt;&gt;0,'Calculations PJ'!AZ191*About!$B$45,0)</f>
        <v>0</v>
      </c>
      <c r="BA191">
        <f>IF('Calculations PJ'!BA191&lt;&gt;0,'Calculations PJ'!BA191*About!$B$45,0)</f>
        <v>0</v>
      </c>
      <c r="BB191">
        <f>IF('Calculations PJ'!BB191&lt;&gt;0,'Calculations PJ'!BB191*About!$B$45,0)</f>
        <v>0</v>
      </c>
      <c r="BC191">
        <f>IF('Calculations PJ'!BC191&lt;&gt;0,'Calculations PJ'!BC191*About!$B$45,0)</f>
        <v>0</v>
      </c>
      <c r="BD191">
        <f>IF('Calculations PJ'!BD191&lt;&gt;0,'Calculations PJ'!BD191*About!$B$45,0)</f>
        <v>0</v>
      </c>
      <c r="BE191">
        <f>IF('Calculations PJ'!BE191&lt;&gt;0,'Calculations PJ'!BE191*About!$B$45,0)</f>
        <v>0</v>
      </c>
      <c r="BF191">
        <f>IF('Calculations PJ'!BF191&lt;&gt;0,'Calculations PJ'!BF191*About!$B$45,0)</f>
        <v>0</v>
      </c>
      <c r="BG191">
        <f>IF('Calculations PJ'!BG191&lt;&gt;0,'Calculations PJ'!BG191*About!$B$45,0)</f>
        <v>0</v>
      </c>
      <c r="BH191">
        <f>IF('Calculations PJ'!BH191&lt;&gt;0,'Calculations PJ'!BH191*About!$B$45,0)</f>
        <v>0</v>
      </c>
    </row>
    <row r="192" spans="1:60" outlineLevel="1">
      <c r="B192" t="s">
        <v>133</v>
      </c>
      <c r="C192">
        <f>IF('Calculations PJ'!C192&lt;&gt;0,'Calculations PJ'!C192*About!$B$45,0)</f>
        <v>388625526613.87604</v>
      </c>
      <c r="D192">
        <f>IF('Calculations PJ'!D192&lt;&gt;0,'Calculations PJ'!D192*About!$B$45,0)</f>
        <v>398104197994.70227</v>
      </c>
      <c r="E192">
        <f>IF('Calculations PJ'!E192&lt;&gt;0,'Calculations PJ'!E192*About!$B$45,0)</f>
        <v>407582869375.5285</v>
      </c>
      <c r="F192">
        <f>IF('Calculations PJ'!F192&lt;&gt;0,'Calculations PJ'!F192*About!$B$45,0)</f>
        <v>426540212137.18103</v>
      </c>
      <c r="G192">
        <f>IF('Calculations PJ'!G192&lt;&gt;0,'Calculations PJ'!G192*About!$B$45,0)</f>
        <v>436018883518.00732</v>
      </c>
      <c r="H192">
        <f>IF('Calculations PJ'!H192&lt;&gt;0,'Calculations PJ'!H192*About!$B$45,0)</f>
        <v>436018883518.00732</v>
      </c>
      <c r="I192">
        <f>IF('Calculations PJ'!I192&lt;&gt;0,'Calculations PJ'!I192*About!$B$45,0)</f>
        <v>454976226279.65973</v>
      </c>
      <c r="J192">
        <f>IF('Calculations PJ'!J192&lt;&gt;0,'Calculations PJ'!J192*About!$B$45,0)</f>
        <v>436018883518.00732</v>
      </c>
      <c r="K192">
        <f>IF('Calculations PJ'!K192&lt;&gt;0,'Calculations PJ'!K192*About!$B$45,0)</f>
        <v>360189512471.39734</v>
      </c>
      <c r="L192">
        <f>IF('Calculations PJ'!L192&lt;&gt;0,'Calculations PJ'!L192*About!$B$45,0)</f>
        <v>379146855233.0498</v>
      </c>
      <c r="M192">
        <f>IF('Calculations PJ'!M192&lt;&gt;0,'Calculations PJ'!M192*About!$B$45,0)</f>
        <v>388625526613.87604</v>
      </c>
      <c r="N192">
        <f>IF('Calculations PJ'!N192&lt;&gt;0,'Calculations PJ'!N192*About!$B$45,0)</f>
        <v>388625526613.87604</v>
      </c>
      <c r="O192">
        <f>IF('Calculations PJ'!O192&lt;&gt;0,'Calculations PJ'!O192*About!$B$45,0)</f>
        <v>388625526613.87604</v>
      </c>
      <c r="P192">
        <f>IF('Calculations PJ'!P192&lt;&gt;0,'Calculations PJ'!P192*About!$B$45,0)</f>
        <v>388625526613.87604</v>
      </c>
      <c r="Q192">
        <f>IF('Calculations PJ'!Q192&lt;&gt;0,'Calculations PJ'!Q192*About!$B$45,0)</f>
        <v>388625526613.87604</v>
      </c>
      <c r="R192">
        <f>IF('Calculations PJ'!R192&lt;&gt;0,'Calculations PJ'!R192*About!$B$45,0)</f>
        <v>398104197994.70227</v>
      </c>
      <c r="S192">
        <f>IF('Calculations PJ'!S192&lt;&gt;0,'Calculations PJ'!S192*About!$B$45,0)</f>
        <v>398104197994.70227</v>
      </c>
      <c r="T192">
        <f>IF('Calculations PJ'!T192&lt;&gt;0,'Calculations PJ'!T192*About!$B$45,0)</f>
        <v>398104197994.70227</v>
      </c>
      <c r="U192">
        <f>IF('Calculations PJ'!U192&lt;&gt;0,'Calculations PJ'!U192*About!$B$45,0)</f>
        <v>398104197994.70227</v>
      </c>
      <c r="V192">
        <f>IF('Calculations PJ'!V192&lt;&gt;0,'Calculations PJ'!V192*About!$B$45,0)</f>
        <v>398104197994.70227</v>
      </c>
      <c r="W192">
        <f>IF('Calculations PJ'!W192&lt;&gt;0,'Calculations PJ'!W192*About!$B$45,0)</f>
        <v>407582869375.5285</v>
      </c>
      <c r="X192">
        <f>IF('Calculations PJ'!X192&lt;&gt;0,'Calculations PJ'!X192*About!$B$45,0)</f>
        <v>407582869375.5285</v>
      </c>
      <c r="Y192">
        <f>IF('Calculations PJ'!Y192&lt;&gt;0,'Calculations PJ'!Y192*About!$B$45,0)</f>
        <v>407582869375.5285</v>
      </c>
      <c r="Z192">
        <f>IF('Calculations PJ'!Z192&lt;&gt;0,'Calculations PJ'!Z192*About!$B$45,0)</f>
        <v>407582869375.5285</v>
      </c>
      <c r="AA192">
        <f>IF('Calculations PJ'!AA192&lt;&gt;0,'Calculations PJ'!AA192*About!$B$45,0)</f>
        <v>417061540756.3548</v>
      </c>
      <c r="AB192">
        <f>IF('Calculations PJ'!AB192&lt;&gt;0,'Calculations PJ'!AB192*About!$B$45,0)</f>
        <v>417061540756.3548</v>
      </c>
      <c r="AC192">
        <f>IF('Calculations PJ'!AC192&lt;&gt;0,'Calculations PJ'!AC192*About!$B$45,0)</f>
        <v>417061540756.3548</v>
      </c>
      <c r="AD192">
        <f>IF('Calculations PJ'!AD192&lt;&gt;0,'Calculations PJ'!AD192*About!$B$45,0)</f>
        <v>417061540756.3548</v>
      </c>
      <c r="AE192">
        <f>IF('Calculations PJ'!AE192&lt;&gt;0,'Calculations PJ'!AE192*About!$B$45,0)</f>
        <v>417061540756.3548</v>
      </c>
      <c r="AF192">
        <f>IF('Calculations PJ'!AF192&lt;&gt;0,'Calculations PJ'!AF192*About!$B$45,0)</f>
        <v>426540212137.18103</v>
      </c>
      <c r="AG192">
        <f>IF('Calculations PJ'!AG192&lt;&gt;0,'Calculations PJ'!AG192*About!$B$45,0)</f>
        <v>426540212137.18103</v>
      </c>
      <c r="AH192">
        <f>IF('Calculations PJ'!AH192&lt;&gt;0,'Calculations PJ'!AH192*About!$B$45,0)</f>
        <v>426540212137.18103</v>
      </c>
      <c r="AI192">
        <f>IF('Calculations PJ'!AI192&lt;&gt;0,'Calculations PJ'!AI192*About!$B$45,0)</f>
        <v>426540212137.18103</v>
      </c>
      <c r="AJ192">
        <f>IF('Calculations PJ'!AJ192&lt;&gt;0,'Calculations PJ'!AJ192*About!$B$45,0)</f>
        <v>426540212137.18103</v>
      </c>
      <c r="AK192">
        <f>IF('Calculations PJ'!AK192&lt;&gt;0,'Calculations PJ'!AK192*About!$B$45,0)</f>
        <v>436018883518.00732</v>
      </c>
      <c r="AL192">
        <f>IF('Calculations PJ'!AL192&lt;&gt;0,'Calculations PJ'!AL192*About!$B$45,0)</f>
        <v>436018883518.00732</v>
      </c>
      <c r="AM192">
        <f>IF('Calculations PJ'!AM192&lt;&gt;0,'Calculations PJ'!AM192*About!$B$45,0)</f>
        <v>436018883518.00732</v>
      </c>
      <c r="AN192">
        <f>IF('Calculations PJ'!AN192&lt;&gt;0,'Calculations PJ'!AN192*About!$B$45,0)</f>
        <v>436018883518.00732</v>
      </c>
      <c r="AO192">
        <f>IF('Calculations PJ'!AO192&lt;&gt;0,'Calculations PJ'!AO192*About!$B$45,0)</f>
        <v>436018883518.00732</v>
      </c>
      <c r="AP192">
        <f>IF('Calculations PJ'!AP192&lt;&gt;0,'Calculations PJ'!AP192*About!$B$45,0)</f>
        <v>436018883518.00732</v>
      </c>
      <c r="AQ192">
        <f>IF('Calculations PJ'!AQ192&lt;&gt;0,'Calculations PJ'!AQ192*About!$B$45,0)</f>
        <v>436018883518.00732</v>
      </c>
      <c r="AR192">
        <f>IF('Calculations PJ'!AR192&lt;&gt;0,'Calculations PJ'!AR192*About!$B$45,0)</f>
        <v>436018883518.00732</v>
      </c>
      <c r="AS192">
        <f>IF('Calculations PJ'!AS192&lt;&gt;0,'Calculations PJ'!AS192*About!$B$45,0)</f>
        <v>436018883518.00732</v>
      </c>
      <c r="AT192">
        <f>IF('Calculations PJ'!AT192&lt;&gt;0,'Calculations PJ'!AT192*About!$B$45,0)</f>
        <v>436018883518.00732</v>
      </c>
      <c r="AU192">
        <f>IF('Calculations PJ'!AU192&lt;&gt;0,'Calculations PJ'!AU192*About!$B$45,0)</f>
        <v>436018883518.00732</v>
      </c>
      <c r="AV192">
        <f>IF('Calculations PJ'!AV192&lt;&gt;0,'Calculations PJ'!AV192*About!$B$45,0)</f>
        <v>436018883518.00732</v>
      </c>
      <c r="AW192">
        <f>IF('Calculations PJ'!AW192&lt;&gt;0,'Calculations PJ'!AW192*About!$B$45,0)</f>
        <v>436018883518.00732</v>
      </c>
      <c r="AX192">
        <f>IF('Calculations PJ'!AX192&lt;&gt;0,'Calculations PJ'!AX192*About!$B$45,0)</f>
        <v>436018883518.00732</v>
      </c>
      <c r="AY192">
        <f>IF('Calculations PJ'!AY192&lt;&gt;0,'Calculations PJ'!AY192*About!$B$45,0)</f>
        <v>436018883518.00732</v>
      </c>
      <c r="AZ192">
        <f>IF('Calculations PJ'!AZ192&lt;&gt;0,'Calculations PJ'!AZ192*About!$B$45,0)</f>
        <v>436018883518.00732</v>
      </c>
      <c r="BA192">
        <f>IF('Calculations PJ'!BA192&lt;&gt;0,'Calculations PJ'!BA192*About!$B$45,0)</f>
        <v>436018883518.00732</v>
      </c>
      <c r="BB192">
        <f>IF('Calculations PJ'!BB192&lt;&gt;0,'Calculations PJ'!BB192*About!$B$45,0)</f>
        <v>436018883518.00732</v>
      </c>
      <c r="BC192">
        <f>IF('Calculations PJ'!BC192&lt;&gt;0,'Calculations PJ'!BC192*About!$B$45,0)</f>
        <v>436018883518.00732</v>
      </c>
      <c r="BD192">
        <f>IF('Calculations PJ'!BD192&lt;&gt;0,'Calculations PJ'!BD192*About!$B$45,0)</f>
        <v>436018883518.00732</v>
      </c>
      <c r="BE192">
        <f>IF('Calculations PJ'!BE192&lt;&gt;0,'Calculations PJ'!BE192*About!$B$45,0)</f>
        <v>436018883518.00732</v>
      </c>
      <c r="BF192">
        <f>IF('Calculations PJ'!BF192&lt;&gt;0,'Calculations PJ'!BF192*About!$B$45,0)</f>
        <v>436018883518.00732</v>
      </c>
      <c r="BG192">
        <f>IF('Calculations PJ'!BG192&lt;&gt;0,'Calculations PJ'!BG192*About!$B$45,0)</f>
        <v>436018883518.00732</v>
      </c>
      <c r="BH192">
        <f>IF('Calculations PJ'!BH192&lt;&gt;0,'Calculations PJ'!BH192*About!$B$45,0)</f>
        <v>436018883518.00732</v>
      </c>
    </row>
    <row r="193" spans="2:60" outlineLevel="1">
      <c r="B193" t="s">
        <v>134</v>
      </c>
      <c r="C193">
        <f>IF('Calculations PJ'!C193&lt;&gt;0,'Calculations PJ'!C193*About!$B$45,0)</f>
        <v>0</v>
      </c>
      <c r="D193">
        <f>IF('Calculations PJ'!D193&lt;&gt;0,'Calculations PJ'!D193*About!$B$45,0)</f>
        <v>0</v>
      </c>
      <c r="E193">
        <f>IF('Calculations PJ'!E193&lt;&gt;0,'Calculations PJ'!E193*About!$B$45,0)</f>
        <v>0</v>
      </c>
      <c r="F193">
        <f>IF('Calculations PJ'!F193&lt;&gt;0,'Calculations PJ'!F193*About!$B$45,0)</f>
        <v>0</v>
      </c>
      <c r="G193">
        <f>IF('Calculations PJ'!G193&lt;&gt;0,'Calculations PJ'!G193*About!$B$45,0)</f>
        <v>0</v>
      </c>
      <c r="H193">
        <f>IF('Calculations PJ'!H193&lt;&gt;0,'Calculations PJ'!H193*About!$B$45,0)</f>
        <v>0</v>
      </c>
      <c r="I193">
        <f>IF('Calculations PJ'!I193&lt;&gt;0,'Calculations PJ'!I193*About!$B$45,0)</f>
        <v>0</v>
      </c>
      <c r="J193">
        <f>IF('Calculations PJ'!J193&lt;&gt;0,'Calculations PJ'!J193*About!$B$45,0)</f>
        <v>0</v>
      </c>
      <c r="K193">
        <f>IF('Calculations PJ'!K193&lt;&gt;0,'Calculations PJ'!K193*About!$B$45,0)</f>
        <v>0</v>
      </c>
      <c r="L193">
        <f>IF('Calculations PJ'!L193&lt;&gt;0,'Calculations PJ'!L193*About!$B$45,0)</f>
        <v>0</v>
      </c>
      <c r="M193">
        <f>IF('Calculations PJ'!M193&lt;&gt;0,'Calculations PJ'!M193*About!$B$45,0)</f>
        <v>0</v>
      </c>
      <c r="N193">
        <f>IF('Calculations PJ'!N193&lt;&gt;0,'Calculations PJ'!N193*About!$B$45,0)</f>
        <v>0</v>
      </c>
      <c r="O193">
        <f>IF('Calculations PJ'!O193&lt;&gt;0,'Calculations PJ'!O193*About!$B$45,0)</f>
        <v>0</v>
      </c>
      <c r="P193">
        <f>IF('Calculations PJ'!P193&lt;&gt;0,'Calculations PJ'!P193*About!$B$45,0)</f>
        <v>0</v>
      </c>
      <c r="Q193">
        <f>IF('Calculations PJ'!Q193&lt;&gt;0,'Calculations PJ'!Q193*About!$B$45,0)</f>
        <v>0</v>
      </c>
      <c r="R193">
        <f>IF('Calculations PJ'!R193&lt;&gt;0,'Calculations PJ'!R193*About!$B$45,0)</f>
        <v>0</v>
      </c>
      <c r="S193">
        <f>IF('Calculations PJ'!S193&lt;&gt;0,'Calculations PJ'!S193*About!$B$45,0)</f>
        <v>0</v>
      </c>
      <c r="T193">
        <f>IF('Calculations PJ'!T193&lt;&gt;0,'Calculations PJ'!T193*About!$B$45,0)</f>
        <v>0</v>
      </c>
      <c r="U193">
        <f>IF('Calculations PJ'!U193&lt;&gt;0,'Calculations PJ'!U193*About!$B$45,0)</f>
        <v>0</v>
      </c>
      <c r="V193">
        <f>IF('Calculations PJ'!V193&lt;&gt;0,'Calculations PJ'!V193*About!$B$45,0)</f>
        <v>0</v>
      </c>
      <c r="W193">
        <f>IF('Calculations PJ'!W193&lt;&gt;0,'Calculations PJ'!W193*About!$B$45,0)</f>
        <v>0</v>
      </c>
      <c r="X193">
        <f>IF('Calculations PJ'!X193&lt;&gt;0,'Calculations PJ'!X193*About!$B$45,0)</f>
        <v>0</v>
      </c>
      <c r="Y193">
        <f>IF('Calculations PJ'!Y193&lt;&gt;0,'Calculations PJ'!Y193*About!$B$45,0)</f>
        <v>0</v>
      </c>
      <c r="Z193">
        <f>IF('Calculations PJ'!Z193&lt;&gt;0,'Calculations PJ'!Z193*About!$B$45,0)</f>
        <v>0</v>
      </c>
      <c r="AA193">
        <f>IF('Calculations PJ'!AA193&lt;&gt;0,'Calculations PJ'!AA193*About!$B$45,0)</f>
        <v>0</v>
      </c>
      <c r="AB193">
        <f>IF('Calculations PJ'!AB193&lt;&gt;0,'Calculations PJ'!AB193*About!$B$45,0)</f>
        <v>0</v>
      </c>
      <c r="AC193">
        <f>IF('Calculations PJ'!AC193&lt;&gt;0,'Calculations PJ'!AC193*About!$B$45,0)</f>
        <v>0</v>
      </c>
      <c r="AD193">
        <f>IF('Calculations PJ'!AD193&lt;&gt;0,'Calculations PJ'!AD193*About!$B$45,0)</f>
        <v>0</v>
      </c>
      <c r="AE193">
        <f>IF('Calculations PJ'!AE193&lt;&gt;0,'Calculations PJ'!AE193*About!$B$45,0)</f>
        <v>0</v>
      </c>
      <c r="AF193">
        <f>IF('Calculations PJ'!AF193&lt;&gt;0,'Calculations PJ'!AF193*About!$B$45,0)</f>
        <v>0</v>
      </c>
      <c r="AG193">
        <f>IF('Calculations PJ'!AG193&lt;&gt;0,'Calculations PJ'!AG193*About!$B$45,0)</f>
        <v>0</v>
      </c>
      <c r="AH193">
        <f>IF('Calculations PJ'!AH193&lt;&gt;0,'Calculations PJ'!AH193*About!$B$45,0)</f>
        <v>0</v>
      </c>
      <c r="AI193">
        <f>IF('Calculations PJ'!AI193&lt;&gt;0,'Calculations PJ'!AI193*About!$B$45,0)</f>
        <v>0</v>
      </c>
      <c r="AJ193">
        <f>IF('Calculations PJ'!AJ193&lt;&gt;0,'Calculations PJ'!AJ193*About!$B$45,0)</f>
        <v>0</v>
      </c>
      <c r="AK193">
        <f>IF('Calculations PJ'!AK193&lt;&gt;0,'Calculations PJ'!AK193*About!$B$45,0)</f>
        <v>0</v>
      </c>
      <c r="AL193">
        <f>IF('Calculations PJ'!AL193&lt;&gt;0,'Calculations PJ'!AL193*About!$B$45,0)</f>
        <v>0</v>
      </c>
      <c r="AM193">
        <f>IF('Calculations PJ'!AM193&lt;&gt;0,'Calculations PJ'!AM193*About!$B$45,0)</f>
        <v>0</v>
      </c>
      <c r="AN193">
        <f>IF('Calculations PJ'!AN193&lt;&gt;0,'Calculations PJ'!AN193*About!$B$45,0)</f>
        <v>0</v>
      </c>
      <c r="AO193">
        <f>IF('Calculations PJ'!AO193&lt;&gt;0,'Calculations PJ'!AO193*About!$B$45,0)</f>
        <v>0</v>
      </c>
      <c r="AP193">
        <f>IF('Calculations PJ'!AP193&lt;&gt;0,'Calculations PJ'!AP193*About!$B$45,0)</f>
        <v>0</v>
      </c>
      <c r="AQ193">
        <f>IF('Calculations PJ'!AQ193&lt;&gt;0,'Calculations PJ'!AQ193*About!$B$45,0)</f>
        <v>0</v>
      </c>
      <c r="AR193">
        <f>IF('Calculations PJ'!AR193&lt;&gt;0,'Calculations PJ'!AR193*About!$B$45,0)</f>
        <v>0</v>
      </c>
      <c r="AS193">
        <f>IF('Calculations PJ'!AS193&lt;&gt;0,'Calculations PJ'!AS193*About!$B$45,0)</f>
        <v>0</v>
      </c>
      <c r="AT193">
        <f>IF('Calculations PJ'!AT193&lt;&gt;0,'Calculations PJ'!AT193*About!$B$45,0)</f>
        <v>0</v>
      </c>
      <c r="AU193">
        <f>IF('Calculations PJ'!AU193&lt;&gt;0,'Calculations PJ'!AU193*About!$B$45,0)</f>
        <v>0</v>
      </c>
      <c r="AV193">
        <f>IF('Calculations PJ'!AV193&lt;&gt;0,'Calculations PJ'!AV193*About!$B$45,0)</f>
        <v>0</v>
      </c>
      <c r="AW193">
        <f>IF('Calculations PJ'!AW193&lt;&gt;0,'Calculations PJ'!AW193*About!$B$45,0)</f>
        <v>0</v>
      </c>
      <c r="AX193">
        <f>IF('Calculations PJ'!AX193&lt;&gt;0,'Calculations PJ'!AX193*About!$B$45,0)</f>
        <v>0</v>
      </c>
      <c r="AY193">
        <f>IF('Calculations PJ'!AY193&lt;&gt;0,'Calculations PJ'!AY193*About!$B$45,0)</f>
        <v>0</v>
      </c>
      <c r="AZ193">
        <f>IF('Calculations PJ'!AZ193&lt;&gt;0,'Calculations PJ'!AZ193*About!$B$45,0)</f>
        <v>0</v>
      </c>
      <c r="BA193">
        <f>IF('Calculations PJ'!BA193&lt;&gt;0,'Calculations PJ'!BA193*About!$B$45,0)</f>
        <v>0</v>
      </c>
      <c r="BB193">
        <f>IF('Calculations PJ'!BB193&lt;&gt;0,'Calculations PJ'!BB193*About!$B$45,0)</f>
        <v>0</v>
      </c>
      <c r="BC193">
        <f>IF('Calculations PJ'!BC193&lt;&gt;0,'Calculations PJ'!BC193*About!$B$45,0)</f>
        <v>0</v>
      </c>
      <c r="BD193">
        <f>IF('Calculations PJ'!BD193&lt;&gt;0,'Calculations PJ'!BD193*About!$B$45,0)</f>
        <v>0</v>
      </c>
      <c r="BE193">
        <f>IF('Calculations PJ'!BE193&lt;&gt;0,'Calculations PJ'!BE193*About!$B$45,0)</f>
        <v>0</v>
      </c>
      <c r="BF193">
        <f>IF('Calculations PJ'!BF193&lt;&gt;0,'Calculations PJ'!BF193*About!$B$45,0)</f>
        <v>0</v>
      </c>
      <c r="BG193">
        <f>IF('Calculations PJ'!BG193&lt;&gt;0,'Calculations PJ'!BG193*About!$B$45,0)</f>
        <v>0</v>
      </c>
      <c r="BH193">
        <f>IF('Calculations PJ'!BH193&lt;&gt;0,'Calculations PJ'!BH193*About!$B$45,0)</f>
        <v>0</v>
      </c>
    </row>
    <row r="194" spans="2:60" outlineLevel="1">
      <c r="B194" t="s">
        <v>135</v>
      </c>
      <c r="C194">
        <f>IF('Calculations PJ'!C194&lt;&gt;0,'Calculations PJ'!C194*About!$B$45,0)</f>
        <v>796208395989.40454</v>
      </c>
      <c r="D194">
        <f>IF('Calculations PJ'!D194&lt;&gt;0,'Calculations PJ'!D194*About!$B$45,0)</f>
        <v>796208395989.40454</v>
      </c>
      <c r="E194">
        <f>IF('Calculations PJ'!E194&lt;&gt;0,'Calculations PJ'!E194*About!$B$45,0)</f>
        <v>777251053227.75208</v>
      </c>
      <c r="F194">
        <f>IF('Calculations PJ'!F194&lt;&gt;0,'Calculations PJ'!F194*About!$B$45,0)</f>
        <v>739336367704.44714</v>
      </c>
      <c r="G194">
        <f>IF('Calculations PJ'!G194&lt;&gt;0,'Calculations PJ'!G194*About!$B$45,0)</f>
        <v>729857696323.62085</v>
      </c>
      <c r="H194">
        <f>IF('Calculations PJ'!H194&lt;&gt;0,'Calculations PJ'!H194*About!$B$45,0)</f>
        <v>710900353561.96838</v>
      </c>
      <c r="I194">
        <f>IF('Calculations PJ'!I194&lt;&gt;0,'Calculations PJ'!I194*About!$B$45,0)</f>
        <v>682464339419.48962</v>
      </c>
      <c r="J194">
        <f>IF('Calculations PJ'!J194&lt;&gt;0,'Calculations PJ'!J194*About!$B$45,0)</f>
        <v>644549653896.18469</v>
      </c>
      <c r="K194">
        <f>IF('Calculations PJ'!K194&lt;&gt;0,'Calculations PJ'!K194*About!$B$45,0)</f>
        <v>530805597326.26978</v>
      </c>
      <c r="L194">
        <f>IF('Calculations PJ'!L194&lt;&gt;0,'Calculations PJ'!L194*About!$B$45,0)</f>
        <v>559241611468.74841</v>
      </c>
      <c r="M194">
        <f>IF('Calculations PJ'!M194&lt;&gt;0,'Calculations PJ'!M194*About!$B$45,0)</f>
        <v>568720282849.57471</v>
      </c>
      <c r="N194">
        <f>IF('Calculations PJ'!N194&lt;&gt;0,'Calculations PJ'!N194*About!$B$45,0)</f>
        <v>568720282849.57471</v>
      </c>
      <c r="O194">
        <f>IF('Calculations PJ'!O194&lt;&gt;0,'Calculations PJ'!O194*About!$B$45,0)</f>
        <v>568720282849.57471</v>
      </c>
      <c r="P194">
        <f>IF('Calculations PJ'!P194&lt;&gt;0,'Calculations PJ'!P194*About!$B$45,0)</f>
        <v>578198954230.40088</v>
      </c>
      <c r="Q194">
        <f>IF('Calculations PJ'!Q194&lt;&gt;0,'Calculations PJ'!Q194*About!$B$45,0)</f>
        <v>578198954230.40088</v>
      </c>
      <c r="R194">
        <f>IF('Calculations PJ'!R194&lt;&gt;0,'Calculations PJ'!R194*About!$B$45,0)</f>
        <v>578198954230.40088</v>
      </c>
      <c r="S194">
        <f>IF('Calculations PJ'!S194&lt;&gt;0,'Calculations PJ'!S194*About!$B$45,0)</f>
        <v>587677625611.22717</v>
      </c>
      <c r="T194">
        <f>IF('Calculations PJ'!T194&lt;&gt;0,'Calculations PJ'!T194*About!$B$45,0)</f>
        <v>587677625611.22717</v>
      </c>
      <c r="U194">
        <f>IF('Calculations PJ'!U194&lt;&gt;0,'Calculations PJ'!U194*About!$B$45,0)</f>
        <v>587677625611.22717</v>
      </c>
      <c r="V194">
        <f>IF('Calculations PJ'!V194&lt;&gt;0,'Calculations PJ'!V194*About!$B$45,0)</f>
        <v>597156296992.05347</v>
      </c>
      <c r="W194">
        <f>IF('Calculations PJ'!W194&lt;&gt;0,'Calculations PJ'!W194*About!$B$45,0)</f>
        <v>597156296992.05347</v>
      </c>
      <c r="X194">
        <f>IF('Calculations PJ'!X194&lt;&gt;0,'Calculations PJ'!X194*About!$B$45,0)</f>
        <v>597156296992.05347</v>
      </c>
      <c r="Y194">
        <f>IF('Calculations PJ'!Y194&lt;&gt;0,'Calculations PJ'!Y194*About!$B$45,0)</f>
        <v>606634968372.87976</v>
      </c>
      <c r="Z194">
        <f>IF('Calculations PJ'!Z194&lt;&gt;0,'Calculations PJ'!Z194*About!$B$45,0)</f>
        <v>606634968372.87976</v>
      </c>
      <c r="AA194">
        <f>IF('Calculations PJ'!AA194&lt;&gt;0,'Calculations PJ'!AA194*About!$B$45,0)</f>
        <v>606634968372.87976</v>
      </c>
      <c r="AB194">
        <f>IF('Calculations PJ'!AB194&lt;&gt;0,'Calculations PJ'!AB194*About!$B$45,0)</f>
        <v>616113639753.70593</v>
      </c>
      <c r="AC194">
        <f>IF('Calculations PJ'!AC194&lt;&gt;0,'Calculations PJ'!AC194*About!$B$45,0)</f>
        <v>616113639753.70593</v>
      </c>
      <c r="AD194">
        <f>IF('Calculations PJ'!AD194&lt;&gt;0,'Calculations PJ'!AD194*About!$B$45,0)</f>
        <v>616113639753.70593</v>
      </c>
      <c r="AE194">
        <f>IF('Calculations PJ'!AE194&lt;&gt;0,'Calculations PJ'!AE194*About!$B$45,0)</f>
        <v>616113639753.70593</v>
      </c>
      <c r="AF194">
        <f>IF('Calculations PJ'!AF194&lt;&gt;0,'Calculations PJ'!AF194*About!$B$45,0)</f>
        <v>625592311134.53223</v>
      </c>
      <c r="AG194">
        <f>IF('Calculations PJ'!AG194&lt;&gt;0,'Calculations PJ'!AG194*About!$B$45,0)</f>
        <v>625592311134.53223</v>
      </c>
      <c r="AH194">
        <f>IF('Calculations PJ'!AH194&lt;&gt;0,'Calculations PJ'!AH194*About!$B$45,0)</f>
        <v>625592311134.53223</v>
      </c>
      <c r="AI194">
        <f>IF('Calculations PJ'!AI194&lt;&gt;0,'Calculations PJ'!AI194*About!$B$45,0)</f>
        <v>635070982515.35852</v>
      </c>
      <c r="AJ194">
        <f>IF('Calculations PJ'!AJ194&lt;&gt;0,'Calculations PJ'!AJ194*About!$B$45,0)</f>
        <v>635070982515.35852</v>
      </c>
      <c r="AK194">
        <f>IF('Calculations PJ'!AK194&lt;&gt;0,'Calculations PJ'!AK194*About!$B$45,0)</f>
        <v>635070982515.35852</v>
      </c>
      <c r="AL194">
        <f>IF('Calculations PJ'!AL194&lt;&gt;0,'Calculations PJ'!AL194*About!$B$45,0)</f>
        <v>644549653896.18469</v>
      </c>
      <c r="AM194">
        <f>IF('Calculations PJ'!AM194&lt;&gt;0,'Calculations PJ'!AM194*About!$B$45,0)</f>
        <v>644549653896.18469</v>
      </c>
      <c r="AN194">
        <f>IF('Calculations PJ'!AN194&lt;&gt;0,'Calculations PJ'!AN194*About!$B$45,0)</f>
        <v>644549653896.18469</v>
      </c>
      <c r="AO194">
        <f>IF('Calculations PJ'!AO194&lt;&gt;0,'Calculations PJ'!AO194*About!$B$45,0)</f>
        <v>644549653896.18469</v>
      </c>
      <c r="AP194">
        <f>IF('Calculations PJ'!AP194&lt;&gt;0,'Calculations PJ'!AP194*About!$B$45,0)</f>
        <v>644549653896.18469</v>
      </c>
      <c r="AQ194">
        <f>IF('Calculations PJ'!AQ194&lt;&gt;0,'Calculations PJ'!AQ194*About!$B$45,0)</f>
        <v>644549653896.18469</v>
      </c>
      <c r="AR194">
        <f>IF('Calculations PJ'!AR194&lt;&gt;0,'Calculations PJ'!AR194*About!$B$45,0)</f>
        <v>644549653896.18469</v>
      </c>
      <c r="AS194">
        <f>IF('Calculations PJ'!AS194&lt;&gt;0,'Calculations PJ'!AS194*About!$B$45,0)</f>
        <v>644549653896.18469</v>
      </c>
      <c r="AT194">
        <f>IF('Calculations PJ'!AT194&lt;&gt;0,'Calculations PJ'!AT194*About!$B$45,0)</f>
        <v>644549653896.18469</v>
      </c>
      <c r="AU194">
        <f>IF('Calculations PJ'!AU194&lt;&gt;0,'Calculations PJ'!AU194*About!$B$45,0)</f>
        <v>644549653896.18469</v>
      </c>
      <c r="AV194">
        <f>IF('Calculations PJ'!AV194&lt;&gt;0,'Calculations PJ'!AV194*About!$B$45,0)</f>
        <v>644549653896.18469</v>
      </c>
      <c r="AW194">
        <f>IF('Calculations PJ'!AW194&lt;&gt;0,'Calculations PJ'!AW194*About!$B$45,0)</f>
        <v>644549653896.18469</v>
      </c>
      <c r="AX194">
        <f>IF('Calculations PJ'!AX194&lt;&gt;0,'Calculations PJ'!AX194*About!$B$45,0)</f>
        <v>644549653896.18469</v>
      </c>
      <c r="AY194">
        <f>IF('Calculations PJ'!AY194&lt;&gt;0,'Calculations PJ'!AY194*About!$B$45,0)</f>
        <v>644549653896.18469</v>
      </c>
      <c r="AZ194">
        <f>IF('Calculations PJ'!AZ194&lt;&gt;0,'Calculations PJ'!AZ194*About!$B$45,0)</f>
        <v>644549653896.18469</v>
      </c>
      <c r="BA194">
        <f>IF('Calculations PJ'!BA194&lt;&gt;0,'Calculations PJ'!BA194*About!$B$45,0)</f>
        <v>644549653896.18469</v>
      </c>
      <c r="BB194">
        <f>IF('Calculations PJ'!BB194&lt;&gt;0,'Calculations PJ'!BB194*About!$B$45,0)</f>
        <v>644549653896.18469</v>
      </c>
      <c r="BC194">
        <f>IF('Calculations PJ'!BC194&lt;&gt;0,'Calculations PJ'!BC194*About!$B$45,0)</f>
        <v>644549653896.18469</v>
      </c>
      <c r="BD194">
        <f>IF('Calculations PJ'!BD194&lt;&gt;0,'Calculations PJ'!BD194*About!$B$45,0)</f>
        <v>644549653896.18469</v>
      </c>
      <c r="BE194">
        <f>IF('Calculations PJ'!BE194&lt;&gt;0,'Calculations PJ'!BE194*About!$B$45,0)</f>
        <v>644549653896.18469</v>
      </c>
      <c r="BF194">
        <f>IF('Calculations PJ'!BF194&lt;&gt;0,'Calculations PJ'!BF194*About!$B$45,0)</f>
        <v>644549653896.18469</v>
      </c>
      <c r="BG194">
        <f>IF('Calculations PJ'!BG194&lt;&gt;0,'Calculations PJ'!BG194*About!$B$45,0)</f>
        <v>644549653896.18469</v>
      </c>
      <c r="BH194">
        <f>IF('Calculations PJ'!BH194&lt;&gt;0,'Calculations PJ'!BH194*About!$B$45,0)</f>
        <v>644549653896.18469</v>
      </c>
    </row>
    <row r="195" spans="2:60" outlineLevel="1">
      <c r="B195" t="s">
        <v>136</v>
      </c>
      <c r="C195">
        <f>IF('Calculations PJ'!C195&lt;&gt;0,'Calculations PJ'!C195*About!$B$45,0)</f>
        <v>18957342761.652493</v>
      </c>
      <c r="D195">
        <f>IF('Calculations PJ'!D195&lt;&gt;0,'Calculations PJ'!D195*About!$B$45,0)</f>
        <v>18957342761.652493</v>
      </c>
      <c r="E195">
        <f>IF('Calculations PJ'!E195&lt;&gt;0,'Calculations PJ'!E195*About!$B$45,0)</f>
        <v>18957342761.652493</v>
      </c>
      <c r="F195">
        <f>IF('Calculations PJ'!F195&lt;&gt;0,'Calculations PJ'!F195*About!$B$45,0)</f>
        <v>18957342761.652493</v>
      </c>
      <c r="G195">
        <f>IF('Calculations PJ'!G195&lt;&gt;0,'Calculations PJ'!G195*About!$B$45,0)</f>
        <v>18957342761.652493</v>
      </c>
      <c r="H195">
        <f>IF('Calculations PJ'!H195&lt;&gt;0,'Calculations PJ'!H195*About!$B$45,0)</f>
        <v>18957342761.652493</v>
      </c>
      <c r="I195">
        <f>IF('Calculations PJ'!I195&lt;&gt;0,'Calculations PJ'!I195*About!$B$45,0)</f>
        <v>18957342761.652493</v>
      </c>
      <c r="J195">
        <f>IF('Calculations PJ'!J195&lt;&gt;0,'Calculations PJ'!J195*About!$B$45,0)</f>
        <v>28436014142.478733</v>
      </c>
      <c r="K195">
        <f>IF('Calculations PJ'!K195&lt;&gt;0,'Calculations PJ'!K195*About!$B$45,0)</f>
        <v>18957342761.652493</v>
      </c>
      <c r="L195">
        <f>IF('Calculations PJ'!L195&lt;&gt;0,'Calculations PJ'!L195*About!$B$45,0)</f>
        <v>18957342761.652493</v>
      </c>
      <c r="M195">
        <f>IF('Calculations PJ'!M195&lt;&gt;0,'Calculations PJ'!M195*About!$B$45,0)</f>
        <v>18957342761.652493</v>
      </c>
      <c r="N195">
        <f>IF('Calculations PJ'!N195&lt;&gt;0,'Calculations PJ'!N195*About!$B$45,0)</f>
        <v>18957342761.652493</v>
      </c>
      <c r="O195">
        <f>IF('Calculations PJ'!O195&lt;&gt;0,'Calculations PJ'!O195*About!$B$45,0)</f>
        <v>18957342761.652493</v>
      </c>
      <c r="P195">
        <f>IF('Calculations PJ'!P195&lt;&gt;0,'Calculations PJ'!P195*About!$B$45,0)</f>
        <v>18957342761.652493</v>
      </c>
      <c r="Q195">
        <f>IF('Calculations PJ'!Q195&lt;&gt;0,'Calculations PJ'!Q195*About!$B$45,0)</f>
        <v>18957342761.652493</v>
      </c>
      <c r="R195">
        <f>IF('Calculations PJ'!R195&lt;&gt;0,'Calculations PJ'!R195*About!$B$45,0)</f>
        <v>18957342761.652493</v>
      </c>
      <c r="S195">
        <f>IF('Calculations PJ'!S195&lt;&gt;0,'Calculations PJ'!S195*About!$B$45,0)</f>
        <v>18957342761.652493</v>
      </c>
      <c r="T195">
        <f>IF('Calculations PJ'!T195&lt;&gt;0,'Calculations PJ'!T195*About!$B$45,0)</f>
        <v>18957342761.652493</v>
      </c>
      <c r="U195">
        <f>IF('Calculations PJ'!U195&lt;&gt;0,'Calculations PJ'!U195*About!$B$45,0)</f>
        <v>18957342761.652493</v>
      </c>
      <c r="V195">
        <f>IF('Calculations PJ'!V195&lt;&gt;0,'Calculations PJ'!V195*About!$B$45,0)</f>
        <v>18957342761.652493</v>
      </c>
      <c r="W195">
        <f>IF('Calculations PJ'!W195&lt;&gt;0,'Calculations PJ'!W195*About!$B$45,0)</f>
        <v>18957342761.652493</v>
      </c>
      <c r="X195">
        <f>IF('Calculations PJ'!X195&lt;&gt;0,'Calculations PJ'!X195*About!$B$45,0)</f>
        <v>18957342761.652493</v>
      </c>
      <c r="Y195">
        <f>IF('Calculations PJ'!Y195&lt;&gt;0,'Calculations PJ'!Y195*About!$B$45,0)</f>
        <v>28436014142.478733</v>
      </c>
      <c r="Z195">
        <f>IF('Calculations PJ'!Z195&lt;&gt;0,'Calculations PJ'!Z195*About!$B$45,0)</f>
        <v>28436014142.478733</v>
      </c>
      <c r="AA195">
        <f>IF('Calculations PJ'!AA195&lt;&gt;0,'Calculations PJ'!AA195*About!$B$45,0)</f>
        <v>28436014142.478733</v>
      </c>
      <c r="AB195">
        <f>IF('Calculations PJ'!AB195&lt;&gt;0,'Calculations PJ'!AB195*About!$B$45,0)</f>
        <v>28436014142.478733</v>
      </c>
      <c r="AC195">
        <f>IF('Calculations PJ'!AC195&lt;&gt;0,'Calculations PJ'!AC195*About!$B$45,0)</f>
        <v>28436014142.478733</v>
      </c>
      <c r="AD195">
        <f>IF('Calculations PJ'!AD195&lt;&gt;0,'Calculations PJ'!AD195*About!$B$45,0)</f>
        <v>28436014142.478733</v>
      </c>
      <c r="AE195">
        <f>IF('Calculations PJ'!AE195&lt;&gt;0,'Calculations PJ'!AE195*About!$B$45,0)</f>
        <v>28436014142.478733</v>
      </c>
      <c r="AF195">
        <f>IF('Calculations PJ'!AF195&lt;&gt;0,'Calculations PJ'!AF195*About!$B$45,0)</f>
        <v>28436014142.478733</v>
      </c>
      <c r="AG195">
        <f>IF('Calculations PJ'!AG195&lt;&gt;0,'Calculations PJ'!AG195*About!$B$45,0)</f>
        <v>28436014142.478733</v>
      </c>
      <c r="AH195">
        <f>IF('Calculations PJ'!AH195&lt;&gt;0,'Calculations PJ'!AH195*About!$B$45,0)</f>
        <v>28436014142.478733</v>
      </c>
      <c r="AI195">
        <f>IF('Calculations PJ'!AI195&lt;&gt;0,'Calculations PJ'!AI195*About!$B$45,0)</f>
        <v>28436014142.478733</v>
      </c>
      <c r="AJ195">
        <f>IF('Calculations PJ'!AJ195&lt;&gt;0,'Calculations PJ'!AJ195*About!$B$45,0)</f>
        <v>28436014142.478733</v>
      </c>
      <c r="AK195">
        <f>IF('Calculations PJ'!AK195&lt;&gt;0,'Calculations PJ'!AK195*About!$B$45,0)</f>
        <v>28436014142.478733</v>
      </c>
      <c r="AL195">
        <f>IF('Calculations PJ'!AL195&lt;&gt;0,'Calculations PJ'!AL195*About!$B$45,0)</f>
        <v>28436014142.478733</v>
      </c>
      <c r="AM195">
        <f>IF('Calculations PJ'!AM195&lt;&gt;0,'Calculations PJ'!AM195*About!$B$45,0)</f>
        <v>28436014142.478733</v>
      </c>
      <c r="AN195">
        <f>IF('Calculations PJ'!AN195&lt;&gt;0,'Calculations PJ'!AN195*About!$B$45,0)</f>
        <v>28436014142.478733</v>
      </c>
      <c r="AO195">
        <f>IF('Calculations PJ'!AO195&lt;&gt;0,'Calculations PJ'!AO195*About!$B$45,0)</f>
        <v>28436014142.478733</v>
      </c>
      <c r="AP195">
        <f>IF('Calculations PJ'!AP195&lt;&gt;0,'Calculations PJ'!AP195*About!$B$45,0)</f>
        <v>28436014142.478733</v>
      </c>
      <c r="AQ195">
        <f>IF('Calculations PJ'!AQ195&lt;&gt;0,'Calculations PJ'!AQ195*About!$B$45,0)</f>
        <v>28436014142.478733</v>
      </c>
      <c r="AR195">
        <f>IF('Calculations PJ'!AR195&lt;&gt;0,'Calculations PJ'!AR195*About!$B$45,0)</f>
        <v>28436014142.478733</v>
      </c>
      <c r="AS195">
        <f>IF('Calculations PJ'!AS195&lt;&gt;0,'Calculations PJ'!AS195*About!$B$45,0)</f>
        <v>28436014142.478733</v>
      </c>
      <c r="AT195">
        <f>IF('Calculations PJ'!AT195&lt;&gt;0,'Calculations PJ'!AT195*About!$B$45,0)</f>
        <v>28436014142.478733</v>
      </c>
      <c r="AU195">
        <f>IF('Calculations PJ'!AU195&lt;&gt;0,'Calculations PJ'!AU195*About!$B$45,0)</f>
        <v>28436014142.478733</v>
      </c>
      <c r="AV195">
        <f>IF('Calculations PJ'!AV195&lt;&gt;0,'Calculations PJ'!AV195*About!$B$45,0)</f>
        <v>28436014142.478733</v>
      </c>
      <c r="AW195">
        <f>IF('Calculations PJ'!AW195&lt;&gt;0,'Calculations PJ'!AW195*About!$B$45,0)</f>
        <v>28436014142.478733</v>
      </c>
      <c r="AX195">
        <f>IF('Calculations PJ'!AX195&lt;&gt;0,'Calculations PJ'!AX195*About!$B$45,0)</f>
        <v>28436014142.478733</v>
      </c>
      <c r="AY195">
        <f>IF('Calculations PJ'!AY195&lt;&gt;0,'Calculations PJ'!AY195*About!$B$45,0)</f>
        <v>28436014142.478733</v>
      </c>
      <c r="AZ195">
        <f>IF('Calculations PJ'!AZ195&lt;&gt;0,'Calculations PJ'!AZ195*About!$B$45,0)</f>
        <v>28436014142.478733</v>
      </c>
      <c r="BA195">
        <f>IF('Calculations PJ'!BA195&lt;&gt;0,'Calculations PJ'!BA195*About!$B$45,0)</f>
        <v>28436014142.478733</v>
      </c>
      <c r="BB195">
        <f>IF('Calculations PJ'!BB195&lt;&gt;0,'Calculations PJ'!BB195*About!$B$45,0)</f>
        <v>28436014142.478733</v>
      </c>
      <c r="BC195">
        <f>IF('Calculations PJ'!BC195&lt;&gt;0,'Calculations PJ'!BC195*About!$B$45,0)</f>
        <v>28436014142.478733</v>
      </c>
      <c r="BD195">
        <f>IF('Calculations PJ'!BD195&lt;&gt;0,'Calculations PJ'!BD195*About!$B$45,0)</f>
        <v>28436014142.478733</v>
      </c>
      <c r="BE195">
        <f>IF('Calculations PJ'!BE195&lt;&gt;0,'Calculations PJ'!BE195*About!$B$45,0)</f>
        <v>28436014142.478733</v>
      </c>
      <c r="BF195">
        <f>IF('Calculations PJ'!BF195&lt;&gt;0,'Calculations PJ'!BF195*About!$B$45,0)</f>
        <v>28436014142.478733</v>
      </c>
      <c r="BG195">
        <f>IF('Calculations PJ'!BG195&lt;&gt;0,'Calculations PJ'!BG195*About!$B$45,0)</f>
        <v>28436014142.478733</v>
      </c>
      <c r="BH195">
        <f>IF('Calculations PJ'!BH195&lt;&gt;0,'Calculations PJ'!BH195*About!$B$45,0)</f>
        <v>28436014142.478733</v>
      </c>
    </row>
    <row r="196" spans="2:60" outlineLevel="1">
      <c r="B196" t="s">
        <v>137</v>
      </c>
      <c r="C196">
        <f>IF('Calculations PJ'!C196&lt;&gt;0,'Calculations PJ'!C196*About!$B$45,0)</f>
        <v>142180070712.39368</v>
      </c>
      <c r="D196">
        <f>IF('Calculations PJ'!D196&lt;&gt;0,'Calculations PJ'!D196*About!$B$45,0)</f>
        <v>142180070712.39368</v>
      </c>
      <c r="E196">
        <f>IF('Calculations PJ'!E196&lt;&gt;0,'Calculations PJ'!E196*About!$B$45,0)</f>
        <v>151658742093.21994</v>
      </c>
      <c r="F196">
        <f>IF('Calculations PJ'!F196&lt;&gt;0,'Calculations PJ'!F196*About!$B$45,0)</f>
        <v>151658742093.21994</v>
      </c>
      <c r="G196">
        <f>IF('Calculations PJ'!G196&lt;&gt;0,'Calculations PJ'!G196*About!$B$45,0)</f>
        <v>151658742093.21994</v>
      </c>
      <c r="H196">
        <f>IF('Calculations PJ'!H196&lt;&gt;0,'Calculations PJ'!H196*About!$B$45,0)</f>
        <v>151658742093.21994</v>
      </c>
      <c r="I196">
        <f>IF('Calculations PJ'!I196&lt;&gt;0,'Calculations PJ'!I196*About!$B$45,0)</f>
        <v>151658742093.21994</v>
      </c>
      <c r="J196">
        <f>IF('Calculations PJ'!J196&lt;&gt;0,'Calculations PJ'!J196*About!$B$45,0)</f>
        <v>142180070712.39368</v>
      </c>
      <c r="K196">
        <f>IF('Calculations PJ'!K196&lt;&gt;0,'Calculations PJ'!K196*About!$B$45,0)</f>
        <v>113744056569.91493</v>
      </c>
      <c r="L196">
        <f>IF('Calculations PJ'!L196&lt;&gt;0,'Calculations PJ'!L196*About!$B$45,0)</f>
        <v>123222727950.7412</v>
      </c>
      <c r="M196">
        <f>IF('Calculations PJ'!M196&lt;&gt;0,'Calculations PJ'!M196*About!$B$45,0)</f>
        <v>123222727950.7412</v>
      </c>
      <c r="N196">
        <f>IF('Calculations PJ'!N196&lt;&gt;0,'Calculations PJ'!N196*About!$B$45,0)</f>
        <v>123222727950.7412</v>
      </c>
      <c r="O196">
        <f>IF('Calculations PJ'!O196&lt;&gt;0,'Calculations PJ'!O196*About!$B$45,0)</f>
        <v>123222727950.7412</v>
      </c>
      <c r="P196">
        <f>IF('Calculations PJ'!P196&lt;&gt;0,'Calculations PJ'!P196*About!$B$45,0)</f>
        <v>123222727950.7412</v>
      </c>
      <c r="Q196">
        <f>IF('Calculations PJ'!Q196&lt;&gt;0,'Calculations PJ'!Q196*About!$B$45,0)</f>
        <v>123222727950.7412</v>
      </c>
      <c r="R196">
        <f>IF('Calculations PJ'!R196&lt;&gt;0,'Calculations PJ'!R196*About!$B$45,0)</f>
        <v>123222727950.7412</v>
      </c>
      <c r="S196">
        <f>IF('Calculations PJ'!S196&lt;&gt;0,'Calculations PJ'!S196*About!$B$45,0)</f>
        <v>123222727950.7412</v>
      </c>
      <c r="T196">
        <f>IF('Calculations PJ'!T196&lt;&gt;0,'Calculations PJ'!T196*About!$B$45,0)</f>
        <v>123222727950.7412</v>
      </c>
      <c r="U196">
        <f>IF('Calculations PJ'!U196&lt;&gt;0,'Calculations PJ'!U196*About!$B$45,0)</f>
        <v>123222727950.7412</v>
      </c>
      <c r="V196">
        <f>IF('Calculations PJ'!V196&lt;&gt;0,'Calculations PJ'!V196*About!$B$45,0)</f>
        <v>123222727950.7412</v>
      </c>
      <c r="W196">
        <f>IF('Calculations PJ'!W196&lt;&gt;0,'Calculations PJ'!W196*About!$B$45,0)</f>
        <v>123222727950.7412</v>
      </c>
      <c r="X196">
        <f>IF('Calculations PJ'!X196&lt;&gt;0,'Calculations PJ'!X196*About!$B$45,0)</f>
        <v>132701399331.56744</v>
      </c>
      <c r="Y196">
        <f>IF('Calculations PJ'!Y196&lt;&gt;0,'Calculations PJ'!Y196*About!$B$45,0)</f>
        <v>132701399331.56744</v>
      </c>
      <c r="Z196">
        <f>IF('Calculations PJ'!Z196&lt;&gt;0,'Calculations PJ'!Z196*About!$B$45,0)</f>
        <v>132701399331.56744</v>
      </c>
      <c r="AA196">
        <f>IF('Calculations PJ'!AA196&lt;&gt;0,'Calculations PJ'!AA196*About!$B$45,0)</f>
        <v>132701399331.56744</v>
      </c>
      <c r="AB196">
        <f>IF('Calculations PJ'!AB196&lt;&gt;0,'Calculations PJ'!AB196*About!$B$45,0)</f>
        <v>132701399331.56744</v>
      </c>
      <c r="AC196">
        <f>IF('Calculations PJ'!AC196&lt;&gt;0,'Calculations PJ'!AC196*About!$B$45,0)</f>
        <v>132701399331.56744</v>
      </c>
      <c r="AD196">
        <f>IF('Calculations PJ'!AD196&lt;&gt;0,'Calculations PJ'!AD196*About!$B$45,0)</f>
        <v>132701399331.56744</v>
      </c>
      <c r="AE196">
        <f>IF('Calculations PJ'!AE196&lt;&gt;0,'Calculations PJ'!AE196*About!$B$45,0)</f>
        <v>132701399331.56744</v>
      </c>
      <c r="AF196">
        <f>IF('Calculations PJ'!AF196&lt;&gt;0,'Calculations PJ'!AF196*About!$B$45,0)</f>
        <v>132701399331.56744</v>
      </c>
      <c r="AG196">
        <f>IF('Calculations PJ'!AG196&lt;&gt;0,'Calculations PJ'!AG196*About!$B$45,0)</f>
        <v>132701399331.56744</v>
      </c>
      <c r="AH196">
        <f>IF('Calculations PJ'!AH196&lt;&gt;0,'Calculations PJ'!AH196*About!$B$45,0)</f>
        <v>132701399331.56744</v>
      </c>
      <c r="AI196">
        <f>IF('Calculations PJ'!AI196&lt;&gt;0,'Calculations PJ'!AI196*About!$B$45,0)</f>
        <v>132701399331.56744</v>
      </c>
      <c r="AJ196">
        <f>IF('Calculations PJ'!AJ196&lt;&gt;0,'Calculations PJ'!AJ196*About!$B$45,0)</f>
        <v>132701399331.56744</v>
      </c>
      <c r="AK196">
        <f>IF('Calculations PJ'!AK196&lt;&gt;0,'Calculations PJ'!AK196*About!$B$45,0)</f>
        <v>132701399331.56744</v>
      </c>
      <c r="AL196">
        <f>IF('Calculations PJ'!AL196&lt;&gt;0,'Calculations PJ'!AL196*About!$B$45,0)</f>
        <v>132701399331.56744</v>
      </c>
      <c r="AM196">
        <f>IF('Calculations PJ'!AM196&lt;&gt;0,'Calculations PJ'!AM196*About!$B$45,0)</f>
        <v>142180070712.39368</v>
      </c>
      <c r="AN196">
        <f>IF('Calculations PJ'!AN196&lt;&gt;0,'Calculations PJ'!AN196*About!$B$45,0)</f>
        <v>142180070712.39368</v>
      </c>
      <c r="AO196">
        <f>IF('Calculations PJ'!AO196&lt;&gt;0,'Calculations PJ'!AO196*About!$B$45,0)</f>
        <v>142180070712.39368</v>
      </c>
      <c r="AP196">
        <f>IF('Calculations PJ'!AP196&lt;&gt;0,'Calculations PJ'!AP196*About!$B$45,0)</f>
        <v>142180070712.39368</v>
      </c>
      <c r="AQ196">
        <f>IF('Calculations PJ'!AQ196&lt;&gt;0,'Calculations PJ'!AQ196*About!$B$45,0)</f>
        <v>142180070712.39368</v>
      </c>
      <c r="AR196">
        <f>IF('Calculations PJ'!AR196&lt;&gt;0,'Calculations PJ'!AR196*About!$B$45,0)</f>
        <v>142180070712.39368</v>
      </c>
      <c r="AS196">
        <f>IF('Calculations PJ'!AS196&lt;&gt;0,'Calculations PJ'!AS196*About!$B$45,0)</f>
        <v>142180070712.39368</v>
      </c>
      <c r="AT196">
        <f>IF('Calculations PJ'!AT196&lt;&gt;0,'Calculations PJ'!AT196*About!$B$45,0)</f>
        <v>142180070712.39368</v>
      </c>
      <c r="AU196">
        <f>IF('Calculations PJ'!AU196&lt;&gt;0,'Calculations PJ'!AU196*About!$B$45,0)</f>
        <v>142180070712.39368</v>
      </c>
      <c r="AV196">
        <f>IF('Calculations PJ'!AV196&lt;&gt;0,'Calculations PJ'!AV196*About!$B$45,0)</f>
        <v>142180070712.39368</v>
      </c>
      <c r="AW196">
        <f>IF('Calculations PJ'!AW196&lt;&gt;0,'Calculations PJ'!AW196*About!$B$45,0)</f>
        <v>142180070712.39368</v>
      </c>
      <c r="AX196">
        <f>IF('Calculations PJ'!AX196&lt;&gt;0,'Calculations PJ'!AX196*About!$B$45,0)</f>
        <v>142180070712.39368</v>
      </c>
      <c r="AY196">
        <f>IF('Calculations PJ'!AY196&lt;&gt;0,'Calculations PJ'!AY196*About!$B$45,0)</f>
        <v>142180070712.39368</v>
      </c>
      <c r="AZ196">
        <f>IF('Calculations PJ'!AZ196&lt;&gt;0,'Calculations PJ'!AZ196*About!$B$45,0)</f>
        <v>142180070712.39368</v>
      </c>
      <c r="BA196">
        <f>IF('Calculations PJ'!BA196&lt;&gt;0,'Calculations PJ'!BA196*About!$B$45,0)</f>
        <v>142180070712.39368</v>
      </c>
      <c r="BB196">
        <f>IF('Calculations PJ'!BB196&lt;&gt;0,'Calculations PJ'!BB196*About!$B$45,0)</f>
        <v>142180070712.39368</v>
      </c>
      <c r="BC196">
        <f>IF('Calculations PJ'!BC196&lt;&gt;0,'Calculations PJ'!BC196*About!$B$45,0)</f>
        <v>142180070712.39368</v>
      </c>
      <c r="BD196">
        <f>IF('Calculations PJ'!BD196&lt;&gt;0,'Calculations PJ'!BD196*About!$B$45,0)</f>
        <v>142180070712.39368</v>
      </c>
      <c r="BE196">
        <f>IF('Calculations PJ'!BE196&lt;&gt;0,'Calculations PJ'!BE196*About!$B$45,0)</f>
        <v>142180070712.39368</v>
      </c>
      <c r="BF196">
        <f>IF('Calculations PJ'!BF196&lt;&gt;0,'Calculations PJ'!BF196*About!$B$45,0)</f>
        <v>142180070712.39368</v>
      </c>
      <c r="BG196">
        <f>IF('Calculations PJ'!BG196&lt;&gt;0,'Calculations PJ'!BG196*About!$B$45,0)</f>
        <v>142180070712.39368</v>
      </c>
      <c r="BH196">
        <f>IF('Calculations PJ'!BH196&lt;&gt;0,'Calculations PJ'!BH196*About!$B$45,0)</f>
        <v>142180070712.39368</v>
      </c>
    </row>
    <row r="197" spans="2:60" outlineLevel="1">
      <c r="B197" t="s">
        <v>138</v>
      </c>
      <c r="C197">
        <f>IF('Calculations PJ'!C197&lt;&gt;0,'Calculations PJ'!C197*About!$B$45,0)</f>
        <v>0</v>
      </c>
      <c r="D197">
        <f>IF('Calculations PJ'!D197&lt;&gt;0,'Calculations PJ'!D197*About!$B$45,0)</f>
        <v>0</v>
      </c>
      <c r="E197">
        <f>IF('Calculations PJ'!E197&lt;&gt;0,'Calculations PJ'!E197*About!$B$45,0)</f>
        <v>0</v>
      </c>
      <c r="F197">
        <f>IF('Calculations PJ'!F197&lt;&gt;0,'Calculations PJ'!F197*About!$B$45,0)</f>
        <v>0</v>
      </c>
      <c r="G197">
        <f>IF('Calculations PJ'!G197&lt;&gt;0,'Calculations PJ'!G197*About!$B$45,0)</f>
        <v>0</v>
      </c>
      <c r="H197">
        <f>IF('Calculations PJ'!H197&lt;&gt;0,'Calculations PJ'!H197*About!$B$45,0)</f>
        <v>0</v>
      </c>
      <c r="I197">
        <f>IF('Calculations PJ'!I197&lt;&gt;0,'Calculations PJ'!I197*About!$B$45,0)</f>
        <v>0</v>
      </c>
      <c r="J197">
        <f>IF('Calculations PJ'!J197&lt;&gt;0,'Calculations PJ'!J197*About!$B$45,0)</f>
        <v>0</v>
      </c>
      <c r="K197">
        <f>IF('Calculations PJ'!K197&lt;&gt;0,'Calculations PJ'!K197*About!$B$45,0)</f>
        <v>0</v>
      </c>
      <c r="L197">
        <f>IF('Calculations PJ'!L197&lt;&gt;0,'Calculations PJ'!L197*About!$B$45,0)</f>
        <v>0</v>
      </c>
      <c r="M197">
        <f>IF('Calculations PJ'!M197&lt;&gt;0,'Calculations PJ'!M197*About!$B$45,0)</f>
        <v>0</v>
      </c>
      <c r="N197">
        <f>IF('Calculations PJ'!N197&lt;&gt;0,'Calculations PJ'!N197*About!$B$45,0)</f>
        <v>0</v>
      </c>
      <c r="O197">
        <f>IF('Calculations PJ'!O197&lt;&gt;0,'Calculations PJ'!O197*About!$B$45,0)</f>
        <v>0</v>
      </c>
      <c r="P197">
        <f>IF('Calculations PJ'!P197&lt;&gt;0,'Calculations PJ'!P197*About!$B$45,0)</f>
        <v>0</v>
      </c>
      <c r="Q197">
        <f>IF('Calculations PJ'!Q197&lt;&gt;0,'Calculations PJ'!Q197*About!$B$45,0)</f>
        <v>0</v>
      </c>
      <c r="R197">
        <f>IF('Calculations PJ'!R197&lt;&gt;0,'Calculations PJ'!R197*About!$B$45,0)</f>
        <v>0</v>
      </c>
      <c r="S197">
        <f>IF('Calculations PJ'!S197&lt;&gt;0,'Calculations PJ'!S197*About!$B$45,0)</f>
        <v>0</v>
      </c>
      <c r="T197">
        <f>IF('Calculations PJ'!T197&lt;&gt;0,'Calculations PJ'!T197*About!$B$45,0)</f>
        <v>0</v>
      </c>
      <c r="U197">
        <f>IF('Calculations PJ'!U197&lt;&gt;0,'Calculations PJ'!U197*About!$B$45,0)</f>
        <v>0</v>
      </c>
      <c r="V197">
        <f>IF('Calculations PJ'!V197&lt;&gt;0,'Calculations PJ'!V197*About!$B$45,0)</f>
        <v>0</v>
      </c>
      <c r="W197">
        <f>IF('Calculations PJ'!W197&lt;&gt;0,'Calculations PJ'!W197*About!$B$45,0)</f>
        <v>0</v>
      </c>
      <c r="X197">
        <f>IF('Calculations PJ'!X197&lt;&gt;0,'Calculations PJ'!X197*About!$B$45,0)</f>
        <v>0</v>
      </c>
      <c r="Y197">
        <f>IF('Calculations PJ'!Y197&lt;&gt;0,'Calculations PJ'!Y197*About!$B$45,0)</f>
        <v>0</v>
      </c>
      <c r="Z197">
        <f>IF('Calculations PJ'!Z197&lt;&gt;0,'Calculations PJ'!Z197*About!$B$45,0)</f>
        <v>0</v>
      </c>
      <c r="AA197">
        <f>IF('Calculations PJ'!AA197&lt;&gt;0,'Calculations PJ'!AA197*About!$B$45,0)</f>
        <v>0</v>
      </c>
      <c r="AB197">
        <f>IF('Calculations PJ'!AB197&lt;&gt;0,'Calculations PJ'!AB197*About!$B$45,0)</f>
        <v>0</v>
      </c>
      <c r="AC197">
        <f>IF('Calculations PJ'!AC197&lt;&gt;0,'Calculations PJ'!AC197*About!$B$45,0)</f>
        <v>0</v>
      </c>
      <c r="AD197">
        <f>IF('Calculations PJ'!AD197&lt;&gt;0,'Calculations PJ'!AD197*About!$B$45,0)</f>
        <v>0</v>
      </c>
      <c r="AE197">
        <f>IF('Calculations PJ'!AE197&lt;&gt;0,'Calculations PJ'!AE197*About!$B$45,0)</f>
        <v>0</v>
      </c>
      <c r="AF197">
        <f>IF('Calculations PJ'!AF197&lt;&gt;0,'Calculations PJ'!AF197*About!$B$45,0)</f>
        <v>0</v>
      </c>
      <c r="AG197">
        <f>IF('Calculations PJ'!AG197&lt;&gt;0,'Calculations PJ'!AG197*About!$B$45,0)</f>
        <v>0</v>
      </c>
      <c r="AH197">
        <f>IF('Calculations PJ'!AH197&lt;&gt;0,'Calculations PJ'!AH197*About!$B$45,0)</f>
        <v>0</v>
      </c>
      <c r="AI197">
        <f>IF('Calculations PJ'!AI197&lt;&gt;0,'Calculations PJ'!AI197*About!$B$45,0)</f>
        <v>0</v>
      </c>
      <c r="AJ197">
        <f>IF('Calculations PJ'!AJ197&lt;&gt;0,'Calculations PJ'!AJ197*About!$B$45,0)</f>
        <v>0</v>
      </c>
      <c r="AK197">
        <f>IF('Calculations PJ'!AK197&lt;&gt;0,'Calculations PJ'!AK197*About!$B$45,0)</f>
        <v>0</v>
      </c>
      <c r="AL197">
        <f>IF('Calculations PJ'!AL197&lt;&gt;0,'Calculations PJ'!AL197*About!$B$45,0)</f>
        <v>0</v>
      </c>
      <c r="AM197">
        <f>IF('Calculations PJ'!AM197&lt;&gt;0,'Calculations PJ'!AM197*About!$B$45,0)</f>
        <v>0</v>
      </c>
      <c r="AN197">
        <f>IF('Calculations PJ'!AN197&lt;&gt;0,'Calculations PJ'!AN197*About!$B$45,0)</f>
        <v>0</v>
      </c>
      <c r="AO197">
        <f>IF('Calculations PJ'!AO197&lt;&gt;0,'Calculations PJ'!AO197*About!$B$45,0)</f>
        <v>0</v>
      </c>
      <c r="AP197">
        <f>IF('Calculations PJ'!AP197&lt;&gt;0,'Calculations PJ'!AP197*About!$B$45,0)</f>
        <v>0</v>
      </c>
      <c r="AQ197">
        <f>IF('Calculations PJ'!AQ197&lt;&gt;0,'Calculations PJ'!AQ197*About!$B$45,0)</f>
        <v>0</v>
      </c>
      <c r="AR197">
        <f>IF('Calculations PJ'!AR197&lt;&gt;0,'Calculations PJ'!AR197*About!$B$45,0)</f>
        <v>0</v>
      </c>
      <c r="AS197">
        <f>IF('Calculations PJ'!AS197&lt;&gt;0,'Calculations PJ'!AS197*About!$B$45,0)</f>
        <v>0</v>
      </c>
      <c r="AT197">
        <f>IF('Calculations PJ'!AT197&lt;&gt;0,'Calculations PJ'!AT197*About!$B$45,0)</f>
        <v>0</v>
      </c>
      <c r="AU197">
        <f>IF('Calculations PJ'!AU197&lt;&gt;0,'Calculations PJ'!AU197*About!$B$45,0)</f>
        <v>0</v>
      </c>
      <c r="AV197">
        <f>IF('Calculations PJ'!AV197&lt;&gt;0,'Calculations PJ'!AV197*About!$B$45,0)</f>
        <v>0</v>
      </c>
      <c r="AW197">
        <f>IF('Calculations PJ'!AW197&lt;&gt;0,'Calculations PJ'!AW197*About!$B$45,0)</f>
        <v>0</v>
      </c>
      <c r="AX197">
        <f>IF('Calculations PJ'!AX197&lt;&gt;0,'Calculations PJ'!AX197*About!$B$45,0)</f>
        <v>0</v>
      </c>
      <c r="AY197">
        <f>IF('Calculations PJ'!AY197&lt;&gt;0,'Calculations PJ'!AY197*About!$B$45,0)</f>
        <v>0</v>
      </c>
      <c r="AZ197">
        <f>IF('Calculations PJ'!AZ197&lt;&gt;0,'Calculations PJ'!AZ197*About!$B$45,0)</f>
        <v>0</v>
      </c>
      <c r="BA197">
        <f>IF('Calculations PJ'!BA197&lt;&gt;0,'Calculations PJ'!BA197*About!$B$45,0)</f>
        <v>0</v>
      </c>
      <c r="BB197">
        <f>IF('Calculations PJ'!BB197&lt;&gt;0,'Calculations PJ'!BB197*About!$B$45,0)</f>
        <v>0</v>
      </c>
      <c r="BC197">
        <f>IF('Calculations PJ'!BC197&lt;&gt;0,'Calculations PJ'!BC197*About!$B$45,0)</f>
        <v>0</v>
      </c>
      <c r="BD197">
        <f>IF('Calculations PJ'!BD197&lt;&gt;0,'Calculations PJ'!BD197*About!$B$45,0)</f>
        <v>0</v>
      </c>
      <c r="BE197">
        <f>IF('Calculations PJ'!BE197&lt;&gt;0,'Calculations PJ'!BE197*About!$B$45,0)</f>
        <v>0</v>
      </c>
      <c r="BF197">
        <f>IF('Calculations PJ'!BF197&lt;&gt;0,'Calculations PJ'!BF197*About!$B$45,0)</f>
        <v>0</v>
      </c>
      <c r="BG197">
        <f>IF('Calculations PJ'!BG197&lt;&gt;0,'Calculations PJ'!BG197*About!$B$45,0)</f>
        <v>0</v>
      </c>
      <c r="BH197">
        <f>IF('Calculations PJ'!BH197&lt;&gt;0,'Calculations PJ'!BH197*About!$B$45,0)</f>
        <v>0</v>
      </c>
    </row>
    <row r="198" spans="2:60" outlineLevel="1">
      <c r="B198" t="s">
        <v>139</v>
      </c>
      <c r="C198">
        <f>IF('Calculations PJ'!C198&lt;&gt;0,'Calculations PJ'!C198*About!$B$45,0)</f>
        <v>9478671380.8262463</v>
      </c>
      <c r="D198">
        <f>IF('Calculations PJ'!D198&lt;&gt;0,'Calculations PJ'!D198*About!$B$45,0)</f>
        <v>9478671380.8262463</v>
      </c>
      <c r="E198">
        <f>IF('Calculations PJ'!E198&lt;&gt;0,'Calculations PJ'!E198*About!$B$45,0)</f>
        <v>9478671380.8262463</v>
      </c>
      <c r="F198">
        <f>IF('Calculations PJ'!F198&lt;&gt;0,'Calculations PJ'!F198*About!$B$45,0)</f>
        <v>9478671380.8262463</v>
      </c>
      <c r="G198">
        <f>IF('Calculations PJ'!G198&lt;&gt;0,'Calculations PJ'!G198*About!$B$45,0)</f>
        <v>9478671380.8262463</v>
      </c>
      <c r="H198">
        <f>IF('Calculations PJ'!H198&lt;&gt;0,'Calculations PJ'!H198*About!$B$45,0)</f>
        <v>9478671380.8262463</v>
      </c>
      <c r="I198">
        <f>IF('Calculations PJ'!I198&lt;&gt;0,'Calculations PJ'!I198*About!$B$45,0)</f>
        <v>9478671380.8262463</v>
      </c>
      <c r="J198">
        <f>IF('Calculations PJ'!J198&lt;&gt;0,'Calculations PJ'!J198*About!$B$45,0)</f>
        <v>9478671380.8262463</v>
      </c>
      <c r="K198">
        <f>IF('Calculations PJ'!K198&lt;&gt;0,'Calculations PJ'!K198*About!$B$45,0)</f>
        <v>9478671380.8262463</v>
      </c>
      <c r="L198">
        <f>IF('Calculations PJ'!L198&lt;&gt;0,'Calculations PJ'!L198*About!$B$45,0)</f>
        <v>9478671380.8262463</v>
      </c>
      <c r="M198">
        <f>IF('Calculations PJ'!M198&lt;&gt;0,'Calculations PJ'!M198*About!$B$45,0)</f>
        <v>9478671380.8262463</v>
      </c>
      <c r="N198">
        <f>IF('Calculations PJ'!N198&lt;&gt;0,'Calculations PJ'!N198*About!$B$45,0)</f>
        <v>9478671380.8262463</v>
      </c>
      <c r="O198">
        <f>IF('Calculations PJ'!O198&lt;&gt;0,'Calculations PJ'!O198*About!$B$45,0)</f>
        <v>9478671380.8262463</v>
      </c>
      <c r="P198">
        <f>IF('Calculations PJ'!P198&lt;&gt;0,'Calculations PJ'!P198*About!$B$45,0)</f>
        <v>9478671380.8262463</v>
      </c>
      <c r="Q198">
        <f>IF('Calculations PJ'!Q198&lt;&gt;0,'Calculations PJ'!Q198*About!$B$45,0)</f>
        <v>9478671380.8262463</v>
      </c>
      <c r="R198">
        <f>IF('Calculations PJ'!R198&lt;&gt;0,'Calculations PJ'!R198*About!$B$45,0)</f>
        <v>9478671380.8262463</v>
      </c>
      <c r="S198">
        <f>IF('Calculations PJ'!S198&lt;&gt;0,'Calculations PJ'!S198*About!$B$45,0)</f>
        <v>9478671380.8262463</v>
      </c>
      <c r="T198">
        <f>IF('Calculations PJ'!T198&lt;&gt;0,'Calculations PJ'!T198*About!$B$45,0)</f>
        <v>9478671380.8262463</v>
      </c>
      <c r="U198">
        <f>IF('Calculations PJ'!U198&lt;&gt;0,'Calculations PJ'!U198*About!$B$45,0)</f>
        <v>9478671380.8262463</v>
      </c>
      <c r="V198">
        <f>IF('Calculations PJ'!V198&lt;&gt;0,'Calculations PJ'!V198*About!$B$45,0)</f>
        <v>9478671380.8262463</v>
      </c>
      <c r="W198">
        <f>IF('Calculations PJ'!W198&lt;&gt;0,'Calculations PJ'!W198*About!$B$45,0)</f>
        <v>9478671380.8262463</v>
      </c>
      <c r="X198">
        <f>IF('Calculations PJ'!X198&lt;&gt;0,'Calculations PJ'!X198*About!$B$45,0)</f>
        <v>9478671380.8262463</v>
      </c>
      <c r="Y198">
        <f>IF('Calculations PJ'!Y198&lt;&gt;0,'Calculations PJ'!Y198*About!$B$45,0)</f>
        <v>9478671380.8262463</v>
      </c>
      <c r="Z198">
        <f>IF('Calculations PJ'!Z198&lt;&gt;0,'Calculations PJ'!Z198*About!$B$45,0)</f>
        <v>9478671380.8262463</v>
      </c>
      <c r="AA198">
        <f>IF('Calculations PJ'!AA198&lt;&gt;0,'Calculations PJ'!AA198*About!$B$45,0)</f>
        <v>9478671380.8262463</v>
      </c>
      <c r="AB198">
        <f>IF('Calculations PJ'!AB198&lt;&gt;0,'Calculations PJ'!AB198*About!$B$45,0)</f>
        <v>9478671380.8262463</v>
      </c>
      <c r="AC198">
        <f>IF('Calculations PJ'!AC198&lt;&gt;0,'Calculations PJ'!AC198*About!$B$45,0)</f>
        <v>9478671380.8262463</v>
      </c>
      <c r="AD198">
        <f>IF('Calculations PJ'!AD198&lt;&gt;0,'Calculations PJ'!AD198*About!$B$45,0)</f>
        <v>9478671380.8262463</v>
      </c>
      <c r="AE198">
        <f>IF('Calculations PJ'!AE198&lt;&gt;0,'Calculations PJ'!AE198*About!$B$45,0)</f>
        <v>9478671380.8262463</v>
      </c>
      <c r="AF198">
        <f>IF('Calculations PJ'!AF198&lt;&gt;0,'Calculations PJ'!AF198*About!$B$45,0)</f>
        <v>9478671380.8262463</v>
      </c>
      <c r="AG198">
        <f>IF('Calculations PJ'!AG198&lt;&gt;0,'Calculations PJ'!AG198*About!$B$45,0)</f>
        <v>9478671380.8262463</v>
      </c>
      <c r="AH198">
        <f>IF('Calculations PJ'!AH198&lt;&gt;0,'Calculations PJ'!AH198*About!$B$45,0)</f>
        <v>9478671380.8262463</v>
      </c>
      <c r="AI198">
        <f>IF('Calculations PJ'!AI198&lt;&gt;0,'Calculations PJ'!AI198*About!$B$45,0)</f>
        <v>9478671380.8262463</v>
      </c>
      <c r="AJ198">
        <f>IF('Calculations PJ'!AJ198&lt;&gt;0,'Calculations PJ'!AJ198*About!$B$45,0)</f>
        <v>9478671380.8262463</v>
      </c>
      <c r="AK198">
        <f>IF('Calculations PJ'!AK198&lt;&gt;0,'Calculations PJ'!AK198*About!$B$45,0)</f>
        <v>9478671380.8262463</v>
      </c>
      <c r="AL198">
        <f>IF('Calculations PJ'!AL198&lt;&gt;0,'Calculations PJ'!AL198*About!$B$45,0)</f>
        <v>9478671380.8262463</v>
      </c>
      <c r="AM198">
        <f>IF('Calculations PJ'!AM198&lt;&gt;0,'Calculations PJ'!AM198*About!$B$45,0)</f>
        <v>9478671380.8262463</v>
      </c>
      <c r="AN198">
        <f>IF('Calculations PJ'!AN198&lt;&gt;0,'Calculations PJ'!AN198*About!$B$45,0)</f>
        <v>9478671380.8262463</v>
      </c>
      <c r="AO198">
        <f>IF('Calculations PJ'!AO198&lt;&gt;0,'Calculations PJ'!AO198*About!$B$45,0)</f>
        <v>9478671380.8262463</v>
      </c>
      <c r="AP198">
        <f>IF('Calculations PJ'!AP198&lt;&gt;0,'Calculations PJ'!AP198*About!$B$45,0)</f>
        <v>9478671380.8262463</v>
      </c>
      <c r="AQ198">
        <f>IF('Calculations PJ'!AQ198&lt;&gt;0,'Calculations PJ'!AQ198*About!$B$45,0)</f>
        <v>9478671380.8262463</v>
      </c>
      <c r="AR198">
        <f>IF('Calculations PJ'!AR198&lt;&gt;0,'Calculations PJ'!AR198*About!$B$45,0)</f>
        <v>9478671380.8262463</v>
      </c>
      <c r="AS198">
        <f>IF('Calculations PJ'!AS198&lt;&gt;0,'Calculations PJ'!AS198*About!$B$45,0)</f>
        <v>9478671380.8262463</v>
      </c>
      <c r="AT198">
        <f>IF('Calculations PJ'!AT198&lt;&gt;0,'Calculations PJ'!AT198*About!$B$45,0)</f>
        <v>9478671380.8262463</v>
      </c>
      <c r="AU198">
        <f>IF('Calculations PJ'!AU198&lt;&gt;0,'Calculations PJ'!AU198*About!$B$45,0)</f>
        <v>9478671380.8262463</v>
      </c>
      <c r="AV198">
        <f>IF('Calculations PJ'!AV198&lt;&gt;0,'Calculations PJ'!AV198*About!$B$45,0)</f>
        <v>9478671380.8262463</v>
      </c>
      <c r="AW198">
        <f>IF('Calculations PJ'!AW198&lt;&gt;0,'Calculations PJ'!AW198*About!$B$45,0)</f>
        <v>9478671380.8262463</v>
      </c>
      <c r="AX198">
        <f>IF('Calculations PJ'!AX198&lt;&gt;0,'Calculations PJ'!AX198*About!$B$45,0)</f>
        <v>9478671380.8262463</v>
      </c>
      <c r="AY198">
        <f>IF('Calculations PJ'!AY198&lt;&gt;0,'Calculations PJ'!AY198*About!$B$45,0)</f>
        <v>9478671380.8262463</v>
      </c>
      <c r="AZ198">
        <f>IF('Calculations PJ'!AZ198&lt;&gt;0,'Calculations PJ'!AZ198*About!$B$45,0)</f>
        <v>9478671380.8262463</v>
      </c>
      <c r="BA198">
        <f>IF('Calculations PJ'!BA198&lt;&gt;0,'Calculations PJ'!BA198*About!$B$45,0)</f>
        <v>9478671380.8262463</v>
      </c>
      <c r="BB198">
        <f>IF('Calculations PJ'!BB198&lt;&gt;0,'Calculations PJ'!BB198*About!$B$45,0)</f>
        <v>9478671380.8262463</v>
      </c>
      <c r="BC198">
        <f>IF('Calculations PJ'!BC198&lt;&gt;0,'Calculations PJ'!BC198*About!$B$45,0)</f>
        <v>9478671380.8262463</v>
      </c>
      <c r="BD198">
        <f>IF('Calculations PJ'!BD198&lt;&gt;0,'Calculations PJ'!BD198*About!$B$45,0)</f>
        <v>9478671380.8262463</v>
      </c>
      <c r="BE198">
        <f>IF('Calculations PJ'!BE198&lt;&gt;0,'Calculations PJ'!BE198*About!$B$45,0)</f>
        <v>9478671380.8262463</v>
      </c>
      <c r="BF198">
        <f>IF('Calculations PJ'!BF198&lt;&gt;0,'Calculations PJ'!BF198*About!$B$45,0)</f>
        <v>9478671380.8262463</v>
      </c>
      <c r="BG198">
        <f>IF('Calculations PJ'!BG198&lt;&gt;0,'Calculations PJ'!BG198*About!$B$45,0)</f>
        <v>9478671380.8262463</v>
      </c>
      <c r="BH198">
        <f>IF('Calculations PJ'!BH198&lt;&gt;0,'Calculations PJ'!BH198*About!$B$45,0)</f>
        <v>9478671380.8262463</v>
      </c>
    </row>
    <row r="199" spans="2:60" outlineLevel="1">
      <c r="B199" t="s">
        <v>140</v>
      </c>
      <c r="C199">
        <f>IF('Calculations PJ'!C199&lt;&gt;0,'Calculations PJ'!C199*About!$B$45,0)</f>
        <v>0</v>
      </c>
      <c r="D199">
        <f>IF('Calculations PJ'!D199&lt;&gt;0,'Calculations PJ'!D199*About!$B$45,0)</f>
        <v>0</v>
      </c>
      <c r="E199">
        <f>IF('Calculations PJ'!E199&lt;&gt;0,'Calculations PJ'!E199*About!$B$45,0)</f>
        <v>0</v>
      </c>
      <c r="F199">
        <f>IF('Calculations PJ'!F199&lt;&gt;0,'Calculations PJ'!F199*About!$B$45,0)</f>
        <v>0</v>
      </c>
      <c r="G199">
        <f>IF('Calculations PJ'!G199&lt;&gt;0,'Calculations PJ'!G199*About!$B$45,0)</f>
        <v>0</v>
      </c>
      <c r="H199">
        <f>IF('Calculations PJ'!H199&lt;&gt;0,'Calculations PJ'!H199*About!$B$45,0)</f>
        <v>0</v>
      </c>
      <c r="I199">
        <f>IF('Calculations PJ'!I199&lt;&gt;0,'Calculations PJ'!I199*About!$B$45,0)</f>
        <v>0</v>
      </c>
      <c r="J199">
        <f>IF('Calculations PJ'!J199&lt;&gt;0,'Calculations PJ'!J199*About!$B$45,0)</f>
        <v>0</v>
      </c>
      <c r="K199">
        <f>IF('Calculations PJ'!K199&lt;&gt;0,'Calculations PJ'!K199*About!$B$45,0)</f>
        <v>0</v>
      </c>
      <c r="L199">
        <f>IF('Calculations PJ'!L199&lt;&gt;0,'Calculations PJ'!L199*About!$B$45,0)</f>
        <v>0</v>
      </c>
      <c r="M199">
        <f>IF('Calculations PJ'!M199&lt;&gt;0,'Calculations PJ'!M199*About!$B$45,0)</f>
        <v>0</v>
      </c>
      <c r="N199">
        <f>IF('Calculations PJ'!N199&lt;&gt;0,'Calculations PJ'!N199*About!$B$45,0)</f>
        <v>0</v>
      </c>
      <c r="O199">
        <f>IF('Calculations PJ'!O199&lt;&gt;0,'Calculations PJ'!O199*About!$B$45,0)</f>
        <v>0</v>
      </c>
      <c r="P199">
        <f>IF('Calculations PJ'!P199&lt;&gt;0,'Calculations PJ'!P199*About!$B$45,0)</f>
        <v>0</v>
      </c>
      <c r="Q199">
        <f>IF('Calculations PJ'!Q199&lt;&gt;0,'Calculations PJ'!Q199*About!$B$45,0)</f>
        <v>0</v>
      </c>
      <c r="R199">
        <f>IF('Calculations PJ'!R199&lt;&gt;0,'Calculations PJ'!R199*About!$B$45,0)</f>
        <v>0</v>
      </c>
      <c r="S199">
        <f>IF('Calculations PJ'!S199&lt;&gt;0,'Calculations PJ'!S199*About!$B$45,0)</f>
        <v>0</v>
      </c>
      <c r="T199">
        <f>IF('Calculations PJ'!T199&lt;&gt;0,'Calculations PJ'!T199*About!$B$45,0)</f>
        <v>0</v>
      </c>
      <c r="U199">
        <f>IF('Calculations PJ'!U199&lt;&gt;0,'Calculations PJ'!U199*About!$B$45,0)</f>
        <v>0</v>
      </c>
      <c r="V199">
        <f>IF('Calculations PJ'!V199&lt;&gt;0,'Calculations PJ'!V199*About!$B$45,0)</f>
        <v>0</v>
      </c>
      <c r="W199">
        <f>IF('Calculations PJ'!W199&lt;&gt;0,'Calculations PJ'!W199*About!$B$45,0)</f>
        <v>0</v>
      </c>
      <c r="X199">
        <f>IF('Calculations PJ'!X199&lt;&gt;0,'Calculations PJ'!X199*About!$B$45,0)</f>
        <v>0</v>
      </c>
      <c r="Y199">
        <f>IF('Calculations PJ'!Y199&lt;&gt;0,'Calculations PJ'!Y199*About!$B$45,0)</f>
        <v>0</v>
      </c>
      <c r="Z199">
        <f>IF('Calculations PJ'!Z199&lt;&gt;0,'Calculations PJ'!Z199*About!$B$45,0)</f>
        <v>0</v>
      </c>
      <c r="AA199">
        <f>IF('Calculations PJ'!AA199&lt;&gt;0,'Calculations PJ'!AA199*About!$B$45,0)</f>
        <v>0</v>
      </c>
      <c r="AB199">
        <f>IF('Calculations PJ'!AB199&lt;&gt;0,'Calculations PJ'!AB199*About!$B$45,0)</f>
        <v>0</v>
      </c>
      <c r="AC199">
        <f>IF('Calculations PJ'!AC199&lt;&gt;0,'Calculations PJ'!AC199*About!$B$45,0)</f>
        <v>0</v>
      </c>
      <c r="AD199">
        <f>IF('Calculations PJ'!AD199&lt;&gt;0,'Calculations PJ'!AD199*About!$B$45,0)</f>
        <v>0</v>
      </c>
      <c r="AE199">
        <f>IF('Calculations PJ'!AE199&lt;&gt;0,'Calculations PJ'!AE199*About!$B$45,0)</f>
        <v>0</v>
      </c>
      <c r="AF199">
        <f>IF('Calculations PJ'!AF199&lt;&gt;0,'Calculations PJ'!AF199*About!$B$45,0)</f>
        <v>0</v>
      </c>
      <c r="AG199">
        <f>IF('Calculations PJ'!AG199&lt;&gt;0,'Calculations PJ'!AG199*About!$B$45,0)</f>
        <v>0</v>
      </c>
      <c r="AH199">
        <f>IF('Calculations PJ'!AH199&lt;&gt;0,'Calculations PJ'!AH199*About!$B$45,0)</f>
        <v>0</v>
      </c>
      <c r="AI199">
        <f>IF('Calculations PJ'!AI199&lt;&gt;0,'Calculations PJ'!AI199*About!$B$45,0)</f>
        <v>0</v>
      </c>
      <c r="AJ199">
        <f>IF('Calculations PJ'!AJ199&lt;&gt;0,'Calculations PJ'!AJ199*About!$B$45,0)</f>
        <v>0</v>
      </c>
      <c r="AK199">
        <f>IF('Calculations PJ'!AK199&lt;&gt;0,'Calculations PJ'!AK199*About!$B$45,0)</f>
        <v>0</v>
      </c>
      <c r="AL199">
        <f>IF('Calculations PJ'!AL199&lt;&gt;0,'Calculations PJ'!AL199*About!$B$45,0)</f>
        <v>0</v>
      </c>
      <c r="AM199">
        <f>IF('Calculations PJ'!AM199&lt;&gt;0,'Calculations PJ'!AM199*About!$B$45,0)</f>
        <v>0</v>
      </c>
      <c r="AN199">
        <f>IF('Calculations PJ'!AN199&lt;&gt;0,'Calculations PJ'!AN199*About!$B$45,0)</f>
        <v>0</v>
      </c>
      <c r="AO199">
        <f>IF('Calculations PJ'!AO199&lt;&gt;0,'Calculations PJ'!AO199*About!$B$45,0)</f>
        <v>0</v>
      </c>
      <c r="AP199">
        <f>IF('Calculations PJ'!AP199&lt;&gt;0,'Calculations PJ'!AP199*About!$B$45,0)</f>
        <v>0</v>
      </c>
      <c r="AQ199">
        <f>IF('Calculations PJ'!AQ199&lt;&gt;0,'Calculations PJ'!AQ199*About!$B$45,0)</f>
        <v>0</v>
      </c>
      <c r="AR199">
        <f>IF('Calculations PJ'!AR199&lt;&gt;0,'Calculations PJ'!AR199*About!$B$45,0)</f>
        <v>0</v>
      </c>
      <c r="AS199">
        <f>IF('Calculations PJ'!AS199&lt;&gt;0,'Calculations PJ'!AS199*About!$B$45,0)</f>
        <v>0</v>
      </c>
      <c r="AT199">
        <f>IF('Calculations PJ'!AT199&lt;&gt;0,'Calculations PJ'!AT199*About!$B$45,0)</f>
        <v>0</v>
      </c>
      <c r="AU199">
        <f>IF('Calculations PJ'!AU199&lt;&gt;0,'Calculations PJ'!AU199*About!$B$45,0)</f>
        <v>0</v>
      </c>
      <c r="AV199">
        <f>IF('Calculations PJ'!AV199&lt;&gt;0,'Calculations PJ'!AV199*About!$B$45,0)</f>
        <v>0</v>
      </c>
      <c r="AW199">
        <f>IF('Calculations PJ'!AW199&lt;&gt;0,'Calculations PJ'!AW199*About!$B$45,0)</f>
        <v>0</v>
      </c>
      <c r="AX199">
        <f>IF('Calculations PJ'!AX199&lt;&gt;0,'Calculations PJ'!AX199*About!$B$45,0)</f>
        <v>0</v>
      </c>
      <c r="AY199">
        <f>IF('Calculations PJ'!AY199&lt;&gt;0,'Calculations PJ'!AY199*About!$B$45,0)</f>
        <v>0</v>
      </c>
      <c r="AZ199">
        <f>IF('Calculations PJ'!AZ199&lt;&gt;0,'Calculations PJ'!AZ199*About!$B$45,0)</f>
        <v>0</v>
      </c>
      <c r="BA199">
        <f>IF('Calculations PJ'!BA199&lt;&gt;0,'Calculations PJ'!BA199*About!$B$45,0)</f>
        <v>0</v>
      </c>
      <c r="BB199">
        <f>IF('Calculations PJ'!BB199&lt;&gt;0,'Calculations PJ'!BB199*About!$B$45,0)</f>
        <v>0</v>
      </c>
      <c r="BC199">
        <f>IF('Calculations PJ'!BC199&lt;&gt;0,'Calculations PJ'!BC199*About!$B$45,0)</f>
        <v>0</v>
      </c>
      <c r="BD199">
        <f>IF('Calculations PJ'!BD199&lt;&gt;0,'Calculations PJ'!BD199*About!$B$45,0)</f>
        <v>0</v>
      </c>
      <c r="BE199">
        <f>IF('Calculations PJ'!BE199&lt;&gt;0,'Calculations PJ'!BE199*About!$B$45,0)</f>
        <v>0</v>
      </c>
      <c r="BF199">
        <f>IF('Calculations PJ'!BF199&lt;&gt;0,'Calculations PJ'!BF199*About!$B$45,0)</f>
        <v>0</v>
      </c>
      <c r="BG199">
        <f>IF('Calculations PJ'!BG199&lt;&gt;0,'Calculations PJ'!BG199*About!$B$45,0)</f>
        <v>0</v>
      </c>
      <c r="BH199">
        <f>IF('Calculations PJ'!BH199&lt;&gt;0,'Calculations PJ'!BH199*About!$B$45,0)</f>
        <v>0</v>
      </c>
    </row>
    <row r="200" spans="2:60" outlineLevel="1">
      <c r="B200" t="s">
        <v>141</v>
      </c>
      <c r="C200">
        <f>IF('Calculations PJ'!C200&lt;&gt;0,'Calculations PJ'!C200*About!$B$45,0)</f>
        <v>0</v>
      </c>
      <c r="D200">
        <f>IF('Calculations PJ'!D200&lt;&gt;0,'Calculations PJ'!D200*About!$B$45,0)</f>
        <v>0</v>
      </c>
      <c r="E200">
        <f>IF('Calculations PJ'!E200&lt;&gt;0,'Calculations PJ'!E200*About!$B$45,0)</f>
        <v>0</v>
      </c>
      <c r="F200">
        <f>IF('Calculations PJ'!F200&lt;&gt;0,'Calculations PJ'!F200*About!$B$45,0)</f>
        <v>0</v>
      </c>
      <c r="G200">
        <f>IF('Calculations PJ'!G200&lt;&gt;0,'Calculations PJ'!G200*About!$B$45,0)</f>
        <v>0</v>
      </c>
      <c r="H200">
        <f>IF('Calculations PJ'!H200&lt;&gt;0,'Calculations PJ'!H200*About!$B$45,0)</f>
        <v>0</v>
      </c>
      <c r="I200">
        <f>IF('Calculations PJ'!I200&lt;&gt;0,'Calculations PJ'!I200*About!$B$45,0)</f>
        <v>0</v>
      </c>
      <c r="J200">
        <f>IF('Calculations PJ'!J200&lt;&gt;0,'Calculations PJ'!J200*About!$B$45,0)</f>
        <v>0</v>
      </c>
      <c r="K200">
        <f>IF('Calculations PJ'!K200&lt;&gt;0,'Calculations PJ'!K200*About!$B$45,0)</f>
        <v>0</v>
      </c>
      <c r="L200">
        <f>IF('Calculations PJ'!L200&lt;&gt;0,'Calculations PJ'!L200*About!$B$45,0)</f>
        <v>0</v>
      </c>
      <c r="M200">
        <f>IF('Calculations PJ'!M200&lt;&gt;0,'Calculations PJ'!M200*About!$B$45,0)</f>
        <v>0</v>
      </c>
      <c r="N200">
        <f>IF('Calculations PJ'!N200&lt;&gt;0,'Calculations PJ'!N200*About!$B$45,0)</f>
        <v>0</v>
      </c>
      <c r="O200">
        <f>IF('Calculations PJ'!O200&lt;&gt;0,'Calculations PJ'!O200*About!$B$45,0)</f>
        <v>0</v>
      </c>
      <c r="P200">
        <f>IF('Calculations PJ'!P200&lt;&gt;0,'Calculations PJ'!P200*About!$B$45,0)</f>
        <v>0</v>
      </c>
      <c r="Q200">
        <f>IF('Calculations PJ'!Q200&lt;&gt;0,'Calculations PJ'!Q200*About!$B$45,0)</f>
        <v>0</v>
      </c>
      <c r="R200">
        <f>IF('Calculations PJ'!R200&lt;&gt;0,'Calculations PJ'!R200*About!$B$45,0)</f>
        <v>0</v>
      </c>
      <c r="S200">
        <f>IF('Calculations PJ'!S200&lt;&gt;0,'Calculations PJ'!S200*About!$B$45,0)</f>
        <v>0</v>
      </c>
      <c r="T200">
        <f>IF('Calculations PJ'!T200&lt;&gt;0,'Calculations PJ'!T200*About!$B$45,0)</f>
        <v>0</v>
      </c>
      <c r="U200">
        <f>IF('Calculations PJ'!U200&lt;&gt;0,'Calculations PJ'!U200*About!$B$45,0)</f>
        <v>0</v>
      </c>
      <c r="V200">
        <f>IF('Calculations PJ'!V200&lt;&gt;0,'Calculations PJ'!V200*About!$B$45,0)</f>
        <v>0</v>
      </c>
      <c r="W200">
        <f>IF('Calculations PJ'!W200&lt;&gt;0,'Calculations PJ'!W200*About!$B$45,0)</f>
        <v>0</v>
      </c>
      <c r="X200">
        <f>IF('Calculations PJ'!X200&lt;&gt;0,'Calculations PJ'!X200*About!$B$45,0)</f>
        <v>0</v>
      </c>
      <c r="Y200">
        <f>IF('Calculations PJ'!Y200&lt;&gt;0,'Calculations PJ'!Y200*About!$B$45,0)</f>
        <v>0</v>
      </c>
      <c r="Z200">
        <f>IF('Calculations PJ'!Z200&lt;&gt;0,'Calculations PJ'!Z200*About!$B$45,0)</f>
        <v>0</v>
      </c>
      <c r="AA200">
        <f>IF('Calculations PJ'!AA200&lt;&gt;0,'Calculations PJ'!AA200*About!$B$45,0)</f>
        <v>0</v>
      </c>
      <c r="AB200">
        <f>IF('Calculations PJ'!AB200&lt;&gt;0,'Calculations PJ'!AB200*About!$B$45,0)</f>
        <v>0</v>
      </c>
      <c r="AC200">
        <f>IF('Calculations PJ'!AC200&lt;&gt;0,'Calculations PJ'!AC200*About!$B$45,0)</f>
        <v>0</v>
      </c>
      <c r="AD200">
        <f>IF('Calculations PJ'!AD200&lt;&gt;0,'Calculations PJ'!AD200*About!$B$45,0)</f>
        <v>0</v>
      </c>
      <c r="AE200">
        <f>IF('Calculations PJ'!AE200&lt;&gt;0,'Calculations PJ'!AE200*About!$B$45,0)</f>
        <v>0</v>
      </c>
      <c r="AF200">
        <f>IF('Calculations PJ'!AF200&lt;&gt;0,'Calculations PJ'!AF200*About!$B$45,0)</f>
        <v>0</v>
      </c>
      <c r="AG200">
        <f>IF('Calculations PJ'!AG200&lt;&gt;0,'Calculations PJ'!AG200*About!$B$45,0)</f>
        <v>0</v>
      </c>
      <c r="AH200">
        <f>IF('Calculations PJ'!AH200&lt;&gt;0,'Calculations PJ'!AH200*About!$B$45,0)</f>
        <v>0</v>
      </c>
      <c r="AI200">
        <f>IF('Calculations PJ'!AI200&lt;&gt;0,'Calculations PJ'!AI200*About!$B$45,0)</f>
        <v>0</v>
      </c>
      <c r="AJ200">
        <f>IF('Calculations PJ'!AJ200&lt;&gt;0,'Calculations PJ'!AJ200*About!$B$45,0)</f>
        <v>0</v>
      </c>
      <c r="AK200">
        <f>IF('Calculations PJ'!AK200&lt;&gt;0,'Calculations PJ'!AK200*About!$B$45,0)</f>
        <v>0</v>
      </c>
      <c r="AL200">
        <f>IF('Calculations PJ'!AL200&lt;&gt;0,'Calculations PJ'!AL200*About!$B$45,0)</f>
        <v>0</v>
      </c>
      <c r="AM200">
        <f>IF('Calculations PJ'!AM200&lt;&gt;0,'Calculations PJ'!AM200*About!$B$45,0)</f>
        <v>0</v>
      </c>
      <c r="AN200">
        <f>IF('Calculations PJ'!AN200&lt;&gt;0,'Calculations PJ'!AN200*About!$B$45,0)</f>
        <v>0</v>
      </c>
      <c r="AO200">
        <f>IF('Calculations PJ'!AO200&lt;&gt;0,'Calculations PJ'!AO200*About!$B$45,0)</f>
        <v>0</v>
      </c>
      <c r="AP200">
        <f>IF('Calculations PJ'!AP200&lt;&gt;0,'Calculations PJ'!AP200*About!$B$45,0)</f>
        <v>0</v>
      </c>
      <c r="AQ200">
        <f>IF('Calculations PJ'!AQ200&lt;&gt;0,'Calculations PJ'!AQ200*About!$B$45,0)</f>
        <v>0</v>
      </c>
      <c r="AR200">
        <f>IF('Calculations PJ'!AR200&lt;&gt;0,'Calculations PJ'!AR200*About!$B$45,0)</f>
        <v>0</v>
      </c>
      <c r="AS200">
        <f>IF('Calculations PJ'!AS200&lt;&gt;0,'Calculations PJ'!AS200*About!$B$45,0)</f>
        <v>0</v>
      </c>
      <c r="AT200">
        <f>IF('Calculations PJ'!AT200&lt;&gt;0,'Calculations PJ'!AT200*About!$B$45,0)</f>
        <v>0</v>
      </c>
      <c r="AU200">
        <f>IF('Calculations PJ'!AU200&lt;&gt;0,'Calculations PJ'!AU200*About!$B$45,0)</f>
        <v>0</v>
      </c>
      <c r="AV200">
        <f>IF('Calculations PJ'!AV200&lt;&gt;0,'Calculations PJ'!AV200*About!$B$45,0)</f>
        <v>0</v>
      </c>
      <c r="AW200">
        <f>IF('Calculations PJ'!AW200&lt;&gt;0,'Calculations PJ'!AW200*About!$B$45,0)</f>
        <v>0</v>
      </c>
      <c r="AX200">
        <f>IF('Calculations PJ'!AX200&lt;&gt;0,'Calculations PJ'!AX200*About!$B$45,0)</f>
        <v>0</v>
      </c>
      <c r="AY200">
        <f>IF('Calculations PJ'!AY200&lt;&gt;0,'Calculations PJ'!AY200*About!$B$45,0)</f>
        <v>0</v>
      </c>
      <c r="AZ200">
        <f>IF('Calculations PJ'!AZ200&lt;&gt;0,'Calculations PJ'!AZ200*About!$B$45,0)</f>
        <v>0</v>
      </c>
      <c r="BA200">
        <f>IF('Calculations PJ'!BA200&lt;&gt;0,'Calculations PJ'!BA200*About!$B$45,0)</f>
        <v>0</v>
      </c>
      <c r="BB200">
        <f>IF('Calculations PJ'!BB200&lt;&gt;0,'Calculations PJ'!BB200*About!$B$45,0)</f>
        <v>0</v>
      </c>
      <c r="BC200">
        <f>IF('Calculations PJ'!BC200&lt;&gt;0,'Calculations PJ'!BC200*About!$B$45,0)</f>
        <v>0</v>
      </c>
      <c r="BD200">
        <f>IF('Calculations PJ'!BD200&lt;&gt;0,'Calculations PJ'!BD200*About!$B$45,0)</f>
        <v>0</v>
      </c>
      <c r="BE200">
        <f>IF('Calculations PJ'!BE200&lt;&gt;0,'Calculations PJ'!BE200*About!$B$45,0)</f>
        <v>0</v>
      </c>
      <c r="BF200">
        <f>IF('Calculations PJ'!BF200&lt;&gt;0,'Calculations PJ'!BF200*About!$B$45,0)</f>
        <v>0</v>
      </c>
      <c r="BG200">
        <f>IF('Calculations PJ'!BG200&lt;&gt;0,'Calculations PJ'!BG200*About!$B$45,0)</f>
        <v>0</v>
      </c>
      <c r="BH200">
        <f>IF('Calculations PJ'!BH200&lt;&gt;0,'Calculations PJ'!BH200*About!$B$45,0)</f>
        <v>0</v>
      </c>
    </row>
    <row r="201" spans="2:60" outlineLevel="1">
      <c r="B201" t="s">
        <v>142</v>
      </c>
      <c r="C201">
        <f>IF('Calculations PJ'!C201&lt;&gt;0,'Calculations PJ'!C201*About!$B$45,0)</f>
        <v>0</v>
      </c>
      <c r="D201">
        <f>IF('Calculations PJ'!D201&lt;&gt;0,'Calculations PJ'!D201*About!$B$45,0)</f>
        <v>0</v>
      </c>
      <c r="E201">
        <f>IF('Calculations PJ'!E201&lt;&gt;0,'Calculations PJ'!E201*About!$B$45,0)</f>
        <v>0</v>
      </c>
      <c r="F201">
        <f>IF('Calculations PJ'!F201&lt;&gt;0,'Calculations PJ'!F201*About!$B$45,0)</f>
        <v>0</v>
      </c>
      <c r="G201">
        <f>IF('Calculations PJ'!G201&lt;&gt;0,'Calculations PJ'!G201*About!$B$45,0)</f>
        <v>0</v>
      </c>
      <c r="H201">
        <f>IF('Calculations PJ'!H201&lt;&gt;0,'Calculations PJ'!H201*About!$B$45,0)</f>
        <v>0</v>
      </c>
      <c r="I201">
        <f>IF('Calculations PJ'!I201&lt;&gt;0,'Calculations PJ'!I201*About!$B$45,0)</f>
        <v>0</v>
      </c>
      <c r="J201">
        <f>IF('Calculations PJ'!J201&lt;&gt;0,'Calculations PJ'!J201*About!$B$45,0)</f>
        <v>0</v>
      </c>
      <c r="K201">
        <f>IF('Calculations PJ'!K201&lt;&gt;0,'Calculations PJ'!K201*About!$B$45,0)</f>
        <v>0</v>
      </c>
      <c r="L201">
        <f>IF('Calculations PJ'!L201&lt;&gt;0,'Calculations PJ'!L201*About!$B$45,0)</f>
        <v>0</v>
      </c>
      <c r="M201">
        <f>IF('Calculations PJ'!M201&lt;&gt;0,'Calculations PJ'!M201*About!$B$45,0)</f>
        <v>0</v>
      </c>
      <c r="N201">
        <f>IF('Calculations PJ'!N201&lt;&gt;0,'Calculations PJ'!N201*About!$B$45,0)</f>
        <v>0</v>
      </c>
      <c r="O201">
        <f>IF('Calculations PJ'!O201&lt;&gt;0,'Calculations PJ'!O201*About!$B$45,0)</f>
        <v>0</v>
      </c>
      <c r="P201">
        <f>IF('Calculations PJ'!P201&lt;&gt;0,'Calculations PJ'!P201*About!$B$45,0)</f>
        <v>0</v>
      </c>
      <c r="Q201">
        <f>IF('Calculations PJ'!Q201&lt;&gt;0,'Calculations PJ'!Q201*About!$B$45,0)</f>
        <v>0</v>
      </c>
      <c r="R201">
        <f>IF('Calculations PJ'!R201&lt;&gt;0,'Calculations PJ'!R201*About!$B$45,0)</f>
        <v>0</v>
      </c>
      <c r="S201">
        <f>IF('Calculations PJ'!S201&lt;&gt;0,'Calculations PJ'!S201*About!$B$45,0)</f>
        <v>0</v>
      </c>
      <c r="T201">
        <f>IF('Calculations PJ'!T201&lt;&gt;0,'Calculations PJ'!T201*About!$B$45,0)</f>
        <v>0</v>
      </c>
      <c r="U201">
        <f>IF('Calculations PJ'!U201&lt;&gt;0,'Calculations PJ'!U201*About!$B$45,0)</f>
        <v>0</v>
      </c>
      <c r="V201">
        <f>IF('Calculations PJ'!V201&lt;&gt;0,'Calculations PJ'!V201*About!$B$45,0)</f>
        <v>0</v>
      </c>
      <c r="W201">
        <f>IF('Calculations PJ'!W201&lt;&gt;0,'Calculations PJ'!W201*About!$B$45,0)</f>
        <v>0</v>
      </c>
      <c r="X201">
        <f>IF('Calculations PJ'!X201&lt;&gt;0,'Calculations PJ'!X201*About!$B$45,0)</f>
        <v>0</v>
      </c>
      <c r="Y201">
        <f>IF('Calculations PJ'!Y201&lt;&gt;0,'Calculations PJ'!Y201*About!$B$45,0)</f>
        <v>0</v>
      </c>
      <c r="Z201">
        <f>IF('Calculations PJ'!Z201&lt;&gt;0,'Calculations PJ'!Z201*About!$B$45,0)</f>
        <v>0</v>
      </c>
      <c r="AA201">
        <f>IF('Calculations PJ'!AA201&lt;&gt;0,'Calculations PJ'!AA201*About!$B$45,0)</f>
        <v>0</v>
      </c>
      <c r="AB201">
        <f>IF('Calculations PJ'!AB201&lt;&gt;0,'Calculations PJ'!AB201*About!$B$45,0)</f>
        <v>0</v>
      </c>
      <c r="AC201">
        <f>IF('Calculations PJ'!AC201&lt;&gt;0,'Calculations PJ'!AC201*About!$B$45,0)</f>
        <v>0</v>
      </c>
      <c r="AD201">
        <f>IF('Calculations PJ'!AD201&lt;&gt;0,'Calculations PJ'!AD201*About!$B$45,0)</f>
        <v>0</v>
      </c>
      <c r="AE201">
        <f>IF('Calculations PJ'!AE201&lt;&gt;0,'Calculations PJ'!AE201*About!$B$45,0)</f>
        <v>0</v>
      </c>
      <c r="AF201">
        <f>IF('Calculations PJ'!AF201&lt;&gt;0,'Calculations PJ'!AF201*About!$B$45,0)</f>
        <v>0</v>
      </c>
      <c r="AG201">
        <f>IF('Calculations PJ'!AG201&lt;&gt;0,'Calculations PJ'!AG201*About!$B$45,0)</f>
        <v>0</v>
      </c>
      <c r="AH201">
        <f>IF('Calculations PJ'!AH201&lt;&gt;0,'Calculations PJ'!AH201*About!$B$45,0)</f>
        <v>0</v>
      </c>
      <c r="AI201">
        <f>IF('Calculations PJ'!AI201&lt;&gt;0,'Calculations PJ'!AI201*About!$B$45,0)</f>
        <v>0</v>
      </c>
      <c r="AJ201">
        <f>IF('Calculations PJ'!AJ201&lt;&gt;0,'Calculations PJ'!AJ201*About!$B$45,0)</f>
        <v>0</v>
      </c>
      <c r="AK201">
        <f>IF('Calculations PJ'!AK201&lt;&gt;0,'Calculations PJ'!AK201*About!$B$45,0)</f>
        <v>0</v>
      </c>
      <c r="AL201">
        <f>IF('Calculations PJ'!AL201&lt;&gt;0,'Calculations PJ'!AL201*About!$B$45,0)</f>
        <v>0</v>
      </c>
      <c r="AM201">
        <f>IF('Calculations PJ'!AM201&lt;&gt;0,'Calculations PJ'!AM201*About!$B$45,0)</f>
        <v>0</v>
      </c>
      <c r="AN201">
        <f>IF('Calculations PJ'!AN201&lt;&gt;0,'Calculations PJ'!AN201*About!$B$45,0)</f>
        <v>0</v>
      </c>
      <c r="AO201">
        <f>IF('Calculations PJ'!AO201&lt;&gt;0,'Calculations PJ'!AO201*About!$B$45,0)</f>
        <v>0</v>
      </c>
      <c r="AP201">
        <f>IF('Calculations PJ'!AP201&lt;&gt;0,'Calculations PJ'!AP201*About!$B$45,0)</f>
        <v>0</v>
      </c>
      <c r="AQ201">
        <f>IF('Calculations PJ'!AQ201&lt;&gt;0,'Calculations PJ'!AQ201*About!$B$45,0)</f>
        <v>0</v>
      </c>
      <c r="AR201">
        <f>IF('Calculations PJ'!AR201&lt;&gt;0,'Calculations PJ'!AR201*About!$B$45,0)</f>
        <v>0</v>
      </c>
      <c r="AS201">
        <f>IF('Calculations PJ'!AS201&lt;&gt;0,'Calculations PJ'!AS201*About!$B$45,0)</f>
        <v>0</v>
      </c>
      <c r="AT201">
        <f>IF('Calculations PJ'!AT201&lt;&gt;0,'Calculations PJ'!AT201*About!$B$45,0)</f>
        <v>0</v>
      </c>
      <c r="AU201">
        <f>IF('Calculations PJ'!AU201&lt;&gt;0,'Calculations PJ'!AU201*About!$B$45,0)</f>
        <v>0</v>
      </c>
      <c r="AV201">
        <f>IF('Calculations PJ'!AV201&lt;&gt;0,'Calculations PJ'!AV201*About!$B$45,0)</f>
        <v>0</v>
      </c>
      <c r="AW201">
        <f>IF('Calculations PJ'!AW201&lt;&gt;0,'Calculations PJ'!AW201*About!$B$45,0)</f>
        <v>0</v>
      </c>
      <c r="AX201">
        <f>IF('Calculations PJ'!AX201&lt;&gt;0,'Calculations PJ'!AX201*About!$B$45,0)</f>
        <v>0</v>
      </c>
      <c r="AY201">
        <f>IF('Calculations PJ'!AY201&lt;&gt;0,'Calculations PJ'!AY201*About!$B$45,0)</f>
        <v>0</v>
      </c>
      <c r="AZ201">
        <f>IF('Calculations PJ'!AZ201&lt;&gt;0,'Calculations PJ'!AZ201*About!$B$45,0)</f>
        <v>0</v>
      </c>
      <c r="BA201">
        <f>IF('Calculations PJ'!BA201&lt;&gt;0,'Calculations PJ'!BA201*About!$B$45,0)</f>
        <v>0</v>
      </c>
      <c r="BB201">
        <f>IF('Calculations PJ'!BB201&lt;&gt;0,'Calculations PJ'!BB201*About!$B$45,0)</f>
        <v>0</v>
      </c>
      <c r="BC201">
        <f>IF('Calculations PJ'!BC201&lt;&gt;0,'Calculations PJ'!BC201*About!$B$45,0)</f>
        <v>0</v>
      </c>
      <c r="BD201">
        <f>IF('Calculations PJ'!BD201&lt;&gt;0,'Calculations PJ'!BD201*About!$B$45,0)</f>
        <v>0</v>
      </c>
      <c r="BE201">
        <f>IF('Calculations PJ'!BE201&lt;&gt;0,'Calculations PJ'!BE201*About!$B$45,0)</f>
        <v>0</v>
      </c>
      <c r="BF201">
        <f>IF('Calculations PJ'!BF201&lt;&gt;0,'Calculations PJ'!BF201*About!$B$45,0)</f>
        <v>0</v>
      </c>
      <c r="BG201">
        <f>IF('Calculations PJ'!BG201&lt;&gt;0,'Calculations PJ'!BG201*About!$B$45,0)</f>
        <v>0</v>
      </c>
      <c r="BH201">
        <f>IF('Calculations PJ'!BH201&lt;&gt;0,'Calculations PJ'!BH201*About!$B$45,0)</f>
        <v>0</v>
      </c>
    </row>
    <row r="202" spans="2:60" outlineLevel="1">
      <c r="B202" t="s">
        <v>143</v>
      </c>
      <c r="C202">
        <f>IF('Calculations PJ'!C202&lt;&gt;0,'Calculations PJ'!C202*About!$B$45,0)</f>
        <v>37914685523.304985</v>
      </c>
      <c r="D202">
        <f>IF('Calculations PJ'!D202&lt;&gt;0,'Calculations PJ'!D202*About!$B$45,0)</f>
        <v>37914685523.304985</v>
      </c>
      <c r="E202">
        <f>IF('Calculations PJ'!E202&lt;&gt;0,'Calculations PJ'!E202*About!$B$45,0)</f>
        <v>37914685523.304985</v>
      </c>
      <c r="F202">
        <f>IF('Calculations PJ'!F202&lt;&gt;0,'Calculations PJ'!F202*About!$B$45,0)</f>
        <v>47393356904.131226</v>
      </c>
      <c r="G202">
        <f>IF('Calculations PJ'!G202&lt;&gt;0,'Calculations PJ'!G202*About!$B$45,0)</f>
        <v>47393356904.131226</v>
      </c>
      <c r="H202">
        <f>IF('Calculations PJ'!H202&lt;&gt;0,'Calculations PJ'!H202*About!$B$45,0)</f>
        <v>47393356904.131226</v>
      </c>
      <c r="I202">
        <f>IF('Calculations PJ'!I202&lt;&gt;0,'Calculations PJ'!I202*About!$B$45,0)</f>
        <v>47393356904.131226</v>
      </c>
      <c r="J202">
        <f>IF('Calculations PJ'!J202&lt;&gt;0,'Calculations PJ'!J202*About!$B$45,0)</f>
        <v>47393356904.131226</v>
      </c>
      <c r="K202">
        <f>IF('Calculations PJ'!K202&lt;&gt;0,'Calculations PJ'!K202*About!$B$45,0)</f>
        <v>47393356904.131226</v>
      </c>
      <c r="L202">
        <f>IF('Calculations PJ'!L202&lt;&gt;0,'Calculations PJ'!L202*About!$B$45,0)</f>
        <v>47393356904.131226</v>
      </c>
      <c r="M202">
        <f>IF('Calculations PJ'!M202&lt;&gt;0,'Calculations PJ'!M202*About!$B$45,0)</f>
        <v>47393356904.131226</v>
      </c>
      <c r="N202">
        <f>IF('Calculations PJ'!N202&lt;&gt;0,'Calculations PJ'!N202*About!$B$45,0)</f>
        <v>47443424165.724846</v>
      </c>
      <c r="O202">
        <f>IF('Calculations PJ'!O202&lt;&gt;0,'Calculations PJ'!O202*About!$B$45,0)</f>
        <v>47492709126.356064</v>
      </c>
      <c r="P202">
        <f>IF('Calculations PJ'!P202&lt;&gt;0,'Calculations PJ'!P202*About!$B$45,0)</f>
        <v>47543558688.912079</v>
      </c>
      <c r="Q202">
        <f>IF('Calculations PJ'!Q202&lt;&gt;0,'Calculations PJ'!Q202*About!$B$45,0)</f>
        <v>47593625950.505692</v>
      </c>
      <c r="R202">
        <f>IF('Calculations PJ'!R202&lt;&gt;0,'Calculations PJ'!R202*About!$B$45,0)</f>
        <v>47642910911.136902</v>
      </c>
      <c r="S202">
        <f>IF('Calculations PJ'!S202&lt;&gt;0,'Calculations PJ'!S202*About!$B$45,0)</f>
        <v>47693760473.692932</v>
      </c>
      <c r="T202">
        <f>IF('Calculations PJ'!T202&lt;&gt;0,'Calculations PJ'!T202*About!$B$45,0)</f>
        <v>47743045434.324142</v>
      </c>
      <c r="U202">
        <f>IF('Calculations PJ'!U202&lt;&gt;0,'Calculations PJ'!U202*About!$B$45,0)</f>
        <v>47792330394.95536</v>
      </c>
      <c r="V202">
        <f>IF('Calculations PJ'!V202&lt;&gt;0,'Calculations PJ'!V202*About!$B$45,0)</f>
        <v>47843962258.473778</v>
      </c>
      <c r="W202">
        <f>IF('Calculations PJ'!W202&lt;&gt;0,'Calculations PJ'!W202*About!$B$45,0)</f>
        <v>47893247219.104996</v>
      </c>
      <c r="X202">
        <f>IF('Calculations PJ'!X202&lt;&gt;0,'Calculations PJ'!X202*About!$B$45,0)</f>
        <v>47757909152.609749</v>
      </c>
      <c r="Y202">
        <f>IF('Calculations PJ'!Y202&lt;&gt;0,'Calculations PJ'!Y202*About!$B$45,0)</f>
        <v>47372234778.146423</v>
      </c>
      <c r="Z202">
        <f>IF('Calculations PJ'!Z202&lt;&gt;0,'Calculations PJ'!Z202*About!$B$45,0)</f>
        <v>46985778102.720711</v>
      </c>
      <c r="AA202">
        <f>IF('Calculations PJ'!AA202&lt;&gt;0,'Calculations PJ'!AA202*About!$B$45,0)</f>
        <v>46600886029.219795</v>
      </c>
      <c r="AB202">
        <f>IF('Calculations PJ'!AB202&lt;&gt;0,'Calculations PJ'!AB202*About!$B$45,0)</f>
        <v>46215211654.756477</v>
      </c>
      <c r="AC202">
        <f>IF('Calculations PJ'!AC202&lt;&gt;0,'Calculations PJ'!AC202*About!$B$45,0)</f>
        <v>45827972678.368362</v>
      </c>
      <c r="AD202">
        <f>IF('Calculations PJ'!AD202&lt;&gt;0,'Calculations PJ'!AD202*About!$B$45,0)</f>
        <v>45443862905.829842</v>
      </c>
      <c r="AE202">
        <f>IF('Calculations PJ'!AE202&lt;&gt;0,'Calculations PJ'!AE202*About!$B$45,0)</f>
        <v>45058188531.366524</v>
      </c>
      <c r="AF202">
        <f>IF('Calculations PJ'!AF202&lt;&gt;0,'Calculations PJ'!AF202*About!$B$45,0)</f>
        <v>44671731855.940796</v>
      </c>
      <c r="AG202">
        <f>IF('Calculations PJ'!AG202&lt;&gt;0,'Calculations PJ'!AG202*About!$B$45,0)</f>
        <v>44286057481.477486</v>
      </c>
      <c r="AH202">
        <f>IF('Calculations PJ'!AH202&lt;&gt;0,'Calculations PJ'!AH202*About!$B$45,0)</f>
        <v>43901165407.976563</v>
      </c>
      <c r="AI202">
        <f>IF('Calculations PJ'!AI202&lt;&gt;0,'Calculations PJ'!AI202*About!$B$45,0)</f>
        <v>43514708732.55085</v>
      </c>
      <c r="AJ202">
        <f>IF('Calculations PJ'!AJ202&lt;&gt;0,'Calculations PJ'!AJ202*About!$B$45,0)</f>
        <v>43129034358.087524</v>
      </c>
      <c r="AK202">
        <f>IF('Calculations PJ'!AK202&lt;&gt;0,'Calculations PJ'!AK202*About!$B$45,0)</f>
        <v>42743359983.624207</v>
      </c>
      <c r="AL202">
        <f>IF('Calculations PJ'!AL202&lt;&gt;0,'Calculations PJ'!AL202*About!$B$45,0)</f>
        <v>42358467910.123291</v>
      </c>
      <c r="AM202">
        <f>IF('Calculations PJ'!AM202&lt;&gt;0,'Calculations PJ'!AM202*About!$B$45,0)</f>
        <v>41968099729.885574</v>
      </c>
      <c r="AN202">
        <f>IF('Calculations PJ'!AN202&lt;&gt;0,'Calculations PJ'!AN202*About!$B$45,0)</f>
        <v>41578513850.61026</v>
      </c>
      <c r="AO202">
        <f>IF('Calculations PJ'!AO202&lt;&gt;0,'Calculations PJ'!AO202*About!$B$45,0)</f>
        <v>41578513850.61026</v>
      </c>
      <c r="AP202">
        <f>IF('Calculations PJ'!AP202&lt;&gt;0,'Calculations PJ'!AP202*About!$B$45,0)</f>
        <v>41578513850.61026</v>
      </c>
      <c r="AQ202">
        <f>IF('Calculations PJ'!AQ202&lt;&gt;0,'Calculations PJ'!AQ202*About!$B$45,0)</f>
        <v>41578513850.61026</v>
      </c>
      <c r="AR202">
        <f>IF('Calculations PJ'!AR202&lt;&gt;0,'Calculations PJ'!AR202*About!$B$45,0)</f>
        <v>41578513850.61026</v>
      </c>
      <c r="AS202">
        <f>IF('Calculations PJ'!AS202&lt;&gt;0,'Calculations PJ'!AS202*About!$B$45,0)</f>
        <v>41578513850.61026</v>
      </c>
      <c r="AT202">
        <f>IF('Calculations PJ'!AT202&lt;&gt;0,'Calculations PJ'!AT202*About!$B$45,0)</f>
        <v>41578513850.61026</v>
      </c>
      <c r="AU202">
        <f>IF('Calculations PJ'!AU202&lt;&gt;0,'Calculations PJ'!AU202*About!$B$45,0)</f>
        <v>41578513850.61026</v>
      </c>
      <c r="AV202">
        <f>IF('Calculations PJ'!AV202&lt;&gt;0,'Calculations PJ'!AV202*About!$B$45,0)</f>
        <v>41578513850.61026</v>
      </c>
      <c r="AW202">
        <f>IF('Calculations PJ'!AW202&lt;&gt;0,'Calculations PJ'!AW202*About!$B$45,0)</f>
        <v>41578513850.61026</v>
      </c>
      <c r="AX202">
        <f>IF('Calculations PJ'!AX202&lt;&gt;0,'Calculations PJ'!AX202*About!$B$45,0)</f>
        <v>41578513850.61026</v>
      </c>
      <c r="AY202">
        <f>IF('Calculations PJ'!AY202&lt;&gt;0,'Calculations PJ'!AY202*About!$B$45,0)</f>
        <v>41578513850.61026</v>
      </c>
      <c r="AZ202">
        <f>IF('Calculations PJ'!AZ202&lt;&gt;0,'Calculations PJ'!AZ202*About!$B$45,0)</f>
        <v>41578513850.61026</v>
      </c>
      <c r="BA202">
        <f>IF('Calculations PJ'!BA202&lt;&gt;0,'Calculations PJ'!BA202*About!$B$45,0)</f>
        <v>41578513850.61026</v>
      </c>
      <c r="BB202">
        <f>IF('Calculations PJ'!BB202&lt;&gt;0,'Calculations PJ'!BB202*About!$B$45,0)</f>
        <v>41578513850.61026</v>
      </c>
      <c r="BC202">
        <f>IF('Calculations PJ'!BC202&lt;&gt;0,'Calculations PJ'!BC202*About!$B$45,0)</f>
        <v>41578513850.61026</v>
      </c>
      <c r="BD202">
        <f>IF('Calculations PJ'!BD202&lt;&gt;0,'Calculations PJ'!BD202*About!$B$45,0)</f>
        <v>41578513850.61026</v>
      </c>
      <c r="BE202">
        <f>IF('Calculations PJ'!BE202&lt;&gt;0,'Calculations PJ'!BE202*About!$B$45,0)</f>
        <v>41578513850.61026</v>
      </c>
      <c r="BF202">
        <f>IF('Calculations PJ'!BF202&lt;&gt;0,'Calculations PJ'!BF202*About!$B$45,0)</f>
        <v>41578513850.61026</v>
      </c>
      <c r="BG202">
        <f>IF('Calculations PJ'!BG202&lt;&gt;0,'Calculations PJ'!BG202*About!$B$45,0)</f>
        <v>41578513850.61026</v>
      </c>
      <c r="BH202">
        <f>IF('Calculations PJ'!BH202&lt;&gt;0,'Calculations PJ'!BH202*About!$B$45,0)</f>
        <v>41578513850.61026</v>
      </c>
    </row>
    <row r="203" spans="2:60" outlineLevel="1">
      <c r="B203" t="s">
        <v>144</v>
      </c>
      <c r="C203">
        <f>IF('Calculations PJ'!C203&lt;&gt;0,'Calculations PJ'!C203*About!$B$45,0)</f>
        <v>0</v>
      </c>
      <c r="D203">
        <f>IF('Calculations PJ'!D203&lt;&gt;0,'Calculations PJ'!D203*About!$B$45,0)</f>
        <v>0</v>
      </c>
      <c r="E203">
        <f>IF('Calculations PJ'!E203&lt;&gt;0,'Calculations PJ'!E203*About!$B$45,0)</f>
        <v>0</v>
      </c>
      <c r="F203">
        <f>IF('Calculations PJ'!F203&lt;&gt;0,'Calculations PJ'!F203*About!$B$45,0)</f>
        <v>0</v>
      </c>
      <c r="G203">
        <f>IF('Calculations PJ'!G203&lt;&gt;0,'Calculations PJ'!G203*About!$B$45,0)</f>
        <v>0</v>
      </c>
      <c r="H203">
        <f>IF('Calculations PJ'!H203&lt;&gt;0,'Calculations PJ'!H203*About!$B$45,0)</f>
        <v>0</v>
      </c>
      <c r="I203">
        <f>IF('Calculations PJ'!I203&lt;&gt;0,'Calculations PJ'!I203*About!$B$45,0)</f>
        <v>0</v>
      </c>
      <c r="J203">
        <f>IF('Calculations PJ'!J203&lt;&gt;0,'Calculations PJ'!J203*About!$B$45,0)</f>
        <v>0</v>
      </c>
      <c r="K203">
        <f>IF('Calculations PJ'!K203&lt;&gt;0,'Calculations PJ'!K203*About!$B$45,0)</f>
        <v>0</v>
      </c>
      <c r="L203">
        <f>IF('Calculations PJ'!L203&lt;&gt;0,'Calculations PJ'!L203*About!$B$45,0)</f>
        <v>0</v>
      </c>
      <c r="M203">
        <f>IF('Calculations PJ'!M203&lt;&gt;0,'Calculations PJ'!M203*About!$B$45,0)</f>
        <v>0</v>
      </c>
      <c r="N203">
        <f>IF('Calculations PJ'!N203&lt;&gt;0,'Calculations PJ'!N203*About!$B$45,0)</f>
        <v>0</v>
      </c>
      <c r="O203">
        <f>IF('Calculations PJ'!O203&lt;&gt;0,'Calculations PJ'!O203*About!$B$45,0)</f>
        <v>0</v>
      </c>
      <c r="P203">
        <f>IF('Calculations PJ'!P203&lt;&gt;0,'Calculations PJ'!P203*About!$B$45,0)</f>
        <v>0</v>
      </c>
      <c r="Q203">
        <f>IF('Calculations PJ'!Q203&lt;&gt;0,'Calculations PJ'!Q203*About!$B$45,0)</f>
        <v>0</v>
      </c>
      <c r="R203">
        <f>IF('Calculations PJ'!R203&lt;&gt;0,'Calculations PJ'!R203*About!$B$45,0)</f>
        <v>0</v>
      </c>
      <c r="S203">
        <f>IF('Calculations PJ'!S203&lt;&gt;0,'Calculations PJ'!S203*About!$B$45,0)</f>
        <v>0</v>
      </c>
      <c r="T203">
        <f>IF('Calculations PJ'!T203&lt;&gt;0,'Calculations PJ'!T203*About!$B$45,0)</f>
        <v>0</v>
      </c>
      <c r="U203">
        <f>IF('Calculations PJ'!U203&lt;&gt;0,'Calculations PJ'!U203*About!$B$45,0)</f>
        <v>0</v>
      </c>
      <c r="V203">
        <f>IF('Calculations PJ'!V203&lt;&gt;0,'Calculations PJ'!V203*About!$B$45,0)</f>
        <v>0</v>
      </c>
      <c r="W203">
        <f>IF('Calculations PJ'!W203&lt;&gt;0,'Calculations PJ'!W203*About!$B$45,0)</f>
        <v>0</v>
      </c>
      <c r="X203">
        <f>IF('Calculations PJ'!X203&lt;&gt;0,'Calculations PJ'!X203*About!$B$45,0)</f>
        <v>0</v>
      </c>
      <c r="Y203">
        <f>IF('Calculations PJ'!Y203&lt;&gt;0,'Calculations PJ'!Y203*About!$B$45,0)</f>
        <v>0</v>
      </c>
      <c r="Z203">
        <f>IF('Calculations PJ'!Z203&lt;&gt;0,'Calculations PJ'!Z203*About!$B$45,0)</f>
        <v>0</v>
      </c>
      <c r="AA203">
        <f>IF('Calculations PJ'!AA203&lt;&gt;0,'Calculations PJ'!AA203*About!$B$45,0)</f>
        <v>0</v>
      </c>
      <c r="AB203">
        <f>IF('Calculations PJ'!AB203&lt;&gt;0,'Calculations PJ'!AB203*About!$B$45,0)</f>
        <v>0</v>
      </c>
      <c r="AC203">
        <f>IF('Calculations PJ'!AC203&lt;&gt;0,'Calculations PJ'!AC203*About!$B$45,0)</f>
        <v>0</v>
      </c>
      <c r="AD203">
        <f>IF('Calculations PJ'!AD203&lt;&gt;0,'Calculations PJ'!AD203*About!$B$45,0)</f>
        <v>0</v>
      </c>
      <c r="AE203">
        <f>IF('Calculations PJ'!AE203&lt;&gt;0,'Calculations PJ'!AE203*About!$B$45,0)</f>
        <v>0</v>
      </c>
      <c r="AF203">
        <f>IF('Calculations PJ'!AF203&lt;&gt;0,'Calculations PJ'!AF203*About!$B$45,0)</f>
        <v>0</v>
      </c>
      <c r="AG203">
        <f>IF('Calculations PJ'!AG203&lt;&gt;0,'Calculations PJ'!AG203*About!$B$45,0)</f>
        <v>0</v>
      </c>
      <c r="AH203">
        <f>IF('Calculations PJ'!AH203&lt;&gt;0,'Calculations PJ'!AH203*About!$B$45,0)</f>
        <v>0</v>
      </c>
      <c r="AI203">
        <f>IF('Calculations PJ'!AI203&lt;&gt;0,'Calculations PJ'!AI203*About!$B$45,0)</f>
        <v>0</v>
      </c>
      <c r="AJ203">
        <f>IF('Calculations PJ'!AJ203&lt;&gt;0,'Calculations PJ'!AJ203*About!$B$45,0)</f>
        <v>0</v>
      </c>
      <c r="AK203">
        <f>IF('Calculations PJ'!AK203&lt;&gt;0,'Calculations PJ'!AK203*About!$B$45,0)</f>
        <v>0</v>
      </c>
      <c r="AL203">
        <f>IF('Calculations PJ'!AL203&lt;&gt;0,'Calculations PJ'!AL203*About!$B$45,0)</f>
        <v>0</v>
      </c>
      <c r="AM203">
        <f>IF('Calculations PJ'!AM203&lt;&gt;0,'Calculations PJ'!AM203*About!$B$45,0)</f>
        <v>0</v>
      </c>
      <c r="AN203">
        <f>IF('Calculations PJ'!AN203&lt;&gt;0,'Calculations PJ'!AN203*About!$B$45,0)</f>
        <v>0</v>
      </c>
      <c r="AO203">
        <f>IF('Calculations PJ'!AO203&lt;&gt;0,'Calculations PJ'!AO203*About!$B$45,0)</f>
        <v>0</v>
      </c>
      <c r="AP203">
        <f>IF('Calculations PJ'!AP203&lt;&gt;0,'Calculations PJ'!AP203*About!$B$45,0)</f>
        <v>0</v>
      </c>
      <c r="AQ203">
        <f>IF('Calculations PJ'!AQ203&lt;&gt;0,'Calculations PJ'!AQ203*About!$B$45,0)</f>
        <v>0</v>
      </c>
      <c r="AR203">
        <f>IF('Calculations PJ'!AR203&lt;&gt;0,'Calculations PJ'!AR203*About!$B$45,0)</f>
        <v>0</v>
      </c>
      <c r="AS203">
        <f>IF('Calculations PJ'!AS203&lt;&gt;0,'Calculations PJ'!AS203*About!$B$45,0)</f>
        <v>0</v>
      </c>
      <c r="AT203">
        <f>IF('Calculations PJ'!AT203&lt;&gt;0,'Calculations PJ'!AT203*About!$B$45,0)</f>
        <v>0</v>
      </c>
      <c r="AU203">
        <f>IF('Calculations PJ'!AU203&lt;&gt;0,'Calculations PJ'!AU203*About!$B$45,0)</f>
        <v>0</v>
      </c>
      <c r="AV203">
        <f>IF('Calculations PJ'!AV203&lt;&gt;0,'Calculations PJ'!AV203*About!$B$45,0)</f>
        <v>0</v>
      </c>
      <c r="AW203">
        <f>IF('Calculations PJ'!AW203&lt;&gt;0,'Calculations PJ'!AW203*About!$B$45,0)</f>
        <v>0</v>
      </c>
      <c r="AX203">
        <f>IF('Calculations PJ'!AX203&lt;&gt;0,'Calculations PJ'!AX203*About!$B$45,0)</f>
        <v>0</v>
      </c>
      <c r="AY203">
        <f>IF('Calculations PJ'!AY203&lt;&gt;0,'Calculations PJ'!AY203*About!$B$45,0)</f>
        <v>0</v>
      </c>
      <c r="AZ203">
        <f>IF('Calculations PJ'!AZ203&lt;&gt;0,'Calculations PJ'!AZ203*About!$B$45,0)</f>
        <v>0</v>
      </c>
      <c r="BA203">
        <f>IF('Calculations PJ'!BA203&lt;&gt;0,'Calculations PJ'!BA203*About!$B$45,0)</f>
        <v>0</v>
      </c>
      <c r="BB203">
        <f>IF('Calculations PJ'!BB203&lt;&gt;0,'Calculations PJ'!BB203*About!$B$45,0)</f>
        <v>0</v>
      </c>
      <c r="BC203">
        <f>IF('Calculations PJ'!BC203&lt;&gt;0,'Calculations PJ'!BC203*About!$B$45,0)</f>
        <v>0</v>
      </c>
      <c r="BD203">
        <f>IF('Calculations PJ'!BD203&lt;&gt;0,'Calculations PJ'!BD203*About!$B$45,0)</f>
        <v>0</v>
      </c>
      <c r="BE203">
        <f>IF('Calculations PJ'!BE203&lt;&gt;0,'Calculations PJ'!BE203*About!$B$45,0)</f>
        <v>0</v>
      </c>
      <c r="BF203">
        <f>IF('Calculations PJ'!BF203&lt;&gt;0,'Calculations PJ'!BF203*About!$B$45,0)</f>
        <v>0</v>
      </c>
      <c r="BG203">
        <f>IF('Calculations PJ'!BG203&lt;&gt;0,'Calculations PJ'!BG203*About!$B$45,0)</f>
        <v>0</v>
      </c>
      <c r="BH203">
        <f>IF('Calculations PJ'!BH203&lt;&gt;0,'Calculations PJ'!BH203*About!$B$45,0)</f>
        <v>0</v>
      </c>
    </row>
    <row r="204" spans="2:60" outlineLevel="1">
      <c r="B204" t="s">
        <v>145</v>
      </c>
      <c r="C204">
        <f>IF('Calculations PJ'!C204&lt;&gt;0,'Calculations PJ'!C204*About!$B$45,0)</f>
        <v>521326925945.44354</v>
      </c>
      <c r="D204">
        <f>IF('Calculations PJ'!D204&lt;&gt;0,'Calculations PJ'!D204*About!$B$45,0)</f>
        <v>578198954230.40088</v>
      </c>
      <c r="E204">
        <f>IF('Calculations PJ'!E204&lt;&gt;0,'Calculations PJ'!E204*About!$B$45,0)</f>
        <v>625592311134.53223</v>
      </c>
      <c r="F204">
        <f>IF('Calculations PJ'!F204&lt;&gt;0,'Calculations PJ'!F204*About!$B$45,0)</f>
        <v>635070982515.35852</v>
      </c>
      <c r="G204">
        <f>IF('Calculations PJ'!G204&lt;&gt;0,'Calculations PJ'!G204*About!$B$45,0)</f>
        <v>625592311134.53223</v>
      </c>
      <c r="H204">
        <f>IF('Calculations PJ'!H204&lt;&gt;0,'Calculations PJ'!H204*About!$B$45,0)</f>
        <v>654028325277.01086</v>
      </c>
      <c r="I204">
        <f>IF('Calculations PJ'!I204&lt;&gt;0,'Calculations PJ'!I204*About!$B$45,0)</f>
        <v>682464339419.48962</v>
      </c>
      <c r="J204">
        <f>IF('Calculations PJ'!J204&lt;&gt;0,'Calculations PJ'!J204*About!$B$45,0)</f>
        <v>530805597326.26978</v>
      </c>
      <c r="K204">
        <f>IF('Calculations PJ'!K204&lt;&gt;0,'Calculations PJ'!K204*About!$B$45,0)</f>
        <v>436018883518.00732</v>
      </c>
      <c r="L204">
        <f>IF('Calculations PJ'!L204&lt;&gt;0,'Calculations PJ'!L204*About!$B$45,0)</f>
        <v>464454897660.48602</v>
      </c>
      <c r="M204">
        <f>IF('Calculations PJ'!M204&lt;&gt;0,'Calculations PJ'!M204*About!$B$45,0)</f>
        <v>464454897660.48602</v>
      </c>
      <c r="N204">
        <f>IF('Calculations PJ'!N204&lt;&gt;0,'Calculations PJ'!N204*About!$B$45,0)</f>
        <v>464454897660.48602</v>
      </c>
      <c r="O204">
        <f>IF('Calculations PJ'!O204&lt;&gt;0,'Calculations PJ'!O204*About!$B$45,0)</f>
        <v>473933569041.31226</v>
      </c>
      <c r="P204">
        <f>IF('Calculations PJ'!P204&lt;&gt;0,'Calculations PJ'!P204*About!$B$45,0)</f>
        <v>473933569041.31226</v>
      </c>
      <c r="Q204">
        <f>IF('Calculations PJ'!Q204&lt;&gt;0,'Calculations PJ'!Q204*About!$B$45,0)</f>
        <v>473933569041.31226</v>
      </c>
      <c r="R204">
        <f>IF('Calculations PJ'!R204&lt;&gt;0,'Calculations PJ'!R204*About!$B$45,0)</f>
        <v>473933569041.31226</v>
      </c>
      <c r="S204">
        <f>IF('Calculations PJ'!S204&lt;&gt;0,'Calculations PJ'!S204*About!$B$45,0)</f>
        <v>483412240422.13849</v>
      </c>
      <c r="T204">
        <f>IF('Calculations PJ'!T204&lt;&gt;0,'Calculations PJ'!T204*About!$B$45,0)</f>
        <v>483412240422.13849</v>
      </c>
      <c r="U204">
        <f>IF('Calculations PJ'!U204&lt;&gt;0,'Calculations PJ'!U204*About!$B$45,0)</f>
        <v>483412240422.13849</v>
      </c>
      <c r="V204">
        <f>IF('Calculations PJ'!V204&lt;&gt;0,'Calculations PJ'!V204*About!$B$45,0)</f>
        <v>483412240422.13849</v>
      </c>
      <c r="W204">
        <f>IF('Calculations PJ'!W204&lt;&gt;0,'Calculations PJ'!W204*About!$B$45,0)</f>
        <v>492890911802.96478</v>
      </c>
      <c r="X204">
        <f>IF('Calculations PJ'!X204&lt;&gt;0,'Calculations PJ'!X204*About!$B$45,0)</f>
        <v>492890911802.96478</v>
      </c>
      <c r="Y204">
        <f>IF('Calculations PJ'!Y204&lt;&gt;0,'Calculations PJ'!Y204*About!$B$45,0)</f>
        <v>492890911802.96478</v>
      </c>
      <c r="Z204">
        <f>IF('Calculations PJ'!Z204&lt;&gt;0,'Calculations PJ'!Z204*About!$B$45,0)</f>
        <v>492890911802.96478</v>
      </c>
      <c r="AA204">
        <f>IF('Calculations PJ'!AA204&lt;&gt;0,'Calculations PJ'!AA204*About!$B$45,0)</f>
        <v>502369583183.79102</v>
      </c>
      <c r="AB204">
        <f>IF('Calculations PJ'!AB204&lt;&gt;0,'Calculations PJ'!AB204*About!$B$45,0)</f>
        <v>502369583183.79102</v>
      </c>
      <c r="AC204">
        <f>IF('Calculations PJ'!AC204&lt;&gt;0,'Calculations PJ'!AC204*About!$B$45,0)</f>
        <v>502369583183.79102</v>
      </c>
      <c r="AD204">
        <f>IF('Calculations PJ'!AD204&lt;&gt;0,'Calculations PJ'!AD204*About!$B$45,0)</f>
        <v>511848254564.61725</v>
      </c>
      <c r="AE204">
        <f>IF('Calculations PJ'!AE204&lt;&gt;0,'Calculations PJ'!AE204*About!$B$45,0)</f>
        <v>511848254564.61725</v>
      </c>
      <c r="AF204">
        <f>IF('Calculations PJ'!AF204&lt;&gt;0,'Calculations PJ'!AF204*About!$B$45,0)</f>
        <v>511848254564.61725</v>
      </c>
      <c r="AG204">
        <f>IF('Calculations PJ'!AG204&lt;&gt;0,'Calculations PJ'!AG204*About!$B$45,0)</f>
        <v>511848254564.61725</v>
      </c>
      <c r="AH204">
        <f>IF('Calculations PJ'!AH204&lt;&gt;0,'Calculations PJ'!AH204*About!$B$45,0)</f>
        <v>521326925945.44354</v>
      </c>
      <c r="AI204">
        <f>IF('Calculations PJ'!AI204&lt;&gt;0,'Calculations PJ'!AI204*About!$B$45,0)</f>
        <v>521326925945.44354</v>
      </c>
      <c r="AJ204">
        <f>IF('Calculations PJ'!AJ204&lt;&gt;0,'Calculations PJ'!AJ204*About!$B$45,0)</f>
        <v>521326925945.44354</v>
      </c>
      <c r="AK204">
        <f>IF('Calculations PJ'!AK204&lt;&gt;0,'Calculations PJ'!AK204*About!$B$45,0)</f>
        <v>521326925945.44354</v>
      </c>
      <c r="AL204">
        <f>IF('Calculations PJ'!AL204&lt;&gt;0,'Calculations PJ'!AL204*About!$B$45,0)</f>
        <v>530805597326.26978</v>
      </c>
      <c r="AM204">
        <f>IF('Calculations PJ'!AM204&lt;&gt;0,'Calculations PJ'!AM204*About!$B$45,0)</f>
        <v>530805597326.26978</v>
      </c>
      <c r="AN204">
        <f>IF('Calculations PJ'!AN204&lt;&gt;0,'Calculations PJ'!AN204*About!$B$45,0)</f>
        <v>530805597326.26978</v>
      </c>
      <c r="AO204">
        <f>IF('Calculations PJ'!AO204&lt;&gt;0,'Calculations PJ'!AO204*About!$B$45,0)</f>
        <v>530805597326.26978</v>
      </c>
      <c r="AP204">
        <f>IF('Calculations PJ'!AP204&lt;&gt;0,'Calculations PJ'!AP204*About!$B$45,0)</f>
        <v>530805597326.26978</v>
      </c>
      <c r="AQ204">
        <f>IF('Calculations PJ'!AQ204&lt;&gt;0,'Calculations PJ'!AQ204*About!$B$45,0)</f>
        <v>530805597326.26978</v>
      </c>
      <c r="AR204">
        <f>IF('Calculations PJ'!AR204&lt;&gt;0,'Calculations PJ'!AR204*About!$B$45,0)</f>
        <v>530805597326.26978</v>
      </c>
      <c r="AS204">
        <f>IF('Calculations PJ'!AS204&lt;&gt;0,'Calculations PJ'!AS204*About!$B$45,0)</f>
        <v>530805597326.26978</v>
      </c>
      <c r="AT204">
        <f>IF('Calculations PJ'!AT204&lt;&gt;0,'Calculations PJ'!AT204*About!$B$45,0)</f>
        <v>530805597326.26978</v>
      </c>
      <c r="AU204">
        <f>IF('Calculations PJ'!AU204&lt;&gt;0,'Calculations PJ'!AU204*About!$B$45,0)</f>
        <v>530805597326.26978</v>
      </c>
      <c r="AV204">
        <f>IF('Calculations PJ'!AV204&lt;&gt;0,'Calculations PJ'!AV204*About!$B$45,0)</f>
        <v>530805597326.26978</v>
      </c>
      <c r="AW204">
        <f>IF('Calculations PJ'!AW204&lt;&gt;0,'Calculations PJ'!AW204*About!$B$45,0)</f>
        <v>530805597326.26978</v>
      </c>
      <c r="AX204">
        <f>IF('Calculations PJ'!AX204&lt;&gt;0,'Calculations PJ'!AX204*About!$B$45,0)</f>
        <v>530805597326.26978</v>
      </c>
      <c r="AY204">
        <f>IF('Calculations PJ'!AY204&lt;&gt;0,'Calculations PJ'!AY204*About!$B$45,0)</f>
        <v>530805597326.26978</v>
      </c>
      <c r="AZ204">
        <f>IF('Calculations PJ'!AZ204&lt;&gt;0,'Calculations PJ'!AZ204*About!$B$45,0)</f>
        <v>530805597326.26978</v>
      </c>
      <c r="BA204">
        <f>IF('Calculations PJ'!BA204&lt;&gt;0,'Calculations PJ'!BA204*About!$B$45,0)</f>
        <v>530805597326.26978</v>
      </c>
      <c r="BB204">
        <f>IF('Calculations PJ'!BB204&lt;&gt;0,'Calculations PJ'!BB204*About!$B$45,0)</f>
        <v>530805597326.26978</v>
      </c>
      <c r="BC204">
        <f>IF('Calculations PJ'!BC204&lt;&gt;0,'Calculations PJ'!BC204*About!$B$45,0)</f>
        <v>530805597326.26978</v>
      </c>
      <c r="BD204">
        <f>IF('Calculations PJ'!BD204&lt;&gt;0,'Calculations PJ'!BD204*About!$B$45,0)</f>
        <v>530805597326.26978</v>
      </c>
      <c r="BE204">
        <f>IF('Calculations PJ'!BE204&lt;&gt;0,'Calculations PJ'!BE204*About!$B$45,0)</f>
        <v>530805597326.26978</v>
      </c>
      <c r="BF204">
        <f>IF('Calculations PJ'!BF204&lt;&gt;0,'Calculations PJ'!BF204*About!$B$45,0)</f>
        <v>530805597326.26978</v>
      </c>
      <c r="BG204">
        <f>IF('Calculations PJ'!BG204&lt;&gt;0,'Calculations PJ'!BG204*About!$B$45,0)</f>
        <v>530805597326.26978</v>
      </c>
      <c r="BH204">
        <f>IF('Calculations PJ'!BH204&lt;&gt;0,'Calculations PJ'!BH204*About!$B$45,0)</f>
        <v>530805597326.26978</v>
      </c>
    </row>
    <row r="205" spans="2:60" outlineLevel="1">
      <c r="B205" t="s">
        <v>146</v>
      </c>
      <c r="C205">
        <f>IF('Calculations PJ'!C205&lt;&gt;0,'Calculations PJ'!C205*About!$B$45,0)</f>
        <v>0</v>
      </c>
      <c r="D205">
        <f>IF('Calculations PJ'!D205&lt;&gt;0,'Calculations PJ'!D205*About!$B$45,0)</f>
        <v>0</v>
      </c>
      <c r="E205">
        <f>IF('Calculations PJ'!E205&lt;&gt;0,'Calculations PJ'!E205*About!$B$45,0)</f>
        <v>0</v>
      </c>
      <c r="F205">
        <f>IF('Calculations PJ'!F205&lt;&gt;0,'Calculations PJ'!F205*About!$B$45,0)</f>
        <v>0</v>
      </c>
      <c r="G205">
        <f>IF('Calculations PJ'!G205&lt;&gt;0,'Calculations PJ'!G205*About!$B$45,0)</f>
        <v>0</v>
      </c>
      <c r="H205">
        <f>IF('Calculations PJ'!H205&lt;&gt;0,'Calculations PJ'!H205*About!$B$45,0)</f>
        <v>0</v>
      </c>
      <c r="I205">
        <f>IF('Calculations PJ'!I205&lt;&gt;0,'Calculations PJ'!I205*About!$B$45,0)</f>
        <v>0</v>
      </c>
      <c r="J205">
        <f>IF('Calculations PJ'!J205&lt;&gt;0,'Calculations PJ'!J205*About!$B$45,0)</f>
        <v>0</v>
      </c>
      <c r="K205">
        <f>IF('Calculations PJ'!K205&lt;&gt;0,'Calculations PJ'!K205*About!$B$45,0)</f>
        <v>0</v>
      </c>
      <c r="L205">
        <f>IF('Calculations PJ'!L205&lt;&gt;0,'Calculations PJ'!L205*About!$B$45,0)</f>
        <v>0</v>
      </c>
      <c r="M205">
        <f>IF('Calculations PJ'!M205&lt;&gt;0,'Calculations PJ'!M205*About!$B$45,0)</f>
        <v>0</v>
      </c>
      <c r="N205">
        <f>IF('Calculations PJ'!N205&lt;&gt;0,'Calculations PJ'!N205*About!$B$45,0)</f>
        <v>0</v>
      </c>
      <c r="O205">
        <f>IF('Calculations PJ'!O205&lt;&gt;0,'Calculations PJ'!O205*About!$B$45,0)</f>
        <v>0</v>
      </c>
      <c r="P205">
        <f>IF('Calculations PJ'!P205&lt;&gt;0,'Calculations PJ'!P205*About!$B$45,0)</f>
        <v>0</v>
      </c>
      <c r="Q205">
        <f>IF('Calculations PJ'!Q205&lt;&gt;0,'Calculations PJ'!Q205*About!$B$45,0)</f>
        <v>0</v>
      </c>
      <c r="R205">
        <f>IF('Calculations PJ'!R205&lt;&gt;0,'Calculations PJ'!R205*About!$B$45,0)</f>
        <v>0</v>
      </c>
      <c r="S205">
        <f>IF('Calculations PJ'!S205&lt;&gt;0,'Calculations PJ'!S205*About!$B$45,0)</f>
        <v>0</v>
      </c>
      <c r="T205">
        <f>IF('Calculations PJ'!T205&lt;&gt;0,'Calculations PJ'!T205*About!$B$45,0)</f>
        <v>0</v>
      </c>
      <c r="U205">
        <f>IF('Calculations PJ'!U205&lt;&gt;0,'Calculations PJ'!U205*About!$B$45,0)</f>
        <v>0</v>
      </c>
      <c r="V205">
        <f>IF('Calculations PJ'!V205&lt;&gt;0,'Calculations PJ'!V205*About!$B$45,0)</f>
        <v>0</v>
      </c>
      <c r="W205">
        <f>IF('Calculations PJ'!W205&lt;&gt;0,'Calculations PJ'!W205*About!$B$45,0)</f>
        <v>0</v>
      </c>
      <c r="X205">
        <f>IF('Calculations PJ'!X205&lt;&gt;0,'Calculations PJ'!X205*About!$B$45,0)</f>
        <v>0</v>
      </c>
      <c r="Y205">
        <f>IF('Calculations PJ'!Y205&lt;&gt;0,'Calculations PJ'!Y205*About!$B$45,0)</f>
        <v>0</v>
      </c>
      <c r="Z205">
        <f>IF('Calculations PJ'!Z205&lt;&gt;0,'Calculations PJ'!Z205*About!$B$45,0)</f>
        <v>0</v>
      </c>
      <c r="AA205">
        <f>IF('Calculations PJ'!AA205&lt;&gt;0,'Calculations PJ'!AA205*About!$B$45,0)</f>
        <v>0</v>
      </c>
      <c r="AB205">
        <f>IF('Calculations PJ'!AB205&lt;&gt;0,'Calculations PJ'!AB205*About!$B$45,0)</f>
        <v>0</v>
      </c>
      <c r="AC205">
        <f>IF('Calculations PJ'!AC205&lt;&gt;0,'Calculations PJ'!AC205*About!$B$45,0)</f>
        <v>0</v>
      </c>
      <c r="AD205">
        <f>IF('Calculations PJ'!AD205&lt;&gt;0,'Calculations PJ'!AD205*About!$B$45,0)</f>
        <v>0</v>
      </c>
      <c r="AE205">
        <f>IF('Calculations PJ'!AE205&lt;&gt;0,'Calculations PJ'!AE205*About!$B$45,0)</f>
        <v>0</v>
      </c>
      <c r="AF205">
        <f>IF('Calculations PJ'!AF205&lt;&gt;0,'Calculations PJ'!AF205*About!$B$45,0)</f>
        <v>0</v>
      </c>
      <c r="AG205">
        <f>IF('Calculations PJ'!AG205&lt;&gt;0,'Calculations PJ'!AG205*About!$B$45,0)</f>
        <v>0</v>
      </c>
      <c r="AH205">
        <f>IF('Calculations PJ'!AH205&lt;&gt;0,'Calculations PJ'!AH205*About!$B$45,0)</f>
        <v>0</v>
      </c>
      <c r="AI205">
        <f>IF('Calculations PJ'!AI205&lt;&gt;0,'Calculations PJ'!AI205*About!$B$45,0)</f>
        <v>0</v>
      </c>
      <c r="AJ205">
        <f>IF('Calculations PJ'!AJ205&lt;&gt;0,'Calculations PJ'!AJ205*About!$B$45,0)</f>
        <v>0</v>
      </c>
      <c r="AK205">
        <f>IF('Calculations PJ'!AK205&lt;&gt;0,'Calculations PJ'!AK205*About!$B$45,0)</f>
        <v>0</v>
      </c>
      <c r="AL205">
        <f>IF('Calculations PJ'!AL205&lt;&gt;0,'Calculations PJ'!AL205*About!$B$45,0)</f>
        <v>0</v>
      </c>
      <c r="AM205">
        <f>IF('Calculations PJ'!AM205&lt;&gt;0,'Calculations PJ'!AM205*About!$B$45,0)</f>
        <v>0</v>
      </c>
      <c r="AN205">
        <f>IF('Calculations PJ'!AN205&lt;&gt;0,'Calculations PJ'!AN205*About!$B$45,0)</f>
        <v>0</v>
      </c>
      <c r="AO205">
        <f>IF('Calculations PJ'!AO205&lt;&gt;0,'Calculations PJ'!AO205*About!$B$45,0)</f>
        <v>0</v>
      </c>
      <c r="AP205">
        <f>IF('Calculations PJ'!AP205&lt;&gt;0,'Calculations PJ'!AP205*About!$B$45,0)</f>
        <v>0</v>
      </c>
      <c r="AQ205">
        <f>IF('Calculations PJ'!AQ205&lt;&gt;0,'Calculations PJ'!AQ205*About!$B$45,0)</f>
        <v>0</v>
      </c>
      <c r="AR205">
        <f>IF('Calculations PJ'!AR205&lt;&gt;0,'Calculations PJ'!AR205*About!$B$45,0)</f>
        <v>0</v>
      </c>
      <c r="AS205">
        <f>IF('Calculations PJ'!AS205&lt;&gt;0,'Calculations PJ'!AS205*About!$B$45,0)</f>
        <v>0</v>
      </c>
      <c r="AT205">
        <f>IF('Calculations PJ'!AT205&lt;&gt;0,'Calculations PJ'!AT205*About!$B$45,0)</f>
        <v>0</v>
      </c>
      <c r="AU205">
        <f>IF('Calculations PJ'!AU205&lt;&gt;0,'Calculations PJ'!AU205*About!$B$45,0)</f>
        <v>0</v>
      </c>
      <c r="AV205">
        <f>IF('Calculations PJ'!AV205&lt;&gt;0,'Calculations PJ'!AV205*About!$B$45,0)</f>
        <v>0</v>
      </c>
      <c r="AW205">
        <f>IF('Calculations PJ'!AW205&lt;&gt;0,'Calculations PJ'!AW205*About!$B$45,0)</f>
        <v>0</v>
      </c>
      <c r="AX205">
        <f>IF('Calculations PJ'!AX205&lt;&gt;0,'Calculations PJ'!AX205*About!$B$45,0)</f>
        <v>0</v>
      </c>
      <c r="AY205">
        <f>IF('Calculations PJ'!AY205&lt;&gt;0,'Calculations PJ'!AY205*About!$B$45,0)</f>
        <v>0</v>
      </c>
      <c r="AZ205">
        <f>IF('Calculations PJ'!AZ205&lt;&gt;0,'Calculations PJ'!AZ205*About!$B$45,0)</f>
        <v>0</v>
      </c>
      <c r="BA205">
        <f>IF('Calculations PJ'!BA205&lt;&gt;0,'Calculations PJ'!BA205*About!$B$45,0)</f>
        <v>0</v>
      </c>
      <c r="BB205">
        <f>IF('Calculations PJ'!BB205&lt;&gt;0,'Calculations PJ'!BB205*About!$B$45,0)</f>
        <v>0</v>
      </c>
      <c r="BC205">
        <f>IF('Calculations PJ'!BC205&lt;&gt;0,'Calculations PJ'!BC205*About!$B$45,0)</f>
        <v>0</v>
      </c>
      <c r="BD205">
        <f>IF('Calculations PJ'!BD205&lt;&gt;0,'Calculations PJ'!BD205*About!$B$45,0)</f>
        <v>0</v>
      </c>
      <c r="BE205">
        <f>IF('Calculations PJ'!BE205&lt;&gt;0,'Calculations PJ'!BE205*About!$B$45,0)</f>
        <v>0</v>
      </c>
      <c r="BF205">
        <f>IF('Calculations PJ'!BF205&lt;&gt;0,'Calculations PJ'!BF205*About!$B$45,0)</f>
        <v>0</v>
      </c>
      <c r="BG205">
        <f>IF('Calculations PJ'!BG205&lt;&gt;0,'Calculations PJ'!BG205*About!$B$45,0)</f>
        <v>0</v>
      </c>
      <c r="BH205">
        <f>IF('Calculations PJ'!BH205&lt;&gt;0,'Calculations PJ'!BH205*About!$B$45,0)</f>
        <v>0</v>
      </c>
    </row>
    <row r="206" spans="2:60" outlineLevel="1">
      <c r="B206" t="s">
        <v>147</v>
      </c>
      <c r="C206">
        <f>IF('Calculations PJ'!C206&lt;&gt;0,'Calculations PJ'!C206*About!$B$45,0)</f>
        <v>28909947711520.043</v>
      </c>
      <c r="D206">
        <f>IF('Calculations PJ'!D206&lt;&gt;0,'Calculations PJ'!D206*About!$B$45,0)</f>
        <v>28492886170763.691</v>
      </c>
      <c r="E206">
        <f>IF('Calculations PJ'!E206&lt;&gt;0,'Calculations PJ'!E206*About!$B$45,0)</f>
        <v>33374401931889.211</v>
      </c>
      <c r="F206">
        <f>IF('Calculations PJ'!F206&lt;&gt;0,'Calculations PJ'!F206*About!$B$45,0)</f>
        <v>32360184094140.801</v>
      </c>
      <c r="G206">
        <f>IF('Calculations PJ'!G206&lt;&gt;0,'Calculations PJ'!G206*About!$B$45,0)</f>
        <v>31459710312962.313</v>
      </c>
      <c r="H206">
        <f>IF('Calculations PJ'!H206&lt;&gt;0,'Calculations PJ'!H206*About!$B$45,0)</f>
        <v>31620847726436.359</v>
      </c>
      <c r="I206">
        <f>IF('Calculations PJ'!I206&lt;&gt;0,'Calculations PJ'!I206*About!$B$45,0)</f>
        <v>31734591783006.273</v>
      </c>
      <c r="J206">
        <f>IF('Calculations PJ'!J206&lt;&gt;0,'Calculations PJ'!J206*About!$B$45,0)</f>
        <v>27127957491924.711</v>
      </c>
      <c r="K206">
        <f>IF('Calculations PJ'!K206&lt;&gt;0,'Calculations PJ'!K206*About!$B$45,0)</f>
        <v>22483408515319.848</v>
      </c>
      <c r="L206">
        <f>IF('Calculations PJ'!L206&lt;&gt;0,'Calculations PJ'!L206*About!$B$45,0)</f>
        <v>23886251879682.133</v>
      </c>
      <c r="M206">
        <f>IF('Calculations PJ'!M206&lt;&gt;0,'Calculations PJ'!M206*About!$B$45,0)</f>
        <v>24009474607632.879</v>
      </c>
      <c r="N206">
        <f>IF('Calculations PJ'!N206&lt;&gt;0,'Calculations PJ'!N206*About!$B$45,0)</f>
        <v>24142085885893.582</v>
      </c>
      <c r="O206">
        <f>IF('Calculations PJ'!O206&lt;&gt;0,'Calculations PJ'!O206*About!$B$45,0)</f>
        <v>24265219900915.184</v>
      </c>
      <c r="P206">
        <f>IF('Calculations PJ'!P206&lt;&gt;0,'Calculations PJ'!P206*About!$B$45,0)</f>
        <v>24397829771034.148</v>
      </c>
      <c r="Q206">
        <f>IF('Calculations PJ'!Q206&lt;&gt;0,'Calculations PJ'!Q206*About!$B$45,0)</f>
        <v>24520962377914.023</v>
      </c>
      <c r="R206">
        <f>IF('Calculations PJ'!R206&lt;&gt;0,'Calculations PJ'!R206*About!$B$45,0)</f>
        <v>24644096392935.625</v>
      </c>
      <c r="S206">
        <f>IF('Calculations PJ'!S206&lt;&gt;0,'Calculations PJ'!S206*About!$B$45,0)</f>
        <v>24776706263054.594</v>
      </c>
      <c r="T206">
        <f>IF('Calculations PJ'!T206&lt;&gt;0,'Calculations PJ'!T206*About!$B$45,0)</f>
        <v>24899840278076.199</v>
      </c>
      <c r="U206">
        <f>IF('Calculations PJ'!U206&lt;&gt;0,'Calculations PJ'!U206*About!$B$45,0)</f>
        <v>25022974293097.801</v>
      </c>
      <c r="V206">
        <f>IF('Calculations PJ'!V206&lt;&gt;0,'Calculations PJ'!V206*About!$B$45,0)</f>
        <v>25155582755075.035</v>
      </c>
      <c r="W206">
        <f>IF('Calculations PJ'!W206&lt;&gt;0,'Calculations PJ'!W206*About!$B$45,0)</f>
        <v>25278716770096.645</v>
      </c>
      <c r="X206">
        <f>IF('Calculations PJ'!X206&lt;&gt;0,'Calculations PJ'!X206*About!$B$45,0)</f>
        <v>25411661777947.902</v>
      </c>
      <c r="Y206">
        <f>IF('Calculations PJ'!Y206&lt;&gt;0,'Calculations PJ'!Y206*About!$B$45,0)</f>
        <v>25535578719772.68</v>
      </c>
      <c r="Z206">
        <f>IF('Calculations PJ'!Z206&lt;&gt;0,'Calculations PJ'!Z206*About!$B$45,0)</f>
        <v>25659497069739.184</v>
      </c>
      <c r="AA206">
        <f>IF('Calculations PJ'!AA206&lt;&gt;0,'Calculations PJ'!AA206*About!$B$45,0)</f>
        <v>25792891274803.055</v>
      </c>
      <c r="AB206">
        <f>IF('Calculations PJ'!AB206&lt;&gt;0,'Calculations PJ'!AB206*About!$B$45,0)</f>
        <v>25916808216627.828</v>
      </c>
      <c r="AC206">
        <f>IF('Calculations PJ'!AC206&lt;&gt;0,'Calculations PJ'!AC206*About!$B$45,0)</f>
        <v>26040727974736.066</v>
      </c>
      <c r="AD206">
        <f>IF('Calculations PJ'!AD206&lt;&gt;0,'Calculations PJ'!AD206*About!$B$45,0)</f>
        <v>26174120771658.199</v>
      </c>
      <c r="AE206">
        <f>IF('Calculations PJ'!AE206&lt;&gt;0,'Calculations PJ'!AE206*About!$B$45,0)</f>
        <v>26298037713482.98</v>
      </c>
      <c r="AF206">
        <f>IF('Calculations PJ'!AF206&lt;&gt;0,'Calculations PJ'!AF206*About!$B$45,0)</f>
        <v>26431434734830.313</v>
      </c>
      <c r="AG206">
        <f>IF('Calculations PJ'!AG206&lt;&gt;0,'Calculations PJ'!AG206*About!$B$45,0)</f>
        <v>26555351676655.09</v>
      </c>
      <c r="AH206">
        <f>IF('Calculations PJ'!AH206&lt;&gt;0,'Calculations PJ'!AH206*About!$B$45,0)</f>
        <v>26679267210338.133</v>
      </c>
      <c r="AI206">
        <f>IF('Calculations PJ'!AI206&lt;&gt;0,'Calculations PJ'!AI206*About!$B$45,0)</f>
        <v>26812664231685.469</v>
      </c>
      <c r="AJ206">
        <f>IF('Calculations PJ'!AJ206&lt;&gt;0,'Calculations PJ'!AJ206*About!$B$45,0)</f>
        <v>26936581173510.238</v>
      </c>
      <c r="AK206">
        <f>IF('Calculations PJ'!AK206&lt;&gt;0,'Calculations PJ'!AK206*About!$B$45,0)</f>
        <v>27060498115335.016</v>
      </c>
      <c r="AL206">
        <f>IF('Calculations PJ'!AL206&lt;&gt;0,'Calculations PJ'!AL206*About!$B$45,0)</f>
        <v>27193892320398.887</v>
      </c>
      <c r="AM206">
        <f>IF('Calculations PJ'!AM206&lt;&gt;0,'Calculations PJ'!AM206*About!$B$45,0)</f>
        <v>27317817711074.055</v>
      </c>
      <c r="AN206">
        <f>IF('Calculations PJ'!AN206&lt;&gt;0,'Calculations PJ'!AN206*About!$B$45,0)</f>
        <v>27451220364988.316</v>
      </c>
      <c r="AO206">
        <f>IF('Calculations PJ'!AO206&lt;&gt;0,'Calculations PJ'!AO206*About!$B$45,0)</f>
        <v>27451220364988.316</v>
      </c>
      <c r="AP206">
        <f>IF('Calculations PJ'!AP206&lt;&gt;0,'Calculations PJ'!AP206*About!$B$45,0)</f>
        <v>27451220364988.316</v>
      </c>
      <c r="AQ206">
        <f>IF('Calculations PJ'!AQ206&lt;&gt;0,'Calculations PJ'!AQ206*About!$B$45,0)</f>
        <v>27451220364988.316</v>
      </c>
      <c r="AR206">
        <f>IF('Calculations PJ'!AR206&lt;&gt;0,'Calculations PJ'!AR206*About!$B$45,0)</f>
        <v>27451220364988.316</v>
      </c>
      <c r="AS206">
        <f>IF('Calculations PJ'!AS206&lt;&gt;0,'Calculations PJ'!AS206*About!$B$45,0)</f>
        <v>27451220364988.316</v>
      </c>
      <c r="AT206">
        <f>IF('Calculations PJ'!AT206&lt;&gt;0,'Calculations PJ'!AT206*About!$B$45,0)</f>
        <v>27451220364988.316</v>
      </c>
      <c r="AU206">
        <f>IF('Calculations PJ'!AU206&lt;&gt;0,'Calculations PJ'!AU206*About!$B$45,0)</f>
        <v>27451220364988.316</v>
      </c>
      <c r="AV206">
        <f>IF('Calculations PJ'!AV206&lt;&gt;0,'Calculations PJ'!AV206*About!$B$45,0)</f>
        <v>27451220364988.316</v>
      </c>
      <c r="AW206">
        <f>IF('Calculations PJ'!AW206&lt;&gt;0,'Calculations PJ'!AW206*About!$B$45,0)</f>
        <v>27451220364988.316</v>
      </c>
      <c r="AX206">
        <f>IF('Calculations PJ'!AX206&lt;&gt;0,'Calculations PJ'!AX206*About!$B$45,0)</f>
        <v>27451220364988.316</v>
      </c>
      <c r="AY206">
        <f>IF('Calculations PJ'!AY206&lt;&gt;0,'Calculations PJ'!AY206*About!$B$45,0)</f>
        <v>27451220364988.316</v>
      </c>
      <c r="AZ206">
        <f>IF('Calculations PJ'!AZ206&lt;&gt;0,'Calculations PJ'!AZ206*About!$B$45,0)</f>
        <v>27451220364988.316</v>
      </c>
      <c r="BA206">
        <f>IF('Calculations PJ'!BA206&lt;&gt;0,'Calculations PJ'!BA206*About!$B$45,0)</f>
        <v>27451220364988.316</v>
      </c>
      <c r="BB206">
        <f>IF('Calculations PJ'!BB206&lt;&gt;0,'Calculations PJ'!BB206*About!$B$45,0)</f>
        <v>27451220364988.316</v>
      </c>
      <c r="BC206">
        <f>IF('Calculations PJ'!BC206&lt;&gt;0,'Calculations PJ'!BC206*About!$B$45,0)</f>
        <v>27451220364988.316</v>
      </c>
      <c r="BD206">
        <f>IF('Calculations PJ'!BD206&lt;&gt;0,'Calculations PJ'!BD206*About!$B$45,0)</f>
        <v>27451220364988.316</v>
      </c>
      <c r="BE206">
        <f>IF('Calculations PJ'!BE206&lt;&gt;0,'Calculations PJ'!BE206*About!$B$45,0)</f>
        <v>27451220364988.316</v>
      </c>
      <c r="BF206">
        <f>IF('Calculations PJ'!BF206&lt;&gt;0,'Calculations PJ'!BF206*About!$B$45,0)</f>
        <v>27451220364988.316</v>
      </c>
      <c r="BG206">
        <f>IF('Calculations PJ'!BG206&lt;&gt;0,'Calculations PJ'!BG206*About!$B$45,0)</f>
        <v>27451220364988.316</v>
      </c>
      <c r="BH206">
        <f>IF('Calculations PJ'!BH206&lt;&gt;0,'Calculations PJ'!BH206*About!$B$45,0)</f>
        <v>27451220364988.316</v>
      </c>
    </row>
    <row r="207" spans="2:60" outlineLevel="1">
      <c r="B207" t="s">
        <v>148</v>
      </c>
      <c r="C207">
        <f>IF('Calculations PJ'!C207&lt;&gt;0,'Calculations PJ'!C207*About!$B$45,0)</f>
        <v>0</v>
      </c>
      <c r="D207">
        <f>IF('Calculations PJ'!D207&lt;&gt;0,'Calculations PJ'!D207*About!$B$45,0)</f>
        <v>0</v>
      </c>
      <c r="E207">
        <f>IF('Calculations PJ'!E207&lt;&gt;0,'Calculations PJ'!E207*About!$B$45,0)</f>
        <v>0</v>
      </c>
      <c r="F207">
        <f>IF('Calculations PJ'!F207&lt;&gt;0,'Calculations PJ'!F207*About!$B$45,0)</f>
        <v>0</v>
      </c>
      <c r="G207">
        <f>IF('Calculations PJ'!G207&lt;&gt;0,'Calculations PJ'!G207*About!$B$45,0)</f>
        <v>0</v>
      </c>
      <c r="H207">
        <f>IF('Calculations PJ'!H207&lt;&gt;0,'Calculations PJ'!H207*About!$B$45,0)</f>
        <v>0</v>
      </c>
      <c r="I207">
        <f>IF('Calculations PJ'!I207&lt;&gt;0,'Calculations PJ'!I207*About!$B$45,0)</f>
        <v>0</v>
      </c>
      <c r="J207">
        <f>IF('Calculations PJ'!J207&lt;&gt;0,'Calculations PJ'!J207*About!$B$45,0)</f>
        <v>0</v>
      </c>
      <c r="K207">
        <f>IF('Calculations PJ'!K207&lt;&gt;0,'Calculations PJ'!K207*About!$B$45,0)</f>
        <v>0</v>
      </c>
      <c r="L207">
        <f>IF('Calculations PJ'!L207&lt;&gt;0,'Calculations PJ'!L207*About!$B$45,0)</f>
        <v>0</v>
      </c>
      <c r="M207">
        <f>IF('Calculations PJ'!M207&lt;&gt;0,'Calculations PJ'!M207*About!$B$45,0)</f>
        <v>0</v>
      </c>
      <c r="N207">
        <f>IF('Calculations PJ'!N207&lt;&gt;0,'Calculations PJ'!N207*About!$B$45,0)</f>
        <v>0</v>
      </c>
      <c r="O207">
        <f>IF('Calculations PJ'!O207&lt;&gt;0,'Calculations PJ'!O207*About!$B$45,0)</f>
        <v>0</v>
      </c>
      <c r="P207">
        <f>IF('Calculations PJ'!P207&lt;&gt;0,'Calculations PJ'!P207*About!$B$45,0)</f>
        <v>0</v>
      </c>
      <c r="Q207">
        <f>IF('Calculations PJ'!Q207&lt;&gt;0,'Calculations PJ'!Q207*About!$B$45,0)</f>
        <v>0</v>
      </c>
      <c r="R207">
        <f>IF('Calculations PJ'!R207&lt;&gt;0,'Calculations PJ'!R207*About!$B$45,0)</f>
        <v>0</v>
      </c>
      <c r="S207">
        <f>IF('Calculations PJ'!S207&lt;&gt;0,'Calculations PJ'!S207*About!$B$45,0)</f>
        <v>0</v>
      </c>
      <c r="T207">
        <f>IF('Calculations PJ'!T207&lt;&gt;0,'Calculations PJ'!T207*About!$B$45,0)</f>
        <v>0</v>
      </c>
      <c r="U207">
        <f>IF('Calculations PJ'!U207&lt;&gt;0,'Calculations PJ'!U207*About!$B$45,0)</f>
        <v>0</v>
      </c>
      <c r="V207">
        <f>IF('Calculations PJ'!V207&lt;&gt;0,'Calculations PJ'!V207*About!$B$45,0)</f>
        <v>0</v>
      </c>
      <c r="W207">
        <f>IF('Calculations PJ'!W207&lt;&gt;0,'Calculations PJ'!W207*About!$B$45,0)</f>
        <v>0</v>
      </c>
      <c r="X207">
        <f>IF('Calculations PJ'!X207&lt;&gt;0,'Calculations PJ'!X207*About!$B$45,0)</f>
        <v>0</v>
      </c>
      <c r="Y207">
        <f>IF('Calculations PJ'!Y207&lt;&gt;0,'Calculations PJ'!Y207*About!$B$45,0)</f>
        <v>0</v>
      </c>
      <c r="Z207">
        <f>IF('Calculations PJ'!Z207&lt;&gt;0,'Calculations PJ'!Z207*About!$B$45,0)</f>
        <v>0</v>
      </c>
      <c r="AA207">
        <f>IF('Calculations PJ'!AA207&lt;&gt;0,'Calculations PJ'!AA207*About!$B$45,0)</f>
        <v>0</v>
      </c>
      <c r="AB207">
        <f>IF('Calculations PJ'!AB207&lt;&gt;0,'Calculations PJ'!AB207*About!$B$45,0)</f>
        <v>0</v>
      </c>
      <c r="AC207">
        <f>IF('Calculations PJ'!AC207&lt;&gt;0,'Calculations PJ'!AC207*About!$B$45,0)</f>
        <v>0</v>
      </c>
      <c r="AD207">
        <f>IF('Calculations PJ'!AD207&lt;&gt;0,'Calculations PJ'!AD207*About!$B$45,0)</f>
        <v>0</v>
      </c>
      <c r="AE207">
        <f>IF('Calculations PJ'!AE207&lt;&gt;0,'Calculations PJ'!AE207*About!$B$45,0)</f>
        <v>0</v>
      </c>
      <c r="AF207">
        <f>IF('Calculations PJ'!AF207&lt;&gt;0,'Calculations PJ'!AF207*About!$B$45,0)</f>
        <v>0</v>
      </c>
      <c r="AG207">
        <f>IF('Calculations PJ'!AG207&lt;&gt;0,'Calculations PJ'!AG207*About!$B$45,0)</f>
        <v>0</v>
      </c>
      <c r="AH207">
        <f>IF('Calculations PJ'!AH207&lt;&gt;0,'Calculations PJ'!AH207*About!$B$45,0)</f>
        <v>0</v>
      </c>
      <c r="AI207">
        <f>IF('Calculations PJ'!AI207&lt;&gt;0,'Calculations PJ'!AI207*About!$B$45,0)</f>
        <v>0</v>
      </c>
      <c r="AJ207">
        <f>IF('Calculations PJ'!AJ207&lt;&gt;0,'Calculations PJ'!AJ207*About!$B$45,0)</f>
        <v>0</v>
      </c>
      <c r="AK207">
        <f>IF('Calculations PJ'!AK207&lt;&gt;0,'Calculations PJ'!AK207*About!$B$45,0)</f>
        <v>0</v>
      </c>
      <c r="AL207">
        <f>IF('Calculations PJ'!AL207&lt;&gt;0,'Calculations PJ'!AL207*About!$B$45,0)</f>
        <v>0</v>
      </c>
      <c r="AM207">
        <f>IF('Calculations PJ'!AM207&lt;&gt;0,'Calculations PJ'!AM207*About!$B$45,0)</f>
        <v>0</v>
      </c>
      <c r="AN207">
        <f>IF('Calculations PJ'!AN207&lt;&gt;0,'Calculations PJ'!AN207*About!$B$45,0)</f>
        <v>0</v>
      </c>
      <c r="AO207">
        <f>IF('Calculations PJ'!AO207&lt;&gt;0,'Calculations PJ'!AO207*About!$B$45,0)</f>
        <v>0</v>
      </c>
      <c r="AP207">
        <f>IF('Calculations PJ'!AP207&lt;&gt;0,'Calculations PJ'!AP207*About!$B$45,0)</f>
        <v>0</v>
      </c>
      <c r="AQ207">
        <f>IF('Calculations PJ'!AQ207&lt;&gt;0,'Calculations PJ'!AQ207*About!$B$45,0)</f>
        <v>0</v>
      </c>
      <c r="AR207">
        <f>IF('Calculations PJ'!AR207&lt;&gt;0,'Calculations PJ'!AR207*About!$B$45,0)</f>
        <v>0</v>
      </c>
      <c r="AS207">
        <f>IF('Calculations PJ'!AS207&lt;&gt;0,'Calculations PJ'!AS207*About!$B$45,0)</f>
        <v>0</v>
      </c>
      <c r="AT207">
        <f>IF('Calculations PJ'!AT207&lt;&gt;0,'Calculations PJ'!AT207*About!$B$45,0)</f>
        <v>0</v>
      </c>
      <c r="AU207">
        <f>IF('Calculations PJ'!AU207&lt;&gt;0,'Calculations PJ'!AU207*About!$B$45,0)</f>
        <v>0</v>
      </c>
      <c r="AV207">
        <f>IF('Calculations PJ'!AV207&lt;&gt;0,'Calculations PJ'!AV207*About!$B$45,0)</f>
        <v>0</v>
      </c>
      <c r="AW207">
        <f>IF('Calculations PJ'!AW207&lt;&gt;0,'Calculations PJ'!AW207*About!$B$45,0)</f>
        <v>0</v>
      </c>
      <c r="AX207">
        <f>IF('Calculations PJ'!AX207&lt;&gt;0,'Calculations PJ'!AX207*About!$B$45,0)</f>
        <v>0</v>
      </c>
      <c r="AY207">
        <f>IF('Calculations PJ'!AY207&lt;&gt;0,'Calculations PJ'!AY207*About!$B$45,0)</f>
        <v>0</v>
      </c>
      <c r="AZ207">
        <f>IF('Calculations PJ'!AZ207&lt;&gt;0,'Calculations PJ'!AZ207*About!$B$45,0)</f>
        <v>0</v>
      </c>
      <c r="BA207">
        <f>IF('Calculations PJ'!BA207&lt;&gt;0,'Calculations PJ'!BA207*About!$B$45,0)</f>
        <v>0</v>
      </c>
      <c r="BB207">
        <f>IF('Calculations PJ'!BB207&lt;&gt;0,'Calculations PJ'!BB207*About!$B$45,0)</f>
        <v>0</v>
      </c>
      <c r="BC207">
        <f>IF('Calculations PJ'!BC207&lt;&gt;0,'Calculations PJ'!BC207*About!$B$45,0)</f>
        <v>0</v>
      </c>
      <c r="BD207">
        <f>IF('Calculations PJ'!BD207&lt;&gt;0,'Calculations PJ'!BD207*About!$B$45,0)</f>
        <v>0</v>
      </c>
      <c r="BE207">
        <f>IF('Calculations PJ'!BE207&lt;&gt;0,'Calculations PJ'!BE207*About!$B$45,0)</f>
        <v>0</v>
      </c>
      <c r="BF207">
        <f>IF('Calculations PJ'!BF207&lt;&gt;0,'Calculations PJ'!BF207*About!$B$45,0)</f>
        <v>0</v>
      </c>
      <c r="BG207">
        <f>IF('Calculations PJ'!BG207&lt;&gt;0,'Calculations PJ'!BG207*About!$B$45,0)</f>
        <v>0</v>
      </c>
      <c r="BH207">
        <f>IF('Calculations PJ'!BH207&lt;&gt;0,'Calculations PJ'!BH207*About!$B$45,0)</f>
        <v>0</v>
      </c>
    </row>
    <row r="208" spans="2:60" outlineLevel="1">
      <c r="B208" t="s">
        <v>149</v>
      </c>
      <c r="C208">
        <f>IF('Calculations PJ'!C208&lt;&gt;0,'Calculations PJ'!C208*About!$B$45,0)</f>
        <v>0</v>
      </c>
      <c r="D208">
        <f>IF('Calculations PJ'!D208&lt;&gt;0,'Calculations PJ'!D208*About!$B$45,0)</f>
        <v>0</v>
      </c>
      <c r="E208">
        <f>IF('Calculations PJ'!E208&lt;&gt;0,'Calculations PJ'!E208*About!$B$45,0)</f>
        <v>0</v>
      </c>
      <c r="F208">
        <f>IF('Calculations PJ'!F208&lt;&gt;0,'Calculations PJ'!F208*About!$B$45,0)</f>
        <v>0</v>
      </c>
      <c r="G208">
        <f>IF('Calculations PJ'!G208&lt;&gt;0,'Calculations PJ'!G208*About!$B$45,0)</f>
        <v>0</v>
      </c>
      <c r="H208">
        <f>IF('Calculations PJ'!H208&lt;&gt;0,'Calculations PJ'!H208*About!$B$45,0)</f>
        <v>0</v>
      </c>
      <c r="I208">
        <f>IF('Calculations PJ'!I208&lt;&gt;0,'Calculations PJ'!I208*About!$B$45,0)</f>
        <v>0</v>
      </c>
      <c r="J208">
        <f>IF('Calculations PJ'!J208&lt;&gt;0,'Calculations PJ'!J208*About!$B$45,0)</f>
        <v>0</v>
      </c>
      <c r="K208">
        <f>IF('Calculations PJ'!K208&lt;&gt;0,'Calculations PJ'!K208*About!$B$45,0)</f>
        <v>0</v>
      </c>
      <c r="L208">
        <f>IF('Calculations PJ'!L208&lt;&gt;0,'Calculations PJ'!L208*About!$B$45,0)</f>
        <v>0</v>
      </c>
      <c r="M208">
        <f>IF('Calculations PJ'!M208&lt;&gt;0,'Calculations PJ'!M208*About!$B$45,0)</f>
        <v>0</v>
      </c>
      <c r="N208">
        <f>IF('Calculations PJ'!N208&lt;&gt;0,'Calculations PJ'!N208*About!$B$45,0)</f>
        <v>0</v>
      </c>
      <c r="O208">
        <f>IF('Calculations PJ'!O208&lt;&gt;0,'Calculations PJ'!O208*About!$B$45,0)</f>
        <v>0</v>
      </c>
      <c r="P208">
        <f>IF('Calculations PJ'!P208&lt;&gt;0,'Calculations PJ'!P208*About!$B$45,0)</f>
        <v>0</v>
      </c>
      <c r="Q208">
        <f>IF('Calculations PJ'!Q208&lt;&gt;0,'Calculations PJ'!Q208*About!$B$45,0)</f>
        <v>0</v>
      </c>
      <c r="R208">
        <f>IF('Calculations PJ'!R208&lt;&gt;0,'Calculations PJ'!R208*About!$B$45,0)</f>
        <v>0</v>
      </c>
      <c r="S208">
        <f>IF('Calculations PJ'!S208&lt;&gt;0,'Calculations PJ'!S208*About!$B$45,0)</f>
        <v>0</v>
      </c>
      <c r="T208">
        <f>IF('Calculations PJ'!T208&lt;&gt;0,'Calculations PJ'!T208*About!$B$45,0)</f>
        <v>0</v>
      </c>
      <c r="U208">
        <f>IF('Calculations PJ'!U208&lt;&gt;0,'Calculations PJ'!U208*About!$B$45,0)</f>
        <v>0</v>
      </c>
      <c r="V208">
        <f>IF('Calculations PJ'!V208&lt;&gt;0,'Calculations PJ'!V208*About!$B$45,0)</f>
        <v>0</v>
      </c>
      <c r="W208">
        <f>IF('Calculations PJ'!W208&lt;&gt;0,'Calculations PJ'!W208*About!$B$45,0)</f>
        <v>0</v>
      </c>
      <c r="X208">
        <f>IF('Calculations PJ'!X208&lt;&gt;0,'Calculations PJ'!X208*About!$B$45,0)</f>
        <v>0</v>
      </c>
      <c r="Y208">
        <f>IF('Calculations PJ'!Y208&lt;&gt;0,'Calculations PJ'!Y208*About!$B$45,0)</f>
        <v>0</v>
      </c>
      <c r="Z208">
        <f>IF('Calculations PJ'!Z208&lt;&gt;0,'Calculations PJ'!Z208*About!$B$45,0)</f>
        <v>0</v>
      </c>
      <c r="AA208">
        <f>IF('Calculations PJ'!AA208&lt;&gt;0,'Calculations PJ'!AA208*About!$B$45,0)</f>
        <v>0</v>
      </c>
      <c r="AB208">
        <f>IF('Calculations PJ'!AB208&lt;&gt;0,'Calculations PJ'!AB208*About!$B$45,0)</f>
        <v>0</v>
      </c>
      <c r="AC208">
        <f>IF('Calculations PJ'!AC208&lt;&gt;0,'Calculations PJ'!AC208*About!$B$45,0)</f>
        <v>0</v>
      </c>
      <c r="AD208">
        <f>IF('Calculations PJ'!AD208&lt;&gt;0,'Calculations PJ'!AD208*About!$B$45,0)</f>
        <v>0</v>
      </c>
      <c r="AE208">
        <f>IF('Calculations PJ'!AE208&lt;&gt;0,'Calculations PJ'!AE208*About!$B$45,0)</f>
        <v>0</v>
      </c>
      <c r="AF208">
        <f>IF('Calculations PJ'!AF208&lt;&gt;0,'Calculations PJ'!AF208*About!$B$45,0)</f>
        <v>0</v>
      </c>
      <c r="AG208">
        <f>IF('Calculations PJ'!AG208&lt;&gt;0,'Calculations PJ'!AG208*About!$B$45,0)</f>
        <v>0</v>
      </c>
      <c r="AH208">
        <f>IF('Calculations PJ'!AH208&lt;&gt;0,'Calculations PJ'!AH208*About!$B$45,0)</f>
        <v>0</v>
      </c>
      <c r="AI208">
        <f>IF('Calculations PJ'!AI208&lt;&gt;0,'Calculations PJ'!AI208*About!$B$45,0)</f>
        <v>0</v>
      </c>
      <c r="AJ208">
        <f>IF('Calculations PJ'!AJ208&lt;&gt;0,'Calculations PJ'!AJ208*About!$B$45,0)</f>
        <v>0</v>
      </c>
      <c r="AK208">
        <f>IF('Calculations PJ'!AK208&lt;&gt;0,'Calculations PJ'!AK208*About!$B$45,0)</f>
        <v>0</v>
      </c>
      <c r="AL208">
        <f>IF('Calculations PJ'!AL208&lt;&gt;0,'Calculations PJ'!AL208*About!$B$45,0)</f>
        <v>0</v>
      </c>
      <c r="AM208">
        <f>IF('Calculations PJ'!AM208&lt;&gt;0,'Calculations PJ'!AM208*About!$B$45,0)</f>
        <v>0</v>
      </c>
      <c r="AN208">
        <f>IF('Calculations PJ'!AN208&lt;&gt;0,'Calculations PJ'!AN208*About!$B$45,0)</f>
        <v>0</v>
      </c>
      <c r="AO208">
        <f>IF('Calculations PJ'!AO208&lt;&gt;0,'Calculations PJ'!AO208*About!$B$45,0)</f>
        <v>0</v>
      </c>
      <c r="AP208">
        <f>IF('Calculations PJ'!AP208&lt;&gt;0,'Calculations PJ'!AP208*About!$B$45,0)</f>
        <v>0</v>
      </c>
      <c r="AQ208">
        <f>IF('Calculations PJ'!AQ208&lt;&gt;0,'Calculations PJ'!AQ208*About!$B$45,0)</f>
        <v>0</v>
      </c>
      <c r="AR208">
        <f>IF('Calculations PJ'!AR208&lt;&gt;0,'Calculations PJ'!AR208*About!$B$45,0)</f>
        <v>0</v>
      </c>
      <c r="AS208">
        <f>IF('Calculations PJ'!AS208&lt;&gt;0,'Calculations PJ'!AS208*About!$B$45,0)</f>
        <v>0</v>
      </c>
      <c r="AT208">
        <f>IF('Calculations PJ'!AT208&lt;&gt;0,'Calculations PJ'!AT208*About!$B$45,0)</f>
        <v>0</v>
      </c>
      <c r="AU208">
        <f>IF('Calculations PJ'!AU208&lt;&gt;0,'Calculations PJ'!AU208*About!$B$45,0)</f>
        <v>0</v>
      </c>
      <c r="AV208">
        <f>IF('Calculations PJ'!AV208&lt;&gt;0,'Calculations PJ'!AV208*About!$B$45,0)</f>
        <v>0</v>
      </c>
      <c r="AW208">
        <f>IF('Calculations PJ'!AW208&lt;&gt;0,'Calculations PJ'!AW208*About!$B$45,0)</f>
        <v>0</v>
      </c>
      <c r="AX208">
        <f>IF('Calculations PJ'!AX208&lt;&gt;0,'Calculations PJ'!AX208*About!$B$45,0)</f>
        <v>0</v>
      </c>
      <c r="AY208">
        <f>IF('Calculations PJ'!AY208&lt;&gt;0,'Calculations PJ'!AY208*About!$B$45,0)</f>
        <v>0</v>
      </c>
      <c r="AZ208">
        <f>IF('Calculations PJ'!AZ208&lt;&gt;0,'Calculations PJ'!AZ208*About!$B$45,0)</f>
        <v>0</v>
      </c>
      <c r="BA208">
        <f>IF('Calculations PJ'!BA208&lt;&gt;0,'Calculations PJ'!BA208*About!$B$45,0)</f>
        <v>0</v>
      </c>
      <c r="BB208">
        <f>IF('Calculations PJ'!BB208&lt;&gt;0,'Calculations PJ'!BB208*About!$B$45,0)</f>
        <v>0</v>
      </c>
      <c r="BC208">
        <f>IF('Calculations PJ'!BC208&lt;&gt;0,'Calculations PJ'!BC208*About!$B$45,0)</f>
        <v>0</v>
      </c>
      <c r="BD208">
        <f>IF('Calculations PJ'!BD208&lt;&gt;0,'Calculations PJ'!BD208*About!$B$45,0)</f>
        <v>0</v>
      </c>
      <c r="BE208">
        <f>IF('Calculations PJ'!BE208&lt;&gt;0,'Calculations PJ'!BE208*About!$B$45,0)</f>
        <v>0</v>
      </c>
      <c r="BF208">
        <f>IF('Calculations PJ'!BF208&lt;&gt;0,'Calculations PJ'!BF208*About!$B$45,0)</f>
        <v>0</v>
      </c>
      <c r="BG208">
        <f>IF('Calculations PJ'!BG208&lt;&gt;0,'Calculations PJ'!BG208*About!$B$45,0)</f>
        <v>0</v>
      </c>
      <c r="BH208">
        <f>IF('Calculations PJ'!BH208&lt;&gt;0,'Calculations PJ'!BH208*About!$B$45,0)</f>
        <v>0</v>
      </c>
    </row>
    <row r="209" spans="1:60" outlineLevel="1">
      <c r="B209" t="s">
        <v>150</v>
      </c>
      <c r="C209">
        <f>IF('Calculations PJ'!C209&lt;&gt;0,'Calculations PJ'!C209*About!$B$45,0)</f>
        <v>0</v>
      </c>
      <c r="D209">
        <f>IF('Calculations PJ'!D209&lt;&gt;0,'Calculations PJ'!D209*About!$B$45,0)</f>
        <v>0</v>
      </c>
      <c r="E209">
        <f>IF('Calculations PJ'!E209&lt;&gt;0,'Calculations PJ'!E209*About!$B$45,0)</f>
        <v>0</v>
      </c>
      <c r="F209">
        <f>IF('Calculations PJ'!F209&lt;&gt;0,'Calculations PJ'!F209*About!$B$45,0)</f>
        <v>0</v>
      </c>
      <c r="G209">
        <f>IF('Calculations PJ'!G209&lt;&gt;0,'Calculations PJ'!G209*About!$B$45,0)</f>
        <v>0</v>
      </c>
      <c r="H209">
        <f>IF('Calculations PJ'!H209&lt;&gt;0,'Calculations PJ'!H209*About!$B$45,0)</f>
        <v>0</v>
      </c>
      <c r="I209">
        <f>IF('Calculations PJ'!I209&lt;&gt;0,'Calculations PJ'!I209*About!$B$45,0)</f>
        <v>0</v>
      </c>
      <c r="J209">
        <f>IF('Calculations PJ'!J209&lt;&gt;0,'Calculations PJ'!J209*About!$B$45,0)</f>
        <v>0</v>
      </c>
      <c r="K209">
        <f>IF('Calculations PJ'!K209&lt;&gt;0,'Calculations PJ'!K209*About!$B$45,0)</f>
        <v>0</v>
      </c>
      <c r="L209">
        <f>IF('Calculations PJ'!L209&lt;&gt;0,'Calculations PJ'!L209*About!$B$45,0)</f>
        <v>0</v>
      </c>
      <c r="M209">
        <f>IF('Calculations PJ'!M209&lt;&gt;0,'Calculations PJ'!M209*About!$B$45,0)</f>
        <v>0</v>
      </c>
      <c r="N209">
        <f>IF('Calculations PJ'!N209&lt;&gt;0,'Calculations PJ'!N209*About!$B$45,0)</f>
        <v>0</v>
      </c>
      <c r="O209">
        <f>IF('Calculations PJ'!O209&lt;&gt;0,'Calculations PJ'!O209*About!$B$45,0)</f>
        <v>0</v>
      </c>
      <c r="P209">
        <f>IF('Calculations PJ'!P209&lt;&gt;0,'Calculations PJ'!P209*About!$B$45,0)</f>
        <v>0</v>
      </c>
      <c r="Q209">
        <f>IF('Calculations PJ'!Q209&lt;&gt;0,'Calculations PJ'!Q209*About!$B$45,0)</f>
        <v>0</v>
      </c>
      <c r="R209">
        <f>IF('Calculations PJ'!R209&lt;&gt;0,'Calculations PJ'!R209*About!$B$45,0)</f>
        <v>0</v>
      </c>
      <c r="S209">
        <f>IF('Calculations PJ'!S209&lt;&gt;0,'Calculations PJ'!S209*About!$B$45,0)</f>
        <v>0</v>
      </c>
      <c r="T209">
        <f>IF('Calculations PJ'!T209&lt;&gt;0,'Calculations PJ'!T209*About!$B$45,0)</f>
        <v>0</v>
      </c>
      <c r="U209">
        <f>IF('Calculations PJ'!U209&lt;&gt;0,'Calculations PJ'!U209*About!$B$45,0)</f>
        <v>0</v>
      </c>
      <c r="V209">
        <f>IF('Calculations PJ'!V209&lt;&gt;0,'Calculations PJ'!V209*About!$B$45,0)</f>
        <v>0</v>
      </c>
      <c r="W209">
        <f>IF('Calculations PJ'!W209&lt;&gt;0,'Calculations PJ'!W209*About!$B$45,0)</f>
        <v>0</v>
      </c>
      <c r="X209">
        <f>IF('Calculations PJ'!X209&lt;&gt;0,'Calculations PJ'!X209*About!$B$45,0)</f>
        <v>0</v>
      </c>
      <c r="Y209">
        <f>IF('Calculations PJ'!Y209&lt;&gt;0,'Calculations PJ'!Y209*About!$B$45,0)</f>
        <v>0</v>
      </c>
      <c r="Z209">
        <f>IF('Calculations PJ'!Z209&lt;&gt;0,'Calculations PJ'!Z209*About!$B$45,0)</f>
        <v>0</v>
      </c>
      <c r="AA209">
        <f>IF('Calculations PJ'!AA209&lt;&gt;0,'Calculations PJ'!AA209*About!$B$45,0)</f>
        <v>0</v>
      </c>
      <c r="AB209">
        <f>IF('Calculations PJ'!AB209&lt;&gt;0,'Calculations PJ'!AB209*About!$B$45,0)</f>
        <v>0</v>
      </c>
      <c r="AC209">
        <f>IF('Calculations PJ'!AC209&lt;&gt;0,'Calculations PJ'!AC209*About!$B$45,0)</f>
        <v>0</v>
      </c>
      <c r="AD209">
        <f>IF('Calculations PJ'!AD209&lt;&gt;0,'Calculations PJ'!AD209*About!$B$45,0)</f>
        <v>0</v>
      </c>
      <c r="AE209">
        <f>IF('Calculations PJ'!AE209&lt;&gt;0,'Calculations PJ'!AE209*About!$B$45,0)</f>
        <v>0</v>
      </c>
      <c r="AF209">
        <f>IF('Calculations PJ'!AF209&lt;&gt;0,'Calculations PJ'!AF209*About!$B$45,0)</f>
        <v>0</v>
      </c>
      <c r="AG209">
        <f>IF('Calculations PJ'!AG209&lt;&gt;0,'Calculations PJ'!AG209*About!$B$45,0)</f>
        <v>0</v>
      </c>
      <c r="AH209">
        <f>IF('Calculations PJ'!AH209&lt;&gt;0,'Calculations PJ'!AH209*About!$B$45,0)</f>
        <v>0</v>
      </c>
      <c r="AI209">
        <f>IF('Calculations PJ'!AI209&lt;&gt;0,'Calculations PJ'!AI209*About!$B$45,0)</f>
        <v>0</v>
      </c>
      <c r="AJ209">
        <f>IF('Calculations PJ'!AJ209&lt;&gt;0,'Calculations PJ'!AJ209*About!$B$45,0)</f>
        <v>0</v>
      </c>
      <c r="AK209">
        <f>IF('Calculations PJ'!AK209&lt;&gt;0,'Calculations PJ'!AK209*About!$B$45,0)</f>
        <v>0</v>
      </c>
      <c r="AL209">
        <f>IF('Calculations PJ'!AL209&lt;&gt;0,'Calculations PJ'!AL209*About!$B$45,0)</f>
        <v>0</v>
      </c>
      <c r="AM209">
        <f>IF('Calculations PJ'!AM209&lt;&gt;0,'Calculations PJ'!AM209*About!$B$45,0)</f>
        <v>0</v>
      </c>
      <c r="AN209">
        <f>IF('Calculations PJ'!AN209&lt;&gt;0,'Calculations PJ'!AN209*About!$B$45,0)</f>
        <v>0</v>
      </c>
      <c r="AO209">
        <f>IF('Calculations PJ'!AO209&lt;&gt;0,'Calculations PJ'!AO209*About!$B$45,0)</f>
        <v>0</v>
      </c>
      <c r="AP209">
        <f>IF('Calculations PJ'!AP209&lt;&gt;0,'Calculations PJ'!AP209*About!$B$45,0)</f>
        <v>0</v>
      </c>
      <c r="AQ209">
        <f>IF('Calculations PJ'!AQ209&lt;&gt;0,'Calculations PJ'!AQ209*About!$B$45,0)</f>
        <v>0</v>
      </c>
      <c r="AR209">
        <f>IF('Calculations PJ'!AR209&lt;&gt;0,'Calculations PJ'!AR209*About!$B$45,0)</f>
        <v>0</v>
      </c>
      <c r="AS209">
        <f>IF('Calculations PJ'!AS209&lt;&gt;0,'Calculations PJ'!AS209*About!$B$45,0)</f>
        <v>0</v>
      </c>
      <c r="AT209">
        <f>IF('Calculations PJ'!AT209&lt;&gt;0,'Calculations PJ'!AT209*About!$B$45,0)</f>
        <v>0</v>
      </c>
      <c r="AU209">
        <f>IF('Calculations PJ'!AU209&lt;&gt;0,'Calculations PJ'!AU209*About!$B$45,0)</f>
        <v>0</v>
      </c>
      <c r="AV209">
        <f>IF('Calculations PJ'!AV209&lt;&gt;0,'Calculations PJ'!AV209*About!$B$45,0)</f>
        <v>0</v>
      </c>
      <c r="AW209">
        <f>IF('Calculations PJ'!AW209&lt;&gt;0,'Calculations PJ'!AW209*About!$B$45,0)</f>
        <v>0</v>
      </c>
      <c r="AX209">
        <f>IF('Calculations PJ'!AX209&lt;&gt;0,'Calculations PJ'!AX209*About!$B$45,0)</f>
        <v>0</v>
      </c>
      <c r="AY209">
        <f>IF('Calculations PJ'!AY209&lt;&gt;0,'Calculations PJ'!AY209*About!$B$45,0)</f>
        <v>0</v>
      </c>
      <c r="AZ209">
        <f>IF('Calculations PJ'!AZ209&lt;&gt;0,'Calculations PJ'!AZ209*About!$B$45,0)</f>
        <v>0</v>
      </c>
      <c r="BA209">
        <f>IF('Calculations PJ'!BA209&lt;&gt;0,'Calculations PJ'!BA209*About!$B$45,0)</f>
        <v>0</v>
      </c>
      <c r="BB209">
        <f>IF('Calculations PJ'!BB209&lt;&gt;0,'Calculations PJ'!BB209*About!$B$45,0)</f>
        <v>0</v>
      </c>
      <c r="BC209">
        <f>IF('Calculations PJ'!BC209&lt;&gt;0,'Calculations PJ'!BC209*About!$B$45,0)</f>
        <v>0</v>
      </c>
      <c r="BD209">
        <f>IF('Calculations PJ'!BD209&lt;&gt;0,'Calculations PJ'!BD209*About!$B$45,0)</f>
        <v>0</v>
      </c>
      <c r="BE209">
        <f>IF('Calculations PJ'!BE209&lt;&gt;0,'Calculations PJ'!BE209*About!$B$45,0)</f>
        <v>0</v>
      </c>
      <c r="BF209">
        <f>IF('Calculations PJ'!BF209&lt;&gt;0,'Calculations PJ'!BF209*About!$B$45,0)</f>
        <v>0</v>
      </c>
      <c r="BG209">
        <f>IF('Calculations PJ'!BG209&lt;&gt;0,'Calculations PJ'!BG209*About!$B$45,0)</f>
        <v>0</v>
      </c>
      <c r="BH209">
        <f>IF('Calculations PJ'!BH209&lt;&gt;0,'Calculations PJ'!BH209*About!$B$45,0)</f>
        <v>0</v>
      </c>
    </row>
    <row r="210" spans="1:60">
      <c r="A210" t="s">
        <v>158</v>
      </c>
      <c r="C210">
        <f>SUM(C211:C235)</f>
        <v>0</v>
      </c>
      <c r="D210">
        <f t="shared" ref="D210:BH210" si="8">SUM(D211:D235)</f>
        <v>0</v>
      </c>
      <c r="E210">
        <f t="shared" si="8"/>
        <v>0</v>
      </c>
      <c r="F210">
        <f t="shared" si="8"/>
        <v>0</v>
      </c>
      <c r="G210">
        <f t="shared" si="8"/>
        <v>0</v>
      </c>
      <c r="H210">
        <f t="shared" si="8"/>
        <v>0</v>
      </c>
      <c r="I210">
        <f t="shared" si="8"/>
        <v>0</v>
      </c>
      <c r="J210">
        <f t="shared" si="8"/>
        <v>0</v>
      </c>
      <c r="K210">
        <f t="shared" si="8"/>
        <v>0</v>
      </c>
      <c r="L210">
        <f t="shared" si="8"/>
        <v>0</v>
      </c>
      <c r="M210">
        <f t="shared" si="8"/>
        <v>0</v>
      </c>
      <c r="N210">
        <f t="shared" si="8"/>
        <v>0</v>
      </c>
      <c r="O210">
        <f t="shared" si="8"/>
        <v>0</v>
      </c>
      <c r="P210">
        <f t="shared" si="8"/>
        <v>0</v>
      </c>
      <c r="Q210">
        <f t="shared" si="8"/>
        <v>0</v>
      </c>
      <c r="R210">
        <f t="shared" si="8"/>
        <v>0</v>
      </c>
      <c r="S210">
        <f t="shared" si="8"/>
        <v>0</v>
      </c>
      <c r="T210">
        <f t="shared" si="8"/>
        <v>0</v>
      </c>
      <c r="U210">
        <f t="shared" si="8"/>
        <v>0</v>
      </c>
      <c r="V210">
        <f t="shared" si="8"/>
        <v>0</v>
      </c>
      <c r="W210">
        <f t="shared" si="8"/>
        <v>0</v>
      </c>
      <c r="X210">
        <f t="shared" si="8"/>
        <v>0</v>
      </c>
      <c r="Y210">
        <f t="shared" si="8"/>
        <v>0</v>
      </c>
      <c r="Z210">
        <f t="shared" si="8"/>
        <v>0</v>
      </c>
      <c r="AA210">
        <f t="shared" si="8"/>
        <v>0</v>
      </c>
      <c r="AB210">
        <f t="shared" si="8"/>
        <v>0</v>
      </c>
      <c r="AC210">
        <f t="shared" si="8"/>
        <v>0</v>
      </c>
      <c r="AD210">
        <f t="shared" si="8"/>
        <v>0</v>
      </c>
      <c r="AE210">
        <f t="shared" si="8"/>
        <v>0</v>
      </c>
      <c r="AF210">
        <f t="shared" si="8"/>
        <v>0</v>
      </c>
      <c r="AG210">
        <f t="shared" si="8"/>
        <v>0</v>
      </c>
      <c r="AH210">
        <f t="shared" si="8"/>
        <v>0</v>
      </c>
      <c r="AI210">
        <f t="shared" si="8"/>
        <v>0</v>
      </c>
      <c r="AJ210">
        <f t="shared" si="8"/>
        <v>0</v>
      </c>
      <c r="AK210">
        <f t="shared" si="8"/>
        <v>0</v>
      </c>
      <c r="AL210">
        <f t="shared" si="8"/>
        <v>0</v>
      </c>
      <c r="AM210">
        <f t="shared" si="8"/>
        <v>0</v>
      </c>
      <c r="AN210">
        <f t="shared" si="8"/>
        <v>0</v>
      </c>
      <c r="AO210">
        <f t="shared" si="8"/>
        <v>0</v>
      </c>
      <c r="AP210">
        <f t="shared" si="8"/>
        <v>0</v>
      </c>
      <c r="AQ210">
        <f t="shared" si="8"/>
        <v>0</v>
      </c>
      <c r="AR210">
        <f t="shared" si="8"/>
        <v>0</v>
      </c>
      <c r="AS210">
        <f t="shared" si="8"/>
        <v>0</v>
      </c>
      <c r="AT210">
        <f t="shared" si="8"/>
        <v>0</v>
      </c>
      <c r="AU210">
        <f t="shared" si="8"/>
        <v>0</v>
      </c>
      <c r="AV210">
        <f t="shared" si="8"/>
        <v>0</v>
      </c>
      <c r="AW210">
        <f t="shared" si="8"/>
        <v>0</v>
      </c>
      <c r="AX210">
        <f t="shared" si="8"/>
        <v>0</v>
      </c>
      <c r="AY210">
        <f t="shared" si="8"/>
        <v>0</v>
      </c>
      <c r="AZ210">
        <f t="shared" si="8"/>
        <v>0</v>
      </c>
      <c r="BA210">
        <f t="shared" si="8"/>
        <v>0</v>
      </c>
      <c r="BB210">
        <f t="shared" si="8"/>
        <v>0</v>
      </c>
      <c r="BC210">
        <f t="shared" si="8"/>
        <v>0</v>
      </c>
      <c r="BD210">
        <f t="shared" si="8"/>
        <v>0</v>
      </c>
      <c r="BE210">
        <f t="shared" si="8"/>
        <v>0</v>
      </c>
      <c r="BF210">
        <f t="shared" si="8"/>
        <v>0</v>
      </c>
      <c r="BG210">
        <f t="shared" si="8"/>
        <v>0</v>
      </c>
      <c r="BH210">
        <f t="shared" si="8"/>
        <v>0</v>
      </c>
    </row>
    <row r="211" spans="1:60" outlineLevel="2">
      <c r="B211" t="s">
        <v>126</v>
      </c>
      <c r="C211">
        <f>IF('Calculations PJ'!C211&lt;&gt;0,'Calculations PJ'!C211*About!$B$45,0)</f>
        <v>0</v>
      </c>
      <c r="D211">
        <f>IF('Calculations PJ'!D211&lt;&gt;0,'Calculations PJ'!D211*About!$B$45,0)</f>
        <v>0</v>
      </c>
      <c r="E211">
        <f>IF('Calculations PJ'!E211&lt;&gt;0,'Calculations PJ'!E211*About!$B$45,0)</f>
        <v>0</v>
      </c>
      <c r="F211">
        <f>IF('Calculations PJ'!F211&lt;&gt;0,'Calculations PJ'!F211*About!$B$45,0)</f>
        <v>0</v>
      </c>
      <c r="G211">
        <f>IF('Calculations PJ'!G211&lt;&gt;0,'Calculations PJ'!G211*About!$B$45,0)</f>
        <v>0</v>
      </c>
      <c r="H211">
        <f>IF('Calculations PJ'!H211&lt;&gt;0,'Calculations PJ'!H211*About!$B$45,0)</f>
        <v>0</v>
      </c>
      <c r="I211">
        <f>IF('Calculations PJ'!I211&lt;&gt;0,'Calculations PJ'!I211*About!$B$45,0)</f>
        <v>0</v>
      </c>
      <c r="J211">
        <f>IF('Calculations PJ'!J211&lt;&gt;0,'Calculations PJ'!J211*About!$B$45,0)</f>
        <v>0</v>
      </c>
      <c r="K211">
        <f>IF('Calculations PJ'!K211&lt;&gt;0,'Calculations PJ'!K211*About!$B$45,0)</f>
        <v>0</v>
      </c>
      <c r="L211">
        <f>IF('Calculations PJ'!L211&lt;&gt;0,'Calculations PJ'!L211*About!$B$45,0)</f>
        <v>0</v>
      </c>
      <c r="M211">
        <f>IF('Calculations PJ'!M211&lt;&gt;0,'Calculations PJ'!M211*About!$B$45,0)</f>
        <v>0</v>
      </c>
      <c r="N211">
        <f>IF('Calculations PJ'!N211&lt;&gt;0,'Calculations PJ'!N211*About!$B$45,0)</f>
        <v>0</v>
      </c>
      <c r="O211">
        <f>IF('Calculations PJ'!O211&lt;&gt;0,'Calculations PJ'!O211*About!$B$45,0)</f>
        <v>0</v>
      </c>
      <c r="P211">
        <f>IF('Calculations PJ'!P211&lt;&gt;0,'Calculations PJ'!P211*About!$B$45,0)</f>
        <v>0</v>
      </c>
      <c r="Q211">
        <f>IF('Calculations PJ'!Q211&lt;&gt;0,'Calculations PJ'!Q211*About!$B$45,0)</f>
        <v>0</v>
      </c>
      <c r="R211">
        <f>IF('Calculations PJ'!R211&lt;&gt;0,'Calculations PJ'!R211*About!$B$45,0)</f>
        <v>0</v>
      </c>
      <c r="S211">
        <f>IF('Calculations PJ'!S211&lt;&gt;0,'Calculations PJ'!S211*About!$B$45,0)</f>
        <v>0</v>
      </c>
      <c r="T211">
        <f>IF('Calculations PJ'!T211&lt;&gt;0,'Calculations PJ'!T211*About!$B$45,0)</f>
        <v>0</v>
      </c>
      <c r="U211">
        <f>IF('Calculations PJ'!U211&lt;&gt;0,'Calculations PJ'!U211*About!$B$45,0)</f>
        <v>0</v>
      </c>
      <c r="V211">
        <f>IF('Calculations PJ'!V211&lt;&gt;0,'Calculations PJ'!V211*About!$B$45,0)</f>
        <v>0</v>
      </c>
      <c r="W211">
        <f>IF('Calculations PJ'!W211&lt;&gt;0,'Calculations PJ'!W211*About!$B$45,0)</f>
        <v>0</v>
      </c>
      <c r="X211">
        <f>IF('Calculations PJ'!X211&lt;&gt;0,'Calculations PJ'!X211*About!$B$45,0)</f>
        <v>0</v>
      </c>
      <c r="Y211">
        <f>IF('Calculations PJ'!Y211&lt;&gt;0,'Calculations PJ'!Y211*About!$B$45,0)</f>
        <v>0</v>
      </c>
      <c r="Z211">
        <f>IF('Calculations PJ'!Z211&lt;&gt;0,'Calculations PJ'!Z211*About!$B$45,0)</f>
        <v>0</v>
      </c>
      <c r="AA211">
        <f>IF('Calculations PJ'!AA211&lt;&gt;0,'Calculations PJ'!AA211*About!$B$45,0)</f>
        <v>0</v>
      </c>
      <c r="AB211">
        <f>IF('Calculations PJ'!AB211&lt;&gt;0,'Calculations PJ'!AB211*About!$B$45,0)</f>
        <v>0</v>
      </c>
      <c r="AC211">
        <f>IF('Calculations PJ'!AC211&lt;&gt;0,'Calculations PJ'!AC211*About!$B$45,0)</f>
        <v>0</v>
      </c>
      <c r="AD211">
        <f>IF('Calculations PJ'!AD211&lt;&gt;0,'Calculations PJ'!AD211*About!$B$45,0)</f>
        <v>0</v>
      </c>
      <c r="AE211">
        <f>IF('Calculations PJ'!AE211&lt;&gt;0,'Calculations PJ'!AE211*About!$B$45,0)</f>
        <v>0</v>
      </c>
      <c r="AF211">
        <f>IF('Calculations PJ'!AF211&lt;&gt;0,'Calculations PJ'!AF211*About!$B$45,0)</f>
        <v>0</v>
      </c>
      <c r="AG211">
        <f>IF('Calculations PJ'!AG211&lt;&gt;0,'Calculations PJ'!AG211*About!$B$45,0)</f>
        <v>0</v>
      </c>
      <c r="AH211">
        <f>IF('Calculations PJ'!AH211&lt;&gt;0,'Calculations PJ'!AH211*About!$B$45,0)</f>
        <v>0</v>
      </c>
      <c r="AI211">
        <f>IF('Calculations PJ'!AI211&lt;&gt;0,'Calculations PJ'!AI211*About!$B$45,0)</f>
        <v>0</v>
      </c>
      <c r="AJ211">
        <f>IF('Calculations PJ'!AJ211&lt;&gt;0,'Calculations PJ'!AJ211*About!$B$45,0)</f>
        <v>0</v>
      </c>
      <c r="AK211">
        <f>IF('Calculations PJ'!AK211&lt;&gt;0,'Calculations PJ'!AK211*About!$B$45,0)</f>
        <v>0</v>
      </c>
      <c r="AL211">
        <f>IF('Calculations PJ'!AL211&lt;&gt;0,'Calculations PJ'!AL211*About!$B$45,0)</f>
        <v>0</v>
      </c>
      <c r="AM211">
        <f>IF('Calculations PJ'!AM211&lt;&gt;0,'Calculations PJ'!AM211*About!$B$45,0)</f>
        <v>0</v>
      </c>
      <c r="AN211">
        <f>IF('Calculations PJ'!AN211&lt;&gt;0,'Calculations PJ'!AN211*About!$B$45,0)</f>
        <v>0</v>
      </c>
      <c r="AO211">
        <f>IF('Calculations PJ'!AO211&lt;&gt;0,'Calculations PJ'!AO211*About!$B$45,0)</f>
        <v>0</v>
      </c>
      <c r="AP211">
        <f>IF('Calculations PJ'!AP211&lt;&gt;0,'Calculations PJ'!AP211*About!$B$45,0)</f>
        <v>0</v>
      </c>
      <c r="AQ211">
        <f>IF('Calculations PJ'!AQ211&lt;&gt;0,'Calculations PJ'!AQ211*About!$B$45,0)</f>
        <v>0</v>
      </c>
      <c r="AR211">
        <f>IF('Calculations PJ'!AR211&lt;&gt;0,'Calculations PJ'!AR211*About!$B$45,0)</f>
        <v>0</v>
      </c>
      <c r="AS211">
        <f>IF('Calculations PJ'!AS211&lt;&gt;0,'Calculations PJ'!AS211*About!$B$45,0)</f>
        <v>0</v>
      </c>
      <c r="AT211">
        <f>IF('Calculations PJ'!AT211&lt;&gt;0,'Calculations PJ'!AT211*About!$B$45,0)</f>
        <v>0</v>
      </c>
      <c r="AU211">
        <f>IF('Calculations PJ'!AU211&lt;&gt;0,'Calculations PJ'!AU211*About!$B$45,0)</f>
        <v>0</v>
      </c>
      <c r="AV211">
        <f>IF('Calculations PJ'!AV211&lt;&gt;0,'Calculations PJ'!AV211*About!$B$45,0)</f>
        <v>0</v>
      </c>
      <c r="AW211">
        <f>IF('Calculations PJ'!AW211&lt;&gt;0,'Calculations PJ'!AW211*About!$B$45,0)</f>
        <v>0</v>
      </c>
      <c r="AX211">
        <f>IF('Calculations PJ'!AX211&lt;&gt;0,'Calculations PJ'!AX211*About!$B$45,0)</f>
        <v>0</v>
      </c>
      <c r="AY211">
        <f>IF('Calculations PJ'!AY211&lt;&gt;0,'Calculations PJ'!AY211*About!$B$45,0)</f>
        <v>0</v>
      </c>
      <c r="AZ211">
        <f>IF('Calculations PJ'!AZ211&lt;&gt;0,'Calculations PJ'!AZ211*About!$B$45,0)</f>
        <v>0</v>
      </c>
      <c r="BA211">
        <f>IF('Calculations PJ'!BA211&lt;&gt;0,'Calculations PJ'!BA211*About!$B$45,0)</f>
        <v>0</v>
      </c>
      <c r="BB211">
        <f>IF('Calculations PJ'!BB211&lt;&gt;0,'Calculations PJ'!BB211*About!$B$45,0)</f>
        <v>0</v>
      </c>
      <c r="BC211">
        <f>IF('Calculations PJ'!BC211&lt;&gt;0,'Calculations PJ'!BC211*About!$B$45,0)</f>
        <v>0</v>
      </c>
      <c r="BD211">
        <f>IF('Calculations PJ'!BD211&lt;&gt;0,'Calculations PJ'!BD211*About!$B$45,0)</f>
        <v>0</v>
      </c>
      <c r="BE211">
        <f>IF('Calculations PJ'!BE211&lt;&gt;0,'Calculations PJ'!BE211*About!$B$45,0)</f>
        <v>0</v>
      </c>
      <c r="BF211">
        <f>IF('Calculations PJ'!BF211&lt;&gt;0,'Calculations PJ'!BF211*About!$B$45,0)</f>
        <v>0</v>
      </c>
      <c r="BG211">
        <f>IF('Calculations PJ'!BG211&lt;&gt;0,'Calculations PJ'!BG211*About!$B$45,0)</f>
        <v>0</v>
      </c>
      <c r="BH211">
        <f>IF('Calculations PJ'!BH211&lt;&gt;0,'Calculations PJ'!BH211*About!$B$45,0)</f>
        <v>0</v>
      </c>
    </row>
    <row r="212" spans="1:60" outlineLevel="2">
      <c r="B212" t="s">
        <v>127</v>
      </c>
      <c r="C212">
        <f>IF('Calculations PJ'!C212&lt;&gt;0,'Calculations PJ'!C212*About!$B$45,0)</f>
        <v>0</v>
      </c>
      <c r="D212">
        <f>IF('Calculations PJ'!D212&lt;&gt;0,'Calculations PJ'!D212*About!$B$45,0)</f>
        <v>0</v>
      </c>
      <c r="E212">
        <f>IF('Calculations PJ'!E212&lt;&gt;0,'Calculations PJ'!E212*About!$B$45,0)</f>
        <v>0</v>
      </c>
      <c r="F212">
        <f>IF('Calculations PJ'!F212&lt;&gt;0,'Calculations PJ'!F212*About!$B$45,0)</f>
        <v>0</v>
      </c>
      <c r="G212">
        <f>IF('Calculations PJ'!G212&lt;&gt;0,'Calculations PJ'!G212*About!$B$45,0)</f>
        <v>0</v>
      </c>
      <c r="H212">
        <f>IF('Calculations PJ'!H212&lt;&gt;0,'Calculations PJ'!H212*About!$B$45,0)</f>
        <v>0</v>
      </c>
      <c r="I212">
        <f>IF('Calculations PJ'!I212&lt;&gt;0,'Calculations PJ'!I212*About!$B$45,0)</f>
        <v>0</v>
      </c>
      <c r="J212">
        <f>IF('Calculations PJ'!J212&lt;&gt;0,'Calculations PJ'!J212*About!$B$45,0)</f>
        <v>0</v>
      </c>
      <c r="K212">
        <f>IF('Calculations PJ'!K212&lt;&gt;0,'Calculations PJ'!K212*About!$B$45,0)</f>
        <v>0</v>
      </c>
      <c r="L212">
        <f>IF('Calculations PJ'!L212&lt;&gt;0,'Calculations PJ'!L212*About!$B$45,0)</f>
        <v>0</v>
      </c>
      <c r="M212">
        <f>IF('Calculations PJ'!M212&lt;&gt;0,'Calculations PJ'!M212*About!$B$45,0)</f>
        <v>0</v>
      </c>
      <c r="N212">
        <f>IF('Calculations PJ'!N212&lt;&gt;0,'Calculations PJ'!N212*About!$B$45,0)</f>
        <v>0</v>
      </c>
      <c r="O212">
        <f>IF('Calculations PJ'!O212&lt;&gt;0,'Calculations PJ'!O212*About!$B$45,0)</f>
        <v>0</v>
      </c>
      <c r="P212">
        <f>IF('Calculations PJ'!P212&lt;&gt;0,'Calculations PJ'!P212*About!$B$45,0)</f>
        <v>0</v>
      </c>
      <c r="Q212">
        <f>IF('Calculations PJ'!Q212&lt;&gt;0,'Calculations PJ'!Q212*About!$B$45,0)</f>
        <v>0</v>
      </c>
      <c r="R212">
        <f>IF('Calculations PJ'!R212&lt;&gt;0,'Calculations PJ'!R212*About!$B$45,0)</f>
        <v>0</v>
      </c>
      <c r="S212">
        <f>IF('Calculations PJ'!S212&lt;&gt;0,'Calculations PJ'!S212*About!$B$45,0)</f>
        <v>0</v>
      </c>
      <c r="T212">
        <f>IF('Calculations PJ'!T212&lt;&gt;0,'Calculations PJ'!T212*About!$B$45,0)</f>
        <v>0</v>
      </c>
      <c r="U212">
        <f>IF('Calculations PJ'!U212&lt;&gt;0,'Calculations PJ'!U212*About!$B$45,0)</f>
        <v>0</v>
      </c>
      <c r="V212">
        <f>IF('Calculations PJ'!V212&lt;&gt;0,'Calculations PJ'!V212*About!$B$45,0)</f>
        <v>0</v>
      </c>
      <c r="W212">
        <f>IF('Calculations PJ'!W212&lt;&gt;0,'Calculations PJ'!W212*About!$B$45,0)</f>
        <v>0</v>
      </c>
      <c r="X212">
        <f>IF('Calculations PJ'!X212&lt;&gt;0,'Calculations PJ'!X212*About!$B$45,0)</f>
        <v>0</v>
      </c>
      <c r="Y212">
        <f>IF('Calculations PJ'!Y212&lt;&gt;0,'Calculations PJ'!Y212*About!$B$45,0)</f>
        <v>0</v>
      </c>
      <c r="Z212">
        <f>IF('Calculations PJ'!Z212&lt;&gt;0,'Calculations PJ'!Z212*About!$B$45,0)</f>
        <v>0</v>
      </c>
      <c r="AA212">
        <f>IF('Calculations PJ'!AA212&lt;&gt;0,'Calculations PJ'!AA212*About!$B$45,0)</f>
        <v>0</v>
      </c>
      <c r="AB212">
        <f>IF('Calculations PJ'!AB212&lt;&gt;0,'Calculations PJ'!AB212*About!$B$45,0)</f>
        <v>0</v>
      </c>
      <c r="AC212">
        <f>IF('Calculations PJ'!AC212&lt;&gt;0,'Calculations PJ'!AC212*About!$B$45,0)</f>
        <v>0</v>
      </c>
      <c r="AD212">
        <f>IF('Calculations PJ'!AD212&lt;&gt;0,'Calculations PJ'!AD212*About!$B$45,0)</f>
        <v>0</v>
      </c>
      <c r="AE212">
        <f>IF('Calculations PJ'!AE212&lt;&gt;0,'Calculations PJ'!AE212*About!$B$45,0)</f>
        <v>0</v>
      </c>
      <c r="AF212">
        <f>IF('Calculations PJ'!AF212&lt;&gt;0,'Calculations PJ'!AF212*About!$B$45,0)</f>
        <v>0</v>
      </c>
      <c r="AG212">
        <f>IF('Calculations PJ'!AG212&lt;&gt;0,'Calculations PJ'!AG212*About!$B$45,0)</f>
        <v>0</v>
      </c>
      <c r="AH212">
        <f>IF('Calculations PJ'!AH212&lt;&gt;0,'Calculations PJ'!AH212*About!$B$45,0)</f>
        <v>0</v>
      </c>
      <c r="AI212">
        <f>IF('Calculations PJ'!AI212&lt;&gt;0,'Calculations PJ'!AI212*About!$B$45,0)</f>
        <v>0</v>
      </c>
      <c r="AJ212">
        <f>IF('Calculations PJ'!AJ212&lt;&gt;0,'Calculations PJ'!AJ212*About!$B$45,0)</f>
        <v>0</v>
      </c>
      <c r="AK212">
        <f>IF('Calculations PJ'!AK212&lt;&gt;0,'Calculations PJ'!AK212*About!$B$45,0)</f>
        <v>0</v>
      </c>
      <c r="AL212">
        <f>IF('Calculations PJ'!AL212&lt;&gt;0,'Calculations PJ'!AL212*About!$B$45,0)</f>
        <v>0</v>
      </c>
      <c r="AM212">
        <f>IF('Calculations PJ'!AM212&lt;&gt;0,'Calculations PJ'!AM212*About!$B$45,0)</f>
        <v>0</v>
      </c>
      <c r="AN212">
        <f>IF('Calculations PJ'!AN212&lt;&gt;0,'Calculations PJ'!AN212*About!$B$45,0)</f>
        <v>0</v>
      </c>
      <c r="AO212">
        <f>IF('Calculations PJ'!AO212&lt;&gt;0,'Calculations PJ'!AO212*About!$B$45,0)</f>
        <v>0</v>
      </c>
      <c r="AP212">
        <f>IF('Calculations PJ'!AP212&lt;&gt;0,'Calculations PJ'!AP212*About!$B$45,0)</f>
        <v>0</v>
      </c>
      <c r="AQ212">
        <f>IF('Calculations PJ'!AQ212&lt;&gt;0,'Calculations PJ'!AQ212*About!$B$45,0)</f>
        <v>0</v>
      </c>
      <c r="AR212">
        <f>IF('Calculations PJ'!AR212&lt;&gt;0,'Calculations PJ'!AR212*About!$B$45,0)</f>
        <v>0</v>
      </c>
      <c r="AS212">
        <f>IF('Calculations PJ'!AS212&lt;&gt;0,'Calculations PJ'!AS212*About!$B$45,0)</f>
        <v>0</v>
      </c>
      <c r="AT212">
        <f>IF('Calculations PJ'!AT212&lt;&gt;0,'Calculations PJ'!AT212*About!$B$45,0)</f>
        <v>0</v>
      </c>
      <c r="AU212">
        <f>IF('Calculations PJ'!AU212&lt;&gt;0,'Calculations PJ'!AU212*About!$B$45,0)</f>
        <v>0</v>
      </c>
      <c r="AV212">
        <f>IF('Calculations PJ'!AV212&lt;&gt;0,'Calculations PJ'!AV212*About!$B$45,0)</f>
        <v>0</v>
      </c>
      <c r="AW212">
        <f>IF('Calculations PJ'!AW212&lt;&gt;0,'Calculations PJ'!AW212*About!$B$45,0)</f>
        <v>0</v>
      </c>
      <c r="AX212">
        <f>IF('Calculations PJ'!AX212&lt;&gt;0,'Calculations PJ'!AX212*About!$B$45,0)</f>
        <v>0</v>
      </c>
      <c r="AY212">
        <f>IF('Calculations PJ'!AY212&lt;&gt;0,'Calculations PJ'!AY212*About!$B$45,0)</f>
        <v>0</v>
      </c>
      <c r="AZ212">
        <f>IF('Calculations PJ'!AZ212&lt;&gt;0,'Calculations PJ'!AZ212*About!$B$45,0)</f>
        <v>0</v>
      </c>
      <c r="BA212">
        <f>IF('Calculations PJ'!BA212&lt;&gt;0,'Calculations PJ'!BA212*About!$B$45,0)</f>
        <v>0</v>
      </c>
      <c r="BB212">
        <f>IF('Calculations PJ'!BB212&lt;&gt;0,'Calculations PJ'!BB212*About!$B$45,0)</f>
        <v>0</v>
      </c>
      <c r="BC212">
        <f>IF('Calculations PJ'!BC212&lt;&gt;0,'Calculations PJ'!BC212*About!$B$45,0)</f>
        <v>0</v>
      </c>
      <c r="BD212">
        <f>IF('Calculations PJ'!BD212&lt;&gt;0,'Calculations PJ'!BD212*About!$B$45,0)</f>
        <v>0</v>
      </c>
      <c r="BE212">
        <f>IF('Calculations PJ'!BE212&lt;&gt;0,'Calculations PJ'!BE212*About!$B$45,0)</f>
        <v>0</v>
      </c>
      <c r="BF212">
        <f>IF('Calculations PJ'!BF212&lt;&gt;0,'Calculations PJ'!BF212*About!$B$45,0)</f>
        <v>0</v>
      </c>
      <c r="BG212">
        <f>IF('Calculations PJ'!BG212&lt;&gt;0,'Calculations PJ'!BG212*About!$B$45,0)</f>
        <v>0</v>
      </c>
      <c r="BH212">
        <f>IF('Calculations PJ'!BH212&lt;&gt;0,'Calculations PJ'!BH212*About!$B$45,0)</f>
        <v>0</v>
      </c>
    </row>
    <row r="213" spans="1:60" outlineLevel="2">
      <c r="B213" t="s">
        <v>128</v>
      </c>
      <c r="C213">
        <f>IF('Calculations PJ'!C213&lt;&gt;0,'Calculations PJ'!C213*About!$B$45,0)</f>
        <v>0</v>
      </c>
      <c r="D213">
        <f>IF('Calculations PJ'!D213&lt;&gt;0,'Calculations PJ'!D213*About!$B$45,0)</f>
        <v>0</v>
      </c>
      <c r="E213">
        <f>IF('Calculations PJ'!E213&lt;&gt;0,'Calculations PJ'!E213*About!$B$45,0)</f>
        <v>0</v>
      </c>
      <c r="F213">
        <f>IF('Calculations PJ'!F213&lt;&gt;0,'Calculations PJ'!F213*About!$B$45,0)</f>
        <v>0</v>
      </c>
      <c r="G213">
        <f>IF('Calculations PJ'!G213&lt;&gt;0,'Calculations PJ'!G213*About!$B$45,0)</f>
        <v>0</v>
      </c>
      <c r="H213">
        <f>IF('Calculations PJ'!H213&lt;&gt;0,'Calculations PJ'!H213*About!$B$45,0)</f>
        <v>0</v>
      </c>
      <c r="I213">
        <f>IF('Calculations PJ'!I213&lt;&gt;0,'Calculations PJ'!I213*About!$B$45,0)</f>
        <v>0</v>
      </c>
      <c r="J213">
        <f>IF('Calculations PJ'!J213&lt;&gt;0,'Calculations PJ'!J213*About!$B$45,0)</f>
        <v>0</v>
      </c>
      <c r="K213">
        <f>IF('Calculations PJ'!K213&lt;&gt;0,'Calculations PJ'!K213*About!$B$45,0)</f>
        <v>0</v>
      </c>
      <c r="L213">
        <f>IF('Calculations PJ'!L213&lt;&gt;0,'Calculations PJ'!L213*About!$B$45,0)</f>
        <v>0</v>
      </c>
      <c r="M213">
        <f>IF('Calculations PJ'!M213&lt;&gt;0,'Calculations PJ'!M213*About!$B$45,0)</f>
        <v>0</v>
      </c>
      <c r="N213">
        <f>IF('Calculations PJ'!N213&lt;&gt;0,'Calculations PJ'!N213*About!$B$45,0)</f>
        <v>0</v>
      </c>
      <c r="O213">
        <f>IF('Calculations PJ'!O213&lt;&gt;0,'Calculations PJ'!O213*About!$B$45,0)</f>
        <v>0</v>
      </c>
      <c r="P213">
        <f>IF('Calculations PJ'!P213&lt;&gt;0,'Calculations PJ'!P213*About!$B$45,0)</f>
        <v>0</v>
      </c>
      <c r="Q213">
        <f>IF('Calculations PJ'!Q213&lt;&gt;0,'Calculations PJ'!Q213*About!$B$45,0)</f>
        <v>0</v>
      </c>
      <c r="R213">
        <f>IF('Calculations PJ'!R213&lt;&gt;0,'Calculations PJ'!R213*About!$B$45,0)</f>
        <v>0</v>
      </c>
      <c r="S213">
        <f>IF('Calculations PJ'!S213&lt;&gt;0,'Calculations PJ'!S213*About!$B$45,0)</f>
        <v>0</v>
      </c>
      <c r="T213">
        <f>IF('Calculations PJ'!T213&lt;&gt;0,'Calculations PJ'!T213*About!$B$45,0)</f>
        <v>0</v>
      </c>
      <c r="U213">
        <f>IF('Calculations PJ'!U213&lt;&gt;0,'Calculations PJ'!U213*About!$B$45,0)</f>
        <v>0</v>
      </c>
      <c r="V213">
        <f>IF('Calculations PJ'!V213&lt;&gt;0,'Calculations PJ'!V213*About!$B$45,0)</f>
        <v>0</v>
      </c>
      <c r="W213">
        <f>IF('Calculations PJ'!W213&lt;&gt;0,'Calculations PJ'!W213*About!$B$45,0)</f>
        <v>0</v>
      </c>
      <c r="X213">
        <f>IF('Calculations PJ'!X213&lt;&gt;0,'Calculations PJ'!X213*About!$B$45,0)</f>
        <v>0</v>
      </c>
      <c r="Y213">
        <f>IF('Calculations PJ'!Y213&lt;&gt;0,'Calculations PJ'!Y213*About!$B$45,0)</f>
        <v>0</v>
      </c>
      <c r="Z213">
        <f>IF('Calculations PJ'!Z213&lt;&gt;0,'Calculations PJ'!Z213*About!$B$45,0)</f>
        <v>0</v>
      </c>
      <c r="AA213">
        <f>IF('Calculations PJ'!AA213&lt;&gt;0,'Calculations PJ'!AA213*About!$B$45,0)</f>
        <v>0</v>
      </c>
      <c r="AB213">
        <f>IF('Calculations PJ'!AB213&lt;&gt;0,'Calculations PJ'!AB213*About!$B$45,0)</f>
        <v>0</v>
      </c>
      <c r="AC213">
        <f>IF('Calculations PJ'!AC213&lt;&gt;0,'Calculations PJ'!AC213*About!$B$45,0)</f>
        <v>0</v>
      </c>
      <c r="AD213">
        <f>IF('Calculations PJ'!AD213&lt;&gt;0,'Calculations PJ'!AD213*About!$B$45,0)</f>
        <v>0</v>
      </c>
      <c r="AE213">
        <f>IF('Calculations PJ'!AE213&lt;&gt;0,'Calculations PJ'!AE213*About!$B$45,0)</f>
        <v>0</v>
      </c>
      <c r="AF213">
        <f>IF('Calculations PJ'!AF213&lt;&gt;0,'Calculations PJ'!AF213*About!$B$45,0)</f>
        <v>0</v>
      </c>
      <c r="AG213">
        <f>IF('Calculations PJ'!AG213&lt;&gt;0,'Calculations PJ'!AG213*About!$B$45,0)</f>
        <v>0</v>
      </c>
      <c r="AH213">
        <f>IF('Calculations PJ'!AH213&lt;&gt;0,'Calculations PJ'!AH213*About!$B$45,0)</f>
        <v>0</v>
      </c>
      <c r="AI213">
        <f>IF('Calculations PJ'!AI213&lt;&gt;0,'Calculations PJ'!AI213*About!$B$45,0)</f>
        <v>0</v>
      </c>
      <c r="AJ213">
        <f>IF('Calculations PJ'!AJ213&lt;&gt;0,'Calculations PJ'!AJ213*About!$B$45,0)</f>
        <v>0</v>
      </c>
      <c r="AK213">
        <f>IF('Calculations PJ'!AK213&lt;&gt;0,'Calculations PJ'!AK213*About!$B$45,0)</f>
        <v>0</v>
      </c>
      <c r="AL213">
        <f>IF('Calculations PJ'!AL213&lt;&gt;0,'Calculations PJ'!AL213*About!$B$45,0)</f>
        <v>0</v>
      </c>
      <c r="AM213">
        <f>IF('Calculations PJ'!AM213&lt;&gt;0,'Calculations PJ'!AM213*About!$B$45,0)</f>
        <v>0</v>
      </c>
      <c r="AN213">
        <f>IF('Calculations PJ'!AN213&lt;&gt;0,'Calculations PJ'!AN213*About!$B$45,0)</f>
        <v>0</v>
      </c>
      <c r="AO213">
        <f>IF('Calculations PJ'!AO213&lt;&gt;0,'Calculations PJ'!AO213*About!$B$45,0)</f>
        <v>0</v>
      </c>
      <c r="AP213">
        <f>IF('Calculations PJ'!AP213&lt;&gt;0,'Calculations PJ'!AP213*About!$B$45,0)</f>
        <v>0</v>
      </c>
      <c r="AQ213">
        <f>IF('Calculations PJ'!AQ213&lt;&gt;0,'Calculations PJ'!AQ213*About!$B$45,0)</f>
        <v>0</v>
      </c>
      <c r="AR213">
        <f>IF('Calculations PJ'!AR213&lt;&gt;0,'Calculations PJ'!AR213*About!$B$45,0)</f>
        <v>0</v>
      </c>
      <c r="AS213">
        <f>IF('Calculations PJ'!AS213&lt;&gt;0,'Calculations PJ'!AS213*About!$B$45,0)</f>
        <v>0</v>
      </c>
      <c r="AT213">
        <f>IF('Calculations PJ'!AT213&lt;&gt;0,'Calculations PJ'!AT213*About!$B$45,0)</f>
        <v>0</v>
      </c>
      <c r="AU213">
        <f>IF('Calculations PJ'!AU213&lt;&gt;0,'Calculations PJ'!AU213*About!$B$45,0)</f>
        <v>0</v>
      </c>
      <c r="AV213">
        <f>IF('Calculations PJ'!AV213&lt;&gt;0,'Calculations PJ'!AV213*About!$B$45,0)</f>
        <v>0</v>
      </c>
      <c r="AW213">
        <f>IF('Calculations PJ'!AW213&lt;&gt;0,'Calculations PJ'!AW213*About!$B$45,0)</f>
        <v>0</v>
      </c>
      <c r="AX213">
        <f>IF('Calculations PJ'!AX213&lt;&gt;0,'Calculations PJ'!AX213*About!$B$45,0)</f>
        <v>0</v>
      </c>
      <c r="AY213">
        <f>IF('Calculations PJ'!AY213&lt;&gt;0,'Calculations PJ'!AY213*About!$B$45,0)</f>
        <v>0</v>
      </c>
      <c r="AZ213">
        <f>IF('Calculations PJ'!AZ213&lt;&gt;0,'Calculations PJ'!AZ213*About!$B$45,0)</f>
        <v>0</v>
      </c>
      <c r="BA213">
        <f>IF('Calculations PJ'!BA213&lt;&gt;0,'Calculations PJ'!BA213*About!$B$45,0)</f>
        <v>0</v>
      </c>
      <c r="BB213">
        <f>IF('Calculations PJ'!BB213&lt;&gt;0,'Calculations PJ'!BB213*About!$B$45,0)</f>
        <v>0</v>
      </c>
      <c r="BC213">
        <f>IF('Calculations PJ'!BC213&lt;&gt;0,'Calculations PJ'!BC213*About!$B$45,0)</f>
        <v>0</v>
      </c>
      <c r="BD213">
        <f>IF('Calculations PJ'!BD213&lt;&gt;0,'Calculations PJ'!BD213*About!$B$45,0)</f>
        <v>0</v>
      </c>
      <c r="BE213">
        <f>IF('Calculations PJ'!BE213&lt;&gt;0,'Calculations PJ'!BE213*About!$B$45,0)</f>
        <v>0</v>
      </c>
      <c r="BF213">
        <f>IF('Calculations PJ'!BF213&lt;&gt;0,'Calculations PJ'!BF213*About!$B$45,0)</f>
        <v>0</v>
      </c>
      <c r="BG213">
        <f>IF('Calculations PJ'!BG213&lt;&gt;0,'Calculations PJ'!BG213*About!$B$45,0)</f>
        <v>0</v>
      </c>
      <c r="BH213">
        <f>IF('Calculations PJ'!BH213&lt;&gt;0,'Calculations PJ'!BH213*About!$B$45,0)</f>
        <v>0</v>
      </c>
    </row>
    <row r="214" spans="1:60" outlineLevel="2">
      <c r="B214" t="s">
        <v>129</v>
      </c>
      <c r="C214">
        <f>IF('Calculations PJ'!C214&lt;&gt;0,'Calculations PJ'!C214*About!$B$45,0)</f>
        <v>0</v>
      </c>
      <c r="D214">
        <f>IF('Calculations PJ'!D214&lt;&gt;0,'Calculations PJ'!D214*About!$B$45,0)</f>
        <v>0</v>
      </c>
      <c r="E214">
        <f>IF('Calculations PJ'!E214&lt;&gt;0,'Calculations PJ'!E214*About!$B$45,0)</f>
        <v>0</v>
      </c>
      <c r="F214">
        <f>IF('Calculations PJ'!F214&lt;&gt;0,'Calculations PJ'!F214*About!$B$45,0)</f>
        <v>0</v>
      </c>
      <c r="G214">
        <f>IF('Calculations PJ'!G214&lt;&gt;0,'Calculations PJ'!G214*About!$B$45,0)</f>
        <v>0</v>
      </c>
      <c r="H214">
        <f>IF('Calculations PJ'!H214&lt;&gt;0,'Calculations PJ'!H214*About!$B$45,0)</f>
        <v>0</v>
      </c>
      <c r="I214">
        <f>IF('Calculations PJ'!I214&lt;&gt;0,'Calculations PJ'!I214*About!$B$45,0)</f>
        <v>0</v>
      </c>
      <c r="J214">
        <f>IF('Calculations PJ'!J214&lt;&gt;0,'Calculations PJ'!J214*About!$B$45,0)</f>
        <v>0</v>
      </c>
      <c r="K214">
        <f>IF('Calculations PJ'!K214&lt;&gt;0,'Calculations PJ'!K214*About!$B$45,0)</f>
        <v>0</v>
      </c>
      <c r="L214">
        <f>IF('Calculations PJ'!L214&lt;&gt;0,'Calculations PJ'!L214*About!$B$45,0)</f>
        <v>0</v>
      </c>
      <c r="M214">
        <f>IF('Calculations PJ'!M214&lt;&gt;0,'Calculations PJ'!M214*About!$B$45,0)</f>
        <v>0</v>
      </c>
      <c r="N214">
        <f>IF('Calculations PJ'!N214&lt;&gt;0,'Calculations PJ'!N214*About!$B$45,0)</f>
        <v>0</v>
      </c>
      <c r="O214">
        <f>IF('Calculations PJ'!O214&lt;&gt;0,'Calculations PJ'!O214*About!$B$45,0)</f>
        <v>0</v>
      </c>
      <c r="P214">
        <f>IF('Calculations PJ'!P214&lt;&gt;0,'Calculations PJ'!P214*About!$B$45,0)</f>
        <v>0</v>
      </c>
      <c r="Q214">
        <f>IF('Calculations PJ'!Q214&lt;&gt;0,'Calculations PJ'!Q214*About!$B$45,0)</f>
        <v>0</v>
      </c>
      <c r="R214">
        <f>IF('Calculations PJ'!R214&lt;&gt;0,'Calculations PJ'!R214*About!$B$45,0)</f>
        <v>0</v>
      </c>
      <c r="S214">
        <f>IF('Calculations PJ'!S214&lt;&gt;0,'Calculations PJ'!S214*About!$B$45,0)</f>
        <v>0</v>
      </c>
      <c r="T214">
        <f>IF('Calculations PJ'!T214&lt;&gt;0,'Calculations PJ'!T214*About!$B$45,0)</f>
        <v>0</v>
      </c>
      <c r="U214">
        <f>IF('Calculations PJ'!U214&lt;&gt;0,'Calculations PJ'!U214*About!$B$45,0)</f>
        <v>0</v>
      </c>
      <c r="V214">
        <f>IF('Calculations PJ'!V214&lt;&gt;0,'Calculations PJ'!V214*About!$B$45,0)</f>
        <v>0</v>
      </c>
      <c r="W214">
        <f>IF('Calculations PJ'!W214&lt;&gt;0,'Calculations PJ'!W214*About!$B$45,0)</f>
        <v>0</v>
      </c>
      <c r="X214">
        <f>IF('Calculations PJ'!X214&lt;&gt;0,'Calculations PJ'!X214*About!$B$45,0)</f>
        <v>0</v>
      </c>
      <c r="Y214">
        <f>IF('Calculations PJ'!Y214&lt;&gt;0,'Calculations PJ'!Y214*About!$B$45,0)</f>
        <v>0</v>
      </c>
      <c r="Z214">
        <f>IF('Calculations PJ'!Z214&lt;&gt;0,'Calculations PJ'!Z214*About!$B$45,0)</f>
        <v>0</v>
      </c>
      <c r="AA214">
        <f>IF('Calculations PJ'!AA214&lt;&gt;0,'Calculations PJ'!AA214*About!$B$45,0)</f>
        <v>0</v>
      </c>
      <c r="AB214">
        <f>IF('Calculations PJ'!AB214&lt;&gt;0,'Calculations PJ'!AB214*About!$B$45,0)</f>
        <v>0</v>
      </c>
      <c r="AC214">
        <f>IF('Calculations PJ'!AC214&lt;&gt;0,'Calculations PJ'!AC214*About!$B$45,0)</f>
        <v>0</v>
      </c>
      <c r="AD214">
        <f>IF('Calculations PJ'!AD214&lt;&gt;0,'Calculations PJ'!AD214*About!$B$45,0)</f>
        <v>0</v>
      </c>
      <c r="AE214">
        <f>IF('Calculations PJ'!AE214&lt;&gt;0,'Calculations PJ'!AE214*About!$B$45,0)</f>
        <v>0</v>
      </c>
      <c r="AF214">
        <f>IF('Calculations PJ'!AF214&lt;&gt;0,'Calculations PJ'!AF214*About!$B$45,0)</f>
        <v>0</v>
      </c>
      <c r="AG214">
        <f>IF('Calculations PJ'!AG214&lt;&gt;0,'Calculations PJ'!AG214*About!$B$45,0)</f>
        <v>0</v>
      </c>
      <c r="AH214">
        <f>IF('Calculations PJ'!AH214&lt;&gt;0,'Calculations PJ'!AH214*About!$B$45,0)</f>
        <v>0</v>
      </c>
      <c r="AI214">
        <f>IF('Calculations PJ'!AI214&lt;&gt;0,'Calculations PJ'!AI214*About!$B$45,0)</f>
        <v>0</v>
      </c>
      <c r="AJ214">
        <f>IF('Calculations PJ'!AJ214&lt;&gt;0,'Calculations PJ'!AJ214*About!$B$45,0)</f>
        <v>0</v>
      </c>
      <c r="AK214">
        <f>IF('Calculations PJ'!AK214&lt;&gt;0,'Calculations PJ'!AK214*About!$B$45,0)</f>
        <v>0</v>
      </c>
      <c r="AL214">
        <f>IF('Calculations PJ'!AL214&lt;&gt;0,'Calculations PJ'!AL214*About!$B$45,0)</f>
        <v>0</v>
      </c>
      <c r="AM214">
        <f>IF('Calculations PJ'!AM214&lt;&gt;0,'Calculations PJ'!AM214*About!$B$45,0)</f>
        <v>0</v>
      </c>
      <c r="AN214">
        <f>IF('Calculations PJ'!AN214&lt;&gt;0,'Calculations PJ'!AN214*About!$B$45,0)</f>
        <v>0</v>
      </c>
      <c r="AO214">
        <f>IF('Calculations PJ'!AO214&lt;&gt;0,'Calculations PJ'!AO214*About!$B$45,0)</f>
        <v>0</v>
      </c>
      <c r="AP214">
        <f>IF('Calculations PJ'!AP214&lt;&gt;0,'Calculations PJ'!AP214*About!$B$45,0)</f>
        <v>0</v>
      </c>
      <c r="AQ214">
        <f>IF('Calculations PJ'!AQ214&lt;&gt;0,'Calculations PJ'!AQ214*About!$B$45,0)</f>
        <v>0</v>
      </c>
      <c r="AR214">
        <f>IF('Calculations PJ'!AR214&lt;&gt;0,'Calculations PJ'!AR214*About!$B$45,0)</f>
        <v>0</v>
      </c>
      <c r="AS214">
        <f>IF('Calculations PJ'!AS214&lt;&gt;0,'Calculations PJ'!AS214*About!$B$45,0)</f>
        <v>0</v>
      </c>
      <c r="AT214">
        <f>IF('Calculations PJ'!AT214&lt;&gt;0,'Calculations PJ'!AT214*About!$B$45,0)</f>
        <v>0</v>
      </c>
      <c r="AU214">
        <f>IF('Calculations PJ'!AU214&lt;&gt;0,'Calculations PJ'!AU214*About!$B$45,0)</f>
        <v>0</v>
      </c>
      <c r="AV214">
        <f>IF('Calculations PJ'!AV214&lt;&gt;0,'Calculations PJ'!AV214*About!$B$45,0)</f>
        <v>0</v>
      </c>
      <c r="AW214">
        <f>IF('Calculations PJ'!AW214&lt;&gt;0,'Calculations PJ'!AW214*About!$B$45,0)</f>
        <v>0</v>
      </c>
      <c r="AX214">
        <f>IF('Calculations PJ'!AX214&lt;&gt;0,'Calculations PJ'!AX214*About!$B$45,0)</f>
        <v>0</v>
      </c>
      <c r="AY214">
        <f>IF('Calculations PJ'!AY214&lt;&gt;0,'Calculations PJ'!AY214*About!$B$45,0)</f>
        <v>0</v>
      </c>
      <c r="AZ214">
        <f>IF('Calculations PJ'!AZ214&lt;&gt;0,'Calculations PJ'!AZ214*About!$B$45,0)</f>
        <v>0</v>
      </c>
      <c r="BA214">
        <f>IF('Calculations PJ'!BA214&lt;&gt;0,'Calculations PJ'!BA214*About!$B$45,0)</f>
        <v>0</v>
      </c>
      <c r="BB214">
        <f>IF('Calculations PJ'!BB214&lt;&gt;0,'Calculations PJ'!BB214*About!$B$45,0)</f>
        <v>0</v>
      </c>
      <c r="BC214">
        <f>IF('Calculations PJ'!BC214&lt;&gt;0,'Calculations PJ'!BC214*About!$B$45,0)</f>
        <v>0</v>
      </c>
      <c r="BD214">
        <f>IF('Calculations PJ'!BD214&lt;&gt;0,'Calculations PJ'!BD214*About!$B$45,0)</f>
        <v>0</v>
      </c>
      <c r="BE214">
        <f>IF('Calculations PJ'!BE214&lt;&gt;0,'Calculations PJ'!BE214*About!$B$45,0)</f>
        <v>0</v>
      </c>
      <c r="BF214">
        <f>IF('Calculations PJ'!BF214&lt;&gt;0,'Calculations PJ'!BF214*About!$B$45,0)</f>
        <v>0</v>
      </c>
      <c r="BG214">
        <f>IF('Calculations PJ'!BG214&lt;&gt;0,'Calculations PJ'!BG214*About!$B$45,0)</f>
        <v>0</v>
      </c>
      <c r="BH214">
        <f>IF('Calculations PJ'!BH214&lt;&gt;0,'Calculations PJ'!BH214*About!$B$45,0)</f>
        <v>0</v>
      </c>
    </row>
    <row r="215" spans="1:60" outlineLevel="2">
      <c r="B215" t="s">
        <v>130</v>
      </c>
      <c r="C215">
        <f>IF('Calculations PJ'!C215&lt;&gt;0,'Calculations PJ'!C215*About!$B$45,0)</f>
        <v>0</v>
      </c>
      <c r="D215">
        <f>IF('Calculations PJ'!D215&lt;&gt;0,'Calculations PJ'!D215*About!$B$45,0)</f>
        <v>0</v>
      </c>
      <c r="E215">
        <f>IF('Calculations PJ'!E215&lt;&gt;0,'Calculations PJ'!E215*About!$B$45,0)</f>
        <v>0</v>
      </c>
      <c r="F215">
        <f>IF('Calculations PJ'!F215&lt;&gt;0,'Calculations PJ'!F215*About!$B$45,0)</f>
        <v>0</v>
      </c>
      <c r="G215">
        <f>IF('Calculations PJ'!G215&lt;&gt;0,'Calculations PJ'!G215*About!$B$45,0)</f>
        <v>0</v>
      </c>
      <c r="H215">
        <f>IF('Calculations PJ'!H215&lt;&gt;0,'Calculations PJ'!H215*About!$B$45,0)</f>
        <v>0</v>
      </c>
      <c r="I215">
        <f>IF('Calculations PJ'!I215&lt;&gt;0,'Calculations PJ'!I215*About!$B$45,0)</f>
        <v>0</v>
      </c>
      <c r="J215">
        <f>IF('Calculations PJ'!J215&lt;&gt;0,'Calculations PJ'!J215*About!$B$45,0)</f>
        <v>0</v>
      </c>
      <c r="K215">
        <f>IF('Calculations PJ'!K215&lt;&gt;0,'Calculations PJ'!K215*About!$B$45,0)</f>
        <v>0</v>
      </c>
      <c r="L215">
        <f>IF('Calculations PJ'!L215&lt;&gt;0,'Calculations PJ'!L215*About!$B$45,0)</f>
        <v>0</v>
      </c>
      <c r="M215">
        <f>IF('Calculations PJ'!M215&lt;&gt;0,'Calculations PJ'!M215*About!$B$45,0)</f>
        <v>0</v>
      </c>
      <c r="N215">
        <f>IF('Calculations PJ'!N215&lt;&gt;0,'Calculations PJ'!N215*About!$B$45,0)</f>
        <v>0</v>
      </c>
      <c r="O215">
        <f>IF('Calculations PJ'!O215&lt;&gt;0,'Calculations PJ'!O215*About!$B$45,0)</f>
        <v>0</v>
      </c>
      <c r="P215">
        <f>IF('Calculations PJ'!P215&lt;&gt;0,'Calculations PJ'!P215*About!$B$45,0)</f>
        <v>0</v>
      </c>
      <c r="Q215">
        <f>IF('Calculations PJ'!Q215&lt;&gt;0,'Calculations PJ'!Q215*About!$B$45,0)</f>
        <v>0</v>
      </c>
      <c r="R215">
        <f>IF('Calculations PJ'!R215&lt;&gt;0,'Calculations PJ'!R215*About!$B$45,0)</f>
        <v>0</v>
      </c>
      <c r="S215">
        <f>IF('Calculations PJ'!S215&lt;&gt;0,'Calculations PJ'!S215*About!$B$45,0)</f>
        <v>0</v>
      </c>
      <c r="T215">
        <f>IF('Calculations PJ'!T215&lt;&gt;0,'Calculations PJ'!T215*About!$B$45,0)</f>
        <v>0</v>
      </c>
      <c r="U215">
        <f>IF('Calculations PJ'!U215&lt;&gt;0,'Calculations PJ'!U215*About!$B$45,0)</f>
        <v>0</v>
      </c>
      <c r="V215">
        <f>IF('Calculations PJ'!V215&lt;&gt;0,'Calculations PJ'!V215*About!$B$45,0)</f>
        <v>0</v>
      </c>
      <c r="W215">
        <f>IF('Calculations PJ'!W215&lt;&gt;0,'Calculations PJ'!W215*About!$B$45,0)</f>
        <v>0</v>
      </c>
      <c r="X215">
        <f>IF('Calculations PJ'!X215&lt;&gt;0,'Calculations PJ'!X215*About!$B$45,0)</f>
        <v>0</v>
      </c>
      <c r="Y215">
        <f>IF('Calculations PJ'!Y215&lt;&gt;0,'Calculations PJ'!Y215*About!$B$45,0)</f>
        <v>0</v>
      </c>
      <c r="Z215">
        <f>IF('Calculations PJ'!Z215&lt;&gt;0,'Calculations PJ'!Z215*About!$B$45,0)</f>
        <v>0</v>
      </c>
      <c r="AA215">
        <f>IF('Calculations PJ'!AA215&lt;&gt;0,'Calculations PJ'!AA215*About!$B$45,0)</f>
        <v>0</v>
      </c>
      <c r="AB215">
        <f>IF('Calculations PJ'!AB215&lt;&gt;0,'Calculations PJ'!AB215*About!$B$45,0)</f>
        <v>0</v>
      </c>
      <c r="AC215">
        <f>IF('Calculations PJ'!AC215&lt;&gt;0,'Calculations PJ'!AC215*About!$B$45,0)</f>
        <v>0</v>
      </c>
      <c r="AD215">
        <f>IF('Calculations PJ'!AD215&lt;&gt;0,'Calculations PJ'!AD215*About!$B$45,0)</f>
        <v>0</v>
      </c>
      <c r="AE215">
        <f>IF('Calculations PJ'!AE215&lt;&gt;0,'Calculations PJ'!AE215*About!$B$45,0)</f>
        <v>0</v>
      </c>
      <c r="AF215">
        <f>IF('Calculations PJ'!AF215&lt;&gt;0,'Calculations PJ'!AF215*About!$B$45,0)</f>
        <v>0</v>
      </c>
      <c r="AG215">
        <f>IF('Calculations PJ'!AG215&lt;&gt;0,'Calculations PJ'!AG215*About!$B$45,0)</f>
        <v>0</v>
      </c>
      <c r="AH215">
        <f>IF('Calculations PJ'!AH215&lt;&gt;0,'Calculations PJ'!AH215*About!$B$45,0)</f>
        <v>0</v>
      </c>
      <c r="AI215">
        <f>IF('Calculations PJ'!AI215&lt;&gt;0,'Calculations PJ'!AI215*About!$B$45,0)</f>
        <v>0</v>
      </c>
      <c r="AJ215">
        <f>IF('Calculations PJ'!AJ215&lt;&gt;0,'Calculations PJ'!AJ215*About!$B$45,0)</f>
        <v>0</v>
      </c>
      <c r="AK215">
        <f>IF('Calculations PJ'!AK215&lt;&gt;0,'Calculations PJ'!AK215*About!$B$45,0)</f>
        <v>0</v>
      </c>
      <c r="AL215">
        <f>IF('Calculations PJ'!AL215&lt;&gt;0,'Calculations PJ'!AL215*About!$B$45,0)</f>
        <v>0</v>
      </c>
      <c r="AM215">
        <f>IF('Calculations PJ'!AM215&lt;&gt;0,'Calculations PJ'!AM215*About!$B$45,0)</f>
        <v>0</v>
      </c>
      <c r="AN215">
        <f>IF('Calculations PJ'!AN215&lt;&gt;0,'Calculations PJ'!AN215*About!$B$45,0)</f>
        <v>0</v>
      </c>
      <c r="AO215">
        <f>IF('Calculations PJ'!AO215&lt;&gt;0,'Calculations PJ'!AO215*About!$B$45,0)</f>
        <v>0</v>
      </c>
      <c r="AP215">
        <f>IF('Calculations PJ'!AP215&lt;&gt;0,'Calculations PJ'!AP215*About!$B$45,0)</f>
        <v>0</v>
      </c>
      <c r="AQ215">
        <f>IF('Calculations PJ'!AQ215&lt;&gt;0,'Calculations PJ'!AQ215*About!$B$45,0)</f>
        <v>0</v>
      </c>
      <c r="AR215">
        <f>IF('Calculations PJ'!AR215&lt;&gt;0,'Calculations PJ'!AR215*About!$B$45,0)</f>
        <v>0</v>
      </c>
      <c r="AS215">
        <f>IF('Calculations PJ'!AS215&lt;&gt;0,'Calculations PJ'!AS215*About!$B$45,0)</f>
        <v>0</v>
      </c>
      <c r="AT215">
        <f>IF('Calculations PJ'!AT215&lt;&gt;0,'Calculations PJ'!AT215*About!$B$45,0)</f>
        <v>0</v>
      </c>
      <c r="AU215">
        <f>IF('Calculations PJ'!AU215&lt;&gt;0,'Calculations PJ'!AU215*About!$B$45,0)</f>
        <v>0</v>
      </c>
      <c r="AV215">
        <f>IF('Calculations PJ'!AV215&lt;&gt;0,'Calculations PJ'!AV215*About!$B$45,0)</f>
        <v>0</v>
      </c>
      <c r="AW215">
        <f>IF('Calculations PJ'!AW215&lt;&gt;0,'Calculations PJ'!AW215*About!$B$45,0)</f>
        <v>0</v>
      </c>
      <c r="AX215">
        <f>IF('Calculations PJ'!AX215&lt;&gt;0,'Calculations PJ'!AX215*About!$B$45,0)</f>
        <v>0</v>
      </c>
      <c r="AY215">
        <f>IF('Calculations PJ'!AY215&lt;&gt;0,'Calculations PJ'!AY215*About!$B$45,0)</f>
        <v>0</v>
      </c>
      <c r="AZ215">
        <f>IF('Calculations PJ'!AZ215&lt;&gt;0,'Calculations PJ'!AZ215*About!$B$45,0)</f>
        <v>0</v>
      </c>
      <c r="BA215">
        <f>IF('Calculations PJ'!BA215&lt;&gt;0,'Calculations PJ'!BA215*About!$B$45,0)</f>
        <v>0</v>
      </c>
      <c r="BB215">
        <f>IF('Calculations PJ'!BB215&lt;&gt;0,'Calculations PJ'!BB215*About!$B$45,0)</f>
        <v>0</v>
      </c>
      <c r="BC215">
        <f>IF('Calculations PJ'!BC215&lt;&gt;0,'Calculations PJ'!BC215*About!$B$45,0)</f>
        <v>0</v>
      </c>
      <c r="BD215">
        <f>IF('Calculations PJ'!BD215&lt;&gt;0,'Calculations PJ'!BD215*About!$B$45,0)</f>
        <v>0</v>
      </c>
      <c r="BE215">
        <f>IF('Calculations PJ'!BE215&lt;&gt;0,'Calculations PJ'!BE215*About!$B$45,0)</f>
        <v>0</v>
      </c>
      <c r="BF215">
        <f>IF('Calculations PJ'!BF215&lt;&gt;0,'Calculations PJ'!BF215*About!$B$45,0)</f>
        <v>0</v>
      </c>
      <c r="BG215">
        <f>IF('Calculations PJ'!BG215&lt;&gt;0,'Calculations PJ'!BG215*About!$B$45,0)</f>
        <v>0</v>
      </c>
      <c r="BH215">
        <f>IF('Calculations PJ'!BH215&lt;&gt;0,'Calculations PJ'!BH215*About!$B$45,0)</f>
        <v>0</v>
      </c>
    </row>
    <row r="216" spans="1:60" outlineLevel="2">
      <c r="B216" t="s">
        <v>131</v>
      </c>
      <c r="C216">
        <f>IF('Calculations PJ'!C216&lt;&gt;0,'Calculations PJ'!C216*About!$B$45,0)</f>
        <v>0</v>
      </c>
      <c r="D216">
        <f>IF('Calculations PJ'!D216&lt;&gt;0,'Calculations PJ'!D216*About!$B$45,0)</f>
        <v>0</v>
      </c>
      <c r="E216">
        <f>IF('Calculations PJ'!E216&lt;&gt;0,'Calculations PJ'!E216*About!$B$45,0)</f>
        <v>0</v>
      </c>
      <c r="F216">
        <f>IF('Calculations PJ'!F216&lt;&gt;0,'Calculations PJ'!F216*About!$B$45,0)</f>
        <v>0</v>
      </c>
      <c r="G216">
        <f>IF('Calculations PJ'!G216&lt;&gt;0,'Calculations PJ'!G216*About!$B$45,0)</f>
        <v>0</v>
      </c>
      <c r="H216">
        <f>IF('Calculations PJ'!H216&lt;&gt;0,'Calculations PJ'!H216*About!$B$45,0)</f>
        <v>0</v>
      </c>
      <c r="I216">
        <f>IF('Calculations PJ'!I216&lt;&gt;0,'Calculations PJ'!I216*About!$B$45,0)</f>
        <v>0</v>
      </c>
      <c r="J216">
        <f>IF('Calculations PJ'!J216&lt;&gt;0,'Calculations PJ'!J216*About!$B$45,0)</f>
        <v>0</v>
      </c>
      <c r="K216">
        <f>IF('Calculations PJ'!K216&lt;&gt;0,'Calculations PJ'!K216*About!$B$45,0)</f>
        <v>0</v>
      </c>
      <c r="L216">
        <f>IF('Calculations PJ'!L216&lt;&gt;0,'Calculations PJ'!L216*About!$B$45,0)</f>
        <v>0</v>
      </c>
      <c r="M216">
        <f>IF('Calculations PJ'!M216&lt;&gt;0,'Calculations PJ'!M216*About!$B$45,0)</f>
        <v>0</v>
      </c>
      <c r="N216">
        <f>IF('Calculations PJ'!N216&lt;&gt;0,'Calculations PJ'!N216*About!$B$45,0)</f>
        <v>0</v>
      </c>
      <c r="O216">
        <f>IF('Calculations PJ'!O216&lt;&gt;0,'Calculations PJ'!O216*About!$B$45,0)</f>
        <v>0</v>
      </c>
      <c r="P216">
        <f>IF('Calculations PJ'!P216&lt;&gt;0,'Calculations PJ'!P216*About!$B$45,0)</f>
        <v>0</v>
      </c>
      <c r="Q216">
        <f>IF('Calculations PJ'!Q216&lt;&gt;0,'Calculations PJ'!Q216*About!$B$45,0)</f>
        <v>0</v>
      </c>
      <c r="R216">
        <f>IF('Calculations PJ'!R216&lt;&gt;0,'Calculations PJ'!R216*About!$B$45,0)</f>
        <v>0</v>
      </c>
      <c r="S216">
        <f>IF('Calculations PJ'!S216&lt;&gt;0,'Calculations PJ'!S216*About!$B$45,0)</f>
        <v>0</v>
      </c>
      <c r="T216">
        <f>IF('Calculations PJ'!T216&lt;&gt;0,'Calculations PJ'!T216*About!$B$45,0)</f>
        <v>0</v>
      </c>
      <c r="U216">
        <f>IF('Calculations PJ'!U216&lt;&gt;0,'Calculations PJ'!U216*About!$B$45,0)</f>
        <v>0</v>
      </c>
      <c r="V216">
        <f>IF('Calculations PJ'!V216&lt;&gt;0,'Calculations PJ'!V216*About!$B$45,0)</f>
        <v>0</v>
      </c>
      <c r="W216">
        <f>IF('Calculations PJ'!W216&lt;&gt;0,'Calculations PJ'!W216*About!$B$45,0)</f>
        <v>0</v>
      </c>
      <c r="X216">
        <f>IF('Calculations PJ'!X216&lt;&gt;0,'Calculations PJ'!X216*About!$B$45,0)</f>
        <v>0</v>
      </c>
      <c r="Y216">
        <f>IF('Calculations PJ'!Y216&lt;&gt;0,'Calculations PJ'!Y216*About!$B$45,0)</f>
        <v>0</v>
      </c>
      <c r="Z216">
        <f>IF('Calculations PJ'!Z216&lt;&gt;0,'Calculations PJ'!Z216*About!$B$45,0)</f>
        <v>0</v>
      </c>
      <c r="AA216">
        <f>IF('Calculations PJ'!AA216&lt;&gt;0,'Calculations PJ'!AA216*About!$B$45,0)</f>
        <v>0</v>
      </c>
      <c r="AB216">
        <f>IF('Calculations PJ'!AB216&lt;&gt;0,'Calculations PJ'!AB216*About!$B$45,0)</f>
        <v>0</v>
      </c>
      <c r="AC216">
        <f>IF('Calculations PJ'!AC216&lt;&gt;0,'Calculations PJ'!AC216*About!$B$45,0)</f>
        <v>0</v>
      </c>
      <c r="AD216">
        <f>IF('Calculations PJ'!AD216&lt;&gt;0,'Calculations PJ'!AD216*About!$B$45,0)</f>
        <v>0</v>
      </c>
      <c r="AE216">
        <f>IF('Calculations PJ'!AE216&lt;&gt;0,'Calculations PJ'!AE216*About!$B$45,0)</f>
        <v>0</v>
      </c>
      <c r="AF216">
        <f>IF('Calculations PJ'!AF216&lt;&gt;0,'Calculations PJ'!AF216*About!$B$45,0)</f>
        <v>0</v>
      </c>
      <c r="AG216">
        <f>IF('Calculations PJ'!AG216&lt;&gt;0,'Calculations PJ'!AG216*About!$B$45,0)</f>
        <v>0</v>
      </c>
      <c r="AH216">
        <f>IF('Calculations PJ'!AH216&lt;&gt;0,'Calculations PJ'!AH216*About!$B$45,0)</f>
        <v>0</v>
      </c>
      <c r="AI216">
        <f>IF('Calculations PJ'!AI216&lt;&gt;0,'Calculations PJ'!AI216*About!$B$45,0)</f>
        <v>0</v>
      </c>
      <c r="AJ216">
        <f>IF('Calculations PJ'!AJ216&lt;&gt;0,'Calculations PJ'!AJ216*About!$B$45,0)</f>
        <v>0</v>
      </c>
      <c r="AK216">
        <f>IF('Calculations PJ'!AK216&lt;&gt;0,'Calculations PJ'!AK216*About!$B$45,0)</f>
        <v>0</v>
      </c>
      <c r="AL216">
        <f>IF('Calculations PJ'!AL216&lt;&gt;0,'Calculations PJ'!AL216*About!$B$45,0)</f>
        <v>0</v>
      </c>
      <c r="AM216">
        <f>IF('Calculations PJ'!AM216&lt;&gt;0,'Calculations PJ'!AM216*About!$B$45,0)</f>
        <v>0</v>
      </c>
      <c r="AN216">
        <f>IF('Calculations PJ'!AN216&lt;&gt;0,'Calculations PJ'!AN216*About!$B$45,0)</f>
        <v>0</v>
      </c>
      <c r="AO216">
        <f>IF('Calculations PJ'!AO216&lt;&gt;0,'Calculations PJ'!AO216*About!$B$45,0)</f>
        <v>0</v>
      </c>
      <c r="AP216">
        <f>IF('Calculations PJ'!AP216&lt;&gt;0,'Calculations PJ'!AP216*About!$B$45,0)</f>
        <v>0</v>
      </c>
      <c r="AQ216">
        <f>IF('Calculations PJ'!AQ216&lt;&gt;0,'Calculations PJ'!AQ216*About!$B$45,0)</f>
        <v>0</v>
      </c>
      <c r="AR216">
        <f>IF('Calculations PJ'!AR216&lt;&gt;0,'Calculations PJ'!AR216*About!$B$45,0)</f>
        <v>0</v>
      </c>
      <c r="AS216">
        <f>IF('Calculations PJ'!AS216&lt;&gt;0,'Calculations PJ'!AS216*About!$B$45,0)</f>
        <v>0</v>
      </c>
      <c r="AT216">
        <f>IF('Calculations PJ'!AT216&lt;&gt;0,'Calculations PJ'!AT216*About!$B$45,0)</f>
        <v>0</v>
      </c>
      <c r="AU216">
        <f>IF('Calculations PJ'!AU216&lt;&gt;0,'Calculations PJ'!AU216*About!$B$45,0)</f>
        <v>0</v>
      </c>
      <c r="AV216">
        <f>IF('Calculations PJ'!AV216&lt;&gt;0,'Calculations PJ'!AV216*About!$B$45,0)</f>
        <v>0</v>
      </c>
      <c r="AW216">
        <f>IF('Calculations PJ'!AW216&lt;&gt;0,'Calculations PJ'!AW216*About!$B$45,0)</f>
        <v>0</v>
      </c>
      <c r="AX216">
        <f>IF('Calculations PJ'!AX216&lt;&gt;0,'Calculations PJ'!AX216*About!$B$45,0)</f>
        <v>0</v>
      </c>
      <c r="AY216">
        <f>IF('Calculations PJ'!AY216&lt;&gt;0,'Calculations PJ'!AY216*About!$B$45,0)</f>
        <v>0</v>
      </c>
      <c r="AZ216">
        <f>IF('Calculations PJ'!AZ216&lt;&gt;0,'Calculations PJ'!AZ216*About!$B$45,0)</f>
        <v>0</v>
      </c>
      <c r="BA216">
        <f>IF('Calculations PJ'!BA216&lt;&gt;0,'Calculations PJ'!BA216*About!$B$45,0)</f>
        <v>0</v>
      </c>
      <c r="BB216">
        <f>IF('Calculations PJ'!BB216&lt;&gt;0,'Calculations PJ'!BB216*About!$B$45,0)</f>
        <v>0</v>
      </c>
      <c r="BC216">
        <f>IF('Calculations PJ'!BC216&lt;&gt;0,'Calculations PJ'!BC216*About!$B$45,0)</f>
        <v>0</v>
      </c>
      <c r="BD216">
        <f>IF('Calculations PJ'!BD216&lt;&gt;0,'Calculations PJ'!BD216*About!$B$45,0)</f>
        <v>0</v>
      </c>
      <c r="BE216">
        <f>IF('Calculations PJ'!BE216&lt;&gt;0,'Calculations PJ'!BE216*About!$B$45,0)</f>
        <v>0</v>
      </c>
      <c r="BF216">
        <f>IF('Calculations PJ'!BF216&lt;&gt;0,'Calculations PJ'!BF216*About!$B$45,0)</f>
        <v>0</v>
      </c>
      <c r="BG216">
        <f>IF('Calculations PJ'!BG216&lt;&gt;0,'Calculations PJ'!BG216*About!$B$45,0)</f>
        <v>0</v>
      </c>
      <c r="BH216">
        <f>IF('Calculations PJ'!BH216&lt;&gt;0,'Calculations PJ'!BH216*About!$B$45,0)</f>
        <v>0</v>
      </c>
    </row>
    <row r="217" spans="1:60" outlineLevel="2">
      <c r="B217" t="s">
        <v>132</v>
      </c>
      <c r="C217">
        <f>IF('Calculations PJ'!C217&lt;&gt;0,'Calculations PJ'!C217*About!$B$45,0)</f>
        <v>0</v>
      </c>
      <c r="D217">
        <f>IF('Calculations PJ'!D217&lt;&gt;0,'Calculations PJ'!D217*About!$B$45,0)</f>
        <v>0</v>
      </c>
      <c r="E217">
        <f>IF('Calculations PJ'!E217&lt;&gt;0,'Calculations PJ'!E217*About!$B$45,0)</f>
        <v>0</v>
      </c>
      <c r="F217">
        <f>IF('Calculations PJ'!F217&lt;&gt;0,'Calculations PJ'!F217*About!$B$45,0)</f>
        <v>0</v>
      </c>
      <c r="G217">
        <f>IF('Calculations PJ'!G217&lt;&gt;0,'Calculations PJ'!G217*About!$B$45,0)</f>
        <v>0</v>
      </c>
      <c r="H217">
        <f>IF('Calculations PJ'!H217&lt;&gt;0,'Calculations PJ'!H217*About!$B$45,0)</f>
        <v>0</v>
      </c>
      <c r="I217">
        <f>IF('Calculations PJ'!I217&lt;&gt;0,'Calculations PJ'!I217*About!$B$45,0)</f>
        <v>0</v>
      </c>
      <c r="J217">
        <f>IF('Calculations PJ'!J217&lt;&gt;0,'Calculations PJ'!J217*About!$B$45,0)</f>
        <v>0</v>
      </c>
      <c r="K217">
        <f>IF('Calculations PJ'!K217&lt;&gt;0,'Calculations PJ'!K217*About!$B$45,0)</f>
        <v>0</v>
      </c>
      <c r="L217">
        <f>IF('Calculations PJ'!L217&lt;&gt;0,'Calculations PJ'!L217*About!$B$45,0)</f>
        <v>0</v>
      </c>
      <c r="M217">
        <f>IF('Calculations PJ'!M217&lt;&gt;0,'Calculations PJ'!M217*About!$B$45,0)</f>
        <v>0</v>
      </c>
      <c r="N217">
        <f>IF('Calculations PJ'!N217&lt;&gt;0,'Calculations PJ'!N217*About!$B$45,0)</f>
        <v>0</v>
      </c>
      <c r="O217">
        <f>IF('Calculations PJ'!O217&lt;&gt;0,'Calculations PJ'!O217*About!$B$45,0)</f>
        <v>0</v>
      </c>
      <c r="P217">
        <f>IF('Calculations PJ'!P217&lt;&gt;0,'Calculations PJ'!P217*About!$B$45,0)</f>
        <v>0</v>
      </c>
      <c r="Q217">
        <f>IF('Calculations PJ'!Q217&lt;&gt;0,'Calculations PJ'!Q217*About!$B$45,0)</f>
        <v>0</v>
      </c>
      <c r="R217">
        <f>IF('Calculations PJ'!R217&lt;&gt;0,'Calculations PJ'!R217*About!$B$45,0)</f>
        <v>0</v>
      </c>
      <c r="S217">
        <f>IF('Calculations PJ'!S217&lt;&gt;0,'Calculations PJ'!S217*About!$B$45,0)</f>
        <v>0</v>
      </c>
      <c r="T217">
        <f>IF('Calculations PJ'!T217&lt;&gt;0,'Calculations PJ'!T217*About!$B$45,0)</f>
        <v>0</v>
      </c>
      <c r="U217">
        <f>IF('Calculations PJ'!U217&lt;&gt;0,'Calculations PJ'!U217*About!$B$45,0)</f>
        <v>0</v>
      </c>
      <c r="V217">
        <f>IF('Calculations PJ'!V217&lt;&gt;0,'Calculations PJ'!V217*About!$B$45,0)</f>
        <v>0</v>
      </c>
      <c r="W217">
        <f>IF('Calculations PJ'!W217&lt;&gt;0,'Calculations PJ'!W217*About!$B$45,0)</f>
        <v>0</v>
      </c>
      <c r="X217">
        <f>IF('Calculations PJ'!X217&lt;&gt;0,'Calculations PJ'!X217*About!$B$45,0)</f>
        <v>0</v>
      </c>
      <c r="Y217">
        <f>IF('Calculations PJ'!Y217&lt;&gt;0,'Calculations PJ'!Y217*About!$B$45,0)</f>
        <v>0</v>
      </c>
      <c r="Z217">
        <f>IF('Calculations PJ'!Z217&lt;&gt;0,'Calculations PJ'!Z217*About!$B$45,0)</f>
        <v>0</v>
      </c>
      <c r="AA217">
        <f>IF('Calculations PJ'!AA217&lt;&gt;0,'Calculations PJ'!AA217*About!$B$45,0)</f>
        <v>0</v>
      </c>
      <c r="AB217">
        <f>IF('Calculations PJ'!AB217&lt;&gt;0,'Calculations PJ'!AB217*About!$B$45,0)</f>
        <v>0</v>
      </c>
      <c r="AC217">
        <f>IF('Calculations PJ'!AC217&lt;&gt;0,'Calculations PJ'!AC217*About!$B$45,0)</f>
        <v>0</v>
      </c>
      <c r="AD217">
        <f>IF('Calculations PJ'!AD217&lt;&gt;0,'Calculations PJ'!AD217*About!$B$45,0)</f>
        <v>0</v>
      </c>
      <c r="AE217">
        <f>IF('Calculations PJ'!AE217&lt;&gt;0,'Calculations PJ'!AE217*About!$B$45,0)</f>
        <v>0</v>
      </c>
      <c r="AF217">
        <f>IF('Calculations PJ'!AF217&lt;&gt;0,'Calculations PJ'!AF217*About!$B$45,0)</f>
        <v>0</v>
      </c>
      <c r="AG217">
        <f>IF('Calculations PJ'!AG217&lt;&gt;0,'Calculations PJ'!AG217*About!$B$45,0)</f>
        <v>0</v>
      </c>
      <c r="AH217">
        <f>IF('Calculations PJ'!AH217&lt;&gt;0,'Calculations PJ'!AH217*About!$B$45,0)</f>
        <v>0</v>
      </c>
      <c r="AI217">
        <f>IF('Calculations PJ'!AI217&lt;&gt;0,'Calculations PJ'!AI217*About!$B$45,0)</f>
        <v>0</v>
      </c>
      <c r="AJ217">
        <f>IF('Calculations PJ'!AJ217&lt;&gt;0,'Calculations PJ'!AJ217*About!$B$45,0)</f>
        <v>0</v>
      </c>
      <c r="AK217">
        <f>IF('Calculations PJ'!AK217&lt;&gt;0,'Calculations PJ'!AK217*About!$B$45,0)</f>
        <v>0</v>
      </c>
      <c r="AL217">
        <f>IF('Calculations PJ'!AL217&lt;&gt;0,'Calculations PJ'!AL217*About!$B$45,0)</f>
        <v>0</v>
      </c>
      <c r="AM217">
        <f>IF('Calculations PJ'!AM217&lt;&gt;0,'Calculations PJ'!AM217*About!$B$45,0)</f>
        <v>0</v>
      </c>
      <c r="AN217">
        <f>IF('Calculations PJ'!AN217&lt;&gt;0,'Calculations PJ'!AN217*About!$B$45,0)</f>
        <v>0</v>
      </c>
      <c r="AO217">
        <f>IF('Calculations PJ'!AO217&lt;&gt;0,'Calculations PJ'!AO217*About!$B$45,0)</f>
        <v>0</v>
      </c>
      <c r="AP217">
        <f>IF('Calculations PJ'!AP217&lt;&gt;0,'Calculations PJ'!AP217*About!$B$45,0)</f>
        <v>0</v>
      </c>
      <c r="AQ217">
        <f>IF('Calculations PJ'!AQ217&lt;&gt;0,'Calculations PJ'!AQ217*About!$B$45,0)</f>
        <v>0</v>
      </c>
      <c r="AR217">
        <f>IF('Calculations PJ'!AR217&lt;&gt;0,'Calculations PJ'!AR217*About!$B$45,0)</f>
        <v>0</v>
      </c>
      <c r="AS217">
        <f>IF('Calculations PJ'!AS217&lt;&gt;0,'Calculations PJ'!AS217*About!$B$45,0)</f>
        <v>0</v>
      </c>
      <c r="AT217">
        <f>IF('Calculations PJ'!AT217&lt;&gt;0,'Calculations PJ'!AT217*About!$B$45,0)</f>
        <v>0</v>
      </c>
      <c r="AU217">
        <f>IF('Calculations PJ'!AU217&lt;&gt;0,'Calculations PJ'!AU217*About!$B$45,0)</f>
        <v>0</v>
      </c>
      <c r="AV217">
        <f>IF('Calculations PJ'!AV217&lt;&gt;0,'Calculations PJ'!AV217*About!$B$45,0)</f>
        <v>0</v>
      </c>
      <c r="AW217">
        <f>IF('Calculations PJ'!AW217&lt;&gt;0,'Calculations PJ'!AW217*About!$B$45,0)</f>
        <v>0</v>
      </c>
      <c r="AX217">
        <f>IF('Calculations PJ'!AX217&lt;&gt;0,'Calculations PJ'!AX217*About!$B$45,0)</f>
        <v>0</v>
      </c>
      <c r="AY217">
        <f>IF('Calculations PJ'!AY217&lt;&gt;0,'Calculations PJ'!AY217*About!$B$45,0)</f>
        <v>0</v>
      </c>
      <c r="AZ217">
        <f>IF('Calculations PJ'!AZ217&lt;&gt;0,'Calculations PJ'!AZ217*About!$B$45,0)</f>
        <v>0</v>
      </c>
      <c r="BA217">
        <f>IF('Calculations PJ'!BA217&lt;&gt;0,'Calculations PJ'!BA217*About!$B$45,0)</f>
        <v>0</v>
      </c>
      <c r="BB217">
        <f>IF('Calculations PJ'!BB217&lt;&gt;0,'Calculations PJ'!BB217*About!$B$45,0)</f>
        <v>0</v>
      </c>
      <c r="BC217">
        <f>IF('Calculations PJ'!BC217&lt;&gt;0,'Calculations PJ'!BC217*About!$B$45,0)</f>
        <v>0</v>
      </c>
      <c r="BD217">
        <f>IF('Calculations PJ'!BD217&lt;&gt;0,'Calculations PJ'!BD217*About!$B$45,0)</f>
        <v>0</v>
      </c>
      <c r="BE217">
        <f>IF('Calculations PJ'!BE217&lt;&gt;0,'Calculations PJ'!BE217*About!$B$45,0)</f>
        <v>0</v>
      </c>
      <c r="BF217">
        <f>IF('Calculations PJ'!BF217&lt;&gt;0,'Calculations PJ'!BF217*About!$B$45,0)</f>
        <v>0</v>
      </c>
      <c r="BG217">
        <f>IF('Calculations PJ'!BG217&lt;&gt;0,'Calculations PJ'!BG217*About!$B$45,0)</f>
        <v>0</v>
      </c>
      <c r="BH217">
        <f>IF('Calculations PJ'!BH217&lt;&gt;0,'Calculations PJ'!BH217*About!$B$45,0)</f>
        <v>0</v>
      </c>
    </row>
    <row r="218" spans="1:60" outlineLevel="2">
      <c r="B218" t="s">
        <v>133</v>
      </c>
      <c r="C218">
        <f>IF('Calculations PJ'!C218&lt;&gt;0,'Calculations PJ'!C218*About!$B$45,0)</f>
        <v>0</v>
      </c>
      <c r="D218">
        <f>IF('Calculations PJ'!D218&lt;&gt;0,'Calculations PJ'!D218*About!$B$45,0)</f>
        <v>0</v>
      </c>
      <c r="E218">
        <f>IF('Calculations PJ'!E218&lt;&gt;0,'Calculations PJ'!E218*About!$B$45,0)</f>
        <v>0</v>
      </c>
      <c r="F218">
        <f>IF('Calculations PJ'!F218&lt;&gt;0,'Calculations PJ'!F218*About!$B$45,0)</f>
        <v>0</v>
      </c>
      <c r="G218">
        <f>IF('Calculations PJ'!G218&lt;&gt;0,'Calculations PJ'!G218*About!$B$45,0)</f>
        <v>0</v>
      </c>
      <c r="H218">
        <f>IF('Calculations PJ'!H218&lt;&gt;0,'Calculations PJ'!H218*About!$B$45,0)</f>
        <v>0</v>
      </c>
      <c r="I218">
        <f>IF('Calculations PJ'!I218&lt;&gt;0,'Calculations PJ'!I218*About!$B$45,0)</f>
        <v>0</v>
      </c>
      <c r="J218">
        <f>IF('Calculations PJ'!J218&lt;&gt;0,'Calculations PJ'!J218*About!$B$45,0)</f>
        <v>0</v>
      </c>
      <c r="K218">
        <f>IF('Calculations PJ'!K218&lt;&gt;0,'Calculations PJ'!K218*About!$B$45,0)</f>
        <v>0</v>
      </c>
      <c r="L218">
        <f>IF('Calculations PJ'!L218&lt;&gt;0,'Calculations PJ'!L218*About!$B$45,0)</f>
        <v>0</v>
      </c>
      <c r="M218">
        <f>IF('Calculations PJ'!M218&lt;&gt;0,'Calculations PJ'!M218*About!$B$45,0)</f>
        <v>0</v>
      </c>
      <c r="N218">
        <f>IF('Calculations PJ'!N218&lt;&gt;0,'Calculations PJ'!N218*About!$B$45,0)</f>
        <v>0</v>
      </c>
      <c r="O218">
        <f>IF('Calculations PJ'!O218&lt;&gt;0,'Calculations PJ'!O218*About!$B$45,0)</f>
        <v>0</v>
      </c>
      <c r="P218">
        <f>IF('Calculations PJ'!P218&lt;&gt;0,'Calculations PJ'!P218*About!$B$45,0)</f>
        <v>0</v>
      </c>
      <c r="Q218">
        <f>IF('Calculations PJ'!Q218&lt;&gt;0,'Calculations PJ'!Q218*About!$B$45,0)</f>
        <v>0</v>
      </c>
      <c r="R218">
        <f>IF('Calculations PJ'!R218&lt;&gt;0,'Calculations PJ'!R218*About!$B$45,0)</f>
        <v>0</v>
      </c>
      <c r="S218">
        <f>IF('Calculations PJ'!S218&lt;&gt;0,'Calculations PJ'!S218*About!$B$45,0)</f>
        <v>0</v>
      </c>
      <c r="T218">
        <f>IF('Calculations PJ'!T218&lt;&gt;0,'Calculations PJ'!T218*About!$B$45,0)</f>
        <v>0</v>
      </c>
      <c r="U218">
        <f>IF('Calculations PJ'!U218&lt;&gt;0,'Calculations PJ'!U218*About!$B$45,0)</f>
        <v>0</v>
      </c>
      <c r="V218">
        <f>IF('Calculations PJ'!V218&lt;&gt;0,'Calculations PJ'!V218*About!$B$45,0)</f>
        <v>0</v>
      </c>
      <c r="W218">
        <f>IF('Calculations PJ'!W218&lt;&gt;0,'Calculations PJ'!W218*About!$B$45,0)</f>
        <v>0</v>
      </c>
      <c r="X218">
        <f>IF('Calculations PJ'!X218&lt;&gt;0,'Calculations PJ'!X218*About!$B$45,0)</f>
        <v>0</v>
      </c>
      <c r="Y218">
        <f>IF('Calculations PJ'!Y218&lt;&gt;0,'Calculations PJ'!Y218*About!$B$45,0)</f>
        <v>0</v>
      </c>
      <c r="Z218">
        <f>IF('Calculations PJ'!Z218&lt;&gt;0,'Calculations PJ'!Z218*About!$B$45,0)</f>
        <v>0</v>
      </c>
      <c r="AA218">
        <f>IF('Calculations PJ'!AA218&lt;&gt;0,'Calculations PJ'!AA218*About!$B$45,0)</f>
        <v>0</v>
      </c>
      <c r="AB218">
        <f>IF('Calculations PJ'!AB218&lt;&gt;0,'Calculations PJ'!AB218*About!$B$45,0)</f>
        <v>0</v>
      </c>
      <c r="AC218">
        <f>IF('Calculations PJ'!AC218&lt;&gt;0,'Calculations PJ'!AC218*About!$B$45,0)</f>
        <v>0</v>
      </c>
      <c r="AD218">
        <f>IF('Calculations PJ'!AD218&lt;&gt;0,'Calculations PJ'!AD218*About!$B$45,0)</f>
        <v>0</v>
      </c>
      <c r="AE218">
        <f>IF('Calculations PJ'!AE218&lt;&gt;0,'Calculations PJ'!AE218*About!$B$45,0)</f>
        <v>0</v>
      </c>
      <c r="AF218">
        <f>IF('Calculations PJ'!AF218&lt;&gt;0,'Calculations PJ'!AF218*About!$B$45,0)</f>
        <v>0</v>
      </c>
      <c r="AG218">
        <f>IF('Calculations PJ'!AG218&lt;&gt;0,'Calculations PJ'!AG218*About!$B$45,0)</f>
        <v>0</v>
      </c>
      <c r="AH218">
        <f>IF('Calculations PJ'!AH218&lt;&gt;0,'Calculations PJ'!AH218*About!$B$45,0)</f>
        <v>0</v>
      </c>
      <c r="AI218">
        <f>IF('Calculations PJ'!AI218&lt;&gt;0,'Calculations PJ'!AI218*About!$B$45,0)</f>
        <v>0</v>
      </c>
      <c r="AJ218">
        <f>IF('Calculations PJ'!AJ218&lt;&gt;0,'Calculations PJ'!AJ218*About!$B$45,0)</f>
        <v>0</v>
      </c>
      <c r="AK218">
        <f>IF('Calculations PJ'!AK218&lt;&gt;0,'Calculations PJ'!AK218*About!$B$45,0)</f>
        <v>0</v>
      </c>
      <c r="AL218">
        <f>IF('Calculations PJ'!AL218&lt;&gt;0,'Calculations PJ'!AL218*About!$B$45,0)</f>
        <v>0</v>
      </c>
      <c r="AM218">
        <f>IF('Calculations PJ'!AM218&lt;&gt;0,'Calculations PJ'!AM218*About!$B$45,0)</f>
        <v>0</v>
      </c>
      <c r="AN218">
        <f>IF('Calculations PJ'!AN218&lt;&gt;0,'Calculations PJ'!AN218*About!$B$45,0)</f>
        <v>0</v>
      </c>
      <c r="AO218">
        <f>IF('Calculations PJ'!AO218&lt;&gt;0,'Calculations PJ'!AO218*About!$B$45,0)</f>
        <v>0</v>
      </c>
      <c r="AP218">
        <f>IF('Calculations PJ'!AP218&lt;&gt;0,'Calculations PJ'!AP218*About!$B$45,0)</f>
        <v>0</v>
      </c>
      <c r="AQ218">
        <f>IF('Calculations PJ'!AQ218&lt;&gt;0,'Calculations PJ'!AQ218*About!$B$45,0)</f>
        <v>0</v>
      </c>
      <c r="AR218">
        <f>IF('Calculations PJ'!AR218&lt;&gt;0,'Calculations PJ'!AR218*About!$B$45,0)</f>
        <v>0</v>
      </c>
      <c r="AS218">
        <f>IF('Calculations PJ'!AS218&lt;&gt;0,'Calculations PJ'!AS218*About!$B$45,0)</f>
        <v>0</v>
      </c>
      <c r="AT218">
        <f>IF('Calculations PJ'!AT218&lt;&gt;0,'Calculations PJ'!AT218*About!$B$45,0)</f>
        <v>0</v>
      </c>
      <c r="AU218">
        <f>IF('Calculations PJ'!AU218&lt;&gt;0,'Calculations PJ'!AU218*About!$B$45,0)</f>
        <v>0</v>
      </c>
      <c r="AV218">
        <f>IF('Calculations PJ'!AV218&lt;&gt;0,'Calculations PJ'!AV218*About!$B$45,0)</f>
        <v>0</v>
      </c>
      <c r="AW218">
        <f>IF('Calculations PJ'!AW218&lt;&gt;0,'Calculations PJ'!AW218*About!$B$45,0)</f>
        <v>0</v>
      </c>
      <c r="AX218">
        <f>IF('Calculations PJ'!AX218&lt;&gt;0,'Calculations PJ'!AX218*About!$B$45,0)</f>
        <v>0</v>
      </c>
      <c r="AY218">
        <f>IF('Calculations PJ'!AY218&lt;&gt;0,'Calculations PJ'!AY218*About!$B$45,0)</f>
        <v>0</v>
      </c>
      <c r="AZ218">
        <f>IF('Calculations PJ'!AZ218&lt;&gt;0,'Calculations PJ'!AZ218*About!$B$45,0)</f>
        <v>0</v>
      </c>
      <c r="BA218">
        <f>IF('Calculations PJ'!BA218&lt;&gt;0,'Calculations PJ'!BA218*About!$B$45,0)</f>
        <v>0</v>
      </c>
      <c r="BB218">
        <f>IF('Calculations PJ'!BB218&lt;&gt;0,'Calculations PJ'!BB218*About!$B$45,0)</f>
        <v>0</v>
      </c>
      <c r="BC218">
        <f>IF('Calculations PJ'!BC218&lt;&gt;0,'Calculations PJ'!BC218*About!$B$45,0)</f>
        <v>0</v>
      </c>
      <c r="BD218">
        <f>IF('Calculations PJ'!BD218&lt;&gt;0,'Calculations PJ'!BD218*About!$B$45,0)</f>
        <v>0</v>
      </c>
      <c r="BE218">
        <f>IF('Calculations PJ'!BE218&lt;&gt;0,'Calculations PJ'!BE218*About!$B$45,0)</f>
        <v>0</v>
      </c>
      <c r="BF218">
        <f>IF('Calculations PJ'!BF218&lt;&gt;0,'Calculations PJ'!BF218*About!$B$45,0)</f>
        <v>0</v>
      </c>
      <c r="BG218">
        <f>IF('Calculations PJ'!BG218&lt;&gt;0,'Calculations PJ'!BG218*About!$B$45,0)</f>
        <v>0</v>
      </c>
      <c r="BH218">
        <f>IF('Calculations PJ'!BH218&lt;&gt;0,'Calculations PJ'!BH218*About!$B$45,0)</f>
        <v>0</v>
      </c>
    </row>
    <row r="219" spans="1:60" outlineLevel="2">
      <c r="B219" t="s">
        <v>134</v>
      </c>
      <c r="C219">
        <f>IF('Calculations PJ'!C219&lt;&gt;0,'Calculations PJ'!C219*About!$B$45,0)</f>
        <v>0</v>
      </c>
      <c r="D219">
        <f>IF('Calculations PJ'!D219&lt;&gt;0,'Calculations PJ'!D219*About!$B$45,0)</f>
        <v>0</v>
      </c>
      <c r="E219">
        <f>IF('Calculations PJ'!E219&lt;&gt;0,'Calculations PJ'!E219*About!$B$45,0)</f>
        <v>0</v>
      </c>
      <c r="F219">
        <f>IF('Calculations PJ'!F219&lt;&gt;0,'Calculations PJ'!F219*About!$B$45,0)</f>
        <v>0</v>
      </c>
      <c r="G219">
        <f>IF('Calculations PJ'!G219&lt;&gt;0,'Calculations PJ'!G219*About!$B$45,0)</f>
        <v>0</v>
      </c>
      <c r="H219">
        <f>IF('Calculations PJ'!H219&lt;&gt;0,'Calculations PJ'!H219*About!$B$45,0)</f>
        <v>0</v>
      </c>
      <c r="I219">
        <f>IF('Calculations PJ'!I219&lt;&gt;0,'Calculations PJ'!I219*About!$B$45,0)</f>
        <v>0</v>
      </c>
      <c r="J219">
        <f>IF('Calculations PJ'!J219&lt;&gt;0,'Calculations PJ'!J219*About!$B$45,0)</f>
        <v>0</v>
      </c>
      <c r="K219">
        <f>IF('Calculations PJ'!K219&lt;&gt;0,'Calculations PJ'!K219*About!$B$45,0)</f>
        <v>0</v>
      </c>
      <c r="L219">
        <f>IF('Calculations PJ'!L219&lt;&gt;0,'Calculations PJ'!L219*About!$B$45,0)</f>
        <v>0</v>
      </c>
      <c r="M219">
        <f>IF('Calculations PJ'!M219&lt;&gt;0,'Calculations PJ'!M219*About!$B$45,0)</f>
        <v>0</v>
      </c>
      <c r="N219">
        <f>IF('Calculations PJ'!N219&lt;&gt;0,'Calculations PJ'!N219*About!$B$45,0)</f>
        <v>0</v>
      </c>
      <c r="O219">
        <f>IF('Calculations PJ'!O219&lt;&gt;0,'Calculations PJ'!O219*About!$B$45,0)</f>
        <v>0</v>
      </c>
      <c r="P219">
        <f>IF('Calculations PJ'!P219&lt;&gt;0,'Calculations PJ'!P219*About!$B$45,0)</f>
        <v>0</v>
      </c>
      <c r="Q219">
        <f>IF('Calculations PJ'!Q219&lt;&gt;0,'Calculations PJ'!Q219*About!$B$45,0)</f>
        <v>0</v>
      </c>
      <c r="R219">
        <f>IF('Calculations PJ'!R219&lt;&gt;0,'Calculations PJ'!R219*About!$B$45,0)</f>
        <v>0</v>
      </c>
      <c r="S219">
        <f>IF('Calculations PJ'!S219&lt;&gt;0,'Calculations PJ'!S219*About!$B$45,0)</f>
        <v>0</v>
      </c>
      <c r="T219">
        <f>IF('Calculations PJ'!T219&lt;&gt;0,'Calculations PJ'!T219*About!$B$45,0)</f>
        <v>0</v>
      </c>
      <c r="U219">
        <f>IF('Calculations PJ'!U219&lt;&gt;0,'Calculations PJ'!U219*About!$B$45,0)</f>
        <v>0</v>
      </c>
      <c r="V219">
        <f>IF('Calculations PJ'!V219&lt;&gt;0,'Calculations PJ'!V219*About!$B$45,0)</f>
        <v>0</v>
      </c>
      <c r="W219">
        <f>IF('Calculations PJ'!W219&lt;&gt;0,'Calculations PJ'!W219*About!$B$45,0)</f>
        <v>0</v>
      </c>
      <c r="X219">
        <f>IF('Calculations PJ'!X219&lt;&gt;0,'Calculations PJ'!X219*About!$B$45,0)</f>
        <v>0</v>
      </c>
      <c r="Y219">
        <f>IF('Calculations PJ'!Y219&lt;&gt;0,'Calculations PJ'!Y219*About!$B$45,0)</f>
        <v>0</v>
      </c>
      <c r="Z219">
        <f>IF('Calculations PJ'!Z219&lt;&gt;0,'Calculations PJ'!Z219*About!$B$45,0)</f>
        <v>0</v>
      </c>
      <c r="AA219">
        <f>IF('Calculations PJ'!AA219&lt;&gt;0,'Calculations PJ'!AA219*About!$B$45,0)</f>
        <v>0</v>
      </c>
      <c r="AB219">
        <f>IF('Calculations PJ'!AB219&lt;&gt;0,'Calculations PJ'!AB219*About!$B$45,0)</f>
        <v>0</v>
      </c>
      <c r="AC219">
        <f>IF('Calculations PJ'!AC219&lt;&gt;0,'Calculations PJ'!AC219*About!$B$45,0)</f>
        <v>0</v>
      </c>
      <c r="AD219">
        <f>IF('Calculations PJ'!AD219&lt;&gt;0,'Calculations PJ'!AD219*About!$B$45,0)</f>
        <v>0</v>
      </c>
      <c r="AE219">
        <f>IF('Calculations PJ'!AE219&lt;&gt;0,'Calculations PJ'!AE219*About!$B$45,0)</f>
        <v>0</v>
      </c>
      <c r="AF219">
        <f>IF('Calculations PJ'!AF219&lt;&gt;0,'Calculations PJ'!AF219*About!$B$45,0)</f>
        <v>0</v>
      </c>
      <c r="AG219">
        <f>IF('Calculations PJ'!AG219&lt;&gt;0,'Calculations PJ'!AG219*About!$B$45,0)</f>
        <v>0</v>
      </c>
      <c r="AH219">
        <f>IF('Calculations PJ'!AH219&lt;&gt;0,'Calculations PJ'!AH219*About!$B$45,0)</f>
        <v>0</v>
      </c>
      <c r="AI219">
        <f>IF('Calculations PJ'!AI219&lt;&gt;0,'Calculations PJ'!AI219*About!$B$45,0)</f>
        <v>0</v>
      </c>
      <c r="AJ219">
        <f>IF('Calculations PJ'!AJ219&lt;&gt;0,'Calculations PJ'!AJ219*About!$B$45,0)</f>
        <v>0</v>
      </c>
      <c r="AK219">
        <f>IF('Calculations PJ'!AK219&lt;&gt;0,'Calculations PJ'!AK219*About!$B$45,0)</f>
        <v>0</v>
      </c>
      <c r="AL219">
        <f>IF('Calculations PJ'!AL219&lt;&gt;0,'Calculations PJ'!AL219*About!$B$45,0)</f>
        <v>0</v>
      </c>
      <c r="AM219">
        <f>IF('Calculations PJ'!AM219&lt;&gt;0,'Calculations PJ'!AM219*About!$B$45,0)</f>
        <v>0</v>
      </c>
      <c r="AN219">
        <f>IF('Calculations PJ'!AN219&lt;&gt;0,'Calculations PJ'!AN219*About!$B$45,0)</f>
        <v>0</v>
      </c>
      <c r="AO219">
        <f>IF('Calculations PJ'!AO219&lt;&gt;0,'Calculations PJ'!AO219*About!$B$45,0)</f>
        <v>0</v>
      </c>
      <c r="AP219">
        <f>IF('Calculations PJ'!AP219&lt;&gt;0,'Calculations PJ'!AP219*About!$B$45,0)</f>
        <v>0</v>
      </c>
      <c r="AQ219">
        <f>IF('Calculations PJ'!AQ219&lt;&gt;0,'Calculations PJ'!AQ219*About!$B$45,0)</f>
        <v>0</v>
      </c>
      <c r="AR219">
        <f>IF('Calculations PJ'!AR219&lt;&gt;0,'Calculations PJ'!AR219*About!$B$45,0)</f>
        <v>0</v>
      </c>
      <c r="AS219">
        <f>IF('Calculations PJ'!AS219&lt;&gt;0,'Calculations PJ'!AS219*About!$B$45,0)</f>
        <v>0</v>
      </c>
      <c r="AT219">
        <f>IF('Calculations PJ'!AT219&lt;&gt;0,'Calculations PJ'!AT219*About!$B$45,0)</f>
        <v>0</v>
      </c>
      <c r="AU219">
        <f>IF('Calculations PJ'!AU219&lt;&gt;0,'Calculations PJ'!AU219*About!$B$45,0)</f>
        <v>0</v>
      </c>
      <c r="AV219">
        <f>IF('Calculations PJ'!AV219&lt;&gt;0,'Calculations PJ'!AV219*About!$B$45,0)</f>
        <v>0</v>
      </c>
      <c r="AW219">
        <f>IF('Calculations PJ'!AW219&lt;&gt;0,'Calculations PJ'!AW219*About!$B$45,0)</f>
        <v>0</v>
      </c>
      <c r="AX219">
        <f>IF('Calculations PJ'!AX219&lt;&gt;0,'Calculations PJ'!AX219*About!$B$45,0)</f>
        <v>0</v>
      </c>
      <c r="AY219">
        <f>IF('Calculations PJ'!AY219&lt;&gt;0,'Calculations PJ'!AY219*About!$B$45,0)</f>
        <v>0</v>
      </c>
      <c r="AZ219">
        <f>IF('Calculations PJ'!AZ219&lt;&gt;0,'Calculations PJ'!AZ219*About!$B$45,0)</f>
        <v>0</v>
      </c>
      <c r="BA219">
        <f>IF('Calculations PJ'!BA219&lt;&gt;0,'Calculations PJ'!BA219*About!$B$45,0)</f>
        <v>0</v>
      </c>
      <c r="BB219">
        <f>IF('Calculations PJ'!BB219&lt;&gt;0,'Calculations PJ'!BB219*About!$B$45,0)</f>
        <v>0</v>
      </c>
      <c r="BC219">
        <f>IF('Calculations PJ'!BC219&lt;&gt;0,'Calculations PJ'!BC219*About!$B$45,0)</f>
        <v>0</v>
      </c>
      <c r="BD219">
        <f>IF('Calculations PJ'!BD219&lt;&gt;0,'Calculations PJ'!BD219*About!$B$45,0)</f>
        <v>0</v>
      </c>
      <c r="BE219">
        <f>IF('Calculations PJ'!BE219&lt;&gt;0,'Calculations PJ'!BE219*About!$B$45,0)</f>
        <v>0</v>
      </c>
      <c r="BF219">
        <f>IF('Calculations PJ'!BF219&lt;&gt;0,'Calculations PJ'!BF219*About!$B$45,0)</f>
        <v>0</v>
      </c>
      <c r="BG219">
        <f>IF('Calculations PJ'!BG219&lt;&gt;0,'Calculations PJ'!BG219*About!$B$45,0)</f>
        <v>0</v>
      </c>
      <c r="BH219">
        <f>IF('Calculations PJ'!BH219&lt;&gt;0,'Calculations PJ'!BH219*About!$B$45,0)</f>
        <v>0</v>
      </c>
    </row>
    <row r="220" spans="1:60" outlineLevel="2">
      <c r="B220" t="s">
        <v>135</v>
      </c>
      <c r="C220">
        <f>IF('Calculations PJ'!C220&lt;&gt;0,'Calculations PJ'!C220*About!$B$45,0)</f>
        <v>0</v>
      </c>
      <c r="D220">
        <f>IF('Calculations PJ'!D220&lt;&gt;0,'Calculations PJ'!D220*About!$B$45,0)</f>
        <v>0</v>
      </c>
      <c r="E220">
        <f>IF('Calculations PJ'!E220&lt;&gt;0,'Calculations PJ'!E220*About!$B$45,0)</f>
        <v>0</v>
      </c>
      <c r="F220">
        <f>IF('Calculations PJ'!F220&lt;&gt;0,'Calculations PJ'!F220*About!$B$45,0)</f>
        <v>0</v>
      </c>
      <c r="G220">
        <f>IF('Calculations PJ'!G220&lt;&gt;0,'Calculations PJ'!G220*About!$B$45,0)</f>
        <v>0</v>
      </c>
      <c r="H220">
        <f>IF('Calculations PJ'!H220&lt;&gt;0,'Calculations PJ'!H220*About!$B$45,0)</f>
        <v>0</v>
      </c>
      <c r="I220">
        <f>IF('Calculations PJ'!I220&lt;&gt;0,'Calculations PJ'!I220*About!$B$45,0)</f>
        <v>0</v>
      </c>
      <c r="J220">
        <f>IF('Calculations PJ'!J220&lt;&gt;0,'Calculations PJ'!J220*About!$B$45,0)</f>
        <v>0</v>
      </c>
      <c r="K220">
        <f>IF('Calculations PJ'!K220&lt;&gt;0,'Calculations PJ'!K220*About!$B$45,0)</f>
        <v>0</v>
      </c>
      <c r="L220">
        <f>IF('Calculations PJ'!L220&lt;&gt;0,'Calculations PJ'!L220*About!$B$45,0)</f>
        <v>0</v>
      </c>
      <c r="M220">
        <f>IF('Calculations PJ'!M220&lt;&gt;0,'Calculations PJ'!M220*About!$B$45,0)</f>
        <v>0</v>
      </c>
      <c r="N220">
        <f>IF('Calculations PJ'!N220&lt;&gt;0,'Calculations PJ'!N220*About!$B$45,0)</f>
        <v>0</v>
      </c>
      <c r="O220">
        <f>IF('Calculations PJ'!O220&lt;&gt;0,'Calculations PJ'!O220*About!$B$45,0)</f>
        <v>0</v>
      </c>
      <c r="P220">
        <f>IF('Calculations PJ'!P220&lt;&gt;0,'Calculations PJ'!P220*About!$B$45,0)</f>
        <v>0</v>
      </c>
      <c r="Q220">
        <f>IF('Calculations PJ'!Q220&lt;&gt;0,'Calculations PJ'!Q220*About!$B$45,0)</f>
        <v>0</v>
      </c>
      <c r="R220">
        <f>IF('Calculations PJ'!R220&lt;&gt;0,'Calculations PJ'!R220*About!$B$45,0)</f>
        <v>0</v>
      </c>
      <c r="S220">
        <f>IF('Calculations PJ'!S220&lt;&gt;0,'Calculations PJ'!S220*About!$B$45,0)</f>
        <v>0</v>
      </c>
      <c r="T220">
        <f>IF('Calculations PJ'!T220&lt;&gt;0,'Calculations PJ'!T220*About!$B$45,0)</f>
        <v>0</v>
      </c>
      <c r="U220">
        <f>IF('Calculations PJ'!U220&lt;&gt;0,'Calculations PJ'!U220*About!$B$45,0)</f>
        <v>0</v>
      </c>
      <c r="V220">
        <f>IF('Calculations PJ'!V220&lt;&gt;0,'Calculations PJ'!V220*About!$B$45,0)</f>
        <v>0</v>
      </c>
      <c r="W220">
        <f>IF('Calculations PJ'!W220&lt;&gt;0,'Calculations PJ'!W220*About!$B$45,0)</f>
        <v>0</v>
      </c>
      <c r="X220">
        <f>IF('Calculations PJ'!X220&lt;&gt;0,'Calculations PJ'!X220*About!$B$45,0)</f>
        <v>0</v>
      </c>
      <c r="Y220">
        <f>IF('Calculations PJ'!Y220&lt;&gt;0,'Calculations PJ'!Y220*About!$B$45,0)</f>
        <v>0</v>
      </c>
      <c r="Z220">
        <f>IF('Calculations PJ'!Z220&lt;&gt;0,'Calculations PJ'!Z220*About!$B$45,0)</f>
        <v>0</v>
      </c>
      <c r="AA220">
        <f>IF('Calculations PJ'!AA220&lt;&gt;0,'Calculations PJ'!AA220*About!$B$45,0)</f>
        <v>0</v>
      </c>
      <c r="AB220">
        <f>IF('Calculations PJ'!AB220&lt;&gt;0,'Calculations PJ'!AB220*About!$B$45,0)</f>
        <v>0</v>
      </c>
      <c r="AC220">
        <f>IF('Calculations PJ'!AC220&lt;&gt;0,'Calculations PJ'!AC220*About!$B$45,0)</f>
        <v>0</v>
      </c>
      <c r="AD220">
        <f>IF('Calculations PJ'!AD220&lt;&gt;0,'Calculations PJ'!AD220*About!$B$45,0)</f>
        <v>0</v>
      </c>
      <c r="AE220">
        <f>IF('Calculations PJ'!AE220&lt;&gt;0,'Calculations PJ'!AE220*About!$B$45,0)</f>
        <v>0</v>
      </c>
      <c r="AF220">
        <f>IF('Calculations PJ'!AF220&lt;&gt;0,'Calculations PJ'!AF220*About!$B$45,0)</f>
        <v>0</v>
      </c>
      <c r="AG220">
        <f>IF('Calculations PJ'!AG220&lt;&gt;0,'Calculations PJ'!AG220*About!$B$45,0)</f>
        <v>0</v>
      </c>
      <c r="AH220">
        <f>IF('Calculations PJ'!AH220&lt;&gt;0,'Calculations PJ'!AH220*About!$B$45,0)</f>
        <v>0</v>
      </c>
      <c r="AI220">
        <f>IF('Calculations PJ'!AI220&lt;&gt;0,'Calculations PJ'!AI220*About!$B$45,0)</f>
        <v>0</v>
      </c>
      <c r="AJ220">
        <f>IF('Calculations PJ'!AJ220&lt;&gt;0,'Calculations PJ'!AJ220*About!$B$45,0)</f>
        <v>0</v>
      </c>
      <c r="AK220">
        <f>IF('Calculations PJ'!AK220&lt;&gt;0,'Calculations PJ'!AK220*About!$B$45,0)</f>
        <v>0</v>
      </c>
      <c r="AL220">
        <f>IF('Calculations PJ'!AL220&lt;&gt;0,'Calculations PJ'!AL220*About!$B$45,0)</f>
        <v>0</v>
      </c>
      <c r="AM220">
        <f>IF('Calculations PJ'!AM220&lt;&gt;0,'Calculations PJ'!AM220*About!$B$45,0)</f>
        <v>0</v>
      </c>
      <c r="AN220">
        <f>IF('Calculations PJ'!AN220&lt;&gt;0,'Calculations PJ'!AN220*About!$B$45,0)</f>
        <v>0</v>
      </c>
      <c r="AO220">
        <f>IF('Calculations PJ'!AO220&lt;&gt;0,'Calculations PJ'!AO220*About!$B$45,0)</f>
        <v>0</v>
      </c>
      <c r="AP220">
        <f>IF('Calculations PJ'!AP220&lt;&gt;0,'Calculations PJ'!AP220*About!$B$45,0)</f>
        <v>0</v>
      </c>
      <c r="AQ220">
        <f>IF('Calculations PJ'!AQ220&lt;&gt;0,'Calculations PJ'!AQ220*About!$B$45,0)</f>
        <v>0</v>
      </c>
      <c r="AR220">
        <f>IF('Calculations PJ'!AR220&lt;&gt;0,'Calculations PJ'!AR220*About!$B$45,0)</f>
        <v>0</v>
      </c>
      <c r="AS220">
        <f>IF('Calculations PJ'!AS220&lt;&gt;0,'Calculations PJ'!AS220*About!$B$45,0)</f>
        <v>0</v>
      </c>
      <c r="AT220">
        <f>IF('Calculations PJ'!AT220&lt;&gt;0,'Calculations PJ'!AT220*About!$B$45,0)</f>
        <v>0</v>
      </c>
      <c r="AU220">
        <f>IF('Calculations PJ'!AU220&lt;&gt;0,'Calculations PJ'!AU220*About!$B$45,0)</f>
        <v>0</v>
      </c>
      <c r="AV220">
        <f>IF('Calculations PJ'!AV220&lt;&gt;0,'Calculations PJ'!AV220*About!$B$45,0)</f>
        <v>0</v>
      </c>
      <c r="AW220">
        <f>IF('Calculations PJ'!AW220&lt;&gt;0,'Calculations PJ'!AW220*About!$B$45,0)</f>
        <v>0</v>
      </c>
      <c r="AX220">
        <f>IF('Calculations PJ'!AX220&lt;&gt;0,'Calculations PJ'!AX220*About!$B$45,0)</f>
        <v>0</v>
      </c>
      <c r="AY220">
        <f>IF('Calculations PJ'!AY220&lt;&gt;0,'Calculations PJ'!AY220*About!$B$45,0)</f>
        <v>0</v>
      </c>
      <c r="AZ220">
        <f>IF('Calculations PJ'!AZ220&lt;&gt;0,'Calculations PJ'!AZ220*About!$B$45,0)</f>
        <v>0</v>
      </c>
      <c r="BA220">
        <f>IF('Calculations PJ'!BA220&lt;&gt;0,'Calculations PJ'!BA220*About!$B$45,0)</f>
        <v>0</v>
      </c>
      <c r="BB220">
        <f>IF('Calculations PJ'!BB220&lt;&gt;0,'Calculations PJ'!BB220*About!$B$45,0)</f>
        <v>0</v>
      </c>
      <c r="BC220">
        <f>IF('Calculations PJ'!BC220&lt;&gt;0,'Calculations PJ'!BC220*About!$B$45,0)</f>
        <v>0</v>
      </c>
      <c r="BD220">
        <f>IF('Calculations PJ'!BD220&lt;&gt;0,'Calculations PJ'!BD220*About!$B$45,0)</f>
        <v>0</v>
      </c>
      <c r="BE220">
        <f>IF('Calculations PJ'!BE220&lt;&gt;0,'Calculations PJ'!BE220*About!$B$45,0)</f>
        <v>0</v>
      </c>
      <c r="BF220">
        <f>IF('Calculations PJ'!BF220&lt;&gt;0,'Calculations PJ'!BF220*About!$B$45,0)</f>
        <v>0</v>
      </c>
      <c r="BG220">
        <f>IF('Calculations PJ'!BG220&lt;&gt;0,'Calculations PJ'!BG220*About!$B$45,0)</f>
        <v>0</v>
      </c>
      <c r="BH220">
        <f>IF('Calculations PJ'!BH220&lt;&gt;0,'Calculations PJ'!BH220*About!$B$45,0)</f>
        <v>0</v>
      </c>
    </row>
    <row r="221" spans="1:60" outlineLevel="2">
      <c r="B221" t="s">
        <v>136</v>
      </c>
      <c r="C221">
        <f>IF('Calculations PJ'!C221&lt;&gt;0,'Calculations PJ'!C221*About!$B$45,0)</f>
        <v>0</v>
      </c>
      <c r="D221">
        <f>IF('Calculations PJ'!D221&lt;&gt;0,'Calculations PJ'!D221*About!$B$45,0)</f>
        <v>0</v>
      </c>
      <c r="E221">
        <f>IF('Calculations PJ'!E221&lt;&gt;0,'Calculations PJ'!E221*About!$B$45,0)</f>
        <v>0</v>
      </c>
      <c r="F221">
        <f>IF('Calculations PJ'!F221&lt;&gt;0,'Calculations PJ'!F221*About!$B$45,0)</f>
        <v>0</v>
      </c>
      <c r="G221">
        <f>IF('Calculations PJ'!G221&lt;&gt;0,'Calculations PJ'!G221*About!$B$45,0)</f>
        <v>0</v>
      </c>
      <c r="H221">
        <f>IF('Calculations PJ'!H221&lt;&gt;0,'Calculations PJ'!H221*About!$B$45,0)</f>
        <v>0</v>
      </c>
      <c r="I221">
        <f>IF('Calculations PJ'!I221&lt;&gt;0,'Calculations PJ'!I221*About!$B$45,0)</f>
        <v>0</v>
      </c>
      <c r="J221">
        <f>IF('Calculations PJ'!J221&lt;&gt;0,'Calculations PJ'!J221*About!$B$45,0)</f>
        <v>0</v>
      </c>
      <c r="K221">
        <f>IF('Calculations PJ'!K221&lt;&gt;0,'Calculations PJ'!K221*About!$B$45,0)</f>
        <v>0</v>
      </c>
      <c r="L221">
        <f>IF('Calculations PJ'!L221&lt;&gt;0,'Calculations PJ'!L221*About!$B$45,0)</f>
        <v>0</v>
      </c>
      <c r="M221">
        <f>IF('Calculations PJ'!M221&lt;&gt;0,'Calculations PJ'!M221*About!$B$45,0)</f>
        <v>0</v>
      </c>
      <c r="N221">
        <f>IF('Calculations PJ'!N221&lt;&gt;0,'Calculations PJ'!N221*About!$B$45,0)</f>
        <v>0</v>
      </c>
      <c r="O221">
        <f>IF('Calculations PJ'!O221&lt;&gt;0,'Calculations PJ'!O221*About!$B$45,0)</f>
        <v>0</v>
      </c>
      <c r="P221">
        <f>IF('Calculations PJ'!P221&lt;&gt;0,'Calculations PJ'!P221*About!$B$45,0)</f>
        <v>0</v>
      </c>
      <c r="Q221">
        <f>IF('Calculations PJ'!Q221&lt;&gt;0,'Calculations PJ'!Q221*About!$B$45,0)</f>
        <v>0</v>
      </c>
      <c r="R221">
        <f>IF('Calculations PJ'!R221&lt;&gt;0,'Calculations PJ'!R221*About!$B$45,0)</f>
        <v>0</v>
      </c>
      <c r="S221">
        <f>IF('Calculations PJ'!S221&lt;&gt;0,'Calculations PJ'!S221*About!$B$45,0)</f>
        <v>0</v>
      </c>
      <c r="T221">
        <f>IF('Calculations PJ'!T221&lt;&gt;0,'Calculations PJ'!T221*About!$B$45,0)</f>
        <v>0</v>
      </c>
      <c r="U221">
        <f>IF('Calculations PJ'!U221&lt;&gt;0,'Calculations PJ'!U221*About!$B$45,0)</f>
        <v>0</v>
      </c>
      <c r="V221">
        <f>IF('Calculations PJ'!V221&lt;&gt;0,'Calculations PJ'!V221*About!$B$45,0)</f>
        <v>0</v>
      </c>
      <c r="W221">
        <f>IF('Calculations PJ'!W221&lt;&gt;0,'Calculations PJ'!W221*About!$B$45,0)</f>
        <v>0</v>
      </c>
      <c r="X221">
        <f>IF('Calculations PJ'!X221&lt;&gt;0,'Calculations PJ'!X221*About!$B$45,0)</f>
        <v>0</v>
      </c>
      <c r="Y221">
        <f>IF('Calculations PJ'!Y221&lt;&gt;0,'Calculations PJ'!Y221*About!$B$45,0)</f>
        <v>0</v>
      </c>
      <c r="Z221">
        <f>IF('Calculations PJ'!Z221&lt;&gt;0,'Calculations PJ'!Z221*About!$B$45,0)</f>
        <v>0</v>
      </c>
      <c r="AA221">
        <f>IF('Calculations PJ'!AA221&lt;&gt;0,'Calculations PJ'!AA221*About!$B$45,0)</f>
        <v>0</v>
      </c>
      <c r="AB221">
        <f>IF('Calculations PJ'!AB221&lt;&gt;0,'Calculations PJ'!AB221*About!$B$45,0)</f>
        <v>0</v>
      </c>
      <c r="AC221">
        <f>IF('Calculations PJ'!AC221&lt;&gt;0,'Calculations PJ'!AC221*About!$B$45,0)</f>
        <v>0</v>
      </c>
      <c r="AD221">
        <f>IF('Calculations PJ'!AD221&lt;&gt;0,'Calculations PJ'!AD221*About!$B$45,0)</f>
        <v>0</v>
      </c>
      <c r="AE221">
        <f>IF('Calculations PJ'!AE221&lt;&gt;0,'Calculations PJ'!AE221*About!$B$45,0)</f>
        <v>0</v>
      </c>
      <c r="AF221">
        <f>IF('Calculations PJ'!AF221&lt;&gt;0,'Calculations PJ'!AF221*About!$B$45,0)</f>
        <v>0</v>
      </c>
      <c r="AG221">
        <f>IF('Calculations PJ'!AG221&lt;&gt;0,'Calculations PJ'!AG221*About!$B$45,0)</f>
        <v>0</v>
      </c>
      <c r="AH221">
        <f>IF('Calculations PJ'!AH221&lt;&gt;0,'Calculations PJ'!AH221*About!$B$45,0)</f>
        <v>0</v>
      </c>
      <c r="AI221">
        <f>IF('Calculations PJ'!AI221&lt;&gt;0,'Calculations PJ'!AI221*About!$B$45,0)</f>
        <v>0</v>
      </c>
      <c r="AJ221">
        <f>IF('Calculations PJ'!AJ221&lt;&gt;0,'Calculations PJ'!AJ221*About!$B$45,0)</f>
        <v>0</v>
      </c>
      <c r="AK221">
        <f>IF('Calculations PJ'!AK221&lt;&gt;0,'Calculations PJ'!AK221*About!$B$45,0)</f>
        <v>0</v>
      </c>
      <c r="AL221">
        <f>IF('Calculations PJ'!AL221&lt;&gt;0,'Calculations PJ'!AL221*About!$B$45,0)</f>
        <v>0</v>
      </c>
      <c r="AM221">
        <f>IF('Calculations PJ'!AM221&lt;&gt;0,'Calculations PJ'!AM221*About!$B$45,0)</f>
        <v>0</v>
      </c>
      <c r="AN221">
        <f>IF('Calculations PJ'!AN221&lt;&gt;0,'Calculations PJ'!AN221*About!$B$45,0)</f>
        <v>0</v>
      </c>
      <c r="AO221">
        <f>IF('Calculations PJ'!AO221&lt;&gt;0,'Calculations PJ'!AO221*About!$B$45,0)</f>
        <v>0</v>
      </c>
      <c r="AP221">
        <f>IF('Calculations PJ'!AP221&lt;&gt;0,'Calculations PJ'!AP221*About!$B$45,0)</f>
        <v>0</v>
      </c>
      <c r="AQ221">
        <f>IF('Calculations PJ'!AQ221&lt;&gt;0,'Calculations PJ'!AQ221*About!$B$45,0)</f>
        <v>0</v>
      </c>
      <c r="AR221">
        <f>IF('Calculations PJ'!AR221&lt;&gt;0,'Calculations PJ'!AR221*About!$B$45,0)</f>
        <v>0</v>
      </c>
      <c r="AS221">
        <f>IF('Calculations PJ'!AS221&lt;&gt;0,'Calculations PJ'!AS221*About!$B$45,0)</f>
        <v>0</v>
      </c>
      <c r="AT221">
        <f>IF('Calculations PJ'!AT221&lt;&gt;0,'Calculations PJ'!AT221*About!$B$45,0)</f>
        <v>0</v>
      </c>
      <c r="AU221">
        <f>IF('Calculations PJ'!AU221&lt;&gt;0,'Calculations PJ'!AU221*About!$B$45,0)</f>
        <v>0</v>
      </c>
      <c r="AV221">
        <f>IF('Calculations PJ'!AV221&lt;&gt;0,'Calculations PJ'!AV221*About!$B$45,0)</f>
        <v>0</v>
      </c>
      <c r="AW221">
        <f>IF('Calculations PJ'!AW221&lt;&gt;0,'Calculations PJ'!AW221*About!$B$45,0)</f>
        <v>0</v>
      </c>
      <c r="AX221">
        <f>IF('Calculations PJ'!AX221&lt;&gt;0,'Calculations PJ'!AX221*About!$B$45,0)</f>
        <v>0</v>
      </c>
      <c r="AY221">
        <f>IF('Calculations PJ'!AY221&lt;&gt;0,'Calculations PJ'!AY221*About!$B$45,0)</f>
        <v>0</v>
      </c>
      <c r="AZ221">
        <f>IF('Calculations PJ'!AZ221&lt;&gt;0,'Calculations PJ'!AZ221*About!$B$45,0)</f>
        <v>0</v>
      </c>
      <c r="BA221">
        <f>IF('Calculations PJ'!BA221&lt;&gt;0,'Calculations PJ'!BA221*About!$B$45,0)</f>
        <v>0</v>
      </c>
      <c r="BB221">
        <f>IF('Calculations PJ'!BB221&lt;&gt;0,'Calculations PJ'!BB221*About!$B$45,0)</f>
        <v>0</v>
      </c>
      <c r="BC221">
        <f>IF('Calculations PJ'!BC221&lt;&gt;0,'Calculations PJ'!BC221*About!$B$45,0)</f>
        <v>0</v>
      </c>
      <c r="BD221">
        <f>IF('Calculations PJ'!BD221&lt;&gt;0,'Calculations PJ'!BD221*About!$B$45,0)</f>
        <v>0</v>
      </c>
      <c r="BE221">
        <f>IF('Calculations PJ'!BE221&lt;&gt;0,'Calculations PJ'!BE221*About!$B$45,0)</f>
        <v>0</v>
      </c>
      <c r="BF221">
        <f>IF('Calculations PJ'!BF221&lt;&gt;0,'Calculations PJ'!BF221*About!$B$45,0)</f>
        <v>0</v>
      </c>
      <c r="BG221">
        <f>IF('Calculations PJ'!BG221&lt;&gt;0,'Calculations PJ'!BG221*About!$B$45,0)</f>
        <v>0</v>
      </c>
      <c r="BH221">
        <f>IF('Calculations PJ'!BH221&lt;&gt;0,'Calculations PJ'!BH221*About!$B$45,0)</f>
        <v>0</v>
      </c>
    </row>
    <row r="222" spans="1:60" outlineLevel="2">
      <c r="B222" t="s">
        <v>137</v>
      </c>
      <c r="C222">
        <f>IF('Calculations PJ'!C222&lt;&gt;0,'Calculations PJ'!C222*About!$B$45,0)</f>
        <v>0</v>
      </c>
      <c r="D222">
        <f>IF('Calculations PJ'!D222&lt;&gt;0,'Calculations PJ'!D222*About!$B$45,0)</f>
        <v>0</v>
      </c>
      <c r="E222">
        <f>IF('Calculations PJ'!E222&lt;&gt;0,'Calculations PJ'!E222*About!$B$45,0)</f>
        <v>0</v>
      </c>
      <c r="F222">
        <f>IF('Calculations PJ'!F222&lt;&gt;0,'Calculations PJ'!F222*About!$B$45,0)</f>
        <v>0</v>
      </c>
      <c r="G222">
        <f>IF('Calculations PJ'!G222&lt;&gt;0,'Calculations PJ'!G222*About!$B$45,0)</f>
        <v>0</v>
      </c>
      <c r="H222">
        <f>IF('Calculations PJ'!H222&lt;&gt;0,'Calculations PJ'!H222*About!$B$45,0)</f>
        <v>0</v>
      </c>
      <c r="I222">
        <f>IF('Calculations PJ'!I222&lt;&gt;0,'Calculations PJ'!I222*About!$B$45,0)</f>
        <v>0</v>
      </c>
      <c r="J222">
        <f>IF('Calculations PJ'!J222&lt;&gt;0,'Calculations PJ'!J222*About!$B$45,0)</f>
        <v>0</v>
      </c>
      <c r="K222">
        <f>IF('Calculations PJ'!K222&lt;&gt;0,'Calculations PJ'!K222*About!$B$45,0)</f>
        <v>0</v>
      </c>
      <c r="L222">
        <f>IF('Calculations PJ'!L222&lt;&gt;0,'Calculations PJ'!L222*About!$B$45,0)</f>
        <v>0</v>
      </c>
      <c r="M222">
        <f>IF('Calculations PJ'!M222&lt;&gt;0,'Calculations PJ'!M222*About!$B$45,0)</f>
        <v>0</v>
      </c>
      <c r="N222">
        <f>IF('Calculations PJ'!N222&lt;&gt;0,'Calculations PJ'!N222*About!$B$45,0)</f>
        <v>0</v>
      </c>
      <c r="O222">
        <f>IF('Calculations PJ'!O222&lt;&gt;0,'Calculations PJ'!O222*About!$B$45,0)</f>
        <v>0</v>
      </c>
      <c r="P222">
        <f>IF('Calculations PJ'!P222&lt;&gt;0,'Calculations PJ'!P222*About!$B$45,0)</f>
        <v>0</v>
      </c>
      <c r="Q222">
        <f>IF('Calculations PJ'!Q222&lt;&gt;0,'Calculations PJ'!Q222*About!$B$45,0)</f>
        <v>0</v>
      </c>
      <c r="R222">
        <f>IF('Calculations PJ'!R222&lt;&gt;0,'Calculations PJ'!R222*About!$B$45,0)</f>
        <v>0</v>
      </c>
      <c r="S222">
        <f>IF('Calculations PJ'!S222&lt;&gt;0,'Calculations PJ'!S222*About!$B$45,0)</f>
        <v>0</v>
      </c>
      <c r="T222">
        <f>IF('Calculations PJ'!T222&lt;&gt;0,'Calculations PJ'!T222*About!$B$45,0)</f>
        <v>0</v>
      </c>
      <c r="U222">
        <f>IF('Calculations PJ'!U222&lt;&gt;0,'Calculations PJ'!U222*About!$B$45,0)</f>
        <v>0</v>
      </c>
      <c r="V222">
        <f>IF('Calculations PJ'!V222&lt;&gt;0,'Calculations PJ'!V222*About!$B$45,0)</f>
        <v>0</v>
      </c>
      <c r="W222">
        <f>IF('Calculations PJ'!W222&lt;&gt;0,'Calculations PJ'!W222*About!$B$45,0)</f>
        <v>0</v>
      </c>
      <c r="X222">
        <f>IF('Calculations PJ'!X222&lt;&gt;0,'Calculations PJ'!X222*About!$B$45,0)</f>
        <v>0</v>
      </c>
      <c r="Y222">
        <f>IF('Calculations PJ'!Y222&lt;&gt;0,'Calculations PJ'!Y222*About!$B$45,0)</f>
        <v>0</v>
      </c>
      <c r="Z222">
        <f>IF('Calculations PJ'!Z222&lt;&gt;0,'Calculations PJ'!Z222*About!$B$45,0)</f>
        <v>0</v>
      </c>
      <c r="AA222">
        <f>IF('Calculations PJ'!AA222&lt;&gt;0,'Calculations PJ'!AA222*About!$B$45,0)</f>
        <v>0</v>
      </c>
      <c r="AB222">
        <f>IF('Calculations PJ'!AB222&lt;&gt;0,'Calculations PJ'!AB222*About!$B$45,0)</f>
        <v>0</v>
      </c>
      <c r="AC222">
        <f>IF('Calculations PJ'!AC222&lt;&gt;0,'Calculations PJ'!AC222*About!$B$45,0)</f>
        <v>0</v>
      </c>
      <c r="AD222">
        <f>IF('Calculations PJ'!AD222&lt;&gt;0,'Calculations PJ'!AD222*About!$B$45,0)</f>
        <v>0</v>
      </c>
      <c r="AE222">
        <f>IF('Calculations PJ'!AE222&lt;&gt;0,'Calculations PJ'!AE222*About!$B$45,0)</f>
        <v>0</v>
      </c>
      <c r="AF222">
        <f>IF('Calculations PJ'!AF222&lt;&gt;0,'Calculations PJ'!AF222*About!$B$45,0)</f>
        <v>0</v>
      </c>
      <c r="AG222">
        <f>IF('Calculations PJ'!AG222&lt;&gt;0,'Calculations PJ'!AG222*About!$B$45,0)</f>
        <v>0</v>
      </c>
      <c r="AH222">
        <f>IF('Calculations PJ'!AH222&lt;&gt;0,'Calculations PJ'!AH222*About!$B$45,0)</f>
        <v>0</v>
      </c>
      <c r="AI222">
        <f>IF('Calculations PJ'!AI222&lt;&gt;0,'Calculations PJ'!AI222*About!$B$45,0)</f>
        <v>0</v>
      </c>
      <c r="AJ222">
        <f>IF('Calculations PJ'!AJ222&lt;&gt;0,'Calculations PJ'!AJ222*About!$B$45,0)</f>
        <v>0</v>
      </c>
      <c r="AK222">
        <f>IF('Calculations PJ'!AK222&lt;&gt;0,'Calculations PJ'!AK222*About!$B$45,0)</f>
        <v>0</v>
      </c>
      <c r="AL222">
        <f>IF('Calculations PJ'!AL222&lt;&gt;0,'Calculations PJ'!AL222*About!$B$45,0)</f>
        <v>0</v>
      </c>
      <c r="AM222">
        <f>IF('Calculations PJ'!AM222&lt;&gt;0,'Calculations PJ'!AM222*About!$B$45,0)</f>
        <v>0</v>
      </c>
      <c r="AN222">
        <f>IF('Calculations PJ'!AN222&lt;&gt;0,'Calculations PJ'!AN222*About!$B$45,0)</f>
        <v>0</v>
      </c>
      <c r="AO222">
        <f>IF('Calculations PJ'!AO222&lt;&gt;0,'Calculations PJ'!AO222*About!$B$45,0)</f>
        <v>0</v>
      </c>
      <c r="AP222">
        <f>IF('Calculations PJ'!AP222&lt;&gt;0,'Calculations PJ'!AP222*About!$B$45,0)</f>
        <v>0</v>
      </c>
      <c r="AQ222">
        <f>IF('Calculations PJ'!AQ222&lt;&gt;0,'Calculations PJ'!AQ222*About!$B$45,0)</f>
        <v>0</v>
      </c>
      <c r="AR222">
        <f>IF('Calculations PJ'!AR222&lt;&gt;0,'Calculations PJ'!AR222*About!$B$45,0)</f>
        <v>0</v>
      </c>
      <c r="AS222">
        <f>IF('Calculations PJ'!AS222&lt;&gt;0,'Calculations PJ'!AS222*About!$B$45,0)</f>
        <v>0</v>
      </c>
      <c r="AT222">
        <f>IF('Calculations PJ'!AT222&lt;&gt;0,'Calculations PJ'!AT222*About!$B$45,0)</f>
        <v>0</v>
      </c>
      <c r="AU222">
        <f>IF('Calculations PJ'!AU222&lt;&gt;0,'Calculations PJ'!AU222*About!$B$45,0)</f>
        <v>0</v>
      </c>
      <c r="AV222">
        <f>IF('Calculations PJ'!AV222&lt;&gt;0,'Calculations PJ'!AV222*About!$B$45,0)</f>
        <v>0</v>
      </c>
      <c r="AW222">
        <f>IF('Calculations PJ'!AW222&lt;&gt;0,'Calculations PJ'!AW222*About!$B$45,0)</f>
        <v>0</v>
      </c>
      <c r="AX222">
        <f>IF('Calculations PJ'!AX222&lt;&gt;0,'Calculations PJ'!AX222*About!$B$45,0)</f>
        <v>0</v>
      </c>
      <c r="AY222">
        <f>IF('Calculations PJ'!AY222&lt;&gt;0,'Calculations PJ'!AY222*About!$B$45,0)</f>
        <v>0</v>
      </c>
      <c r="AZ222">
        <f>IF('Calculations PJ'!AZ222&lt;&gt;0,'Calculations PJ'!AZ222*About!$B$45,0)</f>
        <v>0</v>
      </c>
      <c r="BA222">
        <f>IF('Calculations PJ'!BA222&lt;&gt;0,'Calculations PJ'!BA222*About!$B$45,0)</f>
        <v>0</v>
      </c>
      <c r="BB222">
        <f>IF('Calculations PJ'!BB222&lt;&gt;0,'Calculations PJ'!BB222*About!$B$45,0)</f>
        <v>0</v>
      </c>
      <c r="BC222">
        <f>IF('Calculations PJ'!BC222&lt;&gt;0,'Calculations PJ'!BC222*About!$B$45,0)</f>
        <v>0</v>
      </c>
      <c r="BD222">
        <f>IF('Calculations PJ'!BD222&lt;&gt;0,'Calculations PJ'!BD222*About!$B$45,0)</f>
        <v>0</v>
      </c>
      <c r="BE222">
        <f>IF('Calculations PJ'!BE222&lt;&gt;0,'Calculations PJ'!BE222*About!$B$45,0)</f>
        <v>0</v>
      </c>
      <c r="BF222">
        <f>IF('Calculations PJ'!BF222&lt;&gt;0,'Calculations PJ'!BF222*About!$B$45,0)</f>
        <v>0</v>
      </c>
      <c r="BG222">
        <f>IF('Calculations PJ'!BG222&lt;&gt;0,'Calculations PJ'!BG222*About!$B$45,0)</f>
        <v>0</v>
      </c>
      <c r="BH222">
        <f>IF('Calculations PJ'!BH222&lt;&gt;0,'Calculations PJ'!BH222*About!$B$45,0)</f>
        <v>0</v>
      </c>
    </row>
    <row r="223" spans="1:60" outlineLevel="2">
      <c r="B223" t="s">
        <v>138</v>
      </c>
      <c r="C223">
        <f>IF('Calculations PJ'!C223&lt;&gt;0,'Calculations PJ'!C223*About!$B$45,0)</f>
        <v>0</v>
      </c>
      <c r="D223">
        <f>IF('Calculations PJ'!D223&lt;&gt;0,'Calculations PJ'!D223*About!$B$45,0)</f>
        <v>0</v>
      </c>
      <c r="E223">
        <f>IF('Calculations PJ'!E223&lt;&gt;0,'Calculations PJ'!E223*About!$B$45,0)</f>
        <v>0</v>
      </c>
      <c r="F223">
        <f>IF('Calculations PJ'!F223&lt;&gt;0,'Calculations PJ'!F223*About!$B$45,0)</f>
        <v>0</v>
      </c>
      <c r="G223">
        <f>IF('Calculations PJ'!G223&lt;&gt;0,'Calculations PJ'!G223*About!$B$45,0)</f>
        <v>0</v>
      </c>
      <c r="H223">
        <f>IF('Calculations PJ'!H223&lt;&gt;0,'Calculations PJ'!H223*About!$B$45,0)</f>
        <v>0</v>
      </c>
      <c r="I223">
        <f>IF('Calculations PJ'!I223&lt;&gt;0,'Calculations PJ'!I223*About!$B$45,0)</f>
        <v>0</v>
      </c>
      <c r="J223">
        <f>IF('Calculations PJ'!J223&lt;&gt;0,'Calculations PJ'!J223*About!$B$45,0)</f>
        <v>0</v>
      </c>
      <c r="K223">
        <f>IF('Calculations PJ'!K223&lt;&gt;0,'Calculations PJ'!K223*About!$B$45,0)</f>
        <v>0</v>
      </c>
      <c r="L223">
        <f>IF('Calculations PJ'!L223&lt;&gt;0,'Calculations PJ'!L223*About!$B$45,0)</f>
        <v>0</v>
      </c>
      <c r="M223">
        <f>IF('Calculations PJ'!M223&lt;&gt;0,'Calculations PJ'!M223*About!$B$45,0)</f>
        <v>0</v>
      </c>
      <c r="N223">
        <f>IF('Calculations PJ'!N223&lt;&gt;0,'Calculations PJ'!N223*About!$B$45,0)</f>
        <v>0</v>
      </c>
      <c r="O223">
        <f>IF('Calculations PJ'!O223&lt;&gt;0,'Calculations PJ'!O223*About!$B$45,0)</f>
        <v>0</v>
      </c>
      <c r="P223">
        <f>IF('Calculations PJ'!P223&lt;&gt;0,'Calculations PJ'!P223*About!$B$45,0)</f>
        <v>0</v>
      </c>
      <c r="Q223">
        <f>IF('Calculations PJ'!Q223&lt;&gt;0,'Calculations PJ'!Q223*About!$B$45,0)</f>
        <v>0</v>
      </c>
      <c r="R223">
        <f>IF('Calculations PJ'!R223&lt;&gt;0,'Calculations PJ'!R223*About!$B$45,0)</f>
        <v>0</v>
      </c>
      <c r="S223">
        <f>IF('Calculations PJ'!S223&lt;&gt;0,'Calculations PJ'!S223*About!$B$45,0)</f>
        <v>0</v>
      </c>
      <c r="T223">
        <f>IF('Calculations PJ'!T223&lt;&gt;0,'Calculations PJ'!T223*About!$B$45,0)</f>
        <v>0</v>
      </c>
      <c r="U223">
        <f>IF('Calculations PJ'!U223&lt;&gt;0,'Calculations PJ'!U223*About!$B$45,0)</f>
        <v>0</v>
      </c>
      <c r="V223">
        <f>IF('Calculations PJ'!V223&lt;&gt;0,'Calculations PJ'!V223*About!$B$45,0)</f>
        <v>0</v>
      </c>
      <c r="W223">
        <f>IF('Calculations PJ'!W223&lt;&gt;0,'Calculations PJ'!W223*About!$B$45,0)</f>
        <v>0</v>
      </c>
      <c r="X223">
        <f>IF('Calculations PJ'!X223&lt;&gt;0,'Calculations PJ'!X223*About!$B$45,0)</f>
        <v>0</v>
      </c>
      <c r="Y223">
        <f>IF('Calculations PJ'!Y223&lt;&gt;0,'Calculations PJ'!Y223*About!$B$45,0)</f>
        <v>0</v>
      </c>
      <c r="Z223">
        <f>IF('Calculations PJ'!Z223&lt;&gt;0,'Calculations PJ'!Z223*About!$B$45,0)</f>
        <v>0</v>
      </c>
      <c r="AA223">
        <f>IF('Calculations PJ'!AA223&lt;&gt;0,'Calculations PJ'!AA223*About!$B$45,0)</f>
        <v>0</v>
      </c>
      <c r="AB223">
        <f>IF('Calculations PJ'!AB223&lt;&gt;0,'Calculations PJ'!AB223*About!$B$45,0)</f>
        <v>0</v>
      </c>
      <c r="AC223">
        <f>IF('Calculations PJ'!AC223&lt;&gt;0,'Calculations PJ'!AC223*About!$B$45,0)</f>
        <v>0</v>
      </c>
      <c r="AD223">
        <f>IF('Calculations PJ'!AD223&lt;&gt;0,'Calculations PJ'!AD223*About!$B$45,0)</f>
        <v>0</v>
      </c>
      <c r="AE223">
        <f>IF('Calculations PJ'!AE223&lt;&gt;0,'Calculations PJ'!AE223*About!$B$45,0)</f>
        <v>0</v>
      </c>
      <c r="AF223">
        <f>IF('Calculations PJ'!AF223&lt;&gt;0,'Calculations PJ'!AF223*About!$B$45,0)</f>
        <v>0</v>
      </c>
      <c r="AG223">
        <f>IF('Calculations PJ'!AG223&lt;&gt;0,'Calculations PJ'!AG223*About!$B$45,0)</f>
        <v>0</v>
      </c>
      <c r="AH223">
        <f>IF('Calculations PJ'!AH223&lt;&gt;0,'Calculations PJ'!AH223*About!$B$45,0)</f>
        <v>0</v>
      </c>
      <c r="AI223">
        <f>IF('Calculations PJ'!AI223&lt;&gt;0,'Calculations PJ'!AI223*About!$B$45,0)</f>
        <v>0</v>
      </c>
      <c r="AJ223">
        <f>IF('Calculations PJ'!AJ223&lt;&gt;0,'Calculations PJ'!AJ223*About!$B$45,0)</f>
        <v>0</v>
      </c>
      <c r="AK223">
        <f>IF('Calculations PJ'!AK223&lt;&gt;0,'Calculations PJ'!AK223*About!$B$45,0)</f>
        <v>0</v>
      </c>
      <c r="AL223">
        <f>IF('Calculations PJ'!AL223&lt;&gt;0,'Calculations PJ'!AL223*About!$B$45,0)</f>
        <v>0</v>
      </c>
      <c r="AM223">
        <f>IF('Calculations PJ'!AM223&lt;&gt;0,'Calculations PJ'!AM223*About!$B$45,0)</f>
        <v>0</v>
      </c>
      <c r="AN223">
        <f>IF('Calculations PJ'!AN223&lt;&gt;0,'Calculations PJ'!AN223*About!$B$45,0)</f>
        <v>0</v>
      </c>
      <c r="AO223">
        <f>IF('Calculations PJ'!AO223&lt;&gt;0,'Calculations PJ'!AO223*About!$B$45,0)</f>
        <v>0</v>
      </c>
      <c r="AP223">
        <f>IF('Calculations PJ'!AP223&lt;&gt;0,'Calculations PJ'!AP223*About!$B$45,0)</f>
        <v>0</v>
      </c>
      <c r="AQ223">
        <f>IF('Calculations PJ'!AQ223&lt;&gt;0,'Calculations PJ'!AQ223*About!$B$45,0)</f>
        <v>0</v>
      </c>
      <c r="AR223">
        <f>IF('Calculations PJ'!AR223&lt;&gt;0,'Calculations PJ'!AR223*About!$B$45,0)</f>
        <v>0</v>
      </c>
      <c r="AS223">
        <f>IF('Calculations PJ'!AS223&lt;&gt;0,'Calculations PJ'!AS223*About!$B$45,0)</f>
        <v>0</v>
      </c>
      <c r="AT223">
        <f>IF('Calculations PJ'!AT223&lt;&gt;0,'Calculations PJ'!AT223*About!$B$45,0)</f>
        <v>0</v>
      </c>
      <c r="AU223">
        <f>IF('Calculations PJ'!AU223&lt;&gt;0,'Calculations PJ'!AU223*About!$B$45,0)</f>
        <v>0</v>
      </c>
      <c r="AV223">
        <f>IF('Calculations PJ'!AV223&lt;&gt;0,'Calculations PJ'!AV223*About!$B$45,0)</f>
        <v>0</v>
      </c>
      <c r="AW223">
        <f>IF('Calculations PJ'!AW223&lt;&gt;0,'Calculations PJ'!AW223*About!$B$45,0)</f>
        <v>0</v>
      </c>
      <c r="AX223">
        <f>IF('Calculations PJ'!AX223&lt;&gt;0,'Calculations PJ'!AX223*About!$B$45,0)</f>
        <v>0</v>
      </c>
      <c r="AY223">
        <f>IF('Calculations PJ'!AY223&lt;&gt;0,'Calculations PJ'!AY223*About!$B$45,0)</f>
        <v>0</v>
      </c>
      <c r="AZ223">
        <f>IF('Calculations PJ'!AZ223&lt;&gt;0,'Calculations PJ'!AZ223*About!$B$45,0)</f>
        <v>0</v>
      </c>
      <c r="BA223">
        <f>IF('Calculations PJ'!BA223&lt;&gt;0,'Calculations PJ'!BA223*About!$B$45,0)</f>
        <v>0</v>
      </c>
      <c r="BB223">
        <f>IF('Calculations PJ'!BB223&lt;&gt;0,'Calculations PJ'!BB223*About!$B$45,0)</f>
        <v>0</v>
      </c>
      <c r="BC223">
        <f>IF('Calculations PJ'!BC223&lt;&gt;0,'Calculations PJ'!BC223*About!$B$45,0)</f>
        <v>0</v>
      </c>
      <c r="BD223">
        <f>IF('Calculations PJ'!BD223&lt;&gt;0,'Calculations PJ'!BD223*About!$B$45,0)</f>
        <v>0</v>
      </c>
      <c r="BE223">
        <f>IF('Calculations PJ'!BE223&lt;&gt;0,'Calculations PJ'!BE223*About!$B$45,0)</f>
        <v>0</v>
      </c>
      <c r="BF223">
        <f>IF('Calculations PJ'!BF223&lt;&gt;0,'Calculations PJ'!BF223*About!$B$45,0)</f>
        <v>0</v>
      </c>
      <c r="BG223">
        <f>IF('Calculations PJ'!BG223&lt;&gt;0,'Calculations PJ'!BG223*About!$B$45,0)</f>
        <v>0</v>
      </c>
      <c r="BH223">
        <f>IF('Calculations PJ'!BH223&lt;&gt;0,'Calculations PJ'!BH223*About!$B$45,0)</f>
        <v>0</v>
      </c>
    </row>
    <row r="224" spans="1:60" outlineLevel="2">
      <c r="B224" t="s">
        <v>139</v>
      </c>
      <c r="C224">
        <f>IF('Calculations PJ'!C224&lt;&gt;0,'Calculations PJ'!C224*About!$B$45,0)</f>
        <v>0</v>
      </c>
      <c r="D224">
        <f>IF('Calculations PJ'!D224&lt;&gt;0,'Calculations PJ'!D224*About!$B$45,0)</f>
        <v>0</v>
      </c>
      <c r="E224">
        <f>IF('Calculations PJ'!E224&lt;&gt;0,'Calculations PJ'!E224*About!$B$45,0)</f>
        <v>0</v>
      </c>
      <c r="F224">
        <f>IF('Calculations PJ'!F224&lt;&gt;0,'Calculations PJ'!F224*About!$B$45,0)</f>
        <v>0</v>
      </c>
      <c r="G224">
        <f>IF('Calculations PJ'!G224&lt;&gt;0,'Calculations PJ'!G224*About!$B$45,0)</f>
        <v>0</v>
      </c>
      <c r="H224">
        <f>IF('Calculations PJ'!H224&lt;&gt;0,'Calculations PJ'!H224*About!$B$45,0)</f>
        <v>0</v>
      </c>
      <c r="I224">
        <f>IF('Calculations PJ'!I224&lt;&gt;0,'Calculations PJ'!I224*About!$B$45,0)</f>
        <v>0</v>
      </c>
      <c r="J224">
        <f>IF('Calculations PJ'!J224&lt;&gt;0,'Calculations PJ'!J224*About!$B$45,0)</f>
        <v>0</v>
      </c>
      <c r="K224">
        <f>IF('Calculations PJ'!K224&lt;&gt;0,'Calculations PJ'!K224*About!$B$45,0)</f>
        <v>0</v>
      </c>
      <c r="L224">
        <f>IF('Calculations PJ'!L224&lt;&gt;0,'Calculations PJ'!L224*About!$B$45,0)</f>
        <v>0</v>
      </c>
      <c r="M224">
        <f>IF('Calculations PJ'!M224&lt;&gt;0,'Calculations PJ'!M224*About!$B$45,0)</f>
        <v>0</v>
      </c>
      <c r="N224">
        <f>IF('Calculations PJ'!N224&lt;&gt;0,'Calculations PJ'!N224*About!$B$45,0)</f>
        <v>0</v>
      </c>
      <c r="O224">
        <f>IF('Calculations PJ'!O224&lt;&gt;0,'Calculations PJ'!O224*About!$B$45,0)</f>
        <v>0</v>
      </c>
      <c r="P224">
        <f>IF('Calculations PJ'!P224&lt;&gt;0,'Calculations PJ'!P224*About!$B$45,0)</f>
        <v>0</v>
      </c>
      <c r="Q224">
        <f>IF('Calculations PJ'!Q224&lt;&gt;0,'Calculations PJ'!Q224*About!$B$45,0)</f>
        <v>0</v>
      </c>
      <c r="R224">
        <f>IF('Calculations PJ'!R224&lt;&gt;0,'Calculations PJ'!R224*About!$B$45,0)</f>
        <v>0</v>
      </c>
      <c r="S224">
        <f>IF('Calculations PJ'!S224&lt;&gt;0,'Calculations PJ'!S224*About!$B$45,0)</f>
        <v>0</v>
      </c>
      <c r="T224">
        <f>IF('Calculations PJ'!T224&lt;&gt;0,'Calculations PJ'!T224*About!$B$45,0)</f>
        <v>0</v>
      </c>
      <c r="U224">
        <f>IF('Calculations PJ'!U224&lt;&gt;0,'Calculations PJ'!U224*About!$B$45,0)</f>
        <v>0</v>
      </c>
      <c r="V224">
        <f>IF('Calculations PJ'!V224&lt;&gt;0,'Calculations PJ'!V224*About!$B$45,0)</f>
        <v>0</v>
      </c>
      <c r="W224">
        <f>IF('Calculations PJ'!W224&lt;&gt;0,'Calculations PJ'!W224*About!$B$45,0)</f>
        <v>0</v>
      </c>
      <c r="X224">
        <f>IF('Calculations PJ'!X224&lt;&gt;0,'Calculations PJ'!X224*About!$B$45,0)</f>
        <v>0</v>
      </c>
      <c r="Y224">
        <f>IF('Calculations PJ'!Y224&lt;&gt;0,'Calculations PJ'!Y224*About!$B$45,0)</f>
        <v>0</v>
      </c>
      <c r="Z224">
        <f>IF('Calculations PJ'!Z224&lt;&gt;0,'Calculations PJ'!Z224*About!$B$45,0)</f>
        <v>0</v>
      </c>
      <c r="AA224">
        <f>IF('Calculations PJ'!AA224&lt;&gt;0,'Calculations PJ'!AA224*About!$B$45,0)</f>
        <v>0</v>
      </c>
      <c r="AB224">
        <f>IF('Calculations PJ'!AB224&lt;&gt;0,'Calculations PJ'!AB224*About!$B$45,0)</f>
        <v>0</v>
      </c>
      <c r="AC224">
        <f>IF('Calculations PJ'!AC224&lt;&gt;0,'Calculations PJ'!AC224*About!$B$45,0)</f>
        <v>0</v>
      </c>
      <c r="AD224">
        <f>IF('Calculations PJ'!AD224&lt;&gt;0,'Calculations PJ'!AD224*About!$B$45,0)</f>
        <v>0</v>
      </c>
      <c r="AE224">
        <f>IF('Calculations PJ'!AE224&lt;&gt;0,'Calculations PJ'!AE224*About!$B$45,0)</f>
        <v>0</v>
      </c>
      <c r="AF224">
        <f>IF('Calculations PJ'!AF224&lt;&gt;0,'Calculations PJ'!AF224*About!$B$45,0)</f>
        <v>0</v>
      </c>
      <c r="AG224">
        <f>IF('Calculations PJ'!AG224&lt;&gt;0,'Calculations PJ'!AG224*About!$B$45,0)</f>
        <v>0</v>
      </c>
      <c r="AH224">
        <f>IF('Calculations PJ'!AH224&lt;&gt;0,'Calculations PJ'!AH224*About!$B$45,0)</f>
        <v>0</v>
      </c>
      <c r="AI224">
        <f>IF('Calculations PJ'!AI224&lt;&gt;0,'Calculations PJ'!AI224*About!$B$45,0)</f>
        <v>0</v>
      </c>
      <c r="AJ224">
        <f>IF('Calculations PJ'!AJ224&lt;&gt;0,'Calculations PJ'!AJ224*About!$B$45,0)</f>
        <v>0</v>
      </c>
      <c r="AK224">
        <f>IF('Calculations PJ'!AK224&lt;&gt;0,'Calculations PJ'!AK224*About!$B$45,0)</f>
        <v>0</v>
      </c>
      <c r="AL224">
        <f>IF('Calculations PJ'!AL224&lt;&gt;0,'Calculations PJ'!AL224*About!$B$45,0)</f>
        <v>0</v>
      </c>
      <c r="AM224">
        <f>IF('Calculations PJ'!AM224&lt;&gt;0,'Calculations PJ'!AM224*About!$B$45,0)</f>
        <v>0</v>
      </c>
      <c r="AN224">
        <f>IF('Calculations PJ'!AN224&lt;&gt;0,'Calculations PJ'!AN224*About!$B$45,0)</f>
        <v>0</v>
      </c>
      <c r="AO224">
        <f>IF('Calculations PJ'!AO224&lt;&gt;0,'Calculations PJ'!AO224*About!$B$45,0)</f>
        <v>0</v>
      </c>
      <c r="AP224">
        <f>IF('Calculations PJ'!AP224&lt;&gt;0,'Calculations PJ'!AP224*About!$B$45,0)</f>
        <v>0</v>
      </c>
      <c r="AQ224">
        <f>IF('Calculations PJ'!AQ224&lt;&gt;0,'Calculations PJ'!AQ224*About!$B$45,0)</f>
        <v>0</v>
      </c>
      <c r="AR224">
        <f>IF('Calculations PJ'!AR224&lt;&gt;0,'Calculations PJ'!AR224*About!$B$45,0)</f>
        <v>0</v>
      </c>
      <c r="AS224">
        <f>IF('Calculations PJ'!AS224&lt;&gt;0,'Calculations PJ'!AS224*About!$B$45,0)</f>
        <v>0</v>
      </c>
      <c r="AT224">
        <f>IF('Calculations PJ'!AT224&lt;&gt;0,'Calculations PJ'!AT224*About!$B$45,0)</f>
        <v>0</v>
      </c>
      <c r="AU224">
        <f>IF('Calculations PJ'!AU224&lt;&gt;0,'Calculations PJ'!AU224*About!$B$45,0)</f>
        <v>0</v>
      </c>
      <c r="AV224">
        <f>IF('Calculations PJ'!AV224&lt;&gt;0,'Calculations PJ'!AV224*About!$B$45,0)</f>
        <v>0</v>
      </c>
      <c r="AW224">
        <f>IF('Calculations PJ'!AW224&lt;&gt;0,'Calculations PJ'!AW224*About!$B$45,0)</f>
        <v>0</v>
      </c>
      <c r="AX224">
        <f>IF('Calculations PJ'!AX224&lt;&gt;0,'Calculations PJ'!AX224*About!$B$45,0)</f>
        <v>0</v>
      </c>
      <c r="AY224">
        <f>IF('Calculations PJ'!AY224&lt;&gt;0,'Calculations PJ'!AY224*About!$B$45,0)</f>
        <v>0</v>
      </c>
      <c r="AZ224">
        <f>IF('Calculations PJ'!AZ224&lt;&gt;0,'Calculations PJ'!AZ224*About!$B$45,0)</f>
        <v>0</v>
      </c>
      <c r="BA224">
        <f>IF('Calculations PJ'!BA224&lt;&gt;0,'Calculations PJ'!BA224*About!$B$45,0)</f>
        <v>0</v>
      </c>
      <c r="BB224">
        <f>IF('Calculations PJ'!BB224&lt;&gt;0,'Calculations PJ'!BB224*About!$B$45,0)</f>
        <v>0</v>
      </c>
      <c r="BC224">
        <f>IF('Calculations PJ'!BC224&lt;&gt;0,'Calculations PJ'!BC224*About!$B$45,0)</f>
        <v>0</v>
      </c>
      <c r="BD224">
        <f>IF('Calculations PJ'!BD224&lt;&gt;0,'Calculations PJ'!BD224*About!$B$45,0)</f>
        <v>0</v>
      </c>
      <c r="BE224">
        <f>IF('Calculations PJ'!BE224&lt;&gt;0,'Calculations PJ'!BE224*About!$B$45,0)</f>
        <v>0</v>
      </c>
      <c r="BF224">
        <f>IF('Calculations PJ'!BF224&lt;&gt;0,'Calculations PJ'!BF224*About!$B$45,0)</f>
        <v>0</v>
      </c>
      <c r="BG224">
        <f>IF('Calculations PJ'!BG224&lt;&gt;0,'Calculations PJ'!BG224*About!$B$45,0)</f>
        <v>0</v>
      </c>
      <c r="BH224">
        <f>IF('Calculations PJ'!BH224&lt;&gt;0,'Calculations PJ'!BH224*About!$B$45,0)</f>
        <v>0</v>
      </c>
    </row>
    <row r="225" spans="2:60" outlineLevel="2">
      <c r="B225" t="s">
        <v>140</v>
      </c>
      <c r="C225">
        <f>IF('Calculations PJ'!C225&lt;&gt;0,'Calculations PJ'!C225*About!$B$45,0)</f>
        <v>0</v>
      </c>
      <c r="D225">
        <f>IF('Calculations PJ'!D225&lt;&gt;0,'Calculations PJ'!D225*About!$B$45,0)</f>
        <v>0</v>
      </c>
      <c r="E225">
        <f>IF('Calculations PJ'!E225&lt;&gt;0,'Calculations PJ'!E225*About!$B$45,0)</f>
        <v>0</v>
      </c>
      <c r="F225">
        <f>IF('Calculations PJ'!F225&lt;&gt;0,'Calculations PJ'!F225*About!$B$45,0)</f>
        <v>0</v>
      </c>
      <c r="G225">
        <f>IF('Calculations PJ'!G225&lt;&gt;0,'Calculations PJ'!G225*About!$B$45,0)</f>
        <v>0</v>
      </c>
      <c r="H225">
        <f>IF('Calculations PJ'!H225&lt;&gt;0,'Calculations PJ'!H225*About!$B$45,0)</f>
        <v>0</v>
      </c>
      <c r="I225">
        <f>IF('Calculations PJ'!I225&lt;&gt;0,'Calculations PJ'!I225*About!$B$45,0)</f>
        <v>0</v>
      </c>
      <c r="J225">
        <f>IF('Calculations PJ'!J225&lt;&gt;0,'Calculations PJ'!J225*About!$B$45,0)</f>
        <v>0</v>
      </c>
      <c r="K225">
        <f>IF('Calculations PJ'!K225&lt;&gt;0,'Calculations PJ'!K225*About!$B$45,0)</f>
        <v>0</v>
      </c>
      <c r="L225">
        <f>IF('Calculations PJ'!L225&lt;&gt;0,'Calculations PJ'!L225*About!$B$45,0)</f>
        <v>0</v>
      </c>
      <c r="M225">
        <f>IF('Calculations PJ'!M225&lt;&gt;0,'Calculations PJ'!M225*About!$B$45,0)</f>
        <v>0</v>
      </c>
      <c r="N225">
        <f>IF('Calculations PJ'!N225&lt;&gt;0,'Calculations PJ'!N225*About!$B$45,0)</f>
        <v>0</v>
      </c>
      <c r="O225">
        <f>IF('Calculations PJ'!O225&lt;&gt;0,'Calculations PJ'!O225*About!$B$45,0)</f>
        <v>0</v>
      </c>
      <c r="P225">
        <f>IF('Calculations PJ'!P225&lt;&gt;0,'Calculations PJ'!P225*About!$B$45,0)</f>
        <v>0</v>
      </c>
      <c r="Q225">
        <f>IF('Calculations PJ'!Q225&lt;&gt;0,'Calculations PJ'!Q225*About!$B$45,0)</f>
        <v>0</v>
      </c>
      <c r="R225">
        <f>IF('Calculations PJ'!R225&lt;&gt;0,'Calculations PJ'!R225*About!$B$45,0)</f>
        <v>0</v>
      </c>
      <c r="S225">
        <f>IF('Calculations PJ'!S225&lt;&gt;0,'Calculations PJ'!S225*About!$B$45,0)</f>
        <v>0</v>
      </c>
      <c r="T225">
        <f>IF('Calculations PJ'!T225&lt;&gt;0,'Calculations PJ'!T225*About!$B$45,0)</f>
        <v>0</v>
      </c>
      <c r="U225">
        <f>IF('Calculations PJ'!U225&lt;&gt;0,'Calculations PJ'!U225*About!$B$45,0)</f>
        <v>0</v>
      </c>
      <c r="V225">
        <f>IF('Calculations PJ'!V225&lt;&gt;0,'Calculations PJ'!V225*About!$B$45,0)</f>
        <v>0</v>
      </c>
      <c r="W225">
        <f>IF('Calculations PJ'!W225&lt;&gt;0,'Calculations PJ'!W225*About!$B$45,0)</f>
        <v>0</v>
      </c>
      <c r="X225">
        <f>IF('Calculations PJ'!X225&lt;&gt;0,'Calculations PJ'!X225*About!$B$45,0)</f>
        <v>0</v>
      </c>
      <c r="Y225">
        <f>IF('Calculations PJ'!Y225&lt;&gt;0,'Calculations PJ'!Y225*About!$B$45,0)</f>
        <v>0</v>
      </c>
      <c r="Z225">
        <f>IF('Calculations PJ'!Z225&lt;&gt;0,'Calculations PJ'!Z225*About!$B$45,0)</f>
        <v>0</v>
      </c>
      <c r="AA225">
        <f>IF('Calculations PJ'!AA225&lt;&gt;0,'Calculations PJ'!AA225*About!$B$45,0)</f>
        <v>0</v>
      </c>
      <c r="AB225">
        <f>IF('Calculations PJ'!AB225&lt;&gt;0,'Calculations PJ'!AB225*About!$B$45,0)</f>
        <v>0</v>
      </c>
      <c r="AC225">
        <f>IF('Calculations PJ'!AC225&lt;&gt;0,'Calculations PJ'!AC225*About!$B$45,0)</f>
        <v>0</v>
      </c>
      <c r="AD225">
        <f>IF('Calculations PJ'!AD225&lt;&gt;0,'Calculations PJ'!AD225*About!$B$45,0)</f>
        <v>0</v>
      </c>
      <c r="AE225">
        <f>IF('Calculations PJ'!AE225&lt;&gt;0,'Calculations PJ'!AE225*About!$B$45,0)</f>
        <v>0</v>
      </c>
      <c r="AF225">
        <f>IF('Calculations PJ'!AF225&lt;&gt;0,'Calculations PJ'!AF225*About!$B$45,0)</f>
        <v>0</v>
      </c>
      <c r="AG225">
        <f>IF('Calculations PJ'!AG225&lt;&gt;0,'Calculations PJ'!AG225*About!$B$45,0)</f>
        <v>0</v>
      </c>
      <c r="AH225">
        <f>IF('Calculations PJ'!AH225&lt;&gt;0,'Calculations PJ'!AH225*About!$B$45,0)</f>
        <v>0</v>
      </c>
      <c r="AI225">
        <f>IF('Calculations PJ'!AI225&lt;&gt;0,'Calculations PJ'!AI225*About!$B$45,0)</f>
        <v>0</v>
      </c>
      <c r="AJ225">
        <f>IF('Calculations PJ'!AJ225&lt;&gt;0,'Calculations PJ'!AJ225*About!$B$45,0)</f>
        <v>0</v>
      </c>
      <c r="AK225">
        <f>IF('Calculations PJ'!AK225&lt;&gt;0,'Calculations PJ'!AK225*About!$B$45,0)</f>
        <v>0</v>
      </c>
      <c r="AL225">
        <f>IF('Calculations PJ'!AL225&lt;&gt;0,'Calculations PJ'!AL225*About!$B$45,0)</f>
        <v>0</v>
      </c>
      <c r="AM225">
        <f>IF('Calculations PJ'!AM225&lt;&gt;0,'Calculations PJ'!AM225*About!$B$45,0)</f>
        <v>0</v>
      </c>
      <c r="AN225">
        <f>IF('Calculations PJ'!AN225&lt;&gt;0,'Calculations PJ'!AN225*About!$B$45,0)</f>
        <v>0</v>
      </c>
      <c r="AO225">
        <f>IF('Calculations PJ'!AO225&lt;&gt;0,'Calculations PJ'!AO225*About!$B$45,0)</f>
        <v>0</v>
      </c>
      <c r="AP225">
        <f>IF('Calculations PJ'!AP225&lt;&gt;0,'Calculations PJ'!AP225*About!$B$45,0)</f>
        <v>0</v>
      </c>
      <c r="AQ225">
        <f>IF('Calculations PJ'!AQ225&lt;&gt;0,'Calculations PJ'!AQ225*About!$B$45,0)</f>
        <v>0</v>
      </c>
      <c r="AR225">
        <f>IF('Calculations PJ'!AR225&lt;&gt;0,'Calculations PJ'!AR225*About!$B$45,0)</f>
        <v>0</v>
      </c>
      <c r="AS225">
        <f>IF('Calculations PJ'!AS225&lt;&gt;0,'Calculations PJ'!AS225*About!$B$45,0)</f>
        <v>0</v>
      </c>
      <c r="AT225">
        <f>IF('Calculations PJ'!AT225&lt;&gt;0,'Calculations PJ'!AT225*About!$B$45,0)</f>
        <v>0</v>
      </c>
      <c r="AU225">
        <f>IF('Calculations PJ'!AU225&lt;&gt;0,'Calculations PJ'!AU225*About!$B$45,0)</f>
        <v>0</v>
      </c>
      <c r="AV225">
        <f>IF('Calculations PJ'!AV225&lt;&gt;0,'Calculations PJ'!AV225*About!$B$45,0)</f>
        <v>0</v>
      </c>
      <c r="AW225">
        <f>IF('Calculations PJ'!AW225&lt;&gt;0,'Calculations PJ'!AW225*About!$B$45,0)</f>
        <v>0</v>
      </c>
      <c r="AX225">
        <f>IF('Calculations PJ'!AX225&lt;&gt;0,'Calculations PJ'!AX225*About!$B$45,0)</f>
        <v>0</v>
      </c>
      <c r="AY225">
        <f>IF('Calculations PJ'!AY225&lt;&gt;0,'Calculations PJ'!AY225*About!$B$45,0)</f>
        <v>0</v>
      </c>
      <c r="AZ225">
        <f>IF('Calculations PJ'!AZ225&lt;&gt;0,'Calculations PJ'!AZ225*About!$B$45,0)</f>
        <v>0</v>
      </c>
      <c r="BA225">
        <f>IF('Calculations PJ'!BA225&lt;&gt;0,'Calculations PJ'!BA225*About!$B$45,0)</f>
        <v>0</v>
      </c>
      <c r="BB225">
        <f>IF('Calculations PJ'!BB225&lt;&gt;0,'Calculations PJ'!BB225*About!$B$45,0)</f>
        <v>0</v>
      </c>
      <c r="BC225">
        <f>IF('Calculations PJ'!BC225&lt;&gt;0,'Calculations PJ'!BC225*About!$B$45,0)</f>
        <v>0</v>
      </c>
      <c r="BD225">
        <f>IF('Calculations PJ'!BD225&lt;&gt;0,'Calculations PJ'!BD225*About!$B$45,0)</f>
        <v>0</v>
      </c>
      <c r="BE225">
        <f>IF('Calculations PJ'!BE225&lt;&gt;0,'Calculations PJ'!BE225*About!$B$45,0)</f>
        <v>0</v>
      </c>
      <c r="BF225">
        <f>IF('Calculations PJ'!BF225&lt;&gt;0,'Calculations PJ'!BF225*About!$B$45,0)</f>
        <v>0</v>
      </c>
      <c r="BG225">
        <f>IF('Calculations PJ'!BG225&lt;&gt;0,'Calculations PJ'!BG225*About!$B$45,0)</f>
        <v>0</v>
      </c>
      <c r="BH225">
        <f>IF('Calculations PJ'!BH225&lt;&gt;0,'Calculations PJ'!BH225*About!$B$45,0)</f>
        <v>0</v>
      </c>
    </row>
    <row r="226" spans="2:60" outlineLevel="2">
      <c r="B226" t="s">
        <v>141</v>
      </c>
      <c r="C226">
        <f>IF('Calculations PJ'!C226&lt;&gt;0,'Calculations PJ'!C226*About!$B$45,0)</f>
        <v>0</v>
      </c>
      <c r="D226">
        <f>IF('Calculations PJ'!D226&lt;&gt;0,'Calculations PJ'!D226*About!$B$45,0)</f>
        <v>0</v>
      </c>
      <c r="E226">
        <f>IF('Calculations PJ'!E226&lt;&gt;0,'Calculations PJ'!E226*About!$B$45,0)</f>
        <v>0</v>
      </c>
      <c r="F226">
        <f>IF('Calculations PJ'!F226&lt;&gt;0,'Calculations PJ'!F226*About!$B$45,0)</f>
        <v>0</v>
      </c>
      <c r="G226">
        <f>IF('Calculations PJ'!G226&lt;&gt;0,'Calculations PJ'!G226*About!$B$45,0)</f>
        <v>0</v>
      </c>
      <c r="H226">
        <f>IF('Calculations PJ'!H226&lt;&gt;0,'Calculations PJ'!H226*About!$B$45,0)</f>
        <v>0</v>
      </c>
      <c r="I226">
        <f>IF('Calculations PJ'!I226&lt;&gt;0,'Calculations PJ'!I226*About!$B$45,0)</f>
        <v>0</v>
      </c>
      <c r="J226">
        <f>IF('Calculations PJ'!J226&lt;&gt;0,'Calculations PJ'!J226*About!$B$45,0)</f>
        <v>0</v>
      </c>
      <c r="K226">
        <f>IF('Calculations PJ'!K226&lt;&gt;0,'Calculations PJ'!K226*About!$B$45,0)</f>
        <v>0</v>
      </c>
      <c r="L226">
        <f>IF('Calculations PJ'!L226&lt;&gt;0,'Calculations PJ'!L226*About!$B$45,0)</f>
        <v>0</v>
      </c>
      <c r="M226">
        <f>IF('Calculations PJ'!M226&lt;&gt;0,'Calculations PJ'!M226*About!$B$45,0)</f>
        <v>0</v>
      </c>
      <c r="N226">
        <f>IF('Calculations PJ'!N226&lt;&gt;0,'Calculations PJ'!N226*About!$B$45,0)</f>
        <v>0</v>
      </c>
      <c r="O226">
        <f>IF('Calculations PJ'!O226&lt;&gt;0,'Calculations PJ'!O226*About!$B$45,0)</f>
        <v>0</v>
      </c>
      <c r="P226">
        <f>IF('Calculations PJ'!P226&lt;&gt;0,'Calculations PJ'!P226*About!$B$45,0)</f>
        <v>0</v>
      </c>
      <c r="Q226">
        <f>IF('Calculations PJ'!Q226&lt;&gt;0,'Calculations PJ'!Q226*About!$B$45,0)</f>
        <v>0</v>
      </c>
      <c r="R226">
        <f>IF('Calculations PJ'!R226&lt;&gt;0,'Calculations PJ'!R226*About!$B$45,0)</f>
        <v>0</v>
      </c>
      <c r="S226">
        <f>IF('Calculations PJ'!S226&lt;&gt;0,'Calculations PJ'!S226*About!$B$45,0)</f>
        <v>0</v>
      </c>
      <c r="T226">
        <f>IF('Calculations PJ'!T226&lt;&gt;0,'Calculations PJ'!T226*About!$B$45,0)</f>
        <v>0</v>
      </c>
      <c r="U226">
        <f>IF('Calculations PJ'!U226&lt;&gt;0,'Calculations PJ'!U226*About!$B$45,0)</f>
        <v>0</v>
      </c>
      <c r="V226">
        <f>IF('Calculations PJ'!V226&lt;&gt;0,'Calculations PJ'!V226*About!$B$45,0)</f>
        <v>0</v>
      </c>
      <c r="W226">
        <f>IF('Calculations PJ'!W226&lt;&gt;0,'Calculations PJ'!W226*About!$B$45,0)</f>
        <v>0</v>
      </c>
      <c r="X226">
        <f>IF('Calculations PJ'!X226&lt;&gt;0,'Calculations PJ'!X226*About!$B$45,0)</f>
        <v>0</v>
      </c>
      <c r="Y226">
        <f>IF('Calculations PJ'!Y226&lt;&gt;0,'Calculations PJ'!Y226*About!$B$45,0)</f>
        <v>0</v>
      </c>
      <c r="Z226">
        <f>IF('Calculations PJ'!Z226&lt;&gt;0,'Calculations PJ'!Z226*About!$B$45,0)</f>
        <v>0</v>
      </c>
      <c r="AA226">
        <f>IF('Calculations PJ'!AA226&lt;&gt;0,'Calculations PJ'!AA226*About!$B$45,0)</f>
        <v>0</v>
      </c>
      <c r="AB226">
        <f>IF('Calculations PJ'!AB226&lt;&gt;0,'Calculations PJ'!AB226*About!$B$45,0)</f>
        <v>0</v>
      </c>
      <c r="AC226">
        <f>IF('Calculations PJ'!AC226&lt;&gt;0,'Calculations PJ'!AC226*About!$B$45,0)</f>
        <v>0</v>
      </c>
      <c r="AD226">
        <f>IF('Calculations PJ'!AD226&lt;&gt;0,'Calculations PJ'!AD226*About!$B$45,0)</f>
        <v>0</v>
      </c>
      <c r="AE226">
        <f>IF('Calculations PJ'!AE226&lt;&gt;0,'Calculations PJ'!AE226*About!$B$45,0)</f>
        <v>0</v>
      </c>
      <c r="AF226">
        <f>IF('Calculations PJ'!AF226&lt;&gt;0,'Calculations PJ'!AF226*About!$B$45,0)</f>
        <v>0</v>
      </c>
      <c r="AG226">
        <f>IF('Calculations PJ'!AG226&lt;&gt;0,'Calculations PJ'!AG226*About!$B$45,0)</f>
        <v>0</v>
      </c>
      <c r="AH226">
        <f>IF('Calculations PJ'!AH226&lt;&gt;0,'Calculations PJ'!AH226*About!$B$45,0)</f>
        <v>0</v>
      </c>
      <c r="AI226">
        <f>IF('Calculations PJ'!AI226&lt;&gt;0,'Calculations PJ'!AI226*About!$B$45,0)</f>
        <v>0</v>
      </c>
      <c r="AJ226">
        <f>IF('Calculations PJ'!AJ226&lt;&gt;0,'Calculations PJ'!AJ226*About!$B$45,0)</f>
        <v>0</v>
      </c>
      <c r="AK226">
        <f>IF('Calculations PJ'!AK226&lt;&gt;0,'Calculations PJ'!AK226*About!$B$45,0)</f>
        <v>0</v>
      </c>
      <c r="AL226">
        <f>IF('Calculations PJ'!AL226&lt;&gt;0,'Calculations PJ'!AL226*About!$B$45,0)</f>
        <v>0</v>
      </c>
      <c r="AM226">
        <f>IF('Calculations PJ'!AM226&lt;&gt;0,'Calculations PJ'!AM226*About!$B$45,0)</f>
        <v>0</v>
      </c>
      <c r="AN226">
        <f>IF('Calculations PJ'!AN226&lt;&gt;0,'Calculations PJ'!AN226*About!$B$45,0)</f>
        <v>0</v>
      </c>
      <c r="AO226">
        <f>IF('Calculations PJ'!AO226&lt;&gt;0,'Calculations PJ'!AO226*About!$B$45,0)</f>
        <v>0</v>
      </c>
      <c r="AP226">
        <f>IF('Calculations PJ'!AP226&lt;&gt;0,'Calculations PJ'!AP226*About!$B$45,0)</f>
        <v>0</v>
      </c>
      <c r="AQ226">
        <f>IF('Calculations PJ'!AQ226&lt;&gt;0,'Calculations PJ'!AQ226*About!$B$45,0)</f>
        <v>0</v>
      </c>
      <c r="AR226">
        <f>IF('Calculations PJ'!AR226&lt;&gt;0,'Calculations PJ'!AR226*About!$B$45,0)</f>
        <v>0</v>
      </c>
      <c r="AS226">
        <f>IF('Calculations PJ'!AS226&lt;&gt;0,'Calculations PJ'!AS226*About!$B$45,0)</f>
        <v>0</v>
      </c>
      <c r="AT226">
        <f>IF('Calculations PJ'!AT226&lt;&gt;0,'Calculations PJ'!AT226*About!$B$45,0)</f>
        <v>0</v>
      </c>
      <c r="AU226">
        <f>IF('Calculations PJ'!AU226&lt;&gt;0,'Calculations PJ'!AU226*About!$B$45,0)</f>
        <v>0</v>
      </c>
      <c r="AV226">
        <f>IF('Calculations PJ'!AV226&lt;&gt;0,'Calculations PJ'!AV226*About!$B$45,0)</f>
        <v>0</v>
      </c>
      <c r="AW226">
        <f>IF('Calculations PJ'!AW226&lt;&gt;0,'Calculations PJ'!AW226*About!$B$45,0)</f>
        <v>0</v>
      </c>
      <c r="AX226">
        <f>IF('Calculations PJ'!AX226&lt;&gt;0,'Calculations PJ'!AX226*About!$B$45,0)</f>
        <v>0</v>
      </c>
      <c r="AY226">
        <f>IF('Calculations PJ'!AY226&lt;&gt;0,'Calculations PJ'!AY226*About!$B$45,0)</f>
        <v>0</v>
      </c>
      <c r="AZ226">
        <f>IF('Calculations PJ'!AZ226&lt;&gt;0,'Calculations PJ'!AZ226*About!$B$45,0)</f>
        <v>0</v>
      </c>
      <c r="BA226">
        <f>IF('Calculations PJ'!BA226&lt;&gt;0,'Calculations PJ'!BA226*About!$B$45,0)</f>
        <v>0</v>
      </c>
      <c r="BB226">
        <f>IF('Calculations PJ'!BB226&lt;&gt;0,'Calculations PJ'!BB226*About!$B$45,0)</f>
        <v>0</v>
      </c>
      <c r="BC226">
        <f>IF('Calculations PJ'!BC226&lt;&gt;0,'Calculations PJ'!BC226*About!$B$45,0)</f>
        <v>0</v>
      </c>
      <c r="BD226">
        <f>IF('Calculations PJ'!BD226&lt;&gt;0,'Calculations PJ'!BD226*About!$B$45,0)</f>
        <v>0</v>
      </c>
      <c r="BE226">
        <f>IF('Calculations PJ'!BE226&lt;&gt;0,'Calculations PJ'!BE226*About!$B$45,0)</f>
        <v>0</v>
      </c>
      <c r="BF226">
        <f>IF('Calculations PJ'!BF226&lt;&gt;0,'Calculations PJ'!BF226*About!$B$45,0)</f>
        <v>0</v>
      </c>
      <c r="BG226">
        <f>IF('Calculations PJ'!BG226&lt;&gt;0,'Calculations PJ'!BG226*About!$B$45,0)</f>
        <v>0</v>
      </c>
      <c r="BH226">
        <f>IF('Calculations PJ'!BH226&lt;&gt;0,'Calculations PJ'!BH226*About!$B$45,0)</f>
        <v>0</v>
      </c>
    </row>
    <row r="227" spans="2:60" outlineLevel="2">
      <c r="B227" t="s">
        <v>142</v>
      </c>
      <c r="C227">
        <f>IF('Calculations PJ'!C227&lt;&gt;0,'Calculations PJ'!C227*About!$B$45,0)</f>
        <v>0</v>
      </c>
      <c r="D227">
        <f>IF('Calculations PJ'!D227&lt;&gt;0,'Calculations PJ'!D227*About!$B$45,0)</f>
        <v>0</v>
      </c>
      <c r="E227">
        <f>IF('Calculations PJ'!E227&lt;&gt;0,'Calculations PJ'!E227*About!$B$45,0)</f>
        <v>0</v>
      </c>
      <c r="F227">
        <f>IF('Calculations PJ'!F227&lt;&gt;0,'Calculations PJ'!F227*About!$B$45,0)</f>
        <v>0</v>
      </c>
      <c r="G227">
        <f>IF('Calculations PJ'!G227&lt;&gt;0,'Calculations PJ'!G227*About!$B$45,0)</f>
        <v>0</v>
      </c>
      <c r="H227">
        <f>IF('Calculations PJ'!H227&lt;&gt;0,'Calculations PJ'!H227*About!$B$45,0)</f>
        <v>0</v>
      </c>
      <c r="I227">
        <f>IF('Calculations PJ'!I227&lt;&gt;0,'Calculations PJ'!I227*About!$B$45,0)</f>
        <v>0</v>
      </c>
      <c r="J227">
        <f>IF('Calculations PJ'!J227&lt;&gt;0,'Calculations PJ'!J227*About!$B$45,0)</f>
        <v>0</v>
      </c>
      <c r="K227">
        <f>IF('Calculations PJ'!K227&lt;&gt;0,'Calculations PJ'!K227*About!$B$45,0)</f>
        <v>0</v>
      </c>
      <c r="L227">
        <f>IF('Calculations PJ'!L227&lt;&gt;0,'Calculations PJ'!L227*About!$B$45,0)</f>
        <v>0</v>
      </c>
      <c r="M227">
        <f>IF('Calculations PJ'!M227&lt;&gt;0,'Calculations PJ'!M227*About!$B$45,0)</f>
        <v>0</v>
      </c>
      <c r="N227">
        <f>IF('Calculations PJ'!N227&lt;&gt;0,'Calculations PJ'!N227*About!$B$45,0)</f>
        <v>0</v>
      </c>
      <c r="O227">
        <f>IF('Calculations PJ'!O227&lt;&gt;0,'Calculations PJ'!O227*About!$B$45,0)</f>
        <v>0</v>
      </c>
      <c r="P227">
        <f>IF('Calculations PJ'!P227&lt;&gt;0,'Calculations PJ'!P227*About!$B$45,0)</f>
        <v>0</v>
      </c>
      <c r="Q227">
        <f>IF('Calculations PJ'!Q227&lt;&gt;0,'Calculations PJ'!Q227*About!$B$45,0)</f>
        <v>0</v>
      </c>
      <c r="R227">
        <f>IF('Calculations PJ'!R227&lt;&gt;0,'Calculations PJ'!R227*About!$B$45,0)</f>
        <v>0</v>
      </c>
      <c r="S227">
        <f>IF('Calculations PJ'!S227&lt;&gt;0,'Calculations PJ'!S227*About!$B$45,0)</f>
        <v>0</v>
      </c>
      <c r="T227">
        <f>IF('Calculations PJ'!T227&lt;&gt;0,'Calculations PJ'!T227*About!$B$45,0)</f>
        <v>0</v>
      </c>
      <c r="U227">
        <f>IF('Calculations PJ'!U227&lt;&gt;0,'Calculations PJ'!U227*About!$B$45,0)</f>
        <v>0</v>
      </c>
      <c r="V227">
        <f>IF('Calculations PJ'!V227&lt;&gt;0,'Calculations PJ'!V227*About!$B$45,0)</f>
        <v>0</v>
      </c>
      <c r="W227">
        <f>IF('Calculations PJ'!W227&lt;&gt;0,'Calculations PJ'!W227*About!$B$45,0)</f>
        <v>0</v>
      </c>
      <c r="X227">
        <f>IF('Calculations PJ'!X227&lt;&gt;0,'Calculations PJ'!X227*About!$B$45,0)</f>
        <v>0</v>
      </c>
      <c r="Y227">
        <f>IF('Calculations PJ'!Y227&lt;&gt;0,'Calculations PJ'!Y227*About!$B$45,0)</f>
        <v>0</v>
      </c>
      <c r="Z227">
        <f>IF('Calculations PJ'!Z227&lt;&gt;0,'Calculations PJ'!Z227*About!$B$45,0)</f>
        <v>0</v>
      </c>
      <c r="AA227">
        <f>IF('Calculations PJ'!AA227&lt;&gt;0,'Calculations PJ'!AA227*About!$B$45,0)</f>
        <v>0</v>
      </c>
      <c r="AB227">
        <f>IF('Calculations PJ'!AB227&lt;&gt;0,'Calculations PJ'!AB227*About!$B$45,0)</f>
        <v>0</v>
      </c>
      <c r="AC227">
        <f>IF('Calculations PJ'!AC227&lt;&gt;0,'Calculations PJ'!AC227*About!$B$45,0)</f>
        <v>0</v>
      </c>
      <c r="AD227">
        <f>IF('Calculations PJ'!AD227&lt;&gt;0,'Calculations PJ'!AD227*About!$B$45,0)</f>
        <v>0</v>
      </c>
      <c r="AE227">
        <f>IF('Calculations PJ'!AE227&lt;&gt;0,'Calculations PJ'!AE227*About!$B$45,0)</f>
        <v>0</v>
      </c>
      <c r="AF227">
        <f>IF('Calculations PJ'!AF227&lt;&gt;0,'Calculations PJ'!AF227*About!$B$45,0)</f>
        <v>0</v>
      </c>
      <c r="AG227">
        <f>IF('Calculations PJ'!AG227&lt;&gt;0,'Calculations PJ'!AG227*About!$B$45,0)</f>
        <v>0</v>
      </c>
      <c r="AH227">
        <f>IF('Calculations PJ'!AH227&lt;&gt;0,'Calculations PJ'!AH227*About!$B$45,0)</f>
        <v>0</v>
      </c>
      <c r="AI227">
        <f>IF('Calculations PJ'!AI227&lt;&gt;0,'Calculations PJ'!AI227*About!$B$45,0)</f>
        <v>0</v>
      </c>
      <c r="AJ227">
        <f>IF('Calculations PJ'!AJ227&lt;&gt;0,'Calculations PJ'!AJ227*About!$B$45,0)</f>
        <v>0</v>
      </c>
      <c r="AK227">
        <f>IF('Calculations PJ'!AK227&lt;&gt;0,'Calculations PJ'!AK227*About!$B$45,0)</f>
        <v>0</v>
      </c>
      <c r="AL227">
        <f>IF('Calculations PJ'!AL227&lt;&gt;0,'Calculations PJ'!AL227*About!$B$45,0)</f>
        <v>0</v>
      </c>
      <c r="AM227">
        <f>IF('Calculations PJ'!AM227&lt;&gt;0,'Calculations PJ'!AM227*About!$B$45,0)</f>
        <v>0</v>
      </c>
      <c r="AN227">
        <f>IF('Calculations PJ'!AN227&lt;&gt;0,'Calculations PJ'!AN227*About!$B$45,0)</f>
        <v>0</v>
      </c>
      <c r="AO227">
        <f>IF('Calculations PJ'!AO227&lt;&gt;0,'Calculations PJ'!AO227*About!$B$45,0)</f>
        <v>0</v>
      </c>
      <c r="AP227">
        <f>IF('Calculations PJ'!AP227&lt;&gt;0,'Calculations PJ'!AP227*About!$B$45,0)</f>
        <v>0</v>
      </c>
      <c r="AQ227">
        <f>IF('Calculations PJ'!AQ227&lt;&gt;0,'Calculations PJ'!AQ227*About!$B$45,0)</f>
        <v>0</v>
      </c>
      <c r="AR227">
        <f>IF('Calculations PJ'!AR227&lt;&gt;0,'Calculations PJ'!AR227*About!$B$45,0)</f>
        <v>0</v>
      </c>
      <c r="AS227">
        <f>IF('Calculations PJ'!AS227&lt;&gt;0,'Calculations PJ'!AS227*About!$B$45,0)</f>
        <v>0</v>
      </c>
      <c r="AT227">
        <f>IF('Calculations PJ'!AT227&lt;&gt;0,'Calculations PJ'!AT227*About!$B$45,0)</f>
        <v>0</v>
      </c>
      <c r="AU227">
        <f>IF('Calculations PJ'!AU227&lt;&gt;0,'Calculations PJ'!AU227*About!$B$45,0)</f>
        <v>0</v>
      </c>
      <c r="AV227">
        <f>IF('Calculations PJ'!AV227&lt;&gt;0,'Calculations PJ'!AV227*About!$B$45,0)</f>
        <v>0</v>
      </c>
      <c r="AW227">
        <f>IF('Calculations PJ'!AW227&lt;&gt;0,'Calculations PJ'!AW227*About!$B$45,0)</f>
        <v>0</v>
      </c>
      <c r="AX227">
        <f>IF('Calculations PJ'!AX227&lt;&gt;0,'Calculations PJ'!AX227*About!$B$45,0)</f>
        <v>0</v>
      </c>
      <c r="AY227">
        <f>IF('Calculations PJ'!AY227&lt;&gt;0,'Calculations PJ'!AY227*About!$B$45,0)</f>
        <v>0</v>
      </c>
      <c r="AZ227">
        <f>IF('Calculations PJ'!AZ227&lt;&gt;0,'Calculations PJ'!AZ227*About!$B$45,0)</f>
        <v>0</v>
      </c>
      <c r="BA227">
        <f>IF('Calculations PJ'!BA227&lt;&gt;0,'Calculations PJ'!BA227*About!$B$45,0)</f>
        <v>0</v>
      </c>
      <c r="BB227">
        <f>IF('Calculations PJ'!BB227&lt;&gt;0,'Calculations PJ'!BB227*About!$B$45,0)</f>
        <v>0</v>
      </c>
      <c r="BC227">
        <f>IF('Calculations PJ'!BC227&lt;&gt;0,'Calculations PJ'!BC227*About!$B$45,0)</f>
        <v>0</v>
      </c>
      <c r="BD227">
        <f>IF('Calculations PJ'!BD227&lt;&gt;0,'Calculations PJ'!BD227*About!$B$45,0)</f>
        <v>0</v>
      </c>
      <c r="BE227">
        <f>IF('Calculations PJ'!BE227&lt;&gt;0,'Calculations PJ'!BE227*About!$B$45,0)</f>
        <v>0</v>
      </c>
      <c r="BF227">
        <f>IF('Calculations PJ'!BF227&lt;&gt;0,'Calculations PJ'!BF227*About!$B$45,0)</f>
        <v>0</v>
      </c>
      <c r="BG227">
        <f>IF('Calculations PJ'!BG227&lt;&gt;0,'Calculations PJ'!BG227*About!$B$45,0)</f>
        <v>0</v>
      </c>
      <c r="BH227">
        <f>IF('Calculations PJ'!BH227&lt;&gt;0,'Calculations PJ'!BH227*About!$B$45,0)</f>
        <v>0</v>
      </c>
    </row>
    <row r="228" spans="2:60" outlineLevel="2">
      <c r="B228" t="s">
        <v>143</v>
      </c>
      <c r="C228">
        <f>IF('Calculations PJ'!C228&lt;&gt;0,'Calculations PJ'!C228*About!$B$45,0)</f>
        <v>0</v>
      </c>
      <c r="D228">
        <f>IF('Calculations PJ'!D228&lt;&gt;0,'Calculations PJ'!D228*About!$B$45,0)</f>
        <v>0</v>
      </c>
      <c r="E228">
        <f>IF('Calculations PJ'!E228&lt;&gt;0,'Calculations PJ'!E228*About!$B$45,0)</f>
        <v>0</v>
      </c>
      <c r="F228">
        <f>IF('Calculations PJ'!F228&lt;&gt;0,'Calculations PJ'!F228*About!$B$45,0)</f>
        <v>0</v>
      </c>
      <c r="G228">
        <f>IF('Calculations PJ'!G228&lt;&gt;0,'Calculations PJ'!G228*About!$B$45,0)</f>
        <v>0</v>
      </c>
      <c r="H228">
        <f>IF('Calculations PJ'!H228&lt;&gt;0,'Calculations PJ'!H228*About!$B$45,0)</f>
        <v>0</v>
      </c>
      <c r="I228">
        <f>IF('Calculations PJ'!I228&lt;&gt;0,'Calculations PJ'!I228*About!$B$45,0)</f>
        <v>0</v>
      </c>
      <c r="J228">
        <f>IF('Calculations PJ'!J228&lt;&gt;0,'Calculations PJ'!J228*About!$B$45,0)</f>
        <v>0</v>
      </c>
      <c r="K228">
        <f>IF('Calculations PJ'!K228&lt;&gt;0,'Calculations PJ'!K228*About!$B$45,0)</f>
        <v>0</v>
      </c>
      <c r="L228">
        <f>IF('Calculations PJ'!L228&lt;&gt;0,'Calculations PJ'!L228*About!$B$45,0)</f>
        <v>0</v>
      </c>
      <c r="M228">
        <f>IF('Calculations PJ'!M228&lt;&gt;0,'Calculations PJ'!M228*About!$B$45,0)</f>
        <v>0</v>
      </c>
      <c r="N228">
        <f>IF('Calculations PJ'!N228&lt;&gt;0,'Calculations PJ'!N228*About!$B$45,0)</f>
        <v>0</v>
      </c>
      <c r="O228">
        <f>IF('Calculations PJ'!O228&lt;&gt;0,'Calculations PJ'!O228*About!$B$45,0)</f>
        <v>0</v>
      </c>
      <c r="P228">
        <f>IF('Calculations PJ'!P228&lt;&gt;0,'Calculations PJ'!P228*About!$B$45,0)</f>
        <v>0</v>
      </c>
      <c r="Q228">
        <f>IF('Calculations PJ'!Q228&lt;&gt;0,'Calculations PJ'!Q228*About!$B$45,0)</f>
        <v>0</v>
      </c>
      <c r="R228">
        <f>IF('Calculations PJ'!R228&lt;&gt;0,'Calculations PJ'!R228*About!$B$45,0)</f>
        <v>0</v>
      </c>
      <c r="S228">
        <f>IF('Calculations PJ'!S228&lt;&gt;0,'Calculations PJ'!S228*About!$B$45,0)</f>
        <v>0</v>
      </c>
      <c r="T228">
        <f>IF('Calculations PJ'!T228&lt;&gt;0,'Calculations PJ'!T228*About!$B$45,0)</f>
        <v>0</v>
      </c>
      <c r="U228">
        <f>IF('Calculations PJ'!U228&lt;&gt;0,'Calculations PJ'!U228*About!$B$45,0)</f>
        <v>0</v>
      </c>
      <c r="V228">
        <f>IF('Calculations PJ'!V228&lt;&gt;0,'Calculations PJ'!V228*About!$B$45,0)</f>
        <v>0</v>
      </c>
      <c r="W228">
        <f>IF('Calculations PJ'!W228&lt;&gt;0,'Calculations PJ'!W228*About!$B$45,0)</f>
        <v>0</v>
      </c>
      <c r="X228">
        <f>IF('Calculations PJ'!X228&lt;&gt;0,'Calculations PJ'!X228*About!$B$45,0)</f>
        <v>0</v>
      </c>
      <c r="Y228">
        <f>IF('Calculations PJ'!Y228&lt;&gt;0,'Calculations PJ'!Y228*About!$B$45,0)</f>
        <v>0</v>
      </c>
      <c r="Z228">
        <f>IF('Calculations PJ'!Z228&lt;&gt;0,'Calculations PJ'!Z228*About!$B$45,0)</f>
        <v>0</v>
      </c>
      <c r="AA228">
        <f>IF('Calculations PJ'!AA228&lt;&gt;0,'Calculations PJ'!AA228*About!$B$45,0)</f>
        <v>0</v>
      </c>
      <c r="AB228">
        <f>IF('Calculations PJ'!AB228&lt;&gt;0,'Calculations PJ'!AB228*About!$B$45,0)</f>
        <v>0</v>
      </c>
      <c r="AC228">
        <f>IF('Calculations PJ'!AC228&lt;&gt;0,'Calculations PJ'!AC228*About!$B$45,0)</f>
        <v>0</v>
      </c>
      <c r="AD228">
        <f>IF('Calculations PJ'!AD228&lt;&gt;0,'Calculations PJ'!AD228*About!$B$45,0)</f>
        <v>0</v>
      </c>
      <c r="AE228">
        <f>IF('Calculations PJ'!AE228&lt;&gt;0,'Calculations PJ'!AE228*About!$B$45,0)</f>
        <v>0</v>
      </c>
      <c r="AF228">
        <f>IF('Calculations PJ'!AF228&lt;&gt;0,'Calculations PJ'!AF228*About!$B$45,0)</f>
        <v>0</v>
      </c>
      <c r="AG228">
        <f>IF('Calculations PJ'!AG228&lt;&gt;0,'Calculations PJ'!AG228*About!$B$45,0)</f>
        <v>0</v>
      </c>
      <c r="AH228">
        <f>IF('Calculations PJ'!AH228&lt;&gt;0,'Calculations PJ'!AH228*About!$B$45,0)</f>
        <v>0</v>
      </c>
      <c r="AI228">
        <f>IF('Calculations PJ'!AI228&lt;&gt;0,'Calculations PJ'!AI228*About!$B$45,0)</f>
        <v>0</v>
      </c>
      <c r="AJ228">
        <f>IF('Calculations PJ'!AJ228&lt;&gt;0,'Calculations PJ'!AJ228*About!$B$45,0)</f>
        <v>0</v>
      </c>
      <c r="AK228">
        <f>IF('Calculations PJ'!AK228&lt;&gt;0,'Calculations PJ'!AK228*About!$B$45,0)</f>
        <v>0</v>
      </c>
      <c r="AL228">
        <f>IF('Calculations PJ'!AL228&lt;&gt;0,'Calculations PJ'!AL228*About!$B$45,0)</f>
        <v>0</v>
      </c>
      <c r="AM228">
        <f>IF('Calculations PJ'!AM228&lt;&gt;0,'Calculations PJ'!AM228*About!$B$45,0)</f>
        <v>0</v>
      </c>
      <c r="AN228">
        <f>IF('Calculations PJ'!AN228&lt;&gt;0,'Calculations PJ'!AN228*About!$B$45,0)</f>
        <v>0</v>
      </c>
      <c r="AO228">
        <f>IF('Calculations PJ'!AO228&lt;&gt;0,'Calculations PJ'!AO228*About!$B$45,0)</f>
        <v>0</v>
      </c>
      <c r="AP228">
        <f>IF('Calculations PJ'!AP228&lt;&gt;0,'Calculations PJ'!AP228*About!$B$45,0)</f>
        <v>0</v>
      </c>
      <c r="AQ228">
        <f>IF('Calculations PJ'!AQ228&lt;&gt;0,'Calculations PJ'!AQ228*About!$B$45,0)</f>
        <v>0</v>
      </c>
      <c r="AR228">
        <f>IF('Calculations PJ'!AR228&lt;&gt;0,'Calculations PJ'!AR228*About!$B$45,0)</f>
        <v>0</v>
      </c>
      <c r="AS228">
        <f>IF('Calculations PJ'!AS228&lt;&gt;0,'Calculations PJ'!AS228*About!$B$45,0)</f>
        <v>0</v>
      </c>
      <c r="AT228">
        <f>IF('Calculations PJ'!AT228&lt;&gt;0,'Calculations PJ'!AT228*About!$B$45,0)</f>
        <v>0</v>
      </c>
      <c r="AU228">
        <f>IF('Calculations PJ'!AU228&lt;&gt;0,'Calculations PJ'!AU228*About!$B$45,0)</f>
        <v>0</v>
      </c>
      <c r="AV228">
        <f>IF('Calculations PJ'!AV228&lt;&gt;0,'Calculations PJ'!AV228*About!$B$45,0)</f>
        <v>0</v>
      </c>
      <c r="AW228">
        <f>IF('Calculations PJ'!AW228&lt;&gt;0,'Calculations PJ'!AW228*About!$B$45,0)</f>
        <v>0</v>
      </c>
      <c r="AX228">
        <f>IF('Calculations PJ'!AX228&lt;&gt;0,'Calculations PJ'!AX228*About!$B$45,0)</f>
        <v>0</v>
      </c>
      <c r="AY228">
        <f>IF('Calculations PJ'!AY228&lt;&gt;0,'Calculations PJ'!AY228*About!$B$45,0)</f>
        <v>0</v>
      </c>
      <c r="AZ228">
        <f>IF('Calculations PJ'!AZ228&lt;&gt;0,'Calculations PJ'!AZ228*About!$B$45,0)</f>
        <v>0</v>
      </c>
      <c r="BA228">
        <f>IF('Calculations PJ'!BA228&lt;&gt;0,'Calculations PJ'!BA228*About!$B$45,0)</f>
        <v>0</v>
      </c>
      <c r="BB228">
        <f>IF('Calculations PJ'!BB228&lt;&gt;0,'Calculations PJ'!BB228*About!$B$45,0)</f>
        <v>0</v>
      </c>
      <c r="BC228">
        <f>IF('Calculations PJ'!BC228&lt;&gt;0,'Calculations PJ'!BC228*About!$B$45,0)</f>
        <v>0</v>
      </c>
      <c r="BD228">
        <f>IF('Calculations PJ'!BD228&lt;&gt;0,'Calculations PJ'!BD228*About!$B$45,0)</f>
        <v>0</v>
      </c>
      <c r="BE228">
        <f>IF('Calculations PJ'!BE228&lt;&gt;0,'Calculations PJ'!BE228*About!$B$45,0)</f>
        <v>0</v>
      </c>
      <c r="BF228">
        <f>IF('Calculations PJ'!BF228&lt;&gt;0,'Calculations PJ'!BF228*About!$B$45,0)</f>
        <v>0</v>
      </c>
      <c r="BG228">
        <f>IF('Calculations PJ'!BG228&lt;&gt;0,'Calculations PJ'!BG228*About!$B$45,0)</f>
        <v>0</v>
      </c>
      <c r="BH228">
        <f>IF('Calculations PJ'!BH228&lt;&gt;0,'Calculations PJ'!BH228*About!$B$45,0)</f>
        <v>0</v>
      </c>
    </row>
    <row r="229" spans="2:60" outlineLevel="2">
      <c r="B229" t="s">
        <v>144</v>
      </c>
      <c r="C229">
        <f>IF('Calculations PJ'!C229&lt;&gt;0,'Calculations PJ'!C229*About!$B$45,0)</f>
        <v>0</v>
      </c>
      <c r="D229">
        <f>IF('Calculations PJ'!D229&lt;&gt;0,'Calculations PJ'!D229*About!$B$45,0)</f>
        <v>0</v>
      </c>
      <c r="E229">
        <f>IF('Calculations PJ'!E229&lt;&gt;0,'Calculations PJ'!E229*About!$B$45,0)</f>
        <v>0</v>
      </c>
      <c r="F229">
        <f>IF('Calculations PJ'!F229&lt;&gt;0,'Calculations PJ'!F229*About!$B$45,0)</f>
        <v>0</v>
      </c>
      <c r="G229">
        <f>IF('Calculations PJ'!G229&lt;&gt;0,'Calculations PJ'!G229*About!$B$45,0)</f>
        <v>0</v>
      </c>
      <c r="H229">
        <f>IF('Calculations PJ'!H229&lt;&gt;0,'Calculations PJ'!H229*About!$B$45,0)</f>
        <v>0</v>
      </c>
      <c r="I229">
        <f>IF('Calculations PJ'!I229&lt;&gt;0,'Calculations PJ'!I229*About!$B$45,0)</f>
        <v>0</v>
      </c>
      <c r="J229">
        <f>IF('Calculations PJ'!J229&lt;&gt;0,'Calculations PJ'!J229*About!$B$45,0)</f>
        <v>0</v>
      </c>
      <c r="K229">
        <f>IF('Calculations PJ'!K229&lt;&gt;0,'Calculations PJ'!K229*About!$B$45,0)</f>
        <v>0</v>
      </c>
      <c r="L229">
        <f>IF('Calculations PJ'!L229&lt;&gt;0,'Calculations PJ'!L229*About!$B$45,0)</f>
        <v>0</v>
      </c>
      <c r="M229">
        <f>IF('Calculations PJ'!M229&lt;&gt;0,'Calculations PJ'!M229*About!$B$45,0)</f>
        <v>0</v>
      </c>
      <c r="N229">
        <f>IF('Calculations PJ'!N229&lt;&gt;0,'Calculations PJ'!N229*About!$B$45,0)</f>
        <v>0</v>
      </c>
      <c r="O229">
        <f>IF('Calculations PJ'!O229&lt;&gt;0,'Calculations PJ'!O229*About!$B$45,0)</f>
        <v>0</v>
      </c>
      <c r="P229">
        <f>IF('Calculations PJ'!P229&lt;&gt;0,'Calculations PJ'!P229*About!$B$45,0)</f>
        <v>0</v>
      </c>
      <c r="Q229">
        <f>IF('Calculations PJ'!Q229&lt;&gt;0,'Calculations PJ'!Q229*About!$B$45,0)</f>
        <v>0</v>
      </c>
      <c r="R229">
        <f>IF('Calculations PJ'!R229&lt;&gt;0,'Calculations PJ'!R229*About!$B$45,0)</f>
        <v>0</v>
      </c>
      <c r="S229">
        <f>IF('Calculations PJ'!S229&lt;&gt;0,'Calculations PJ'!S229*About!$B$45,0)</f>
        <v>0</v>
      </c>
      <c r="T229">
        <f>IF('Calculations PJ'!T229&lt;&gt;0,'Calculations PJ'!T229*About!$B$45,0)</f>
        <v>0</v>
      </c>
      <c r="U229">
        <f>IF('Calculations PJ'!U229&lt;&gt;0,'Calculations PJ'!U229*About!$B$45,0)</f>
        <v>0</v>
      </c>
      <c r="V229">
        <f>IF('Calculations PJ'!V229&lt;&gt;0,'Calculations PJ'!V229*About!$B$45,0)</f>
        <v>0</v>
      </c>
      <c r="W229">
        <f>IF('Calculations PJ'!W229&lt;&gt;0,'Calculations PJ'!W229*About!$B$45,0)</f>
        <v>0</v>
      </c>
      <c r="X229">
        <f>IF('Calculations PJ'!X229&lt;&gt;0,'Calculations PJ'!X229*About!$B$45,0)</f>
        <v>0</v>
      </c>
      <c r="Y229">
        <f>IF('Calculations PJ'!Y229&lt;&gt;0,'Calculations PJ'!Y229*About!$B$45,0)</f>
        <v>0</v>
      </c>
      <c r="Z229">
        <f>IF('Calculations PJ'!Z229&lt;&gt;0,'Calculations PJ'!Z229*About!$B$45,0)</f>
        <v>0</v>
      </c>
      <c r="AA229">
        <f>IF('Calculations PJ'!AA229&lt;&gt;0,'Calculations PJ'!AA229*About!$B$45,0)</f>
        <v>0</v>
      </c>
      <c r="AB229">
        <f>IF('Calculations PJ'!AB229&lt;&gt;0,'Calculations PJ'!AB229*About!$B$45,0)</f>
        <v>0</v>
      </c>
      <c r="AC229">
        <f>IF('Calculations PJ'!AC229&lt;&gt;0,'Calculations PJ'!AC229*About!$B$45,0)</f>
        <v>0</v>
      </c>
      <c r="AD229">
        <f>IF('Calculations PJ'!AD229&lt;&gt;0,'Calculations PJ'!AD229*About!$B$45,0)</f>
        <v>0</v>
      </c>
      <c r="AE229">
        <f>IF('Calculations PJ'!AE229&lt;&gt;0,'Calculations PJ'!AE229*About!$B$45,0)</f>
        <v>0</v>
      </c>
      <c r="AF229">
        <f>IF('Calculations PJ'!AF229&lt;&gt;0,'Calculations PJ'!AF229*About!$B$45,0)</f>
        <v>0</v>
      </c>
      <c r="AG229">
        <f>IF('Calculations PJ'!AG229&lt;&gt;0,'Calculations PJ'!AG229*About!$B$45,0)</f>
        <v>0</v>
      </c>
      <c r="AH229">
        <f>IF('Calculations PJ'!AH229&lt;&gt;0,'Calculations PJ'!AH229*About!$B$45,0)</f>
        <v>0</v>
      </c>
      <c r="AI229">
        <f>IF('Calculations PJ'!AI229&lt;&gt;0,'Calculations PJ'!AI229*About!$B$45,0)</f>
        <v>0</v>
      </c>
      <c r="AJ229">
        <f>IF('Calculations PJ'!AJ229&lt;&gt;0,'Calculations PJ'!AJ229*About!$B$45,0)</f>
        <v>0</v>
      </c>
      <c r="AK229">
        <f>IF('Calculations PJ'!AK229&lt;&gt;0,'Calculations PJ'!AK229*About!$B$45,0)</f>
        <v>0</v>
      </c>
      <c r="AL229">
        <f>IF('Calculations PJ'!AL229&lt;&gt;0,'Calculations PJ'!AL229*About!$B$45,0)</f>
        <v>0</v>
      </c>
      <c r="AM229">
        <f>IF('Calculations PJ'!AM229&lt;&gt;0,'Calculations PJ'!AM229*About!$B$45,0)</f>
        <v>0</v>
      </c>
      <c r="AN229">
        <f>IF('Calculations PJ'!AN229&lt;&gt;0,'Calculations PJ'!AN229*About!$B$45,0)</f>
        <v>0</v>
      </c>
      <c r="AO229">
        <f>IF('Calculations PJ'!AO229&lt;&gt;0,'Calculations PJ'!AO229*About!$B$45,0)</f>
        <v>0</v>
      </c>
      <c r="AP229">
        <f>IF('Calculations PJ'!AP229&lt;&gt;0,'Calculations PJ'!AP229*About!$B$45,0)</f>
        <v>0</v>
      </c>
      <c r="AQ229">
        <f>IF('Calculations PJ'!AQ229&lt;&gt;0,'Calculations PJ'!AQ229*About!$B$45,0)</f>
        <v>0</v>
      </c>
      <c r="AR229">
        <f>IF('Calculations PJ'!AR229&lt;&gt;0,'Calculations PJ'!AR229*About!$B$45,0)</f>
        <v>0</v>
      </c>
      <c r="AS229">
        <f>IF('Calculations PJ'!AS229&lt;&gt;0,'Calculations PJ'!AS229*About!$B$45,0)</f>
        <v>0</v>
      </c>
      <c r="AT229">
        <f>IF('Calculations PJ'!AT229&lt;&gt;0,'Calculations PJ'!AT229*About!$B$45,0)</f>
        <v>0</v>
      </c>
      <c r="AU229">
        <f>IF('Calculations PJ'!AU229&lt;&gt;0,'Calculations PJ'!AU229*About!$B$45,0)</f>
        <v>0</v>
      </c>
      <c r="AV229">
        <f>IF('Calculations PJ'!AV229&lt;&gt;0,'Calculations PJ'!AV229*About!$B$45,0)</f>
        <v>0</v>
      </c>
      <c r="AW229">
        <f>IF('Calculations PJ'!AW229&lt;&gt;0,'Calculations PJ'!AW229*About!$B$45,0)</f>
        <v>0</v>
      </c>
      <c r="AX229">
        <f>IF('Calculations PJ'!AX229&lt;&gt;0,'Calculations PJ'!AX229*About!$B$45,0)</f>
        <v>0</v>
      </c>
      <c r="AY229">
        <f>IF('Calculations PJ'!AY229&lt;&gt;0,'Calculations PJ'!AY229*About!$B$45,0)</f>
        <v>0</v>
      </c>
      <c r="AZ229">
        <f>IF('Calculations PJ'!AZ229&lt;&gt;0,'Calculations PJ'!AZ229*About!$B$45,0)</f>
        <v>0</v>
      </c>
      <c r="BA229">
        <f>IF('Calculations PJ'!BA229&lt;&gt;0,'Calculations PJ'!BA229*About!$B$45,0)</f>
        <v>0</v>
      </c>
      <c r="BB229">
        <f>IF('Calculations PJ'!BB229&lt;&gt;0,'Calculations PJ'!BB229*About!$B$45,0)</f>
        <v>0</v>
      </c>
      <c r="BC229">
        <f>IF('Calculations PJ'!BC229&lt;&gt;0,'Calculations PJ'!BC229*About!$B$45,0)</f>
        <v>0</v>
      </c>
      <c r="BD229">
        <f>IF('Calculations PJ'!BD229&lt;&gt;0,'Calculations PJ'!BD229*About!$B$45,0)</f>
        <v>0</v>
      </c>
      <c r="BE229">
        <f>IF('Calculations PJ'!BE229&lt;&gt;0,'Calculations PJ'!BE229*About!$B$45,0)</f>
        <v>0</v>
      </c>
      <c r="BF229">
        <f>IF('Calculations PJ'!BF229&lt;&gt;0,'Calculations PJ'!BF229*About!$B$45,0)</f>
        <v>0</v>
      </c>
      <c r="BG229">
        <f>IF('Calculations PJ'!BG229&lt;&gt;0,'Calculations PJ'!BG229*About!$B$45,0)</f>
        <v>0</v>
      </c>
      <c r="BH229">
        <f>IF('Calculations PJ'!BH229&lt;&gt;0,'Calculations PJ'!BH229*About!$B$45,0)</f>
        <v>0</v>
      </c>
    </row>
    <row r="230" spans="2:60" outlineLevel="2">
      <c r="B230" t="s">
        <v>145</v>
      </c>
      <c r="C230">
        <f>IF('Calculations PJ'!C230&lt;&gt;0,'Calculations PJ'!C230*About!$B$45,0)</f>
        <v>0</v>
      </c>
      <c r="D230">
        <f>IF('Calculations PJ'!D230&lt;&gt;0,'Calculations PJ'!D230*About!$B$45,0)</f>
        <v>0</v>
      </c>
      <c r="E230">
        <f>IF('Calculations PJ'!E230&lt;&gt;0,'Calculations PJ'!E230*About!$B$45,0)</f>
        <v>0</v>
      </c>
      <c r="F230">
        <f>IF('Calculations PJ'!F230&lt;&gt;0,'Calculations PJ'!F230*About!$B$45,0)</f>
        <v>0</v>
      </c>
      <c r="G230">
        <f>IF('Calculations PJ'!G230&lt;&gt;0,'Calculations PJ'!G230*About!$B$45,0)</f>
        <v>0</v>
      </c>
      <c r="H230">
        <f>IF('Calculations PJ'!H230&lt;&gt;0,'Calculations PJ'!H230*About!$B$45,0)</f>
        <v>0</v>
      </c>
      <c r="I230">
        <f>IF('Calculations PJ'!I230&lt;&gt;0,'Calculations PJ'!I230*About!$B$45,0)</f>
        <v>0</v>
      </c>
      <c r="J230">
        <f>IF('Calculations PJ'!J230&lt;&gt;0,'Calculations PJ'!J230*About!$B$45,0)</f>
        <v>0</v>
      </c>
      <c r="K230">
        <f>IF('Calculations PJ'!K230&lt;&gt;0,'Calculations PJ'!K230*About!$B$45,0)</f>
        <v>0</v>
      </c>
      <c r="L230">
        <f>IF('Calculations PJ'!L230&lt;&gt;0,'Calculations PJ'!L230*About!$B$45,0)</f>
        <v>0</v>
      </c>
      <c r="M230">
        <f>IF('Calculations PJ'!M230&lt;&gt;0,'Calculations PJ'!M230*About!$B$45,0)</f>
        <v>0</v>
      </c>
      <c r="N230">
        <f>IF('Calculations PJ'!N230&lt;&gt;0,'Calculations PJ'!N230*About!$B$45,0)</f>
        <v>0</v>
      </c>
      <c r="O230">
        <f>IF('Calculations PJ'!O230&lt;&gt;0,'Calculations PJ'!O230*About!$B$45,0)</f>
        <v>0</v>
      </c>
      <c r="P230">
        <f>IF('Calculations PJ'!P230&lt;&gt;0,'Calculations PJ'!P230*About!$B$45,0)</f>
        <v>0</v>
      </c>
      <c r="Q230">
        <f>IF('Calculations PJ'!Q230&lt;&gt;0,'Calculations PJ'!Q230*About!$B$45,0)</f>
        <v>0</v>
      </c>
      <c r="R230">
        <f>IF('Calculations PJ'!R230&lt;&gt;0,'Calculations PJ'!R230*About!$B$45,0)</f>
        <v>0</v>
      </c>
      <c r="S230">
        <f>IF('Calculations PJ'!S230&lt;&gt;0,'Calculations PJ'!S230*About!$B$45,0)</f>
        <v>0</v>
      </c>
      <c r="T230">
        <f>IF('Calculations PJ'!T230&lt;&gt;0,'Calculations PJ'!T230*About!$B$45,0)</f>
        <v>0</v>
      </c>
      <c r="U230">
        <f>IF('Calculations PJ'!U230&lt;&gt;0,'Calculations PJ'!U230*About!$B$45,0)</f>
        <v>0</v>
      </c>
      <c r="V230">
        <f>IF('Calculations PJ'!V230&lt;&gt;0,'Calculations PJ'!V230*About!$B$45,0)</f>
        <v>0</v>
      </c>
      <c r="W230">
        <f>IF('Calculations PJ'!W230&lt;&gt;0,'Calculations PJ'!W230*About!$B$45,0)</f>
        <v>0</v>
      </c>
      <c r="X230">
        <f>IF('Calculations PJ'!X230&lt;&gt;0,'Calculations PJ'!X230*About!$B$45,0)</f>
        <v>0</v>
      </c>
      <c r="Y230">
        <f>IF('Calculations PJ'!Y230&lt;&gt;0,'Calculations PJ'!Y230*About!$B$45,0)</f>
        <v>0</v>
      </c>
      <c r="Z230">
        <f>IF('Calculations PJ'!Z230&lt;&gt;0,'Calculations PJ'!Z230*About!$B$45,0)</f>
        <v>0</v>
      </c>
      <c r="AA230">
        <f>IF('Calculations PJ'!AA230&lt;&gt;0,'Calculations PJ'!AA230*About!$B$45,0)</f>
        <v>0</v>
      </c>
      <c r="AB230">
        <f>IF('Calculations PJ'!AB230&lt;&gt;0,'Calculations PJ'!AB230*About!$B$45,0)</f>
        <v>0</v>
      </c>
      <c r="AC230">
        <f>IF('Calculations PJ'!AC230&lt;&gt;0,'Calculations PJ'!AC230*About!$B$45,0)</f>
        <v>0</v>
      </c>
      <c r="AD230">
        <f>IF('Calculations PJ'!AD230&lt;&gt;0,'Calculations PJ'!AD230*About!$B$45,0)</f>
        <v>0</v>
      </c>
      <c r="AE230">
        <f>IF('Calculations PJ'!AE230&lt;&gt;0,'Calculations PJ'!AE230*About!$B$45,0)</f>
        <v>0</v>
      </c>
      <c r="AF230">
        <f>IF('Calculations PJ'!AF230&lt;&gt;0,'Calculations PJ'!AF230*About!$B$45,0)</f>
        <v>0</v>
      </c>
      <c r="AG230">
        <f>IF('Calculations PJ'!AG230&lt;&gt;0,'Calculations PJ'!AG230*About!$B$45,0)</f>
        <v>0</v>
      </c>
      <c r="AH230">
        <f>IF('Calculations PJ'!AH230&lt;&gt;0,'Calculations PJ'!AH230*About!$B$45,0)</f>
        <v>0</v>
      </c>
      <c r="AI230">
        <f>IF('Calculations PJ'!AI230&lt;&gt;0,'Calculations PJ'!AI230*About!$B$45,0)</f>
        <v>0</v>
      </c>
      <c r="AJ230">
        <f>IF('Calculations PJ'!AJ230&lt;&gt;0,'Calculations PJ'!AJ230*About!$B$45,0)</f>
        <v>0</v>
      </c>
      <c r="AK230">
        <f>IF('Calculations PJ'!AK230&lt;&gt;0,'Calculations PJ'!AK230*About!$B$45,0)</f>
        <v>0</v>
      </c>
      <c r="AL230">
        <f>IF('Calculations PJ'!AL230&lt;&gt;0,'Calculations PJ'!AL230*About!$B$45,0)</f>
        <v>0</v>
      </c>
      <c r="AM230">
        <f>IF('Calculations PJ'!AM230&lt;&gt;0,'Calculations PJ'!AM230*About!$B$45,0)</f>
        <v>0</v>
      </c>
      <c r="AN230">
        <f>IF('Calculations PJ'!AN230&lt;&gt;0,'Calculations PJ'!AN230*About!$B$45,0)</f>
        <v>0</v>
      </c>
      <c r="AO230">
        <f>IF('Calculations PJ'!AO230&lt;&gt;0,'Calculations PJ'!AO230*About!$B$45,0)</f>
        <v>0</v>
      </c>
      <c r="AP230">
        <f>IF('Calculations PJ'!AP230&lt;&gt;0,'Calculations PJ'!AP230*About!$B$45,0)</f>
        <v>0</v>
      </c>
      <c r="AQ230">
        <f>IF('Calculations PJ'!AQ230&lt;&gt;0,'Calculations PJ'!AQ230*About!$B$45,0)</f>
        <v>0</v>
      </c>
      <c r="AR230">
        <f>IF('Calculations PJ'!AR230&lt;&gt;0,'Calculations PJ'!AR230*About!$B$45,0)</f>
        <v>0</v>
      </c>
      <c r="AS230">
        <f>IF('Calculations PJ'!AS230&lt;&gt;0,'Calculations PJ'!AS230*About!$B$45,0)</f>
        <v>0</v>
      </c>
      <c r="AT230">
        <f>IF('Calculations PJ'!AT230&lt;&gt;0,'Calculations PJ'!AT230*About!$B$45,0)</f>
        <v>0</v>
      </c>
      <c r="AU230">
        <f>IF('Calculations PJ'!AU230&lt;&gt;0,'Calculations PJ'!AU230*About!$B$45,0)</f>
        <v>0</v>
      </c>
      <c r="AV230">
        <f>IF('Calculations PJ'!AV230&lt;&gt;0,'Calculations PJ'!AV230*About!$B$45,0)</f>
        <v>0</v>
      </c>
      <c r="AW230">
        <f>IF('Calculations PJ'!AW230&lt;&gt;0,'Calculations PJ'!AW230*About!$B$45,0)</f>
        <v>0</v>
      </c>
      <c r="AX230">
        <f>IF('Calculations PJ'!AX230&lt;&gt;0,'Calculations PJ'!AX230*About!$B$45,0)</f>
        <v>0</v>
      </c>
      <c r="AY230">
        <f>IF('Calculations PJ'!AY230&lt;&gt;0,'Calculations PJ'!AY230*About!$B$45,0)</f>
        <v>0</v>
      </c>
      <c r="AZ230">
        <f>IF('Calculations PJ'!AZ230&lt;&gt;0,'Calculations PJ'!AZ230*About!$B$45,0)</f>
        <v>0</v>
      </c>
      <c r="BA230">
        <f>IF('Calculations PJ'!BA230&lt;&gt;0,'Calculations PJ'!BA230*About!$B$45,0)</f>
        <v>0</v>
      </c>
      <c r="BB230">
        <f>IF('Calculations PJ'!BB230&lt;&gt;0,'Calculations PJ'!BB230*About!$B$45,0)</f>
        <v>0</v>
      </c>
      <c r="BC230">
        <f>IF('Calculations PJ'!BC230&lt;&gt;0,'Calculations PJ'!BC230*About!$B$45,0)</f>
        <v>0</v>
      </c>
      <c r="BD230">
        <f>IF('Calculations PJ'!BD230&lt;&gt;0,'Calculations PJ'!BD230*About!$B$45,0)</f>
        <v>0</v>
      </c>
      <c r="BE230">
        <f>IF('Calculations PJ'!BE230&lt;&gt;0,'Calculations PJ'!BE230*About!$B$45,0)</f>
        <v>0</v>
      </c>
      <c r="BF230">
        <f>IF('Calculations PJ'!BF230&lt;&gt;0,'Calculations PJ'!BF230*About!$B$45,0)</f>
        <v>0</v>
      </c>
      <c r="BG230">
        <f>IF('Calculations PJ'!BG230&lt;&gt;0,'Calculations PJ'!BG230*About!$B$45,0)</f>
        <v>0</v>
      </c>
      <c r="BH230">
        <f>IF('Calculations PJ'!BH230&lt;&gt;0,'Calculations PJ'!BH230*About!$B$45,0)</f>
        <v>0</v>
      </c>
    </row>
    <row r="231" spans="2:60" outlineLevel="2">
      <c r="B231" t="s">
        <v>146</v>
      </c>
      <c r="C231">
        <f>IF('Calculations PJ'!C231&lt;&gt;0,'Calculations PJ'!C231*About!$B$45,0)</f>
        <v>0</v>
      </c>
      <c r="D231">
        <f>IF('Calculations PJ'!D231&lt;&gt;0,'Calculations PJ'!D231*About!$B$45,0)</f>
        <v>0</v>
      </c>
      <c r="E231">
        <f>IF('Calculations PJ'!E231&lt;&gt;0,'Calculations PJ'!E231*About!$B$45,0)</f>
        <v>0</v>
      </c>
      <c r="F231">
        <f>IF('Calculations PJ'!F231&lt;&gt;0,'Calculations PJ'!F231*About!$B$45,0)</f>
        <v>0</v>
      </c>
      <c r="G231">
        <f>IF('Calculations PJ'!G231&lt;&gt;0,'Calculations PJ'!G231*About!$B$45,0)</f>
        <v>0</v>
      </c>
      <c r="H231">
        <f>IF('Calculations PJ'!H231&lt;&gt;0,'Calculations PJ'!H231*About!$B$45,0)</f>
        <v>0</v>
      </c>
      <c r="I231">
        <f>IF('Calculations PJ'!I231&lt;&gt;0,'Calculations PJ'!I231*About!$B$45,0)</f>
        <v>0</v>
      </c>
      <c r="J231">
        <f>IF('Calculations PJ'!J231&lt;&gt;0,'Calculations PJ'!J231*About!$B$45,0)</f>
        <v>0</v>
      </c>
      <c r="K231">
        <f>IF('Calculations PJ'!K231&lt;&gt;0,'Calculations PJ'!K231*About!$B$45,0)</f>
        <v>0</v>
      </c>
      <c r="L231">
        <f>IF('Calculations PJ'!L231&lt;&gt;0,'Calculations PJ'!L231*About!$B$45,0)</f>
        <v>0</v>
      </c>
      <c r="M231">
        <f>IF('Calculations PJ'!M231&lt;&gt;0,'Calculations PJ'!M231*About!$B$45,0)</f>
        <v>0</v>
      </c>
      <c r="N231">
        <f>IF('Calculations PJ'!N231&lt;&gt;0,'Calculations PJ'!N231*About!$B$45,0)</f>
        <v>0</v>
      </c>
      <c r="O231">
        <f>IF('Calculations PJ'!O231&lt;&gt;0,'Calculations PJ'!O231*About!$B$45,0)</f>
        <v>0</v>
      </c>
      <c r="P231">
        <f>IF('Calculations PJ'!P231&lt;&gt;0,'Calculations PJ'!P231*About!$B$45,0)</f>
        <v>0</v>
      </c>
      <c r="Q231">
        <f>IF('Calculations PJ'!Q231&lt;&gt;0,'Calculations PJ'!Q231*About!$B$45,0)</f>
        <v>0</v>
      </c>
      <c r="R231">
        <f>IF('Calculations PJ'!R231&lt;&gt;0,'Calculations PJ'!R231*About!$B$45,0)</f>
        <v>0</v>
      </c>
      <c r="S231">
        <f>IF('Calculations PJ'!S231&lt;&gt;0,'Calculations PJ'!S231*About!$B$45,0)</f>
        <v>0</v>
      </c>
      <c r="T231">
        <f>IF('Calculations PJ'!T231&lt;&gt;0,'Calculations PJ'!T231*About!$B$45,0)</f>
        <v>0</v>
      </c>
      <c r="U231">
        <f>IF('Calculations PJ'!U231&lt;&gt;0,'Calculations PJ'!U231*About!$B$45,0)</f>
        <v>0</v>
      </c>
      <c r="V231">
        <f>IF('Calculations PJ'!V231&lt;&gt;0,'Calculations PJ'!V231*About!$B$45,0)</f>
        <v>0</v>
      </c>
      <c r="W231">
        <f>IF('Calculations PJ'!W231&lt;&gt;0,'Calculations PJ'!W231*About!$B$45,0)</f>
        <v>0</v>
      </c>
      <c r="X231">
        <f>IF('Calculations PJ'!X231&lt;&gt;0,'Calculations PJ'!X231*About!$B$45,0)</f>
        <v>0</v>
      </c>
      <c r="Y231">
        <f>IF('Calculations PJ'!Y231&lt;&gt;0,'Calculations PJ'!Y231*About!$B$45,0)</f>
        <v>0</v>
      </c>
      <c r="Z231">
        <f>IF('Calculations PJ'!Z231&lt;&gt;0,'Calculations PJ'!Z231*About!$B$45,0)</f>
        <v>0</v>
      </c>
      <c r="AA231">
        <f>IF('Calculations PJ'!AA231&lt;&gt;0,'Calculations PJ'!AA231*About!$B$45,0)</f>
        <v>0</v>
      </c>
      <c r="AB231">
        <f>IF('Calculations PJ'!AB231&lt;&gt;0,'Calculations PJ'!AB231*About!$B$45,0)</f>
        <v>0</v>
      </c>
      <c r="AC231">
        <f>IF('Calculations PJ'!AC231&lt;&gt;0,'Calculations PJ'!AC231*About!$B$45,0)</f>
        <v>0</v>
      </c>
      <c r="AD231">
        <f>IF('Calculations PJ'!AD231&lt;&gt;0,'Calculations PJ'!AD231*About!$B$45,0)</f>
        <v>0</v>
      </c>
      <c r="AE231">
        <f>IF('Calculations PJ'!AE231&lt;&gt;0,'Calculations PJ'!AE231*About!$B$45,0)</f>
        <v>0</v>
      </c>
      <c r="AF231">
        <f>IF('Calculations PJ'!AF231&lt;&gt;0,'Calculations PJ'!AF231*About!$B$45,0)</f>
        <v>0</v>
      </c>
      <c r="AG231">
        <f>IF('Calculations PJ'!AG231&lt;&gt;0,'Calculations PJ'!AG231*About!$B$45,0)</f>
        <v>0</v>
      </c>
      <c r="AH231">
        <f>IF('Calculations PJ'!AH231&lt;&gt;0,'Calculations PJ'!AH231*About!$B$45,0)</f>
        <v>0</v>
      </c>
      <c r="AI231">
        <f>IF('Calculations PJ'!AI231&lt;&gt;0,'Calculations PJ'!AI231*About!$B$45,0)</f>
        <v>0</v>
      </c>
      <c r="AJ231">
        <f>IF('Calculations PJ'!AJ231&lt;&gt;0,'Calculations PJ'!AJ231*About!$B$45,0)</f>
        <v>0</v>
      </c>
      <c r="AK231">
        <f>IF('Calculations PJ'!AK231&lt;&gt;0,'Calculations PJ'!AK231*About!$B$45,0)</f>
        <v>0</v>
      </c>
      <c r="AL231">
        <f>IF('Calculations PJ'!AL231&lt;&gt;0,'Calculations PJ'!AL231*About!$B$45,0)</f>
        <v>0</v>
      </c>
      <c r="AM231">
        <f>IF('Calculations PJ'!AM231&lt;&gt;0,'Calculations PJ'!AM231*About!$B$45,0)</f>
        <v>0</v>
      </c>
      <c r="AN231">
        <f>IF('Calculations PJ'!AN231&lt;&gt;0,'Calculations PJ'!AN231*About!$B$45,0)</f>
        <v>0</v>
      </c>
      <c r="AO231">
        <f>IF('Calculations PJ'!AO231&lt;&gt;0,'Calculations PJ'!AO231*About!$B$45,0)</f>
        <v>0</v>
      </c>
      <c r="AP231">
        <f>IF('Calculations PJ'!AP231&lt;&gt;0,'Calculations PJ'!AP231*About!$B$45,0)</f>
        <v>0</v>
      </c>
      <c r="AQ231">
        <f>IF('Calculations PJ'!AQ231&lt;&gt;0,'Calculations PJ'!AQ231*About!$B$45,0)</f>
        <v>0</v>
      </c>
      <c r="AR231">
        <f>IF('Calculations PJ'!AR231&lt;&gt;0,'Calculations PJ'!AR231*About!$B$45,0)</f>
        <v>0</v>
      </c>
      <c r="AS231">
        <f>IF('Calculations PJ'!AS231&lt;&gt;0,'Calculations PJ'!AS231*About!$B$45,0)</f>
        <v>0</v>
      </c>
      <c r="AT231">
        <f>IF('Calculations PJ'!AT231&lt;&gt;0,'Calculations PJ'!AT231*About!$B$45,0)</f>
        <v>0</v>
      </c>
      <c r="AU231">
        <f>IF('Calculations PJ'!AU231&lt;&gt;0,'Calculations PJ'!AU231*About!$B$45,0)</f>
        <v>0</v>
      </c>
      <c r="AV231">
        <f>IF('Calculations PJ'!AV231&lt;&gt;0,'Calculations PJ'!AV231*About!$B$45,0)</f>
        <v>0</v>
      </c>
      <c r="AW231">
        <f>IF('Calculations PJ'!AW231&lt;&gt;0,'Calculations PJ'!AW231*About!$B$45,0)</f>
        <v>0</v>
      </c>
      <c r="AX231">
        <f>IF('Calculations PJ'!AX231&lt;&gt;0,'Calculations PJ'!AX231*About!$B$45,0)</f>
        <v>0</v>
      </c>
      <c r="AY231">
        <f>IF('Calculations PJ'!AY231&lt;&gt;0,'Calculations PJ'!AY231*About!$B$45,0)</f>
        <v>0</v>
      </c>
      <c r="AZ231">
        <f>IF('Calculations PJ'!AZ231&lt;&gt;0,'Calculations PJ'!AZ231*About!$B$45,0)</f>
        <v>0</v>
      </c>
      <c r="BA231">
        <f>IF('Calculations PJ'!BA231&lt;&gt;0,'Calculations PJ'!BA231*About!$B$45,0)</f>
        <v>0</v>
      </c>
      <c r="BB231">
        <f>IF('Calculations PJ'!BB231&lt;&gt;0,'Calculations PJ'!BB231*About!$B$45,0)</f>
        <v>0</v>
      </c>
      <c r="BC231">
        <f>IF('Calculations PJ'!BC231&lt;&gt;0,'Calculations PJ'!BC231*About!$B$45,0)</f>
        <v>0</v>
      </c>
      <c r="BD231">
        <f>IF('Calculations PJ'!BD231&lt;&gt;0,'Calculations PJ'!BD231*About!$B$45,0)</f>
        <v>0</v>
      </c>
      <c r="BE231">
        <f>IF('Calculations PJ'!BE231&lt;&gt;0,'Calculations PJ'!BE231*About!$B$45,0)</f>
        <v>0</v>
      </c>
      <c r="BF231">
        <f>IF('Calculations PJ'!BF231&lt;&gt;0,'Calculations PJ'!BF231*About!$B$45,0)</f>
        <v>0</v>
      </c>
      <c r="BG231">
        <f>IF('Calculations PJ'!BG231&lt;&gt;0,'Calculations PJ'!BG231*About!$B$45,0)</f>
        <v>0</v>
      </c>
      <c r="BH231">
        <f>IF('Calculations PJ'!BH231&lt;&gt;0,'Calculations PJ'!BH231*About!$B$45,0)</f>
        <v>0</v>
      </c>
    </row>
    <row r="232" spans="2:60" outlineLevel="2">
      <c r="B232" t="s">
        <v>147</v>
      </c>
      <c r="C232">
        <f>IF('Calculations PJ'!C232&lt;&gt;0,'Calculations PJ'!C232*About!$B$45,0)</f>
        <v>0</v>
      </c>
      <c r="D232">
        <f>IF('Calculations PJ'!D232&lt;&gt;0,'Calculations PJ'!D232*About!$B$45,0)</f>
        <v>0</v>
      </c>
      <c r="E232">
        <f>IF('Calculations PJ'!E232&lt;&gt;0,'Calculations PJ'!E232*About!$B$45,0)</f>
        <v>0</v>
      </c>
      <c r="F232">
        <f>IF('Calculations PJ'!F232&lt;&gt;0,'Calculations PJ'!F232*About!$B$45,0)</f>
        <v>0</v>
      </c>
      <c r="G232">
        <f>IF('Calculations PJ'!G232&lt;&gt;0,'Calculations PJ'!G232*About!$B$45,0)</f>
        <v>0</v>
      </c>
      <c r="H232">
        <f>IF('Calculations PJ'!H232&lt;&gt;0,'Calculations PJ'!H232*About!$B$45,0)</f>
        <v>0</v>
      </c>
      <c r="I232">
        <f>IF('Calculations PJ'!I232&lt;&gt;0,'Calculations PJ'!I232*About!$B$45,0)</f>
        <v>0</v>
      </c>
      <c r="J232">
        <f>IF('Calculations PJ'!J232&lt;&gt;0,'Calculations PJ'!J232*About!$B$45,0)</f>
        <v>0</v>
      </c>
      <c r="K232">
        <f>IF('Calculations PJ'!K232&lt;&gt;0,'Calculations PJ'!K232*About!$B$45,0)</f>
        <v>0</v>
      </c>
      <c r="L232">
        <f>IF('Calculations PJ'!L232&lt;&gt;0,'Calculations PJ'!L232*About!$B$45,0)</f>
        <v>0</v>
      </c>
      <c r="M232">
        <f>IF('Calculations PJ'!M232&lt;&gt;0,'Calculations PJ'!M232*About!$B$45,0)</f>
        <v>0</v>
      </c>
      <c r="N232">
        <f>IF('Calculations PJ'!N232&lt;&gt;0,'Calculations PJ'!N232*About!$B$45,0)</f>
        <v>0</v>
      </c>
      <c r="O232">
        <f>IF('Calculations PJ'!O232&lt;&gt;0,'Calculations PJ'!O232*About!$B$45,0)</f>
        <v>0</v>
      </c>
      <c r="P232">
        <f>IF('Calculations PJ'!P232&lt;&gt;0,'Calculations PJ'!P232*About!$B$45,0)</f>
        <v>0</v>
      </c>
      <c r="Q232">
        <f>IF('Calculations PJ'!Q232&lt;&gt;0,'Calculations PJ'!Q232*About!$B$45,0)</f>
        <v>0</v>
      </c>
      <c r="R232">
        <f>IF('Calculations PJ'!R232&lt;&gt;0,'Calculations PJ'!R232*About!$B$45,0)</f>
        <v>0</v>
      </c>
      <c r="S232">
        <f>IF('Calculations PJ'!S232&lt;&gt;0,'Calculations PJ'!S232*About!$B$45,0)</f>
        <v>0</v>
      </c>
      <c r="T232">
        <f>IF('Calculations PJ'!T232&lt;&gt;0,'Calculations PJ'!T232*About!$B$45,0)</f>
        <v>0</v>
      </c>
      <c r="U232">
        <f>IF('Calculations PJ'!U232&lt;&gt;0,'Calculations PJ'!U232*About!$B$45,0)</f>
        <v>0</v>
      </c>
      <c r="V232">
        <f>IF('Calculations PJ'!V232&lt;&gt;0,'Calculations PJ'!V232*About!$B$45,0)</f>
        <v>0</v>
      </c>
      <c r="W232">
        <f>IF('Calculations PJ'!W232&lt;&gt;0,'Calculations PJ'!W232*About!$B$45,0)</f>
        <v>0</v>
      </c>
      <c r="X232">
        <f>IF('Calculations PJ'!X232&lt;&gt;0,'Calculations PJ'!X232*About!$B$45,0)</f>
        <v>0</v>
      </c>
      <c r="Y232">
        <f>IF('Calculations PJ'!Y232&lt;&gt;0,'Calculations PJ'!Y232*About!$B$45,0)</f>
        <v>0</v>
      </c>
      <c r="Z232">
        <f>IF('Calculations PJ'!Z232&lt;&gt;0,'Calculations PJ'!Z232*About!$B$45,0)</f>
        <v>0</v>
      </c>
      <c r="AA232">
        <f>IF('Calculations PJ'!AA232&lt;&gt;0,'Calculations PJ'!AA232*About!$B$45,0)</f>
        <v>0</v>
      </c>
      <c r="AB232">
        <f>IF('Calculations PJ'!AB232&lt;&gt;0,'Calculations PJ'!AB232*About!$B$45,0)</f>
        <v>0</v>
      </c>
      <c r="AC232">
        <f>IF('Calculations PJ'!AC232&lt;&gt;0,'Calculations PJ'!AC232*About!$B$45,0)</f>
        <v>0</v>
      </c>
      <c r="AD232">
        <f>IF('Calculations PJ'!AD232&lt;&gt;0,'Calculations PJ'!AD232*About!$B$45,0)</f>
        <v>0</v>
      </c>
      <c r="AE232">
        <f>IF('Calculations PJ'!AE232&lt;&gt;0,'Calculations PJ'!AE232*About!$B$45,0)</f>
        <v>0</v>
      </c>
      <c r="AF232">
        <f>IF('Calculations PJ'!AF232&lt;&gt;0,'Calculations PJ'!AF232*About!$B$45,0)</f>
        <v>0</v>
      </c>
      <c r="AG232">
        <f>IF('Calculations PJ'!AG232&lt;&gt;0,'Calculations PJ'!AG232*About!$B$45,0)</f>
        <v>0</v>
      </c>
      <c r="AH232">
        <f>IF('Calculations PJ'!AH232&lt;&gt;0,'Calculations PJ'!AH232*About!$B$45,0)</f>
        <v>0</v>
      </c>
      <c r="AI232">
        <f>IF('Calculations PJ'!AI232&lt;&gt;0,'Calculations PJ'!AI232*About!$B$45,0)</f>
        <v>0</v>
      </c>
      <c r="AJ232">
        <f>IF('Calculations PJ'!AJ232&lt;&gt;0,'Calculations PJ'!AJ232*About!$B$45,0)</f>
        <v>0</v>
      </c>
      <c r="AK232">
        <f>IF('Calculations PJ'!AK232&lt;&gt;0,'Calculations PJ'!AK232*About!$B$45,0)</f>
        <v>0</v>
      </c>
      <c r="AL232">
        <f>IF('Calculations PJ'!AL232&lt;&gt;0,'Calculations PJ'!AL232*About!$B$45,0)</f>
        <v>0</v>
      </c>
      <c r="AM232">
        <f>IF('Calculations PJ'!AM232&lt;&gt;0,'Calculations PJ'!AM232*About!$B$45,0)</f>
        <v>0</v>
      </c>
      <c r="AN232">
        <f>IF('Calculations PJ'!AN232&lt;&gt;0,'Calculations PJ'!AN232*About!$B$45,0)</f>
        <v>0</v>
      </c>
      <c r="AO232">
        <f>IF('Calculations PJ'!AO232&lt;&gt;0,'Calculations PJ'!AO232*About!$B$45,0)</f>
        <v>0</v>
      </c>
      <c r="AP232">
        <f>IF('Calculations PJ'!AP232&lt;&gt;0,'Calculations PJ'!AP232*About!$B$45,0)</f>
        <v>0</v>
      </c>
      <c r="AQ232">
        <f>IF('Calculations PJ'!AQ232&lt;&gt;0,'Calculations PJ'!AQ232*About!$B$45,0)</f>
        <v>0</v>
      </c>
      <c r="AR232">
        <f>IF('Calculations PJ'!AR232&lt;&gt;0,'Calculations PJ'!AR232*About!$B$45,0)</f>
        <v>0</v>
      </c>
      <c r="AS232">
        <f>IF('Calculations PJ'!AS232&lt;&gt;0,'Calculations PJ'!AS232*About!$B$45,0)</f>
        <v>0</v>
      </c>
      <c r="AT232">
        <f>IF('Calculations PJ'!AT232&lt;&gt;0,'Calculations PJ'!AT232*About!$B$45,0)</f>
        <v>0</v>
      </c>
      <c r="AU232">
        <f>IF('Calculations PJ'!AU232&lt;&gt;0,'Calculations PJ'!AU232*About!$B$45,0)</f>
        <v>0</v>
      </c>
      <c r="AV232">
        <f>IF('Calculations PJ'!AV232&lt;&gt;0,'Calculations PJ'!AV232*About!$B$45,0)</f>
        <v>0</v>
      </c>
      <c r="AW232">
        <f>IF('Calculations PJ'!AW232&lt;&gt;0,'Calculations PJ'!AW232*About!$B$45,0)</f>
        <v>0</v>
      </c>
      <c r="AX232">
        <f>IF('Calculations PJ'!AX232&lt;&gt;0,'Calculations PJ'!AX232*About!$B$45,0)</f>
        <v>0</v>
      </c>
      <c r="AY232">
        <f>IF('Calculations PJ'!AY232&lt;&gt;0,'Calculations PJ'!AY232*About!$B$45,0)</f>
        <v>0</v>
      </c>
      <c r="AZ232">
        <f>IF('Calculations PJ'!AZ232&lt;&gt;0,'Calculations PJ'!AZ232*About!$B$45,0)</f>
        <v>0</v>
      </c>
      <c r="BA232">
        <f>IF('Calculations PJ'!BA232&lt;&gt;0,'Calculations PJ'!BA232*About!$B$45,0)</f>
        <v>0</v>
      </c>
      <c r="BB232">
        <f>IF('Calculations PJ'!BB232&lt;&gt;0,'Calculations PJ'!BB232*About!$B$45,0)</f>
        <v>0</v>
      </c>
      <c r="BC232">
        <f>IF('Calculations PJ'!BC232&lt;&gt;0,'Calculations PJ'!BC232*About!$B$45,0)</f>
        <v>0</v>
      </c>
      <c r="BD232">
        <f>IF('Calculations PJ'!BD232&lt;&gt;0,'Calculations PJ'!BD232*About!$B$45,0)</f>
        <v>0</v>
      </c>
      <c r="BE232">
        <f>IF('Calculations PJ'!BE232&lt;&gt;0,'Calculations PJ'!BE232*About!$B$45,0)</f>
        <v>0</v>
      </c>
      <c r="BF232">
        <f>IF('Calculations PJ'!BF232&lt;&gt;0,'Calculations PJ'!BF232*About!$B$45,0)</f>
        <v>0</v>
      </c>
      <c r="BG232">
        <f>IF('Calculations PJ'!BG232&lt;&gt;0,'Calculations PJ'!BG232*About!$B$45,0)</f>
        <v>0</v>
      </c>
      <c r="BH232">
        <f>IF('Calculations PJ'!BH232&lt;&gt;0,'Calculations PJ'!BH232*About!$B$45,0)</f>
        <v>0</v>
      </c>
    </row>
    <row r="233" spans="2:60" outlineLevel="2">
      <c r="B233" t="s">
        <v>148</v>
      </c>
      <c r="C233">
        <f>IF('Calculations PJ'!C233&lt;&gt;0,'Calculations PJ'!C233*About!$B$45,0)</f>
        <v>0</v>
      </c>
      <c r="D233">
        <f>IF('Calculations PJ'!D233&lt;&gt;0,'Calculations PJ'!D233*About!$B$45,0)</f>
        <v>0</v>
      </c>
      <c r="E233">
        <f>IF('Calculations PJ'!E233&lt;&gt;0,'Calculations PJ'!E233*About!$B$45,0)</f>
        <v>0</v>
      </c>
      <c r="F233">
        <f>IF('Calculations PJ'!F233&lt;&gt;0,'Calculations PJ'!F233*About!$B$45,0)</f>
        <v>0</v>
      </c>
      <c r="G233">
        <f>IF('Calculations PJ'!G233&lt;&gt;0,'Calculations PJ'!G233*About!$B$45,0)</f>
        <v>0</v>
      </c>
      <c r="H233">
        <f>IF('Calculations PJ'!H233&lt;&gt;0,'Calculations PJ'!H233*About!$B$45,0)</f>
        <v>0</v>
      </c>
      <c r="I233">
        <f>IF('Calculations PJ'!I233&lt;&gt;0,'Calculations PJ'!I233*About!$B$45,0)</f>
        <v>0</v>
      </c>
      <c r="J233">
        <f>IF('Calculations PJ'!J233&lt;&gt;0,'Calculations PJ'!J233*About!$B$45,0)</f>
        <v>0</v>
      </c>
      <c r="K233">
        <f>IF('Calculations PJ'!K233&lt;&gt;0,'Calculations PJ'!K233*About!$B$45,0)</f>
        <v>0</v>
      </c>
      <c r="L233">
        <f>IF('Calculations PJ'!L233&lt;&gt;0,'Calculations PJ'!L233*About!$B$45,0)</f>
        <v>0</v>
      </c>
      <c r="M233">
        <f>IF('Calculations PJ'!M233&lt;&gt;0,'Calculations PJ'!M233*About!$B$45,0)</f>
        <v>0</v>
      </c>
      <c r="N233">
        <f>IF('Calculations PJ'!N233&lt;&gt;0,'Calculations PJ'!N233*About!$B$45,0)</f>
        <v>0</v>
      </c>
      <c r="O233">
        <f>IF('Calculations PJ'!O233&lt;&gt;0,'Calculations PJ'!O233*About!$B$45,0)</f>
        <v>0</v>
      </c>
      <c r="P233">
        <f>IF('Calculations PJ'!P233&lt;&gt;0,'Calculations PJ'!P233*About!$B$45,0)</f>
        <v>0</v>
      </c>
      <c r="Q233">
        <f>IF('Calculations PJ'!Q233&lt;&gt;0,'Calculations PJ'!Q233*About!$B$45,0)</f>
        <v>0</v>
      </c>
      <c r="R233">
        <f>IF('Calculations PJ'!R233&lt;&gt;0,'Calculations PJ'!R233*About!$B$45,0)</f>
        <v>0</v>
      </c>
      <c r="S233">
        <f>IF('Calculations PJ'!S233&lt;&gt;0,'Calculations PJ'!S233*About!$B$45,0)</f>
        <v>0</v>
      </c>
      <c r="T233">
        <f>IF('Calculations PJ'!T233&lt;&gt;0,'Calculations PJ'!T233*About!$B$45,0)</f>
        <v>0</v>
      </c>
      <c r="U233">
        <f>IF('Calculations PJ'!U233&lt;&gt;0,'Calculations PJ'!U233*About!$B$45,0)</f>
        <v>0</v>
      </c>
      <c r="V233">
        <f>IF('Calculations PJ'!V233&lt;&gt;0,'Calculations PJ'!V233*About!$B$45,0)</f>
        <v>0</v>
      </c>
      <c r="W233">
        <f>IF('Calculations PJ'!W233&lt;&gt;0,'Calculations PJ'!W233*About!$B$45,0)</f>
        <v>0</v>
      </c>
      <c r="X233">
        <f>IF('Calculations PJ'!X233&lt;&gt;0,'Calculations PJ'!X233*About!$B$45,0)</f>
        <v>0</v>
      </c>
      <c r="Y233">
        <f>IF('Calculations PJ'!Y233&lt;&gt;0,'Calculations PJ'!Y233*About!$B$45,0)</f>
        <v>0</v>
      </c>
      <c r="Z233">
        <f>IF('Calculations PJ'!Z233&lt;&gt;0,'Calculations PJ'!Z233*About!$B$45,0)</f>
        <v>0</v>
      </c>
      <c r="AA233">
        <f>IF('Calculations PJ'!AA233&lt;&gt;0,'Calculations PJ'!AA233*About!$B$45,0)</f>
        <v>0</v>
      </c>
      <c r="AB233">
        <f>IF('Calculations PJ'!AB233&lt;&gt;0,'Calculations PJ'!AB233*About!$B$45,0)</f>
        <v>0</v>
      </c>
      <c r="AC233">
        <f>IF('Calculations PJ'!AC233&lt;&gt;0,'Calculations PJ'!AC233*About!$B$45,0)</f>
        <v>0</v>
      </c>
      <c r="AD233">
        <f>IF('Calculations PJ'!AD233&lt;&gt;0,'Calculations PJ'!AD233*About!$B$45,0)</f>
        <v>0</v>
      </c>
      <c r="AE233">
        <f>IF('Calculations PJ'!AE233&lt;&gt;0,'Calculations PJ'!AE233*About!$B$45,0)</f>
        <v>0</v>
      </c>
      <c r="AF233">
        <f>IF('Calculations PJ'!AF233&lt;&gt;0,'Calculations PJ'!AF233*About!$B$45,0)</f>
        <v>0</v>
      </c>
      <c r="AG233">
        <f>IF('Calculations PJ'!AG233&lt;&gt;0,'Calculations PJ'!AG233*About!$B$45,0)</f>
        <v>0</v>
      </c>
      <c r="AH233">
        <f>IF('Calculations PJ'!AH233&lt;&gt;0,'Calculations PJ'!AH233*About!$B$45,0)</f>
        <v>0</v>
      </c>
      <c r="AI233">
        <f>IF('Calculations PJ'!AI233&lt;&gt;0,'Calculations PJ'!AI233*About!$B$45,0)</f>
        <v>0</v>
      </c>
      <c r="AJ233">
        <f>IF('Calculations PJ'!AJ233&lt;&gt;0,'Calculations PJ'!AJ233*About!$B$45,0)</f>
        <v>0</v>
      </c>
      <c r="AK233">
        <f>IF('Calculations PJ'!AK233&lt;&gt;0,'Calculations PJ'!AK233*About!$B$45,0)</f>
        <v>0</v>
      </c>
      <c r="AL233">
        <f>IF('Calculations PJ'!AL233&lt;&gt;0,'Calculations PJ'!AL233*About!$B$45,0)</f>
        <v>0</v>
      </c>
      <c r="AM233">
        <f>IF('Calculations PJ'!AM233&lt;&gt;0,'Calculations PJ'!AM233*About!$B$45,0)</f>
        <v>0</v>
      </c>
      <c r="AN233">
        <f>IF('Calculations PJ'!AN233&lt;&gt;0,'Calculations PJ'!AN233*About!$B$45,0)</f>
        <v>0</v>
      </c>
      <c r="AO233">
        <f>IF('Calculations PJ'!AO233&lt;&gt;0,'Calculations PJ'!AO233*About!$B$45,0)</f>
        <v>0</v>
      </c>
      <c r="AP233">
        <f>IF('Calculations PJ'!AP233&lt;&gt;0,'Calculations PJ'!AP233*About!$B$45,0)</f>
        <v>0</v>
      </c>
      <c r="AQ233">
        <f>IF('Calculations PJ'!AQ233&lt;&gt;0,'Calculations PJ'!AQ233*About!$B$45,0)</f>
        <v>0</v>
      </c>
      <c r="AR233">
        <f>IF('Calculations PJ'!AR233&lt;&gt;0,'Calculations PJ'!AR233*About!$B$45,0)</f>
        <v>0</v>
      </c>
      <c r="AS233">
        <f>IF('Calculations PJ'!AS233&lt;&gt;0,'Calculations PJ'!AS233*About!$B$45,0)</f>
        <v>0</v>
      </c>
      <c r="AT233">
        <f>IF('Calculations PJ'!AT233&lt;&gt;0,'Calculations PJ'!AT233*About!$B$45,0)</f>
        <v>0</v>
      </c>
      <c r="AU233">
        <f>IF('Calculations PJ'!AU233&lt;&gt;0,'Calculations PJ'!AU233*About!$B$45,0)</f>
        <v>0</v>
      </c>
      <c r="AV233">
        <f>IF('Calculations PJ'!AV233&lt;&gt;0,'Calculations PJ'!AV233*About!$B$45,0)</f>
        <v>0</v>
      </c>
      <c r="AW233">
        <f>IF('Calculations PJ'!AW233&lt;&gt;0,'Calculations PJ'!AW233*About!$B$45,0)</f>
        <v>0</v>
      </c>
      <c r="AX233">
        <f>IF('Calculations PJ'!AX233&lt;&gt;0,'Calculations PJ'!AX233*About!$B$45,0)</f>
        <v>0</v>
      </c>
      <c r="AY233">
        <f>IF('Calculations PJ'!AY233&lt;&gt;0,'Calculations PJ'!AY233*About!$B$45,0)</f>
        <v>0</v>
      </c>
      <c r="AZ233">
        <f>IF('Calculations PJ'!AZ233&lt;&gt;0,'Calculations PJ'!AZ233*About!$B$45,0)</f>
        <v>0</v>
      </c>
      <c r="BA233">
        <f>IF('Calculations PJ'!BA233&lt;&gt;0,'Calculations PJ'!BA233*About!$B$45,0)</f>
        <v>0</v>
      </c>
      <c r="BB233">
        <f>IF('Calculations PJ'!BB233&lt;&gt;0,'Calculations PJ'!BB233*About!$B$45,0)</f>
        <v>0</v>
      </c>
      <c r="BC233">
        <f>IF('Calculations PJ'!BC233&lt;&gt;0,'Calculations PJ'!BC233*About!$B$45,0)</f>
        <v>0</v>
      </c>
      <c r="BD233">
        <f>IF('Calculations PJ'!BD233&lt;&gt;0,'Calculations PJ'!BD233*About!$B$45,0)</f>
        <v>0</v>
      </c>
      <c r="BE233">
        <f>IF('Calculations PJ'!BE233&lt;&gt;0,'Calculations PJ'!BE233*About!$B$45,0)</f>
        <v>0</v>
      </c>
      <c r="BF233">
        <f>IF('Calculations PJ'!BF233&lt;&gt;0,'Calculations PJ'!BF233*About!$B$45,0)</f>
        <v>0</v>
      </c>
      <c r="BG233">
        <f>IF('Calculations PJ'!BG233&lt;&gt;0,'Calculations PJ'!BG233*About!$B$45,0)</f>
        <v>0</v>
      </c>
      <c r="BH233">
        <f>IF('Calculations PJ'!BH233&lt;&gt;0,'Calculations PJ'!BH233*About!$B$45,0)</f>
        <v>0</v>
      </c>
    </row>
    <row r="234" spans="2:60" outlineLevel="2">
      <c r="B234" t="s">
        <v>149</v>
      </c>
      <c r="C234">
        <f>IF('Calculations PJ'!C234&lt;&gt;0,'Calculations PJ'!C234*About!$B$45,0)</f>
        <v>0</v>
      </c>
      <c r="D234">
        <f>IF('Calculations PJ'!D234&lt;&gt;0,'Calculations PJ'!D234*About!$B$45,0)</f>
        <v>0</v>
      </c>
      <c r="E234">
        <f>IF('Calculations PJ'!E234&lt;&gt;0,'Calculations PJ'!E234*About!$B$45,0)</f>
        <v>0</v>
      </c>
      <c r="F234">
        <f>IF('Calculations PJ'!F234&lt;&gt;0,'Calculations PJ'!F234*About!$B$45,0)</f>
        <v>0</v>
      </c>
      <c r="G234">
        <f>IF('Calculations PJ'!G234&lt;&gt;0,'Calculations PJ'!G234*About!$B$45,0)</f>
        <v>0</v>
      </c>
      <c r="H234">
        <f>IF('Calculations PJ'!H234&lt;&gt;0,'Calculations PJ'!H234*About!$B$45,0)</f>
        <v>0</v>
      </c>
      <c r="I234">
        <f>IF('Calculations PJ'!I234&lt;&gt;0,'Calculations PJ'!I234*About!$B$45,0)</f>
        <v>0</v>
      </c>
      <c r="J234">
        <f>IF('Calculations PJ'!J234&lt;&gt;0,'Calculations PJ'!J234*About!$B$45,0)</f>
        <v>0</v>
      </c>
      <c r="K234">
        <f>IF('Calculations PJ'!K234&lt;&gt;0,'Calculations PJ'!K234*About!$B$45,0)</f>
        <v>0</v>
      </c>
      <c r="L234">
        <f>IF('Calculations PJ'!L234&lt;&gt;0,'Calculations PJ'!L234*About!$B$45,0)</f>
        <v>0</v>
      </c>
      <c r="M234">
        <f>IF('Calculations PJ'!M234&lt;&gt;0,'Calculations PJ'!M234*About!$B$45,0)</f>
        <v>0</v>
      </c>
      <c r="N234">
        <f>IF('Calculations PJ'!N234&lt;&gt;0,'Calculations PJ'!N234*About!$B$45,0)</f>
        <v>0</v>
      </c>
      <c r="O234">
        <f>IF('Calculations PJ'!O234&lt;&gt;0,'Calculations PJ'!O234*About!$B$45,0)</f>
        <v>0</v>
      </c>
      <c r="P234">
        <f>IF('Calculations PJ'!P234&lt;&gt;0,'Calculations PJ'!P234*About!$B$45,0)</f>
        <v>0</v>
      </c>
      <c r="Q234">
        <f>IF('Calculations PJ'!Q234&lt;&gt;0,'Calculations PJ'!Q234*About!$B$45,0)</f>
        <v>0</v>
      </c>
      <c r="R234">
        <f>IF('Calculations PJ'!R234&lt;&gt;0,'Calculations PJ'!R234*About!$B$45,0)</f>
        <v>0</v>
      </c>
      <c r="S234">
        <f>IF('Calculations PJ'!S234&lt;&gt;0,'Calculations PJ'!S234*About!$B$45,0)</f>
        <v>0</v>
      </c>
      <c r="T234">
        <f>IF('Calculations PJ'!T234&lt;&gt;0,'Calculations PJ'!T234*About!$B$45,0)</f>
        <v>0</v>
      </c>
      <c r="U234">
        <f>IF('Calculations PJ'!U234&lt;&gt;0,'Calculations PJ'!U234*About!$B$45,0)</f>
        <v>0</v>
      </c>
      <c r="V234">
        <f>IF('Calculations PJ'!V234&lt;&gt;0,'Calculations PJ'!V234*About!$B$45,0)</f>
        <v>0</v>
      </c>
      <c r="W234">
        <f>IF('Calculations PJ'!W234&lt;&gt;0,'Calculations PJ'!W234*About!$B$45,0)</f>
        <v>0</v>
      </c>
      <c r="X234">
        <f>IF('Calculations PJ'!X234&lt;&gt;0,'Calculations PJ'!X234*About!$B$45,0)</f>
        <v>0</v>
      </c>
      <c r="Y234">
        <f>IF('Calculations PJ'!Y234&lt;&gt;0,'Calculations PJ'!Y234*About!$B$45,0)</f>
        <v>0</v>
      </c>
      <c r="Z234">
        <f>IF('Calculations PJ'!Z234&lt;&gt;0,'Calculations PJ'!Z234*About!$B$45,0)</f>
        <v>0</v>
      </c>
      <c r="AA234">
        <f>IF('Calculations PJ'!AA234&lt;&gt;0,'Calculations PJ'!AA234*About!$B$45,0)</f>
        <v>0</v>
      </c>
      <c r="AB234">
        <f>IF('Calculations PJ'!AB234&lt;&gt;0,'Calculations PJ'!AB234*About!$B$45,0)</f>
        <v>0</v>
      </c>
      <c r="AC234">
        <f>IF('Calculations PJ'!AC234&lt;&gt;0,'Calculations PJ'!AC234*About!$B$45,0)</f>
        <v>0</v>
      </c>
      <c r="AD234">
        <f>IF('Calculations PJ'!AD234&lt;&gt;0,'Calculations PJ'!AD234*About!$B$45,0)</f>
        <v>0</v>
      </c>
      <c r="AE234">
        <f>IF('Calculations PJ'!AE234&lt;&gt;0,'Calculations PJ'!AE234*About!$B$45,0)</f>
        <v>0</v>
      </c>
      <c r="AF234">
        <f>IF('Calculations PJ'!AF234&lt;&gt;0,'Calculations PJ'!AF234*About!$B$45,0)</f>
        <v>0</v>
      </c>
      <c r="AG234">
        <f>IF('Calculations PJ'!AG234&lt;&gt;0,'Calculations PJ'!AG234*About!$B$45,0)</f>
        <v>0</v>
      </c>
      <c r="AH234">
        <f>IF('Calculations PJ'!AH234&lt;&gt;0,'Calculations PJ'!AH234*About!$B$45,0)</f>
        <v>0</v>
      </c>
      <c r="AI234">
        <f>IF('Calculations PJ'!AI234&lt;&gt;0,'Calculations PJ'!AI234*About!$B$45,0)</f>
        <v>0</v>
      </c>
      <c r="AJ234">
        <f>IF('Calculations PJ'!AJ234&lt;&gt;0,'Calculations PJ'!AJ234*About!$B$45,0)</f>
        <v>0</v>
      </c>
      <c r="AK234">
        <f>IF('Calculations PJ'!AK234&lt;&gt;0,'Calculations PJ'!AK234*About!$B$45,0)</f>
        <v>0</v>
      </c>
      <c r="AL234">
        <f>IF('Calculations PJ'!AL234&lt;&gt;0,'Calculations PJ'!AL234*About!$B$45,0)</f>
        <v>0</v>
      </c>
      <c r="AM234">
        <f>IF('Calculations PJ'!AM234&lt;&gt;0,'Calculations PJ'!AM234*About!$B$45,0)</f>
        <v>0</v>
      </c>
      <c r="AN234">
        <f>IF('Calculations PJ'!AN234&lt;&gt;0,'Calculations PJ'!AN234*About!$B$45,0)</f>
        <v>0</v>
      </c>
      <c r="AO234">
        <f>IF('Calculations PJ'!AO234&lt;&gt;0,'Calculations PJ'!AO234*About!$B$45,0)</f>
        <v>0</v>
      </c>
      <c r="AP234">
        <f>IF('Calculations PJ'!AP234&lt;&gt;0,'Calculations PJ'!AP234*About!$B$45,0)</f>
        <v>0</v>
      </c>
      <c r="AQ234">
        <f>IF('Calculations PJ'!AQ234&lt;&gt;0,'Calculations PJ'!AQ234*About!$B$45,0)</f>
        <v>0</v>
      </c>
      <c r="AR234">
        <f>IF('Calculations PJ'!AR234&lt;&gt;0,'Calculations PJ'!AR234*About!$B$45,0)</f>
        <v>0</v>
      </c>
      <c r="AS234">
        <f>IF('Calculations PJ'!AS234&lt;&gt;0,'Calculations PJ'!AS234*About!$B$45,0)</f>
        <v>0</v>
      </c>
      <c r="AT234">
        <f>IF('Calculations PJ'!AT234&lt;&gt;0,'Calculations PJ'!AT234*About!$B$45,0)</f>
        <v>0</v>
      </c>
      <c r="AU234">
        <f>IF('Calculations PJ'!AU234&lt;&gt;0,'Calculations PJ'!AU234*About!$B$45,0)</f>
        <v>0</v>
      </c>
      <c r="AV234">
        <f>IF('Calculations PJ'!AV234&lt;&gt;0,'Calculations PJ'!AV234*About!$B$45,0)</f>
        <v>0</v>
      </c>
      <c r="AW234">
        <f>IF('Calculations PJ'!AW234&lt;&gt;0,'Calculations PJ'!AW234*About!$B$45,0)</f>
        <v>0</v>
      </c>
      <c r="AX234">
        <f>IF('Calculations PJ'!AX234&lt;&gt;0,'Calculations PJ'!AX234*About!$B$45,0)</f>
        <v>0</v>
      </c>
      <c r="AY234">
        <f>IF('Calculations PJ'!AY234&lt;&gt;0,'Calculations PJ'!AY234*About!$B$45,0)</f>
        <v>0</v>
      </c>
      <c r="AZ234">
        <f>IF('Calculations PJ'!AZ234&lt;&gt;0,'Calculations PJ'!AZ234*About!$B$45,0)</f>
        <v>0</v>
      </c>
      <c r="BA234">
        <f>IF('Calculations PJ'!BA234&lt;&gt;0,'Calculations PJ'!BA234*About!$B$45,0)</f>
        <v>0</v>
      </c>
      <c r="BB234">
        <f>IF('Calculations PJ'!BB234&lt;&gt;0,'Calculations PJ'!BB234*About!$B$45,0)</f>
        <v>0</v>
      </c>
      <c r="BC234">
        <f>IF('Calculations PJ'!BC234&lt;&gt;0,'Calculations PJ'!BC234*About!$B$45,0)</f>
        <v>0</v>
      </c>
      <c r="BD234">
        <f>IF('Calculations PJ'!BD234&lt;&gt;0,'Calculations PJ'!BD234*About!$B$45,0)</f>
        <v>0</v>
      </c>
      <c r="BE234">
        <f>IF('Calculations PJ'!BE234&lt;&gt;0,'Calculations PJ'!BE234*About!$B$45,0)</f>
        <v>0</v>
      </c>
      <c r="BF234">
        <f>IF('Calculations PJ'!BF234&lt;&gt;0,'Calculations PJ'!BF234*About!$B$45,0)</f>
        <v>0</v>
      </c>
      <c r="BG234">
        <f>IF('Calculations PJ'!BG234&lt;&gt;0,'Calculations PJ'!BG234*About!$B$45,0)</f>
        <v>0</v>
      </c>
      <c r="BH234">
        <f>IF('Calculations PJ'!BH234&lt;&gt;0,'Calculations PJ'!BH234*About!$B$45,0)</f>
        <v>0</v>
      </c>
    </row>
    <row r="235" spans="2:60" outlineLevel="2">
      <c r="B235" t="s">
        <v>150</v>
      </c>
      <c r="C235">
        <f>IF('Calculations PJ'!C235&lt;&gt;0,'Calculations PJ'!C235*About!$B$45,0)</f>
        <v>0</v>
      </c>
      <c r="D235">
        <f>IF('Calculations PJ'!D235&lt;&gt;0,'Calculations PJ'!D235*About!$B$45,0)</f>
        <v>0</v>
      </c>
      <c r="E235">
        <f>IF('Calculations PJ'!E235&lt;&gt;0,'Calculations PJ'!E235*About!$B$45,0)</f>
        <v>0</v>
      </c>
      <c r="F235">
        <f>IF('Calculations PJ'!F235&lt;&gt;0,'Calculations PJ'!F235*About!$B$45,0)</f>
        <v>0</v>
      </c>
      <c r="G235">
        <f>IF('Calculations PJ'!G235&lt;&gt;0,'Calculations PJ'!G235*About!$B$45,0)</f>
        <v>0</v>
      </c>
      <c r="H235">
        <f>IF('Calculations PJ'!H235&lt;&gt;0,'Calculations PJ'!H235*About!$B$45,0)</f>
        <v>0</v>
      </c>
      <c r="I235">
        <f>IF('Calculations PJ'!I235&lt;&gt;0,'Calculations PJ'!I235*About!$B$45,0)</f>
        <v>0</v>
      </c>
      <c r="J235">
        <f>IF('Calculations PJ'!J235&lt;&gt;0,'Calculations PJ'!J235*About!$B$45,0)</f>
        <v>0</v>
      </c>
      <c r="K235">
        <f>IF('Calculations PJ'!K235&lt;&gt;0,'Calculations PJ'!K235*About!$B$45,0)</f>
        <v>0</v>
      </c>
      <c r="L235">
        <f>IF('Calculations PJ'!L235&lt;&gt;0,'Calculations PJ'!L235*About!$B$45,0)</f>
        <v>0</v>
      </c>
      <c r="M235">
        <f>IF('Calculations PJ'!M235&lt;&gt;0,'Calculations PJ'!M235*About!$B$45,0)</f>
        <v>0</v>
      </c>
      <c r="N235">
        <f>IF('Calculations PJ'!N235&lt;&gt;0,'Calculations PJ'!N235*About!$B$45,0)</f>
        <v>0</v>
      </c>
      <c r="O235">
        <f>IF('Calculations PJ'!O235&lt;&gt;0,'Calculations PJ'!O235*About!$B$45,0)</f>
        <v>0</v>
      </c>
      <c r="P235">
        <f>IF('Calculations PJ'!P235&lt;&gt;0,'Calculations PJ'!P235*About!$B$45,0)</f>
        <v>0</v>
      </c>
      <c r="Q235">
        <f>IF('Calculations PJ'!Q235&lt;&gt;0,'Calculations PJ'!Q235*About!$B$45,0)</f>
        <v>0</v>
      </c>
      <c r="R235">
        <f>IF('Calculations PJ'!R235&lt;&gt;0,'Calculations PJ'!R235*About!$B$45,0)</f>
        <v>0</v>
      </c>
      <c r="S235">
        <f>IF('Calculations PJ'!S235&lt;&gt;0,'Calculations PJ'!S235*About!$B$45,0)</f>
        <v>0</v>
      </c>
      <c r="T235">
        <f>IF('Calculations PJ'!T235&lt;&gt;0,'Calculations PJ'!T235*About!$B$45,0)</f>
        <v>0</v>
      </c>
      <c r="U235">
        <f>IF('Calculations PJ'!U235&lt;&gt;0,'Calculations PJ'!U235*About!$B$45,0)</f>
        <v>0</v>
      </c>
      <c r="V235">
        <f>IF('Calculations PJ'!V235&lt;&gt;0,'Calculations PJ'!V235*About!$B$45,0)</f>
        <v>0</v>
      </c>
      <c r="W235">
        <f>IF('Calculations PJ'!W235&lt;&gt;0,'Calculations PJ'!W235*About!$B$45,0)</f>
        <v>0</v>
      </c>
      <c r="X235">
        <f>IF('Calculations PJ'!X235&lt;&gt;0,'Calculations PJ'!X235*About!$B$45,0)</f>
        <v>0</v>
      </c>
      <c r="Y235">
        <f>IF('Calculations PJ'!Y235&lt;&gt;0,'Calculations PJ'!Y235*About!$B$45,0)</f>
        <v>0</v>
      </c>
      <c r="Z235">
        <f>IF('Calculations PJ'!Z235&lt;&gt;0,'Calculations PJ'!Z235*About!$B$45,0)</f>
        <v>0</v>
      </c>
      <c r="AA235">
        <f>IF('Calculations PJ'!AA235&lt;&gt;0,'Calculations PJ'!AA235*About!$B$45,0)</f>
        <v>0</v>
      </c>
      <c r="AB235">
        <f>IF('Calculations PJ'!AB235&lt;&gt;0,'Calculations PJ'!AB235*About!$B$45,0)</f>
        <v>0</v>
      </c>
      <c r="AC235">
        <f>IF('Calculations PJ'!AC235&lt;&gt;0,'Calculations PJ'!AC235*About!$B$45,0)</f>
        <v>0</v>
      </c>
      <c r="AD235">
        <f>IF('Calculations PJ'!AD235&lt;&gt;0,'Calculations PJ'!AD235*About!$B$45,0)</f>
        <v>0</v>
      </c>
      <c r="AE235">
        <f>IF('Calculations PJ'!AE235&lt;&gt;0,'Calculations PJ'!AE235*About!$B$45,0)</f>
        <v>0</v>
      </c>
      <c r="AF235">
        <f>IF('Calculations PJ'!AF235&lt;&gt;0,'Calculations PJ'!AF235*About!$B$45,0)</f>
        <v>0</v>
      </c>
      <c r="AG235">
        <f>IF('Calculations PJ'!AG235&lt;&gt;0,'Calculations PJ'!AG235*About!$B$45,0)</f>
        <v>0</v>
      </c>
      <c r="AH235">
        <f>IF('Calculations PJ'!AH235&lt;&gt;0,'Calculations PJ'!AH235*About!$B$45,0)</f>
        <v>0</v>
      </c>
      <c r="AI235">
        <f>IF('Calculations PJ'!AI235&lt;&gt;0,'Calculations PJ'!AI235*About!$B$45,0)</f>
        <v>0</v>
      </c>
      <c r="AJ235">
        <f>IF('Calculations PJ'!AJ235&lt;&gt;0,'Calculations PJ'!AJ235*About!$B$45,0)</f>
        <v>0</v>
      </c>
      <c r="AK235">
        <f>IF('Calculations PJ'!AK235&lt;&gt;0,'Calculations PJ'!AK235*About!$B$45,0)</f>
        <v>0</v>
      </c>
      <c r="AL235">
        <f>IF('Calculations PJ'!AL235&lt;&gt;0,'Calculations PJ'!AL235*About!$B$45,0)</f>
        <v>0</v>
      </c>
      <c r="AM235">
        <f>IF('Calculations PJ'!AM235&lt;&gt;0,'Calculations PJ'!AM235*About!$B$45,0)</f>
        <v>0</v>
      </c>
      <c r="AN235">
        <f>IF('Calculations PJ'!AN235&lt;&gt;0,'Calculations PJ'!AN235*About!$B$45,0)</f>
        <v>0</v>
      </c>
      <c r="AO235">
        <f>IF('Calculations PJ'!AO235&lt;&gt;0,'Calculations PJ'!AO235*About!$B$45,0)</f>
        <v>0</v>
      </c>
      <c r="AP235">
        <f>IF('Calculations PJ'!AP235&lt;&gt;0,'Calculations PJ'!AP235*About!$B$45,0)</f>
        <v>0</v>
      </c>
      <c r="AQ235">
        <f>IF('Calculations PJ'!AQ235&lt;&gt;0,'Calculations PJ'!AQ235*About!$B$45,0)</f>
        <v>0</v>
      </c>
      <c r="AR235">
        <f>IF('Calculations PJ'!AR235&lt;&gt;0,'Calculations PJ'!AR235*About!$B$45,0)</f>
        <v>0</v>
      </c>
      <c r="AS235">
        <f>IF('Calculations PJ'!AS235&lt;&gt;0,'Calculations PJ'!AS235*About!$B$45,0)</f>
        <v>0</v>
      </c>
      <c r="AT235">
        <f>IF('Calculations PJ'!AT235&lt;&gt;0,'Calculations PJ'!AT235*About!$B$45,0)</f>
        <v>0</v>
      </c>
      <c r="AU235">
        <f>IF('Calculations PJ'!AU235&lt;&gt;0,'Calculations PJ'!AU235*About!$B$45,0)</f>
        <v>0</v>
      </c>
      <c r="AV235">
        <f>IF('Calculations PJ'!AV235&lt;&gt;0,'Calculations PJ'!AV235*About!$B$45,0)</f>
        <v>0</v>
      </c>
      <c r="AW235">
        <f>IF('Calculations PJ'!AW235&lt;&gt;0,'Calculations PJ'!AW235*About!$B$45,0)</f>
        <v>0</v>
      </c>
      <c r="AX235">
        <f>IF('Calculations PJ'!AX235&lt;&gt;0,'Calculations PJ'!AX235*About!$B$45,0)</f>
        <v>0</v>
      </c>
      <c r="AY235">
        <f>IF('Calculations PJ'!AY235&lt;&gt;0,'Calculations PJ'!AY235*About!$B$45,0)</f>
        <v>0</v>
      </c>
      <c r="AZ235">
        <f>IF('Calculations PJ'!AZ235&lt;&gt;0,'Calculations PJ'!AZ235*About!$B$45,0)</f>
        <v>0</v>
      </c>
      <c r="BA235">
        <f>IF('Calculations PJ'!BA235&lt;&gt;0,'Calculations PJ'!BA235*About!$B$45,0)</f>
        <v>0</v>
      </c>
      <c r="BB235">
        <f>IF('Calculations PJ'!BB235&lt;&gt;0,'Calculations PJ'!BB235*About!$B$45,0)</f>
        <v>0</v>
      </c>
      <c r="BC235">
        <f>IF('Calculations PJ'!BC235&lt;&gt;0,'Calculations PJ'!BC235*About!$B$45,0)</f>
        <v>0</v>
      </c>
      <c r="BD235">
        <f>IF('Calculations PJ'!BD235&lt;&gt;0,'Calculations PJ'!BD235*About!$B$45,0)</f>
        <v>0</v>
      </c>
      <c r="BE235">
        <f>IF('Calculations PJ'!BE235&lt;&gt;0,'Calculations PJ'!BE235*About!$B$45,0)</f>
        <v>0</v>
      </c>
      <c r="BF235">
        <f>IF('Calculations PJ'!BF235&lt;&gt;0,'Calculations PJ'!BF235*About!$B$45,0)</f>
        <v>0</v>
      </c>
      <c r="BG235">
        <f>IF('Calculations PJ'!BG235&lt;&gt;0,'Calculations PJ'!BG235*About!$B$45,0)</f>
        <v>0</v>
      </c>
      <c r="BH235">
        <f>IF('Calculations PJ'!BH235&lt;&gt;0,'Calculations PJ'!BH235*About!$B$45,0)</f>
        <v>0</v>
      </c>
    </row>
    <row r="236" spans="2:60" outlineLevel="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D0D3-9D8A-6E46-B948-DF30028C09FE}">
  <sheetPr>
    <tabColor theme="3"/>
  </sheetPr>
  <dimension ref="A1:AZ151"/>
  <sheetViews>
    <sheetView topLeftCell="A11" workbookViewId="0">
      <selection activeCell="B5" sqref="B5"/>
    </sheetView>
  </sheetViews>
  <sheetFormatPr defaultColWidth="8.85546875" defaultRowHeight="15"/>
  <cols>
    <col min="1" max="1" width="39.85546875" customWidth="1"/>
    <col min="2" max="2" width="12" style="3" bestFit="1" customWidth="1"/>
    <col min="3" max="32" width="8.28515625" bestFit="1" customWidth="1"/>
    <col min="33" max="35" width="9.42578125" bestFit="1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BTU'!J3</f>
        <v>48568712155353.68</v>
      </c>
      <c r="C2">
        <f>'Calculations BTU'!K3</f>
        <v>46824636621281.656</v>
      </c>
      <c r="D2">
        <f>'Calculations BTU'!L3</f>
        <v>47602835541647.492</v>
      </c>
      <c r="E2">
        <f>'Calculations BTU'!M3</f>
        <v>48878190775937.664</v>
      </c>
      <c r="F2">
        <f>'Calculations BTU'!N3</f>
        <v>50153546010227.828</v>
      </c>
      <c r="G2">
        <f>'Calculations BTU'!O3</f>
        <v>51428901244518</v>
      </c>
      <c r="H2">
        <f>'Calculations BTU'!P3</f>
        <v>52704256478808.172</v>
      </c>
      <c r="I2">
        <f>'Calculations BTU'!Q3</f>
        <v>53979611713098.336</v>
      </c>
      <c r="J2">
        <f>'Calculations BTU'!R3</f>
        <v>55254966947388.516</v>
      </c>
      <c r="K2">
        <f>'Calculations BTU'!S3</f>
        <v>56530322181678.688</v>
      </c>
      <c r="L2">
        <f>'Calculations BTU'!T3</f>
        <v>57805677415968.852</v>
      </c>
      <c r="M2">
        <f>'Calculations BTU'!U3</f>
        <v>59109468664401.508</v>
      </c>
      <c r="N2">
        <f>'Calculations BTU'!V3</f>
        <v>60413259912834.156</v>
      </c>
      <c r="O2">
        <f>'Calculations BTU'!W3</f>
        <v>61717051161266.813</v>
      </c>
      <c r="P2">
        <f>'Calculations BTU'!X3</f>
        <v>63020842409699.453</v>
      </c>
      <c r="Q2">
        <f>'Calculations BTU'!Y3</f>
        <v>64324633658132.102</v>
      </c>
      <c r="R2">
        <f>'Calculations BTU'!Z3</f>
        <v>65628424906564.758</v>
      </c>
      <c r="S2">
        <f>'Calculations BTU'!AA3</f>
        <v>66932216154997.406</v>
      </c>
      <c r="T2">
        <f>'Calculations BTU'!AB3</f>
        <v>68236007403430.063</v>
      </c>
      <c r="U2">
        <f>'Calculations BTU'!AC3</f>
        <v>69539798651862.711</v>
      </c>
      <c r="V2">
        <f>'Calculations BTU'!AD3</f>
        <v>70843589900295.344</v>
      </c>
      <c r="W2">
        <f>'Calculations BTU'!AE3</f>
        <v>72147381148728</v>
      </c>
      <c r="X2">
        <f>'Calculations BTU'!AF3</f>
        <v>73451172397160.656</v>
      </c>
      <c r="Y2">
        <f>'Calculations BTU'!AG3</f>
        <v>74754963645593.313</v>
      </c>
      <c r="Z2">
        <f>'Calculations BTU'!AH3</f>
        <v>76058754894025.953</v>
      </c>
      <c r="AA2">
        <f>'Calculations BTU'!AI3</f>
        <v>77362546142458.609</v>
      </c>
      <c r="AB2">
        <f>'Calculations BTU'!AJ3</f>
        <v>78666337390891.25</v>
      </c>
      <c r="AC2">
        <f>'Calculations BTU'!AK3</f>
        <v>79970128639323.906</v>
      </c>
      <c r="AD2">
        <f>'Calculations BTU'!AL3</f>
        <v>81273919887756.563</v>
      </c>
      <c r="AE2">
        <f>'Calculations BTU'!AM3</f>
        <v>82577711136189.203</v>
      </c>
      <c r="AF2">
        <f>'Calculations BTU'!AN3</f>
        <v>83881502384621.859</v>
      </c>
      <c r="AG2">
        <f>'Calculations BTU'!AO3</f>
        <v>83881502384621.859</v>
      </c>
      <c r="AH2">
        <f>'Calculations BTU'!AP3</f>
        <v>83881502384621.859</v>
      </c>
      <c r="AI2">
        <f>'Calculations BTU'!AQ3</f>
        <v>83881502384621.859</v>
      </c>
      <c r="AJ2">
        <f>'Calculations BTU'!AR3</f>
        <v>83881502384621.859</v>
      </c>
      <c r="AK2">
        <f>'Calculations BTU'!AS3</f>
        <v>83881502384621.859</v>
      </c>
      <c r="AL2">
        <f>'Calculations BTU'!AT3</f>
        <v>83881502384621.859</v>
      </c>
      <c r="AM2">
        <f>'Calculations BTU'!AU3</f>
        <v>83881502384621.859</v>
      </c>
      <c r="AN2">
        <f>'Calculations BTU'!AV3</f>
        <v>83881502384621.859</v>
      </c>
      <c r="AO2">
        <f>'Calculations BTU'!AW3</f>
        <v>83881502384621.859</v>
      </c>
      <c r="AP2">
        <f>'Calculations BTU'!AX3</f>
        <v>83881502384621.859</v>
      </c>
      <c r="AQ2">
        <f>'Calculations BTU'!AY3</f>
        <v>83881502384621.859</v>
      </c>
      <c r="AR2">
        <f>'Calculations BTU'!AZ3</f>
        <v>83881502384621.859</v>
      </c>
      <c r="AS2">
        <f>'Calculations BTU'!BA3</f>
        <v>83881502384621.859</v>
      </c>
      <c r="AT2">
        <f>'Calculations BTU'!BB3</f>
        <v>83881502384621.859</v>
      </c>
      <c r="AU2">
        <f>'Calculations BTU'!BC3</f>
        <v>83881502384621.859</v>
      </c>
      <c r="AV2">
        <f>'Calculations BTU'!BD3</f>
        <v>83881502384621.859</v>
      </c>
      <c r="AW2">
        <f>'Calculations BTU'!BE3</f>
        <v>83881502384621.859</v>
      </c>
      <c r="AX2">
        <f>'Calculations BTU'!BF3</f>
        <v>83881502384621.859</v>
      </c>
      <c r="AY2">
        <f>'Calculations BTU'!BG3</f>
        <v>83881502384621.859</v>
      </c>
      <c r="AZ2">
        <f>'Calculations BTU'!BH3</f>
        <v>83881502384621.859</v>
      </c>
    </row>
    <row r="3" spans="1:52">
      <c r="A3" t="s">
        <v>127</v>
      </c>
      <c r="B3">
        <f>'Calculations BTU'!J4</f>
        <v>6723695543989.0967</v>
      </c>
      <c r="C3">
        <f>'Calculations BTU'!K4</f>
        <v>6553079459134.2246</v>
      </c>
      <c r="D3">
        <f>'Calculations BTU'!L4</f>
        <v>7035069898849.2383</v>
      </c>
      <c r="E3">
        <f>'Calculations BTU'!M4</f>
        <v>7352131456537.877</v>
      </c>
      <c r="F3">
        <f>'Calculations BTU'!N4</f>
        <v>7669193014226.5146</v>
      </c>
      <c r="G3">
        <f>'Calculations BTU'!O4</f>
        <v>7984832771208.0283</v>
      </c>
      <c r="H3">
        <f>'Calculations BTU'!P4</f>
        <v>8301894328896.667</v>
      </c>
      <c r="I3">
        <f>'Calculations BTU'!Q4</f>
        <v>8618955886585.3047</v>
      </c>
      <c r="J3">
        <f>'Calculations BTU'!R4</f>
        <v>8936017444273.9434</v>
      </c>
      <c r="K3">
        <f>'Calculations BTU'!S4</f>
        <v>9253079001962.5801</v>
      </c>
      <c r="L3">
        <f>'Calculations BTU'!T4</f>
        <v>9570140559651.2188</v>
      </c>
      <c r="M3">
        <f>'Calculations BTU'!U4</f>
        <v>9887202117339.8574</v>
      </c>
      <c r="N3">
        <f>'Calculations BTU'!V4</f>
        <v>10202841874321.371</v>
      </c>
      <c r="O3">
        <f>'Calculations BTU'!W4</f>
        <v>10519903432010.008</v>
      </c>
      <c r="P3">
        <f>'Calculations BTU'!X4</f>
        <v>10848339395355.637</v>
      </c>
      <c r="Q3">
        <f>'Calculations BTU'!Y4</f>
        <v>11192415166479.631</v>
      </c>
      <c r="R3">
        <f>'Calculations BTU'!Z4</f>
        <v>11536490937603.623</v>
      </c>
      <c r="S3">
        <f>'Calculations BTU'!AA4</f>
        <v>11880566708727.617</v>
      </c>
      <c r="T3">
        <f>'Calculations BTU'!AB4</f>
        <v>12224642479851.609</v>
      </c>
      <c r="U3">
        <f>'Calculations BTU'!AC4</f>
        <v>12568718250975.602</v>
      </c>
      <c r="V3">
        <f>'Calculations BTU'!AD4</f>
        <v>12912794022099.594</v>
      </c>
      <c r="W3">
        <f>'Calculations BTU'!AE4</f>
        <v>13255447992516.463</v>
      </c>
      <c r="X3">
        <f>'Calculations BTU'!AF4</f>
        <v>13599523763640.455</v>
      </c>
      <c r="Y3">
        <f>'Calculations BTU'!AG4</f>
        <v>13943599534764.445</v>
      </c>
      <c r="Z3">
        <f>'Calculations BTU'!AH4</f>
        <v>14287675305888.439</v>
      </c>
      <c r="AA3">
        <f>'Calculations BTU'!AI4</f>
        <v>14631751077012.432</v>
      </c>
      <c r="AB3">
        <f>'Calculations BTU'!AJ4</f>
        <v>14975826848136.424</v>
      </c>
      <c r="AC3">
        <f>'Calculations BTU'!AK4</f>
        <v>15319902619260.416</v>
      </c>
      <c r="AD3">
        <f>'Calculations BTU'!AL4</f>
        <v>15663978390384.412</v>
      </c>
      <c r="AE3">
        <f>'Calculations BTU'!AM4</f>
        <v>16008054161508.404</v>
      </c>
      <c r="AF3">
        <f>'Calculations BTU'!AN4</f>
        <v>16352129932632.396</v>
      </c>
      <c r="AG3">
        <f>'Calculations BTU'!AO4</f>
        <v>16352129932632.396</v>
      </c>
      <c r="AH3">
        <f>'Calculations BTU'!AP4</f>
        <v>16352129932632.396</v>
      </c>
      <c r="AI3">
        <f>'Calculations BTU'!AQ4</f>
        <v>16352129932632.396</v>
      </c>
      <c r="AJ3">
        <f>'Calculations BTU'!AR4</f>
        <v>16352129932632.396</v>
      </c>
      <c r="AK3">
        <f>'Calculations BTU'!AS4</f>
        <v>16352129932632.396</v>
      </c>
      <c r="AL3">
        <f>'Calculations BTU'!AT4</f>
        <v>16352129932632.396</v>
      </c>
      <c r="AM3">
        <f>'Calculations BTU'!AU4</f>
        <v>16352129932632.396</v>
      </c>
      <c r="AN3">
        <f>'Calculations BTU'!AV4</f>
        <v>16352129932632.396</v>
      </c>
      <c r="AO3">
        <f>'Calculations BTU'!AW4</f>
        <v>16352129932632.396</v>
      </c>
      <c r="AP3">
        <f>'Calculations BTU'!AX4</f>
        <v>16352129932632.396</v>
      </c>
      <c r="AQ3">
        <f>'Calculations BTU'!AY4</f>
        <v>16352129932632.396</v>
      </c>
      <c r="AR3">
        <f>'Calculations BTU'!AZ4</f>
        <v>16352129932632.396</v>
      </c>
      <c r="AS3">
        <f>'Calculations BTU'!BA4</f>
        <v>16352129932632.396</v>
      </c>
      <c r="AT3">
        <f>'Calculations BTU'!BB4</f>
        <v>16352129932632.396</v>
      </c>
      <c r="AU3">
        <f>'Calculations BTU'!BC4</f>
        <v>16352129932632.396</v>
      </c>
      <c r="AV3">
        <f>'Calculations BTU'!BD4</f>
        <v>16352129932632.396</v>
      </c>
      <c r="AW3">
        <f>'Calculations BTU'!BE4</f>
        <v>16352129932632.396</v>
      </c>
      <c r="AX3">
        <f>'Calculations BTU'!BF4</f>
        <v>16352129932632.396</v>
      </c>
      <c r="AY3">
        <f>'Calculations BTU'!BG4</f>
        <v>16352129932632.396</v>
      </c>
      <c r="AZ3">
        <f>'Calculations BTU'!BH4</f>
        <v>16352129932632.396</v>
      </c>
    </row>
    <row r="4" spans="1:52">
      <c r="A4" t="s">
        <v>128</v>
      </c>
      <c r="B4">
        <f>'Calculations BTU'!J5</f>
        <v>0</v>
      </c>
      <c r="C4">
        <f>'Calculations BTU'!K5</f>
        <v>0</v>
      </c>
      <c r="D4">
        <f>'Calculations BTU'!L5</f>
        <v>0</v>
      </c>
      <c r="E4">
        <f>'Calculations BTU'!M5</f>
        <v>0</v>
      </c>
      <c r="F4">
        <f>'Calculations BTU'!N5</f>
        <v>0</v>
      </c>
      <c r="G4">
        <f>'Calculations BTU'!O5</f>
        <v>0</v>
      </c>
      <c r="H4">
        <f>'Calculations BTU'!P5</f>
        <v>0</v>
      </c>
      <c r="I4">
        <f>'Calculations BTU'!Q5</f>
        <v>0</v>
      </c>
      <c r="J4">
        <f>'Calculations BTU'!R5</f>
        <v>0</v>
      </c>
      <c r="K4">
        <f>'Calculations BTU'!S5</f>
        <v>0</v>
      </c>
      <c r="L4">
        <f>'Calculations BTU'!T5</f>
        <v>0</v>
      </c>
      <c r="M4">
        <f>'Calculations BTU'!U5</f>
        <v>0</v>
      </c>
      <c r="N4">
        <f>'Calculations BTU'!V5</f>
        <v>0</v>
      </c>
      <c r="O4">
        <f>'Calculations BTU'!W5</f>
        <v>0</v>
      </c>
      <c r="P4">
        <f>'Calculations BTU'!X5</f>
        <v>0</v>
      </c>
      <c r="Q4">
        <f>'Calculations BTU'!Y5</f>
        <v>0</v>
      </c>
      <c r="R4">
        <f>'Calculations BTU'!Z5</f>
        <v>0</v>
      </c>
      <c r="S4">
        <f>'Calculations BTU'!AA5</f>
        <v>0</v>
      </c>
      <c r="T4">
        <f>'Calculations BTU'!AB5</f>
        <v>0</v>
      </c>
      <c r="U4">
        <f>'Calculations BTU'!AC5</f>
        <v>0</v>
      </c>
      <c r="V4">
        <f>'Calculations BTU'!AD5</f>
        <v>0</v>
      </c>
      <c r="W4">
        <f>'Calculations BTU'!AE5</f>
        <v>0</v>
      </c>
      <c r="X4">
        <f>'Calculations BTU'!AF5</f>
        <v>0</v>
      </c>
      <c r="Y4">
        <f>'Calculations BTU'!AG5</f>
        <v>0</v>
      </c>
      <c r="Z4">
        <f>'Calculations BTU'!AH5</f>
        <v>0</v>
      </c>
      <c r="AA4">
        <f>'Calculations BTU'!AI5</f>
        <v>0</v>
      </c>
      <c r="AB4">
        <f>'Calculations BTU'!AJ5</f>
        <v>0</v>
      </c>
      <c r="AC4">
        <f>'Calculations BTU'!AK5</f>
        <v>0</v>
      </c>
      <c r="AD4">
        <f>'Calculations BTU'!AL5</f>
        <v>0</v>
      </c>
      <c r="AE4">
        <f>'Calculations BTU'!AM5</f>
        <v>0</v>
      </c>
      <c r="AF4">
        <f>'Calculations BTU'!AN5</f>
        <v>0</v>
      </c>
      <c r="AG4">
        <f>'Calculations BTU'!AO5</f>
        <v>0</v>
      </c>
      <c r="AH4">
        <f>'Calculations BTU'!AP5</f>
        <v>0</v>
      </c>
      <c r="AI4">
        <f>'Calculations BTU'!AQ5</f>
        <v>0</v>
      </c>
      <c r="AJ4">
        <f>'Calculations BTU'!AR5</f>
        <v>0</v>
      </c>
      <c r="AK4">
        <f>'Calculations BTU'!AS5</f>
        <v>0</v>
      </c>
      <c r="AL4">
        <f>'Calculations BTU'!AT5</f>
        <v>0</v>
      </c>
      <c r="AM4">
        <f>'Calculations BTU'!AU5</f>
        <v>0</v>
      </c>
      <c r="AN4">
        <f>'Calculations BTU'!AV5</f>
        <v>0</v>
      </c>
      <c r="AO4">
        <f>'Calculations BTU'!AW5</f>
        <v>0</v>
      </c>
      <c r="AP4">
        <f>'Calculations BTU'!AX5</f>
        <v>0</v>
      </c>
      <c r="AQ4">
        <f>'Calculations BTU'!AY5</f>
        <v>0</v>
      </c>
      <c r="AR4">
        <f>'Calculations BTU'!AZ5</f>
        <v>0</v>
      </c>
      <c r="AS4">
        <f>'Calculations BTU'!BA5</f>
        <v>0</v>
      </c>
      <c r="AT4">
        <f>'Calculations BTU'!BB5</f>
        <v>0</v>
      </c>
      <c r="AU4">
        <f>'Calculations BTU'!BC5</f>
        <v>0</v>
      </c>
      <c r="AV4">
        <f>'Calculations BTU'!BD5</f>
        <v>0</v>
      </c>
      <c r="AW4">
        <f>'Calculations BTU'!BE5</f>
        <v>0</v>
      </c>
      <c r="AX4">
        <f>'Calculations BTU'!BF5</f>
        <v>0</v>
      </c>
      <c r="AY4">
        <f>'Calculations BTU'!BG5</f>
        <v>0</v>
      </c>
      <c r="AZ4">
        <f>'Calculations BTU'!BH5</f>
        <v>0</v>
      </c>
    </row>
    <row r="5" spans="1:52">
      <c r="A5" t="s">
        <v>129</v>
      </c>
      <c r="B5">
        <f>'Calculations BTU'!J6</f>
        <v>38100941415938.219</v>
      </c>
      <c r="C5">
        <f>'Calculations BTU'!K6</f>
        <v>37134116935093.945</v>
      </c>
      <c r="D5">
        <f>'Calculations BTU'!L6</f>
        <v>39865396093479.016</v>
      </c>
      <c r="E5">
        <f>'Calculations BTU'!M6</f>
        <v>41662078253714.633</v>
      </c>
      <c r="F5">
        <f>'Calculations BTU'!N6</f>
        <v>43458760413950.25</v>
      </c>
      <c r="G5">
        <f>'Calculations BTU'!O6</f>
        <v>45247385703512.164</v>
      </c>
      <c r="H5">
        <f>'Calculations BTU'!P6</f>
        <v>47044067863747.781</v>
      </c>
      <c r="I5">
        <f>'Calculations BTU'!Q6</f>
        <v>48840750023983.391</v>
      </c>
      <c r="J5">
        <f>'Calculations BTU'!R6</f>
        <v>50637432184219.008</v>
      </c>
      <c r="K5">
        <f>'Calculations BTU'!S6</f>
        <v>52434114344454.617</v>
      </c>
      <c r="L5">
        <f>'Calculations BTU'!T6</f>
        <v>54230796504690.242</v>
      </c>
      <c r="M5">
        <f>'Calculations BTU'!U6</f>
        <v>56027478664925.852</v>
      </c>
      <c r="N5">
        <f>'Calculations BTU'!V6</f>
        <v>57816103954487.766</v>
      </c>
      <c r="O5">
        <f>'Calculations BTU'!W6</f>
        <v>59612786114723.375</v>
      </c>
      <c r="P5">
        <f>'Calculations BTU'!X6</f>
        <v>61473923240348.602</v>
      </c>
      <c r="Q5">
        <f>'Calculations BTU'!Y6</f>
        <v>63423685943384.563</v>
      </c>
      <c r="R5">
        <f>'Calculations BTU'!Z6</f>
        <v>65373448646420.523</v>
      </c>
      <c r="S5">
        <f>'Calculations BTU'!AA6</f>
        <v>67323211349456.484</v>
      </c>
      <c r="T5">
        <f>'Calculations BTU'!AB6</f>
        <v>69272974052492.445</v>
      </c>
      <c r="U5">
        <f>'Calculations BTU'!AC6</f>
        <v>71222736755528.406</v>
      </c>
      <c r="V5">
        <f>'Calculations BTU'!AD6</f>
        <v>73172499458564.359</v>
      </c>
      <c r="W5">
        <f>'Calculations BTU'!AE6</f>
        <v>75114205290926.625</v>
      </c>
      <c r="X5">
        <f>'Calculations BTU'!AF6</f>
        <v>77063967993962.594</v>
      </c>
      <c r="Y5">
        <f>'Calculations BTU'!AG6</f>
        <v>79013730696998.531</v>
      </c>
      <c r="Z5">
        <f>'Calculations BTU'!AH6</f>
        <v>80963493400034.5</v>
      </c>
      <c r="AA5">
        <f>'Calculations BTU'!AI6</f>
        <v>82913256103070.453</v>
      </c>
      <c r="AB5">
        <f>'Calculations BTU'!AJ6</f>
        <v>84863018806106.406</v>
      </c>
      <c r="AC5">
        <f>'Calculations BTU'!AK6</f>
        <v>86812781509142.359</v>
      </c>
      <c r="AD5">
        <f>'Calculations BTU'!AL6</f>
        <v>88762544212178.328</v>
      </c>
      <c r="AE5">
        <f>'Calculations BTU'!AM6</f>
        <v>90712306915214.281</v>
      </c>
      <c r="AF5">
        <f>'Calculations BTU'!AN6</f>
        <v>92662069618250.25</v>
      </c>
      <c r="AG5">
        <f>'Calculations BTU'!AO6</f>
        <v>92662069618250.25</v>
      </c>
      <c r="AH5">
        <f>'Calculations BTU'!AP6</f>
        <v>92662069618250.25</v>
      </c>
      <c r="AI5">
        <f>'Calculations BTU'!AQ6</f>
        <v>92662069618250.25</v>
      </c>
      <c r="AJ5">
        <f>'Calculations BTU'!AR6</f>
        <v>92662069618250.25</v>
      </c>
      <c r="AK5">
        <f>'Calculations BTU'!AS6</f>
        <v>92662069618250.25</v>
      </c>
      <c r="AL5">
        <f>'Calculations BTU'!AT6</f>
        <v>92662069618250.25</v>
      </c>
      <c r="AM5">
        <f>'Calculations BTU'!AU6</f>
        <v>92662069618250.25</v>
      </c>
      <c r="AN5">
        <f>'Calculations BTU'!AV6</f>
        <v>92662069618250.25</v>
      </c>
      <c r="AO5">
        <f>'Calculations BTU'!AW6</f>
        <v>92662069618250.25</v>
      </c>
      <c r="AP5">
        <f>'Calculations BTU'!AX6</f>
        <v>92662069618250.25</v>
      </c>
      <c r="AQ5">
        <f>'Calculations BTU'!AY6</f>
        <v>92662069618250.25</v>
      </c>
      <c r="AR5">
        <f>'Calculations BTU'!AZ6</f>
        <v>92662069618250.25</v>
      </c>
      <c r="AS5">
        <f>'Calculations BTU'!BA6</f>
        <v>92662069618250.25</v>
      </c>
      <c r="AT5">
        <f>'Calculations BTU'!BB6</f>
        <v>92662069618250.25</v>
      </c>
      <c r="AU5">
        <f>'Calculations BTU'!BC6</f>
        <v>92662069618250.25</v>
      </c>
      <c r="AV5">
        <f>'Calculations BTU'!BD6</f>
        <v>92662069618250.25</v>
      </c>
      <c r="AW5">
        <f>'Calculations BTU'!BE6</f>
        <v>92662069618250.25</v>
      </c>
      <c r="AX5">
        <f>'Calculations BTU'!BF6</f>
        <v>92662069618250.25</v>
      </c>
      <c r="AY5">
        <f>'Calculations BTU'!BG6</f>
        <v>92662069618250.25</v>
      </c>
      <c r="AZ5">
        <f>'Calculations BTU'!BH6</f>
        <v>92662069618250.25</v>
      </c>
    </row>
    <row r="6" spans="1:52">
      <c r="A6" t="s">
        <v>130</v>
      </c>
      <c r="B6">
        <f>'Calculations BTU'!J7</f>
        <v>11725116498082.066</v>
      </c>
      <c r="C6">
        <f>'Calculations BTU'!K7</f>
        <v>12151656710219.246</v>
      </c>
      <c r="D6">
        <f>'Calculations BTU'!L7</f>
        <v>12663504964783.863</v>
      </c>
      <c r="E6">
        <f>'Calculations BTU'!M7</f>
        <v>12947865106208.65</v>
      </c>
      <c r="F6">
        <f>'Calculations BTU'!N7</f>
        <v>13251182590395.09</v>
      </c>
      <c r="G6">
        <f>'Calculations BTU'!O7</f>
        <v>13535542731819.877</v>
      </c>
      <c r="H6">
        <f>'Calculations BTU'!P7</f>
        <v>13819902873244.666</v>
      </c>
      <c r="I6">
        <f>'Calculations BTU'!Q7</f>
        <v>14123220357431.104</v>
      </c>
      <c r="J6">
        <f>'Calculations BTU'!R7</f>
        <v>14407580498855.893</v>
      </c>
      <c r="K6">
        <f>'Calculations BTU'!S7</f>
        <v>14701419311661.504</v>
      </c>
      <c r="L6">
        <f>'Calculations BTU'!T7</f>
        <v>14995258124467.119</v>
      </c>
      <c r="M6">
        <f>'Calculations BTU'!U7</f>
        <v>15279618265891.908</v>
      </c>
      <c r="N6">
        <f>'Calculations BTU'!V7</f>
        <v>15573457078697.52</v>
      </c>
      <c r="O6">
        <f>'Calculations BTU'!W7</f>
        <v>15857817220122.313</v>
      </c>
      <c r="P6">
        <f>'Calculations BTU'!X7</f>
        <v>16161134704308.746</v>
      </c>
      <c r="Q6">
        <f>'Calculations BTU'!Y7</f>
        <v>16454973517114.361</v>
      </c>
      <c r="R6">
        <f>'Calculations BTU'!Z7</f>
        <v>16729854987158.32</v>
      </c>
      <c r="S6">
        <f>'Calculations BTU'!AA7</f>
        <v>17023693799963.938</v>
      </c>
      <c r="T6">
        <f>'Calculations BTU'!AB7</f>
        <v>17317532612769.549</v>
      </c>
      <c r="U6">
        <f>'Calculations BTU'!AC7</f>
        <v>17601892754194.34</v>
      </c>
      <c r="V6">
        <f>'Calculations BTU'!AD7</f>
        <v>17905210238380.773</v>
      </c>
      <c r="W6">
        <f>'Calculations BTU'!AE7</f>
        <v>18199049051186.391</v>
      </c>
      <c r="X6">
        <f>'Calculations BTU'!AF7</f>
        <v>18483409192611.176</v>
      </c>
      <c r="Y6">
        <f>'Calculations BTU'!AG7</f>
        <v>18767769334035.965</v>
      </c>
      <c r="Z6">
        <f>'Calculations BTU'!AH7</f>
        <v>19061608146841.578</v>
      </c>
      <c r="AA6">
        <f>'Calculations BTU'!AI7</f>
        <v>19345968288266.367</v>
      </c>
      <c r="AB6">
        <f>'Calculations BTU'!AJ7</f>
        <v>19639807101071.98</v>
      </c>
      <c r="AC6">
        <f>'Calculations BTU'!AK7</f>
        <v>19943124585258.418</v>
      </c>
      <c r="AD6">
        <f>'Calculations BTU'!AL7</f>
        <v>20227484726683.207</v>
      </c>
      <c r="AE6">
        <f>'Calculations BTU'!AM7</f>
        <v>20511844868107.992</v>
      </c>
      <c r="AF6">
        <f>'Calculations BTU'!AN7</f>
        <v>20815162352294.434</v>
      </c>
      <c r="AG6">
        <f>'Calculations BTU'!AO7</f>
        <v>20815162352294.434</v>
      </c>
      <c r="AH6">
        <f>'Calculations BTU'!AP7</f>
        <v>20815162352294.434</v>
      </c>
      <c r="AI6">
        <f>'Calculations BTU'!AQ7</f>
        <v>20815162352294.434</v>
      </c>
      <c r="AJ6">
        <f>'Calculations BTU'!AR7</f>
        <v>20815162352294.434</v>
      </c>
      <c r="AK6">
        <f>'Calculations BTU'!AS7</f>
        <v>20815162352294.434</v>
      </c>
      <c r="AL6">
        <f>'Calculations BTU'!AT7</f>
        <v>20815162352294.434</v>
      </c>
      <c r="AM6">
        <f>'Calculations BTU'!AU7</f>
        <v>20815162352294.434</v>
      </c>
      <c r="AN6">
        <f>'Calculations BTU'!AV7</f>
        <v>20815162352294.434</v>
      </c>
      <c r="AO6">
        <f>'Calculations BTU'!AW7</f>
        <v>20815162352294.434</v>
      </c>
      <c r="AP6">
        <f>'Calculations BTU'!AX7</f>
        <v>20815162352294.434</v>
      </c>
      <c r="AQ6">
        <f>'Calculations BTU'!AY7</f>
        <v>20815162352294.434</v>
      </c>
      <c r="AR6">
        <f>'Calculations BTU'!AZ7</f>
        <v>20815162352294.434</v>
      </c>
      <c r="AS6">
        <f>'Calculations BTU'!BA7</f>
        <v>20815162352294.434</v>
      </c>
      <c r="AT6">
        <f>'Calculations BTU'!BB7</f>
        <v>20815162352294.434</v>
      </c>
      <c r="AU6">
        <f>'Calculations BTU'!BC7</f>
        <v>20815162352294.434</v>
      </c>
      <c r="AV6">
        <f>'Calculations BTU'!BD7</f>
        <v>20815162352294.434</v>
      </c>
      <c r="AW6">
        <f>'Calculations BTU'!BE7</f>
        <v>20815162352294.434</v>
      </c>
      <c r="AX6">
        <f>'Calculations BTU'!BF7</f>
        <v>20815162352294.434</v>
      </c>
      <c r="AY6">
        <f>'Calculations BTU'!BG7</f>
        <v>20815162352294.434</v>
      </c>
      <c r="AZ6">
        <f>'Calculations BTU'!BH7</f>
        <v>20815162352294.434</v>
      </c>
    </row>
    <row r="7" spans="1:52">
      <c r="A7" t="s">
        <v>131</v>
      </c>
      <c r="B7">
        <f>'Calculations BTU'!J8</f>
        <v>2549762601442.2598</v>
      </c>
      <c r="C7">
        <f>'Calculations BTU'!K8</f>
        <v>3393364354335.7959</v>
      </c>
      <c r="D7">
        <f>'Calculations BTU'!L8</f>
        <v>426540212137.18103</v>
      </c>
      <c r="E7">
        <f>'Calculations BTU'!M8</f>
        <v>3270141626385.0547</v>
      </c>
      <c r="F7">
        <f>'Calculations BTU'!N8</f>
        <v>3273596267435.0146</v>
      </c>
      <c r="G7">
        <f>'Calculations BTU'!O8</f>
        <v>3276996929718.5684</v>
      </c>
      <c r="H7">
        <f>'Calculations BTU'!P8</f>
        <v>3280505549534.9331</v>
      </c>
      <c r="I7">
        <f>'Calculations BTU'!Q8</f>
        <v>3283960190584.8931</v>
      </c>
      <c r="J7">
        <f>'Calculations BTU'!R8</f>
        <v>3287360852868.4473</v>
      </c>
      <c r="K7">
        <f>'Calculations BTU'!S8</f>
        <v>3290869472684.813</v>
      </c>
      <c r="L7">
        <f>'Calculations BTU'!T8</f>
        <v>3294270134968.3662</v>
      </c>
      <c r="M7">
        <f>'Calculations BTU'!U8</f>
        <v>3297670797251.9199</v>
      </c>
      <c r="N7">
        <f>'Calculations BTU'!V8</f>
        <v>3301233395834.6909</v>
      </c>
      <c r="O7">
        <f>'Calculations BTU'!W8</f>
        <v>3304634058118.2451</v>
      </c>
      <c r="P7">
        <f>'Calculations BTU'!X8</f>
        <v>3295295731530.0732</v>
      </c>
      <c r="Q7">
        <f>'Calculations BTU'!Y8</f>
        <v>3268684199692.1045</v>
      </c>
      <c r="R7">
        <f>'Calculations BTU'!Z8</f>
        <v>3242018689087.7305</v>
      </c>
      <c r="S7">
        <f>'Calculations BTU'!AA8</f>
        <v>3215461136016.167</v>
      </c>
      <c r="T7">
        <f>'Calculations BTU'!AB8</f>
        <v>3188849604178.1978</v>
      </c>
      <c r="U7">
        <f>'Calculations BTU'!AC8</f>
        <v>3162130114807.418</v>
      </c>
      <c r="V7">
        <f>'Calculations BTU'!AD8</f>
        <v>3135626540502.2598</v>
      </c>
      <c r="W7">
        <f>'Calculations BTU'!AE8</f>
        <v>3109015008664.291</v>
      </c>
      <c r="X7">
        <f>'Calculations BTU'!AF8</f>
        <v>3082349498059.9165</v>
      </c>
      <c r="Y7">
        <f>'Calculations BTU'!AG8</f>
        <v>3055737966221.9478</v>
      </c>
      <c r="Z7">
        <f>'Calculations BTU'!AH8</f>
        <v>3029180413150.3838</v>
      </c>
      <c r="AA7">
        <f>'Calculations BTU'!AI8</f>
        <v>3002514902546.0093</v>
      </c>
      <c r="AB7">
        <f>'Calculations BTU'!AJ8</f>
        <v>2975903370708.04</v>
      </c>
      <c r="AC7">
        <f>'Calculations BTU'!AK8</f>
        <v>2949291838870.0718</v>
      </c>
      <c r="AD7">
        <f>'Calculations BTU'!AL8</f>
        <v>2922734285798.5083</v>
      </c>
      <c r="AE7">
        <f>'Calculations BTU'!AM8</f>
        <v>2895798881362.106</v>
      </c>
      <c r="AF7">
        <f>'Calculations BTU'!AN8</f>
        <v>2868917455692.1094</v>
      </c>
      <c r="AG7">
        <f>'Calculations BTU'!AO8</f>
        <v>2868917455692.1094</v>
      </c>
      <c r="AH7">
        <f>'Calculations BTU'!AP8</f>
        <v>2868917455692.1094</v>
      </c>
      <c r="AI7">
        <f>'Calculations BTU'!AQ8</f>
        <v>2868917455692.1094</v>
      </c>
      <c r="AJ7">
        <f>'Calculations BTU'!AR8</f>
        <v>2868917455692.1094</v>
      </c>
      <c r="AK7">
        <f>'Calculations BTU'!AS8</f>
        <v>2868917455692.1094</v>
      </c>
      <c r="AL7">
        <f>'Calculations BTU'!AT8</f>
        <v>2868917455692.1094</v>
      </c>
      <c r="AM7">
        <f>'Calculations BTU'!AU8</f>
        <v>2868917455692.1094</v>
      </c>
      <c r="AN7">
        <f>'Calculations BTU'!AV8</f>
        <v>2868917455692.1094</v>
      </c>
      <c r="AO7">
        <f>'Calculations BTU'!AW8</f>
        <v>2868917455692.1094</v>
      </c>
      <c r="AP7">
        <f>'Calculations BTU'!AX8</f>
        <v>2868917455692.1094</v>
      </c>
      <c r="AQ7">
        <f>'Calculations BTU'!AY8</f>
        <v>2868917455692.1094</v>
      </c>
      <c r="AR7">
        <f>'Calculations BTU'!AZ8</f>
        <v>2868917455692.1094</v>
      </c>
      <c r="AS7">
        <f>'Calculations BTU'!BA8</f>
        <v>2868917455692.1094</v>
      </c>
      <c r="AT7">
        <f>'Calculations BTU'!BB8</f>
        <v>2868917455692.1094</v>
      </c>
      <c r="AU7">
        <f>'Calculations BTU'!BC8</f>
        <v>2868917455692.1094</v>
      </c>
      <c r="AV7">
        <f>'Calculations BTU'!BD8</f>
        <v>2868917455692.1094</v>
      </c>
      <c r="AW7">
        <f>'Calculations BTU'!BE8</f>
        <v>2868917455692.1094</v>
      </c>
      <c r="AX7">
        <f>'Calculations BTU'!BF8</f>
        <v>2868917455692.1094</v>
      </c>
      <c r="AY7">
        <f>'Calculations BTU'!BG8</f>
        <v>2868917455692.1094</v>
      </c>
      <c r="AZ7">
        <f>'Calculations BTU'!BH8</f>
        <v>2868917455692.1094</v>
      </c>
    </row>
    <row r="8" spans="1:52">
      <c r="A8" t="s">
        <v>132</v>
      </c>
      <c r="B8">
        <f>'Calculations BTU'!J9</f>
        <v>0</v>
      </c>
      <c r="C8">
        <f>'Calculations BTU'!K9</f>
        <v>0</v>
      </c>
      <c r="D8">
        <f>'Calculations BTU'!L9</f>
        <v>0</v>
      </c>
      <c r="E8">
        <f>'Calculations BTU'!M9</f>
        <v>0</v>
      </c>
      <c r="F8">
        <f>'Calculations BTU'!N9</f>
        <v>0</v>
      </c>
      <c r="G8">
        <f>'Calculations BTU'!O9</f>
        <v>0</v>
      </c>
      <c r="H8">
        <f>'Calculations BTU'!P9</f>
        <v>0</v>
      </c>
      <c r="I8">
        <f>'Calculations BTU'!Q9</f>
        <v>0</v>
      </c>
      <c r="J8">
        <f>'Calculations BTU'!R9</f>
        <v>0</v>
      </c>
      <c r="K8">
        <f>'Calculations BTU'!S9</f>
        <v>0</v>
      </c>
      <c r="L8">
        <f>'Calculations BTU'!T9</f>
        <v>0</v>
      </c>
      <c r="M8">
        <f>'Calculations BTU'!U9</f>
        <v>0</v>
      </c>
      <c r="N8">
        <f>'Calculations BTU'!V9</f>
        <v>0</v>
      </c>
      <c r="O8">
        <f>'Calculations BTU'!W9</f>
        <v>0</v>
      </c>
      <c r="P8">
        <f>'Calculations BTU'!X9</f>
        <v>0</v>
      </c>
      <c r="Q8">
        <f>'Calculations BTU'!Y9</f>
        <v>0</v>
      </c>
      <c r="R8">
        <f>'Calculations BTU'!Z9</f>
        <v>0</v>
      </c>
      <c r="S8">
        <f>'Calculations BTU'!AA9</f>
        <v>0</v>
      </c>
      <c r="T8">
        <f>'Calculations BTU'!AB9</f>
        <v>0</v>
      </c>
      <c r="U8">
        <f>'Calculations BTU'!AC9</f>
        <v>0</v>
      </c>
      <c r="V8">
        <f>'Calculations BTU'!AD9</f>
        <v>0</v>
      </c>
      <c r="W8">
        <f>'Calculations BTU'!AE9</f>
        <v>0</v>
      </c>
      <c r="X8">
        <f>'Calculations BTU'!AF9</f>
        <v>0</v>
      </c>
      <c r="Y8">
        <f>'Calculations BTU'!AG9</f>
        <v>0</v>
      </c>
      <c r="Z8">
        <f>'Calculations BTU'!AH9</f>
        <v>0</v>
      </c>
      <c r="AA8">
        <f>'Calculations BTU'!AI9</f>
        <v>0</v>
      </c>
      <c r="AB8">
        <f>'Calculations BTU'!AJ9</f>
        <v>0</v>
      </c>
      <c r="AC8">
        <f>'Calculations BTU'!AK9</f>
        <v>0</v>
      </c>
      <c r="AD8">
        <f>'Calculations BTU'!AL9</f>
        <v>0</v>
      </c>
      <c r="AE8">
        <f>'Calculations BTU'!AM9</f>
        <v>0</v>
      </c>
      <c r="AF8">
        <f>'Calculations BTU'!AN9</f>
        <v>0</v>
      </c>
      <c r="AG8">
        <f>'Calculations BTU'!AO9</f>
        <v>0</v>
      </c>
      <c r="AH8">
        <f>'Calculations BTU'!AP9</f>
        <v>0</v>
      </c>
      <c r="AI8">
        <f>'Calculations BTU'!AQ9</f>
        <v>0</v>
      </c>
      <c r="AJ8">
        <f>'Calculations BTU'!AR9</f>
        <v>0</v>
      </c>
      <c r="AK8">
        <f>'Calculations BTU'!AS9</f>
        <v>0</v>
      </c>
      <c r="AL8">
        <f>'Calculations BTU'!AT9</f>
        <v>0</v>
      </c>
      <c r="AM8">
        <f>'Calculations BTU'!AU9</f>
        <v>0</v>
      </c>
      <c r="AN8">
        <f>'Calculations BTU'!AV9</f>
        <v>0</v>
      </c>
      <c r="AO8">
        <f>'Calculations BTU'!AW9</f>
        <v>0</v>
      </c>
      <c r="AP8">
        <f>'Calculations BTU'!AX9</f>
        <v>0</v>
      </c>
      <c r="AQ8">
        <f>'Calculations BTU'!AY9</f>
        <v>0</v>
      </c>
      <c r="AR8">
        <f>'Calculations BTU'!AZ9</f>
        <v>0</v>
      </c>
      <c r="AS8">
        <f>'Calculations BTU'!BA9</f>
        <v>0</v>
      </c>
      <c r="AT8">
        <f>'Calculations BTU'!BB9</f>
        <v>0</v>
      </c>
      <c r="AU8">
        <f>'Calculations BTU'!BC9</f>
        <v>0</v>
      </c>
      <c r="AV8">
        <f>'Calculations BTU'!BD9</f>
        <v>0</v>
      </c>
      <c r="AW8">
        <f>'Calculations BTU'!BE9</f>
        <v>0</v>
      </c>
      <c r="AX8">
        <f>'Calculations BTU'!BF9</f>
        <v>0</v>
      </c>
      <c r="AY8">
        <f>'Calculations BTU'!BG9</f>
        <v>0</v>
      </c>
      <c r="AZ8">
        <f>'Calculations BTU'!BH9</f>
        <v>0</v>
      </c>
    </row>
    <row r="9" spans="1:52">
      <c r="A9" t="s">
        <v>133</v>
      </c>
      <c r="B9">
        <f>'Calculations BTU'!J10</f>
        <v>10995258801758.443</v>
      </c>
      <c r="C9">
        <f>'Calculations BTU'!K10</f>
        <v>11611372441512.15</v>
      </c>
      <c r="D9">
        <f>'Calculations BTU'!L10</f>
        <v>15962082605311.396</v>
      </c>
      <c r="E9">
        <f>'Calculations BTU'!M10</f>
        <v>16890992400632.369</v>
      </c>
      <c r="F9">
        <f>'Calculations BTU'!N10</f>
        <v>17810423524572.516</v>
      </c>
      <c r="G9">
        <f>'Calculations BTU'!O10</f>
        <v>18739333319893.484</v>
      </c>
      <c r="H9">
        <f>'Calculations BTU'!P10</f>
        <v>19658764443833.633</v>
      </c>
      <c r="I9">
        <f>'Calculations BTU'!Q10</f>
        <v>20587674239154.602</v>
      </c>
      <c r="J9">
        <f>'Calculations BTU'!R10</f>
        <v>21507105363094.75</v>
      </c>
      <c r="K9">
        <f>'Calculations BTU'!S10</f>
        <v>22436015158415.723</v>
      </c>
      <c r="L9">
        <f>'Calculations BTU'!T10</f>
        <v>23364924953736.691</v>
      </c>
      <c r="M9">
        <f>'Calculations BTU'!U10</f>
        <v>24284356077676.84</v>
      </c>
      <c r="N9">
        <f>'Calculations BTU'!V10</f>
        <v>25213265872997.813</v>
      </c>
      <c r="O9">
        <f>'Calculations BTU'!W10</f>
        <v>26132696996937.957</v>
      </c>
      <c r="P9">
        <f>'Calculations BTU'!X10</f>
        <v>27260658891256.281</v>
      </c>
      <c r="Q9">
        <f>'Calculations BTU'!Y10</f>
        <v>28635066241476.086</v>
      </c>
      <c r="R9">
        <f>'Calculations BTU'!Z10</f>
        <v>30018952263076.719</v>
      </c>
      <c r="S9">
        <f>'Calculations BTU'!AA10</f>
        <v>31402838284677.352</v>
      </c>
      <c r="T9">
        <f>'Calculations BTU'!AB10</f>
        <v>32777245634897.152</v>
      </c>
      <c r="U9">
        <f>'Calculations BTU'!AC10</f>
        <v>34161131656497.785</v>
      </c>
      <c r="V9">
        <f>'Calculations BTU'!AD10</f>
        <v>35545017678098.422</v>
      </c>
      <c r="W9">
        <f>'Calculations BTU'!AE10</f>
        <v>36928903699699.055</v>
      </c>
      <c r="X9">
        <f>'Calculations BTU'!AF10</f>
        <v>38303311049918.852</v>
      </c>
      <c r="Y9">
        <f>'Calculations BTU'!AG10</f>
        <v>39687197071519.484</v>
      </c>
      <c r="Z9">
        <f>'Calculations BTU'!AH10</f>
        <v>41071083093120.117</v>
      </c>
      <c r="AA9">
        <f>'Calculations BTU'!AI10</f>
        <v>42454969114720.75</v>
      </c>
      <c r="AB9">
        <f>'Calculations BTU'!AJ10</f>
        <v>43829376464940.563</v>
      </c>
      <c r="AC9">
        <f>'Calculations BTU'!AK10</f>
        <v>45213262486541.195</v>
      </c>
      <c r="AD9">
        <f>'Calculations BTU'!AL10</f>
        <v>46597148508141.82</v>
      </c>
      <c r="AE9">
        <f>'Calculations BTU'!AM10</f>
        <v>47981034529742.453</v>
      </c>
      <c r="AF9">
        <f>'Calculations BTU'!AN10</f>
        <v>49355441879962.258</v>
      </c>
      <c r="AG9">
        <f>'Calculations BTU'!AO10</f>
        <v>49355441879962.258</v>
      </c>
      <c r="AH9">
        <f>'Calculations BTU'!AP10</f>
        <v>49355441879962.258</v>
      </c>
      <c r="AI9">
        <f>'Calculations BTU'!AQ10</f>
        <v>49355441879962.258</v>
      </c>
      <c r="AJ9">
        <f>'Calculations BTU'!AR10</f>
        <v>49355441879962.258</v>
      </c>
      <c r="AK9">
        <f>'Calculations BTU'!AS10</f>
        <v>49355441879962.258</v>
      </c>
      <c r="AL9">
        <f>'Calculations BTU'!AT10</f>
        <v>49355441879962.258</v>
      </c>
      <c r="AM9">
        <f>'Calculations BTU'!AU10</f>
        <v>49355441879962.258</v>
      </c>
      <c r="AN9">
        <f>'Calculations BTU'!AV10</f>
        <v>49355441879962.258</v>
      </c>
      <c r="AO9">
        <f>'Calculations BTU'!AW10</f>
        <v>49355441879962.258</v>
      </c>
      <c r="AP9">
        <f>'Calculations BTU'!AX10</f>
        <v>49355441879962.258</v>
      </c>
      <c r="AQ9">
        <f>'Calculations BTU'!AY10</f>
        <v>49355441879962.258</v>
      </c>
      <c r="AR9">
        <f>'Calculations BTU'!AZ10</f>
        <v>49355441879962.258</v>
      </c>
      <c r="AS9">
        <f>'Calculations BTU'!BA10</f>
        <v>49355441879962.258</v>
      </c>
      <c r="AT9">
        <f>'Calculations BTU'!BB10</f>
        <v>49355441879962.258</v>
      </c>
      <c r="AU9">
        <f>'Calculations BTU'!BC10</f>
        <v>49355441879962.258</v>
      </c>
      <c r="AV9">
        <f>'Calculations BTU'!BD10</f>
        <v>49355441879962.258</v>
      </c>
      <c r="AW9">
        <f>'Calculations BTU'!BE10</f>
        <v>49355441879962.258</v>
      </c>
      <c r="AX9">
        <f>'Calculations BTU'!BF10</f>
        <v>49355441879962.258</v>
      </c>
      <c r="AY9">
        <f>'Calculations BTU'!BG10</f>
        <v>49355441879962.258</v>
      </c>
      <c r="AZ9">
        <f>'Calculations BTU'!BH10</f>
        <v>49355441879962.258</v>
      </c>
    </row>
    <row r="10" spans="1:52">
      <c r="A10" t="s">
        <v>134</v>
      </c>
      <c r="B10">
        <f>'Calculations BTU'!J11</f>
        <v>0</v>
      </c>
      <c r="C10">
        <f>'Calculations BTU'!K11</f>
        <v>0</v>
      </c>
      <c r="D10">
        <f>'Calculations BTU'!L11</f>
        <v>0</v>
      </c>
      <c r="E10">
        <f>'Calculations BTU'!M11</f>
        <v>0</v>
      </c>
      <c r="F10">
        <f>'Calculations BTU'!N11</f>
        <v>0</v>
      </c>
      <c r="G10">
        <f>'Calculations BTU'!O11</f>
        <v>0</v>
      </c>
      <c r="H10">
        <f>'Calculations BTU'!P11</f>
        <v>0</v>
      </c>
      <c r="I10">
        <f>'Calculations BTU'!Q11</f>
        <v>0</v>
      </c>
      <c r="J10">
        <f>'Calculations BTU'!R11</f>
        <v>0</v>
      </c>
      <c r="K10">
        <f>'Calculations BTU'!S11</f>
        <v>0</v>
      </c>
      <c r="L10">
        <f>'Calculations BTU'!T11</f>
        <v>0</v>
      </c>
      <c r="M10">
        <f>'Calculations BTU'!U11</f>
        <v>0</v>
      </c>
      <c r="N10">
        <f>'Calculations BTU'!V11</f>
        <v>0</v>
      </c>
      <c r="O10">
        <f>'Calculations BTU'!W11</f>
        <v>0</v>
      </c>
      <c r="P10">
        <f>'Calculations BTU'!X11</f>
        <v>0</v>
      </c>
      <c r="Q10">
        <f>'Calculations BTU'!Y11</f>
        <v>0</v>
      </c>
      <c r="R10">
        <f>'Calculations BTU'!Z11</f>
        <v>0</v>
      </c>
      <c r="S10">
        <f>'Calculations BTU'!AA11</f>
        <v>0</v>
      </c>
      <c r="T10">
        <f>'Calculations BTU'!AB11</f>
        <v>0</v>
      </c>
      <c r="U10">
        <f>'Calculations BTU'!AC11</f>
        <v>0</v>
      </c>
      <c r="V10">
        <f>'Calculations BTU'!AD11</f>
        <v>0</v>
      </c>
      <c r="W10">
        <f>'Calculations BTU'!AE11</f>
        <v>0</v>
      </c>
      <c r="X10">
        <f>'Calculations BTU'!AF11</f>
        <v>0</v>
      </c>
      <c r="Y10">
        <f>'Calculations BTU'!AG11</f>
        <v>0</v>
      </c>
      <c r="Z10">
        <f>'Calculations BTU'!AH11</f>
        <v>0</v>
      </c>
      <c r="AA10">
        <f>'Calculations BTU'!AI11</f>
        <v>0</v>
      </c>
      <c r="AB10">
        <f>'Calculations BTU'!AJ11</f>
        <v>0</v>
      </c>
      <c r="AC10">
        <f>'Calculations BTU'!AK11</f>
        <v>0</v>
      </c>
      <c r="AD10">
        <f>'Calculations BTU'!AL11</f>
        <v>0</v>
      </c>
      <c r="AE10">
        <f>'Calculations BTU'!AM11</f>
        <v>0</v>
      </c>
      <c r="AF10">
        <f>'Calculations BTU'!AN11</f>
        <v>0</v>
      </c>
      <c r="AG10">
        <f>'Calculations BTU'!AO11</f>
        <v>0</v>
      </c>
      <c r="AH10">
        <f>'Calculations BTU'!AP11</f>
        <v>0</v>
      </c>
      <c r="AI10">
        <f>'Calculations BTU'!AQ11</f>
        <v>0</v>
      </c>
      <c r="AJ10">
        <f>'Calculations BTU'!AR11</f>
        <v>0</v>
      </c>
      <c r="AK10">
        <f>'Calculations BTU'!AS11</f>
        <v>0</v>
      </c>
      <c r="AL10">
        <f>'Calculations BTU'!AT11</f>
        <v>0</v>
      </c>
      <c r="AM10">
        <f>'Calculations BTU'!AU11</f>
        <v>0</v>
      </c>
      <c r="AN10">
        <f>'Calculations BTU'!AV11</f>
        <v>0</v>
      </c>
      <c r="AO10">
        <f>'Calculations BTU'!AW11</f>
        <v>0</v>
      </c>
      <c r="AP10">
        <f>'Calculations BTU'!AX11</f>
        <v>0</v>
      </c>
      <c r="AQ10">
        <f>'Calculations BTU'!AY11</f>
        <v>0</v>
      </c>
      <c r="AR10">
        <f>'Calculations BTU'!AZ11</f>
        <v>0</v>
      </c>
      <c r="AS10">
        <f>'Calculations BTU'!BA11</f>
        <v>0</v>
      </c>
      <c r="AT10">
        <f>'Calculations BTU'!BB11</f>
        <v>0</v>
      </c>
      <c r="AU10">
        <f>'Calculations BTU'!BC11</f>
        <v>0</v>
      </c>
      <c r="AV10">
        <f>'Calculations BTU'!BD11</f>
        <v>0</v>
      </c>
      <c r="AW10">
        <f>'Calculations BTU'!BE11</f>
        <v>0</v>
      </c>
      <c r="AX10">
        <f>'Calculations BTU'!BF11</f>
        <v>0</v>
      </c>
      <c r="AY10">
        <f>'Calculations BTU'!BG11</f>
        <v>0</v>
      </c>
      <c r="AZ10">
        <f>'Calculations BTU'!BH11</f>
        <v>0</v>
      </c>
    </row>
    <row r="11" spans="1:52">
      <c r="A11" t="s">
        <v>135</v>
      </c>
      <c r="B11">
        <f>'Calculations BTU'!J12</f>
        <v>13222746576252.611</v>
      </c>
      <c r="C11">
        <f>'Calculations BTU'!K12</f>
        <v>13981040286718.711</v>
      </c>
      <c r="D11">
        <f>'Calculations BTU'!L12</f>
        <v>10511846561336.307</v>
      </c>
      <c r="E11">
        <f>'Calculations BTU'!M12</f>
        <v>12255922095408.334</v>
      </c>
      <c r="F11">
        <f>'Calculations BTU'!N12</f>
        <v>14009476300861.189</v>
      </c>
      <c r="G11">
        <f>'Calculations BTU'!O12</f>
        <v>15763030506314.045</v>
      </c>
      <c r="H11">
        <f>'Calculations BTU'!P12</f>
        <v>17507106040386.074</v>
      </c>
      <c r="I11">
        <f>'Calculations BTU'!Q12</f>
        <v>19260660245838.93</v>
      </c>
      <c r="J11">
        <f>'Calculations BTU'!R12</f>
        <v>21004735779910.961</v>
      </c>
      <c r="K11">
        <f>'Calculations BTU'!S12</f>
        <v>22758289985363.816</v>
      </c>
      <c r="L11">
        <f>'Calculations BTU'!T12</f>
        <v>24502365519435.844</v>
      </c>
      <c r="M11">
        <f>'Calculations BTU'!U12</f>
        <v>26255919724888.699</v>
      </c>
      <c r="N11">
        <f>'Calculations BTU'!V12</f>
        <v>28009473930341.555</v>
      </c>
      <c r="O11">
        <f>'Calculations BTU'!W12</f>
        <v>29753549464413.582</v>
      </c>
      <c r="P11">
        <f>'Calculations BTU'!X12</f>
        <v>32018951924431.059</v>
      </c>
      <c r="Q11">
        <f>'Calculations BTU'!Y12</f>
        <v>34957340052487.195</v>
      </c>
      <c r="R11">
        <f>'Calculations BTU'!Z12</f>
        <v>37905206851924.156</v>
      </c>
      <c r="S11">
        <f>'Calculations BTU'!AA12</f>
        <v>40843594979980.297</v>
      </c>
      <c r="T11">
        <f>'Calculations BTU'!AB12</f>
        <v>43791461779417.258</v>
      </c>
      <c r="U11">
        <f>'Calculations BTU'!AC12</f>
        <v>46739328578854.219</v>
      </c>
      <c r="V11">
        <f>'Calculations BTU'!AD12</f>
        <v>49677716706910.344</v>
      </c>
      <c r="W11">
        <f>'Calculations BTU'!AE12</f>
        <v>52625583506347.313</v>
      </c>
      <c r="X11">
        <f>'Calculations BTU'!AF12</f>
        <v>55563971634403.445</v>
      </c>
      <c r="Y11">
        <f>'Calculations BTU'!AG12</f>
        <v>58511838433840.406</v>
      </c>
      <c r="Z11">
        <f>'Calculations BTU'!AH12</f>
        <v>61450226561896.547</v>
      </c>
      <c r="AA11">
        <f>'Calculations BTU'!AI12</f>
        <v>64398093361333.508</v>
      </c>
      <c r="AB11">
        <f>'Calculations BTU'!AJ12</f>
        <v>67345960160770.469</v>
      </c>
      <c r="AC11">
        <f>'Calculations BTU'!AK12</f>
        <v>70284348288826.609</v>
      </c>
      <c r="AD11">
        <f>'Calculations BTU'!AL12</f>
        <v>73232215088263.578</v>
      </c>
      <c r="AE11">
        <f>'Calculations BTU'!AM12</f>
        <v>76180081887700.531</v>
      </c>
      <c r="AF11">
        <f>'Calculations BTU'!AN12</f>
        <v>79127948687137.5</v>
      </c>
      <c r="AG11">
        <f>'Calculations BTU'!AO12</f>
        <v>79127948687137.5</v>
      </c>
      <c r="AH11">
        <f>'Calculations BTU'!AP12</f>
        <v>79127948687137.5</v>
      </c>
      <c r="AI11">
        <f>'Calculations BTU'!AQ12</f>
        <v>79127948687137.5</v>
      </c>
      <c r="AJ11">
        <f>'Calculations BTU'!AR12</f>
        <v>79127948687137.5</v>
      </c>
      <c r="AK11">
        <f>'Calculations BTU'!AS12</f>
        <v>79127948687137.5</v>
      </c>
      <c r="AL11">
        <f>'Calculations BTU'!AT12</f>
        <v>79127948687137.5</v>
      </c>
      <c r="AM11">
        <f>'Calculations BTU'!AU12</f>
        <v>79127948687137.5</v>
      </c>
      <c r="AN11">
        <f>'Calculations BTU'!AV12</f>
        <v>79127948687137.5</v>
      </c>
      <c r="AO11">
        <f>'Calculations BTU'!AW12</f>
        <v>79127948687137.5</v>
      </c>
      <c r="AP11">
        <f>'Calculations BTU'!AX12</f>
        <v>79127948687137.5</v>
      </c>
      <c r="AQ11">
        <f>'Calculations BTU'!AY12</f>
        <v>79127948687137.5</v>
      </c>
      <c r="AR11">
        <f>'Calculations BTU'!AZ12</f>
        <v>79127948687137.5</v>
      </c>
      <c r="AS11">
        <f>'Calculations BTU'!BA12</f>
        <v>79127948687137.5</v>
      </c>
      <c r="AT11">
        <f>'Calculations BTU'!BB12</f>
        <v>79127948687137.5</v>
      </c>
      <c r="AU11">
        <f>'Calculations BTU'!BC12</f>
        <v>79127948687137.5</v>
      </c>
      <c r="AV11">
        <f>'Calculations BTU'!BD12</f>
        <v>79127948687137.5</v>
      </c>
      <c r="AW11">
        <f>'Calculations BTU'!BE12</f>
        <v>79127948687137.5</v>
      </c>
      <c r="AX11">
        <f>'Calculations BTU'!BF12</f>
        <v>79127948687137.5</v>
      </c>
      <c r="AY11">
        <f>'Calculations BTU'!BG12</f>
        <v>79127948687137.5</v>
      </c>
      <c r="AZ11">
        <f>'Calculations BTU'!BH12</f>
        <v>79127948687137.5</v>
      </c>
    </row>
    <row r="12" spans="1:52">
      <c r="A12" t="s">
        <v>136</v>
      </c>
      <c r="B12">
        <f>'Calculations BTU'!J13</f>
        <v>1639810148882.9404</v>
      </c>
      <c r="C12">
        <f>'Calculations BTU'!K13</f>
        <v>1563980777836.3303</v>
      </c>
      <c r="D12">
        <f>'Calculations BTU'!L13</f>
        <v>1582938120597.9829</v>
      </c>
      <c r="E12">
        <f>'Calculations BTU'!M13</f>
        <v>1611374134740.4617</v>
      </c>
      <c r="F12">
        <f>'Calculations BTU'!N13</f>
        <v>1639810148882.9404</v>
      </c>
      <c r="G12">
        <f>'Calculations BTU'!O13</f>
        <v>1668246163025.4192</v>
      </c>
      <c r="H12">
        <f>'Calculations BTU'!P13</f>
        <v>1696682177167.8979</v>
      </c>
      <c r="I12">
        <f>'Calculations BTU'!Q13</f>
        <v>1725118191310.3767</v>
      </c>
      <c r="J12">
        <f>'Calculations BTU'!R13</f>
        <v>1753554205452.8555</v>
      </c>
      <c r="K12">
        <f>'Calculations BTU'!S13</f>
        <v>1781990219595.334</v>
      </c>
      <c r="L12">
        <f>'Calculations BTU'!T13</f>
        <v>1810426233737.8127</v>
      </c>
      <c r="M12">
        <f>'Calculations BTU'!U13</f>
        <v>1838862247880.2915</v>
      </c>
      <c r="N12">
        <f>'Calculations BTU'!V13</f>
        <v>1867298262022.7703</v>
      </c>
      <c r="O12">
        <f>'Calculations BTU'!W13</f>
        <v>1895734276165.249</v>
      </c>
      <c r="P12">
        <f>'Calculations BTU'!X13</f>
        <v>1924170290307.7275</v>
      </c>
      <c r="Q12">
        <f>'Calculations BTU'!Y13</f>
        <v>1952606304450.2065</v>
      </c>
      <c r="R12">
        <f>'Calculations BTU'!Z13</f>
        <v>1981042318592.6851</v>
      </c>
      <c r="S12">
        <f>'Calculations BTU'!AA13</f>
        <v>2009478332735.1641</v>
      </c>
      <c r="T12">
        <f>'Calculations BTU'!AB13</f>
        <v>2037914346877.6426</v>
      </c>
      <c r="U12">
        <f>'Calculations BTU'!AC13</f>
        <v>2066350361020.1216</v>
      </c>
      <c r="V12">
        <f>'Calculations BTU'!AD13</f>
        <v>2094786375162.6001</v>
      </c>
      <c r="W12">
        <f>'Calculations BTU'!AE13</f>
        <v>2123222389305.0791</v>
      </c>
      <c r="X12">
        <f>'Calculations BTU'!AF13</f>
        <v>2151658403447.5576</v>
      </c>
      <c r="Y12">
        <f>'Calculations BTU'!AG13</f>
        <v>2180094417590.0361</v>
      </c>
      <c r="Z12">
        <f>'Calculations BTU'!AH13</f>
        <v>2208530431732.5151</v>
      </c>
      <c r="AA12">
        <f>'Calculations BTU'!AI13</f>
        <v>2236966445874.9937</v>
      </c>
      <c r="AB12">
        <f>'Calculations BTU'!AJ13</f>
        <v>2265402460017.4727</v>
      </c>
      <c r="AC12">
        <f>'Calculations BTU'!AK13</f>
        <v>2293838474159.9512</v>
      </c>
      <c r="AD12">
        <f>'Calculations BTU'!AL13</f>
        <v>2322274488302.4302</v>
      </c>
      <c r="AE12">
        <f>'Calculations BTU'!AM13</f>
        <v>2350710502444.9087</v>
      </c>
      <c r="AF12">
        <f>'Calculations BTU'!AN13</f>
        <v>2379146516587.3872</v>
      </c>
      <c r="AG12">
        <f>'Calculations BTU'!AO13</f>
        <v>2379146516587.3872</v>
      </c>
      <c r="AH12">
        <f>'Calculations BTU'!AP13</f>
        <v>2379146516587.3872</v>
      </c>
      <c r="AI12">
        <f>'Calculations BTU'!AQ13</f>
        <v>2379146516587.3872</v>
      </c>
      <c r="AJ12">
        <f>'Calculations BTU'!AR13</f>
        <v>2379146516587.3872</v>
      </c>
      <c r="AK12">
        <f>'Calculations BTU'!AS13</f>
        <v>2379146516587.3872</v>
      </c>
      <c r="AL12">
        <f>'Calculations BTU'!AT13</f>
        <v>2379146516587.3872</v>
      </c>
      <c r="AM12">
        <f>'Calculations BTU'!AU13</f>
        <v>2379146516587.3872</v>
      </c>
      <c r="AN12">
        <f>'Calculations BTU'!AV13</f>
        <v>2379146516587.3872</v>
      </c>
      <c r="AO12">
        <f>'Calculations BTU'!AW13</f>
        <v>2379146516587.3872</v>
      </c>
      <c r="AP12">
        <f>'Calculations BTU'!AX13</f>
        <v>2379146516587.3872</v>
      </c>
      <c r="AQ12">
        <f>'Calculations BTU'!AY13</f>
        <v>2379146516587.3872</v>
      </c>
      <c r="AR12">
        <f>'Calculations BTU'!AZ13</f>
        <v>2379146516587.3872</v>
      </c>
      <c r="AS12">
        <f>'Calculations BTU'!BA13</f>
        <v>2379146516587.3872</v>
      </c>
      <c r="AT12">
        <f>'Calculations BTU'!BB13</f>
        <v>2379146516587.3872</v>
      </c>
      <c r="AU12">
        <f>'Calculations BTU'!BC13</f>
        <v>2379146516587.3872</v>
      </c>
      <c r="AV12">
        <f>'Calculations BTU'!BD13</f>
        <v>2379146516587.3872</v>
      </c>
      <c r="AW12">
        <f>'Calculations BTU'!BE13</f>
        <v>2379146516587.3872</v>
      </c>
      <c r="AX12">
        <f>'Calculations BTU'!BF13</f>
        <v>2379146516587.3872</v>
      </c>
      <c r="AY12">
        <f>'Calculations BTU'!BG13</f>
        <v>2379146516587.3872</v>
      </c>
      <c r="AZ12">
        <f>'Calculations BTU'!BH13</f>
        <v>2379146516587.3872</v>
      </c>
    </row>
    <row r="13" spans="1:52">
      <c r="A13" t="s">
        <v>137</v>
      </c>
      <c r="B13">
        <f>'Calculations BTU'!J14</f>
        <v>4056871350993.6333</v>
      </c>
      <c r="C13">
        <f>'Calculations BTU'!K14</f>
        <v>4322274149656.7676</v>
      </c>
      <c r="D13">
        <f>'Calculations BTU'!L14</f>
        <v>4322274149656.7676</v>
      </c>
      <c r="E13">
        <f>'Calculations BTU'!M14</f>
        <v>4293838135514.2891</v>
      </c>
      <c r="F13">
        <f>'Calculations BTU'!N14</f>
        <v>4274880792752.6362</v>
      </c>
      <c r="G13">
        <f>'Calculations BTU'!O14</f>
        <v>4255923449990.9844</v>
      </c>
      <c r="H13">
        <f>'Calculations BTU'!P14</f>
        <v>4236966107229.3315</v>
      </c>
      <c r="I13">
        <f>'Calculations BTU'!Q14</f>
        <v>4218008764467.6792</v>
      </c>
      <c r="J13">
        <f>'Calculations BTU'!R14</f>
        <v>4189572750325.2002</v>
      </c>
      <c r="K13">
        <f>'Calculations BTU'!S14</f>
        <v>4170615407563.5483</v>
      </c>
      <c r="L13">
        <f>'Calculations BTU'!T14</f>
        <v>4151658064801.895</v>
      </c>
      <c r="M13">
        <f>'Calculations BTU'!U14</f>
        <v>4132700722040.2432</v>
      </c>
      <c r="N13">
        <f>'Calculations BTU'!V14</f>
        <v>4113743379278.5903</v>
      </c>
      <c r="O13">
        <f>'Calculations BTU'!W14</f>
        <v>4094786036516.938</v>
      </c>
      <c r="P13">
        <f>'Calculations BTU'!X14</f>
        <v>4066350022374.459</v>
      </c>
      <c r="Q13">
        <f>'Calculations BTU'!Y14</f>
        <v>4047392679612.8062</v>
      </c>
      <c r="R13">
        <f>'Calculations BTU'!Z14</f>
        <v>4028435336851.1543</v>
      </c>
      <c r="S13">
        <f>'Calculations BTU'!AA14</f>
        <v>4009477994089.502</v>
      </c>
      <c r="T13">
        <f>'Calculations BTU'!AB14</f>
        <v>3990520651327.8491</v>
      </c>
      <c r="U13">
        <f>'Calculations BTU'!AC14</f>
        <v>3962084637185.3701</v>
      </c>
      <c r="V13">
        <f>'Calculations BTU'!AD14</f>
        <v>3943127294423.7183</v>
      </c>
      <c r="W13">
        <f>'Calculations BTU'!AE14</f>
        <v>3924169951662.0649</v>
      </c>
      <c r="X13">
        <f>'Calculations BTU'!AF14</f>
        <v>3905212608900.4131</v>
      </c>
      <c r="Y13">
        <f>'Calculations BTU'!AG14</f>
        <v>3886255266138.7603</v>
      </c>
      <c r="Z13">
        <f>'Calculations BTU'!AH14</f>
        <v>3867297923377.1079</v>
      </c>
      <c r="AA13">
        <f>'Calculations BTU'!AI14</f>
        <v>3838861909234.6289</v>
      </c>
      <c r="AB13">
        <f>'Calculations BTU'!AJ14</f>
        <v>3819904566472.9771</v>
      </c>
      <c r="AC13">
        <f>'Calculations BTU'!AK14</f>
        <v>3800947223711.3242</v>
      </c>
      <c r="AD13">
        <f>'Calculations BTU'!AL14</f>
        <v>3781989880949.6719</v>
      </c>
      <c r="AE13">
        <f>'Calculations BTU'!AM14</f>
        <v>3763032538188.0195</v>
      </c>
      <c r="AF13">
        <f>'Calculations BTU'!AN14</f>
        <v>3734596524045.5405</v>
      </c>
      <c r="AG13">
        <f>'Calculations BTU'!AO14</f>
        <v>3734596524045.5405</v>
      </c>
      <c r="AH13">
        <f>'Calculations BTU'!AP14</f>
        <v>3734596524045.5405</v>
      </c>
      <c r="AI13">
        <f>'Calculations BTU'!AQ14</f>
        <v>3734596524045.5405</v>
      </c>
      <c r="AJ13">
        <f>'Calculations BTU'!AR14</f>
        <v>3734596524045.5405</v>
      </c>
      <c r="AK13">
        <f>'Calculations BTU'!AS14</f>
        <v>3734596524045.5405</v>
      </c>
      <c r="AL13">
        <f>'Calculations BTU'!AT14</f>
        <v>3734596524045.5405</v>
      </c>
      <c r="AM13">
        <f>'Calculations BTU'!AU14</f>
        <v>3734596524045.5405</v>
      </c>
      <c r="AN13">
        <f>'Calculations BTU'!AV14</f>
        <v>3734596524045.5405</v>
      </c>
      <c r="AO13">
        <f>'Calculations BTU'!AW14</f>
        <v>3734596524045.5405</v>
      </c>
      <c r="AP13">
        <f>'Calculations BTU'!AX14</f>
        <v>3734596524045.5405</v>
      </c>
      <c r="AQ13">
        <f>'Calculations BTU'!AY14</f>
        <v>3734596524045.5405</v>
      </c>
      <c r="AR13">
        <f>'Calculations BTU'!AZ14</f>
        <v>3734596524045.5405</v>
      </c>
      <c r="AS13">
        <f>'Calculations BTU'!BA14</f>
        <v>3734596524045.5405</v>
      </c>
      <c r="AT13">
        <f>'Calculations BTU'!BB14</f>
        <v>3734596524045.5405</v>
      </c>
      <c r="AU13">
        <f>'Calculations BTU'!BC14</f>
        <v>3734596524045.5405</v>
      </c>
      <c r="AV13">
        <f>'Calculations BTU'!BD14</f>
        <v>3734596524045.5405</v>
      </c>
      <c r="AW13">
        <f>'Calculations BTU'!BE14</f>
        <v>3734596524045.5405</v>
      </c>
      <c r="AX13">
        <f>'Calculations BTU'!BF14</f>
        <v>3734596524045.5405</v>
      </c>
      <c r="AY13">
        <f>'Calculations BTU'!BG14</f>
        <v>3734596524045.5405</v>
      </c>
      <c r="AZ13">
        <f>'Calculations BTU'!BH14</f>
        <v>3734596524045.5405</v>
      </c>
    </row>
    <row r="14" spans="1:52">
      <c r="A14" t="s">
        <v>138</v>
      </c>
      <c r="B14">
        <f>'Calculations BTU'!J15</f>
        <v>35563975020860.078</v>
      </c>
      <c r="C14">
        <f>'Calculations BTU'!K15</f>
        <v>35251178865292.805</v>
      </c>
      <c r="D14">
        <f>'Calculations BTU'!L15</f>
        <v>35061605437676.281</v>
      </c>
      <c r="E14">
        <f>'Calculations BTU'!M15</f>
        <v>38180088321968.117</v>
      </c>
      <c r="F14">
        <f>'Calculations BTU'!N15</f>
        <v>41298571206259.953</v>
      </c>
      <c r="G14">
        <f>'Calculations BTU'!O15</f>
        <v>44407575419170.961</v>
      </c>
      <c r="H14">
        <f>'Calculations BTU'!P15</f>
        <v>47526058303462.797</v>
      </c>
      <c r="I14">
        <f>'Calculations BTU'!Q15</f>
        <v>50635062516373.805</v>
      </c>
      <c r="J14">
        <f>'Calculations BTU'!R15</f>
        <v>53753545400665.641</v>
      </c>
      <c r="K14">
        <f>'Calculations BTU'!S15</f>
        <v>56862549613576.648</v>
      </c>
      <c r="L14">
        <f>'Calculations BTU'!T15</f>
        <v>59981032497868.477</v>
      </c>
      <c r="M14">
        <f>'Calculations BTU'!U15</f>
        <v>63090036710779.492</v>
      </c>
      <c r="N14">
        <f>'Calculations BTU'!V15</f>
        <v>66208519595071.32</v>
      </c>
      <c r="O14">
        <f>'Calculations BTU'!W15</f>
        <v>69317523807982.328</v>
      </c>
      <c r="P14">
        <f>'Calculations BTU'!X15</f>
        <v>72502357391939.938</v>
      </c>
      <c r="Q14">
        <f>'Calculations BTU'!Y15</f>
        <v>75763020346944.188</v>
      </c>
      <c r="R14">
        <f>'Calculations BTU'!Z15</f>
        <v>79033161973329.234</v>
      </c>
      <c r="S14">
        <f>'Calculations BTU'!AA15</f>
        <v>82303303599714.281</v>
      </c>
      <c r="T14">
        <f>'Calculations BTU'!AB15</f>
        <v>85563966554718.516</v>
      </c>
      <c r="U14">
        <f>'Calculations BTU'!AC15</f>
        <v>88834108181103.563</v>
      </c>
      <c r="V14">
        <f>'Calculations BTU'!AD15</f>
        <v>92104249807488.625</v>
      </c>
      <c r="W14">
        <f>'Calculations BTU'!AE15</f>
        <v>95364912762492.859</v>
      </c>
      <c r="X14">
        <f>'Calculations BTU'!AF15</f>
        <v>98635054388877.906</v>
      </c>
      <c r="Y14">
        <f>'Calculations BTU'!AG15</f>
        <v>101895717343882.14</v>
      </c>
      <c r="Z14">
        <f>'Calculations BTU'!AH15</f>
        <v>105165858970267.19</v>
      </c>
      <c r="AA14">
        <f>'Calculations BTU'!AI15</f>
        <v>108436000596652.25</v>
      </c>
      <c r="AB14">
        <f>'Calculations BTU'!AJ15</f>
        <v>111696663551656.47</v>
      </c>
      <c r="AC14">
        <f>'Calculations BTU'!AK15</f>
        <v>114966805178041.53</v>
      </c>
      <c r="AD14">
        <f>'Calculations BTU'!AL15</f>
        <v>118236946804426.58</v>
      </c>
      <c r="AE14">
        <f>'Calculations BTU'!AM15</f>
        <v>121497609759430.81</v>
      </c>
      <c r="AF14">
        <f>'Calculations BTU'!AN15</f>
        <v>124767751385815.86</v>
      </c>
      <c r="AG14">
        <f>'Calculations BTU'!AO15</f>
        <v>124767751385815.86</v>
      </c>
      <c r="AH14">
        <f>'Calculations BTU'!AP15</f>
        <v>124767751385815.86</v>
      </c>
      <c r="AI14">
        <f>'Calculations BTU'!AQ15</f>
        <v>124767751385815.86</v>
      </c>
      <c r="AJ14">
        <f>'Calculations BTU'!AR15</f>
        <v>124767751385815.86</v>
      </c>
      <c r="AK14">
        <f>'Calculations BTU'!AS15</f>
        <v>124767751385815.86</v>
      </c>
      <c r="AL14">
        <f>'Calculations BTU'!AT15</f>
        <v>124767751385815.86</v>
      </c>
      <c r="AM14">
        <f>'Calculations BTU'!AU15</f>
        <v>124767751385815.86</v>
      </c>
      <c r="AN14">
        <f>'Calculations BTU'!AV15</f>
        <v>124767751385815.86</v>
      </c>
      <c r="AO14">
        <f>'Calculations BTU'!AW15</f>
        <v>124767751385815.86</v>
      </c>
      <c r="AP14">
        <f>'Calculations BTU'!AX15</f>
        <v>124767751385815.86</v>
      </c>
      <c r="AQ14">
        <f>'Calculations BTU'!AY15</f>
        <v>124767751385815.86</v>
      </c>
      <c r="AR14">
        <f>'Calculations BTU'!AZ15</f>
        <v>124767751385815.86</v>
      </c>
      <c r="AS14">
        <f>'Calculations BTU'!BA15</f>
        <v>124767751385815.86</v>
      </c>
      <c r="AT14">
        <f>'Calculations BTU'!BB15</f>
        <v>124767751385815.86</v>
      </c>
      <c r="AU14">
        <f>'Calculations BTU'!BC15</f>
        <v>124767751385815.86</v>
      </c>
      <c r="AV14">
        <f>'Calculations BTU'!BD15</f>
        <v>124767751385815.86</v>
      </c>
      <c r="AW14">
        <f>'Calculations BTU'!BE15</f>
        <v>124767751385815.86</v>
      </c>
      <c r="AX14">
        <f>'Calculations BTU'!BF15</f>
        <v>124767751385815.86</v>
      </c>
      <c r="AY14">
        <f>'Calculations BTU'!BG15</f>
        <v>124767751385815.86</v>
      </c>
      <c r="AZ14">
        <f>'Calculations BTU'!BH15</f>
        <v>124767751385815.86</v>
      </c>
    </row>
    <row r="15" spans="1:52">
      <c r="A15" t="s">
        <v>139</v>
      </c>
      <c r="B15">
        <f>'Calculations BTU'!J16</f>
        <v>17924167581142.43</v>
      </c>
      <c r="C15">
        <f>'Calculations BTU'!K16</f>
        <v>18369665136041.262</v>
      </c>
      <c r="D15">
        <f>'Calculations BTU'!L16</f>
        <v>14350708470570.936</v>
      </c>
      <c r="E15">
        <f>'Calculations BTU'!M16</f>
        <v>16976300443059.805</v>
      </c>
      <c r="F15">
        <f>'Calculations BTU'!N16</f>
        <v>19611371086929.504</v>
      </c>
      <c r="G15">
        <f>'Calculations BTU'!O16</f>
        <v>22236963059418.371</v>
      </c>
      <c r="H15">
        <f>'Calculations BTU'!P16</f>
        <v>24872033703288.066</v>
      </c>
      <c r="I15">
        <f>'Calculations BTU'!Q16</f>
        <v>27507104347157.762</v>
      </c>
      <c r="J15">
        <f>'Calculations BTU'!R16</f>
        <v>30132696319646.633</v>
      </c>
      <c r="K15">
        <f>'Calculations BTU'!S16</f>
        <v>32767766963516.328</v>
      </c>
      <c r="L15">
        <f>'Calculations BTU'!T16</f>
        <v>35402837607386.023</v>
      </c>
      <c r="M15">
        <f>'Calculations BTU'!U16</f>
        <v>38028429579874.891</v>
      </c>
      <c r="N15">
        <f>'Calculations BTU'!V16</f>
        <v>40663500223744.594</v>
      </c>
      <c r="O15">
        <f>'Calculations BTU'!W16</f>
        <v>43289092196233.461</v>
      </c>
      <c r="P15">
        <f>'Calculations BTU'!X16</f>
        <v>46872029978185.781</v>
      </c>
      <c r="Q15">
        <f>'Calculations BTU'!Y16</f>
        <v>51734588396549.641</v>
      </c>
      <c r="R15">
        <f>'Calculations BTU'!Z16</f>
        <v>56587668143532.688</v>
      </c>
      <c r="S15">
        <f>'Calculations BTU'!AA16</f>
        <v>61450226561896.547</v>
      </c>
      <c r="T15">
        <f>'Calculations BTU'!AB16</f>
        <v>66303306308879.586</v>
      </c>
      <c r="U15">
        <f>'Calculations BTU'!AC16</f>
        <v>71165864727243.453</v>
      </c>
      <c r="V15">
        <f>'Calculations BTU'!AD16</f>
        <v>76018944474226.484</v>
      </c>
      <c r="W15">
        <f>'Calculations BTU'!AE16</f>
        <v>80881502892590.344</v>
      </c>
      <c r="X15">
        <f>'Calculations BTU'!AF16</f>
        <v>85734582639573.391</v>
      </c>
      <c r="Y15">
        <f>'Calculations BTU'!AG16</f>
        <v>90587662386556.422</v>
      </c>
      <c r="Z15">
        <f>'Calculations BTU'!AH16</f>
        <v>95450220804920.297</v>
      </c>
      <c r="AA15">
        <f>'Calculations BTU'!AI16</f>
        <v>100303300551903.31</v>
      </c>
      <c r="AB15">
        <f>'Calculations BTU'!AJ16</f>
        <v>105165858970267.19</v>
      </c>
      <c r="AC15">
        <f>'Calculations BTU'!AK16</f>
        <v>110018938717250.22</v>
      </c>
      <c r="AD15">
        <f>'Calculations BTU'!AL16</f>
        <v>114881497135614.09</v>
      </c>
      <c r="AE15">
        <f>'Calculations BTU'!AM16</f>
        <v>119744055553977.95</v>
      </c>
      <c r="AF15">
        <f>'Calculations BTU'!AN16</f>
        <v>124606613972341.83</v>
      </c>
      <c r="AG15">
        <f>'Calculations BTU'!AO16</f>
        <v>124606613972341.83</v>
      </c>
      <c r="AH15">
        <f>'Calculations BTU'!AP16</f>
        <v>124606613972341.83</v>
      </c>
      <c r="AI15">
        <f>'Calculations BTU'!AQ16</f>
        <v>124606613972341.83</v>
      </c>
      <c r="AJ15">
        <f>'Calculations BTU'!AR16</f>
        <v>124606613972341.83</v>
      </c>
      <c r="AK15">
        <f>'Calculations BTU'!AS16</f>
        <v>124606613972341.83</v>
      </c>
      <c r="AL15">
        <f>'Calculations BTU'!AT16</f>
        <v>124606613972341.83</v>
      </c>
      <c r="AM15">
        <f>'Calculations BTU'!AU16</f>
        <v>124606613972341.83</v>
      </c>
      <c r="AN15">
        <f>'Calculations BTU'!AV16</f>
        <v>124606613972341.83</v>
      </c>
      <c r="AO15">
        <f>'Calculations BTU'!AW16</f>
        <v>124606613972341.83</v>
      </c>
      <c r="AP15">
        <f>'Calculations BTU'!AX16</f>
        <v>124606613972341.83</v>
      </c>
      <c r="AQ15">
        <f>'Calculations BTU'!AY16</f>
        <v>124606613972341.83</v>
      </c>
      <c r="AR15">
        <f>'Calculations BTU'!AZ16</f>
        <v>124606613972341.83</v>
      </c>
      <c r="AS15">
        <f>'Calculations BTU'!BA16</f>
        <v>124606613972341.83</v>
      </c>
      <c r="AT15">
        <f>'Calculations BTU'!BB16</f>
        <v>124606613972341.83</v>
      </c>
      <c r="AU15">
        <f>'Calculations BTU'!BC16</f>
        <v>124606613972341.83</v>
      </c>
      <c r="AV15">
        <f>'Calculations BTU'!BD16</f>
        <v>124606613972341.83</v>
      </c>
      <c r="AW15">
        <f>'Calculations BTU'!BE16</f>
        <v>124606613972341.83</v>
      </c>
      <c r="AX15">
        <f>'Calculations BTU'!BF16</f>
        <v>124606613972341.83</v>
      </c>
      <c r="AY15">
        <f>'Calculations BTU'!BG16</f>
        <v>124606613972341.83</v>
      </c>
      <c r="AZ15">
        <f>'Calculations BTU'!BH16</f>
        <v>124606613972341.83</v>
      </c>
    </row>
    <row r="16" spans="1:52">
      <c r="A16" t="s">
        <v>140</v>
      </c>
      <c r="B16">
        <f>'Calculations BTU'!J17</f>
        <v>0</v>
      </c>
      <c r="C16">
        <f>'Calculations BTU'!K17</f>
        <v>0</v>
      </c>
      <c r="D16">
        <f>'Calculations BTU'!L17</f>
        <v>0</v>
      </c>
      <c r="E16">
        <f>'Calculations BTU'!M17</f>
        <v>0</v>
      </c>
      <c r="F16">
        <f>'Calculations BTU'!N17</f>
        <v>0</v>
      </c>
      <c r="G16">
        <f>'Calculations BTU'!O17</f>
        <v>0</v>
      </c>
      <c r="H16">
        <f>'Calculations BTU'!P17</f>
        <v>0</v>
      </c>
      <c r="I16">
        <f>'Calculations BTU'!Q17</f>
        <v>0</v>
      </c>
      <c r="J16">
        <f>'Calculations BTU'!R17</f>
        <v>0</v>
      </c>
      <c r="K16">
        <f>'Calculations BTU'!S17</f>
        <v>0</v>
      </c>
      <c r="L16">
        <f>'Calculations BTU'!T17</f>
        <v>0</v>
      </c>
      <c r="M16">
        <f>'Calculations BTU'!U17</f>
        <v>0</v>
      </c>
      <c r="N16">
        <f>'Calculations BTU'!V17</f>
        <v>0</v>
      </c>
      <c r="O16">
        <f>'Calculations BTU'!W17</f>
        <v>0</v>
      </c>
      <c r="P16">
        <f>'Calculations BTU'!X17</f>
        <v>0</v>
      </c>
      <c r="Q16">
        <f>'Calculations BTU'!Y17</f>
        <v>0</v>
      </c>
      <c r="R16">
        <f>'Calculations BTU'!Z17</f>
        <v>0</v>
      </c>
      <c r="S16">
        <f>'Calculations BTU'!AA17</f>
        <v>0</v>
      </c>
      <c r="T16">
        <f>'Calculations BTU'!AB17</f>
        <v>0</v>
      </c>
      <c r="U16">
        <f>'Calculations BTU'!AC17</f>
        <v>0</v>
      </c>
      <c r="V16">
        <f>'Calculations BTU'!AD17</f>
        <v>0</v>
      </c>
      <c r="W16">
        <f>'Calculations BTU'!AE17</f>
        <v>0</v>
      </c>
      <c r="X16">
        <f>'Calculations BTU'!AF17</f>
        <v>0</v>
      </c>
      <c r="Y16">
        <f>'Calculations BTU'!AG17</f>
        <v>0</v>
      </c>
      <c r="Z16">
        <f>'Calculations BTU'!AH17</f>
        <v>0</v>
      </c>
      <c r="AA16">
        <f>'Calculations BTU'!AI17</f>
        <v>0</v>
      </c>
      <c r="AB16">
        <f>'Calculations BTU'!AJ17</f>
        <v>0</v>
      </c>
      <c r="AC16">
        <f>'Calculations BTU'!AK17</f>
        <v>0</v>
      </c>
      <c r="AD16">
        <f>'Calculations BTU'!AL17</f>
        <v>0</v>
      </c>
      <c r="AE16">
        <f>'Calculations BTU'!AM17</f>
        <v>0</v>
      </c>
      <c r="AF16">
        <f>'Calculations BTU'!AN17</f>
        <v>0</v>
      </c>
      <c r="AG16">
        <f>'Calculations BTU'!AO17</f>
        <v>0</v>
      </c>
      <c r="AH16">
        <f>'Calculations BTU'!AP17</f>
        <v>0</v>
      </c>
      <c r="AI16">
        <f>'Calculations BTU'!AQ17</f>
        <v>0</v>
      </c>
      <c r="AJ16">
        <f>'Calculations BTU'!AR17</f>
        <v>0</v>
      </c>
      <c r="AK16">
        <f>'Calculations BTU'!AS17</f>
        <v>0</v>
      </c>
      <c r="AL16">
        <f>'Calculations BTU'!AT17</f>
        <v>0</v>
      </c>
      <c r="AM16">
        <f>'Calculations BTU'!AU17</f>
        <v>0</v>
      </c>
      <c r="AN16">
        <f>'Calculations BTU'!AV17</f>
        <v>0</v>
      </c>
      <c r="AO16">
        <f>'Calculations BTU'!AW17</f>
        <v>0</v>
      </c>
      <c r="AP16">
        <f>'Calculations BTU'!AX17</f>
        <v>0</v>
      </c>
      <c r="AQ16">
        <f>'Calculations BTU'!AY17</f>
        <v>0</v>
      </c>
      <c r="AR16">
        <f>'Calculations BTU'!AZ17</f>
        <v>0</v>
      </c>
      <c r="AS16">
        <f>'Calculations BTU'!BA17</f>
        <v>0</v>
      </c>
      <c r="AT16">
        <f>'Calculations BTU'!BB17</f>
        <v>0</v>
      </c>
      <c r="AU16">
        <f>'Calculations BTU'!BC17</f>
        <v>0</v>
      </c>
      <c r="AV16">
        <f>'Calculations BTU'!BD17</f>
        <v>0</v>
      </c>
      <c r="AW16">
        <f>'Calculations BTU'!BE17</f>
        <v>0</v>
      </c>
      <c r="AX16">
        <f>'Calculations BTU'!BF17</f>
        <v>0</v>
      </c>
      <c r="AY16">
        <f>'Calculations BTU'!BG17</f>
        <v>0</v>
      </c>
      <c r="AZ16">
        <f>'Calculations BTU'!BH17</f>
        <v>0</v>
      </c>
    </row>
    <row r="17" spans="1:52">
      <c r="A17" t="s">
        <v>141</v>
      </c>
      <c r="B17">
        <f>'Calculations BTU'!J18</f>
        <v>0</v>
      </c>
      <c r="C17">
        <f>'Calculations BTU'!K18</f>
        <v>0</v>
      </c>
      <c r="D17">
        <f>'Calculations BTU'!L18</f>
        <v>0</v>
      </c>
      <c r="E17">
        <f>'Calculations BTU'!M18</f>
        <v>0</v>
      </c>
      <c r="F17">
        <f>'Calculations BTU'!N18</f>
        <v>0</v>
      </c>
      <c r="G17">
        <f>'Calculations BTU'!O18</f>
        <v>0</v>
      </c>
      <c r="H17">
        <f>'Calculations BTU'!P18</f>
        <v>0</v>
      </c>
      <c r="I17">
        <f>'Calculations BTU'!Q18</f>
        <v>0</v>
      </c>
      <c r="J17">
        <f>'Calculations BTU'!R18</f>
        <v>0</v>
      </c>
      <c r="K17">
        <f>'Calculations BTU'!S18</f>
        <v>0</v>
      </c>
      <c r="L17">
        <f>'Calculations BTU'!T18</f>
        <v>0</v>
      </c>
      <c r="M17">
        <f>'Calculations BTU'!U18</f>
        <v>0</v>
      </c>
      <c r="N17">
        <f>'Calculations BTU'!V18</f>
        <v>0</v>
      </c>
      <c r="O17">
        <f>'Calculations BTU'!W18</f>
        <v>0</v>
      </c>
      <c r="P17">
        <f>'Calculations BTU'!X18</f>
        <v>0</v>
      </c>
      <c r="Q17">
        <f>'Calculations BTU'!Y18</f>
        <v>0</v>
      </c>
      <c r="R17">
        <f>'Calculations BTU'!Z18</f>
        <v>0</v>
      </c>
      <c r="S17">
        <f>'Calculations BTU'!AA18</f>
        <v>0</v>
      </c>
      <c r="T17">
        <f>'Calculations BTU'!AB18</f>
        <v>0</v>
      </c>
      <c r="U17">
        <f>'Calculations BTU'!AC18</f>
        <v>0</v>
      </c>
      <c r="V17">
        <f>'Calculations BTU'!AD18</f>
        <v>0</v>
      </c>
      <c r="W17">
        <f>'Calculations BTU'!AE18</f>
        <v>0</v>
      </c>
      <c r="X17">
        <f>'Calculations BTU'!AF18</f>
        <v>0</v>
      </c>
      <c r="Y17">
        <f>'Calculations BTU'!AG18</f>
        <v>0</v>
      </c>
      <c r="Z17">
        <f>'Calculations BTU'!AH18</f>
        <v>0</v>
      </c>
      <c r="AA17">
        <f>'Calculations BTU'!AI18</f>
        <v>0</v>
      </c>
      <c r="AB17">
        <f>'Calculations BTU'!AJ18</f>
        <v>0</v>
      </c>
      <c r="AC17">
        <f>'Calculations BTU'!AK18</f>
        <v>0</v>
      </c>
      <c r="AD17">
        <f>'Calculations BTU'!AL18</f>
        <v>0</v>
      </c>
      <c r="AE17">
        <f>'Calculations BTU'!AM18</f>
        <v>0</v>
      </c>
      <c r="AF17">
        <f>'Calculations BTU'!AN18</f>
        <v>0</v>
      </c>
      <c r="AG17">
        <f>'Calculations BTU'!AO18</f>
        <v>0</v>
      </c>
      <c r="AH17">
        <f>'Calculations BTU'!AP18</f>
        <v>0</v>
      </c>
      <c r="AI17">
        <f>'Calculations BTU'!AQ18</f>
        <v>0</v>
      </c>
      <c r="AJ17">
        <f>'Calculations BTU'!AR18</f>
        <v>0</v>
      </c>
      <c r="AK17">
        <f>'Calculations BTU'!AS18</f>
        <v>0</v>
      </c>
      <c r="AL17">
        <f>'Calculations BTU'!AT18</f>
        <v>0</v>
      </c>
      <c r="AM17">
        <f>'Calculations BTU'!AU18</f>
        <v>0</v>
      </c>
      <c r="AN17">
        <f>'Calculations BTU'!AV18</f>
        <v>0</v>
      </c>
      <c r="AO17">
        <f>'Calculations BTU'!AW18</f>
        <v>0</v>
      </c>
      <c r="AP17">
        <f>'Calculations BTU'!AX18</f>
        <v>0</v>
      </c>
      <c r="AQ17">
        <f>'Calculations BTU'!AY18</f>
        <v>0</v>
      </c>
      <c r="AR17">
        <f>'Calculations BTU'!AZ18</f>
        <v>0</v>
      </c>
      <c r="AS17">
        <f>'Calculations BTU'!BA18</f>
        <v>0</v>
      </c>
      <c r="AT17">
        <f>'Calculations BTU'!BB18</f>
        <v>0</v>
      </c>
      <c r="AU17">
        <f>'Calculations BTU'!BC18</f>
        <v>0</v>
      </c>
      <c r="AV17">
        <f>'Calculations BTU'!BD18</f>
        <v>0</v>
      </c>
      <c r="AW17">
        <f>'Calculations BTU'!BE18</f>
        <v>0</v>
      </c>
      <c r="AX17">
        <f>'Calculations BTU'!BF18</f>
        <v>0</v>
      </c>
      <c r="AY17">
        <f>'Calculations BTU'!BG18</f>
        <v>0</v>
      </c>
      <c r="AZ17">
        <f>'Calculations BTU'!BH18</f>
        <v>0</v>
      </c>
    </row>
    <row r="18" spans="1:52">
      <c r="A18" t="s">
        <v>142</v>
      </c>
      <c r="B18">
        <f>'Calculations BTU'!J19</f>
        <v>881516438416.84082</v>
      </c>
      <c r="C18">
        <f>'Calculations BTU'!K19</f>
        <v>966824480844.27698</v>
      </c>
      <c r="D18">
        <f>'Calculations BTU'!L19</f>
        <v>1298577979173.1958</v>
      </c>
      <c r="E18">
        <f>'Calculations BTU'!M19</f>
        <v>853080424274.36206</v>
      </c>
      <c r="F18">
        <f>'Calculations BTU'!N19</f>
        <v>853981634983.04736</v>
      </c>
      <c r="G18">
        <f>'Calculations BTU'!O19</f>
        <v>854868764274.40918</v>
      </c>
      <c r="H18">
        <f>'Calculations BTU'!P19</f>
        <v>855784056400.41736</v>
      </c>
      <c r="I18">
        <f>'Calculations BTU'!Q19</f>
        <v>856685267109.10242</v>
      </c>
      <c r="J18">
        <f>'Calculations BTU'!R19</f>
        <v>857572396400.46436</v>
      </c>
      <c r="K18">
        <f>'Calculations BTU'!S19</f>
        <v>858487688526.47266</v>
      </c>
      <c r="L18">
        <f>'Calculations BTU'!T19</f>
        <v>859374817817.83447</v>
      </c>
      <c r="M18">
        <f>'Calculations BTU'!U19</f>
        <v>860261947109.19617</v>
      </c>
      <c r="N18">
        <f>'Calculations BTU'!V19</f>
        <v>861191320652.52771</v>
      </c>
      <c r="O18">
        <f>'Calculations BTU'!W19</f>
        <v>862078449943.88953</v>
      </c>
      <c r="P18">
        <f>'Calculations BTU'!X19</f>
        <v>859642364746.9751</v>
      </c>
      <c r="Q18">
        <f>'Calculations BTU'!Y19</f>
        <v>852700226006.63525</v>
      </c>
      <c r="R18">
        <f>'Calculations BTU'!Z19</f>
        <v>845744005848.97253</v>
      </c>
      <c r="S18">
        <f>'Calculations BTU'!AA19</f>
        <v>838815948525.95605</v>
      </c>
      <c r="T18">
        <f>'Calculations BTU'!AB19</f>
        <v>831873809785.61621</v>
      </c>
      <c r="U18">
        <f>'Calculations BTU'!AC19</f>
        <v>824903508210.63037</v>
      </c>
      <c r="V18">
        <f>'Calculations BTU'!AD19</f>
        <v>817989532304.93689</v>
      </c>
      <c r="W18">
        <f>'Calculations BTU'!AE19</f>
        <v>811047393564.59729</v>
      </c>
      <c r="X18">
        <f>'Calculations BTU'!AF19</f>
        <v>804091173406.93433</v>
      </c>
      <c r="Y18">
        <f>'Calculations BTU'!AG19</f>
        <v>797149034666.5946</v>
      </c>
      <c r="Z18">
        <f>'Calculations BTU'!AH19</f>
        <v>790220977343.578</v>
      </c>
      <c r="AA18">
        <f>'Calculations BTU'!AI19</f>
        <v>783264757185.91516</v>
      </c>
      <c r="AB18">
        <f>'Calculations BTU'!AJ19</f>
        <v>776322618445.57532</v>
      </c>
      <c r="AC18">
        <f>'Calculations BTU'!AK19</f>
        <v>769380479705.2356</v>
      </c>
      <c r="AD18">
        <f>'Calculations BTU'!AL19</f>
        <v>762452422382.21912</v>
      </c>
      <c r="AE18">
        <f>'Calculations BTU'!AM19</f>
        <v>755425795137.94019</v>
      </c>
      <c r="AF18">
        <f>'Calculations BTU'!AN19</f>
        <v>748413249310.9845</v>
      </c>
      <c r="AG18">
        <f>'Calculations BTU'!AO19</f>
        <v>748413249310.9845</v>
      </c>
      <c r="AH18">
        <f>'Calculations BTU'!AP19</f>
        <v>748413249310.9845</v>
      </c>
      <c r="AI18">
        <f>'Calculations BTU'!AQ19</f>
        <v>748413249310.9845</v>
      </c>
      <c r="AJ18">
        <f>'Calculations BTU'!AR19</f>
        <v>748413249310.9845</v>
      </c>
      <c r="AK18">
        <f>'Calculations BTU'!AS19</f>
        <v>748413249310.9845</v>
      </c>
      <c r="AL18">
        <f>'Calculations BTU'!AT19</f>
        <v>748413249310.9845</v>
      </c>
      <c r="AM18">
        <f>'Calculations BTU'!AU19</f>
        <v>748413249310.9845</v>
      </c>
      <c r="AN18">
        <f>'Calculations BTU'!AV19</f>
        <v>748413249310.9845</v>
      </c>
      <c r="AO18">
        <f>'Calculations BTU'!AW19</f>
        <v>748413249310.9845</v>
      </c>
      <c r="AP18">
        <f>'Calculations BTU'!AX19</f>
        <v>748413249310.9845</v>
      </c>
      <c r="AQ18">
        <f>'Calculations BTU'!AY19</f>
        <v>748413249310.9845</v>
      </c>
      <c r="AR18">
        <f>'Calculations BTU'!AZ19</f>
        <v>748413249310.9845</v>
      </c>
      <c r="AS18">
        <f>'Calculations BTU'!BA19</f>
        <v>748413249310.9845</v>
      </c>
      <c r="AT18">
        <f>'Calculations BTU'!BB19</f>
        <v>748413249310.9845</v>
      </c>
      <c r="AU18">
        <f>'Calculations BTU'!BC19</f>
        <v>748413249310.9845</v>
      </c>
      <c r="AV18">
        <f>'Calculations BTU'!BD19</f>
        <v>748413249310.9845</v>
      </c>
      <c r="AW18">
        <f>'Calculations BTU'!BE19</f>
        <v>748413249310.9845</v>
      </c>
      <c r="AX18">
        <f>'Calculations BTU'!BF19</f>
        <v>748413249310.9845</v>
      </c>
      <c r="AY18">
        <f>'Calculations BTU'!BG19</f>
        <v>748413249310.9845</v>
      </c>
      <c r="AZ18">
        <f>'Calculations BTU'!BH19</f>
        <v>748413249310.9845</v>
      </c>
    </row>
    <row r="19" spans="1:52">
      <c r="A19" t="s">
        <v>143</v>
      </c>
      <c r="B19">
        <f>'Calculations BTU'!J20</f>
        <v>246445455901.48239</v>
      </c>
      <c r="C19">
        <f>'Calculations BTU'!K20</f>
        <v>293838812805.61359</v>
      </c>
      <c r="D19">
        <f>'Calculations BTU'!L20</f>
        <v>104265385189.0887</v>
      </c>
      <c r="E19">
        <f>'Calculations BTU'!M20</f>
        <v>284360141424.78735</v>
      </c>
      <c r="F19">
        <f>'Calculations BTU'!N20</f>
        <v>284660544994.34912</v>
      </c>
      <c r="G19">
        <f>'Calculations BTU'!O20</f>
        <v>284956254758.13641</v>
      </c>
      <c r="H19">
        <f>'Calculations BTU'!P20</f>
        <v>285261352133.47247</v>
      </c>
      <c r="I19">
        <f>'Calculations BTU'!Q20</f>
        <v>285561755703.03412</v>
      </c>
      <c r="J19">
        <f>'Calculations BTU'!R20</f>
        <v>285857465466.82147</v>
      </c>
      <c r="K19">
        <f>'Calculations BTU'!S20</f>
        <v>286162562842.15759</v>
      </c>
      <c r="L19">
        <f>'Calculations BTU'!T20</f>
        <v>286458272605.94476</v>
      </c>
      <c r="M19">
        <f>'Calculations BTU'!U20</f>
        <v>286753982369.73212</v>
      </c>
      <c r="N19">
        <f>'Calculations BTU'!V20</f>
        <v>287063773550.84265</v>
      </c>
      <c r="O19">
        <f>'Calculations BTU'!W20</f>
        <v>287359483314.62988</v>
      </c>
      <c r="P19">
        <f>'Calculations BTU'!X20</f>
        <v>286547454915.65845</v>
      </c>
      <c r="Q19">
        <f>'Calculations BTU'!Y20</f>
        <v>284233408668.87854</v>
      </c>
      <c r="R19">
        <f>'Calculations BTU'!Z20</f>
        <v>281914668616.32422</v>
      </c>
      <c r="S19">
        <f>'Calculations BTU'!AA20</f>
        <v>279605316175.31873</v>
      </c>
      <c r="T19">
        <f>'Calculations BTU'!AB20</f>
        <v>277291269928.53882</v>
      </c>
      <c r="U19">
        <f>'Calculations BTU'!AC20</f>
        <v>274967836070.21014</v>
      </c>
      <c r="V19">
        <f>'Calculations BTU'!AD20</f>
        <v>272663177434.979</v>
      </c>
      <c r="W19">
        <f>'Calculations BTU'!AE20</f>
        <v>270349131188.19916</v>
      </c>
      <c r="X19">
        <f>'Calculations BTU'!AF20</f>
        <v>268030391135.64487</v>
      </c>
      <c r="Y19">
        <f>'Calculations BTU'!AG20</f>
        <v>265716344888.86496</v>
      </c>
      <c r="Z19">
        <f>'Calculations BTU'!AH20</f>
        <v>263406992447.85944</v>
      </c>
      <c r="AA19">
        <f>'Calculations BTU'!AI20</f>
        <v>261088252395.30511</v>
      </c>
      <c r="AB19">
        <f>'Calculations BTU'!AJ20</f>
        <v>258774206148.52518</v>
      </c>
      <c r="AC19">
        <f>'Calculations BTU'!AK20</f>
        <v>256460159901.74527</v>
      </c>
      <c r="AD19">
        <f>'Calculations BTU'!AL20</f>
        <v>254150807460.73978</v>
      </c>
      <c r="AE19">
        <f>'Calculations BTU'!AM20</f>
        <v>251808598379.31348</v>
      </c>
      <c r="AF19">
        <f>'Calculations BTU'!AN20</f>
        <v>249471083103.66156</v>
      </c>
      <c r="AG19">
        <f>'Calculations BTU'!AO20</f>
        <v>249471083103.66156</v>
      </c>
      <c r="AH19">
        <f>'Calculations BTU'!AP20</f>
        <v>249471083103.66156</v>
      </c>
      <c r="AI19">
        <f>'Calculations BTU'!AQ20</f>
        <v>249471083103.66156</v>
      </c>
      <c r="AJ19">
        <f>'Calculations BTU'!AR20</f>
        <v>249471083103.66156</v>
      </c>
      <c r="AK19">
        <f>'Calculations BTU'!AS20</f>
        <v>249471083103.66156</v>
      </c>
      <c r="AL19">
        <f>'Calculations BTU'!AT20</f>
        <v>249471083103.66156</v>
      </c>
      <c r="AM19">
        <f>'Calculations BTU'!AU20</f>
        <v>249471083103.66156</v>
      </c>
      <c r="AN19">
        <f>'Calculations BTU'!AV20</f>
        <v>249471083103.66156</v>
      </c>
      <c r="AO19">
        <f>'Calculations BTU'!AW20</f>
        <v>249471083103.66156</v>
      </c>
      <c r="AP19">
        <f>'Calculations BTU'!AX20</f>
        <v>249471083103.66156</v>
      </c>
      <c r="AQ19">
        <f>'Calculations BTU'!AY20</f>
        <v>249471083103.66156</v>
      </c>
      <c r="AR19">
        <f>'Calculations BTU'!AZ20</f>
        <v>249471083103.66156</v>
      </c>
      <c r="AS19">
        <f>'Calculations BTU'!BA20</f>
        <v>249471083103.66156</v>
      </c>
      <c r="AT19">
        <f>'Calculations BTU'!BB20</f>
        <v>249471083103.66156</v>
      </c>
      <c r="AU19">
        <f>'Calculations BTU'!BC20</f>
        <v>249471083103.66156</v>
      </c>
      <c r="AV19">
        <f>'Calculations BTU'!BD20</f>
        <v>249471083103.66156</v>
      </c>
      <c r="AW19">
        <f>'Calculations BTU'!BE20</f>
        <v>249471083103.66156</v>
      </c>
      <c r="AX19">
        <f>'Calculations BTU'!BF20</f>
        <v>249471083103.66156</v>
      </c>
      <c r="AY19">
        <f>'Calculations BTU'!BG20</f>
        <v>249471083103.66156</v>
      </c>
      <c r="AZ19">
        <f>'Calculations BTU'!BH20</f>
        <v>249471083103.66156</v>
      </c>
    </row>
    <row r="20" spans="1:52">
      <c r="A20" t="s">
        <v>144</v>
      </c>
      <c r="B20">
        <f>'Calculations BTU'!J21</f>
        <v>0</v>
      </c>
      <c r="C20">
        <f>'Calculations BTU'!K21</f>
        <v>0</v>
      </c>
      <c r="D20">
        <f>'Calculations BTU'!L21</f>
        <v>0</v>
      </c>
      <c r="E20">
        <f>'Calculations BTU'!M21</f>
        <v>0</v>
      </c>
      <c r="F20">
        <f>'Calculations BTU'!N21</f>
        <v>0</v>
      </c>
      <c r="G20">
        <f>'Calculations BTU'!O21</f>
        <v>0</v>
      </c>
      <c r="H20">
        <f>'Calculations BTU'!P21</f>
        <v>0</v>
      </c>
      <c r="I20">
        <f>'Calculations BTU'!Q21</f>
        <v>0</v>
      </c>
      <c r="J20">
        <f>'Calculations BTU'!R21</f>
        <v>0</v>
      </c>
      <c r="K20">
        <f>'Calculations BTU'!S21</f>
        <v>0</v>
      </c>
      <c r="L20">
        <f>'Calculations BTU'!T21</f>
        <v>0</v>
      </c>
      <c r="M20">
        <f>'Calculations BTU'!U21</f>
        <v>0</v>
      </c>
      <c r="N20">
        <f>'Calculations BTU'!V21</f>
        <v>0</v>
      </c>
      <c r="O20">
        <f>'Calculations BTU'!W21</f>
        <v>0</v>
      </c>
      <c r="P20">
        <f>'Calculations BTU'!X21</f>
        <v>0</v>
      </c>
      <c r="Q20">
        <f>'Calculations BTU'!Y21</f>
        <v>0</v>
      </c>
      <c r="R20">
        <f>'Calculations BTU'!Z21</f>
        <v>0</v>
      </c>
      <c r="S20">
        <f>'Calculations BTU'!AA21</f>
        <v>0</v>
      </c>
      <c r="T20">
        <f>'Calculations BTU'!AB21</f>
        <v>0</v>
      </c>
      <c r="U20">
        <f>'Calculations BTU'!AC21</f>
        <v>0</v>
      </c>
      <c r="V20">
        <f>'Calculations BTU'!AD21</f>
        <v>0</v>
      </c>
      <c r="W20">
        <f>'Calculations BTU'!AE21</f>
        <v>0</v>
      </c>
      <c r="X20">
        <f>'Calculations BTU'!AF21</f>
        <v>0</v>
      </c>
      <c r="Y20">
        <f>'Calculations BTU'!AG21</f>
        <v>0</v>
      </c>
      <c r="Z20">
        <f>'Calculations BTU'!AH21</f>
        <v>0</v>
      </c>
      <c r="AA20">
        <f>'Calculations BTU'!AI21</f>
        <v>0</v>
      </c>
      <c r="AB20">
        <f>'Calculations BTU'!AJ21</f>
        <v>0</v>
      </c>
      <c r="AC20">
        <f>'Calculations BTU'!AK21</f>
        <v>0</v>
      </c>
      <c r="AD20">
        <f>'Calculations BTU'!AL21</f>
        <v>0</v>
      </c>
      <c r="AE20">
        <f>'Calculations BTU'!AM21</f>
        <v>0</v>
      </c>
      <c r="AF20">
        <f>'Calculations BTU'!AN21</f>
        <v>0</v>
      </c>
      <c r="AG20">
        <f>'Calculations BTU'!AO21</f>
        <v>0</v>
      </c>
      <c r="AH20">
        <f>'Calculations BTU'!AP21</f>
        <v>0</v>
      </c>
      <c r="AI20">
        <f>'Calculations BTU'!AQ21</f>
        <v>0</v>
      </c>
      <c r="AJ20">
        <f>'Calculations BTU'!AR21</f>
        <v>0</v>
      </c>
      <c r="AK20">
        <f>'Calculations BTU'!AS21</f>
        <v>0</v>
      </c>
      <c r="AL20">
        <f>'Calculations BTU'!AT21</f>
        <v>0</v>
      </c>
      <c r="AM20">
        <f>'Calculations BTU'!AU21</f>
        <v>0</v>
      </c>
      <c r="AN20">
        <f>'Calculations BTU'!AV21</f>
        <v>0</v>
      </c>
      <c r="AO20">
        <f>'Calculations BTU'!AW21</f>
        <v>0</v>
      </c>
      <c r="AP20">
        <f>'Calculations BTU'!AX21</f>
        <v>0</v>
      </c>
      <c r="AQ20">
        <f>'Calculations BTU'!AY21</f>
        <v>0</v>
      </c>
      <c r="AR20">
        <f>'Calculations BTU'!AZ21</f>
        <v>0</v>
      </c>
      <c r="AS20">
        <f>'Calculations BTU'!BA21</f>
        <v>0</v>
      </c>
      <c r="AT20">
        <f>'Calculations BTU'!BB21</f>
        <v>0</v>
      </c>
      <c r="AU20">
        <f>'Calculations BTU'!BC21</f>
        <v>0</v>
      </c>
      <c r="AV20">
        <f>'Calculations BTU'!BD21</f>
        <v>0</v>
      </c>
      <c r="AW20">
        <f>'Calculations BTU'!BE21</f>
        <v>0</v>
      </c>
      <c r="AX20">
        <f>'Calculations BTU'!BF21</f>
        <v>0</v>
      </c>
      <c r="AY20">
        <f>'Calculations BTU'!BG21</f>
        <v>0</v>
      </c>
      <c r="AZ20">
        <f>'Calculations BTU'!BH21</f>
        <v>0</v>
      </c>
    </row>
    <row r="21" spans="1:52">
      <c r="A21" t="s">
        <v>145</v>
      </c>
      <c r="B21">
        <f>'Calculations BTU'!J22</f>
        <v>10056870335056.646</v>
      </c>
      <c r="C21">
        <f>'Calculations BTU'!K22</f>
        <v>9649287465681.1172</v>
      </c>
      <c r="D21">
        <f>'Calculations BTU'!L22</f>
        <v>9924168935725.0801</v>
      </c>
      <c r="E21">
        <f>'Calculations BTU'!M22</f>
        <v>10341230476481.434</v>
      </c>
      <c r="F21">
        <f>'Calculations BTU'!N22</f>
        <v>10748813345856.961</v>
      </c>
      <c r="G21">
        <f>'Calculations BTU'!O22</f>
        <v>11165874886613.316</v>
      </c>
      <c r="H21">
        <f>'Calculations BTU'!P22</f>
        <v>11582936427369.672</v>
      </c>
      <c r="I21">
        <f>'Calculations BTU'!Q22</f>
        <v>11990519296745.201</v>
      </c>
      <c r="J21">
        <f>'Calculations BTU'!R22</f>
        <v>12407580837501.555</v>
      </c>
      <c r="K21">
        <f>'Calculations BTU'!S22</f>
        <v>12815163706877.082</v>
      </c>
      <c r="L21">
        <f>'Calculations BTU'!T22</f>
        <v>13232225247633.439</v>
      </c>
      <c r="M21">
        <f>'Calculations BTU'!U22</f>
        <v>13639808117008.967</v>
      </c>
      <c r="N21">
        <f>'Calculations BTU'!V22</f>
        <v>14056869657765.322</v>
      </c>
      <c r="O21">
        <f>'Calculations BTU'!W22</f>
        <v>14473931198521.676</v>
      </c>
      <c r="P21">
        <f>'Calculations BTU'!X22</f>
        <v>14881514067897.205</v>
      </c>
      <c r="Q21">
        <f>'Calculations BTU'!Y22</f>
        <v>15298575608653.561</v>
      </c>
      <c r="R21">
        <f>'Calculations BTU'!Z22</f>
        <v>15706158478029.088</v>
      </c>
      <c r="S21">
        <f>'Calculations BTU'!AA22</f>
        <v>16123220018785.445</v>
      </c>
      <c r="T21">
        <f>'Calculations BTU'!AB22</f>
        <v>16530802888160.973</v>
      </c>
      <c r="U21">
        <f>'Calculations BTU'!AC22</f>
        <v>16947864428917.326</v>
      </c>
      <c r="V21">
        <f>'Calculations BTU'!AD22</f>
        <v>17364925969673.682</v>
      </c>
      <c r="W21">
        <f>'Calculations BTU'!AE22</f>
        <v>17772508839049.211</v>
      </c>
      <c r="X21">
        <f>'Calculations BTU'!AF22</f>
        <v>18189570379805.566</v>
      </c>
      <c r="Y21">
        <f>'Calculations BTU'!AG22</f>
        <v>18597153249181.094</v>
      </c>
      <c r="Z21">
        <f>'Calculations BTU'!AH22</f>
        <v>19014214789937.445</v>
      </c>
      <c r="AA21">
        <f>'Calculations BTU'!AI22</f>
        <v>19421797659312.977</v>
      </c>
      <c r="AB21">
        <f>'Calculations BTU'!AJ22</f>
        <v>19838859200069.332</v>
      </c>
      <c r="AC21">
        <f>'Calculations BTU'!AK22</f>
        <v>20255920740825.688</v>
      </c>
      <c r="AD21">
        <f>'Calculations BTU'!AL22</f>
        <v>20663503610201.215</v>
      </c>
      <c r="AE21">
        <f>'Calculations BTU'!AM22</f>
        <v>21080565150957.566</v>
      </c>
      <c r="AF21">
        <f>'Calculations BTU'!AN22</f>
        <v>21488148020333.098</v>
      </c>
      <c r="AG21">
        <f>'Calculations BTU'!AO22</f>
        <v>21488148020333.098</v>
      </c>
      <c r="AH21">
        <f>'Calculations BTU'!AP22</f>
        <v>21488148020333.098</v>
      </c>
      <c r="AI21">
        <f>'Calculations BTU'!AQ22</f>
        <v>21488148020333.098</v>
      </c>
      <c r="AJ21">
        <f>'Calculations BTU'!AR22</f>
        <v>21488148020333.098</v>
      </c>
      <c r="AK21">
        <f>'Calculations BTU'!AS22</f>
        <v>21488148020333.098</v>
      </c>
      <c r="AL21">
        <f>'Calculations BTU'!AT22</f>
        <v>21488148020333.098</v>
      </c>
      <c r="AM21">
        <f>'Calculations BTU'!AU22</f>
        <v>21488148020333.098</v>
      </c>
      <c r="AN21">
        <f>'Calculations BTU'!AV22</f>
        <v>21488148020333.098</v>
      </c>
      <c r="AO21">
        <f>'Calculations BTU'!AW22</f>
        <v>21488148020333.098</v>
      </c>
      <c r="AP21">
        <f>'Calculations BTU'!AX22</f>
        <v>21488148020333.098</v>
      </c>
      <c r="AQ21">
        <f>'Calculations BTU'!AY22</f>
        <v>21488148020333.098</v>
      </c>
      <c r="AR21">
        <f>'Calculations BTU'!AZ22</f>
        <v>21488148020333.098</v>
      </c>
      <c r="AS21">
        <f>'Calculations BTU'!BA22</f>
        <v>21488148020333.098</v>
      </c>
      <c r="AT21">
        <f>'Calculations BTU'!BB22</f>
        <v>21488148020333.098</v>
      </c>
      <c r="AU21">
        <f>'Calculations BTU'!BC22</f>
        <v>21488148020333.098</v>
      </c>
      <c r="AV21">
        <f>'Calculations BTU'!BD22</f>
        <v>21488148020333.098</v>
      </c>
      <c r="AW21">
        <f>'Calculations BTU'!BE22</f>
        <v>21488148020333.098</v>
      </c>
      <c r="AX21">
        <f>'Calculations BTU'!BF22</f>
        <v>21488148020333.098</v>
      </c>
      <c r="AY21">
        <f>'Calculations BTU'!BG22</f>
        <v>21488148020333.098</v>
      </c>
      <c r="AZ21">
        <f>'Calculations BTU'!BH22</f>
        <v>21488148020333.098</v>
      </c>
    </row>
    <row r="22" spans="1:52">
      <c r="A22" t="s">
        <v>146</v>
      </c>
      <c r="B22">
        <f>'Calculations BTU'!J23</f>
        <v>0</v>
      </c>
      <c r="C22">
        <f>'Calculations BTU'!K23</f>
        <v>0</v>
      </c>
      <c r="D22">
        <f>'Calculations BTU'!L23</f>
        <v>0</v>
      </c>
      <c r="E22">
        <f>'Calculations BTU'!M23</f>
        <v>0</v>
      </c>
      <c r="F22">
        <f>'Calculations BTU'!N23</f>
        <v>0</v>
      </c>
      <c r="G22">
        <f>'Calculations BTU'!O23</f>
        <v>0</v>
      </c>
      <c r="H22">
        <f>'Calculations BTU'!P23</f>
        <v>0</v>
      </c>
      <c r="I22">
        <f>'Calculations BTU'!Q23</f>
        <v>0</v>
      </c>
      <c r="J22">
        <f>'Calculations BTU'!R23</f>
        <v>0</v>
      </c>
      <c r="K22">
        <f>'Calculations BTU'!S23</f>
        <v>0</v>
      </c>
      <c r="L22">
        <f>'Calculations BTU'!T23</f>
        <v>0</v>
      </c>
      <c r="M22">
        <f>'Calculations BTU'!U23</f>
        <v>0</v>
      </c>
      <c r="N22">
        <f>'Calculations BTU'!V23</f>
        <v>0</v>
      </c>
      <c r="O22">
        <f>'Calculations BTU'!W23</f>
        <v>0</v>
      </c>
      <c r="P22">
        <f>'Calculations BTU'!X23</f>
        <v>0</v>
      </c>
      <c r="Q22">
        <f>'Calculations BTU'!Y23</f>
        <v>0</v>
      </c>
      <c r="R22">
        <f>'Calculations BTU'!Z23</f>
        <v>0</v>
      </c>
      <c r="S22">
        <f>'Calculations BTU'!AA23</f>
        <v>0</v>
      </c>
      <c r="T22">
        <f>'Calculations BTU'!AB23</f>
        <v>0</v>
      </c>
      <c r="U22">
        <f>'Calculations BTU'!AC23</f>
        <v>0</v>
      </c>
      <c r="V22">
        <f>'Calculations BTU'!AD23</f>
        <v>0</v>
      </c>
      <c r="W22">
        <f>'Calculations BTU'!AE23</f>
        <v>0</v>
      </c>
      <c r="X22">
        <f>'Calculations BTU'!AF23</f>
        <v>0</v>
      </c>
      <c r="Y22">
        <f>'Calculations BTU'!AG23</f>
        <v>0</v>
      </c>
      <c r="Z22">
        <f>'Calculations BTU'!AH23</f>
        <v>0</v>
      </c>
      <c r="AA22">
        <f>'Calculations BTU'!AI23</f>
        <v>0</v>
      </c>
      <c r="AB22">
        <f>'Calculations BTU'!AJ23</f>
        <v>0</v>
      </c>
      <c r="AC22">
        <f>'Calculations BTU'!AK23</f>
        <v>0</v>
      </c>
      <c r="AD22">
        <f>'Calculations BTU'!AL23</f>
        <v>0</v>
      </c>
      <c r="AE22">
        <f>'Calculations BTU'!AM23</f>
        <v>0</v>
      </c>
      <c r="AF22">
        <f>'Calculations BTU'!AN23</f>
        <v>0</v>
      </c>
      <c r="AG22">
        <f>'Calculations BTU'!AO23</f>
        <v>0</v>
      </c>
      <c r="AH22">
        <f>'Calculations BTU'!AP23</f>
        <v>0</v>
      </c>
      <c r="AI22">
        <f>'Calculations BTU'!AQ23</f>
        <v>0</v>
      </c>
      <c r="AJ22">
        <f>'Calculations BTU'!AR23</f>
        <v>0</v>
      </c>
      <c r="AK22">
        <f>'Calculations BTU'!AS23</f>
        <v>0</v>
      </c>
      <c r="AL22">
        <f>'Calculations BTU'!AT23</f>
        <v>0</v>
      </c>
      <c r="AM22">
        <f>'Calculations BTU'!AU23</f>
        <v>0</v>
      </c>
      <c r="AN22">
        <f>'Calculations BTU'!AV23</f>
        <v>0</v>
      </c>
      <c r="AO22">
        <f>'Calculations BTU'!AW23</f>
        <v>0</v>
      </c>
      <c r="AP22">
        <f>'Calculations BTU'!AX23</f>
        <v>0</v>
      </c>
      <c r="AQ22">
        <f>'Calculations BTU'!AY23</f>
        <v>0</v>
      </c>
      <c r="AR22">
        <f>'Calculations BTU'!AZ23</f>
        <v>0</v>
      </c>
      <c r="AS22">
        <f>'Calculations BTU'!BA23</f>
        <v>0</v>
      </c>
      <c r="AT22">
        <f>'Calculations BTU'!BB23</f>
        <v>0</v>
      </c>
      <c r="AU22">
        <f>'Calculations BTU'!BC23</f>
        <v>0</v>
      </c>
      <c r="AV22">
        <f>'Calculations BTU'!BD23</f>
        <v>0</v>
      </c>
      <c r="AW22">
        <f>'Calculations BTU'!BE23</f>
        <v>0</v>
      </c>
      <c r="AX22">
        <f>'Calculations BTU'!BF23</f>
        <v>0</v>
      </c>
      <c r="AY22">
        <f>'Calculations BTU'!BG23</f>
        <v>0</v>
      </c>
      <c r="AZ22">
        <f>'Calculations BTU'!BH23</f>
        <v>0</v>
      </c>
    </row>
    <row r="23" spans="1:52">
      <c r="A23" t="s">
        <v>147</v>
      </c>
      <c r="B23">
        <f>'Calculations BTU'!J24</f>
        <v>413762963115827.25</v>
      </c>
      <c r="C23">
        <f>'Calculations BTU'!K24</f>
        <v>434085234556318.75</v>
      </c>
      <c r="D23">
        <f>'Calculations BTU'!L24</f>
        <v>459440680500028.94</v>
      </c>
      <c r="E23">
        <f>'Calculations BTU'!M24</f>
        <v>456303240272975.5</v>
      </c>
      <c r="F23">
        <f>'Calculations BTU'!N24</f>
        <v>456222163852913.81</v>
      </c>
      <c r="G23">
        <f>'Calculations BTU'!O24</f>
        <v>456141169417993.13</v>
      </c>
      <c r="H23">
        <f>'Calculations BTU'!P24</f>
        <v>456069489684171.44</v>
      </c>
      <c r="I23">
        <f>'Calculations BTU'!Q24</f>
        <v>455988413264109.81</v>
      </c>
      <c r="J23">
        <f>'Calculations BTU'!R24</f>
        <v>455907418829189</v>
      </c>
      <c r="K23">
        <f>'Calculations BTU'!S24</f>
        <v>455835739095367.38</v>
      </c>
      <c r="L23">
        <f>'Calculations BTU'!T24</f>
        <v>455754744660446.56</v>
      </c>
      <c r="M23">
        <f>'Calculations BTU'!U24</f>
        <v>455673750225525.88</v>
      </c>
      <c r="N23">
        <f>'Calculations BTU'!V24</f>
        <v>455601988506563.38</v>
      </c>
      <c r="O23">
        <f>'Calculations BTU'!W24</f>
        <v>455520994071642.56</v>
      </c>
      <c r="P23">
        <f>'Calculations BTU'!X24</f>
        <v>453459348468610.38</v>
      </c>
      <c r="Q23">
        <f>'Calculations BTU'!Y24</f>
        <v>448750952781260.13</v>
      </c>
      <c r="R23">
        <f>'Calculations BTU'!Z24</f>
        <v>444033160407669.94</v>
      </c>
      <c r="S23">
        <f>'Calculations BTU'!AA24</f>
        <v>439315204063798.13</v>
      </c>
      <c r="T23">
        <f>'Calculations BTU'!AB24</f>
        <v>434606808376447.94</v>
      </c>
      <c r="U23">
        <f>'Calculations BTU'!AC24</f>
        <v>429889097987998.63</v>
      </c>
      <c r="V23">
        <f>'Calculations BTU'!AD24</f>
        <v>425180538330366.69</v>
      </c>
      <c r="W23">
        <f>'Calculations BTU'!AE24</f>
        <v>420462663971635.69</v>
      </c>
      <c r="X23">
        <f>'Calculations BTU'!AF24</f>
        <v>415744871598045.5</v>
      </c>
      <c r="Y23">
        <f>'Calculations BTU'!AG24</f>
        <v>411036475910695.38</v>
      </c>
      <c r="Z23">
        <f>'Calculations BTU'!AH24</f>
        <v>406318519566823.44</v>
      </c>
      <c r="AA23">
        <f>'Calculations BTU'!AI24</f>
        <v>401600727193233.31</v>
      </c>
      <c r="AB23">
        <f>'Calculations BTU'!AJ24</f>
        <v>396892331505883.06</v>
      </c>
      <c r="AC23">
        <f>'Calculations BTU'!AK24</f>
        <v>392174457147152.06</v>
      </c>
      <c r="AD23">
        <f>'Calculations BTU'!AL24</f>
        <v>387456500803280.19</v>
      </c>
      <c r="AE23">
        <f>'Calculations BTU'!AM24</f>
        <v>382701203669871</v>
      </c>
      <c r="AF23">
        <f>'Calculations BTU'!AN24</f>
        <v>377945824551320.94</v>
      </c>
      <c r="AG23">
        <f>'Calculations BTU'!AO24</f>
        <v>377945824551320.94</v>
      </c>
      <c r="AH23">
        <f>'Calculations BTU'!AP24</f>
        <v>377945824551320.94</v>
      </c>
      <c r="AI23">
        <f>'Calculations BTU'!AQ24</f>
        <v>377945824551320.94</v>
      </c>
      <c r="AJ23">
        <f>'Calculations BTU'!AR24</f>
        <v>377945824551320.94</v>
      </c>
      <c r="AK23">
        <f>'Calculations BTU'!AS24</f>
        <v>377945824551320.94</v>
      </c>
      <c r="AL23">
        <f>'Calculations BTU'!AT24</f>
        <v>377945824551320.94</v>
      </c>
      <c r="AM23">
        <f>'Calculations BTU'!AU24</f>
        <v>377945824551320.94</v>
      </c>
      <c r="AN23">
        <f>'Calculations BTU'!AV24</f>
        <v>377945824551320.94</v>
      </c>
      <c r="AO23">
        <f>'Calculations BTU'!AW24</f>
        <v>377945824551320.94</v>
      </c>
      <c r="AP23">
        <f>'Calculations BTU'!AX24</f>
        <v>377945824551320.94</v>
      </c>
      <c r="AQ23">
        <f>'Calculations BTU'!AY24</f>
        <v>377945824551320.94</v>
      </c>
      <c r="AR23">
        <f>'Calculations BTU'!AZ24</f>
        <v>377945824551320.94</v>
      </c>
      <c r="AS23">
        <f>'Calculations BTU'!BA24</f>
        <v>377945824551320.94</v>
      </c>
      <c r="AT23">
        <f>'Calculations BTU'!BB24</f>
        <v>377945824551320.94</v>
      </c>
      <c r="AU23">
        <f>'Calculations BTU'!BC24</f>
        <v>377945824551320.94</v>
      </c>
      <c r="AV23">
        <f>'Calculations BTU'!BD24</f>
        <v>377945824551320.94</v>
      </c>
      <c r="AW23">
        <f>'Calculations BTU'!BE24</f>
        <v>377945824551320.94</v>
      </c>
      <c r="AX23">
        <f>'Calculations BTU'!BF24</f>
        <v>377945824551320.94</v>
      </c>
      <c r="AY23">
        <f>'Calculations BTU'!BG24</f>
        <v>377945824551320.94</v>
      </c>
      <c r="AZ23">
        <f>'Calculations BTU'!BH24</f>
        <v>377945824551320.94</v>
      </c>
    </row>
    <row r="24" spans="1:52">
      <c r="A24" t="s">
        <v>148</v>
      </c>
      <c r="B24">
        <f>'Calculations BTU'!J25</f>
        <v>0</v>
      </c>
      <c r="C24">
        <f>'Calculations BTU'!K25</f>
        <v>0</v>
      </c>
      <c r="D24">
        <f>'Calculations BTU'!L25</f>
        <v>0</v>
      </c>
      <c r="E24">
        <f>'Calculations BTU'!M25</f>
        <v>0</v>
      </c>
      <c r="F24">
        <f>'Calculations BTU'!N25</f>
        <v>0</v>
      </c>
      <c r="G24">
        <f>'Calculations BTU'!O25</f>
        <v>0</v>
      </c>
      <c r="H24">
        <f>'Calculations BTU'!P25</f>
        <v>0</v>
      </c>
      <c r="I24">
        <f>'Calculations BTU'!Q25</f>
        <v>0</v>
      </c>
      <c r="J24">
        <f>'Calculations BTU'!R25</f>
        <v>0</v>
      </c>
      <c r="K24">
        <f>'Calculations BTU'!S25</f>
        <v>0</v>
      </c>
      <c r="L24">
        <f>'Calculations BTU'!T25</f>
        <v>0</v>
      </c>
      <c r="M24">
        <f>'Calculations BTU'!U25</f>
        <v>0</v>
      </c>
      <c r="N24">
        <f>'Calculations BTU'!V25</f>
        <v>0</v>
      </c>
      <c r="O24">
        <f>'Calculations BTU'!W25</f>
        <v>0</v>
      </c>
      <c r="P24">
        <f>'Calculations BTU'!X25</f>
        <v>0</v>
      </c>
      <c r="Q24">
        <f>'Calculations BTU'!Y25</f>
        <v>0</v>
      </c>
      <c r="R24">
        <f>'Calculations BTU'!Z25</f>
        <v>0</v>
      </c>
      <c r="S24">
        <f>'Calculations BTU'!AA25</f>
        <v>0</v>
      </c>
      <c r="T24">
        <f>'Calculations BTU'!AB25</f>
        <v>0</v>
      </c>
      <c r="U24">
        <f>'Calculations BTU'!AC25</f>
        <v>0</v>
      </c>
      <c r="V24">
        <f>'Calculations BTU'!AD25</f>
        <v>0</v>
      </c>
      <c r="W24">
        <f>'Calculations BTU'!AE25</f>
        <v>0</v>
      </c>
      <c r="X24">
        <f>'Calculations BTU'!AF25</f>
        <v>0</v>
      </c>
      <c r="Y24">
        <f>'Calculations BTU'!AG25</f>
        <v>0</v>
      </c>
      <c r="Z24">
        <f>'Calculations BTU'!AH25</f>
        <v>0</v>
      </c>
      <c r="AA24">
        <f>'Calculations BTU'!AI25</f>
        <v>0</v>
      </c>
      <c r="AB24">
        <f>'Calculations BTU'!AJ25</f>
        <v>0</v>
      </c>
      <c r="AC24">
        <f>'Calculations BTU'!AK25</f>
        <v>0</v>
      </c>
      <c r="AD24">
        <f>'Calculations BTU'!AL25</f>
        <v>0</v>
      </c>
      <c r="AE24">
        <f>'Calculations BTU'!AM25</f>
        <v>0</v>
      </c>
      <c r="AF24">
        <f>'Calculations BTU'!AN25</f>
        <v>0</v>
      </c>
      <c r="AG24">
        <f>'Calculations BTU'!AO25</f>
        <v>0</v>
      </c>
      <c r="AH24">
        <f>'Calculations BTU'!AP25</f>
        <v>0</v>
      </c>
      <c r="AI24">
        <f>'Calculations BTU'!AQ25</f>
        <v>0</v>
      </c>
      <c r="AJ24">
        <f>'Calculations BTU'!AR25</f>
        <v>0</v>
      </c>
      <c r="AK24">
        <f>'Calculations BTU'!AS25</f>
        <v>0</v>
      </c>
      <c r="AL24">
        <f>'Calculations BTU'!AT25</f>
        <v>0</v>
      </c>
      <c r="AM24">
        <f>'Calculations BTU'!AU25</f>
        <v>0</v>
      </c>
      <c r="AN24">
        <f>'Calculations BTU'!AV25</f>
        <v>0</v>
      </c>
      <c r="AO24">
        <f>'Calculations BTU'!AW25</f>
        <v>0</v>
      </c>
      <c r="AP24">
        <f>'Calculations BTU'!AX25</f>
        <v>0</v>
      </c>
      <c r="AQ24">
        <f>'Calculations BTU'!AY25</f>
        <v>0</v>
      </c>
      <c r="AR24">
        <f>'Calculations BTU'!AZ25</f>
        <v>0</v>
      </c>
      <c r="AS24">
        <f>'Calculations BTU'!BA25</f>
        <v>0</v>
      </c>
      <c r="AT24">
        <f>'Calculations BTU'!BB25</f>
        <v>0</v>
      </c>
      <c r="AU24">
        <f>'Calculations BTU'!BC25</f>
        <v>0</v>
      </c>
      <c r="AV24">
        <f>'Calculations BTU'!BD25</f>
        <v>0</v>
      </c>
      <c r="AW24">
        <f>'Calculations BTU'!BE25</f>
        <v>0</v>
      </c>
      <c r="AX24">
        <f>'Calculations BTU'!BF25</f>
        <v>0</v>
      </c>
      <c r="AY24">
        <f>'Calculations BTU'!BG25</f>
        <v>0</v>
      </c>
      <c r="AZ24">
        <f>'Calculations BTU'!BH25</f>
        <v>0</v>
      </c>
    </row>
    <row r="25" spans="1:52">
      <c r="A25" t="s">
        <v>149</v>
      </c>
      <c r="B25">
        <f>'Calculations BTU'!J26</f>
        <v>0</v>
      </c>
      <c r="C25">
        <f>'Calculations BTU'!K26</f>
        <v>0</v>
      </c>
      <c r="D25">
        <f>'Calculations BTU'!L26</f>
        <v>0</v>
      </c>
      <c r="E25">
        <f>'Calculations BTU'!M26</f>
        <v>0</v>
      </c>
      <c r="F25">
        <f>'Calculations BTU'!N26</f>
        <v>0</v>
      </c>
      <c r="G25">
        <f>'Calculations BTU'!O26</f>
        <v>0</v>
      </c>
      <c r="H25">
        <f>'Calculations BTU'!P26</f>
        <v>0</v>
      </c>
      <c r="I25">
        <f>'Calculations BTU'!Q26</f>
        <v>0</v>
      </c>
      <c r="J25">
        <f>'Calculations BTU'!R26</f>
        <v>0</v>
      </c>
      <c r="K25">
        <f>'Calculations BTU'!S26</f>
        <v>0</v>
      </c>
      <c r="L25">
        <f>'Calculations BTU'!T26</f>
        <v>0</v>
      </c>
      <c r="M25">
        <f>'Calculations BTU'!U26</f>
        <v>0</v>
      </c>
      <c r="N25">
        <f>'Calculations BTU'!V26</f>
        <v>0</v>
      </c>
      <c r="O25">
        <f>'Calculations BTU'!W26</f>
        <v>0</v>
      </c>
      <c r="P25">
        <f>'Calculations BTU'!X26</f>
        <v>0</v>
      </c>
      <c r="Q25">
        <f>'Calculations BTU'!Y26</f>
        <v>0</v>
      </c>
      <c r="R25">
        <f>'Calculations BTU'!Z26</f>
        <v>0</v>
      </c>
      <c r="S25">
        <f>'Calculations BTU'!AA26</f>
        <v>0</v>
      </c>
      <c r="T25">
        <f>'Calculations BTU'!AB26</f>
        <v>0</v>
      </c>
      <c r="U25">
        <f>'Calculations BTU'!AC26</f>
        <v>0</v>
      </c>
      <c r="V25">
        <f>'Calculations BTU'!AD26</f>
        <v>0</v>
      </c>
      <c r="W25">
        <f>'Calculations BTU'!AE26</f>
        <v>0</v>
      </c>
      <c r="X25">
        <f>'Calculations BTU'!AF26</f>
        <v>0</v>
      </c>
      <c r="Y25">
        <f>'Calculations BTU'!AG26</f>
        <v>0</v>
      </c>
      <c r="Z25">
        <f>'Calculations BTU'!AH26</f>
        <v>0</v>
      </c>
      <c r="AA25">
        <f>'Calculations BTU'!AI26</f>
        <v>0</v>
      </c>
      <c r="AB25">
        <f>'Calculations BTU'!AJ26</f>
        <v>0</v>
      </c>
      <c r="AC25">
        <f>'Calculations BTU'!AK26</f>
        <v>0</v>
      </c>
      <c r="AD25">
        <f>'Calculations BTU'!AL26</f>
        <v>0</v>
      </c>
      <c r="AE25">
        <f>'Calculations BTU'!AM26</f>
        <v>0</v>
      </c>
      <c r="AF25">
        <f>'Calculations BTU'!AN26</f>
        <v>0</v>
      </c>
      <c r="AG25">
        <f>'Calculations BTU'!AO26</f>
        <v>0</v>
      </c>
      <c r="AH25">
        <f>'Calculations BTU'!AP26</f>
        <v>0</v>
      </c>
      <c r="AI25">
        <f>'Calculations BTU'!AQ26</f>
        <v>0</v>
      </c>
      <c r="AJ25">
        <f>'Calculations BTU'!AR26</f>
        <v>0</v>
      </c>
      <c r="AK25">
        <f>'Calculations BTU'!AS26</f>
        <v>0</v>
      </c>
      <c r="AL25">
        <f>'Calculations BTU'!AT26</f>
        <v>0</v>
      </c>
      <c r="AM25">
        <f>'Calculations BTU'!AU26</f>
        <v>0</v>
      </c>
      <c r="AN25">
        <f>'Calculations BTU'!AV26</f>
        <v>0</v>
      </c>
      <c r="AO25">
        <f>'Calculations BTU'!AW26</f>
        <v>0</v>
      </c>
      <c r="AP25">
        <f>'Calculations BTU'!AX26</f>
        <v>0</v>
      </c>
      <c r="AQ25">
        <f>'Calculations BTU'!AY26</f>
        <v>0</v>
      </c>
      <c r="AR25">
        <f>'Calculations BTU'!AZ26</f>
        <v>0</v>
      </c>
      <c r="AS25">
        <f>'Calculations BTU'!BA26</f>
        <v>0</v>
      </c>
      <c r="AT25">
        <f>'Calculations BTU'!BB26</f>
        <v>0</v>
      </c>
      <c r="AU25">
        <f>'Calculations BTU'!BC26</f>
        <v>0</v>
      </c>
      <c r="AV25">
        <f>'Calculations BTU'!BD26</f>
        <v>0</v>
      </c>
      <c r="AW25">
        <f>'Calculations BTU'!BE26</f>
        <v>0</v>
      </c>
      <c r="AX25">
        <f>'Calculations BTU'!BF26</f>
        <v>0</v>
      </c>
      <c r="AY25">
        <f>'Calculations BTU'!BG26</f>
        <v>0</v>
      </c>
      <c r="AZ25">
        <f>'Calculations BTU'!BH26</f>
        <v>0</v>
      </c>
    </row>
    <row r="26" spans="1:52">
      <c r="A26" t="s">
        <v>150</v>
      </c>
      <c r="B26">
        <f>'Calculations BTU'!J27</f>
        <v>1990520989973.5115</v>
      </c>
      <c r="C26">
        <f>'Calculations BTU'!K27</f>
        <v>1943127633069.3801</v>
      </c>
      <c r="D26">
        <f>'Calculations BTU'!L27</f>
        <v>2274881131398.2988</v>
      </c>
      <c r="E26">
        <f>'Calculations BTU'!M27</f>
        <v>2492890573157.3022</v>
      </c>
      <c r="F26">
        <f>'Calculations BTU'!N27</f>
        <v>2701421343535.48</v>
      </c>
      <c r="G26">
        <f>'Calculations BTU'!O27</f>
        <v>2919430785294.4834</v>
      </c>
      <c r="H26">
        <f>'Calculations BTU'!P27</f>
        <v>3137440227053.4873</v>
      </c>
      <c r="I26">
        <f>'Calculations BTU'!Q27</f>
        <v>3355449668812.4907</v>
      </c>
      <c r="J26">
        <f>'Calculations BTU'!R27</f>
        <v>3573459110571.4946</v>
      </c>
      <c r="K26">
        <f>'Calculations BTU'!S27</f>
        <v>3791468552330.498</v>
      </c>
      <c r="L26">
        <f>'Calculations BTU'!T27</f>
        <v>3999999322708.6753</v>
      </c>
      <c r="M26">
        <f>'Calculations BTU'!U27</f>
        <v>4218008764467.6792</v>
      </c>
      <c r="N26">
        <f>'Calculations BTU'!V27</f>
        <v>4436018206226.6826</v>
      </c>
      <c r="O26">
        <f>'Calculations BTU'!W27</f>
        <v>4654027647985.6865</v>
      </c>
      <c r="P26">
        <f>'Calculations BTU'!X27</f>
        <v>4872037089744.6895</v>
      </c>
      <c r="Q26">
        <f>'Calculations BTU'!Y27</f>
        <v>5090046531503.6934</v>
      </c>
      <c r="R26">
        <f>'Calculations BTU'!Z27</f>
        <v>5298577301881.8711</v>
      </c>
      <c r="S26">
        <f>'Calculations BTU'!AA27</f>
        <v>5516586743640.875</v>
      </c>
      <c r="T26">
        <f>'Calculations BTU'!AB27</f>
        <v>5734596185399.8779</v>
      </c>
      <c r="U26">
        <f>'Calculations BTU'!AC27</f>
        <v>5952605627158.8818</v>
      </c>
      <c r="V26">
        <f>'Calculations BTU'!AD27</f>
        <v>6170615068917.8857</v>
      </c>
      <c r="W26">
        <f>'Calculations BTU'!AE27</f>
        <v>6388624510676.8896</v>
      </c>
      <c r="X26">
        <f>'Calculations BTU'!AF27</f>
        <v>6597155281055.0664</v>
      </c>
      <c r="Y26">
        <f>'Calculations BTU'!AG27</f>
        <v>6815164722814.0703</v>
      </c>
      <c r="Z26">
        <f>'Calculations BTU'!AH27</f>
        <v>7033174164573.0742</v>
      </c>
      <c r="AA26">
        <f>'Calculations BTU'!AI27</f>
        <v>7251183606332.0781</v>
      </c>
      <c r="AB26">
        <f>'Calculations BTU'!AJ27</f>
        <v>7469193048091.0811</v>
      </c>
      <c r="AC26">
        <f>'Calculations BTU'!AK27</f>
        <v>7687202489850.084</v>
      </c>
      <c r="AD26">
        <f>'Calculations BTU'!AL27</f>
        <v>7905211931609.0879</v>
      </c>
      <c r="AE26">
        <f>'Calculations BTU'!AM27</f>
        <v>8113742701987.2666</v>
      </c>
      <c r="AF26">
        <f>'Calculations BTU'!AN27</f>
        <v>8331752143746.2686</v>
      </c>
      <c r="AG26">
        <f>'Calculations BTU'!AO27</f>
        <v>8331752143746.2686</v>
      </c>
      <c r="AH26">
        <f>'Calculations BTU'!AP27</f>
        <v>8331752143746.2686</v>
      </c>
      <c r="AI26">
        <f>'Calculations BTU'!AQ27</f>
        <v>8331752143746.2686</v>
      </c>
      <c r="AJ26">
        <f>'Calculations BTU'!AR27</f>
        <v>8331752143746.2686</v>
      </c>
      <c r="AK26">
        <f>'Calculations BTU'!AS27</f>
        <v>8331752143746.2686</v>
      </c>
      <c r="AL26">
        <f>'Calculations BTU'!AT27</f>
        <v>8331752143746.2686</v>
      </c>
      <c r="AM26">
        <f>'Calculations BTU'!AU27</f>
        <v>8331752143746.2686</v>
      </c>
      <c r="AN26">
        <f>'Calculations BTU'!AV27</f>
        <v>8331752143746.2686</v>
      </c>
      <c r="AO26">
        <f>'Calculations BTU'!AW27</f>
        <v>8331752143746.2686</v>
      </c>
      <c r="AP26">
        <f>'Calculations BTU'!AX27</f>
        <v>8331752143746.2686</v>
      </c>
      <c r="AQ26">
        <f>'Calculations BTU'!AY27</f>
        <v>8331752143746.2686</v>
      </c>
      <c r="AR26">
        <f>'Calculations BTU'!AZ27</f>
        <v>8331752143746.2686</v>
      </c>
      <c r="AS26">
        <f>'Calculations BTU'!BA27</f>
        <v>8331752143746.2686</v>
      </c>
      <c r="AT26">
        <f>'Calculations BTU'!BB27</f>
        <v>8331752143746.2686</v>
      </c>
      <c r="AU26">
        <f>'Calculations BTU'!BC27</f>
        <v>8331752143746.2686</v>
      </c>
      <c r="AV26">
        <f>'Calculations BTU'!BD27</f>
        <v>8331752143746.2686</v>
      </c>
      <c r="AW26">
        <f>'Calculations BTU'!BE27</f>
        <v>8331752143746.2686</v>
      </c>
      <c r="AX26">
        <f>'Calculations BTU'!BF27</f>
        <v>8331752143746.2686</v>
      </c>
      <c r="AY26">
        <f>'Calculations BTU'!BG27</f>
        <v>8331752143746.2686</v>
      </c>
      <c r="AZ26">
        <f>'Calculations BTU'!BH27</f>
        <v>8331752143746.2686</v>
      </c>
    </row>
    <row r="28" spans="1:52">
      <c r="A28" s="2"/>
    </row>
    <row r="30" spans="1:52">
      <c r="A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5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5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5">
      <c r="A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5">
      <c r="A34" s="4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>
      <c r="A35" s="4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>
      <c r="A36" s="4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>
      <c r="A37" s="4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>
      <c r="A38" s="4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>
      <c r="A39" s="4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>
      <c r="A40" s="4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>
      <c r="A41" s="4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>
      <c r="A42" s="4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>
      <c r="A43" s="4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>
      <c r="A44" s="4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>
      <c r="A45" s="4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>
      <c r="A46" s="7"/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>
      <c r="A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5">
      <c r="A48" s="4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>
      <c r="A49" s="4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>
      <c r="A50" s="10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>
      <c r="A51" s="4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>
      <c r="A52" s="4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>
      <c r="A53" s="4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>
      <c r="A54" s="4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>
      <c r="A55" s="4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>
      <c r="A56" s="4"/>
      <c r="B56" s="1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>
      <c r="A57" s="4"/>
      <c r="B57" s="1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>
      <c r="A58" s="4"/>
      <c r="B58" s="1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>
      <c r="A59" s="4"/>
      <c r="B59" s="1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>
      <c r="A60" s="4"/>
      <c r="B60" s="1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>
      <c r="A61" s="4"/>
      <c r="B61" s="1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>
      <c r="A62" s="7"/>
      <c r="B62" s="11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</row>
    <row r="63" spans="1:35">
      <c r="A63" s="12"/>
      <c r="B63" s="11"/>
    </row>
    <row r="64" spans="1:35">
      <c r="A64" s="4"/>
      <c r="B64" s="1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>
      <c r="A65" s="4"/>
      <c r="B65" s="1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>
      <c r="A66" s="4"/>
      <c r="B66" s="1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>
      <c r="A67" s="4"/>
      <c r="B67" s="1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>
      <c r="A68" s="4"/>
      <c r="B68" s="1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>
      <c r="A69" s="4"/>
      <c r="B69" s="1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>
      <c r="A70" s="4"/>
      <c r="B70" s="1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>
      <c r="A71" s="4"/>
      <c r="B71" s="1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>
      <c r="A72" s="4"/>
      <c r="B72" s="1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>
      <c r="A73" s="4"/>
      <c r="B73" s="1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>
      <c r="A74" s="4"/>
      <c r="B74" s="1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>
      <c r="A75" s="4"/>
      <c r="B75" s="1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>
      <c r="A76" s="7"/>
      <c r="B76" s="11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</row>
    <row r="77" spans="1:35">
      <c r="A77" s="12"/>
      <c r="B77" s="11"/>
    </row>
    <row r="78" spans="1:35">
      <c r="A78" s="12"/>
      <c r="B78" s="11"/>
    </row>
    <row r="79" spans="1:35">
      <c r="A79" s="4"/>
      <c r="B79" s="1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>
      <c r="A80" s="4"/>
      <c r="B80" s="1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>
      <c r="A81" s="4"/>
      <c r="B81" s="1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>
      <c r="A82" s="4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>
      <c r="A83" s="4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>
      <c r="A84" s="4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>
      <c r="A85" s="4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>
      <c r="A86" s="4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>
      <c r="A87" s="4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>
      <c r="A88" s="4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>
      <c r="A89" s="4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>
      <c r="A90" s="13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>
      <c r="A91" s="10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>
      <c r="A92" s="4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>
      <c r="A93" s="4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>
      <c r="A94" s="4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>
      <c r="A95" s="12"/>
    </row>
    <row r="96" spans="1:35">
      <c r="A96" s="4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>
      <c r="A97" s="4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>
      <c r="A98" s="4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>
      <c r="A99" s="4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>
      <c r="A100" s="4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>
      <c r="A101" s="4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>
      <c r="A102" s="4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>
      <c r="A103" s="4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>
      <c r="A104" s="4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>
      <c r="A105" s="4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>
      <c r="A106" s="4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>
      <c r="A107" s="7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>
      <c r="A108" s="2"/>
    </row>
    <row r="109" spans="1:35">
      <c r="A109" s="14"/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 spans="1:35">
      <c r="A110" s="14"/>
      <c r="B110" s="15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35">
      <c r="A111" s="14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35">
      <c r="A112" s="14"/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</row>
    <row r="113" spans="1:35">
      <c r="A113" s="2"/>
    </row>
    <row r="114" spans="1:35">
      <c r="A114" s="4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>
      <c r="A115" s="4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>
      <c r="A116" s="4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>
      <c r="A117" s="4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>
      <c r="A118" s="4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>
      <c r="A119" s="4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>
      <c r="A120" s="4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>
      <c r="A121" s="4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>
      <c r="A122" s="4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>
      <c r="A123" s="4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>
      <c r="A124" s="7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>
      <c r="A125" s="2"/>
    </row>
    <row r="126" spans="1:35">
      <c r="A126" s="10"/>
      <c r="B126" s="5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</row>
    <row r="127" spans="1:35">
      <c r="A127" s="4"/>
      <c r="B127" s="5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</row>
    <row r="128" spans="1:35">
      <c r="A128" s="4"/>
      <c r="B128" s="5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</row>
    <row r="129" spans="1:35">
      <c r="A129" s="4"/>
      <c r="B129" s="5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</row>
    <row r="130" spans="1:35">
      <c r="A130" s="4"/>
      <c r="B130" s="5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</row>
    <row r="131" spans="1:35">
      <c r="A131" s="4"/>
      <c r="B131" s="5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</row>
    <row r="132" spans="1:35">
      <c r="A132" s="4"/>
      <c r="B132" s="5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</row>
    <row r="133" spans="1:35">
      <c r="A133" s="4"/>
      <c r="B133" s="5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</row>
    <row r="134" spans="1:35">
      <c r="A134" s="4"/>
      <c r="B134" s="5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</row>
    <row r="135" spans="1:35">
      <c r="A135" s="4"/>
      <c r="B135" s="5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</row>
    <row r="136" spans="1:35">
      <c r="A136" s="4"/>
      <c r="B136" s="5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</row>
    <row r="137" spans="1:35">
      <c r="A137" s="4"/>
      <c r="B137" s="5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</row>
    <row r="138" spans="1:35">
      <c r="A138" s="4"/>
      <c r="B138" s="5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</row>
    <row r="139" spans="1:35">
      <c r="A139" s="4"/>
      <c r="B139" s="5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</row>
    <row r="140" spans="1:35">
      <c r="A140" s="4"/>
      <c r="B140" s="5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</row>
    <row r="141" spans="1:35">
      <c r="A141" s="4"/>
      <c r="B141" s="5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</row>
    <row r="142" spans="1:35">
      <c r="A142" s="4"/>
      <c r="B142" s="5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</row>
    <row r="143" spans="1:35">
      <c r="A143" s="4"/>
      <c r="B143" s="5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</row>
    <row r="144" spans="1:35">
      <c r="A144" s="4"/>
      <c r="B144" s="5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</row>
    <row r="145" spans="1:35">
      <c r="A145" s="4"/>
      <c r="B145" s="5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</row>
    <row r="146" spans="1:35">
      <c r="A146" s="7"/>
      <c r="B146" s="8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</row>
    <row r="147" spans="1:35">
      <c r="A147" s="4"/>
      <c r="B147" s="5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</row>
    <row r="148" spans="1:35">
      <c r="A148" s="7"/>
      <c r="B148" s="8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</row>
    <row r="150" spans="1:35">
      <c r="C150" s="22"/>
      <c r="D150" s="22"/>
      <c r="E150" s="22"/>
      <c r="F150" s="22"/>
      <c r="G150" s="22"/>
      <c r="H150" s="22"/>
      <c r="I150" s="22"/>
      <c r="J150" s="22"/>
      <c r="K150" s="22"/>
      <c r="L150" s="22"/>
    </row>
    <row r="151" spans="1:35">
      <c r="C151" s="22"/>
      <c r="D151" s="22"/>
      <c r="E151" s="22"/>
      <c r="F151" s="22"/>
      <c r="G151" s="22"/>
      <c r="H151" s="22"/>
      <c r="I151" s="22"/>
      <c r="J151" s="22"/>
      <c r="K151" s="22"/>
      <c r="L151" s="2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D703-68A7-BB44-85E6-A3C3782A5D8D}">
  <sheetPr>
    <tabColor theme="3"/>
  </sheetPr>
  <dimension ref="A1:AZ79"/>
  <sheetViews>
    <sheetView topLeftCell="A6" workbookViewId="0">
      <selection activeCell="B23" sqref="B23"/>
    </sheetView>
  </sheetViews>
  <sheetFormatPr defaultColWidth="9.140625" defaultRowHeight="15"/>
  <cols>
    <col min="1" max="1" width="39.85546875" customWidth="1"/>
    <col min="2" max="32" width="7.7109375" bestFit="1" customWidth="1"/>
    <col min="33" max="33" width="11" customWidth="1"/>
    <col min="34" max="35" width="9.42578125" bestFit="1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BTU'!J29</f>
        <v>0</v>
      </c>
      <c r="C2">
        <f>'Calculations BTU'!K29</f>
        <v>0</v>
      </c>
      <c r="D2">
        <f>'Calculations BTU'!L29</f>
        <v>0</v>
      </c>
      <c r="E2">
        <f>'Calculations BTU'!M29</f>
        <v>0</v>
      </c>
      <c r="F2">
        <f>'Calculations BTU'!N29</f>
        <v>0</v>
      </c>
      <c r="G2">
        <f>'Calculations BTU'!O29</f>
        <v>0</v>
      </c>
      <c r="H2">
        <f>'Calculations BTU'!P29</f>
        <v>0</v>
      </c>
      <c r="I2">
        <f>'Calculations BTU'!Q29</f>
        <v>0</v>
      </c>
      <c r="J2">
        <f>'Calculations BTU'!R29</f>
        <v>0</v>
      </c>
      <c r="K2">
        <f>'Calculations BTU'!S29</f>
        <v>0</v>
      </c>
      <c r="L2">
        <f>'Calculations BTU'!T29</f>
        <v>0</v>
      </c>
      <c r="M2">
        <f>'Calculations BTU'!U29</f>
        <v>0</v>
      </c>
      <c r="N2">
        <f>'Calculations BTU'!V29</f>
        <v>0</v>
      </c>
      <c r="O2">
        <f>'Calculations BTU'!W29</f>
        <v>0</v>
      </c>
      <c r="P2">
        <f>'Calculations BTU'!X29</f>
        <v>0</v>
      </c>
      <c r="Q2">
        <f>'Calculations BTU'!Y29</f>
        <v>0</v>
      </c>
      <c r="R2">
        <f>'Calculations BTU'!Z29</f>
        <v>0</v>
      </c>
      <c r="S2">
        <f>'Calculations BTU'!AA29</f>
        <v>0</v>
      </c>
      <c r="T2">
        <f>'Calculations BTU'!AB29</f>
        <v>0</v>
      </c>
      <c r="U2">
        <f>'Calculations BTU'!AC29</f>
        <v>0</v>
      </c>
      <c r="V2">
        <f>'Calculations BTU'!AD29</f>
        <v>0</v>
      </c>
      <c r="W2">
        <f>'Calculations BTU'!AE29</f>
        <v>0</v>
      </c>
      <c r="X2">
        <f>'Calculations BTU'!AF29</f>
        <v>0</v>
      </c>
      <c r="Y2">
        <f>'Calculations BTU'!AG29</f>
        <v>0</v>
      </c>
      <c r="Z2">
        <f>'Calculations BTU'!AH29</f>
        <v>0</v>
      </c>
      <c r="AA2">
        <f>'Calculations BTU'!AI29</f>
        <v>0</v>
      </c>
      <c r="AB2">
        <f>'Calculations BTU'!AJ29</f>
        <v>0</v>
      </c>
      <c r="AC2">
        <f>'Calculations BTU'!AK29</f>
        <v>0</v>
      </c>
      <c r="AD2">
        <f>'Calculations BTU'!AL29</f>
        <v>0</v>
      </c>
      <c r="AE2">
        <f>'Calculations BTU'!AM29</f>
        <v>0</v>
      </c>
      <c r="AF2">
        <f>'Calculations BTU'!AN29</f>
        <v>0</v>
      </c>
      <c r="AG2">
        <f>'Calculations BTU'!AO29</f>
        <v>0</v>
      </c>
      <c r="AH2">
        <f>'Calculations BTU'!AP29</f>
        <v>0</v>
      </c>
      <c r="AI2">
        <f>'Calculations BTU'!AQ29</f>
        <v>0</v>
      </c>
      <c r="AJ2">
        <f>'Calculations BTU'!AR29</f>
        <v>0</v>
      </c>
      <c r="AK2">
        <f>'Calculations BTU'!AS29</f>
        <v>0</v>
      </c>
      <c r="AL2">
        <f>'Calculations BTU'!AT29</f>
        <v>0</v>
      </c>
      <c r="AM2">
        <f>'Calculations BTU'!AU29</f>
        <v>0</v>
      </c>
      <c r="AN2">
        <f>'Calculations BTU'!AV29</f>
        <v>0</v>
      </c>
      <c r="AO2">
        <f>'Calculations BTU'!AW29</f>
        <v>0</v>
      </c>
      <c r="AP2">
        <f>'Calculations BTU'!AX29</f>
        <v>0</v>
      </c>
      <c r="AQ2">
        <f>'Calculations BTU'!AY29</f>
        <v>0</v>
      </c>
      <c r="AR2">
        <f>'Calculations BTU'!AZ29</f>
        <v>0</v>
      </c>
      <c r="AS2">
        <f>'Calculations BTU'!BA29</f>
        <v>0</v>
      </c>
      <c r="AT2">
        <f>'Calculations BTU'!BB29</f>
        <v>0</v>
      </c>
      <c r="AU2">
        <f>'Calculations BTU'!BC29</f>
        <v>0</v>
      </c>
      <c r="AV2">
        <f>'Calculations BTU'!BD29</f>
        <v>0</v>
      </c>
      <c r="AW2">
        <f>'Calculations BTU'!BE29</f>
        <v>0</v>
      </c>
      <c r="AX2">
        <f>'Calculations BTU'!BF29</f>
        <v>0</v>
      </c>
      <c r="AY2">
        <f>'Calculations BTU'!BG29</f>
        <v>0</v>
      </c>
      <c r="AZ2">
        <f>'Calculations BTU'!BH29</f>
        <v>0</v>
      </c>
    </row>
    <row r="3" spans="1:52">
      <c r="A3" t="s">
        <v>127</v>
      </c>
      <c r="B3">
        <f>'Calculations BTU'!J30</f>
        <v>0</v>
      </c>
      <c r="C3">
        <f>'Calculations BTU'!K30</f>
        <v>0</v>
      </c>
      <c r="D3">
        <f>'Calculations BTU'!L30</f>
        <v>0</v>
      </c>
      <c r="E3">
        <f>'Calculations BTU'!M30</f>
        <v>0</v>
      </c>
      <c r="F3">
        <f>'Calculations BTU'!N30</f>
        <v>0</v>
      </c>
      <c r="G3">
        <f>'Calculations BTU'!O30</f>
        <v>0</v>
      </c>
      <c r="H3">
        <f>'Calculations BTU'!P30</f>
        <v>0</v>
      </c>
      <c r="I3">
        <f>'Calculations BTU'!Q30</f>
        <v>0</v>
      </c>
      <c r="J3">
        <f>'Calculations BTU'!R30</f>
        <v>0</v>
      </c>
      <c r="K3">
        <f>'Calculations BTU'!S30</f>
        <v>0</v>
      </c>
      <c r="L3">
        <f>'Calculations BTU'!T30</f>
        <v>0</v>
      </c>
      <c r="M3">
        <f>'Calculations BTU'!U30</f>
        <v>0</v>
      </c>
      <c r="N3">
        <f>'Calculations BTU'!V30</f>
        <v>0</v>
      </c>
      <c r="O3">
        <f>'Calculations BTU'!W30</f>
        <v>0</v>
      </c>
      <c r="P3">
        <f>'Calculations BTU'!X30</f>
        <v>0</v>
      </c>
      <c r="Q3">
        <f>'Calculations BTU'!Y30</f>
        <v>0</v>
      </c>
      <c r="R3">
        <f>'Calculations BTU'!Z30</f>
        <v>0</v>
      </c>
      <c r="S3">
        <f>'Calculations BTU'!AA30</f>
        <v>0</v>
      </c>
      <c r="T3">
        <f>'Calculations BTU'!AB30</f>
        <v>0</v>
      </c>
      <c r="U3">
        <f>'Calculations BTU'!AC30</f>
        <v>0</v>
      </c>
      <c r="V3">
        <f>'Calculations BTU'!AD30</f>
        <v>0</v>
      </c>
      <c r="W3">
        <f>'Calculations BTU'!AE30</f>
        <v>0</v>
      </c>
      <c r="X3">
        <f>'Calculations BTU'!AF30</f>
        <v>0</v>
      </c>
      <c r="Y3">
        <f>'Calculations BTU'!AG30</f>
        <v>0</v>
      </c>
      <c r="Z3">
        <f>'Calculations BTU'!AH30</f>
        <v>0</v>
      </c>
      <c r="AA3">
        <f>'Calculations BTU'!AI30</f>
        <v>0</v>
      </c>
      <c r="AB3">
        <f>'Calculations BTU'!AJ30</f>
        <v>0</v>
      </c>
      <c r="AC3">
        <f>'Calculations BTU'!AK30</f>
        <v>0</v>
      </c>
      <c r="AD3">
        <f>'Calculations BTU'!AL30</f>
        <v>0</v>
      </c>
      <c r="AE3">
        <f>'Calculations BTU'!AM30</f>
        <v>0</v>
      </c>
      <c r="AF3">
        <f>'Calculations BTU'!AN30</f>
        <v>0</v>
      </c>
      <c r="AG3">
        <f>'Calculations BTU'!AO30</f>
        <v>0</v>
      </c>
      <c r="AH3">
        <f>'Calculations BTU'!AP30</f>
        <v>0</v>
      </c>
      <c r="AI3">
        <f>'Calculations BTU'!AQ30</f>
        <v>0</v>
      </c>
      <c r="AJ3">
        <f>'Calculations BTU'!AR30</f>
        <v>0</v>
      </c>
      <c r="AK3">
        <f>'Calculations BTU'!AS30</f>
        <v>0</v>
      </c>
      <c r="AL3">
        <f>'Calculations BTU'!AT30</f>
        <v>0</v>
      </c>
      <c r="AM3">
        <f>'Calculations BTU'!AU30</f>
        <v>0</v>
      </c>
      <c r="AN3">
        <f>'Calculations BTU'!AV30</f>
        <v>0</v>
      </c>
      <c r="AO3">
        <f>'Calculations BTU'!AW30</f>
        <v>0</v>
      </c>
      <c r="AP3">
        <f>'Calculations BTU'!AX30</f>
        <v>0</v>
      </c>
      <c r="AQ3">
        <f>'Calculations BTU'!AY30</f>
        <v>0</v>
      </c>
      <c r="AR3">
        <f>'Calculations BTU'!AZ30</f>
        <v>0</v>
      </c>
      <c r="AS3">
        <f>'Calculations BTU'!BA30</f>
        <v>0</v>
      </c>
      <c r="AT3">
        <f>'Calculations BTU'!BB30</f>
        <v>0</v>
      </c>
      <c r="AU3">
        <f>'Calculations BTU'!BC30</f>
        <v>0</v>
      </c>
      <c r="AV3">
        <f>'Calculations BTU'!BD30</f>
        <v>0</v>
      </c>
      <c r="AW3">
        <f>'Calculations BTU'!BE30</f>
        <v>0</v>
      </c>
      <c r="AX3">
        <f>'Calculations BTU'!BF30</f>
        <v>0</v>
      </c>
      <c r="AY3">
        <f>'Calculations BTU'!BG30</f>
        <v>0</v>
      </c>
      <c r="AZ3">
        <f>'Calculations BTU'!BH30</f>
        <v>0</v>
      </c>
    </row>
    <row r="4" spans="1:52">
      <c r="A4" t="s">
        <v>128</v>
      </c>
      <c r="B4">
        <f>'Calculations BTU'!J31</f>
        <v>0</v>
      </c>
      <c r="C4">
        <f>'Calculations BTU'!K31</f>
        <v>0</v>
      </c>
      <c r="D4">
        <f>'Calculations BTU'!L31</f>
        <v>0</v>
      </c>
      <c r="E4">
        <f>'Calculations BTU'!M31</f>
        <v>0</v>
      </c>
      <c r="F4">
        <f>'Calculations BTU'!N31</f>
        <v>0</v>
      </c>
      <c r="G4">
        <f>'Calculations BTU'!O31</f>
        <v>0</v>
      </c>
      <c r="H4">
        <f>'Calculations BTU'!P31</f>
        <v>0</v>
      </c>
      <c r="I4">
        <f>'Calculations BTU'!Q31</f>
        <v>0</v>
      </c>
      <c r="J4">
        <f>'Calculations BTU'!R31</f>
        <v>0</v>
      </c>
      <c r="K4">
        <f>'Calculations BTU'!S31</f>
        <v>0</v>
      </c>
      <c r="L4">
        <f>'Calculations BTU'!T31</f>
        <v>0</v>
      </c>
      <c r="M4">
        <f>'Calculations BTU'!U31</f>
        <v>0</v>
      </c>
      <c r="N4">
        <f>'Calculations BTU'!V31</f>
        <v>0</v>
      </c>
      <c r="O4">
        <f>'Calculations BTU'!W31</f>
        <v>0</v>
      </c>
      <c r="P4">
        <f>'Calculations BTU'!X31</f>
        <v>0</v>
      </c>
      <c r="Q4">
        <f>'Calculations BTU'!Y31</f>
        <v>0</v>
      </c>
      <c r="R4">
        <f>'Calculations BTU'!Z31</f>
        <v>0</v>
      </c>
      <c r="S4">
        <f>'Calculations BTU'!AA31</f>
        <v>0</v>
      </c>
      <c r="T4">
        <f>'Calculations BTU'!AB31</f>
        <v>0</v>
      </c>
      <c r="U4">
        <f>'Calculations BTU'!AC31</f>
        <v>0</v>
      </c>
      <c r="V4">
        <f>'Calculations BTU'!AD31</f>
        <v>0</v>
      </c>
      <c r="W4">
        <f>'Calculations BTU'!AE31</f>
        <v>0</v>
      </c>
      <c r="X4">
        <f>'Calculations BTU'!AF31</f>
        <v>0</v>
      </c>
      <c r="Y4">
        <f>'Calculations BTU'!AG31</f>
        <v>0</v>
      </c>
      <c r="Z4">
        <f>'Calculations BTU'!AH31</f>
        <v>0</v>
      </c>
      <c r="AA4">
        <f>'Calculations BTU'!AI31</f>
        <v>0</v>
      </c>
      <c r="AB4">
        <f>'Calculations BTU'!AJ31</f>
        <v>0</v>
      </c>
      <c r="AC4">
        <f>'Calculations BTU'!AK31</f>
        <v>0</v>
      </c>
      <c r="AD4">
        <f>'Calculations BTU'!AL31</f>
        <v>0</v>
      </c>
      <c r="AE4">
        <f>'Calculations BTU'!AM31</f>
        <v>0</v>
      </c>
      <c r="AF4">
        <f>'Calculations BTU'!AN31</f>
        <v>0</v>
      </c>
      <c r="AG4">
        <f>'Calculations BTU'!AO31</f>
        <v>0</v>
      </c>
      <c r="AH4">
        <f>'Calculations BTU'!AP31</f>
        <v>0</v>
      </c>
      <c r="AI4">
        <f>'Calculations BTU'!AQ31</f>
        <v>0</v>
      </c>
      <c r="AJ4">
        <f>'Calculations BTU'!AR31</f>
        <v>0</v>
      </c>
      <c r="AK4">
        <f>'Calculations BTU'!AS31</f>
        <v>0</v>
      </c>
      <c r="AL4">
        <f>'Calculations BTU'!AT31</f>
        <v>0</v>
      </c>
      <c r="AM4">
        <f>'Calculations BTU'!AU31</f>
        <v>0</v>
      </c>
      <c r="AN4">
        <f>'Calculations BTU'!AV31</f>
        <v>0</v>
      </c>
      <c r="AO4">
        <f>'Calculations BTU'!AW31</f>
        <v>0</v>
      </c>
      <c r="AP4">
        <f>'Calculations BTU'!AX31</f>
        <v>0</v>
      </c>
      <c r="AQ4">
        <f>'Calculations BTU'!AY31</f>
        <v>0</v>
      </c>
      <c r="AR4">
        <f>'Calculations BTU'!AZ31</f>
        <v>0</v>
      </c>
      <c r="AS4">
        <f>'Calculations BTU'!BA31</f>
        <v>0</v>
      </c>
      <c r="AT4">
        <f>'Calculations BTU'!BB31</f>
        <v>0</v>
      </c>
      <c r="AU4">
        <f>'Calculations BTU'!BC31</f>
        <v>0</v>
      </c>
      <c r="AV4">
        <f>'Calculations BTU'!BD31</f>
        <v>0</v>
      </c>
      <c r="AW4">
        <f>'Calculations BTU'!BE31</f>
        <v>0</v>
      </c>
      <c r="AX4">
        <f>'Calculations BTU'!BF31</f>
        <v>0</v>
      </c>
      <c r="AY4">
        <f>'Calculations BTU'!BG31</f>
        <v>0</v>
      </c>
      <c r="AZ4">
        <f>'Calculations BTU'!BH31</f>
        <v>0</v>
      </c>
    </row>
    <row r="5" spans="1:52">
      <c r="A5" t="s">
        <v>129</v>
      </c>
      <c r="B5">
        <f>'Calculations BTU'!J32</f>
        <v>0</v>
      </c>
      <c r="C5">
        <f>'Calculations BTU'!K32</f>
        <v>0</v>
      </c>
      <c r="D5">
        <f>'Calculations BTU'!L32</f>
        <v>0</v>
      </c>
      <c r="E5">
        <f>'Calculations BTU'!M32</f>
        <v>0</v>
      </c>
      <c r="F5">
        <f>'Calculations BTU'!N32</f>
        <v>0</v>
      </c>
      <c r="G5">
        <f>'Calculations BTU'!O32</f>
        <v>0</v>
      </c>
      <c r="H5">
        <f>'Calculations BTU'!P32</f>
        <v>0</v>
      </c>
      <c r="I5">
        <f>'Calculations BTU'!Q32</f>
        <v>0</v>
      </c>
      <c r="J5">
        <f>'Calculations BTU'!R32</f>
        <v>0</v>
      </c>
      <c r="K5">
        <f>'Calculations BTU'!S32</f>
        <v>0</v>
      </c>
      <c r="L5">
        <f>'Calculations BTU'!T32</f>
        <v>0</v>
      </c>
      <c r="M5">
        <f>'Calculations BTU'!U32</f>
        <v>0</v>
      </c>
      <c r="N5">
        <f>'Calculations BTU'!V32</f>
        <v>0</v>
      </c>
      <c r="O5">
        <f>'Calculations BTU'!W32</f>
        <v>0</v>
      </c>
      <c r="P5">
        <f>'Calculations BTU'!X32</f>
        <v>0</v>
      </c>
      <c r="Q5">
        <f>'Calculations BTU'!Y32</f>
        <v>0</v>
      </c>
      <c r="R5">
        <f>'Calculations BTU'!Z32</f>
        <v>0</v>
      </c>
      <c r="S5">
        <f>'Calculations BTU'!AA32</f>
        <v>0</v>
      </c>
      <c r="T5">
        <f>'Calculations BTU'!AB32</f>
        <v>0</v>
      </c>
      <c r="U5">
        <f>'Calculations BTU'!AC32</f>
        <v>0</v>
      </c>
      <c r="V5">
        <f>'Calculations BTU'!AD32</f>
        <v>0</v>
      </c>
      <c r="W5">
        <f>'Calculations BTU'!AE32</f>
        <v>0</v>
      </c>
      <c r="X5">
        <f>'Calculations BTU'!AF32</f>
        <v>0</v>
      </c>
      <c r="Y5">
        <f>'Calculations BTU'!AG32</f>
        <v>0</v>
      </c>
      <c r="Z5">
        <f>'Calculations BTU'!AH32</f>
        <v>0</v>
      </c>
      <c r="AA5">
        <f>'Calculations BTU'!AI32</f>
        <v>0</v>
      </c>
      <c r="AB5">
        <f>'Calculations BTU'!AJ32</f>
        <v>0</v>
      </c>
      <c r="AC5">
        <f>'Calculations BTU'!AK32</f>
        <v>0</v>
      </c>
      <c r="AD5">
        <f>'Calculations BTU'!AL32</f>
        <v>0</v>
      </c>
      <c r="AE5">
        <f>'Calculations BTU'!AM32</f>
        <v>0</v>
      </c>
      <c r="AF5">
        <f>'Calculations BTU'!AN32</f>
        <v>0</v>
      </c>
      <c r="AG5">
        <f>'Calculations BTU'!AO32</f>
        <v>0</v>
      </c>
      <c r="AH5">
        <f>'Calculations BTU'!AP32</f>
        <v>0</v>
      </c>
      <c r="AI5">
        <f>'Calculations BTU'!AQ32</f>
        <v>0</v>
      </c>
      <c r="AJ5">
        <f>'Calculations BTU'!AR32</f>
        <v>0</v>
      </c>
      <c r="AK5">
        <f>'Calculations BTU'!AS32</f>
        <v>0</v>
      </c>
      <c r="AL5">
        <f>'Calculations BTU'!AT32</f>
        <v>0</v>
      </c>
      <c r="AM5">
        <f>'Calculations BTU'!AU32</f>
        <v>0</v>
      </c>
      <c r="AN5">
        <f>'Calculations BTU'!AV32</f>
        <v>0</v>
      </c>
      <c r="AO5">
        <f>'Calculations BTU'!AW32</f>
        <v>0</v>
      </c>
      <c r="AP5">
        <f>'Calculations BTU'!AX32</f>
        <v>0</v>
      </c>
      <c r="AQ5">
        <f>'Calculations BTU'!AY32</f>
        <v>0</v>
      </c>
      <c r="AR5">
        <f>'Calculations BTU'!AZ32</f>
        <v>0</v>
      </c>
      <c r="AS5">
        <f>'Calculations BTU'!BA32</f>
        <v>0</v>
      </c>
      <c r="AT5">
        <f>'Calculations BTU'!BB32</f>
        <v>0</v>
      </c>
      <c r="AU5">
        <f>'Calculations BTU'!BC32</f>
        <v>0</v>
      </c>
      <c r="AV5">
        <f>'Calculations BTU'!BD32</f>
        <v>0</v>
      </c>
      <c r="AW5">
        <f>'Calculations BTU'!BE32</f>
        <v>0</v>
      </c>
      <c r="AX5">
        <f>'Calculations BTU'!BF32</f>
        <v>0</v>
      </c>
      <c r="AY5">
        <f>'Calculations BTU'!BG32</f>
        <v>0</v>
      </c>
      <c r="AZ5">
        <f>'Calculations BTU'!BH32</f>
        <v>0</v>
      </c>
    </row>
    <row r="6" spans="1:52">
      <c r="A6" t="s">
        <v>130</v>
      </c>
      <c r="B6">
        <f>'Calculations BTU'!J33</f>
        <v>0</v>
      </c>
      <c r="C6">
        <f>'Calculations BTU'!K33</f>
        <v>0</v>
      </c>
      <c r="D6">
        <f>'Calculations BTU'!L33</f>
        <v>0</v>
      </c>
      <c r="E6">
        <f>'Calculations BTU'!M33</f>
        <v>0</v>
      </c>
      <c r="F6">
        <f>'Calculations BTU'!N33</f>
        <v>0</v>
      </c>
      <c r="G6">
        <f>'Calculations BTU'!O33</f>
        <v>0</v>
      </c>
      <c r="H6">
        <f>'Calculations BTU'!P33</f>
        <v>0</v>
      </c>
      <c r="I6">
        <f>'Calculations BTU'!Q33</f>
        <v>0</v>
      </c>
      <c r="J6">
        <f>'Calculations BTU'!R33</f>
        <v>0</v>
      </c>
      <c r="K6">
        <f>'Calculations BTU'!S33</f>
        <v>0</v>
      </c>
      <c r="L6">
        <f>'Calculations BTU'!T33</f>
        <v>0</v>
      </c>
      <c r="M6">
        <f>'Calculations BTU'!U33</f>
        <v>0</v>
      </c>
      <c r="N6">
        <f>'Calculations BTU'!V33</f>
        <v>0</v>
      </c>
      <c r="O6">
        <f>'Calculations BTU'!W33</f>
        <v>0</v>
      </c>
      <c r="P6">
        <f>'Calculations BTU'!X33</f>
        <v>0</v>
      </c>
      <c r="Q6">
        <f>'Calculations BTU'!Y33</f>
        <v>0</v>
      </c>
      <c r="R6">
        <f>'Calculations BTU'!Z33</f>
        <v>0</v>
      </c>
      <c r="S6">
        <f>'Calculations BTU'!AA33</f>
        <v>0</v>
      </c>
      <c r="T6">
        <f>'Calculations BTU'!AB33</f>
        <v>0</v>
      </c>
      <c r="U6">
        <f>'Calculations BTU'!AC33</f>
        <v>0</v>
      </c>
      <c r="V6">
        <f>'Calculations BTU'!AD33</f>
        <v>0</v>
      </c>
      <c r="W6">
        <f>'Calculations BTU'!AE33</f>
        <v>0</v>
      </c>
      <c r="X6">
        <f>'Calculations BTU'!AF33</f>
        <v>0</v>
      </c>
      <c r="Y6">
        <f>'Calculations BTU'!AG33</f>
        <v>0</v>
      </c>
      <c r="Z6">
        <f>'Calculations BTU'!AH33</f>
        <v>0</v>
      </c>
      <c r="AA6">
        <f>'Calculations BTU'!AI33</f>
        <v>0</v>
      </c>
      <c r="AB6">
        <f>'Calculations BTU'!AJ33</f>
        <v>0</v>
      </c>
      <c r="AC6">
        <f>'Calculations BTU'!AK33</f>
        <v>0</v>
      </c>
      <c r="AD6">
        <f>'Calculations BTU'!AL33</f>
        <v>0</v>
      </c>
      <c r="AE6">
        <f>'Calculations BTU'!AM33</f>
        <v>0</v>
      </c>
      <c r="AF6">
        <f>'Calculations BTU'!AN33</f>
        <v>0</v>
      </c>
      <c r="AG6">
        <f>'Calculations BTU'!AO33</f>
        <v>0</v>
      </c>
      <c r="AH6">
        <f>'Calculations BTU'!AP33</f>
        <v>0</v>
      </c>
      <c r="AI6">
        <f>'Calculations BTU'!AQ33</f>
        <v>0</v>
      </c>
      <c r="AJ6">
        <f>'Calculations BTU'!AR33</f>
        <v>0</v>
      </c>
      <c r="AK6">
        <f>'Calculations BTU'!AS33</f>
        <v>0</v>
      </c>
      <c r="AL6">
        <f>'Calculations BTU'!AT33</f>
        <v>0</v>
      </c>
      <c r="AM6">
        <f>'Calculations BTU'!AU33</f>
        <v>0</v>
      </c>
      <c r="AN6">
        <f>'Calculations BTU'!AV33</f>
        <v>0</v>
      </c>
      <c r="AO6">
        <f>'Calculations BTU'!AW33</f>
        <v>0</v>
      </c>
      <c r="AP6">
        <f>'Calculations BTU'!AX33</f>
        <v>0</v>
      </c>
      <c r="AQ6">
        <f>'Calculations BTU'!AY33</f>
        <v>0</v>
      </c>
      <c r="AR6">
        <f>'Calculations BTU'!AZ33</f>
        <v>0</v>
      </c>
      <c r="AS6">
        <f>'Calculations BTU'!BA33</f>
        <v>0</v>
      </c>
      <c r="AT6">
        <f>'Calculations BTU'!BB33</f>
        <v>0</v>
      </c>
      <c r="AU6">
        <f>'Calculations BTU'!BC33</f>
        <v>0</v>
      </c>
      <c r="AV6">
        <f>'Calculations BTU'!BD33</f>
        <v>0</v>
      </c>
      <c r="AW6">
        <f>'Calculations BTU'!BE33</f>
        <v>0</v>
      </c>
      <c r="AX6">
        <f>'Calculations BTU'!BF33</f>
        <v>0</v>
      </c>
      <c r="AY6">
        <f>'Calculations BTU'!BG33</f>
        <v>0</v>
      </c>
      <c r="AZ6">
        <f>'Calculations BTU'!BH33</f>
        <v>0</v>
      </c>
    </row>
    <row r="7" spans="1:52">
      <c r="A7" t="s">
        <v>131</v>
      </c>
      <c r="B7">
        <f>'Calculations BTU'!J34</f>
        <v>0</v>
      </c>
      <c r="C7">
        <f>'Calculations BTU'!K34</f>
        <v>0</v>
      </c>
      <c r="D7">
        <f>'Calculations BTU'!L34</f>
        <v>0</v>
      </c>
      <c r="E7">
        <f>'Calculations BTU'!M34</f>
        <v>0</v>
      </c>
      <c r="F7">
        <f>'Calculations BTU'!N34</f>
        <v>0</v>
      </c>
      <c r="G7">
        <f>'Calculations BTU'!O34</f>
        <v>0</v>
      </c>
      <c r="H7">
        <f>'Calculations BTU'!P34</f>
        <v>0</v>
      </c>
      <c r="I7">
        <f>'Calculations BTU'!Q34</f>
        <v>0</v>
      </c>
      <c r="J7">
        <f>'Calculations BTU'!R34</f>
        <v>0</v>
      </c>
      <c r="K7">
        <f>'Calculations BTU'!S34</f>
        <v>0</v>
      </c>
      <c r="L7">
        <f>'Calculations BTU'!T34</f>
        <v>0</v>
      </c>
      <c r="M7">
        <f>'Calculations BTU'!U34</f>
        <v>0</v>
      </c>
      <c r="N7">
        <f>'Calculations BTU'!V34</f>
        <v>0</v>
      </c>
      <c r="O7">
        <f>'Calculations BTU'!W34</f>
        <v>0</v>
      </c>
      <c r="P7">
        <f>'Calculations BTU'!X34</f>
        <v>0</v>
      </c>
      <c r="Q7">
        <f>'Calculations BTU'!Y34</f>
        <v>0</v>
      </c>
      <c r="R7">
        <f>'Calculations BTU'!Z34</f>
        <v>0</v>
      </c>
      <c r="S7">
        <f>'Calculations BTU'!AA34</f>
        <v>0</v>
      </c>
      <c r="T7">
        <f>'Calculations BTU'!AB34</f>
        <v>0</v>
      </c>
      <c r="U7">
        <f>'Calculations BTU'!AC34</f>
        <v>0</v>
      </c>
      <c r="V7">
        <f>'Calculations BTU'!AD34</f>
        <v>0</v>
      </c>
      <c r="W7">
        <f>'Calculations BTU'!AE34</f>
        <v>0</v>
      </c>
      <c r="X7">
        <f>'Calculations BTU'!AF34</f>
        <v>0</v>
      </c>
      <c r="Y7">
        <f>'Calculations BTU'!AG34</f>
        <v>0</v>
      </c>
      <c r="Z7">
        <f>'Calculations BTU'!AH34</f>
        <v>0</v>
      </c>
      <c r="AA7">
        <f>'Calculations BTU'!AI34</f>
        <v>0</v>
      </c>
      <c r="AB7">
        <f>'Calculations BTU'!AJ34</f>
        <v>0</v>
      </c>
      <c r="AC7">
        <f>'Calculations BTU'!AK34</f>
        <v>0</v>
      </c>
      <c r="AD7">
        <f>'Calculations BTU'!AL34</f>
        <v>0</v>
      </c>
      <c r="AE7">
        <f>'Calculations BTU'!AM34</f>
        <v>0</v>
      </c>
      <c r="AF7">
        <f>'Calculations BTU'!AN34</f>
        <v>0</v>
      </c>
      <c r="AG7">
        <f>'Calculations BTU'!AO34</f>
        <v>0</v>
      </c>
      <c r="AH7">
        <f>'Calculations BTU'!AP34</f>
        <v>0</v>
      </c>
      <c r="AI7">
        <f>'Calculations BTU'!AQ34</f>
        <v>0</v>
      </c>
      <c r="AJ7">
        <f>'Calculations BTU'!AR34</f>
        <v>0</v>
      </c>
      <c r="AK7">
        <f>'Calculations BTU'!AS34</f>
        <v>0</v>
      </c>
      <c r="AL7">
        <f>'Calculations BTU'!AT34</f>
        <v>0</v>
      </c>
      <c r="AM7">
        <f>'Calculations BTU'!AU34</f>
        <v>0</v>
      </c>
      <c r="AN7">
        <f>'Calculations BTU'!AV34</f>
        <v>0</v>
      </c>
      <c r="AO7">
        <f>'Calculations BTU'!AW34</f>
        <v>0</v>
      </c>
      <c r="AP7">
        <f>'Calculations BTU'!AX34</f>
        <v>0</v>
      </c>
      <c r="AQ7">
        <f>'Calculations BTU'!AY34</f>
        <v>0</v>
      </c>
      <c r="AR7">
        <f>'Calculations BTU'!AZ34</f>
        <v>0</v>
      </c>
      <c r="AS7">
        <f>'Calculations BTU'!BA34</f>
        <v>0</v>
      </c>
      <c r="AT7">
        <f>'Calculations BTU'!BB34</f>
        <v>0</v>
      </c>
      <c r="AU7">
        <f>'Calculations BTU'!BC34</f>
        <v>0</v>
      </c>
      <c r="AV7">
        <f>'Calculations BTU'!BD34</f>
        <v>0</v>
      </c>
      <c r="AW7">
        <f>'Calculations BTU'!BE34</f>
        <v>0</v>
      </c>
      <c r="AX7">
        <f>'Calculations BTU'!BF34</f>
        <v>0</v>
      </c>
      <c r="AY7">
        <f>'Calculations BTU'!BG34</f>
        <v>0</v>
      </c>
      <c r="AZ7">
        <f>'Calculations BTU'!BH34</f>
        <v>0</v>
      </c>
    </row>
    <row r="8" spans="1:52">
      <c r="A8" t="s">
        <v>132</v>
      </c>
      <c r="B8">
        <f>'Calculations BTU'!J35</f>
        <v>0</v>
      </c>
      <c r="C8">
        <f>'Calculations BTU'!K35</f>
        <v>0</v>
      </c>
      <c r="D8">
        <f>'Calculations BTU'!L35</f>
        <v>0</v>
      </c>
      <c r="E8">
        <f>'Calculations BTU'!M35</f>
        <v>0</v>
      </c>
      <c r="F8">
        <f>'Calculations BTU'!N35</f>
        <v>0</v>
      </c>
      <c r="G8">
        <f>'Calculations BTU'!O35</f>
        <v>0</v>
      </c>
      <c r="H8">
        <f>'Calculations BTU'!P35</f>
        <v>0</v>
      </c>
      <c r="I8">
        <f>'Calculations BTU'!Q35</f>
        <v>0</v>
      </c>
      <c r="J8">
        <f>'Calculations BTU'!R35</f>
        <v>0</v>
      </c>
      <c r="K8">
        <f>'Calculations BTU'!S35</f>
        <v>0</v>
      </c>
      <c r="L8">
        <f>'Calculations BTU'!T35</f>
        <v>0</v>
      </c>
      <c r="M8">
        <f>'Calculations BTU'!U35</f>
        <v>0</v>
      </c>
      <c r="N8">
        <f>'Calculations BTU'!V35</f>
        <v>0</v>
      </c>
      <c r="O8">
        <f>'Calculations BTU'!W35</f>
        <v>0</v>
      </c>
      <c r="P8">
        <f>'Calculations BTU'!X35</f>
        <v>0</v>
      </c>
      <c r="Q8">
        <f>'Calculations BTU'!Y35</f>
        <v>0</v>
      </c>
      <c r="R8">
        <f>'Calculations BTU'!Z35</f>
        <v>0</v>
      </c>
      <c r="S8">
        <f>'Calculations BTU'!AA35</f>
        <v>0</v>
      </c>
      <c r="T8">
        <f>'Calculations BTU'!AB35</f>
        <v>0</v>
      </c>
      <c r="U8">
        <f>'Calculations BTU'!AC35</f>
        <v>0</v>
      </c>
      <c r="V8">
        <f>'Calculations BTU'!AD35</f>
        <v>0</v>
      </c>
      <c r="W8">
        <f>'Calculations BTU'!AE35</f>
        <v>0</v>
      </c>
      <c r="X8">
        <f>'Calculations BTU'!AF35</f>
        <v>0</v>
      </c>
      <c r="Y8">
        <f>'Calculations BTU'!AG35</f>
        <v>0</v>
      </c>
      <c r="Z8">
        <f>'Calculations BTU'!AH35</f>
        <v>0</v>
      </c>
      <c r="AA8">
        <f>'Calculations BTU'!AI35</f>
        <v>0</v>
      </c>
      <c r="AB8">
        <f>'Calculations BTU'!AJ35</f>
        <v>0</v>
      </c>
      <c r="AC8">
        <f>'Calculations BTU'!AK35</f>
        <v>0</v>
      </c>
      <c r="AD8">
        <f>'Calculations BTU'!AL35</f>
        <v>0</v>
      </c>
      <c r="AE8">
        <f>'Calculations BTU'!AM35</f>
        <v>0</v>
      </c>
      <c r="AF8">
        <f>'Calculations BTU'!AN35</f>
        <v>0</v>
      </c>
      <c r="AG8">
        <f>'Calculations BTU'!AO35</f>
        <v>0</v>
      </c>
      <c r="AH8">
        <f>'Calculations BTU'!AP35</f>
        <v>0</v>
      </c>
      <c r="AI8">
        <f>'Calculations BTU'!AQ35</f>
        <v>0</v>
      </c>
      <c r="AJ8">
        <f>'Calculations BTU'!AR35</f>
        <v>0</v>
      </c>
      <c r="AK8">
        <f>'Calculations BTU'!AS35</f>
        <v>0</v>
      </c>
      <c r="AL8">
        <f>'Calculations BTU'!AT35</f>
        <v>0</v>
      </c>
      <c r="AM8">
        <f>'Calculations BTU'!AU35</f>
        <v>0</v>
      </c>
      <c r="AN8">
        <f>'Calculations BTU'!AV35</f>
        <v>0</v>
      </c>
      <c r="AO8">
        <f>'Calculations BTU'!AW35</f>
        <v>0</v>
      </c>
      <c r="AP8">
        <f>'Calculations BTU'!AX35</f>
        <v>0</v>
      </c>
      <c r="AQ8">
        <f>'Calculations BTU'!AY35</f>
        <v>0</v>
      </c>
      <c r="AR8">
        <f>'Calculations BTU'!AZ35</f>
        <v>0</v>
      </c>
      <c r="AS8">
        <f>'Calculations BTU'!BA35</f>
        <v>0</v>
      </c>
      <c r="AT8">
        <f>'Calculations BTU'!BB35</f>
        <v>0</v>
      </c>
      <c r="AU8">
        <f>'Calculations BTU'!BC35</f>
        <v>0</v>
      </c>
      <c r="AV8">
        <f>'Calculations BTU'!BD35</f>
        <v>0</v>
      </c>
      <c r="AW8">
        <f>'Calculations BTU'!BE35</f>
        <v>0</v>
      </c>
      <c r="AX8">
        <f>'Calculations BTU'!BF35</f>
        <v>0</v>
      </c>
      <c r="AY8">
        <f>'Calculations BTU'!BG35</f>
        <v>0</v>
      </c>
      <c r="AZ8">
        <f>'Calculations BTU'!BH35</f>
        <v>0</v>
      </c>
    </row>
    <row r="9" spans="1:52">
      <c r="A9" t="s">
        <v>133</v>
      </c>
      <c r="B9">
        <f>'Calculations BTU'!J36</f>
        <v>0</v>
      </c>
      <c r="C9">
        <f>'Calculations BTU'!K36</f>
        <v>0</v>
      </c>
      <c r="D9">
        <f>'Calculations BTU'!L36</f>
        <v>0</v>
      </c>
      <c r="E9">
        <f>'Calculations BTU'!M36</f>
        <v>0</v>
      </c>
      <c r="F9">
        <f>'Calculations BTU'!N36</f>
        <v>0</v>
      </c>
      <c r="G9">
        <f>'Calculations BTU'!O36</f>
        <v>0</v>
      </c>
      <c r="H9">
        <f>'Calculations BTU'!P36</f>
        <v>0</v>
      </c>
      <c r="I9">
        <f>'Calculations BTU'!Q36</f>
        <v>0</v>
      </c>
      <c r="J9">
        <f>'Calculations BTU'!R36</f>
        <v>0</v>
      </c>
      <c r="K9">
        <f>'Calculations BTU'!S36</f>
        <v>0</v>
      </c>
      <c r="L9">
        <f>'Calculations BTU'!T36</f>
        <v>0</v>
      </c>
      <c r="M9">
        <f>'Calculations BTU'!U36</f>
        <v>0</v>
      </c>
      <c r="N9">
        <f>'Calculations BTU'!V36</f>
        <v>0</v>
      </c>
      <c r="O9">
        <f>'Calculations BTU'!W36</f>
        <v>0</v>
      </c>
      <c r="P9">
        <f>'Calculations BTU'!X36</f>
        <v>0</v>
      </c>
      <c r="Q9">
        <f>'Calculations BTU'!Y36</f>
        <v>0</v>
      </c>
      <c r="R9">
        <f>'Calculations BTU'!Z36</f>
        <v>0</v>
      </c>
      <c r="S9">
        <f>'Calculations BTU'!AA36</f>
        <v>0</v>
      </c>
      <c r="T9">
        <f>'Calculations BTU'!AB36</f>
        <v>0</v>
      </c>
      <c r="U9">
        <f>'Calculations BTU'!AC36</f>
        <v>0</v>
      </c>
      <c r="V9">
        <f>'Calculations BTU'!AD36</f>
        <v>0</v>
      </c>
      <c r="W9">
        <f>'Calculations BTU'!AE36</f>
        <v>0</v>
      </c>
      <c r="X9">
        <f>'Calculations BTU'!AF36</f>
        <v>0</v>
      </c>
      <c r="Y9">
        <f>'Calculations BTU'!AG36</f>
        <v>0</v>
      </c>
      <c r="Z9">
        <f>'Calculations BTU'!AH36</f>
        <v>0</v>
      </c>
      <c r="AA9">
        <f>'Calculations BTU'!AI36</f>
        <v>0</v>
      </c>
      <c r="AB9">
        <f>'Calculations BTU'!AJ36</f>
        <v>0</v>
      </c>
      <c r="AC9">
        <f>'Calculations BTU'!AK36</f>
        <v>0</v>
      </c>
      <c r="AD9">
        <f>'Calculations BTU'!AL36</f>
        <v>0</v>
      </c>
      <c r="AE9">
        <f>'Calculations BTU'!AM36</f>
        <v>0</v>
      </c>
      <c r="AF9">
        <f>'Calculations BTU'!AN36</f>
        <v>0</v>
      </c>
      <c r="AG9">
        <f>'Calculations BTU'!AO36</f>
        <v>0</v>
      </c>
      <c r="AH9">
        <f>'Calculations BTU'!AP36</f>
        <v>0</v>
      </c>
      <c r="AI9">
        <f>'Calculations BTU'!AQ36</f>
        <v>0</v>
      </c>
      <c r="AJ9">
        <f>'Calculations BTU'!AR36</f>
        <v>0</v>
      </c>
      <c r="AK9">
        <f>'Calculations BTU'!AS36</f>
        <v>0</v>
      </c>
      <c r="AL9">
        <f>'Calculations BTU'!AT36</f>
        <v>0</v>
      </c>
      <c r="AM9">
        <f>'Calculations BTU'!AU36</f>
        <v>0</v>
      </c>
      <c r="AN9">
        <f>'Calculations BTU'!AV36</f>
        <v>0</v>
      </c>
      <c r="AO9">
        <f>'Calculations BTU'!AW36</f>
        <v>0</v>
      </c>
      <c r="AP9">
        <f>'Calculations BTU'!AX36</f>
        <v>0</v>
      </c>
      <c r="AQ9">
        <f>'Calculations BTU'!AY36</f>
        <v>0</v>
      </c>
      <c r="AR9">
        <f>'Calculations BTU'!AZ36</f>
        <v>0</v>
      </c>
      <c r="AS9">
        <f>'Calculations BTU'!BA36</f>
        <v>0</v>
      </c>
      <c r="AT9">
        <f>'Calculations BTU'!BB36</f>
        <v>0</v>
      </c>
      <c r="AU9">
        <f>'Calculations BTU'!BC36</f>
        <v>0</v>
      </c>
      <c r="AV9">
        <f>'Calculations BTU'!BD36</f>
        <v>0</v>
      </c>
      <c r="AW9">
        <f>'Calculations BTU'!BE36</f>
        <v>0</v>
      </c>
      <c r="AX9">
        <f>'Calculations BTU'!BF36</f>
        <v>0</v>
      </c>
      <c r="AY9">
        <f>'Calculations BTU'!BG36</f>
        <v>0</v>
      </c>
      <c r="AZ9">
        <f>'Calculations BTU'!BH36</f>
        <v>0</v>
      </c>
    </row>
    <row r="10" spans="1:52">
      <c r="A10" t="s">
        <v>134</v>
      </c>
      <c r="B10">
        <f>'Calculations BTU'!J37</f>
        <v>0</v>
      </c>
      <c r="C10">
        <f>'Calculations BTU'!K37</f>
        <v>0</v>
      </c>
      <c r="D10">
        <f>'Calculations BTU'!L37</f>
        <v>0</v>
      </c>
      <c r="E10">
        <f>'Calculations BTU'!M37</f>
        <v>0</v>
      </c>
      <c r="F10">
        <f>'Calculations BTU'!N37</f>
        <v>0</v>
      </c>
      <c r="G10">
        <f>'Calculations BTU'!O37</f>
        <v>0</v>
      </c>
      <c r="H10">
        <f>'Calculations BTU'!P37</f>
        <v>0</v>
      </c>
      <c r="I10">
        <f>'Calculations BTU'!Q37</f>
        <v>0</v>
      </c>
      <c r="J10">
        <f>'Calculations BTU'!R37</f>
        <v>0</v>
      </c>
      <c r="K10">
        <f>'Calculations BTU'!S37</f>
        <v>0</v>
      </c>
      <c r="L10">
        <f>'Calculations BTU'!T37</f>
        <v>0</v>
      </c>
      <c r="M10">
        <f>'Calculations BTU'!U37</f>
        <v>0</v>
      </c>
      <c r="N10">
        <f>'Calculations BTU'!V37</f>
        <v>0</v>
      </c>
      <c r="O10">
        <f>'Calculations BTU'!W37</f>
        <v>0</v>
      </c>
      <c r="P10">
        <f>'Calculations BTU'!X37</f>
        <v>0</v>
      </c>
      <c r="Q10">
        <f>'Calculations BTU'!Y37</f>
        <v>0</v>
      </c>
      <c r="R10">
        <f>'Calculations BTU'!Z37</f>
        <v>0</v>
      </c>
      <c r="S10">
        <f>'Calculations BTU'!AA37</f>
        <v>0</v>
      </c>
      <c r="T10">
        <f>'Calculations BTU'!AB37</f>
        <v>0</v>
      </c>
      <c r="U10">
        <f>'Calculations BTU'!AC37</f>
        <v>0</v>
      </c>
      <c r="V10">
        <f>'Calculations BTU'!AD37</f>
        <v>0</v>
      </c>
      <c r="W10">
        <f>'Calculations BTU'!AE37</f>
        <v>0</v>
      </c>
      <c r="X10">
        <f>'Calculations BTU'!AF37</f>
        <v>0</v>
      </c>
      <c r="Y10">
        <f>'Calculations BTU'!AG37</f>
        <v>0</v>
      </c>
      <c r="Z10">
        <f>'Calculations BTU'!AH37</f>
        <v>0</v>
      </c>
      <c r="AA10">
        <f>'Calculations BTU'!AI37</f>
        <v>0</v>
      </c>
      <c r="AB10">
        <f>'Calculations BTU'!AJ37</f>
        <v>0</v>
      </c>
      <c r="AC10">
        <f>'Calculations BTU'!AK37</f>
        <v>0</v>
      </c>
      <c r="AD10">
        <f>'Calculations BTU'!AL37</f>
        <v>0</v>
      </c>
      <c r="AE10">
        <f>'Calculations BTU'!AM37</f>
        <v>0</v>
      </c>
      <c r="AF10">
        <f>'Calculations BTU'!AN37</f>
        <v>0</v>
      </c>
      <c r="AG10">
        <f>'Calculations BTU'!AO37</f>
        <v>0</v>
      </c>
      <c r="AH10">
        <f>'Calculations BTU'!AP37</f>
        <v>0</v>
      </c>
      <c r="AI10">
        <f>'Calculations BTU'!AQ37</f>
        <v>0</v>
      </c>
      <c r="AJ10">
        <f>'Calculations BTU'!AR37</f>
        <v>0</v>
      </c>
      <c r="AK10">
        <f>'Calculations BTU'!AS37</f>
        <v>0</v>
      </c>
      <c r="AL10">
        <f>'Calculations BTU'!AT37</f>
        <v>0</v>
      </c>
      <c r="AM10">
        <f>'Calculations BTU'!AU37</f>
        <v>0</v>
      </c>
      <c r="AN10">
        <f>'Calculations BTU'!AV37</f>
        <v>0</v>
      </c>
      <c r="AO10">
        <f>'Calculations BTU'!AW37</f>
        <v>0</v>
      </c>
      <c r="AP10">
        <f>'Calculations BTU'!AX37</f>
        <v>0</v>
      </c>
      <c r="AQ10">
        <f>'Calculations BTU'!AY37</f>
        <v>0</v>
      </c>
      <c r="AR10">
        <f>'Calculations BTU'!AZ37</f>
        <v>0</v>
      </c>
      <c r="AS10">
        <f>'Calculations BTU'!BA37</f>
        <v>0</v>
      </c>
      <c r="AT10">
        <f>'Calculations BTU'!BB37</f>
        <v>0</v>
      </c>
      <c r="AU10">
        <f>'Calculations BTU'!BC37</f>
        <v>0</v>
      </c>
      <c r="AV10">
        <f>'Calculations BTU'!BD37</f>
        <v>0</v>
      </c>
      <c r="AW10">
        <f>'Calculations BTU'!BE37</f>
        <v>0</v>
      </c>
      <c r="AX10">
        <f>'Calculations BTU'!BF37</f>
        <v>0</v>
      </c>
      <c r="AY10">
        <f>'Calculations BTU'!BG37</f>
        <v>0</v>
      </c>
      <c r="AZ10">
        <f>'Calculations BTU'!BH37</f>
        <v>0</v>
      </c>
    </row>
    <row r="11" spans="1:52">
      <c r="A11" t="s">
        <v>135</v>
      </c>
      <c r="B11">
        <f>'Calculations BTU'!J38</f>
        <v>0</v>
      </c>
      <c r="C11">
        <f>'Calculations BTU'!K38</f>
        <v>0</v>
      </c>
      <c r="D11">
        <f>'Calculations BTU'!L38</f>
        <v>0</v>
      </c>
      <c r="E11">
        <f>'Calculations BTU'!M38</f>
        <v>0</v>
      </c>
      <c r="F11">
        <f>'Calculations BTU'!N38</f>
        <v>0</v>
      </c>
      <c r="G11">
        <f>'Calculations BTU'!O38</f>
        <v>0</v>
      </c>
      <c r="H11">
        <f>'Calculations BTU'!P38</f>
        <v>0</v>
      </c>
      <c r="I11">
        <f>'Calculations BTU'!Q38</f>
        <v>0</v>
      </c>
      <c r="J11">
        <f>'Calculations BTU'!R38</f>
        <v>0</v>
      </c>
      <c r="K11">
        <f>'Calculations BTU'!S38</f>
        <v>0</v>
      </c>
      <c r="L11">
        <f>'Calculations BTU'!T38</f>
        <v>0</v>
      </c>
      <c r="M11">
        <f>'Calculations BTU'!U38</f>
        <v>0</v>
      </c>
      <c r="N11">
        <f>'Calculations BTU'!V38</f>
        <v>0</v>
      </c>
      <c r="O11">
        <f>'Calculations BTU'!W38</f>
        <v>0</v>
      </c>
      <c r="P11">
        <f>'Calculations BTU'!X38</f>
        <v>0</v>
      </c>
      <c r="Q11">
        <f>'Calculations BTU'!Y38</f>
        <v>0</v>
      </c>
      <c r="R11">
        <f>'Calculations BTU'!Z38</f>
        <v>0</v>
      </c>
      <c r="S11">
        <f>'Calculations BTU'!AA38</f>
        <v>0</v>
      </c>
      <c r="T11">
        <f>'Calculations BTU'!AB38</f>
        <v>0</v>
      </c>
      <c r="U11">
        <f>'Calculations BTU'!AC38</f>
        <v>0</v>
      </c>
      <c r="V11">
        <f>'Calculations BTU'!AD38</f>
        <v>0</v>
      </c>
      <c r="W11">
        <f>'Calculations BTU'!AE38</f>
        <v>0</v>
      </c>
      <c r="X11">
        <f>'Calculations BTU'!AF38</f>
        <v>0</v>
      </c>
      <c r="Y11">
        <f>'Calculations BTU'!AG38</f>
        <v>0</v>
      </c>
      <c r="Z11">
        <f>'Calculations BTU'!AH38</f>
        <v>0</v>
      </c>
      <c r="AA11">
        <f>'Calculations BTU'!AI38</f>
        <v>0</v>
      </c>
      <c r="AB11">
        <f>'Calculations BTU'!AJ38</f>
        <v>0</v>
      </c>
      <c r="AC11">
        <f>'Calculations BTU'!AK38</f>
        <v>0</v>
      </c>
      <c r="AD11">
        <f>'Calculations BTU'!AL38</f>
        <v>0</v>
      </c>
      <c r="AE11">
        <f>'Calculations BTU'!AM38</f>
        <v>0</v>
      </c>
      <c r="AF11">
        <f>'Calculations BTU'!AN38</f>
        <v>0</v>
      </c>
      <c r="AG11">
        <f>'Calculations BTU'!AO38</f>
        <v>0</v>
      </c>
      <c r="AH11">
        <f>'Calculations BTU'!AP38</f>
        <v>0</v>
      </c>
      <c r="AI11">
        <f>'Calculations BTU'!AQ38</f>
        <v>0</v>
      </c>
      <c r="AJ11">
        <f>'Calculations BTU'!AR38</f>
        <v>0</v>
      </c>
      <c r="AK11">
        <f>'Calculations BTU'!AS38</f>
        <v>0</v>
      </c>
      <c r="AL11">
        <f>'Calculations BTU'!AT38</f>
        <v>0</v>
      </c>
      <c r="AM11">
        <f>'Calculations BTU'!AU38</f>
        <v>0</v>
      </c>
      <c r="AN11">
        <f>'Calculations BTU'!AV38</f>
        <v>0</v>
      </c>
      <c r="AO11">
        <f>'Calculations BTU'!AW38</f>
        <v>0</v>
      </c>
      <c r="AP11">
        <f>'Calculations BTU'!AX38</f>
        <v>0</v>
      </c>
      <c r="AQ11">
        <f>'Calculations BTU'!AY38</f>
        <v>0</v>
      </c>
      <c r="AR11">
        <f>'Calculations BTU'!AZ38</f>
        <v>0</v>
      </c>
      <c r="AS11">
        <f>'Calculations BTU'!BA38</f>
        <v>0</v>
      </c>
      <c r="AT11">
        <f>'Calculations BTU'!BB38</f>
        <v>0</v>
      </c>
      <c r="AU11">
        <f>'Calculations BTU'!BC38</f>
        <v>0</v>
      </c>
      <c r="AV11">
        <f>'Calculations BTU'!BD38</f>
        <v>0</v>
      </c>
      <c r="AW11">
        <f>'Calculations BTU'!BE38</f>
        <v>0</v>
      </c>
      <c r="AX11">
        <f>'Calculations BTU'!BF38</f>
        <v>0</v>
      </c>
      <c r="AY11">
        <f>'Calculations BTU'!BG38</f>
        <v>0</v>
      </c>
      <c r="AZ11">
        <f>'Calculations BTU'!BH38</f>
        <v>0</v>
      </c>
    </row>
    <row r="12" spans="1:52">
      <c r="A12" t="s">
        <v>136</v>
      </c>
      <c r="B12">
        <f>'Calculations BTU'!J39</f>
        <v>0</v>
      </c>
      <c r="C12">
        <f>'Calculations BTU'!K39</f>
        <v>0</v>
      </c>
      <c r="D12">
        <f>'Calculations BTU'!L39</f>
        <v>0</v>
      </c>
      <c r="E12">
        <f>'Calculations BTU'!M39</f>
        <v>0</v>
      </c>
      <c r="F12">
        <f>'Calculations BTU'!N39</f>
        <v>0</v>
      </c>
      <c r="G12">
        <f>'Calculations BTU'!O39</f>
        <v>0</v>
      </c>
      <c r="H12">
        <f>'Calculations BTU'!P39</f>
        <v>0</v>
      </c>
      <c r="I12">
        <f>'Calculations BTU'!Q39</f>
        <v>0</v>
      </c>
      <c r="J12">
        <f>'Calculations BTU'!R39</f>
        <v>0</v>
      </c>
      <c r="K12">
        <f>'Calculations BTU'!S39</f>
        <v>0</v>
      </c>
      <c r="L12">
        <f>'Calculations BTU'!T39</f>
        <v>0</v>
      </c>
      <c r="M12">
        <f>'Calculations BTU'!U39</f>
        <v>0</v>
      </c>
      <c r="N12">
        <f>'Calculations BTU'!V39</f>
        <v>0</v>
      </c>
      <c r="O12">
        <f>'Calculations BTU'!W39</f>
        <v>0</v>
      </c>
      <c r="P12">
        <f>'Calculations BTU'!X39</f>
        <v>0</v>
      </c>
      <c r="Q12">
        <f>'Calculations BTU'!Y39</f>
        <v>0</v>
      </c>
      <c r="R12">
        <f>'Calculations BTU'!Z39</f>
        <v>0</v>
      </c>
      <c r="S12">
        <f>'Calculations BTU'!AA39</f>
        <v>0</v>
      </c>
      <c r="T12">
        <f>'Calculations BTU'!AB39</f>
        <v>0</v>
      </c>
      <c r="U12">
        <f>'Calculations BTU'!AC39</f>
        <v>0</v>
      </c>
      <c r="V12">
        <f>'Calculations BTU'!AD39</f>
        <v>0</v>
      </c>
      <c r="W12">
        <f>'Calculations BTU'!AE39</f>
        <v>0</v>
      </c>
      <c r="X12">
        <f>'Calculations BTU'!AF39</f>
        <v>0</v>
      </c>
      <c r="Y12">
        <f>'Calculations BTU'!AG39</f>
        <v>0</v>
      </c>
      <c r="Z12">
        <f>'Calculations BTU'!AH39</f>
        <v>0</v>
      </c>
      <c r="AA12">
        <f>'Calculations BTU'!AI39</f>
        <v>0</v>
      </c>
      <c r="AB12">
        <f>'Calculations BTU'!AJ39</f>
        <v>0</v>
      </c>
      <c r="AC12">
        <f>'Calculations BTU'!AK39</f>
        <v>0</v>
      </c>
      <c r="AD12">
        <f>'Calculations BTU'!AL39</f>
        <v>0</v>
      </c>
      <c r="AE12">
        <f>'Calculations BTU'!AM39</f>
        <v>0</v>
      </c>
      <c r="AF12">
        <f>'Calculations BTU'!AN39</f>
        <v>0</v>
      </c>
      <c r="AG12">
        <f>'Calculations BTU'!AO39</f>
        <v>0</v>
      </c>
      <c r="AH12">
        <f>'Calculations BTU'!AP39</f>
        <v>0</v>
      </c>
      <c r="AI12">
        <f>'Calculations BTU'!AQ39</f>
        <v>0</v>
      </c>
      <c r="AJ12">
        <f>'Calculations BTU'!AR39</f>
        <v>0</v>
      </c>
      <c r="AK12">
        <f>'Calculations BTU'!AS39</f>
        <v>0</v>
      </c>
      <c r="AL12">
        <f>'Calculations BTU'!AT39</f>
        <v>0</v>
      </c>
      <c r="AM12">
        <f>'Calculations BTU'!AU39</f>
        <v>0</v>
      </c>
      <c r="AN12">
        <f>'Calculations BTU'!AV39</f>
        <v>0</v>
      </c>
      <c r="AO12">
        <f>'Calculations BTU'!AW39</f>
        <v>0</v>
      </c>
      <c r="AP12">
        <f>'Calculations BTU'!AX39</f>
        <v>0</v>
      </c>
      <c r="AQ12">
        <f>'Calculations BTU'!AY39</f>
        <v>0</v>
      </c>
      <c r="AR12">
        <f>'Calculations BTU'!AZ39</f>
        <v>0</v>
      </c>
      <c r="AS12">
        <f>'Calculations BTU'!BA39</f>
        <v>0</v>
      </c>
      <c r="AT12">
        <f>'Calculations BTU'!BB39</f>
        <v>0</v>
      </c>
      <c r="AU12">
        <f>'Calculations BTU'!BC39</f>
        <v>0</v>
      </c>
      <c r="AV12">
        <f>'Calculations BTU'!BD39</f>
        <v>0</v>
      </c>
      <c r="AW12">
        <f>'Calculations BTU'!BE39</f>
        <v>0</v>
      </c>
      <c r="AX12">
        <f>'Calculations BTU'!BF39</f>
        <v>0</v>
      </c>
      <c r="AY12">
        <f>'Calculations BTU'!BG39</f>
        <v>0</v>
      </c>
      <c r="AZ12">
        <f>'Calculations BTU'!BH39</f>
        <v>0</v>
      </c>
    </row>
    <row r="13" spans="1:52">
      <c r="A13" t="s">
        <v>137</v>
      </c>
      <c r="B13">
        <f>'Calculations BTU'!J40</f>
        <v>0</v>
      </c>
      <c r="C13">
        <f>'Calculations BTU'!K40</f>
        <v>0</v>
      </c>
      <c r="D13">
        <f>'Calculations BTU'!L40</f>
        <v>0</v>
      </c>
      <c r="E13">
        <f>'Calculations BTU'!M40</f>
        <v>0</v>
      </c>
      <c r="F13">
        <f>'Calculations BTU'!N40</f>
        <v>0</v>
      </c>
      <c r="G13">
        <f>'Calculations BTU'!O40</f>
        <v>0</v>
      </c>
      <c r="H13">
        <f>'Calculations BTU'!P40</f>
        <v>0</v>
      </c>
      <c r="I13">
        <f>'Calculations BTU'!Q40</f>
        <v>0</v>
      </c>
      <c r="J13">
        <f>'Calculations BTU'!R40</f>
        <v>0</v>
      </c>
      <c r="K13">
        <f>'Calculations BTU'!S40</f>
        <v>0</v>
      </c>
      <c r="L13">
        <f>'Calculations BTU'!T40</f>
        <v>0</v>
      </c>
      <c r="M13">
        <f>'Calculations BTU'!U40</f>
        <v>0</v>
      </c>
      <c r="N13">
        <f>'Calculations BTU'!V40</f>
        <v>0</v>
      </c>
      <c r="O13">
        <f>'Calculations BTU'!W40</f>
        <v>0</v>
      </c>
      <c r="P13">
        <f>'Calculations BTU'!X40</f>
        <v>0</v>
      </c>
      <c r="Q13">
        <f>'Calculations BTU'!Y40</f>
        <v>0</v>
      </c>
      <c r="R13">
        <f>'Calculations BTU'!Z40</f>
        <v>0</v>
      </c>
      <c r="S13">
        <f>'Calculations BTU'!AA40</f>
        <v>0</v>
      </c>
      <c r="T13">
        <f>'Calculations BTU'!AB40</f>
        <v>0</v>
      </c>
      <c r="U13">
        <f>'Calculations BTU'!AC40</f>
        <v>0</v>
      </c>
      <c r="V13">
        <f>'Calculations BTU'!AD40</f>
        <v>0</v>
      </c>
      <c r="W13">
        <f>'Calculations BTU'!AE40</f>
        <v>0</v>
      </c>
      <c r="X13">
        <f>'Calculations BTU'!AF40</f>
        <v>0</v>
      </c>
      <c r="Y13">
        <f>'Calculations BTU'!AG40</f>
        <v>0</v>
      </c>
      <c r="Z13">
        <f>'Calculations BTU'!AH40</f>
        <v>0</v>
      </c>
      <c r="AA13">
        <f>'Calculations BTU'!AI40</f>
        <v>0</v>
      </c>
      <c r="AB13">
        <f>'Calculations BTU'!AJ40</f>
        <v>0</v>
      </c>
      <c r="AC13">
        <f>'Calculations BTU'!AK40</f>
        <v>0</v>
      </c>
      <c r="AD13">
        <f>'Calculations BTU'!AL40</f>
        <v>0</v>
      </c>
      <c r="AE13">
        <f>'Calculations BTU'!AM40</f>
        <v>0</v>
      </c>
      <c r="AF13">
        <f>'Calculations BTU'!AN40</f>
        <v>0</v>
      </c>
      <c r="AG13">
        <f>'Calculations BTU'!AO40</f>
        <v>0</v>
      </c>
      <c r="AH13">
        <f>'Calculations BTU'!AP40</f>
        <v>0</v>
      </c>
      <c r="AI13">
        <f>'Calculations BTU'!AQ40</f>
        <v>0</v>
      </c>
      <c r="AJ13">
        <f>'Calculations BTU'!AR40</f>
        <v>0</v>
      </c>
      <c r="AK13">
        <f>'Calculations BTU'!AS40</f>
        <v>0</v>
      </c>
      <c r="AL13">
        <f>'Calculations BTU'!AT40</f>
        <v>0</v>
      </c>
      <c r="AM13">
        <f>'Calculations BTU'!AU40</f>
        <v>0</v>
      </c>
      <c r="AN13">
        <f>'Calculations BTU'!AV40</f>
        <v>0</v>
      </c>
      <c r="AO13">
        <f>'Calculations BTU'!AW40</f>
        <v>0</v>
      </c>
      <c r="AP13">
        <f>'Calculations BTU'!AX40</f>
        <v>0</v>
      </c>
      <c r="AQ13">
        <f>'Calculations BTU'!AY40</f>
        <v>0</v>
      </c>
      <c r="AR13">
        <f>'Calculations BTU'!AZ40</f>
        <v>0</v>
      </c>
      <c r="AS13">
        <f>'Calculations BTU'!BA40</f>
        <v>0</v>
      </c>
      <c r="AT13">
        <f>'Calculations BTU'!BB40</f>
        <v>0</v>
      </c>
      <c r="AU13">
        <f>'Calculations BTU'!BC40</f>
        <v>0</v>
      </c>
      <c r="AV13">
        <f>'Calculations BTU'!BD40</f>
        <v>0</v>
      </c>
      <c r="AW13">
        <f>'Calculations BTU'!BE40</f>
        <v>0</v>
      </c>
      <c r="AX13">
        <f>'Calculations BTU'!BF40</f>
        <v>0</v>
      </c>
      <c r="AY13">
        <f>'Calculations BTU'!BG40</f>
        <v>0</v>
      </c>
      <c r="AZ13">
        <f>'Calculations BTU'!BH40</f>
        <v>0</v>
      </c>
    </row>
    <row r="14" spans="1:52">
      <c r="A14" t="s">
        <v>138</v>
      </c>
      <c r="B14">
        <f>'Calculations BTU'!J41</f>
        <v>9033173825927.4102</v>
      </c>
      <c r="C14">
        <f>'Calculations BTU'!K41</f>
        <v>27478668333015.281</v>
      </c>
      <c r="D14">
        <f>'Calculations BTU'!L41</f>
        <v>27279616234017.934</v>
      </c>
      <c r="E14">
        <f>'Calculations BTU'!M41</f>
        <v>26985777421212.32</v>
      </c>
      <c r="F14">
        <f>'Calculations BTU'!N41</f>
        <v>26701417279787.535</v>
      </c>
      <c r="G14">
        <f>'Calculations BTU'!O41</f>
        <v>26407578466981.918</v>
      </c>
      <c r="H14">
        <f>'Calculations BTU'!P41</f>
        <v>26123218325557.129</v>
      </c>
      <c r="I14">
        <f>'Calculations BTU'!Q41</f>
        <v>25829379512751.52</v>
      </c>
      <c r="J14">
        <f>'Calculations BTU'!R41</f>
        <v>25545019371326.73</v>
      </c>
      <c r="K14">
        <f>'Calculations BTU'!S41</f>
        <v>25251180558521.117</v>
      </c>
      <c r="L14">
        <f>'Calculations BTU'!T41</f>
        <v>24966820417096.328</v>
      </c>
      <c r="M14">
        <f>'Calculations BTU'!U41</f>
        <v>24672981604290.719</v>
      </c>
      <c r="N14">
        <f>'Calculations BTU'!V41</f>
        <v>24388621462865.93</v>
      </c>
      <c r="O14">
        <f>'Calculations BTU'!W41</f>
        <v>24094782650060.316</v>
      </c>
      <c r="P14">
        <f>'Calculations BTU'!X41</f>
        <v>23810422508635.527</v>
      </c>
      <c r="Q14">
        <f>'Calculations BTU'!Y41</f>
        <v>23516583695829.914</v>
      </c>
      <c r="R14">
        <f>'Calculations BTU'!Z41</f>
        <v>23232223554405.129</v>
      </c>
      <c r="S14">
        <f>'Calculations BTU'!AA41</f>
        <v>22938384741599.512</v>
      </c>
      <c r="T14">
        <f>'Calculations BTU'!AB41</f>
        <v>22654024600174.723</v>
      </c>
      <c r="U14">
        <f>'Calculations BTU'!AC41</f>
        <v>22369664458749.941</v>
      </c>
      <c r="V14">
        <f>'Calculations BTU'!AD41</f>
        <v>22075825645944.324</v>
      </c>
      <c r="W14">
        <f>'Calculations BTU'!AE41</f>
        <v>21791465504519.535</v>
      </c>
      <c r="X14">
        <f>'Calculations BTU'!AF41</f>
        <v>21497626691713.922</v>
      </c>
      <c r="Y14">
        <f>'Calculations BTU'!AG41</f>
        <v>21213266550289.137</v>
      </c>
      <c r="Z14">
        <f>'Calculations BTU'!AH41</f>
        <v>20919427737483.523</v>
      </c>
      <c r="AA14">
        <f>'Calculations BTU'!AI41</f>
        <v>20635067596058.734</v>
      </c>
      <c r="AB14">
        <f>'Calculations BTU'!AJ41</f>
        <v>20341228783253.121</v>
      </c>
      <c r="AC14">
        <f>'Calculations BTU'!AK41</f>
        <v>20056868641828.336</v>
      </c>
      <c r="AD14">
        <f>'Calculations BTU'!AL41</f>
        <v>19763029829022.723</v>
      </c>
      <c r="AE14">
        <f>'Calculations BTU'!AM41</f>
        <v>19478669687597.934</v>
      </c>
      <c r="AF14">
        <f>'Calculations BTU'!AN41</f>
        <v>19184830874792.32</v>
      </c>
      <c r="AG14">
        <f>'Calculations BTU'!AO41</f>
        <v>19184830874792.32</v>
      </c>
      <c r="AH14">
        <f>'Calculations BTU'!AP41</f>
        <v>19184830874792.32</v>
      </c>
      <c r="AI14">
        <f>'Calculations BTU'!AQ41</f>
        <v>19184830874792.32</v>
      </c>
      <c r="AJ14">
        <f>'Calculations BTU'!AR41</f>
        <v>19184830874792.32</v>
      </c>
      <c r="AK14">
        <f>'Calculations BTU'!AS41</f>
        <v>19184830874792.32</v>
      </c>
      <c r="AL14">
        <f>'Calculations BTU'!AT41</f>
        <v>19184830874792.32</v>
      </c>
      <c r="AM14">
        <f>'Calculations BTU'!AU41</f>
        <v>19184830874792.32</v>
      </c>
      <c r="AN14">
        <f>'Calculations BTU'!AV41</f>
        <v>19184830874792.32</v>
      </c>
      <c r="AO14">
        <f>'Calculations BTU'!AW41</f>
        <v>19184830874792.32</v>
      </c>
      <c r="AP14">
        <f>'Calculations BTU'!AX41</f>
        <v>19184830874792.32</v>
      </c>
      <c r="AQ14">
        <f>'Calculations BTU'!AY41</f>
        <v>19184830874792.32</v>
      </c>
      <c r="AR14">
        <f>'Calculations BTU'!AZ41</f>
        <v>19184830874792.32</v>
      </c>
      <c r="AS14">
        <f>'Calculations BTU'!BA41</f>
        <v>19184830874792.32</v>
      </c>
      <c r="AT14">
        <f>'Calculations BTU'!BB41</f>
        <v>19184830874792.32</v>
      </c>
      <c r="AU14">
        <f>'Calculations BTU'!BC41</f>
        <v>19184830874792.32</v>
      </c>
      <c r="AV14">
        <f>'Calculations BTU'!BD41</f>
        <v>19184830874792.32</v>
      </c>
      <c r="AW14">
        <f>'Calculations BTU'!BE41</f>
        <v>19184830874792.32</v>
      </c>
      <c r="AX14">
        <f>'Calculations BTU'!BF41</f>
        <v>19184830874792.32</v>
      </c>
      <c r="AY14">
        <f>'Calculations BTU'!BG41</f>
        <v>19184830874792.32</v>
      </c>
      <c r="AZ14">
        <f>'Calculations BTU'!BH41</f>
        <v>19184830874792.32</v>
      </c>
    </row>
    <row r="15" spans="1:52">
      <c r="A15" t="s">
        <v>139</v>
      </c>
      <c r="B15">
        <f>'Calculations BTU'!J42</f>
        <v>42236959672961.75</v>
      </c>
      <c r="C15">
        <f>'Calculations BTU'!K42</f>
        <v>45867290811818.203</v>
      </c>
      <c r="D15">
        <f>'Calculations BTU'!L42</f>
        <v>45383878571396.063</v>
      </c>
      <c r="E15">
        <f>'Calculations BTU'!M42</f>
        <v>43999992549795.43</v>
      </c>
      <c r="F15">
        <f>'Calculations BTU'!N42</f>
        <v>42616106528194.797</v>
      </c>
      <c r="G15">
        <f>'Calculations BTU'!O42</f>
        <v>41232220506594.164</v>
      </c>
      <c r="H15">
        <f>'Calculations BTU'!P42</f>
        <v>39848334484993.531</v>
      </c>
      <c r="I15">
        <f>'Calculations BTU'!Q42</f>
        <v>38464448463392.898</v>
      </c>
      <c r="J15">
        <f>'Calculations BTU'!R42</f>
        <v>37080562441792.266</v>
      </c>
      <c r="K15">
        <f>'Calculations BTU'!S42</f>
        <v>35696676420191.633</v>
      </c>
      <c r="L15">
        <f>'Calculations BTU'!T42</f>
        <v>34312790398591.012</v>
      </c>
      <c r="M15">
        <f>'Calculations BTU'!U42</f>
        <v>32928904376990.379</v>
      </c>
      <c r="N15">
        <f>'Calculations BTU'!V42</f>
        <v>31545018355389.746</v>
      </c>
      <c r="O15">
        <f>'Calculations BTU'!W42</f>
        <v>30161132333789.113</v>
      </c>
      <c r="P15">
        <f>'Calculations BTU'!X42</f>
        <v>28777246312188.48</v>
      </c>
      <c r="Q15">
        <f>'Calculations BTU'!Y42</f>
        <v>27393360290587.848</v>
      </c>
      <c r="R15">
        <f>'Calculations BTU'!Z42</f>
        <v>26009474268987.219</v>
      </c>
      <c r="S15">
        <f>'Calculations BTU'!AA42</f>
        <v>24625588247386.586</v>
      </c>
      <c r="T15">
        <f>'Calculations BTU'!AB42</f>
        <v>23241702225785.953</v>
      </c>
      <c r="U15">
        <f>'Calculations BTU'!AC42</f>
        <v>21857816204185.32</v>
      </c>
      <c r="V15">
        <f>'Calculations BTU'!AD42</f>
        <v>20473930182584.691</v>
      </c>
      <c r="W15">
        <f>'Calculations BTU'!AE42</f>
        <v>19090044160984.059</v>
      </c>
      <c r="X15">
        <f>'Calculations BTU'!AF42</f>
        <v>17706158139383.426</v>
      </c>
      <c r="Y15">
        <f>'Calculations BTU'!AG42</f>
        <v>16322272117782.793</v>
      </c>
      <c r="Z15">
        <f>'Calculations BTU'!AH42</f>
        <v>14938386096182.162</v>
      </c>
      <c r="AA15">
        <f>'Calculations BTU'!AI42</f>
        <v>13554500074581.531</v>
      </c>
      <c r="AB15">
        <f>'Calculations BTU'!AJ42</f>
        <v>12170614052980.898</v>
      </c>
      <c r="AC15">
        <f>'Calculations BTU'!AK42</f>
        <v>10786728031380.268</v>
      </c>
      <c r="AD15">
        <f>'Calculations BTU'!AL42</f>
        <v>9402842009779.6348</v>
      </c>
      <c r="AE15">
        <f>'Calculations BTU'!AM42</f>
        <v>8018955988179.0039</v>
      </c>
      <c r="AF15">
        <f>'Calculations BTU'!AN42</f>
        <v>6635069966578.3711</v>
      </c>
      <c r="AG15">
        <f>'Calculations BTU'!AO42</f>
        <v>6635069966578.3711</v>
      </c>
      <c r="AH15">
        <f>'Calculations BTU'!AP42</f>
        <v>6635069966578.3711</v>
      </c>
      <c r="AI15">
        <f>'Calculations BTU'!AQ42</f>
        <v>6635069966578.3711</v>
      </c>
      <c r="AJ15">
        <f>'Calculations BTU'!AR42</f>
        <v>6635069966578.3711</v>
      </c>
      <c r="AK15">
        <f>'Calculations BTU'!AS42</f>
        <v>6635069966578.3711</v>
      </c>
      <c r="AL15">
        <f>'Calculations BTU'!AT42</f>
        <v>6635069966578.3711</v>
      </c>
      <c r="AM15">
        <f>'Calculations BTU'!AU42</f>
        <v>6635069966578.3711</v>
      </c>
      <c r="AN15">
        <f>'Calculations BTU'!AV42</f>
        <v>6635069966578.3711</v>
      </c>
      <c r="AO15">
        <f>'Calculations BTU'!AW42</f>
        <v>6635069966578.3711</v>
      </c>
      <c r="AP15">
        <f>'Calculations BTU'!AX42</f>
        <v>6635069966578.3711</v>
      </c>
      <c r="AQ15">
        <f>'Calculations BTU'!AY42</f>
        <v>6635069966578.3711</v>
      </c>
      <c r="AR15">
        <f>'Calculations BTU'!AZ42</f>
        <v>6635069966578.3711</v>
      </c>
      <c r="AS15">
        <f>'Calculations BTU'!BA42</f>
        <v>6635069966578.3711</v>
      </c>
      <c r="AT15">
        <f>'Calculations BTU'!BB42</f>
        <v>6635069966578.3711</v>
      </c>
      <c r="AU15">
        <f>'Calculations BTU'!BC42</f>
        <v>6635069966578.3711</v>
      </c>
      <c r="AV15">
        <f>'Calculations BTU'!BD42</f>
        <v>6635069966578.3711</v>
      </c>
      <c r="AW15">
        <f>'Calculations BTU'!BE42</f>
        <v>6635069966578.3711</v>
      </c>
      <c r="AX15">
        <f>'Calculations BTU'!BF42</f>
        <v>6635069966578.3711</v>
      </c>
      <c r="AY15">
        <f>'Calculations BTU'!BG42</f>
        <v>6635069966578.3711</v>
      </c>
      <c r="AZ15">
        <f>'Calculations BTU'!BH42</f>
        <v>6635069966578.3711</v>
      </c>
    </row>
    <row r="16" spans="1:52">
      <c r="A16" t="s">
        <v>140</v>
      </c>
      <c r="B16">
        <f>'Calculations BTU'!J43</f>
        <v>0</v>
      </c>
      <c r="C16">
        <f>'Calculations BTU'!K43</f>
        <v>0</v>
      </c>
      <c r="D16">
        <f>'Calculations BTU'!L43</f>
        <v>0</v>
      </c>
      <c r="E16">
        <f>'Calculations BTU'!M43</f>
        <v>0</v>
      </c>
      <c r="F16">
        <f>'Calculations BTU'!N43</f>
        <v>0</v>
      </c>
      <c r="G16">
        <f>'Calculations BTU'!O43</f>
        <v>0</v>
      </c>
      <c r="H16">
        <f>'Calculations BTU'!P43</f>
        <v>0</v>
      </c>
      <c r="I16">
        <f>'Calculations BTU'!Q43</f>
        <v>0</v>
      </c>
      <c r="J16">
        <f>'Calculations BTU'!R43</f>
        <v>0</v>
      </c>
      <c r="K16">
        <f>'Calculations BTU'!S43</f>
        <v>0</v>
      </c>
      <c r="L16">
        <f>'Calculations BTU'!T43</f>
        <v>0</v>
      </c>
      <c r="M16">
        <f>'Calculations BTU'!U43</f>
        <v>0</v>
      </c>
      <c r="N16">
        <f>'Calculations BTU'!V43</f>
        <v>0</v>
      </c>
      <c r="O16">
        <f>'Calculations BTU'!W43</f>
        <v>0</v>
      </c>
      <c r="P16">
        <f>'Calculations BTU'!X43</f>
        <v>0</v>
      </c>
      <c r="Q16">
        <f>'Calculations BTU'!Y43</f>
        <v>0</v>
      </c>
      <c r="R16">
        <f>'Calculations BTU'!Z43</f>
        <v>0</v>
      </c>
      <c r="S16">
        <f>'Calculations BTU'!AA43</f>
        <v>0</v>
      </c>
      <c r="T16">
        <f>'Calculations BTU'!AB43</f>
        <v>0</v>
      </c>
      <c r="U16">
        <f>'Calculations BTU'!AC43</f>
        <v>0</v>
      </c>
      <c r="V16">
        <f>'Calculations BTU'!AD43</f>
        <v>0</v>
      </c>
      <c r="W16">
        <f>'Calculations BTU'!AE43</f>
        <v>0</v>
      </c>
      <c r="X16">
        <f>'Calculations BTU'!AF43</f>
        <v>0</v>
      </c>
      <c r="Y16">
        <f>'Calculations BTU'!AG43</f>
        <v>0</v>
      </c>
      <c r="Z16">
        <f>'Calculations BTU'!AH43</f>
        <v>0</v>
      </c>
      <c r="AA16">
        <f>'Calculations BTU'!AI43</f>
        <v>0</v>
      </c>
      <c r="AB16">
        <f>'Calculations BTU'!AJ43</f>
        <v>0</v>
      </c>
      <c r="AC16">
        <f>'Calculations BTU'!AK43</f>
        <v>0</v>
      </c>
      <c r="AD16">
        <f>'Calculations BTU'!AL43</f>
        <v>0</v>
      </c>
      <c r="AE16">
        <f>'Calculations BTU'!AM43</f>
        <v>0</v>
      </c>
      <c r="AF16">
        <f>'Calculations BTU'!AN43</f>
        <v>0</v>
      </c>
      <c r="AG16">
        <f>'Calculations BTU'!AO43</f>
        <v>0</v>
      </c>
      <c r="AH16">
        <f>'Calculations BTU'!AP43</f>
        <v>0</v>
      </c>
      <c r="AI16">
        <f>'Calculations BTU'!AQ43</f>
        <v>0</v>
      </c>
      <c r="AJ16">
        <f>'Calculations BTU'!AR43</f>
        <v>0</v>
      </c>
      <c r="AK16">
        <f>'Calculations BTU'!AS43</f>
        <v>0</v>
      </c>
      <c r="AL16">
        <f>'Calculations BTU'!AT43</f>
        <v>0</v>
      </c>
      <c r="AM16">
        <f>'Calculations BTU'!AU43</f>
        <v>0</v>
      </c>
      <c r="AN16">
        <f>'Calculations BTU'!AV43</f>
        <v>0</v>
      </c>
      <c r="AO16">
        <f>'Calculations BTU'!AW43</f>
        <v>0</v>
      </c>
      <c r="AP16">
        <f>'Calculations BTU'!AX43</f>
        <v>0</v>
      </c>
      <c r="AQ16">
        <f>'Calculations BTU'!AY43</f>
        <v>0</v>
      </c>
      <c r="AR16">
        <f>'Calculations BTU'!AZ43</f>
        <v>0</v>
      </c>
      <c r="AS16">
        <f>'Calculations BTU'!BA43</f>
        <v>0</v>
      </c>
      <c r="AT16">
        <f>'Calculations BTU'!BB43</f>
        <v>0</v>
      </c>
      <c r="AU16">
        <f>'Calculations BTU'!BC43</f>
        <v>0</v>
      </c>
      <c r="AV16">
        <f>'Calculations BTU'!BD43</f>
        <v>0</v>
      </c>
      <c r="AW16">
        <f>'Calculations BTU'!BE43</f>
        <v>0</v>
      </c>
      <c r="AX16">
        <f>'Calculations BTU'!BF43</f>
        <v>0</v>
      </c>
      <c r="AY16">
        <f>'Calculations BTU'!BG43</f>
        <v>0</v>
      </c>
      <c r="AZ16">
        <f>'Calculations BTU'!BH43</f>
        <v>0</v>
      </c>
    </row>
    <row r="17" spans="1:52">
      <c r="A17" t="s">
        <v>141</v>
      </c>
      <c r="B17">
        <f>'Calculations BTU'!J44</f>
        <v>0</v>
      </c>
      <c r="C17">
        <f>'Calculations BTU'!K44</f>
        <v>0</v>
      </c>
      <c r="D17">
        <f>'Calculations BTU'!L44</f>
        <v>0</v>
      </c>
      <c r="E17">
        <f>'Calculations BTU'!M44</f>
        <v>0</v>
      </c>
      <c r="F17">
        <f>'Calculations BTU'!N44</f>
        <v>0</v>
      </c>
      <c r="G17">
        <f>'Calculations BTU'!O44</f>
        <v>0</v>
      </c>
      <c r="H17">
        <f>'Calculations BTU'!P44</f>
        <v>0</v>
      </c>
      <c r="I17">
        <f>'Calculations BTU'!Q44</f>
        <v>0</v>
      </c>
      <c r="J17">
        <f>'Calculations BTU'!R44</f>
        <v>0</v>
      </c>
      <c r="K17">
        <f>'Calculations BTU'!S44</f>
        <v>0</v>
      </c>
      <c r="L17">
        <f>'Calculations BTU'!T44</f>
        <v>0</v>
      </c>
      <c r="M17">
        <f>'Calculations BTU'!U44</f>
        <v>0</v>
      </c>
      <c r="N17">
        <f>'Calculations BTU'!V44</f>
        <v>0</v>
      </c>
      <c r="O17">
        <f>'Calculations BTU'!W44</f>
        <v>0</v>
      </c>
      <c r="P17">
        <f>'Calculations BTU'!X44</f>
        <v>0</v>
      </c>
      <c r="Q17">
        <f>'Calculations BTU'!Y44</f>
        <v>0</v>
      </c>
      <c r="R17">
        <f>'Calculations BTU'!Z44</f>
        <v>0</v>
      </c>
      <c r="S17">
        <f>'Calculations BTU'!AA44</f>
        <v>0</v>
      </c>
      <c r="T17">
        <f>'Calculations BTU'!AB44</f>
        <v>0</v>
      </c>
      <c r="U17">
        <f>'Calculations BTU'!AC44</f>
        <v>0</v>
      </c>
      <c r="V17">
        <f>'Calculations BTU'!AD44</f>
        <v>0</v>
      </c>
      <c r="W17">
        <f>'Calculations BTU'!AE44</f>
        <v>0</v>
      </c>
      <c r="X17">
        <f>'Calculations BTU'!AF44</f>
        <v>0</v>
      </c>
      <c r="Y17">
        <f>'Calculations BTU'!AG44</f>
        <v>0</v>
      </c>
      <c r="Z17">
        <f>'Calculations BTU'!AH44</f>
        <v>0</v>
      </c>
      <c r="AA17">
        <f>'Calculations BTU'!AI44</f>
        <v>0</v>
      </c>
      <c r="AB17">
        <f>'Calculations BTU'!AJ44</f>
        <v>0</v>
      </c>
      <c r="AC17">
        <f>'Calculations BTU'!AK44</f>
        <v>0</v>
      </c>
      <c r="AD17">
        <f>'Calculations BTU'!AL44</f>
        <v>0</v>
      </c>
      <c r="AE17">
        <f>'Calculations BTU'!AM44</f>
        <v>0</v>
      </c>
      <c r="AF17">
        <f>'Calculations BTU'!AN44</f>
        <v>0</v>
      </c>
      <c r="AG17">
        <f>'Calculations BTU'!AO44</f>
        <v>0</v>
      </c>
      <c r="AH17">
        <f>'Calculations BTU'!AP44</f>
        <v>0</v>
      </c>
      <c r="AI17">
        <f>'Calculations BTU'!AQ44</f>
        <v>0</v>
      </c>
      <c r="AJ17">
        <f>'Calculations BTU'!AR44</f>
        <v>0</v>
      </c>
      <c r="AK17">
        <f>'Calculations BTU'!AS44</f>
        <v>0</v>
      </c>
      <c r="AL17">
        <f>'Calculations BTU'!AT44</f>
        <v>0</v>
      </c>
      <c r="AM17">
        <f>'Calculations BTU'!AU44</f>
        <v>0</v>
      </c>
      <c r="AN17">
        <f>'Calculations BTU'!AV44</f>
        <v>0</v>
      </c>
      <c r="AO17">
        <f>'Calculations BTU'!AW44</f>
        <v>0</v>
      </c>
      <c r="AP17">
        <f>'Calculations BTU'!AX44</f>
        <v>0</v>
      </c>
      <c r="AQ17">
        <f>'Calculations BTU'!AY44</f>
        <v>0</v>
      </c>
      <c r="AR17">
        <f>'Calculations BTU'!AZ44</f>
        <v>0</v>
      </c>
      <c r="AS17">
        <f>'Calculations BTU'!BA44</f>
        <v>0</v>
      </c>
      <c r="AT17">
        <f>'Calculations BTU'!BB44</f>
        <v>0</v>
      </c>
      <c r="AU17">
        <f>'Calculations BTU'!BC44</f>
        <v>0</v>
      </c>
      <c r="AV17">
        <f>'Calculations BTU'!BD44</f>
        <v>0</v>
      </c>
      <c r="AW17">
        <f>'Calculations BTU'!BE44</f>
        <v>0</v>
      </c>
      <c r="AX17">
        <f>'Calculations BTU'!BF44</f>
        <v>0</v>
      </c>
      <c r="AY17">
        <f>'Calculations BTU'!BG44</f>
        <v>0</v>
      </c>
      <c r="AZ17">
        <f>'Calculations BTU'!BH44</f>
        <v>0</v>
      </c>
    </row>
    <row r="18" spans="1:52">
      <c r="A18" t="s">
        <v>142</v>
      </c>
      <c r="B18">
        <f>'Calculations BTU'!J45</f>
        <v>0</v>
      </c>
      <c r="C18">
        <f>'Calculations BTU'!K45</f>
        <v>0</v>
      </c>
      <c r="D18">
        <f>'Calculations BTU'!L45</f>
        <v>0</v>
      </c>
      <c r="E18">
        <f>'Calculations BTU'!M45</f>
        <v>0</v>
      </c>
      <c r="F18">
        <f>'Calculations BTU'!N45</f>
        <v>0</v>
      </c>
      <c r="G18">
        <f>'Calculations BTU'!O45</f>
        <v>0</v>
      </c>
      <c r="H18">
        <f>'Calculations BTU'!P45</f>
        <v>0</v>
      </c>
      <c r="I18">
        <f>'Calculations BTU'!Q45</f>
        <v>0</v>
      </c>
      <c r="J18">
        <f>'Calculations BTU'!R45</f>
        <v>0</v>
      </c>
      <c r="K18">
        <f>'Calculations BTU'!S45</f>
        <v>0</v>
      </c>
      <c r="L18">
        <f>'Calculations BTU'!T45</f>
        <v>0</v>
      </c>
      <c r="M18">
        <f>'Calculations BTU'!U45</f>
        <v>0</v>
      </c>
      <c r="N18">
        <f>'Calculations BTU'!V45</f>
        <v>0</v>
      </c>
      <c r="O18">
        <f>'Calculations BTU'!W45</f>
        <v>0</v>
      </c>
      <c r="P18">
        <f>'Calculations BTU'!X45</f>
        <v>0</v>
      </c>
      <c r="Q18">
        <f>'Calculations BTU'!Y45</f>
        <v>0</v>
      </c>
      <c r="R18">
        <f>'Calculations BTU'!Z45</f>
        <v>0</v>
      </c>
      <c r="S18">
        <f>'Calculations BTU'!AA45</f>
        <v>0</v>
      </c>
      <c r="T18">
        <f>'Calculations BTU'!AB45</f>
        <v>0</v>
      </c>
      <c r="U18">
        <f>'Calculations BTU'!AC45</f>
        <v>0</v>
      </c>
      <c r="V18">
        <f>'Calculations BTU'!AD45</f>
        <v>0</v>
      </c>
      <c r="W18">
        <f>'Calculations BTU'!AE45</f>
        <v>0</v>
      </c>
      <c r="X18">
        <f>'Calculations BTU'!AF45</f>
        <v>0</v>
      </c>
      <c r="Y18">
        <f>'Calculations BTU'!AG45</f>
        <v>0</v>
      </c>
      <c r="Z18">
        <f>'Calculations BTU'!AH45</f>
        <v>0</v>
      </c>
      <c r="AA18">
        <f>'Calculations BTU'!AI45</f>
        <v>0</v>
      </c>
      <c r="AB18">
        <f>'Calculations BTU'!AJ45</f>
        <v>0</v>
      </c>
      <c r="AC18">
        <f>'Calculations BTU'!AK45</f>
        <v>0</v>
      </c>
      <c r="AD18">
        <f>'Calculations BTU'!AL45</f>
        <v>0</v>
      </c>
      <c r="AE18">
        <f>'Calculations BTU'!AM45</f>
        <v>0</v>
      </c>
      <c r="AF18">
        <f>'Calculations BTU'!AN45</f>
        <v>0</v>
      </c>
      <c r="AG18">
        <f>'Calculations BTU'!AO45</f>
        <v>0</v>
      </c>
      <c r="AH18">
        <f>'Calculations BTU'!AP45</f>
        <v>0</v>
      </c>
      <c r="AI18">
        <f>'Calculations BTU'!AQ45</f>
        <v>0</v>
      </c>
      <c r="AJ18">
        <f>'Calculations BTU'!AR45</f>
        <v>0</v>
      </c>
      <c r="AK18">
        <f>'Calculations BTU'!AS45</f>
        <v>0</v>
      </c>
      <c r="AL18">
        <f>'Calculations BTU'!AT45</f>
        <v>0</v>
      </c>
      <c r="AM18">
        <f>'Calculations BTU'!AU45</f>
        <v>0</v>
      </c>
      <c r="AN18">
        <f>'Calculations BTU'!AV45</f>
        <v>0</v>
      </c>
      <c r="AO18">
        <f>'Calculations BTU'!AW45</f>
        <v>0</v>
      </c>
      <c r="AP18">
        <f>'Calculations BTU'!AX45</f>
        <v>0</v>
      </c>
      <c r="AQ18">
        <f>'Calculations BTU'!AY45</f>
        <v>0</v>
      </c>
      <c r="AR18">
        <f>'Calculations BTU'!AZ45</f>
        <v>0</v>
      </c>
      <c r="AS18">
        <f>'Calculations BTU'!BA45</f>
        <v>0</v>
      </c>
      <c r="AT18">
        <f>'Calculations BTU'!BB45</f>
        <v>0</v>
      </c>
      <c r="AU18">
        <f>'Calculations BTU'!BC45</f>
        <v>0</v>
      </c>
      <c r="AV18">
        <f>'Calculations BTU'!BD45</f>
        <v>0</v>
      </c>
      <c r="AW18">
        <f>'Calculations BTU'!BE45</f>
        <v>0</v>
      </c>
      <c r="AX18">
        <f>'Calculations BTU'!BF45</f>
        <v>0</v>
      </c>
      <c r="AY18">
        <f>'Calculations BTU'!BG45</f>
        <v>0</v>
      </c>
      <c r="AZ18">
        <f>'Calculations BTU'!BH45</f>
        <v>0</v>
      </c>
    </row>
    <row r="19" spans="1:52">
      <c r="A19" t="s">
        <v>143</v>
      </c>
      <c r="B19">
        <f>'Calculations BTU'!J46</f>
        <v>0</v>
      </c>
      <c r="C19">
        <f>'Calculations BTU'!K46</f>
        <v>0</v>
      </c>
      <c r="D19">
        <f>'Calculations BTU'!L46</f>
        <v>0</v>
      </c>
      <c r="E19">
        <f>'Calculations BTU'!M46</f>
        <v>0</v>
      </c>
      <c r="F19">
        <f>'Calculations BTU'!N46</f>
        <v>0</v>
      </c>
      <c r="G19">
        <f>'Calculations BTU'!O46</f>
        <v>0</v>
      </c>
      <c r="H19">
        <f>'Calculations BTU'!P46</f>
        <v>0</v>
      </c>
      <c r="I19">
        <f>'Calculations BTU'!Q46</f>
        <v>0</v>
      </c>
      <c r="J19">
        <f>'Calculations BTU'!R46</f>
        <v>0</v>
      </c>
      <c r="K19">
        <f>'Calculations BTU'!S46</f>
        <v>0</v>
      </c>
      <c r="L19">
        <f>'Calculations BTU'!T46</f>
        <v>0</v>
      </c>
      <c r="M19">
        <f>'Calculations BTU'!U46</f>
        <v>0</v>
      </c>
      <c r="N19">
        <f>'Calculations BTU'!V46</f>
        <v>0</v>
      </c>
      <c r="O19">
        <f>'Calculations BTU'!W46</f>
        <v>0</v>
      </c>
      <c r="P19">
        <f>'Calculations BTU'!X46</f>
        <v>0</v>
      </c>
      <c r="Q19">
        <f>'Calculations BTU'!Y46</f>
        <v>0</v>
      </c>
      <c r="R19">
        <f>'Calculations BTU'!Z46</f>
        <v>0</v>
      </c>
      <c r="S19">
        <f>'Calculations BTU'!AA46</f>
        <v>0</v>
      </c>
      <c r="T19">
        <f>'Calculations BTU'!AB46</f>
        <v>0</v>
      </c>
      <c r="U19">
        <f>'Calculations BTU'!AC46</f>
        <v>0</v>
      </c>
      <c r="V19">
        <f>'Calculations BTU'!AD46</f>
        <v>0</v>
      </c>
      <c r="W19">
        <f>'Calculations BTU'!AE46</f>
        <v>0</v>
      </c>
      <c r="X19">
        <f>'Calculations BTU'!AF46</f>
        <v>0</v>
      </c>
      <c r="Y19">
        <f>'Calculations BTU'!AG46</f>
        <v>0</v>
      </c>
      <c r="Z19">
        <f>'Calculations BTU'!AH46</f>
        <v>0</v>
      </c>
      <c r="AA19">
        <f>'Calculations BTU'!AI46</f>
        <v>0</v>
      </c>
      <c r="AB19">
        <f>'Calculations BTU'!AJ46</f>
        <v>0</v>
      </c>
      <c r="AC19">
        <f>'Calculations BTU'!AK46</f>
        <v>0</v>
      </c>
      <c r="AD19">
        <f>'Calculations BTU'!AL46</f>
        <v>0</v>
      </c>
      <c r="AE19">
        <f>'Calculations BTU'!AM46</f>
        <v>0</v>
      </c>
      <c r="AF19">
        <f>'Calculations BTU'!AN46</f>
        <v>0</v>
      </c>
      <c r="AG19">
        <f>'Calculations BTU'!AO46</f>
        <v>0</v>
      </c>
      <c r="AH19">
        <f>'Calculations BTU'!AP46</f>
        <v>0</v>
      </c>
      <c r="AI19">
        <f>'Calculations BTU'!AQ46</f>
        <v>0</v>
      </c>
      <c r="AJ19">
        <f>'Calculations BTU'!AR46</f>
        <v>0</v>
      </c>
      <c r="AK19">
        <f>'Calculations BTU'!AS46</f>
        <v>0</v>
      </c>
      <c r="AL19">
        <f>'Calculations BTU'!AT46</f>
        <v>0</v>
      </c>
      <c r="AM19">
        <f>'Calculations BTU'!AU46</f>
        <v>0</v>
      </c>
      <c r="AN19">
        <f>'Calculations BTU'!AV46</f>
        <v>0</v>
      </c>
      <c r="AO19">
        <f>'Calculations BTU'!AW46</f>
        <v>0</v>
      </c>
      <c r="AP19">
        <f>'Calculations BTU'!AX46</f>
        <v>0</v>
      </c>
      <c r="AQ19">
        <f>'Calculations BTU'!AY46</f>
        <v>0</v>
      </c>
      <c r="AR19">
        <f>'Calculations BTU'!AZ46</f>
        <v>0</v>
      </c>
      <c r="AS19">
        <f>'Calculations BTU'!BA46</f>
        <v>0</v>
      </c>
      <c r="AT19">
        <f>'Calculations BTU'!BB46</f>
        <v>0</v>
      </c>
      <c r="AU19">
        <f>'Calculations BTU'!BC46</f>
        <v>0</v>
      </c>
      <c r="AV19">
        <f>'Calculations BTU'!BD46</f>
        <v>0</v>
      </c>
      <c r="AW19">
        <f>'Calculations BTU'!BE46</f>
        <v>0</v>
      </c>
      <c r="AX19">
        <f>'Calculations BTU'!BF46</f>
        <v>0</v>
      </c>
      <c r="AY19">
        <f>'Calculations BTU'!BG46</f>
        <v>0</v>
      </c>
      <c r="AZ19">
        <f>'Calculations BTU'!BH46</f>
        <v>0</v>
      </c>
    </row>
    <row r="20" spans="1:52">
      <c r="A20" t="s">
        <v>144</v>
      </c>
      <c r="B20">
        <f>'Calculations BTU'!J47</f>
        <v>0</v>
      </c>
      <c r="C20">
        <f>'Calculations BTU'!K47</f>
        <v>0</v>
      </c>
      <c r="D20">
        <f>'Calculations BTU'!L47</f>
        <v>0</v>
      </c>
      <c r="E20">
        <f>'Calculations BTU'!M47</f>
        <v>0</v>
      </c>
      <c r="F20">
        <f>'Calculations BTU'!N47</f>
        <v>0</v>
      </c>
      <c r="G20">
        <f>'Calculations BTU'!O47</f>
        <v>0</v>
      </c>
      <c r="H20">
        <f>'Calculations BTU'!P47</f>
        <v>0</v>
      </c>
      <c r="I20">
        <f>'Calculations BTU'!Q47</f>
        <v>0</v>
      </c>
      <c r="J20">
        <f>'Calculations BTU'!R47</f>
        <v>0</v>
      </c>
      <c r="K20">
        <f>'Calculations BTU'!S47</f>
        <v>0</v>
      </c>
      <c r="L20">
        <f>'Calculations BTU'!T47</f>
        <v>0</v>
      </c>
      <c r="M20">
        <f>'Calculations BTU'!U47</f>
        <v>0</v>
      </c>
      <c r="N20">
        <f>'Calculations BTU'!V47</f>
        <v>0</v>
      </c>
      <c r="O20">
        <f>'Calculations BTU'!W47</f>
        <v>0</v>
      </c>
      <c r="P20">
        <f>'Calculations BTU'!X47</f>
        <v>0</v>
      </c>
      <c r="Q20">
        <f>'Calculations BTU'!Y47</f>
        <v>0</v>
      </c>
      <c r="R20">
        <f>'Calculations BTU'!Z47</f>
        <v>0</v>
      </c>
      <c r="S20">
        <f>'Calculations BTU'!AA47</f>
        <v>0</v>
      </c>
      <c r="T20">
        <f>'Calculations BTU'!AB47</f>
        <v>0</v>
      </c>
      <c r="U20">
        <f>'Calculations BTU'!AC47</f>
        <v>0</v>
      </c>
      <c r="V20">
        <f>'Calculations BTU'!AD47</f>
        <v>0</v>
      </c>
      <c r="W20">
        <f>'Calculations BTU'!AE47</f>
        <v>0</v>
      </c>
      <c r="X20">
        <f>'Calculations BTU'!AF47</f>
        <v>0</v>
      </c>
      <c r="Y20">
        <f>'Calculations BTU'!AG47</f>
        <v>0</v>
      </c>
      <c r="Z20">
        <f>'Calculations BTU'!AH47</f>
        <v>0</v>
      </c>
      <c r="AA20">
        <f>'Calculations BTU'!AI47</f>
        <v>0</v>
      </c>
      <c r="AB20">
        <f>'Calculations BTU'!AJ47</f>
        <v>0</v>
      </c>
      <c r="AC20">
        <f>'Calculations BTU'!AK47</f>
        <v>0</v>
      </c>
      <c r="AD20">
        <f>'Calculations BTU'!AL47</f>
        <v>0</v>
      </c>
      <c r="AE20">
        <f>'Calculations BTU'!AM47</f>
        <v>0</v>
      </c>
      <c r="AF20">
        <f>'Calculations BTU'!AN47</f>
        <v>0</v>
      </c>
      <c r="AG20">
        <f>'Calculations BTU'!AO47</f>
        <v>0</v>
      </c>
      <c r="AH20">
        <f>'Calculations BTU'!AP47</f>
        <v>0</v>
      </c>
      <c r="AI20">
        <f>'Calculations BTU'!AQ47</f>
        <v>0</v>
      </c>
      <c r="AJ20">
        <f>'Calculations BTU'!AR47</f>
        <v>0</v>
      </c>
      <c r="AK20">
        <f>'Calculations BTU'!AS47</f>
        <v>0</v>
      </c>
      <c r="AL20">
        <f>'Calculations BTU'!AT47</f>
        <v>0</v>
      </c>
      <c r="AM20">
        <f>'Calculations BTU'!AU47</f>
        <v>0</v>
      </c>
      <c r="AN20">
        <f>'Calculations BTU'!AV47</f>
        <v>0</v>
      </c>
      <c r="AO20">
        <f>'Calculations BTU'!AW47</f>
        <v>0</v>
      </c>
      <c r="AP20">
        <f>'Calculations BTU'!AX47</f>
        <v>0</v>
      </c>
      <c r="AQ20">
        <f>'Calculations BTU'!AY47</f>
        <v>0</v>
      </c>
      <c r="AR20">
        <f>'Calculations BTU'!AZ47</f>
        <v>0</v>
      </c>
      <c r="AS20">
        <f>'Calculations BTU'!BA47</f>
        <v>0</v>
      </c>
      <c r="AT20">
        <f>'Calculations BTU'!BB47</f>
        <v>0</v>
      </c>
      <c r="AU20">
        <f>'Calculations BTU'!BC47</f>
        <v>0</v>
      </c>
      <c r="AV20">
        <f>'Calculations BTU'!BD47</f>
        <v>0</v>
      </c>
      <c r="AW20">
        <f>'Calculations BTU'!BE47</f>
        <v>0</v>
      </c>
      <c r="AX20">
        <f>'Calculations BTU'!BF47</f>
        <v>0</v>
      </c>
      <c r="AY20">
        <f>'Calculations BTU'!BG47</f>
        <v>0</v>
      </c>
      <c r="AZ20">
        <f>'Calculations BTU'!BH47</f>
        <v>0</v>
      </c>
    </row>
    <row r="21" spans="1:52">
      <c r="A21" t="s">
        <v>145</v>
      </c>
      <c r="B21">
        <f>'Calculations BTU'!J48</f>
        <v>0</v>
      </c>
      <c r="C21">
        <f>'Calculations BTU'!K48</f>
        <v>0</v>
      </c>
      <c r="D21">
        <f>'Calculations BTU'!L48</f>
        <v>0</v>
      </c>
      <c r="E21">
        <f>'Calculations BTU'!M48</f>
        <v>0</v>
      </c>
      <c r="F21">
        <f>'Calculations BTU'!N48</f>
        <v>0</v>
      </c>
      <c r="G21">
        <f>'Calculations BTU'!O48</f>
        <v>0</v>
      </c>
      <c r="H21">
        <f>'Calculations BTU'!P48</f>
        <v>0</v>
      </c>
      <c r="I21">
        <f>'Calculations BTU'!Q48</f>
        <v>0</v>
      </c>
      <c r="J21">
        <f>'Calculations BTU'!R48</f>
        <v>0</v>
      </c>
      <c r="K21">
        <f>'Calculations BTU'!S48</f>
        <v>0</v>
      </c>
      <c r="L21">
        <f>'Calculations BTU'!T48</f>
        <v>0</v>
      </c>
      <c r="M21">
        <f>'Calculations BTU'!U48</f>
        <v>0</v>
      </c>
      <c r="N21">
        <f>'Calculations BTU'!V48</f>
        <v>0</v>
      </c>
      <c r="O21">
        <f>'Calculations BTU'!W48</f>
        <v>0</v>
      </c>
      <c r="P21">
        <f>'Calculations BTU'!X48</f>
        <v>0</v>
      </c>
      <c r="Q21">
        <f>'Calculations BTU'!Y48</f>
        <v>0</v>
      </c>
      <c r="R21">
        <f>'Calculations BTU'!Z48</f>
        <v>0</v>
      </c>
      <c r="S21">
        <f>'Calculations BTU'!AA48</f>
        <v>0</v>
      </c>
      <c r="T21">
        <f>'Calculations BTU'!AB48</f>
        <v>0</v>
      </c>
      <c r="U21">
        <f>'Calculations BTU'!AC48</f>
        <v>0</v>
      </c>
      <c r="V21">
        <f>'Calculations BTU'!AD48</f>
        <v>0</v>
      </c>
      <c r="W21">
        <f>'Calculations BTU'!AE48</f>
        <v>0</v>
      </c>
      <c r="X21">
        <f>'Calculations BTU'!AF48</f>
        <v>0</v>
      </c>
      <c r="Y21">
        <f>'Calculations BTU'!AG48</f>
        <v>0</v>
      </c>
      <c r="Z21">
        <f>'Calculations BTU'!AH48</f>
        <v>0</v>
      </c>
      <c r="AA21">
        <f>'Calculations BTU'!AI48</f>
        <v>0</v>
      </c>
      <c r="AB21">
        <f>'Calculations BTU'!AJ48</f>
        <v>0</v>
      </c>
      <c r="AC21">
        <f>'Calculations BTU'!AK48</f>
        <v>0</v>
      </c>
      <c r="AD21">
        <f>'Calculations BTU'!AL48</f>
        <v>0</v>
      </c>
      <c r="AE21">
        <f>'Calculations BTU'!AM48</f>
        <v>0</v>
      </c>
      <c r="AF21">
        <f>'Calculations BTU'!AN48</f>
        <v>0</v>
      </c>
      <c r="AG21">
        <f>'Calculations BTU'!AO48</f>
        <v>0</v>
      </c>
      <c r="AH21">
        <f>'Calculations BTU'!AP48</f>
        <v>0</v>
      </c>
      <c r="AI21">
        <f>'Calculations BTU'!AQ48</f>
        <v>0</v>
      </c>
      <c r="AJ21">
        <f>'Calculations BTU'!AR48</f>
        <v>0</v>
      </c>
      <c r="AK21">
        <f>'Calculations BTU'!AS48</f>
        <v>0</v>
      </c>
      <c r="AL21">
        <f>'Calculations BTU'!AT48</f>
        <v>0</v>
      </c>
      <c r="AM21">
        <f>'Calculations BTU'!AU48</f>
        <v>0</v>
      </c>
      <c r="AN21">
        <f>'Calculations BTU'!AV48</f>
        <v>0</v>
      </c>
      <c r="AO21">
        <f>'Calculations BTU'!AW48</f>
        <v>0</v>
      </c>
      <c r="AP21">
        <f>'Calculations BTU'!AX48</f>
        <v>0</v>
      </c>
      <c r="AQ21">
        <f>'Calculations BTU'!AY48</f>
        <v>0</v>
      </c>
      <c r="AR21">
        <f>'Calculations BTU'!AZ48</f>
        <v>0</v>
      </c>
      <c r="AS21">
        <f>'Calculations BTU'!BA48</f>
        <v>0</v>
      </c>
      <c r="AT21">
        <f>'Calculations BTU'!BB48</f>
        <v>0</v>
      </c>
      <c r="AU21">
        <f>'Calculations BTU'!BC48</f>
        <v>0</v>
      </c>
      <c r="AV21">
        <f>'Calculations BTU'!BD48</f>
        <v>0</v>
      </c>
      <c r="AW21">
        <f>'Calculations BTU'!BE48</f>
        <v>0</v>
      </c>
      <c r="AX21">
        <f>'Calculations BTU'!BF48</f>
        <v>0</v>
      </c>
      <c r="AY21">
        <f>'Calculations BTU'!BG48</f>
        <v>0</v>
      </c>
      <c r="AZ21">
        <f>'Calculations BTU'!BH48</f>
        <v>0</v>
      </c>
    </row>
    <row r="22" spans="1:52">
      <c r="A22" t="s">
        <v>146</v>
      </c>
      <c r="B22">
        <f>'Calculations BTU'!J49</f>
        <v>0</v>
      </c>
      <c r="C22">
        <f>'Calculations BTU'!K49</f>
        <v>0</v>
      </c>
      <c r="D22">
        <f>'Calculations BTU'!L49</f>
        <v>0</v>
      </c>
      <c r="E22">
        <f>'Calculations BTU'!M49</f>
        <v>0</v>
      </c>
      <c r="F22">
        <f>'Calculations BTU'!N49</f>
        <v>0</v>
      </c>
      <c r="G22">
        <f>'Calculations BTU'!O49</f>
        <v>0</v>
      </c>
      <c r="H22">
        <f>'Calculations BTU'!P49</f>
        <v>0</v>
      </c>
      <c r="I22">
        <f>'Calculations BTU'!Q49</f>
        <v>0</v>
      </c>
      <c r="J22">
        <f>'Calculations BTU'!R49</f>
        <v>0</v>
      </c>
      <c r="K22">
        <f>'Calculations BTU'!S49</f>
        <v>0</v>
      </c>
      <c r="L22">
        <f>'Calculations BTU'!T49</f>
        <v>0</v>
      </c>
      <c r="M22">
        <f>'Calculations BTU'!U49</f>
        <v>0</v>
      </c>
      <c r="N22">
        <f>'Calculations BTU'!V49</f>
        <v>0</v>
      </c>
      <c r="O22">
        <f>'Calculations BTU'!W49</f>
        <v>0</v>
      </c>
      <c r="P22">
        <f>'Calculations BTU'!X49</f>
        <v>0</v>
      </c>
      <c r="Q22">
        <f>'Calculations BTU'!Y49</f>
        <v>0</v>
      </c>
      <c r="R22">
        <f>'Calculations BTU'!Z49</f>
        <v>0</v>
      </c>
      <c r="S22">
        <f>'Calculations BTU'!AA49</f>
        <v>0</v>
      </c>
      <c r="T22">
        <f>'Calculations BTU'!AB49</f>
        <v>0</v>
      </c>
      <c r="U22">
        <f>'Calculations BTU'!AC49</f>
        <v>0</v>
      </c>
      <c r="V22">
        <f>'Calculations BTU'!AD49</f>
        <v>0</v>
      </c>
      <c r="W22">
        <f>'Calculations BTU'!AE49</f>
        <v>0</v>
      </c>
      <c r="X22">
        <f>'Calculations BTU'!AF49</f>
        <v>0</v>
      </c>
      <c r="Y22">
        <f>'Calculations BTU'!AG49</f>
        <v>0</v>
      </c>
      <c r="Z22">
        <f>'Calculations BTU'!AH49</f>
        <v>0</v>
      </c>
      <c r="AA22">
        <f>'Calculations BTU'!AI49</f>
        <v>0</v>
      </c>
      <c r="AB22">
        <f>'Calculations BTU'!AJ49</f>
        <v>0</v>
      </c>
      <c r="AC22">
        <f>'Calculations BTU'!AK49</f>
        <v>0</v>
      </c>
      <c r="AD22">
        <f>'Calculations BTU'!AL49</f>
        <v>0</v>
      </c>
      <c r="AE22">
        <f>'Calculations BTU'!AM49</f>
        <v>0</v>
      </c>
      <c r="AF22">
        <f>'Calculations BTU'!AN49</f>
        <v>0</v>
      </c>
      <c r="AG22">
        <f>'Calculations BTU'!AO49</f>
        <v>0</v>
      </c>
      <c r="AH22">
        <f>'Calculations BTU'!AP49</f>
        <v>0</v>
      </c>
      <c r="AI22">
        <f>'Calculations BTU'!AQ49</f>
        <v>0</v>
      </c>
      <c r="AJ22">
        <f>'Calculations BTU'!AR49</f>
        <v>0</v>
      </c>
      <c r="AK22">
        <f>'Calculations BTU'!AS49</f>
        <v>0</v>
      </c>
      <c r="AL22">
        <f>'Calculations BTU'!AT49</f>
        <v>0</v>
      </c>
      <c r="AM22">
        <f>'Calculations BTU'!AU49</f>
        <v>0</v>
      </c>
      <c r="AN22">
        <f>'Calculations BTU'!AV49</f>
        <v>0</v>
      </c>
      <c r="AO22">
        <f>'Calculations BTU'!AW49</f>
        <v>0</v>
      </c>
      <c r="AP22">
        <f>'Calculations BTU'!AX49</f>
        <v>0</v>
      </c>
      <c r="AQ22">
        <f>'Calculations BTU'!AY49</f>
        <v>0</v>
      </c>
      <c r="AR22">
        <f>'Calculations BTU'!AZ49</f>
        <v>0</v>
      </c>
      <c r="AS22">
        <f>'Calculations BTU'!BA49</f>
        <v>0</v>
      </c>
      <c r="AT22">
        <f>'Calculations BTU'!BB49</f>
        <v>0</v>
      </c>
      <c r="AU22">
        <f>'Calculations BTU'!BC49</f>
        <v>0</v>
      </c>
      <c r="AV22">
        <f>'Calculations BTU'!BD49</f>
        <v>0</v>
      </c>
      <c r="AW22">
        <f>'Calculations BTU'!BE49</f>
        <v>0</v>
      </c>
      <c r="AX22">
        <f>'Calculations BTU'!BF49</f>
        <v>0</v>
      </c>
      <c r="AY22">
        <f>'Calculations BTU'!BG49</f>
        <v>0</v>
      </c>
      <c r="AZ22">
        <f>'Calculations BTU'!BH49</f>
        <v>0</v>
      </c>
    </row>
    <row r="23" spans="1:52">
      <c r="A23" t="s">
        <v>147</v>
      </c>
      <c r="B23">
        <f>'Calculations BTU'!J50</f>
        <v>10824642716903.572</v>
      </c>
      <c r="C23">
        <f>'Calculations BTU'!K50</f>
        <v>32928904376990.379</v>
      </c>
      <c r="D23">
        <f>'Calculations BTU'!L50</f>
        <v>32682458921088.891</v>
      </c>
      <c r="E23">
        <f>'Calculations BTU'!M50</f>
        <v>32341226751379.145</v>
      </c>
      <c r="F23">
        <f>'Calculations BTU'!N50</f>
        <v>31990515910288.578</v>
      </c>
      <c r="G23">
        <f>'Calculations BTU'!O50</f>
        <v>31649283740578.832</v>
      </c>
      <c r="H23">
        <f>'Calculations BTU'!P50</f>
        <v>31298572899488.266</v>
      </c>
      <c r="I23">
        <f>'Calculations BTU'!Q50</f>
        <v>30957340729778.512</v>
      </c>
      <c r="J23">
        <f>'Calculations BTU'!R50</f>
        <v>30606629888687.945</v>
      </c>
      <c r="K23">
        <f>'Calculations BTU'!S50</f>
        <v>30265397718978.199</v>
      </c>
      <c r="L23">
        <f>'Calculations BTU'!T50</f>
        <v>29914686877887.629</v>
      </c>
      <c r="M23">
        <f>'Calculations BTU'!U50</f>
        <v>29573454708177.883</v>
      </c>
      <c r="N23">
        <f>'Calculations BTU'!V50</f>
        <v>29222743867087.313</v>
      </c>
      <c r="O23">
        <f>'Calculations BTU'!W50</f>
        <v>28881511697377.566</v>
      </c>
      <c r="P23">
        <f>'Calculations BTU'!X50</f>
        <v>28530800856287</v>
      </c>
      <c r="Q23">
        <f>'Calculations BTU'!Y50</f>
        <v>28189568686577.25</v>
      </c>
      <c r="R23">
        <f>'Calculations BTU'!Z50</f>
        <v>27838857845486.684</v>
      </c>
      <c r="S23">
        <f>'Calculations BTU'!AA50</f>
        <v>27497625675776.938</v>
      </c>
      <c r="T23">
        <f>'Calculations BTU'!AB50</f>
        <v>27146914834686.367</v>
      </c>
      <c r="U23">
        <f>'Calculations BTU'!AC50</f>
        <v>26796203993595.793</v>
      </c>
      <c r="V23">
        <f>'Calculations BTU'!AD50</f>
        <v>26454971823886.051</v>
      </c>
      <c r="W23">
        <f>'Calculations BTU'!AE50</f>
        <v>26104260982795.477</v>
      </c>
      <c r="X23">
        <f>'Calculations BTU'!AF50</f>
        <v>25763028813085.734</v>
      </c>
      <c r="Y23">
        <f>'Calculations BTU'!AG50</f>
        <v>25412317971995.16</v>
      </c>
      <c r="Z23">
        <f>'Calculations BTU'!AH50</f>
        <v>25071085802285.418</v>
      </c>
      <c r="AA23">
        <f>'Calculations BTU'!AI50</f>
        <v>24720374961194.844</v>
      </c>
      <c r="AB23">
        <f>'Calculations BTU'!AJ50</f>
        <v>24379142791485.102</v>
      </c>
      <c r="AC23">
        <f>'Calculations BTU'!AK50</f>
        <v>24028431950394.531</v>
      </c>
      <c r="AD23">
        <f>'Calculations BTU'!AL50</f>
        <v>23687199780684.785</v>
      </c>
      <c r="AE23">
        <f>'Calculations BTU'!AM50</f>
        <v>23336488939594.215</v>
      </c>
      <c r="AF23">
        <f>'Calculations BTU'!AN50</f>
        <v>22995256769884.473</v>
      </c>
      <c r="AG23">
        <f>'Calculations BTU'!AO50</f>
        <v>22995256769884.473</v>
      </c>
      <c r="AH23">
        <f>'Calculations BTU'!AP50</f>
        <v>22995256769884.473</v>
      </c>
      <c r="AI23">
        <f>'Calculations BTU'!AQ50</f>
        <v>22995256769884.473</v>
      </c>
      <c r="AJ23">
        <f>'Calculations BTU'!AR50</f>
        <v>22995256769884.473</v>
      </c>
      <c r="AK23">
        <f>'Calculations BTU'!AS50</f>
        <v>22995256769884.473</v>
      </c>
      <c r="AL23">
        <f>'Calculations BTU'!AT50</f>
        <v>22995256769884.473</v>
      </c>
      <c r="AM23">
        <f>'Calculations BTU'!AU50</f>
        <v>22995256769884.473</v>
      </c>
      <c r="AN23">
        <f>'Calculations BTU'!AV50</f>
        <v>22995256769884.473</v>
      </c>
      <c r="AO23">
        <f>'Calculations BTU'!AW50</f>
        <v>22995256769884.473</v>
      </c>
      <c r="AP23">
        <f>'Calculations BTU'!AX50</f>
        <v>22995256769884.473</v>
      </c>
      <c r="AQ23">
        <f>'Calculations BTU'!AY50</f>
        <v>22995256769884.473</v>
      </c>
      <c r="AR23">
        <f>'Calculations BTU'!AZ50</f>
        <v>22995256769884.473</v>
      </c>
      <c r="AS23">
        <f>'Calculations BTU'!BA50</f>
        <v>22995256769884.473</v>
      </c>
      <c r="AT23">
        <f>'Calculations BTU'!BB50</f>
        <v>22995256769884.473</v>
      </c>
      <c r="AU23">
        <f>'Calculations BTU'!BC50</f>
        <v>22995256769884.473</v>
      </c>
      <c r="AV23">
        <f>'Calculations BTU'!BD50</f>
        <v>22995256769884.473</v>
      </c>
      <c r="AW23">
        <f>'Calculations BTU'!BE50</f>
        <v>22995256769884.473</v>
      </c>
      <c r="AX23">
        <f>'Calculations BTU'!BF50</f>
        <v>22995256769884.473</v>
      </c>
      <c r="AY23">
        <f>'Calculations BTU'!BG50</f>
        <v>22995256769884.473</v>
      </c>
      <c r="AZ23">
        <f>'Calculations BTU'!BH50</f>
        <v>22995256769884.473</v>
      </c>
    </row>
    <row r="24" spans="1:52">
      <c r="A24" t="s">
        <v>148</v>
      </c>
      <c r="B24">
        <f>'Calculations BTU'!J51</f>
        <v>0</v>
      </c>
      <c r="C24">
        <f>'Calculations BTU'!K51</f>
        <v>0</v>
      </c>
      <c r="D24">
        <f>'Calculations BTU'!L51</f>
        <v>0</v>
      </c>
      <c r="E24">
        <f>'Calculations BTU'!M51</f>
        <v>0</v>
      </c>
      <c r="F24">
        <f>'Calculations BTU'!N51</f>
        <v>0</v>
      </c>
      <c r="G24">
        <f>'Calculations BTU'!O51</f>
        <v>0</v>
      </c>
      <c r="H24">
        <f>'Calculations BTU'!P51</f>
        <v>0</v>
      </c>
      <c r="I24">
        <f>'Calculations BTU'!Q51</f>
        <v>0</v>
      </c>
      <c r="J24">
        <f>'Calculations BTU'!R51</f>
        <v>0</v>
      </c>
      <c r="K24">
        <f>'Calculations BTU'!S51</f>
        <v>0</v>
      </c>
      <c r="L24">
        <f>'Calculations BTU'!T51</f>
        <v>0</v>
      </c>
      <c r="M24">
        <f>'Calculations BTU'!U51</f>
        <v>0</v>
      </c>
      <c r="N24">
        <f>'Calculations BTU'!V51</f>
        <v>0</v>
      </c>
      <c r="O24">
        <f>'Calculations BTU'!W51</f>
        <v>0</v>
      </c>
      <c r="P24">
        <f>'Calculations BTU'!X51</f>
        <v>0</v>
      </c>
      <c r="Q24">
        <f>'Calculations BTU'!Y51</f>
        <v>0</v>
      </c>
      <c r="R24">
        <f>'Calculations BTU'!Z51</f>
        <v>0</v>
      </c>
      <c r="S24">
        <f>'Calculations BTU'!AA51</f>
        <v>0</v>
      </c>
      <c r="T24">
        <f>'Calculations BTU'!AB51</f>
        <v>0</v>
      </c>
      <c r="U24">
        <f>'Calculations BTU'!AC51</f>
        <v>0</v>
      </c>
      <c r="V24">
        <f>'Calculations BTU'!AD51</f>
        <v>0</v>
      </c>
      <c r="W24">
        <f>'Calculations BTU'!AE51</f>
        <v>0</v>
      </c>
      <c r="X24">
        <f>'Calculations BTU'!AF51</f>
        <v>0</v>
      </c>
      <c r="Y24">
        <f>'Calculations BTU'!AG51</f>
        <v>0</v>
      </c>
      <c r="Z24">
        <f>'Calculations BTU'!AH51</f>
        <v>0</v>
      </c>
      <c r="AA24">
        <f>'Calculations BTU'!AI51</f>
        <v>0</v>
      </c>
      <c r="AB24">
        <f>'Calculations BTU'!AJ51</f>
        <v>0</v>
      </c>
      <c r="AC24">
        <f>'Calculations BTU'!AK51</f>
        <v>0</v>
      </c>
      <c r="AD24">
        <f>'Calculations BTU'!AL51</f>
        <v>0</v>
      </c>
      <c r="AE24">
        <f>'Calculations BTU'!AM51</f>
        <v>0</v>
      </c>
      <c r="AF24">
        <f>'Calculations BTU'!AN51</f>
        <v>0</v>
      </c>
      <c r="AG24">
        <f>'Calculations BTU'!AO51</f>
        <v>0</v>
      </c>
      <c r="AH24">
        <f>'Calculations BTU'!AP51</f>
        <v>0</v>
      </c>
      <c r="AI24">
        <f>'Calculations BTU'!AQ51</f>
        <v>0</v>
      </c>
      <c r="AJ24">
        <f>'Calculations BTU'!AR51</f>
        <v>0</v>
      </c>
      <c r="AK24">
        <f>'Calculations BTU'!AS51</f>
        <v>0</v>
      </c>
      <c r="AL24">
        <f>'Calculations BTU'!AT51</f>
        <v>0</v>
      </c>
      <c r="AM24">
        <f>'Calculations BTU'!AU51</f>
        <v>0</v>
      </c>
      <c r="AN24">
        <f>'Calculations BTU'!AV51</f>
        <v>0</v>
      </c>
      <c r="AO24">
        <f>'Calculations BTU'!AW51</f>
        <v>0</v>
      </c>
      <c r="AP24">
        <f>'Calculations BTU'!AX51</f>
        <v>0</v>
      </c>
      <c r="AQ24">
        <f>'Calculations BTU'!AY51</f>
        <v>0</v>
      </c>
      <c r="AR24">
        <f>'Calculations BTU'!AZ51</f>
        <v>0</v>
      </c>
      <c r="AS24">
        <f>'Calculations BTU'!BA51</f>
        <v>0</v>
      </c>
      <c r="AT24">
        <f>'Calculations BTU'!BB51</f>
        <v>0</v>
      </c>
      <c r="AU24">
        <f>'Calculations BTU'!BC51</f>
        <v>0</v>
      </c>
      <c r="AV24">
        <f>'Calculations BTU'!BD51</f>
        <v>0</v>
      </c>
      <c r="AW24">
        <f>'Calculations BTU'!BE51</f>
        <v>0</v>
      </c>
      <c r="AX24">
        <f>'Calculations BTU'!BF51</f>
        <v>0</v>
      </c>
      <c r="AY24">
        <f>'Calculations BTU'!BG51</f>
        <v>0</v>
      </c>
      <c r="AZ24">
        <f>'Calculations BTU'!BH51</f>
        <v>0</v>
      </c>
    </row>
    <row r="25" spans="1:52">
      <c r="A25" t="s">
        <v>149</v>
      </c>
      <c r="B25">
        <f>'Calculations BTU'!J52</f>
        <v>0</v>
      </c>
      <c r="C25">
        <f>'Calculations BTU'!K52</f>
        <v>0</v>
      </c>
      <c r="D25">
        <f>'Calculations BTU'!L52</f>
        <v>0</v>
      </c>
      <c r="E25">
        <f>'Calculations BTU'!M52</f>
        <v>0</v>
      </c>
      <c r="F25">
        <f>'Calculations BTU'!N52</f>
        <v>0</v>
      </c>
      <c r="G25">
        <f>'Calculations BTU'!O52</f>
        <v>0</v>
      </c>
      <c r="H25">
        <f>'Calculations BTU'!P52</f>
        <v>0</v>
      </c>
      <c r="I25">
        <f>'Calculations BTU'!Q52</f>
        <v>0</v>
      </c>
      <c r="J25">
        <f>'Calculations BTU'!R52</f>
        <v>0</v>
      </c>
      <c r="K25">
        <f>'Calculations BTU'!S52</f>
        <v>0</v>
      </c>
      <c r="L25">
        <f>'Calculations BTU'!T52</f>
        <v>0</v>
      </c>
      <c r="M25">
        <f>'Calculations BTU'!U52</f>
        <v>0</v>
      </c>
      <c r="N25">
        <f>'Calculations BTU'!V52</f>
        <v>0</v>
      </c>
      <c r="O25">
        <f>'Calculations BTU'!W52</f>
        <v>0</v>
      </c>
      <c r="P25">
        <f>'Calculations BTU'!X52</f>
        <v>0</v>
      </c>
      <c r="Q25">
        <f>'Calculations BTU'!Y52</f>
        <v>0</v>
      </c>
      <c r="R25">
        <f>'Calculations BTU'!Z52</f>
        <v>0</v>
      </c>
      <c r="S25">
        <f>'Calculations BTU'!AA52</f>
        <v>0</v>
      </c>
      <c r="T25">
        <f>'Calculations BTU'!AB52</f>
        <v>0</v>
      </c>
      <c r="U25">
        <f>'Calculations BTU'!AC52</f>
        <v>0</v>
      </c>
      <c r="V25">
        <f>'Calculations BTU'!AD52</f>
        <v>0</v>
      </c>
      <c r="W25">
        <f>'Calculations BTU'!AE52</f>
        <v>0</v>
      </c>
      <c r="X25">
        <f>'Calculations BTU'!AF52</f>
        <v>0</v>
      </c>
      <c r="Y25">
        <f>'Calculations BTU'!AG52</f>
        <v>0</v>
      </c>
      <c r="Z25">
        <f>'Calculations BTU'!AH52</f>
        <v>0</v>
      </c>
      <c r="AA25">
        <f>'Calculations BTU'!AI52</f>
        <v>0</v>
      </c>
      <c r="AB25">
        <f>'Calculations BTU'!AJ52</f>
        <v>0</v>
      </c>
      <c r="AC25">
        <f>'Calculations BTU'!AK52</f>
        <v>0</v>
      </c>
      <c r="AD25">
        <f>'Calculations BTU'!AL52</f>
        <v>0</v>
      </c>
      <c r="AE25">
        <f>'Calculations BTU'!AM52</f>
        <v>0</v>
      </c>
      <c r="AF25">
        <f>'Calculations BTU'!AN52</f>
        <v>0</v>
      </c>
      <c r="AG25">
        <f>'Calculations BTU'!AO52</f>
        <v>0</v>
      </c>
      <c r="AH25">
        <f>'Calculations BTU'!AP52</f>
        <v>0</v>
      </c>
      <c r="AI25">
        <f>'Calculations BTU'!AQ52</f>
        <v>0</v>
      </c>
      <c r="AJ25">
        <f>'Calculations BTU'!AR52</f>
        <v>0</v>
      </c>
      <c r="AK25">
        <f>'Calculations BTU'!AS52</f>
        <v>0</v>
      </c>
      <c r="AL25">
        <f>'Calculations BTU'!AT52</f>
        <v>0</v>
      </c>
      <c r="AM25">
        <f>'Calculations BTU'!AU52</f>
        <v>0</v>
      </c>
      <c r="AN25">
        <f>'Calculations BTU'!AV52</f>
        <v>0</v>
      </c>
      <c r="AO25">
        <f>'Calculations BTU'!AW52</f>
        <v>0</v>
      </c>
      <c r="AP25">
        <f>'Calculations BTU'!AX52</f>
        <v>0</v>
      </c>
      <c r="AQ25">
        <f>'Calculations BTU'!AY52</f>
        <v>0</v>
      </c>
      <c r="AR25">
        <f>'Calculations BTU'!AZ52</f>
        <v>0</v>
      </c>
      <c r="AS25">
        <f>'Calculations BTU'!BA52</f>
        <v>0</v>
      </c>
      <c r="AT25">
        <f>'Calculations BTU'!BB52</f>
        <v>0</v>
      </c>
      <c r="AU25">
        <f>'Calculations BTU'!BC52</f>
        <v>0</v>
      </c>
      <c r="AV25">
        <f>'Calculations BTU'!BD52</f>
        <v>0</v>
      </c>
      <c r="AW25">
        <f>'Calculations BTU'!BE52</f>
        <v>0</v>
      </c>
      <c r="AX25">
        <f>'Calculations BTU'!BF52</f>
        <v>0</v>
      </c>
      <c r="AY25">
        <f>'Calculations BTU'!BG52</f>
        <v>0</v>
      </c>
      <c r="AZ25">
        <f>'Calculations BTU'!BH52</f>
        <v>0</v>
      </c>
    </row>
    <row r="26" spans="1:52">
      <c r="A26" t="s">
        <v>150</v>
      </c>
      <c r="B26">
        <f>'Calculations BTU'!J53</f>
        <v>0</v>
      </c>
      <c r="C26">
        <f>'Calculations BTU'!K53</f>
        <v>0</v>
      </c>
      <c r="D26">
        <f>'Calculations BTU'!L53</f>
        <v>0</v>
      </c>
      <c r="E26">
        <f>'Calculations BTU'!M53</f>
        <v>0</v>
      </c>
      <c r="F26">
        <f>'Calculations BTU'!N53</f>
        <v>0</v>
      </c>
      <c r="G26">
        <f>'Calculations BTU'!O53</f>
        <v>0</v>
      </c>
      <c r="H26">
        <f>'Calculations BTU'!P53</f>
        <v>0</v>
      </c>
      <c r="I26">
        <f>'Calculations BTU'!Q53</f>
        <v>0</v>
      </c>
      <c r="J26">
        <f>'Calculations BTU'!R53</f>
        <v>0</v>
      </c>
      <c r="K26">
        <f>'Calculations BTU'!S53</f>
        <v>0</v>
      </c>
      <c r="L26">
        <f>'Calculations BTU'!T53</f>
        <v>0</v>
      </c>
      <c r="M26">
        <f>'Calculations BTU'!U53</f>
        <v>0</v>
      </c>
      <c r="N26">
        <f>'Calculations BTU'!V53</f>
        <v>0</v>
      </c>
      <c r="O26">
        <f>'Calculations BTU'!W53</f>
        <v>0</v>
      </c>
      <c r="P26">
        <f>'Calculations BTU'!X53</f>
        <v>0</v>
      </c>
      <c r="Q26">
        <f>'Calculations BTU'!Y53</f>
        <v>0</v>
      </c>
      <c r="R26">
        <f>'Calculations BTU'!Z53</f>
        <v>0</v>
      </c>
      <c r="S26">
        <f>'Calculations BTU'!AA53</f>
        <v>0</v>
      </c>
      <c r="T26">
        <f>'Calculations BTU'!AB53</f>
        <v>0</v>
      </c>
      <c r="U26">
        <f>'Calculations BTU'!AC53</f>
        <v>0</v>
      </c>
      <c r="V26">
        <f>'Calculations BTU'!AD53</f>
        <v>0</v>
      </c>
      <c r="W26">
        <f>'Calculations BTU'!AE53</f>
        <v>0</v>
      </c>
      <c r="X26">
        <f>'Calculations BTU'!AF53</f>
        <v>0</v>
      </c>
      <c r="Y26">
        <f>'Calculations BTU'!AG53</f>
        <v>0</v>
      </c>
      <c r="Z26">
        <f>'Calculations BTU'!AH53</f>
        <v>0</v>
      </c>
      <c r="AA26">
        <f>'Calculations BTU'!AI53</f>
        <v>0</v>
      </c>
      <c r="AB26">
        <f>'Calculations BTU'!AJ53</f>
        <v>0</v>
      </c>
      <c r="AC26">
        <f>'Calculations BTU'!AK53</f>
        <v>0</v>
      </c>
      <c r="AD26">
        <f>'Calculations BTU'!AL53</f>
        <v>0</v>
      </c>
      <c r="AE26">
        <f>'Calculations BTU'!AM53</f>
        <v>0</v>
      </c>
      <c r="AF26">
        <f>'Calculations BTU'!AN53</f>
        <v>0</v>
      </c>
      <c r="AG26">
        <f>'Calculations BTU'!AO53</f>
        <v>0</v>
      </c>
      <c r="AH26">
        <f>'Calculations BTU'!AP53</f>
        <v>0</v>
      </c>
      <c r="AI26">
        <f>'Calculations BTU'!AQ53</f>
        <v>0</v>
      </c>
      <c r="AJ26">
        <f>'Calculations BTU'!AR53</f>
        <v>0</v>
      </c>
      <c r="AK26">
        <f>'Calculations BTU'!AS53</f>
        <v>0</v>
      </c>
      <c r="AL26">
        <f>'Calculations BTU'!AT53</f>
        <v>0</v>
      </c>
      <c r="AM26">
        <f>'Calculations BTU'!AU53</f>
        <v>0</v>
      </c>
      <c r="AN26">
        <f>'Calculations BTU'!AV53</f>
        <v>0</v>
      </c>
      <c r="AO26">
        <f>'Calculations BTU'!AW53</f>
        <v>0</v>
      </c>
      <c r="AP26">
        <f>'Calculations BTU'!AX53</f>
        <v>0</v>
      </c>
      <c r="AQ26">
        <f>'Calculations BTU'!AY53</f>
        <v>0</v>
      </c>
      <c r="AR26">
        <f>'Calculations BTU'!AZ53</f>
        <v>0</v>
      </c>
      <c r="AS26">
        <f>'Calculations BTU'!BA53</f>
        <v>0</v>
      </c>
      <c r="AT26">
        <f>'Calculations BTU'!BB53</f>
        <v>0</v>
      </c>
      <c r="AU26">
        <f>'Calculations BTU'!BC53</f>
        <v>0</v>
      </c>
      <c r="AV26">
        <f>'Calculations BTU'!BD53</f>
        <v>0</v>
      </c>
      <c r="AW26">
        <f>'Calculations BTU'!BE53</f>
        <v>0</v>
      </c>
      <c r="AX26">
        <f>'Calculations BTU'!BF53</f>
        <v>0</v>
      </c>
      <c r="AY26">
        <f>'Calculations BTU'!BG53</f>
        <v>0</v>
      </c>
      <c r="AZ26">
        <f>'Calculations BTU'!BH53</f>
        <v>0</v>
      </c>
    </row>
    <row r="55" spans="2:2">
      <c r="B55" s="23"/>
    </row>
    <row r="56" spans="2:2">
      <c r="B56" s="23"/>
    </row>
    <row r="57" spans="2:2">
      <c r="B57" s="23"/>
    </row>
    <row r="58" spans="2:2">
      <c r="B58" s="23"/>
    </row>
    <row r="59" spans="2:2">
      <c r="B59" s="23"/>
    </row>
    <row r="60" spans="2:2">
      <c r="B60" s="23"/>
    </row>
    <row r="61" spans="2:2">
      <c r="B61" s="23"/>
    </row>
    <row r="62" spans="2:2">
      <c r="B62" s="23"/>
    </row>
    <row r="63" spans="2:2">
      <c r="B63" s="23"/>
    </row>
    <row r="64" spans="2:2">
      <c r="B64" s="23"/>
    </row>
    <row r="65" spans="2:2">
      <c r="B65" s="23"/>
    </row>
    <row r="66" spans="2:2">
      <c r="B66" s="23"/>
    </row>
    <row r="67" spans="2:2">
      <c r="B67" s="23"/>
    </row>
    <row r="68" spans="2:2">
      <c r="B68" s="23"/>
    </row>
    <row r="69" spans="2:2">
      <c r="B69" s="23"/>
    </row>
    <row r="70" spans="2:2">
      <c r="B70" s="23"/>
    </row>
    <row r="71" spans="2:2">
      <c r="B71" s="23"/>
    </row>
    <row r="72" spans="2:2">
      <c r="B72" s="23"/>
    </row>
    <row r="73" spans="2:2">
      <c r="B73" s="23"/>
    </row>
    <row r="74" spans="2:2">
      <c r="B74" s="23"/>
    </row>
    <row r="75" spans="2:2">
      <c r="B75" s="23"/>
    </row>
    <row r="76" spans="2:2">
      <c r="B76" s="23"/>
    </row>
    <row r="77" spans="2:2">
      <c r="B77" s="23"/>
    </row>
    <row r="78" spans="2:2">
      <c r="B78" s="23"/>
    </row>
    <row r="79" spans="2:2">
      <c r="B79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1363-9E39-E84F-B299-8ED2F1256C28}">
  <sheetPr>
    <tabColor theme="3"/>
  </sheetPr>
  <dimension ref="A1:AZ82"/>
  <sheetViews>
    <sheetView topLeftCell="B1" workbookViewId="0">
      <selection activeCell="B2" sqref="B2"/>
    </sheetView>
  </sheetViews>
  <sheetFormatPr defaultColWidth="9.140625" defaultRowHeight="15"/>
  <cols>
    <col min="1" max="1" width="39.85546875" customWidth="1"/>
    <col min="2" max="2" width="12" bestFit="1" customWidth="1"/>
    <col min="3" max="32" width="7.7109375" bestFit="1" customWidth="1"/>
    <col min="33" max="33" width="10.7109375" customWidth="1"/>
    <col min="34" max="35" width="9.42578125" bestFit="1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BTU'!J55</f>
        <v>208530770378.1774</v>
      </c>
      <c r="C2">
        <f>'Calculations BTU'!K55</f>
        <v>322274826948.09235</v>
      </c>
      <c r="D2">
        <f>'Calculations BTU'!L55</f>
        <v>322274826948.09235</v>
      </c>
      <c r="E2">
        <f>'Calculations BTU'!M55</f>
        <v>312796155567.26611</v>
      </c>
      <c r="F2">
        <f>'Calculations BTU'!N55</f>
        <v>293838812805.61359</v>
      </c>
      <c r="G2">
        <f>'Calculations BTU'!O55</f>
        <v>284360141424.78735</v>
      </c>
      <c r="H2">
        <f>'Calculations BTU'!P55</f>
        <v>274881470043.96106</v>
      </c>
      <c r="I2">
        <f>'Calculations BTU'!Q55</f>
        <v>255924127282.30862</v>
      </c>
      <c r="J2">
        <f>'Calculations BTU'!R55</f>
        <v>246445455901.48239</v>
      </c>
      <c r="K2">
        <f>'Calculations BTU'!S55</f>
        <v>236966784520.65613</v>
      </c>
      <c r="L2">
        <f>'Calculations BTU'!T55</f>
        <v>218009441759.00366</v>
      </c>
      <c r="M2">
        <f>'Calculations BTU'!U55</f>
        <v>218009441759.00366</v>
      </c>
      <c r="N2">
        <f>'Calculations BTU'!V55</f>
        <v>218009441759.00366</v>
      </c>
      <c r="O2">
        <f>'Calculations BTU'!W55</f>
        <v>218009441759.00366</v>
      </c>
      <c r="P2">
        <f>'Calculations BTU'!X55</f>
        <v>218009441759.00366</v>
      </c>
      <c r="Q2">
        <f>'Calculations BTU'!Y55</f>
        <v>218009441759.00366</v>
      </c>
      <c r="R2">
        <f>'Calculations BTU'!Z55</f>
        <v>218009441759.00366</v>
      </c>
      <c r="S2">
        <f>'Calculations BTU'!AA55</f>
        <v>218009441759.00366</v>
      </c>
      <c r="T2">
        <f>'Calculations BTU'!AB55</f>
        <v>218009441759.00366</v>
      </c>
      <c r="U2">
        <f>'Calculations BTU'!AC55</f>
        <v>218009441759.00366</v>
      </c>
      <c r="V2">
        <f>'Calculations BTU'!AD55</f>
        <v>218009441759.00366</v>
      </c>
      <c r="W2">
        <f>'Calculations BTU'!AE55</f>
        <v>218009441759.00366</v>
      </c>
      <c r="X2">
        <f>'Calculations BTU'!AF55</f>
        <v>218009441759.00366</v>
      </c>
      <c r="Y2">
        <f>'Calculations BTU'!AG55</f>
        <v>218009441759.00366</v>
      </c>
      <c r="Z2">
        <f>'Calculations BTU'!AH55</f>
        <v>218009441759.00366</v>
      </c>
      <c r="AA2">
        <f>'Calculations BTU'!AI55</f>
        <v>218009441759.00366</v>
      </c>
      <c r="AB2">
        <f>'Calculations BTU'!AJ55</f>
        <v>218009441759.00366</v>
      </c>
      <c r="AC2">
        <f>'Calculations BTU'!AK55</f>
        <v>218009441759.00366</v>
      </c>
      <c r="AD2">
        <f>'Calculations BTU'!AL55</f>
        <v>218009441759.00366</v>
      </c>
      <c r="AE2">
        <f>'Calculations BTU'!AM55</f>
        <v>218009441759.00366</v>
      </c>
      <c r="AF2">
        <f>'Calculations BTU'!AN55</f>
        <v>218009441759.00366</v>
      </c>
      <c r="AG2">
        <f>'Calculations BTU'!AO55</f>
        <v>218009441759.00366</v>
      </c>
      <c r="AH2">
        <f>'Calculations BTU'!AP55</f>
        <v>218009441759.00366</v>
      </c>
      <c r="AI2">
        <f>'Calculations BTU'!AQ55</f>
        <v>218009441759.00366</v>
      </c>
      <c r="AJ2">
        <f>'Calculations BTU'!AR55</f>
        <v>218009441759.00366</v>
      </c>
      <c r="AK2">
        <f>'Calculations BTU'!AS55</f>
        <v>218009441759.00366</v>
      </c>
      <c r="AL2">
        <f>'Calculations BTU'!AT55</f>
        <v>218009441759.00366</v>
      </c>
      <c r="AM2">
        <f>'Calculations BTU'!AU55</f>
        <v>218009441759.00366</v>
      </c>
      <c r="AN2">
        <f>'Calculations BTU'!AV55</f>
        <v>218009441759.00366</v>
      </c>
      <c r="AO2">
        <f>'Calculations BTU'!AW55</f>
        <v>218009441759.00366</v>
      </c>
      <c r="AP2">
        <f>'Calculations BTU'!AX55</f>
        <v>218009441759.00366</v>
      </c>
      <c r="AQ2">
        <f>'Calculations BTU'!AY55</f>
        <v>218009441759.00366</v>
      </c>
      <c r="AR2">
        <f>'Calculations BTU'!AZ55</f>
        <v>218009441759.00366</v>
      </c>
      <c r="AS2">
        <f>'Calculations BTU'!BA55</f>
        <v>218009441759.00366</v>
      </c>
      <c r="AT2">
        <f>'Calculations BTU'!BB55</f>
        <v>218009441759.00366</v>
      </c>
      <c r="AU2">
        <f>'Calculations BTU'!BC55</f>
        <v>218009441759.00366</v>
      </c>
      <c r="AV2">
        <f>'Calculations BTU'!BD55</f>
        <v>218009441759.00366</v>
      </c>
      <c r="AW2">
        <f>'Calculations BTU'!BE55</f>
        <v>218009441759.00366</v>
      </c>
      <c r="AX2">
        <f>'Calculations BTU'!BF55</f>
        <v>218009441759.00366</v>
      </c>
      <c r="AY2">
        <f>'Calculations BTU'!BG55</f>
        <v>218009441759.00366</v>
      </c>
      <c r="AZ2">
        <f>'Calculations BTU'!BH55</f>
        <v>218009441759.00366</v>
      </c>
    </row>
    <row r="3" spans="1:52">
      <c r="A3" t="s">
        <v>127</v>
      </c>
      <c r="B3">
        <f>'Calculations BTU'!J56</f>
        <v>1593838592685.9331</v>
      </c>
      <c r="C3">
        <f>'Calculations BTU'!K56</f>
        <v>2173933281192.4993</v>
      </c>
      <c r="D3">
        <f>'Calculations BTU'!L56</f>
        <v>2208056498163.4736</v>
      </c>
      <c r="E3">
        <f>'Calculations BTU'!M56</f>
        <v>2227961708063.2085</v>
      </c>
      <c r="F3">
        <f>'Calculations BTU'!N56</f>
        <v>2249288718670.0679</v>
      </c>
      <c r="G3">
        <f>'Calculations BTU'!O56</f>
        <v>2270615729276.9272</v>
      </c>
      <c r="H3">
        <f>'Calculations BTU'!P56</f>
        <v>2290520939176.6616</v>
      </c>
      <c r="I3">
        <f>'Calculations BTU'!Q56</f>
        <v>2311847949783.521</v>
      </c>
      <c r="J3">
        <f>'Calculations BTU'!R56</f>
        <v>2333174960390.3804</v>
      </c>
      <c r="K3">
        <f>'Calculations BTU'!S56</f>
        <v>2354501970997.2388</v>
      </c>
      <c r="L3">
        <f>'Calculations BTU'!T56</f>
        <v>2374407180896.9741</v>
      </c>
      <c r="M3">
        <f>'Calculations BTU'!U56</f>
        <v>2395734191503.8335</v>
      </c>
      <c r="N3">
        <f>'Calculations BTU'!V56</f>
        <v>2417061202110.6924</v>
      </c>
      <c r="O3">
        <f>'Calculations BTU'!W56</f>
        <v>2436966412010.4277</v>
      </c>
      <c r="P3">
        <f>'Calculations BTU'!X56</f>
        <v>2446919016960.2954</v>
      </c>
      <c r="Q3">
        <f>'Calculations BTU'!Y56</f>
        <v>2441231814131.7998</v>
      </c>
      <c r="R3">
        <f>'Calculations BTU'!Z56</f>
        <v>2434122810596.1797</v>
      </c>
      <c r="S3">
        <f>'Calculations BTU'!AA56</f>
        <v>2428435607767.6841</v>
      </c>
      <c r="T3">
        <f>'Calculations BTU'!AB56</f>
        <v>2422748404939.188</v>
      </c>
      <c r="U3">
        <f>'Calculations BTU'!AC56</f>
        <v>2415639401403.5684</v>
      </c>
      <c r="V3">
        <f>'Calculations BTU'!AD56</f>
        <v>2409952198575.0728</v>
      </c>
      <c r="W3">
        <f>'Calculations BTU'!AE56</f>
        <v>2404264995746.5767</v>
      </c>
      <c r="X3">
        <f>'Calculations BTU'!AF56</f>
        <v>2397155992210.9575</v>
      </c>
      <c r="Y3">
        <f>'Calculations BTU'!AG56</f>
        <v>2391468789382.4619</v>
      </c>
      <c r="Z3">
        <f>'Calculations BTU'!AH56</f>
        <v>2385781586553.9658</v>
      </c>
      <c r="AA3">
        <f>'Calculations BTU'!AI56</f>
        <v>2378672583018.3462</v>
      </c>
      <c r="AB3">
        <f>'Calculations BTU'!AJ56</f>
        <v>2372985380189.8506</v>
      </c>
      <c r="AC3">
        <f>'Calculations BTU'!AK56</f>
        <v>2367298177361.3545</v>
      </c>
      <c r="AD3">
        <f>'Calculations BTU'!AL56</f>
        <v>2360189173825.7354</v>
      </c>
      <c r="AE3">
        <f>'Calculations BTU'!AM56</f>
        <v>2354501970997.2388</v>
      </c>
      <c r="AF3">
        <f>'Calculations BTU'!AN56</f>
        <v>2348814768168.7432</v>
      </c>
      <c r="AG3">
        <f>'Calculations BTU'!AO56</f>
        <v>2348814768168.7432</v>
      </c>
      <c r="AH3">
        <f>'Calculations BTU'!AP56</f>
        <v>2348814768168.7432</v>
      </c>
      <c r="AI3">
        <f>'Calculations BTU'!AQ56</f>
        <v>2348814768168.7432</v>
      </c>
      <c r="AJ3">
        <f>'Calculations BTU'!AR56</f>
        <v>2348814768168.7432</v>
      </c>
      <c r="AK3">
        <f>'Calculations BTU'!AS56</f>
        <v>2348814768168.7432</v>
      </c>
      <c r="AL3">
        <f>'Calculations BTU'!AT56</f>
        <v>2348814768168.7432</v>
      </c>
      <c r="AM3">
        <f>'Calculations BTU'!AU56</f>
        <v>2348814768168.7432</v>
      </c>
      <c r="AN3">
        <f>'Calculations BTU'!AV56</f>
        <v>2348814768168.7432</v>
      </c>
      <c r="AO3">
        <f>'Calculations BTU'!AW56</f>
        <v>2348814768168.7432</v>
      </c>
      <c r="AP3">
        <f>'Calculations BTU'!AX56</f>
        <v>2348814768168.7432</v>
      </c>
      <c r="AQ3">
        <f>'Calculations BTU'!AY56</f>
        <v>2348814768168.7432</v>
      </c>
      <c r="AR3">
        <f>'Calculations BTU'!AZ56</f>
        <v>2348814768168.7432</v>
      </c>
      <c r="AS3">
        <f>'Calculations BTU'!BA56</f>
        <v>2348814768168.7432</v>
      </c>
      <c r="AT3">
        <f>'Calculations BTU'!BB56</f>
        <v>2348814768168.7432</v>
      </c>
      <c r="AU3">
        <f>'Calculations BTU'!BC56</f>
        <v>2348814768168.7432</v>
      </c>
      <c r="AV3">
        <f>'Calculations BTU'!BD56</f>
        <v>2348814768168.7432</v>
      </c>
      <c r="AW3">
        <f>'Calculations BTU'!BE56</f>
        <v>2348814768168.7432</v>
      </c>
      <c r="AX3">
        <f>'Calculations BTU'!BF56</f>
        <v>2348814768168.7432</v>
      </c>
      <c r="AY3">
        <f>'Calculations BTU'!BG56</f>
        <v>2348814768168.7432</v>
      </c>
      <c r="AZ3">
        <f>'Calculations BTU'!BH56</f>
        <v>2348814768168.7432</v>
      </c>
    </row>
    <row r="4" spans="1:52">
      <c r="A4" t="s">
        <v>128</v>
      </c>
      <c r="B4">
        <f>'Calculations BTU'!J57</f>
        <v>0</v>
      </c>
      <c r="C4">
        <f>'Calculations BTU'!K57</f>
        <v>0</v>
      </c>
      <c r="D4">
        <f>'Calculations BTU'!L57</f>
        <v>0</v>
      </c>
      <c r="E4">
        <f>'Calculations BTU'!M57</f>
        <v>0</v>
      </c>
      <c r="F4">
        <f>'Calculations BTU'!N57</f>
        <v>0</v>
      </c>
      <c r="G4">
        <f>'Calculations BTU'!O57</f>
        <v>0</v>
      </c>
      <c r="H4">
        <f>'Calculations BTU'!P57</f>
        <v>0</v>
      </c>
      <c r="I4">
        <f>'Calculations BTU'!Q57</f>
        <v>0</v>
      </c>
      <c r="J4">
        <f>'Calculations BTU'!R57</f>
        <v>0</v>
      </c>
      <c r="K4">
        <f>'Calculations BTU'!S57</f>
        <v>0</v>
      </c>
      <c r="L4">
        <f>'Calculations BTU'!T57</f>
        <v>0</v>
      </c>
      <c r="M4">
        <f>'Calculations BTU'!U57</f>
        <v>0</v>
      </c>
      <c r="N4">
        <f>'Calculations BTU'!V57</f>
        <v>0</v>
      </c>
      <c r="O4">
        <f>'Calculations BTU'!W57</f>
        <v>0</v>
      </c>
      <c r="P4">
        <f>'Calculations BTU'!X57</f>
        <v>0</v>
      </c>
      <c r="Q4">
        <f>'Calculations BTU'!Y57</f>
        <v>0</v>
      </c>
      <c r="R4">
        <f>'Calculations BTU'!Z57</f>
        <v>0</v>
      </c>
      <c r="S4">
        <f>'Calculations BTU'!AA57</f>
        <v>0</v>
      </c>
      <c r="T4">
        <f>'Calculations BTU'!AB57</f>
        <v>0</v>
      </c>
      <c r="U4">
        <f>'Calculations BTU'!AC57</f>
        <v>0</v>
      </c>
      <c r="V4">
        <f>'Calculations BTU'!AD57</f>
        <v>0</v>
      </c>
      <c r="W4">
        <f>'Calculations BTU'!AE57</f>
        <v>0</v>
      </c>
      <c r="X4">
        <f>'Calculations BTU'!AF57</f>
        <v>0</v>
      </c>
      <c r="Y4">
        <f>'Calculations BTU'!AG57</f>
        <v>0</v>
      </c>
      <c r="Z4">
        <f>'Calculations BTU'!AH57</f>
        <v>0</v>
      </c>
      <c r="AA4">
        <f>'Calculations BTU'!AI57</f>
        <v>0</v>
      </c>
      <c r="AB4">
        <f>'Calculations BTU'!AJ57</f>
        <v>0</v>
      </c>
      <c r="AC4">
        <f>'Calculations BTU'!AK57</f>
        <v>0</v>
      </c>
      <c r="AD4">
        <f>'Calculations BTU'!AL57</f>
        <v>0</v>
      </c>
      <c r="AE4">
        <f>'Calculations BTU'!AM57</f>
        <v>0</v>
      </c>
      <c r="AF4">
        <f>'Calculations BTU'!AN57</f>
        <v>0</v>
      </c>
      <c r="AG4">
        <f>'Calculations BTU'!AO57</f>
        <v>0</v>
      </c>
      <c r="AH4">
        <f>'Calculations BTU'!AP57</f>
        <v>0</v>
      </c>
      <c r="AI4">
        <f>'Calculations BTU'!AQ57</f>
        <v>0</v>
      </c>
      <c r="AJ4">
        <f>'Calculations BTU'!AR57</f>
        <v>0</v>
      </c>
      <c r="AK4">
        <f>'Calculations BTU'!AS57</f>
        <v>0</v>
      </c>
      <c r="AL4">
        <f>'Calculations BTU'!AT57</f>
        <v>0</v>
      </c>
      <c r="AM4">
        <f>'Calculations BTU'!AU57</f>
        <v>0</v>
      </c>
      <c r="AN4">
        <f>'Calculations BTU'!AV57</f>
        <v>0</v>
      </c>
      <c r="AO4">
        <f>'Calculations BTU'!AW57</f>
        <v>0</v>
      </c>
      <c r="AP4">
        <f>'Calculations BTU'!AX57</f>
        <v>0</v>
      </c>
      <c r="AQ4">
        <f>'Calculations BTU'!AY57</f>
        <v>0</v>
      </c>
      <c r="AR4">
        <f>'Calculations BTU'!AZ57</f>
        <v>0</v>
      </c>
      <c r="AS4">
        <f>'Calculations BTU'!BA57</f>
        <v>0</v>
      </c>
      <c r="AT4">
        <f>'Calculations BTU'!BB57</f>
        <v>0</v>
      </c>
      <c r="AU4">
        <f>'Calculations BTU'!BC57</f>
        <v>0</v>
      </c>
      <c r="AV4">
        <f>'Calculations BTU'!BD57</f>
        <v>0</v>
      </c>
      <c r="AW4">
        <f>'Calculations BTU'!BE57</f>
        <v>0</v>
      </c>
      <c r="AX4">
        <f>'Calculations BTU'!BF57</f>
        <v>0</v>
      </c>
      <c r="AY4">
        <f>'Calculations BTU'!BG57</f>
        <v>0</v>
      </c>
      <c r="AZ4">
        <f>'Calculations BTU'!BH57</f>
        <v>0</v>
      </c>
    </row>
    <row r="5" spans="1:52">
      <c r="A5" t="s">
        <v>129</v>
      </c>
      <c r="B5">
        <f>'Calculations BTU'!J58</f>
        <v>9031752025220.2891</v>
      </c>
      <c r="C5">
        <f>'Calculations BTU'!K58</f>
        <v>12318955260090.828</v>
      </c>
      <c r="D5">
        <f>'Calculations BTU'!L58</f>
        <v>12512320156259.686</v>
      </c>
      <c r="E5">
        <f>'Calculations BTU'!M58</f>
        <v>12625116345691.518</v>
      </c>
      <c r="F5">
        <f>'Calculations BTU'!N58</f>
        <v>12745969405797.051</v>
      </c>
      <c r="G5">
        <f>'Calculations BTU'!O58</f>
        <v>12866822465902.586</v>
      </c>
      <c r="H5">
        <f>'Calculations BTU'!P58</f>
        <v>12979618655334.418</v>
      </c>
      <c r="I5">
        <f>'Calculations BTU'!Q58</f>
        <v>13100471715439.955</v>
      </c>
      <c r="J5">
        <f>'Calculations BTU'!R58</f>
        <v>13221324775545.486</v>
      </c>
      <c r="K5">
        <f>'Calculations BTU'!S58</f>
        <v>13342177835651.021</v>
      </c>
      <c r="L5">
        <f>'Calculations BTU'!T58</f>
        <v>13454974025082.854</v>
      </c>
      <c r="M5">
        <f>'Calculations BTU'!U58</f>
        <v>13575827085188.391</v>
      </c>
      <c r="N5">
        <f>'Calculations BTU'!V58</f>
        <v>13696680145293.924</v>
      </c>
      <c r="O5">
        <f>'Calculations BTU'!W58</f>
        <v>13809476334725.758</v>
      </c>
      <c r="P5">
        <f>'Calculations BTU'!X58</f>
        <v>13865874429441.674</v>
      </c>
      <c r="Q5">
        <f>'Calculations BTU'!Y58</f>
        <v>13833646946746.865</v>
      </c>
      <c r="R5">
        <f>'Calculations BTU'!Z58</f>
        <v>13793362593378.352</v>
      </c>
      <c r="S5">
        <f>'Calculations BTU'!AA58</f>
        <v>13761135110683.541</v>
      </c>
      <c r="T5">
        <f>'Calculations BTU'!AB58</f>
        <v>13728907627988.732</v>
      </c>
      <c r="U5">
        <f>'Calculations BTU'!AC58</f>
        <v>13688623274620.221</v>
      </c>
      <c r="V5">
        <f>'Calculations BTU'!AD58</f>
        <v>13656395791925.412</v>
      </c>
      <c r="W5">
        <f>'Calculations BTU'!AE58</f>
        <v>13624168309230.604</v>
      </c>
      <c r="X5">
        <f>'Calculations BTU'!AF58</f>
        <v>13583883955862.092</v>
      </c>
      <c r="Y5">
        <f>'Calculations BTU'!AG58</f>
        <v>13551656473167.283</v>
      </c>
      <c r="Z5">
        <f>'Calculations BTU'!AH58</f>
        <v>13519428990472.473</v>
      </c>
      <c r="AA5">
        <f>'Calculations BTU'!AI58</f>
        <v>13479144637103.961</v>
      </c>
      <c r="AB5">
        <f>'Calculations BTU'!AJ58</f>
        <v>13446917154409.152</v>
      </c>
      <c r="AC5">
        <f>'Calculations BTU'!AK58</f>
        <v>13414689671714.342</v>
      </c>
      <c r="AD5">
        <f>'Calculations BTU'!AL58</f>
        <v>13374405318345.832</v>
      </c>
      <c r="AE5">
        <f>'Calculations BTU'!AM58</f>
        <v>13342177835651.021</v>
      </c>
      <c r="AF5">
        <f>'Calculations BTU'!AN58</f>
        <v>13309950352956.213</v>
      </c>
      <c r="AG5">
        <f>'Calculations BTU'!AO58</f>
        <v>13309950352956.213</v>
      </c>
      <c r="AH5">
        <f>'Calculations BTU'!AP58</f>
        <v>13309950352956.213</v>
      </c>
      <c r="AI5">
        <f>'Calculations BTU'!AQ58</f>
        <v>13309950352956.213</v>
      </c>
      <c r="AJ5">
        <f>'Calculations BTU'!AR58</f>
        <v>13309950352956.213</v>
      </c>
      <c r="AK5">
        <f>'Calculations BTU'!AS58</f>
        <v>13309950352956.213</v>
      </c>
      <c r="AL5">
        <f>'Calculations BTU'!AT58</f>
        <v>13309950352956.213</v>
      </c>
      <c r="AM5">
        <f>'Calculations BTU'!AU58</f>
        <v>13309950352956.213</v>
      </c>
      <c r="AN5">
        <f>'Calculations BTU'!AV58</f>
        <v>13309950352956.213</v>
      </c>
      <c r="AO5">
        <f>'Calculations BTU'!AW58</f>
        <v>13309950352956.213</v>
      </c>
      <c r="AP5">
        <f>'Calculations BTU'!AX58</f>
        <v>13309950352956.213</v>
      </c>
      <c r="AQ5">
        <f>'Calculations BTU'!AY58</f>
        <v>13309950352956.213</v>
      </c>
      <c r="AR5">
        <f>'Calculations BTU'!AZ58</f>
        <v>13309950352956.213</v>
      </c>
      <c r="AS5">
        <f>'Calculations BTU'!BA58</f>
        <v>13309950352956.213</v>
      </c>
      <c r="AT5">
        <f>'Calculations BTU'!BB58</f>
        <v>13309950352956.213</v>
      </c>
      <c r="AU5">
        <f>'Calculations BTU'!BC58</f>
        <v>13309950352956.213</v>
      </c>
      <c r="AV5">
        <f>'Calculations BTU'!BD58</f>
        <v>13309950352956.213</v>
      </c>
      <c r="AW5">
        <f>'Calculations BTU'!BE58</f>
        <v>13309950352956.213</v>
      </c>
      <c r="AX5">
        <f>'Calculations BTU'!BF58</f>
        <v>13309950352956.213</v>
      </c>
      <c r="AY5">
        <f>'Calculations BTU'!BG58</f>
        <v>13309950352956.213</v>
      </c>
      <c r="AZ5">
        <f>'Calculations BTU'!BH58</f>
        <v>13309950352956.213</v>
      </c>
    </row>
    <row r="6" spans="1:52">
      <c r="A6" t="s">
        <v>130</v>
      </c>
      <c r="B6">
        <f>'Calculations BTU'!J59</f>
        <v>20322271440491.473</v>
      </c>
      <c r="C6">
        <f>'Calculations BTU'!K59</f>
        <v>21857816204185.32</v>
      </c>
      <c r="D6">
        <f>'Calculations BTU'!L59</f>
        <v>22985778098503.645</v>
      </c>
      <c r="E6">
        <f>'Calculations BTU'!M59</f>
        <v>23952602579347.922</v>
      </c>
      <c r="F6">
        <f>'Calculations BTU'!N59</f>
        <v>24919427060192.199</v>
      </c>
      <c r="G6">
        <f>'Calculations BTU'!O59</f>
        <v>25886251541036.473</v>
      </c>
      <c r="H6">
        <f>'Calculations BTU'!P59</f>
        <v>26853076021880.754</v>
      </c>
      <c r="I6">
        <f>'Calculations BTU'!Q59</f>
        <v>27810421831344.203</v>
      </c>
      <c r="J6">
        <f>'Calculations BTU'!R59</f>
        <v>28777246312188.48</v>
      </c>
      <c r="K6">
        <f>'Calculations BTU'!S59</f>
        <v>29744070793032.758</v>
      </c>
      <c r="L6">
        <f>'Calculations BTU'!T59</f>
        <v>30720373945257.855</v>
      </c>
      <c r="M6">
        <f>'Calculations BTU'!U59</f>
        <v>31677719754721.313</v>
      </c>
      <c r="N6">
        <f>'Calculations BTU'!V59</f>
        <v>32654022906946.418</v>
      </c>
      <c r="O6">
        <f>'Calculations BTU'!W59</f>
        <v>33601890045029.043</v>
      </c>
      <c r="P6">
        <f>'Calculations BTU'!X59</f>
        <v>34578193197254.141</v>
      </c>
      <c r="Q6">
        <f>'Calculations BTU'!Y59</f>
        <v>35545017678098.422</v>
      </c>
      <c r="R6">
        <f>'Calculations BTU'!Z59</f>
        <v>36511842158942.695</v>
      </c>
      <c r="S6">
        <f>'Calculations BTU'!AA59</f>
        <v>37478666639786.969</v>
      </c>
      <c r="T6">
        <f>'Calculations BTU'!AB59</f>
        <v>38436012449250.422</v>
      </c>
      <c r="U6">
        <f>'Calculations BTU'!AC59</f>
        <v>39402836930094.711</v>
      </c>
      <c r="V6">
        <f>'Calculations BTU'!AD59</f>
        <v>40369661410938.984</v>
      </c>
      <c r="W6">
        <f>'Calculations BTU'!AE59</f>
        <v>41336485891783.258</v>
      </c>
      <c r="X6">
        <f>'Calculations BTU'!AF59</f>
        <v>42303310372627.531</v>
      </c>
      <c r="Y6">
        <f>'Calculations BTU'!AG59</f>
        <v>43270134853471.805</v>
      </c>
      <c r="Z6">
        <f>'Calculations BTU'!AH59</f>
        <v>44227480662935.258</v>
      </c>
      <c r="AA6">
        <f>'Calculations BTU'!AI59</f>
        <v>45203783815160.359</v>
      </c>
      <c r="AB6">
        <f>'Calculations BTU'!AJ59</f>
        <v>46170608296004.633</v>
      </c>
      <c r="AC6">
        <f>'Calculations BTU'!AK59</f>
        <v>47137432776848.922</v>
      </c>
      <c r="AD6">
        <f>'Calculations BTU'!AL59</f>
        <v>48094778586312.367</v>
      </c>
      <c r="AE6">
        <f>'Calculations BTU'!AM59</f>
        <v>49061603067156.648</v>
      </c>
      <c r="AF6">
        <f>'Calculations BTU'!AN59</f>
        <v>50028427548000.922</v>
      </c>
      <c r="AG6">
        <f>'Calculations BTU'!AO59</f>
        <v>50028427548000.922</v>
      </c>
      <c r="AH6">
        <f>'Calculations BTU'!AP59</f>
        <v>50028427548000.922</v>
      </c>
      <c r="AI6">
        <f>'Calculations BTU'!AQ59</f>
        <v>50028427548000.922</v>
      </c>
      <c r="AJ6">
        <f>'Calculations BTU'!AR59</f>
        <v>50028427548000.922</v>
      </c>
      <c r="AK6">
        <f>'Calculations BTU'!AS59</f>
        <v>50028427548000.922</v>
      </c>
      <c r="AL6">
        <f>'Calculations BTU'!AT59</f>
        <v>50028427548000.922</v>
      </c>
      <c r="AM6">
        <f>'Calculations BTU'!AU59</f>
        <v>50028427548000.922</v>
      </c>
      <c r="AN6">
        <f>'Calculations BTU'!AV59</f>
        <v>50028427548000.922</v>
      </c>
      <c r="AO6">
        <f>'Calculations BTU'!AW59</f>
        <v>50028427548000.922</v>
      </c>
      <c r="AP6">
        <f>'Calculations BTU'!AX59</f>
        <v>50028427548000.922</v>
      </c>
      <c r="AQ6">
        <f>'Calculations BTU'!AY59</f>
        <v>50028427548000.922</v>
      </c>
      <c r="AR6">
        <f>'Calculations BTU'!AZ59</f>
        <v>50028427548000.922</v>
      </c>
      <c r="AS6">
        <f>'Calculations BTU'!BA59</f>
        <v>50028427548000.922</v>
      </c>
      <c r="AT6">
        <f>'Calculations BTU'!BB59</f>
        <v>50028427548000.922</v>
      </c>
      <c r="AU6">
        <f>'Calculations BTU'!BC59</f>
        <v>50028427548000.922</v>
      </c>
      <c r="AV6">
        <f>'Calculations BTU'!BD59</f>
        <v>50028427548000.922</v>
      </c>
      <c r="AW6">
        <f>'Calculations BTU'!BE59</f>
        <v>50028427548000.922</v>
      </c>
      <c r="AX6">
        <f>'Calculations BTU'!BF59</f>
        <v>50028427548000.922</v>
      </c>
      <c r="AY6">
        <f>'Calculations BTU'!BG59</f>
        <v>50028427548000.922</v>
      </c>
      <c r="AZ6">
        <f>'Calculations BTU'!BH59</f>
        <v>50028427548000.922</v>
      </c>
    </row>
    <row r="7" spans="1:52">
      <c r="A7" t="s">
        <v>131</v>
      </c>
      <c r="B7">
        <f>'Calculations BTU'!J60</f>
        <v>5753553528161.5313</v>
      </c>
      <c r="C7">
        <f>'Calculations BTU'!K60</f>
        <v>7658766475707.6064</v>
      </c>
      <c r="D7">
        <f>'Calculations BTU'!L60</f>
        <v>7687202489850.084</v>
      </c>
      <c r="E7">
        <f>'Calculations BTU'!M60</f>
        <v>7393363677044.4707</v>
      </c>
      <c r="F7">
        <f>'Calculations BTU'!N60</f>
        <v>7401174169853.0762</v>
      </c>
      <c r="G7">
        <f>'Calculations BTU'!O60</f>
        <v>7408862623711.5459</v>
      </c>
      <c r="H7">
        <f>'Calculations BTU'!P60</f>
        <v>7416795155470.2832</v>
      </c>
      <c r="I7">
        <f>'Calculations BTU'!Q60</f>
        <v>7424605648278.8877</v>
      </c>
      <c r="J7">
        <f>'Calculations BTU'!R60</f>
        <v>7432294102137.3555</v>
      </c>
      <c r="K7">
        <f>'Calculations BTU'!S60</f>
        <v>7440226633896.0957</v>
      </c>
      <c r="L7">
        <f>'Calculations BTU'!T60</f>
        <v>7447915087754.5635</v>
      </c>
      <c r="M7">
        <f>'Calculations BTU'!U60</f>
        <v>7455603541613.0332</v>
      </c>
      <c r="N7">
        <f>'Calculations BTU'!V60</f>
        <v>7463658112321.9063</v>
      </c>
      <c r="O7">
        <f>'Calculations BTU'!W60</f>
        <v>7471346566180.375</v>
      </c>
      <c r="P7">
        <f>'Calculations BTU'!X60</f>
        <v>7450233827807.1162</v>
      </c>
      <c r="Q7">
        <f>'Calculations BTU'!Y60</f>
        <v>7390068625390.8379</v>
      </c>
      <c r="R7">
        <f>'Calculations BTU'!Z60</f>
        <v>7329781384024.4258</v>
      </c>
      <c r="S7">
        <f>'Calculations BTU'!AA60</f>
        <v>7269738220558.2842</v>
      </c>
      <c r="T7">
        <f>'Calculations BTU'!AB60</f>
        <v>7209573018142.0059</v>
      </c>
      <c r="U7">
        <f>'Calculations BTU'!AC60</f>
        <v>7149163737825.46</v>
      </c>
      <c r="V7">
        <f>'Calculations BTU'!AD60</f>
        <v>7089242613309.4512</v>
      </c>
      <c r="W7">
        <f>'Calculations BTU'!AE60</f>
        <v>7029077410893.1738</v>
      </c>
      <c r="X7">
        <f>'Calculations BTU'!AF60</f>
        <v>6968790169526.7617</v>
      </c>
      <c r="Y7">
        <f>'Calculations BTU'!AG60</f>
        <v>6908624967110.4854</v>
      </c>
      <c r="Z7">
        <f>'Calculations BTU'!AH60</f>
        <v>6848581803644.3418</v>
      </c>
      <c r="AA7">
        <f>'Calculations BTU'!AI60</f>
        <v>6788294562277.9307</v>
      </c>
      <c r="AB7">
        <f>'Calculations BTU'!AJ60</f>
        <v>6728129359861.6533</v>
      </c>
      <c r="AC7">
        <f>'Calculations BTU'!AK60</f>
        <v>6667964157445.377</v>
      </c>
      <c r="AD7">
        <f>'Calculations BTU'!AL60</f>
        <v>6607920993979.2334</v>
      </c>
      <c r="AE7">
        <f>'Calculations BTU'!AM60</f>
        <v>6547023557862.1494</v>
      </c>
      <c r="AF7">
        <f>'Calculations BTU'!AN60</f>
        <v>6486248160695.1992</v>
      </c>
      <c r="AG7">
        <f>'Calculations BTU'!AO60</f>
        <v>6486248160695.1992</v>
      </c>
      <c r="AH7">
        <f>'Calculations BTU'!AP60</f>
        <v>6486248160695.1992</v>
      </c>
      <c r="AI7">
        <f>'Calculations BTU'!AQ60</f>
        <v>6486248160695.1992</v>
      </c>
      <c r="AJ7">
        <f>'Calculations BTU'!AR60</f>
        <v>6486248160695.1992</v>
      </c>
      <c r="AK7">
        <f>'Calculations BTU'!AS60</f>
        <v>6486248160695.1992</v>
      </c>
      <c r="AL7">
        <f>'Calculations BTU'!AT60</f>
        <v>6486248160695.1992</v>
      </c>
      <c r="AM7">
        <f>'Calculations BTU'!AU60</f>
        <v>6486248160695.1992</v>
      </c>
      <c r="AN7">
        <f>'Calculations BTU'!AV60</f>
        <v>6486248160695.1992</v>
      </c>
      <c r="AO7">
        <f>'Calculations BTU'!AW60</f>
        <v>6486248160695.1992</v>
      </c>
      <c r="AP7">
        <f>'Calculations BTU'!AX60</f>
        <v>6486248160695.1992</v>
      </c>
      <c r="AQ7">
        <f>'Calculations BTU'!AY60</f>
        <v>6486248160695.1992</v>
      </c>
      <c r="AR7">
        <f>'Calculations BTU'!AZ60</f>
        <v>6486248160695.1992</v>
      </c>
      <c r="AS7">
        <f>'Calculations BTU'!BA60</f>
        <v>6486248160695.1992</v>
      </c>
      <c r="AT7">
        <f>'Calculations BTU'!BB60</f>
        <v>6486248160695.1992</v>
      </c>
      <c r="AU7">
        <f>'Calculations BTU'!BC60</f>
        <v>6486248160695.1992</v>
      </c>
      <c r="AV7">
        <f>'Calculations BTU'!BD60</f>
        <v>6486248160695.1992</v>
      </c>
      <c r="AW7">
        <f>'Calculations BTU'!BE60</f>
        <v>6486248160695.1992</v>
      </c>
      <c r="AX7">
        <f>'Calculations BTU'!BF60</f>
        <v>6486248160695.1992</v>
      </c>
      <c r="AY7">
        <f>'Calculations BTU'!BG60</f>
        <v>6486248160695.1992</v>
      </c>
      <c r="AZ7">
        <f>'Calculations BTU'!BH60</f>
        <v>6486248160695.1992</v>
      </c>
    </row>
    <row r="8" spans="1:52">
      <c r="A8" t="s">
        <v>132</v>
      </c>
      <c r="B8">
        <f>'Calculations BTU'!J61</f>
        <v>0</v>
      </c>
      <c r="C8">
        <f>'Calculations BTU'!K61</f>
        <v>0</v>
      </c>
      <c r="D8">
        <f>'Calculations BTU'!L61</f>
        <v>0</v>
      </c>
      <c r="E8">
        <f>'Calculations BTU'!M61</f>
        <v>0</v>
      </c>
      <c r="F8">
        <f>'Calculations BTU'!N61</f>
        <v>0</v>
      </c>
      <c r="G8">
        <f>'Calculations BTU'!O61</f>
        <v>0</v>
      </c>
      <c r="H8">
        <f>'Calculations BTU'!P61</f>
        <v>0</v>
      </c>
      <c r="I8">
        <f>'Calculations BTU'!Q61</f>
        <v>0</v>
      </c>
      <c r="J8">
        <f>'Calculations BTU'!R61</f>
        <v>0</v>
      </c>
      <c r="K8">
        <f>'Calculations BTU'!S61</f>
        <v>0</v>
      </c>
      <c r="L8">
        <f>'Calculations BTU'!T61</f>
        <v>0</v>
      </c>
      <c r="M8">
        <f>'Calculations BTU'!U61</f>
        <v>0</v>
      </c>
      <c r="N8">
        <f>'Calculations BTU'!V61</f>
        <v>0</v>
      </c>
      <c r="O8">
        <f>'Calculations BTU'!W61</f>
        <v>0</v>
      </c>
      <c r="P8">
        <f>'Calculations BTU'!X61</f>
        <v>0</v>
      </c>
      <c r="Q8">
        <f>'Calculations BTU'!Y61</f>
        <v>0</v>
      </c>
      <c r="R8">
        <f>'Calculations BTU'!Z61</f>
        <v>0</v>
      </c>
      <c r="S8">
        <f>'Calculations BTU'!AA61</f>
        <v>0</v>
      </c>
      <c r="T8">
        <f>'Calculations BTU'!AB61</f>
        <v>0</v>
      </c>
      <c r="U8">
        <f>'Calculations BTU'!AC61</f>
        <v>0</v>
      </c>
      <c r="V8">
        <f>'Calculations BTU'!AD61</f>
        <v>0</v>
      </c>
      <c r="W8">
        <f>'Calculations BTU'!AE61</f>
        <v>0</v>
      </c>
      <c r="X8">
        <f>'Calculations BTU'!AF61</f>
        <v>0</v>
      </c>
      <c r="Y8">
        <f>'Calculations BTU'!AG61</f>
        <v>0</v>
      </c>
      <c r="Z8">
        <f>'Calculations BTU'!AH61</f>
        <v>0</v>
      </c>
      <c r="AA8">
        <f>'Calculations BTU'!AI61</f>
        <v>0</v>
      </c>
      <c r="AB8">
        <f>'Calculations BTU'!AJ61</f>
        <v>0</v>
      </c>
      <c r="AC8">
        <f>'Calculations BTU'!AK61</f>
        <v>0</v>
      </c>
      <c r="AD8">
        <f>'Calculations BTU'!AL61</f>
        <v>0</v>
      </c>
      <c r="AE8">
        <f>'Calculations BTU'!AM61</f>
        <v>0</v>
      </c>
      <c r="AF8">
        <f>'Calculations BTU'!AN61</f>
        <v>0</v>
      </c>
      <c r="AG8">
        <f>'Calculations BTU'!AO61</f>
        <v>0</v>
      </c>
      <c r="AH8">
        <f>'Calculations BTU'!AP61</f>
        <v>0</v>
      </c>
      <c r="AI8">
        <f>'Calculations BTU'!AQ61</f>
        <v>0</v>
      </c>
      <c r="AJ8">
        <f>'Calculations BTU'!AR61</f>
        <v>0</v>
      </c>
      <c r="AK8">
        <f>'Calculations BTU'!AS61</f>
        <v>0</v>
      </c>
      <c r="AL8">
        <f>'Calculations BTU'!AT61</f>
        <v>0</v>
      </c>
      <c r="AM8">
        <f>'Calculations BTU'!AU61</f>
        <v>0</v>
      </c>
      <c r="AN8">
        <f>'Calculations BTU'!AV61</f>
        <v>0</v>
      </c>
      <c r="AO8">
        <f>'Calculations BTU'!AW61</f>
        <v>0</v>
      </c>
      <c r="AP8">
        <f>'Calculations BTU'!AX61</f>
        <v>0</v>
      </c>
      <c r="AQ8">
        <f>'Calculations BTU'!AY61</f>
        <v>0</v>
      </c>
      <c r="AR8">
        <f>'Calculations BTU'!AZ61</f>
        <v>0</v>
      </c>
      <c r="AS8">
        <f>'Calculations BTU'!BA61</f>
        <v>0</v>
      </c>
      <c r="AT8">
        <f>'Calculations BTU'!BB61</f>
        <v>0</v>
      </c>
      <c r="AU8">
        <f>'Calculations BTU'!BC61</f>
        <v>0</v>
      </c>
      <c r="AV8">
        <f>'Calculations BTU'!BD61</f>
        <v>0</v>
      </c>
      <c r="AW8">
        <f>'Calculations BTU'!BE61</f>
        <v>0</v>
      </c>
      <c r="AX8">
        <f>'Calculations BTU'!BF61</f>
        <v>0</v>
      </c>
      <c r="AY8">
        <f>'Calculations BTU'!BG61</f>
        <v>0</v>
      </c>
      <c r="AZ8">
        <f>'Calculations BTU'!BH61</f>
        <v>0</v>
      </c>
    </row>
    <row r="9" spans="1:52">
      <c r="A9" t="s">
        <v>133</v>
      </c>
      <c r="B9">
        <f>'Calculations BTU'!J62</f>
        <v>29924165549268.457</v>
      </c>
      <c r="C9">
        <f>'Calculations BTU'!K62</f>
        <v>36672979572416.742</v>
      </c>
      <c r="D9">
        <f>'Calculations BTU'!L62</f>
        <v>37241699855266.313</v>
      </c>
      <c r="E9">
        <f>'Calculations BTU'!M62</f>
        <v>37592410696356.883</v>
      </c>
      <c r="F9">
        <f>'Calculations BTU'!N62</f>
        <v>37943121537447.461</v>
      </c>
      <c r="G9">
        <f>'Calculations BTU'!O62</f>
        <v>38303311049918.852</v>
      </c>
      <c r="H9">
        <f>'Calculations BTU'!P62</f>
        <v>38654021891009.43</v>
      </c>
      <c r="I9">
        <f>'Calculations BTU'!Q62</f>
        <v>39004732732100</v>
      </c>
      <c r="J9">
        <f>'Calculations BTU'!R62</f>
        <v>39355443573190.57</v>
      </c>
      <c r="K9">
        <f>'Calculations BTU'!S62</f>
        <v>39706154414281.141</v>
      </c>
      <c r="L9">
        <f>'Calculations BTU'!T62</f>
        <v>40056865255371.711</v>
      </c>
      <c r="M9">
        <f>'Calculations BTU'!U62</f>
        <v>40417054767843.109</v>
      </c>
      <c r="N9">
        <f>'Calculations BTU'!V62</f>
        <v>40767765608933.68</v>
      </c>
      <c r="O9">
        <f>'Calculations BTU'!W62</f>
        <v>41118476450024.25</v>
      </c>
      <c r="P9">
        <f>'Calculations BTU'!X62</f>
        <v>41279613863498.297</v>
      </c>
      <c r="Q9">
        <f>'Calculations BTU'!Y62</f>
        <v>41175348478309.203</v>
      </c>
      <c r="R9">
        <f>'Calculations BTU'!Z62</f>
        <v>41071083093120.117</v>
      </c>
      <c r="S9">
        <f>'Calculations BTU'!AA62</f>
        <v>40966817707931.031</v>
      </c>
      <c r="T9">
        <f>'Calculations BTU'!AB62</f>
        <v>40862552322741.945</v>
      </c>
      <c r="U9">
        <f>'Calculations BTU'!AC62</f>
        <v>40758286937552.852</v>
      </c>
      <c r="V9">
        <f>'Calculations BTU'!AD62</f>
        <v>40654021552363.766</v>
      </c>
      <c r="W9">
        <f>'Calculations BTU'!AE62</f>
        <v>40549756167174.68</v>
      </c>
      <c r="X9">
        <f>'Calculations BTU'!AF62</f>
        <v>40445490781985.586</v>
      </c>
      <c r="Y9">
        <f>'Calculations BTU'!AG62</f>
        <v>40341225396796.5</v>
      </c>
      <c r="Z9">
        <f>'Calculations BTU'!AH62</f>
        <v>40236960011607.414</v>
      </c>
      <c r="AA9">
        <f>'Calculations BTU'!AI62</f>
        <v>40132694626418.328</v>
      </c>
      <c r="AB9">
        <f>'Calculations BTU'!AJ62</f>
        <v>40028429241229.227</v>
      </c>
      <c r="AC9">
        <f>'Calculations BTU'!AK62</f>
        <v>39924163856040.141</v>
      </c>
      <c r="AD9">
        <f>'Calculations BTU'!AL62</f>
        <v>39819898470851.055</v>
      </c>
      <c r="AE9">
        <f>'Calculations BTU'!AM62</f>
        <v>39715633085661.969</v>
      </c>
      <c r="AF9">
        <f>'Calculations BTU'!AN62</f>
        <v>39611367700472.875</v>
      </c>
      <c r="AG9">
        <f>'Calculations BTU'!AO62</f>
        <v>39611367700472.875</v>
      </c>
      <c r="AH9">
        <f>'Calculations BTU'!AP62</f>
        <v>39611367700472.875</v>
      </c>
      <c r="AI9">
        <f>'Calculations BTU'!AQ62</f>
        <v>39611367700472.875</v>
      </c>
      <c r="AJ9">
        <f>'Calculations BTU'!AR62</f>
        <v>39611367700472.875</v>
      </c>
      <c r="AK9">
        <f>'Calculations BTU'!AS62</f>
        <v>39611367700472.875</v>
      </c>
      <c r="AL9">
        <f>'Calculations BTU'!AT62</f>
        <v>39611367700472.875</v>
      </c>
      <c r="AM9">
        <f>'Calculations BTU'!AU62</f>
        <v>39611367700472.875</v>
      </c>
      <c r="AN9">
        <f>'Calculations BTU'!AV62</f>
        <v>39611367700472.875</v>
      </c>
      <c r="AO9">
        <f>'Calculations BTU'!AW62</f>
        <v>39611367700472.875</v>
      </c>
      <c r="AP9">
        <f>'Calculations BTU'!AX62</f>
        <v>39611367700472.875</v>
      </c>
      <c r="AQ9">
        <f>'Calculations BTU'!AY62</f>
        <v>39611367700472.875</v>
      </c>
      <c r="AR9">
        <f>'Calculations BTU'!AZ62</f>
        <v>39611367700472.875</v>
      </c>
      <c r="AS9">
        <f>'Calculations BTU'!BA62</f>
        <v>39611367700472.875</v>
      </c>
      <c r="AT9">
        <f>'Calculations BTU'!BB62</f>
        <v>39611367700472.875</v>
      </c>
      <c r="AU9">
        <f>'Calculations BTU'!BC62</f>
        <v>39611367700472.875</v>
      </c>
      <c r="AV9">
        <f>'Calculations BTU'!BD62</f>
        <v>39611367700472.875</v>
      </c>
      <c r="AW9">
        <f>'Calculations BTU'!BE62</f>
        <v>39611367700472.875</v>
      </c>
      <c r="AX9">
        <f>'Calculations BTU'!BF62</f>
        <v>39611367700472.875</v>
      </c>
      <c r="AY9">
        <f>'Calculations BTU'!BG62</f>
        <v>39611367700472.875</v>
      </c>
      <c r="AZ9">
        <f>'Calculations BTU'!BH62</f>
        <v>39611367700472.875</v>
      </c>
    </row>
    <row r="10" spans="1:52">
      <c r="A10" t="s">
        <v>134</v>
      </c>
      <c r="B10">
        <f>'Calculations BTU'!J63</f>
        <v>19056868811151.191</v>
      </c>
      <c r="C10">
        <f>'Calculations BTU'!K63</f>
        <v>66412311029759.07</v>
      </c>
      <c r="D10">
        <f>'Calculations BTU'!L63</f>
        <v>58535356542872.242</v>
      </c>
      <c r="E10">
        <f>'Calculations BTU'!M63</f>
        <v>59069450247129.906</v>
      </c>
      <c r="F10">
        <f>'Calculations BTU'!N63</f>
        <v>60818255394503.719</v>
      </c>
      <c r="G10">
        <f>'Calculations BTU'!O63</f>
        <v>62308575304015.984</v>
      </c>
      <c r="H10">
        <f>'Calculations BTU'!P63</f>
        <v>65371032140129.742</v>
      </c>
      <c r="I10">
        <f>'Calculations BTU'!Q63</f>
        <v>70102799121331.172</v>
      </c>
      <c r="J10">
        <f>'Calculations BTU'!R63</f>
        <v>72143393490226.469</v>
      </c>
      <c r="K10">
        <f>'Calculations BTU'!S63</f>
        <v>72291718608034.109</v>
      </c>
      <c r="L10">
        <f>'Calculations BTU'!T63</f>
        <v>72289615575357.672</v>
      </c>
      <c r="M10">
        <f>'Calculations BTU'!U63</f>
        <v>72118030339202.625</v>
      </c>
      <c r="N10">
        <f>'Calculations BTU'!V63</f>
        <v>71761702038549.531</v>
      </c>
      <c r="O10">
        <f>'Calculations BTU'!W63</f>
        <v>71239631678954.719</v>
      </c>
      <c r="P10">
        <f>'Calculations BTU'!X63</f>
        <v>70365759046262.57</v>
      </c>
      <c r="Q10">
        <f>'Calculations BTU'!Y63</f>
        <v>69141401290129.781</v>
      </c>
      <c r="R10">
        <f>'Calculations BTU'!Z63</f>
        <v>67567990876666.156</v>
      </c>
      <c r="S10">
        <f>'Calculations BTU'!AA63</f>
        <v>65638639771019.828</v>
      </c>
      <c r="T10">
        <f>'Calculations BTU'!AB63</f>
        <v>63714585254868.977</v>
      </c>
      <c r="U10">
        <f>'Calculations BTU'!AC63</f>
        <v>61787665806490.531</v>
      </c>
      <c r="V10">
        <f>'Calculations BTU'!AD63</f>
        <v>59855891705960.703</v>
      </c>
      <c r="W10">
        <f>'Calculations BTU'!AE63</f>
        <v>57927265495759.977</v>
      </c>
      <c r="X10">
        <f>'Calculations BTU'!AF63</f>
        <v>56002547071731.969</v>
      </c>
      <c r="Y10">
        <f>'Calculations BTU'!AG63</f>
        <v>54079544071919.578</v>
      </c>
      <c r="Z10">
        <f>'Calculations BTU'!AH63</f>
        <v>52140775282460.93</v>
      </c>
      <c r="AA10">
        <f>'Calculations BTU'!AI63</f>
        <v>50218656157346.117</v>
      </c>
      <c r="AB10">
        <f>'Calculations BTU'!AJ63</f>
        <v>48297579886180.672</v>
      </c>
      <c r="AC10">
        <f>'Calculations BTU'!AK63</f>
        <v>46359261696464.625</v>
      </c>
      <c r="AD10">
        <f>'Calculations BTU'!AL63</f>
        <v>44432181265130.688</v>
      </c>
      <c r="AE10">
        <f>'Calculations BTU'!AM63</f>
        <v>42499928223151.414</v>
      </c>
      <c r="AF10">
        <f>'Calculations BTU'!AN63</f>
        <v>40572131558760.789</v>
      </c>
      <c r="AG10">
        <f>'Calculations BTU'!AO63</f>
        <v>40572131558760.789</v>
      </c>
      <c r="AH10">
        <f>'Calculations BTU'!AP63</f>
        <v>40572131558760.789</v>
      </c>
      <c r="AI10">
        <f>'Calculations BTU'!AQ63</f>
        <v>40572131558760.789</v>
      </c>
      <c r="AJ10">
        <f>'Calculations BTU'!AR63</f>
        <v>40572131558760.789</v>
      </c>
      <c r="AK10">
        <f>'Calculations BTU'!AS63</f>
        <v>40572131558760.789</v>
      </c>
      <c r="AL10">
        <f>'Calculations BTU'!AT63</f>
        <v>40572131558760.789</v>
      </c>
      <c r="AM10">
        <f>'Calculations BTU'!AU63</f>
        <v>40572131558760.789</v>
      </c>
      <c r="AN10">
        <f>'Calculations BTU'!AV63</f>
        <v>40572131558760.789</v>
      </c>
      <c r="AO10">
        <f>'Calculations BTU'!AW63</f>
        <v>40572131558760.789</v>
      </c>
      <c r="AP10">
        <f>'Calculations BTU'!AX63</f>
        <v>40572131558760.789</v>
      </c>
      <c r="AQ10">
        <f>'Calculations BTU'!AY63</f>
        <v>40572131558760.789</v>
      </c>
      <c r="AR10">
        <f>'Calculations BTU'!AZ63</f>
        <v>40572131558760.789</v>
      </c>
      <c r="AS10">
        <f>'Calculations BTU'!BA63</f>
        <v>40572131558760.789</v>
      </c>
      <c r="AT10">
        <f>'Calculations BTU'!BB63</f>
        <v>40572131558760.789</v>
      </c>
      <c r="AU10">
        <f>'Calculations BTU'!BC63</f>
        <v>40572131558760.789</v>
      </c>
      <c r="AV10">
        <f>'Calculations BTU'!BD63</f>
        <v>40572131558760.789</v>
      </c>
      <c r="AW10">
        <f>'Calculations BTU'!BE63</f>
        <v>40572131558760.789</v>
      </c>
      <c r="AX10">
        <f>'Calculations BTU'!BF63</f>
        <v>40572131558760.789</v>
      </c>
      <c r="AY10">
        <f>'Calculations BTU'!BG63</f>
        <v>40572131558760.789</v>
      </c>
      <c r="AZ10">
        <f>'Calculations BTU'!BH63</f>
        <v>40572131558760.789</v>
      </c>
    </row>
    <row r="11" spans="1:52">
      <c r="A11" t="s">
        <v>135</v>
      </c>
      <c r="B11">
        <f>'Calculations BTU'!J64</f>
        <v>74540271738817.594</v>
      </c>
      <c r="C11">
        <f>'Calculations BTU'!K64</f>
        <v>95999983745008.219</v>
      </c>
      <c r="D11">
        <f>'Calculations BTU'!L64</f>
        <v>97488135151797.922</v>
      </c>
      <c r="E11">
        <f>'Calculations BTU'!M64</f>
        <v>98407566275738.078</v>
      </c>
      <c r="F11">
        <f>'Calculations BTU'!N64</f>
        <v>99336476071059.047</v>
      </c>
      <c r="G11">
        <f>'Calculations BTU'!O64</f>
        <v>100255907194999.19</v>
      </c>
      <c r="H11">
        <f>'Calculations BTU'!P64</f>
        <v>101175338318939.33</v>
      </c>
      <c r="I11">
        <f>'Calculations BTU'!Q64</f>
        <v>102104248114260.31</v>
      </c>
      <c r="J11">
        <f>'Calculations BTU'!R64</f>
        <v>103023679238200.45</v>
      </c>
      <c r="K11">
        <f>'Calculations BTU'!S64</f>
        <v>103943110362140.59</v>
      </c>
      <c r="L11">
        <f>'Calculations BTU'!T64</f>
        <v>104872020157461.58</v>
      </c>
      <c r="M11">
        <f>'Calculations BTU'!U64</f>
        <v>105791451281401.72</v>
      </c>
      <c r="N11">
        <f>'Calculations BTU'!V64</f>
        <v>106710882405341.86</v>
      </c>
      <c r="O11">
        <f>'Calculations BTU'!W64</f>
        <v>107639792200662.84</v>
      </c>
      <c r="P11">
        <f>'Calculations BTU'!X64</f>
        <v>108047375070038.36</v>
      </c>
      <c r="Q11">
        <f>'Calculations BTU'!Y64</f>
        <v>107781972271375.23</v>
      </c>
      <c r="R11">
        <f>'Calculations BTU'!Z64</f>
        <v>107507090801331.28</v>
      </c>
      <c r="S11">
        <f>'Calculations BTU'!AA64</f>
        <v>107232209331287.31</v>
      </c>
      <c r="T11">
        <f>'Calculations BTU'!AB64</f>
        <v>106966806532624.17</v>
      </c>
      <c r="U11">
        <f>'Calculations BTU'!AC64</f>
        <v>106691925062580.22</v>
      </c>
      <c r="V11">
        <f>'Calculations BTU'!AD64</f>
        <v>106417043592536.25</v>
      </c>
      <c r="W11">
        <f>'Calculations BTU'!AE64</f>
        <v>106151640793873.11</v>
      </c>
      <c r="X11">
        <f>'Calculations BTU'!AF64</f>
        <v>105876759323829.16</v>
      </c>
      <c r="Y11">
        <f>'Calculations BTU'!AG64</f>
        <v>105601877853785.19</v>
      </c>
      <c r="Z11">
        <f>'Calculations BTU'!AH64</f>
        <v>105336475055122.06</v>
      </c>
      <c r="AA11">
        <f>'Calculations BTU'!AI64</f>
        <v>105061593585078.11</v>
      </c>
      <c r="AB11">
        <f>'Calculations BTU'!AJ64</f>
        <v>104786712115034.14</v>
      </c>
      <c r="AC11">
        <f>'Calculations BTU'!AK64</f>
        <v>104521309316371</v>
      </c>
      <c r="AD11">
        <f>'Calculations BTU'!AL64</f>
        <v>104246427846327.05</v>
      </c>
      <c r="AE11">
        <f>'Calculations BTU'!AM64</f>
        <v>103971546376283.08</v>
      </c>
      <c r="AF11">
        <f>'Calculations BTU'!AN64</f>
        <v>103696664906239.13</v>
      </c>
      <c r="AG11">
        <f>'Calculations BTU'!AO64</f>
        <v>103696664906239.13</v>
      </c>
      <c r="AH11">
        <f>'Calculations BTU'!AP64</f>
        <v>103696664906239.13</v>
      </c>
      <c r="AI11">
        <f>'Calculations BTU'!AQ64</f>
        <v>103696664906239.13</v>
      </c>
      <c r="AJ11">
        <f>'Calculations BTU'!AR64</f>
        <v>103696664906239.13</v>
      </c>
      <c r="AK11">
        <f>'Calculations BTU'!AS64</f>
        <v>103696664906239.13</v>
      </c>
      <c r="AL11">
        <f>'Calculations BTU'!AT64</f>
        <v>103696664906239.13</v>
      </c>
      <c r="AM11">
        <f>'Calculations BTU'!AU64</f>
        <v>103696664906239.13</v>
      </c>
      <c r="AN11">
        <f>'Calculations BTU'!AV64</f>
        <v>103696664906239.13</v>
      </c>
      <c r="AO11">
        <f>'Calculations BTU'!AW64</f>
        <v>103696664906239.13</v>
      </c>
      <c r="AP11">
        <f>'Calculations BTU'!AX64</f>
        <v>103696664906239.13</v>
      </c>
      <c r="AQ11">
        <f>'Calculations BTU'!AY64</f>
        <v>103696664906239.13</v>
      </c>
      <c r="AR11">
        <f>'Calculations BTU'!AZ64</f>
        <v>103696664906239.13</v>
      </c>
      <c r="AS11">
        <f>'Calculations BTU'!BA64</f>
        <v>103696664906239.13</v>
      </c>
      <c r="AT11">
        <f>'Calculations BTU'!BB64</f>
        <v>103696664906239.13</v>
      </c>
      <c r="AU11">
        <f>'Calculations BTU'!BC64</f>
        <v>103696664906239.13</v>
      </c>
      <c r="AV11">
        <f>'Calculations BTU'!BD64</f>
        <v>103696664906239.13</v>
      </c>
      <c r="AW11">
        <f>'Calculations BTU'!BE64</f>
        <v>103696664906239.13</v>
      </c>
      <c r="AX11">
        <f>'Calculations BTU'!BF64</f>
        <v>103696664906239.13</v>
      </c>
      <c r="AY11">
        <f>'Calculations BTU'!BG64</f>
        <v>103696664906239.13</v>
      </c>
      <c r="AZ11">
        <f>'Calculations BTU'!BH64</f>
        <v>103696664906239.13</v>
      </c>
    </row>
    <row r="12" spans="1:52">
      <c r="A12" t="s">
        <v>136</v>
      </c>
      <c r="B12">
        <f>'Calculations BTU'!J65</f>
        <v>5165875902550.3037</v>
      </c>
      <c r="C12">
        <f>'Calculations BTU'!K65</f>
        <v>7971562631274.8721</v>
      </c>
      <c r="D12">
        <f>'Calculations BTU'!L65</f>
        <v>8094785359225.6123</v>
      </c>
      <c r="E12">
        <f>'Calculations BTU'!M65</f>
        <v>8236965429938.0068</v>
      </c>
      <c r="F12">
        <f>'Calculations BTU'!N65</f>
        <v>8379145500650.4004</v>
      </c>
      <c r="G12">
        <f>'Calculations BTU'!O65</f>
        <v>8521325571362.7949</v>
      </c>
      <c r="H12">
        <f>'Calculations BTU'!P65</f>
        <v>8672984313456.0146</v>
      </c>
      <c r="I12">
        <f>'Calculations BTU'!Q65</f>
        <v>8815164384168.4082</v>
      </c>
      <c r="J12">
        <f>'Calculations BTU'!R65</f>
        <v>8957344454880.8008</v>
      </c>
      <c r="K12">
        <f>'Calculations BTU'!S65</f>
        <v>9099524525593.1953</v>
      </c>
      <c r="L12">
        <f>'Calculations BTU'!T65</f>
        <v>9241704596305.5898</v>
      </c>
      <c r="M12">
        <f>'Calculations BTU'!U65</f>
        <v>9393363338398.8086</v>
      </c>
      <c r="N12">
        <f>'Calculations BTU'!V65</f>
        <v>9535543409111.2031</v>
      </c>
      <c r="O12">
        <f>'Calculations BTU'!W65</f>
        <v>9677723479823.5977</v>
      </c>
      <c r="P12">
        <f>'Calculations BTU'!X65</f>
        <v>9819903550535.9902</v>
      </c>
      <c r="Q12">
        <f>'Calculations BTU'!Y65</f>
        <v>9962083621248.3828</v>
      </c>
      <c r="R12">
        <f>'Calculations BTU'!Z65</f>
        <v>10113742363341.604</v>
      </c>
      <c r="S12">
        <f>'Calculations BTU'!AA65</f>
        <v>10255922434053.998</v>
      </c>
      <c r="T12">
        <f>'Calculations BTU'!AB65</f>
        <v>10398102504766.391</v>
      </c>
      <c r="U12">
        <f>'Calculations BTU'!AC65</f>
        <v>10540282575478.783</v>
      </c>
      <c r="V12">
        <f>'Calculations BTU'!AD65</f>
        <v>10691941317572.004</v>
      </c>
      <c r="W12">
        <f>'Calculations BTU'!AE65</f>
        <v>10834121388284.398</v>
      </c>
      <c r="X12">
        <f>'Calculations BTU'!AF65</f>
        <v>10976301458996.791</v>
      </c>
      <c r="Y12">
        <f>'Calculations BTU'!AG65</f>
        <v>11118481529709.186</v>
      </c>
      <c r="Z12">
        <f>'Calculations BTU'!AH65</f>
        <v>11260661600421.58</v>
      </c>
      <c r="AA12">
        <f>'Calculations BTU'!AI65</f>
        <v>11412320342514.799</v>
      </c>
      <c r="AB12">
        <f>'Calculations BTU'!AJ65</f>
        <v>11554500413227.191</v>
      </c>
      <c r="AC12">
        <f>'Calculations BTU'!AK65</f>
        <v>11696680483939.586</v>
      </c>
      <c r="AD12">
        <f>'Calculations BTU'!AL65</f>
        <v>11838860554651.98</v>
      </c>
      <c r="AE12">
        <f>'Calculations BTU'!AM65</f>
        <v>11981040625364.375</v>
      </c>
      <c r="AF12">
        <f>'Calculations BTU'!AN65</f>
        <v>12132699367457.594</v>
      </c>
      <c r="AG12">
        <f>'Calculations BTU'!AO65</f>
        <v>12132699367457.594</v>
      </c>
      <c r="AH12">
        <f>'Calculations BTU'!AP65</f>
        <v>12132699367457.594</v>
      </c>
      <c r="AI12">
        <f>'Calculations BTU'!AQ65</f>
        <v>12132699367457.594</v>
      </c>
      <c r="AJ12">
        <f>'Calculations BTU'!AR65</f>
        <v>12132699367457.594</v>
      </c>
      <c r="AK12">
        <f>'Calculations BTU'!AS65</f>
        <v>12132699367457.594</v>
      </c>
      <c r="AL12">
        <f>'Calculations BTU'!AT65</f>
        <v>12132699367457.594</v>
      </c>
      <c r="AM12">
        <f>'Calculations BTU'!AU65</f>
        <v>12132699367457.594</v>
      </c>
      <c r="AN12">
        <f>'Calculations BTU'!AV65</f>
        <v>12132699367457.594</v>
      </c>
      <c r="AO12">
        <f>'Calculations BTU'!AW65</f>
        <v>12132699367457.594</v>
      </c>
      <c r="AP12">
        <f>'Calculations BTU'!AX65</f>
        <v>12132699367457.594</v>
      </c>
      <c r="AQ12">
        <f>'Calculations BTU'!AY65</f>
        <v>12132699367457.594</v>
      </c>
      <c r="AR12">
        <f>'Calculations BTU'!AZ65</f>
        <v>12132699367457.594</v>
      </c>
      <c r="AS12">
        <f>'Calculations BTU'!BA65</f>
        <v>12132699367457.594</v>
      </c>
      <c r="AT12">
        <f>'Calculations BTU'!BB65</f>
        <v>12132699367457.594</v>
      </c>
      <c r="AU12">
        <f>'Calculations BTU'!BC65</f>
        <v>12132699367457.594</v>
      </c>
      <c r="AV12">
        <f>'Calculations BTU'!BD65</f>
        <v>12132699367457.594</v>
      </c>
      <c r="AW12">
        <f>'Calculations BTU'!BE65</f>
        <v>12132699367457.594</v>
      </c>
      <c r="AX12">
        <f>'Calculations BTU'!BF65</f>
        <v>12132699367457.594</v>
      </c>
      <c r="AY12">
        <f>'Calculations BTU'!BG65</f>
        <v>12132699367457.594</v>
      </c>
      <c r="AZ12">
        <f>'Calculations BTU'!BH65</f>
        <v>12132699367457.594</v>
      </c>
    </row>
    <row r="13" spans="1:52">
      <c r="A13" t="s">
        <v>137</v>
      </c>
      <c r="B13">
        <f>'Calculations BTU'!J66</f>
        <v>38663500562390.25</v>
      </c>
      <c r="C13">
        <f>'Calculations BTU'!K66</f>
        <v>50151650275951.656</v>
      </c>
      <c r="D13">
        <f>'Calculations BTU'!L66</f>
        <v>50104256919047.531</v>
      </c>
      <c r="E13">
        <f>'Calculations BTU'!M66</f>
        <v>49857811463146.047</v>
      </c>
      <c r="F13">
        <f>'Calculations BTU'!N66</f>
        <v>49620844678625.398</v>
      </c>
      <c r="G13">
        <f>'Calculations BTU'!O66</f>
        <v>49383877894104.742</v>
      </c>
      <c r="H13">
        <f>'Calculations BTU'!P66</f>
        <v>49137432438203.258</v>
      </c>
      <c r="I13">
        <f>'Calculations BTU'!Q66</f>
        <v>48900465653682.602</v>
      </c>
      <c r="J13">
        <f>'Calculations BTU'!R66</f>
        <v>48663498869161.945</v>
      </c>
      <c r="K13">
        <f>'Calculations BTU'!S66</f>
        <v>48417053413260.461</v>
      </c>
      <c r="L13">
        <f>'Calculations BTU'!T66</f>
        <v>48180086628739.805</v>
      </c>
      <c r="M13">
        <f>'Calculations BTU'!U66</f>
        <v>47943119844219.148</v>
      </c>
      <c r="N13">
        <f>'Calculations BTU'!V66</f>
        <v>47696674388317.664</v>
      </c>
      <c r="O13">
        <f>'Calculations BTU'!W66</f>
        <v>47459707603797.008</v>
      </c>
      <c r="P13">
        <f>'Calculations BTU'!X66</f>
        <v>47222740819276.352</v>
      </c>
      <c r="Q13">
        <f>'Calculations BTU'!Y66</f>
        <v>46976295363374.875</v>
      </c>
      <c r="R13">
        <f>'Calculations BTU'!Z66</f>
        <v>46739328578854.219</v>
      </c>
      <c r="S13">
        <f>'Calculations BTU'!AA66</f>
        <v>46502361794333.563</v>
      </c>
      <c r="T13">
        <f>'Calculations BTU'!AB66</f>
        <v>46255916338432.07</v>
      </c>
      <c r="U13">
        <f>'Calculations BTU'!AC66</f>
        <v>46018949553911.414</v>
      </c>
      <c r="V13">
        <f>'Calculations BTU'!AD66</f>
        <v>45781982769390.758</v>
      </c>
      <c r="W13">
        <f>'Calculations BTU'!AE66</f>
        <v>45535537313489.281</v>
      </c>
      <c r="X13">
        <f>'Calculations BTU'!AF66</f>
        <v>45298570528968.625</v>
      </c>
      <c r="Y13">
        <f>'Calculations BTU'!AG66</f>
        <v>45061603744447.969</v>
      </c>
      <c r="Z13">
        <f>'Calculations BTU'!AH66</f>
        <v>44815158288546.484</v>
      </c>
      <c r="AA13">
        <f>'Calculations BTU'!AI66</f>
        <v>44578191504025.828</v>
      </c>
      <c r="AB13">
        <f>'Calculations BTU'!AJ66</f>
        <v>44341224719505.172</v>
      </c>
      <c r="AC13">
        <f>'Calculations BTU'!AK66</f>
        <v>44094779263603.695</v>
      </c>
      <c r="AD13">
        <f>'Calculations BTU'!AL66</f>
        <v>43857812479083.039</v>
      </c>
      <c r="AE13">
        <f>'Calculations BTU'!AM66</f>
        <v>43620845694562.383</v>
      </c>
      <c r="AF13">
        <f>'Calculations BTU'!AN66</f>
        <v>43374400238660.898</v>
      </c>
      <c r="AG13">
        <f>'Calculations BTU'!AO66</f>
        <v>43374400238660.898</v>
      </c>
      <c r="AH13">
        <f>'Calculations BTU'!AP66</f>
        <v>43374400238660.898</v>
      </c>
      <c r="AI13">
        <f>'Calculations BTU'!AQ66</f>
        <v>43374400238660.898</v>
      </c>
      <c r="AJ13">
        <f>'Calculations BTU'!AR66</f>
        <v>43374400238660.898</v>
      </c>
      <c r="AK13">
        <f>'Calculations BTU'!AS66</f>
        <v>43374400238660.898</v>
      </c>
      <c r="AL13">
        <f>'Calculations BTU'!AT66</f>
        <v>43374400238660.898</v>
      </c>
      <c r="AM13">
        <f>'Calculations BTU'!AU66</f>
        <v>43374400238660.898</v>
      </c>
      <c r="AN13">
        <f>'Calculations BTU'!AV66</f>
        <v>43374400238660.898</v>
      </c>
      <c r="AO13">
        <f>'Calculations BTU'!AW66</f>
        <v>43374400238660.898</v>
      </c>
      <c r="AP13">
        <f>'Calculations BTU'!AX66</f>
        <v>43374400238660.898</v>
      </c>
      <c r="AQ13">
        <f>'Calculations BTU'!AY66</f>
        <v>43374400238660.898</v>
      </c>
      <c r="AR13">
        <f>'Calculations BTU'!AZ66</f>
        <v>43374400238660.898</v>
      </c>
      <c r="AS13">
        <f>'Calculations BTU'!BA66</f>
        <v>43374400238660.898</v>
      </c>
      <c r="AT13">
        <f>'Calculations BTU'!BB66</f>
        <v>43374400238660.898</v>
      </c>
      <c r="AU13">
        <f>'Calculations BTU'!BC66</f>
        <v>43374400238660.898</v>
      </c>
      <c r="AV13">
        <f>'Calculations BTU'!BD66</f>
        <v>43374400238660.898</v>
      </c>
      <c r="AW13">
        <f>'Calculations BTU'!BE66</f>
        <v>43374400238660.898</v>
      </c>
      <c r="AX13">
        <f>'Calculations BTU'!BF66</f>
        <v>43374400238660.898</v>
      </c>
      <c r="AY13">
        <f>'Calculations BTU'!BG66</f>
        <v>43374400238660.898</v>
      </c>
      <c r="AZ13">
        <f>'Calculations BTU'!BH66</f>
        <v>43374400238660.898</v>
      </c>
    </row>
    <row r="14" spans="1:52">
      <c r="A14" t="s">
        <v>138</v>
      </c>
      <c r="B14">
        <f>'Calculations BTU'!J67</f>
        <v>9791467536393.5117</v>
      </c>
      <c r="C14">
        <f>'Calculations BTU'!K67</f>
        <v>12255922095408.334</v>
      </c>
      <c r="D14">
        <f>'Calculations BTU'!L67</f>
        <v>12445495523024.861</v>
      </c>
      <c r="E14">
        <f>'Calculations BTU'!M67</f>
        <v>12559239579594.775</v>
      </c>
      <c r="F14">
        <f>'Calculations BTU'!N67</f>
        <v>12682462307545.518</v>
      </c>
      <c r="G14">
        <f>'Calculations BTU'!O67</f>
        <v>12796206364115.432</v>
      </c>
      <c r="H14">
        <f>'Calculations BTU'!P67</f>
        <v>12919429092066.172</v>
      </c>
      <c r="I14">
        <f>'Calculations BTU'!Q67</f>
        <v>13033173148636.088</v>
      </c>
      <c r="J14">
        <f>'Calculations BTU'!R67</f>
        <v>13156395876586.828</v>
      </c>
      <c r="K14">
        <f>'Calculations BTU'!S67</f>
        <v>13270139933156.742</v>
      </c>
      <c r="L14">
        <f>'Calculations BTU'!T67</f>
        <v>13383883989726.658</v>
      </c>
      <c r="M14">
        <f>'Calculations BTU'!U67</f>
        <v>13507106717677.398</v>
      </c>
      <c r="N14">
        <f>'Calculations BTU'!V67</f>
        <v>13620850774247.314</v>
      </c>
      <c r="O14">
        <f>'Calculations BTU'!W67</f>
        <v>13744073502198.055</v>
      </c>
      <c r="P14">
        <f>'Calculations BTU'!X67</f>
        <v>13791466859102.188</v>
      </c>
      <c r="Q14">
        <f>'Calculations BTU'!Y67</f>
        <v>13763030844959.707</v>
      </c>
      <c r="R14">
        <f>'Calculations BTU'!Z67</f>
        <v>13725116159436.404</v>
      </c>
      <c r="S14">
        <f>'Calculations BTU'!AA67</f>
        <v>13687201473913.098</v>
      </c>
      <c r="T14">
        <f>'Calculations BTU'!AB67</f>
        <v>13658765459770.619</v>
      </c>
      <c r="U14">
        <f>'Calculations BTU'!AC67</f>
        <v>13620850774247.314</v>
      </c>
      <c r="V14">
        <f>'Calculations BTU'!AD67</f>
        <v>13582936088724.01</v>
      </c>
      <c r="W14">
        <f>'Calculations BTU'!AE67</f>
        <v>13554500074581.531</v>
      </c>
      <c r="X14">
        <f>'Calculations BTU'!AF67</f>
        <v>13516585389058.225</v>
      </c>
      <c r="Y14">
        <f>'Calculations BTU'!AG67</f>
        <v>13478670703534.922</v>
      </c>
      <c r="Z14">
        <f>'Calculations BTU'!AH67</f>
        <v>13450234689392.441</v>
      </c>
      <c r="AA14">
        <f>'Calculations BTU'!AI67</f>
        <v>13412320003869.137</v>
      </c>
      <c r="AB14">
        <f>'Calculations BTU'!AJ67</f>
        <v>13374405318345.832</v>
      </c>
      <c r="AC14">
        <f>'Calculations BTU'!AK67</f>
        <v>13345969304203.354</v>
      </c>
      <c r="AD14">
        <f>'Calculations BTU'!AL67</f>
        <v>13308054618680.047</v>
      </c>
      <c r="AE14">
        <f>'Calculations BTU'!AM67</f>
        <v>13270139933156.742</v>
      </c>
      <c r="AF14">
        <f>'Calculations BTU'!AN67</f>
        <v>13241703919014.266</v>
      </c>
      <c r="AG14">
        <f>'Calculations BTU'!AO67</f>
        <v>13241703919014.266</v>
      </c>
      <c r="AH14">
        <f>'Calculations BTU'!AP67</f>
        <v>13241703919014.266</v>
      </c>
      <c r="AI14">
        <f>'Calculations BTU'!AQ67</f>
        <v>13241703919014.266</v>
      </c>
      <c r="AJ14">
        <f>'Calculations BTU'!AR67</f>
        <v>13241703919014.266</v>
      </c>
      <c r="AK14">
        <f>'Calculations BTU'!AS67</f>
        <v>13241703919014.266</v>
      </c>
      <c r="AL14">
        <f>'Calculations BTU'!AT67</f>
        <v>13241703919014.266</v>
      </c>
      <c r="AM14">
        <f>'Calculations BTU'!AU67</f>
        <v>13241703919014.266</v>
      </c>
      <c r="AN14">
        <f>'Calculations BTU'!AV67</f>
        <v>13241703919014.266</v>
      </c>
      <c r="AO14">
        <f>'Calculations BTU'!AW67</f>
        <v>13241703919014.266</v>
      </c>
      <c r="AP14">
        <f>'Calculations BTU'!AX67</f>
        <v>13241703919014.266</v>
      </c>
      <c r="AQ14">
        <f>'Calculations BTU'!AY67</f>
        <v>13241703919014.266</v>
      </c>
      <c r="AR14">
        <f>'Calculations BTU'!AZ67</f>
        <v>13241703919014.266</v>
      </c>
      <c r="AS14">
        <f>'Calculations BTU'!BA67</f>
        <v>13241703919014.266</v>
      </c>
      <c r="AT14">
        <f>'Calculations BTU'!BB67</f>
        <v>13241703919014.266</v>
      </c>
      <c r="AU14">
        <f>'Calculations BTU'!BC67</f>
        <v>13241703919014.266</v>
      </c>
      <c r="AV14">
        <f>'Calculations BTU'!BD67</f>
        <v>13241703919014.266</v>
      </c>
      <c r="AW14">
        <f>'Calculations BTU'!BE67</f>
        <v>13241703919014.266</v>
      </c>
      <c r="AX14">
        <f>'Calculations BTU'!BF67</f>
        <v>13241703919014.266</v>
      </c>
      <c r="AY14">
        <f>'Calculations BTU'!BG67</f>
        <v>13241703919014.266</v>
      </c>
      <c r="AZ14">
        <f>'Calculations BTU'!BH67</f>
        <v>13241703919014.266</v>
      </c>
    </row>
    <row r="15" spans="1:52">
      <c r="A15" t="s">
        <v>139</v>
      </c>
      <c r="B15">
        <f>'Calculations BTU'!J68</f>
        <v>140606611263176.52</v>
      </c>
      <c r="C15">
        <f>'Calculations BTU'!K68</f>
        <v>178928879655857.03</v>
      </c>
      <c r="D15">
        <f>'Calculations BTU'!L68</f>
        <v>181706130370439.09</v>
      </c>
      <c r="E15">
        <f>'Calculations BTU'!M68</f>
        <v>183421769890368.66</v>
      </c>
      <c r="F15">
        <f>'Calculations BTU'!N68</f>
        <v>185137409410298.22</v>
      </c>
      <c r="G15">
        <f>'Calculations BTU'!O68</f>
        <v>186862527601608.59</v>
      </c>
      <c r="H15">
        <f>'Calculations BTU'!P68</f>
        <v>188578167121538.13</v>
      </c>
      <c r="I15">
        <f>'Calculations BTU'!Q68</f>
        <v>190303285312848.53</v>
      </c>
      <c r="J15">
        <f>'Calculations BTU'!R68</f>
        <v>192018924832778.09</v>
      </c>
      <c r="K15">
        <f>'Calculations BTU'!S68</f>
        <v>193744043024088.47</v>
      </c>
      <c r="L15">
        <f>'Calculations BTU'!T68</f>
        <v>195459682544018</v>
      </c>
      <c r="M15">
        <f>'Calculations BTU'!U68</f>
        <v>197175322063947.56</v>
      </c>
      <c r="N15">
        <f>'Calculations BTU'!V68</f>
        <v>198900440255257.94</v>
      </c>
      <c r="O15">
        <f>'Calculations BTU'!W68</f>
        <v>200616079775187.47</v>
      </c>
      <c r="P15">
        <f>'Calculations BTU'!X68</f>
        <v>201383852157034.41</v>
      </c>
      <c r="Q15">
        <f>'Calculations BTU'!Y68</f>
        <v>200881482573850.63</v>
      </c>
      <c r="R15">
        <f>'Calculations BTU'!Z68</f>
        <v>200379112990666.81</v>
      </c>
      <c r="S15">
        <f>'Calculations BTU'!AA68</f>
        <v>199867264736102.22</v>
      </c>
      <c r="T15">
        <f>'Calculations BTU'!AB68</f>
        <v>199364895152918.44</v>
      </c>
      <c r="U15">
        <f>'Calculations BTU'!AC68</f>
        <v>198853046898353.78</v>
      </c>
      <c r="V15">
        <f>'Calculations BTU'!AD68</f>
        <v>198350677315170</v>
      </c>
      <c r="W15">
        <f>'Calculations BTU'!AE68</f>
        <v>197838829060605.38</v>
      </c>
      <c r="X15">
        <f>'Calculations BTU'!AF68</f>
        <v>197336459477421.59</v>
      </c>
      <c r="Y15">
        <f>'Calculations BTU'!AG68</f>
        <v>196834089894237.81</v>
      </c>
      <c r="Z15">
        <f>'Calculations BTU'!AH68</f>
        <v>196322241639673.19</v>
      </c>
      <c r="AA15">
        <f>'Calculations BTU'!AI68</f>
        <v>195819872056489.41</v>
      </c>
      <c r="AB15">
        <f>'Calculations BTU'!AJ68</f>
        <v>195308023801924.78</v>
      </c>
      <c r="AC15">
        <f>'Calculations BTU'!AK68</f>
        <v>194805654218741</v>
      </c>
      <c r="AD15">
        <f>'Calculations BTU'!AL68</f>
        <v>194293805964176.38</v>
      </c>
      <c r="AE15">
        <f>'Calculations BTU'!AM68</f>
        <v>193781957709611.75</v>
      </c>
      <c r="AF15">
        <f>'Calculations BTU'!AN68</f>
        <v>193270109455047.16</v>
      </c>
      <c r="AG15">
        <f>'Calculations BTU'!AO68</f>
        <v>193270109455047.16</v>
      </c>
      <c r="AH15">
        <f>'Calculations BTU'!AP68</f>
        <v>193270109455047.16</v>
      </c>
      <c r="AI15">
        <f>'Calculations BTU'!AQ68</f>
        <v>193270109455047.16</v>
      </c>
      <c r="AJ15">
        <f>'Calculations BTU'!AR68</f>
        <v>193270109455047.16</v>
      </c>
      <c r="AK15">
        <f>'Calculations BTU'!AS68</f>
        <v>193270109455047.16</v>
      </c>
      <c r="AL15">
        <f>'Calculations BTU'!AT68</f>
        <v>193270109455047.16</v>
      </c>
      <c r="AM15">
        <f>'Calculations BTU'!AU68</f>
        <v>193270109455047.16</v>
      </c>
      <c r="AN15">
        <f>'Calculations BTU'!AV68</f>
        <v>193270109455047.16</v>
      </c>
      <c r="AO15">
        <f>'Calculations BTU'!AW68</f>
        <v>193270109455047.16</v>
      </c>
      <c r="AP15">
        <f>'Calculations BTU'!AX68</f>
        <v>193270109455047.16</v>
      </c>
      <c r="AQ15">
        <f>'Calculations BTU'!AY68</f>
        <v>193270109455047.16</v>
      </c>
      <c r="AR15">
        <f>'Calculations BTU'!AZ68</f>
        <v>193270109455047.16</v>
      </c>
      <c r="AS15">
        <f>'Calculations BTU'!BA68</f>
        <v>193270109455047.16</v>
      </c>
      <c r="AT15">
        <f>'Calculations BTU'!BB68</f>
        <v>193270109455047.16</v>
      </c>
      <c r="AU15">
        <f>'Calculations BTU'!BC68</f>
        <v>193270109455047.16</v>
      </c>
      <c r="AV15">
        <f>'Calculations BTU'!BD68</f>
        <v>193270109455047.16</v>
      </c>
      <c r="AW15">
        <f>'Calculations BTU'!BE68</f>
        <v>193270109455047.16</v>
      </c>
      <c r="AX15">
        <f>'Calculations BTU'!BF68</f>
        <v>193270109455047.16</v>
      </c>
      <c r="AY15">
        <f>'Calculations BTU'!BG68</f>
        <v>193270109455047.16</v>
      </c>
      <c r="AZ15">
        <f>'Calculations BTU'!BH68</f>
        <v>193270109455047.16</v>
      </c>
    </row>
    <row r="16" spans="1:52">
      <c r="A16" t="s">
        <v>140</v>
      </c>
      <c r="B16">
        <f>'Calculations BTU'!J69</f>
        <v>0</v>
      </c>
      <c r="C16">
        <f>'Calculations BTU'!K69</f>
        <v>0</v>
      </c>
      <c r="D16">
        <f>'Calculations BTU'!L69</f>
        <v>0</v>
      </c>
      <c r="E16">
        <f>'Calculations BTU'!M69</f>
        <v>0</v>
      </c>
      <c r="F16">
        <f>'Calculations BTU'!N69</f>
        <v>0</v>
      </c>
      <c r="G16">
        <f>'Calculations BTU'!O69</f>
        <v>0</v>
      </c>
      <c r="H16">
        <f>'Calculations BTU'!P69</f>
        <v>0</v>
      </c>
      <c r="I16">
        <f>'Calculations BTU'!Q69</f>
        <v>0</v>
      </c>
      <c r="J16">
        <f>'Calculations BTU'!R69</f>
        <v>0</v>
      </c>
      <c r="K16">
        <f>'Calculations BTU'!S69</f>
        <v>0</v>
      </c>
      <c r="L16">
        <f>'Calculations BTU'!T69</f>
        <v>0</v>
      </c>
      <c r="M16">
        <f>'Calculations BTU'!U69</f>
        <v>0</v>
      </c>
      <c r="N16">
        <f>'Calculations BTU'!V69</f>
        <v>0</v>
      </c>
      <c r="O16">
        <f>'Calculations BTU'!W69</f>
        <v>0</v>
      </c>
      <c r="P16">
        <f>'Calculations BTU'!X69</f>
        <v>0</v>
      </c>
      <c r="Q16">
        <f>'Calculations BTU'!Y69</f>
        <v>0</v>
      </c>
      <c r="R16">
        <f>'Calculations BTU'!Z69</f>
        <v>0</v>
      </c>
      <c r="S16">
        <f>'Calculations BTU'!AA69</f>
        <v>0</v>
      </c>
      <c r="T16">
        <f>'Calculations BTU'!AB69</f>
        <v>0</v>
      </c>
      <c r="U16">
        <f>'Calculations BTU'!AC69</f>
        <v>0</v>
      </c>
      <c r="V16">
        <f>'Calculations BTU'!AD69</f>
        <v>0</v>
      </c>
      <c r="W16">
        <f>'Calculations BTU'!AE69</f>
        <v>0</v>
      </c>
      <c r="X16">
        <f>'Calculations BTU'!AF69</f>
        <v>0</v>
      </c>
      <c r="Y16">
        <f>'Calculations BTU'!AG69</f>
        <v>0</v>
      </c>
      <c r="Z16">
        <f>'Calculations BTU'!AH69</f>
        <v>0</v>
      </c>
      <c r="AA16">
        <f>'Calculations BTU'!AI69</f>
        <v>0</v>
      </c>
      <c r="AB16">
        <f>'Calculations BTU'!AJ69</f>
        <v>0</v>
      </c>
      <c r="AC16">
        <f>'Calculations BTU'!AK69</f>
        <v>0</v>
      </c>
      <c r="AD16">
        <f>'Calculations BTU'!AL69</f>
        <v>0</v>
      </c>
      <c r="AE16">
        <f>'Calculations BTU'!AM69</f>
        <v>0</v>
      </c>
      <c r="AF16">
        <f>'Calculations BTU'!AN69</f>
        <v>0</v>
      </c>
      <c r="AG16">
        <f>'Calculations BTU'!AO69</f>
        <v>0</v>
      </c>
      <c r="AH16">
        <f>'Calculations BTU'!AP69</f>
        <v>0</v>
      </c>
      <c r="AI16">
        <f>'Calculations BTU'!AQ69</f>
        <v>0</v>
      </c>
      <c r="AJ16">
        <f>'Calculations BTU'!AR69</f>
        <v>0</v>
      </c>
      <c r="AK16">
        <f>'Calculations BTU'!AS69</f>
        <v>0</v>
      </c>
      <c r="AL16">
        <f>'Calculations BTU'!AT69</f>
        <v>0</v>
      </c>
      <c r="AM16">
        <f>'Calculations BTU'!AU69</f>
        <v>0</v>
      </c>
      <c r="AN16">
        <f>'Calculations BTU'!AV69</f>
        <v>0</v>
      </c>
      <c r="AO16">
        <f>'Calculations BTU'!AW69</f>
        <v>0</v>
      </c>
      <c r="AP16">
        <f>'Calculations BTU'!AX69</f>
        <v>0</v>
      </c>
      <c r="AQ16">
        <f>'Calculations BTU'!AY69</f>
        <v>0</v>
      </c>
      <c r="AR16">
        <f>'Calculations BTU'!AZ69</f>
        <v>0</v>
      </c>
      <c r="AS16">
        <f>'Calculations BTU'!BA69</f>
        <v>0</v>
      </c>
      <c r="AT16">
        <f>'Calculations BTU'!BB69</f>
        <v>0</v>
      </c>
      <c r="AU16">
        <f>'Calculations BTU'!BC69</f>
        <v>0</v>
      </c>
      <c r="AV16">
        <f>'Calculations BTU'!BD69</f>
        <v>0</v>
      </c>
      <c r="AW16">
        <f>'Calculations BTU'!BE69</f>
        <v>0</v>
      </c>
      <c r="AX16">
        <f>'Calculations BTU'!BF69</f>
        <v>0</v>
      </c>
      <c r="AY16">
        <f>'Calculations BTU'!BG69</f>
        <v>0</v>
      </c>
      <c r="AZ16">
        <f>'Calculations BTU'!BH69</f>
        <v>0</v>
      </c>
    </row>
    <row r="17" spans="1:52">
      <c r="A17" t="s">
        <v>141</v>
      </c>
      <c r="B17">
        <f>'Calculations BTU'!J70</f>
        <v>0</v>
      </c>
      <c r="C17">
        <f>'Calculations BTU'!K70</f>
        <v>0</v>
      </c>
      <c r="D17">
        <f>'Calculations BTU'!L70</f>
        <v>0</v>
      </c>
      <c r="E17">
        <f>'Calculations BTU'!M70</f>
        <v>0</v>
      </c>
      <c r="F17">
        <f>'Calculations BTU'!N70</f>
        <v>0</v>
      </c>
      <c r="G17">
        <f>'Calculations BTU'!O70</f>
        <v>0</v>
      </c>
      <c r="H17">
        <f>'Calculations BTU'!P70</f>
        <v>0</v>
      </c>
      <c r="I17">
        <f>'Calculations BTU'!Q70</f>
        <v>0</v>
      </c>
      <c r="J17">
        <f>'Calculations BTU'!R70</f>
        <v>0</v>
      </c>
      <c r="K17">
        <f>'Calculations BTU'!S70</f>
        <v>0</v>
      </c>
      <c r="L17">
        <f>'Calculations BTU'!T70</f>
        <v>0</v>
      </c>
      <c r="M17">
        <f>'Calculations BTU'!U70</f>
        <v>0</v>
      </c>
      <c r="N17">
        <f>'Calculations BTU'!V70</f>
        <v>0</v>
      </c>
      <c r="O17">
        <f>'Calculations BTU'!W70</f>
        <v>0</v>
      </c>
      <c r="P17">
        <f>'Calculations BTU'!X70</f>
        <v>0</v>
      </c>
      <c r="Q17">
        <f>'Calculations BTU'!Y70</f>
        <v>0</v>
      </c>
      <c r="R17">
        <f>'Calculations BTU'!Z70</f>
        <v>0</v>
      </c>
      <c r="S17">
        <f>'Calculations BTU'!AA70</f>
        <v>0</v>
      </c>
      <c r="T17">
        <f>'Calculations BTU'!AB70</f>
        <v>0</v>
      </c>
      <c r="U17">
        <f>'Calculations BTU'!AC70</f>
        <v>0</v>
      </c>
      <c r="V17">
        <f>'Calculations BTU'!AD70</f>
        <v>0</v>
      </c>
      <c r="W17">
        <f>'Calculations BTU'!AE70</f>
        <v>0</v>
      </c>
      <c r="X17">
        <f>'Calculations BTU'!AF70</f>
        <v>0</v>
      </c>
      <c r="Y17">
        <f>'Calculations BTU'!AG70</f>
        <v>0</v>
      </c>
      <c r="Z17">
        <f>'Calculations BTU'!AH70</f>
        <v>0</v>
      </c>
      <c r="AA17">
        <f>'Calculations BTU'!AI70</f>
        <v>0</v>
      </c>
      <c r="AB17">
        <f>'Calculations BTU'!AJ70</f>
        <v>0</v>
      </c>
      <c r="AC17">
        <f>'Calculations BTU'!AK70</f>
        <v>0</v>
      </c>
      <c r="AD17">
        <f>'Calculations BTU'!AL70</f>
        <v>0</v>
      </c>
      <c r="AE17">
        <f>'Calculations BTU'!AM70</f>
        <v>0</v>
      </c>
      <c r="AF17">
        <f>'Calculations BTU'!AN70</f>
        <v>0</v>
      </c>
      <c r="AG17">
        <f>'Calculations BTU'!AO70</f>
        <v>0</v>
      </c>
      <c r="AH17">
        <f>'Calculations BTU'!AP70</f>
        <v>0</v>
      </c>
      <c r="AI17">
        <f>'Calculations BTU'!AQ70</f>
        <v>0</v>
      </c>
      <c r="AJ17">
        <f>'Calculations BTU'!AR70</f>
        <v>0</v>
      </c>
      <c r="AK17">
        <f>'Calculations BTU'!AS70</f>
        <v>0</v>
      </c>
      <c r="AL17">
        <f>'Calculations BTU'!AT70</f>
        <v>0</v>
      </c>
      <c r="AM17">
        <f>'Calculations BTU'!AU70</f>
        <v>0</v>
      </c>
      <c r="AN17">
        <f>'Calculations BTU'!AV70</f>
        <v>0</v>
      </c>
      <c r="AO17">
        <f>'Calculations BTU'!AW70</f>
        <v>0</v>
      </c>
      <c r="AP17">
        <f>'Calculations BTU'!AX70</f>
        <v>0</v>
      </c>
      <c r="AQ17">
        <f>'Calculations BTU'!AY70</f>
        <v>0</v>
      </c>
      <c r="AR17">
        <f>'Calculations BTU'!AZ70</f>
        <v>0</v>
      </c>
      <c r="AS17">
        <f>'Calculations BTU'!BA70</f>
        <v>0</v>
      </c>
      <c r="AT17">
        <f>'Calculations BTU'!BB70</f>
        <v>0</v>
      </c>
      <c r="AU17">
        <f>'Calculations BTU'!BC70</f>
        <v>0</v>
      </c>
      <c r="AV17">
        <f>'Calculations BTU'!BD70</f>
        <v>0</v>
      </c>
      <c r="AW17">
        <f>'Calculations BTU'!BE70</f>
        <v>0</v>
      </c>
      <c r="AX17">
        <f>'Calculations BTU'!BF70</f>
        <v>0</v>
      </c>
      <c r="AY17">
        <f>'Calculations BTU'!BG70</f>
        <v>0</v>
      </c>
      <c r="AZ17">
        <f>'Calculations BTU'!BH70</f>
        <v>0</v>
      </c>
    </row>
    <row r="18" spans="1:52">
      <c r="A18" t="s">
        <v>142</v>
      </c>
      <c r="B18">
        <f>'Calculations BTU'!J71</f>
        <v>28436014142.478733</v>
      </c>
      <c r="C18">
        <f>'Calculations BTU'!K71</f>
        <v>28436014142.478733</v>
      </c>
      <c r="D18">
        <f>'Calculations BTU'!L71</f>
        <v>28436014142.478733</v>
      </c>
      <c r="E18">
        <f>'Calculations BTU'!M71</f>
        <v>28436014142.478733</v>
      </c>
      <c r="F18">
        <f>'Calculations BTU'!N71</f>
        <v>28466054499.434906</v>
      </c>
      <c r="G18">
        <f>'Calculations BTU'!O71</f>
        <v>28495625475.813637</v>
      </c>
      <c r="H18">
        <f>'Calculations BTU'!P71</f>
        <v>28526135213.347244</v>
      </c>
      <c r="I18">
        <f>'Calculations BTU'!Q71</f>
        <v>28556175570.303413</v>
      </c>
      <c r="J18">
        <f>'Calculations BTU'!R71</f>
        <v>28585746546.682144</v>
      </c>
      <c r="K18">
        <f>'Calculations BTU'!S71</f>
        <v>28616256284.215759</v>
      </c>
      <c r="L18">
        <f>'Calculations BTU'!T71</f>
        <v>28645827260.594482</v>
      </c>
      <c r="M18">
        <f>'Calculations BTU'!U71</f>
        <v>28675398236.973209</v>
      </c>
      <c r="N18">
        <f>'Calculations BTU'!V71</f>
        <v>28706377355.084263</v>
      </c>
      <c r="O18">
        <f>'Calculations BTU'!W71</f>
        <v>28735948331.462994</v>
      </c>
      <c r="P18">
        <f>'Calculations BTU'!X71</f>
        <v>28654745491.565845</v>
      </c>
      <c r="Q18">
        <f>'Calculations BTU'!Y71</f>
        <v>28423340866.887852</v>
      </c>
      <c r="R18">
        <f>'Calculations BTU'!Z71</f>
        <v>28191466861.632427</v>
      </c>
      <c r="S18">
        <f>'Calculations BTU'!AA71</f>
        <v>27960531617.531879</v>
      </c>
      <c r="T18">
        <f>'Calculations BTU'!AB71</f>
        <v>27729126992.853889</v>
      </c>
      <c r="U18">
        <f>'Calculations BTU'!AC71</f>
        <v>27496783607.021023</v>
      </c>
      <c r="V18">
        <f>'Calculations BTU'!AD71</f>
        <v>27266317743.49791</v>
      </c>
      <c r="W18">
        <f>'Calculations BTU'!AE71</f>
        <v>27034913118.81992</v>
      </c>
      <c r="X18">
        <f>'Calculations BTU'!AF71</f>
        <v>26803039113.564484</v>
      </c>
      <c r="Y18">
        <f>'Calculations BTU'!AG71</f>
        <v>26571634488.886494</v>
      </c>
      <c r="Z18">
        <f>'Calculations BTU'!AH71</f>
        <v>26340699244.785938</v>
      </c>
      <c r="AA18">
        <f>'Calculations BTU'!AI71</f>
        <v>26108825239.530514</v>
      </c>
      <c r="AB18">
        <f>'Calculations BTU'!AJ71</f>
        <v>25877420614.85252</v>
      </c>
      <c r="AC18">
        <f>'Calculations BTU'!AK71</f>
        <v>25646015990.174534</v>
      </c>
      <c r="AD18">
        <f>'Calculations BTU'!AL71</f>
        <v>25415080746.073986</v>
      </c>
      <c r="AE18">
        <f>'Calculations BTU'!AM71</f>
        <v>25180859837.931355</v>
      </c>
      <c r="AF18">
        <f>'Calculations BTU'!AN71</f>
        <v>24947108310.366161</v>
      </c>
      <c r="AG18">
        <f>'Calculations BTU'!AO71</f>
        <v>24947108310.366161</v>
      </c>
      <c r="AH18">
        <f>'Calculations BTU'!AP71</f>
        <v>24947108310.366161</v>
      </c>
      <c r="AI18">
        <f>'Calculations BTU'!AQ71</f>
        <v>24947108310.366161</v>
      </c>
      <c r="AJ18">
        <f>'Calculations BTU'!AR71</f>
        <v>24947108310.366161</v>
      </c>
      <c r="AK18">
        <f>'Calculations BTU'!AS71</f>
        <v>24947108310.366161</v>
      </c>
      <c r="AL18">
        <f>'Calculations BTU'!AT71</f>
        <v>24947108310.366161</v>
      </c>
      <c r="AM18">
        <f>'Calculations BTU'!AU71</f>
        <v>24947108310.366161</v>
      </c>
      <c r="AN18">
        <f>'Calculations BTU'!AV71</f>
        <v>24947108310.366161</v>
      </c>
      <c r="AO18">
        <f>'Calculations BTU'!AW71</f>
        <v>24947108310.366161</v>
      </c>
      <c r="AP18">
        <f>'Calculations BTU'!AX71</f>
        <v>24947108310.366161</v>
      </c>
      <c r="AQ18">
        <f>'Calculations BTU'!AY71</f>
        <v>24947108310.366161</v>
      </c>
      <c r="AR18">
        <f>'Calculations BTU'!AZ71</f>
        <v>24947108310.366161</v>
      </c>
      <c r="AS18">
        <f>'Calculations BTU'!BA71</f>
        <v>24947108310.366161</v>
      </c>
      <c r="AT18">
        <f>'Calculations BTU'!BB71</f>
        <v>24947108310.366161</v>
      </c>
      <c r="AU18">
        <f>'Calculations BTU'!BC71</f>
        <v>24947108310.366161</v>
      </c>
      <c r="AV18">
        <f>'Calculations BTU'!BD71</f>
        <v>24947108310.366161</v>
      </c>
      <c r="AW18">
        <f>'Calculations BTU'!BE71</f>
        <v>24947108310.366161</v>
      </c>
      <c r="AX18">
        <f>'Calculations BTU'!BF71</f>
        <v>24947108310.366161</v>
      </c>
      <c r="AY18">
        <f>'Calculations BTU'!BG71</f>
        <v>24947108310.366161</v>
      </c>
      <c r="AZ18">
        <f>'Calculations BTU'!BH71</f>
        <v>24947108310.366161</v>
      </c>
    </row>
    <row r="19" spans="1:52">
      <c r="A19" t="s">
        <v>143</v>
      </c>
      <c r="B19">
        <f>'Calculations BTU'!J72</f>
        <v>37914685523.304985</v>
      </c>
      <c r="C19">
        <f>'Calculations BTU'!K72</f>
        <v>47393356904.131226</v>
      </c>
      <c r="D19">
        <f>'Calculations BTU'!L72</f>
        <v>47393356904.131226</v>
      </c>
      <c r="E19">
        <f>'Calculations BTU'!M72</f>
        <v>47393356904.131226</v>
      </c>
      <c r="F19">
        <f>'Calculations BTU'!N72</f>
        <v>47443424165.724846</v>
      </c>
      <c r="G19">
        <f>'Calculations BTU'!O72</f>
        <v>47492709126.356064</v>
      </c>
      <c r="H19">
        <f>'Calculations BTU'!P72</f>
        <v>47543558688.912079</v>
      </c>
      <c r="I19">
        <f>'Calculations BTU'!Q72</f>
        <v>47593625950.505692</v>
      </c>
      <c r="J19">
        <f>'Calculations BTU'!R72</f>
        <v>47642910911.136902</v>
      </c>
      <c r="K19">
        <f>'Calculations BTU'!S72</f>
        <v>47693760473.692932</v>
      </c>
      <c r="L19">
        <f>'Calculations BTU'!T72</f>
        <v>47743045434.324142</v>
      </c>
      <c r="M19">
        <f>'Calculations BTU'!U72</f>
        <v>47792330394.95536</v>
      </c>
      <c r="N19">
        <f>'Calculations BTU'!V72</f>
        <v>47843962258.473778</v>
      </c>
      <c r="O19">
        <f>'Calculations BTU'!W72</f>
        <v>47893247219.104996</v>
      </c>
      <c r="P19">
        <f>'Calculations BTU'!X72</f>
        <v>47757909152.609749</v>
      </c>
      <c r="Q19">
        <f>'Calculations BTU'!Y72</f>
        <v>47372234778.146423</v>
      </c>
      <c r="R19">
        <f>'Calculations BTU'!Z72</f>
        <v>46985778102.720711</v>
      </c>
      <c r="S19">
        <f>'Calculations BTU'!AA72</f>
        <v>46600886029.219795</v>
      </c>
      <c r="T19">
        <f>'Calculations BTU'!AB72</f>
        <v>46215211654.756477</v>
      </c>
      <c r="U19">
        <f>'Calculations BTU'!AC72</f>
        <v>45827972678.368362</v>
      </c>
      <c r="V19">
        <f>'Calculations BTU'!AD72</f>
        <v>45443862905.829842</v>
      </c>
      <c r="W19">
        <f>'Calculations BTU'!AE72</f>
        <v>45058188531.366524</v>
      </c>
      <c r="X19">
        <f>'Calculations BTU'!AF72</f>
        <v>44671731855.940796</v>
      </c>
      <c r="Y19">
        <f>'Calculations BTU'!AG72</f>
        <v>44286057481.477486</v>
      </c>
      <c r="Z19">
        <f>'Calculations BTU'!AH72</f>
        <v>43901165407.976563</v>
      </c>
      <c r="AA19">
        <f>'Calculations BTU'!AI72</f>
        <v>43514708732.55085</v>
      </c>
      <c r="AB19">
        <f>'Calculations BTU'!AJ72</f>
        <v>43129034358.087524</v>
      </c>
      <c r="AC19">
        <f>'Calculations BTU'!AK72</f>
        <v>42743359983.624207</v>
      </c>
      <c r="AD19">
        <f>'Calculations BTU'!AL72</f>
        <v>42358467910.123291</v>
      </c>
      <c r="AE19">
        <f>'Calculations BTU'!AM72</f>
        <v>41968099729.885574</v>
      </c>
      <c r="AF19">
        <f>'Calculations BTU'!AN72</f>
        <v>41578513850.61026</v>
      </c>
      <c r="AG19">
        <f>'Calculations BTU'!AO72</f>
        <v>41578513850.61026</v>
      </c>
      <c r="AH19">
        <f>'Calculations BTU'!AP72</f>
        <v>41578513850.61026</v>
      </c>
      <c r="AI19">
        <f>'Calculations BTU'!AQ72</f>
        <v>41578513850.61026</v>
      </c>
      <c r="AJ19">
        <f>'Calculations BTU'!AR72</f>
        <v>41578513850.61026</v>
      </c>
      <c r="AK19">
        <f>'Calculations BTU'!AS72</f>
        <v>41578513850.61026</v>
      </c>
      <c r="AL19">
        <f>'Calculations BTU'!AT72</f>
        <v>41578513850.61026</v>
      </c>
      <c r="AM19">
        <f>'Calculations BTU'!AU72</f>
        <v>41578513850.61026</v>
      </c>
      <c r="AN19">
        <f>'Calculations BTU'!AV72</f>
        <v>41578513850.61026</v>
      </c>
      <c r="AO19">
        <f>'Calculations BTU'!AW72</f>
        <v>41578513850.61026</v>
      </c>
      <c r="AP19">
        <f>'Calculations BTU'!AX72</f>
        <v>41578513850.61026</v>
      </c>
      <c r="AQ19">
        <f>'Calculations BTU'!AY72</f>
        <v>41578513850.61026</v>
      </c>
      <c r="AR19">
        <f>'Calculations BTU'!AZ72</f>
        <v>41578513850.61026</v>
      </c>
      <c r="AS19">
        <f>'Calculations BTU'!BA72</f>
        <v>41578513850.61026</v>
      </c>
      <c r="AT19">
        <f>'Calculations BTU'!BB72</f>
        <v>41578513850.61026</v>
      </c>
      <c r="AU19">
        <f>'Calculations BTU'!BC72</f>
        <v>41578513850.61026</v>
      </c>
      <c r="AV19">
        <f>'Calculations BTU'!BD72</f>
        <v>41578513850.61026</v>
      </c>
      <c r="AW19">
        <f>'Calculations BTU'!BE72</f>
        <v>41578513850.61026</v>
      </c>
      <c r="AX19">
        <f>'Calculations BTU'!BF72</f>
        <v>41578513850.61026</v>
      </c>
      <c r="AY19">
        <f>'Calculations BTU'!BG72</f>
        <v>41578513850.61026</v>
      </c>
      <c r="AZ19">
        <f>'Calculations BTU'!BH72</f>
        <v>41578513850.61026</v>
      </c>
    </row>
    <row r="20" spans="1:52">
      <c r="A20" t="s">
        <v>144</v>
      </c>
      <c r="B20">
        <f>'Calculations BTU'!J73</f>
        <v>0</v>
      </c>
      <c r="C20">
        <f>'Calculations BTU'!K73</f>
        <v>0</v>
      </c>
      <c r="D20">
        <f>'Calculations BTU'!L73</f>
        <v>0</v>
      </c>
      <c r="E20">
        <f>'Calculations BTU'!M73</f>
        <v>0</v>
      </c>
      <c r="F20">
        <f>'Calculations BTU'!N73</f>
        <v>0</v>
      </c>
      <c r="G20">
        <f>'Calculations BTU'!O73</f>
        <v>0</v>
      </c>
      <c r="H20">
        <f>'Calculations BTU'!P73</f>
        <v>0</v>
      </c>
      <c r="I20">
        <f>'Calculations BTU'!Q73</f>
        <v>0</v>
      </c>
      <c r="J20">
        <f>'Calculations BTU'!R73</f>
        <v>0</v>
      </c>
      <c r="K20">
        <f>'Calculations BTU'!S73</f>
        <v>0</v>
      </c>
      <c r="L20">
        <f>'Calculations BTU'!T73</f>
        <v>0</v>
      </c>
      <c r="M20">
        <f>'Calculations BTU'!U73</f>
        <v>0</v>
      </c>
      <c r="N20">
        <f>'Calculations BTU'!V73</f>
        <v>0</v>
      </c>
      <c r="O20">
        <f>'Calculations BTU'!W73</f>
        <v>0</v>
      </c>
      <c r="P20">
        <f>'Calculations BTU'!X73</f>
        <v>0</v>
      </c>
      <c r="Q20">
        <f>'Calculations BTU'!Y73</f>
        <v>0</v>
      </c>
      <c r="R20">
        <f>'Calculations BTU'!Z73</f>
        <v>0</v>
      </c>
      <c r="S20">
        <f>'Calculations BTU'!AA73</f>
        <v>0</v>
      </c>
      <c r="T20">
        <f>'Calculations BTU'!AB73</f>
        <v>0</v>
      </c>
      <c r="U20">
        <f>'Calculations BTU'!AC73</f>
        <v>0</v>
      </c>
      <c r="V20">
        <f>'Calculations BTU'!AD73</f>
        <v>0</v>
      </c>
      <c r="W20">
        <f>'Calculations BTU'!AE73</f>
        <v>0</v>
      </c>
      <c r="X20">
        <f>'Calculations BTU'!AF73</f>
        <v>0</v>
      </c>
      <c r="Y20">
        <f>'Calculations BTU'!AG73</f>
        <v>0</v>
      </c>
      <c r="Z20">
        <f>'Calculations BTU'!AH73</f>
        <v>0</v>
      </c>
      <c r="AA20">
        <f>'Calculations BTU'!AI73</f>
        <v>0</v>
      </c>
      <c r="AB20">
        <f>'Calculations BTU'!AJ73</f>
        <v>0</v>
      </c>
      <c r="AC20">
        <f>'Calculations BTU'!AK73</f>
        <v>0</v>
      </c>
      <c r="AD20">
        <f>'Calculations BTU'!AL73</f>
        <v>0</v>
      </c>
      <c r="AE20">
        <f>'Calculations BTU'!AM73</f>
        <v>0</v>
      </c>
      <c r="AF20">
        <f>'Calculations BTU'!AN73</f>
        <v>0</v>
      </c>
      <c r="AG20">
        <f>'Calculations BTU'!AO73</f>
        <v>0</v>
      </c>
      <c r="AH20">
        <f>'Calculations BTU'!AP73</f>
        <v>0</v>
      </c>
      <c r="AI20">
        <f>'Calculations BTU'!AQ73</f>
        <v>0</v>
      </c>
      <c r="AJ20">
        <f>'Calculations BTU'!AR73</f>
        <v>0</v>
      </c>
      <c r="AK20">
        <f>'Calculations BTU'!AS73</f>
        <v>0</v>
      </c>
      <c r="AL20">
        <f>'Calculations BTU'!AT73</f>
        <v>0</v>
      </c>
      <c r="AM20">
        <f>'Calculations BTU'!AU73</f>
        <v>0</v>
      </c>
      <c r="AN20">
        <f>'Calculations BTU'!AV73</f>
        <v>0</v>
      </c>
      <c r="AO20">
        <f>'Calculations BTU'!AW73</f>
        <v>0</v>
      </c>
      <c r="AP20">
        <f>'Calculations BTU'!AX73</f>
        <v>0</v>
      </c>
      <c r="AQ20">
        <f>'Calculations BTU'!AY73</f>
        <v>0</v>
      </c>
      <c r="AR20">
        <f>'Calculations BTU'!AZ73</f>
        <v>0</v>
      </c>
      <c r="AS20">
        <f>'Calculations BTU'!BA73</f>
        <v>0</v>
      </c>
      <c r="AT20">
        <f>'Calculations BTU'!BB73</f>
        <v>0</v>
      </c>
      <c r="AU20">
        <f>'Calculations BTU'!BC73</f>
        <v>0</v>
      </c>
      <c r="AV20">
        <f>'Calculations BTU'!BD73</f>
        <v>0</v>
      </c>
      <c r="AW20">
        <f>'Calculations BTU'!BE73</f>
        <v>0</v>
      </c>
      <c r="AX20">
        <f>'Calculations BTU'!BF73</f>
        <v>0</v>
      </c>
      <c r="AY20">
        <f>'Calculations BTU'!BG73</f>
        <v>0</v>
      </c>
      <c r="AZ20">
        <f>'Calculations BTU'!BH73</f>
        <v>0</v>
      </c>
    </row>
    <row r="21" spans="1:52">
      <c r="A21" t="s">
        <v>145</v>
      </c>
      <c r="B21">
        <f>'Calculations BTU'!J74</f>
        <v>5943126955778.0557</v>
      </c>
      <c r="C21">
        <f>'Calculations BTU'!K74</f>
        <v>9165875225258.9785</v>
      </c>
      <c r="D21">
        <f>'Calculations BTU'!L74</f>
        <v>9431278023922.1133</v>
      </c>
      <c r="E21">
        <f>'Calculations BTU'!M74</f>
        <v>9819903550535.9902</v>
      </c>
      <c r="F21">
        <f>'Calculations BTU'!N74</f>
        <v>10218007748530.691</v>
      </c>
      <c r="G21">
        <f>'Calculations BTU'!O74</f>
        <v>10606633275144.568</v>
      </c>
      <c r="H21">
        <f>'Calculations BTU'!P74</f>
        <v>10995258801758.443</v>
      </c>
      <c r="I21">
        <f>'Calculations BTU'!Q74</f>
        <v>11393362999753.146</v>
      </c>
      <c r="J21">
        <f>'Calculations BTU'!R74</f>
        <v>11781988526367.021</v>
      </c>
      <c r="K21">
        <f>'Calculations BTU'!S74</f>
        <v>12170614052980.898</v>
      </c>
      <c r="L21">
        <f>'Calculations BTU'!T74</f>
        <v>12568718250975.602</v>
      </c>
      <c r="M21">
        <f>'Calculations BTU'!U74</f>
        <v>12957343777589.477</v>
      </c>
      <c r="N21">
        <f>'Calculations BTU'!V74</f>
        <v>13355447975584.18</v>
      </c>
      <c r="O21">
        <f>'Calculations BTU'!W74</f>
        <v>13744073502198.055</v>
      </c>
      <c r="P21">
        <f>'Calculations BTU'!X74</f>
        <v>14132699028811.932</v>
      </c>
      <c r="Q21">
        <f>'Calculations BTU'!Y74</f>
        <v>14530803226806.635</v>
      </c>
      <c r="R21">
        <f>'Calculations BTU'!Z74</f>
        <v>14919428753420.51</v>
      </c>
      <c r="S21">
        <f>'Calculations BTU'!AA74</f>
        <v>15317532951415.213</v>
      </c>
      <c r="T21">
        <f>'Calculations BTU'!AB74</f>
        <v>15706158478029.088</v>
      </c>
      <c r="U21">
        <f>'Calculations BTU'!AC74</f>
        <v>16094784004642.965</v>
      </c>
      <c r="V21">
        <f>'Calculations BTU'!AD74</f>
        <v>16492888202637.666</v>
      </c>
      <c r="W21">
        <f>'Calculations BTU'!AE74</f>
        <v>16881513729251.541</v>
      </c>
      <c r="X21">
        <f>'Calculations BTU'!AF74</f>
        <v>17279617927246.246</v>
      </c>
      <c r="Y21">
        <f>'Calculations BTU'!AG74</f>
        <v>17668243453860.121</v>
      </c>
      <c r="Z21">
        <f>'Calculations BTU'!AH74</f>
        <v>18056868980473.996</v>
      </c>
      <c r="AA21">
        <f>'Calculations BTU'!AI74</f>
        <v>18454973178468.699</v>
      </c>
      <c r="AB21">
        <f>'Calculations BTU'!AJ74</f>
        <v>18843598705082.574</v>
      </c>
      <c r="AC21">
        <f>'Calculations BTU'!AK74</f>
        <v>19241702903077.277</v>
      </c>
      <c r="AD21">
        <f>'Calculations BTU'!AL74</f>
        <v>19630328429691.156</v>
      </c>
      <c r="AE21">
        <f>'Calculations BTU'!AM74</f>
        <v>20018953956305.031</v>
      </c>
      <c r="AF21">
        <f>'Calculations BTU'!AN74</f>
        <v>20417058154299.73</v>
      </c>
      <c r="AG21">
        <f>'Calculations BTU'!AO74</f>
        <v>20417058154299.73</v>
      </c>
      <c r="AH21">
        <f>'Calculations BTU'!AP74</f>
        <v>20417058154299.73</v>
      </c>
      <c r="AI21">
        <f>'Calculations BTU'!AQ74</f>
        <v>20417058154299.73</v>
      </c>
      <c r="AJ21">
        <f>'Calculations BTU'!AR74</f>
        <v>20417058154299.73</v>
      </c>
      <c r="AK21">
        <f>'Calculations BTU'!AS74</f>
        <v>20417058154299.73</v>
      </c>
      <c r="AL21">
        <f>'Calculations BTU'!AT74</f>
        <v>20417058154299.73</v>
      </c>
      <c r="AM21">
        <f>'Calculations BTU'!AU74</f>
        <v>20417058154299.73</v>
      </c>
      <c r="AN21">
        <f>'Calculations BTU'!AV74</f>
        <v>20417058154299.73</v>
      </c>
      <c r="AO21">
        <f>'Calculations BTU'!AW74</f>
        <v>20417058154299.73</v>
      </c>
      <c r="AP21">
        <f>'Calculations BTU'!AX74</f>
        <v>20417058154299.73</v>
      </c>
      <c r="AQ21">
        <f>'Calculations BTU'!AY74</f>
        <v>20417058154299.73</v>
      </c>
      <c r="AR21">
        <f>'Calculations BTU'!AZ74</f>
        <v>20417058154299.73</v>
      </c>
      <c r="AS21">
        <f>'Calculations BTU'!BA74</f>
        <v>20417058154299.73</v>
      </c>
      <c r="AT21">
        <f>'Calculations BTU'!BB74</f>
        <v>20417058154299.73</v>
      </c>
      <c r="AU21">
        <f>'Calculations BTU'!BC74</f>
        <v>20417058154299.73</v>
      </c>
      <c r="AV21">
        <f>'Calculations BTU'!BD74</f>
        <v>20417058154299.73</v>
      </c>
      <c r="AW21">
        <f>'Calculations BTU'!BE74</f>
        <v>20417058154299.73</v>
      </c>
      <c r="AX21">
        <f>'Calculations BTU'!BF74</f>
        <v>20417058154299.73</v>
      </c>
      <c r="AY21">
        <f>'Calculations BTU'!BG74</f>
        <v>20417058154299.73</v>
      </c>
      <c r="AZ21">
        <f>'Calculations BTU'!BH74</f>
        <v>20417058154299.73</v>
      </c>
    </row>
    <row r="22" spans="1:52">
      <c r="A22" t="s">
        <v>146</v>
      </c>
      <c r="B22">
        <f>'Calculations BTU'!J75</f>
        <v>0</v>
      </c>
      <c r="C22">
        <f>'Calculations BTU'!K75</f>
        <v>0</v>
      </c>
      <c r="D22">
        <f>'Calculations BTU'!L75</f>
        <v>0</v>
      </c>
      <c r="E22">
        <f>'Calculations BTU'!M75</f>
        <v>0</v>
      </c>
      <c r="F22">
        <f>'Calculations BTU'!N75</f>
        <v>0</v>
      </c>
      <c r="G22">
        <f>'Calculations BTU'!O75</f>
        <v>0</v>
      </c>
      <c r="H22">
        <f>'Calculations BTU'!P75</f>
        <v>0</v>
      </c>
      <c r="I22">
        <f>'Calculations BTU'!Q75</f>
        <v>0</v>
      </c>
      <c r="J22">
        <f>'Calculations BTU'!R75</f>
        <v>0</v>
      </c>
      <c r="K22">
        <f>'Calculations BTU'!S75</f>
        <v>0</v>
      </c>
      <c r="L22">
        <f>'Calculations BTU'!T75</f>
        <v>0</v>
      </c>
      <c r="M22">
        <f>'Calculations BTU'!U75</f>
        <v>0</v>
      </c>
      <c r="N22">
        <f>'Calculations BTU'!V75</f>
        <v>0</v>
      </c>
      <c r="O22">
        <f>'Calculations BTU'!W75</f>
        <v>0</v>
      </c>
      <c r="P22">
        <f>'Calculations BTU'!X75</f>
        <v>0</v>
      </c>
      <c r="Q22">
        <f>'Calculations BTU'!Y75</f>
        <v>0</v>
      </c>
      <c r="R22">
        <f>'Calculations BTU'!Z75</f>
        <v>0</v>
      </c>
      <c r="S22">
        <f>'Calculations BTU'!AA75</f>
        <v>0</v>
      </c>
      <c r="T22">
        <f>'Calculations BTU'!AB75</f>
        <v>0</v>
      </c>
      <c r="U22">
        <f>'Calculations BTU'!AC75</f>
        <v>0</v>
      </c>
      <c r="V22">
        <f>'Calculations BTU'!AD75</f>
        <v>0</v>
      </c>
      <c r="W22">
        <f>'Calculations BTU'!AE75</f>
        <v>0</v>
      </c>
      <c r="X22">
        <f>'Calculations BTU'!AF75</f>
        <v>0</v>
      </c>
      <c r="Y22">
        <f>'Calculations BTU'!AG75</f>
        <v>0</v>
      </c>
      <c r="Z22">
        <f>'Calculations BTU'!AH75</f>
        <v>0</v>
      </c>
      <c r="AA22">
        <f>'Calculations BTU'!AI75</f>
        <v>0</v>
      </c>
      <c r="AB22">
        <f>'Calculations BTU'!AJ75</f>
        <v>0</v>
      </c>
      <c r="AC22">
        <f>'Calculations BTU'!AK75</f>
        <v>0</v>
      </c>
      <c r="AD22">
        <f>'Calculations BTU'!AL75</f>
        <v>0</v>
      </c>
      <c r="AE22">
        <f>'Calculations BTU'!AM75</f>
        <v>0</v>
      </c>
      <c r="AF22">
        <f>'Calculations BTU'!AN75</f>
        <v>0</v>
      </c>
      <c r="AG22">
        <f>'Calculations BTU'!AO75</f>
        <v>0</v>
      </c>
      <c r="AH22">
        <f>'Calculations BTU'!AP75</f>
        <v>0</v>
      </c>
      <c r="AI22">
        <f>'Calculations BTU'!AQ75</f>
        <v>0</v>
      </c>
      <c r="AJ22">
        <f>'Calculations BTU'!AR75</f>
        <v>0</v>
      </c>
      <c r="AK22">
        <f>'Calculations BTU'!AS75</f>
        <v>0</v>
      </c>
      <c r="AL22">
        <f>'Calculations BTU'!AT75</f>
        <v>0</v>
      </c>
      <c r="AM22">
        <f>'Calculations BTU'!AU75</f>
        <v>0</v>
      </c>
      <c r="AN22">
        <f>'Calculations BTU'!AV75</f>
        <v>0</v>
      </c>
      <c r="AO22">
        <f>'Calculations BTU'!AW75</f>
        <v>0</v>
      </c>
      <c r="AP22">
        <f>'Calculations BTU'!AX75</f>
        <v>0</v>
      </c>
      <c r="AQ22">
        <f>'Calculations BTU'!AY75</f>
        <v>0</v>
      </c>
      <c r="AR22">
        <f>'Calculations BTU'!AZ75</f>
        <v>0</v>
      </c>
      <c r="AS22">
        <f>'Calculations BTU'!BA75</f>
        <v>0</v>
      </c>
      <c r="AT22">
        <f>'Calculations BTU'!BB75</f>
        <v>0</v>
      </c>
      <c r="AU22">
        <f>'Calculations BTU'!BC75</f>
        <v>0</v>
      </c>
      <c r="AV22">
        <f>'Calculations BTU'!BD75</f>
        <v>0</v>
      </c>
      <c r="AW22">
        <f>'Calculations BTU'!BE75</f>
        <v>0</v>
      </c>
      <c r="AX22">
        <f>'Calculations BTU'!BF75</f>
        <v>0</v>
      </c>
      <c r="AY22">
        <f>'Calculations BTU'!BG75</f>
        <v>0</v>
      </c>
      <c r="AZ22">
        <f>'Calculations BTU'!BH75</f>
        <v>0</v>
      </c>
    </row>
    <row r="23" spans="1:52">
      <c r="A23" t="s">
        <v>147</v>
      </c>
      <c r="B23">
        <f>'Calculations BTU'!J76</f>
        <v>25165872516093.68</v>
      </c>
      <c r="C23">
        <f>'Calculations BTU'!K76</f>
        <v>40123215955037.5</v>
      </c>
      <c r="D23">
        <f>'Calculations BTU'!L76</f>
        <v>40853073651361.117</v>
      </c>
      <c r="E23">
        <f>'Calculations BTU'!M76</f>
        <v>41601888690446.398</v>
      </c>
      <c r="F23">
        <f>'Calculations BTU'!N76</f>
        <v>42058272745537.977</v>
      </c>
      <c r="G23">
        <f>'Calculations BTU'!O76</f>
        <v>42514782907544.711</v>
      </c>
      <c r="H23">
        <f>'Calculations BTU'!P76</f>
        <v>42961562184340.352</v>
      </c>
      <c r="I23">
        <f>'Calculations BTU'!Q76</f>
        <v>43417946239431.953</v>
      </c>
      <c r="J23">
        <f>'Calculations BTU'!R76</f>
        <v>43874456401438.68</v>
      </c>
      <c r="K23">
        <f>'Calculations BTU'!S76</f>
        <v>44330714349615.133</v>
      </c>
      <c r="L23">
        <f>'Calculations BTU'!T76</f>
        <v>44777745840241.047</v>
      </c>
      <c r="M23">
        <f>'Calculations BTU'!U76</f>
        <v>45234256002247.773</v>
      </c>
      <c r="N23">
        <f>'Calculations BTU'!V76</f>
        <v>45690387843509.102</v>
      </c>
      <c r="O23">
        <f>'Calculations BTU'!W76</f>
        <v>46137419334135</v>
      </c>
      <c r="P23">
        <f>'Calculations BTU'!X76</f>
        <v>46367766600832.219</v>
      </c>
      <c r="Q23">
        <f>'Calculations BTU'!Y76</f>
        <v>46297235910664.125</v>
      </c>
      <c r="R23">
        <f>'Calculations BTU'!Z76</f>
        <v>46217352656030.375</v>
      </c>
      <c r="S23">
        <f>'Calculations BTU'!AA76</f>
        <v>46146695858947.141</v>
      </c>
      <c r="T23">
        <f>'Calculations BTU'!AB76</f>
        <v>46076165168779.063</v>
      </c>
      <c r="U23">
        <f>'Calculations BTU'!AC76</f>
        <v>45996408021060.438</v>
      </c>
      <c r="V23">
        <f>'Calculations BTU'!AD76</f>
        <v>45925625117062.078</v>
      </c>
      <c r="W23">
        <f>'Calculations BTU'!AE76</f>
        <v>45855094426894</v>
      </c>
      <c r="X23">
        <f>'Calculations BTU'!AF76</f>
        <v>45775211172260.234</v>
      </c>
      <c r="Y23">
        <f>'Calculations BTU'!AG76</f>
        <v>45704680482092.156</v>
      </c>
      <c r="Z23">
        <f>'Calculations BTU'!AH76</f>
        <v>45634023685008.93</v>
      </c>
      <c r="AA23">
        <f>'Calculations BTU'!AI76</f>
        <v>45554140430375.164</v>
      </c>
      <c r="AB23">
        <f>'Calculations BTU'!AJ76</f>
        <v>45483609740207.078</v>
      </c>
      <c r="AC23">
        <f>'Calculations BTU'!AK76</f>
        <v>45413079050039</v>
      </c>
      <c r="AD23">
        <f>'Calculations BTU'!AL76</f>
        <v>45332943581574.961</v>
      </c>
      <c r="AE23">
        <f>'Calculations BTU'!AM76</f>
        <v>45263169532897.703</v>
      </c>
      <c r="AF23">
        <f>'Calculations BTU'!AN76</f>
        <v>45183790705924.492</v>
      </c>
      <c r="AG23">
        <f>'Calculations BTU'!AO76</f>
        <v>45183790705924.492</v>
      </c>
      <c r="AH23">
        <f>'Calculations BTU'!AP76</f>
        <v>45183790705924.492</v>
      </c>
      <c r="AI23">
        <f>'Calculations BTU'!AQ76</f>
        <v>45183790705924.492</v>
      </c>
      <c r="AJ23">
        <f>'Calculations BTU'!AR76</f>
        <v>45183790705924.492</v>
      </c>
      <c r="AK23">
        <f>'Calculations BTU'!AS76</f>
        <v>45183790705924.492</v>
      </c>
      <c r="AL23">
        <f>'Calculations BTU'!AT76</f>
        <v>45183790705924.492</v>
      </c>
      <c r="AM23">
        <f>'Calculations BTU'!AU76</f>
        <v>45183790705924.492</v>
      </c>
      <c r="AN23">
        <f>'Calculations BTU'!AV76</f>
        <v>45183790705924.492</v>
      </c>
      <c r="AO23">
        <f>'Calculations BTU'!AW76</f>
        <v>45183790705924.492</v>
      </c>
      <c r="AP23">
        <f>'Calculations BTU'!AX76</f>
        <v>45183790705924.492</v>
      </c>
      <c r="AQ23">
        <f>'Calculations BTU'!AY76</f>
        <v>45183790705924.492</v>
      </c>
      <c r="AR23">
        <f>'Calculations BTU'!AZ76</f>
        <v>45183790705924.492</v>
      </c>
      <c r="AS23">
        <f>'Calculations BTU'!BA76</f>
        <v>45183790705924.492</v>
      </c>
      <c r="AT23">
        <f>'Calculations BTU'!BB76</f>
        <v>45183790705924.492</v>
      </c>
      <c r="AU23">
        <f>'Calculations BTU'!BC76</f>
        <v>45183790705924.492</v>
      </c>
      <c r="AV23">
        <f>'Calculations BTU'!BD76</f>
        <v>45183790705924.492</v>
      </c>
      <c r="AW23">
        <f>'Calculations BTU'!BE76</f>
        <v>45183790705924.492</v>
      </c>
      <c r="AX23">
        <f>'Calculations BTU'!BF76</f>
        <v>45183790705924.492</v>
      </c>
      <c r="AY23">
        <f>'Calculations BTU'!BG76</f>
        <v>45183790705924.492</v>
      </c>
      <c r="AZ23">
        <f>'Calculations BTU'!BH76</f>
        <v>45183790705924.492</v>
      </c>
    </row>
    <row r="24" spans="1:52">
      <c r="A24" t="s">
        <v>148</v>
      </c>
      <c r="B24">
        <f>'Calculations BTU'!J77</f>
        <v>510483325885778.19</v>
      </c>
      <c r="C24">
        <f>'Calculations BTU'!K77</f>
        <v>646843492370344.63</v>
      </c>
      <c r="D24">
        <f>'Calculations BTU'!L77</f>
        <v>617706056545684.75</v>
      </c>
      <c r="E24">
        <f>'Calculations BTU'!M77</f>
        <v>642028327308884.88</v>
      </c>
      <c r="F24">
        <f>'Calculations BTU'!N77</f>
        <v>664227375682780</v>
      </c>
      <c r="G24">
        <f>'Calculations BTU'!O77</f>
        <v>684274765653227.5</v>
      </c>
      <c r="H24">
        <f>'Calculations BTU'!P77</f>
        <v>698284241954088.75</v>
      </c>
      <c r="I24">
        <f>'Calculations BTU'!Q77</f>
        <v>709355330126893.75</v>
      </c>
      <c r="J24">
        <f>'Calculations BTU'!R77</f>
        <v>717706039613401.75</v>
      </c>
      <c r="K24">
        <f>'Calculations BTU'!S77</f>
        <v>723895612025081.25</v>
      </c>
      <c r="L24">
        <f>'Calculations BTU'!T77</f>
        <v>728587554358590.25</v>
      </c>
      <c r="M24">
        <f>'Calculations BTU'!U77</f>
        <v>732445373610586.5</v>
      </c>
      <c r="N24">
        <f>'Calculations BTU'!V77</f>
        <v>736151534120489.63</v>
      </c>
      <c r="O24">
        <f>'Calculations BTU'!W77</f>
        <v>739573334488967.75</v>
      </c>
      <c r="P24">
        <f>'Calculations BTU'!X77</f>
        <v>742701296044640.38</v>
      </c>
      <c r="Q24">
        <f>'Calculations BTU'!Y77</f>
        <v>745525940116126.63</v>
      </c>
      <c r="R24">
        <f>'Calculations BTU'!Z77</f>
        <v>748028309360664.88</v>
      </c>
      <c r="S24">
        <f>'Calculations BTU'!AA77</f>
        <v>750161010421350.75</v>
      </c>
      <c r="T24">
        <f>'Calculations BTU'!AB77</f>
        <v>751952479312326.75</v>
      </c>
      <c r="U24">
        <f>'Calculations BTU'!AC77</f>
        <v>753383758690831.5</v>
      </c>
      <c r="V24">
        <f>'Calculations BTU'!AD77</f>
        <v>754369540514437.5</v>
      </c>
      <c r="W24">
        <f>'Calculations BTU'!AE77</f>
        <v>754805559397955.5</v>
      </c>
      <c r="X24">
        <f>'Calculations BTU'!AF77</f>
        <v>754710772684147.38</v>
      </c>
      <c r="Y24">
        <f>'Calculations BTU'!AG77</f>
        <v>754075701701631.88</v>
      </c>
      <c r="Z24">
        <f>'Calculations BTU'!AH77</f>
        <v>752890867779028.63</v>
      </c>
      <c r="AA24">
        <f>'Calculations BTU'!AI77</f>
        <v>751165749587718.25</v>
      </c>
      <c r="AB24">
        <f>'Calculations BTU'!AJ77</f>
        <v>750379019863109.63</v>
      </c>
      <c r="AC24">
        <f>'Calculations BTU'!AK77</f>
        <v>747421674392291.88</v>
      </c>
      <c r="AD24">
        <f>'Calculations BTU'!AL77</f>
        <v>743639684511342.25</v>
      </c>
      <c r="AE24">
        <f>'Calculations BTU'!AM77</f>
        <v>739014092877499</v>
      </c>
      <c r="AF24">
        <f>'Calculations BTU'!AN77</f>
        <v>735260539010691.88</v>
      </c>
      <c r="AG24">
        <f>'Calculations BTU'!AO77</f>
        <v>735260539010691.88</v>
      </c>
      <c r="AH24">
        <f>'Calculations BTU'!AP77</f>
        <v>735260539010691.88</v>
      </c>
      <c r="AI24">
        <f>'Calculations BTU'!AQ77</f>
        <v>735260539010691.88</v>
      </c>
      <c r="AJ24">
        <f>'Calculations BTU'!AR77</f>
        <v>735260539010691.88</v>
      </c>
      <c r="AK24">
        <f>'Calculations BTU'!AS77</f>
        <v>735260539010691.88</v>
      </c>
      <c r="AL24">
        <f>'Calculations BTU'!AT77</f>
        <v>735260539010691.88</v>
      </c>
      <c r="AM24">
        <f>'Calculations BTU'!AU77</f>
        <v>735260539010691.88</v>
      </c>
      <c r="AN24">
        <f>'Calculations BTU'!AV77</f>
        <v>735260539010691.88</v>
      </c>
      <c r="AO24">
        <f>'Calculations BTU'!AW77</f>
        <v>735260539010691.88</v>
      </c>
      <c r="AP24">
        <f>'Calculations BTU'!AX77</f>
        <v>735260539010691.88</v>
      </c>
      <c r="AQ24">
        <f>'Calculations BTU'!AY77</f>
        <v>735260539010691.88</v>
      </c>
      <c r="AR24">
        <f>'Calculations BTU'!AZ77</f>
        <v>735260539010691.88</v>
      </c>
      <c r="AS24">
        <f>'Calculations BTU'!BA77</f>
        <v>735260539010691.88</v>
      </c>
      <c r="AT24">
        <f>'Calculations BTU'!BB77</f>
        <v>735260539010691.88</v>
      </c>
      <c r="AU24">
        <f>'Calculations BTU'!BC77</f>
        <v>735260539010691.88</v>
      </c>
      <c r="AV24">
        <f>'Calculations BTU'!BD77</f>
        <v>735260539010691.88</v>
      </c>
      <c r="AW24">
        <f>'Calculations BTU'!BE77</f>
        <v>735260539010691.88</v>
      </c>
      <c r="AX24">
        <f>'Calculations BTU'!BF77</f>
        <v>735260539010691.88</v>
      </c>
      <c r="AY24">
        <f>'Calculations BTU'!BG77</f>
        <v>735260539010691.88</v>
      </c>
      <c r="AZ24">
        <f>'Calculations BTU'!BH77</f>
        <v>735260539010691.88</v>
      </c>
    </row>
    <row r="25" spans="1:52">
      <c r="A25" t="s">
        <v>149</v>
      </c>
      <c r="B25">
        <f>'Calculations BTU'!J78</f>
        <v>0</v>
      </c>
      <c r="C25">
        <f>'Calculations BTU'!K78</f>
        <v>0</v>
      </c>
      <c r="D25">
        <f>'Calculations BTU'!L78</f>
        <v>0</v>
      </c>
      <c r="E25">
        <f>'Calculations BTU'!M78</f>
        <v>0</v>
      </c>
      <c r="F25">
        <f>'Calculations BTU'!N78</f>
        <v>0</v>
      </c>
      <c r="G25">
        <f>'Calculations BTU'!O78</f>
        <v>0</v>
      </c>
      <c r="H25">
        <f>'Calculations BTU'!P78</f>
        <v>0</v>
      </c>
      <c r="I25">
        <f>'Calculations BTU'!Q78</f>
        <v>0</v>
      </c>
      <c r="J25">
        <f>'Calculations BTU'!R78</f>
        <v>0</v>
      </c>
      <c r="K25">
        <f>'Calculations BTU'!S78</f>
        <v>0</v>
      </c>
      <c r="L25">
        <f>'Calculations BTU'!T78</f>
        <v>0</v>
      </c>
      <c r="M25">
        <f>'Calculations BTU'!U78</f>
        <v>0</v>
      </c>
      <c r="N25">
        <f>'Calculations BTU'!V78</f>
        <v>0</v>
      </c>
      <c r="O25">
        <f>'Calculations BTU'!W78</f>
        <v>0</v>
      </c>
      <c r="P25">
        <f>'Calculations BTU'!X78</f>
        <v>0</v>
      </c>
      <c r="Q25">
        <f>'Calculations BTU'!Y78</f>
        <v>0</v>
      </c>
      <c r="R25">
        <f>'Calculations BTU'!Z78</f>
        <v>0</v>
      </c>
      <c r="S25">
        <f>'Calculations BTU'!AA78</f>
        <v>0</v>
      </c>
      <c r="T25">
        <f>'Calculations BTU'!AB78</f>
        <v>0</v>
      </c>
      <c r="U25">
        <f>'Calculations BTU'!AC78</f>
        <v>0</v>
      </c>
      <c r="V25">
        <f>'Calculations BTU'!AD78</f>
        <v>0</v>
      </c>
      <c r="W25">
        <f>'Calculations BTU'!AE78</f>
        <v>0</v>
      </c>
      <c r="X25">
        <f>'Calculations BTU'!AF78</f>
        <v>0</v>
      </c>
      <c r="Y25">
        <f>'Calculations BTU'!AG78</f>
        <v>0</v>
      </c>
      <c r="Z25">
        <f>'Calculations BTU'!AH78</f>
        <v>0</v>
      </c>
      <c r="AA25">
        <f>'Calculations BTU'!AI78</f>
        <v>0</v>
      </c>
      <c r="AB25">
        <f>'Calculations BTU'!AJ78</f>
        <v>0</v>
      </c>
      <c r="AC25">
        <f>'Calculations BTU'!AK78</f>
        <v>0</v>
      </c>
      <c r="AD25">
        <f>'Calculations BTU'!AL78</f>
        <v>0</v>
      </c>
      <c r="AE25">
        <f>'Calculations BTU'!AM78</f>
        <v>0</v>
      </c>
      <c r="AF25">
        <f>'Calculations BTU'!AN78</f>
        <v>0</v>
      </c>
      <c r="AG25">
        <f>'Calculations BTU'!AO78</f>
        <v>0</v>
      </c>
      <c r="AH25">
        <f>'Calculations BTU'!AP78</f>
        <v>0</v>
      </c>
      <c r="AI25">
        <f>'Calculations BTU'!AQ78</f>
        <v>0</v>
      </c>
      <c r="AJ25">
        <f>'Calculations BTU'!AR78</f>
        <v>0</v>
      </c>
      <c r="AK25">
        <f>'Calculations BTU'!AS78</f>
        <v>0</v>
      </c>
      <c r="AL25">
        <f>'Calculations BTU'!AT78</f>
        <v>0</v>
      </c>
      <c r="AM25">
        <f>'Calculations BTU'!AU78</f>
        <v>0</v>
      </c>
      <c r="AN25">
        <f>'Calculations BTU'!AV78</f>
        <v>0</v>
      </c>
      <c r="AO25">
        <f>'Calculations BTU'!AW78</f>
        <v>0</v>
      </c>
      <c r="AP25">
        <f>'Calculations BTU'!AX78</f>
        <v>0</v>
      </c>
      <c r="AQ25">
        <f>'Calculations BTU'!AY78</f>
        <v>0</v>
      </c>
      <c r="AR25">
        <f>'Calculations BTU'!AZ78</f>
        <v>0</v>
      </c>
      <c r="AS25">
        <f>'Calculations BTU'!BA78</f>
        <v>0</v>
      </c>
      <c r="AT25">
        <f>'Calculations BTU'!BB78</f>
        <v>0</v>
      </c>
      <c r="AU25">
        <f>'Calculations BTU'!BC78</f>
        <v>0</v>
      </c>
      <c r="AV25">
        <f>'Calculations BTU'!BD78</f>
        <v>0</v>
      </c>
      <c r="AW25">
        <f>'Calculations BTU'!BE78</f>
        <v>0</v>
      </c>
      <c r="AX25">
        <f>'Calculations BTU'!BF78</f>
        <v>0</v>
      </c>
      <c r="AY25">
        <f>'Calculations BTU'!BG78</f>
        <v>0</v>
      </c>
      <c r="AZ25">
        <f>'Calculations BTU'!BH78</f>
        <v>0</v>
      </c>
    </row>
    <row r="26" spans="1:52">
      <c r="A26" t="s">
        <v>150</v>
      </c>
      <c r="B26">
        <f>'Calculations BTU'!J79</f>
        <v>0</v>
      </c>
      <c r="C26">
        <f>'Calculations BTU'!K79</f>
        <v>0</v>
      </c>
      <c r="D26">
        <f>'Calculations BTU'!L79</f>
        <v>0</v>
      </c>
      <c r="E26">
        <f>'Calculations BTU'!M79</f>
        <v>0</v>
      </c>
      <c r="F26">
        <f>'Calculations BTU'!N79</f>
        <v>0</v>
      </c>
      <c r="G26">
        <f>'Calculations BTU'!O79</f>
        <v>0</v>
      </c>
      <c r="H26">
        <f>'Calculations BTU'!P79</f>
        <v>0</v>
      </c>
      <c r="I26">
        <f>'Calculations BTU'!Q79</f>
        <v>0</v>
      </c>
      <c r="J26">
        <f>'Calculations BTU'!R79</f>
        <v>0</v>
      </c>
      <c r="K26">
        <f>'Calculations BTU'!S79</f>
        <v>0</v>
      </c>
      <c r="L26">
        <f>'Calculations BTU'!T79</f>
        <v>0</v>
      </c>
      <c r="M26">
        <f>'Calculations BTU'!U79</f>
        <v>0</v>
      </c>
      <c r="N26">
        <f>'Calculations BTU'!V79</f>
        <v>0</v>
      </c>
      <c r="O26">
        <f>'Calculations BTU'!W79</f>
        <v>0</v>
      </c>
      <c r="P26">
        <f>'Calculations BTU'!X79</f>
        <v>0</v>
      </c>
      <c r="Q26">
        <f>'Calculations BTU'!Y79</f>
        <v>0</v>
      </c>
      <c r="R26">
        <f>'Calculations BTU'!Z79</f>
        <v>0</v>
      </c>
      <c r="S26">
        <f>'Calculations BTU'!AA79</f>
        <v>0</v>
      </c>
      <c r="T26">
        <f>'Calculations BTU'!AB79</f>
        <v>0</v>
      </c>
      <c r="U26">
        <f>'Calculations BTU'!AC79</f>
        <v>0</v>
      </c>
      <c r="V26">
        <f>'Calculations BTU'!AD79</f>
        <v>0</v>
      </c>
      <c r="W26">
        <f>'Calculations BTU'!AE79</f>
        <v>0</v>
      </c>
      <c r="X26">
        <f>'Calculations BTU'!AF79</f>
        <v>0</v>
      </c>
      <c r="Y26">
        <f>'Calculations BTU'!AG79</f>
        <v>0</v>
      </c>
      <c r="Z26">
        <f>'Calculations BTU'!AH79</f>
        <v>0</v>
      </c>
      <c r="AA26">
        <f>'Calculations BTU'!AI79</f>
        <v>0</v>
      </c>
      <c r="AB26">
        <f>'Calculations BTU'!AJ79</f>
        <v>0</v>
      </c>
      <c r="AC26">
        <f>'Calculations BTU'!AK79</f>
        <v>0</v>
      </c>
      <c r="AD26">
        <f>'Calculations BTU'!AL79</f>
        <v>0</v>
      </c>
      <c r="AE26">
        <f>'Calculations BTU'!AM79</f>
        <v>0</v>
      </c>
      <c r="AF26">
        <f>'Calculations BTU'!AN79</f>
        <v>0</v>
      </c>
      <c r="AG26">
        <f>'Calculations BTU'!AO79</f>
        <v>0</v>
      </c>
      <c r="AH26">
        <f>'Calculations BTU'!AP79</f>
        <v>0</v>
      </c>
      <c r="AI26">
        <f>'Calculations BTU'!AQ79</f>
        <v>0</v>
      </c>
      <c r="AJ26">
        <f>'Calculations BTU'!AR79</f>
        <v>0</v>
      </c>
      <c r="AK26">
        <f>'Calculations BTU'!AS79</f>
        <v>0</v>
      </c>
      <c r="AL26">
        <f>'Calculations BTU'!AT79</f>
        <v>0</v>
      </c>
      <c r="AM26">
        <f>'Calculations BTU'!AU79</f>
        <v>0</v>
      </c>
      <c r="AN26">
        <f>'Calculations BTU'!AV79</f>
        <v>0</v>
      </c>
      <c r="AO26">
        <f>'Calculations BTU'!AW79</f>
        <v>0</v>
      </c>
      <c r="AP26">
        <f>'Calculations BTU'!AX79</f>
        <v>0</v>
      </c>
      <c r="AQ26">
        <f>'Calculations BTU'!AY79</f>
        <v>0</v>
      </c>
      <c r="AR26">
        <f>'Calculations BTU'!AZ79</f>
        <v>0</v>
      </c>
      <c r="AS26">
        <f>'Calculations BTU'!BA79</f>
        <v>0</v>
      </c>
      <c r="AT26">
        <f>'Calculations BTU'!BB79</f>
        <v>0</v>
      </c>
      <c r="AU26">
        <f>'Calculations BTU'!BC79</f>
        <v>0</v>
      </c>
      <c r="AV26">
        <f>'Calculations BTU'!BD79</f>
        <v>0</v>
      </c>
      <c r="AW26">
        <f>'Calculations BTU'!BE79</f>
        <v>0</v>
      </c>
      <c r="AX26">
        <f>'Calculations BTU'!BF79</f>
        <v>0</v>
      </c>
      <c r="AY26">
        <f>'Calculations BTU'!BG79</f>
        <v>0</v>
      </c>
      <c r="AZ26">
        <f>'Calculations BTU'!BH79</f>
        <v>0</v>
      </c>
    </row>
    <row r="29" spans="1:5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5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5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5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2: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2:3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2:3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2:3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2:3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2:3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2:3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2:3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2:3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2:3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2:3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2:3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2:3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2:3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2:3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2:3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3" spans="2:3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5" spans="2:33">
      <c r="B55" s="23"/>
    </row>
    <row r="56" spans="2:33">
      <c r="B56" s="23"/>
    </row>
    <row r="57" spans="2:33">
      <c r="B57" s="23"/>
    </row>
    <row r="58" spans="2:33">
      <c r="B58" s="23"/>
    </row>
    <row r="59" spans="2:33">
      <c r="B59" s="23"/>
    </row>
    <row r="60" spans="2:33">
      <c r="B60" s="23"/>
    </row>
    <row r="61" spans="2:33">
      <c r="B61" s="23"/>
    </row>
    <row r="62" spans="2:33">
      <c r="B62" s="23"/>
    </row>
    <row r="63" spans="2:33">
      <c r="B63" s="23"/>
    </row>
    <row r="64" spans="2:33">
      <c r="B64" s="23"/>
    </row>
    <row r="65" spans="2:2">
      <c r="B65" s="23"/>
    </row>
    <row r="66" spans="2:2">
      <c r="B66" s="23"/>
    </row>
    <row r="67" spans="2:2">
      <c r="B67" s="23"/>
    </row>
    <row r="68" spans="2:2">
      <c r="B68" s="23"/>
    </row>
    <row r="69" spans="2:2">
      <c r="B69" s="23"/>
    </row>
    <row r="70" spans="2:2">
      <c r="B70" s="23"/>
    </row>
    <row r="71" spans="2:2">
      <c r="B71" s="23"/>
    </row>
    <row r="72" spans="2:2">
      <c r="B72" s="23"/>
    </row>
    <row r="73" spans="2:2">
      <c r="B73" s="23"/>
    </row>
    <row r="74" spans="2:2">
      <c r="B74" s="23"/>
    </row>
    <row r="75" spans="2:2">
      <c r="B75" s="23"/>
    </row>
    <row r="76" spans="2:2">
      <c r="B76" s="23"/>
    </row>
    <row r="77" spans="2:2">
      <c r="B77" s="23"/>
    </row>
    <row r="78" spans="2:2">
      <c r="B78" s="23"/>
    </row>
    <row r="79" spans="2:2">
      <c r="B79" s="23"/>
    </row>
    <row r="80" spans="2:2">
      <c r="B80" s="23"/>
    </row>
    <row r="81" spans="2:2">
      <c r="B81" s="23"/>
    </row>
    <row r="82" spans="2:2">
      <c r="B82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A9F2-BC41-734A-AD2F-1C1C629537D4}">
  <sheetPr>
    <tabColor theme="3"/>
  </sheetPr>
  <dimension ref="A1:AZ80"/>
  <sheetViews>
    <sheetView workbookViewId="0">
      <selection activeCell="B21" sqref="B21"/>
    </sheetView>
  </sheetViews>
  <sheetFormatPr defaultColWidth="9.140625" defaultRowHeight="15"/>
  <cols>
    <col min="1" max="1" width="39.85546875" customWidth="1"/>
    <col min="2" max="2" width="12" bestFit="1" customWidth="1"/>
    <col min="3" max="32" width="7.7109375" bestFit="1" customWidth="1"/>
    <col min="33" max="33" width="11.85546875" customWidth="1"/>
    <col min="34" max="35" width="9.42578125" bestFit="1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BTU'!J81</f>
        <v>120853060105534.63</v>
      </c>
      <c r="C2">
        <f>'Calculations BTU'!K81</f>
        <v>119317515341840.77</v>
      </c>
      <c r="D2">
        <f>'Calculations BTU'!L81</f>
        <v>121710879865499.38</v>
      </c>
      <c r="E2">
        <f>'Calculations BTU'!M81</f>
        <v>123711353460422.78</v>
      </c>
      <c r="F2">
        <f>'Calculations BTU'!N81</f>
        <v>125721305726726.98</v>
      </c>
      <c r="G2">
        <f>'Calculations BTU'!O81</f>
        <v>127721779321650.36</v>
      </c>
      <c r="H2">
        <f>'Calculations BTU'!P81</f>
        <v>129731731587954.59</v>
      </c>
      <c r="I2">
        <f>'Calculations BTU'!Q81</f>
        <v>131732205182877.97</v>
      </c>
      <c r="J2">
        <f>'Calculations BTU'!R81</f>
        <v>133742157449182.17</v>
      </c>
      <c r="K2">
        <f>'Calculations BTU'!S81</f>
        <v>135742631044105.52</v>
      </c>
      <c r="L2">
        <f>'Calculations BTU'!T81</f>
        <v>137752583310409.75</v>
      </c>
      <c r="M2">
        <f>'Calculations BTU'!U81</f>
        <v>139762535576713.94</v>
      </c>
      <c r="N2">
        <f>'Calculations BTU'!V81</f>
        <v>141772487843018.16</v>
      </c>
      <c r="O2">
        <f>'Calculations BTU'!W81</f>
        <v>143782440109322.34</v>
      </c>
      <c r="P2">
        <f>'Calculations BTU'!X81</f>
        <v>145792392375626.56</v>
      </c>
      <c r="Q2">
        <f>'Calculations BTU'!Y81</f>
        <v>147802344641930.75</v>
      </c>
      <c r="R2">
        <f>'Calculations BTU'!Z81</f>
        <v>149812296908234.97</v>
      </c>
      <c r="S2">
        <f>'Calculations BTU'!AA81</f>
        <v>151822249174539.16</v>
      </c>
      <c r="T2">
        <f>'Calculations BTU'!AB81</f>
        <v>153832201440843.38</v>
      </c>
      <c r="U2">
        <f>'Calculations BTU'!AC81</f>
        <v>155842153707147.59</v>
      </c>
      <c r="V2">
        <f>'Calculations BTU'!AD81</f>
        <v>157852105973451.78</v>
      </c>
      <c r="W2">
        <f>'Calculations BTU'!AE81</f>
        <v>159862058239755.97</v>
      </c>
      <c r="X2">
        <f>'Calculations BTU'!AF81</f>
        <v>161872010506060.22</v>
      </c>
      <c r="Y2">
        <f>'Calculations BTU'!AG81</f>
        <v>163881962772364.41</v>
      </c>
      <c r="Z2">
        <f>'Calculations BTU'!AH81</f>
        <v>165891915038668.59</v>
      </c>
      <c r="AA2">
        <f>'Calculations BTU'!AI81</f>
        <v>167901867304972.81</v>
      </c>
      <c r="AB2">
        <f>'Calculations BTU'!AJ81</f>
        <v>169911819571277.03</v>
      </c>
      <c r="AC2">
        <f>'Calculations BTU'!AK81</f>
        <v>171921771837581.22</v>
      </c>
      <c r="AD2">
        <f>'Calculations BTU'!AL81</f>
        <v>173931724103885.44</v>
      </c>
      <c r="AE2">
        <f>'Calculations BTU'!AM81</f>
        <v>175941676370189.63</v>
      </c>
      <c r="AF2">
        <f>'Calculations BTU'!AN81</f>
        <v>177951628636493.84</v>
      </c>
      <c r="AG2">
        <f>'Calculations BTU'!AO81</f>
        <v>177951628636493.84</v>
      </c>
      <c r="AH2">
        <f>'Calculations BTU'!AP81</f>
        <v>177951628636493.84</v>
      </c>
      <c r="AI2">
        <f>'Calculations BTU'!AQ81</f>
        <v>177951628636493.84</v>
      </c>
      <c r="AJ2">
        <f>'Calculations BTU'!AR81</f>
        <v>177951628636493.84</v>
      </c>
      <c r="AK2">
        <f>'Calculations BTU'!AS81</f>
        <v>177951628636493.84</v>
      </c>
      <c r="AL2">
        <f>'Calculations BTU'!AT81</f>
        <v>177951628636493.84</v>
      </c>
      <c r="AM2">
        <f>'Calculations BTU'!AU81</f>
        <v>177951628636493.84</v>
      </c>
      <c r="AN2">
        <f>'Calculations BTU'!AV81</f>
        <v>177951628636493.84</v>
      </c>
      <c r="AO2">
        <f>'Calculations BTU'!AW81</f>
        <v>177951628636493.84</v>
      </c>
      <c r="AP2">
        <f>'Calculations BTU'!AX81</f>
        <v>177951628636493.84</v>
      </c>
      <c r="AQ2">
        <f>'Calculations BTU'!AY81</f>
        <v>177951628636493.84</v>
      </c>
      <c r="AR2">
        <f>'Calculations BTU'!AZ81</f>
        <v>177951628636493.84</v>
      </c>
      <c r="AS2">
        <f>'Calculations BTU'!BA81</f>
        <v>177951628636493.84</v>
      </c>
      <c r="AT2">
        <f>'Calculations BTU'!BB81</f>
        <v>177951628636493.84</v>
      </c>
      <c r="AU2">
        <f>'Calculations BTU'!BC81</f>
        <v>177951628636493.84</v>
      </c>
      <c r="AV2">
        <f>'Calculations BTU'!BD81</f>
        <v>177951628636493.84</v>
      </c>
      <c r="AW2">
        <f>'Calculations BTU'!BE81</f>
        <v>177951628636493.84</v>
      </c>
      <c r="AX2">
        <f>'Calculations BTU'!BF81</f>
        <v>177951628636493.84</v>
      </c>
      <c r="AY2">
        <f>'Calculations BTU'!BG81</f>
        <v>177951628636493.84</v>
      </c>
      <c r="AZ2">
        <f>'Calculations BTU'!BH81</f>
        <v>177951628636493.84</v>
      </c>
    </row>
    <row r="3" spans="1:52">
      <c r="A3" t="s">
        <v>127</v>
      </c>
      <c r="B3">
        <f>'Calculations BTU'!J82</f>
        <v>463507030522.40332</v>
      </c>
      <c r="C3">
        <f>'Calculations BTU'!K82</f>
        <v>440758219208.42035</v>
      </c>
      <c r="D3">
        <f>'Calculations BTU'!L82</f>
        <v>442180019915.54431</v>
      </c>
      <c r="E3">
        <f>'Calculations BTU'!M82</f>
        <v>440758219208.42035</v>
      </c>
      <c r="F3">
        <f>'Calculations BTU'!N82</f>
        <v>439336418501.29645</v>
      </c>
      <c r="G3">
        <f>'Calculations BTU'!O82</f>
        <v>437914617794.17249</v>
      </c>
      <c r="H3">
        <f>'Calculations BTU'!P82</f>
        <v>436492817087.04858</v>
      </c>
      <c r="I3">
        <f>'Calculations BTU'!Q82</f>
        <v>435071016379.92462</v>
      </c>
      <c r="J3">
        <f>'Calculations BTU'!R82</f>
        <v>433649215672.80066</v>
      </c>
      <c r="K3">
        <f>'Calculations BTU'!S82</f>
        <v>432227414965.67676</v>
      </c>
      <c r="L3">
        <f>'Calculations BTU'!T82</f>
        <v>432227414965.67676</v>
      </c>
      <c r="M3">
        <f>'Calculations BTU'!U82</f>
        <v>430805614258.5528</v>
      </c>
      <c r="N3">
        <f>'Calculations BTU'!V82</f>
        <v>429383813551.42889</v>
      </c>
      <c r="O3">
        <f>'Calculations BTU'!W82</f>
        <v>427962012844.30493</v>
      </c>
      <c r="P3">
        <f>'Calculations BTU'!X82</f>
        <v>426540212137.18097</v>
      </c>
      <c r="Q3">
        <f>'Calculations BTU'!Y82</f>
        <v>425118411430.05713</v>
      </c>
      <c r="R3">
        <f>'Calculations BTU'!Z82</f>
        <v>423696610722.93317</v>
      </c>
      <c r="S3">
        <f>'Calculations BTU'!AA82</f>
        <v>422274810015.8092</v>
      </c>
      <c r="T3">
        <f>'Calculations BTU'!AB82</f>
        <v>420853009308.6853</v>
      </c>
      <c r="U3">
        <f>'Calculations BTU'!AC82</f>
        <v>420853009308.6853</v>
      </c>
      <c r="V3">
        <f>'Calculations BTU'!AD82</f>
        <v>419431208601.56134</v>
      </c>
      <c r="W3">
        <f>'Calculations BTU'!AE82</f>
        <v>418009407894.43744</v>
      </c>
      <c r="X3">
        <f>'Calculations BTU'!AF82</f>
        <v>416587607187.31348</v>
      </c>
      <c r="Y3">
        <f>'Calculations BTU'!AG82</f>
        <v>415165806480.18951</v>
      </c>
      <c r="Z3">
        <f>'Calculations BTU'!AH82</f>
        <v>413744005773.06561</v>
      </c>
      <c r="AA3">
        <f>'Calculations BTU'!AI82</f>
        <v>412322205065.94165</v>
      </c>
      <c r="AB3">
        <f>'Calculations BTU'!AJ82</f>
        <v>410900404358.81775</v>
      </c>
      <c r="AC3">
        <f>'Calculations BTU'!AK82</f>
        <v>409478603651.69379</v>
      </c>
      <c r="AD3">
        <f>'Calculations BTU'!AL82</f>
        <v>409478603651.69379</v>
      </c>
      <c r="AE3">
        <f>'Calculations BTU'!AM82</f>
        <v>408056802944.56982</v>
      </c>
      <c r="AF3">
        <f>'Calculations BTU'!AN82</f>
        <v>406635002237.44592</v>
      </c>
      <c r="AG3">
        <f>'Calculations BTU'!AO82</f>
        <v>406635002237.44592</v>
      </c>
      <c r="AH3">
        <f>'Calculations BTU'!AP82</f>
        <v>406635002237.44592</v>
      </c>
      <c r="AI3">
        <f>'Calculations BTU'!AQ82</f>
        <v>406635002237.44592</v>
      </c>
      <c r="AJ3">
        <f>'Calculations BTU'!AR82</f>
        <v>406635002237.44592</v>
      </c>
      <c r="AK3">
        <f>'Calculations BTU'!AS82</f>
        <v>406635002237.44592</v>
      </c>
      <c r="AL3">
        <f>'Calculations BTU'!AT82</f>
        <v>406635002237.44592</v>
      </c>
      <c r="AM3">
        <f>'Calculations BTU'!AU82</f>
        <v>406635002237.44592</v>
      </c>
      <c r="AN3">
        <f>'Calculations BTU'!AV82</f>
        <v>406635002237.44592</v>
      </c>
      <c r="AO3">
        <f>'Calculations BTU'!AW82</f>
        <v>406635002237.44592</v>
      </c>
      <c r="AP3">
        <f>'Calculations BTU'!AX82</f>
        <v>406635002237.44592</v>
      </c>
      <c r="AQ3">
        <f>'Calculations BTU'!AY82</f>
        <v>406635002237.44592</v>
      </c>
      <c r="AR3">
        <f>'Calculations BTU'!AZ82</f>
        <v>406635002237.44592</v>
      </c>
      <c r="AS3">
        <f>'Calculations BTU'!BA82</f>
        <v>406635002237.44592</v>
      </c>
      <c r="AT3">
        <f>'Calculations BTU'!BB82</f>
        <v>406635002237.44592</v>
      </c>
      <c r="AU3">
        <f>'Calculations BTU'!BC82</f>
        <v>406635002237.44592</v>
      </c>
      <c r="AV3">
        <f>'Calculations BTU'!BD82</f>
        <v>406635002237.44592</v>
      </c>
      <c r="AW3">
        <f>'Calculations BTU'!BE82</f>
        <v>406635002237.44592</v>
      </c>
      <c r="AX3">
        <f>'Calculations BTU'!BF82</f>
        <v>406635002237.44592</v>
      </c>
      <c r="AY3">
        <f>'Calculations BTU'!BG82</f>
        <v>406635002237.44592</v>
      </c>
      <c r="AZ3">
        <f>'Calculations BTU'!BH82</f>
        <v>406635002237.44592</v>
      </c>
    </row>
    <row r="4" spans="1:52">
      <c r="A4" t="s">
        <v>128</v>
      </c>
      <c r="B4">
        <f>'Calculations BTU'!J83</f>
        <v>0</v>
      </c>
      <c r="C4">
        <f>'Calculations BTU'!K83</f>
        <v>0</v>
      </c>
      <c r="D4">
        <f>'Calculations BTU'!L83</f>
        <v>0</v>
      </c>
      <c r="E4">
        <f>'Calculations BTU'!M83</f>
        <v>0</v>
      </c>
      <c r="F4">
        <f>'Calculations BTU'!N83</f>
        <v>0</v>
      </c>
      <c r="G4">
        <f>'Calculations BTU'!O83</f>
        <v>0</v>
      </c>
      <c r="H4">
        <f>'Calculations BTU'!P83</f>
        <v>0</v>
      </c>
      <c r="I4">
        <f>'Calculations BTU'!Q83</f>
        <v>0</v>
      </c>
      <c r="J4">
        <f>'Calculations BTU'!R83</f>
        <v>0</v>
      </c>
      <c r="K4">
        <f>'Calculations BTU'!S83</f>
        <v>0</v>
      </c>
      <c r="L4">
        <f>'Calculations BTU'!T83</f>
        <v>0</v>
      </c>
      <c r="M4">
        <f>'Calculations BTU'!U83</f>
        <v>0</v>
      </c>
      <c r="N4">
        <f>'Calculations BTU'!V83</f>
        <v>0</v>
      </c>
      <c r="O4">
        <f>'Calculations BTU'!W83</f>
        <v>0</v>
      </c>
      <c r="P4">
        <f>'Calculations BTU'!X83</f>
        <v>0</v>
      </c>
      <c r="Q4">
        <f>'Calculations BTU'!Y83</f>
        <v>0</v>
      </c>
      <c r="R4">
        <f>'Calculations BTU'!Z83</f>
        <v>0</v>
      </c>
      <c r="S4">
        <f>'Calculations BTU'!AA83</f>
        <v>0</v>
      </c>
      <c r="T4">
        <f>'Calculations BTU'!AB83</f>
        <v>0</v>
      </c>
      <c r="U4">
        <f>'Calculations BTU'!AC83</f>
        <v>0</v>
      </c>
      <c r="V4">
        <f>'Calculations BTU'!AD83</f>
        <v>0</v>
      </c>
      <c r="W4">
        <f>'Calculations BTU'!AE83</f>
        <v>0</v>
      </c>
      <c r="X4">
        <f>'Calculations BTU'!AF83</f>
        <v>0</v>
      </c>
      <c r="Y4">
        <f>'Calculations BTU'!AG83</f>
        <v>0</v>
      </c>
      <c r="Z4">
        <f>'Calculations BTU'!AH83</f>
        <v>0</v>
      </c>
      <c r="AA4">
        <f>'Calculations BTU'!AI83</f>
        <v>0</v>
      </c>
      <c r="AB4">
        <f>'Calculations BTU'!AJ83</f>
        <v>0</v>
      </c>
      <c r="AC4">
        <f>'Calculations BTU'!AK83</f>
        <v>0</v>
      </c>
      <c r="AD4">
        <f>'Calculations BTU'!AL83</f>
        <v>0</v>
      </c>
      <c r="AE4">
        <f>'Calculations BTU'!AM83</f>
        <v>0</v>
      </c>
      <c r="AF4">
        <f>'Calculations BTU'!AN83</f>
        <v>0</v>
      </c>
      <c r="AG4">
        <f>'Calculations BTU'!AO83</f>
        <v>0</v>
      </c>
      <c r="AH4">
        <f>'Calculations BTU'!AP83</f>
        <v>0</v>
      </c>
      <c r="AI4">
        <f>'Calculations BTU'!AQ83</f>
        <v>0</v>
      </c>
      <c r="AJ4">
        <f>'Calculations BTU'!AR83</f>
        <v>0</v>
      </c>
      <c r="AK4">
        <f>'Calculations BTU'!AS83</f>
        <v>0</v>
      </c>
      <c r="AL4">
        <f>'Calculations BTU'!AT83</f>
        <v>0</v>
      </c>
      <c r="AM4">
        <f>'Calculations BTU'!AU83</f>
        <v>0</v>
      </c>
      <c r="AN4">
        <f>'Calculations BTU'!AV83</f>
        <v>0</v>
      </c>
      <c r="AO4">
        <f>'Calculations BTU'!AW83</f>
        <v>0</v>
      </c>
      <c r="AP4">
        <f>'Calculations BTU'!AX83</f>
        <v>0</v>
      </c>
      <c r="AQ4">
        <f>'Calculations BTU'!AY83</f>
        <v>0</v>
      </c>
      <c r="AR4">
        <f>'Calculations BTU'!AZ83</f>
        <v>0</v>
      </c>
      <c r="AS4">
        <f>'Calculations BTU'!BA83</f>
        <v>0</v>
      </c>
      <c r="AT4">
        <f>'Calculations BTU'!BB83</f>
        <v>0</v>
      </c>
      <c r="AU4">
        <f>'Calculations BTU'!BC83</f>
        <v>0</v>
      </c>
      <c r="AV4">
        <f>'Calculations BTU'!BD83</f>
        <v>0</v>
      </c>
      <c r="AW4">
        <f>'Calculations BTU'!BE83</f>
        <v>0</v>
      </c>
      <c r="AX4">
        <f>'Calculations BTU'!BF83</f>
        <v>0</v>
      </c>
      <c r="AY4">
        <f>'Calculations BTU'!BG83</f>
        <v>0</v>
      </c>
      <c r="AZ4">
        <f>'Calculations BTU'!BH83</f>
        <v>0</v>
      </c>
    </row>
    <row r="5" spans="1:52">
      <c r="A5" t="s">
        <v>129</v>
      </c>
      <c r="B5">
        <f>'Calculations BTU'!J84</f>
        <v>2626539839626.9526</v>
      </c>
      <c r="C5">
        <f>'Calculations BTU'!K84</f>
        <v>2497629908847.7153</v>
      </c>
      <c r="D5">
        <f>'Calculations BTU'!L84</f>
        <v>2505686779521.418</v>
      </c>
      <c r="E5">
        <f>'Calculations BTU'!M84</f>
        <v>2497629908847.7153</v>
      </c>
      <c r="F5">
        <f>'Calculations BTU'!N84</f>
        <v>2489573038174.0127</v>
      </c>
      <c r="G5">
        <f>'Calculations BTU'!O84</f>
        <v>2481516167500.311</v>
      </c>
      <c r="H5">
        <f>'Calculations BTU'!P84</f>
        <v>2473459296826.6084</v>
      </c>
      <c r="I5">
        <f>'Calculations BTU'!Q84</f>
        <v>2465402426152.9063</v>
      </c>
      <c r="J5">
        <f>'Calculations BTU'!R84</f>
        <v>2457345555479.2041</v>
      </c>
      <c r="K5">
        <f>'Calculations BTU'!S84</f>
        <v>2449288684805.502</v>
      </c>
      <c r="L5">
        <f>'Calculations BTU'!T84</f>
        <v>2449288684805.502</v>
      </c>
      <c r="M5">
        <f>'Calculations BTU'!U84</f>
        <v>2441231814131.7993</v>
      </c>
      <c r="N5">
        <f>'Calculations BTU'!V84</f>
        <v>2433174943458.0967</v>
      </c>
      <c r="O5">
        <f>'Calculations BTU'!W84</f>
        <v>2425118072784.3945</v>
      </c>
      <c r="P5">
        <f>'Calculations BTU'!X84</f>
        <v>2417061202110.6924</v>
      </c>
      <c r="Q5">
        <f>'Calculations BTU'!Y84</f>
        <v>2409004331436.9902</v>
      </c>
      <c r="R5">
        <f>'Calculations BTU'!Z84</f>
        <v>2400947460763.2876</v>
      </c>
      <c r="S5">
        <f>'Calculations BTU'!AA84</f>
        <v>2392890590089.5859</v>
      </c>
      <c r="T5">
        <f>'Calculations BTU'!AB84</f>
        <v>2384833719415.8833</v>
      </c>
      <c r="U5">
        <f>'Calculations BTU'!AC84</f>
        <v>2384833719415.8833</v>
      </c>
      <c r="V5">
        <f>'Calculations BTU'!AD84</f>
        <v>2376776848742.1812</v>
      </c>
      <c r="W5">
        <f>'Calculations BTU'!AE84</f>
        <v>2368719978068.4785</v>
      </c>
      <c r="X5">
        <f>'Calculations BTU'!AF84</f>
        <v>2360663107394.7764</v>
      </c>
      <c r="Y5">
        <f>'Calculations BTU'!AG84</f>
        <v>2352606236721.0737</v>
      </c>
      <c r="Z5">
        <f>'Calculations BTU'!AH84</f>
        <v>2344549366047.3716</v>
      </c>
      <c r="AA5">
        <f>'Calculations BTU'!AI84</f>
        <v>2336492495373.6694</v>
      </c>
      <c r="AB5">
        <f>'Calculations BTU'!AJ84</f>
        <v>2328435624699.9673</v>
      </c>
      <c r="AC5">
        <f>'Calculations BTU'!AK84</f>
        <v>2320378754026.2646</v>
      </c>
      <c r="AD5">
        <f>'Calculations BTU'!AL84</f>
        <v>2320378754026.2646</v>
      </c>
      <c r="AE5">
        <f>'Calculations BTU'!AM84</f>
        <v>2312321883352.5625</v>
      </c>
      <c r="AF5">
        <f>'Calculations BTU'!AN84</f>
        <v>2304265012678.8604</v>
      </c>
      <c r="AG5">
        <f>'Calculations BTU'!AO84</f>
        <v>2304265012678.8604</v>
      </c>
      <c r="AH5">
        <f>'Calculations BTU'!AP84</f>
        <v>2304265012678.8604</v>
      </c>
      <c r="AI5">
        <f>'Calculations BTU'!AQ84</f>
        <v>2304265012678.8604</v>
      </c>
      <c r="AJ5">
        <f>'Calculations BTU'!AR84</f>
        <v>2304265012678.8604</v>
      </c>
      <c r="AK5">
        <f>'Calculations BTU'!AS84</f>
        <v>2304265012678.8604</v>
      </c>
      <c r="AL5">
        <f>'Calculations BTU'!AT84</f>
        <v>2304265012678.8604</v>
      </c>
      <c r="AM5">
        <f>'Calculations BTU'!AU84</f>
        <v>2304265012678.8604</v>
      </c>
      <c r="AN5">
        <f>'Calculations BTU'!AV84</f>
        <v>2304265012678.8604</v>
      </c>
      <c r="AO5">
        <f>'Calculations BTU'!AW84</f>
        <v>2304265012678.8604</v>
      </c>
      <c r="AP5">
        <f>'Calculations BTU'!AX84</f>
        <v>2304265012678.8604</v>
      </c>
      <c r="AQ5">
        <f>'Calculations BTU'!AY84</f>
        <v>2304265012678.8604</v>
      </c>
      <c r="AR5">
        <f>'Calculations BTU'!AZ84</f>
        <v>2304265012678.8604</v>
      </c>
      <c r="AS5">
        <f>'Calculations BTU'!BA84</f>
        <v>2304265012678.8604</v>
      </c>
      <c r="AT5">
        <f>'Calculations BTU'!BB84</f>
        <v>2304265012678.8604</v>
      </c>
      <c r="AU5">
        <f>'Calculations BTU'!BC84</f>
        <v>2304265012678.8604</v>
      </c>
      <c r="AV5">
        <f>'Calculations BTU'!BD84</f>
        <v>2304265012678.8604</v>
      </c>
      <c r="AW5">
        <f>'Calculations BTU'!BE84</f>
        <v>2304265012678.8604</v>
      </c>
      <c r="AX5">
        <f>'Calculations BTU'!BF84</f>
        <v>2304265012678.8604</v>
      </c>
      <c r="AY5">
        <f>'Calculations BTU'!BG84</f>
        <v>2304265012678.8604</v>
      </c>
      <c r="AZ5">
        <f>'Calculations BTU'!BH84</f>
        <v>2304265012678.8604</v>
      </c>
    </row>
    <row r="6" spans="1:52">
      <c r="A6" t="s">
        <v>130</v>
      </c>
      <c r="B6">
        <f>'Calculations BTU'!J85</f>
        <v>3327013654670.0122</v>
      </c>
      <c r="C6">
        <f>'Calculations BTU'!K85</f>
        <v>3393364354335.7959</v>
      </c>
      <c r="D6">
        <f>'Calculations BTU'!L85</f>
        <v>3402843025716.6221</v>
      </c>
      <c r="E6">
        <f>'Calculations BTU'!M85</f>
        <v>3393364354335.7959</v>
      </c>
      <c r="F6">
        <f>'Calculations BTU'!N85</f>
        <v>3383885682954.9697</v>
      </c>
      <c r="G6">
        <f>'Calculations BTU'!O85</f>
        <v>3374407011574.1436</v>
      </c>
      <c r="H6">
        <f>'Calculations BTU'!P85</f>
        <v>3364928340193.3174</v>
      </c>
      <c r="I6">
        <f>'Calculations BTU'!Q85</f>
        <v>3355449668812.4907</v>
      </c>
      <c r="J6">
        <f>'Calculations BTU'!R85</f>
        <v>3345970997431.6646</v>
      </c>
      <c r="K6">
        <f>'Calculations BTU'!S85</f>
        <v>3336492326050.8384</v>
      </c>
      <c r="L6">
        <f>'Calculations BTU'!T85</f>
        <v>3327013654670.0122</v>
      </c>
      <c r="M6">
        <f>'Calculations BTU'!U85</f>
        <v>3317534983289.1855</v>
      </c>
      <c r="N6">
        <f>'Calculations BTU'!V85</f>
        <v>3308056311908.3599</v>
      </c>
      <c r="O6">
        <f>'Calculations BTU'!W85</f>
        <v>3298577640527.5332</v>
      </c>
      <c r="P6">
        <f>'Calculations BTU'!X85</f>
        <v>3289098969146.707</v>
      </c>
      <c r="Q6">
        <f>'Calculations BTU'!Y85</f>
        <v>3270141626385.0542</v>
      </c>
      <c r="R6">
        <f>'Calculations BTU'!Z85</f>
        <v>3260662955004.228</v>
      </c>
      <c r="S6">
        <f>'Calculations BTU'!AA85</f>
        <v>3251184283623.4019</v>
      </c>
      <c r="T6">
        <f>'Calculations BTU'!AB85</f>
        <v>3241705612242.5757</v>
      </c>
      <c r="U6">
        <f>'Calculations BTU'!AC85</f>
        <v>3232226940861.7495</v>
      </c>
      <c r="V6">
        <f>'Calculations BTU'!AD85</f>
        <v>3222748269480.9233</v>
      </c>
      <c r="W6">
        <f>'Calculations BTU'!AE85</f>
        <v>3213269598100.0972</v>
      </c>
      <c r="X6">
        <f>'Calculations BTU'!AF85</f>
        <v>3203790926719.2705</v>
      </c>
      <c r="Y6">
        <f>'Calculations BTU'!AG85</f>
        <v>3194312255338.4448</v>
      </c>
      <c r="Z6">
        <f>'Calculations BTU'!AH85</f>
        <v>3184833583957.6182</v>
      </c>
      <c r="AA6">
        <f>'Calculations BTU'!AI85</f>
        <v>3175354912576.792</v>
      </c>
      <c r="AB6">
        <f>'Calculations BTU'!AJ85</f>
        <v>3165876241195.9658</v>
      </c>
      <c r="AC6">
        <f>'Calculations BTU'!AK85</f>
        <v>3156397569815.1396</v>
      </c>
      <c r="AD6">
        <f>'Calculations BTU'!AL85</f>
        <v>3146918898434.313</v>
      </c>
      <c r="AE6">
        <f>'Calculations BTU'!AM85</f>
        <v>3137440227053.4873</v>
      </c>
      <c r="AF6">
        <f>'Calculations BTU'!AN85</f>
        <v>3127961555672.6606</v>
      </c>
      <c r="AG6">
        <f>'Calculations BTU'!AO85</f>
        <v>3127961555672.6606</v>
      </c>
      <c r="AH6">
        <f>'Calculations BTU'!AP85</f>
        <v>3127961555672.6606</v>
      </c>
      <c r="AI6">
        <f>'Calculations BTU'!AQ85</f>
        <v>3127961555672.6606</v>
      </c>
      <c r="AJ6">
        <f>'Calculations BTU'!AR85</f>
        <v>3127961555672.6606</v>
      </c>
      <c r="AK6">
        <f>'Calculations BTU'!AS85</f>
        <v>3127961555672.6606</v>
      </c>
      <c r="AL6">
        <f>'Calculations BTU'!AT85</f>
        <v>3127961555672.6606</v>
      </c>
      <c r="AM6">
        <f>'Calculations BTU'!AU85</f>
        <v>3127961555672.6606</v>
      </c>
      <c r="AN6">
        <f>'Calculations BTU'!AV85</f>
        <v>3127961555672.6606</v>
      </c>
      <c r="AO6">
        <f>'Calculations BTU'!AW85</f>
        <v>3127961555672.6606</v>
      </c>
      <c r="AP6">
        <f>'Calculations BTU'!AX85</f>
        <v>3127961555672.6606</v>
      </c>
      <c r="AQ6">
        <f>'Calculations BTU'!AY85</f>
        <v>3127961555672.6606</v>
      </c>
      <c r="AR6">
        <f>'Calculations BTU'!AZ85</f>
        <v>3127961555672.6606</v>
      </c>
      <c r="AS6">
        <f>'Calculations BTU'!BA85</f>
        <v>3127961555672.6606</v>
      </c>
      <c r="AT6">
        <f>'Calculations BTU'!BB85</f>
        <v>3127961555672.6606</v>
      </c>
      <c r="AU6">
        <f>'Calculations BTU'!BC85</f>
        <v>3127961555672.6606</v>
      </c>
      <c r="AV6">
        <f>'Calculations BTU'!BD85</f>
        <v>3127961555672.6606</v>
      </c>
      <c r="AW6">
        <f>'Calculations BTU'!BE85</f>
        <v>3127961555672.6606</v>
      </c>
      <c r="AX6">
        <f>'Calculations BTU'!BF85</f>
        <v>3127961555672.6606</v>
      </c>
      <c r="AY6">
        <f>'Calculations BTU'!BG85</f>
        <v>3127961555672.6606</v>
      </c>
      <c r="AZ6">
        <f>'Calculations BTU'!BH85</f>
        <v>3127961555672.6606</v>
      </c>
    </row>
    <row r="7" spans="1:52">
      <c r="A7" t="s">
        <v>131</v>
      </c>
      <c r="B7">
        <f>'Calculations BTU'!J86</f>
        <v>511848254564.61725</v>
      </c>
      <c r="C7">
        <f>'Calculations BTU'!K86</f>
        <v>682464339419.48962</v>
      </c>
      <c r="D7">
        <f>'Calculations BTU'!L86</f>
        <v>682464339419.48962</v>
      </c>
      <c r="E7">
        <f>'Calculations BTU'!M86</f>
        <v>616113639753.70593</v>
      </c>
      <c r="F7">
        <f>'Calculations BTU'!N86</f>
        <v>616764514154.4231</v>
      </c>
      <c r="G7">
        <f>'Calculations BTU'!O86</f>
        <v>617405218642.62891</v>
      </c>
      <c r="H7">
        <f>'Calculations BTU'!P86</f>
        <v>618066262955.85718</v>
      </c>
      <c r="I7">
        <f>'Calculations BTU'!Q86</f>
        <v>618717137356.5741</v>
      </c>
      <c r="J7">
        <f>'Calculations BTU'!R86</f>
        <v>619357841844.78003</v>
      </c>
      <c r="K7">
        <f>'Calculations BTU'!S86</f>
        <v>620018886158.0083</v>
      </c>
      <c r="L7">
        <f>'Calculations BTU'!T86</f>
        <v>620659590646.21399</v>
      </c>
      <c r="M7">
        <f>'Calculations BTU'!U86</f>
        <v>621300295134.41968</v>
      </c>
      <c r="N7">
        <f>'Calculations BTU'!V86</f>
        <v>621971509360.15918</v>
      </c>
      <c r="O7">
        <f>'Calculations BTU'!W86</f>
        <v>622612213848.36487</v>
      </c>
      <c r="P7">
        <f>'Calculations BTU'!X86</f>
        <v>620852818983.92676</v>
      </c>
      <c r="Q7">
        <f>'Calculations BTU'!Y86</f>
        <v>615839052115.90356</v>
      </c>
      <c r="R7">
        <f>'Calculations BTU'!Z86</f>
        <v>610815115335.36926</v>
      </c>
      <c r="S7">
        <f>'Calculations BTU'!AA86</f>
        <v>605811518379.85742</v>
      </c>
      <c r="T7">
        <f>'Calculations BTU'!AB86</f>
        <v>600797751511.83423</v>
      </c>
      <c r="U7">
        <f>'Calculations BTU'!AC86</f>
        <v>595763644818.7887</v>
      </c>
      <c r="V7">
        <f>'Calculations BTU'!AD86</f>
        <v>590770217775.78796</v>
      </c>
      <c r="W7">
        <f>'Calculations BTU'!AE86</f>
        <v>585756450907.76489</v>
      </c>
      <c r="X7">
        <f>'Calculations BTU'!AF86</f>
        <v>580732514127.23047</v>
      </c>
      <c r="Y7">
        <f>'Calculations BTU'!AG86</f>
        <v>575718747259.20728</v>
      </c>
      <c r="Z7">
        <f>'Calculations BTU'!AH86</f>
        <v>570715150303.69519</v>
      </c>
      <c r="AA7">
        <f>'Calculations BTU'!AI86</f>
        <v>565691213523.16089</v>
      </c>
      <c r="AB7">
        <f>'Calculations BTU'!AJ86</f>
        <v>560677446655.13782</v>
      </c>
      <c r="AC7">
        <f>'Calculations BTU'!AK86</f>
        <v>555663679787.11475</v>
      </c>
      <c r="AD7">
        <f>'Calculations BTU'!AL86</f>
        <v>550660082831.60291</v>
      </c>
      <c r="AE7">
        <f>'Calculations BTU'!AM86</f>
        <v>545585296488.51251</v>
      </c>
      <c r="AF7">
        <f>'Calculations BTU'!AN86</f>
        <v>540520680057.93335</v>
      </c>
      <c r="AG7">
        <f>'Calculations BTU'!AO86</f>
        <v>540520680057.93335</v>
      </c>
      <c r="AH7">
        <f>'Calculations BTU'!AP86</f>
        <v>540520680057.93335</v>
      </c>
      <c r="AI7">
        <f>'Calculations BTU'!AQ86</f>
        <v>540520680057.93335</v>
      </c>
      <c r="AJ7">
        <f>'Calculations BTU'!AR86</f>
        <v>540520680057.93335</v>
      </c>
      <c r="AK7">
        <f>'Calculations BTU'!AS86</f>
        <v>540520680057.93335</v>
      </c>
      <c r="AL7">
        <f>'Calculations BTU'!AT86</f>
        <v>540520680057.93335</v>
      </c>
      <c r="AM7">
        <f>'Calculations BTU'!AU86</f>
        <v>540520680057.93335</v>
      </c>
      <c r="AN7">
        <f>'Calculations BTU'!AV86</f>
        <v>540520680057.93335</v>
      </c>
      <c r="AO7">
        <f>'Calculations BTU'!AW86</f>
        <v>540520680057.93335</v>
      </c>
      <c r="AP7">
        <f>'Calculations BTU'!AX86</f>
        <v>540520680057.93335</v>
      </c>
      <c r="AQ7">
        <f>'Calculations BTU'!AY86</f>
        <v>540520680057.93335</v>
      </c>
      <c r="AR7">
        <f>'Calculations BTU'!AZ86</f>
        <v>540520680057.93335</v>
      </c>
      <c r="AS7">
        <f>'Calculations BTU'!BA86</f>
        <v>540520680057.93335</v>
      </c>
      <c r="AT7">
        <f>'Calculations BTU'!BB86</f>
        <v>540520680057.93335</v>
      </c>
      <c r="AU7">
        <f>'Calculations BTU'!BC86</f>
        <v>540520680057.93335</v>
      </c>
      <c r="AV7">
        <f>'Calculations BTU'!BD86</f>
        <v>540520680057.93335</v>
      </c>
      <c r="AW7">
        <f>'Calculations BTU'!BE86</f>
        <v>540520680057.93335</v>
      </c>
      <c r="AX7">
        <f>'Calculations BTU'!BF86</f>
        <v>540520680057.93335</v>
      </c>
      <c r="AY7">
        <f>'Calculations BTU'!BG86</f>
        <v>540520680057.93335</v>
      </c>
      <c r="AZ7">
        <f>'Calculations BTU'!BH86</f>
        <v>540520680057.93335</v>
      </c>
    </row>
    <row r="8" spans="1:52">
      <c r="A8" t="s">
        <v>132</v>
      </c>
      <c r="B8">
        <f>'Calculations BTU'!J87</f>
        <v>0</v>
      </c>
      <c r="C8">
        <f>'Calculations BTU'!K87</f>
        <v>0</v>
      </c>
      <c r="D8">
        <f>'Calculations BTU'!L87</f>
        <v>0</v>
      </c>
      <c r="E8">
        <f>'Calculations BTU'!M87</f>
        <v>0</v>
      </c>
      <c r="F8">
        <f>'Calculations BTU'!N87</f>
        <v>0</v>
      </c>
      <c r="G8">
        <f>'Calculations BTU'!O87</f>
        <v>0</v>
      </c>
      <c r="H8">
        <f>'Calculations BTU'!P87</f>
        <v>0</v>
      </c>
      <c r="I8">
        <f>'Calculations BTU'!Q87</f>
        <v>0</v>
      </c>
      <c r="J8">
        <f>'Calculations BTU'!R87</f>
        <v>0</v>
      </c>
      <c r="K8">
        <f>'Calculations BTU'!S87</f>
        <v>0</v>
      </c>
      <c r="L8">
        <f>'Calculations BTU'!T87</f>
        <v>0</v>
      </c>
      <c r="M8">
        <f>'Calculations BTU'!U87</f>
        <v>0</v>
      </c>
      <c r="N8">
        <f>'Calculations BTU'!V87</f>
        <v>0</v>
      </c>
      <c r="O8">
        <f>'Calculations BTU'!W87</f>
        <v>0</v>
      </c>
      <c r="P8">
        <f>'Calculations BTU'!X87</f>
        <v>0</v>
      </c>
      <c r="Q8">
        <f>'Calculations BTU'!Y87</f>
        <v>0</v>
      </c>
      <c r="R8">
        <f>'Calculations BTU'!Z87</f>
        <v>0</v>
      </c>
      <c r="S8">
        <f>'Calculations BTU'!AA87</f>
        <v>0</v>
      </c>
      <c r="T8">
        <f>'Calculations BTU'!AB87</f>
        <v>0</v>
      </c>
      <c r="U8">
        <f>'Calculations BTU'!AC87</f>
        <v>0</v>
      </c>
      <c r="V8">
        <f>'Calculations BTU'!AD87</f>
        <v>0</v>
      </c>
      <c r="W8">
        <f>'Calculations BTU'!AE87</f>
        <v>0</v>
      </c>
      <c r="X8">
        <f>'Calculations BTU'!AF87</f>
        <v>0</v>
      </c>
      <c r="Y8">
        <f>'Calculations BTU'!AG87</f>
        <v>0</v>
      </c>
      <c r="Z8">
        <f>'Calculations BTU'!AH87</f>
        <v>0</v>
      </c>
      <c r="AA8">
        <f>'Calculations BTU'!AI87</f>
        <v>0</v>
      </c>
      <c r="AB8">
        <f>'Calculations BTU'!AJ87</f>
        <v>0</v>
      </c>
      <c r="AC8">
        <f>'Calculations BTU'!AK87</f>
        <v>0</v>
      </c>
      <c r="AD8">
        <f>'Calculations BTU'!AL87</f>
        <v>0</v>
      </c>
      <c r="AE8">
        <f>'Calculations BTU'!AM87</f>
        <v>0</v>
      </c>
      <c r="AF8">
        <f>'Calculations BTU'!AN87</f>
        <v>0</v>
      </c>
      <c r="AG8">
        <f>'Calculations BTU'!AO87</f>
        <v>0</v>
      </c>
      <c r="AH8">
        <f>'Calculations BTU'!AP87</f>
        <v>0</v>
      </c>
      <c r="AI8">
        <f>'Calculations BTU'!AQ87</f>
        <v>0</v>
      </c>
      <c r="AJ8">
        <f>'Calculations BTU'!AR87</f>
        <v>0</v>
      </c>
      <c r="AK8">
        <f>'Calculations BTU'!AS87</f>
        <v>0</v>
      </c>
      <c r="AL8">
        <f>'Calculations BTU'!AT87</f>
        <v>0</v>
      </c>
      <c r="AM8">
        <f>'Calculations BTU'!AU87</f>
        <v>0</v>
      </c>
      <c r="AN8">
        <f>'Calculations BTU'!AV87</f>
        <v>0</v>
      </c>
      <c r="AO8">
        <f>'Calculations BTU'!AW87</f>
        <v>0</v>
      </c>
      <c r="AP8">
        <f>'Calculations BTU'!AX87</f>
        <v>0</v>
      </c>
      <c r="AQ8">
        <f>'Calculations BTU'!AY87</f>
        <v>0</v>
      </c>
      <c r="AR8">
        <f>'Calculations BTU'!AZ87</f>
        <v>0</v>
      </c>
      <c r="AS8">
        <f>'Calculations BTU'!BA87</f>
        <v>0</v>
      </c>
      <c r="AT8">
        <f>'Calculations BTU'!BB87</f>
        <v>0</v>
      </c>
      <c r="AU8">
        <f>'Calculations BTU'!BC87</f>
        <v>0</v>
      </c>
      <c r="AV8">
        <f>'Calculations BTU'!BD87</f>
        <v>0</v>
      </c>
      <c r="AW8">
        <f>'Calculations BTU'!BE87</f>
        <v>0</v>
      </c>
      <c r="AX8">
        <f>'Calculations BTU'!BF87</f>
        <v>0</v>
      </c>
      <c r="AY8">
        <f>'Calculations BTU'!BG87</f>
        <v>0</v>
      </c>
      <c r="AZ8">
        <f>'Calculations BTU'!BH87</f>
        <v>0</v>
      </c>
    </row>
    <row r="9" spans="1:52">
      <c r="A9" t="s">
        <v>133</v>
      </c>
      <c r="B9">
        <f>'Calculations BTU'!J88</f>
        <v>1289099307792.3694</v>
      </c>
      <c r="C9">
        <f>'Calculations BTU'!K88</f>
        <v>1203791265364.9331</v>
      </c>
      <c r="D9">
        <f>'Calculations BTU'!L88</f>
        <v>1203791265364.9331</v>
      </c>
      <c r="E9">
        <f>'Calculations BTU'!M88</f>
        <v>1203791265364.9331</v>
      </c>
      <c r="F9">
        <f>'Calculations BTU'!N88</f>
        <v>1203791265364.9331</v>
      </c>
      <c r="G9">
        <f>'Calculations BTU'!O88</f>
        <v>1194312593984.1069</v>
      </c>
      <c r="H9">
        <f>'Calculations BTU'!P88</f>
        <v>1194312593984.1069</v>
      </c>
      <c r="I9">
        <f>'Calculations BTU'!Q88</f>
        <v>1184833922603.2808</v>
      </c>
      <c r="J9">
        <f>'Calculations BTU'!R88</f>
        <v>1184833922603.2808</v>
      </c>
      <c r="K9">
        <f>'Calculations BTU'!S88</f>
        <v>1184833922603.2808</v>
      </c>
      <c r="L9">
        <f>'Calculations BTU'!T88</f>
        <v>1175355251222.4543</v>
      </c>
      <c r="M9">
        <f>'Calculations BTU'!U88</f>
        <v>1175355251222.4543</v>
      </c>
      <c r="N9">
        <f>'Calculations BTU'!V88</f>
        <v>1175355251222.4543</v>
      </c>
      <c r="O9">
        <f>'Calculations BTU'!W88</f>
        <v>1165876579841.6282</v>
      </c>
      <c r="P9">
        <f>'Calculations BTU'!X88</f>
        <v>1165876579841.6282</v>
      </c>
      <c r="Q9">
        <f>'Calculations BTU'!Y88</f>
        <v>1165876579841.6282</v>
      </c>
      <c r="R9">
        <f>'Calculations BTU'!Z88</f>
        <v>1156397908460.8018</v>
      </c>
      <c r="S9">
        <f>'Calculations BTU'!AA88</f>
        <v>1156397908460.8018</v>
      </c>
      <c r="T9">
        <f>'Calculations BTU'!AB88</f>
        <v>1146919237079.9756</v>
      </c>
      <c r="U9">
        <f>'Calculations BTU'!AC88</f>
        <v>1146919237079.9756</v>
      </c>
      <c r="V9">
        <f>'Calculations BTU'!AD88</f>
        <v>1146919237079.9756</v>
      </c>
      <c r="W9">
        <f>'Calculations BTU'!AE88</f>
        <v>1137440565699.1494</v>
      </c>
      <c r="X9">
        <f>'Calculations BTU'!AF88</f>
        <v>1137440565699.1494</v>
      </c>
      <c r="Y9">
        <f>'Calculations BTU'!AG88</f>
        <v>1137440565699.1494</v>
      </c>
      <c r="Z9">
        <f>'Calculations BTU'!AH88</f>
        <v>1127961894318.323</v>
      </c>
      <c r="AA9">
        <f>'Calculations BTU'!AI88</f>
        <v>1127961894318.323</v>
      </c>
      <c r="AB9">
        <f>'Calculations BTU'!AJ88</f>
        <v>1127961894318.323</v>
      </c>
      <c r="AC9">
        <f>'Calculations BTU'!AK88</f>
        <v>1118483222937.4968</v>
      </c>
      <c r="AD9">
        <f>'Calculations BTU'!AL88</f>
        <v>1118483222937.4968</v>
      </c>
      <c r="AE9">
        <f>'Calculations BTU'!AM88</f>
        <v>1109004551556.6707</v>
      </c>
      <c r="AF9">
        <f>'Calculations BTU'!AN88</f>
        <v>1109004551556.6707</v>
      </c>
      <c r="AG9">
        <f>'Calculations BTU'!AO88</f>
        <v>1109004551556.6707</v>
      </c>
      <c r="AH9">
        <f>'Calculations BTU'!AP88</f>
        <v>1109004551556.6707</v>
      </c>
      <c r="AI9">
        <f>'Calculations BTU'!AQ88</f>
        <v>1109004551556.6707</v>
      </c>
      <c r="AJ9">
        <f>'Calculations BTU'!AR88</f>
        <v>1109004551556.6707</v>
      </c>
      <c r="AK9">
        <f>'Calculations BTU'!AS88</f>
        <v>1109004551556.6707</v>
      </c>
      <c r="AL9">
        <f>'Calculations BTU'!AT88</f>
        <v>1109004551556.6707</v>
      </c>
      <c r="AM9">
        <f>'Calculations BTU'!AU88</f>
        <v>1109004551556.6707</v>
      </c>
      <c r="AN9">
        <f>'Calculations BTU'!AV88</f>
        <v>1109004551556.6707</v>
      </c>
      <c r="AO9">
        <f>'Calculations BTU'!AW88</f>
        <v>1109004551556.6707</v>
      </c>
      <c r="AP9">
        <f>'Calculations BTU'!AX88</f>
        <v>1109004551556.6707</v>
      </c>
      <c r="AQ9">
        <f>'Calculations BTU'!AY88</f>
        <v>1109004551556.6707</v>
      </c>
      <c r="AR9">
        <f>'Calculations BTU'!AZ88</f>
        <v>1109004551556.6707</v>
      </c>
      <c r="AS9">
        <f>'Calculations BTU'!BA88</f>
        <v>1109004551556.6707</v>
      </c>
      <c r="AT9">
        <f>'Calculations BTU'!BB88</f>
        <v>1109004551556.6707</v>
      </c>
      <c r="AU9">
        <f>'Calculations BTU'!BC88</f>
        <v>1109004551556.6707</v>
      </c>
      <c r="AV9">
        <f>'Calculations BTU'!BD88</f>
        <v>1109004551556.6707</v>
      </c>
      <c r="AW9">
        <f>'Calculations BTU'!BE88</f>
        <v>1109004551556.6707</v>
      </c>
      <c r="AX9">
        <f>'Calculations BTU'!BF88</f>
        <v>1109004551556.6707</v>
      </c>
      <c r="AY9">
        <f>'Calculations BTU'!BG88</f>
        <v>1109004551556.6707</v>
      </c>
      <c r="AZ9">
        <f>'Calculations BTU'!BH88</f>
        <v>1109004551556.6707</v>
      </c>
    </row>
    <row r="10" spans="1:52">
      <c r="A10" t="s">
        <v>134</v>
      </c>
      <c r="B10">
        <f>'Calculations BTU'!J89</f>
        <v>0</v>
      </c>
      <c r="C10">
        <f>'Calculations BTU'!K89</f>
        <v>0</v>
      </c>
      <c r="D10">
        <f>'Calculations BTU'!L89</f>
        <v>0</v>
      </c>
      <c r="E10">
        <f>'Calculations BTU'!M89</f>
        <v>0</v>
      </c>
      <c r="F10">
        <f>'Calculations BTU'!N89</f>
        <v>0</v>
      </c>
      <c r="G10">
        <f>'Calculations BTU'!O89</f>
        <v>0</v>
      </c>
      <c r="H10">
        <f>'Calculations BTU'!P89</f>
        <v>0</v>
      </c>
      <c r="I10">
        <f>'Calculations BTU'!Q89</f>
        <v>0</v>
      </c>
      <c r="J10">
        <f>'Calculations BTU'!R89</f>
        <v>0</v>
      </c>
      <c r="K10">
        <f>'Calculations BTU'!S89</f>
        <v>0</v>
      </c>
      <c r="L10">
        <f>'Calculations BTU'!T89</f>
        <v>0</v>
      </c>
      <c r="M10">
        <f>'Calculations BTU'!U89</f>
        <v>0</v>
      </c>
      <c r="N10">
        <f>'Calculations BTU'!V89</f>
        <v>0</v>
      </c>
      <c r="O10">
        <f>'Calculations BTU'!W89</f>
        <v>0</v>
      </c>
      <c r="P10">
        <f>'Calculations BTU'!X89</f>
        <v>0</v>
      </c>
      <c r="Q10">
        <f>'Calculations BTU'!Y89</f>
        <v>0</v>
      </c>
      <c r="R10">
        <f>'Calculations BTU'!Z89</f>
        <v>0</v>
      </c>
      <c r="S10">
        <f>'Calculations BTU'!AA89</f>
        <v>0</v>
      </c>
      <c r="T10">
        <f>'Calculations BTU'!AB89</f>
        <v>0</v>
      </c>
      <c r="U10">
        <f>'Calculations BTU'!AC89</f>
        <v>0</v>
      </c>
      <c r="V10">
        <f>'Calculations BTU'!AD89</f>
        <v>0</v>
      </c>
      <c r="W10">
        <f>'Calculations BTU'!AE89</f>
        <v>0</v>
      </c>
      <c r="X10">
        <f>'Calculations BTU'!AF89</f>
        <v>0</v>
      </c>
      <c r="Y10">
        <f>'Calculations BTU'!AG89</f>
        <v>0</v>
      </c>
      <c r="Z10">
        <f>'Calculations BTU'!AH89</f>
        <v>0</v>
      </c>
      <c r="AA10">
        <f>'Calculations BTU'!AI89</f>
        <v>0</v>
      </c>
      <c r="AB10">
        <f>'Calculations BTU'!AJ89</f>
        <v>0</v>
      </c>
      <c r="AC10">
        <f>'Calculations BTU'!AK89</f>
        <v>0</v>
      </c>
      <c r="AD10">
        <f>'Calculations BTU'!AL89</f>
        <v>0</v>
      </c>
      <c r="AE10">
        <f>'Calculations BTU'!AM89</f>
        <v>0</v>
      </c>
      <c r="AF10">
        <f>'Calculations BTU'!AN89</f>
        <v>0</v>
      </c>
      <c r="AG10">
        <f>'Calculations BTU'!AO89</f>
        <v>0</v>
      </c>
      <c r="AH10">
        <f>'Calculations BTU'!AP89</f>
        <v>0</v>
      </c>
      <c r="AI10">
        <f>'Calculations BTU'!AQ89</f>
        <v>0</v>
      </c>
      <c r="AJ10">
        <f>'Calculations BTU'!AR89</f>
        <v>0</v>
      </c>
      <c r="AK10">
        <f>'Calculations BTU'!AS89</f>
        <v>0</v>
      </c>
      <c r="AL10">
        <f>'Calculations BTU'!AT89</f>
        <v>0</v>
      </c>
      <c r="AM10">
        <f>'Calculations BTU'!AU89</f>
        <v>0</v>
      </c>
      <c r="AN10">
        <f>'Calculations BTU'!AV89</f>
        <v>0</v>
      </c>
      <c r="AO10">
        <f>'Calculations BTU'!AW89</f>
        <v>0</v>
      </c>
      <c r="AP10">
        <f>'Calculations BTU'!AX89</f>
        <v>0</v>
      </c>
      <c r="AQ10">
        <f>'Calculations BTU'!AY89</f>
        <v>0</v>
      </c>
      <c r="AR10">
        <f>'Calculations BTU'!AZ89</f>
        <v>0</v>
      </c>
      <c r="AS10">
        <f>'Calculations BTU'!BA89</f>
        <v>0</v>
      </c>
      <c r="AT10">
        <f>'Calculations BTU'!BB89</f>
        <v>0</v>
      </c>
      <c r="AU10">
        <f>'Calculations BTU'!BC89</f>
        <v>0</v>
      </c>
      <c r="AV10">
        <f>'Calculations BTU'!BD89</f>
        <v>0</v>
      </c>
      <c r="AW10">
        <f>'Calculations BTU'!BE89</f>
        <v>0</v>
      </c>
      <c r="AX10">
        <f>'Calculations BTU'!BF89</f>
        <v>0</v>
      </c>
      <c r="AY10">
        <f>'Calculations BTU'!BG89</f>
        <v>0</v>
      </c>
      <c r="AZ10">
        <f>'Calculations BTU'!BH89</f>
        <v>0</v>
      </c>
    </row>
    <row r="11" spans="1:52">
      <c r="A11" t="s">
        <v>135</v>
      </c>
      <c r="B11">
        <f>'Calculations BTU'!J90</f>
        <v>2853080085628.6997</v>
      </c>
      <c r="C11">
        <f>'Calculations BTU'!K90</f>
        <v>2815165400105.395</v>
      </c>
      <c r="D11">
        <f>'Calculations BTU'!L90</f>
        <v>2824644071486.2212</v>
      </c>
      <c r="E11">
        <f>'Calculations BTU'!M90</f>
        <v>2815165400105.395</v>
      </c>
      <c r="F11">
        <f>'Calculations BTU'!N90</f>
        <v>2805686728724.5684</v>
      </c>
      <c r="G11">
        <f>'Calculations BTU'!O90</f>
        <v>2796208057343.7427</v>
      </c>
      <c r="H11">
        <f>'Calculations BTU'!P90</f>
        <v>2786729385962.916</v>
      </c>
      <c r="I11">
        <f>'Calculations BTU'!Q90</f>
        <v>2777250714582.0898</v>
      </c>
      <c r="J11">
        <f>'Calculations BTU'!R90</f>
        <v>2777250714582.0898</v>
      </c>
      <c r="K11">
        <f>'Calculations BTU'!S90</f>
        <v>2767772043201.2637</v>
      </c>
      <c r="L11">
        <f>'Calculations BTU'!T90</f>
        <v>2758293371820.4375</v>
      </c>
      <c r="M11">
        <f>'Calculations BTU'!U90</f>
        <v>2748814700439.6108</v>
      </c>
      <c r="N11">
        <f>'Calculations BTU'!V90</f>
        <v>2739336029058.7852</v>
      </c>
      <c r="O11">
        <f>'Calculations BTU'!W90</f>
        <v>2729857357677.9585</v>
      </c>
      <c r="P11">
        <f>'Calculations BTU'!X90</f>
        <v>2720378686297.1323</v>
      </c>
      <c r="Q11">
        <f>'Calculations BTU'!Y90</f>
        <v>2720378686297.1323</v>
      </c>
      <c r="R11">
        <f>'Calculations BTU'!Z90</f>
        <v>2710900014916.3062</v>
      </c>
      <c r="S11">
        <f>'Calculations BTU'!AA90</f>
        <v>2701421343535.48</v>
      </c>
      <c r="T11">
        <f>'Calculations BTU'!AB90</f>
        <v>2691942672154.6533</v>
      </c>
      <c r="U11">
        <f>'Calculations BTU'!AC90</f>
        <v>2682464000773.8276</v>
      </c>
      <c r="V11">
        <f>'Calculations BTU'!AD90</f>
        <v>2672985329393.001</v>
      </c>
      <c r="W11">
        <f>'Calculations BTU'!AE90</f>
        <v>2663506658012.1748</v>
      </c>
      <c r="X11">
        <f>'Calculations BTU'!AF90</f>
        <v>2663506658012.1748</v>
      </c>
      <c r="Y11">
        <f>'Calculations BTU'!AG90</f>
        <v>2654027986631.3486</v>
      </c>
      <c r="Z11">
        <f>'Calculations BTU'!AH90</f>
        <v>2644549315250.5225</v>
      </c>
      <c r="AA11">
        <f>'Calculations BTU'!AI90</f>
        <v>2635070643869.6958</v>
      </c>
      <c r="AB11">
        <f>'Calculations BTU'!AJ90</f>
        <v>2625591972488.8701</v>
      </c>
      <c r="AC11">
        <f>'Calculations BTU'!AK90</f>
        <v>2616113301108.0435</v>
      </c>
      <c r="AD11">
        <f>'Calculations BTU'!AL90</f>
        <v>2616113301108.0435</v>
      </c>
      <c r="AE11">
        <f>'Calculations BTU'!AM90</f>
        <v>2606634629727.2173</v>
      </c>
      <c r="AF11">
        <f>'Calculations BTU'!AN90</f>
        <v>2597155958346.3916</v>
      </c>
      <c r="AG11">
        <f>'Calculations BTU'!AO90</f>
        <v>2597155958346.3916</v>
      </c>
      <c r="AH11">
        <f>'Calculations BTU'!AP90</f>
        <v>2597155958346.3916</v>
      </c>
      <c r="AI11">
        <f>'Calculations BTU'!AQ90</f>
        <v>2597155958346.3916</v>
      </c>
      <c r="AJ11">
        <f>'Calculations BTU'!AR90</f>
        <v>2597155958346.3916</v>
      </c>
      <c r="AK11">
        <f>'Calculations BTU'!AS90</f>
        <v>2597155958346.3916</v>
      </c>
      <c r="AL11">
        <f>'Calculations BTU'!AT90</f>
        <v>2597155958346.3916</v>
      </c>
      <c r="AM11">
        <f>'Calculations BTU'!AU90</f>
        <v>2597155958346.3916</v>
      </c>
      <c r="AN11">
        <f>'Calculations BTU'!AV90</f>
        <v>2597155958346.3916</v>
      </c>
      <c r="AO11">
        <f>'Calculations BTU'!AW90</f>
        <v>2597155958346.3916</v>
      </c>
      <c r="AP11">
        <f>'Calculations BTU'!AX90</f>
        <v>2597155958346.3916</v>
      </c>
      <c r="AQ11">
        <f>'Calculations BTU'!AY90</f>
        <v>2597155958346.3916</v>
      </c>
      <c r="AR11">
        <f>'Calculations BTU'!AZ90</f>
        <v>2597155958346.3916</v>
      </c>
      <c r="AS11">
        <f>'Calculations BTU'!BA90</f>
        <v>2597155958346.3916</v>
      </c>
      <c r="AT11">
        <f>'Calculations BTU'!BB90</f>
        <v>2597155958346.3916</v>
      </c>
      <c r="AU11">
        <f>'Calculations BTU'!BC90</f>
        <v>2597155958346.3916</v>
      </c>
      <c r="AV11">
        <f>'Calculations BTU'!BD90</f>
        <v>2597155958346.3916</v>
      </c>
      <c r="AW11">
        <f>'Calculations BTU'!BE90</f>
        <v>2597155958346.3916</v>
      </c>
      <c r="AX11">
        <f>'Calculations BTU'!BF90</f>
        <v>2597155958346.3916</v>
      </c>
      <c r="AY11">
        <f>'Calculations BTU'!BG90</f>
        <v>2597155958346.3916</v>
      </c>
      <c r="AZ11">
        <f>'Calculations BTU'!BH90</f>
        <v>2597155958346.3916</v>
      </c>
    </row>
    <row r="12" spans="1:52">
      <c r="A12" t="s">
        <v>136</v>
      </c>
      <c r="B12">
        <f>'Calculations BTU'!J91</f>
        <v>1905212947546.075</v>
      </c>
      <c r="C12">
        <f>'Calculations BTU'!K91</f>
        <v>1658767491644.5928</v>
      </c>
      <c r="D12">
        <f>'Calculations BTU'!L91</f>
        <v>1687203505787.0718</v>
      </c>
      <c r="E12">
        <f>'Calculations BTU'!M91</f>
        <v>1715639519929.5505</v>
      </c>
      <c r="F12">
        <f>'Calculations BTU'!N91</f>
        <v>1744075534072.0293</v>
      </c>
      <c r="G12">
        <f>'Calculations BTU'!O91</f>
        <v>1772511548214.5081</v>
      </c>
      <c r="H12">
        <f>'Calculations BTU'!P91</f>
        <v>1800947562356.9866</v>
      </c>
      <c r="I12">
        <f>'Calculations BTU'!Q91</f>
        <v>1829383576499.4653</v>
      </c>
      <c r="J12">
        <f>'Calculations BTU'!R91</f>
        <v>1867298262022.7703</v>
      </c>
      <c r="K12">
        <f>'Calculations BTU'!S91</f>
        <v>1895734276165.249</v>
      </c>
      <c r="L12">
        <f>'Calculations BTU'!T91</f>
        <v>1924170290307.7275</v>
      </c>
      <c r="M12">
        <f>'Calculations BTU'!U91</f>
        <v>1952606304450.2065</v>
      </c>
      <c r="N12">
        <f>'Calculations BTU'!V91</f>
        <v>1981042318592.6851</v>
      </c>
      <c r="O12">
        <f>'Calculations BTU'!W91</f>
        <v>2009478332735.1641</v>
      </c>
      <c r="P12">
        <f>'Calculations BTU'!X91</f>
        <v>2047393018258.469</v>
      </c>
      <c r="Q12">
        <f>'Calculations BTU'!Y91</f>
        <v>2075829032400.9475</v>
      </c>
      <c r="R12">
        <f>'Calculations BTU'!Z91</f>
        <v>2104265046543.4265</v>
      </c>
      <c r="S12">
        <f>'Calculations BTU'!AA91</f>
        <v>2132701060685.9053</v>
      </c>
      <c r="T12">
        <f>'Calculations BTU'!AB91</f>
        <v>2161137074828.3838</v>
      </c>
      <c r="U12">
        <f>'Calculations BTU'!AC91</f>
        <v>2189573088970.8628</v>
      </c>
      <c r="V12">
        <f>'Calculations BTU'!AD91</f>
        <v>2227487774494.1675</v>
      </c>
      <c r="W12">
        <f>'Calculations BTU'!AE91</f>
        <v>2255923788636.646</v>
      </c>
      <c r="X12">
        <f>'Calculations BTU'!AF91</f>
        <v>2284359802779.125</v>
      </c>
      <c r="Y12">
        <f>'Calculations BTU'!AG91</f>
        <v>2312795816921.6035</v>
      </c>
      <c r="Z12">
        <f>'Calculations BTU'!AH91</f>
        <v>2341231831064.0825</v>
      </c>
      <c r="AA12">
        <f>'Calculations BTU'!AI91</f>
        <v>2369667845206.5615</v>
      </c>
      <c r="AB12">
        <f>'Calculations BTU'!AJ91</f>
        <v>2407582530729.8662</v>
      </c>
      <c r="AC12">
        <f>'Calculations BTU'!AK91</f>
        <v>2436018544872.3447</v>
      </c>
      <c r="AD12">
        <f>'Calculations BTU'!AL91</f>
        <v>2464454559014.8237</v>
      </c>
      <c r="AE12">
        <f>'Calculations BTU'!AM91</f>
        <v>2492890573157.3022</v>
      </c>
      <c r="AF12">
        <f>'Calculations BTU'!AN91</f>
        <v>2521326587299.7813</v>
      </c>
      <c r="AG12">
        <f>'Calculations BTU'!AO91</f>
        <v>2521326587299.7813</v>
      </c>
      <c r="AH12">
        <f>'Calculations BTU'!AP91</f>
        <v>2521326587299.7813</v>
      </c>
      <c r="AI12">
        <f>'Calculations BTU'!AQ91</f>
        <v>2521326587299.7813</v>
      </c>
      <c r="AJ12">
        <f>'Calculations BTU'!AR91</f>
        <v>2521326587299.7813</v>
      </c>
      <c r="AK12">
        <f>'Calculations BTU'!AS91</f>
        <v>2521326587299.7813</v>
      </c>
      <c r="AL12">
        <f>'Calculations BTU'!AT91</f>
        <v>2521326587299.7813</v>
      </c>
      <c r="AM12">
        <f>'Calculations BTU'!AU91</f>
        <v>2521326587299.7813</v>
      </c>
      <c r="AN12">
        <f>'Calculations BTU'!AV91</f>
        <v>2521326587299.7813</v>
      </c>
      <c r="AO12">
        <f>'Calculations BTU'!AW91</f>
        <v>2521326587299.7813</v>
      </c>
      <c r="AP12">
        <f>'Calculations BTU'!AX91</f>
        <v>2521326587299.7813</v>
      </c>
      <c r="AQ12">
        <f>'Calculations BTU'!AY91</f>
        <v>2521326587299.7813</v>
      </c>
      <c r="AR12">
        <f>'Calculations BTU'!AZ91</f>
        <v>2521326587299.7813</v>
      </c>
      <c r="AS12">
        <f>'Calculations BTU'!BA91</f>
        <v>2521326587299.7813</v>
      </c>
      <c r="AT12">
        <f>'Calculations BTU'!BB91</f>
        <v>2521326587299.7813</v>
      </c>
      <c r="AU12">
        <f>'Calculations BTU'!BC91</f>
        <v>2521326587299.7813</v>
      </c>
      <c r="AV12">
        <f>'Calculations BTU'!BD91</f>
        <v>2521326587299.7813</v>
      </c>
      <c r="AW12">
        <f>'Calculations BTU'!BE91</f>
        <v>2521326587299.7813</v>
      </c>
      <c r="AX12">
        <f>'Calculations BTU'!BF91</f>
        <v>2521326587299.7813</v>
      </c>
      <c r="AY12">
        <f>'Calculations BTU'!BG91</f>
        <v>2521326587299.7813</v>
      </c>
      <c r="AZ12">
        <f>'Calculations BTU'!BH91</f>
        <v>2521326587299.7813</v>
      </c>
    </row>
    <row r="13" spans="1:52">
      <c r="A13" t="s">
        <v>137</v>
      </c>
      <c r="B13">
        <f>'Calculations BTU'!J92</f>
        <v>151658742093.21994</v>
      </c>
      <c r="C13">
        <f>'Calculations BTU'!K92</f>
        <v>132701399331.56744</v>
      </c>
      <c r="D13">
        <f>'Calculations BTU'!L92</f>
        <v>132701399331.56744</v>
      </c>
      <c r="E13">
        <f>'Calculations BTU'!M92</f>
        <v>132701399331.56744</v>
      </c>
      <c r="F13">
        <f>'Calculations BTU'!N92</f>
        <v>132701399331.56744</v>
      </c>
      <c r="G13">
        <f>'Calculations BTU'!O92</f>
        <v>132701399331.56744</v>
      </c>
      <c r="H13">
        <f>'Calculations BTU'!P92</f>
        <v>132701399331.56744</v>
      </c>
      <c r="I13">
        <f>'Calculations BTU'!Q92</f>
        <v>132701399331.56744</v>
      </c>
      <c r="J13">
        <f>'Calculations BTU'!R92</f>
        <v>132701399331.56744</v>
      </c>
      <c r="K13">
        <f>'Calculations BTU'!S92</f>
        <v>132701399331.56744</v>
      </c>
      <c r="L13">
        <f>'Calculations BTU'!T92</f>
        <v>132701399331.56744</v>
      </c>
      <c r="M13">
        <f>'Calculations BTU'!U92</f>
        <v>132701399331.56744</v>
      </c>
      <c r="N13">
        <f>'Calculations BTU'!V92</f>
        <v>132701399331.56744</v>
      </c>
      <c r="O13">
        <f>'Calculations BTU'!W92</f>
        <v>132701399331.56744</v>
      </c>
      <c r="P13">
        <f>'Calculations BTU'!X92</f>
        <v>132701399331.56744</v>
      </c>
      <c r="Q13">
        <f>'Calculations BTU'!Y92</f>
        <v>132701399331.56744</v>
      </c>
      <c r="R13">
        <f>'Calculations BTU'!Z92</f>
        <v>123222727950.7412</v>
      </c>
      <c r="S13">
        <f>'Calculations BTU'!AA92</f>
        <v>123222727950.7412</v>
      </c>
      <c r="T13">
        <f>'Calculations BTU'!AB92</f>
        <v>123222727950.7412</v>
      </c>
      <c r="U13">
        <f>'Calculations BTU'!AC92</f>
        <v>123222727950.7412</v>
      </c>
      <c r="V13">
        <f>'Calculations BTU'!AD92</f>
        <v>123222727950.7412</v>
      </c>
      <c r="W13">
        <f>'Calculations BTU'!AE92</f>
        <v>123222727950.7412</v>
      </c>
      <c r="X13">
        <f>'Calculations BTU'!AF92</f>
        <v>123222727950.7412</v>
      </c>
      <c r="Y13">
        <f>'Calculations BTU'!AG92</f>
        <v>123222727950.7412</v>
      </c>
      <c r="Z13">
        <f>'Calculations BTU'!AH92</f>
        <v>123222727950.7412</v>
      </c>
      <c r="AA13">
        <f>'Calculations BTU'!AI92</f>
        <v>123222727950.7412</v>
      </c>
      <c r="AB13">
        <f>'Calculations BTU'!AJ92</f>
        <v>123222727950.7412</v>
      </c>
      <c r="AC13">
        <f>'Calculations BTU'!AK92</f>
        <v>123222727950.7412</v>
      </c>
      <c r="AD13">
        <f>'Calculations BTU'!AL92</f>
        <v>123222727950.7412</v>
      </c>
      <c r="AE13">
        <f>'Calculations BTU'!AM92</f>
        <v>123222727950.7412</v>
      </c>
      <c r="AF13">
        <f>'Calculations BTU'!AN92</f>
        <v>123222727950.7412</v>
      </c>
      <c r="AG13">
        <f>'Calculations BTU'!AO92</f>
        <v>123222727950.7412</v>
      </c>
      <c r="AH13">
        <f>'Calculations BTU'!AP92</f>
        <v>123222727950.7412</v>
      </c>
      <c r="AI13">
        <f>'Calculations BTU'!AQ92</f>
        <v>123222727950.7412</v>
      </c>
      <c r="AJ13">
        <f>'Calculations BTU'!AR92</f>
        <v>123222727950.7412</v>
      </c>
      <c r="AK13">
        <f>'Calculations BTU'!AS92</f>
        <v>123222727950.7412</v>
      </c>
      <c r="AL13">
        <f>'Calculations BTU'!AT92</f>
        <v>123222727950.7412</v>
      </c>
      <c r="AM13">
        <f>'Calculations BTU'!AU92</f>
        <v>123222727950.7412</v>
      </c>
      <c r="AN13">
        <f>'Calculations BTU'!AV92</f>
        <v>123222727950.7412</v>
      </c>
      <c r="AO13">
        <f>'Calculations BTU'!AW92</f>
        <v>123222727950.7412</v>
      </c>
      <c r="AP13">
        <f>'Calculations BTU'!AX92</f>
        <v>123222727950.7412</v>
      </c>
      <c r="AQ13">
        <f>'Calculations BTU'!AY92</f>
        <v>123222727950.7412</v>
      </c>
      <c r="AR13">
        <f>'Calculations BTU'!AZ92</f>
        <v>123222727950.7412</v>
      </c>
      <c r="AS13">
        <f>'Calculations BTU'!BA92</f>
        <v>123222727950.7412</v>
      </c>
      <c r="AT13">
        <f>'Calculations BTU'!BB92</f>
        <v>123222727950.7412</v>
      </c>
      <c r="AU13">
        <f>'Calculations BTU'!BC92</f>
        <v>123222727950.7412</v>
      </c>
      <c r="AV13">
        <f>'Calculations BTU'!BD92</f>
        <v>123222727950.7412</v>
      </c>
      <c r="AW13">
        <f>'Calculations BTU'!BE92</f>
        <v>123222727950.7412</v>
      </c>
      <c r="AX13">
        <f>'Calculations BTU'!BF92</f>
        <v>123222727950.7412</v>
      </c>
      <c r="AY13">
        <f>'Calculations BTU'!BG92</f>
        <v>123222727950.7412</v>
      </c>
      <c r="AZ13">
        <f>'Calculations BTU'!BH92</f>
        <v>123222727950.7412</v>
      </c>
    </row>
    <row r="14" spans="1:52">
      <c r="A14" t="s">
        <v>138</v>
      </c>
      <c r="B14">
        <f>'Calculations BTU'!J93</f>
        <v>94786713808.262451</v>
      </c>
      <c r="C14">
        <f>'Calculations BTU'!K93</f>
        <v>85308042427.436203</v>
      </c>
      <c r="D14">
        <f>'Calculations BTU'!L93</f>
        <v>85308042427.436203</v>
      </c>
      <c r="E14">
        <f>'Calculations BTU'!M93</f>
        <v>85308042427.436203</v>
      </c>
      <c r="F14">
        <f>'Calculations BTU'!N93</f>
        <v>85308042427.436203</v>
      </c>
      <c r="G14">
        <f>'Calculations BTU'!O93</f>
        <v>85308042427.436203</v>
      </c>
      <c r="H14">
        <f>'Calculations BTU'!P93</f>
        <v>85308042427.436203</v>
      </c>
      <c r="I14">
        <f>'Calculations BTU'!Q93</f>
        <v>85308042427.436203</v>
      </c>
      <c r="J14">
        <f>'Calculations BTU'!R93</f>
        <v>85308042427.436203</v>
      </c>
      <c r="K14">
        <f>'Calculations BTU'!S93</f>
        <v>85308042427.436203</v>
      </c>
      <c r="L14">
        <f>'Calculations BTU'!T93</f>
        <v>85308042427.436203</v>
      </c>
      <c r="M14">
        <f>'Calculations BTU'!U93</f>
        <v>85308042427.436203</v>
      </c>
      <c r="N14">
        <f>'Calculations BTU'!V93</f>
        <v>85308042427.436203</v>
      </c>
      <c r="O14">
        <f>'Calculations BTU'!W93</f>
        <v>85308042427.436203</v>
      </c>
      <c r="P14">
        <f>'Calculations BTU'!X93</f>
        <v>85308042427.436203</v>
      </c>
      <c r="Q14">
        <f>'Calculations BTU'!Y93</f>
        <v>85308042427.436203</v>
      </c>
      <c r="R14">
        <f>'Calculations BTU'!Z93</f>
        <v>85308042427.436203</v>
      </c>
      <c r="S14">
        <f>'Calculations BTU'!AA93</f>
        <v>85308042427.436203</v>
      </c>
      <c r="T14">
        <f>'Calculations BTU'!AB93</f>
        <v>85308042427.436203</v>
      </c>
      <c r="U14">
        <f>'Calculations BTU'!AC93</f>
        <v>85308042427.436203</v>
      </c>
      <c r="V14">
        <f>'Calculations BTU'!AD93</f>
        <v>85308042427.436203</v>
      </c>
      <c r="W14">
        <f>'Calculations BTU'!AE93</f>
        <v>85308042427.436203</v>
      </c>
      <c r="X14">
        <f>'Calculations BTU'!AF93</f>
        <v>85308042427.436203</v>
      </c>
      <c r="Y14">
        <f>'Calculations BTU'!AG93</f>
        <v>75829371046.60997</v>
      </c>
      <c r="Z14">
        <f>'Calculations BTU'!AH93</f>
        <v>75829371046.60997</v>
      </c>
      <c r="AA14">
        <f>'Calculations BTU'!AI93</f>
        <v>75829371046.60997</v>
      </c>
      <c r="AB14">
        <f>'Calculations BTU'!AJ93</f>
        <v>75829371046.60997</v>
      </c>
      <c r="AC14">
        <f>'Calculations BTU'!AK93</f>
        <v>75829371046.60997</v>
      </c>
      <c r="AD14">
        <f>'Calculations BTU'!AL93</f>
        <v>75829371046.60997</v>
      </c>
      <c r="AE14">
        <f>'Calculations BTU'!AM93</f>
        <v>75829371046.60997</v>
      </c>
      <c r="AF14">
        <f>'Calculations BTU'!AN93</f>
        <v>75829371046.60997</v>
      </c>
      <c r="AG14">
        <f>'Calculations BTU'!AO93</f>
        <v>75829371046.60997</v>
      </c>
      <c r="AH14">
        <f>'Calculations BTU'!AP93</f>
        <v>75829371046.60997</v>
      </c>
      <c r="AI14">
        <f>'Calculations BTU'!AQ93</f>
        <v>75829371046.60997</v>
      </c>
      <c r="AJ14">
        <f>'Calculations BTU'!AR93</f>
        <v>75829371046.60997</v>
      </c>
      <c r="AK14">
        <f>'Calculations BTU'!AS93</f>
        <v>75829371046.60997</v>
      </c>
      <c r="AL14">
        <f>'Calculations BTU'!AT93</f>
        <v>75829371046.60997</v>
      </c>
      <c r="AM14">
        <f>'Calculations BTU'!AU93</f>
        <v>75829371046.60997</v>
      </c>
      <c r="AN14">
        <f>'Calculations BTU'!AV93</f>
        <v>75829371046.60997</v>
      </c>
      <c r="AO14">
        <f>'Calculations BTU'!AW93</f>
        <v>75829371046.60997</v>
      </c>
      <c r="AP14">
        <f>'Calculations BTU'!AX93</f>
        <v>75829371046.60997</v>
      </c>
      <c r="AQ14">
        <f>'Calculations BTU'!AY93</f>
        <v>75829371046.60997</v>
      </c>
      <c r="AR14">
        <f>'Calculations BTU'!AZ93</f>
        <v>75829371046.60997</v>
      </c>
      <c r="AS14">
        <f>'Calculations BTU'!BA93</f>
        <v>75829371046.60997</v>
      </c>
      <c r="AT14">
        <f>'Calculations BTU'!BB93</f>
        <v>75829371046.60997</v>
      </c>
      <c r="AU14">
        <f>'Calculations BTU'!BC93</f>
        <v>75829371046.60997</v>
      </c>
      <c r="AV14">
        <f>'Calculations BTU'!BD93</f>
        <v>75829371046.60997</v>
      </c>
      <c r="AW14">
        <f>'Calculations BTU'!BE93</f>
        <v>75829371046.60997</v>
      </c>
      <c r="AX14">
        <f>'Calculations BTU'!BF93</f>
        <v>75829371046.60997</v>
      </c>
      <c r="AY14">
        <f>'Calculations BTU'!BG93</f>
        <v>75829371046.60997</v>
      </c>
      <c r="AZ14">
        <f>'Calculations BTU'!BH93</f>
        <v>75829371046.60997</v>
      </c>
    </row>
    <row r="15" spans="1:52">
      <c r="A15" t="s">
        <v>139</v>
      </c>
      <c r="B15">
        <f>'Calculations BTU'!J94</f>
        <v>502369583183.79102</v>
      </c>
      <c r="C15">
        <f>'Calculations BTU'!K94</f>
        <v>436018883518.00732</v>
      </c>
      <c r="D15">
        <f>'Calculations BTU'!L94</f>
        <v>436018883518.00732</v>
      </c>
      <c r="E15">
        <f>'Calculations BTU'!M94</f>
        <v>436018883518.00732</v>
      </c>
      <c r="F15">
        <f>'Calculations BTU'!N94</f>
        <v>436018883518.00732</v>
      </c>
      <c r="G15">
        <f>'Calculations BTU'!O94</f>
        <v>436018883518.00732</v>
      </c>
      <c r="H15">
        <f>'Calculations BTU'!P94</f>
        <v>436018883518.00732</v>
      </c>
      <c r="I15">
        <f>'Calculations BTU'!Q94</f>
        <v>426540212137.18103</v>
      </c>
      <c r="J15">
        <f>'Calculations BTU'!R94</f>
        <v>426540212137.18103</v>
      </c>
      <c r="K15">
        <f>'Calculations BTU'!S94</f>
        <v>426540212137.18103</v>
      </c>
      <c r="L15">
        <f>'Calculations BTU'!T94</f>
        <v>426540212137.18103</v>
      </c>
      <c r="M15">
        <f>'Calculations BTU'!U94</f>
        <v>426540212137.18103</v>
      </c>
      <c r="N15">
        <f>'Calculations BTU'!V94</f>
        <v>426540212137.18103</v>
      </c>
      <c r="O15">
        <f>'Calculations BTU'!W94</f>
        <v>426540212137.18103</v>
      </c>
      <c r="P15">
        <f>'Calculations BTU'!X94</f>
        <v>426540212137.18103</v>
      </c>
      <c r="Q15">
        <f>'Calculations BTU'!Y94</f>
        <v>417061540756.3548</v>
      </c>
      <c r="R15">
        <f>'Calculations BTU'!Z94</f>
        <v>417061540756.3548</v>
      </c>
      <c r="S15">
        <f>'Calculations BTU'!AA94</f>
        <v>417061540756.3548</v>
      </c>
      <c r="T15">
        <f>'Calculations BTU'!AB94</f>
        <v>417061540756.3548</v>
      </c>
      <c r="U15">
        <f>'Calculations BTU'!AC94</f>
        <v>417061540756.3548</v>
      </c>
      <c r="V15">
        <f>'Calculations BTU'!AD94</f>
        <v>417061540756.3548</v>
      </c>
      <c r="W15">
        <f>'Calculations BTU'!AE94</f>
        <v>417061540756.3548</v>
      </c>
      <c r="X15">
        <f>'Calculations BTU'!AF94</f>
        <v>407582869375.5285</v>
      </c>
      <c r="Y15">
        <f>'Calculations BTU'!AG94</f>
        <v>407582869375.5285</v>
      </c>
      <c r="Z15">
        <f>'Calculations BTU'!AH94</f>
        <v>407582869375.5285</v>
      </c>
      <c r="AA15">
        <f>'Calculations BTU'!AI94</f>
        <v>407582869375.5285</v>
      </c>
      <c r="AB15">
        <f>'Calculations BTU'!AJ94</f>
        <v>407582869375.5285</v>
      </c>
      <c r="AC15">
        <f>'Calculations BTU'!AK94</f>
        <v>407582869375.5285</v>
      </c>
      <c r="AD15">
        <f>'Calculations BTU'!AL94</f>
        <v>407582869375.5285</v>
      </c>
      <c r="AE15">
        <f>'Calculations BTU'!AM94</f>
        <v>407582869375.5285</v>
      </c>
      <c r="AF15">
        <f>'Calculations BTU'!AN94</f>
        <v>398104197994.70227</v>
      </c>
      <c r="AG15">
        <f>'Calculations BTU'!AO94</f>
        <v>398104197994.70227</v>
      </c>
      <c r="AH15">
        <f>'Calculations BTU'!AP94</f>
        <v>398104197994.70227</v>
      </c>
      <c r="AI15">
        <f>'Calculations BTU'!AQ94</f>
        <v>398104197994.70227</v>
      </c>
      <c r="AJ15">
        <f>'Calculations BTU'!AR94</f>
        <v>398104197994.70227</v>
      </c>
      <c r="AK15">
        <f>'Calculations BTU'!AS94</f>
        <v>398104197994.70227</v>
      </c>
      <c r="AL15">
        <f>'Calculations BTU'!AT94</f>
        <v>398104197994.70227</v>
      </c>
      <c r="AM15">
        <f>'Calculations BTU'!AU94</f>
        <v>398104197994.70227</v>
      </c>
      <c r="AN15">
        <f>'Calculations BTU'!AV94</f>
        <v>398104197994.70227</v>
      </c>
      <c r="AO15">
        <f>'Calculations BTU'!AW94</f>
        <v>398104197994.70227</v>
      </c>
      <c r="AP15">
        <f>'Calculations BTU'!AX94</f>
        <v>398104197994.70227</v>
      </c>
      <c r="AQ15">
        <f>'Calculations BTU'!AY94</f>
        <v>398104197994.70227</v>
      </c>
      <c r="AR15">
        <f>'Calculations BTU'!AZ94</f>
        <v>398104197994.70227</v>
      </c>
      <c r="AS15">
        <f>'Calculations BTU'!BA94</f>
        <v>398104197994.70227</v>
      </c>
      <c r="AT15">
        <f>'Calculations BTU'!BB94</f>
        <v>398104197994.70227</v>
      </c>
      <c r="AU15">
        <f>'Calculations BTU'!BC94</f>
        <v>398104197994.70227</v>
      </c>
      <c r="AV15">
        <f>'Calculations BTU'!BD94</f>
        <v>398104197994.70227</v>
      </c>
      <c r="AW15">
        <f>'Calculations BTU'!BE94</f>
        <v>398104197994.70227</v>
      </c>
      <c r="AX15">
        <f>'Calculations BTU'!BF94</f>
        <v>398104197994.70227</v>
      </c>
      <c r="AY15">
        <f>'Calculations BTU'!BG94</f>
        <v>398104197994.70227</v>
      </c>
      <c r="AZ15">
        <f>'Calculations BTU'!BH94</f>
        <v>398104197994.70227</v>
      </c>
    </row>
    <row r="16" spans="1:52">
      <c r="A16" t="s">
        <v>140</v>
      </c>
      <c r="B16">
        <f>'Calculations BTU'!J95</f>
        <v>0</v>
      </c>
      <c r="C16">
        <f>'Calculations BTU'!K95</f>
        <v>0</v>
      </c>
      <c r="D16">
        <f>'Calculations BTU'!L95</f>
        <v>0</v>
      </c>
      <c r="E16">
        <f>'Calculations BTU'!M95</f>
        <v>0</v>
      </c>
      <c r="F16">
        <f>'Calculations BTU'!N95</f>
        <v>0</v>
      </c>
      <c r="G16">
        <f>'Calculations BTU'!O95</f>
        <v>0</v>
      </c>
      <c r="H16">
        <f>'Calculations BTU'!P95</f>
        <v>0</v>
      </c>
      <c r="I16">
        <f>'Calculations BTU'!Q95</f>
        <v>0</v>
      </c>
      <c r="J16">
        <f>'Calculations BTU'!R95</f>
        <v>0</v>
      </c>
      <c r="K16">
        <f>'Calculations BTU'!S95</f>
        <v>0</v>
      </c>
      <c r="L16">
        <f>'Calculations BTU'!T95</f>
        <v>0</v>
      </c>
      <c r="M16">
        <f>'Calculations BTU'!U95</f>
        <v>0</v>
      </c>
      <c r="N16">
        <f>'Calculations BTU'!V95</f>
        <v>0</v>
      </c>
      <c r="O16">
        <f>'Calculations BTU'!W95</f>
        <v>0</v>
      </c>
      <c r="P16">
        <f>'Calculations BTU'!X95</f>
        <v>0</v>
      </c>
      <c r="Q16">
        <f>'Calculations BTU'!Y95</f>
        <v>0</v>
      </c>
      <c r="R16">
        <f>'Calculations BTU'!Z95</f>
        <v>0</v>
      </c>
      <c r="S16">
        <f>'Calculations BTU'!AA95</f>
        <v>0</v>
      </c>
      <c r="T16">
        <f>'Calculations BTU'!AB95</f>
        <v>0</v>
      </c>
      <c r="U16">
        <f>'Calculations BTU'!AC95</f>
        <v>0</v>
      </c>
      <c r="V16">
        <f>'Calculations BTU'!AD95</f>
        <v>0</v>
      </c>
      <c r="W16">
        <f>'Calculations BTU'!AE95</f>
        <v>0</v>
      </c>
      <c r="X16">
        <f>'Calculations BTU'!AF95</f>
        <v>0</v>
      </c>
      <c r="Y16">
        <f>'Calculations BTU'!AG95</f>
        <v>0</v>
      </c>
      <c r="Z16">
        <f>'Calculations BTU'!AH95</f>
        <v>0</v>
      </c>
      <c r="AA16">
        <f>'Calculations BTU'!AI95</f>
        <v>0</v>
      </c>
      <c r="AB16">
        <f>'Calculations BTU'!AJ95</f>
        <v>0</v>
      </c>
      <c r="AC16">
        <f>'Calculations BTU'!AK95</f>
        <v>0</v>
      </c>
      <c r="AD16">
        <f>'Calculations BTU'!AL95</f>
        <v>0</v>
      </c>
      <c r="AE16">
        <f>'Calculations BTU'!AM95</f>
        <v>0</v>
      </c>
      <c r="AF16">
        <f>'Calculations BTU'!AN95</f>
        <v>0</v>
      </c>
      <c r="AG16">
        <f>'Calculations BTU'!AO95</f>
        <v>0</v>
      </c>
      <c r="AH16">
        <f>'Calculations BTU'!AP95</f>
        <v>0</v>
      </c>
      <c r="AI16">
        <f>'Calculations BTU'!AQ95</f>
        <v>0</v>
      </c>
      <c r="AJ16">
        <f>'Calculations BTU'!AR95</f>
        <v>0</v>
      </c>
      <c r="AK16">
        <f>'Calculations BTU'!AS95</f>
        <v>0</v>
      </c>
      <c r="AL16">
        <f>'Calculations BTU'!AT95</f>
        <v>0</v>
      </c>
      <c r="AM16">
        <f>'Calculations BTU'!AU95</f>
        <v>0</v>
      </c>
      <c r="AN16">
        <f>'Calculations BTU'!AV95</f>
        <v>0</v>
      </c>
      <c r="AO16">
        <f>'Calculations BTU'!AW95</f>
        <v>0</v>
      </c>
      <c r="AP16">
        <f>'Calculations BTU'!AX95</f>
        <v>0</v>
      </c>
      <c r="AQ16">
        <f>'Calculations BTU'!AY95</f>
        <v>0</v>
      </c>
      <c r="AR16">
        <f>'Calculations BTU'!AZ95</f>
        <v>0</v>
      </c>
      <c r="AS16">
        <f>'Calculations BTU'!BA95</f>
        <v>0</v>
      </c>
      <c r="AT16">
        <f>'Calculations BTU'!BB95</f>
        <v>0</v>
      </c>
      <c r="AU16">
        <f>'Calculations BTU'!BC95</f>
        <v>0</v>
      </c>
      <c r="AV16">
        <f>'Calculations BTU'!BD95</f>
        <v>0</v>
      </c>
      <c r="AW16">
        <f>'Calculations BTU'!BE95</f>
        <v>0</v>
      </c>
      <c r="AX16">
        <f>'Calculations BTU'!BF95</f>
        <v>0</v>
      </c>
      <c r="AY16">
        <f>'Calculations BTU'!BG95</f>
        <v>0</v>
      </c>
      <c r="AZ16">
        <f>'Calculations BTU'!BH95</f>
        <v>0</v>
      </c>
    </row>
    <row r="17" spans="1:52">
      <c r="A17" t="s">
        <v>141</v>
      </c>
      <c r="B17">
        <f>'Calculations BTU'!J96</f>
        <v>0</v>
      </c>
      <c r="C17">
        <f>'Calculations BTU'!K96</f>
        <v>0</v>
      </c>
      <c r="D17">
        <f>'Calculations BTU'!L96</f>
        <v>0</v>
      </c>
      <c r="E17">
        <f>'Calculations BTU'!M96</f>
        <v>0</v>
      </c>
      <c r="F17">
        <f>'Calculations BTU'!N96</f>
        <v>0</v>
      </c>
      <c r="G17">
        <f>'Calculations BTU'!O96</f>
        <v>0</v>
      </c>
      <c r="H17">
        <f>'Calculations BTU'!P96</f>
        <v>0</v>
      </c>
      <c r="I17">
        <f>'Calculations BTU'!Q96</f>
        <v>0</v>
      </c>
      <c r="J17">
        <f>'Calculations BTU'!R96</f>
        <v>0</v>
      </c>
      <c r="K17">
        <f>'Calculations BTU'!S96</f>
        <v>0</v>
      </c>
      <c r="L17">
        <f>'Calculations BTU'!T96</f>
        <v>0</v>
      </c>
      <c r="M17">
        <f>'Calculations BTU'!U96</f>
        <v>0</v>
      </c>
      <c r="N17">
        <f>'Calculations BTU'!V96</f>
        <v>0</v>
      </c>
      <c r="O17">
        <f>'Calculations BTU'!W96</f>
        <v>0</v>
      </c>
      <c r="P17">
        <f>'Calculations BTU'!X96</f>
        <v>0</v>
      </c>
      <c r="Q17">
        <f>'Calculations BTU'!Y96</f>
        <v>0</v>
      </c>
      <c r="R17">
        <f>'Calculations BTU'!Z96</f>
        <v>0</v>
      </c>
      <c r="S17">
        <f>'Calculations BTU'!AA96</f>
        <v>0</v>
      </c>
      <c r="T17">
        <f>'Calculations BTU'!AB96</f>
        <v>0</v>
      </c>
      <c r="U17">
        <f>'Calculations BTU'!AC96</f>
        <v>0</v>
      </c>
      <c r="V17">
        <f>'Calculations BTU'!AD96</f>
        <v>0</v>
      </c>
      <c r="W17">
        <f>'Calculations BTU'!AE96</f>
        <v>0</v>
      </c>
      <c r="X17">
        <f>'Calculations BTU'!AF96</f>
        <v>0</v>
      </c>
      <c r="Y17">
        <f>'Calculations BTU'!AG96</f>
        <v>0</v>
      </c>
      <c r="Z17">
        <f>'Calculations BTU'!AH96</f>
        <v>0</v>
      </c>
      <c r="AA17">
        <f>'Calculations BTU'!AI96</f>
        <v>0</v>
      </c>
      <c r="AB17">
        <f>'Calculations BTU'!AJ96</f>
        <v>0</v>
      </c>
      <c r="AC17">
        <f>'Calculations BTU'!AK96</f>
        <v>0</v>
      </c>
      <c r="AD17">
        <f>'Calculations BTU'!AL96</f>
        <v>0</v>
      </c>
      <c r="AE17">
        <f>'Calculations BTU'!AM96</f>
        <v>0</v>
      </c>
      <c r="AF17">
        <f>'Calculations BTU'!AN96</f>
        <v>0</v>
      </c>
      <c r="AG17">
        <f>'Calculations BTU'!AO96</f>
        <v>0</v>
      </c>
      <c r="AH17">
        <f>'Calculations BTU'!AP96</f>
        <v>0</v>
      </c>
      <c r="AI17">
        <f>'Calculations BTU'!AQ96</f>
        <v>0</v>
      </c>
      <c r="AJ17">
        <f>'Calculations BTU'!AR96</f>
        <v>0</v>
      </c>
      <c r="AK17">
        <f>'Calculations BTU'!AS96</f>
        <v>0</v>
      </c>
      <c r="AL17">
        <f>'Calculations BTU'!AT96</f>
        <v>0</v>
      </c>
      <c r="AM17">
        <f>'Calculations BTU'!AU96</f>
        <v>0</v>
      </c>
      <c r="AN17">
        <f>'Calculations BTU'!AV96</f>
        <v>0</v>
      </c>
      <c r="AO17">
        <f>'Calculations BTU'!AW96</f>
        <v>0</v>
      </c>
      <c r="AP17">
        <f>'Calculations BTU'!AX96</f>
        <v>0</v>
      </c>
      <c r="AQ17">
        <f>'Calculations BTU'!AY96</f>
        <v>0</v>
      </c>
      <c r="AR17">
        <f>'Calculations BTU'!AZ96</f>
        <v>0</v>
      </c>
      <c r="AS17">
        <f>'Calculations BTU'!BA96</f>
        <v>0</v>
      </c>
      <c r="AT17">
        <f>'Calculations BTU'!BB96</f>
        <v>0</v>
      </c>
      <c r="AU17">
        <f>'Calculations BTU'!BC96</f>
        <v>0</v>
      </c>
      <c r="AV17">
        <f>'Calculations BTU'!BD96</f>
        <v>0</v>
      </c>
      <c r="AW17">
        <f>'Calculations BTU'!BE96</f>
        <v>0</v>
      </c>
      <c r="AX17">
        <f>'Calculations BTU'!BF96</f>
        <v>0</v>
      </c>
      <c r="AY17">
        <f>'Calculations BTU'!BG96</f>
        <v>0</v>
      </c>
      <c r="AZ17">
        <f>'Calculations BTU'!BH96</f>
        <v>0</v>
      </c>
    </row>
    <row r="18" spans="1:52">
      <c r="A18" t="s">
        <v>142</v>
      </c>
      <c r="B18">
        <f>'Calculations BTU'!J97</f>
        <v>0</v>
      </c>
      <c r="C18">
        <f>'Calculations BTU'!K97</f>
        <v>0</v>
      </c>
      <c r="D18">
        <f>'Calculations BTU'!L97</f>
        <v>0</v>
      </c>
      <c r="E18">
        <f>'Calculations BTU'!M97</f>
        <v>0</v>
      </c>
      <c r="F18">
        <f>'Calculations BTU'!N97</f>
        <v>0</v>
      </c>
      <c r="G18">
        <f>'Calculations BTU'!O97</f>
        <v>0</v>
      </c>
      <c r="H18">
        <f>'Calculations BTU'!P97</f>
        <v>0</v>
      </c>
      <c r="I18">
        <f>'Calculations BTU'!Q97</f>
        <v>0</v>
      </c>
      <c r="J18">
        <f>'Calculations BTU'!R97</f>
        <v>0</v>
      </c>
      <c r="K18">
        <f>'Calculations BTU'!S97</f>
        <v>0</v>
      </c>
      <c r="L18">
        <f>'Calculations BTU'!T97</f>
        <v>0</v>
      </c>
      <c r="M18">
        <f>'Calculations BTU'!U97</f>
        <v>0</v>
      </c>
      <c r="N18">
        <f>'Calculations BTU'!V97</f>
        <v>0</v>
      </c>
      <c r="O18">
        <f>'Calculations BTU'!W97</f>
        <v>0</v>
      </c>
      <c r="P18">
        <f>'Calculations BTU'!X97</f>
        <v>0</v>
      </c>
      <c r="Q18">
        <f>'Calculations BTU'!Y97</f>
        <v>0</v>
      </c>
      <c r="R18">
        <f>'Calculations BTU'!Z97</f>
        <v>0</v>
      </c>
      <c r="S18">
        <f>'Calculations BTU'!AA97</f>
        <v>0</v>
      </c>
      <c r="T18">
        <f>'Calculations BTU'!AB97</f>
        <v>0</v>
      </c>
      <c r="U18">
        <f>'Calculations BTU'!AC97</f>
        <v>0</v>
      </c>
      <c r="V18">
        <f>'Calculations BTU'!AD97</f>
        <v>0</v>
      </c>
      <c r="W18">
        <f>'Calculations BTU'!AE97</f>
        <v>0</v>
      </c>
      <c r="X18">
        <f>'Calculations BTU'!AF97</f>
        <v>0</v>
      </c>
      <c r="Y18">
        <f>'Calculations BTU'!AG97</f>
        <v>0</v>
      </c>
      <c r="Z18">
        <f>'Calculations BTU'!AH97</f>
        <v>0</v>
      </c>
      <c r="AA18">
        <f>'Calculations BTU'!AI97</f>
        <v>0</v>
      </c>
      <c r="AB18">
        <f>'Calculations BTU'!AJ97</f>
        <v>0</v>
      </c>
      <c r="AC18">
        <f>'Calculations BTU'!AK97</f>
        <v>0</v>
      </c>
      <c r="AD18">
        <f>'Calculations BTU'!AL97</f>
        <v>0</v>
      </c>
      <c r="AE18">
        <f>'Calculations BTU'!AM97</f>
        <v>0</v>
      </c>
      <c r="AF18">
        <f>'Calculations BTU'!AN97</f>
        <v>0</v>
      </c>
      <c r="AG18">
        <f>'Calculations BTU'!AO97</f>
        <v>0</v>
      </c>
      <c r="AH18">
        <f>'Calculations BTU'!AP97</f>
        <v>0</v>
      </c>
      <c r="AI18">
        <f>'Calculations BTU'!AQ97</f>
        <v>0</v>
      </c>
      <c r="AJ18">
        <f>'Calculations BTU'!AR97</f>
        <v>0</v>
      </c>
      <c r="AK18">
        <f>'Calculations BTU'!AS97</f>
        <v>0</v>
      </c>
      <c r="AL18">
        <f>'Calculations BTU'!AT97</f>
        <v>0</v>
      </c>
      <c r="AM18">
        <f>'Calculations BTU'!AU97</f>
        <v>0</v>
      </c>
      <c r="AN18">
        <f>'Calculations BTU'!AV97</f>
        <v>0</v>
      </c>
      <c r="AO18">
        <f>'Calculations BTU'!AW97</f>
        <v>0</v>
      </c>
      <c r="AP18">
        <f>'Calculations BTU'!AX97</f>
        <v>0</v>
      </c>
      <c r="AQ18">
        <f>'Calculations BTU'!AY97</f>
        <v>0</v>
      </c>
      <c r="AR18">
        <f>'Calculations BTU'!AZ97</f>
        <v>0</v>
      </c>
      <c r="AS18">
        <f>'Calculations BTU'!BA97</f>
        <v>0</v>
      </c>
      <c r="AT18">
        <f>'Calculations BTU'!BB97</f>
        <v>0</v>
      </c>
      <c r="AU18">
        <f>'Calculations BTU'!BC97</f>
        <v>0</v>
      </c>
      <c r="AV18">
        <f>'Calculations BTU'!BD97</f>
        <v>0</v>
      </c>
      <c r="AW18">
        <f>'Calculations BTU'!BE97</f>
        <v>0</v>
      </c>
      <c r="AX18">
        <f>'Calculations BTU'!BF97</f>
        <v>0</v>
      </c>
      <c r="AY18">
        <f>'Calculations BTU'!BG97</f>
        <v>0</v>
      </c>
      <c r="AZ18">
        <f>'Calculations BTU'!BH97</f>
        <v>0</v>
      </c>
    </row>
    <row r="19" spans="1:52">
      <c r="A19" t="s">
        <v>143</v>
      </c>
      <c r="B19">
        <f>'Calculations BTU'!J98</f>
        <v>0</v>
      </c>
      <c r="C19">
        <f>'Calculations BTU'!K98</f>
        <v>0</v>
      </c>
      <c r="D19">
        <f>'Calculations BTU'!L98</f>
        <v>0</v>
      </c>
      <c r="E19">
        <f>'Calculations BTU'!M98</f>
        <v>0</v>
      </c>
      <c r="F19">
        <f>'Calculations BTU'!N98</f>
        <v>0</v>
      </c>
      <c r="G19">
        <f>'Calculations BTU'!O98</f>
        <v>0</v>
      </c>
      <c r="H19">
        <f>'Calculations BTU'!P98</f>
        <v>0</v>
      </c>
      <c r="I19">
        <f>'Calculations BTU'!Q98</f>
        <v>0</v>
      </c>
      <c r="J19">
        <f>'Calculations BTU'!R98</f>
        <v>0</v>
      </c>
      <c r="K19">
        <f>'Calculations BTU'!S98</f>
        <v>0</v>
      </c>
      <c r="L19">
        <f>'Calculations BTU'!T98</f>
        <v>0</v>
      </c>
      <c r="M19">
        <f>'Calculations BTU'!U98</f>
        <v>0</v>
      </c>
      <c r="N19">
        <f>'Calculations BTU'!V98</f>
        <v>0</v>
      </c>
      <c r="O19">
        <f>'Calculations BTU'!W98</f>
        <v>0</v>
      </c>
      <c r="P19">
        <f>'Calculations BTU'!X98</f>
        <v>0</v>
      </c>
      <c r="Q19">
        <f>'Calculations BTU'!Y98</f>
        <v>0</v>
      </c>
      <c r="R19">
        <f>'Calculations BTU'!Z98</f>
        <v>0</v>
      </c>
      <c r="S19">
        <f>'Calculations BTU'!AA98</f>
        <v>0</v>
      </c>
      <c r="T19">
        <f>'Calculations BTU'!AB98</f>
        <v>0</v>
      </c>
      <c r="U19">
        <f>'Calculations BTU'!AC98</f>
        <v>0</v>
      </c>
      <c r="V19">
        <f>'Calculations BTU'!AD98</f>
        <v>0</v>
      </c>
      <c r="W19">
        <f>'Calculations BTU'!AE98</f>
        <v>0</v>
      </c>
      <c r="X19">
        <f>'Calculations BTU'!AF98</f>
        <v>0</v>
      </c>
      <c r="Y19">
        <f>'Calculations BTU'!AG98</f>
        <v>0</v>
      </c>
      <c r="Z19">
        <f>'Calculations BTU'!AH98</f>
        <v>0</v>
      </c>
      <c r="AA19">
        <f>'Calculations BTU'!AI98</f>
        <v>0</v>
      </c>
      <c r="AB19">
        <f>'Calculations BTU'!AJ98</f>
        <v>0</v>
      </c>
      <c r="AC19">
        <f>'Calculations BTU'!AK98</f>
        <v>0</v>
      </c>
      <c r="AD19">
        <f>'Calculations BTU'!AL98</f>
        <v>0</v>
      </c>
      <c r="AE19">
        <f>'Calculations BTU'!AM98</f>
        <v>0</v>
      </c>
      <c r="AF19">
        <f>'Calculations BTU'!AN98</f>
        <v>0</v>
      </c>
      <c r="AG19">
        <f>'Calculations BTU'!AO98</f>
        <v>0</v>
      </c>
      <c r="AH19">
        <f>'Calculations BTU'!AP98</f>
        <v>0</v>
      </c>
      <c r="AI19">
        <f>'Calculations BTU'!AQ98</f>
        <v>0</v>
      </c>
      <c r="AJ19">
        <f>'Calculations BTU'!AR98</f>
        <v>0</v>
      </c>
      <c r="AK19">
        <f>'Calculations BTU'!AS98</f>
        <v>0</v>
      </c>
      <c r="AL19">
        <f>'Calculations BTU'!AT98</f>
        <v>0</v>
      </c>
      <c r="AM19">
        <f>'Calculations BTU'!AU98</f>
        <v>0</v>
      </c>
      <c r="AN19">
        <f>'Calculations BTU'!AV98</f>
        <v>0</v>
      </c>
      <c r="AO19">
        <f>'Calculations BTU'!AW98</f>
        <v>0</v>
      </c>
      <c r="AP19">
        <f>'Calculations BTU'!AX98</f>
        <v>0</v>
      </c>
      <c r="AQ19">
        <f>'Calculations BTU'!AY98</f>
        <v>0</v>
      </c>
      <c r="AR19">
        <f>'Calculations BTU'!AZ98</f>
        <v>0</v>
      </c>
      <c r="AS19">
        <f>'Calculations BTU'!BA98</f>
        <v>0</v>
      </c>
      <c r="AT19">
        <f>'Calculations BTU'!BB98</f>
        <v>0</v>
      </c>
      <c r="AU19">
        <f>'Calculations BTU'!BC98</f>
        <v>0</v>
      </c>
      <c r="AV19">
        <f>'Calculations BTU'!BD98</f>
        <v>0</v>
      </c>
      <c r="AW19">
        <f>'Calculations BTU'!BE98</f>
        <v>0</v>
      </c>
      <c r="AX19">
        <f>'Calculations BTU'!BF98</f>
        <v>0</v>
      </c>
      <c r="AY19">
        <f>'Calculations BTU'!BG98</f>
        <v>0</v>
      </c>
      <c r="AZ19">
        <f>'Calculations BTU'!BH98</f>
        <v>0</v>
      </c>
    </row>
    <row r="20" spans="1:52">
      <c r="A20" t="s">
        <v>144</v>
      </c>
      <c r="B20">
        <f>'Calculations BTU'!J99</f>
        <v>0</v>
      </c>
      <c r="C20">
        <f>'Calculations BTU'!K99</f>
        <v>0</v>
      </c>
      <c r="D20">
        <f>'Calculations BTU'!L99</f>
        <v>0</v>
      </c>
      <c r="E20">
        <f>'Calculations BTU'!M99</f>
        <v>0</v>
      </c>
      <c r="F20">
        <f>'Calculations BTU'!N99</f>
        <v>0</v>
      </c>
      <c r="G20">
        <f>'Calculations BTU'!O99</f>
        <v>0</v>
      </c>
      <c r="H20">
        <f>'Calculations BTU'!P99</f>
        <v>0</v>
      </c>
      <c r="I20">
        <f>'Calculations BTU'!Q99</f>
        <v>0</v>
      </c>
      <c r="J20">
        <f>'Calculations BTU'!R99</f>
        <v>0</v>
      </c>
      <c r="K20">
        <f>'Calculations BTU'!S99</f>
        <v>0</v>
      </c>
      <c r="L20">
        <f>'Calculations BTU'!T99</f>
        <v>0</v>
      </c>
      <c r="M20">
        <f>'Calculations BTU'!U99</f>
        <v>0</v>
      </c>
      <c r="N20">
        <f>'Calculations BTU'!V99</f>
        <v>0</v>
      </c>
      <c r="O20">
        <f>'Calculations BTU'!W99</f>
        <v>0</v>
      </c>
      <c r="P20">
        <f>'Calculations BTU'!X99</f>
        <v>0</v>
      </c>
      <c r="Q20">
        <f>'Calculations BTU'!Y99</f>
        <v>0</v>
      </c>
      <c r="R20">
        <f>'Calculations BTU'!Z99</f>
        <v>0</v>
      </c>
      <c r="S20">
        <f>'Calculations BTU'!AA99</f>
        <v>0</v>
      </c>
      <c r="T20">
        <f>'Calculations BTU'!AB99</f>
        <v>0</v>
      </c>
      <c r="U20">
        <f>'Calculations BTU'!AC99</f>
        <v>0</v>
      </c>
      <c r="V20">
        <f>'Calculations BTU'!AD99</f>
        <v>0</v>
      </c>
      <c r="W20">
        <f>'Calculations BTU'!AE99</f>
        <v>0</v>
      </c>
      <c r="X20">
        <f>'Calculations BTU'!AF99</f>
        <v>0</v>
      </c>
      <c r="Y20">
        <f>'Calculations BTU'!AG99</f>
        <v>0</v>
      </c>
      <c r="Z20">
        <f>'Calculations BTU'!AH99</f>
        <v>0</v>
      </c>
      <c r="AA20">
        <f>'Calculations BTU'!AI99</f>
        <v>0</v>
      </c>
      <c r="AB20">
        <f>'Calculations BTU'!AJ99</f>
        <v>0</v>
      </c>
      <c r="AC20">
        <f>'Calculations BTU'!AK99</f>
        <v>0</v>
      </c>
      <c r="AD20">
        <f>'Calculations BTU'!AL99</f>
        <v>0</v>
      </c>
      <c r="AE20">
        <f>'Calculations BTU'!AM99</f>
        <v>0</v>
      </c>
      <c r="AF20">
        <f>'Calculations BTU'!AN99</f>
        <v>0</v>
      </c>
      <c r="AG20">
        <f>'Calculations BTU'!AO99</f>
        <v>0</v>
      </c>
      <c r="AH20">
        <f>'Calculations BTU'!AP99</f>
        <v>0</v>
      </c>
      <c r="AI20">
        <f>'Calculations BTU'!AQ99</f>
        <v>0</v>
      </c>
      <c r="AJ20">
        <f>'Calculations BTU'!AR99</f>
        <v>0</v>
      </c>
      <c r="AK20">
        <f>'Calculations BTU'!AS99</f>
        <v>0</v>
      </c>
      <c r="AL20">
        <f>'Calculations BTU'!AT99</f>
        <v>0</v>
      </c>
      <c r="AM20">
        <f>'Calculations BTU'!AU99</f>
        <v>0</v>
      </c>
      <c r="AN20">
        <f>'Calculations BTU'!AV99</f>
        <v>0</v>
      </c>
      <c r="AO20">
        <f>'Calculations BTU'!AW99</f>
        <v>0</v>
      </c>
      <c r="AP20">
        <f>'Calculations BTU'!AX99</f>
        <v>0</v>
      </c>
      <c r="AQ20">
        <f>'Calculations BTU'!AY99</f>
        <v>0</v>
      </c>
      <c r="AR20">
        <f>'Calculations BTU'!AZ99</f>
        <v>0</v>
      </c>
      <c r="AS20">
        <f>'Calculations BTU'!BA99</f>
        <v>0</v>
      </c>
      <c r="AT20">
        <f>'Calculations BTU'!BB99</f>
        <v>0</v>
      </c>
      <c r="AU20">
        <f>'Calculations BTU'!BC99</f>
        <v>0</v>
      </c>
      <c r="AV20">
        <f>'Calculations BTU'!BD99</f>
        <v>0</v>
      </c>
      <c r="AW20">
        <f>'Calculations BTU'!BE99</f>
        <v>0</v>
      </c>
      <c r="AX20">
        <f>'Calculations BTU'!BF99</f>
        <v>0</v>
      </c>
      <c r="AY20">
        <f>'Calculations BTU'!BG99</f>
        <v>0</v>
      </c>
      <c r="AZ20">
        <f>'Calculations BTU'!BH99</f>
        <v>0</v>
      </c>
    </row>
    <row r="21" spans="1:52">
      <c r="A21" t="s">
        <v>145</v>
      </c>
      <c r="B21">
        <f>'Calculations BTU'!J100</f>
        <v>862559095655.18835</v>
      </c>
      <c r="C21">
        <f>'Calculations BTU'!K100</f>
        <v>748815039085.27344</v>
      </c>
      <c r="D21">
        <f>'Calculations BTU'!L100</f>
        <v>748815039085.27344</v>
      </c>
      <c r="E21">
        <f>'Calculations BTU'!M100</f>
        <v>748815039085.27344</v>
      </c>
      <c r="F21">
        <f>'Calculations BTU'!N100</f>
        <v>748815039085.27344</v>
      </c>
      <c r="G21">
        <f>'Calculations BTU'!O100</f>
        <v>748815039085.27344</v>
      </c>
      <c r="H21">
        <f>'Calculations BTU'!P100</f>
        <v>739336367704.44714</v>
      </c>
      <c r="I21">
        <f>'Calculations BTU'!Q100</f>
        <v>739336367704.44714</v>
      </c>
      <c r="J21">
        <f>'Calculations BTU'!R100</f>
        <v>739336367704.44714</v>
      </c>
      <c r="K21">
        <f>'Calculations BTU'!S100</f>
        <v>739336367704.44714</v>
      </c>
      <c r="L21">
        <f>'Calculations BTU'!T100</f>
        <v>729857696323.62085</v>
      </c>
      <c r="M21">
        <f>'Calculations BTU'!U100</f>
        <v>729857696323.62085</v>
      </c>
      <c r="N21">
        <f>'Calculations BTU'!V100</f>
        <v>729857696323.62085</v>
      </c>
      <c r="O21">
        <f>'Calculations BTU'!W100</f>
        <v>729857696323.62085</v>
      </c>
      <c r="P21">
        <f>'Calculations BTU'!X100</f>
        <v>720379024942.79468</v>
      </c>
      <c r="Q21">
        <f>'Calculations BTU'!Y100</f>
        <v>720379024942.79468</v>
      </c>
      <c r="R21">
        <f>'Calculations BTU'!Z100</f>
        <v>720379024942.79468</v>
      </c>
      <c r="S21">
        <f>'Calculations BTU'!AA100</f>
        <v>720379024942.79468</v>
      </c>
      <c r="T21">
        <f>'Calculations BTU'!AB100</f>
        <v>720379024942.79468</v>
      </c>
      <c r="U21">
        <f>'Calculations BTU'!AC100</f>
        <v>710900353561.96838</v>
      </c>
      <c r="V21">
        <f>'Calculations BTU'!AD100</f>
        <v>710900353561.96838</v>
      </c>
      <c r="W21">
        <f>'Calculations BTU'!AE100</f>
        <v>710900353561.96838</v>
      </c>
      <c r="X21">
        <f>'Calculations BTU'!AF100</f>
        <v>710900353561.96838</v>
      </c>
      <c r="Y21">
        <f>'Calculations BTU'!AG100</f>
        <v>701421682181.14209</v>
      </c>
      <c r="Z21">
        <f>'Calculations BTU'!AH100</f>
        <v>701421682181.14209</v>
      </c>
      <c r="AA21">
        <f>'Calculations BTU'!AI100</f>
        <v>701421682181.14209</v>
      </c>
      <c r="AB21">
        <f>'Calculations BTU'!AJ100</f>
        <v>701421682181.14209</v>
      </c>
      <c r="AC21">
        <f>'Calculations BTU'!AK100</f>
        <v>701421682181.14209</v>
      </c>
      <c r="AD21">
        <f>'Calculations BTU'!AL100</f>
        <v>691943010800.31592</v>
      </c>
      <c r="AE21">
        <f>'Calculations BTU'!AM100</f>
        <v>691943010800.31592</v>
      </c>
      <c r="AF21">
        <f>'Calculations BTU'!AN100</f>
        <v>691943010800.31592</v>
      </c>
      <c r="AG21">
        <f>'Calculations BTU'!AO100</f>
        <v>691943010800.31592</v>
      </c>
      <c r="AH21">
        <f>'Calculations BTU'!AP100</f>
        <v>691943010800.31592</v>
      </c>
      <c r="AI21">
        <f>'Calculations BTU'!AQ100</f>
        <v>691943010800.31592</v>
      </c>
      <c r="AJ21">
        <f>'Calculations BTU'!AR100</f>
        <v>691943010800.31592</v>
      </c>
      <c r="AK21">
        <f>'Calculations BTU'!AS100</f>
        <v>691943010800.31592</v>
      </c>
      <c r="AL21">
        <f>'Calculations BTU'!AT100</f>
        <v>691943010800.31592</v>
      </c>
      <c r="AM21">
        <f>'Calculations BTU'!AU100</f>
        <v>691943010800.31592</v>
      </c>
      <c r="AN21">
        <f>'Calculations BTU'!AV100</f>
        <v>691943010800.31592</v>
      </c>
      <c r="AO21">
        <f>'Calculations BTU'!AW100</f>
        <v>691943010800.31592</v>
      </c>
      <c r="AP21">
        <f>'Calculations BTU'!AX100</f>
        <v>691943010800.31592</v>
      </c>
      <c r="AQ21">
        <f>'Calculations BTU'!AY100</f>
        <v>691943010800.31592</v>
      </c>
      <c r="AR21">
        <f>'Calculations BTU'!AZ100</f>
        <v>691943010800.31592</v>
      </c>
      <c r="AS21">
        <f>'Calculations BTU'!BA100</f>
        <v>691943010800.31592</v>
      </c>
      <c r="AT21">
        <f>'Calculations BTU'!BB100</f>
        <v>691943010800.31592</v>
      </c>
      <c r="AU21">
        <f>'Calculations BTU'!BC100</f>
        <v>691943010800.31592</v>
      </c>
      <c r="AV21">
        <f>'Calculations BTU'!BD100</f>
        <v>691943010800.31592</v>
      </c>
      <c r="AW21">
        <f>'Calculations BTU'!BE100</f>
        <v>691943010800.31592</v>
      </c>
      <c r="AX21">
        <f>'Calculations BTU'!BF100</f>
        <v>691943010800.31592</v>
      </c>
      <c r="AY21">
        <f>'Calculations BTU'!BG100</f>
        <v>691943010800.31592</v>
      </c>
      <c r="AZ21">
        <f>'Calculations BTU'!BH100</f>
        <v>691943010800.31592</v>
      </c>
    </row>
    <row r="22" spans="1:52">
      <c r="A22" t="s">
        <v>146</v>
      </c>
      <c r="B22">
        <f>'Calculations BTU'!J101</f>
        <v>0</v>
      </c>
      <c r="C22">
        <f>'Calculations BTU'!K101</f>
        <v>0</v>
      </c>
      <c r="D22">
        <f>'Calculations BTU'!L101</f>
        <v>0</v>
      </c>
      <c r="E22">
        <f>'Calculations BTU'!M101</f>
        <v>0</v>
      </c>
      <c r="F22">
        <f>'Calculations BTU'!N101</f>
        <v>0</v>
      </c>
      <c r="G22">
        <f>'Calculations BTU'!O101</f>
        <v>0</v>
      </c>
      <c r="H22">
        <f>'Calculations BTU'!P101</f>
        <v>0</v>
      </c>
      <c r="I22">
        <f>'Calculations BTU'!Q101</f>
        <v>0</v>
      </c>
      <c r="J22">
        <f>'Calculations BTU'!R101</f>
        <v>0</v>
      </c>
      <c r="K22">
        <f>'Calculations BTU'!S101</f>
        <v>0</v>
      </c>
      <c r="L22">
        <f>'Calculations BTU'!T101</f>
        <v>0</v>
      </c>
      <c r="M22">
        <f>'Calculations BTU'!U101</f>
        <v>0</v>
      </c>
      <c r="N22">
        <f>'Calculations BTU'!V101</f>
        <v>0</v>
      </c>
      <c r="O22">
        <f>'Calculations BTU'!W101</f>
        <v>0</v>
      </c>
      <c r="P22">
        <f>'Calculations BTU'!X101</f>
        <v>0</v>
      </c>
      <c r="Q22">
        <f>'Calculations BTU'!Y101</f>
        <v>0</v>
      </c>
      <c r="R22">
        <f>'Calculations BTU'!Z101</f>
        <v>0</v>
      </c>
      <c r="S22">
        <f>'Calculations BTU'!AA101</f>
        <v>0</v>
      </c>
      <c r="T22">
        <f>'Calculations BTU'!AB101</f>
        <v>0</v>
      </c>
      <c r="U22">
        <f>'Calculations BTU'!AC101</f>
        <v>0</v>
      </c>
      <c r="V22">
        <f>'Calculations BTU'!AD101</f>
        <v>0</v>
      </c>
      <c r="W22">
        <f>'Calculations BTU'!AE101</f>
        <v>0</v>
      </c>
      <c r="X22">
        <f>'Calculations BTU'!AF101</f>
        <v>0</v>
      </c>
      <c r="Y22">
        <f>'Calculations BTU'!AG101</f>
        <v>0</v>
      </c>
      <c r="Z22">
        <f>'Calculations BTU'!AH101</f>
        <v>0</v>
      </c>
      <c r="AA22">
        <f>'Calculations BTU'!AI101</f>
        <v>0</v>
      </c>
      <c r="AB22">
        <f>'Calculations BTU'!AJ101</f>
        <v>0</v>
      </c>
      <c r="AC22">
        <f>'Calculations BTU'!AK101</f>
        <v>0</v>
      </c>
      <c r="AD22">
        <f>'Calculations BTU'!AL101</f>
        <v>0</v>
      </c>
      <c r="AE22">
        <f>'Calculations BTU'!AM101</f>
        <v>0</v>
      </c>
      <c r="AF22">
        <f>'Calculations BTU'!AN101</f>
        <v>0</v>
      </c>
      <c r="AG22">
        <f>'Calculations BTU'!AO101</f>
        <v>0</v>
      </c>
      <c r="AH22">
        <f>'Calculations BTU'!AP101</f>
        <v>0</v>
      </c>
      <c r="AI22">
        <f>'Calculations BTU'!AQ101</f>
        <v>0</v>
      </c>
      <c r="AJ22">
        <f>'Calculations BTU'!AR101</f>
        <v>0</v>
      </c>
      <c r="AK22">
        <f>'Calculations BTU'!AS101</f>
        <v>0</v>
      </c>
      <c r="AL22">
        <f>'Calculations BTU'!AT101</f>
        <v>0</v>
      </c>
      <c r="AM22">
        <f>'Calculations BTU'!AU101</f>
        <v>0</v>
      </c>
      <c r="AN22">
        <f>'Calculations BTU'!AV101</f>
        <v>0</v>
      </c>
      <c r="AO22">
        <f>'Calculations BTU'!AW101</f>
        <v>0</v>
      </c>
      <c r="AP22">
        <f>'Calculations BTU'!AX101</f>
        <v>0</v>
      </c>
      <c r="AQ22">
        <f>'Calculations BTU'!AY101</f>
        <v>0</v>
      </c>
      <c r="AR22">
        <f>'Calculations BTU'!AZ101</f>
        <v>0</v>
      </c>
      <c r="AS22">
        <f>'Calculations BTU'!BA101</f>
        <v>0</v>
      </c>
      <c r="AT22">
        <f>'Calculations BTU'!BB101</f>
        <v>0</v>
      </c>
      <c r="AU22">
        <f>'Calculations BTU'!BC101</f>
        <v>0</v>
      </c>
      <c r="AV22">
        <f>'Calculations BTU'!BD101</f>
        <v>0</v>
      </c>
      <c r="AW22">
        <f>'Calculations BTU'!BE101</f>
        <v>0</v>
      </c>
      <c r="AX22">
        <f>'Calculations BTU'!BF101</f>
        <v>0</v>
      </c>
      <c r="AY22">
        <f>'Calculations BTU'!BG101</f>
        <v>0</v>
      </c>
      <c r="AZ22">
        <f>'Calculations BTU'!BH101</f>
        <v>0</v>
      </c>
    </row>
    <row r="23" spans="1:52">
      <c r="A23" t="s">
        <v>147</v>
      </c>
      <c r="B23">
        <f>'Calculations BTU'!J102</f>
        <v>23800943837254.699</v>
      </c>
      <c r="C23">
        <f>'Calculations BTU'!K102</f>
        <v>25450232657518.469</v>
      </c>
      <c r="D23">
        <f>'Calculations BTU'!L102</f>
        <v>25507104685803.426</v>
      </c>
      <c r="E23">
        <f>'Calculations BTU'!M102</f>
        <v>25507104685803.426</v>
      </c>
      <c r="F23">
        <f>'Calculations BTU'!N102</f>
        <v>25430624440356.098</v>
      </c>
      <c r="G23">
        <f>'Calculations BTU'!O102</f>
        <v>25354154364821.281</v>
      </c>
      <c r="H23">
        <f>'Calculations BTU'!P102</f>
        <v>25277663949461.445</v>
      </c>
      <c r="I23">
        <f>'Calculations BTU'!Q102</f>
        <v>25201183704014.117</v>
      </c>
      <c r="J23">
        <f>'Calculations BTU'!R102</f>
        <v>25124713628479.301</v>
      </c>
      <c r="K23">
        <f>'Calculations BTU'!S102</f>
        <v>25048223213119.461</v>
      </c>
      <c r="L23">
        <f>'Calculations BTU'!T102</f>
        <v>24971753137584.648</v>
      </c>
      <c r="M23">
        <f>'Calculations BTU'!U102</f>
        <v>24895283062049.832</v>
      </c>
      <c r="N23">
        <f>'Calculations BTU'!V102</f>
        <v>24818782476777.48</v>
      </c>
      <c r="O23">
        <f>'Calculations BTU'!W102</f>
        <v>24742312401242.668</v>
      </c>
      <c r="P23">
        <f>'Calculations BTU'!X102</f>
        <v>24668242425060.496</v>
      </c>
      <c r="Q23">
        <f>'Calculations BTU'!Y102</f>
        <v>24597426820881.91</v>
      </c>
      <c r="R23">
        <f>'Calculations BTU'!Z102</f>
        <v>24536100057996.66</v>
      </c>
      <c r="S23">
        <f>'Calculations BTU'!AA102</f>
        <v>24465274283905.559</v>
      </c>
      <c r="T23">
        <f>'Calculations BTU'!AB102</f>
        <v>24394458679726.977</v>
      </c>
      <c r="U23">
        <f>'Calculations BTU'!AC102</f>
        <v>24323663415373.41</v>
      </c>
      <c r="V23">
        <f>'Calculations BTU'!AD102</f>
        <v>24252827471369.801</v>
      </c>
      <c r="W23">
        <f>'Calculations BTU'!AE102</f>
        <v>24182011867191.211</v>
      </c>
      <c r="X23">
        <f>'Calculations BTU'!AF102</f>
        <v>24111206432925.137</v>
      </c>
      <c r="Y23">
        <f>'Calculations BTU'!AG102</f>
        <v>24040390828746.551</v>
      </c>
      <c r="Z23">
        <f>'Calculations BTU'!AH102</f>
        <v>23969565054655.453</v>
      </c>
      <c r="AA23">
        <f>'Calculations BTU'!AI102</f>
        <v>23898759620389.379</v>
      </c>
      <c r="AB23">
        <f>'Calculations BTU'!AJ102</f>
        <v>23827944016210.789</v>
      </c>
      <c r="AC23">
        <f>'Calculations BTU'!AK102</f>
        <v>23757128412032.203</v>
      </c>
      <c r="AD23">
        <f>'Calculations BTU'!AL102</f>
        <v>23695781309321.934</v>
      </c>
      <c r="AE23">
        <f>'Calculations BTU'!AM102</f>
        <v>23615548053237.582</v>
      </c>
      <c r="AF23">
        <f>'Calculations BTU'!AN102</f>
        <v>23544783298621.555</v>
      </c>
      <c r="AG23">
        <f>'Calculations BTU'!AO102</f>
        <v>23544783298621.555</v>
      </c>
      <c r="AH23">
        <f>'Calculations BTU'!AP102</f>
        <v>23544783298621.555</v>
      </c>
      <c r="AI23">
        <f>'Calculations BTU'!AQ102</f>
        <v>23544783298621.555</v>
      </c>
      <c r="AJ23">
        <f>'Calculations BTU'!AR102</f>
        <v>23544783298621.555</v>
      </c>
      <c r="AK23">
        <f>'Calculations BTU'!AS102</f>
        <v>23544783298621.555</v>
      </c>
      <c r="AL23">
        <f>'Calculations BTU'!AT102</f>
        <v>23544783298621.555</v>
      </c>
      <c r="AM23">
        <f>'Calculations BTU'!AU102</f>
        <v>23544783298621.555</v>
      </c>
      <c r="AN23">
        <f>'Calculations BTU'!AV102</f>
        <v>23544783298621.555</v>
      </c>
      <c r="AO23">
        <f>'Calculations BTU'!AW102</f>
        <v>23544783298621.555</v>
      </c>
      <c r="AP23">
        <f>'Calculations BTU'!AX102</f>
        <v>23544783298621.555</v>
      </c>
      <c r="AQ23">
        <f>'Calculations BTU'!AY102</f>
        <v>23544783298621.555</v>
      </c>
      <c r="AR23">
        <f>'Calculations BTU'!AZ102</f>
        <v>23544783298621.555</v>
      </c>
      <c r="AS23">
        <f>'Calculations BTU'!BA102</f>
        <v>23544783298621.555</v>
      </c>
      <c r="AT23">
        <f>'Calculations BTU'!BB102</f>
        <v>23544783298621.555</v>
      </c>
      <c r="AU23">
        <f>'Calculations BTU'!BC102</f>
        <v>23544783298621.555</v>
      </c>
      <c r="AV23">
        <f>'Calculations BTU'!BD102</f>
        <v>23544783298621.555</v>
      </c>
      <c r="AW23">
        <f>'Calculations BTU'!BE102</f>
        <v>23544783298621.555</v>
      </c>
      <c r="AX23">
        <f>'Calculations BTU'!BF102</f>
        <v>23544783298621.555</v>
      </c>
      <c r="AY23">
        <f>'Calculations BTU'!BG102</f>
        <v>23544783298621.555</v>
      </c>
      <c r="AZ23">
        <f>'Calculations BTU'!BH102</f>
        <v>23544783298621.555</v>
      </c>
    </row>
    <row r="24" spans="1:52">
      <c r="A24" t="s">
        <v>148</v>
      </c>
      <c r="B24">
        <f>'Calculations BTU'!J103</f>
        <v>0</v>
      </c>
      <c r="C24">
        <f>'Calculations BTU'!K103</f>
        <v>0</v>
      </c>
      <c r="D24">
        <f>'Calculations BTU'!L103</f>
        <v>0</v>
      </c>
      <c r="E24">
        <f>'Calculations BTU'!M103</f>
        <v>0</v>
      </c>
      <c r="F24">
        <f>'Calculations BTU'!N103</f>
        <v>0</v>
      </c>
      <c r="G24">
        <f>'Calculations BTU'!O103</f>
        <v>0</v>
      </c>
      <c r="H24">
        <f>'Calculations BTU'!P103</f>
        <v>0</v>
      </c>
      <c r="I24">
        <f>'Calculations BTU'!Q103</f>
        <v>0</v>
      </c>
      <c r="J24">
        <f>'Calculations BTU'!R103</f>
        <v>0</v>
      </c>
      <c r="K24">
        <f>'Calculations BTU'!S103</f>
        <v>0</v>
      </c>
      <c r="L24">
        <f>'Calculations BTU'!T103</f>
        <v>0</v>
      </c>
      <c r="M24">
        <f>'Calculations BTU'!U103</f>
        <v>0</v>
      </c>
      <c r="N24">
        <f>'Calculations BTU'!V103</f>
        <v>0</v>
      </c>
      <c r="O24">
        <f>'Calculations BTU'!W103</f>
        <v>0</v>
      </c>
      <c r="P24">
        <f>'Calculations BTU'!X103</f>
        <v>0</v>
      </c>
      <c r="Q24">
        <f>'Calculations BTU'!Y103</f>
        <v>0</v>
      </c>
      <c r="R24">
        <f>'Calculations BTU'!Z103</f>
        <v>0</v>
      </c>
      <c r="S24">
        <f>'Calculations BTU'!AA103</f>
        <v>0</v>
      </c>
      <c r="T24">
        <f>'Calculations BTU'!AB103</f>
        <v>0</v>
      </c>
      <c r="U24">
        <f>'Calculations BTU'!AC103</f>
        <v>0</v>
      </c>
      <c r="V24">
        <f>'Calculations BTU'!AD103</f>
        <v>0</v>
      </c>
      <c r="W24">
        <f>'Calculations BTU'!AE103</f>
        <v>0</v>
      </c>
      <c r="X24">
        <f>'Calculations BTU'!AF103</f>
        <v>0</v>
      </c>
      <c r="Y24">
        <f>'Calculations BTU'!AG103</f>
        <v>0</v>
      </c>
      <c r="Z24">
        <f>'Calculations BTU'!AH103</f>
        <v>0</v>
      </c>
      <c r="AA24">
        <f>'Calculations BTU'!AI103</f>
        <v>0</v>
      </c>
      <c r="AB24">
        <f>'Calculations BTU'!AJ103</f>
        <v>0</v>
      </c>
      <c r="AC24">
        <f>'Calculations BTU'!AK103</f>
        <v>0</v>
      </c>
      <c r="AD24">
        <f>'Calculations BTU'!AL103</f>
        <v>0</v>
      </c>
      <c r="AE24">
        <f>'Calculations BTU'!AM103</f>
        <v>0</v>
      </c>
      <c r="AF24">
        <f>'Calculations BTU'!AN103</f>
        <v>0</v>
      </c>
      <c r="AG24">
        <f>'Calculations BTU'!AO103</f>
        <v>0</v>
      </c>
      <c r="AH24">
        <f>'Calculations BTU'!AP103</f>
        <v>0</v>
      </c>
      <c r="AI24">
        <f>'Calculations BTU'!AQ103</f>
        <v>0</v>
      </c>
      <c r="AJ24">
        <f>'Calculations BTU'!AR103</f>
        <v>0</v>
      </c>
      <c r="AK24">
        <f>'Calculations BTU'!AS103</f>
        <v>0</v>
      </c>
      <c r="AL24">
        <f>'Calculations BTU'!AT103</f>
        <v>0</v>
      </c>
      <c r="AM24">
        <f>'Calculations BTU'!AU103</f>
        <v>0</v>
      </c>
      <c r="AN24">
        <f>'Calculations BTU'!AV103</f>
        <v>0</v>
      </c>
      <c r="AO24">
        <f>'Calculations BTU'!AW103</f>
        <v>0</v>
      </c>
      <c r="AP24">
        <f>'Calculations BTU'!AX103</f>
        <v>0</v>
      </c>
      <c r="AQ24">
        <f>'Calculations BTU'!AY103</f>
        <v>0</v>
      </c>
      <c r="AR24">
        <f>'Calculations BTU'!AZ103</f>
        <v>0</v>
      </c>
      <c r="AS24">
        <f>'Calculations BTU'!BA103</f>
        <v>0</v>
      </c>
      <c r="AT24">
        <f>'Calculations BTU'!BB103</f>
        <v>0</v>
      </c>
      <c r="AU24">
        <f>'Calculations BTU'!BC103</f>
        <v>0</v>
      </c>
      <c r="AV24">
        <f>'Calculations BTU'!BD103</f>
        <v>0</v>
      </c>
      <c r="AW24">
        <f>'Calculations BTU'!BE103</f>
        <v>0</v>
      </c>
      <c r="AX24">
        <f>'Calculations BTU'!BF103</f>
        <v>0</v>
      </c>
      <c r="AY24">
        <f>'Calculations BTU'!BG103</f>
        <v>0</v>
      </c>
      <c r="AZ24">
        <f>'Calculations BTU'!BH103</f>
        <v>0</v>
      </c>
    </row>
    <row r="25" spans="1:52">
      <c r="A25" t="s">
        <v>149</v>
      </c>
      <c r="B25">
        <f>'Calculations BTU'!J104</f>
        <v>0</v>
      </c>
      <c r="C25">
        <f>'Calculations BTU'!K104</f>
        <v>0</v>
      </c>
      <c r="D25">
        <f>'Calculations BTU'!L104</f>
        <v>0</v>
      </c>
      <c r="E25">
        <f>'Calculations BTU'!M104</f>
        <v>0</v>
      </c>
      <c r="F25">
        <f>'Calculations BTU'!N104</f>
        <v>0</v>
      </c>
      <c r="G25">
        <f>'Calculations BTU'!O104</f>
        <v>0</v>
      </c>
      <c r="H25">
        <f>'Calculations BTU'!P104</f>
        <v>0</v>
      </c>
      <c r="I25">
        <f>'Calculations BTU'!Q104</f>
        <v>0</v>
      </c>
      <c r="J25">
        <f>'Calculations BTU'!R104</f>
        <v>0</v>
      </c>
      <c r="K25">
        <f>'Calculations BTU'!S104</f>
        <v>0</v>
      </c>
      <c r="L25">
        <f>'Calculations BTU'!T104</f>
        <v>0</v>
      </c>
      <c r="M25">
        <f>'Calculations BTU'!U104</f>
        <v>0</v>
      </c>
      <c r="N25">
        <f>'Calculations BTU'!V104</f>
        <v>0</v>
      </c>
      <c r="O25">
        <f>'Calculations BTU'!W104</f>
        <v>0</v>
      </c>
      <c r="P25">
        <f>'Calculations BTU'!X104</f>
        <v>0</v>
      </c>
      <c r="Q25">
        <f>'Calculations BTU'!Y104</f>
        <v>0</v>
      </c>
      <c r="R25">
        <f>'Calculations BTU'!Z104</f>
        <v>0</v>
      </c>
      <c r="S25">
        <f>'Calculations BTU'!AA104</f>
        <v>0</v>
      </c>
      <c r="T25">
        <f>'Calculations BTU'!AB104</f>
        <v>0</v>
      </c>
      <c r="U25">
        <f>'Calculations BTU'!AC104</f>
        <v>0</v>
      </c>
      <c r="V25">
        <f>'Calculations BTU'!AD104</f>
        <v>0</v>
      </c>
      <c r="W25">
        <f>'Calculations BTU'!AE104</f>
        <v>0</v>
      </c>
      <c r="X25">
        <f>'Calculations BTU'!AF104</f>
        <v>0</v>
      </c>
      <c r="Y25">
        <f>'Calculations BTU'!AG104</f>
        <v>0</v>
      </c>
      <c r="Z25">
        <f>'Calculations BTU'!AH104</f>
        <v>0</v>
      </c>
      <c r="AA25">
        <f>'Calculations BTU'!AI104</f>
        <v>0</v>
      </c>
      <c r="AB25">
        <f>'Calculations BTU'!AJ104</f>
        <v>0</v>
      </c>
      <c r="AC25">
        <f>'Calculations BTU'!AK104</f>
        <v>0</v>
      </c>
      <c r="AD25">
        <f>'Calculations BTU'!AL104</f>
        <v>0</v>
      </c>
      <c r="AE25">
        <f>'Calculations BTU'!AM104</f>
        <v>0</v>
      </c>
      <c r="AF25">
        <f>'Calculations BTU'!AN104</f>
        <v>0</v>
      </c>
      <c r="AG25">
        <f>'Calculations BTU'!AO104</f>
        <v>0</v>
      </c>
      <c r="AH25">
        <f>'Calculations BTU'!AP104</f>
        <v>0</v>
      </c>
      <c r="AI25">
        <f>'Calculations BTU'!AQ104</f>
        <v>0</v>
      </c>
      <c r="AJ25">
        <f>'Calculations BTU'!AR104</f>
        <v>0</v>
      </c>
      <c r="AK25">
        <f>'Calculations BTU'!AS104</f>
        <v>0</v>
      </c>
      <c r="AL25">
        <f>'Calculations BTU'!AT104</f>
        <v>0</v>
      </c>
      <c r="AM25">
        <f>'Calculations BTU'!AU104</f>
        <v>0</v>
      </c>
      <c r="AN25">
        <f>'Calculations BTU'!AV104</f>
        <v>0</v>
      </c>
      <c r="AO25">
        <f>'Calculations BTU'!AW104</f>
        <v>0</v>
      </c>
      <c r="AP25">
        <f>'Calculations BTU'!AX104</f>
        <v>0</v>
      </c>
      <c r="AQ25">
        <f>'Calculations BTU'!AY104</f>
        <v>0</v>
      </c>
      <c r="AR25">
        <f>'Calculations BTU'!AZ104</f>
        <v>0</v>
      </c>
      <c r="AS25">
        <f>'Calculations BTU'!BA104</f>
        <v>0</v>
      </c>
      <c r="AT25">
        <f>'Calculations BTU'!BB104</f>
        <v>0</v>
      </c>
      <c r="AU25">
        <f>'Calculations BTU'!BC104</f>
        <v>0</v>
      </c>
      <c r="AV25">
        <f>'Calculations BTU'!BD104</f>
        <v>0</v>
      </c>
      <c r="AW25">
        <f>'Calculations BTU'!BE104</f>
        <v>0</v>
      </c>
      <c r="AX25">
        <f>'Calculations BTU'!BF104</f>
        <v>0</v>
      </c>
      <c r="AY25">
        <f>'Calculations BTU'!BG104</f>
        <v>0</v>
      </c>
      <c r="AZ25">
        <f>'Calculations BTU'!BH104</f>
        <v>0</v>
      </c>
    </row>
    <row r="26" spans="1:52">
      <c r="A26" t="s">
        <v>150</v>
      </c>
      <c r="B26">
        <f>'Calculations BTU'!J105</f>
        <v>10559239918240.438</v>
      </c>
      <c r="C26">
        <f>'Calculations BTU'!K105</f>
        <v>11677723141177.934</v>
      </c>
      <c r="D26">
        <f>'Calculations BTU'!L105</f>
        <v>11706159155320.412</v>
      </c>
      <c r="E26">
        <f>'Calculations BTU'!M105</f>
        <v>11668244469797.107</v>
      </c>
      <c r="F26">
        <f>'Calculations BTU'!N105</f>
        <v>11639808455654.629</v>
      </c>
      <c r="G26">
        <f>'Calculations BTU'!O105</f>
        <v>11601893770131.324</v>
      </c>
      <c r="H26">
        <f>'Calculations BTU'!P105</f>
        <v>11573457755988.846</v>
      </c>
      <c r="I26">
        <f>'Calculations BTU'!Q105</f>
        <v>11535543070465.541</v>
      </c>
      <c r="J26">
        <f>'Calculations BTU'!R105</f>
        <v>11507107056323.063</v>
      </c>
      <c r="K26">
        <f>'Calculations BTU'!S105</f>
        <v>11469192370799.756</v>
      </c>
      <c r="L26">
        <f>'Calculations BTU'!T105</f>
        <v>11440756356657.277</v>
      </c>
      <c r="M26">
        <f>'Calculations BTU'!U105</f>
        <v>11402841671133.973</v>
      </c>
      <c r="N26">
        <f>'Calculations BTU'!V105</f>
        <v>11364926985610.668</v>
      </c>
      <c r="O26">
        <f>'Calculations BTU'!W105</f>
        <v>11336490971468.189</v>
      </c>
      <c r="P26">
        <f>'Calculations BTU'!X105</f>
        <v>11298576285944.885</v>
      </c>
      <c r="Q26">
        <f>'Calculations BTU'!Y105</f>
        <v>11270140271802.406</v>
      </c>
      <c r="R26">
        <f>'Calculations BTU'!Z105</f>
        <v>11232225586279.1</v>
      </c>
      <c r="S26">
        <f>'Calculations BTU'!AA105</f>
        <v>11203789572136.621</v>
      </c>
      <c r="T26">
        <f>'Calculations BTU'!AB105</f>
        <v>11165874886613.316</v>
      </c>
      <c r="U26">
        <f>'Calculations BTU'!AC105</f>
        <v>11137438872470.838</v>
      </c>
      <c r="V26">
        <f>'Calculations BTU'!AD105</f>
        <v>11099524186947.533</v>
      </c>
      <c r="W26">
        <f>'Calculations BTU'!AE105</f>
        <v>11071088172805.055</v>
      </c>
      <c r="X26">
        <f>'Calculations BTU'!AF105</f>
        <v>11033173487281.75</v>
      </c>
      <c r="Y26">
        <f>'Calculations BTU'!AG105</f>
        <v>11004737473139.27</v>
      </c>
      <c r="Z26">
        <f>'Calculations BTU'!AH105</f>
        <v>10966822787615.967</v>
      </c>
      <c r="AA26">
        <f>'Calculations BTU'!AI105</f>
        <v>10928908102092.66</v>
      </c>
      <c r="AB26">
        <f>'Calculations BTU'!AJ105</f>
        <v>10900472087950.182</v>
      </c>
      <c r="AC26">
        <f>'Calculations BTU'!AK105</f>
        <v>10862557402426.877</v>
      </c>
      <c r="AD26">
        <f>'Calculations BTU'!AL105</f>
        <v>10834121388284.398</v>
      </c>
      <c r="AE26">
        <f>'Calculations BTU'!AM105</f>
        <v>10796206702761.094</v>
      </c>
      <c r="AF26">
        <f>'Calculations BTU'!AN105</f>
        <v>10767770688618.613</v>
      </c>
      <c r="AG26">
        <f>'Calculations BTU'!AO105</f>
        <v>10767770688618.613</v>
      </c>
      <c r="AH26">
        <f>'Calculations BTU'!AP105</f>
        <v>10767770688618.613</v>
      </c>
      <c r="AI26">
        <f>'Calculations BTU'!AQ105</f>
        <v>10767770688618.613</v>
      </c>
      <c r="AJ26">
        <f>'Calculations BTU'!AR105</f>
        <v>10767770688618.613</v>
      </c>
      <c r="AK26">
        <f>'Calculations BTU'!AS105</f>
        <v>10767770688618.613</v>
      </c>
      <c r="AL26">
        <f>'Calculations BTU'!AT105</f>
        <v>10767770688618.613</v>
      </c>
      <c r="AM26">
        <f>'Calculations BTU'!AU105</f>
        <v>10767770688618.613</v>
      </c>
      <c r="AN26">
        <f>'Calculations BTU'!AV105</f>
        <v>10767770688618.613</v>
      </c>
      <c r="AO26">
        <f>'Calculations BTU'!AW105</f>
        <v>10767770688618.613</v>
      </c>
      <c r="AP26">
        <f>'Calculations BTU'!AX105</f>
        <v>10767770688618.613</v>
      </c>
      <c r="AQ26">
        <f>'Calculations BTU'!AY105</f>
        <v>10767770688618.613</v>
      </c>
      <c r="AR26">
        <f>'Calculations BTU'!AZ105</f>
        <v>10767770688618.613</v>
      </c>
      <c r="AS26">
        <f>'Calculations BTU'!BA105</f>
        <v>10767770688618.613</v>
      </c>
      <c r="AT26">
        <f>'Calculations BTU'!BB105</f>
        <v>10767770688618.613</v>
      </c>
      <c r="AU26">
        <f>'Calculations BTU'!BC105</f>
        <v>10767770688618.613</v>
      </c>
      <c r="AV26">
        <f>'Calculations BTU'!BD105</f>
        <v>10767770688618.613</v>
      </c>
      <c r="AW26">
        <f>'Calculations BTU'!BE105</f>
        <v>10767770688618.613</v>
      </c>
      <c r="AX26">
        <f>'Calculations BTU'!BF105</f>
        <v>10767770688618.613</v>
      </c>
      <c r="AY26">
        <f>'Calculations BTU'!BG105</f>
        <v>10767770688618.613</v>
      </c>
      <c r="AZ26">
        <f>'Calculations BTU'!BH105</f>
        <v>10767770688618.613</v>
      </c>
    </row>
    <row r="30" spans="1:5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5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5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2: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2:3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2:3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2:3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2:3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9" spans="2:3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2:3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2:3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2:3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2:3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2:3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2:3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2:3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2:3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2:3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4" spans="2:3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6" spans="2:33">
      <c r="B56" s="23"/>
    </row>
    <row r="57" spans="2:33">
      <c r="B57" s="23"/>
    </row>
    <row r="58" spans="2:33">
      <c r="B58" s="23"/>
    </row>
    <row r="59" spans="2:33">
      <c r="B59" s="23"/>
    </row>
    <row r="60" spans="2:33">
      <c r="B60" s="23"/>
    </row>
    <row r="61" spans="2:33">
      <c r="B61" s="23"/>
    </row>
    <row r="62" spans="2:33">
      <c r="B62" s="23"/>
    </row>
    <row r="63" spans="2:33">
      <c r="B63" s="23"/>
    </row>
    <row r="64" spans="2:33">
      <c r="B64" s="23"/>
    </row>
    <row r="65" spans="2:2">
      <c r="B65" s="23"/>
    </row>
    <row r="66" spans="2:2">
      <c r="B66" s="23"/>
    </row>
    <row r="67" spans="2:2">
      <c r="B67" s="23"/>
    </row>
    <row r="68" spans="2:2">
      <c r="B68" s="23"/>
    </row>
    <row r="69" spans="2:2">
      <c r="B69" s="23"/>
    </row>
    <row r="70" spans="2:2">
      <c r="B70" s="23"/>
    </row>
    <row r="71" spans="2:2">
      <c r="B71" s="23"/>
    </row>
    <row r="72" spans="2:2">
      <c r="B72" s="23"/>
    </row>
    <row r="73" spans="2:2">
      <c r="B73" s="23"/>
    </row>
    <row r="74" spans="2:2">
      <c r="B74" s="23"/>
    </row>
    <row r="75" spans="2:2">
      <c r="B75" s="23"/>
    </row>
    <row r="76" spans="2:2">
      <c r="B76" s="23"/>
    </row>
    <row r="77" spans="2:2">
      <c r="B77" s="23"/>
    </row>
    <row r="78" spans="2:2">
      <c r="B78" s="23"/>
    </row>
    <row r="79" spans="2:2">
      <c r="B79" s="23"/>
    </row>
    <row r="80" spans="2:2">
      <c r="B80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8D59-5B04-4741-86E9-36C122638485}">
  <sheetPr>
    <tabColor theme="3"/>
  </sheetPr>
  <dimension ref="A1:AZ26"/>
  <sheetViews>
    <sheetView workbookViewId="0">
      <selection activeCell="B2" sqref="B2"/>
    </sheetView>
  </sheetViews>
  <sheetFormatPr defaultColWidth="9.140625" defaultRowHeight="15"/>
  <cols>
    <col min="1" max="1" width="39.85546875" customWidth="1"/>
    <col min="2" max="32" width="5.7109375" bestFit="1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BTU'!J107</f>
        <v>0</v>
      </c>
      <c r="C2">
        <f>'Calculations BTU'!K107</f>
        <v>0</v>
      </c>
      <c r="D2">
        <f>'Calculations BTU'!L107</f>
        <v>0</v>
      </c>
      <c r="E2">
        <f>'Calculations BTU'!M107</f>
        <v>0</v>
      </c>
      <c r="F2">
        <f>'Calculations BTU'!N107</f>
        <v>0</v>
      </c>
      <c r="G2">
        <f>'Calculations BTU'!O107</f>
        <v>0</v>
      </c>
      <c r="H2">
        <f>'Calculations BTU'!P107</f>
        <v>0</v>
      </c>
      <c r="I2">
        <f>'Calculations BTU'!Q107</f>
        <v>0</v>
      </c>
      <c r="J2">
        <f>'Calculations BTU'!R107</f>
        <v>0</v>
      </c>
      <c r="K2">
        <f>'Calculations BTU'!S107</f>
        <v>0</v>
      </c>
      <c r="L2">
        <f>'Calculations BTU'!T107</f>
        <v>0</v>
      </c>
      <c r="M2">
        <f>'Calculations BTU'!U107</f>
        <v>0</v>
      </c>
      <c r="N2">
        <f>'Calculations BTU'!V107</f>
        <v>0</v>
      </c>
      <c r="O2">
        <f>'Calculations BTU'!W107</f>
        <v>0</v>
      </c>
      <c r="P2">
        <f>'Calculations BTU'!X107</f>
        <v>0</v>
      </c>
      <c r="Q2">
        <f>'Calculations BTU'!Y107</f>
        <v>0</v>
      </c>
      <c r="R2">
        <f>'Calculations BTU'!Z107</f>
        <v>0</v>
      </c>
      <c r="S2">
        <f>'Calculations BTU'!AA107</f>
        <v>0</v>
      </c>
      <c r="T2">
        <f>'Calculations BTU'!AB107</f>
        <v>0</v>
      </c>
      <c r="U2">
        <f>'Calculations BTU'!AC107</f>
        <v>0</v>
      </c>
      <c r="V2">
        <f>'Calculations BTU'!AD107</f>
        <v>0</v>
      </c>
      <c r="W2">
        <f>'Calculations BTU'!AE107</f>
        <v>0</v>
      </c>
      <c r="X2">
        <f>'Calculations BTU'!AF107</f>
        <v>0</v>
      </c>
      <c r="Y2">
        <f>'Calculations BTU'!AG107</f>
        <v>0</v>
      </c>
      <c r="Z2">
        <f>'Calculations BTU'!AH107</f>
        <v>0</v>
      </c>
      <c r="AA2">
        <f>'Calculations BTU'!AI107</f>
        <v>0</v>
      </c>
      <c r="AB2">
        <f>'Calculations BTU'!AJ107</f>
        <v>0</v>
      </c>
      <c r="AC2">
        <f>'Calculations BTU'!AK107</f>
        <v>0</v>
      </c>
      <c r="AD2">
        <f>'Calculations BTU'!AL107</f>
        <v>0</v>
      </c>
      <c r="AE2">
        <f>'Calculations BTU'!AM107</f>
        <v>0</v>
      </c>
      <c r="AF2">
        <f>'Calculations BTU'!AN107</f>
        <v>0</v>
      </c>
      <c r="AG2">
        <f>'Calculations BTU'!AO107</f>
        <v>0</v>
      </c>
      <c r="AH2">
        <f>'Calculations BTU'!AP107</f>
        <v>0</v>
      </c>
      <c r="AI2">
        <f>'Calculations BTU'!AQ107</f>
        <v>0</v>
      </c>
      <c r="AJ2">
        <f>'Calculations BTU'!AR107</f>
        <v>0</v>
      </c>
      <c r="AK2">
        <f>'Calculations BTU'!AS107</f>
        <v>0</v>
      </c>
      <c r="AL2">
        <f>'Calculations BTU'!AT107</f>
        <v>0</v>
      </c>
      <c r="AM2">
        <f>'Calculations BTU'!AU107</f>
        <v>0</v>
      </c>
      <c r="AN2">
        <f>'Calculations BTU'!AV107</f>
        <v>0</v>
      </c>
      <c r="AO2">
        <f>'Calculations BTU'!AW107</f>
        <v>0</v>
      </c>
      <c r="AP2">
        <f>'Calculations BTU'!AX107</f>
        <v>0</v>
      </c>
      <c r="AQ2">
        <f>'Calculations BTU'!AY107</f>
        <v>0</v>
      </c>
      <c r="AR2">
        <f>'Calculations BTU'!AZ107</f>
        <v>0</v>
      </c>
      <c r="AS2">
        <f>'Calculations BTU'!BA107</f>
        <v>0</v>
      </c>
      <c r="AT2">
        <f>'Calculations BTU'!BB107</f>
        <v>0</v>
      </c>
      <c r="AU2">
        <f>'Calculations BTU'!BC107</f>
        <v>0</v>
      </c>
      <c r="AV2">
        <f>'Calculations BTU'!BD107</f>
        <v>0</v>
      </c>
      <c r="AW2">
        <f>'Calculations BTU'!BE107</f>
        <v>0</v>
      </c>
      <c r="AX2">
        <f>'Calculations BTU'!BF107</f>
        <v>0</v>
      </c>
      <c r="AY2">
        <f>'Calculations BTU'!BG107</f>
        <v>0</v>
      </c>
      <c r="AZ2">
        <f>'Calculations BTU'!BH107</f>
        <v>0</v>
      </c>
    </row>
    <row r="3" spans="1:52">
      <c r="A3" t="s">
        <v>127</v>
      </c>
      <c r="B3">
        <f>'Calculations BTU'!J108</f>
        <v>0</v>
      </c>
      <c r="C3">
        <f>'Calculations BTU'!K108</f>
        <v>0</v>
      </c>
      <c r="D3">
        <f>'Calculations BTU'!L108</f>
        <v>0</v>
      </c>
      <c r="E3">
        <f>'Calculations BTU'!M108</f>
        <v>0</v>
      </c>
      <c r="F3">
        <f>'Calculations BTU'!N108</f>
        <v>0</v>
      </c>
      <c r="G3">
        <f>'Calculations BTU'!O108</f>
        <v>0</v>
      </c>
      <c r="H3">
        <f>'Calculations BTU'!P108</f>
        <v>0</v>
      </c>
      <c r="I3">
        <f>'Calculations BTU'!Q108</f>
        <v>0</v>
      </c>
      <c r="J3">
        <f>'Calculations BTU'!R108</f>
        <v>0</v>
      </c>
      <c r="K3">
        <f>'Calculations BTU'!S108</f>
        <v>0</v>
      </c>
      <c r="L3">
        <f>'Calculations BTU'!T108</f>
        <v>0</v>
      </c>
      <c r="M3">
        <f>'Calculations BTU'!U108</f>
        <v>0</v>
      </c>
      <c r="N3">
        <f>'Calculations BTU'!V108</f>
        <v>0</v>
      </c>
      <c r="O3">
        <f>'Calculations BTU'!W108</f>
        <v>0</v>
      </c>
      <c r="P3">
        <f>'Calculations BTU'!X108</f>
        <v>0</v>
      </c>
      <c r="Q3">
        <f>'Calculations BTU'!Y108</f>
        <v>0</v>
      </c>
      <c r="R3">
        <f>'Calculations BTU'!Z108</f>
        <v>0</v>
      </c>
      <c r="S3">
        <f>'Calculations BTU'!AA108</f>
        <v>0</v>
      </c>
      <c r="T3">
        <f>'Calculations BTU'!AB108</f>
        <v>0</v>
      </c>
      <c r="U3">
        <f>'Calculations BTU'!AC108</f>
        <v>0</v>
      </c>
      <c r="V3">
        <f>'Calculations BTU'!AD108</f>
        <v>0</v>
      </c>
      <c r="W3">
        <f>'Calculations BTU'!AE108</f>
        <v>0</v>
      </c>
      <c r="X3">
        <f>'Calculations BTU'!AF108</f>
        <v>0</v>
      </c>
      <c r="Y3">
        <f>'Calculations BTU'!AG108</f>
        <v>0</v>
      </c>
      <c r="Z3">
        <f>'Calculations BTU'!AH108</f>
        <v>0</v>
      </c>
      <c r="AA3">
        <f>'Calculations BTU'!AI108</f>
        <v>0</v>
      </c>
      <c r="AB3">
        <f>'Calculations BTU'!AJ108</f>
        <v>0</v>
      </c>
      <c r="AC3">
        <f>'Calculations BTU'!AK108</f>
        <v>0</v>
      </c>
      <c r="AD3">
        <f>'Calculations BTU'!AL108</f>
        <v>0</v>
      </c>
      <c r="AE3">
        <f>'Calculations BTU'!AM108</f>
        <v>0</v>
      </c>
      <c r="AF3">
        <f>'Calculations BTU'!AN108</f>
        <v>0</v>
      </c>
      <c r="AG3">
        <f>'Calculations BTU'!AO108</f>
        <v>0</v>
      </c>
      <c r="AH3">
        <f>'Calculations BTU'!AP108</f>
        <v>0</v>
      </c>
      <c r="AI3">
        <f>'Calculations BTU'!AQ108</f>
        <v>0</v>
      </c>
      <c r="AJ3">
        <f>'Calculations BTU'!AR108</f>
        <v>0</v>
      </c>
      <c r="AK3">
        <f>'Calculations BTU'!AS108</f>
        <v>0</v>
      </c>
      <c r="AL3">
        <f>'Calculations BTU'!AT108</f>
        <v>0</v>
      </c>
      <c r="AM3">
        <f>'Calculations BTU'!AU108</f>
        <v>0</v>
      </c>
      <c r="AN3">
        <f>'Calculations BTU'!AV108</f>
        <v>0</v>
      </c>
      <c r="AO3">
        <f>'Calculations BTU'!AW108</f>
        <v>0</v>
      </c>
      <c r="AP3">
        <f>'Calculations BTU'!AX108</f>
        <v>0</v>
      </c>
      <c r="AQ3">
        <f>'Calculations BTU'!AY108</f>
        <v>0</v>
      </c>
      <c r="AR3">
        <f>'Calculations BTU'!AZ108</f>
        <v>0</v>
      </c>
      <c r="AS3">
        <f>'Calculations BTU'!BA108</f>
        <v>0</v>
      </c>
      <c r="AT3">
        <f>'Calculations BTU'!BB108</f>
        <v>0</v>
      </c>
      <c r="AU3">
        <f>'Calculations BTU'!BC108</f>
        <v>0</v>
      </c>
      <c r="AV3">
        <f>'Calculations BTU'!BD108</f>
        <v>0</v>
      </c>
      <c r="AW3">
        <f>'Calculations BTU'!BE108</f>
        <v>0</v>
      </c>
      <c r="AX3">
        <f>'Calculations BTU'!BF108</f>
        <v>0</v>
      </c>
      <c r="AY3">
        <f>'Calculations BTU'!BG108</f>
        <v>0</v>
      </c>
      <c r="AZ3">
        <f>'Calculations BTU'!BH108</f>
        <v>0</v>
      </c>
    </row>
    <row r="4" spans="1:52">
      <c r="A4" t="s">
        <v>128</v>
      </c>
      <c r="B4">
        <f>'Calculations BTU'!J109</f>
        <v>0</v>
      </c>
      <c r="C4">
        <f>'Calculations BTU'!K109</f>
        <v>0</v>
      </c>
      <c r="D4">
        <f>'Calculations BTU'!L109</f>
        <v>0</v>
      </c>
      <c r="E4">
        <f>'Calculations BTU'!M109</f>
        <v>0</v>
      </c>
      <c r="F4">
        <f>'Calculations BTU'!N109</f>
        <v>0</v>
      </c>
      <c r="G4">
        <f>'Calculations BTU'!O109</f>
        <v>0</v>
      </c>
      <c r="H4">
        <f>'Calculations BTU'!P109</f>
        <v>0</v>
      </c>
      <c r="I4">
        <f>'Calculations BTU'!Q109</f>
        <v>0</v>
      </c>
      <c r="J4">
        <f>'Calculations BTU'!R109</f>
        <v>0</v>
      </c>
      <c r="K4">
        <f>'Calculations BTU'!S109</f>
        <v>0</v>
      </c>
      <c r="L4">
        <f>'Calculations BTU'!T109</f>
        <v>0</v>
      </c>
      <c r="M4">
        <f>'Calculations BTU'!U109</f>
        <v>0</v>
      </c>
      <c r="N4">
        <f>'Calculations BTU'!V109</f>
        <v>0</v>
      </c>
      <c r="O4">
        <f>'Calculations BTU'!W109</f>
        <v>0</v>
      </c>
      <c r="P4">
        <f>'Calculations BTU'!X109</f>
        <v>0</v>
      </c>
      <c r="Q4">
        <f>'Calculations BTU'!Y109</f>
        <v>0</v>
      </c>
      <c r="R4">
        <f>'Calculations BTU'!Z109</f>
        <v>0</v>
      </c>
      <c r="S4">
        <f>'Calculations BTU'!AA109</f>
        <v>0</v>
      </c>
      <c r="T4">
        <f>'Calculations BTU'!AB109</f>
        <v>0</v>
      </c>
      <c r="U4">
        <f>'Calculations BTU'!AC109</f>
        <v>0</v>
      </c>
      <c r="V4">
        <f>'Calculations BTU'!AD109</f>
        <v>0</v>
      </c>
      <c r="W4">
        <f>'Calculations BTU'!AE109</f>
        <v>0</v>
      </c>
      <c r="X4">
        <f>'Calculations BTU'!AF109</f>
        <v>0</v>
      </c>
      <c r="Y4">
        <f>'Calculations BTU'!AG109</f>
        <v>0</v>
      </c>
      <c r="Z4">
        <f>'Calculations BTU'!AH109</f>
        <v>0</v>
      </c>
      <c r="AA4">
        <f>'Calculations BTU'!AI109</f>
        <v>0</v>
      </c>
      <c r="AB4">
        <f>'Calculations BTU'!AJ109</f>
        <v>0</v>
      </c>
      <c r="AC4">
        <f>'Calculations BTU'!AK109</f>
        <v>0</v>
      </c>
      <c r="AD4">
        <f>'Calculations BTU'!AL109</f>
        <v>0</v>
      </c>
      <c r="AE4">
        <f>'Calculations BTU'!AM109</f>
        <v>0</v>
      </c>
      <c r="AF4">
        <f>'Calculations BTU'!AN109</f>
        <v>0</v>
      </c>
      <c r="AG4">
        <f>'Calculations BTU'!AO109</f>
        <v>0</v>
      </c>
      <c r="AH4">
        <f>'Calculations BTU'!AP109</f>
        <v>0</v>
      </c>
      <c r="AI4">
        <f>'Calculations BTU'!AQ109</f>
        <v>0</v>
      </c>
      <c r="AJ4">
        <f>'Calculations BTU'!AR109</f>
        <v>0</v>
      </c>
      <c r="AK4">
        <f>'Calculations BTU'!AS109</f>
        <v>0</v>
      </c>
      <c r="AL4">
        <f>'Calculations BTU'!AT109</f>
        <v>0</v>
      </c>
      <c r="AM4">
        <f>'Calculations BTU'!AU109</f>
        <v>0</v>
      </c>
      <c r="AN4">
        <f>'Calculations BTU'!AV109</f>
        <v>0</v>
      </c>
      <c r="AO4">
        <f>'Calculations BTU'!AW109</f>
        <v>0</v>
      </c>
      <c r="AP4">
        <f>'Calculations BTU'!AX109</f>
        <v>0</v>
      </c>
      <c r="AQ4">
        <f>'Calculations BTU'!AY109</f>
        <v>0</v>
      </c>
      <c r="AR4">
        <f>'Calculations BTU'!AZ109</f>
        <v>0</v>
      </c>
      <c r="AS4">
        <f>'Calculations BTU'!BA109</f>
        <v>0</v>
      </c>
      <c r="AT4">
        <f>'Calculations BTU'!BB109</f>
        <v>0</v>
      </c>
      <c r="AU4">
        <f>'Calculations BTU'!BC109</f>
        <v>0</v>
      </c>
      <c r="AV4">
        <f>'Calculations BTU'!BD109</f>
        <v>0</v>
      </c>
      <c r="AW4">
        <f>'Calculations BTU'!BE109</f>
        <v>0</v>
      </c>
      <c r="AX4">
        <f>'Calculations BTU'!BF109</f>
        <v>0</v>
      </c>
      <c r="AY4">
        <f>'Calculations BTU'!BG109</f>
        <v>0</v>
      </c>
      <c r="AZ4">
        <f>'Calculations BTU'!BH109</f>
        <v>0</v>
      </c>
    </row>
    <row r="5" spans="1:52">
      <c r="A5" t="s">
        <v>129</v>
      </c>
      <c r="B5">
        <f>'Calculations BTU'!J110</f>
        <v>0</v>
      </c>
      <c r="C5">
        <f>'Calculations BTU'!K110</f>
        <v>0</v>
      </c>
      <c r="D5">
        <f>'Calculations BTU'!L110</f>
        <v>0</v>
      </c>
      <c r="E5">
        <f>'Calculations BTU'!M110</f>
        <v>0</v>
      </c>
      <c r="F5">
        <f>'Calculations BTU'!N110</f>
        <v>0</v>
      </c>
      <c r="G5">
        <f>'Calculations BTU'!O110</f>
        <v>0</v>
      </c>
      <c r="H5">
        <f>'Calculations BTU'!P110</f>
        <v>0</v>
      </c>
      <c r="I5">
        <f>'Calculations BTU'!Q110</f>
        <v>0</v>
      </c>
      <c r="J5">
        <f>'Calculations BTU'!R110</f>
        <v>0</v>
      </c>
      <c r="K5">
        <f>'Calculations BTU'!S110</f>
        <v>0</v>
      </c>
      <c r="L5">
        <f>'Calculations BTU'!T110</f>
        <v>0</v>
      </c>
      <c r="M5">
        <f>'Calculations BTU'!U110</f>
        <v>0</v>
      </c>
      <c r="N5">
        <f>'Calculations BTU'!V110</f>
        <v>0</v>
      </c>
      <c r="O5">
        <f>'Calculations BTU'!W110</f>
        <v>0</v>
      </c>
      <c r="P5">
        <f>'Calculations BTU'!X110</f>
        <v>0</v>
      </c>
      <c r="Q5">
        <f>'Calculations BTU'!Y110</f>
        <v>0</v>
      </c>
      <c r="R5">
        <f>'Calculations BTU'!Z110</f>
        <v>0</v>
      </c>
      <c r="S5">
        <f>'Calculations BTU'!AA110</f>
        <v>0</v>
      </c>
      <c r="T5">
        <f>'Calculations BTU'!AB110</f>
        <v>0</v>
      </c>
      <c r="U5">
        <f>'Calculations BTU'!AC110</f>
        <v>0</v>
      </c>
      <c r="V5">
        <f>'Calculations BTU'!AD110</f>
        <v>0</v>
      </c>
      <c r="W5">
        <f>'Calculations BTU'!AE110</f>
        <v>0</v>
      </c>
      <c r="X5">
        <f>'Calculations BTU'!AF110</f>
        <v>0</v>
      </c>
      <c r="Y5">
        <f>'Calculations BTU'!AG110</f>
        <v>0</v>
      </c>
      <c r="Z5">
        <f>'Calculations BTU'!AH110</f>
        <v>0</v>
      </c>
      <c r="AA5">
        <f>'Calculations BTU'!AI110</f>
        <v>0</v>
      </c>
      <c r="AB5">
        <f>'Calculations BTU'!AJ110</f>
        <v>0</v>
      </c>
      <c r="AC5">
        <f>'Calculations BTU'!AK110</f>
        <v>0</v>
      </c>
      <c r="AD5">
        <f>'Calculations BTU'!AL110</f>
        <v>0</v>
      </c>
      <c r="AE5">
        <f>'Calculations BTU'!AM110</f>
        <v>0</v>
      </c>
      <c r="AF5">
        <f>'Calculations BTU'!AN110</f>
        <v>0</v>
      </c>
      <c r="AG5">
        <f>'Calculations BTU'!AO110</f>
        <v>0</v>
      </c>
      <c r="AH5">
        <f>'Calculations BTU'!AP110</f>
        <v>0</v>
      </c>
      <c r="AI5">
        <f>'Calculations BTU'!AQ110</f>
        <v>0</v>
      </c>
      <c r="AJ5">
        <f>'Calculations BTU'!AR110</f>
        <v>0</v>
      </c>
      <c r="AK5">
        <f>'Calculations BTU'!AS110</f>
        <v>0</v>
      </c>
      <c r="AL5">
        <f>'Calculations BTU'!AT110</f>
        <v>0</v>
      </c>
      <c r="AM5">
        <f>'Calculations BTU'!AU110</f>
        <v>0</v>
      </c>
      <c r="AN5">
        <f>'Calculations BTU'!AV110</f>
        <v>0</v>
      </c>
      <c r="AO5">
        <f>'Calculations BTU'!AW110</f>
        <v>0</v>
      </c>
      <c r="AP5">
        <f>'Calculations BTU'!AX110</f>
        <v>0</v>
      </c>
      <c r="AQ5">
        <f>'Calculations BTU'!AY110</f>
        <v>0</v>
      </c>
      <c r="AR5">
        <f>'Calculations BTU'!AZ110</f>
        <v>0</v>
      </c>
      <c r="AS5">
        <f>'Calculations BTU'!BA110</f>
        <v>0</v>
      </c>
      <c r="AT5">
        <f>'Calculations BTU'!BB110</f>
        <v>0</v>
      </c>
      <c r="AU5">
        <f>'Calculations BTU'!BC110</f>
        <v>0</v>
      </c>
      <c r="AV5">
        <f>'Calculations BTU'!BD110</f>
        <v>0</v>
      </c>
      <c r="AW5">
        <f>'Calculations BTU'!BE110</f>
        <v>0</v>
      </c>
      <c r="AX5">
        <f>'Calculations BTU'!BF110</f>
        <v>0</v>
      </c>
      <c r="AY5">
        <f>'Calculations BTU'!BG110</f>
        <v>0</v>
      </c>
      <c r="AZ5">
        <f>'Calculations BTU'!BH110</f>
        <v>0</v>
      </c>
    </row>
    <row r="6" spans="1:52">
      <c r="A6" t="s">
        <v>130</v>
      </c>
      <c r="B6">
        <f>'Calculations BTU'!J111</f>
        <v>0</v>
      </c>
      <c r="C6">
        <f>'Calculations BTU'!K111</f>
        <v>0</v>
      </c>
      <c r="D6">
        <f>'Calculations BTU'!L111</f>
        <v>0</v>
      </c>
      <c r="E6">
        <f>'Calculations BTU'!M111</f>
        <v>0</v>
      </c>
      <c r="F6">
        <f>'Calculations BTU'!N111</f>
        <v>0</v>
      </c>
      <c r="G6">
        <f>'Calculations BTU'!O111</f>
        <v>0</v>
      </c>
      <c r="H6">
        <f>'Calculations BTU'!P111</f>
        <v>0</v>
      </c>
      <c r="I6">
        <f>'Calculations BTU'!Q111</f>
        <v>0</v>
      </c>
      <c r="J6">
        <f>'Calculations BTU'!R111</f>
        <v>0</v>
      </c>
      <c r="K6">
        <f>'Calculations BTU'!S111</f>
        <v>0</v>
      </c>
      <c r="L6">
        <f>'Calculations BTU'!T111</f>
        <v>0</v>
      </c>
      <c r="M6">
        <f>'Calculations BTU'!U111</f>
        <v>0</v>
      </c>
      <c r="N6">
        <f>'Calculations BTU'!V111</f>
        <v>0</v>
      </c>
      <c r="O6">
        <f>'Calculations BTU'!W111</f>
        <v>0</v>
      </c>
      <c r="P6">
        <f>'Calculations BTU'!X111</f>
        <v>0</v>
      </c>
      <c r="Q6">
        <f>'Calculations BTU'!Y111</f>
        <v>0</v>
      </c>
      <c r="R6">
        <f>'Calculations BTU'!Z111</f>
        <v>0</v>
      </c>
      <c r="S6">
        <f>'Calculations BTU'!AA111</f>
        <v>0</v>
      </c>
      <c r="T6">
        <f>'Calculations BTU'!AB111</f>
        <v>0</v>
      </c>
      <c r="U6">
        <f>'Calculations BTU'!AC111</f>
        <v>0</v>
      </c>
      <c r="V6">
        <f>'Calculations BTU'!AD111</f>
        <v>0</v>
      </c>
      <c r="W6">
        <f>'Calculations BTU'!AE111</f>
        <v>0</v>
      </c>
      <c r="X6">
        <f>'Calculations BTU'!AF111</f>
        <v>0</v>
      </c>
      <c r="Y6">
        <f>'Calculations BTU'!AG111</f>
        <v>0</v>
      </c>
      <c r="Z6">
        <f>'Calculations BTU'!AH111</f>
        <v>0</v>
      </c>
      <c r="AA6">
        <f>'Calculations BTU'!AI111</f>
        <v>0</v>
      </c>
      <c r="AB6">
        <f>'Calculations BTU'!AJ111</f>
        <v>0</v>
      </c>
      <c r="AC6">
        <f>'Calculations BTU'!AK111</f>
        <v>0</v>
      </c>
      <c r="AD6">
        <f>'Calculations BTU'!AL111</f>
        <v>0</v>
      </c>
      <c r="AE6">
        <f>'Calculations BTU'!AM111</f>
        <v>0</v>
      </c>
      <c r="AF6">
        <f>'Calculations BTU'!AN111</f>
        <v>0</v>
      </c>
      <c r="AG6">
        <f>'Calculations BTU'!AO111</f>
        <v>0</v>
      </c>
      <c r="AH6">
        <f>'Calculations BTU'!AP111</f>
        <v>0</v>
      </c>
      <c r="AI6">
        <f>'Calculations BTU'!AQ111</f>
        <v>0</v>
      </c>
      <c r="AJ6">
        <f>'Calculations BTU'!AR111</f>
        <v>0</v>
      </c>
      <c r="AK6">
        <f>'Calculations BTU'!AS111</f>
        <v>0</v>
      </c>
      <c r="AL6">
        <f>'Calculations BTU'!AT111</f>
        <v>0</v>
      </c>
      <c r="AM6">
        <f>'Calculations BTU'!AU111</f>
        <v>0</v>
      </c>
      <c r="AN6">
        <f>'Calculations BTU'!AV111</f>
        <v>0</v>
      </c>
      <c r="AO6">
        <f>'Calculations BTU'!AW111</f>
        <v>0</v>
      </c>
      <c r="AP6">
        <f>'Calculations BTU'!AX111</f>
        <v>0</v>
      </c>
      <c r="AQ6">
        <f>'Calculations BTU'!AY111</f>
        <v>0</v>
      </c>
      <c r="AR6">
        <f>'Calculations BTU'!AZ111</f>
        <v>0</v>
      </c>
      <c r="AS6">
        <f>'Calculations BTU'!BA111</f>
        <v>0</v>
      </c>
      <c r="AT6">
        <f>'Calculations BTU'!BB111</f>
        <v>0</v>
      </c>
      <c r="AU6">
        <f>'Calculations BTU'!BC111</f>
        <v>0</v>
      </c>
      <c r="AV6">
        <f>'Calculations BTU'!BD111</f>
        <v>0</v>
      </c>
      <c r="AW6">
        <f>'Calculations BTU'!BE111</f>
        <v>0</v>
      </c>
      <c r="AX6">
        <f>'Calculations BTU'!BF111</f>
        <v>0</v>
      </c>
      <c r="AY6">
        <f>'Calculations BTU'!BG111</f>
        <v>0</v>
      </c>
      <c r="AZ6">
        <f>'Calculations BTU'!BH111</f>
        <v>0</v>
      </c>
    </row>
    <row r="7" spans="1:52">
      <c r="A7" t="s">
        <v>131</v>
      </c>
      <c r="B7">
        <f>'Calculations BTU'!J112</f>
        <v>0</v>
      </c>
      <c r="C7">
        <f>'Calculations BTU'!K112</f>
        <v>0</v>
      </c>
      <c r="D7">
        <f>'Calculations BTU'!L112</f>
        <v>0</v>
      </c>
      <c r="E7">
        <f>'Calculations BTU'!M112</f>
        <v>0</v>
      </c>
      <c r="F7">
        <f>'Calculations BTU'!N112</f>
        <v>0</v>
      </c>
      <c r="G7">
        <f>'Calculations BTU'!O112</f>
        <v>0</v>
      </c>
      <c r="H7">
        <f>'Calculations BTU'!P112</f>
        <v>0</v>
      </c>
      <c r="I7">
        <f>'Calculations BTU'!Q112</f>
        <v>0</v>
      </c>
      <c r="J7">
        <f>'Calculations BTU'!R112</f>
        <v>0</v>
      </c>
      <c r="K7">
        <f>'Calculations BTU'!S112</f>
        <v>0</v>
      </c>
      <c r="L7">
        <f>'Calculations BTU'!T112</f>
        <v>0</v>
      </c>
      <c r="M7">
        <f>'Calculations BTU'!U112</f>
        <v>0</v>
      </c>
      <c r="N7">
        <f>'Calculations BTU'!V112</f>
        <v>0</v>
      </c>
      <c r="O7">
        <f>'Calculations BTU'!W112</f>
        <v>0</v>
      </c>
      <c r="P7">
        <f>'Calculations BTU'!X112</f>
        <v>0</v>
      </c>
      <c r="Q7">
        <f>'Calculations BTU'!Y112</f>
        <v>0</v>
      </c>
      <c r="R7">
        <f>'Calculations BTU'!Z112</f>
        <v>0</v>
      </c>
      <c r="S7">
        <f>'Calculations BTU'!AA112</f>
        <v>0</v>
      </c>
      <c r="T7">
        <f>'Calculations BTU'!AB112</f>
        <v>0</v>
      </c>
      <c r="U7">
        <f>'Calculations BTU'!AC112</f>
        <v>0</v>
      </c>
      <c r="V7">
        <f>'Calculations BTU'!AD112</f>
        <v>0</v>
      </c>
      <c r="W7">
        <f>'Calculations BTU'!AE112</f>
        <v>0</v>
      </c>
      <c r="X7">
        <f>'Calculations BTU'!AF112</f>
        <v>0</v>
      </c>
      <c r="Y7">
        <f>'Calculations BTU'!AG112</f>
        <v>0</v>
      </c>
      <c r="Z7">
        <f>'Calculations BTU'!AH112</f>
        <v>0</v>
      </c>
      <c r="AA7">
        <f>'Calculations BTU'!AI112</f>
        <v>0</v>
      </c>
      <c r="AB7">
        <f>'Calculations BTU'!AJ112</f>
        <v>0</v>
      </c>
      <c r="AC7">
        <f>'Calculations BTU'!AK112</f>
        <v>0</v>
      </c>
      <c r="AD7">
        <f>'Calculations BTU'!AL112</f>
        <v>0</v>
      </c>
      <c r="AE7">
        <f>'Calculations BTU'!AM112</f>
        <v>0</v>
      </c>
      <c r="AF7">
        <f>'Calculations BTU'!AN112</f>
        <v>0</v>
      </c>
      <c r="AG7">
        <f>'Calculations BTU'!AO112</f>
        <v>0</v>
      </c>
      <c r="AH7">
        <f>'Calculations BTU'!AP112</f>
        <v>0</v>
      </c>
      <c r="AI7">
        <f>'Calculations BTU'!AQ112</f>
        <v>0</v>
      </c>
      <c r="AJ7">
        <f>'Calculations BTU'!AR112</f>
        <v>0</v>
      </c>
      <c r="AK7">
        <f>'Calculations BTU'!AS112</f>
        <v>0</v>
      </c>
      <c r="AL7">
        <f>'Calculations BTU'!AT112</f>
        <v>0</v>
      </c>
      <c r="AM7">
        <f>'Calculations BTU'!AU112</f>
        <v>0</v>
      </c>
      <c r="AN7">
        <f>'Calculations BTU'!AV112</f>
        <v>0</v>
      </c>
      <c r="AO7">
        <f>'Calculations BTU'!AW112</f>
        <v>0</v>
      </c>
      <c r="AP7">
        <f>'Calculations BTU'!AX112</f>
        <v>0</v>
      </c>
      <c r="AQ7">
        <f>'Calculations BTU'!AY112</f>
        <v>0</v>
      </c>
      <c r="AR7">
        <f>'Calculations BTU'!AZ112</f>
        <v>0</v>
      </c>
      <c r="AS7">
        <f>'Calculations BTU'!BA112</f>
        <v>0</v>
      </c>
      <c r="AT7">
        <f>'Calculations BTU'!BB112</f>
        <v>0</v>
      </c>
      <c r="AU7">
        <f>'Calculations BTU'!BC112</f>
        <v>0</v>
      </c>
      <c r="AV7">
        <f>'Calculations BTU'!BD112</f>
        <v>0</v>
      </c>
      <c r="AW7">
        <f>'Calculations BTU'!BE112</f>
        <v>0</v>
      </c>
      <c r="AX7">
        <f>'Calculations BTU'!BF112</f>
        <v>0</v>
      </c>
      <c r="AY7">
        <f>'Calculations BTU'!BG112</f>
        <v>0</v>
      </c>
      <c r="AZ7">
        <f>'Calculations BTU'!BH112</f>
        <v>0</v>
      </c>
    </row>
    <row r="8" spans="1:52">
      <c r="A8" t="s">
        <v>132</v>
      </c>
      <c r="B8">
        <f>'Calculations BTU'!J113</f>
        <v>0</v>
      </c>
      <c r="C8">
        <f>'Calculations BTU'!K113</f>
        <v>0</v>
      </c>
      <c r="D8">
        <f>'Calculations BTU'!L113</f>
        <v>0</v>
      </c>
      <c r="E8">
        <f>'Calculations BTU'!M113</f>
        <v>0</v>
      </c>
      <c r="F8">
        <f>'Calculations BTU'!N113</f>
        <v>0</v>
      </c>
      <c r="G8">
        <f>'Calculations BTU'!O113</f>
        <v>0</v>
      </c>
      <c r="H8">
        <f>'Calculations BTU'!P113</f>
        <v>0</v>
      </c>
      <c r="I8">
        <f>'Calculations BTU'!Q113</f>
        <v>0</v>
      </c>
      <c r="J8">
        <f>'Calculations BTU'!R113</f>
        <v>0</v>
      </c>
      <c r="K8">
        <f>'Calculations BTU'!S113</f>
        <v>0</v>
      </c>
      <c r="L8">
        <f>'Calculations BTU'!T113</f>
        <v>0</v>
      </c>
      <c r="M8">
        <f>'Calculations BTU'!U113</f>
        <v>0</v>
      </c>
      <c r="N8">
        <f>'Calculations BTU'!V113</f>
        <v>0</v>
      </c>
      <c r="O8">
        <f>'Calculations BTU'!W113</f>
        <v>0</v>
      </c>
      <c r="P8">
        <f>'Calculations BTU'!X113</f>
        <v>0</v>
      </c>
      <c r="Q8">
        <f>'Calculations BTU'!Y113</f>
        <v>0</v>
      </c>
      <c r="R8">
        <f>'Calculations BTU'!Z113</f>
        <v>0</v>
      </c>
      <c r="S8">
        <f>'Calculations BTU'!AA113</f>
        <v>0</v>
      </c>
      <c r="T8">
        <f>'Calculations BTU'!AB113</f>
        <v>0</v>
      </c>
      <c r="U8">
        <f>'Calculations BTU'!AC113</f>
        <v>0</v>
      </c>
      <c r="V8">
        <f>'Calculations BTU'!AD113</f>
        <v>0</v>
      </c>
      <c r="W8">
        <f>'Calculations BTU'!AE113</f>
        <v>0</v>
      </c>
      <c r="X8">
        <f>'Calculations BTU'!AF113</f>
        <v>0</v>
      </c>
      <c r="Y8">
        <f>'Calculations BTU'!AG113</f>
        <v>0</v>
      </c>
      <c r="Z8">
        <f>'Calculations BTU'!AH113</f>
        <v>0</v>
      </c>
      <c r="AA8">
        <f>'Calculations BTU'!AI113</f>
        <v>0</v>
      </c>
      <c r="AB8">
        <f>'Calculations BTU'!AJ113</f>
        <v>0</v>
      </c>
      <c r="AC8">
        <f>'Calculations BTU'!AK113</f>
        <v>0</v>
      </c>
      <c r="AD8">
        <f>'Calculations BTU'!AL113</f>
        <v>0</v>
      </c>
      <c r="AE8">
        <f>'Calculations BTU'!AM113</f>
        <v>0</v>
      </c>
      <c r="AF8">
        <f>'Calculations BTU'!AN113</f>
        <v>0</v>
      </c>
      <c r="AG8">
        <f>'Calculations BTU'!AO113</f>
        <v>0</v>
      </c>
      <c r="AH8">
        <f>'Calculations BTU'!AP113</f>
        <v>0</v>
      </c>
      <c r="AI8">
        <f>'Calculations BTU'!AQ113</f>
        <v>0</v>
      </c>
      <c r="AJ8">
        <f>'Calculations BTU'!AR113</f>
        <v>0</v>
      </c>
      <c r="AK8">
        <f>'Calculations BTU'!AS113</f>
        <v>0</v>
      </c>
      <c r="AL8">
        <f>'Calculations BTU'!AT113</f>
        <v>0</v>
      </c>
      <c r="AM8">
        <f>'Calculations BTU'!AU113</f>
        <v>0</v>
      </c>
      <c r="AN8">
        <f>'Calculations BTU'!AV113</f>
        <v>0</v>
      </c>
      <c r="AO8">
        <f>'Calculations BTU'!AW113</f>
        <v>0</v>
      </c>
      <c r="AP8">
        <f>'Calculations BTU'!AX113</f>
        <v>0</v>
      </c>
      <c r="AQ8">
        <f>'Calculations BTU'!AY113</f>
        <v>0</v>
      </c>
      <c r="AR8">
        <f>'Calculations BTU'!AZ113</f>
        <v>0</v>
      </c>
      <c r="AS8">
        <f>'Calculations BTU'!BA113</f>
        <v>0</v>
      </c>
      <c r="AT8">
        <f>'Calculations BTU'!BB113</f>
        <v>0</v>
      </c>
      <c r="AU8">
        <f>'Calculations BTU'!BC113</f>
        <v>0</v>
      </c>
      <c r="AV8">
        <f>'Calculations BTU'!BD113</f>
        <v>0</v>
      </c>
      <c r="AW8">
        <f>'Calculations BTU'!BE113</f>
        <v>0</v>
      </c>
      <c r="AX8">
        <f>'Calculations BTU'!BF113</f>
        <v>0</v>
      </c>
      <c r="AY8">
        <f>'Calculations BTU'!BG113</f>
        <v>0</v>
      </c>
      <c r="AZ8">
        <f>'Calculations BTU'!BH113</f>
        <v>0</v>
      </c>
    </row>
    <row r="9" spans="1:52">
      <c r="A9" t="s">
        <v>133</v>
      </c>
      <c r="B9">
        <f>'Calculations BTU'!J114</f>
        <v>0</v>
      </c>
      <c r="C9">
        <f>'Calculations BTU'!K114</f>
        <v>0</v>
      </c>
      <c r="D9">
        <f>'Calculations BTU'!L114</f>
        <v>0</v>
      </c>
      <c r="E9">
        <f>'Calculations BTU'!M114</f>
        <v>0</v>
      </c>
      <c r="F9">
        <f>'Calculations BTU'!N114</f>
        <v>0</v>
      </c>
      <c r="G9">
        <f>'Calculations BTU'!O114</f>
        <v>0</v>
      </c>
      <c r="H9">
        <f>'Calculations BTU'!P114</f>
        <v>0</v>
      </c>
      <c r="I9">
        <f>'Calculations BTU'!Q114</f>
        <v>0</v>
      </c>
      <c r="J9">
        <f>'Calculations BTU'!R114</f>
        <v>0</v>
      </c>
      <c r="K9">
        <f>'Calculations BTU'!S114</f>
        <v>0</v>
      </c>
      <c r="L9">
        <f>'Calculations BTU'!T114</f>
        <v>0</v>
      </c>
      <c r="M9">
        <f>'Calculations BTU'!U114</f>
        <v>0</v>
      </c>
      <c r="N9">
        <f>'Calculations BTU'!V114</f>
        <v>0</v>
      </c>
      <c r="O9">
        <f>'Calculations BTU'!W114</f>
        <v>0</v>
      </c>
      <c r="P9">
        <f>'Calculations BTU'!X114</f>
        <v>0</v>
      </c>
      <c r="Q9">
        <f>'Calculations BTU'!Y114</f>
        <v>0</v>
      </c>
      <c r="R9">
        <f>'Calculations BTU'!Z114</f>
        <v>0</v>
      </c>
      <c r="S9">
        <f>'Calculations BTU'!AA114</f>
        <v>0</v>
      </c>
      <c r="T9">
        <f>'Calculations BTU'!AB114</f>
        <v>0</v>
      </c>
      <c r="U9">
        <f>'Calculations BTU'!AC114</f>
        <v>0</v>
      </c>
      <c r="V9">
        <f>'Calculations BTU'!AD114</f>
        <v>0</v>
      </c>
      <c r="W9">
        <f>'Calculations BTU'!AE114</f>
        <v>0</v>
      </c>
      <c r="X9">
        <f>'Calculations BTU'!AF114</f>
        <v>0</v>
      </c>
      <c r="Y9">
        <f>'Calculations BTU'!AG114</f>
        <v>0</v>
      </c>
      <c r="Z9">
        <f>'Calculations BTU'!AH114</f>
        <v>0</v>
      </c>
      <c r="AA9">
        <f>'Calculations BTU'!AI114</f>
        <v>0</v>
      </c>
      <c r="AB9">
        <f>'Calculations BTU'!AJ114</f>
        <v>0</v>
      </c>
      <c r="AC9">
        <f>'Calculations BTU'!AK114</f>
        <v>0</v>
      </c>
      <c r="AD9">
        <f>'Calculations BTU'!AL114</f>
        <v>0</v>
      </c>
      <c r="AE9">
        <f>'Calculations BTU'!AM114</f>
        <v>0</v>
      </c>
      <c r="AF9">
        <f>'Calculations BTU'!AN114</f>
        <v>0</v>
      </c>
      <c r="AG9">
        <f>'Calculations BTU'!AO114</f>
        <v>0</v>
      </c>
      <c r="AH9">
        <f>'Calculations BTU'!AP114</f>
        <v>0</v>
      </c>
      <c r="AI9">
        <f>'Calculations BTU'!AQ114</f>
        <v>0</v>
      </c>
      <c r="AJ9">
        <f>'Calculations BTU'!AR114</f>
        <v>0</v>
      </c>
      <c r="AK9">
        <f>'Calculations BTU'!AS114</f>
        <v>0</v>
      </c>
      <c r="AL9">
        <f>'Calculations BTU'!AT114</f>
        <v>0</v>
      </c>
      <c r="AM9">
        <f>'Calculations BTU'!AU114</f>
        <v>0</v>
      </c>
      <c r="AN9">
        <f>'Calculations BTU'!AV114</f>
        <v>0</v>
      </c>
      <c r="AO9">
        <f>'Calculations BTU'!AW114</f>
        <v>0</v>
      </c>
      <c r="AP9">
        <f>'Calculations BTU'!AX114</f>
        <v>0</v>
      </c>
      <c r="AQ9">
        <f>'Calculations BTU'!AY114</f>
        <v>0</v>
      </c>
      <c r="AR9">
        <f>'Calculations BTU'!AZ114</f>
        <v>0</v>
      </c>
      <c r="AS9">
        <f>'Calculations BTU'!BA114</f>
        <v>0</v>
      </c>
      <c r="AT9">
        <f>'Calculations BTU'!BB114</f>
        <v>0</v>
      </c>
      <c r="AU9">
        <f>'Calculations BTU'!BC114</f>
        <v>0</v>
      </c>
      <c r="AV9">
        <f>'Calculations BTU'!BD114</f>
        <v>0</v>
      </c>
      <c r="AW9">
        <f>'Calculations BTU'!BE114</f>
        <v>0</v>
      </c>
      <c r="AX9">
        <f>'Calculations BTU'!BF114</f>
        <v>0</v>
      </c>
      <c r="AY9">
        <f>'Calculations BTU'!BG114</f>
        <v>0</v>
      </c>
      <c r="AZ9">
        <f>'Calculations BTU'!BH114</f>
        <v>0</v>
      </c>
    </row>
    <row r="10" spans="1:52">
      <c r="A10" t="s">
        <v>134</v>
      </c>
      <c r="B10">
        <f>'Calculations BTU'!J115</f>
        <v>0</v>
      </c>
      <c r="C10">
        <f>'Calculations BTU'!K115</f>
        <v>0</v>
      </c>
      <c r="D10">
        <f>'Calculations BTU'!L115</f>
        <v>0</v>
      </c>
      <c r="E10">
        <f>'Calculations BTU'!M115</f>
        <v>0</v>
      </c>
      <c r="F10">
        <f>'Calculations BTU'!N115</f>
        <v>0</v>
      </c>
      <c r="G10">
        <f>'Calculations BTU'!O115</f>
        <v>0</v>
      </c>
      <c r="H10">
        <f>'Calculations BTU'!P115</f>
        <v>0</v>
      </c>
      <c r="I10">
        <f>'Calculations BTU'!Q115</f>
        <v>0</v>
      </c>
      <c r="J10">
        <f>'Calculations BTU'!R115</f>
        <v>0</v>
      </c>
      <c r="K10">
        <f>'Calculations BTU'!S115</f>
        <v>0</v>
      </c>
      <c r="L10">
        <f>'Calculations BTU'!T115</f>
        <v>0</v>
      </c>
      <c r="M10">
        <f>'Calculations BTU'!U115</f>
        <v>0</v>
      </c>
      <c r="N10">
        <f>'Calculations BTU'!V115</f>
        <v>0</v>
      </c>
      <c r="O10">
        <f>'Calculations BTU'!W115</f>
        <v>0</v>
      </c>
      <c r="P10">
        <f>'Calculations BTU'!X115</f>
        <v>0</v>
      </c>
      <c r="Q10">
        <f>'Calculations BTU'!Y115</f>
        <v>0</v>
      </c>
      <c r="R10">
        <f>'Calculations BTU'!Z115</f>
        <v>0</v>
      </c>
      <c r="S10">
        <f>'Calculations BTU'!AA115</f>
        <v>0</v>
      </c>
      <c r="T10">
        <f>'Calculations BTU'!AB115</f>
        <v>0</v>
      </c>
      <c r="U10">
        <f>'Calculations BTU'!AC115</f>
        <v>0</v>
      </c>
      <c r="V10">
        <f>'Calculations BTU'!AD115</f>
        <v>0</v>
      </c>
      <c r="W10">
        <f>'Calculations BTU'!AE115</f>
        <v>0</v>
      </c>
      <c r="X10">
        <f>'Calculations BTU'!AF115</f>
        <v>0</v>
      </c>
      <c r="Y10">
        <f>'Calculations BTU'!AG115</f>
        <v>0</v>
      </c>
      <c r="Z10">
        <f>'Calculations BTU'!AH115</f>
        <v>0</v>
      </c>
      <c r="AA10">
        <f>'Calculations BTU'!AI115</f>
        <v>0</v>
      </c>
      <c r="AB10">
        <f>'Calculations BTU'!AJ115</f>
        <v>0</v>
      </c>
      <c r="AC10">
        <f>'Calculations BTU'!AK115</f>
        <v>0</v>
      </c>
      <c r="AD10">
        <f>'Calculations BTU'!AL115</f>
        <v>0</v>
      </c>
      <c r="AE10">
        <f>'Calculations BTU'!AM115</f>
        <v>0</v>
      </c>
      <c r="AF10">
        <f>'Calculations BTU'!AN115</f>
        <v>0</v>
      </c>
      <c r="AG10">
        <f>'Calculations BTU'!AO115</f>
        <v>0</v>
      </c>
      <c r="AH10">
        <f>'Calculations BTU'!AP115</f>
        <v>0</v>
      </c>
      <c r="AI10">
        <f>'Calculations BTU'!AQ115</f>
        <v>0</v>
      </c>
      <c r="AJ10">
        <f>'Calculations BTU'!AR115</f>
        <v>0</v>
      </c>
      <c r="AK10">
        <f>'Calculations BTU'!AS115</f>
        <v>0</v>
      </c>
      <c r="AL10">
        <f>'Calculations BTU'!AT115</f>
        <v>0</v>
      </c>
      <c r="AM10">
        <f>'Calculations BTU'!AU115</f>
        <v>0</v>
      </c>
      <c r="AN10">
        <f>'Calculations BTU'!AV115</f>
        <v>0</v>
      </c>
      <c r="AO10">
        <f>'Calculations BTU'!AW115</f>
        <v>0</v>
      </c>
      <c r="AP10">
        <f>'Calculations BTU'!AX115</f>
        <v>0</v>
      </c>
      <c r="AQ10">
        <f>'Calculations BTU'!AY115</f>
        <v>0</v>
      </c>
      <c r="AR10">
        <f>'Calculations BTU'!AZ115</f>
        <v>0</v>
      </c>
      <c r="AS10">
        <f>'Calculations BTU'!BA115</f>
        <v>0</v>
      </c>
      <c r="AT10">
        <f>'Calculations BTU'!BB115</f>
        <v>0</v>
      </c>
      <c r="AU10">
        <f>'Calculations BTU'!BC115</f>
        <v>0</v>
      </c>
      <c r="AV10">
        <f>'Calculations BTU'!BD115</f>
        <v>0</v>
      </c>
      <c r="AW10">
        <f>'Calculations BTU'!BE115</f>
        <v>0</v>
      </c>
      <c r="AX10">
        <f>'Calculations BTU'!BF115</f>
        <v>0</v>
      </c>
      <c r="AY10">
        <f>'Calculations BTU'!BG115</f>
        <v>0</v>
      </c>
      <c r="AZ10">
        <f>'Calculations BTU'!BH115</f>
        <v>0</v>
      </c>
    </row>
    <row r="11" spans="1:52">
      <c r="A11" t="s">
        <v>135</v>
      </c>
      <c r="B11">
        <f>'Calculations BTU'!J116</f>
        <v>0</v>
      </c>
      <c r="C11">
        <f>'Calculations BTU'!K116</f>
        <v>0</v>
      </c>
      <c r="D11">
        <f>'Calculations BTU'!L116</f>
        <v>0</v>
      </c>
      <c r="E11">
        <f>'Calculations BTU'!M116</f>
        <v>0</v>
      </c>
      <c r="F11">
        <f>'Calculations BTU'!N116</f>
        <v>0</v>
      </c>
      <c r="G11">
        <f>'Calculations BTU'!O116</f>
        <v>0</v>
      </c>
      <c r="H11">
        <f>'Calculations BTU'!P116</f>
        <v>0</v>
      </c>
      <c r="I11">
        <f>'Calculations BTU'!Q116</f>
        <v>0</v>
      </c>
      <c r="J11">
        <f>'Calculations BTU'!R116</f>
        <v>0</v>
      </c>
      <c r="K11">
        <f>'Calculations BTU'!S116</f>
        <v>0</v>
      </c>
      <c r="L11">
        <f>'Calculations BTU'!T116</f>
        <v>0</v>
      </c>
      <c r="M11">
        <f>'Calculations BTU'!U116</f>
        <v>0</v>
      </c>
      <c r="N11">
        <f>'Calculations BTU'!V116</f>
        <v>0</v>
      </c>
      <c r="O11">
        <f>'Calculations BTU'!W116</f>
        <v>0</v>
      </c>
      <c r="P11">
        <f>'Calculations BTU'!X116</f>
        <v>0</v>
      </c>
      <c r="Q11">
        <f>'Calculations BTU'!Y116</f>
        <v>0</v>
      </c>
      <c r="R11">
        <f>'Calculations BTU'!Z116</f>
        <v>0</v>
      </c>
      <c r="S11">
        <f>'Calculations BTU'!AA116</f>
        <v>0</v>
      </c>
      <c r="T11">
        <f>'Calculations BTU'!AB116</f>
        <v>0</v>
      </c>
      <c r="U11">
        <f>'Calculations BTU'!AC116</f>
        <v>0</v>
      </c>
      <c r="V11">
        <f>'Calculations BTU'!AD116</f>
        <v>0</v>
      </c>
      <c r="W11">
        <f>'Calculations BTU'!AE116</f>
        <v>0</v>
      </c>
      <c r="X11">
        <f>'Calculations BTU'!AF116</f>
        <v>0</v>
      </c>
      <c r="Y11">
        <f>'Calculations BTU'!AG116</f>
        <v>0</v>
      </c>
      <c r="Z11">
        <f>'Calculations BTU'!AH116</f>
        <v>0</v>
      </c>
      <c r="AA11">
        <f>'Calculations BTU'!AI116</f>
        <v>0</v>
      </c>
      <c r="AB11">
        <f>'Calculations BTU'!AJ116</f>
        <v>0</v>
      </c>
      <c r="AC11">
        <f>'Calculations BTU'!AK116</f>
        <v>0</v>
      </c>
      <c r="AD11">
        <f>'Calculations BTU'!AL116</f>
        <v>0</v>
      </c>
      <c r="AE11">
        <f>'Calculations BTU'!AM116</f>
        <v>0</v>
      </c>
      <c r="AF11">
        <f>'Calculations BTU'!AN116</f>
        <v>0</v>
      </c>
      <c r="AG11">
        <f>'Calculations BTU'!AO116</f>
        <v>0</v>
      </c>
      <c r="AH11">
        <f>'Calculations BTU'!AP116</f>
        <v>0</v>
      </c>
      <c r="AI11">
        <f>'Calculations BTU'!AQ116</f>
        <v>0</v>
      </c>
      <c r="AJ11">
        <f>'Calculations BTU'!AR116</f>
        <v>0</v>
      </c>
      <c r="AK11">
        <f>'Calculations BTU'!AS116</f>
        <v>0</v>
      </c>
      <c r="AL11">
        <f>'Calculations BTU'!AT116</f>
        <v>0</v>
      </c>
      <c r="AM11">
        <f>'Calculations BTU'!AU116</f>
        <v>0</v>
      </c>
      <c r="AN11">
        <f>'Calculations BTU'!AV116</f>
        <v>0</v>
      </c>
      <c r="AO11">
        <f>'Calculations BTU'!AW116</f>
        <v>0</v>
      </c>
      <c r="AP11">
        <f>'Calculations BTU'!AX116</f>
        <v>0</v>
      </c>
      <c r="AQ11">
        <f>'Calculations BTU'!AY116</f>
        <v>0</v>
      </c>
      <c r="AR11">
        <f>'Calculations BTU'!AZ116</f>
        <v>0</v>
      </c>
      <c r="AS11">
        <f>'Calculations BTU'!BA116</f>
        <v>0</v>
      </c>
      <c r="AT11">
        <f>'Calculations BTU'!BB116</f>
        <v>0</v>
      </c>
      <c r="AU11">
        <f>'Calculations BTU'!BC116</f>
        <v>0</v>
      </c>
      <c r="AV11">
        <f>'Calculations BTU'!BD116</f>
        <v>0</v>
      </c>
      <c r="AW11">
        <f>'Calculations BTU'!BE116</f>
        <v>0</v>
      </c>
      <c r="AX11">
        <f>'Calculations BTU'!BF116</f>
        <v>0</v>
      </c>
      <c r="AY11">
        <f>'Calculations BTU'!BG116</f>
        <v>0</v>
      </c>
      <c r="AZ11">
        <f>'Calculations BTU'!BH116</f>
        <v>0</v>
      </c>
    </row>
    <row r="12" spans="1:52">
      <c r="A12" t="s">
        <v>136</v>
      </c>
      <c r="B12">
        <f>'Calculations BTU'!J117</f>
        <v>0</v>
      </c>
      <c r="C12">
        <f>'Calculations BTU'!K117</f>
        <v>0</v>
      </c>
      <c r="D12">
        <f>'Calculations BTU'!L117</f>
        <v>0</v>
      </c>
      <c r="E12">
        <f>'Calculations BTU'!M117</f>
        <v>0</v>
      </c>
      <c r="F12">
        <f>'Calculations BTU'!N117</f>
        <v>0</v>
      </c>
      <c r="G12">
        <f>'Calculations BTU'!O117</f>
        <v>0</v>
      </c>
      <c r="H12">
        <f>'Calculations BTU'!P117</f>
        <v>0</v>
      </c>
      <c r="I12">
        <f>'Calculations BTU'!Q117</f>
        <v>0</v>
      </c>
      <c r="J12">
        <f>'Calculations BTU'!R117</f>
        <v>0</v>
      </c>
      <c r="K12">
        <f>'Calculations BTU'!S117</f>
        <v>0</v>
      </c>
      <c r="L12">
        <f>'Calculations BTU'!T117</f>
        <v>0</v>
      </c>
      <c r="M12">
        <f>'Calculations BTU'!U117</f>
        <v>0</v>
      </c>
      <c r="N12">
        <f>'Calculations BTU'!V117</f>
        <v>0</v>
      </c>
      <c r="O12">
        <f>'Calculations BTU'!W117</f>
        <v>0</v>
      </c>
      <c r="P12">
        <f>'Calculations BTU'!X117</f>
        <v>0</v>
      </c>
      <c r="Q12">
        <f>'Calculations BTU'!Y117</f>
        <v>0</v>
      </c>
      <c r="R12">
        <f>'Calculations BTU'!Z117</f>
        <v>0</v>
      </c>
      <c r="S12">
        <f>'Calculations BTU'!AA117</f>
        <v>0</v>
      </c>
      <c r="T12">
        <f>'Calculations BTU'!AB117</f>
        <v>0</v>
      </c>
      <c r="U12">
        <f>'Calculations BTU'!AC117</f>
        <v>0</v>
      </c>
      <c r="V12">
        <f>'Calculations BTU'!AD117</f>
        <v>0</v>
      </c>
      <c r="W12">
        <f>'Calculations BTU'!AE117</f>
        <v>0</v>
      </c>
      <c r="X12">
        <f>'Calculations BTU'!AF117</f>
        <v>0</v>
      </c>
      <c r="Y12">
        <f>'Calculations BTU'!AG117</f>
        <v>0</v>
      </c>
      <c r="Z12">
        <f>'Calculations BTU'!AH117</f>
        <v>0</v>
      </c>
      <c r="AA12">
        <f>'Calculations BTU'!AI117</f>
        <v>0</v>
      </c>
      <c r="AB12">
        <f>'Calculations BTU'!AJ117</f>
        <v>0</v>
      </c>
      <c r="AC12">
        <f>'Calculations BTU'!AK117</f>
        <v>0</v>
      </c>
      <c r="AD12">
        <f>'Calculations BTU'!AL117</f>
        <v>0</v>
      </c>
      <c r="AE12">
        <f>'Calculations BTU'!AM117</f>
        <v>0</v>
      </c>
      <c r="AF12">
        <f>'Calculations BTU'!AN117</f>
        <v>0</v>
      </c>
      <c r="AG12">
        <f>'Calculations BTU'!AO117</f>
        <v>0</v>
      </c>
      <c r="AH12">
        <f>'Calculations BTU'!AP117</f>
        <v>0</v>
      </c>
      <c r="AI12">
        <f>'Calculations BTU'!AQ117</f>
        <v>0</v>
      </c>
      <c r="AJ12">
        <f>'Calculations BTU'!AR117</f>
        <v>0</v>
      </c>
      <c r="AK12">
        <f>'Calculations BTU'!AS117</f>
        <v>0</v>
      </c>
      <c r="AL12">
        <f>'Calculations BTU'!AT117</f>
        <v>0</v>
      </c>
      <c r="AM12">
        <f>'Calculations BTU'!AU117</f>
        <v>0</v>
      </c>
      <c r="AN12">
        <f>'Calculations BTU'!AV117</f>
        <v>0</v>
      </c>
      <c r="AO12">
        <f>'Calculations BTU'!AW117</f>
        <v>0</v>
      </c>
      <c r="AP12">
        <f>'Calculations BTU'!AX117</f>
        <v>0</v>
      </c>
      <c r="AQ12">
        <f>'Calculations BTU'!AY117</f>
        <v>0</v>
      </c>
      <c r="AR12">
        <f>'Calculations BTU'!AZ117</f>
        <v>0</v>
      </c>
      <c r="AS12">
        <f>'Calculations BTU'!BA117</f>
        <v>0</v>
      </c>
      <c r="AT12">
        <f>'Calculations BTU'!BB117</f>
        <v>0</v>
      </c>
      <c r="AU12">
        <f>'Calculations BTU'!BC117</f>
        <v>0</v>
      </c>
      <c r="AV12">
        <f>'Calculations BTU'!BD117</f>
        <v>0</v>
      </c>
      <c r="AW12">
        <f>'Calculations BTU'!BE117</f>
        <v>0</v>
      </c>
      <c r="AX12">
        <f>'Calculations BTU'!BF117</f>
        <v>0</v>
      </c>
      <c r="AY12">
        <f>'Calculations BTU'!BG117</f>
        <v>0</v>
      </c>
      <c r="AZ12">
        <f>'Calculations BTU'!BH117</f>
        <v>0</v>
      </c>
    </row>
    <row r="13" spans="1:52">
      <c r="A13" t="s">
        <v>137</v>
      </c>
      <c r="B13">
        <f>'Calculations BTU'!J118</f>
        <v>0</v>
      </c>
      <c r="C13">
        <f>'Calculations BTU'!K118</f>
        <v>0</v>
      </c>
      <c r="D13">
        <f>'Calculations BTU'!L118</f>
        <v>0</v>
      </c>
      <c r="E13">
        <f>'Calculations BTU'!M118</f>
        <v>0</v>
      </c>
      <c r="F13">
        <f>'Calculations BTU'!N118</f>
        <v>0</v>
      </c>
      <c r="G13">
        <f>'Calculations BTU'!O118</f>
        <v>0</v>
      </c>
      <c r="H13">
        <f>'Calculations BTU'!P118</f>
        <v>0</v>
      </c>
      <c r="I13">
        <f>'Calculations BTU'!Q118</f>
        <v>0</v>
      </c>
      <c r="J13">
        <f>'Calculations BTU'!R118</f>
        <v>0</v>
      </c>
      <c r="K13">
        <f>'Calculations BTU'!S118</f>
        <v>0</v>
      </c>
      <c r="L13">
        <f>'Calculations BTU'!T118</f>
        <v>0</v>
      </c>
      <c r="M13">
        <f>'Calculations BTU'!U118</f>
        <v>0</v>
      </c>
      <c r="N13">
        <f>'Calculations BTU'!V118</f>
        <v>0</v>
      </c>
      <c r="O13">
        <f>'Calculations BTU'!W118</f>
        <v>0</v>
      </c>
      <c r="P13">
        <f>'Calculations BTU'!X118</f>
        <v>0</v>
      </c>
      <c r="Q13">
        <f>'Calculations BTU'!Y118</f>
        <v>0</v>
      </c>
      <c r="R13">
        <f>'Calculations BTU'!Z118</f>
        <v>0</v>
      </c>
      <c r="S13">
        <f>'Calculations BTU'!AA118</f>
        <v>0</v>
      </c>
      <c r="T13">
        <f>'Calculations BTU'!AB118</f>
        <v>0</v>
      </c>
      <c r="U13">
        <f>'Calculations BTU'!AC118</f>
        <v>0</v>
      </c>
      <c r="V13">
        <f>'Calculations BTU'!AD118</f>
        <v>0</v>
      </c>
      <c r="W13">
        <f>'Calculations BTU'!AE118</f>
        <v>0</v>
      </c>
      <c r="X13">
        <f>'Calculations BTU'!AF118</f>
        <v>0</v>
      </c>
      <c r="Y13">
        <f>'Calculations BTU'!AG118</f>
        <v>0</v>
      </c>
      <c r="Z13">
        <f>'Calculations BTU'!AH118</f>
        <v>0</v>
      </c>
      <c r="AA13">
        <f>'Calculations BTU'!AI118</f>
        <v>0</v>
      </c>
      <c r="AB13">
        <f>'Calculations BTU'!AJ118</f>
        <v>0</v>
      </c>
      <c r="AC13">
        <f>'Calculations BTU'!AK118</f>
        <v>0</v>
      </c>
      <c r="AD13">
        <f>'Calculations BTU'!AL118</f>
        <v>0</v>
      </c>
      <c r="AE13">
        <f>'Calculations BTU'!AM118</f>
        <v>0</v>
      </c>
      <c r="AF13">
        <f>'Calculations BTU'!AN118</f>
        <v>0</v>
      </c>
      <c r="AG13">
        <f>'Calculations BTU'!AO118</f>
        <v>0</v>
      </c>
      <c r="AH13">
        <f>'Calculations BTU'!AP118</f>
        <v>0</v>
      </c>
      <c r="AI13">
        <f>'Calculations BTU'!AQ118</f>
        <v>0</v>
      </c>
      <c r="AJ13">
        <f>'Calculations BTU'!AR118</f>
        <v>0</v>
      </c>
      <c r="AK13">
        <f>'Calculations BTU'!AS118</f>
        <v>0</v>
      </c>
      <c r="AL13">
        <f>'Calculations BTU'!AT118</f>
        <v>0</v>
      </c>
      <c r="AM13">
        <f>'Calculations BTU'!AU118</f>
        <v>0</v>
      </c>
      <c r="AN13">
        <f>'Calculations BTU'!AV118</f>
        <v>0</v>
      </c>
      <c r="AO13">
        <f>'Calculations BTU'!AW118</f>
        <v>0</v>
      </c>
      <c r="AP13">
        <f>'Calculations BTU'!AX118</f>
        <v>0</v>
      </c>
      <c r="AQ13">
        <f>'Calculations BTU'!AY118</f>
        <v>0</v>
      </c>
      <c r="AR13">
        <f>'Calculations BTU'!AZ118</f>
        <v>0</v>
      </c>
      <c r="AS13">
        <f>'Calculations BTU'!BA118</f>
        <v>0</v>
      </c>
      <c r="AT13">
        <f>'Calculations BTU'!BB118</f>
        <v>0</v>
      </c>
      <c r="AU13">
        <f>'Calculations BTU'!BC118</f>
        <v>0</v>
      </c>
      <c r="AV13">
        <f>'Calculations BTU'!BD118</f>
        <v>0</v>
      </c>
      <c r="AW13">
        <f>'Calculations BTU'!BE118</f>
        <v>0</v>
      </c>
      <c r="AX13">
        <f>'Calculations BTU'!BF118</f>
        <v>0</v>
      </c>
      <c r="AY13">
        <f>'Calculations BTU'!BG118</f>
        <v>0</v>
      </c>
      <c r="AZ13">
        <f>'Calculations BTU'!BH118</f>
        <v>0</v>
      </c>
    </row>
    <row r="14" spans="1:52">
      <c r="A14" t="s">
        <v>138</v>
      </c>
      <c r="B14">
        <f>'Calculations BTU'!J119</f>
        <v>0</v>
      </c>
      <c r="C14">
        <f>'Calculations BTU'!K119</f>
        <v>0</v>
      </c>
      <c r="D14">
        <f>'Calculations BTU'!L119</f>
        <v>0</v>
      </c>
      <c r="E14">
        <f>'Calculations BTU'!M119</f>
        <v>0</v>
      </c>
      <c r="F14">
        <f>'Calculations BTU'!N119</f>
        <v>0</v>
      </c>
      <c r="G14">
        <f>'Calculations BTU'!O119</f>
        <v>0</v>
      </c>
      <c r="H14">
        <f>'Calculations BTU'!P119</f>
        <v>0</v>
      </c>
      <c r="I14">
        <f>'Calculations BTU'!Q119</f>
        <v>0</v>
      </c>
      <c r="J14">
        <f>'Calculations BTU'!R119</f>
        <v>0</v>
      </c>
      <c r="K14">
        <f>'Calculations BTU'!S119</f>
        <v>0</v>
      </c>
      <c r="L14">
        <f>'Calculations BTU'!T119</f>
        <v>0</v>
      </c>
      <c r="M14">
        <f>'Calculations BTU'!U119</f>
        <v>0</v>
      </c>
      <c r="N14">
        <f>'Calculations BTU'!V119</f>
        <v>0</v>
      </c>
      <c r="O14">
        <f>'Calculations BTU'!W119</f>
        <v>0</v>
      </c>
      <c r="P14">
        <f>'Calculations BTU'!X119</f>
        <v>0</v>
      </c>
      <c r="Q14">
        <f>'Calculations BTU'!Y119</f>
        <v>0</v>
      </c>
      <c r="R14">
        <f>'Calculations BTU'!Z119</f>
        <v>0</v>
      </c>
      <c r="S14">
        <f>'Calculations BTU'!AA119</f>
        <v>0</v>
      </c>
      <c r="T14">
        <f>'Calculations BTU'!AB119</f>
        <v>0</v>
      </c>
      <c r="U14">
        <f>'Calculations BTU'!AC119</f>
        <v>0</v>
      </c>
      <c r="V14">
        <f>'Calculations BTU'!AD119</f>
        <v>0</v>
      </c>
      <c r="W14">
        <f>'Calculations BTU'!AE119</f>
        <v>0</v>
      </c>
      <c r="X14">
        <f>'Calculations BTU'!AF119</f>
        <v>0</v>
      </c>
      <c r="Y14">
        <f>'Calculations BTU'!AG119</f>
        <v>0</v>
      </c>
      <c r="Z14">
        <f>'Calculations BTU'!AH119</f>
        <v>0</v>
      </c>
      <c r="AA14">
        <f>'Calculations BTU'!AI119</f>
        <v>0</v>
      </c>
      <c r="AB14">
        <f>'Calculations BTU'!AJ119</f>
        <v>0</v>
      </c>
      <c r="AC14">
        <f>'Calculations BTU'!AK119</f>
        <v>0</v>
      </c>
      <c r="AD14">
        <f>'Calculations BTU'!AL119</f>
        <v>0</v>
      </c>
      <c r="AE14">
        <f>'Calculations BTU'!AM119</f>
        <v>0</v>
      </c>
      <c r="AF14">
        <f>'Calculations BTU'!AN119</f>
        <v>0</v>
      </c>
      <c r="AG14">
        <f>'Calculations BTU'!AO119</f>
        <v>0</v>
      </c>
      <c r="AH14">
        <f>'Calculations BTU'!AP119</f>
        <v>0</v>
      </c>
      <c r="AI14">
        <f>'Calculations BTU'!AQ119</f>
        <v>0</v>
      </c>
      <c r="AJ14">
        <f>'Calculations BTU'!AR119</f>
        <v>0</v>
      </c>
      <c r="AK14">
        <f>'Calculations BTU'!AS119</f>
        <v>0</v>
      </c>
      <c r="AL14">
        <f>'Calculations BTU'!AT119</f>
        <v>0</v>
      </c>
      <c r="AM14">
        <f>'Calculations BTU'!AU119</f>
        <v>0</v>
      </c>
      <c r="AN14">
        <f>'Calculations BTU'!AV119</f>
        <v>0</v>
      </c>
      <c r="AO14">
        <f>'Calculations BTU'!AW119</f>
        <v>0</v>
      </c>
      <c r="AP14">
        <f>'Calculations BTU'!AX119</f>
        <v>0</v>
      </c>
      <c r="AQ14">
        <f>'Calculations BTU'!AY119</f>
        <v>0</v>
      </c>
      <c r="AR14">
        <f>'Calculations BTU'!AZ119</f>
        <v>0</v>
      </c>
      <c r="AS14">
        <f>'Calculations BTU'!BA119</f>
        <v>0</v>
      </c>
      <c r="AT14">
        <f>'Calculations BTU'!BB119</f>
        <v>0</v>
      </c>
      <c r="AU14">
        <f>'Calculations BTU'!BC119</f>
        <v>0</v>
      </c>
      <c r="AV14">
        <f>'Calculations BTU'!BD119</f>
        <v>0</v>
      </c>
      <c r="AW14">
        <f>'Calculations BTU'!BE119</f>
        <v>0</v>
      </c>
      <c r="AX14">
        <f>'Calculations BTU'!BF119</f>
        <v>0</v>
      </c>
      <c r="AY14">
        <f>'Calculations BTU'!BG119</f>
        <v>0</v>
      </c>
      <c r="AZ14">
        <f>'Calculations BTU'!BH119</f>
        <v>0</v>
      </c>
    </row>
    <row r="15" spans="1:52">
      <c r="A15" t="s">
        <v>139</v>
      </c>
      <c r="B15">
        <f>'Calculations BTU'!J120</f>
        <v>0</v>
      </c>
      <c r="C15">
        <f>'Calculations BTU'!K120</f>
        <v>0</v>
      </c>
      <c r="D15">
        <f>'Calculations BTU'!L120</f>
        <v>0</v>
      </c>
      <c r="E15">
        <f>'Calculations BTU'!M120</f>
        <v>0</v>
      </c>
      <c r="F15">
        <f>'Calculations BTU'!N120</f>
        <v>0</v>
      </c>
      <c r="G15">
        <f>'Calculations BTU'!O120</f>
        <v>0</v>
      </c>
      <c r="H15">
        <f>'Calculations BTU'!P120</f>
        <v>0</v>
      </c>
      <c r="I15">
        <f>'Calculations BTU'!Q120</f>
        <v>0</v>
      </c>
      <c r="J15">
        <f>'Calculations BTU'!R120</f>
        <v>0</v>
      </c>
      <c r="K15">
        <f>'Calculations BTU'!S120</f>
        <v>0</v>
      </c>
      <c r="L15">
        <f>'Calculations BTU'!T120</f>
        <v>0</v>
      </c>
      <c r="M15">
        <f>'Calculations BTU'!U120</f>
        <v>0</v>
      </c>
      <c r="N15">
        <f>'Calculations BTU'!V120</f>
        <v>0</v>
      </c>
      <c r="O15">
        <f>'Calculations BTU'!W120</f>
        <v>0</v>
      </c>
      <c r="P15">
        <f>'Calculations BTU'!X120</f>
        <v>0</v>
      </c>
      <c r="Q15">
        <f>'Calculations BTU'!Y120</f>
        <v>0</v>
      </c>
      <c r="R15">
        <f>'Calculations BTU'!Z120</f>
        <v>0</v>
      </c>
      <c r="S15">
        <f>'Calculations BTU'!AA120</f>
        <v>0</v>
      </c>
      <c r="T15">
        <f>'Calculations BTU'!AB120</f>
        <v>0</v>
      </c>
      <c r="U15">
        <f>'Calculations BTU'!AC120</f>
        <v>0</v>
      </c>
      <c r="V15">
        <f>'Calculations BTU'!AD120</f>
        <v>0</v>
      </c>
      <c r="W15">
        <f>'Calculations BTU'!AE120</f>
        <v>0</v>
      </c>
      <c r="X15">
        <f>'Calculations BTU'!AF120</f>
        <v>0</v>
      </c>
      <c r="Y15">
        <f>'Calculations BTU'!AG120</f>
        <v>0</v>
      </c>
      <c r="Z15">
        <f>'Calculations BTU'!AH120</f>
        <v>0</v>
      </c>
      <c r="AA15">
        <f>'Calculations BTU'!AI120</f>
        <v>0</v>
      </c>
      <c r="AB15">
        <f>'Calculations BTU'!AJ120</f>
        <v>0</v>
      </c>
      <c r="AC15">
        <f>'Calculations BTU'!AK120</f>
        <v>0</v>
      </c>
      <c r="AD15">
        <f>'Calculations BTU'!AL120</f>
        <v>0</v>
      </c>
      <c r="AE15">
        <f>'Calculations BTU'!AM120</f>
        <v>0</v>
      </c>
      <c r="AF15">
        <f>'Calculations BTU'!AN120</f>
        <v>0</v>
      </c>
      <c r="AG15">
        <f>'Calculations BTU'!AO120</f>
        <v>0</v>
      </c>
      <c r="AH15">
        <f>'Calculations BTU'!AP120</f>
        <v>0</v>
      </c>
      <c r="AI15">
        <f>'Calculations BTU'!AQ120</f>
        <v>0</v>
      </c>
      <c r="AJ15">
        <f>'Calculations BTU'!AR120</f>
        <v>0</v>
      </c>
      <c r="AK15">
        <f>'Calculations BTU'!AS120</f>
        <v>0</v>
      </c>
      <c r="AL15">
        <f>'Calculations BTU'!AT120</f>
        <v>0</v>
      </c>
      <c r="AM15">
        <f>'Calculations BTU'!AU120</f>
        <v>0</v>
      </c>
      <c r="AN15">
        <f>'Calculations BTU'!AV120</f>
        <v>0</v>
      </c>
      <c r="AO15">
        <f>'Calculations BTU'!AW120</f>
        <v>0</v>
      </c>
      <c r="AP15">
        <f>'Calculations BTU'!AX120</f>
        <v>0</v>
      </c>
      <c r="AQ15">
        <f>'Calculations BTU'!AY120</f>
        <v>0</v>
      </c>
      <c r="AR15">
        <f>'Calculations BTU'!AZ120</f>
        <v>0</v>
      </c>
      <c r="AS15">
        <f>'Calculations BTU'!BA120</f>
        <v>0</v>
      </c>
      <c r="AT15">
        <f>'Calculations BTU'!BB120</f>
        <v>0</v>
      </c>
      <c r="AU15">
        <f>'Calculations BTU'!BC120</f>
        <v>0</v>
      </c>
      <c r="AV15">
        <f>'Calculations BTU'!BD120</f>
        <v>0</v>
      </c>
      <c r="AW15">
        <f>'Calculations BTU'!BE120</f>
        <v>0</v>
      </c>
      <c r="AX15">
        <f>'Calculations BTU'!BF120</f>
        <v>0</v>
      </c>
      <c r="AY15">
        <f>'Calculations BTU'!BG120</f>
        <v>0</v>
      </c>
      <c r="AZ15">
        <f>'Calculations BTU'!BH120</f>
        <v>0</v>
      </c>
    </row>
    <row r="16" spans="1:52">
      <c r="A16" t="s">
        <v>140</v>
      </c>
      <c r="B16">
        <f>'Calculations BTU'!J121</f>
        <v>0</v>
      </c>
      <c r="C16">
        <f>'Calculations BTU'!K121</f>
        <v>0</v>
      </c>
      <c r="D16">
        <f>'Calculations BTU'!L121</f>
        <v>0</v>
      </c>
      <c r="E16">
        <f>'Calculations BTU'!M121</f>
        <v>0</v>
      </c>
      <c r="F16">
        <f>'Calculations BTU'!N121</f>
        <v>0</v>
      </c>
      <c r="G16">
        <f>'Calculations BTU'!O121</f>
        <v>0</v>
      </c>
      <c r="H16">
        <f>'Calculations BTU'!P121</f>
        <v>0</v>
      </c>
      <c r="I16">
        <f>'Calculations BTU'!Q121</f>
        <v>0</v>
      </c>
      <c r="J16">
        <f>'Calculations BTU'!R121</f>
        <v>0</v>
      </c>
      <c r="K16">
        <f>'Calculations BTU'!S121</f>
        <v>0</v>
      </c>
      <c r="L16">
        <f>'Calculations BTU'!T121</f>
        <v>0</v>
      </c>
      <c r="M16">
        <f>'Calculations BTU'!U121</f>
        <v>0</v>
      </c>
      <c r="N16">
        <f>'Calculations BTU'!V121</f>
        <v>0</v>
      </c>
      <c r="O16">
        <f>'Calculations BTU'!W121</f>
        <v>0</v>
      </c>
      <c r="P16">
        <f>'Calculations BTU'!X121</f>
        <v>0</v>
      </c>
      <c r="Q16">
        <f>'Calculations BTU'!Y121</f>
        <v>0</v>
      </c>
      <c r="R16">
        <f>'Calculations BTU'!Z121</f>
        <v>0</v>
      </c>
      <c r="S16">
        <f>'Calculations BTU'!AA121</f>
        <v>0</v>
      </c>
      <c r="T16">
        <f>'Calculations BTU'!AB121</f>
        <v>0</v>
      </c>
      <c r="U16">
        <f>'Calculations BTU'!AC121</f>
        <v>0</v>
      </c>
      <c r="V16">
        <f>'Calculations BTU'!AD121</f>
        <v>0</v>
      </c>
      <c r="W16">
        <f>'Calculations BTU'!AE121</f>
        <v>0</v>
      </c>
      <c r="X16">
        <f>'Calculations BTU'!AF121</f>
        <v>0</v>
      </c>
      <c r="Y16">
        <f>'Calculations BTU'!AG121</f>
        <v>0</v>
      </c>
      <c r="Z16">
        <f>'Calculations BTU'!AH121</f>
        <v>0</v>
      </c>
      <c r="AA16">
        <f>'Calculations BTU'!AI121</f>
        <v>0</v>
      </c>
      <c r="AB16">
        <f>'Calculations BTU'!AJ121</f>
        <v>0</v>
      </c>
      <c r="AC16">
        <f>'Calculations BTU'!AK121</f>
        <v>0</v>
      </c>
      <c r="AD16">
        <f>'Calculations BTU'!AL121</f>
        <v>0</v>
      </c>
      <c r="AE16">
        <f>'Calculations BTU'!AM121</f>
        <v>0</v>
      </c>
      <c r="AF16">
        <f>'Calculations BTU'!AN121</f>
        <v>0</v>
      </c>
      <c r="AG16">
        <f>'Calculations BTU'!AO121</f>
        <v>0</v>
      </c>
      <c r="AH16">
        <f>'Calculations BTU'!AP121</f>
        <v>0</v>
      </c>
      <c r="AI16">
        <f>'Calculations BTU'!AQ121</f>
        <v>0</v>
      </c>
      <c r="AJ16">
        <f>'Calculations BTU'!AR121</f>
        <v>0</v>
      </c>
      <c r="AK16">
        <f>'Calculations BTU'!AS121</f>
        <v>0</v>
      </c>
      <c r="AL16">
        <f>'Calculations BTU'!AT121</f>
        <v>0</v>
      </c>
      <c r="AM16">
        <f>'Calculations BTU'!AU121</f>
        <v>0</v>
      </c>
      <c r="AN16">
        <f>'Calculations BTU'!AV121</f>
        <v>0</v>
      </c>
      <c r="AO16">
        <f>'Calculations BTU'!AW121</f>
        <v>0</v>
      </c>
      <c r="AP16">
        <f>'Calculations BTU'!AX121</f>
        <v>0</v>
      </c>
      <c r="AQ16">
        <f>'Calculations BTU'!AY121</f>
        <v>0</v>
      </c>
      <c r="AR16">
        <f>'Calculations BTU'!AZ121</f>
        <v>0</v>
      </c>
      <c r="AS16">
        <f>'Calculations BTU'!BA121</f>
        <v>0</v>
      </c>
      <c r="AT16">
        <f>'Calculations BTU'!BB121</f>
        <v>0</v>
      </c>
      <c r="AU16">
        <f>'Calculations BTU'!BC121</f>
        <v>0</v>
      </c>
      <c r="AV16">
        <f>'Calculations BTU'!BD121</f>
        <v>0</v>
      </c>
      <c r="AW16">
        <f>'Calculations BTU'!BE121</f>
        <v>0</v>
      </c>
      <c r="AX16">
        <f>'Calculations BTU'!BF121</f>
        <v>0</v>
      </c>
      <c r="AY16">
        <f>'Calculations BTU'!BG121</f>
        <v>0</v>
      </c>
      <c r="AZ16">
        <f>'Calculations BTU'!BH121</f>
        <v>0</v>
      </c>
    </row>
    <row r="17" spans="1:52">
      <c r="A17" t="s">
        <v>141</v>
      </c>
      <c r="B17">
        <f>'Calculations BTU'!J122</f>
        <v>0</v>
      </c>
      <c r="C17">
        <f>'Calculations BTU'!K122</f>
        <v>0</v>
      </c>
      <c r="D17">
        <f>'Calculations BTU'!L122</f>
        <v>0</v>
      </c>
      <c r="E17">
        <f>'Calculations BTU'!M122</f>
        <v>0</v>
      </c>
      <c r="F17">
        <f>'Calculations BTU'!N122</f>
        <v>0</v>
      </c>
      <c r="G17">
        <f>'Calculations BTU'!O122</f>
        <v>0</v>
      </c>
      <c r="H17">
        <f>'Calculations BTU'!P122</f>
        <v>0</v>
      </c>
      <c r="I17">
        <f>'Calculations BTU'!Q122</f>
        <v>0</v>
      </c>
      <c r="J17">
        <f>'Calculations BTU'!R122</f>
        <v>0</v>
      </c>
      <c r="K17">
        <f>'Calculations BTU'!S122</f>
        <v>0</v>
      </c>
      <c r="L17">
        <f>'Calculations BTU'!T122</f>
        <v>0</v>
      </c>
      <c r="M17">
        <f>'Calculations BTU'!U122</f>
        <v>0</v>
      </c>
      <c r="N17">
        <f>'Calculations BTU'!V122</f>
        <v>0</v>
      </c>
      <c r="O17">
        <f>'Calculations BTU'!W122</f>
        <v>0</v>
      </c>
      <c r="P17">
        <f>'Calculations BTU'!X122</f>
        <v>0</v>
      </c>
      <c r="Q17">
        <f>'Calculations BTU'!Y122</f>
        <v>0</v>
      </c>
      <c r="R17">
        <f>'Calculations BTU'!Z122</f>
        <v>0</v>
      </c>
      <c r="S17">
        <f>'Calculations BTU'!AA122</f>
        <v>0</v>
      </c>
      <c r="T17">
        <f>'Calculations BTU'!AB122</f>
        <v>0</v>
      </c>
      <c r="U17">
        <f>'Calculations BTU'!AC122</f>
        <v>0</v>
      </c>
      <c r="V17">
        <f>'Calculations BTU'!AD122</f>
        <v>0</v>
      </c>
      <c r="W17">
        <f>'Calculations BTU'!AE122</f>
        <v>0</v>
      </c>
      <c r="X17">
        <f>'Calculations BTU'!AF122</f>
        <v>0</v>
      </c>
      <c r="Y17">
        <f>'Calculations BTU'!AG122</f>
        <v>0</v>
      </c>
      <c r="Z17">
        <f>'Calculations BTU'!AH122</f>
        <v>0</v>
      </c>
      <c r="AA17">
        <f>'Calculations BTU'!AI122</f>
        <v>0</v>
      </c>
      <c r="AB17">
        <f>'Calculations BTU'!AJ122</f>
        <v>0</v>
      </c>
      <c r="AC17">
        <f>'Calculations BTU'!AK122</f>
        <v>0</v>
      </c>
      <c r="AD17">
        <f>'Calculations BTU'!AL122</f>
        <v>0</v>
      </c>
      <c r="AE17">
        <f>'Calculations BTU'!AM122</f>
        <v>0</v>
      </c>
      <c r="AF17">
        <f>'Calculations BTU'!AN122</f>
        <v>0</v>
      </c>
      <c r="AG17">
        <f>'Calculations BTU'!AO122</f>
        <v>0</v>
      </c>
      <c r="AH17">
        <f>'Calculations BTU'!AP122</f>
        <v>0</v>
      </c>
      <c r="AI17">
        <f>'Calculations BTU'!AQ122</f>
        <v>0</v>
      </c>
      <c r="AJ17">
        <f>'Calculations BTU'!AR122</f>
        <v>0</v>
      </c>
      <c r="AK17">
        <f>'Calculations BTU'!AS122</f>
        <v>0</v>
      </c>
      <c r="AL17">
        <f>'Calculations BTU'!AT122</f>
        <v>0</v>
      </c>
      <c r="AM17">
        <f>'Calculations BTU'!AU122</f>
        <v>0</v>
      </c>
      <c r="AN17">
        <f>'Calculations BTU'!AV122</f>
        <v>0</v>
      </c>
      <c r="AO17">
        <f>'Calculations BTU'!AW122</f>
        <v>0</v>
      </c>
      <c r="AP17">
        <f>'Calculations BTU'!AX122</f>
        <v>0</v>
      </c>
      <c r="AQ17">
        <f>'Calculations BTU'!AY122</f>
        <v>0</v>
      </c>
      <c r="AR17">
        <f>'Calculations BTU'!AZ122</f>
        <v>0</v>
      </c>
      <c r="AS17">
        <f>'Calculations BTU'!BA122</f>
        <v>0</v>
      </c>
      <c r="AT17">
        <f>'Calculations BTU'!BB122</f>
        <v>0</v>
      </c>
      <c r="AU17">
        <f>'Calculations BTU'!BC122</f>
        <v>0</v>
      </c>
      <c r="AV17">
        <f>'Calculations BTU'!BD122</f>
        <v>0</v>
      </c>
      <c r="AW17">
        <f>'Calculations BTU'!BE122</f>
        <v>0</v>
      </c>
      <c r="AX17">
        <f>'Calculations BTU'!BF122</f>
        <v>0</v>
      </c>
      <c r="AY17">
        <f>'Calculations BTU'!BG122</f>
        <v>0</v>
      </c>
      <c r="AZ17">
        <f>'Calculations BTU'!BH122</f>
        <v>0</v>
      </c>
    </row>
    <row r="18" spans="1:52">
      <c r="A18" t="s">
        <v>142</v>
      </c>
      <c r="B18">
        <f>'Calculations BTU'!J123</f>
        <v>0</v>
      </c>
      <c r="C18">
        <f>'Calculations BTU'!K123</f>
        <v>0</v>
      </c>
      <c r="D18">
        <f>'Calculations BTU'!L123</f>
        <v>0</v>
      </c>
      <c r="E18">
        <f>'Calculations BTU'!M123</f>
        <v>0</v>
      </c>
      <c r="F18">
        <f>'Calculations BTU'!N123</f>
        <v>0</v>
      </c>
      <c r="G18">
        <f>'Calculations BTU'!O123</f>
        <v>0</v>
      </c>
      <c r="H18">
        <f>'Calculations BTU'!P123</f>
        <v>0</v>
      </c>
      <c r="I18">
        <f>'Calculations BTU'!Q123</f>
        <v>0</v>
      </c>
      <c r="J18">
        <f>'Calculations BTU'!R123</f>
        <v>0</v>
      </c>
      <c r="K18">
        <f>'Calculations BTU'!S123</f>
        <v>0</v>
      </c>
      <c r="L18">
        <f>'Calculations BTU'!T123</f>
        <v>0</v>
      </c>
      <c r="M18">
        <f>'Calculations BTU'!U123</f>
        <v>0</v>
      </c>
      <c r="N18">
        <f>'Calculations BTU'!V123</f>
        <v>0</v>
      </c>
      <c r="O18">
        <f>'Calculations BTU'!W123</f>
        <v>0</v>
      </c>
      <c r="P18">
        <f>'Calculations BTU'!X123</f>
        <v>0</v>
      </c>
      <c r="Q18">
        <f>'Calculations BTU'!Y123</f>
        <v>0</v>
      </c>
      <c r="R18">
        <f>'Calculations BTU'!Z123</f>
        <v>0</v>
      </c>
      <c r="S18">
        <f>'Calculations BTU'!AA123</f>
        <v>0</v>
      </c>
      <c r="T18">
        <f>'Calculations BTU'!AB123</f>
        <v>0</v>
      </c>
      <c r="U18">
        <f>'Calculations BTU'!AC123</f>
        <v>0</v>
      </c>
      <c r="V18">
        <f>'Calculations BTU'!AD123</f>
        <v>0</v>
      </c>
      <c r="W18">
        <f>'Calculations BTU'!AE123</f>
        <v>0</v>
      </c>
      <c r="X18">
        <f>'Calculations BTU'!AF123</f>
        <v>0</v>
      </c>
      <c r="Y18">
        <f>'Calculations BTU'!AG123</f>
        <v>0</v>
      </c>
      <c r="Z18">
        <f>'Calculations BTU'!AH123</f>
        <v>0</v>
      </c>
      <c r="AA18">
        <f>'Calculations BTU'!AI123</f>
        <v>0</v>
      </c>
      <c r="AB18">
        <f>'Calculations BTU'!AJ123</f>
        <v>0</v>
      </c>
      <c r="AC18">
        <f>'Calculations BTU'!AK123</f>
        <v>0</v>
      </c>
      <c r="AD18">
        <f>'Calculations BTU'!AL123</f>
        <v>0</v>
      </c>
      <c r="AE18">
        <f>'Calculations BTU'!AM123</f>
        <v>0</v>
      </c>
      <c r="AF18">
        <f>'Calculations BTU'!AN123</f>
        <v>0</v>
      </c>
      <c r="AG18">
        <f>'Calculations BTU'!AO123</f>
        <v>0</v>
      </c>
      <c r="AH18">
        <f>'Calculations BTU'!AP123</f>
        <v>0</v>
      </c>
      <c r="AI18">
        <f>'Calculations BTU'!AQ123</f>
        <v>0</v>
      </c>
      <c r="AJ18">
        <f>'Calculations BTU'!AR123</f>
        <v>0</v>
      </c>
      <c r="AK18">
        <f>'Calculations BTU'!AS123</f>
        <v>0</v>
      </c>
      <c r="AL18">
        <f>'Calculations BTU'!AT123</f>
        <v>0</v>
      </c>
      <c r="AM18">
        <f>'Calculations BTU'!AU123</f>
        <v>0</v>
      </c>
      <c r="AN18">
        <f>'Calculations BTU'!AV123</f>
        <v>0</v>
      </c>
      <c r="AO18">
        <f>'Calculations BTU'!AW123</f>
        <v>0</v>
      </c>
      <c r="AP18">
        <f>'Calculations BTU'!AX123</f>
        <v>0</v>
      </c>
      <c r="AQ18">
        <f>'Calculations BTU'!AY123</f>
        <v>0</v>
      </c>
      <c r="AR18">
        <f>'Calculations BTU'!AZ123</f>
        <v>0</v>
      </c>
      <c r="AS18">
        <f>'Calculations BTU'!BA123</f>
        <v>0</v>
      </c>
      <c r="AT18">
        <f>'Calculations BTU'!BB123</f>
        <v>0</v>
      </c>
      <c r="AU18">
        <f>'Calculations BTU'!BC123</f>
        <v>0</v>
      </c>
      <c r="AV18">
        <f>'Calculations BTU'!BD123</f>
        <v>0</v>
      </c>
      <c r="AW18">
        <f>'Calculations BTU'!BE123</f>
        <v>0</v>
      </c>
      <c r="AX18">
        <f>'Calculations BTU'!BF123</f>
        <v>0</v>
      </c>
      <c r="AY18">
        <f>'Calculations BTU'!BG123</f>
        <v>0</v>
      </c>
      <c r="AZ18">
        <f>'Calculations BTU'!BH123</f>
        <v>0</v>
      </c>
    </row>
    <row r="19" spans="1:52">
      <c r="A19" t="s">
        <v>143</v>
      </c>
      <c r="B19">
        <f>'Calculations BTU'!J124</f>
        <v>0</v>
      </c>
      <c r="C19">
        <f>'Calculations BTU'!K124</f>
        <v>0</v>
      </c>
      <c r="D19">
        <f>'Calculations BTU'!L124</f>
        <v>0</v>
      </c>
      <c r="E19">
        <f>'Calculations BTU'!M124</f>
        <v>0</v>
      </c>
      <c r="F19">
        <f>'Calculations BTU'!N124</f>
        <v>0</v>
      </c>
      <c r="G19">
        <f>'Calculations BTU'!O124</f>
        <v>0</v>
      </c>
      <c r="H19">
        <f>'Calculations BTU'!P124</f>
        <v>0</v>
      </c>
      <c r="I19">
        <f>'Calculations BTU'!Q124</f>
        <v>0</v>
      </c>
      <c r="J19">
        <f>'Calculations BTU'!R124</f>
        <v>0</v>
      </c>
      <c r="K19">
        <f>'Calculations BTU'!S124</f>
        <v>0</v>
      </c>
      <c r="L19">
        <f>'Calculations BTU'!T124</f>
        <v>0</v>
      </c>
      <c r="M19">
        <f>'Calculations BTU'!U124</f>
        <v>0</v>
      </c>
      <c r="N19">
        <f>'Calculations BTU'!V124</f>
        <v>0</v>
      </c>
      <c r="O19">
        <f>'Calculations BTU'!W124</f>
        <v>0</v>
      </c>
      <c r="P19">
        <f>'Calculations BTU'!X124</f>
        <v>0</v>
      </c>
      <c r="Q19">
        <f>'Calculations BTU'!Y124</f>
        <v>0</v>
      </c>
      <c r="R19">
        <f>'Calculations BTU'!Z124</f>
        <v>0</v>
      </c>
      <c r="S19">
        <f>'Calculations BTU'!AA124</f>
        <v>0</v>
      </c>
      <c r="T19">
        <f>'Calculations BTU'!AB124</f>
        <v>0</v>
      </c>
      <c r="U19">
        <f>'Calculations BTU'!AC124</f>
        <v>0</v>
      </c>
      <c r="V19">
        <f>'Calculations BTU'!AD124</f>
        <v>0</v>
      </c>
      <c r="W19">
        <f>'Calculations BTU'!AE124</f>
        <v>0</v>
      </c>
      <c r="X19">
        <f>'Calculations BTU'!AF124</f>
        <v>0</v>
      </c>
      <c r="Y19">
        <f>'Calculations BTU'!AG124</f>
        <v>0</v>
      </c>
      <c r="Z19">
        <f>'Calculations BTU'!AH124</f>
        <v>0</v>
      </c>
      <c r="AA19">
        <f>'Calculations BTU'!AI124</f>
        <v>0</v>
      </c>
      <c r="AB19">
        <f>'Calculations BTU'!AJ124</f>
        <v>0</v>
      </c>
      <c r="AC19">
        <f>'Calculations BTU'!AK124</f>
        <v>0</v>
      </c>
      <c r="AD19">
        <f>'Calculations BTU'!AL124</f>
        <v>0</v>
      </c>
      <c r="AE19">
        <f>'Calculations BTU'!AM124</f>
        <v>0</v>
      </c>
      <c r="AF19">
        <f>'Calculations BTU'!AN124</f>
        <v>0</v>
      </c>
      <c r="AG19">
        <f>'Calculations BTU'!AO124</f>
        <v>0</v>
      </c>
      <c r="AH19">
        <f>'Calculations BTU'!AP124</f>
        <v>0</v>
      </c>
      <c r="AI19">
        <f>'Calculations BTU'!AQ124</f>
        <v>0</v>
      </c>
      <c r="AJ19">
        <f>'Calculations BTU'!AR124</f>
        <v>0</v>
      </c>
      <c r="AK19">
        <f>'Calculations BTU'!AS124</f>
        <v>0</v>
      </c>
      <c r="AL19">
        <f>'Calculations BTU'!AT124</f>
        <v>0</v>
      </c>
      <c r="AM19">
        <f>'Calculations BTU'!AU124</f>
        <v>0</v>
      </c>
      <c r="AN19">
        <f>'Calculations BTU'!AV124</f>
        <v>0</v>
      </c>
      <c r="AO19">
        <f>'Calculations BTU'!AW124</f>
        <v>0</v>
      </c>
      <c r="AP19">
        <f>'Calculations BTU'!AX124</f>
        <v>0</v>
      </c>
      <c r="AQ19">
        <f>'Calculations BTU'!AY124</f>
        <v>0</v>
      </c>
      <c r="AR19">
        <f>'Calculations BTU'!AZ124</f>
        <v>0</v>
      </c>
      <c r="AS19">
        <f>'Calculations BTU'!BA124</f>
        <v>0</v>
      </c>
      <c r="AT19">
        <f>'Calculations BTU'!BB124</f>
        <v>0</v>
      </c>
      <c r="AU19">
        <f>'Calculations BTU'!BC124</f>
        <v>0</v>
      </c>
      <c r="AV19">
        <f>'Calculations BTU'!BD124</f>
        <v>0</v>
      </c>
      <c r="AW19">
        <f>'Calculations BTU'!BE124</f>
        <v>0</v>
      </c>
      <c r="AX19">
        <f>'Calculations BTU'!BF124</f>
        <v>0</v>
      </c>
      <c r="AY19">
        <f>'Calculations BTU'!BG124</f>
        <v>0</v>
      </c>
      <c r="AZ19">
        <f>'Calculations BTU'!BH124</f>
        <v>0</v>
      </c>
    </row>
    <row r="20" spans="1:52">
      <c r="A20" t="s">
        <v>144</v>
      </c>
      <c r="B20">
        <f>'Calculations BTU'!J125</f>
        <v>0</v>
      </c>
      <c r="C20">
        <f>'Calculations BTU'!K125</f>
        <v>0</v>
      </c>
      <c r="D20">
        <f>'Calculations BTU'!L125</f>
        <v>0</v>
      </c>
      <c r="E20">
        <f>'Calculations BTU'!M125</f>
        <v>0</v>
      </c>
      <c r="F20">
        <f>'Calculations BTU'!N125</f>
        <v>0</v>
      </c>
      <c r="G20">
        <f>'Calculations BTU'!O125</f>
        <v>0</v>
      </c>
      <c r="H20">
        <f>'Calculations BTU'!P125</f>
        <v>0</v>
      </c>
      <c r="I20">
        <f>'Calculations BTU'!Q125</f>
        <v>0</v>
      </c>
      <c r="J20">
        <f>'Calculations BTU'!R125</f>
        <v>0</v>
      </c>
      <c r="K20">
        <f>'Calculations BTU'!S125</f>
        <v>0</v>
      </c>
      <c r="L20">
        <f>'Calculations BTU'!T125</f>
        <v>0</v>
      </c>
      <c r="M20">
        <f>'Calculations BTU'!U125</f>
        <v>0</v>
      </c>
      <c r="N20">
        <f>'Calculations BTU'!V125</f>
        <v>0</v>
      </c>
      <c r="O20">
        <f>'Calculations BTU'!W125</f>
        <v>0</v>
      </c>
      <c r="P20">
        <f>'Calculations BTU'!X125</f>
        <v>0</v>
      </c>
      <c r="Q20">
        <f>'Calculations BTU'!Y125</f>
        <v>0</v>
      </c>
      <c r="R20">
        <f>'Calculations BTU'!Z125</f>
        <v>0</v>
      </c>
      <c r="S20">
        <f>'Calculations BTU'!AA125</f>
        <v>0</v>
      </c>
      <c r="T20">
        <f>'Calculations BTU'!AB125</f>
        <v>0</v>
      </c>
      <c r="U20">
        <f>'Calculations BTU'!AC125</f>
        <v>0</v>
      </c>
      <c r="V20">
        <f>'Calculations BTU'!AD125</f>
        <v>0</v>
      </c>
      <c r="W20">
        <f>'Calculations BTU'!AE125</f>
        <v>0</v>
      </c>
      <c r="X20">
        <f>'Calculations BTU'!AF125</f>
        <v>0</v>
      </c>
      <c r="Y20">
        <f>'Calculations BTU'!AG125</f>
        <v>0</v>
      </c>
      <c r="Z20">
        <f>'Calculations BTU'!AH125</f>
        <v>0</v>
      </c>
      <c r="AA20">
        <f>'Calculations BTU'!AI125</f>
        <v>0</v>
      </c>
      <c r="AB20">
        <f>'Calculations BTU'!AJ125</f>
        <v>0</v>
      </c>
      <c r="AC20">
        <f>'Calculations BTU'!AK125</f>
        <v>0</v>
      </c>
      <c r="AD20">
        <f>'Calculations BTU'!AL125</f>
        <v>0</v>
      </c>
      <c r="AE20">
        <f>'Calculations BTU'!AM125</f>
        <v>0</v>
      </c>
      <c r="AF20">
        <f>'Calculations BTU'!AN125</f>
        <v>0</v>
      </c>
      <c r="AG20">
        <f>'Calculations BTU'!AO125</f>
        <v>0</v>
      </c>
      <c r="AH20">
        <f>'Calculations BTU'!AP125</f>
        <v>0</v>
      </c>
      <c r="AI20">
        <f>'Calculations BTU'!AQ125</f>
        <v>0</v>
      </c>
      <c r="AJ20">
        <f>'Calculations BTU'!AR125</f>
        <v>0</v>
      </c>
      <c r="AK20">
        <f>'Calculations BTU'!AS125</f>
        <v>0</v>
      </c>
      <c r="AL20">
        <f>'Calculations BTU'!AT125</f>
        <v>0</v>
      </c>
      <c r="AM20">
        <f>'Calculations BTU'!AU125</f>
        <v>0</v>
      </c>
      <c r="AN20">
        <f>'Calculations BTU'!AV125</f>
        <v>0</v>
      </c>
      <c r="AO20">
        <f>'Calculations BTU'!AW125</f>
        <v>0</v>
      </c>
      <c r="AP20">
        <f>'Calculations BTU'!AX125</f>
        <v>0</v>
      </c>
      <c r="AQ20">
        <f>'Calculations BTU'!AY125</f>
        <v>0</v>
      </c>
      <c r="AR20">
        <f>'Calculations BTU'!AZ125</f>
        <v>0</v>
      </c>
      <c r="AS20">
        <f>'Calculations BTU'!BA125</f>
        <v>0</v>
      </c>
      <c r="AT20">
        <f>'Calculations BTU'!BB125</f>
        <v>0</v>
      </c>
      <c r="AU20">
        <f>'Calculations BTU'!BC125</f>
        <v>0</v>
      </c>
      <c r="AV20">
        <f>'Calculations BTU'!BD125</f>
        <v>0</v>
      </c>
      <c r="AW20">
        <f>'Calculations BTU'!BE125</f>
        <v>0</v>
      </c>
      <c r="AX20">
        <f>'Calculations BTU'!BF125</f>
        <v>0</v>
      </c>
      <c r="AY20">
        <f>'Calculations BTU'!BG125</f>
        <v>0</v>
      </c>
      <c r="AZ20">
        <f>'Calculations BTU'!BH125</f>
        <v>0</v>
      </c>
    </row>
    <row r="21" spans="1:52">
      <c r="A21" t="s">
        <v>145</v>
      </c>
      <c r="B21">
        <f>'Calculations BTU'!J126</f>
        <v>0</v>
      </c>
      <c r="C21">
        <f>'Calculations BTU'!K126</f>
        <v>0</v>
      </c>
      <c r="D21">
        <f>'Calculations BTU'!L126</f>
        <v>0</v>
      </c>
      <c r="E21">
        <f>'Calculations BTU'!M126</f>
        <v>0</v>
      </c>
      <c r="F21">
        <f>'Calculations BTU'!N126</f>
        <v>0</v>
      </c>
      <c r="G21">
        <f>'Calculations BTU'!O126</f>
        <v>0</v>
      </c>
      <c r="H21">
        <f>'Calculations BTU'!P126</f>
        <v>0</v>
      </c>
      <c r="I21">
        <f>'Calculations BTU'!Q126</f>
        <v>0</v>
      </c>
      <c r="J21">
        <f>'Calculations BTU'!R126</f>
        <v>0</v>
      </c>
      <c r="K21">
        <f>'Calculations BTU'!S126</f>
        <v>0</v>
      </c>
      <c r="L21">
        <f>'Calculations BTU'!T126</f>
        <v>0</v>
      </c>
      <c r="M21">
        <f>'Calculations BTU'!U126</f>
        <v>0</v>
      </c>
      <c r="N21">
        <f>'Calculations BTU'!V126</f>
        <v>0</v>
      </c>
      <c r="O21">
        <f>'Calculations BTU'!W126</f>
        <v>0</v>
      </c>
      <c r="P21">
        <f>'Calculations BTU'!X126</f>
        <v>0</v>
      </c>
      <c r="Q21">
        <f>'Calculations BTU'!Y126</f>
        <v>0</v>
      </c>
      <c r="R21">
        <f>'Calculations BTU'!Z126</f>
        <v>0</v>
      </c>
      <c r="S21">
        <f>'Calculations BTU'!AA126</f>
        <v>0</v>
      </c>
      <c r="T21">
        <f>'Calculations BTU'!AB126</f>
        <v>0</v>
      </c>
      <c r="U21">
        <f>'Calculations BTU'!AC126</f>
        <v>0</v>
      </c>
      <c r="V21">
        <f>'Calculations BTU'!AD126</f>
        <v>0</v>
      </c>
      <c r="W21">
        <f>'Calculations BTU'!AE126</f>
        <v>0</v>
      </c>
      <c r="X21">
        <f>'Calculations BTU'!AF126</f>
        <v>0</v>
      </c>
      <c r="Y21">
        <f>'Calculations BTU'!AG126</f>
        <v>0</v>
      </c>
      <c r="Z21">
        <f>'Calculations BTU'!AH126</f>
        <v>0</v>
      </c>
      <c r="AA21">
        <f>'Calculations BTU'!AI126</f>
        <v>0</v>
      </c>
      <c r="AB21">
        <f>'Calculations BTU'!AJ126</f>
        <v>0</v>
      </c>
      <c r="AC21">
        <f>'Calculations BTU'!AK126</f>
        <v>0</v>
      </c>
      <c r="AD21">
        <f>'Calculations BTU'!AL126</f>
        <v>0</v>
      </c>
      <c r="AE21">
        <f>'Calculations BTU'!AM126</f>
        <v>0</v>
      </c>
      <c r="AF21">
        <f>'Calculations BTU'!AN126</f>
        <v>0</v>
      </c>
      <c r="AG21">
        <f>'Calculations BTU'!AO126</f>
        <v>0</v>
      </c>
      <c r="AH21">
        <f>'Calculations BTU'!AP126</f>
        <v>0</v>
      </c>
      <c r="AI21">
        <f>'Calculations BTU'!AQ126</f>
        <v>0</v>
      </c>
      <c r="AJ21">
        <f>'Calculations BTU'!AR126</f>
        <v>0</v>
      </c>
      <c r="AK21">
        <f>'Calculations BTU'!AS126</f>
        <v>0</v>
      </c>
      <c r="AL21">
        <f>'Calculations BTU'!AT126</f>
        <v>0</v>
      </c>
      <c r="AM21">
        <f>'Calculations BTU'!AU126</f>
        <v>0</v>
      </c>
      <c r="AN21">
        <f>'Calculations BTU'!AV126</f>
        <v>0</v>
      </c>
      <c r="AO21">
        <f>'Calculations BTU'!AW126</f>
        <v>0</v>
      </c>
      <c r="AP21">
        <f>'Calculations BTU'!AX126</f>
        <v>0</v>
      </c>
      <c r="AQ21">
        <f>'Calculations BTU'!AY126</f>
        <v>0</v>
      </c>
      <c r="AR21">
        <f>'Calculations BTU'!AZ126</f>
        <v>0</v>
      </c>
      <c r="AS21">
        <f>'Calculations BTU'!BA126</f>
        <v>0</v>
      </c>
      <c r="AT21">
        <f>'Calculations BTU'!BB126</f>
        <v>0</v>
      </c>
      <c r="AU21">
        <f>'Calculations BTU'!BC126</f>
        <v>0</v>
      </c>
      <c r="AV21">
        <f>'Calculations BTU'!BD126</f>
        <v>0</v>
      </c>
      <c r="AW21">
        <f>'Calculations BTU'!BE126</f>
        <v>0</v>
      </c>
      <c r="AX21">
        <f>'Calculations BTU'!BF126</f>
        <v>0</v>
      </c>
      <c r="AY21">
        <f>'Calculations BTU'!BG126</f>
        <v>0</v>
      </c>
      <c r="AZ21">
        <f>'Calculations BTU'!BH126</f>
        <v>0</v>
      </c>
    </row>
    <row r="22" spans="1:52">
      <c r="A22" t="s">
        <v>146</v>
      </c>
      <c r="B22">
        <f>'Calculations BTU'!J127</f>
        <v>0</v>
      </c>
      <c r="C22">
        <f>'Calculations BTU'!K127</f>
        <v>0</v>
      </c>
      <c r="D22">
        <f>'Calculations BTU'!L127</f>
        <v>0</v>
      </c>
      <c r="E22">
        <f>'Calculations BTU'!M127</f>
        <v>0</v>
      </c>
      <c r="F22">
        <f>'Calculations BTU'!N127</f>
        <v>0</v>
      </c>
      <c r="G22">
        <f>'Calculations BTU'!O127</f>
        <v>0</v>
      </c>
      <c r="H22">
        <f>'Calculations BTU'!P127</f>
        <v>0</v>
      </c>
      <c r="I22">
        <f>'Calculations BTU'!Q127</f>
        <v>0</v>
      </c>
      <c r="J22">
        <f>'Calculations BTU'!R127</f>
        <v>0</v>
      </c>
      <c r="K22">
        <f>'Calculations BTU'!S127</f>
        <v>0</v>
      </c>
      <c r="L22">
        <f>'Calculations BTU'!T127</f>
        <v>0</v>
      </c>
      <c r="M22">
        <f>'Calculations BTU'!U127</f>
        <v>0</v>
      </c>
      <c r="N22">
        <f>'Calculations BTU'!V127</f>
        <v>0</v>
      </c>
      <c r="O22">
        <f>'Calculations BTU'!W127</f>
        <v>0</v>
      </c>
      <c r="P22">
        <f>'Calculations BTU'!X127</f>
        <v>0</v>
      </c>
      <c r="Q22">
        <f>'Calculations BTU'!Y127</f>
        <v>0</v>
      </c>
      <c r="R22">
        <f>'Calculations BTU'!Z127</f>
        <v>0</v>
      </c>
      <c r="S22">
        <f>'Calculations BTU'!AA127</f>
        <v>0</v>
      </c>
      <c r="T22">
        <f>'Calculations BTU'!AB127</f>
        <v>0</v>
      </c>
      <c r="U22">
        <f>'Calculations BTU'!AC127</f>
        <v>0</v>
      </c>
      <c r="V22">
        <f>'Calculations BTU'!AD127</f>
        <v>0</v>
      </c>
      <c r="W22">
        <f>'Calculations BTU'!AE127</f>
        <v>0</v>
      </c>
      <c r="X22">
        <f>'Calculations BTU'!AF127</f>
        <v>0</v>
      </c>
      <c r="Y22">
        <f>'Calculations BTU'!AG127</f>
        <v>0</v>
      </c>
      <c r="Z22">
        <f>'Calculations BTU'!AH127</f>
        <v>0</v>
      </c>
      <c r="AA22">
        <f>'Calculations BTU'!AI127</f>
        <v>0</v>
      </c>
      <c r="AB22">
        <f>'Calculations BTU'!AJ127</f>
        <v>0</v>
      </c>
      <c r="AC22">
        <f>'Calculations BTU'!AK127</f>
        <v>0</v>
      </c>
      <c r="AD22">
        <f>'Calculations BTU'!AL127</f>
        <v>0</v>
      </c>
      <c r="AE22">
        <f>'Calculations BTU'!AM127</f>
        <v>0</v>
      </c>
      <c r="AF22">
        <f>'Calculations BTU'!AN127</f>
        <v>0</v>
      </c>
      <c r="AG22">
        <f>'Calculations BTU'!AO127</f>
        <v>0</v>
      </c>
      <c r="AH22">
        <f>'Calculations BTU'!AP127</f>
        <v>0</v>
      </c>
      <c r="AI22">
        <f>'Calculations BTU'!AQ127</f>
        <v>0</v>
      </c>
      <c r="AJ22">
        <f>'Calculations BTU'!AR127</f>
        <v>0</v>
      </c>
      <c r="AK22">
        <f>'Calculations BTU'!AS127</f>
        <v>0</v>
      </c>
      <c r="AL22">
        <f>'Calculations BTU'!AT127</f>
        <v>0</v>
      </c>
      <c r="AM22">
        <f>'Calculations BTU'!AU127</f>
        <v>0</v>
      </c>
      <c r="AN22">
        <f>'Calculations BTU'!AV127</f>
        <v>0</v>
      </c>
      <c r="AO22">
        <f>'Calculations BTU'!AW127</f>
        <v>0</v>
      </c>
      <c r="AP22">
        <f>'Calculations BTU'!AX127</f>
        <v>0</v>
      </c>
      <c r="AQ22">
        <f>'Calculations BTU'!AY127</f>
        <v>0</v>
      </c>
      <c r="AR22">
        <f>'Calculations BTU'!AZ127</f>
        <v>0</v>
      </c>
      <c r="AS22">
        <f>'Calculations BTU'!BA127</f>
        <v>0</v>
      </c>
      <c r="AT22">
        <f>'Calculations BTU'!BB127</f>
        <v>0</v>
      </c>
      <c r="AU22">
        <f>'Calculations BTU'!BC127</f>
        <v>0</v>
      </c>
      <c r="AV22">
        <f>'Calculations BTU'!BD127</f>
        <v>0</v>
      </c>
      <c r="AW22">
        <f>'Calculations BTU'!BE127</f>
        <v>0</v>
      </c>
      <c r="AX22">
        <f>'Calculations BTU'!BF127</f>
        <v>0</v>
      </c>
      <c r="AY22">
        <f>'Calculations BTU'!BG127</f>
        <v>0</v>
      </c>
      <c r="AZ22">
        <f>'Calculations BTU'!BH127</f>
        <v>0</v>
      </c>
    </row>
    <row r="23" spans="1:52">
      <c r="A23" t="s">
        <v>147</v>
      </c>
      <c r="B23">
        <f>'Calculations BTU'!J128</f>
        <v>1232227279507.4119</v>
      </c>
      <c r="C23">
        <f>'Calculations BTU'!K128</f>
        <v>2028435675496.8167</v>
      </c>
      <c r="D23">
        <f>'Calculations BTU'!L128</f>
        <v>2274881131398.2988</v>
      </c>
      <c r="E23">
        <f>'Calculations BTU'!M128</f>
        <v>2331753159683.2563</v>
      </c>
      <c r="F23">
        <f>'Calculations BTU'!N128</f>
        <v>2398103859349.04</v>
      </c>
      <c r="G23">
        <f>'Calculations BTU'!O128</f>
        <v>2454975887633.9976</v>
      </c>
      <c r="H23">
        <f>'Calculations BTU'!P128</f>
        <v>2511847915918.9551</v>
      </c>
      <c r="I23">
        <f>'Calculations BTU'!Q128</f>
        <v>2578198615584.7388</v>
      </c>
      <c r="J23">
        <f>'Calculations BTU'!R128</f>
        <v>2635070643869.6958</v>
      </c>
      <c r="K23">
        <f>'Calculations BTU'!S128</f>
        <v>2691942672154.6533</v>
      </c>
      <c r="L23">
        <f>'Calculations BTU'!T128</f>
        <v>2758293371820.4375</v>
      </c>
      <c r="M23">
        <f>'Calculations BTU'!U128</f>
        <v>2815165400105.395</v>
      </c>
      <c r="N23">
        <f>'Calculations BTU'!V128</f>
        <v>2872037428390.3521</v>
      </c>
      <c r="O23">
        <f>'Calculations BTU'!W128</f>
        <v>2938388128056.1362</v>
      </c>
      <c r="P23">
        <f>'Calculations BTU'!X128</f>
        <v>2995260156341.0938</v>
      </c>
      <c r="Q23">
        <f>'Calculations BTU'!Y128</f>
        <v>3052132184626.0513</v>
      </c>
      <c r="R23">
        <f>'Calculations BTU'!Z128</f>
        <v>3118482884291.8345</v>
      </c>
      <c r="S23">
        <f>'Calculations BTU'!AA128</f>
        <v>3175354912576.792</v>
      </c>
      <c r="T23">
        <f>'Calculations BTU'!AB128</f>
        <v>3232226940861.7495</v>
      </c>
      <c r="U23">
        <f>'Calculations BTU'!AC128</f>
        <v>3298577640527.5332</v>
      </c>
      <c r="V23">
        <f>'Calculations BTU'!AD128</f>
        <v>3355449668812.4907</v>
      </c>
      <c r="W23">
        <f>'Calculations BTU'!AE128</f>
        <v>3412321697097.4482</v>
      </c>
      <c r="X23">
        <f>'Calculations BTU'!AF128</f>
        <v>3478672396763.2319</v>
      </c>
      <c r="Y23">
        <f>'Calculations BTU'!AG128</f>
        <v>3535544425048.1895</v>
      </c>
      <c r="Z23">
        <f>'Calculations BTU'!AH128</f>
        <v>3592416453333.147</v>
      </c>
      <c r="AA23">
        <f>'Calculations BTU'!AI128</f>
        <v>3649288481618.1045</v>
      </c>
      <c r="AB23">
        <f>'Calculations BTU'!AJ128</f>
        <v>3715639181283.8882</v>
      </c>
      <c r="AC23">
        <f>'Calculations BTU'!AK128</f>
        <v>3772511209568.8457</v>
      </c>
      <c r="AD23">
        <f>'Calculations BTU'!AL128</f>
        <v>3829383237853.8032</v>
      </c>
      <c r="AE23">
        <f>'Calculations BTU'!AM128</f>
        <v>3895733937519.5869</v>
      </c>
      <c r="AF23">
        <f>'Calculations BTU'!AN128</f>
        <v>3952605965804.5439</v>
      </c>
      <c r="AG23">
        <f>'Calculations BTU'!AO128</f>
        <v>3952605965804.5439</v>
      </c>
      <c r="AH23">
        <f>'Calculations BTU'!AP128</f>
        <v>3952605965804.5439</v>
      </c>
      <c r="AI23">
        <f>'Calculations BTU'!AQ128</f>
        <v>3952605965804.5439</v>
      </c>
      <c r="AJ23">
        <f>'Calculations BTU'!AR128</f>
        <v>3952605965804.5439</v>
      </c>
      <c r="AK23">
        <f>'Calculations BTU'!AS128</f>
        <v>3952605965804.5439</v>
      </c>
      <c r="AL23">
        <f>'Calculations BTU'!AT128</f>
        <v>3952605965804.5439</v>
      </c>
      <c r="AM23">
        <f>'Calculations BTU'!AU128</f>
        <v>3952605965804.5439</v>
      </c>
      <c r="AN23">
        <f>'Calculations BTU'!AV128</f>
        <v>3952605965804.5439</v>
      </c>
      <c r="AO23">
        <f>'Calculations BTU'!AW128</f>
        <v>3952605965804.5439</v>
      </c>
      <c r="AP23">
        <f>'Calculations BTU'!AX128</f>
        <v>3952605965804.5439</v>
      </c>
      <c r="AQ23">
        <f>'Calculations BTU'!AY128</f>
        <v>3952605965804.5439</v>
      </c>
      <c r="AR23">
        <f>'Calculations BTU'!AZ128</f>
        <v>3952605965804.5439</v>
      </c>
      <c r="AS23">
        <f>'Calculations BTU'!BA128</f>
        <v>3952605965804.5439</v>
      </c>
      <c r="AT23">
        <f>'Calculations BTU'!BB128</f>
        <v>3952605965804.5439</v>
      </c>
      <c r="AU23">
        <f>'Calculations BTU'!BC128</f>
        <v>3952605965804.5439</v>
      </c>
      <c r="AV23">
        <f>'Calculations BTU'!BD128</f>
        <v>3952605965804.5439</v>
      </c>
      <c r="AW23">
        <f>'Calculations BTU'!BE128</f>
        <v>3952605965804.5439</v>
      </c>
      <c r="AX23">
        <f>'Calculations BTU'!BF128</f>
        <v>3952605965804.5439</v>
      </c>
      <c r="AY23">
        <f>'Calculations BTU'!BG128</f>
        <v>3952605965804.5439</v>
      </c>
      <c r="AZ23">
        <f>'Calculations BTU'!BH128</f>
        <v>3952605965804.5439</v>
      </c>
    </row>
    <row r="24" spans="1:52">
      <c r="A24" t="s">
        <v>148</v>
      </c>
      <c r="B24">
        <f>'Calculations BTU'!J129</f>
        <v>0</v>
      </c>
      <c r="C24">
        <f>'Calculations BTU'!K129</f>
        <v>0</v>
      </c>
      <c r="D24">
        <f>'Calculations BTU'!L129</f>
        <v>0</v>
      </c>
      <c r="E24">
        <f>'Calculations BTU'!M129</f>
        <v>0</v>
      </c>
      <c r="F24">
        <f>'Calculations BTU'!N129</f>
        <v>0</v>
      </c>
      <c r="G24">
        <f>'Calculations BTU'!O129</f>
        <v>0</v>
      </c>
      <c r="H24">
        <f>'Calculations BTU'!P129</f>
        <v>0</v>
      </c>
      <c r="I24">
        <f>'Calculations BTU'!Q129</f>
        <v>0</v>
      </c>
      <c r="J24">
        <f>'Calculations BTU'!R129</f>
        <v>0</v>
      </c>
      <c r="K24">
        <f>'Calculations BTU'!S129</f>
        <v>0</v>
      </c>
      <c r="L24">
        <f>'Calculations BTU'!T129</f>
        <v>0</v>
      </c>
      <c r="M24">
        <f>'Calculations BTU'!U129</f>
        <v>0</v>
      </c>
      <c r="N24">
        <f>'Calculations BTU'!V129</f>
        <v>0</v>
      </c>
      <c r="O24">
        <f>'Calculations BTU'!W129</f>
        <v>0</v>
      </c>
      <c r="P24">
        <f>'Calculations BTU'!X129</f>
        <v>0</v>
      </c>
      <c r="Q24">
        <f>'Calculations BTU'!Y129</f>
        <v>0</v>
      </c>
      <c r="R24">
        <f>'Calculations BTU'!Z129</f>
        <v>0</v>
      </c>
      <c r="S24">
        <f>'Calculations BTU'!AA129</f>
        <v>0</v>
      </c>
      <c r="T24">
        <f>'Calculations BTU'!AB129</f>
        <v>0</v>
      </c>
      <c r="U24">
        <f>'Calculations BTU'!AC129</f>
        <v>0</v>
      </c>
      <c r="V24">
        <f>'Calculations BTU'!AD129</f>
        <v>0</v>
      </c>
      <c r="W24">
        <f>'Calculations BTU'!AE129</f>
        <v>0</v>
      </c>
      <c r="X24">
        <f>'Calculations BTU'!AF129</f>
        <v>0</v>
      </c>
      <c r="Y24">
        <f>'Calculations BTU'!AG129</f>
        <v>0</v>
      </c>
      <c r="Z24">
        <f>'Calculations BTU'!AH129</f>
        <v>0</v>
      </c>
      <c r="AA24">
        <f>'Calculations BTU'!AI129</f>
        <v>0</v>
      </c>
      <c r="AB24">
        <f>'Calculations BTU'!AJ129</f>
        <v>0</v>
      </c>
      <c r="AC24">
        <f>'Calculations BTU'!AK129</f>
        <v>0</v>
      </c>
      <c r="AD24">
        <f>'Calculations BTU'!AL129</f>
        <v>0</v>
      </c>
      <c r="AE24">
        <f>'Calculations BTU'!AM129</f>
        <v>0</v>
      </c>
      <c r="AF24">
        <f>'Calculations BTU'!AN129</f>
        <v>0</v>
      </c>
      <c r="AG24">
        <f>'Calculations BTU'!AO129</f>
        <v>0</v>
      </c>
      <c r="AH24">
        <f>'Calculations BTU'!AP129</f>
        <v>0</v>
      </c>
      <c r="AI24">
        <f>'Calculations BTU'!AQ129</f>
        <v>0</v>
      </c>
      <c r="AJ24">
        <f>'Calculations BTU'!AR129</f>
        <v>0</v>
      </c>
      <c r="AK24">
        <f>'Calculations BTU'!AS129</f>
        <v>0</v>
      </c>
      <c r="AL24">
        <f>'Calculations BTU'!AT129</f>
        <v>0</v>
      </c>
      <c r="AM24">
        <f>'Calculations BTU'!AU129</f>
        <v>0</v>
      </c>
      <c r="AN24">
        <f>'Calculations BTU'!AV129</f>
        <v>0</v>
      </c>
      <c r="AO24">
        <f>'Calculations BTU'!AW129</f>
        <v>0</v>
      </c>
      <c r="AP24">
        <f>'Calculations BTU'!AX129</f>
        <v>0</v>
      </c>
      <c r="AQ24">
        <f>'Calculations BTU'!AY129</f>
        <v>0</v>
      </c>
      <c r="AR24">
        <f>'Calculations BTU'!AZ129</f>
        <v>0</v>
      </c>
      <c r="AS24">
        <f>'Calculations BTU'!BA129</f>
        <v>0</v>
      </c>
      <c r="AT24">
        <f>'Calculations BTU'!BB129</f>
        <v>0</v>
      </c>
      <c r="AU24">
        <f>'Calculations BTU'!BC129</f>
        <v>0</v>
      </c>
      <c r="AV24">
        <f>'Calculations BTU'!BD129</f>
        <v>0</v>
      </c>
      <c r="AW24">
        <f>'Calculations BTU'!BE129</f>
        <v>0</v>
      </c>
      <c r="AX24">
        <f>'Calculations BTU'!BF129</f>
        <v>0</v>
      </c>
      <c r="AY24">
        <f>'Calculations BTU'!BG129</f>
        <v>0</v>
      </c>
      <c r="AZ24">
        <f>'Calculations BTU'!BH129</f>
        <v>0</v>
      </c>
    </row>
    <row r="25" spans="1:52">
      <c r="A25" t="s">
        <v>149</v>
      </c>
      <c r="B25">
        <f>'Calculations BTU'!J130</f>
        <v>0</v>
      </c>
      <c r="C25">
        <f>'Calculations BTU'!K130</f>
        <v>0</v>
      </c>
      <c r="D25">
        <f>'Calculations BTU'!L130</f>
        <v>0</v>
      </c>
      <c r="E25">
        <f>'Calculations BTU'!M130</f>
        <v>0</v>
      </c>
      <c r="F25">
        <f>'Calculations BTU'!N130</f>
        <v>0</v>
      </c>
      <c r="G25">
        <f>'Calculations BTU'!O130</f>
        <v>0</v>
      </c>
      <c r="H25">
        <f>'Calculations BTU'!P130</f>
        <v>0</v>
      </c>
      <c r="I25">
        <f>'Calculations BTU'!Q130</f>
        <v>0</v>
      </c>
      <c r="J25">
        <f>'Calculations BTU'!R130</f>
        <v>0</v>
      </c>
      <c r="K25">
        <f>'Calculations BTU'!S130</f>
        <v>0</v>
      </c>
      <c r="L25">
        <f>'Calculations BTU'!T130</f>
        <v>0</v>
      </c>
      <c r="M25">
        <f>'Calculations BTU'!U130</f>
        <v>0</v>
      </c>
      <c r="N25">
        <f>'Calculations BTU'!V130</f>
        <v>0</v>
      </c>
      <c r="O25">
        <f>'Calculations BTU'!W130</f>
        <v>0</v>
      </c>
      <c r="P25">
        <f>'Calculations BTU'!X130</f>
        <v>0</v>
      </c>
      <c r="Q25">
        <f>'Calculations BTU'!Y130</f>
        <v>0</v>
      </c>
      <c r="R25">
        <f>'Calculations BTU'!Z130</f>
        <v>0</v>
      </c>
      <c r="S25">
        <f>'Calculations BTU'!AA130</f>
        <v>0</v>
      </c>
      <c r="T25">
        <f>'Calculations BTU'!AB130</f>
        <v>0</v>
      </c>
      <c r="U25">
        <f>'Calculations BTU'!AC130</f>
        <v>0</v>
      </c>
      <c r="V25">
        <f>'Calculations BTU'!AD130</f>
        <v>0</v>
      </c>
      <c r="W25">
        <f>'Calculations BTU'!AE130</f>
        <v>0</v>
      </c>
      <c r="X25">
        <f>'Calculations BTU'!AF130</f>
        <v>0</v>
      </c>
      <c r="Y25">
        <f>'Calculations BTU'!AG130</f>
        <v>0</v>
      </c>
      <c r="Z25">
        <f>'Calculations BTU'!AH130</f>
        <v>0</v>
      </c>
      <c r="AA25">
        <f>'Calculations BTU'!AI130</f>
        <v>0</v>
      </c>
      <c r="AB25">
        <f>'Calculations BTU'!AJ130</f>
        <v>0</v>
      </c>
      <c r="AC25">
        <f>'Calculations BTU'!AK130</f>
        <v>0</v>
      </c>
      <c r="AD25">
        <f>'Calculations BTU'!AL130</f>
        <v>0</v>
      </c>
      <c r="AE25">
        <f>'Calculations BTU'!AM130</f>
        <v>0</v>
      </c>
      <c r="AF25">
        <f>'Calculations BTU'!AN130</f>
        <v>0</v>
      </c>
      <c r="AG25">
        <f>'Calculations BTU'!AO130</f>
        <v>0</v>
      </c>
      <c r="AH25">
        <f>'Calculations BTU'!AP130</f>
        <v>0</v>
      </c>
      <c r="AI25">
        <f>'Calculations BTU'!AQ130</f>
        <v>0</v>
      </c>
      <c r="AJ25">
        <f>'Calculations BTU'!AR130</f>
        <v>0</v>
      </c>
      <c r="AK25">
        <f>'Calculations BTU'!AS130</f>
        <v>0</v>
      </c>
      <c r="AL25">
        <f>'Calculations BTU'!AT130</f>
        <v>0</v>
      </c>
      <c r="AM25">
        <f>'Calculations BTU'!AU130</f>
        <v>0</v>
      </c>
      <c r="AN25">
        <f>'Calculations BTU'!AV130</f>
        <v>0</v>
      </c>
      <c r="AO25">
        <f>'Calculations BTU'!AW130</f>
        <v>0</v>
      </c>
      <c r="AP25">
        <f>'Calculations BTU'!AX130</f>
        <v>0</v>
      </c>
      <c r="AQ25">
        <f>'Calculations BTU'!AY130</f>
        <v>0</v>
      </c>
      <c r="AR25">
        <f>'Calculations BTU'!AZ130</f>
        <v>0</v>
      </c>
      <c r="AS25">
        <f>'Calculations BTU'!BA130</f>
        <v>0</v>
      </c>
      <c r="AT25">
        <f>'Calculations BTU'!BB130</f>
        <v>0</v>
      </c>
      <c r="AU25">
        <f>'Calculations BTU'!BC130</f>
        <v>0</v>
      </c>
      <c r="AV25">
        <f>'Calculations BTU'!BD130</f>
        <v>0</v>
      </c>
      <c r="AW25">
        <f>'Calculations BTU'!BE130</f>
        <v>0</v>
      </c>
      <c r="AX25">
        <f>'Calculations BTU'!BF130</f>
        <v>0</v>
      </c>
      <c r="AY25">
        <f>'Calculations BTU'!BG130</f>
        <v>0</v>
      </c>
      <c r="AZ25">
        <f>'Calculations BTU'!BH130</f>
        <v>0</v>
      </c>
    </row>
    <row r="26" spans="1:52">
      <c r="A26" t="s">
        <v>150</v>
      </c>
      <c r="B26">
        <f>'Calculations BTU'!J131</f>
        <v>0</v>
      </c>
      <c r="C26">
        <f>'Calculations BTU'!K131</f>
        <v>0</v>
      </c>
      <c r="D26">
        <f>'Calculations BTU'!L131</f>
        <v>0</v>
      </c>
      <c r="E26">
        <f>'Calculations BTU'!M131</f>
        <v>0</v>
      </c>
      <c r="F26">
        <f>'Calculations BTU'!N131</f>
        <v>0</v>
      </c>
      <c r="G26">
        <f>'Calculations BTU'!O131</f>
        <v>0</v>
      </c>
      <c r="H26">
        <f>'Calculations BTU'!P131</f>
        <v>0</v>
      </c>
      <c r="I26">
        <f>'Calculations BTU'!Q131</f>
        <v>0</v>
      </c>
      <c r="J26">
        <f>'Calculations BTU'!R131</f>
        <v>0</v>
      </c>
      <c r="K26">
        <f>'Calculations BTU'!S131</f>
        <v>0</v>
      </c>
      <c r="L26">
        <f>'Calculations BTU'!T131</f>
        <v>0</v>
      </c>
      <c r="M26">
        <f>'Calculations BTU'!U131</f>
        <v>0</v>
      </c>
      <c r="N26">
        <f>'Calculations BTU'!V131</f>
        <v>0</v>
      </c>
      <c r="O26">
        <f>'Calculations BTU'!W131</f>
        <v>0</v>
      </c>
      <c r="P26">
        <f>'Calculations BTU'!X131</f>
        <v>0</v>
      </c>
      <c r="Q26">
        <f>'Calculations BTU'!Y131</f>
        <v>0</v>
      </c>
      <c r="R26">
        <f>'Calculations BTU'!Z131</f>
        <v>0</v>
      </c>
      <c r="S26">
        <f>'Calculations BTU'!AA131</f>
        <v>0</v>
      </c>
      <c r="T26">
        <f>'Calculations BTU'!AB131</f>
        <v>0</v>
      </c>
      <c r="U26">
        <f>'Calculations BTU'!AC131</f>
        <v>0</v>
      </c>
      <c r="V26">
        <f>'Calculations BTU'!AD131</f>
        <v>0</v>
      </c>
      <c r="W26">
        <f>'Calculations BTU'!AE131</f>
        <v>0</v>
      </c>
      <c r="X26">
        <f>'Calculations BTU'!AF131</f>
        <v>0</v>
      </c>
      <c r="Y26">
        <f>'Calculations BTU'!AG131</f>
        <v>0</v>
      </c>
      <c r="Z26">
        <f>'Calculations BTU'!AH131</f>
        <v>0</v>
      </c>
      <c r="AA26">
        <f>'Calculations BTU'!AI131</f>
        <v>0</v>
      </c>
      <c r="AB26">
        <f>'Calculations BTU'!AJ131</f>
        <v>0</v>
      </c>
      <c r="AC26">
        <f>'Calculations BTU'!AK131</f>
        <v>0</v>
      </c>
      <c r="AD26">
        <f>'Calculations BTU'!AL131</f>
        <v>0</v>
      </c>
      <c r="AE26">
        <f>'Calculations BTU'!AM131</f>
        <v>0</v>
      </c>
      <c r="AF26">
        <f>'Calculations BTU'!AN131</f>
        <v>0</v>
      </c>
      <c r="AG26">
        <f>'Calculations BTU'!AO131</f>
        <v>0</v>
      </c>
      <c r="AH26">
        <f>'Calculations BTU'!AP131</f>
        <v>0</v>
      </c>
      <c r="AI26">
        <f>'Calculations BTU'!AQ131</f>
        <v>0</v>
      </c>
      <c r="AJ26">
        <f>'Calculations BTU'!AR131</f>
        <v>0</v>
      </c>
      <c r="AK26">
        <f>'Calculations BTU'!AS131</f>
        <v>0</v>
      </c>
      <c r="AL26">
        <f>'Calculations BTU'!AT131</f>
        <v>0</v>
      </c>
      <c r="AM26">
        <f>'Calculations BTU'!AU131</f>
        <v>0</v>
      </c>
      <c r="AN26">
        <f>'Calculations BTU'!AV131</f>
        <v>0</v>
      </c>
      <c r="AO26">
        <f>'Calculations BTU'!AW131</f>
        <v>0</v>
      </c>
      <c r="AP26">
        <f>'Calculations BTU'!AX131</f>
        <v>0</v>
      </c>
      <c r="AQ26">
        <f>'Calculations BTU'!AY131</f>
        <v>0</v>
      </c>
      <c r="AR26">
        <f>'Calculations BTU'!AZ131</f>
        <v>0</v>
      </c>
      <c r="AS26">
        <f>'Calculations BTU'!BA131</f>
        <v>0</v>
      </c>
      <c r="AT26">
        <f>'Calculations BTU'!BB131</f>
        <v>0</v>
      </c>
      <c r="AU26">
        <f>'Calculations BTU'!BC131</f>
        <v>0</v>
      </c>
      <c r="AV26">
        <f>'Calculations BTU'!BD131</f>
        <v>0</v>
      </c>
      <c r="AW26">
        <f>'Calculations BTU'!BE131</f>
        <v>0</v>
      </c>
      <c r="AX26">
        <f>'Calculations BTU'!BF131</f>
        <v>0</v>
      </c>
      <c r="AY26">
        <f>'Calculations BTU'!BG131</f>
        <v>0</v>
      </c>
      <c r="AZ26">
        <f>'Calculations BTU'!BH131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514E-8632-8B48-B424-D3030F1EB8B1}">
  <sheetPr>
    <tabColor theme="3"/>
  </sheetPr>
  <dimension ref="A1:AZ26"/>
  <sheetViews>
    <sheetView workbookViewId="0">
      <selection activeCell="B6" sqref="B6"/>
    </sheetView>
  </sheetViews>
  <sheetFormatPr defaultColWidth="9.140625" defaultRowHeight="15"/>
  <cols>
    <col min="1" max="1" width="39.85546875" customWidth="1"/>
    <col min="2" max="32" width="6.7109375" bestFit="1" customWidth="1"/>
    <col min="33" max="33" width="11.42578125" customWidth="1"/>
    <col min="34" max="35" width="9.42578125" bestFit="1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BTU'!J133</f>
        <v>0</v>
      </c>
      <c r="C2">
        <f>'Calculations BTU'!K133</f>
        <v>0</v>
      </c>
      <c r="D2">
        <f>'Calculations BTU'!L133</f>
        <v>0</v>
      </c>
      <c r="E2">
        <f>'Calculations BTU'!M133</f>
        <v>0</v>
      </c>
      <c r="F2">
        <f>'Calculations BTU'!N133</f>
        <v>0</v>
      </c>
      <c r="G2">
        <f>'Calculations BTU'!O133</f>
        <v>0</v>
      </c>
      <c r="H2">
        <f>'Calculations BTU'!P133</f>
        <v>0</v>
      </c>
      <c r="I2">
        <f>'Calculations BTU'!Q133</f>
        <v>0</v>
      </c>
      <c r="J2">
        <f>'Calculations BTU'!R133</f>
        <v>0</v>
      </c>
      <c r="K2">
        <f>'Calculations BTU'!S133</f>
        <v>0</v>
      </c>
      <c r="L2">
        <f>'Calculations BTU'!T133</f>
        <v>0</v>
      </c>
      <c r="M2">
        <f>'Calculations BTU'!U133</f>
        <v>0</v>
      </c>
      <c r="N2">
        <f>'Calculations BTU'!V133</f>
        <v>0</v>
      </c>
      <c r="O2">
        <f>'Calculations BTU'!W133</f>
        <v>0</v>
      </c>
      <c r="P2">
        <f>'Calculations BTU'!X133</f>
        <v>0</v>
      </c>
      <c r="Q2">
        <f>'Calculations BTU'!Y133</f>
        <v>0</v>
      </c>
      <c r="R2">
        <f>'Calculations BTU'!Z133</f>
        <v>0</v>
      </c>
      <c r="S2">
        <f>'Calculations BTU'!AA133</f>
        <v>0</v>
      </c>
      <c r="T2">
        <f>'Calculations BTU'!AB133</f>
        <v>0</v>
      </c>
      <c r="U2">
        <f>'Calculations BTU'!AC133</f>
        <v>0</v>
      </c>
      <c r="V2">
        <f>'Calculations BTU'!AD133</f>
        <v>0</v>
      </c>
      <c r="W2">
        <f>'Calculations BTU'!AE133</f>
        <v>0</v>
      </c>
      <c r="X2">
        <f>'Calculations BTU'!AF133</f>
        <v>0</v>
      </c>
      <c r="Y2">
        <f>'Calculations BTU'!AG133</f>
        <v>0</v>
      </c>
      <c r="Z2">
        <f>'Calculations BTU'!AH133</f>
        <v>0</v>
      </c>
      <c r="AA2">
        <f>'Calculations BTU'!AI133</f>
        <v>0</v>
      </c>
      <c r="AB2">
        <f>'Calculations BTU'!AJ133</f>
        <v>0</v>
      </c>
      <c r="AC2">
        <f>'Calculations BTU'!AK133</f>
        <v>0</v>
      </c>
      <c r="AD2">
        <f>'Calculations BTU'!AL133</f>
        <v>0</v>
      </c>
      <c r="AE2">
        <f>'Calculations BTU'!AM133</f>
        <v>0</v>
      </c>
      <c r="AF2">
        <f>'Calculations BTU'!AN133</f>
        <v>0</v>
      </c>
      <c r="AG2">
        <f>'Calculations BTU'!AO133</f>
        <v>0</v>
      </c>
      <c r="AH2">
        <f>'Calculations BTU'!AP133</f>
        <v>0</v>
      </c>
      <c r="AI2">
        <f>'Calculations BTU'!AQ133</f>
        <v>0</v>
      </c>
      <c r="AJ2">
        <f>'Calculations BTU'!AR133</f>
        <v>0</v>
      </c>
      <c r="AK2">
        <f>'Calculations BTU'!AS133</f>
        <v>0</v>
      </c>
      <c r="AL2">
        <f>'Calculations BTU'!AT133</f>
        <v>0</v>
      </c>
      <c r="AM2">
        <f>'Calculations BTU'!AU133</f>
        <v>0</v>
      </c>
      <c r="AN2">
        <f>'Calculations BTU'!AV133</f>
        <v>0</v>
      </c>
      <c r="AO2">
        <f>'Calculations BTU'!AW133</f>
        <v>0</v>
      </c>
      <c r="AP2">
        <f>'Calculations BTU'!AX133</f>
        <v>0</v>
      </c>
      <c r="AQ2">
        <f>'Calculations BTU'!AY133</f>
        <v>0</v>
      </c>
      <c r="AR2">
        <f>'Calculations BTU'!AZ133</f>
        <v>0</v>
      </c>
      <c r="AS2">
        <f>'Calculations BTU'!BA133</f>
        <v>0</v>
      </c>
      <c r="AT2">
        <f>'Calculations BTU'!BB133</f>
        <v>0</v>
      </c>
      <c r="AU2">
        <f>'Calculations BTU'!BC133</f>
        <v>0</v>
      </c>
      <c r="AV2">
        <f>'Calculations BTU'!BD133</f>
        <v>0</v>
      </c>
      <c r="AW2">
        <f>'Calculations BTU'!BE133</f>
        <v>0</v>
      </c>
      <c r="AX2">
        <f>'Calculations BTU'!BF133</f>
        <v>0</v>
      </c>
      <c r="AY2">
        <f>'Calculations BTU'!BG133</f>
        <v>0</v>
      </c>
      <c r="AZ2">
        <f>'Calculations BTU'!BH133</f>
        <v>0</v>
      </c>
    </row>
    <row r="3" spans="1:52">
      <c r="A3" t="s">
        <v>127</v>
      </c>
      <c r="B3">
        <f>'Calculations BTU'!J134</f>
        <v>0</v>
      </c>
      <c r="C3">
        <f>'Calculations BTU'!K134</f>
        <v>0</v>
      </c>
      <c r="D3">
        <f>'Calculations BTU'!L134</f>
        <v>0</v>
      </c>
      <c r="E3">
        <f>'Calculations BTU'!M134</f>
        <v>0</v>
      </c>
      <c r="F3">
        <f>'Calculations BTU'!N134</f>
        <v>0</v>
      </c>
      <c r="G3">
        <f>'Calculations BTU'!O134</f>
        <v>0</v>
      </c>
      <c r="H3">
        <f>'Calculations BTU'!P134</f>
        <v>0</v>
      </c>
      <c r="I3">
        <f>'Calculations BTU'!Q134</f>
        <v>0</v>
      </c>
      <c r="J3">
        <f>'Calculations BTU'!R134</f>
        <v>0</v>
      </c>
      <c r="K3">
        <f>'Calculations BTU'!S134</f>
        <v>0</v>
      </c>
      <c r="L3">
        <f>'Calculations BTU'!T134</f>
        <v>0</v>
      </c>
      <c r="M3">
        <f>'Calculations BTU'!U134</f>
        <v>0</v>
      </c>
      <c r="N3">
        <f>'Calculations BTU'!V134</f>
        <v>0</v>
      </c>
      <c r="O3">
        <f>'Calculations BTU'!W134</f>
        <v>0</v>
      </c>
      <c r="P3">
        <f>'Calculations BTU'!X134</f>
        <v>0</v>
      </c>
      <c r="Q3">
        <f>'Calculations BTU'!Y134</f>
        <v>0</v>
      </c>
      <c r="R3">
        <f>'Calculations BTU'!Z134</f>
        <v>0</v>
      </c>
      <c r="S3">
        <f>'Calculations BTU'!AA134</f>
        <v>0</v>
      </c>
      <c r="T3">
        <f>'Calculations BTU'!AB134</f>
        <v>0</v>
      </c>
      <c r="U3">
        <f>'Calculations BTU'!AC134</f>
        <v>0</v>
      </c>
      <c r="V3">
        <f>'Calculations BTU'!AD134</f>
        <v>0</v>
      </c>
      <c r="W3">
        <f>'Calculations BTU'!AE134</f>
        <v>0</v>
      </c>
      <c r="X3">
        <f>'Calculations BTU'!AF134</f>
        <v>0</v>
      </c>
      <c r="Y3">
        <f>'Calculations BTU'!AG134</f>
        <v>0</v>
      </c>
      <c r="Z3">
        <f>'Calculations BTU'!AH134</f>
        <v>0</v>
      </c>
      <c r="AA3">
        <f>'Calculations BTU'!AI134</f>
        <v>0</v>
      </c>
      <c r="AB3">
        <f>'Calculations BTU'!AJ134</f>
        <v>0</v>
      </c>
      <c r="AC3">
        <f>'Calculations BTU'!AK134</f>
        <v>0</v>
      </c>
      <c r="AD3">
        <f>'Calculations BTU'!AL134</f>
        <v>0</v>
      </c>
      <c r="AE3">
        <f>'Calculations BTU'!AM134</f>
        <v>0</v>
      </c>
      <c r="AF3">
        <f>'Calculations BTU'!AN134</f>
        <v>0</v>
      </c>
      <c r="AG3">
        <f>'Calculations BTU'!AO134</f>
        <v>0</v>
      </c>
      <c r="AH3">
        <f>'Calculations BTU'!AP134</f>
        <v>0</v>
      </c>
      <c r="AI3">
        <f>'Calculations BTU'!AQ134</f>
        <v>0</v>
      </c>
      <c r="AJ3">
        <f>'Calculations BTU'!AR134</f>
        <v>0</v>
      </c>
      <c r="AK3">
        <f>'Calculations BTU'!AS134</f>
        <v>0</v>
      </c>
      <c r="AL3">
        <f>'Calculations BTU'!AT134</f>
        <v>0</v>
      </c>
      <c r="AM3">
        <f>'Calculations BTU'!AU134</f>
        <v>0</v>
      </c>
      <c r="AN3">
        <f>'Calculations BTU'!AV134</f>
        <v>0</v>
      </c>
      <c r="AO3">
        <f>'Calculations BTU'!AW134</f>
        <v>0</v>
      </c>
      <c r="AP3">
        <f>'Calculations BTU'!AX134</f>
        <v>0</v>
      </c>
      <c r="AQ3">
        <f>'Calculations BTU'!AY134</f>
        <v>0</v>
      </c>
      <c r="AR3">
        <f>'Calculations BTU'!AZ134</f>
        <v>0</v>
      </c>
      <c r="AS3">
        <f>'Calculations BTU'!BA134</f>
        <v>0</v>
      </c>
      <c r="AT3">
        <f>'Calculations BTU'!BB134</f>
        <v>0</v>
      </c>
      <c r="AU3">
        <f>'Calculations BTU'!BC134</f>
        <v>0</v>
      </c>
      <c r="AV3">
        <f>'Calculations BTU'!BD134</f>
        <v>0</v>
      </c>
      <c r="AW3">
        <f>'Calculations BTU'!BE134</f>
        <v>0</v>
      </c>
      <c r="AX3">
        <f>'Calculations BTU'!BF134</f>
        <v>0</v>
      </c>
      <c r="AY3">
        <f>'Calculations BTU'!BG134</f>
        <v>0</v>
      </c>
      <c r="AZ3">
        <f>'Calculations BTU'!BH134</f>
        <v>0</v>
      </c>
    </row>
    <row r="4" spans="1:52">
      <c r="A4" t="s">
        <v>128</v>
      </c>
      <c r="B4">
        <f>'Calculations BTU'!J135</f>
        <v>0</v>
      </c>
      <c r="C4">
        <f>'Calculations BTU'!K135</f>
        <v>0</v>
      </c>
      <c r="D4">
        <f>'Calculations BTU'!L135</f>
        <v>0</v>
      </c>
      <c r="E4">
        <f>'Calculations BTU'!M135</f>
        <v>0</v>
      </c>
      <c r="F4">
        <f>'Calculations BTU'!N135</f>
        <v>0</v>
      </c>
      <c r="G4">
        <f>'Calculations BTU'!O135</f>
        <v>0</v>
      </c>
      <c r="H4">
        <f>'Calculations BTU'!P135</f>
        <v>0</v>
      </c>
      <c r="I4">
        <f>'Calculations BTU'!Q135</f>
        <v>0</v>
      </c>
      <c r="J4">
        <f>'Calculations BTU'!R135</f>
        <v>0</v>
      </c>
      <c r="K4">
        <f>'Calculations BTU'!S135</f>
        <v>0</v>
      </c>
      <c r="L4">
        <f>'Calculations BTU'!T135</f>
        <v>0</v>
      </c>
      <c r="M4">
        <f>'Calculations BTU'!U135</f>
        <v>0</v>
      </c>
      <c r="N4">
        <f>'Calculations BTU'!V135</f>
        <v>0</v>
      </c>
      <c r="O4">
        <f>'Calculations BTU'!W135</f>
        <v>0</v>
      </c>
      <c r="P4">
        <f>'Calculations BTU'!X135</f>
        <v>0</v>
      </c>
      <c r="Q4">
        <f>'Calculations BTU'!Y135</f>
        <v>0</v>
      </c>
      <c r="R4">
        <f>'Calculations BTU'!Z135</f>
        <v>0</v>
      </c>
      <c r="S4">
        <f>'Calculations BTU'!AA135</f>
        <v>0</v>
      </c>
      <c r="T4">
        <f>'Calculations BTU'!AB135</f>
        <v>0</v>
      </c>
      <c r="U4">
        <f>'Calculations BTU'!AC135</f>
        <v>0</v>
      </c>
      <c r="V4">
        <f>'Calculations BTU'!AD135</f>
        <v>0</v>
      </c>
      <c r="W4">
        <f>'Calculations BTU'!AE135</f>
        <v>0</v>
      </c>
      <c r="X4">
        <f>'Calculations BTU'!AF135</f>
        <v>0</v>
      </c>
      <c r="Y4">
        <f>'Calculations BTU'!AG135</f>
        <v>0</v>
      </c>
      <c r="Z4">
        <f>'Calculations BTU'!AH135</f>
        <v>0</v>
      </c>
      <c r="AA4">
        <f>'Calculations BTU'!AI135</f>
        <v>0</v>
      </c>
      <c r="AB4">
        <f>'Calculations BTU'!AJ135</f>
        <v>0</v>
      </c>
      <c r="AC4">
        <f>'Calculations BTU'!AK135</f>
        <v>0</v>
      </c>
      <c r="AD4">
        <f>'Calculations BTU'!AL135</f>
        <v>0</v>
      </c>
      <c r="AE4">
        <f>'Calculations BTU'!AM135</f>
        <v>0</v>
      </c>
      <c r="AF4">
        <f>'Calculations BTU'!AN135</f>
        <v>0</v>
      </c>
      <c r="AG4">
        <f>'Calculations BTU'!AO135</f>
        <v>0</v>
      </c>
      <c r="AH4">
        <f>'Calculations BTU'!AP135</f>
        <v>0</v>
      </c>
      <c r="AI4">
        <f>'Calculations BTU'!AQ135</f>
        <v>0</v>
      </c>
      <c r="AJ4">
        <f>'Calculations BTU'!AR135</f>
        <v>0</v>
      </c>
      <c r="AK4">
        <f>'Calculations BTU'!AS135</f>
        <v>0</v>
      </c>
      <c r="AL4">
        <f>'Calculations BTU'!AT135</f>
        <v>0</v>
      </c>
      <c r="AM4">
        <f>'Calculations BTU'!AU135</f>
        <v>0</v>
      </c>
      <c r="AN4">
        <f>'Calculations BTU'!AV135</f>
        <v>0</v>
      </c>
      <c r="AO4">
        <f>'Calculations BTU'!AW135</f>
        <v>0</v>
      </c>
      <c r="AP4">
        <f>'Calculations BTU'!AX135</f>
        <v>0</v>
      </c>
      <c r="AQ4">
        <f>'Calculations BTU'!AY135</f>
        <v>0</v>
      </c>
      <c r="AR4">
        <f>'Calculations BTU'!AZ135</f>
        <v>0</v>
      </c>
      <c r="AS4">
        <f>'Calculations BTU'!BA135</f>
        <v>0</v>
      </c>
      <c r="AT4">
        <f>'Calculations BTU'!BB135</f>
        <v>0</v>
      </c>
      <c r="AU4">
        <f>'Calculations BTU'!BC135</f>
        <v>0</v>
      </c>
      <c r="AV4">
        <f>'Calculations BTU'!BD135</f>
        <v>0</v>
      </c>
      <c r="AW4">
        <f>'Calculations BTU'!BE135</f>
        <v>0</v>
      </c>
      <c r="AX4">
        <f>'Calculations BTU'!BF135</f>
        <v>0</v>
      </c>
      <c r="AY4">
        <f>'Calculations BTU'!BG135</f>
        <v>0</v>
      </c>
      <c r="AZ4">
        <f>'Calculations BTU'!BH135</f>
        <v>0</v>
      </c>
    </row>
    <row r="5" spans="1:52">
      <c r="A5" t="s">
        <v>129</v>
      </c>
      <c r="B5">
        <f>'Calculations BTU'!J136</f>
        <v>0</v>
      </c>
      <c r="C5">
        <f>'Calculations BTU'!K136</f>
        <v>0</v>
      </c>
      <c r="D5">
        <f>'Calculations BTU'!L136</f>
        <v>0</v>
      </c>
      <c r="E5">
        <f>'Calculations BTU'!M136</f>
        <v>0</v>
      </c>
      <c r="F5">
        <f>'Calculations BTU'!N136</f>
        <v>0</v>
      </c>
      <c r="G5">
        <f>'Calculations BTU'!O136</f>
        <v>0</v>
      </c>
      <c r="H5">
        <f>'Calculations BTU'!P136</f>
        <v>0</v>
      </c>
      <c r="I5">
        <f>'Calculations BTU'!Q136</f>
        <v>0</v>
      </c>
      <c r="J5">
        <f>'Calculations BTU'!R136</f>
        <v>0</v>
      </c>
      <c r="K5">
        <f>'Calculations BTU'!S136</f>
        <v>0</v>
      </c>
      <c r="L5">
        <f>'Calculations BTU'!T136</f>
        <v>0</v>
      </c>
      <c r="M5">
        <f>'Calculations BTU'!U136</f>
        <v>0</v>
      </c>
      <c r="N5">
        <f>'Calculations BTU'!V136</f>
        <v>0</v>
      </c>
      <c r="O5">
        <f>'Calculations BTU'!W136</f>
        <v>0</v>
      </c>
      <c r="P5">
        <f>'Calculations BTU'!X136</f>
        <v>0</v>
      </c>
      <c r="Q5">
        <f>'Calculations BTU'!Y136</f>
        <v>0</v>
      </c>
      <c r="R5">
        <f>'Calculations BTU'!Z136</f>
        <v>0</v>
      </c>
      <c r="S5">
        <f>'Calculations BTU'!AA136</f>
        <v>0</v>
      </c>
      <c r="T5">
        <f>'Calculations BTU'!AB136</f>
        <v>0</v>
      </c>
      <c r="U5">
        <f>'Calculations BTU'!AC136</f>
        <v>0</v>
      </c>
      <c r="V5">
        <f>'Calculations BTU'!AD136</f>
        <v>0</v>
      </c>
      <c r="W5">
        <f>'Calculations BTU'!AE136</f>
        <v>0</v>
      </c>
      <c r="X5">
        <f>'Calculations BTU'!AF136</f>
        <v>0</v>
      </c>
      <c r="Y5">
        <f>'Calculations BTU'!AG136</f>
        <v>0</v>
      </c>
      <c r="Z5">
        <f>'Calculations BTU'!AH136</f>
        <v>0</v>
      </c>
      <c r="AA5">
        <f>'Calculations BTU'!AI136</f>
        <v>0</v>
      </c>
      <c r="AB5">
        <f>'Calculations BTU'!AJ136</f>
        <v>0</v>
      </c>
      <c r="AC5">
        <f>'Calculations BTU'!AK136</f>
        <v>0</v>
      </c>
      <c r="AD5">
        <f>'Calculations BTU'!AL136</f>
        <v>0</v>
      </c>
      <c r="AE5">
        <f>'Calculations BTU'!AM136</f>
        <v>0</v>
      </c>
      <c r="AF5">
        <f>'Calculations BTU'!AN136</f>
        <v>0</v>
      </c>
      <c r="AG5">
        <f>'Calculations BTU'!AO136</f>
        <v>0</v>
      </c>
      <c r="AH5">
        <f>'Calculations BTU'!AP136</f>
        <v>0</v>
      </c>
      <c r="AI5">
        <f>'Calculations BTU'!AQ136</f>
        <v>0</v>
      </c>
      <c r="AJ5">
        <f>'Calculations BTU'!AR136</f>
        <v>0</v>
      </c>
      <c r="AK5">
        <f>'Calculations BTU'!AS136</f>
        <v>0</v>
      </c>
      <c r="AL5">
        <f>'Calculations BTU'!AT136</f>
        <v>0</v>
      </c>
      <c r="AM5">
        <f>'Calculations BTU'!AU136</f>
        <v>0</v>
      </c>
      <c r="AN5">
        <f>'Calculations BTU'!AV136</f>
        <v>0</v>
      </c>
      <c r="AO5">
        <f>'Calculations BTU'!AW136</f>
        <v>0</v>
      </c>
      <c r="AP5">
        <f>'Calculations BTU'!AX136</f>
        <v>0</v>
      </c>
      <c r="AQ5">
        <f>'Calculations BTU'!AY136</f>
        <v>0</v>
      </c>
      <c r="AR5">
        <f>'Calculations BTU'!AZ136</f>
        <v>0</v>
      </c>
      <c r="AS5">
        <f>'Calculations BTU'!BA136</f>
        <v>0</v>
      </c>
      <c r="AT5">
        <f>'Calculations BTU'!BB136</f>
        <v>0</v>
      </c>
      <c r="AU5">
        <f>'Calculations BTU'!BC136</f>
        <v>0</v>
      </c>
      <c r="AV5">
        <f>'Calculations BTU'!BD136</f>
        <v>0</v>
      </c>
      <c r="AW5">
        <f>'Calculations BTU'!BE136</f>
        <v>0</v>
      </c>
      <c r="AX5">
        <f>'Calculations BTU'!BF136</f>
        <v>0</v>
      </c>
      <c r="AY5">
        <f>'Calculations BTU'!BG136</f>
        <v>0</v>
      </c>
      <c r="AZ5">
        <f>'Calculations BTU'!BH136</f>
        <v>0</v>
      </c>
    </row>
    <row r="6" spans="1:52">
      <c r="A6" t="s">
        <v>130</v>
      </c>
      <c r="B6">
        <f>'Calculations BTU'!J137</f>
        <v>59573449628492.953</v>
      </c>
      <c r="C6">
        <f>'Calculations BTU'!K137</f>
        <v>69165865065889.109</v>
      </c>
      <c r="D6">
        <f>'Calculations BTU'!L137</f>
        <v>68729846182371.109</v>
      </c>
      <c r="E6">
        <f>'Calculations BTU'!M137</f>
        <v>67905201772239.219</v>
      </c>
      <c r="F6">
        <f>'Calculations BTU'!N137</f>
        <v>67090036033488.164</v>
      </c>
      <c r="G6">
        <f>'Calculations BTU'!O137</f>
        <v>66265391623356.273</v>
      </c>
      <c r="H6">
        <f>'Calculations BTU'!P137</f>
        <v>65450225884605.219</v>
      </c>
      <c r="I6">
        <f>'Calculations BTU'!Q137</f>
        <v>64635060145854.164</v>
      </c>
      <c r="J6">
        <f>'Calculations BTU'!R137</f>
        <v>63810415735722.273</v>
      </c>
      <c r="K6">
        <f>'Calculations BTU'!S137</f>
        <v>62995249996971.219</v>
      </c>
      <c r="L6">
        <f>'Calculations BTU'!T137</f>
        <v>62170605586839.344</v>
      </c>
      <c r="M6">
        <f>'Calculations BTU'!U137</f>
        <v>61355439848088.289</v>
      </c>
      <c r="N6">
        <f>'Calculations BTU'!V137</f>
        <v>60530795437956.398</v>
      </c>
      <c r="O6">
        <f>'Calculations BTU'!W137</f>
        <v>59715629699205.344</v>
      </c>
      <c r="P6">
        <f>'Calculations BTU'!X137</f>
        <v>58890985289073.461</v>
      </c>
      <c r="Q6">
        <f>'Calculations BTU'!Y137</f>
        <v>58075819550322.406</v>
      </c>
      <c r="R6">
        <f>'Calculations BTU'!Z137</f>
        <v>57251175140190.516</v>
      </c>
      <c r="S6">
        <f>'Calculations BTU'!AA137</f>
        <v>56436009401439.461</v>
      </c>
      <c r="T6">
        <f>'Calculations BTU'!AB137</f>
        <v>55611364991307.578</v>
      </c>
      <c r="U6">
        <f>'Calculations BTU'!AC137</f>
        <v>54796199252556.523</v>
      </c>
      <c r="V6">
        <f>'Calculations BTU'!AD137</f>
        <v>53981033513805.469</v>
      </c>
      <c r="W6">
        <f>'Calculations BTU'!AE137</f>
        <v>53156389103673.578</v>
      </c>
      <c r="X6">
        <f>'Calculations BTU'!AF137</f>
        <v>52341223364922.523</v>
      </c>
      <c r="Y6">
        <f>'Calculations BTU'!AG137</f>
        <v>51516578954790.641</v>
      </c>
      <c r="Z6">
        <f>'Calculations BTU'!AH137</f>
        <v>50701413216039.586</v>
      </c>
      <c r="AA6">
        <f>'Calculations BTU'!AI137</f>
        <v>49876768805907.703</v>
      </c>
      <c r="AB6">
        <f>'Calculations BTU'!AJ137</f>
        <v>49061603067156.641</v>
      </c>
      <c r="AC6">
        <f>'Calculations BTU'!AK137</f>
        <v>48236958657024.766</v>
      </c>
      <c r="AD6">
        <f>'Calculations BTU'!AL137</f>
        <v>47421792918273.703</v>
      </c>
      <c r="AE6">
        <f>'Calculations BTU'!AM137</f>
        <v>46597148508141.82</v>
      </c>
      <c r="AF6">
        <f>'Calculations BTU'!AN137</f>
        <v>45781982769390.758</v>
      </c>
      <c r="AG6">
        <f>'Calculations BTU'!AO137</f>
        <v>45781982769390.758</v>
      </c>
      <c r="AH6">
        <f>'Calculations BTU'!AP137</f>
        <v>45781982769390.758</v>
      </c>
      <c r="AI6">
        <f>'Calculations BTU'!AQ137</f>
        <v>45781982769390.758</v>
      </c>
      <c r="AJ6">
        <f>'Calculations BTU'!AR137</f>
        <v>45781982769390.758</v>
      </c>
      <c r="AK6">
        <f>'Calculations BTU'!AS137</f>
        <v>45781982769390.758</v>
      </c>
      <c r="AL6">
        <f>'Calculations BTU'!AT137</f>
        <v>45781982769390.758</v>
      </c>
      <c r="AM6">
        <f>'Calculations BTU'!AU137</f>
        <v>45781982769390.758</v>
      </c>
      <c r="AN6">
        <f>'Calculations BTU'!AV137</f>
        <v>45781982769390.758</v>
      </c>
      <c r="AO6">
        <f>'Calculations BTU'!AW137</f>
        <v>45781982769390.758</v>
      </c>
      <c r="AP6">
        <f>'Calculations BTU'!AX137</f>
        <v>45781982769390.758</v>
      </c>
      <c r="AQ6">
        <f>'Calculations BTU'!AY137</f>
        <v>45781982769390.758</v>
      </c>
      <c r="AR6">
        <f>'Calculations BTU'!AZ137</f>
        <v>45781982769390.758</v>
      </c>
      <c r="AS6">
        <f>'Calculations BTU'!BA137</f>
        <v>45781982769390.758</v>
      </c>
      <c r="AT6">
        <f>'Calculations BTU'!BB137</f>
        <v>45781982769390.758</v>
      </c>
      <c r="AU6">
        <f>'Calculations BTU'!BC137</f>
        <v>45781982769390.758</v>
      </c>
      <c r="AV6">
        <f>'Calculations BTU'!BD137</f>
        <v>45781982769390.758</v>
      </c>
      <c r="AW6">
        <f>'Calculations BTU'!BE137</f>
        <v>45781982769390.758</v>
      </c>
      <c r="AX6">
        <f>'Calculations BTU'!BF137</f>
        <v>45781982769390.758</v>
      </c>
      <c r="AY6">
        <f>'Calculations BTU'!BG137</f>
        <v>45781982769390.758</v>
      </c>
      <c r="AZ6">
        <f>'Calculations BTU'!BH137</f>
        <v>45781982769390.758</v>
      </c>
    </row>
    <row r="7" spans="1:52">
      <c r="A7" t="s">
        <v>131</v>
      </c>
      <c r="B7">
        <f>'Calculations BTU'!J138</f>
        <v>0</v>
      </c>
      <c r="C7">
        <f>'Calculations BTU'!K138</f>
        <v>0</v>
      </c>
      <c r="D7">
        <f>'Calculations BTU'!L138</f>
        <v>0</v>
      </c>
      <c r="E7">
        <f>'Calculations BTU'!M138</f>
        <v>0</v>
      </c>
      <c r="F7">
        <f>'Calculations BTU'!N138</f>
        <v>0</v>
      </c>
      <c r="G7">
        <f>'Calculations BTU'!O138</f>
        <v>0</v>
      </c>
      <c r="H7">
        <f>'Calculations BTU'!P138</f>
        <v>0</v>
      </c>
      <c r="I7">
        <f>'Calculations BTU'!Q138</f>
        <v>0</v>
      </c>
      <c r="J7">
        <f>'Calculations BTU'!R138</f>
        <v>0</v>
      </c>
      <c r="K7">
        <f>'Calculations BTU'!S138</f>
        <v>0</v>
      </c>
      <c r="L7">
        <f>'Calculations BTU'!T138</f>
        <v>0</v>
      </c>
      <c r="M7">
        <f>'Calculations BTU'!U138</f>
        <v>0</v>
      </c>
      <c r="N7">
        <f>'Calculations BTU'!V138</f>
        <v>0</v>
      </c>
      <c r="O7">
        <f>'Calculations BTU'!W138</f>
        <v>0</v>
      </c>
      <c r="P7">
        <f>'Calculations BTU'!X138</f>
        <v>0</v>
      </c>
      <c r="Q7">
        <f>'Calculations BTU'!Y138</f>
        <v>0</v>
      </c>
      <c r="R7">
        <f>'Calculations BTU'!Z138</f>
        <v>0</v>
      </c>
      <c r="S7">
        <f>'Calculations BTU'!AA138</f>
        <v>0</v>
      </c>
      <c r="T7">
        <f>'Calculations BTU'!AB138</f>
        <v>0</v>
      </c>
      <c r="U7">
        <f>'Calculations BTU'!AC138</f>
        <v>0</v>
      </c>
      <c r="V7">
        <f>'Calculations BTU'!AD138</f>
        <v>0</v>
      </c>
      <c r="W7">
        <f>'Calculations BTU'!AE138</f>
        <v>0</v>
      </c>
      <c r="X7">
        <f>'Calculations BTU'!AF138</f>
        <v>0</v>
      </c>
      <c r="Y7">
        <f>'Calculations BTU'!AG138</f>
        <v>0</v>
      </c>
      <c r="Z7">
        <f>'Calculations BTU'!AH138</f>
        <v>0</v>
      </c>
      <c r="AA7">
        <f>'Calculations BTU'!AI138</f>
        <v>0</v>
      </c>
      <c r="AB7">
        <f>'Calculations BTU'!AJ138</f>
        <v>0</v>
      </c>
      <c r="AC7">
        <f>'Calculations BTU'!AK138</f>
        <v>0</v>
      </c>
      <c r="AD7">
        <f>'Calculations BTU'!AL138</f>
        <v>0</v>
      </c>
      <c r="AE7">
        <f>'Calculations BTU'!AM138</f>
        <v>0</v>
      </c>
      <c r="AF7">
        <f>'Calculations BTU'!AN138</f>
        <v>0</v>
      </c>
      <c r="AG7">
        <f>'Calculations BTU'!AO138</f>
        <v>0</v>
      </c>
      <c r="AH7">
        <f>'Calculations BTU'!AP138</f>
        <v>0</v>
      </c>
      <c r="AI7">
        <f>'Calculations BTU'!AQ138</f>
        <v>0</v>
      </c>
      <c r="AJ7">
        <f>'Calculations BTU'!AR138</f>
        <v>0</v>
      </c>
      <c r="AK7">
        <f>'Calculations BTU'!AS138</f>
        <v>0</v>
      </c>
      <c r="AL7">
        <f>'Calculations BTU'!AT138</f>
        <v>0</v>
      </c>
      <c r="AM7">
        <f>'Calculations BTU'!AU138</f>
        <v>0</v>
      </c>
      <c r="AN7">
        <f>'Calculations BTU'!AV138</f>
        <v>0</v>
      </c>
      <c r="AO7">
        <f>'Calculations BTU'!AW138</f>
        <v>0</v>
      </c>
      <c r="AP7">
        <f>'Calculations BTU'!AX138</f>
        <v>0</v>
      </c>
      <c r="AQ7">
        <f>'Calculations BTU'!AY138</f>
        <v>0</v>
      </c>
      <c r="AR7">
        <f>'Calculations BTU'!AZ138</f>
        <v>0</v>
      </c>
      <c r="AS7">
        <f>'Calculations BTU'!BA138</f>
        <v>0</v>
      </c>
      <c r="AT7">
        <f>'Calculations BTU'!BB138</f>
        <v>0</v>
      </c>
      <c r="AU7">
        <f>'Calculations BTU'!BC138</f>
        <v>0</v>
      </c>
      <c r="AV7">
        <f>'Calculations BTU'!BD138</f>
        <v>0</v>
      </c>
      <c r="AW7">
        <f>'Calculations BTU'!BE138</f>
        <v>0</v>
      </c>
      <c r="AX7">
        <f>'Calculations BTU'!BF138</f>
        <v>0</v>
      </c>
      <c r="AY7">
        <f>'Calculations BTU'!BG138</f>
        <v>0</v>
      </c>
      <c r="AZ7">
        <f>'Calculations BTU'!BH138</f>
        <v>0</v>
      </c>
    </row>
    <row r="8" spans="1:52">
      <c r="A8" t="s">
        <v>132</v>
      </c>
      <c r="B8">
        <f>'Calculations BTU'!J139</f>
        <v>0</v>
      </c>
      <c r="C8">
        <f>'Calculations BTU'!K139</f>
        <v>0</v>
      </c>
      <c r="D8">
        <f>'Calculations BTU'!L139</f>
        <v>0</v>
      </c>
      <c r="E8">
        <f>'Calculations BTU'!M139</f>
        <v>0</v>
      </c>
      <c r="F8">
        <f>'Calculations BTU'!N139</f>
        <v>0</v>
      </c>
      <c r="G8">
        <f>'Calculations BTU'!O139</f>
        <v>0</v>
      </c>
      <c r="H8">
        <f>'Calculations BTU'!P139</f>
        <v>0</v>
      </c>
      <c r="I8">
        <f>'Calculations BTU'!Q139</f>
        <v>0</v>
      </c>
      <c r="J8">
        <f>'Calculations BTU'!R139</f>
        <v>0</v>
      </c>
      <c r="K8">
        <f>'Calculations BTU'!S139</f>
        <v>0</v>
      </c>
      <c r="L8">
        <f>'Calculations BTU'!T139</f>
        <v>0</v>
      </c>
      <c r="M8">
        <f>'Calculations BTU'!U139</f>
        <v>0</v>
      </c>
      <c r="N8">
        <f>'Calculations BTU'!V139</f>
        <v>0</v>
      </c>
      <c r="O8">
        <f>'Calculations BTU'!W139</f>
        <v>0</v>
      </c>
      <c r="P8">
        <f>'Calculations BTU'!X139</f>
        <v>0</v>
      </c>
      <c r="Q8">
        <f>'Calculations BTU'!Y139</f>
        <v>0</v>
      </c>
      <c r="R8">
        <f>'Calculations BTU'!Z139</f>
        <v>0</v>
      </c>
      <c r="S8">
        <f>'Calculations BTU'!AA139</f>
        <v>0</v>
      </c>
      <c r="T8">
        <f>'Calculations BTU'!AB139</f>
        <v>0</v>
      </c>
      <c r="U8">
        <f>'Calculations BTU'!AC139</f>
        <v>0</v>
      </c>
      <c r="V8">
        <f>'Calculations BTU'!AD139</f>
        <v>0</v>
      </c>
      <c r="W8">
        <f>'Calculations BTU'!AE139</f>
        <v>0</v>
      </c>
      <c r="X8">
        <f>'Calculations BTU'!AF139</f>
        <v>0</v>
      </c>
      <c r="Y8">
        <f>'Calculations BTU'!AG139</f>
        <v>0</v>
      </c>
      <c r="Z8">
        <f>'Calculations BTU'!AH139</f>
        <v>0</v>
      </c>
      <c r="AA8">
        <f>'Calculations BTU'!AI139</f>
        <v>0</v>
      </c>
      <c r="AB8">
        <f>'Calculations BTU'!AJ139</f>
        <v>0</v>
      </c>
      <c r="AC8">
        <f>'Calculations BTU'!AK139</f>
        <v>0</v>
      </c>
      <c r="AD8">
        <f>'Calculations BTU'!AL139</f>
        <v>0</v>
      </c>
      <c r="AE8">
        <f>'Calculations BTU'!AM139</f>
        <v>0</v>
      </c>
      <c r="AF8">
        <f>'Calculations BTU'!AN139</f>
        <v>0</v>
      </c>
      <c r="AG8">
        <f>'Calculations BTU'!AO139</f>
        <v>0</v>
      </c>
      <c r="AH8">
        <f>'Calculations BTU'!AP139</f>
        <v>0</v>
      </c>
      <c r="AI8">
        <f>'Calculations BTU'!AQ139</f>
        <v>0</v>
      </c>
      <c r="AJ8">
        <f>'Calculations BTU'!AR139</f>
        <v>0</v>
      </c>
      <c r="AK8">
        <f>'Calculations BTU'!AS139</f>
        <v>0</v>
      </c>
      <c r="AL8">
        <f>'Calculations BTU'!AT139</f>
        <v>0</v>
      </c>
      <c r="AM8">
        <f>'Calculations BTU'!AU139</f>
        <v>0</v>
      </c>
      <c r="AN8">
        <f>'Calculations BTU'!AV139</f>
        <v>0</v>
      </c>
      <c r="AO8">
        <f>'Calculations BTU'!AW139</f>
        <v>0</v>
      </c>
      <c r="AP8">
        <f>'Calculations BTU'!AX139</f>
        <v>0</v>
      </c>
      <c r="AQ8">
        <f>'Calculations BTU'!AY139</f>
        <v>0</v>
      </c>
      <c r="AR8">
        <f>'Calculations BTU'!AZ139</f>
        <v>0</v>
      </c>
      <c r="AS8">
        <f>'Calculations BTU'!BA139</f>
        <v>0</v>
      </c>
      <c r="AT8">
        <f>'Calculations BTU'!BB139</f>
        <v>0</v>
      </c>
      <c r="AU8">
        <f>'Calculations BTU'!BC139</f>
        <v>0</v>
      </c>
      <c r="AV8">
        <f>'Calculations BTU'!BD139</f>
        <v>0</v>
      </c>
      <c r="AW8">
        <f>'Calculations BTU'!BE139</f>
        <v>0</v>
      </c>
      <c r="AX8">
        <f>'Calculations BTU'!BF139</f>
        <v>0</v>
      </c>
      <c r="AY8">
        <f>'Calculations BTU'!BG139</f>
        <v>0</v>
      </c>
      <c r="AZ8">
        <f>'Calculations BTU'!BH139</f>
        <v>0</v>
      </c>
    </row>
    <row r="9" spans="1:52">
      <c r="A9" t="s">
        <v>133</v>
      </c>
      <c r="B9">
        <f>'Calculations BTU'!J140</f>
        <v>0</v>
      </c>
      <c r="C9">
        <f>'Calculations BTU'!K140</f>
        <v>0</v>
      </c>
      <c r="D9">
        <f>'Calculations BTU'!L140</f>
        <v>0</v>
      </c>
      <c r="E9">
        <f>'Calculations BTU'!M140</f>
        <v>0</v>
      </c>
      <c r="F9">
        <f>'Calculations BTU'!N140</f>
        <v>0</v>
      </c>
      <c r="G9">
        <f>'Calculations BTU'!O140</f>
        <v>0</v>
      </c>
      <c r="H9">
        <f>'Calculations BTU'!P140</f>
        <v>0</v>
      </c>
      <c r="I9">
        <f>'Calculations BTU'!Q140</f>
        <v>0</v>
      </c>
      <c r="J9">
        <f>'Calculations BTU'!R140</f>
        <v>0</v>
      </c>
      <c r="K9">
        <f>'Calculations BTU'!S140</f>
        <v>0</v>
      </c>
      <c r="L9">
        <f>'Calculations BTU'!T140</f>
        <v>0</v>
      </c>
      <c r="M9">
        <f>'Calculations BTU'!U140</f>
        <v>0</v>
      </c>
      <c r="N9">
        <f>'Calculations BTU'!V140</f>
        <v>0</v>
      </c>
      <c r="O9">
        <f>'Calculations BTU'!W140</f>
        <v>0</v>
      </c>
      <c r="P9">
        <f>'Calculations BTU'!X140</f>
        <v>0</v>
      </c>
      <c r="Q9">
        <f>'Calculations BTU'!Y140</f>
        <v>0</v>
      </c>
      <c r="R9">
        <f>'Calculations BTU'!Z140</f>
        <v>0</v>
      </c>
      <c r="S9">
        <f>'Calculations BTU'!AA140</f>
        <v>0</v>
      </c>
      <c r="T9">
        <f>'Calculations BTU'!AB140</f>
        <v>0</v>
      </c>
      <c r="U9">
        <f>'Calculations BTU'!AC140</f>
        <v>0</v>
      </c>
      <c r="V9">
        <f>'Calculations BTU'!AD140</f>
        <v>0</v>
      </c>
      <c r="W9">
        <f>'Calculations BTU'!AE140</f>
        <v>0</v>
      </c>
      <c r="X9">
        <f>'Calculations BTU'!AF140</f>
        <v>0</v>
      </c>
      <c r="Y9">
        <f>'Calculations BTU'!AG140</f>
        <v>0</v>
      </c>
      <c r="Z9">
        <f>'Calculations BTU'!AH140</f>
        <v>0</v>
      </c>
      <c r="AA9">
        <f>'Calculations BTU'!AI140</f>
        <v>0</v>
      </c>
      <c r="AB9">
        <f>'Calculations BTU'!AJ140</f>
        <v>0</v>
      </c>
      <c r="AC9">
        <f>'Calculations BTU'!AK140</f>
        <v>0</v>
      </c>
      <c r="AD9">
        <f>'Calculations BTU'!AL140</f>
        <v>0</v>
      </c>
      <c r="AE9">
        <f>'Calculations BTU'!AM140</f>
        <v>0</v>
      </c>
      <c r="AF9">
        <f>'Calculations BTU'!AN140</f>
        <v>0</v>
      </c>
      <c r="AG9">
        <f>'Calculations BTU'!AO140</f>
        <v>0</v>
      </c>
      <c r="AH9">
        <f>'Calculations BTU'!AP140</f>
        <v>0</v>
      </c>
      <c r="AI9">
        <f>'Calculations BTU'!AQ140</f>
        <v>0</v>
      </c>
      <c r="AJ9">
        <f>'Calculations BTU'!AR140</f>
        <v>0</v>
      </c>
      <c r="AK9">
        <f>'Calculations BTU'!AS140</f>
        <v>0</v>
      </c>
      <c r="AL9">
        <f>'Calculations BTU'!AT140</f>
        <v>0</v>
      </c>
      <c r="AM9">
        <f>'Calculations BTU'!AU140</f>
        <v>0</v>
      </c>
      <c r="AN9">
        <f>'Calculations BTU'!AV140</f>
        <v>0</v>
      </c>
      <c r="AO9">
        <f>'Calculations BTU'!AW140</f>
        <v>0</v>
      </c>
      <c r="AP9">
        <f>'Calculations BTU'!AX140</f>
        <v>0</v>
      </c>
      <c r="AQ9">
        <f>'Calculations BTU'!AY140</f>
        <v>0</v>
      </c>
      <c r="AR9">
        <f>'Calculations BTU'!AZ140</f>
        <v>0</v>
      </c>
      <c r="AS9">
        <f>'Calculations BTU'!BA140</f>
        <v>0</v>
      </c>
      <c r="AT9">
        <f>'Calculations BTU'!BB140</f>
        <v>0</v>
      </c>
      <c r="AU9">
        <f>'Calculations BTU'!BC140</f>
        <v>0</v>
      </c>
      <c r="AV9">
        <f>'Calculations BTU'!BD140</f>
        <v>0</v>
      </c>
      <c r="AW9">
        <f>'Calculations BTU'!BE140</f>
        <v>0</v>
      </c>
      <c r="AX9">
        <f>'Calculations BTU'!BF140</f>
        <v>0</v>
      </c>
      <c r="AY9">
        <f>'Calculations BTU'!BG140</f>
        <v>0</v>
      </c>
      <c r="AZ9">
        <f>'Calculations BTU'!BH140</f>
        <v>0</v>
      </c>
    </row>
    <row r="10" spans="1:52">
      <c r="A10" t="s">
        <v>134</v>
      </c>
      <c r="B10">
        <f>'Calculations BTU'!J141</f>
        <v>0</v>
      </c>
      <c r="C10">
        <f>'Calculations BTU'!K141</f>
        <v>0</v>
      </c>
      <c r="D10">
        <f>'Calculations BTU'!L141</f>
        <v>0</v>
      </c>
      <c r="E10">
        <f>'Calculations BTU'!M141</f>
        <v>0</v>
      </c>
      <c r="F10">
        <f>'Calculations BTU'!N141</f>
        <v>0</v>
      </c>
      <c r="G10">
        <f>'Calculations BTU'!O141</f>
        <v>0</v>
      </c>
      <c r="H10">
        <f>'Calculations BTU'!P141</f>
        <v>0</v>
      </c>
      <c r="I10">
        <f>'Calculations BTU'!Q141</f>
        <v>0</v>
      </c>
      <c r="J10">
        <f>'Calculations BTU'!R141</f>
        <v>0</v>
      </c>
      <c r="K10">
        <f>'Calculations BTU'!S141</f>
        <v>0</v>
      </c>
      <c r="L10">
        <f>'Calculations BTU'!T141</f>
        <v>0</v>
      </c>
      <c r="M10">
        <f>'Calculations BTU'!U141</f>
        <v>0</v>
      </c>
      <c r="N10">
        <f>'Calculations BTU'!V141</f>
        <v>0</v>
      </c>
      <c r="O10">
        <f>'Calculations BTU'!W141</f>
        <v>0</v>
      </c>
      <c r="P10">
        <f>'Calculations BTU'!X141</f>
        <v>0</v>
      </c>
      <c r="Q10">
        <f>'Calculations BTU'!Y141</f>
        <v>0</v>
      </c>
      <c r="R10">
        <f>'Calculations BTU'!Z141</f>
        <v>0</v>
      </c>
      <c r="S10">
        <f>'Calculations BTU'!AA141</f>
        <v>0</v>
      </c>
      <c r="T10">
        <f>'Calculations BTU'!AB141</f>
        <v>0</v>
      </c>
      <c r="U10">
        <f>'Calculations BTU'!AC141</f>
        <v>0</v>
      </c>
      <c r="V10">
        <f>'Calculations BTU'!AD141</f>
        <v>0</v>
      </c>
      <c r="W10">
        <f>'Calculations BTU'!AE141</f>
        <v>0</v>
      </c>
      <c r="X10">
        <f>'Calculations BTU'!AF141</f>
        <v>0</v>
      </c>
      <c r="Y10">
        <f>'Calculations BTU'!AG141</f>
        <v>0</v>
      </c>
      <c r="Z10">
        <f>'Calculations BTU'!AH141</f>
        <v>0</v>
      </c>
      <c r="AA10">
        <f>'Calculations BTU'!AI141</f>
        <v>0</v>
      </c>
      <c r="AB10">
        <f>'Calculations BTU'!AJ141</f>
        <v>0</v>
      </c>
      <c r="AC10">
        <f>'Calculations BTU'!AK141</f>
        <v>0</v>
      </c>
      <c r="AD10">
        <f>'Calculations BTU'!AL141</f>
        <v>0</v>
      </c>
      <c r="AE10">
        <f>'Calculations BTU'!AM141</f>
        <v>0</v>
      </c>
      <c r="AF10">
        <f>'Calculations BTU'!AN141</f>
        <v>0</v>
      </c>
      <c r="AG10">
        <f>'Calculations BTU'!AO141</f>
        <v>0</v>
      </c>
      <c r="AH10">
        <f>'Calculations BTU'!AP141</f>
        <v>0</v>
      </c>
      <c r="AI10">
        <f>'Calculations BTU'!AQ141</f>
        <v>0</v>
      </c>
      <c r="AJ10">
        <f>'Calculations BTU'!AR141</f>
        <v>0</v>
      </c>
      <c r="AK10">
        <f>'Calculations BTU'!AS141</f>
        <v>0</v>
      </c>
      <c r="AL10">
        <f>'Calculations BTU'!AT141</f>
        <v>0</v>
      </c>
      <c r="AM10">
        <f>'Calculations BTU'!AU141</f>
        <v>0</v>
      </c>
      <c r="AN10">
        <f>'Calculations BTU'!AV141</f>
        <v>0</v>
      </c>
      <c r="AO10">
        <f>'Calculations BTU'!AW141</f>
        <v>0</v>
      </c>
      <c r="AP10">
        <f>'Calculations BTU'!AX141</f>
        <v>0</v>
      </c>
      <c r="AQ10">
        <f>'Calculations BTU'!AY141</f>
        <v>0</v>
      </c>
      <c r="AR10">
        <f>'Calculations BTU'!AZ141</f>
        <v>0</v>
      </c>
      <c r="AS10">
        <f>'Calculations BTU'!BA141</f>
        <v>0</v>
      </c>
      <c r="AT10">
        <f>'Calculations BTU'!BB141</f>
        <v>0</v>
      </c>
      <c r="AU10">
        <f>'Calculations BTU'!BC141</f>
        <v>0</v>
      </c>
      <c r="AV10">
        <f>'Calculations BTU'!BD141</f>
        <v>0</v>
      </c>
      <c r="AW10">
        <f>'Calculations BTU'!BE141</f>
        <v>0</v>
      </c>
      <c r="AX10">
        <f>'Calculations BTU'!BF141</f>
        <v>0</v>
      </c>
      <c r="AY10">
        <f>'Calculations BTU'!BG141</f>
        <v>0</v>
      </c>
      <c r="AZ10">
        <f>'Calculations BTU'!BH141</f>
        <v>0</v>
      </c>
    </row>
    <row r="11" spans="1:52">
      <c r="A11" t="s">
        <v>135</v>
      </c>
      <c r="B11">
        <f>'Calculations BTU'!J142</f>
        <v>0</v>
      </c>
      <c r="C11">
        <f>'Calculations BTU'!K142</f>
        <v>0</v>
      </c>
      <c r="D11">
        <f>'Calculations BTU'!L142</f>
        <v>0</v>
      </c>
      <c r="E11">
        <f>'Calculations BTU'!M142</f>
        <v>0</v>
      </c>
      <c r="F11">
        <f>'Calculations BTU'!N142</f>
        <v>0</v>
      </c>
      <c r="G11">
        <f>'Calculations BTU'!O142</f>
        <v>0</v>
      </c>
      <c r="H11">
        <f>'Calculations BTU'!P142</f>
        <v>0</v>
      </c>
      <c r="I11">
        <f>'Calculations BTU'!Q142</f>
        <v>0</v>
      </c>
      <c r="J11">
        <f>'Calculations BTU'!R142</f>
        <v>0</v>
      </c>
      <c r="K11">
        <f>'Calculations BTU'!S142</f>
        <v>0</v>
      </c>
      <c r="L11">
        <f>'Calculations BTU'!T142</f>
        <v>0</v>
      </c>
      <c r="M11">
        <f>'Calculations BTU'!U142</f>
        <v>0</v>
      </c>
      <c r="N11">
        <f>'Calculations BTU'!V142</f>
        <v>0</v>
      </c>
      <c r="O11">
        <f>'Calculations BTU'!W142</f>
        <v>0</v>
      </c>
      <c r="P11">
        <f>'Calculations BTU'!X142</f>
        <v>0</v>
      </c>
      <c r="Q11">
        <f>'Calculations BTU'!Y142</f>
        <v>0</v>
      </c>
      <c r="R11">
        <f>'Calculations BTU'!Z142</f>
        <v>0</v>
      </c>
      <c r="S11">
        <f>'Calculations BTU'!AA142</f>
        <v>0</v>
      </c>
      <c r="T11">
        <f>'Calculations BTU'!AB142</f>
        <v>0</v>
      </c>
      <c r="U11">
        <f>'Calculations BTU'!AC142</f>
        <v>0</v>
      </c>
      <c r="V11">
        <f>'Calculations BTU'!AD142</f>
        <v>0</v>
      </c>
      <c r="W11">
        <f>'Calculations BTU'!AE142</f>
        <v>0</v>
      </c>
      <c r="X11">
        <f>'Calculations BTU'!AF142</f>
        <v>0</v>
      </c>
      <c r="Y11">
        <f>'Calculations BTU'!AG142</f>
        <v>0</v>
      </c>
      <c r="Z11">
        <f>'Calculations BTU'!AH142</f>
        <v>0</v>
      </c>
      <c r="AA11">
        <f>'Calculations BTU'!AI142</f>
        <v>0</v>
      </c>
      <c r="AB11">
        <f>'Calculations BTU'!AJ142</f>
        <v>0</v>
      </c>
      <c r="AC11">
        <f>'Calculations BTU'!AK142</f>
        <v>0</v>
      </c>
      <c r="AD11">
        <f>'Calculations BTU'!AL142</f>
        <v>0</v>
      </c>
      <c r="AE11">
        <f>'Calculations BTU'!AM142</f>
        <v>0</v>
      </c>
      <c r="AF11">
        <f>'Calculations BTU'!AN142</f>
        <v>0</v>
      </c>
      <c r="AG11">
        <f>'Calculations BTU'!AO142</f>
        <v>0</v>
      </c>
      <c r="AH11">
        <f>'Calculations BTU'!AP142</f>
        <v>0</v>
      </c>
      <c r="AI11">
        <f>'Calculations BTU'!AQ142</f>
        <v>0</v>
      </c>
      <c r="AJ11">
        <f>'Calculations BTU'!AR142</f>
        <v>0</v>
      </c>
      <c r="AK11">
        <f>'Calculations BTU'!AS142</f>
        <v>0</v>
      </c>
      <c r="AL11">
        <f>'Calculations BTU'!AT142</f>
        <v>0</v>
      </c>
      <c r="AM11">
        <f>'Calculations BTU'!AU142</f>
        <v>0</v>
      </c>
      <c r="AN11">
        <f>'Calculations BTU'!AV142</f>
        <v>0</v>
      </c>
      <c r="AO11">
        <f>'Calculations BTU'!AW142</f>
        <v>0</v>
      </c>
      <c r="AP11">
        <f>'Calculations BTU'!AX142</f>
        <v>0</v>
      </c>
      <c r="AQ11">
        <f>'Calculations BTU'!AY142</f>
        <v>0</v>
      </c>
      <c r="AR11">
        <f>'Calculations BTU'!AZ142</f>
        <v>0</v>
      </c>
      <c r="AS11">
        <f>'Calculations BTU'!BA142</f>
        <v>0</v>
      </c>
      <c r="AT11">
        <f>'Calculations BTU'!BB142</f>
        <v>0</v>
      </c>
      <c r="AU11">
        <f>'Calculations BTU'!BC142</f>
        <v>0</v>
      </c>
      <c r="AV11">
        <f>'Calculations BTU'!BD142</f>
        <v>0</v>
      </c>
      <c r="AW11">
        <f>'Calculations BTU'!BE142</f>
        <v>0</v>
      </c>
      <c r="AX11">
        <f>'Calculations BTU'!BF142</f>
        <v>0</v>
      </c>
      <c r="AY11">
        <f>'Calculations BTU'!BG142</f>
        <v>0</v>
      </c>
      <c r="AZ11">
        <f>'Calculations BTU'!BH142</f>
        <v>0</v>
      </c>
    </row>
    <row r="12" spans="1:52">
      <c r="A12" t="s">
        <v>136</v>
      </c>
      <c r="B12">
        <f>'Calculations BTU'!J143</f>
        <v>0</v>
      </c>
      <c r="C12">
        <f>'Calculations BTU'!K143</f>
        <v>0</v>
      </c>
      <c r="D12">
        <f>'Calculations BTU'!L143</f>
        <v>0</v>
      </c>
      <c r="E12">
        <f>'Calculations BTU'!M143</f>
        <v>0</v>
      </c>
      <c r="F12">
        <f>'Calculations BTU'!N143</f>
        <v>0</v>
      </c>
      <c r="G12">
        <f>'Calculations BTU'!O143</f>
        <v>0</v>
      </c>
      <c r="H12">
        <f>'Calculations BTU'!P143</f>
        <v>0</v>
      </c>
      <c r="I12">
        <f>'Calculations BTU'!Q143</f>
        <v>0</v>
      </c>
      <c r="J12">
        <f>'Calculations BTU'!R143</f>
        <v>0</v>
      </c>
      <c r="K12">
        <f>'Calculations BTU'!S143</f>
        <v>0</v>
      </c>
      <c r="L12">
        <f>'Calculations BTU'!T143</f>
        <v>0</v>
      </c>
      <c r="M12">
        <f>'Calculations BTU'!U143</f>
        <v>0</v>
      </c>
      <c r="N12">
        <f>'Calculations BTU'!V143</f>
        <v>0</v>
      </c>
      <c r="O12">
        <f>'Calculations BTU'!W143</f>
        <v>0</v>
      </c>
      <c r="P12">
        <f>'Calculations BTU'!X143</f>
        <v>0</v>
      </c>
      <c r="Q12">
        <f>'Calculations BTU'!Y143</f>
        <v>0</v>
      </c>
      <c r="R12">
        <f>'Calculations BTU'!Z143</f>
        <v>0</v>
      </c>
      <c r="S12">
        <f>'Calculations BTU'!AA143</f>
        <v>0</v>
      </c>
      <c r="T12">
        <f>'Calculations BTU'!AB143</f>
        <v>0</v>
      </c>
      <c r="U12">
        <f>'Calculations BTU'!AC143</f>
        <v>0</v>
      </c>
      <c r="V12">
        <f>'Calculations BTU'!AD143</f>
        <v>0</v>
      </c>
      <c r="W12">
        <f>'Calculations BTU'!AE143</f>
        <v>0</v>
      </c>
      <c r="X12">
        <f>'Calculations BTU'!AF143</f>
        <v>0</v>
      </c>
      <c r="Y12">
        <f>'Calculations BTU'!AG143</f>
        <v>0</v>
      </c>
      <c r="Z12">
        <f>'Calculations BTU'!AH143</f>
        <v>0</v>
      </c>
      <c r="AA12">
        <f>'Calculations BTU'!AI143</f>
        <v>0</v>
      </c>
      <c r="AB12">
        <f>'Calculations BTU'!AJ143</f>
        <v>0</v>
      </c>
      <c r="AC12">
        <f>'Calculations BTU'!AK143</f>
        <v>0</v>
      </c>
      <c r="AD12">
        <f>'Calculations BTU'!AL143</f>
        <v>0</v>
      </c>
      <c r="AE12">
        <f>'Calculations BTU'!AM143</f>
        <v>0</v>
      </c>
      <c r="AF12">
        <f>'Calculations BTU'!AN143</f>
        <v>0</v>
      </c>
      <c r="AG12">
        <f>'Calculations BTU'!AO143</f>
        <v>0</v>
      </c>
      <c r="AH12">
        <f>'Calculations BTU'!AP143</f>
        <v>0</v>
      </c>
      <c r="AI12">
        <f>'Calculations BTU'!AQ143</f>
        <v>0</v>
      </c>
      <c r="AJ12">
        <f>'Calculations BTU'!AR143</f>
        <v>0</v>
      </c>
      <c r="AK12">
        <f>'Calculations BTU'!AS143</f>
        <v>0</v>
      </c>
      <c r="AL12">
        <f>'Calculations BTU'!AT143</f>
        <v>0</v>
      </c>
      <c r="AM12">
        <f>'Calculations BTU'!AU143</f>
        <v>0</v>
      </c>
      <c r="AN12">
        <f>'Calculations BTU'!AV143</f>
        <v>0</v>
      </c>
      <c r="AO12">
        <f>'Calculations BTU'!AW143</f>
        <v>0</v>
      </c>
      <c r="AP12">
        <f>'Calculations BTU'!AX143</f>
        <v>0</v>
      </c>
      <c r="AQ12">
        <f>'Calculations BTU'!AY143</f>
        <v>0</v>
      </c>
      <c r="AR12">
        <f>'Calculations BTU'!AZ143</f>
        <v>0</v>
      </c>
      <c r="AS12">
        <f>'Calculations BTU'!BA143</f>
        <v>0</v>
      </c>
      <c r="AT12">
        <f>'Calculations BTU'!BB143</f>
        <v>0</v>
      </c>
      <c r="AU12">
        <f>'Calculations BTU'!BC143</f>
        <v>0</v>
      </c>
      <c r="AV12">
        <f>'Calculations BTU'!BD143</f>
        <v>0</v>
      </c>
      <c r="AW12">
        <f>'Calculations BTU'!BE143</f>
        <v>0</v>
      </c>
      <c r="AX12">
        <f>'Calculations BTU'!BF143</f>
        <v>0</v>
      </c>
      <c r="AY12">
        <f>'Calculations BTU'!BG143</f>
        <v>0</v>
      </c>
      <c r="AZ12">
        <f>'Calculations BTU'!BH143</f>
        <v>0</v>
      </c>
    </row>
    <row r="13" spans="1:52">
      <c r="A13" t="s">
        <v>137</v>
      </c>
      <c r="B13">
        <f>'Calculations BTU'!J144</f>
        <v>0</v>
      </c>
      <c r="C13">
        <f>'Calculations BTU'!K144</f>
        <v>0</v>
      </c>
      <c r="D13">
        <f>'Calculations BTU'!L144</f>
        <v>0</v>
      </c>
      <c r="E13">
        <f>'Calculations BTU'!M144</f>
        <v>0</v>
      </c>
      <c r="F13">
        <f>'Calculations BTU'!N144</f>
        <v>0</v>
      </c>
      <c r="G13">
        <f>'Calculations BTU'!O144</f>
        <v>0</v>
      </c>
      <c r="H13">
        <f>'Calculations BTU'!P144</f>
        <v>0</v>
      </c>
      <c r="I13">
        <f>'Calculations BTU'!Q144</f>
        <v>0</v>
      </c>
      <c r="J13">
        <f>'Calculations BTU'!R144</f>
        <v>0</v>
      </c>
      <c r="K13">
        <f>'Calculations BTU'!S144</f>
        <v>0</v>
      </c>
      <c r="L13">
        <f>'Calculations BTU'!T144</f>
        <v>0</v>
      </c>
      <c r="M13">
        <f>'Calculations BTU'!U144</f>
        <v>0</v>
      </c>
      <c r="N13">
        <f>'Calculations BTU'!V144</f>
        <v>0</v>
      </c>
      <c r="O13">
        <f>'Calculations BTU'!W144</f>
        <v>0</v>
      </c>
      <c r="P13">
        <f>'Calculations BTU'!X144</f>
        <v>0</v>
      </c>
      <c r="Q13">
        <f>'Calculations BTU'!Y144</f>
        <v>0</v>
      </c>
      <c r="R13">
        <f>'Calculations BTU'!Z144</f>
        <v>0</v>
      </c>
      <c r="S13">
        <f>'Calculations BTU'!AA144</f>
        <v>0</v>
      </c>
      <c r="T13">
        <f>'Calculations BTU'!AB144</f>
        <v>0</v>
      </c>
      <c r="U13">
        <f>'Calculations BTU'!AC144</f>
        <v>0</v>
      </c>
      <c r="V13">
        <f>'Calculations BTU'!AD144</f>
        <v>0</v>
      </c>
      <c r="W13">
        <f>'Calculations BTU'!AE144</f>
        <v>0</v>
      </c>
      <c r="X13">
        <f>'Calculations BTU'!AF144</f>
        <v>0</v>
      </c>
      <c r="Y13">
        <f>'Calculations BTU'!AG144</f>
        <v>0</v>
      </c>
      <c r="Z13">
        <f>'Calculations BTU'!AH144</f>
        <v>0</v>
      </c>
      <c r="AA13">
        <f>'Calculations BTU'!AI144</f>
        <v>0</v>
      </c>
      <c r="AB13">
        <f>'Calculations BTU'!AJ144</f>
        <v>0</v>
      </c>
      <c r="AC13">
        <f>'Calculations BTU'!AK144</f>
        <v>0</v>
      </c>
      <c r="AD13">
        <f>'Calculations BTU'!AL144</f>
        <v>0</v>
      </c>
      <c r="AE13">
        <f>'Calculations BTU'!AM144</f>
        <v>0</v>
      </c>
      <c r="AF13">
        <f>'Calculations BTU'!AN144</f>
        <v>0</v>
      </c>
      <c r="AG13">
        <f>'Calculations BTU'!AO144</f>
        <v>0</v>
      </c>
      <c r="AH13">
        <f>'Calculations BTU'!AP144</f>
        <v>0</v>
      </c>
      <c r="AI13">
        <f>'Calculations BTU'!AQ144</f>
        <v>0</v>
      </c>
      <c r="AJ13">
        <f>'Calculations BTU'!AR144</f>
        <v>0</v>
      </c>
      <c r="AK13">
        <f>'Calculations BTU'!AS144</f>
        <v>0</v>
      </c>
      <c r="AL13">
        <f>'Calculations BTU'!AT144</f>
        <v>0</v>
      </c>
      <c r="AM13">
        <f>'Calculations BTU'!AU144</f>
        <v>0</v>
      </c>
      <c r="AN13">
        <f>'Calculations BTU'!AV144</f>
        <v>0</v>
      </c>
      <c r="AO13">
        <f>'Calculations BTU'!AW144</f>
        <v>0</v>
      </c>
      <c r="AP13">
        <f>'Calculations BTU'!AX144</f>
        <v>0</v>
      </c>
      <c r="AQ13">
        <f>'Calculations BTU'!AY144</f>
        <v>0</v>
      </c>
      <c r="AR13">
        <f>'Calculations BTU'!AZ144</f>
        <v>0</v>
      </c>
      <c r="AS13">
        <f>'Calculations BTU'!BA144</f>
        <v>0</v>
      </c>
      <c r="AT13">
        <f>'Calculations BTU'!BB144</f>
        <v>0</v>
      </c>
      <c r="AU13">
        <f>'Calculations BTU'!BC144</f>
        <v>0</v>
      </c>
      <c r="AV13">
        <f>'Calculations BTU'!BD144</f>
        <v>0</v>
      </c>
      <c r="AW13">
        <f>'Calculations BTU'!BE144</f>
        <v>0</v>
      </c>
      <c r="AX13">
        <f>'Calculations BTU'!BF144</f>
        <v>0</v>
      </c>
      <c r="AY13">
        <f>'Calculations BTU'!BG144</f>
        <v>0</v>
      </c>
      <c r="AZ13">
        <f>'Calculations BTU'!BH144</f>
        <v>0</v>
      </c>
    </row>
    <row r="14" spans="1:52">
      <c r="A14" t="s">
        <v>138</v>
      </c>
      <c r="B14">
        <f>'Calculations BTU'!J145</f>
        <v>0</v>
      </c>
      <c r="C14">
        <f>'Calculations BTU'!K145</f>
        <v>0</v>
      </c>
      <c r="D14">
        <f>'Calculations BTU'!L145</f>
        <v>0</v>
      </c>
      <c r="E14">
        <f>'Calculations BTU'!M145</f>
        <v>0</v>
      </c>
      <c r="F14">
        <f>'Calculations BTU'!N145</f>
        <v>0</v>
      </c>
      <c r="G14">
        <f>'Calculations BTU'!O145</f>
        <v>0</v>
      </c>
      <c r="H14">
        <f>'Calculations BTU'!P145</f>
        <v>0</v>
      </c>
      <c r="I14">
        <f>'Calculations BTU'!Q145</f>
        <v>0</v>
      </c>
      <c r="J14">
        <f>'Calculations BTU'!R145</f>
        <v>0</v>
      </c>
      <c r="K14">
        <f>'Calculations BTU'!S145</f>
        <v>0</v>
      </c>
      <c r="L14">
        <f>'Calculations BTU'!T145</f>
        <v>0</v>
      </c>
      <c r="M14">
        <f>'Calculations BTU'!U145</f>
        <v>0</v>
      </c>
      <c r="N14">
        <f>'Calculations BTU'!V145</f>
        <v>0</v>
      </c>
      <c r="O14">
        <f>'Calculations BTU'!W145</f>
        <v>0</v>
      </c>
      <c r="P14">
        <f>'Calculations BTU'!X145</f>
        <v>0</v>
      </c>
      <c r="Q14">
        <f>'Calculations BTU'!Y145</f>
        <v>0</v>
      </c>
      <c r="R14">
        <f>'Calculations BTU'!Z145</f>
        <v>0</v>
      </c>
      <c r="S14">
        <f>'Calculations BTU'!AA145</f>
        <v>0</v>
      </c>
      <c r="T14">
        <f>'Calculations BTU'!AB145</f>
        <v>0</v>
      </c>
      <c r="U14">
        <f>'Calculations BTU'!AC145</f>
        <v>0</v>
      </c>
      <c r="V14">
        <f>'Calculations BTU'!AD145</f>
        <v>0</v>
      </c>
      <c r="W14">
        <f>'Calculations BTU'!AE145</f>
        <v>0</v>
      </c>
      <c r="X14">
        <f>'Calculations BTU'!AF145</f>
        <v>0</v>
      </c>
      <c r="Y14">
        <f>'Calculations BTU'!AG145</f>
        <v>0</v>
      </c>
      <c r="Z14">
        <f>'Calculations BTU'!AH145</f>
        <v>0</v>
      </c>
      <c r="AA14">
        <f>'Calculations BTU'!AI145</f>
        <v>0</v>
      </c>
      <c r="AB14">
        <f>'Calculations BTU'!AJ145</f>
        <v>0</v>
      </c>
      <c r="AC14">
        <f>'Calculations BTU'!AK145</f>
        <v>0</v>
      </c>
      <c r="AD14">
        <f>'Calculations BTU'!AL145</f>
        <v>0</v>
      </c>
      <c r="AE14">
        <f>'Calculations BTU'!AM145</f>
        <v>0</v>
      </c>
      <c r="AF14">
        <f>'Calculations BTU'!AN145</f>
        <v>0</v>
      </c>
      <c r="AG14">
        <f>'Calculations BTU'!AO145</f>
        <v>0</v>
      </c>
      <c r="AH14">
        <f>'Calculations BTU'!AP145</f>
        <v>0</v>
      </c>
      <c r="AI14">
        <f>'Calculations BTU'!AQ145</f>
        <v>0</v>
      </c>
      <c r="AJ14">
        <f>'Calculations BTU'!AR145</f>
        <v>0</v>
      </c>
      <c r="AK14">
        <f>'Calculations BTU'!AS145</f>
        <v>0</v>
      </c>
      <c r="AL14">
        <f>'Calculations BTU'!AT145</f>
        <v>0</v>
      </c>
      <c r="AM14">
        <f>'Calculations BTU'!AU145</f>
        <v>0</v>
      </c>
      <c r="AN14">
        <f>'Calculations BTU'!AV145</f>
        <v>0</v>
      </c>
      <c r="AO14">
        <f>'Calculations BTU'!AW145</f>
        <v>0</v>
      </c>
      <c r="AP14">
        <f>'Calculations BTU'!AX145</f>
        <v>0</v>
      </c>
      <c r="AQ14">
        <f>'Calculations BTU'!AY145</f>
        <v>0</v>
      </c>
      <c r="AR14">
        <f>'Calculations BTU'!AZ145</f>
        <v>0</v>
      </c>
      <c r="AS14">
        <f>'Calculations BTU'!BA145</f>
        <v>0</v>
      </c>
      <c r="AT14">
        <f>'Calculations BTU'!BB145</f>
        <v>0</v>
      </c>
      <c r="AU14">
        <f>'Calculations BTU'!BC145</f>
        <v>0</v>
      </c>
      <c r="AV14">
        <f>'Calculations BTU'!BD145</f>
        <v>0</v>
      </c>
      <c r="AW14">
        <f>'Calculations BTU'!BE145</f>
        <v>0</v>
      </c>
      <c r="AX14">
        <f>'Calculations BTU'!BF145</f>
        <v>0</v>
      </c>
      <c r="AY14">
        <f>'Calculations BTU'!BG145</f>
        <v>0</v>
      </c>
      <c r="AZ14">
        <f>'Calculations BTU'!BH145</f>
        <v>0</v>
      </c>
    </row>
    <row r="15" spans="1:52">
      <c r="A15" t="s">
        <v>139</v>
      </c>
      <c r="B15">
        <f>'Calculations BTU'!J146</f>
        <v>0</v>
      </c>
      <c r="C15">
        <f>'Calculations BTU'!K146</f>
        <v>0</v>
      </c>
      <c r="D15">
        <f>'Calculations BTU'!L146</f>
        <v>0</v>
      </c>
      <c r="E15">
        <f>'Calculations BTU'!M146</f>
        <v>0</v>
      </c>
      <c r="F15">
        <f>'Calculations BTU'!N146</f>
        <v>0</v>
      </c>
      <c r="G15">
        <f>'Calculations BTU'!O146</f>
        <v>0</v>
      </c>
      <c r="H15">
        <f>'Calculations BTU'!P146</f>
        <v>0</v>
      </c>
      <c r="I15">
        <f>'Calculations BTU'!Q146</f>
        <v>0</v>
      </c>
      <c r="J15">
        <f>'Calculations BTU'!R146</f>
        <v>0</v>
      </c>
      <c r="K15">
        <f>'Calculations BTU'!S146</f>
        <v>0</v>
      </c>
      <c r="L15">
        <f>'Calculations BTU'!T146</f>
        <v>0</v>
      </c>
      <c r="M15">
        <f>'Calculations BTU'!U146</f>
        <v>0</v>
      </c>
      <c r="N15">
        <f>'Calculations BTU'!V146</f>
        <v>0</v>
      </c>
      <c r="O15">
        <f>'Calculations BTU'!W146</f>
        <v>0</v>
      </c>
      <c r="P15">
        <f>'Calculations BTU'!X146</f>
        <v>0</v>
      </c>
      <c r="Q15">
        <f>'Calculations BTU'!Y146</f>
        <v>0</v>
      </c>
      <c r="R15">
        <f>'Calculations BTU'!Z146</f>
        <v>0</v>
      </c>
      <c r="S15">
        <f>'Calculations BTU'!AA146</f>
        <v>0</v>
      </c>
      <c r="T15">
        <f>'Calculations BTU'!AB146</f>
        <v>0</v>
      </c>
      <c r="U15">
        <f>'Calculations BTU'!AC146</f>
        <v>0</v>
      </c>
      <c r="V15">
        <f>'Calculations BTU'!AD146</f>
        <v>0</v>
      </c>
      <c r="W15">
        <f>'Calculations BTU'!AE146</f>
        <v>0</v>
      </c>
      <c r="X15">
        <f>'Calculations BTU'!AF146</f>
        <v>0</v>
      </c>
      <c r="Y15">
        <f>'Calculations BTU'!AG146</f>
        <v>0</v>
      </c>
      <c r="Z15">
        <f>'Calculations BTU'!AH146</f>
        <v>0</v>
      </c>
      <c r="AA15">
        <f>'Calculations BTU'!AI146</f>
        <v>0</v>
      </c>
      <c r="AB15">
        <f>'Calculations BTU'!AJ146</f>
        <v>0</v>
      </c>
      <c r="AC15">
        <f>'Calculations BTU'!AK146</f>
        <v>0</v>
      </c>
      <c r="AD15">
        <f>'Calculations BTU'!AL146</f>
        <v>0</v>
      </c>
      <c r="AE15">
        <f>'Calculations BTU'!AM146</f>
        <v>0</v>
      </c>
      <c r="AF15">
        <f>'Calculations BTU'!AN146</f>
        <v>0</v>
      </c>
      <c r="AG15">
        <f>'Calculations BTU'!AO146</f>
        <v>0</v>
      </c>
      <c r="AH15">
        <f>'Calculations BTU'!AP146</f>
        <v>0</v>
      </c>
      <c r="AI15">
        <f>'Calculations BTU'!AQ146</f>
        <v>0</v>
      </c>
      <c r="AJ15">
        <f>'Calculations BTU'!AR146</f>
        <v>0</v>
      </c>
      <c r="AK15">
        <f>'Calculations BTU'!AS146</f>
        <v>0</v>
      </c>
      <c r="AL15">
        <f>'Calculations BTU'!AT146</f>
        <v>0</v>
      </c>
      <c r="AM15">
        <f>'Calculations BTU'!AU146</f>
        <v>0</v>
      </c>
      <c r="AN15">
        <f>'Calculations BTU'!AV146</f>
        <v>0</v>
      </c>
      <c r="AO15">
        <f>'Calculations BTU'!AW146</f>
        <v>0</v>
      </c>
      <c r="AP15">
        <f>'Calculations BTU'!AX146</f>
        <v>0</v>
      </c>
      <c r="AQ15">
        <f>'Calculations BTU'!AY146</f>
        <v>0</v>
      </c>
      <c r="AR15">
        <f>'Calculations BTU'!AZ146</f>
        <v>0</v>
      </c>
      <c r="AS15">
        <f>'Calculations BTU'!BA146</f>
        <v>0</v>
      </c>
      <c r="AT15">
        <f>'Calculations BTU'!BB146</f>
        <v>0</v>
      </c>
      <c r="AU15">
        <f>'Calculations BTU'!BC146</f>
        <v>0</v>
      </c>
      <c r="AV15">
        <f>'Calculations BTU'!BD146</f>
        <v>0</v>
      </c>
      <c r="AW15">
        <f>'Calculations BTU'!BE146</f>
        <v>0</v>
      </c>
      <c r="AX15">
        <f>'Calculations BTU'!BF146</f>
        <v>0</v>
      </c>
      <c r="AY15">
        <f>'Calculations BTU'!BG146</f>
        <v>0</v>
      </c>
      <c r="AZ15">
        <f>'Calculations BTU'!BH146</f>
        <v>0</v>
      </c>
    </row>
    <row r="16" spans="1:52">
      <c r="A16" t="s">
        <v>140</v>
      </c>
      <c r="B16">
        <f>'Calculations BTU'!J147</f>
        <v>0</v>
      </c>
      <c r="C16">
        <f>'Calculations BTU'!K147</f>
        <v>0</v>
      </c>
      <c r="D16">
        <f>'Calculations BTU'!L147</f>
        <v>0</v>
      </c>
      <c r="E16">
        <f>'Calculations BTU'!M147</f>
        <v>0</v>
      </c>
      <c r="F16">
        <f>'Calculations BTU'!N147</f>
        <v>0</v>
      </c>
      <c r="G16">
        <f>'Calculations BTU'!O147</f>
        <v>0</v>
      </c>
      <c r="H16">
        <f>'Calculations BTU'!P147</f>
        <v>0</v>
      </c>
      <c r="I16">
        <f>'Calculations BTU'!Q147</f>
        <v>0</v>
      </c>
      <c r="J16">
        <f>'Calculations BTU'!R147</f>
        <v>0</v>
      </c>
      <c r="K16">
        <f>'Calculations BTU'!S147</f>
        <v>0</v>
      </c>
      <c r="L16">
        <f>'Calculations BTU'!T147</f>
        <v>0</v>
      </c>
      <c r="M16">
        <f>'Calculations BTU'!U147</f>
        <v>0</v>
      </c>
      <c r="N16">
        <f>'Calculations BTU'!V147</f>
        <v>0</v>
      </c>
      <c r="O16">
        <f>'Calculations BTU'!W147</f>
        <v>0</v>
      </c>
      <c r="P16">
        <f>'Calculations BTU'!X147</f>
        <v>0</v>
      </c>
      <c r="Q16">
        <f>'Calculations BTU'!Y147</f>
        <v>0</v>
      </c>
      <c r="R16">
        <f>'Calculations BTU'!Z147</f>
        <v>0</v>
      </c>
      <c r="S16">
        <f>'Calculations BTU'!AA147</f>
        <v>0</v>
      </c>
      <c r="T16">
        <f>'Calculations BTU'!AB147</f>
        <v>0</v>
      </c>
      <c r="U16">
        <f>'Calculations BTU'!AC147</f>
        <v>0</v>
      </c>
      <c r="V16">
        <f>'Calculations BTU'!AD147</f>
        <v>0</v>
      </c>
      <c r="W16">
        <f>'Calculations BTU'!AE147</f>
        <v>0</v>
      </c>
      <c r="X16">
        <f>'Calculations BTU'!AF147</f>
        <v>0</v>
      </c>
      <c r="Y16">
        <f>'Calculations BTU'!AG147</f>
        <v>0</v>
      </c>
      <c r="Z16">
        <f>'Calculations BTU'!AH147</f>
        <v>0</v>
      </c>
      <c r="AA16">
        <f>'Calculations BTU'!AI147</f>
        <v>0</v>
      </c>
      <c r="AB16">
        <f>'Calculations BTU'!AJ147</f>
        <v>0</v>
      </c>
      <c r="AC16">
        <f>'Calculations BTU'!AK147</f>
        <v>0</v>
      </c>
      <c r="AD16">
        <f>'Calculations BTU'!AL147</f>
        <v>0</v>
      </c>
      <c r="AE16">
        <f>'Calculations BTU'!AM147</f>
        <v>0</v>
      </c>
      <c r="AF16">
        <f>'Calculations BTU'!AN147</f>
        <v>0</v>
      </c>
      <c r="AG16">
        <f>'Calculations BTU'!AO147</f>
        <v>0</v>
      </c>
      <c r="AH16">
        <f>'Calculations BTU'!AP147</f>
        <v>0</v>
      </c>
      <c r="AI16">
        <f>'Calculations BTU'!AQ147</f>
        <v>0</v>
      </c>
      <c r="AJ16">
        <f>'Calculations BTU'!AR147</f>
        <v>0</v>
      </c>
      <c r="AK16">
        <f>'Calculations BTU'!AS147</f>
        <v>0</v>
      </c>
      <c r="AL16">
        <f>'Calculations BTU'!AT147</f>
        <v>0</v>
      </c>
      <c r="AM16">
        <f>'Calculations BTU'!AU147</f>
        <v>0</v>
      </c>
      <c r="AN16">
        <f>'Calculations BTU'!AV147</f>
        <v>0</v>
      </c>
      <c r="AO16">
        <f>'Calculations BTU'!AW147</f>
        <v>0</v>
      </c>
      <c r="AP16">
        <f>'Calculations BTU'!AX147</f>
        <v>0</v>
      </c>
      <c r="AQ16">
        <f>'Calculations BTU'!AY147</f>
        <v>0</v>
      </c>
      <c r="AR16">
        <f>'Calculations BTU'!AZ147</f>
        <v>0</v>
      </c>
      <c r="AS16">
        <f>'Calculations BTU'!BA147</f>
        <v>0</v>
      </c>
      <c r="AT16">
        <f>'Calculations BTU'!BB147</f>
        <v>0</v>
      </c>
      <c r="AU16">
        <f>'Calculations BTU'!BC147</f>
        <v>0</v>
      </c>
      <c r="AV16">
        <f>'Calculations BTU'!BD147</f>
        <v>0</v>
      </c>
      <c r="AW16">
        <f>'Calculations BTU'!BE147</f>
        <v>0</v>
      </c>
      <c r="AX16">
        <f>'Calculations BTU'!BF147</f>
        <v>0</v>
      </c>
      <c r="AY16">
        <f>'Calculations BTU'!BG147</f>
        <v>0</v>
      </c>
      <c r="AZ16">
        <f>'Calculations BTU'!BH147</f>
        <v>0</v>
      </c>
    </row>
    <row r="17" spans="1:52">
      <c r="A17" t="s">
        <v>141</v>
      </c>
      <c r="B17">
        <f>'Calculations BTU'!J148</f>
        <v>0</v>
      </c>
      <c r="C17">
        <f>'Calculations BTU'!K148</f>
        <v>0</v>
      </c>
      <c r="D17">
        <f>'Calculations BTU'!L148</f>
        <v>0</v>
      </c>
      <c r="E17">
        <f>'Calculations BTU'!M148</f>
        <v>0</v>
      </c>
      <c r="F17">
        <f>'Calculations BTU'!N148</f>
        <v>0</v>
      </c>
      <c r="G17">
        <f>'Calculations BTU'!O148</f>
        <v>0</v>
      </c>
      <c r="H17">
        <f>'Calculations BTU'!P148</f>
        <v>0</v>
      </c>
      <c r="I17">
        <f>'Calculations BTU'!Q148</f>
        <v>0</v>
      </c>
      <c r="J17">
        <f>'Calculations BTU'!R148</f>
        <v>0</v>
      </c>
      <c r="K17">
        <f>'Calculations BTU'!S148</f>
        <v>0</v>
      </c>
      <c r="L17">
        <f>'Calculations BTU'!T148</f>
        <v>0</v>
      </c>
      <c r="M17">
        <f>'Calculations BTU'!U148</f>
        <v>0</v>
      </c>
      <c r="N17">
        <f>'Calculations BTU'!V148</f>
        <v>0</v>
      </c>
      <c r="O17">
        <f>'Calculations BTU'!W148</f>
        <v>0</v>
      </c>
      <c r="P17">
        <f>'Calculations BTU'!X148</f>
        <v>0</v>
      </c>
      <c r="Q17">
        <f>'Calculations BTU'!Y148</f>
        <v>0</v>
      </c>
      <c r="R17">
        <f>'Calculations BTU'!Z148</f>
        <v>0</v>
      </c>
      <c r="S17">
        <f>'Calculations BTU'!AA148</f>
        <v>0</v>
      </c>
      <c r="T17">
        <f>'Calculations BTU'!AB148</f>
        <v>0</v>
      </c>
      <c r="U17">
        <f>'Calculations BTU'!AC148</f>
        <v>0</v>
      </c>
      <c r="V17">
        <f>'Calculations BTU'!AD148</f>
        <v>0</v>
      </c>
      <c r="W17">
        <f>'Calculations BTU'!AE148</f>
        <v>0</v>
      </c>
      <c r="X17">
        <f>'Calculations BTU'!AF148</f>
        <v>0</v>
      </c>
      <c r="Y17">
        <f>'Calculations BTU'!AG148</f>
        <v>0</v>
      </c>
      <c r="Z17">
        <f>'Calculations BTU'!AH148</f>
        <v>0</v>
      </c>
      <c r="AA17">
        <f>'Calculations BTU'!AI148</f>
        <v>0</v>
      </c>
      <c r="AB17">
        <f>'Calculations BTU'!AJ148</f>
        <v>0</v>
      </c>
      <c r="AC17">
        <f>'Calculations BTU'!AK148</f>
        <v>0</v>
      </c>
      <c r="AD17">
        <f>'Calculations BTU'!AL148</f>
        <v>0</v>
      </c>
      <c r="AE17">
        <f>'Calculations BTU'!AM148</f>
        <v>0</v>
      </c>
      <c r="AF17">
        <f>'Calculations BTU'!AN148</f>
        <v>0</v>
      </c>
      <c r="AG17">
        <f>'Calculations BTU'!AO148</f>
        <v>0</v>
      </c>
      <c r="AH17">
        <f>'Calculations BTU'!AP148</f>
        <v>0</v>
      </c>
      <c r="AI17">
        <f>'Calculations BTU'!AQ148</f>
        <v>0</v>
      </c>
      <c r="AJ17">
        <f>'Calculations BTU'!AR148</f>
        <v>0</v>
      </c>
      <c r="AK17">
        <f>'Calculations BTU'!AS148</f>
        <v>0</v>
      </c>
      <c r="AL17">
        <f>'Calculations BTU'!AT148</f>
        <v>0</v>
      </c>
      <c r="AM17">
        <f>'Calculations BTU'!AU148</f>
        <v>0</v>
      </c>
      <c r="AN17">
        <f>'Calculations BTU'!AV148</f>
        <v>0</v>
      </c>
      <c r="AO17">
        <f>'Calculations BTU'!AW148</f>
        <v>0</v>
      </c>
      <c r="AP17">
        <f>'Calculations BTU'!AX148</f>
        <v>0</v>
      </c>
      <c r="AQ17">
        <f>'Calculations BTU'!AY148</f>
        <v>0</v>
      </c>
      <c r="AR17">
        <f>'Calculations BTU'!AZ148</f>
        <v>0</v>
      </c>
      <c r="AS17">
        <f>'Calculations BTU'!BA148</f>
        <v>0</v>
      </c>
      <c r="AT17">
        <f>'Calculations BTU'!BB148</f>
        <v>0</v>
      </c>
      <c r="AU17">
        <f>'Calculations BTU'!BC148</f>
        <v>0</v>
      </c>
      <c r="AV17">
        <f>'Calculations BTU'!BD148</f>
        <v>0</v>
      </c>
      <c r="AW17">
        <f>'Calculations BTU'!BE148</f>
        <v>0</v>
      </c>
      <c r="AX17">
        <f>'Calculations BTU'!BF148</f>
        <v>0</v>
      </c>
      <c r="AY17">
        <f>'Calculations BTU'!BG148</f>
        <v>0</v>
      </c>
      <c r="AZ17">
        <f>'Calculations BTU'!BH148</f>
        <v>0</v>
      </c>
    </row>
    <row r="18" spans="1:52">
      <c r="A18" t="s">
        <v>142</v>
      </c>
      <c r="B18">
        <f>'Calculations BTU'!J149</f>
        <v>0</v>
      </c>
      <c r="C18">
        <f>'Calculations BTU'!K149</f>
        <v>0</v>
      </c>
      <c r="D18">
        <f>'Calculations BTU'!L149</f>
        <v>0</v>
      </c>
      <c r="E18">
        <f>'Calculations BTU'!M149</f>
        <v>0</v>
      </c>
      <c r="F18">
        <f>'Calculations BTU'!N149</f>
        <v>0</v>
      </c>
      <c r="G18">
        <f>'Calculations BTU'!O149</f>
        <v>0</v>
      </c>
      <c r="H18">
        <f>'Calculations BTU'!P149</f>
        <v>0</v>
      </c>
      <c r="I18">
        <f>'Calculations BTU'!Q149</f>
        <v>0</v>
      </c>
      <c r="J18">
        <f>'Calculations BTU'!R149</f>
        <v>0</v>
      </c>
      <c r="K18">
        <f>'Calculations BTU'!S149</f>
        <v>0</v>
      </c>
      <c r="L18">
        <f>'Calculations BTU'!T149</f>
        <v>0</v>
      </c>
      <c r="M18">
        <f>'Calculations BTU'!U149</f>
        <v>0</v>
      </c>
      <c r="N18">
        <f>'Calculations BTU'!V149</f>
        <v>0</v>
      </c>
      <c r="O18">
        <f>'Calculations BTU'!W149</f>
        <v>0</v>
      </c>
      <c r="P18">
        <f>'Calculations BTU'!X149</f>
        <v>0</v>
      </c>
      <c r="Q18">
        <f>'Calculations BTU'!Y149</f>
        <v>0</v>
      </c>
      <c r="R18">
        <f>'Calculations BTU'!Z149</f>
        <v>0</v>
      </c>
      <c r="S18">
        <f>'Calculations BTU'!AA149</f>
        <v>0</v>
      </c>
      <c r="T18">
        <f>'Calculations BTU'!AB149</f>
        <v>0</v>
      </c>
      <c r="U18">
        <f>'Calculations BTU'!AC149</f>
        <v>0</v>
      </c>
      <c r="V18">
        <f>'Calculations BTU'!AD149</f>
        <v>0</v>
      </c>
      <c r="W18">
        <f>'Calculations BTU'!AE149</f>
        <v>0</v>
      </c>
      <c r="X18">
        <f>'Calculations BTU'!AF149</f>
        <v>0</v>
      </c>
      <c r="Y18">
        <f>'Calculations BTU'!AG149</f>
        <v>0</v>
      </c>
      <c r="Z18">
        <f>'Calculations BTU'!AH149</f>
        <v>0</v>
      </c>
      <c r="AA18">
        <f>'Calculations BTU'!AI149</f>
        <v>0</v>
      </c>
      <c r="AB18">
        <f>'Calculations BTU'!AJ149</f>
        <v>0</v>
      </c>
      <c r="AC18">
        <f>'Calculations BTU'!AK149</f>
        <v>0</v>
      </c>
      <c r="AD18">
        <f>'Calculations BTU'!AL149</f>
        <v>0</v>
      </c>
      <c r="AE18">
        <f>'Calculations BTU'!AM149</f>
        <v>0</v>
      </c>
      <c r="AF18">
        <f>'Calculations BTU'!AN149</f>
        <v>0</v>
      </c>
      <c r="AG18">
        <f>'Calculations BTU'!AO149</f>
        <v>0</v>
      </c>
      <c r="AH18">
        <f>'Calculations BTU'!AP149</f>
        <v>0</v>
      </c>
      <c r="AI18">
        <f>'Calculations BTU'!AQ149</f>
        <v>0</v>
      </c>
      <c r="AJ18">
        <f>'Calculations BTU'!AR149</f>
        <v>0</v>
      </c>
      <c r="AK18">
        <f>'Calculations BTU'!AS149</f>
        <v>0</v>
      </c>
      <c r="AL18">
        <f>'Calculations BTU'!AT149</f>
        <v>0</v>
      </c>
      <c r="AM18">
        <f>'Calculations BTU'!AU149</f>
        <v>0</v>
      </c>
      <c r="AN18">
        <f>'Calculations BTU'!AV149</f>
        <v>0</v>
      </c>
      <c r="AO18">
        <f>'Calculations BTU'!AW149</f>
        <v>0</v>
      </c>
      <c r="AP18">
        <f>'Calculations BTU'!AX149</f>
        <v>0</v>
      </c>
      <c r="AQ18">
        <f>'Calculations BTU'!AY149</f>
        <v>0</v>
      </c>
      <c r="AR18">
        <f>'Calculations BTU'!AZ149</f>
        <v>0</v>
      </c>
      <c r="AS18">
        <f>'Calculations BTU'!BA149</f>
        <v>0</v>
      </c>
      <c r="AT18">
        <f>'Calculations BTU'!BB149</f>
        <v>0</v>
      </c>
      <c r="AU18">
        <f>'Calculations BTU'!BC149</f>
        <v>0</v>
      </c>
      <c r="AV18">
        <f>'Calculations BTU'!BD149</f>
        <v>0</v>
      </c>
      <c r="AW18">
        <f>'Calculations BTU'!BE149</f>
        <v>0</v>
      </c>
      <c r="AX18">
        <f>'Calculations BTU'!BF149</f>
        <v>0</v>
      </c>
      <c r="AY18">
        <f>'Calculations BTU'!BG149</f>
        <v>0</v>
      </c>
      <c r="AZ18">
        <f>'Calculations BTU'!BH149</f>
        <v>0</v>
      </c>
    </row>
    <row r="19" spans="1:52">
      <c r="A19" t="s">
        <v>143</v>
      </c>
      <c r="B19">
        <f>'Calculations BTU'!J150</f>
        <v>0</v>
      </c>
      <c r="C19">
        <f>'Calculations BTU'!K150</f>
        <v>0</v>
      </c>
      <c r="D19">
        <f>'Calculations BTU'!L150</f>
        <v>0</v>
      </c>
      <c r="E19">
        <f>'Calculations BTU'!M150</f>
        <v>0</v>
      </c>
      <c r="F19">
        <f>'Calculations BTU'!N150</f>
        <v>0</v>
      </c>
      <c r="G19">
        <f>'Calculations BTU'!O150</f>
        <v>0</v>
      </c>
      <c r="H19">
        <f>'Calculations BTU'!P150</f>
        <v>0</v>
      </c>
      <c r="I19">
        <f>'Calculations BTU'!Q150</f>
        <v>0</v>
      </c>
      <c r="J19">
        <f>'Calculations BTU'!R150</f>
        <v>0</v>
      </c>
      <c r="K19">
        <f>'Calculations BTU'!S150</f>
        <v>0</v>
      </c>
      <c r="L19">
        <f>'Calculations BTU'!T150</f>
        <v>0</v>
      </c>
      <c r="M19">
        <f>'Calculations BTU'!U150</f>
        <v>0</v>
      </c>
      <c r="N19">
        <f>'Calculations BTU'!V150</f>
        <v>0</v>
      </c>
      <c r="O19">
        <f>'Calculations BTU'!W150</f>
        <v>0</v>
      </c>
      <c r="P19">
        <f>'Calculations BTU'!X150</f>
        <v>0</v>
      </c>
      <c r="Q19">
        <f>'Calculations BTU'!Y150</f>
        <v>0</v>
      </c>
      <c r="R19">
        <f>'Calculations BTU'!Z150</f>
        <v>0</v>
      </c>
      <c r="S19">
        <f>'Calculations BTU'!AA150</f>
        <v>0</v>
      </c>
      <c r="T19">
        <f>'Calculations BTU'!AB150</f>
        <v>0</v>
      </c>
      <c r="U19">
        <f>'Calculations BTU'!AC150</f>
        <v>0</v>
      </c>
      <c r="V19">
        <f>'Calculations BTU'!AD150</f>
        <v>0</v>
      </c>
      <c r="W19">
        <f>'Calculations BTU'!AE150</f>
        <v>0</v>
      </c>
      <c r="X19">
        <f>'Calculations BTU'!AF150</f>
        <v>0</v>
      </c>
      <c r="Y19">
        <f>'Calculations BTU'!AG150</f>
        <v>0</v>
      </c>
      <c r="Z19">
        <f>'Calculations BTU'!AH150</f>
        <v>0</v>
      </c>
      <c r="AA19">
        <f>'Calculations BTU'!AI150</f>
        <v>0</v>
      </c>
      <c r="AB19">
        <f>'Calculations BTU'!AJ150</f>
        <v>0</v>
      </c>
      <c r="AC19">
        <f>'Calculations BTU'!AK150</f>
        <v>0</v>
      </c>
      <c r="AD19">
        <f>'Calculations BTU'!AL150</f>
        <v>0</v>
      </c>
      <c r="AE19">
        <f>'Calculations BTU'!AM150</f>
        <v>0</v>
      </c>
      <c r="AF19">
        <f>'Calculations BTU'!AN150</f>
        <v>0</v>
      </c>
      <c r="AG19">
        <f>'Calculations BTU'!AO150</f>
        <v>0</v>
      </c>
      <c r="AH19">
        <f>'Calculations BTU'!AP150</f>
        <v>0</v>
      </c>
      <c r="AI19">
        <f>'Calculations BTU'!AQ150</f>
        <v>0</v>
      </c>
      <c r="AJ19">
        <f>'Calculations BTU'!AR150</f>
        <v>0</v>
      </c>
      <c r="AK19">
        <f>'Calculations BTU'!AS150</f>
        <v>0</v>
      </c>
      <c r="AL19">
        <f>'Calculations BTU'!AT150</f>
        <v>0</v>
      </c>
      <c r="AM19">
        <f>'Calculations BTU'!AU150</f>
        <v>0</v>
      </c>
      <c r="AN19">
        <f>'Calculations BTU'!AV150</f>
        <v>0</v>
      </c>
      <c r="AO19">
        <f>'Calculations BTU'!AW150</f>
        <v>0</v>
      </c>
      <c r="AP19">
        <f>'Calculations BTU'!AX150</f>
        <v>0</v>
      </c>
      <c r="AQ19">
        <f>'Calculations BTU'!AY150</f>
        <v>0</v>
      </c>
      <c r="AR19">
        <f>'Calculations BTU'!AZ150</f>
        <v>0</v>
      </c>
      <c r="AS19">
        <f>'Calculations BTU'!BA150</f>
        <v>0</v>
      </c>
      <c r="AT19">
        <f>'Calculations BTU'!BB150</f>
        <v>0</v>
      </c>
      <c r="AU19">
        <f>'Calculations BTU'!BC150</f>
        <v>0</v>
      </c>
      <c r="AV19">
        <f>'Calculations BTU'!BD150</f>
        <v>0</v>
      </c>
      <c r="AW19">
        <f>'Calculations BTU'!BE150</f>
        <v>0</v>
      </c>
      <c r="AX19">
        <f>'Calculations BTU'!BF150</f>
        <v>0</v>
      </c>
      <c r="AY19">
        <f>'Calculations BTU'!BG150</f>
        <v>0</v>
      </c>
      <c r="AZ19">
        <f>'Calculations BTU'!BH150</f>
        <v>0</v>
      </c>
    </row>
    <row r="20" spans="1:52">
      <c r="A20" t="s">
        <v>144</v>
      </c>
      <c r="B20">
        <f>'Calculations BTU'!J151</f>
        <v>0</v>
      </c>
      <c r="C20">
        <f>'Calculations BTU'!K151</f>
        <v>0</v>
      </c>
      <c r="D20">
        <f>'Calculations BTU'!L151</f>
        <v>0</v>
      </c>
      <c r="E20">
        <f>'Calculations BTU'!M151</f>
        <v>0</v>
      </c>
      <c r="F20">
        <f>'Calculations BTU'!N151</f>
        <v>0</v>
      </c>
      <c r="G20">
        <f>'Calculations BTU'!O151</f>
        <v>0</v>
      </c>
      <c r="H20">
        <f>'Calculations BTU'!P151</f>
        <v>0</v>
      </c>
      <c r="I20">
        <f>'Calculations BTU'!Q151</f>
        <v>0</v>
      </c>
      <c r="J20">
        <f>'Calculations BTU'!R151</f>
        <v>0</v>
      </c>
      <c r="K20">
        <f>'Calculations BTU'!S151</f>
        <v>0</v>
      </c>
      <c r="L20">
        <f>'Calculations BTU'!T151</f>
        <v>0</v>
      </c>
      <c r="M20">
        <f>'Calculations BTU'!U151</f>
        <v>0</v>
      </c>
      <c r="N20">
        <f>'Calculations BTU'!V151</f>
        <v>0</v>
      </c>
      <c r="O20">
        <f>'Calculations BTU'!W151</f>
        <v>0</v>
      </c>
      <c r="P20">
        <f>'Calculations BTU'!X151</f>
        <v>0</v>
      </c>
      <c r="Q20">
        <f>'Calculations BTU'!Y151</f>
        <v>0</v>
      </c>
      <c r="R20">
        <f>'Calculations BTU'!Z151</f>
        <v>0</v>
      </c>
      <c r="S20">
        <f>'Calculations BTU'!AA151</f>
        <v>0</v>
      </c>
      <c r="T20">
        <f>'Calculations BTU'!AB151</f>
        <v>0</v>
      </c>
      <c r="U20">
        <f>'Calculations BTU'!AC151</f>
        <v>0</v>
      </c>
      <c r="V20">
        <f>'Calculations BTU'!AD151</f>
        <v>0</v>
      </c>
      <c r="W20">
        <f>'Calculations BTU'!AE151</f>
        <v>0</v>
      </c>
      <c r="X20">
        <f>'Calculations BTU'!AF151</f>
        <v>0</v>
      </c>
      <c r="Y20">
        <f>'Calculations BTU'!AG151</f>
        <v>0</v>
      </c>
      <c r="Z20">
        <f>'Calculations BTU'!AH151</f>
        <v>0</v>
      </c>
      <c r="AA20">
        <f>'Calculations BTU'!AI151</f>
        <v>0</v>
      </c>
      <c r="AB20">
        <f>'Calculations BTU'!AJ151</f>
        <v>0</v>
      </c>
      <c r="AC20">
        <f>'Calculations BTU'!AK151</f>
        <v>0</v>
      </c>
      <c r="AD20">
        <f>'Calculations BTU'!AL151</f>
        <v>0</v>
      </c>
      <c r="AE20">
        <f>'Calculations BTU'!AM151</f>
        <v>0</v>
      </c>
      <c r="AF20">
        <f>'Calculations BTU'!AN151</f>
        <v>0</v>
      </c>
      <c r="AG20">
        <f>'Calculations BTU'!AO151</f>
        <v>0</v>
      </c>
      <c r="AH20">
        <f>'Calculations BTU'!AP151</f>
        <v>0</v>
      </c>
      <c r="AI20">
        <f>'Calculations BTU'!AQ151</f>
        <v>0</v>
      </c>
      <c r="AJ20">
        <f>'Calculations BTU'!AR151</f>
        <v>0</v>
      </c>
      <c r="AK20">
        <f>'Calculations BTU'!AS151</f>
        <v>0</v>
      </c>
      <c r="AL20">
        <f>'Calculations BTU'!AT151</f>
        <v>0</v>
      </c>
      <c r="AM20">
        <f>'Calculations BTU'!AU151</f>
        <v>0</v>
      </c>
      <c r="AN20">
        <f>'Calculations BTU'!AV151</f>
        <v>0</v>
      </c>
      <c r="AO20">
        <f>'Calculations BTU'!AW151</f>
        <v>0</v>
      </c>
      <c r="AP20">
        <f>'Calculations BTU'!AX151</f>
        <v>0</v>
      </c>
      <c r="AQ20">
        <f>'Calculations BTU'!AY151</f>
        <v>0</v>
      </c>
      <c r="AR20">
        <f>'Calculations BTU'!AZ151</f>
        <v>0</v>
      </c>
      <c r="AS20">
        <f>'Calculations BTU'!BA151</f>
        <v>0</v>
      </c>
      <c r="AT20">
        <f>'Calculations BTU'!BB151</f>
        <v>0</v>
      </c>
      <c r="AU20">
        <f>'Calculations BTU'!BC151</f>
        <v>0</v>
      </c>
      <c r="AV20">
        <f>'Calculations BTU'!BD151</f>
        <v>0</v>
      </c>
      <c r="AW20">
        <f>'Calculations BTU'!BE151</f>
        <v>0</v>
      </c>
      <c r="AX20">
        <f>'Calculations BTU'!BF151</f>
        <v>0</v>
      </c>
      <c r="AY20">
        <f>'Calculations BTU'!BG151</f>
        <v>0</v>
      </c>
      <c r="AZ20">
        <f>'Calculations BTU'!BH151</f>
        <v>0</v>
      </c>
    </row>
    <row r="21" spans="1:52">
      <c r="A21" t="s">
        <v>145</v>
      </c>
      <c r="B21">
        <f>'Calculations BTU'!J152</f>
        <v>0</v>
      </c>
      <c r="C21">
        <f>'Calculations BTU'!K152</f>
        <v>0</v>
      </c>
      <c r="D21">
        <f>'Calculations BTU'!L152</f>
        <v>0</v>
      </c>
      <c r="E21">
        <f>'Calculations BTU'!M152</f>
        <v>0</v>
      </c>
      <c r="F21">
        <f>'Calculations BTU'!N152</f>
        <v>0</v>
      </c>
      <c r="G21">
        <f>'Calculations BTU'!O152</f>
        <v>0</v>
      </c>
      <c r="H21">
        <f>'Calculations BTU'!P152</f>
        <v>0</v>
      </c>
      <c r="I21">
        <f>'Calculations BTU'!Q152</f>
        <v>0</v>
      </c>
      <c r="J21">
        <f>'Calculations BTU'!R152</f>
        <v>0</v>
      </c>
      <c r="K21">
        <f>'Calculations BTU'!S152</f>
        <v>0</v>
      </c>
      <c r="L21">
        <f>'Calculations BTU'!T152</f>
        <v>0</v>
      </c>
      <c r="M21">
        <f>'Calculations BTU'!U152</f>
        <v>0</v>
      </c>
      <c r="N21">
        <f>'Calculations BTU'!V152</f>
        <v>0</v>
      </c>
      <c r="O21">
        <f>'Calculations BTU'!W152</f>
        <v>0</v>
      </c>
      <c r="P21">
        <f>'Calculations BTU'!X152</f>
        <v>0</v>
      </c>
      <c r="Q21">
        <f>'Calculations BTU'!Y152</f>
        <v>0</v>
      </c>
      <c r="R21">
        <f>'Calculations BTU'!Z152</f>
        <v>0</v>
      </c>
      <c r="S21">
        <f>'Calculations BTU'!AA152</f>
        <v>0</v>
      </c>
      <c r="T21">
        <f>'Calculations BTU'!AB152</f>
        <v>0</v>
      </c>
      <c r="U21">
        <f>'Calculations BTU'!AC152</f>
        <v>0</v>
      </c>
      <c r="V21">
        <f>'Calculations BTU'!AD152</f>
        <v>0</v>
      </c>
      <c r="W21">
        <f>'Calculations BTU'!AE152</f>
        <v>0</v>
      </c>
      <c r="X21">
        <f>'Calculations BTU'!AF152</f>
        <v>0</v>
      </c>
      <c r="Y21">
        <f>'Calculations BTU'!AG152</f>
        <v>0</v>
      </c>
      <c r="Z21">
        <f>'Calculations BTU'!AH152</f>
        <v>0</v>
      </c>
      <c r="AA21">
        <f>'Calculations BTU'!AI152</f>
        <v>0</v>
      </c>
      <c r="AB21">
        <f>'Calculations BTU'!AJ152</f>
        <v>0</v>
      </c>
      <c r="AC21">
        <f>'Calculations BTU'!AK152</f>
        <v>0</v>
      </c>
      <c r="AD21">
        <f>'Calculations BTU'!AL152</f>
        <v>0</v>
      </c>
      <c r="AE21">
        <f>'Calculations BTU'!AM152</f>
        <v>0</v>
      </c>
      <c r="AF21">
        <f>'Calculations BTU'!AN152</f>
        <v>0</v>
      </c>
      <c r="AG21">
        <f>'Calculations BTU'!AO152</f>
        <v>0</v>
      </c>
      <c r="AH21">
        <f>'Calculations BTU'!AP152</f>
        <v>0</v>
      </c>
      <c r="AI21">
        <f>'Calculations BTU'!AQ152</f>
        <v>0</v>
      </c>
      <c r="AJ21">
        <f>'Calculations BTU'!AR152</f>
        <v>0</v>
      </c>
      <c r="AK21">
        <f>'Calculations BTU'!AS152</f>
        <v>0</v>
      </c>
      <c r="AL21">
        <f>'Calculations BTU'!AT152</f>
        <v>0</v>
      </c>
      <c r="AM21">
        <f>'Calculations BTU'!AU152</f>
        <v>0</v>
      </c>
      <c r="AN21">
        <f>'Calculations BTU'!AV152</f>
        <v>0</v>
      </c>
      <c r="AO21">
        <f>'Calculations BTU'!AW152</f>
        <v>0</v>
      </c>
      <c r="AP21">
        <f>'Calculations BTU'!AX152</f>
        <v>0</v>
      </c>
      <c r="AQ21">
        <f>'Calculations BTU'!AY152</f>
        <v>0</v>
      </c>
      <c r="AR21">
        <f>'Calculations BTU'!AZ152</f>
        <v>0</v>
      </c>
      <c r="AS21">
        <f>'Calculations BTU'!BA152</f>
        <v>0</v>
      </c>
      <c r="AT21">
        <f>'Calculations BTU'!BB152</f>
        <v>0</v>
      </c>
      <c r="AU21">
        <f>'Calculations BTU'!BC152</f>
        <v>0</v>
      </c>
      <c r="AV21">
        <f>'Calculations BTU'!BD152</f>
        <v>0</v>
      </c>
      <c r="AW21">
        <f>'Calculations BTU'!BE152</f>
        <v>0</v>
      </c>
      <c r="AX21">
        <f>'Calculations BTU'!BF152</f>
        <v>0</v>
      </c>
      <c r="AY21">
        <f>'Calculations BTU'!BG152</f>
        <v>0</v>
      </c>
      <c r="AZ21">
        <f>'Calculations BTU'!BH152</f>
        <v>0</v>
      </c>
    </row>
    <row r="22" spans="1:52">
      <c r="A22" t="s">
        <v>146</v>
      </c>
      <c r="B22">
        <f>'Calculations BTU'!J153</f>
        <v>0</v>
      </c>
      <c r="C22">
        <f>'Calculations BTU'!K153</f>
        <v>0</v>
      </c>
      <c r="D22">
        <f>'Calculations BTU'!L153</f>
        <v>0</v>
      </c>
      <c r="E22">
        <f>'Calculations BTU'!M153</f>
        <v>0</v>
      </c>
      <c r="F22">
        <f>'Calculations BTU'!N153</f>
        <v>0</v>
      </c>
      <c r="G22">
        <f>'Calculations BTU'!O153</f>
        <v>0</v>
      </c>
      <c r="H22">
        <f>'Calculations BTU'!P153</f>
        <v>0</v>
      </c>
      <c r="I22">
        <f>'Calculations BTU'!Q153</f>
        <v>0</v>
      </c>
      <c r="J22">
        <f>'Calculations BTU'!R153</f>
        <v>0</v>
      </c>
      <c r="K22">
        <f>'Calculations BTU'!S153</f>
        <v>0</v>
      </c>
      <c r="L22">
        <f>'Calculations BTU'!T153</f>
        <v>0</v>
      </c>
      <c r="M22">
        <f>'Calculations BTU'!U153</f>
        <v>0</v>
      </c>
      <c r="N22">
        <f>'Calculations BTU'!V153</f>
        <v>0</v>
      </c>
      <c r="O22">
        <f>'Calculations BTU'!W153</f>
        <v>0</v>
      </c>
      <c r="P22">
        <f>'Calculations BTU'!X153</f>
        <v>0</v>
      </c>
      <c r="Q22">
        <f>'Calculations BTU'!Y153</f>
        <v>0</v>
      </c>
      <c r="R22">
        <f>'Calculations BTU'!Z153</f>
        <v>0</v>
      </c>
      <c r="S22">
        <f>'Calculations BTU'!AA153</f>
        <v>0</v>
      </c>
      <c r="T22">
        <f>'Calculations BTU'!AB153</f>
        <v>0</v>
      </c>
      <c r="U22">
        <f>'Calculations BTU'!AC153</f>
        <v>0</v>
      </c>
      <c r="V22">
        <f>'Calculations BTU'!AD153</f>
        <v>0</v>
      </c>
      <c r="W22">
        <f>'Calculations BTU'!AE153</f>
        <v>0</v>
      </c>
      <c r="X22">
        <f>'Calculations BTU'!AF153</f>
        <v>0</v>
      </c>
      <c r="Y22">
        <f>'Calculations BTU'!AG153</f>
        <v>0</v>
      </c>
      <c r="Z22">
        <f>'Calculations BTU'!AH153</f>
        <v>0</v>
      </c>
      <c r="AA22">
        <f>'Calculations BTU'!AI153</f>
        <v>0</v>
      </c>
      <c r="AB22">
        <f>'Calculations BTU'!AJ153</f>
        <v>0</v>
      </c>
      <c r="AC22">
        <f>'Calculations BTU'!AK153</f>
        <v>0</v>
      </c>
      <c r="AD22">
        <f>'Calculations BTU'!AL153</f>
        <v>0</v>
      </c>
      <c r="AE22">
        <f>'Calculations BTU'!AM153</f>
        <v>0</v>
      </c>
      <c r="AF22">
        <f>'Calculations BTU'!AN153</f>
        <v>0</v>
      </c>
      <c r="AG22">
        <f>'Calculations BTU'!AO153</f>
        <v>0</v>
      </c>
      <c r="AH22">
        <f>'Calculations BTU'!AP153</f>
        <v>0</v>
      </c>
      <c r="AI22">
        <f>'Calculations BTU'!AQ153</f>
        <v>0</v>
      </c>
      <c r="AJ22">
        <f>'Calculations BTU'!AR153</f>
        <v>0</v>
      </c>
      <c r="AK22">
        <f>'Calculations BTU'!AS153</f>
        <v>0</v>
      </c>
      <c r="AL22">
        <f>'Calculations BTU'!AT153</f>
        <v>0</v>
      </c>
      <c r="AM22">
        <f>'Calculations BTU'!AU153</f>
        <v>0</v>
      </c>
      <c r="AN22">
        <f>'Calculations BTU'!AV153</f>
        <v>0</v>
      </c>
      <c r="AO22">
        <f>'Calculations BTU'!AW153</f>
        <v>0</v>
      </c>
      <c r="AP22">
        <f>'Calculations BTU'!AX153</f>
        <v>0</v>
      </c>
      <c r="AQ22">
        <f>'Calculations BTU'!AY153</f>
        <v>0</v>
      </c>
      <c r="AR22">
        <f>'Calculations BTU'!AZ153</f>
        <v>0</v>
      </c>
      <c r="AS22">
        <f>'Calculations BTU'!BA153</f>
        <v>0</v>
      </c>
      <c r="AT22">
        <f>'Calculations BTU'!BB153</f>
        <v>0</v>
      </c>
      <c r="AU22">
        <f>'Calculations BTU'!BC153</f>
        <v>0</v>
      </c>
      <c r="AV22">
        <f>'Calculations BTU'!BD153</f>
        <v>0</v>
      </c>
      <c r="AW22">
        <f>'Calculations BTU'!BE153</f>
        <v>0</v>
      </c>
      <c r="AX22">
        <f>'Calculations BTU'!BF153</f>
        <v>0</v>
      </c>
      <c r="AY22">
        <f>'Calculations BTU'!BG153</f>
        <v>0</v>
      </c>
      <c r="AZ22">
        <f>'Calculations BTU'!BH153</f>
        <v>0</v>
      </c>
    </row>
    <row r="23" spans="1:52">
      <c r="A23" t="s">
        <v>147</v>
      </c>
      <c r="B23">
        <f>'Calculations BTU'!J154</f>
        <v>63080558039398.656</v>
      </c>
      <c r="C23">
        <f>'Calculations BTU'!K154</f>
        <v>65639799312221.75</v>
      </c>
      <c r="D23">
        <f>'Calculations BTU'!L154</f>
        <v>65374396513558.609</v>
      </c>
      <c r="E23">
        <f>'Calculations BTU'!M154</f>
        <v>65687192669125.875</v>
      </c>
      <c r="F23">
        <f>'Calculations BTU'!N154</f>
        <v>66028424838835.617</v>
      </c>
      <c r="G23">
        <f>'Calculations BTU'!O154</f>
        <v>66360178337164.547</v>
      </c>
      <c r="H23">
        <f>'Calculations BTU'!P154</f>
        <v>66691931835493.461</v>
      </c>
      <c r="I23">
        <f>'Calculations BTU'!Q154</f>
        <v>67023685333822.391</v>
      </c>
      <c r="J23">
        <f>'Calculations BTU'!R154</f>
        <v>67355438832151.297</v>
      </c>
      <c r="K23">
        <f>'Calculations BTU'!S154</f>
        <v>67687192330480.211</v>
      </c>
      <c r="L23">
        <f>'Calculations BTU'!T154</f>
        <v>68028424500189.961</v>
      </c>
      <c r="M23">
        <f>'Calculations BTU'!U154</f>
        <v>68369656669899.703</v>
      </c>
      <c r="N23">
        <f>'Calculations BTU'!V154</f>
        <v>68691931496847.797</v>
      </c>
      <c r="O23">
        <f>'Calculations BTU'!W154</f>
        <v>69023684995176.711</v>
      </c>
      <c r="P23">
        <f>'Calculations BTU'!X154</f>
        <v>69355438493505.641</v>
      </c>
      <c r="Q23">
        <f>'Calculations BTU'!Y154</f>
        <v>69687191991834.547</v>
      </c>
      <c r="R23">
        <f>'Calculations BTU'!Z154</f>
        <v>70018945490163.477</v>
      </c>
      <c r="S23">
        <f>'Calculations BTU'!AA154</f>
        <v>70360177659873.211</v>
      </c>
      <c r="T23">
        <f>'Calculations BTU'!AB154</f>
        <v>70682452486821.297</v>
      </c>
      <c r="U23">
        <f>'Calculations BTU'!AC154</f>
        <v>71023684656531.063</v>
      </c>
      <c r="V23">
        <f>'Calculations BTU'!AD154</f>
        <v>71355438154859.969</v>
      </c>
      <c r="W23">
        <f>'Calculations BTU'!AE154</f>
        <v>71687191653188.891</v>
      </c>
      <c r="X23">
        <f>'Calculations BTU'!AF154</f>
        <v>72009466480136.984</v>
      </c>
      <c r="Y23">
        <f>'Calculations BTU'!AG154</f>
        <v>72350698649846.734</v>
      </c>
      <c r="Z23">
        <f>'Calculations BTU'!AH154</f>
        <v>72682452148175.656</v>
      </c>
      <c r="AA23">
        <f>'Calculations BTU'!AI154</f>
        <v>73014205646504.563</v>
      </c>
      <c r="AB23">
        <f>'Calculations BTU'!AJ154</f>
        <v>73355437816214.297</v>
      </c>
      <c r="AC23">
        <f>'Calculations BTU'!AK154</f>
        <v>73677712643162.391</v>
      </c>
      <c r="AD23">
        <f>'Calculations BTU'!AL154</f>
        <v>74018944812872.156</v>
      </c>
      <c r="AE23">
        <f>'Calculations BTU'!AM154</f>
        <v>74350698311201.063</v>
      </c>
      <c r="AF23">
        <f>'Calculations BTU'!AN154</f>
        <v>74682451809529.984</v>
      </c>
      <c r="AG23">
        <f>'Calculations BTU'!AO154</f>
        <v>74682451809529.984</v>
      </c>
      <c r="AH23">
        <f>'Calculations BTU'!AP154</f>
        <v>74682451809529.984</v>
      </c>
      <c r="AI23">
        <f>'Calculations BTU'!AQ154</f>
        <v>74682451809529.984</v>
      </c>
      <c r="AJ23">
        <f>'Calculations BTU'!AR154</f>
        <v>74682451809529.984</v>
      </c>
      <c r="AK23">
        <f>'Calculations BTU'!AS154</f>
        <v>74682451809529.984</v>
      </c>
      <c r="AL23">
        <f>'Calculations BTU'!AT154</f>
        <v>74682451809529.984</v>
      </c>
      <c r="AM23">
        <f>'Calculations BTU'!AU154</f>
        <v>74682451809529.984</v>
      </c>
      <c r="AN23">
        <f>'Calculations BTU'!AV154</f>
        <v>74682451809529.984</v>
      </c>
      <c r="AO23">
        <f>'Calculations BTU'!AW154</f>
        <v>74682451809529.984</v>
      </c>
      <c r="AP23">
        <f>'Calculations BTU'!AX154</f>
        <v>74682451809529.984</v>
      </c>
      <c r="AQ23">
        <f>'Calculations BTU'!AY154</f>
        <v>74682451809529.984</v>
      </c>
      <c r="AR23">
        <f>'Calculations BTU'!AZ154</f>
        <v>74682451809529.984</v>
      </c>
      <c r="AS23">
        <f>'Calculations BTU'!BA154</f>
        <v>74682451809529.984</v>
      </c>
      <c r="AT23">
        <f>'Calculations BTU'!BB154</f>
        <v>74682451809529.984</v>
      </c>
      <c r="AU23">
        <f>'Calculations BTU'!BC154</f>
        <v>74682451809529.984</v>
      </c>
      <c r="AV23">
        <f>'Calculations BTU'!BD154</f>
        <v>74682451809529.984</v>
      </c>
      <c r="AW23">
        <f>'Calculations BTU'!BE154</f>
        <v>74682451809529.984</v>
      </c>
      <c r="AX23">
        <f>'Calculations BTU'!BF154</f>
        <v>74682451809529.984</v>
      </c>
      <c r="AY23">
        <f>'Calculations BTU'!BG154</f>
        <v>74682451809529.984</v>
      </c>
      <c r="AZ23">
        <f>'Calculations BTU'!BH154</f>
        <v>74682451809529.984</v>
      </c>
    </row>
    <row r="24" spans="1:52">
      <c r="A24" t="s">
        <v>148</v>
      </c>
      <c r="B24">
        <f>'Calculations BTU'!J155</f>
        <v>0</v>
      </c>
      <c r="C24">
        <f>'Calculations BTU'!K155</f>
        <v>0</v>
      </c>
      <c r="D24">
        <f>'Calculations BTU'!L155</f>
        <v>0</v>
      </c>
      <c r="E24">
        <f>'Calculations BTU'!M155</f>
        <v>0</v>
      </c>
      <c r="F24">
        <f>'Calculations BTU'!N155</f>
        <v>0</v>
      </c>
      <c r="G24">
        <f>'Calculations BTU'!O155</f>
        <v>0</v>
      </c>
      <c r="H24">
        <f>'Calculations BTU'!P155</f>
        <v>0</v>
      </c>
      <c r="I24">
        <f>'Calculations BTU'!Q155</f>
        <v>0</v>
      </c>
      <c r="J24">
        <f>'Calculations BTU'!R155</f>
        <v>0</v>
      </c>
      <c r="K24">
        <f>'Calculations BTU'!S155</f>
        <v>0</v>
      </c>
      <c r="L24">
        <f>'Calculations BTU'!T155</f>
        <v>0</v>
      </c>
      <c r="M24">
        <f>'Calculations BTU'!U155</f>
        <v>0</v>
      </c>
      <c r="N24">
        <f>'Calculations BTU'!V155</f>
        <v>0</v>
      </c>
      <c r="O24">
        <f>'Calculations BTU'!W155</f>
        <v>0</v>
      </c>
      <c r="P24">
        <f>'Calculations BTU'!X155</f>
        <v>0</v>
      </c>
      <c r="Q24">
        <f>'Calculations BTU'!Y155</f>
        <v>0</v>
      </c>
      <c r="R24">
        <f>'Calculations BTU'!Z155</f>
        <v>0</v>
      </c>
      <c r="S24">
        <f>'Calculations BTU'!AA155</f>
        <v>0</v>
      </c>
      <c r="T24">
        <f>'Calculations BTU'!AB155</f>
        <v>0</v>
      </c>
      <c r="U24">
        <f>'Calculations BTU'!AC155</f>
        <v>0</v>
      </c>
      <c r="V24">
        <f>'Calculations BTU'!AD155</f>
        <v>0</v>
      </c>
      <c r="W24">
        <f>'Calculations BTU'!AE155</f>
        <v>0</v>
      </c>
      <c r="X24">
        <f>'Calculations BTU'!AF155</f>
        <v>0</v>
      </c>
      <c r="Y24">
        <f>'Calculations BTU'!AG155</f>
        <v>0</v>
      </c>
      <c r="Z24">
        <f>'Calculations BTU'!AH155</f>
        <v>0</v>
      </c>
      <c r="AA24">
        <f>'Calculations BTU'!AI155</f>
        <v>0</v>
      </c>
      <c r="AB24">
        <f>'Calculations BTU'!AJ155</f>
        <v>0</v>
      </c>
      <c r="AC24">
        <f>'Calculations BTU'!AK155</f>
        <v>0</v>
      </c>
      <c r="AD24">
        <f>'Calculations BTU'!AL155</f>
        <v>0</v>
      </c>
      <c r="AE24">
        <f>'Calculations BTU'!AM155</f>
        <v>0</v>
      </c>
      <c r="AF24">
        <f>'Calculations BTU'!AN155</f>
        <v>0</v>
      </c>
      <c r="AG24">
        <f>'Calculations BTU'!AO155</f>
        <v>0</v>
      </c>
      <c r="AH24">
        <f>'Calculations BTU'!AP155</f>
        <v>0</v>
      </c>
      <c r="AI24">
        <f>'Calculations BTU'!AQ155</f>
        <v>0</v>
      </c>
      <c r="AJ24">
        <f>'Calculations BTU'!AR155</f>
        <v>0</v>
      </c>
      <c r="AK24">
        <f>'Calculations BTU'!AS155</f>
        <v>0</v>
      </c>
      <c r="AL24">
        <f>'Calculations BTU'!AT155</f>
        <v>0</v>
      </c>
      <c r="AM24">
        <f>'Calculations BTU'!AU155</f>
        <v>0</v>
      </c>
      <c r="AN24">
        <f>'Calculations BTU'!AV155</f>
        <v>0</v>
      </c>
      <c r="AO24">
        <f>'Calculations BTU'!AW155</f>
        <v>0</v>
      </c>
      <c r="AP24">
        <f>'Calculations BTU'!AX155</f>
        <v>0</v>
      </c>
      <c r="AQ24">
        <f>'Calculations BTU'!AY155</f>
        <v>0</v>
      </c>
      <c r="AR24">
        <f>'Calculations BTU'!AZ155</f>
        <v>0</v>
      </c>
      <c r="AS24">
        <f>'Calculations BTU'!BA155</f>
        <v>0</v>
      </c>
      <c r="AT24">
        <f>'Calculations BTU'!BB155</f>
        <v>0</v>
      </c>
      <c r="AU24">
        <f>'Calculations BTU'!BC155</f>
        <v>0</v>
      </c>
      <c r="AV24">
        <f>'Calculations BTU'!BD155</f>
        <v>0</v>
      </c>
      <c r="AW24">
        <f>'Calculations BTU'!BE155</f>
        <v>0</v>
      </c>
      <c r="AX24">
        <f>'Calculations BTU'!BF155</f>
        <v>0</v>
      </c>
      <c r="AY24">
        <f>'Calculations BTU'!BG155</f>
        <v>0</v>
      </c>
      <c r="AZ24">
        <f>'Calculations BTU'!BH155</f>
        <v>0</v>
      </c>
    </row>
    <row r="25" spans="1:52">
      <c r="A25" t="s">
        <v>149</v>
      </c>
      <c r="B25">
        <f>'Calculations BTU'!J156</f>
        <v>0</v>
      </c>
      <c r="C25">
        <f>'Calculations BTU'!K156</f>
        <v>0</v>
      </c>
      <c r="D25">
        <f>'Calculations BTU'!L156</f>
        <v>0</v>
      </c>
      <c r="E25">
        <f>'Calculations BTU'!M156</f>
        <v>0</v>
      </c>
      <c r="F25">
        <f>'Calculations BTU'!N156</f>
        <v>0</v>
      </c>
      <c r="G25">
        <f>'Calculations BTU'!O156</f>
        <v>0</v>
      </c>
      <c r="H25">
        <f>'Calculations BTU'!P156</f>
        <v>0</v>
      </c>
      <c r="I25">
        <f>'Calculations BTU'!Q156</f>
        <v>0</v>
      </c>
      <c r="J25">
        <f>'Calculations BTU'!R156</f>
        <v>0</v>
      </c>
      <c r="K25">
        <f>'Calculations BTU'!S156</f>
        <v>0</v>
      </c>
      <c r="L25">
        <f>'Calculations BTU'!T156</f>
        <v>0</v>
      </c>
      <c r="M25">
        <f>'Calculations BTU'!U156</f>
        <v>0</v>
      </c>
      <c r="N25">
        <f>'Calculations BTU'!V156</f>
        <v>0</v>
      </c>
      <c r="O25">
        <f>'Calculations BTU'!W156</f>
        <v>0</v>
      </c>
      <c r="P25">
        <f>'Calculations BTU'!X156</f>
        <v>0</v>
      </c>
      <c r="Q25">
        <f>'Calculations BTU'!Y156</f>
        <v>0</v>
      </c>
      <c r="R25">
        <f>'Calculations BTU'!Z156</f>
        <v>0</v>
      </c>
      <c r="S25">
        <f>'Calculations BTU'!AA156</f>
        <v>0</v>
      </c>
      <c r="T25">
        <f>'Calculations BTU'!AB156</f>
        <v>0</v>
      </c>
      <c r="U25">
        <f>'Calculations BTU'!AC156</f>
        <v>0</v>
      </c>
      <c r="V25">
        <f>'Calculations BTU'!AD156</f>
        <v>0</v>
      </c>
      <c r="W25">
        <f>'Calculations BTU'!AE156</f>
        <v>0</v>
      </c>
      <c r="X25">
        <f>'Calculations BTU'!AF156</f>
        <v>0</v>
      </c>
      <c r="Y25">
        <f>'Calculations BTU'!AG156</f>
        <v>0</v>
      </c>
      <c r="Z25">
        <f>'Calculations BTU'!AH156</f>
        <v>0</v>
      </c>
      <c r="AA25">
        <f>'Calculations BTU'!AI156</f>
        <v>0</v>
      </c>
      <c r="AB25">
        <f>'Calculations BTU'!AJ156</f>
        <v>0</v>
      </c>
      <c r="AC25">
        <f>'Calculations BTU'!AK156</f>
        <v>0</v>
      </c>
      <c r="AD25">
        <f>'Calculations BTU'!AL156</f>
        <v>0</v>
      </c>
      <c r="AE25">
        <f>'Calculations BTU'!AM156</f>
        <v>0</v>
      </c>
      <c r="AF25">
        <f>'Calculations BTU'!AN156</f>
        <v>0</v>
      </c>
      <c r="AG25">
        <f>'Calculations BTU'!AO156</f>
        <v>0</v>
      </c>
      <c r="AH25">
        <f>'Calculations BTU'!AP156</f>
        <v>0</v>
      </c>
      <c r="AI25">
        <f>'Calculations BTU'!AQ156</f>
        <v>0</v>
      </c>
      <c r="AJ25">
        <f>'Calculations BTU'!AR156</f>
        <v>0</v>
      </c>
      <c r="AK25">
        <f>'Calculations BTU'!AS156</f>
        <v>0</v>
      </c>
      <c r="AL25">
        <f>'Calculations BTU'!AT156</f>
        <v>0</v>
      </c>
      <c r="AM25">
        <f>'Calculations BTU'!AU156</f>
        <v>0</v>
      </c>
      <c r="AN25">
        <f>'Calculations BTU'!AV156</f>
        <v>0</v>
      </c>
      <c r="AO25">
        <f>'Calculations BTU'!AW156</f>
        <v>0</v>
      </c>
      <c r="AP25">
        <f>'Calculations BTU'!AX156</f>
        <v>0</v>
      </c>
      <c r="AQ25">
        <f>'Calculations BTU'!AY156</f>
        <v>0</v>
      </c>
      <c r="AR25">
        <f>'Calculations BTU'!AZ156</f>
        <v>0</v>
      </c>
      <c r="AS25">
        <f>'Calculations BTU'!BA156</f>
        <v>0</v>
      </c>
      <c r="AT25">
        <f>'Calculations BTU'!BB156</f>
        <v>0</v>
      </c>
      <c r="AU25">
        <f>'Calculations BTU'!BC156</f>
        <v>0</v>
      </c>
      <c r="AV25">
        <f>'Calculations BTU'!BD156</f>
        <v>0</v>
      </c>
      <c r="AW25">
        <f>'Calculations BTU'!BE156</f>
        <v>0</v>
      </c>
      <c r="AX25">
        <f>'Calculations BTU'!BF156</f>
        <v>0</v>
      </c>
      <c r="AY25">
        <f>'Calculations BTU'!BG156</f>
        <v>0</v>
      </c>
      <c r="AZ25">
        <f>'Calculations BTU'!BH156</f>
        <v>0</v>
      </c>
    </row>
    <row r="26" spans="1:52">
      <c r="A26" t="s">
        <v>150</v>
      </c>
      <c r="B26">
        <f>'Calculations BTU'!J157</f>
        <v>0</v>
      </c>
      <c r="C26">
        <f>'Calculations BTU'!K157</f>
        <v>0</v>
      </c>
      <c r="D26">
        <f>'Calculations BTU'!L157</f>
        <v>0</v>
      </c>
      <c r="E26">
        <f>'Calculations BTU'!M157</f>
        <v>0</v>
      </c>
      <c r="F26">
        <f>'Calculations BTU'!N157</f>
        <v>0</v>
      </c>
      <c r="G26">
        <f>'Calculations BTU'!O157</f>
        <v>0</v>
      </c>
      <c r="H26">
        <f>'Calculations BTU'!P157</f>
        <v>0</v>
      </c>
      <c r="I26">
        <f>'Calculations BTU'!Q157</f>
        <v>0</v>
      </c>
      <c r="J26">
        <f>'Calculations BTU'!R157</f>
        <v>0</v>
      </c>
      <c r="K26">
        <f>'Calculations BTU'!S157</f>
        <v>0</v>
      </c>
      <c r="L26">
        <f>'Calculations BTU'!T157</f>
        <v>0</v>
      </c>
      <c r="M26">
        <f>'Calculations BTU'!U157</f>
        <v>0</v>
      </c>
      <c r="N26">
        <f>'Calculations BTU'!V157</f>
        <v>0</v>
      </c>
      <c r="O26">
        <f>'Calculations BTU'!W157</f>
        <v>0</v>
      </c>
      <c r="P26">
        <f>'Calculations BTU'!X157</f>
        <v>0</v>
      </c>
      <c r="Q26">
        <f>'Calculations BTU'!Y157</f>
        <v>0</v>
      </c>
      <c r="R26">
        <f>'Calculations BTU'!Z157</f>
        <v>0</v>
      </c>
      <c r="S26">
        <f>'Calculations BTU'!AA157</f>
        <v>0</v>
      </c>
      <c r="T26">
        <f>'Calculations BTU'!AB157</f>
        <v>0</v>
      </c>
      <c r="U26">
        <f>'Calculations BTU'!AC157</f>
        <v>0</v>
      </c>
      <c r="V26">
        <f>'Calculations BTU'!AD157</f>
        <v>0</v>
      </c>
      <c r="W26">
        <f>'Calculations BTU'!AE157</f>
        <v>0</v>
      </c>
      <c r="X26">
        <f>'Calculations BTU'!AF157</f>
        <v>0</v>
      </c>
      <c r="Y26">
        <f>'Calculations BTU'!AG157</f>
        <v>0</v>
      </c>
      <c r="Z26">
        <f>'Calculations BTU'!AH157</f>
        <v>0</v>
      </c>
      <c r="AA26">
        <f>'Calculations BTU'!AI157</f>
        <v>0</v>
      </c>
      <c r="AB26">
        <f>'Calculations BTU'!AJ157</f>
        <v>0</v>
      </c>
      <c r="AC26">
        <f>'Calculations BTU'!AK157</f>
        <v>0</v>
      </c>
      <c r="AD26">
        <f>'Calculations BTU'!AL157</f>
        <v>0</v>
      </c>
      <c r="AE26">
        <f>'Calculations BTU'!AM157</f>
        <v>0</v>
      </c>
      <c r="AF26">
        <f>'Calculations BTU'!AN157</f>
        <v>0</v>
      </c>
      <c r="AG26">
        <f>'Calculations BTU'!AO157</f>
        <v>0</v>
      </c>
      <c r="AH26">
        <f>'Calculations BTU'!AP157</f>
        <v>0</v>
      </c>
      <c r="AI26">
        <f>'Calculations BTU'!AQ157</f>
        <v>0</v>
      </c>
      <c r="AJ26">
        <f>'Calculations BTU'!AR157</f>
        <v>0</v>
      </c>
      <c r="AK26">
        <f>'Calculations BTU'!AS157</f>
        <v>0</v>
      </c>
      <c r="AL26">
        <f>'Calculations BTU'!AT157</f>
        <v>0</v>
      </c>
      <c r="AM26">
        <f>'Calculations BTU'!AU157</f>
        <v>0</v>
      </c>
      <c r="AN26">
        <f>'Calculations BTU'!AV157</f>
        <v>0</v>
      </c>
      <c r="AO26">
        <f>'Calculations BTU'!AW157</f>
        <v>0</v>
      </c>
      <c r="AP26">
        <f>'Calculations BTU'!AX157</f>
        <v>0</v>
      </c>
      <c r="AQ26">
        <f>'Calculations BTU'!AY157</f>
        <v>0</v>
      </c>
      <c r="AR26">
        <f>'Calculations BTU'!AZ157</f>
        <v>0</v>
      </c>
      <c r="AS26">
        <f>'Calculations BTU'!BA157</f>
        <v>0</v>
      </c>
      <c r="AT26">
        <f>'Calculations BTU'!BB157</f>
        <v>0</v>
      </c>
      <c r="AU26">
        <f>'Calculations BTU'!BC157</f>
        <v>0</v>
      </c>
      <c r="AV26">
        <f>'Calculations BTU'!BD157</f>
        <v>0</v>
      </c>
      <c r="AW26">
        <f>'Calculations BTU'!BE157</f>
        <v>0</v>
      </c>
      <c r="AX26">
        <f>'Calculations BTU'!BF157</f>
        <v>0</v>
      </c>
      <c r="AY26">
        <f>'Calculations BTU'!BG157</f>
        <v>0</v>
      </c>
      <c r="AZ26">
        <f>'Calculations BTU'!BH157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2F86-0A34-164F-BE0D-6C6250BF3E82}">
  <sheetPr>
    <tabColor theme="3"/>
  </sheetPr>
  <dimension ref="A1:AZ26"/>
  <sheetViews>
    <sheetView workbookViewId="0">
      <selection activeCell="B2" sqref="B2"/>
    </sheetView>
  </sheetViews>
  <sheetFormatPr defaultColWidth="9.140625" defaultRowHeight="15"/>
  <cols>
    <col min="1" max="1" width="39.85546875" customWidth="1"/>
    <col min="2" max="32" width="7.7109375" bestFit="1" customWidth="1"/>
    <col min="33" max="33" width="11.28515625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BTU'!J211</f>
        <v>0</v>
      </c>
      <c r="C2">
        <f>'Calculations BTU'!K211</f>
        <v>0</v>
      </c>
      <c r="D2">
        <f>'Calculations BTU'!L211</f>
        <v>0</v>
      </c>
      <c r="E2">
        <f>'Calculations BTU'!M211</f>
        <v>0</v>
      </c>
      <c r="F2">
        <f>'Calculations BTU'!N211</f>
        <v>0</v>
      </c>
      <c r="G2">
        <f>'Calculations BTU'!O211</f>
        <v>0</v>
      </c>
      <c r="H2">
        <f>'Calculations BTU'!P211</f>
        <v>0</v>
      </c>
      <c r="I2">
        <f>'Calculations BTU'!Q211</f>
        <v>0</v>
      </c>
      <c r="J2">
        <f>'Calculations BTU'!R211</f>
        <v>0</v>
      </c>
      <c r="K2">
        <f>'Calculations BTU'!S211</f>
        <v>0</v>
      </c>
      <c r="L2">
        <f>'Calculations BTU'!T211</f>
        <v>0</v>
      </c>
      <c r="M2">
        <f>'Calculations BTU'!U211</f>
        <v>0</v>
      </c>
      <c r="N2">
        <f>'Calculations BTU'!V211</f>
        <v>0</v>
      </c>
      <c r="O2">
        <f>'Calculations BTU'!W211</f>
        <v>0</v>
      </c>
      <c r="P2">
        <f>'Calculations BTU'!X211</f>
        <v>0</v>
      </c>
      <c r="Q2">
        <f>'Calculations BTU'!Y211</f>
        <v>0</v>
      </c>
      <c r="R2">
        <f>'Calculations BTU'!Z211</f>
        <v>0</v>
      </c>
      <c r="S2">
        <f>'Calculations BTU'!AA211</f>
        <v>0</v>
      </c>
      <c r="T2">
        <f>'Calculations BTU'!AB211</f>
        <v>0</v>
      </c>
      <c r="U2">
        <f>'Calculations BTU'!AC211</f>
        <v>0</v>
      </c>
      <c r="V2">
        <f>'Calculations BTU'!AD211</f>
        <v>0</v>
      </c>
      <c r="W2">
        <f>'Calculations BTU'!AE211</f>
        <v>0</v>
      </c>
      <c r="X2">
        <f>'Calculations BTU'!AF211</f>
        <v>0</v>
      </c>
      <c r="Y2">
        <f>'Calculations BTU'!AG211</f>
        <v>0</v>
      </c>
      <c r="Z2">
        <f>'Calculations BTU'!AH211</f>
        <v>0</v>
      </c>
      <c r="AA2">
        <f>'Calculations BTU'!AI211</f>
        <v>0</v>
      </c>
      <c r="AB2">
        <f>'Calculations BTU'!AJ211</f>
        <v>0</v>
      </c>
      <c r="AC2">
        <f>'Calculations BTU'!AK211</f>
        <v>0</v>
      </c>
      <c r="AD2">
        <f>'Calculations BTU'!AL211</f>
        <v>0</v>
      </c>
      <c r="AE2">
        <f>'Calculations BTU'!AM211</f>
        <v>0</v>
      </c>
      <c r="AF2">
        <f>'Calculations BTU'!AN211</f>
        <v>0</v>
      </c>
      <c r="AG2">
        <f>'Calculations BTU'!AO211</f>
        <v>0</v>
      </c>
      <c r="AH2">
        <f>'Calculations BTU'!AP211</f>
        <v>0</v>
      </c>
      <c r="AI2">
        <f>'Calculations BTU'!AQ211</f>
        <v>0</v>
      </c>
      <c r="AJ2">
        <f>'Calculations BTU'!AR211</f>
        <v>0</v>
      </c>
      <c r="AK2">
        <f>'Calculations BTU'!AS211</f>
        <v>0</v>
      </c>
      <c r="AL2">
        <f>'Calculations BTU'!AT211</f>
        <v>0</v>
      </c>
      <c r="AM2">
        <f>'Calculations BTU'!AU211</f>
        <v>0</v>
      </c>
      <c r="AN2">
        <f>'Calculations BTU'!AV211</f>
        <v>0</v>
      </c>
      <c r="AO2">
        <f>'Calculations BTU'!AW211</f>
        <v>0</v>
      </c>
      <c r="AP2">
        <f>'Calculations BTU'!AX211</f>
        <v>0</v>
      </c>
      <c r="AQ2">
        <f>'Calculations BTU'!AY211</f>
        <v>0</v>
      </c>
      <c r="AR2">
        <f>'Calculations BTU'!AZ211</f>
        <v>0</v>
      </c>
      <c r="AS2">
        <f>'Calculations BTU'!BA211</f>
        <v>0</v>
      </c>
      <c r="AT2">
        <f>'Calculations BTU'!BB211</f>
        <v>0</v>
      </c>
      <c r="AU2">
        <f>'Calculations BTU'!BC211</f>
        <v>0</v>
      </c>
      <c r="AV2">
        <f>'Calculations BTU'!BD211</f>
        <v>0</v>
      </c>
      <c r="AW2">
        <f>'Calculations BTU'!BE211</f>
        <v>0</v>
      </c>
      <c r="AX2">
        <f>'Calculations BTU'!BF211</f>
        <v>0</v>
      </c>
      <c r="AY2">
        <f>'Calculations BTU'!BG211</f>
        <v>0</v>
      </c>
      <c r="AZ2">
        <f>'Calculations BTU'!BH211</f>
        <v>0</v>
      </c>
    </row>
    <row r="3" spans="1:52">
      <c r="A3" t="s">
        <v>127</v>
      </c>
      <c r="B3">
        <f>'Calculations BTU'!J212</f>
        <v>0</v>
      </c>
      <c r="C3">
        <f>'Calculations BTU'!K212</f>
        <v>0</v>
      </c>
      <c r="D3">
        <f>'Calculations BTU'!L212</f>
        <v>0</v>
      </c>
      <c r="E3">
        <f>'Calculations BTU'!M212</f>
        <v>0</v>
      </c>
      <c r="F3">
        <f>'Calculations BTU'!N212</f>
        <v>0</v>
      </c>
      <c r="G3">
        <f>'Calculations BTU'!O212</f>
        <v>0</v>
      </c>
      <c r="H3">
        <f>'Calculations BTU'!P212</f>
        <v>0</v>
      </c>
      <c r="I3">
        <f>'Calculations BTU'!Q212</f>
        <v>0</v>
      </c>
      <c r="J3">
        <f>'Calculations BTU'!R212</f>
        <v>0</v>
      </c>
      <c r="K3">
        <f>'Calculations BTU'!S212</f>
        <v>0</v>
      </c>
      <c r="L3">
        <f>'Calculations BTU'!T212</f>
        <v>0</v>
      </c>
      <c r="M3">
        <f>'Calculations BTU'!U212</f>
        <v>0</v>
      </c>
      <c r="N3">
        <f>'Calculations BTU'!V212</f>
        <v>0</v>
      </c>
      <c r="O3">
        <f>'Calculations BTU'!W212</f>
        <v>0</v>
      </c>
      <c r="P3">
        <f>'Calculations BTU'!X212</f>
        <v>0</v>
      </c>
      <c r="Q3">
        <f>'Calculations BTU'!Y212</f>
        <v>0</v>
      </c>
      <c r="R3">
        <f>'Calculations BTU'!Z212</f>
        <v>0</v>
      </c>
      <c r="S3">
        <f>'Calculations BTU'!AA212</f>
        <v>0</v>
      </c>
      <c r="T3">
        <f>'Calculations BTU'!AB212</f>
        <v>0</v>
      </c>
      <c r="U3">
        <f>'Calculations BTU'!AC212</f>
        <v>0</v>
      </c>
      <c r="V3">
        <f>'Calculations BTU'!AD212</f>
        <v>0</v>
      </c>
      <c r="W3">
        <f>'Calculations BTU'!AE212</f>
        <v>0</v>
      </c>
      <c r="X3">
        <f>'Calculations BTU'!AF212</f>
        <v>0</v>
      </c>
      <c r="Y3">
        <f>'Calculations BTU'!AG212</f>
        <v>0</v>
      </c>
      <c r="Z3">
        <f>'Calculations BTU'!AH212</f>
        <v>0</v>
      </c>
      <c r="AA3">
        <f>'Calculations BTU'!AI212</f>
        <v>0</v>
      </c>
      <c r="AB3">
        <f>'Calculations BTU'!AJ212</f>
        <v>0</v>
      </c>
      <c r="AC3">
        <f>'Calculations BTU'!AK212</f>
        <v>0</v>
      </c>
      <c r="AD3">
        <f>'Calculations BTU'!AL212</f>
        <v>0</v>
      </c>
      <c r="AE3">
        <f>'Calculations BTU'!AM212</f>
        <v>0</v>
      </c>
      <c r="AF3">
        <f>'Calculations BTU'!AN212</f>
        <v>0</v>
      </c>
      <c r="AG3">
        <f>'Calculations BTU'!AO212</f>
        <v>0</v>
      </c>
      <c r="AH3">
        <f>'Calculations BTU'!AP212</f>
        <v>0</v>
      </c>
      <c r="AI3">
        <f>'Calculations BTU'!AQ212</f>
        <v>0</v>
      </c>
      <c r="AJ3">
        <f>'Calculations BTU'!AR212</f>
        <v>0</v>
      </c>
      <c r="AK3">
        <f>'Calculations BTU'!AS212</f>
        <v>0</v>
      </c>
      <c r="AL3">
        <f>'Calculations BTU'!AT212</f>
        <v>0</v>
      </c>
      <c r="AM3">
        <f>'Calculations BTU'!AU212</f>
        <v>0</v>
      </c>
      <c r="AN3">
        <f>'Calculations BTU'!AV212</f>
        <v>0</v>
      </c>
      <c r="AO3">
        <f>'Calculations BTU'!AW212</f>
        <v>0</v>
      </c>
      <c r="AP3">
        <f>'Calculations BTU'!AX212</f>
        <v>0</v>
      </c>
      <c r="AQ3">
        <f>'Calculations BTU'!AY212</f>
        <v>0</v>
      </c>
      <c r="AR3">
        <f>'Calculations BTU'!AZ212</f>
        <v>0</v>
      </c>
      <c r="AS3">
        <f>'Calculations BTU'!BA212</f>
        <v>0</v>
      </c>
      <c r="AT3">
        <f>'Calculations BTU'!BB212</f>
        <v>0</v>
      </c>
      <c r="AU3">
        <f>'Calculations BTU'!BC212</f>
        <v>0</v>
      </c>
      <c r="AV3">
        <f>'Calculations BTU'!BD212</f>
        <v>0</v>
      </c>
      <c r="AW3">
        <f>'Calculations BTU'!BE212</f>
        <v>0</v>
      </c>
      <c r="AX3">
        <f>'Calculations BTU'!BF212</f>
        <v>0</v>
      </c>
      <c r="AY3">
        <f>'Calculations BTU'!BG212</f>
        <v>0</v>
      </c>
      <c r="AZ3">
        <f>'Calculations BTU'!BH212</f>
        <v>0</v>
      </c>
    </row>
    <row r="4" spans="1:52">
      <c r="A4" t="s">
        <v>128</v>
      </c>
      <c r="B4">
        <f>'Calculations BTU'!J213</f>
        <v>0</v>
      </c>
      <c r="C4">
        <f>'Calculations BTU'!K213</f>
        <v>0</v>
      </c>
      <c r="D4">
        <f>'Calculations BTU'!L213</f>
        <v>0</v>
      </c>
      <c r="E4">
        <f>'Calculations BTU'!M213</f>
        <v>0</v>
      </c>
      <c r="F4">
        <f>'Calculations BTU'!N213</f>
        <v>0</v>
      </c>
      <c r="G4">
        <f>'Calculations BTU'!O213</f>
        <v>0</v>
      </c>
      <c r="H4">
        <f>'Calculations BTU'!P213</f>
        <v>0</v>
      </c>
      <c r="I4">
        <f>'Calculations BTU'!Q213</f>
        <v>0</v>
      </c>
      <c r="J4">
        <f>'Calculations BTU'!R213</f>
        <v>0</v>
      </c>
      <c r="K4">
        <f>'Calculations BTU'!S213</f>
        <v>0</v>
      </c>
      <c r="L4">
        <f>'Calculations BTU'!T213</f>
        <v>0</v>
      </c>
      <c r="M4">
        <f>'Calculations BTU'!U213</f>
        <v>0</v>
      </c>
      <c r="N4">
        <f>'Calculations BTU'!V213</f>
        <v>0</v>
      </c>
      <c r="O4">
        <f>'Calculations BTU'!W213</f>
        <v>0</v>
      </c>
      <c r="P4">
        <f>'Calculations BTU'!X213</f>
        <v>0</v>
      </c>
      <c r="Q4">
        <f>'Calculations BTU'!Y213</f>
        <v>0</v>
      </c>
      <c r="R4">
        <f>'Calculations BTU'!Z213</f>
        <v>0</v>
      </c>
      <c r="S4">
        <f>'Calculations BTU'!AA213</f>
        <v>0</v>
      </c>
      <c r="T4">
        <f>'Calculations BTU'!AB213</f>
        <v>0</v>
      </c>
      <c r="U4">
        <f>'Calculations BTU'!AC213</f>
        <v>0</v>
      </c>
      <c r="V4">
        <f>'Calculations BTU'!AD213</f>
        <v>0</v>
      </c>
      <c r="W4">
        <f>'Calculations BTU'!AE213</f>
        <v>0</v>
      </c>
      <c r="X4">
        <f>'Calculations BTU'!AF213</f>
        <v>0</v>
      </c>
      <c r="Y4">
        <f>'Calculations BTU'!AG213</f>
        <v>0</v>
      </c>
      <c r="Z4">
        <f>'Calculations BTU'!AH213</f>
        <v>0</v>
      </c>
      <c r="AA4">
        <f>'Calculations BTU'!AI213</f>
        <v>0</v>
      </c>
      <c r="AB4">
        <f>'Calculations BTU'!AJ213</f>
        <v>0</v>
      </c>
      <c r="AC4">
        <f>'Calculations BTU'!AK213</f>
        <v>0</v>
      </c>
      <c r="AD4">
        <f>'Calculations BTU'!AL213</f>
        <v>0</v>
      </c>
      <c r="AE4">
        <f>'Calculations BTU'!AM213</f>
        <v>0</v>
      </c>
      <c r="AF4">
        <f>'Calculations BTU'!AN213</f>
        <v>0</v>
      </c>
      <c r="AG4">
        <f>'Calculations BTU'!AO213</f>
        <v>0</v>
      </c>
      <c r="AH4">
        <f>'Calculations BTU'!AP213</f>
        <v>0</v>
      </c>
      <c r="AI4">
        <f>'Calculations BTU'!AQ213</f>
        <v>0</v>
      </c>
      <c r="AJ4">
        <f>'Calculations BTU'!AR213</f>
        <v>0</v>
      </c>
      <c r="AK4">
        <f>'Calculations BTU'!AS213</f>
        <v>0</v>
      </c>
      <c r="AL4">
        <f>'Calculations BTU'!AT213</f>
        <v>0</v>
      </c>
      <c r="AM4">
        <f>'Calculations BTU'!AU213</f>
        <v>0</v>
      </c>
      <c r="AN4">
        <f>'Calculations BTU'!AV213</f>
        <v>0</v>
      </c>
      <c r="AO4">
        <f>'Calculations BTU'!AW213</f>
        <v>0</v>
      </c>
      <c r="AP4">
        <f>'Calculations BTU'!AX213</f>
        <v>0</v>
      </c>
      <c r="AQ4">
        <f>'Calculations BTU'!AY213</f>
        <v>0</v>
      </c>
      <c r="AR4">
        <f>'Calculations BTU'!AZ213</f>
        <v>0</v>
      </c>
      <c r="AS4">
        <f>'Calculations BTU'!BA213</f>
        <v>0</v>
      </c>
      <c r="AT4">
        <f>'Calculations BTU'!BB213</f>
        <v>0</v>
      </c>
      <c r="AU4">
        <f>'Calculations BTU'!BC213</f>
        <v>0</v>
      </c>
      <c r="AV4">
        <f>'Calculations BTU'!BD213</f>
        <v>0</v>
      </c>
      <c r="AW4">
        <f>'Calculations BTU'!BE213</f>
        <v>0</v>
      </c>
      <c r="AX4">
        <f>'Calculations BTU'!BF213</f>
        <v>0</v>
      </c>
      <c r="AY4">
        <f>'Calculations BTU'!BG213</f>
        <v>0</v>
      </c>
      <c r="AZ4">
        <f>'Calculations BTU'!BH213</f>
        <v>0</v>
      </c>
    </row>
    <row r="5" spans="1:52">
      <c r="A5" t="s">
        <v>129</v>
      </c>
      <c r="B5">
        <f>'Calculations BTU'!J214</f>
        <v>0</v>
      </c>
      <c r="C5">
        <f>'Calculations BTU'!K214</f>
        <v>0</v>
      </c>
      <c r="D5">
        <f>'Calculations BTU'!L214</f>
        <v>0</v>
      </c>
      <c r="E5">
        <f>'Calculations BTU'!M214</f>
        <v>0</v>
      </c>
      <c r="F5">
        <f>'Calculations BTU'!N214</f>
        <v>0</v>
      </c>
      <c r="G5">
        <f>'Calculations BTU'!O214</f>
        <v>0</v>
      </c>
      <c r="H5">
        <f>'Calculations BTU'!P214</f>
        <v>0</v>
      </c>
      <c r="I5">
        <f>'Calculations BTU'!Q214</f>
        <v>0</v>
      </c>
      <c r="J5">
        <f>'Calculations BTU'!R214</f>
        <v>0</v>
      </c>
      <c r="K5">
        <f>'Calculations BTU'!S214</f>
        <v>0</v>
      </c>
      <c r="L5">
        <f>'Calculations BTU'!T214</f>
        <v>0</v>
      </c>
      <c r="M5">
        <f>'Calculations BTU'!U214</f>
        <v>0</v>
      </c>
      <c r="N5">
        <f>'Calculations BTU'!V214</f>
        <v>0</v>
      </c>
      <c r="O5">
        <f>'Calculations BTU'!W214</f>
        <v>0</v>
      </c>
      <c r="P5">
        <f>'Calculations BTU'!X214</f>
        <v>0</v>
      </c>
      <c r="Q5">
        <f>'Calculations BTU'!Y214</f>
        <v>0</v>
      </c>
      <c r="R5">
        <f>'Calculations BTU'!Z214</f>
        <v>0</v>
      </c>
      <c r="S5">
        <f>'Calculations BTU'!AA214</f>
        <v>0</v>
      </c>
      <c r="T5">
        <f>'Calculations BTU'!AB214</f>
        <v>0</v>
      </c>
      <c r="U5">
        <f>'Calculations BTU'!AC214</f>
        <v>0</v>
      </c>
      <c r="V5">
        <f>'Calculations BTU'!AD214</f>
        <v>0</v>
      </c>
      <c r="W5">
        <f>'Calculations BTU'!AE214</f>
        <v>0</v>
      </c>
      <c r="X5">
        <f>'Calculations BTU'!AF214</f>
        <v>0</v>
      </c>
      <c r="Y5">
        <f>'Calculations BTU'!AG214</f>
        <v>0</v>
      </c>
      <c r="Z5">
        <f>'Calculations BTU'!AH214</f>
        <v>0</v>
      </c>
      <c r="AA5">
        <f>'Calculations BTU'!AI214</f>
        <v>0</v>
      </c>
      <c r="AB5">
        <f>'Calculations BTU'!AJ214</f>
        <v>0</v>
      </c>
      <c r="AC5">
        <f>'Calculations BTU'!AK214</f>
        <v>0</v>
      </c>
      <c r="AD5">
        <f>'Calculations BTU'!AL214</f>
        <v>0</v>
      </c>
      <c r="AE5">
        <f>'Calculations BTU'!AM214</f>
        <v>0</v>
      </c>
      <c r="AF5">
        <f>'Calculations BTU'!AN214</f>
        <v>0</v>
      </c>
      <c r="AG5">
        <f>'Calculations BTU'!AO214</f>
        <v>0</v>
      </c>
      <c r="AH5">
        <f>'Calculations BTU'!AP214</f>
        <v>0</v>
      </c>
      <c r="AI5">
        <f>'Calculations BTU'!AQ214</f>
        <v>0</v>
      </c>
      <c r="AJ5">
        <f>'Calculations BTU'!AR214</f>
        <v>0</v>
      </c>
      <c r="AK5">
        <f>'Calculations BTU'!AS214</f>
        <v>0</v>
      </c>
      <c r="AL5">
        <f>'Calculations BTU'!AT214</f>
        <v>0</v>
      </c>
      <c r="AM5">
        <f>'Calculations BTU'!AU214</f>
        <v>0</v>
      </c>
      <c r="AN5">
        <f>'Calculations BTU'!AV214</f>
        <v>0</v>
      </c>
      <c r="AO5">
        <f>'Calculations BTU'!AW214</f>
        <v>0</v>
      </c>
      <c r="AP5">
        <f>'Calculations BTU'!AX214</f>
        <v>0</v>
      </c>
      <c r="AQ5">
        <f>'Calculations BTU'!AY214</f>
        <v>0</v>
      </c>
      <c r="AR5">
        <f>'Calculations BTU'!AZ214</f>
        <v>0</v>
      </c>
      <c r="AS5">
        <f>'Calculations BTU'!BA214</f>
        <v>0</v>
      </c>
      <c r="AT5">
        <f>'Calculations BTU'!BB214</f>
        <v>0</v>
      </c>
      <c r="AU5">
        <f>'Calculations BTU'!BC214</f>
        <v>0</v>
      </c>
      <c r="AV5">
        <f>'Calculations BTU'!BD214</f>
        <v>0</v>
      </c>
      <c r="AW5">
        <f>'Calculations BTU'!BE214</f>
        <v>0</v>
      </c>
      <c r="AX5">
        <f>'Calculations BTU'!BF214</f>
        <v>0</v>
      </c>
      <c r="AY5">
        <f>'Calculations BTU'!BG214</f>
        <v>0</v>
      </c>
      <c r="AZ5">
        <f>'Calculations BTU'!BH214</f>
        <v>0</v>
      </c>
    </row>
    <row r="6" spans="1:52">
      <c r="A6" t="s">
        <v>130</v>
      </c>
      <c r="B6">
        <f>'Calculations BTU'!J215</f>
        <v>0</v>
      </c>
      <c r="C6">
        <f>'Calculations BTU'!K215</f>
        <v>0</v>
      </c>
      <c r="D6">
        <f>'Calculations BTU'!L215</f>
        <v>0</v>
      </c>
      <c r="E6">
        <f>'Calculations BTU'!M215</f>
        <v>0</v>
      </c>
      <c r="F6">
        <f>'Calculations BTU'!N215</f>
        <v>0</v>
      </c>
      <c r="G6">
        <f>'Calculations BTU'!O215</f>
        <v>0</v>
      </c>
      <c r="H6">
        <f>'Calculations BTU'!P215</f>
        <v>0</v>
      </c>
      <c r="I6">
        <f>'Calculations BTU'!Q215</f>
        <v>0</v>
      </c>
      <c r="J6">
        <f>'Calculations BTU'!R215</f>
        <v>0</v>
      </c>
      <c r="K6">
        <f>'Calculations BTU'!S215</f>
        <v>0</v>
      </c>
      <c r="L6">
        <f>'Calculations BTU'!T215</f>
        <v>0</v>
      </c>
      <c r="M6">
        <f>'Calculations BTU'!U215</f>
        <v>0</v>
      </c>
      <c r="N6">
        <f>'Calculations BTU'!V215</f>
        <v>0</v>
      </c>
      <c r="O6">
        <f>'Calculations BTU'!W215</f>
        <v>0</v>
      </c>
      <c r="P6">
        <f>'Calculations BTU'!X215</f>
        <v>0</v>
      </c>
      <c r="Q6">
        <f>'Calculations BTU'!Y215</f>
        <v>0</v>
      </c>
      <c r="R6">
        <f>'Calculations BTU'!Z215</f>
        <v>0</v>
      </c>
      <c r="S6">
        <f>'Calculations BTU'!AA215</f>
        <v>0</v>
      </c>
      <c r="T6">
        <f>'Calculations BTU'!AB215</f>
        <v>0</v>
      </c>
      <c r="U6">
        <f>'Calculations BTU'!AC215</f>
        <v>0</v>
      </c>
      <c r="V6">
        <f>'Calculations BTU'!AD215</f>
        <v>0</v>
      </c>
      <c r="W6">
        <f>'Calculations BTU'!AE215</f>
        <v>0</v>
      </c>
      <c r="X6">
        <f>'Calculations BTU'!AF215</f>
        <v>0</v>
      </c>
      <c r="Y6">
        <f>'Calculations BTU'!AG215</f>
        <v>0</v>
      </c>
      <c r="Z6">
        <f>'Calculations BTU'!AH215</f>
        <v>0</v>
      </c>
      <c r="AA6">
        <f>'Calculations BTU'!AI215</f>
        <v>0</v>
      </c>
      <c r="AB6">
        <f>'Calculations BTU'!AJ215</f>
        <v>0</v>
      </c>
      <c r="AC6">
        <f>'Calculations BTU'!AK215</f>
        <v>0</v>
      </c>
      <c r="AD6">
        <f>'Calculations BTU'!AL215</f>
        <v>0</v>
      </c>
      <c r="AE6">
        <f>'Calculations BTU'!AM215</f>
        <v>0</v>
      </c>
      <c r="AF6">
        <f>'Calculations BTU'!AN215</f>
        <v>0</v>
      </c>
      <c r="AG6">
        <f>'Calculations BTU'!AO215</f>
        <v>0</v>
      </c>
      <c r="AH6">
        <f>'Calculations BTU'!AP215</f>
        <v>0</v>
      </c>
      <c r="AI6">
        <f>'Calculations BTU'!AQ215</f>
        <v>0</v>
      </c>
      <c r="AJ6">
        <f>'Calculations BTU'!AR215</f>
        <v>0</v>
      </c>
      <c r="AK6">
        <f>'Calculations BTU'!AS215</f>
        <v>0</v>
      </c>
      <c r="AL6">
        <f>'Calculations BTU'!AT215</f>
        <v>0</v>
      </c>
      <c r="AM6">
        <f>'Calculations BTU'!AU215</f>
        <v>0</v>
      </c>
      <c r="AN6">
        <f>'Calculations BTU'!AV215</f>
        <v>0</v>
      </c>
      <c r="AO6">
        <f>'Calculations BTU'!AW215</f>
        <v>0</v>
      </c>
      <c r="AP6">
        <f>'Calculations BTU'!AX215</f>
        <v>0</v>
      </c>
      <c r="AQ6">
        <f>'Calculations BTU'!AY215</f>
        <v>0</v>
      </c>
      <c r="AR6">
        <f>'Calculations BTU'!AZ215</f>
        <v>0</v>
      </c>
      <c r="AS6">
        <f>'Calculations BTU'!BA215</f>
        <v>0</v>
      </c>
      <c r="AT6">
        <f>'Calculations BTU'!BB215</f>
        <v>0</v>
      </c>
      <c r="AU6">
        <f>'Calculations BTU'!BC215</f>
        <v>0</v>
      </c>
      <c r="AV6">
        <f>'Calculations BTU'!BD215</f>
        <v>0</v>
      </c>
      <c r="AW6">
        <f>'Calculations BTU'!BE215</f>
        <v>0</v>
      </c>
      <c r="AX6">
        <f>'Calculations BTU'!BF215</f>
        <v>0</v>
      </c>
      <c r="AY6">
        <f>'Calculations BTU'!BG215</f>
        <v>0</v>
      </c>
      <c r="AZ6">
        <f>'Calculations BTU'!BH215</f>
        <v>0</v>
      </c>
    </row>
    <row r="7" spans="1:52">
      <c r="A7" t="s">
        <v>131</v>
      </c>
      <c r="B7">
        <f>'Calculations BTU'!J216</f>
        <v>0</v>
      </c>
      <c r="C7">
        <f>'Calculations BTU'!K216</f>
        <v>0</v>
      </c>
      <c r="D7">
        <f>'Calculations BTU'!L216</f>
        <v>0</v>
      </c>
      <c r="E7">
        <f>'Calculations BTU'!M216</f>
        <v>0</v>
      </c>
      <c r="F7">
        <f>'Calculations BTU'!N216</f>
        <v>0</v>
      </c>
      <c r="G7">
        <f>'Calculations BTU'!O216</f>
        <v>0</v>
      </c>
      <c r="H7">
        <f>'Calculations BTU'!P216</f>
        <v>0</v>
      </c>
      <c r="I7">
        <f>'Calculations BTU'!Q216</f>
        <v>0</v>
      </c>
      <c r="J7">
        <f>'Calculations BTU'!R216</f>
        <v>0</v>
      </c>
      <c r="K7">
        <f>'Calculations BTU'!S216</f>
        <v>0</v>
      </c>
      <c r="L7">
        <f>'Calculations BTU'!T216</f>
        <v>0</v>
      </c>
      <c r="M7">
        <f>'Calculations BTU'!U216</f>
        <v>0</v>
      </c>
      <c r="N7">
        <f>'Calculations BTU'!V216</f>
        <v>0</v>
      </c>
      <c r="O7">
        <f>'Calculations BTU'!W216</f>
        <v>0</v>
      </c>
      <c r="P7">
        <f>'Calculations BTU'!X216</f>
        <v>0</v>
      </c>
      <c r="Q7">
        <f>'Calculations BTU'!Y216</f>
        <v>0</v>
      </c>
      <c r="R7">
        <f>'Calculations BTU'!Z216</f>
        <v>0</v>
      </c>
      <c r="S7">
        <f>'Calculations BTU'!AA216</f>
        <v>0</v>
      </c>
      <c r="T7">
        <f>'Calculations BTU'!AB216</f>
        <v>0</v>
      </c>
      <c r="U7">
        <f>'Calculations BTU'!AC216</f>
        <v>0</v>
      </c>
      <c r="V7">
        <f>'Calculations BTU'!AD216</f>
        <v>0</v>
      </c>
      <c r="W7">
        <f>'Calculations BTU'!AE216</f>
        <v>0</v>
      </c>
      <c r="X7">
        <f>'Calculations BTU'!AF216</f>
        <v>0</v>
      </c>
      <c r="Y7">
        <f>'Calculations BTU'!AG216</f>
        <v>0</v>
      </c>
      <c r="Z7">
        <f>'Calculations BTU'!AH216</f>
        <v>0</v>
      </c>
      <c r="AA7">
        <f>'Calculations BTU'!AI216</f>
        <v>0</v>
      </c>
      <c r="AB7">
        <f>'Calculations BTU'!AJ216</f>
        <v>0</v>
      </c>
      <c r="AC7">
        <f>'Calculations BTU'!AK216</f>
        <v>0</v>
      </c>
      <c r="AD7">
        <f>'Calculations BTU'!AL216</f>
        <v>0</v>
      </c>
      <c r="AE7">
        <f>'Calculations BTU'!AM216</f>
        <v>0</v>
      </c>
      <c r="AF7">
        <f>'Calculations BTU'!AN216</f>
        <v>0</v>
      </c>
      <c r="AG7">
        <f>'Calculations BTU'!AO216</f>
        <v>0</v>
      </c>
      <c r="AH7">
        <f>'Calculations BTU'!AP216</f>
        <v>0</v>
      </c>
      <c r="AI7">
        <f>'Calculations BTU'!AQ216</f>
        <v>0</v>
      </c>
      <c r="AJ7">
        <f>'Calculations BTU'!AR216</f>
        <v>0</v>
      </c>
      <c r="AK7">
        <f>'Calculations BTU'!AS216</f>
        <v>0</v>
      </c>
      <c r="AL7">
        <f>'Calculations BTU'!AT216</f>
        <v>0</v>
      </c>
      <c r="AM7">
        <f>'Calculations BTU'!AU216</f>
        <v>0</v>
      </c>
      <c r="AN7">
        <f>'Calculations BTU'!AV216</f>
        <v>0</v>
      </c>
      <c r="AO7">
        <f>'Calculations BTU'!AW216</f>
        <v>0</v>
      </c>
      <c r="AP7">
        <f>'Calculations BTU'!AX216</f>
        <v>0</v>
      </c>
      <c r="AQ7">
        <f>'Calculations BTU'!AY216</f>
        <v>0</v>
      </c>
      <c r="AR7">
        <f>'Calculations BTU'!AZ216</f>
        <v>0</v>
      </c>
      <c r="AS7">
        <f>'Calculations BTU'!BA216</f>
        <v>0</v>
      </c>
      <c r="AT7">
        <f>'Calculations BTU'!BB216</f>
        <v>0</v>
      </c>
      <c r="AU7">
        <f>'Calculations BTU'!BC216</f>
        <v>0</v>
      </c>
      <c r="AV7">
        <f>'Calculations BTU'!BD216</f>
        <v>0</v>
      </c>
      <c r="AW7">
        <f>'Calculations BTU'!BE216</f>
        <v>0</v>
      </c>
      <c r="AX7">
        <f>'Calculations BTU'!BF216</f>
        <v>0</v>
      </c>
      <c r="AY7">
        <f>'Calculations BTU'!BG216</f>
        <v>0</v>
      </c>
      <c r="AZ7">
        <f>'Calculations BTU'!BH216</f>
        <v>0</v>
      </c>
    </row>
    <row r="8" spans="1:52">
      <c r="A8" t="s">
        <v>132</v>
      </c>
      <c r="B8">
        <f>'Calculations BTU'!J217</f>
        <v>0</v>
      </c>
      <c r="C8">
        <f>'Calculations BTU'!K217</f>
        <v>0</v>
      </c>
      <c r="D8">
        <f>'Calculations BTU'!L217</f>
        <v>0</v>
      </c>
      <c r="E8">
        <f>'Calculations BTU'!M217</f>
        <v>0</v>
      </c>
      <c r="F8">
        <f>'Calculations BTU'!N217</f>
        <v>0</v>
      </c>
      <c r="G8">
        <f>'Calculations BTU'!O217</f>
        <v>0</v>
      </c>
      <c r="H8">
        <f>'Calculations BTU'!P217</f>
        <v>0</v>
      </c>
      <c r="I8">
        <f>'Calculations BTU'!Q217</f>
        <v>0</v>
      </c>
      <c r="J8">
        <f>'Calculations BTU'!R217</f>
        <v>0</v>
      </c>
      <c r="K8">
        <f>'Calculations BTU'!S217</f>
        <v>0</v>
      </c>
      <c r="L8">
        <f>'Calculations BTU'!T217</f>
        <v>0</v>
      </c>
      <c r="M8">
        <f>'Calculations BTU'!U217</f>
        <v>0</v>
      </c>
      <c r="N8">
        <f>'Calculations BTU'!V217</f>
        <v>0</v>
      </c>
      <c r="O8">
        <f>'Calculations BTU'!W217</f>
        <v>0</v>
      </c>
      <c r="P8">
        <f>'Calculations BTU'!X217</f>
        <v>0</v>
      </c>
      <c r="Q8">
        <f>'Calculations BTU'!Y217</f>
        <v>0</v>
      </c>
      <c r="R8">
        <f>'Calculations BTU'!Z217</f>
        <v>0</v>
      </c>
      <c r="S8">
        <f>'Calculations BTU'!AA217</f>
        <v>0</v>
      </c>
      <c r="T8">
        <f>'Calculations BTU'!AB217</f>
        <v>0</v>
      </c>
      <c r="U8">
        <f>'Calculations BTU'!AC217</f>
        <v>0</v>
      </c>
      <c r="V8">
        <f>'Calculations BTU'!AD217</f>
        <v>0</v>
      </c>
      <c r="W8">
        <f>'Calculations BTU'!AE217</f>
        <v>0</v>
      </c>
      <c r="X8">
        <f>'Calculations BTU'!AF217</f>
        <v>0</v>
      </c>
      <c r="Y8">
        <f>'Calculations BTU'!AG217</f>
        <v>0</v>
      </c>
      <c r="Z8">
        <f>'Calculations BTU'!AH217</f>
        <v>0</v>
      </c>
      <c r="AA8">
        <f>'Calculations BTU'!AI217</f>
        <v>0</v>
      </c>
      <c r="AB8">
        <f>'Calculations BTU'!AJ217</f>
        <v>0</v>
      </c>
      <c r="AC8">
        <f>'Calculations BTU'!AK217</f>
        <v>0</v>
      </c>
      <c r="AD8">
        <f>'Calculations BTU'!AL217</f>
        <v>0</v>
      </c>
      <c r="AE8">
        <f>'Calculations BTU'!AM217</f>
        <v>0</v>
      </c>
      <c r="AF8">
        <f>'Calculations BTU'!AN217</f>
        <v>0</v>
      </c>
      <c r="AG8">
        <f>'Calculations BTU'!AO217</f>
        <v>0</v>
      </c>
      <c r="AH8">
        <f>'Calculations BTU'!AP217</f>
        <v>0</v>
      </c>
      <c r="AI8">
        <f>'Calculations BTU'!AQ217</f>
        <v>0</v>
      </c>
      <c r="AJ8">
        <f>'Calculations BTU'!AR217</f>
        <v>0</v>
      </c>
      <c r="AK8">
        <f>'Calculations BTU'!AS217</f>
        <v>0</v>
      </c>
      <c r="AL8">
        <f>'Calculations BTU'!AT217</f>
        <v>0</v>
      </c>
      <c r="AM8">
        <f>'Calculations BTU'!AU217</f>
        <v>0</v>
      </c>
      <c r="AN8">
        <f>'Calculations BTU'!AV217</f>
        <v>0</v>
      </c>
      <c r="AO8">
        <f>'Calculations BTU'!AW217</f>
        <v>0</v>
      </c>
      <c r="AP8">
        <f>'Calculations BTU'!AX217</f>
        <v>0</v>
      </c>
      <c r="AQ8">
        <f>'Calculations BTU'!AY217</f>
        <v>0</v>
      </c>
      <c r="AR8">
        <f>'Calculations BTU'!AZ217</f>
        <v>0</v>
      </c>
      <c r="AS8">
        <f>'Calculations BTU'!BA217</f>
        <v>0</v>
      </c>
      <c r="AT8">
        <f>'Calculations BTU'!BB217</f>
        <v>0</v>
      </c>
      <c r="AU8">
        <f>'Calculations BTU'!BC217</f>
        <v>0</v>
      </c>
      <c r="AV8">
        <f>'Calculations BTU'!BD217</f>
        <v>0</v>
      </c>
      <c r="AW8">
        <f>'Calculations BTU'!BE217</f>
        <v>0</v>
      </c>
      <c r="AX8">
        <f>'Calculations BTU'!BF217</f>
        <v>0</v>
      </c>
      <c r="AY8">
        <f>'Calculations BTU'!BG217</f>
        <v>0</v>
      </c>
      <c r="AZ8">
        <f>'Calculations BTU'!BH217</f>
        <v>0</v>
      </c>
    </row>
    <row r="9" spans="1:52">
      <c r="A9" t="s">
        <v>133</v>
      </c>
      <c r="B9">
        <f>'Calculations BTU'!J218</f>
        <v>0</v>
      </c>
      <c r="C9">
        <f>'Calculations BTU'!K218</f>
        <v>0</v>
      </c>
      <c r="D9">
        <f>'Calculations BTU'!L218</f>
        <v>0</v>
      </c>
      <c r="E9">
        <f>'Calculations BTU'!M218</f>
        <v>0</v>
      </c>
      <c r="F9">
        <f>'Calculations BTU'!N218</f>
        <v>0</v>
      </c>
      <c r="G9">
        <f>'Calculations BTU'!O218</f>
        <v>0</v>
      </c>
      <c r="H9">
        <f>'Calculations BTU'!P218</f>
        <v>0</v>
      </c>
      <c r="I9">
        <f>'Calculations BTU'!Q218</f>
        <v>0</v>
      </c>
      <c r="J9">
        <f>'Calculations BTU'!R218</f>
        <v>0</v>
      </c>
      <c r="K9">
        <f>'Calculations BTU'!S218</f>
        <v>0</v>
      </c>
      <c r="L9">
        <f>'Calculations BTU'!T218</f>
        <v>0</v>
      </c>
      <c r="M9">
        <f>'Calculations BTU'!U218</f>
        <v>0</v>
      </c>
      <c r="N9">
        <f>'Calculations BTU'!V218</f>
        <v>0</v>
      </c>
      <c r="O9">
        <f>'Calculations BTU'!W218</f>
        <v>0</v>
      </c>
      <c r="P9">
        <f>'Calculations BTU'!X218</f>
        <v>0</v>
      </c>
      <c r="Q9">
        <f>'Calculations BTU'!Y218</f>
        <v>0</v>
      </c>
      <c r="R9">
        <f>'Calculations BTU'!Z218</f>
        <v>0</v>
      </c>
      <c r="S9">
        <f>'Calculations BTU'!AA218</f>
        <v>0</v>
      </c>
      <c r="T9">
        <f>'Calculations BTU'!AB218</f>
        <v>0</v>
      </c>
      <c r="U9">
        <f>'Calculations BTU'!AC218</f>
        <v>0</v>
      </c>
      <c r="V9">
        <f>'Calculations BTU'!AD218</f>
        <v>0</v>
      </c>
      <c r="W9">
        <f>'Calculations BTU'!AE218</f>
        <v>0</v>
      </c>
      <c r="X9">
        <f>'Calculations BTU'!AF218</f>
        <v>0</v>
      </c>
      <c r="Y9">
        <f>'Calculations BTU'!AG218</f>
        <v>0</v>
      </c>
      <c r="Z9">
        <f>'Calculations BTU'!AH218</f>
        <v>0</v>
      </c>
      <c r="AA9">
        <f>'Calculations BTU'!AI218</f>
        <v>0</v>
      </c>
      <c r="AB9">
        <f>'Calculations BTU'!AJ218</f>
        <v>0</v>
      </c>
      <c r="AC9">
        <f>'Calculations BTU'!AK218</f>
        <v>0</v>
      </c>
      <c r="AD9">
        <f>'Calculations BTU'!AL218</f>
        <v>0</v>
      </c>
      <c r="AE9">
        <f>'Calculations BTU'!AM218</f>
        <v>0</v>
      </c>
      <c r="AF9">
        <f>'Calculations BTU'!AN218</f>
        <v>0</v>
      </c>
      <c r="AG9">
        <f>'Calculations BTU'!AO218</f>
        <v>0</v>
      </c>
      <c r="AH9">
        <f>'Calculations BTU'!AP218</f>
        <v>0</v>
      </c>
      <c r="AI9">
        <f>'Calculations BTU'!AQ218</f>
        <v>0</v>
      </c>
      <c r="AJ9">
        <f>'Calculations BTU'!AR218</f>
        <v>0</v>
      </c>
      <c r="AK9">
        <f>'Calculations BTU'!AS218</f>
        <v>0</v>
      </c>
      <c r="AL9">
        <f>'Calculations BTU'!AT218</f>
        <v>0</v>
      </c>
      <c r="AM9">
        <f>'Calculations BTU'!AU218</f>
        <v>0</v>
      </c>
      <c r="AN9">
        <f>'Calculations BTU'!AV218</f>
        <v>0</v>
      </c>
      <c r="AO9">
        <f>'Calculations BTU'!AW218</f>
        <v>0</v>
      </c>
      <c r="AP9">
        <f>'Calculations BTU'!AX218</f>
        <v>0</v>
      </c>
      <c r="AQ9">
        <f>'Calculations BTU'!AY218</f>
        <v>0</v>
      </c>
      <c r="AR9">
        <f>'Calculations BTU'!AZ218</f>
        <v>0</v>
      </c>
      <c r="AS9">
        <f>'Calculations BTU'!BA218</f>
        <v>0</v>
      </c>
      <c r="AT9">
        <f>'Calculations BTU'!BB218</f>
        <v>0</v>
      </c>
      <c r="AU9">
        <f>'Calculations BTU'!BC218</f>
        <v>0</v>
      </c>
      <c r="AV9">
        <f>'Calculations BTU'!BD218</f>
        <v>0</v>
      </c>
      <c r="AW9">
        <f>'Calculations BTU'!BE218</f>
        <v>0</v>
      </c>
      <c r="AX9">
        <f>'Calculations BTU'!BF218</f>
        <v>0</v>
      </c>
      <c r="AY9">
        <f>'Calculations BTU'!BG218</f>
        <v>0</v>
      </c>
      <c r="AZ9">
        <f>'Calculations BTU'!BH218</f>
        <v>0</v>
      </c>
    </row>
    <row r="10" spans="1:52">
      <c r="A10" t="s">
        <v>134</v>
      </c>
      <c r="B10">
        <f>'Calculations BTU'!J219</f>
        <v>0</v>
      </c>
      <c r="C10">
        <f>'Calculations BTU'!K219</f>
        <v>0</v>
      </c>
      <c r="D10">
        <f>'Calculations BTU'!L219</f>
        <v>0</v>
      </c>
      <c r="E10">
        <f>'Calculations BTU'!M219</f>
        <v>0</v>
      </c>
      <c r="F10">
        <f>'Calculations BTU'!N219</f>
        <v>0</v>
      </c>
      <c r="G10">
        <f>'Calculations BTU'!O219</f>
        <v>0</v>
      </c>
      <c r="H10">
        <f>'Calculations BTU'!P219</f>
        <v>0</v>
      </c>
      <c r="I10">
        <f>'Calculations BTU'!Q219</f>
        <v>0</v>
      </c>
      <c r="J10">
        <f>'Calculations BTU'!R219</f>
        <v>0</v>
      </c>
      <c r="K10">
        <f>'Calculations BTU'!S219</f>
        <v>0</v>
      </c>
      <c r="L10">
        <f>'Calculations BTU'!T219</f>
        <v>0</v>
      </c>
      <c r="M10">
        <f>'Calculations BTU'!U219</f>
        <v>0</v>
      </c>
      <c r="N10">
        <f>'Calculations BTU'!V219</f>
        <v>0</v>
      </c>
      <c r="O10">
        <f>'Calculations BTU'!W219</f>
        <v>0</v>
      </c>
      <c r="P10">
        <f>'Calculations BTU'!X219</f>
        <v>0</v>
      </c>
      <c r="Q10">
        <f>'Calculations BTU'!Y219</f>
        <v>0</v>
      </c>
      <c r="R10">
        <f>'Calculations BTU'!Z219</f>
        <v>0</v>
      </c>
      <c r="S10">
        <f>'Calculations BTU'!AA219</f>
        <v>0</v>
      </c>
      <c r="T10">
        <f>'Calculations BTU'!AB219</f>
        <v>0</v>
      </c>
      <c r="U10">
        <f>'Calculations BTU'!AC219</f>
        <v>0</v>
      </c>
      <c r="V10">
        <f>'Calculations BTU'!AD219</f>
        <v>0</v>
      </c>
      <c r="W10">
        <f>'Calculations BTU'!AE219</f>
        <v>0</v>
      </c>
      <c r="X10">
        <f>'Calculations BTU'!AF219</f>
        <v>0</v>
      </c>
      <c r="Y10">
        <f>'Calculations BTU'!AG219</f>
        <v>0</v>
      </c>
      <c r="Z10">
        <f>'Calculations BTU'!AH219</f>
        <v>0</v>
      </c>
      <c r="AA10">
        <f>'Calculations BTU'!AI219</f>
        <v>0</v>
      </c>
      <c r="AB10">
        <f>'Calculations BTU'!AJ219</f>
        <v>0</v>
      </c>
      <c r="AC10">
        <f>'Calculations BTU'!AK219</f>
        <v>0</v>
      </c>
      <c r="AD10">
        <f>'Calculations BTU'!AL219</f>
        <v>0</v>
      </c>
      <c r="AE10">
        <f>'Calculations BTU'!AM219</f>
        <v>0</v>
      </c>
      <c r="AF10">
        <f>'Calculations BTU'!AN219</f>
        <v>0</v>
      </c>
      <c r="AG10">
        <f>'Calculations BTU'!AO219</f>
        <v>0</v>
      </c>
      <c r="AH10">
        <f>'Calculations BTU'!AP219</f>
        <v>0</v>
      </c>
      <c r="AI10">
        <f>'Calculations BTU'!AQ219</f>
        <v>0</v>
      </c>
      <c r="AJ10">
        <f>'Calculations BTU'!AR219</f>
        <v>0</v>
      </c>
      <c r="AK10">
        <f>'Calculations BTU'!AS219</f>
        <v>0</v>
      </c>
      <c r="AL10">
        <f>'Calculations BTU'!AT219</f>
        <v>0</v>
      </c>
      <c r="AM10">
        <f>'Calculations BTU'!AU219</f>
        <v>0</v>
      </c>
      <c r="AN10">
        <f>'Calculations BTU'!AV219</f>
        <v>0</v>
      </c>
      <c r="AO10">
        <f>'Calculations BTU'!AW219</f>
        <v>0</v>
      </c>
      <c r="AP10">
        <f>'Calculations BTU'!AX219</f>
        <v>0</v>
      </c>
      <c r="AQ10">
        <f>'Calculations BTU'!AY219</f>
        <v>0</v>
      </c>
      <c r="AR10">
        <f>'Calculations BTU'!AZ219</f>
        <v>0</v>
      </c>
      <c r="AS10">
        <f>'Calculations BTU'!BA219</f>
        <v>0</v>
      </c>
      <c r="AT10">
        <f>'Calculations BTU'!BB219</f>
        <v>0</v>
      </c>
      <c r="AU10">
        <f>'Calculations BTU'!BC219</f>
        <v>0</v>
      </c>
      <c r="AV10">
        <f>'Calculations BTU'!BD219</f>
        <v>0</v>
      </c>
      <c r="AW10">
        <f>'Calculations BTU'!BE219</f>
        <v>0</v>
      </c>
      <c r="AX10">
        <f>'Calculations BTU'!BF219</f>
        <v>0</v>
      </c>
      <c r="AY10">
        <f>'Calculations BTU'!BG219</f>
        <v>0</v>
      </c>
      <c r="AZ10">
        <f>'Calculations BTU'!BH219</f>
        <v>0</v>
      </c>
    </row>
    <row r="11" spans="1:52">
      <c r="A11" t="s">
        <v>135</v>
      </c>
      <c r="B11">
        <f>'Calculations BTU'!J220</f>
        <v>0</v>
      </c>
      <c r="C11">
        <f>'Calculations BTU'!K220</f>
        <v>0</v>
      </c>
      <c r="D11">
        <f>'Calculations BTU'!L220</f>
        <v>0</v>
      </c>
      <c r="E11">
        <f>'Calculations BTU'!M220</f>
        <v>0</v>
      </c>
      <c r="F11">
        <f>'Calculations BTU'!N220</f>
        <v>0</v>
      </c>
      <c r="G11">
        <f>'Calculations BTU'!O220</f>
        <v>0</v>
      </c>
      <c r="H11">
        <f>'Calculations BTU'!P220</f>
        <v>0</v>
      </c>
      <c r="I11">
        <f>'Calculations BTU'!Q220</f>
        <v>0</v>
      </c>
      <c r="J11">
        <f>'Calculations BTU'!R220</f>
        <v>0</v>
      </c>
      <c r="K11">
        <f>'Calculations BTU'!S220</f>
        <v>0</v>
      </c>
      <c r="L11">
        <f>'Calculations BTU'!T220</f>
        <v>0</v>
      </c>
      <c r="M11">
        <f>'Calculations BTU'!U220</f>
        <v>0</v>
      </c>
      <c r="N11">
        <f>'Calculations BTU'!V220</f>
        <v>0</v>
      </c>
      <c r="O11">
        <f>'Calculations BTU'!W220</f>
        <v>0</v>
      </c>
      <c r="P11">
        <f>'Calculations BTU'!X220</f>
        <v>0</v>
      </c>
      <c r="Q11">
        <f>'Calculations BTU'!Y220</f>
        <v>0</v>
      </c>
      <c r="R11">
        <f>'Calculations BTU'!Z220</f>
        <v>0</v>
      </c>
      <c r="S11">
        <f>'Calculations BTU'!AA220</f>
        <v>0</v>
      </c>
      <c r="T11">
        <f>'Calculations BTU'!AB220</f>
        <v>0</v>
      </c>
      <c r="U11">
        <f>'Calculations BTU'!AC220</f>
        <v>0</v>
      </c>
      <c r="V11">
        <f>'Calculations BTU'!AD220</f>
        <v>0</v>
      </c>
      <c r="W11">
        <f>'Calculations BTU'!AE220</f>
        <v>0</v>
      </c>
      <c r="X11">
        <f>'Calculations BTU'!AF220</f>
        <v>0</v>
      </c>
      <c r="Y11">
        <f>'Calculations BTU'!AG220</f>
        <v>0</v>
      </c>
      <c r="Z11">
        <f>'Calculations BTU'!AH220</f>
        <v>0</v>
      </c>
      <c r="AA11">
        <f>'Calculations BTU'!AI220</f>
        <v>0</v>
      </c>
      <c r="AB11">
        <f>'Calculations BTU'!AJ220</f>
        <v>0</v>
      </c>
      <c r="AC11">
        <f>'Calculations BTU'!AK220</f>
        <v>0</v>
      </c>
      <c r="AD11">
        <f>'Calculations BTU'!AL220</f>
        <v>0</v>
      </c>
      <c r="AE11">
        <f>'Calculations BTU'!AM220</f>
        <v>0</v>
      </c>
      <c r="AF11">
        <f>'Calculations BTU'!AN220</f>
        <v>0</v>
      </c>
      <c r="AG11">
        <f>'Calculations BTU'!AO220</f>
        <v>0</v>
      </c>
      <c r="AH11">
        <f>'Calculations BTU'!AP220</f>
        <v>0</v>
      </c>
      <c r="AI11">
        <f>'Calculations BTU'!AQ220</f>
        <v>0</v>
      </c>
      <c r="AJ11">
        <f>'Calculations BTU'!AR220</f>
        <v>0</v>
      </c>
      <c r="AK11">
        <f>'Calculations BTU'!AS220</f>
        <v>0</v>
      </c>
      <c r="AL11">
        <f>'Calculations BTU'!AT220</f>
        <v>0</v>
      </c>
      <c r="AM11">
        <f>'Calculations BTU'!AU220</f>
        <v>0</v>
      </c>
      <c r="AN11">
        <f>'Calculations BTU'!AV220</f>
        <v>0</v>
      </c>
      <c r="AO11">
        <f>'Calculations BTU'!AW220</f>
        <v>0</v>
      </c>
      <c r="AP11">
        <f>'Calculations BTU'!AX220</f>
        <v>0</v>
      </c>
      <c r="AQ11">
        <f>'Calculations BTU'!AY220</f>
        <v>0</v>
      </c>
      <c r="AR11">
        <f>'Calculations BTU'!AZ220</f>
        <v>0</v>
      </c>
      <c r="AS11">
        <f>'Calculations BTU'!BA220</f>
        <v>0</v>
      </c>
      <c r="AT11">
        <f>'Calculations BTU'!BB220</f>
        <v>0</v>
      </c>
      <c r="AU11">
        <f>'Calculations BTU'!BC220</f>
        <v>0</v>
      </c>
      <c r="AV11">
        <f>'Calculations BTU'!BD220</f>
        <v>0</v>
      </c>
      <c r="AW11">
        <f>'Calculations BTU'!BE220</f>
        <v>0</v>
      </c>
      <c r="AX11">
        <f>'Calculations BTU'!BF220</f>
        <v>0</v>
      </c>
      <c r="AY11">
        <f>'Calculations BTU'!BG220</f>
        <v>0</v>
      </c>
      <c r="AZ11">
        <f>'Calculations BTU'!BH220</f>
        <v>0</v>
      </c>
    </row>
    <row r="12" spans="1:52">
      <c r="A12" t="s">
        <v>136</v>
      </c>
      <c r="B12">
        <f>'Calculations BTU'!J221</f>
        <v>0</v>
      </c>
      <c r="C12">
        <f>'Calculations BTU'!K221</f>
        <v>0</v>
      </c>
      <c r="D12">
        <f>'Calculations BTU'!L221</f>
        <v>0</v>
      </c>
      <c r="E12">
        <f>'Calculations BTU'!M221</f>
        <v>0</v>
      </c>
      <c r="F12">
        <f>'Calculations BTU'!N221</f>
        <v>0</v>
      </c>
      <c r="G12">
        <f>'Calculations BTU'!O221</f>
        <v>0</v>
      </c>
      <c r="H12">
        <f>'Calculations BTU'!P221</f>
        <v>0</v>
      </c>
      <c r="I12">
        <f>'Calculations BTU'!Q221</f>
        <v>0</v>
      </c>
      <c r="J12">
        <f>'Calculations BTU'!R221</f>
        <v>0</v>
      </c>
      <c r="K12">
        <f>'Calculations BTU'!S221</f>
        <v>0</v>
      </c>
      <c r="L12">
        <f>'Calculations BTU'!T221</f>
        <v>0</v>
      </c>
      <c r="M12">
        <f>'Calculations BTU'!U221</f>
        <v>0</v>
      </c>
      <c r="N12">
        <f>'Calculations BTU'!V221</f>
        <v>0</v>
      </c>
      <c r="O12">
        <f>'Calculations BTU'!W221</f>
        <v>0</v>
      </c>
      <c r="P12">
        <f>'Calculations BTU'!X221</f>
        <v>0</v>
      </c>
      <c r="Q12">
        <f>'Calculations BTU'!Y221</f>
        <v>0</v>
      </c>
      <c r="R12">
        <f>'Calculations BTU'!Z221</f>
        <v>0</v>
      </c>
      <c r="S12">
        <f>'Calculations BTU'!AA221</f>
        <v>0</v>
      </c>
      <c r="T12">
        <f>'Calculations BTU'!AB221</f>
        <v>0</v>
      </c>
      <c r="U12">
        <f>'Calculations BTU'!AC221</f>
        <v>0</v>
      </c>
      <c r="V12">
        <f>'Calculations BTU'!AD221</f>
        <v>0</v>
      </c>
      <c r="W12">
        <f>'Calculations BTU'!AE221</f>
        <v>0</v>
      </c>
      <c r="X12">
        <f>'Calculations BTU'!AF221</f>
        <v>0</v>
      </c>
      <c r="Y12">
        <f>'Calculations BTU'!AG221</f>
        <v>0</v>
      </c>
      <c r="Z12">
        <f>'Calculations BTU'!AH221</f>
        <v>0</v>
      </c>
      <c r="AA12">
        <f>'Calculations BTU'!AI221</f>
        <v>0</v>
      </c>
      <c r="AB12">
        <f>'Calculations BTU'!AJ221</f>
        <v>0</v>
      </c>
      <c r="AC12">
        <f>'Calculations BTU'!AK221</f>
        <v>0</v>
      </c>
      <c r="AD12">
        <f>'Calculations BTU'!AL221</f>
        <v>0</v>
      </c>
      <c r="AE12">
        <f>'Calculations BTU'!AM221</f>
        <v>0</v>
      </c>
      <c r="AF12">
        <f>'Calculations BTU'!AN221</f>
        <v>0</v>
      </c>
      <c r="AG12">
        <f>'Calculations BTU'!AO221</f>
        <v>0</v>
      </c>
      <c r="AH12">
        <f>'Calculations BTU'!AP221</f>
        <v>0</v>
      </c>
      <c r="AI12">
        <f>'Calculations BTU'!AQ221</f>
        <v>0</v>
      </c>
      <c r="AJ12">
        <f>'Calculations BTU'!AR221</f>
        <v>0</v>
      </c>
      <c r="AK12">
        <f>'Calculations BTU'!AS221</f>
        <v>0</v>
      </c>
      <c r="AL12">
        <f>'Calculations BTU'!AT221</f>
        <v>0</v>
      </c>
      <c r="AM12">
        <f>'Calculations BTU'!AU221</f>
        <v>0</v>
      </c>
      <c r="AN12">
        <f>'Calculations BTU'!AV221</f>
        <v>0</v>
      </c>
      <c r="AO12">
        <f>'Calculations BTU'!AW221</f>
        <v>0</v>
      </c>
      <c r="AP12">
        <f>'Calculations BTU'!AX221</f>
        <v>0</v>
      </c>
      <c r="AQ12">
        <f>'Calculations BTU'!AY221</f>
        <v>0</v>
      </c>
      <c r="AR12">
        <f>'Calculations BTU'!AZ221</f>
        <v>0</v>
      </c>
      <c r="AS12">
        <f>'Calculations BTU'!BA221</f>
        <v>0</v>
      </c>
      <c r="AT12">
        <f>'Calculations BTU'!BB221</f>
        <v>0</v>
      </c>
      <c r="AU12">
        <f>'Calculations BTU'!BC221</f>
        <v>0</v>
      </c>
      <c r="AV12">
        <f>'Calculations BTU'!BD221</f>
        <v>0</v>
      </c>
      <c r="AW12">
        <f>'Calculations BTU'!BE221</f>
        <v>0</v>
      </c>
      <c r="AX12">
        <f>'Calculations BTU'!BF221</f>
        <v>0</v>
      </c>
      <c r="AY12">
        <f>'Calculations BTU'!BG221</f>
        <v>0</v>
      </c>
      <c r="AZ12">
        <f>'Calculations BTU'!BH221</f>
        <v>0</v>
      </c>
    </row>
    <row r="13" spans="1:52">
      <c r="A13" t="s">
        <v>137</v>
      </c>
      <c r="B13">
        <f>'Calculations BTU'!J222</f>
        <v>0</v>
      </c>
      <c r="C13">
        <f>'Calculations BTU'!K222</f>
        <v>0</v>
      </c>
      <c r="D13">
        <f>'Calculations BTU'!L222</f>
        <v>0</v>
      </c>
      <c r="E13">
        <f>'Calculations BTU'!M222</f>
        <v>0</v>
      </c>
      <c r="F13">
        <f>'Calculations BTU'!N222</f>
        <v>0</v>
      </c>
      <c r="G13">
        <f>'Calculations BTU'!O222</f>
        <v>0</v>
      </c>
      <c r="H13">
        <f>'Calculations BTU'!P222</f>
        <v>0</v>
      </c>
      <c r="I13">
        <f>'Calculations BTU'!Q222</f>
        <v>0</v>
      </c>
      <c r="J13">
        <f>'Calculations BTU'!R222</f>
        <v>0</v>
      </c>
      <c r="K13">
        <f>'Calculations BTU'!S222</f>
        <v>0</v>
      </c>
      <c r="L13">
        <f>'Calculations BTU'!T222</f>
        <v>0</v>
      </c>
      <c r="M13">
        <f>'Calculations BTU'!U222</f>
        <v>0</v>
      </c>
      <c r="N13">
        <f>'Calculations BTU'!V222</f>
        <v>0</v>
      </c>
      <c r="O13">
        <f>'Calculations BTU'!W222</f>
        <v>0</v>
      </c>
      <c r="P13">
        <f>'Calculations BTU'!X222</f>
        <v>0</v>
      </c>
      <c r="Q13">
        <f>'Calculations BTU'!Y222</f>
        <v>0</v>
      </c>
      <c r="R13">
        <f>'Calculations BTU'!Z222</f>
        <v>0</v>
      </c>
      <c r="S13">
        <f>'Calculations BTU'!AA222</f>
        <v>0</v>
      </c>
      <c r="T13">
        <f>'Calculations BTU'!AB222</f>
        <v>0</v>
      </c>
      <c r="U13">
        <f>'Calculations BTU'!AC222</f>
        <v>0</v>
      </c>
      <c r="V13">
        <f>'Calculations BTU'!AD222</f>
        <v>0</v>
      </c>
      <c r="W13">
        <f>'Calculations BTU'!AE222</f>
        <v>0</v>
      </c>
      <c r="X13">
        <f>'Calculations BTU'!AF222</f>
        <v>0</v>
      </c>
      <c r="Y13">
        <f>'Calculations BTU'!AG222</f>
        <v>0</v>
      </c>
      <c r="Z13">
        <f>'Calculations BTU'!AH222</f>
        <v>0</v>
      </c>
      <c r="AA13">
        <f>'Calculations BTU'!AI222</f>
        <v>0</v>
      </c>
      <c r="AB13">
        <f>'Calculations BTU'!AJ222</f>
        <v>0</v>
      </c>
      <c r="AC13">
        <f>'Calculations BTU'!AK222</f>
        <v>0</v>
      </c>
      <c r="AD13">
        <f>'Calculations BTU'!AL222</f>
        <v>0</v>
      </c>
      <c r="AE13">
        <f>'Calculations BTU'!AM222</f>
        <v>0</v>
      </c>
      <c r="AF13">
        <f>'Calculations BTU'!AN222</f>
        <v>0</v>
      </c>
      <c r="AG13">
        <f>'Calculations BTU'!AO222</f>
        <v>0</v>
      </c>
      <c r="AH13">
        <f>'Calculations BTU'!AP222</f>
        <v>0</v>
      </c>
      <c r="AI13">
        <f>'Calculations BTU'!AQ222</f>
        <v>0</v>
      </c>
      <c r="AJ13">
        <f>'Calculations BTU'!AR222</f>
        <v>0</v>
      </c>
      <c r="AK13">
        <f>'Calculations BTU'!AS222</f>
        <v>0</v>
      </c>
      <c r="AL13">
        <f>'Calculations BTU'!AT222</f>
        <v>0</v>
      </c>
      <c r="AM13">
        <f>'Calculations BTU'!AU222</f>
        <v>0</v>
      </c>
      <c r="AN13">
        <f>'Calculations BTU'!AV222</f>
        <v>0</v>
      </c>
      <c r="AO13">
        <f>'Calculations BTU'!AW222</f>
        <v>0</v>
      </c>
      <c r="AP13">
        <f>'Calculations BTU'!AX222</f>
        <v>0</v>
      </c>
      <c r="AQ13">
        <f>'Calculations BTU'!AY222</f>
        <v>0</v>
      </c>
      <c r="AR13">
        <f>'Calculations BTU'!AZ222</f>
        <v>0</v>
      </c>
      <c r="AS13">
        <f>'Calculations BTU'!BA222</f>
        <v>0</v>
      </c>
      <c r="AT13">
        <f>'Calculations BTU'!BB222</f>
        <v>0</v>
      </c>
      <c r="AU13">
        <f>'Calculations BTU'!BC222</f>
        <v>0</v>
      </c>
      <c r="AV13">
        <f>'Calculations BTU'!BD222</f>
        <v>0</v>
      </c>
      <c r="AW13">
        <f>'Calculations BTU'!BE222</f>
        <v>0</v>
      </c>
      <c r="AX13">
        <f>'Calculations BTU'!BF222</f>
        <v>0</v>
      </c>
      <c r="AY13">
        <f>'Calculations BTU'!BG222</f>
        <v>0</v>
      </c>
      <c r="AZ13">
        <f>'Calculations BTU'!BH222</f>
        <v>0</v>
      </c>
    </row>
    <row r="14" spans="1:52">
      <c r="A14" t="s">
        <v>138</v>
      </c>
      <c r="B14">
        <f>'Calculations BTU'!J223</f>
        <v>0</v>
      </c>
      <c r="C14">
        <f>'Calculations BTU'!K223</f>
        <v>0</v>
      </c>
      <c r="D14">
        <f>'Calculations BTU'!L223</f>
        <v>0</v>
      </c>
      <c r="E14">
        <f>'Calculations BTU'!M223</f>
        <v>0</v>
      </c>
      <c r="F14">
        <f>'Calculations BTU'!N223</f>
        <v>0</v>
      </c>
      <c r="G14">
        <f>'Calculations BTU'!O223</f>
        <v>0</v>
      </c>
      <c r="H14">
        <f>'Calculations BTU'!P223</f>
        <v>0</v>
      </c>
      <c r="I14">
        <f>'Calculations BTU'!Q223</f>
        <v>0</v>
      </c>
      <c r="J14">
        <f>'Calculations BTU'!R223</f>
        <v>0</v>
      </c>
      <c r="K14">
        <f>'Calculations BTU'!S223</f>
        <v>0</v>
      </c>
      <c r="L14">
        <f>'Calculations BTU'!T223</f>
        <v>0</v>
      </c>
      <c r="M14">
        <f>'Calculations BTU'!U223</f>
        <v>0</v>
      </c>
      <c r="N14">
        <f>'Calculations BTU'!V223</f>
        <v>0</v>
      </c>
      <c r="O14">
        <f>'Calculations BTU'!W223</f>
        <v>0</v>
      </c>
      <c r="P14">
        <f>'Calculations BTU'!X223</f>
        <v>0</v>
      </c>
      <c r="Q14">
        <f>'Calculations BTU'!Y223</f>
        <v>0</v>
      </c>
      <c r="R14">
        <f>'Calculations BTU'!Z223</f>
        <v>0</v>
      </c>
      <c r="S14">
        <f>'Calculations BTU'!AA223</f>
        <v>0</v>
      </c>
      <c r="T14">
        <f>'Calculations BTU'!AB223</f>
        <v>0</v>
      </c>
      <c r="U14">
        <f>'Calculations BTU'!AC223</f>
        <v>0</v>
      </c>
      <c r="V14">
        <f>'Calculations BTU'!AD223</f>
        <v>0</v>
      </c>
      <c r="W14">
        <f>'Calculations BTU'!AE223</f>
        <v>0</v>
      </c>
      <c r="X14">
        <f>'Calculations BTU'!AF223</f>
        <v>0</v>
      </c>
      <c r="Y14">
        <f>'Calculations BTU'!AG223</f>
        <v>0</v>
      </c>
      <c r="Z14">
        <f>'Calculations BTU'!AH223</f>
        <v>0</v>
      </c>
      <c r="AA14">
        <f>'Calculations BTU'!AI223</f>
        <v>0</v>
      </c>
      <c r="AB14">
        <f>'Calculations BTU'!AJ223</f>
        <v>0</v>
      </c>
      <c r="AC14">
        <f>'Calculations BTU'!AK223</f>
        <v>0</v>
      </c>
      <c r="AD14">
        <f>'Calculations BTU'!AL223</f>
        <v>0</v>
      </c>
      <c r="AE14">
        <f>'Calculations BTU'!AM223</f>
        <v>0</v>
      </c>
      <c r="AF14">
        <f>'Calculations BTU'!AN223</f>
        <v>0</v>
      </c>
      <c r="AG14">
        <f>'Calculations BTU'!AO223</f>
        <v>0</v>
      </c>
      <c r="AH14">
        <f>'Calculations BTU'!AP223</f>
        <v>0</v>
      </c>
      <c r="AI14">
        <f>'Calculations BTU'!AQ223</f>
        <v>0</v>
      </c>
      <c r="AJ14">
        <f>'Calculations BTU'!AR223</f>
        <v>0</v>
      </c>
      <c r="AK14">
        <f>'Calculations BTU'!AS223</f>
        <v>0</v>
      </c>
      <c r="AL14">
        <f>'Calculations BTU'!AT223</f>
        <v>0</v>
      </c>
      <c r="AM14">
        <f>'Calculations BTU'!AU223</f>
        <v>0</v>
      </c>
      <c r="AN14">
        <f>'Calculations BTU'!AV223</f>
        <v>0</v>
      </c>
      <c r="AO14">
        <f>'Calculations BTU'!AW223</f>
        <v>0</v>
      </c>
      <c r="AP14">
        <f>'Calculations BTU'!AX223</f>
        <v>0</v>
      </c>
      <c r="AQ14">
        <f>'Calculations BTU'!AY223</f>
        <v>0</v>
      </c>
      <c r="AR14">
        <f>'Calculations BTU'!AZ223</f>
        <v>0</v>
      </c>
      <c r="AS14">
        <f>'Calculations BTU'!BA223</f>
        <v>0</v>
      </c>
      <c r="AT14">
        <f>'Calculations BTU'!BB223</f>
        <v>0</v>
      </c>
      <c r="AU14">
        <f>'Calculations BTU'!BC223</f>
        <v>0</v>
      </c>
      <c r="AV14">
        <f>'Calculations BTU'!BD223</f>
        <v>0</v>
      </c>
      <c r="AW14">
        <f>'Calculations BTU'!BE223</f>
        <v>0</v>
      </c>
      <c r="AX14">
        <f>'Calculations BTU'!BF223</f>
        <v>0</v>
      </c>
      <c r="AY14">
        <f>'Calculations BTU'!BG223</f>
        <v>0</v>
      </c>
      <c r="AZ14">
        <f>'Calculations BTU'!BH223</f>
        <v>0</v>
      </c>
    </row>
    <row r="15" spans="1:52">
      <c r="A15" t="s">
        <v>139</v>
      </c>
      <c r="B15">
        <f>'Calculations BTU'!J224</f>
        <v>0</v>
      </c>
      <c r="C15">
        <f>'Calculations BTU'!K224</f>
        <v>0</v>
      </c>
      <c r="D15">
        <f>'Calculations BTU'!L224</f>
        <v>0</v>
      </c>
      <c r="E15">
        <f>'Calculations BTU'!M224</f>
        <v>0</v>
      </c>
      <c r="F15">
        <f>'Calculations BTU'!N224</f>
        <v>0</v>
      </c>
      <c r="G15">
        <f>'Calculations BTU'!O224</f>
        <v>0</v>
      </c>
      <c r="H15">
        <f>'Calculations BTU'!P224</f>
        <v>0</v>
      </c>
      <c r="I15">
        <f>'Calculations BTU'!Q224</f>
        <v>0</v>
      </c>
      <c r="J15">
        <f>'Calculations BTU'!R224</f>
        <v>0</v>
      </c>
      <c r="K15">
        <f>'Calculations BTU'!S224</f>
        <v>0</v>
      </c>
      <c r="L15">
        <f>'Calculations BTU'!T224</f>
        <v>0</v>
      </c>
      <c r="M15">
        <f>'Calculations BTU'!U224</f>
        <v>0</v>
      </c>
      <c r="N15">
        <f>'Calculations BTU'!V224</f>
        <v>0</v>
      </c>
      <c r="O15">
        <f>'Calculations BTU'!W224</f>
        <v>0</v>
      </c>
      <c r="P15">
        <f>'Calculations BTU'!X224</f>
        <v>0</v>
      </c>
      <c r="Q15">
        <f>'Calculations BTU'!Y224</f>
        <v>0</v>
      </c>
      <c r="R15">
        <f>'Calculations BTU'!Z224</f>
        <v>0</v>
      </c>
      <c r="S15">
        <f>'Calculations BTU'!AA224</f>
        <v>0</v>
      </c>
      <c r="T15">
        <f>'Calculations BTU'!AB224</f>
        <v>0</v>
      </c>
      <c r="U15">
        <f>'Calculations BTU'!AC224</f>
        <v>0</v>
      </c>
      <c r="V15">
        <f>'Calculations BTU'!AD224</f>
        <v>0</v>
      </c>
      <c r="W15">
        <f>'Calculations BTU'!AE224</f>
        <v>0</v>
      </c>
      <c r="X15">
        <f>'Calculations BTU'!AF224</f>
        <v>0</v>
      </c>
      <c r="Y15">
        <f>'Calculations BTU'!AG224</f>
        <v>0</v>
      </c>
      <c r="Z15">
        <f>'Calculations BTU'!AH224</f>
        <v>0</v>
      </c>
      <c r="AA15">
        <f>'Calculations BTU'!AI224</f>
        <v>0</v>
      </c>
      <c r="AB15">
        <f>'Calculations BTU'!AJ224</f>
        <v>0</v>
      </c>
      <c r="AC15">
        <f>'Calculations BTU'!AK224</f>
        <v>0</v>
      </c>
      <c r="AD15">
        <f>'Calculations BTU'!AL224</f>
        <v>0</v>
      </c>
      <c r="AE15">
        <f>'Calculations BTU'!AM224</f>
        <v>0</v>
      </c>
      <c r="AF15">
        <f>'Calculations BTU'!AN224</f>
        <v>0</v>
      </c>
      <c r="AG15">
        <f>'Calculations BTU'!AO224</f>
        <v>0</v>
      </c>
      <c r="AH15">
        <f>'Calculations BTU'!AP224</f>
        <v>0</v>
      </c>
      <c r="AI15">
        <f>'Calculations BTU'!AQ224</f>
        <v>0</v>
      </c>
      <c r="AJ15">
        <f>'Calculations BTU'!AR224</f>
        <v>0</v>
      </c>
      <c r="AK15">
        <f>'Calculations BTU'!AS224</f>
        <v>0</v>
      </c>
      <c r="AL15">
        <f>'Calculations BTU'!AT224</f>
        <v>0</v>
      </c>
      <c r="AM15">
        <f>'Calculations BTU'!AU224</f>
        <v>0</v>
      </c>
      <c r="AN15">
        <f>'Calculations BTU'!AV224</f>
        <v>0</v>
      </c>
      <c r="AO15">
        <f>'Calculations BTU'!AW224</f>
        <v>0</v>
      </c>
      <c r="AP15">
        <f>'Calculations BTU'!AX224</f>
        <v>0</v>
      </c>
      <c r="AQ15">
        <f>'Calculations BTU'!AY224</f>
        <v>0</v>
      </c>
      <c r="AR15">
        <f>'Calculations BTU'!AZ224</f>
        <v>0</v>
      </c>
      <c r="AS15">
        <f>'Calculations BTU'!BA224</f>
        <v>0</v>
      </c>
      <c r="AT15">
        <f>'Calculations BTU'!BB224</f>
        <v>0</v>
      </c>
      <c r="AU15">
        <f>'Calculations BTU'!BC224</f>
        <v>0</v>
      </c>
      <c r="AV15">
        <f>'Calculations BTU'!BD224</f>
        <v>0</v>
      </c>
      <c r="AW15">
        <f>'Calculations BTU'!BE224</f>
        <v>0</v>
      </c>
      <c r="AX15">
        <f>'Calculations BTU'!BF224</f>
        <v>0</v>
      </c>
      <c r="AY15">
        <f>'Calculations BTU'!BG224</f>
        <v>0</v>
      </c>
      <c r="AZ15">
        <f>'Calculations BTU'!BH224</f>
        <v>0</v>
      </c>
    </row>
    <row r="16" spans="1:52">
      <c r="A16" t="s">
        <v>140</v>
      </c>
      <c r="B16">
        <f>'Calculations BTU'!J225</f>
        <v>0</v>
      </c>
      <c r="C16">
        <f>'Calculations BTU'!K225</f>
        <v>0</v>
      </c>
      <c r="D16">
        <f>'Calculations BTU'!L225</f>
        <v>0</v>
      </c>
      <c r="E16">
        <f>'Calculations BTU'!M225</f>
        <v>0</v>
      </c>
      <c r="F16">
        <f>'Calculations BTU'!N225</f>
        <v>0</v>
      </c>
      <c r="G16">
        <f>'Calculations BTU'!O225</f>
        <v>0</v>
      </c>
      <c r="H16">
        <f>'Calculations BTU'!P225</f>
        <v>0</v>
      </c>
      <c r="I16">
        <f>'Calculations BTU'!Q225</f>
        <v>0</v>
      </c>
      <c r="J16">
        <f>'Calculations BTU'!R225</f>
        <v>0</v>
      </c>
      <c r="K16">
        <f>'Calculations BTU'!S225</f>
        <v>0</v>
      </c>
      <c r="L16">
        <f>'Calculations BTU'!T225</f>
        <v>0</v>
      </c>
      <c r="M16">
        <f>'Calculations BTU'!U225</f>
        <v>0</v>
      </c>
      <c r="N16">
        <f>'Calculations BTU'!V225</f>
        <v>0</v>
      </c>
      <c r="O16">
        <f>'Calculations BTU'!W225</f>
        <v>0</v>
      </c>
      <c r="P16">
        <f>'Calculations BTU'!X225</f>
        <v>0</v>
      </c>
      <c r="Q16">
        <f>'Calculations BTU'!Y225</f>
        <v>0</v>
      </c>
      <c r="R16">
        <f>'Calculations BTU'!Z225</f>
        <v>0</v>
      </c>
      <c r="S16">
        <f>'Calculations BTU'!AA225</f>
        <v>0</v>
      </c>
      <c r="T16">
        <f>'Calculations BTU'!AB225</f>
        <v>0</v>
      </c>
      <c r="U16">
        <f>'Calculations BTU'!AC225</f>
        <v>0</v>
      </c>
      <c r="V16">
        <f>'Calculations BTU'!AD225</f>
        <v>0</v>
      </c>
      <c r="W16">
        <f>'Calculations BTU'!AE225</f>
        <v>0</v>
      </c>
      <c r="X16">
        <f>'Calculations BTU'!AF225</f>
        <v>0</v>
      </c>
      <c r="Y16">
        <f>'Calculations BTU'!AG225</f>
        <v>0</v>
      </c>
      <c r="Z16">
        <f>'Calculations BTU'!AH225</f>
        <v>0</v>
      </c>
      <c r="AA16">
        <f>'Calculations BTU'!AI225</f>
        <v>0</v>
      </c>
      <c r="AB16">
        <f>'Calculations BTU'!AJ225</f>
        <v>0</v>
      </c>
      <c r="AC16">
        <f>'Calculations BTU'!AK225</f>
        <v>0</v>
      </c>
      <c r="AD16">
        <f>'Calculations BTU'!AL225</f>
        <v>0</v>
      </c>
      <c r="AE16">
        <f>'Calculations BTU'!AM225</f>
        <v>0</v>
      </c>
      <c r="AF16">
        <f>'Calculations BTU'!AN225</f>
        <v>0</v>
      </c>
      <c r="AG16">
        <f>'Calculations BTU'!AO225</f>
        <v>0</v>
      </c>
      <c r="AH16">
        <f>'Calculations BTU'!AP225</f>
        <v>0</v>
      </c>
      <c r="AI16">
        <f>'Calculations BTU'!AQ225</f>
        <v>0</v>
      </c>
      <c r="AJ16">
        <f>'Calculations BTU'!AR225</f>
        <v>0</v>
      </c>
      <c r="AK16">
        <f>'Calculations BTU'!AS225</f>
        <v>0</v>
      </c>
      <c r="AL16">
        <f>'Calculations BTU'!AT225</f>
        <v>0</v>
      </c>
      <c r="AM16">
        <f>'Calculations BTU'!AU225</f>
        <v>0</v>
      </c>
      <c r="AN16">
        <f>'Calculations BTU'!AV225</f>
        <v>0</v>
      </c>
      <c r="AO16">
        <f>'Calculations BTU'!AW225</f>
        <v>0</v>
      </c>
      <c r="AP16">
        <f>'Calculations BTU'!AX225</f>
        <v>0</v>
      </c>
      <c r="AQ16">
        <f>'Calculations BTU'!AY225</f>
        <v>0</v>
      </c>
      <c r="AR16">
        <f>'Calculations BTU'!AZ225</f>
        <v>0</v>
      </c>
      <c r="AS16">
        <f>'Calculations BTU'!BA225</f>
        <v>0</v>
      </c>
      <c r="AT16">
        <f>'Calculations BTU'!BB225</f>
        <v>0</v>
      </c>
      <c r="AU16">
        <f>'Calculations BTU'!BC225</f>
        <v>0</v>
      </c>
      <c r="AV16">
        <f>'Calculations BTU'!BD225</f>
        <v>0</v>
      </c>
      <c r="AW16">
        <f>'Calculations BTU'!BE225</f>
        <v>0</v>
      </c>
      <c r="AX16">
        <f>'Calculations BTU'!BF225</f>
        <v>0</v>
      </c>
      <c r="AY16">
        <f>'Calculations BTU'!BG225</f>
        <v>0</v>
      </c>
      <c r="AZ16">
        <f>'Calculations BTU'!BH225</f>
        <v>0</v>
      </c>
    </row>
    <row r="17" spans="1:52">
      <c r="A17" t="s">
        <v>141</v>
      </c>
      <c r="B17">
        <f>'Calculations BTU'!J226</f>
        <v>0</v>
      </c>
      <c r="C17">
        <f>'Calculations BTU'!K226</f>
        <v>0</v>
      </c>
      <c r="D17">
        <f>'Calculations BTU'!L226</f>
        <v>0</v>
      </c>
      <c r="E17">
        <f>'Calculations BTU'!M226</f>
        <v>0</v>
      </c>
      <c r="F17">
        <f>'Calculations BTU'!N226</f>
        <v>0</v>
      </c>
      <c r="G17">
        <f>'Calculations BTU'!O226</f>
        <v>0</v>
      </c>
      <c r="H17">
        <f>'Calculations BTU'!P226</f>
        <v>0</v>
      </c>
      <c r="I17">
        <f>'Calculations BTU'!Q226</f>
        <v>0</v>
      </c>
      <c r="J17">
        <f>'Calculations BTU'!R226</f>
        <v>0</v>
      </c>
      <c r="K17">
        <f>'Calculations BTU'!S226</f>
        <v>0</v>
      </c>
      <c r="L17">
        <f>'Calculations BTU'!T226</f>
        <v>0</v>
      </c>
      <c r="M17">
        <f>'Calculations BTU'!U226</f>
        <v>0</v>
      </c>
      <c r="N17">
        <f>'Calculations BTU'!V226</f>
        <v>0</v>
      </c>
      <c r="O17">
        <f>'Calculations BTU'!W226</f>
        <v>0</v>
      </c>
      <c r="P17">
        <f>'Calculations BTU'!X226</f>
        <v>0</v>
      </c>
      <c r="Q17">
        <f>'Calculations BTU'!Y226</f>
        <v>0</v>
      </c>
      <c r="R17">
        <f>'Calculations BTU'!Z226</f>
        <v>0</v>
      </c>
      <c r="S17">
        <f>'Calculations BTU'!AA226</f>
        <v>0</v>
      </c>
      <c r="T17">
        <f>'Calculations BTU'!AB226</f>
        <v>0</v>
      </c>
      <c r="U17">
        <f>'Calculations BTU'!AC226</f>
        <v>0</v>
      </c>
      <c r="V17">
        <f>'Calculations BTU'!AD226</f>
        <v>0</v>
      </c>
      <c r="W17">
        <f>'Calculations BTU'!AE226</f>
        <v>0</v>
      </c>
      <c r="X17">
        <f>'Calculations BTU'!AF226</f>
        <v>0</v>
      </c>
      <c r="Y17">
        <f>'Calculations BTU'!AG226</f>
        <v>0</v>
      </c>
      <c r="Z17">
        <f>'Calculations BTU'!AH226</f>
        <v>0</v>
      </c>
      <c r="AA17">
        <f>'Calculations BTU'!AI226</f>
        <v>0</v>
      </c>
      <c r="AB17">
        <f>'Calculations BTU'!AJ226</f>
        <v>0</v>
      </c>
      <c r="AC17">
        <f>'Calculations BTU'!AK226</f>
        <v>0</v>
      </c>
      <c r="AD17">
        <f>'Calculations BTU'!AL226</f>
        <v>0</v>
      </c>
      <c r="AE17">
        <f>'Calculations BTU'!AM226</f>
        <v>0</v>
      </c>
      <c r="AF17">
        <f>'Calculations BTU'!AN226</f>
        <v>0</v>
      </c>
      <c r="AG17">
        <f>'Calculations BTU'!AO226</f>
        <v>0</v>
      </c>
      <c r="AH17">
        <f>'Calculations BTU'!AP226</f>
        <v>0</v>
      </c>
      <c r="AI17">
        <f>'Calculations BTU'!AQ226</f>
        <v>0</v>
      </c>
      <c r="AJ17">
        <f>'Calculations BTU'!AR226</f>
        <v>0</v>
      </c>
      <c r="AK17">
        <f>'Calculations BTU'!AS226</f>
        <v>0</v>
      </c>
      <c r="AL17">
        <f>'Calculations BTU'!AT226</f>
        <v>0</v>
      </c>
      <c r="AM17">
        <f>'Calculations BTU'!AU226</f>
        <v>0</v>
      </c>
      <c r="AN17">
        <f>'Calculations BTU'!AV226</f>
        <v>0</v>
      </c>
      <c r="AO17">
        <f>'Calculations BTU'!AW226</f>
        <v>0</v>
      </c>
      <c r="AP17">
        <f>'Calculations BTU'!AX226</f>
        <v>0</v>
      </c>
      <c r="AQ17">
        <f>'Calculations BTU'!AY226</f>
        <v>0</v>
      </c>
      <c r="AR17">
        <f>'Calculations BTU'!AZ226</f>
        <v>0</v>
      </c>
      <c r="AS17">
        <f>'Calculations BTU'!BA226</f>
        <v>0</v>
      </c>
      <c r="AT17">
        <f>'Calculations BTU'!BB226</f>
        <v>0</v>
      </c>
      <c r="AU17">
        <f>'Calculations BTU'!BC226</f>
        <v>0</v>
      </c>
      <c r="AV17">
        <f>'Calculations BTU'!BD226</f>
        <v>0</v>
      </c>
      <c r="AW17">
        <f>'Calculations BTU'!BE226</f>
        <v>0</v>
      </c>
      <c r="AX17">
        <f>'Calculations BTU'!BF226</f>
        <v>0</v>
      </c>
      <c r="AY17">
        <f>'Calculations BTU'!BG226</f>
        <v>0</v>
      </c>
      <c r="AZ17">
        <f>'Calculations BTU'!BH226</f>
        <v>0</v>
      </c>
    </row>
    <row r="18" spans="1:52">
      <c r="A18" t="s">
        <v>142</v>
      </c>
      <c r="B18">
        <f>'Calculations BTU'!J227</f>
        <v>0</v>
      </c>
      <c r="C18">
        <f>'Calculations BTU'!K227</f>
        <v>0</v>
      </c>
      <c r="D18">
        <f>'Calculations BTU'!L227</f>
        <v>0</v>
      </c>
      <c r="E18">
        <f>'Calculations BTU'!M227</f>
        <v>0</v>
      </c>
      <c r="F18">
        <f>'Calculations BTU'!N227</f>
        <v>0</v>
      </c>
      <c r="G18">
        <f>'Calculations BTU'!O227</f>
        <v>0</v>
      </c>
      <c r="H18">
        <f>'Calculations BTU'!P227</f>
        <v>0</v>
      </c>
      <c r="I18">
        <f>'Calculations BTU'!Q227</f>
        <v>0</v>
      </c>
      <c r="J18">
        <f>'Calculations BTU'!R227</f>
        <v>0</v>
      </c>
      <c r="K18">
        <f>'Calculations BTU'!S227</f>
        <v>0</v>
      </c>
      <c r="L18">
        <f>'Calculations BTU'!T227</f>
        <v>0</v>
      </c>
      <c r="M18">
        <f>'Calculations BTU'!U227</f>
        <v>0</v>
      </c>
      <c r="N18">
        <f>'Calculations BTU'!V227</f>
        <v>0</v>
      </c>
      <c r="O18">
        <f>'Calculations BTU'!W227</f>
        <v>0</v>
      </c>
      <c r="P18">
        <f>'Calculations BTU'!X227</f>
        <v>0</v>
      </c>
      <c r="Q18">
        <f>'Calculations BTU'!Y227</f>
        <v>0</v>
      </c>
      <c r="R18">
        <f>'Calculations BTU'!Z227</f>
        <v>0</v>
      </c>
      <c r="S18">
        <f>'Calculations BTU'!AA227</f>
        <v>0</v>
      </c>
      <c r="T18">
        <f>'Calculations BTU'!AB227</f>
        <v>0</v>
      </c>
      <c r="U18">
        <f>'Calculations BTU'!AC227</f>
        <v>0</v>
      </c>
      <c r="V18">
        <f>'Calculations BTU'!AD227</f>
        <v>0</v>
      </c>
      <c r="W18">
        <f>'Calculations BTU'!AE227</f>
        <v>0</v>
      </c>
      <c r="X18">
        <f>'Calculations BTU'!AF227</f>
        <v>0</v>
      </c>
      <c r="Y18">
        <f>'Calculations BTU'!AG227</f>
        <v>0</v>
      </c>
      <c r="Z18">
        <f>'Calculations BTU'!AH227</f>
        <v>0</v>
      </c>
      <c r="AA18">
        <f>'Calculations BTU'!AI227</f>
        <v>0</v>
      </c>
      <c r="AB18">
        <f>'Calculations BTU'!AJ227</f>
        <v>0</v>
      </c>
      <c r="AC18">
        <f>'Calculations BTU'!AK227</f>
        <v>0</v>
      </c>
      <c r="AD18">
        <f>'Calculations BTU'!AL227</f>
        <v>0</v>
      </c>
      <c r="AE18">
        <f>'Calculations BTU'!AM227</f>
        <v>0</v>
      </c>
      <c r="AF18">
        <f>'Calculations BTU'!AN227</f>
        <v>0</v>
      </c>
      <c r="AG18">
        <f>'Calculations BTU'!AO227</f>
        <v>0</v>
      </c>
      <c r="AH18">
        <f>'Calculations BTU'!AP227</f>
        <v>0</v>
      </c>
      <c r="AI18">
        <f>'Calculations BTU'!AQ227</f>
        <v>0</v>
      </c>
      <c r="AJ18">
        <f>'Calculations BTU'!AR227</f>
        <v>0</v>
      </c>
      <c r="AK18">
        <f>'Calculations BTU'!AS227</f>
        <v>0</v>
      </c>
      <c r="AL18">
        <f>'Calculations BTU'!AT227</f>
        <v>0</v>
      </c>
      <c r="AM18">
        <f>'Calculations BTU'!AU227</f>
        <v>0</v>
      </c>
      <c r="AN18">
        <f>'Calculations BTU'!AV227</f>
        <v>0</v>
      </c>
      <c r="AO18">
        <f>'Calculations BTU'!AW227</f>
        <v>0</v>
      </c>
      <c r="AP18">
        <f>'Calculations BTU'!AX227</f>
        <v>0</v>
      </c>
      <c r="AQ18">
        <f>'Calculations BTU'!AY227</f>
        <v>0</v>
      </c>
      <c r="AR18">
        <f>'Calculations BTU'!AZ227</f>
        <v>0</v>
      </c>
      <c r="AS18">
        <f>'Calculations BTU'!BA227</f>
        <v>0</v>
      </c>
      <c r="AT18">
        <f>'Calculations BTU'!BB227</f>
        <v>0</v>
      </c>
      <c r="AU18">
        <f>'Calculations BTU'!BC227</f>
        <v>0</v>
      </c>
      <c r="AV18">
        <f>'Calculations BTU'!BD227</f>
        <v>0</v>
      </c>
      <c r="AW18">
        <f>'Calculations BTU'!BE227</f>
        <v>0</v>
      </c>
      <c r="AX18">
        <f>'Calculations BTU'!BF227</f>
        <v>0</v>
      </c>
      <c r="AY18">
        <f>'Calculations BTU'!BG227</f>
        <v>0</v>
      </c>
      <c r="AZ18">
        <f>'Calculations BTU'!BH227</f>
        <v>0</v>
      </c>
    </row>
    <row r="19" spans="1:52">
      <c r="A19" t="s">
        <v>143</v>
      </c>
      <c r="B19">
        <f>'Calculations BTU'!J228</f>
        <v>0</v>
      </c>
      <c r="C19">
        <f>'Calculations BTU'!K228</f>
        <v>0</v>
      </c>
      <c r="D19">
        <f>'Calculations BTU'!L228</f>
        <v>0</v>
      </c>
      <c r="E19">
        <f>'Calculations BTU'!M228</f>
        <v>0</v>
      </c>
      <c r="F19">
        <f>'Calculations BTU'!N228</f>
        <v>0</v>
      </c>
      <c r="G19">
        <f>'Calculations BTU'!O228</f>
        <v>0</v>
      </c>
      <c r="H19">
        <f>'Calculations BTU'!P228</f>
        <v>0</v>
      </c>
      <c r="I19">
        <f>'Calculations BTU'!Q228</f>
        <v>0</v>
      </c>
      <c r="J19">
        <f>'Calculations BTU'!R228</f>
        <v>0</v>
      </c>
      <c r="K19">
        <f>'Calculations BTU'!S228</f>
        <v>0</v>
      </c>
      <c r="L19">
        <f>'Calculations BTU'!T228</f>
        <v>0</v>
      </c>
      <c r="M19">
        <f>'Calculations BTU'!U228</f>
        <v>0</v>
      </c>
      <c r="N19">
        <f>'Calculations BTU'!V228</f>
        <v>0</v>
      </c>
      <c r="O19">
        <f>'Calculations BTU'!W228</f>
        <v>0</v>
      </c>
      <c r="P19">
        <f>'Calculations BTU'!X228</f>
        <v>0</v>
      </c>
      <c r="Q19">
        <f>'Calculations BTU'!Y228</f>
        <v>0</v>
      </c>
      <c r="R19">
        <f>'Calculations BTU'!Z228</f>
        <v>0</v>
      </c>
      <c r="S19">
        <f>'Calculations BTU'!AA228</f>
        <v>0</v>
      </c>
      <c r="T19">
        <f>'Calculations BTU'!AB228</f>
        <v>0</v>
      </c>
      <c r="U19">
        <f>'Calculations BTU'!AC228</f>
        <v>0</v>
      </c>
      <c r="V19">
        <f>'Calculations BTU'!AD228</f>
        <v>0</v>
      </c>
      <c r="W19">
        <f>'Calculations BTU'!AE228</f>
        <v>0</v>
      </c>
      <c r="X19">
        <f>'Calculations BTU'!AF228</f>
        <v>0</v>
      </c>
      <c r="Y19">
        <f>'Calculations BTU'!AG228</f>
        <v>0</v>
      </c>
      <c r="Z19">
        <f>'Calculations BTU'!AH228</f>
        <v>0</v>
      </c>
      <c r="AA19">
        <f>'Calculations BTU'!AI228</f>
        <v>0</v>
      </c>
      <c r="AB19">
        <f>'Calculations BTU'!AJ228</f>
        <v>0</v>
      </c>
      <c r="AC19">
        <f>'Calculations BTU'!AK228</f>
        <v>0</v>
      </c>
      <c r="AD19">
        <f>'Calculations BTU'!AL228</f>
        <v>0</v>
      </c>
      <c r="AE19">
        <f>'Calculations BTU'!AM228</f>
        <v>0</v>
      </c>
      <c r="AF19">
        <f>'Calculations BTU'!AN228</f>
        <v>0</v>
      </c>
      <c r="AG19">
        <f>'Calculations BTU'!AO228</f>
        <v>0</v>
      </c>
      <c r="AH19">
        <f>'Calculations BTU'!AP228</f>
        <v>0</v>
      </c>
      <c r="AI19">
        <f>'Calculations BTU'!AQ228</f>
        <v>0</v>
      </c>
      <c r="AJ19">
        <f>'Calculations BTU'!AR228</f>
        <v>0</v>
      </c>
      <c r="AK19">
        <f>'Calculations BTU'!AS228</f>
        <v>0</v>
      </c>
      <c r="AL19">
        <f>'Calculations BTU'!AT228</f>
        <v>0</v>
      </c>
      <c r="AM19">
        <f>'Calculations BTU'!AU228</f>
        <v>0</v>
      </c>
      <c r="AN19">
        <f>'Calculations BTU'!AV228</f>
        <v>0</v>
      </c>
      <c r="AO19">
        <f>'Calculations BTU'!AW228</f>
        <v>0</v>
      </c>
      <c r="AP19">
        <f>'Calculations BTU'!AX228</f>
        <v>0</v>
      </c>
      <c r="AQ19">
        <f>'Calculations BTU'!AY228</f>
        <v>0</v>
      </c>
      <c r="AR19">
        <f>'Calculations BTU'!AZ228</f>
        <v>0</v>
      </c>
      <c r="AS19">
        <f>'Calculations BTU'!BA228</f>
        <v>0</v>
      </c>
      <c r="AT19">
        <f>'Calculations BTU'!BB228</f>
        <v>0</v>
      </c>
      <c r="AU19">
        <f>'Calculations BTU'!BC228</f>
        <v>0</v>
      </c>
      <c r="AV19">
        <f>'Calculations BTU'!BD228</f>
        <v>0</v>
      </c>
      <c r="AW19">
        <f>'Calculations BTU'!BE228</f>
        <v>0</v>
      </c>
      <c r="AX19">
        <f>'Calculations BTU'!BF228</f>
        <v>0</v>
      </c>
      <c r="AY19">
        <f>'Calculations BTU'!BG228</f>
        <v>0</v>
      </c>
      <c r="AZ19">
        <f>'Calculations BTU'!BH228</f>
        <v>0</v>
      </c>
    </row>
    <row r="20" spans="1:52">
      <c r="A20" t="s">
        <v>144</v>
      </c>
      <c r="B20">
        <f>'Calculations BTU'!J229</f>
        <v>0</v>
      </c>
      <c r="C20">
        <f>'Calculations BTU'!K229</f>
        <v>0</v>
      </c>
      <c r="D20">
        <f>'Calculations BTU'!L229</f>
        <v>0</v>
      </c>
      <c r="E20">
        <f>'Calculations BTU'!M229</f>
        <v>0</v>
      </c>
      <c r="F20">
        <f>'Calculations BTU'!N229</f>
        <v>0</v>
      </c>
      <c r="G20">
        <f>'Calculations BTU'!O229</f>
        <v>0</v>
      </c>
      <c r="H20">
        <f>'Calculations BTU'!P229</f>
        <v>0</v>
      </c>
      <c r="I20">
        <f>'Calculations BTU'!Q229</f>
        <v>0</v>
      </c>
      <c r="J20">
        <f>'Calculations BTU'!R229</f>
        <v>0</v>
      </c>
      <c r="K20">
        <f>'Calculations BTU'!S229</f>
        <v>0</v>
      </c>
      <c r="L20">
        <f>'Calculations BTU'!T229</f>
        <v>0</v>
      </c>
      <c r="M20">
        <f>'Calculations BTU'!U229</f>
        <v>0</v>
      </c>
      <c r="N20">
        <f>'Calculations BTU'!V229</f>
        <v>0</v>
      </c>
      <c r="O20">
        <f>'Calculations BTU'!W229</f>
        <v>0</v>
      </c>
      <c r="P20">
        <f>'Calculations BTU'!X229</f>
        <v>0</v>
      </c>
      <c r="Q20">
        <f>'Calculations BTU'!Y229</f>
        <v>0</v>
      </c>
      <c r="R20">
        <f>'Calculations BTU'!Z229</f>
        <v>0</v>
      </c>
      <c r="S20">
        <f>'Calculations BTU'!AA229</f>
        <v>0</v>
      </c>
      <c r="T20">
        <f>'Calculations BTU'!AB229</f>
        <v>0</v>
      </c>
      <c r="U20">
        <f>'Calculations BTU'!AC229</f>
        <v>0</v>
      </c>
      <c r="V20">
        <f>'Calculations BTU'!AD229</f>
        <v>0</v>
      </c>
      <c r="W20">
        <f>'Calculations BTU'!AE229</f>
        <v>0</v>
      </c>
      <c r="X20">
        <f>'Calculations BTU'!AF229</f>
        <v>0</v>
      </c>
      <c r="Y20">
        <f>'Calculations BTU'!AG229</f>
        <v>0</v>
      </c>
      <c r="Z20">
        <f>'Calculations BTU'!AH229</f>
        <v>0</v>
      </c>
      <c r="AA20">
        <f>'Calculations BTU'!AI229</f>
        <v>0</v>
      </c>
      <c r="AB20">
        <f>'Calculations BTU'!AJ229</f>
        <v>0</v>
      </c>
      <c r="AC20">
        <f>'Calculations BTU'!AK229</f>
        <v>0</v>
      </c>
      <c r="AD20">
        <f>'Calculations BTU'!AL229</f>
        <v>0</v>
      </c>
      <c r="AE20">
        <f>'Calculations BTU'!AM229</f>
        <v>0</v>
      </c>
      <c r="AF20">
        <f>'Calculations BTU'!AN229</f>
        <v>0</v>
      </c>
      <c r="AG20">
        <f>'Calculations BTU'!AO229</f>
        <v>0</v>
      </c>
      <c r="AH20">
        <f>'Calculations BTU'!AP229</f>
        <v>0</v>
      </c>
      <c r="AI20">
        <f>'Calculations BTU'!AQ229</f>
        <v>0</v>
      </c>
      <c r="AJ20">
        <f>'Calculations BTU'!AR229</f>
        <v>0</v>
      </c>
      <c r="AK20">
        <f>'Calculations BTU'!AS229</f>
        <v>0</v>
      </c>
      <c r="AL20">
        <f>'Calculations BTU'!AT229</f>
        <v>0</v>
      </c>
      <c r="AM20">
        <f>'Calculations BTU'!AU229</f>
        <v>0</v>
      </c>
      <c r="AN20">
        <f>'Calculations BTU'!AV229</f>
        <v>0</v>
      </c>
      <c r="AO20">
        <f>'Calculations BTU'!AW229</f>
        <v>0</v>
      </c>
      <c r="AP20">
        <f>'Calculations BTU'!AX229</f>
        <v>0</v>
      </c>
      <c r="AQ20">
        <f>'Calculations BTU'!AY229</f>
        <v>0</v>
      </c>
      <c r="AR20">
        <f>'Calculations BTU'!AZ229</f>
        <v>0</v>
      </c>
      <c r="AS20">
        <f>'Calculations BTU'!BA229</f>
        <v>0</v>
      </c>
      <c r="AT20">
        <f>'Calculations BTU'!BB229</f>
        <v>0</v>
      </c>
      <c r="AU20">
        <f>'Calculations BTU'!BC229</f>
        <v>0</v>
      </c>
      <c r="AV20">
        <f>'Calculations BTU'!BD229</f>
        <v>0</v>
      </c>
      <c r="AW20">
        <f>'Calculations BTU'!BE229</f>
        <v>0</v>
      </c>
      <c r="AX20">
        <f>'Calculations BTU'!BF229</f>
        <v>0</v>
      </c>
      <c r="AY20">
        <f>'Calculations BTU'!BG229</f>
        <v>0</v>
      </c>
      <c r="AZ20">
        <f>'Calculations BTU'!BH229</f>
        <v>0</v>
      </c>
    </row>
    <row r="21" spans="1:52">
      <c r="A21" t="s">
        <v>145</v>
      </c>
      <c r="B21">
        <f>'Calculations BTU'!J230</f>
        <v>0</v>
      </c>
      <c r="C21">
        <f>'Calculations BTU'!K230</f>
        <v>0</v>
      </c>
      <c r="D21">
        <f>'Calculations BTU'!L230</f>
        <v>0</v>
      </c>
      <c r="E21">
        <f>'Calculations BTU'!M230</f>
        <v>0</v>
      </c>
      <c r="F21">
        <f>'Calculations BTU'!N230</f>
        <v>0</v>
      </c>
      <c r="G21">
        <f>'Calculations BTU'!O230</f>
        <v>0</v>
      </c>
      <c r="H21">
        <f>'Calculations BTU'!P230</f>
        <v>0</v>
      </c>
      <c r="I21">
        <f>'Calculations BTU'!Q230</f>
        <v>0</v>
      </c>
      <c r="J21">
        <f>'Calculations BTU'!R230</f>
        <v>0</v>
      </c>
      <c r="K21">
        <f>'Calculations BTU'!S230</f>
        <v>0</v>
      </c>
      <c r="L21">
        <f>'Calculations BTU'!T230</f>
        <v>0</v>
      </c>
      <c r="M21">
        <f>'Calculations BTU'!U230</f>
        <v>0</v>
      </c>
      <c r="N21">
        <f>'Calculations BTU'!V230</f>
        <v>0</v>
      </c>
      <c r="O21">
        <f>'Calculations BTU'!W230</f>
        <v>0</v>
      </c>
      <c r="P21">
        <f>'Calculations BTU'!X230</f>
        <v>0</v>
      </c>
      <c r="Q21">
        <f>'Calculations BTU'!Y230</f>
        <v>0</v>
      </c>
      <c r="R21">
        <f>'Calculations BTU'!Z230</f>
        <v>0</v>
      </c>
      <c r="S21">
        <f>'Calculations BTU'!AA230</f>
        <v>0</v>
      </c>
      <c r="T21">
        <f>'Calculations BTU'!AB230</f>
        <v>0</v>
      </c>
      <c r="U21">
        <f>'Calculations BTU'!AC230</f>
        <v>0</v>
      </c>
      <c r="V21">
        <f>'Calculations BTU'!AD230</f>
        <v>0</v>
      </c>
      <c r="W21">
        <f>'Calculations BTU'!AE230</f>
        <v>0</v>
      </c>
      <c r="X21">
        <f>'Calculations BTU'!AF230</f>
        <v>0</v>
      </c>
      <c r="Y21">
        <f>'Calculations BTU'!AG230</f>
        <v>0</v>
      </c>
      <c r="Z21">
        <f>'Calculations BTU'!AH230</f>
        <v>0</v>
      </c>
      <c r="AA21">
        <f>'Calculations BTU'!AI230</f>
        <v>0</v>
      </c>
      <c r="AB21">
        <f>'Calculations BTU'!AJ230</f>
        <v>0</v>
      </c>
      <c r="AC21">
        <f>'Calculations BTU'!AK230</f>
        <v>0</v>
      </c>
      <c r="AD21">
        <f>'Calculations BTU'!AL230</f>
        <v>0</v>
      </c>
      <c r="AE21">
        <f>'Calculations BTU'!AM230</f>
        <v>0</v>
      </c>
      <c r="AF21">
        <f>'Calculations BTU'!AN230</f>
        <v>0</v>
      </c>
      <c r="AG21">
        <f>'Calculations BTU'!AO230</f>
        <v>0</v>
      </c>
      <c r="AH21">
        <f>'Calculations BTU'!AP230</f>
        <v>0</v>
      </c>
      <c r="AI21">
        <f>'Calculations BTU'!AQ230</f>
        <v>0</v>
      </c>
      <c r="AJ21">
        <f>'Calculations BTU'!AR230</f>
        <v>0</v>
      </c>
      <c r="AK21">
        <f>'Calculations BTU'!AS230</f>
        <v>0</v>
      </c>
      <c r="AL21">
        <f>'Calculations BTU'!AT230</f>
        <v>0</v>
      </c>
      <c r="AM21">
        <f>'Calculations BTU'!AU230</f>
        <v>0</v>
      </c>
      <c r="AN21">
        <f>'Calculations BTU'!AV230</f>
        <v>0</v>
      </c>
      <c r="AO21">
        <f>'Calculations BTU'!AW230</f>
        <v>0</v>
      </c>
      <c r="AP21">
        <f>'Calculations BTU'!AX230</f>
        <v>0</v>
      </c>
      <c r="AQ21">
        <f>'Calculations BTU'!AY230</f>
        <v>0</v>
      </c>
      <c r="AR21">
        <f>'Calculations BTU'!AZ230</f>
        <v>0</v>
      </c>
      <c r="AS21">
        <f>'Calculations BTU'!BA230</f>
        <v>0</v>
      </c>
      <c r="AT21">
        <f>'Calculations BTU'!BB230</f>
        <v>0</v>
      </c>
      <c r="AU21">
        <f>'Calculations BTU'!BC230</f>
        <v>0</v>
      </c>
      <c r="AV21">
        <f>'Calculations BTU'!BD230</f>
        <v>0</v>
      </c>
      <c r="AW21">
        <f>'Calculations BTU'!BE230</f>
        <v>0</v>
      </c>
      <c r="AX21">
        <f>'Calculations BTU'!BF230</f>
        <v>0</v>
      </c>
      <c r="AY21">
        <f>'Calculations BTU'!BG230</f>
        <v>0</v>
      </c>
      <c r="AZ21">
        <f>'Calculations BTU'!BH230</f>
        <v>0</v>
      </c>
    </row>
    <row r="22" spans="1:52">
      <c r="A22" t="s">
        <v>146</v>
      </c>
      <c r="B22">
        <f>'Calculations BTU'!J231</f>
        <v>0</v>
      </c>
      <c r="C22">
        <f>'Calculations BTU'!K231</f>
        <v>0</v>
      </c>
      <c r="D22">
        <f>'Calculations BTU'!L231</f>
        <v>0</v>
      </c>
      <c r="E22">
        <f>'Calculations BTU'!M231</f>
        <v>0</v>
      </c>
      <c r="F22">
        <f>'Calculations BTU'!N231</f>
        <v>0</v>
      </c>
      <c r="G22">
        <f>'Calculations BTU'!O231</f>
        <v>0</v>
      </c>
      <c r="H22">
        <f>'Calculations BTU'!P231</f>
        <v>0</v>
      </c>
      <c r="I22">
        <f>'Calculations BTU'!Q231</f>
        <v>0</v>
      </c>
      <c r="J22">
        <f>'Calculations BTU'!R231</f>
        <v>0</v>
      </c>
      <c r="K22">
        <f>'Calculations BTU'!S231</f>
        <v>0</v>
      </c>
      <c r="L22">
        <f>'Calculations BTU'!T231</f>
        <v>0</v>
      </c>
      <c r="M22">
        <f>'Calculations BTU'!U231</f>
        <v>0</v>
      </c>
      <c r="N22">
        <f>'Calculations BTU'!V231</f>
        <v>0</v>
      </c>
      <c r="O22">
        <f>'Calculations BTU'!W231</f>
        <v>0</v>
      </c>
      <c r="P22">
        <f>'Calculations BTU'!X231</f>
        <v>0</v>
      </c>
      <c r="Q22">
        <f>'Calculations BTU'!Y231</f>
        <v>0</v>
      </c>
      <c r="R22">
        <f>'Calculations BTU'!Z231</f>
        <v>0</v>
      </c>
      <c r="S22">
        <f>'Calculations BTU'!AA231</f>
        <v>0</v>
      </c>
      <c r="T22">
        <f>'Calculations BTU'!AB231</f>
        <v>0</v>
      </c>
      <c r="U22">
        <f>'Calculations BTU'!AC231</f>
        <v>0</v>
      </c>
      <c r="V22">
        <f>'Calculations BTU'!AD231</f>
        <v>0</v>
      </c>
      <c r="W22">
        <f>'Calculations BTU'!AE231</f>
        <v>0</v>
      </c>
      <c r="X22">
        <f>'Calculations BTU'!AF231</f>
        <v>0</v>
      </c>
      <c r="Y22">
        <f>'Calculations BTU'!AG231</f>
        <v>0</v>
      </c>
      <c r="Z22">
        <f>'Calculations BTU'!AH231</f>
        <v>0</v>
      </c>
      <c r="AA22">
        <f>'Calculations BTU'!AI231</f>
        <v>0</v>
      </c>
      <c r="AB22">
        <f>'Calculations BTU'!AJ231</f>
        <v>0</v>
      </c>
      <c r="AC22">
        <f>'Calculations BTU'!AK231</f>
        <v>0</v>
      </c>
      <c r="AD22">
        <f>'Calculations BTU'!AL231</f>
        <v>0</v>
      </c>
      <c r="AE22">
        <f>'Calculations BTU'!AM231</f>
        <v>0</v>
      </c>
      <c r="AF22">
        <f>'Calculations BTU'!AN231</f>
        <v>0</v>
      </c>
      <c r="AG22">
        <f>'Calculations BTU'!AO231</f>
        <v>0</v>
      </c>
      <c r="AH22">
        <f>'Calculations BTU'!AP231</f>
        <v>0</v>
      </c>
      <c r="AI22">
        <f>'Calculations BTU'!AQ231</f>
        <v>0</v>
      </c>
      <c r="AJ22">
        <f>'Calculations BTU'!AR231</f>
        <v>0</v>
      </c>
      <c r="AK22">
        <f>'Calculations BTU'!AS231</f>
        <v>0</v>
      </c>
      <c r="AL22">
        <f>'Calculations BTU'!AT231</f>
        <v>0</v>
      </c>
      <c r="AM22">
        <f>'Calculations BTU'!AU231</f>
        <v>0</v>
      </c>
      <c r="AN22">
        <f>'Calculations BTU'!AV231</f>
        <v>0</v>
      </c>
      <c r="AO22">
        <f>'Calculations BTU'!AW231</f>
        <v>0</v>
      </c>
      <c r="AP22">
        <f>'Calculations BTU'!AX231</f>
        <v>0</v>
      </c>
      <c r="AQ22">
        <f>'Calculations BTU'!AY231</f>
        <v>0</v>
      </c>
      <c r="AR22">
        <f>'Calculations BTU'!AZ231</f>
        <v>0</v>
      </c>
      <c r="AS22">
        <f>'Calculations BTU'!BA231</f>
        <v>0</v>
      </c>
      <c r="AT22">
        <f>'Calculations BTU'!BB231</f>
        <v>0</v>
      </c>
      <c r="AU22">
        <f>'Calculations BTU'!BC231</f>
        <v>0</v>
      </c>
      <c r="AV22">
        <f>'Calculations BTU'!BD231</f>
        <v>0</v>
      </c>
      <c r="AW22">
        <f>'Calculations BTU'!BE231</f>
        <v>0</v>
      </c>
      <c r="AX22">
        <f>'Calculations BTU'!BF231</f>
        <v>0</v>
      </c>
      <c r="AY22">
        <f>'Calculations BTU'!BG231</f>
        <v>0</v>
      </c>
      <c r="AZ22">
        <f>'Calculations BTU'!BH231</f>
        <v>0</v>
      </c>
    </row>
    <row r="23" spans="1:52">
      <c r="A23" t="s">
        <v>147</v>
      </c>
      <c r="B23">
        <f>'Calculations BTU'!J232</f>
        <v>0</v>
      </c>
      <c r="C23">
        <f>'Calculations BTU'!K232</f>
        <v>0</v>
      </c>
      <c r="D23">
        <f>'Calculations BTU'!L232</f>
        <v>0</v>
      </c>
      <c r="E23">
        <f>'Calculations BTU'!M232</f>
        <v>0</v>
      </c>
      <c r="F23">
        <f>'Calculations BTU'!N232</f>
        <v>0</v>
      </c>
      <c r="G23">
        <f>'Calculations BTU'!O232</f>
        <v>0</v>
      </c>
      <c r="H23">
        <f>'Calculations BTU'!P232</f>
        <v>0</v>
      </c>
      <c r="I23">
        <f>'Calculations BTU'!Q232</f>
        <v>0</v>
      </c>
      <c r="J23">
        <f>'Calculations BTU'!R232</f>
        <v>0</v>
      </c>
      <c r="K23">
        <f>'Calculations BTU'!S232</f>
        <v>0</v>
      </c>
      <c r="L23">
        <f>'Calculations BTU'!T232</f>
        <v>0</v>
      </c>
      <c r="M23">
        <f>'Calculations BTU'!U232</f>
        <v>0</v>
      </c>
      <c r="N23">
        <f>'Calculations BTU'!V232</f>
        <v>0</v>
      </c>
      <c r="O23">
        <f>'Calculations BTU'!W232</f>
        <v>0</v>
      </c>
      <c r="P23">
        <f>'Calculations BTU'!X232</f>
        <v>0</v>
      </c>
      <c r="Q23">
        <f>'Calculations BTU'!Y232</f>
        <v>0</v>
      </c>
      <c r="R23">
        <f>'Calculations BTU'!Z232</f>
        <v>0</v>
      </c>
      <c r="S23">
        <f>'Calculations BTU'!AA232</f>
        <v>0</v>
      </c>
      <c r="T23">
        <f>'Calculations BTU'!AB232</f>
        <v>0</v>
      </c>
      <c r="U23">
        <f>'Calculations BTU'!AC232</f>
        <v>0</v>
      </c>
      <c r="V23">
        <f>'Calculations BTU'!AD232</f>
        <v>0</v>
      </c>
      <c r="W23">
        <f>'Calculations BTU'!AE232</f>
        <v>0</v>
      </c>
      <c r="X23">
        <f>'Calculations BTU'!AF232</f>
        <v>0</v>
      </c>
      <c r="Y23">
        <f>'Calculations BTU'!AG232</f>
        <v>0</v>
      </c>
      <c r="Z23">
        <f>'Calculations BTU'!AH232</f>
        <v>0</v>
      </c>
      <c r="AA23">
        <f>'Calculations BTU'!AI232</f>
        <v>0</v>
      </c>
      <c r="AB23">
        <f>'Calculations BTU'!AJ232</f>
        <v>0</v>
      </c>
      <c r="AC23">
        <f>'Calculations BTU'!AK232</f>
        <v>0</v>
      </c>
      <c r="AD23">
        <f>'Calculations BTU'!AL232</f>
        <v>0</v>
      </c>
      <c r="AE23">
        <f>'Calculations BTU'!AM232</f>
        <v>0</v>
      </c>
      <c r="AF23">
        <f>'Calculations BTU'!AN232</f>
        <v>0</v>
      </c>
      <c r="AG23">
        <f>'Calculations BTU'!AO232</f>
        <v>0</v>
      </c>
      <c r="AH23">
        <f>'Calculations BTU'!AP232</f>
        <v>0</v>
      </c>
      <c r="AI23">
        <f>'Calculations BTU'!AQ232</f>
        <v>0</v>
      </c>
      <c r="AJ23">
        <f>'Calculations BTU'!AR232</f>
        <v>0</v>
      </c>
      <c r="AK23">
        <f>'Calculations BTU'!AS232</f>
        <v>0</v>
      </c>
      <c r="AL23">
        <f>'Calculations BTU'!AT232</f>
        <v>0</v>
      </c>
      <c r="AM23">
        <f>'Calculations BTU'!AU232</f>
        <v>0</v>
      </c>
      <c r="AN23">
        <f>'Calculations BTU'!AV232</f>
        <v>0</v>
      </c>
      <c r="AO23">
        <f>'Calculations BTU'!AW232</f>
        <v>0</v>
      </c>
      <c r="AP23">
        <f>'Calculations BTU'!AX232</f>
        <v>0</v>
      </c>
      <c r="AQ23">
        <f>'Calculations BTU'!AY232</f>
        <v>0</v>
      </c>
      <c r="AR23">
        <f>'Calculations BTU'!AZ232</f>
        <v>0</v>
      </c>
      <c r="AS23">
        <f>'Calculations BTU'!BA232</f>
        <v>0</v>
      </c>
      <c r="AT23">
        <f>'Calculations BTU'!BB232</f>
        <v>0</v>
      </c>
      <c r="AU23">
        <f>'Calculations BTU'!BC232</f>
        <v>0</v>
      </c>
      <c r="AV23">
        <f>'Calculations BTU'!BD232</f>
        <v>0</v>
      </c>
      <c r="AW23">
        <f>'Calculations BTU'!BE232</f>
        <v>0</v>
      </c>
      <c r="AX23">
        <f>'Calculations BTU'!BF232</f>
        <v>0</v>
      </c>
      <c r="AY23">
        <f>'Calculations BTU'!BG232</f>
        <v>0</v>
      </c>
      <c r="AZ23">
        <f>'Calculations BTU'!BH232</f>
        <v>0</v>
      </c>
    </row>
    <row r="24" spans="1:52">
      <c r="A24" t="s">
        <v>148</v>
      </c>
      <c r="B24">
        <f>'Calculations BTU'!J233</f>
        <v>0</v>
      </c>
      <c r="C24">
        <f>'Calculations BTU'!K233</f>
        <v>0</v>
      </c>
      <c r="D24">
        <f>'Calculations BTU'!L233</f>
        <v>0</v>
      </c>
      <c r="E24">
        <f>'Calculations BTU'!M233</f>
        <v>0</v>
      </c>
      <c r="F24">
        <f>'Calculations BTU'!N233</f>
        <v>0</v>
      </c>
      <c r="G24">
        <f>'Calculations BTU'!O233</f>
        <v>0</v>
      </c>
      <c r="H24">
        <f>'Calculations BTU'!P233</f>
        <v>0</v>
      </c>
      <c r="I24">
        <f>'Calculations BTU'!Q233</f>
        <v>0</v>
      </c>
      <c r="J24">
        <f>'Calculations BTU'!R233</f>
        <v>0</v>
      </c>
      <c r="K24">
        <f>'Calculations BTU'!S233</f>
        <v>0</v>
      </c>
      <c r="L24">
        <f>'Calculations BTU'!T233</f>
        <v>0</v>
      </c>
      <c r="M24">
        <f>'Calculations BTU'!U233</f>
        <v>0</v>
      </c>
      <c r="N24">
        <f>'Calculations BTU'!V233</f>
        <v>0</v>
      </c>
      <c r="O24">
        <f>'Calculations BTU'!W233</f>
        <v>0</v>
      </c>
      <c r="P24">
        <f>'Calculations BTU'!X233</f>
        <v>0</v>
      </c>
      <c r="Q24">
        <f>'Calculations BTU'!Y233</f>
        <v>0</v>
      </c>
      <c r="R24">
        <f>'Calculations BTU'!Z233</f>
        <v>0</v>
      </c>
      <c r="S24">
        <f>'Calculations BTU'!AA233</f>
        <v>0</v>
      </c>
      <c r="T24">
        <f>'Calculations BTU'!AB233</f>
        <v>0</v>
      </c>
      <c r="U24">
        <f>'Calculations BTU'!AC233</f>
        <v>0</v>
      </c>
      <c r="V24">
        <f>'Calculations BTU'!AD233</f>
        <v>0</v>
      </c>
      <c r="W24">
        <f>'Calculations BTU'!AE233</f>
        <v>0</v>
      </c>
      <c r="X24">
        <f>'Calculations BTU'!AF233</f>
        <v>0</v>
      </c>
      <c r="Y24">
        <f>'Calculations BTU'!AG233</f>
        <v>0</v>
      </c>
      <c r="Z24">
        <f>'Calculations BTU'!AH233</f>
        <v>0</v>
      </c>
      <c r="AA24">
        <f>'Calculations BTU'!AI233</f>
        <v>0</v>
      </c>
      <c r="AB24">
        <f>'Calculations BTU'!AJ233</f>
        <v>0</v>
      </c>
      <c r="AC24">
        <f>'Calculations BTU'!AK233</f>
        <v>0</v>
      </c>
      <c r="AD24">
        <f>'Calculations BTU'!AL233</f>
        <v>0</v>
      </c>
      <c r="AE24">
        <f>'Calculations BTU'!AM233</f>
        <v>0</v>
      </c>
      <c r="AF24">
        <f>'Calculations BTU'!AN233</f>
        <v>0</v>
      </c>
      <c r="AG24">
        <f>'Calculations BTU'!AO233</f>
        <v>0</v>
      </c>
      <c r="AH24">
        <f>'Calculations BTU'!AP233</f>
        <v>0</v>
      </c>
      <c r="AI24">
        <f>'Calculations BTU'!AQ233</f>
        <v>0</v>
      </c>
      <c r="AJ24">
        <f>'Calculations BTU'!AR233</f>
        <v>0</v>
      </c>
      <c r="AK24">
        <f>'Calculations BTU'!AS233</f>
        <v>0</v>
      </c>
      <c r="AL24">
        <f>'Calculations BTU'!AT233</f>
        <v>0</v>
      </c>
      <c r="AM24">
        <f>'Calculations BTU'!AU233</f>
        <v>0</v>
      </c>
      <c r="AN24">
        <f>'Calculations BTU'!AV233</f>
        <v>0</v>
      </c>
      <c r="AO24">
        <f>'Calculations BTU'!AW233</f>
        <v>0</v>
      </c>
      <c r="AP24">
        <f>'Calculations BTU'!AX233</f>
        <v>0</v>
      </c>
      <c r="AQ24">
        <f>'Calculations BTU'!AY233</f>
        <v>0</v>
      </c>
      <c r="AR24">
        <f>'Calculations BTU'!AZ233</f>
        <v>0</v>
      </c>
      <c r="AS24">
        <f>'Calculations BTU'!BA233</f>
        <v>0</v>
      </c>
      <c r="AT24">
        <f>'Calculations BTU'!BB233</f>
        <v>0</v>
      </c>
      <c r="AU24">
        <f>'Calculations BTU'!BC233</f>
        <v>0</v>
      </c>
      <c r="AV24">
        <f>'Calculations BTU'!BD233</f>
        <v>0</v>
      </c>
      <c r="AW24">
        <f>'Calculations BTU'!BE233</f>
        <v>0</v>
      </c>
      <c r="AX24">
        <f>'Calculations BTU'!BF233</f>
        <v>0</v>
      </c>
      <c r="AY24">
        <f>'Calculations BTU'!BG233</f>
        <v>0</v>
      </c>
      <c r="AZ24">
        <f>'Calculations BTU'!BH233</f>
        <v>0</v>
      </c>
    </row>
    <row r="25" spans="1:52">
      <c r="A25" t="s">
        <v>149</v>
      </c>
      <c r="B25">
        <f>'Calculations BTU'!J234</f>
        <v>0</v>
      </c>
      <c r="C25">
        <f>'Calculations BTU'!K234</f>
        <v>0</v>
      </c>
      <c r="D25">
        <f>'Calculations BTU'!L234</f>
        <v>0</v>
      </c>
      <c r="E25">
        <f>'Calculations BTU'!M234</f>
        <v>0</v>
      </c>
      <c r="F25">
        <f>'Calculations BTU'!N234</f>
        <v>0</v>
      </c>
      <c r="G25">
        <f>'Calculations BTU'!O234</f>
        <v>0</v>
      </c>
      <c r="H25">
        <f>'Calculations BTU'!P234</f>
        <v>0</v>
      </c>
      <c r="I25">
        <f>'Calculations BTU'!Q234</f>
        <v>0</v>
      </c>
      <c r="J25">
        <f>'Calculations BTU'!R234</f>
        <v>0</v>
      </c>
      <c r="K25">
        <f>'Calculations BTU'!S234</f>
        <v>0</v>
      </c>
      <c r="L25">
        <f>'Calculations BTU'!T234</f>
        <v>0</v>
      </c>
      <c r="M25">
        <f>'Calculations BTU'!U234</f>
        <v>0</v>
      </c>
      <c r="N25">
        <f>'Calculations BTU'!V234</f>
        <v>0</v>
      </c>
      <c r="O25">
        <f>'Calculations BTU'!W234</f>
        <v>0</v>
      </c>
      <c r="P25">
        <f>'Calculations BTU'!X234</f>
        <v>0</v>
      </c>
      <c r="Q25">
        <f>'Calculations BTU'!Y234</f>
        <v>0</v>
      </c>
      <c r="R25">
        <f>'Calculations BTU'!Z234</f>
        <v>0</v>
      </c>
      <c r="S25">
        <f>'Calculations BTU'!AA234</f>
        <v>0</v>
      </c>
      <c r="T25">
        <f>'Calculations BTU'!AB234</f>
        <v>0</v>
      </c>
      <c r="U25">
        <f>'Calculations BTU'!AC234</f>
        <v>0</v>
      </c>
      <c r="V25">
        <f>'Calculations BTU'!AD234</f>
        <v>0</v>
      </c>
      <c r="W25">
        <f>'Calculations BTU'!AE234</f>
        <v>0</v>
      </c>
      <c r="X25">
        <f>'Calculations BTU'!AF234</f>
        <v>0</v>
      </c>
      <c r="Y25">
        <f>'Calculations BTU'!AG234</f>
        <v>0</v>
      </c>
      <c r="Z25">
        <f>'Calculations BTU'!AH234</f>
        <v>0</v>
      </c>
      <c r="AA25">
        <f>'Calculations BTU'!AI234</f>
        <v>0</v>
      </c>
      <c r="AB25">
        <f>'Calculations BTU'!AJ234</f>
        <v>0</v>
      </c>
      <c r="AC25">
        <f>'Calculations BTU'!AK234</f>
        <v>0</v>
      </c>
      <c r="AD25">
        <f>'Calculations BTU'!AL234</f>
        <v>0</v>
      </c>
      <c r="AE25">
        <f>'Calculations BTU'!AM234</f>
        <v>0</v>
      </c>
      <c r="AF25">
        <f>'Calculations BTU'!AN234</f>
        <v>0</v>
      </c>
      <c r="AG25">
        <f>'Calculations BTU'!AO234</f>
        <v>0</v>
      </c>
      <c r="AH25">
        <f>'Calculations BTU'!AP234</f>
        <v>0</v>
      </c>
      <c r="AI25">
        <f>'Calculations BTU'!AQ234</f>
        <v>0</v>
      </c>
      <c r="AJ25">
        <f>'Calculations BTU'!AR234</f>
        <v>0</v>
      </c>
      <c r="AK25">
        <f>'Calculations BTU'!AS234</f>
        <v>0</v>
      </c>
      <c r="AL25">
        <f>'Calculations BTU'!AT234</f>
        <v>0</v>
      </c>
      <c r="AM25">
        <f>'Calculations BTU'!AU234</f>
        <v>0</v>
      </c>
      <c r="AN25">
        <f>'Calculations BTU'!AV234</f>
        <v>0</v>
      </c>
      <c r="AO25">
        <f>'Calculations BTU'!AW234</f>
        <v>0</v>
      </c>
      <c r="AP25">
        <f>'Calculations BTU'!AX234</f>
        <v>0</v>
      </c>
      <c r="AQ25">
        <f>'Calculations BTU'!AY234</f>
        <v>0</v>
      </c>
      <c r="AR25">
        <f>'Calculations BTU'!AZ234</f>
        <v>0</v>
      </c>
      <c r="AS25">
        <f>'Calculations BTU'!BA234</f>
        <v>0</v>
      </c>
      <c r="AT25">
        <f>'Calculations BTU'!BB234</f>
        <v>0</v>
      </c>
      <c r="AU25">
        <f>'Calculations BTU'!BC234</f>
        <v>0</v>
      </c>
      <c r="AV25">
        <f>'Calculations BTU'!BD234</f>
        <v>0</v>
      </c>
      <c r="AW25">
        <f>'Calculations BTU'!BE234</f>
        <v>0</v>
      </c>
      <c r="AX25">
        <f>'Calculations BTU'!BF234</f>
        <v>0</v>
      </c>
      <c r="AY25">
        <f>'Calculations BTU'!BG234</f>
        <v>0</v>
      </c>
      <c r="AZ25">
        <f>'Calculations BTU'!BH234</f>
        <v>0</v>
      </c>
    </row>
    <row r="26" spans="1:52">
      <c r="A26" t="s">
        <v>150</v>
      </c>
      <c r="B26">
        <f>'Calculations BTU'!J235</f>
        <v>0</v>
      </c>
      <c r="C26">
        <f>'Calculations BTU'!K235</f>
        <v>0</v>
      </c>
      <c r="D26">
        <f>'Calculations BTU'!L235</f>
        <v>0</v>
      </c>
      <c r="E26">
        <f>'Calculations BTU'!M235</f>
        <v>0</v>
      </c>
      <c r="F26">
        <f>'Calculations BTU'!N235</f>
        <v>0</v>
      </c>
      <c r="G26">
        <f>'Calculations BTU'!O235</f>
        <v>0</v>
      </c>
      <c r="H26">
        <f>'Calculations BTU'!P235</f>
        <v>0</v>
      </c>
      <c r="I26">
        <f>'Calculations BTU'!Q235</f>
        <v>0</v>
      </c>
      <c r="J26">
        <f>'Calculations BTU'!R235</f>
        <v>0</v>
      </c>
      <c r="K26">
        <f>'Calculations BTU'!S235</f>
        <v>0</v>
      </c>
      <c r="L26">
        <f>'Calculations BTU'!T235</f>
        <v>0</v>
      </c>
      <c r="M26">
        <f>'Calculations BTU'!U235</f>
        <v>0</v>
      </c>
      <c r="N26">
        <f>'Calculations BTU'!V235</f>
        <v>0</v>
      </c>
      <c r="O26">
        <f>'Calculations BTU'!W235</f>
        <v>0</v>
      </c>
      <c r="P26">
        <f>'Calculations BTU'!X235</f>
        <v>0</v>
      </c>
      <c r="Q26">
        <f>'Calculations BTU'!Y235</f>
        <v>0</v>
      </c>
      <c r="R26">
        <f>'Calculations BTU'!Z235</f>
        <v>0</v>
      </c>
      <c r="S26">
        <f>'Calculations BTU'!AA235</f>
        <v>0</v>
      </c>
      <c r="T26">
        <f>'Calculations BTU'!AB235</f>
        <v>0</v>
      </c>
      <c r="U26">
        <f>'Calculations BTU'!AC235</f>
        <v>0</v>
      </c>
      <c r="V26">
        <f>'Calculations BTU'!AD235</f>
        <v>0</v>
      </c>
      <c r="W26">
        <f>'Calculations BTU'!AE235</f>
        <v>0</v>
      </c>
      <c r="X26">
        <f>'Calculations BTU'!AF235</f>
        <v>0</v>
      </c>
      <c r="Y26">
        <f>'Calculations BTU'!AG235</f>
        <v>0</v>
      </c>
      <c r="Z26">
        <f>'Calculations BTU'!AH235</f>
        <v>0</v>
      </c>
      <c r="AA26">
        <f>'Calculations BTU'!AI235</f>
        <v>0</v>
      </c>
      <c r="AB26">
        <f>'Calculations BTU'!AJ235</f>
        <v>0</v>
      </c>
      <c r="AC26">
        <f>'Calculations BTU'!AK235</f>
        <v>0</v>
      </c>
      <c r="AD26">
        <f>'Calculations BTU'!AL235</f>
        <v>0</v>
      </c>
      <c r="AE26">
        <f>'Calculations BTU'!AM235</f>
        <v>0</v>
      </c>
      <c r="AF26">
        <f>'Calculations BTU'!AN235</f>
        <v>0</v>
      </c>
      <c r="AG26">
        <f>'Calculations BTU'!AO235</f>
        <v>0</v>
      </c>
      <c r="AH26">
        <f>'Calculations BTU'!AP235</f>
        <v>0</v>
      </c>
      <c r="AI26">
        <f>'Calculations BTU'!AQ235</f>
        <v>0</v>
      </c>
      <c r="AJ26">
        <f>'Calculations BTU'!AR235</f>
        <v>0</v>
      </c>
      <c r="AK26">
        <f>'Calculations BTU'!AS235</f>
        <v>0</v>
      </c>
      <c r="AL26">
        <f>'Calculations BTU'!AT235</f>
        <v>0</v>
      </c>
      <c r="AM26">
        <f>'Calculations BTU'!AU235</f>
        <v>0</v>
      </c>
      <c r="AN26">
        <f>'Calculations BTU'!AV235</f>
        <v>0</v>
      </c>
      <c r="AO26">
        <f>'Calculations BTU'!AW235</f>
        <v>0</v>
      </c>
      <c r="AP26">
        <f>'Calculations BTU'!AX235</f>
        <v>0</v>
      </c>
      <c r="AQ26">
        <f>'Calculations BTU'!AY235</f>
        <v>0</v>
      </c>
      <c r="AR26">
        <f>'Calculations BTU'!AZ235</f>
        <v>0</v>
      </c>
      <c r="AS26">
        <f>'Calculations BTU'!BA235</f>
        <v>0</v>
      </c>
      <c r="AT26">
        <f>'Calculations BTU'!BB235</f>
        <v>0</v>
      </c>
      <c r="AU26">
        <f>'Calculations BTU'!BC235</f>
        <v>0</v>
      </c>
      <c r="AV26">
        <f>'Calculations BTU'!BD235</f>
        <v>0</v>
      </c>
      <c r="AW26">
        <f>'Calculations BTU'!BE235</f>
        <v>0</v>
      </c>
      <c r="AX26">
        <f>'Calculations BTU'!BF235</f>
        <v>0</v>
      </c>
      <c r="AY26">
        <f>'Calculations BTU'!BG235</f>
        <v>0</v>
      </c>
      <c r="AZ26">
        <f>'Calculations BTU'!BH235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1C71-FD87-9D44-8FE0-78B16811D837}">
  <sheetPr>
    <tabColor theme="3"/>
  </sheetPr>
  <dimension ref="A1:AZ26"/>
  <sheetViews>
    <sheetView topLeftCell="A2" workbookViewId="0">
      <selection activeCell="B2" sqref="B2"/>
    </sheetView>
  </sheetViews>
  <sheetFormatPr defaultColWidth="9.140625" defaultRowHeight="15"/>
  <cols>
    <col min="1" max="1" width="39.85546875" customWidth="1"/>
    <col min="2" max="32" width="7.7109375" bestFit="1" customWidth="1"/>
    <col min="33" max="33" width="11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BTU'!J159</f>
        <v>0</v>
      </c>
      <c r="C2">
        <f>'Calculations BTU'!K159</f>
        <v>0</v>
      </c>
      <c r="D2">
        <f>'Calculations BTU'!L159</f>
        <v>0</v>
      </c>
      <c r="E2">
        <f>'Calculations BTU'!M159</f>
        <v>0</v>
      </c>
      <c r="F2">
        <f>'Calculations BTU'!N159</f>
        <v>0</v>
      </c>
      <c r="G2">
        <f>'Calculations BTU'!O159</f>
        <v>0</v>
      </c>
      <c r="H2">
        <f>'Calculations BTU'!P159</f>
        <v>0</v>
      </c>
      <c r="I2">
        <f>'Calculations BTU'!Q159</f>
        <v>0</v>
      </c>
      <c r="J2">
        <f>'Calculations BTU'!R159</f>
        <v>0</v>
      </c>
      <c r="K2">
        <f>'Calculations BTU'!S159</f>
        <v>0</v>
      </c>
      <c r="L2">
        <f>'Calculations BTU'!T159</f>
        <v>0</v>
      </c>
      <c r="M2">
        <f>'Calculations BTU'!U159</f>
        <v>0</v>
      </c>
      <c r="N2">
        <f>'Calculations BTU'!V159</f>
        <v>0</v>
      </c>
      <c r="O2">
        <f>'Calculations BTU'!W159</f>
        <v>0</v>
      </c>
      <c r="P2">
        <f>'Calculations BTU'!X159</f>
        <v>0</v>
      </c>
      <c r="Q2">
        <f>'Calculations BTU'!Y159</f>
        <v>0</v>
      </c>
      <c r="R2">
        <f>'Calculations BTU'!Z159</f>
        <v>0</v>
      </c>
      <c r="S2">
        <f>'Calculations BTU'!AA159</f>
        <v>0</v>
      </c>
      <c r="T2">
        <f>'Calculations BTU'!AB159</f>
        <v>0</v>
      </c>
      <c r="U2">
        <f>'Calculations BTU'!AC159</f>
        <v>0</v>
      </c>
      <c r="V2">
        <f>'Calculations BTU'!AD159</f>
        <v>0</v>
      </c>
      <c r="W2">
        <f>'Calculations BTU'!AE159</f>
        <v>0</v>
      </c>
      <c r="X2">
        <f>'Calculations BTU'!AF159</f>
        <v>0</v>
      </c>
      <c r="Y2">
        <f>'Calculations BTU'!AG159</f>
        <v>0</v>
      </c>
      <c r="Z2">
        <f>'Calculations BTU'!AH159</f>
        <v>0</v>
      </c>
      <c r="AA2">
        <f>'Calculations BTU'!AI159</f>
        <v>0</v>
      </c>
      <c r="AB2">
        <f>'Calculations BTU'!AJ159</f>
        <v>0</v>
      </c>
      <c r="AC2">
        <f>'Calculations BTU'!AK159</f>
        <v>0</v>
      </c>
      <c r="AD2">
        <f>'Calculations BTU'!AL159</f>
        <v>0</v>
      </c>
      <c r="AE2">
        <f>'Calculations BTU'!AM159</f>
        <v>0</v>
      </c>
      <c r="AF2">
        <f>'Calculations BTU'!AN159</f>
        <v>0</v>
      </c>
      <c r="AG2">
        <f>'Calculations BTU'!AO159</f>
        <v>0</v>
      </c>
      <c r="AH2">
        <f>'Calculations BTU'!AP159</f>
        <v>0</v>
      </c>
      <c r="AI2">
        <f>'Calculations BTU'!AQ159</f>
        <v>0</v>
      </c>
      <c r="AJ2">
        <f>'Calculations BTU'!AR159</f>
        <v>0</v>
      </c>
      <c r="AK2">
        <f>'Calculations BTU'!AS159</f>
        <v>0</v>
      </c>
      <c r="AL2">
        <f>'Calculations BTU'!AT159</f>
        <v>0</v>
      </c>
      <c r="AM2">
        <f>'Calculations BTU'!AU159</f>
        <v>0</v>
      </c>
      <c r="AN2">
        <f>'Calculations BTU'!AV159</f>
        <v>0</v>
      </c>
      <c r="AO2">
        <f>'Calculations BTU'!AW159</f>
        <v>0</v>
      </c>
      <c r="AP2">
        <f>'Calculations BTU'!AX159</f>
        <v>0</v>
      </c>
      <c r="AQ2">
        <f>'Calculations BTU'!AY159</f>
        <v>0</v>
      </c>
      <c r="AR2">
        <f>'Calculations BTU'!AZ159</f>
        <v>0</v>
      </c>
      <c r="AS2">
        <f>'Calculations BTU'!BA159</f>
        <v>0</v>
      </c>
      <c r="AT2">
        <f>'Calculations BTU'!BB159</f>
        <v>0</v>
      </c>
      <c r="AU2">
        <f>'Calculations BTU'!BC159</f>
        <v>0</v>
      </c>
      <c r="AV2">
        <f>'Calculations BTU'!BD159</f>
        <v>0</v>
      </c>
      <c r="AW2">
        <f>'Calculations BTU'!BE159</f>
        <v>0</v>
      </c>
      <c r="AX2">
        <f>'Calculations BTU'!BF159</f>
        <v>0</v>
      </c>
      <c r="AY2">
        <f>'Calculations BTU'!BG159</f>
        <v>0</v>
      </c>
      <c r="AZ2">
        <f>'Calculations BTU'!BH159</f>
        <v>0</v>
      </c>
    </row>
    <row r="3" spans="1:52">
      <c r="A3" t="s">
        <v>127</v>
      </c>
      <c r="B3">
        <f>'Calculations BTU'!J160</f>
        <v>257345927989.43259</v>
      </c>
      <c r="C3">
        <f>'Calculations BTU'!K160</f>
        <v>317061557688.63788</v>
      </c>
      <c r="D3">
        <f>'Calculations BTU'!L160</f>
        <v>307108952738.77032</v>
      </c>
      <c r="E3">
        <f>'Calculations BTU'!M160</f>
        <v>295734547081.77887</v>
      </c>
      <c r="F3">
        <f>'Calculations BTU'!N160</f>
        <v>284360141424.78735</v>
      </c>
      <c r="G3">
        <f>'Calculations BTU'!O160</f>
        <v>274407536474.91977</v>
      </c>
      <c r="H3">
        <f>'Calculations BTU'!P160</f>
        <v>263033130817.92831</v>
      </c>
      <c r="I3">
        <f>'Calculations BTU'!Q160</f>
        <v>251658725160.93683</v>
      </c>
      <c r="J3">
        <f>'Calculations BTU'!R160</f>
        <v>241706120211.06924</v>
      </c>
      <c r="K3">
        <f>'Calculations BTU'!S160</f>
        <v>230331714554.07776</v>
      </c>
      <c r="L3">
        <f>'Calculations BTU'!T160</f>
        <v>218957308897.08624</v>
      </c>
      <c r="M3">
        <f>'Calculations BTU'!U160</f>
        <v>207582903240.09476</v>
      </c>
      <c r="N3">
        <f>'Calculations BTU'!V160</f>
        <v>197630298290.2272</v>
      </c>
      <c r="O3">
        <f>'Calculations BTU'!W160</f>
        <v>186255892633.23572</v>
      </c>
      <c r="P3">
        <f>'Calculations BTU'!X160</f>
        <v>174881486976.24423</v>
      </c>
      <c r="Q3">
        <f>'Calculations BTU'!Y160</f>
        <v>164928882026.37665</v>
      </c>
      <c r="R3">
        <f>'Calculations BTU'!Z160</f>
        <v>153554476369.38516</v>
      </c>
      <c r="S3">
        <f>'Calculations BTU'!AA160</f>
        <v>142180070712.39368</v>
      </c>
      <c r="T3">
        <f>'Calculations BTU'!AB160</f>
        <v>130805665055.40219</v>
      </c>
      <c r="U3">
        <f>'Calculations BTU'!AC160</f>
        <v>120853060105.53462</v>
      </c>
      <c r="V3">
        <f>'Calculations BTU'!AD160</f>
        <v>109478654448.54312</v>
      </c>
      <c r="W3">
        <f>'Calculations BTU'!AE160</f>
        <v>98104248791.551636</v>
      </c>
      <c r="X3">
        <f>'Calculations BTU'!AF160</f>
        <v>88151643841.684082</v>
      </c>
      <c r="Y3">
        <f>'Calculations BTU'!AG160</f>
        <v>76777238184.692581</v>
      </c>
      <c r="Z3">
        <f>'Calculations BTU'!AH160</f>
        <v>65402832527.701096</v>
      </c>
      <c r="AA3">
        <f>'Calculations BTU'!AI160</f>
        <v>55450227577.833534</v>
      </c>
      <c r="AB3">
        <f>'Calculations BTU'!AJ160</f>
        <v>44075821920.842041</v>
      </c>
      <c r="AC3">
        <f>'Calculations BTU'!AK160</f>
        <v>32701416263.850548</v>
      </c>
      <c r="AD3">
        <f>'Calculations BTU'!AL160</f>
        <v>21327010606.859051</v>
      </c>
      <c r="AE3">
        <f>'Calculations BTU'!AM160</f>
        <v>11374405656.991495</v>
      </c>
      <c r="AF3">
        <f>'Calculations BTU'!AN160</f>
        <v>0</v>
      </c>
      <c r="AG3">
        <f>'Calculations BTU'!AO160</f>
        <v>0</v>
      </c>
      <c r="AH3">
        <f>'Calculations BTU'!AP160</f>
        <v>0</v>
      </c>
      <c r="AI3">
        <f>'Calculations BTU'!AQ160</f>
        <v>0</v>
      </c>
      <c r="AJ3">
        <f>'Calculations BTU'!AR160</f>
        <v>0</v>
      </c>
      <c r="AK3">
        <f>'Calculations BTU'!AS160</f>
        <v>0</v>
      </c>
      <c r="AL3">
        <f>'Calculations BTU'!AT160</f>
        <v>0</v>
      </c>
      <c r="AM3">
        <f>'Calculations BTU'!AU160</f>
        <v>0</v>
      </c>
      <c r="AN3">
        <f>'Calculations BTU'!AV160</f>
        <v>0</v>
      </c>
      <c r="AO3">
        <f>'Calculations BTU'!AW160</f>
        <v>0</v>
      </c>
      <c r="AP3">
        <f>'Calculations BTU'!AX160</f>
        <v>0</v>
      </c>
      <c r="AQ3">
        <f>'Calculations BTU'!AY160</f>
        <v>0</v>
      </c>
      <c r="AR3">
        <f>'Calculations BTU'!AZ160</f>
        <v>0</v>
      </c>
      <c r="AS3">
        <f>'Calculations BTU'!BA160</f>
        <v>0</v>
      </c>
      <c r="AT3">
        <f>'Calculations BTU'!BB160</f>
        <v>0</v>
      </c>
      <c r="AU3">
        <f>'Calculations BTU'!BC160</f>
        <v>0</v>
      </c>
      <c r="AV3">
        <f>'Calculations BTU'!BD160</f>
        <v>0</v>
      </c>
      <c r="AW3">
        <f>'Calculations BTU'!BE160</f>
        <v>0</v>
      </c>
      <c r="AX3">
        <f>'Calculations BTU'!BF160</f>
        <v>0</v>
      </c>
      <c r="AY3">
        <f>'Calculations BTU'!BG160</f>
        <v>0</v>
      </c>
      <c r="AZ3">
        <f>'Calculations BTU'!BH160</f>
        <v>0</v>
      </c>
    </row>
    <row r="4" spans="1:52">
      <c r="A4" t="s">
        <v>128</v>
      </c>
      <c r="B4">
        <f>'Calculations BTU'!J161</f>
        <v>0</v>
      </c>
      <c r="C4">
        <f>'Calculations BTU'!K161</f>
        <v>0</v>
      </c>
      <c r="D4">
        <f>'Calculations BTU'!L161</f>
        <v>0</v>
      </c>
      <c r="E4">
        <f>'Calculations BTU'!M161</f>
        <v>0</v>
      </c>
      <c r="F4">
        <f>'Calculations BTU'!N161</f>
        <v>0</v>
      </c>
      <c r="G4">
        <f>'Calculations BTU'!O161</f>
        <v>0</v>
      </c>
      <c r="H4">
        <f>'Calculations BTU'!P161</f>
        <v>0</v>
      </c>
      <c r="I4">
        <f>'Calculations BTU'!Q161</f>
        <v>0</v>
      </c>
      <c r="J4">
        <f>'Calculations BTU'!R161</f>
        <v>0</v>
      </c>
      <c r="K4">
        <f>'Calculations BTU'!S161</f>
        <v>0</v>
      </c>
      <c r="L4">
        <f>'Calculations BTU'!T161</f>
        <v>0</v>
      </c>
      <c r="M4">
        <f>'Calculations BTU'!U161</f>
        <v>0</v>
      </c>
      <c r="N4">
        <f>'Calculations BTU'!V161</f>
        <v>0</v>
      </c>
      <c r="O4">
        <f>'Calculations BTU'!W161</f>
        <v>0</v>
      </c>
      <c r="P4">
        <f>'Calculations BTU'!X161</f>
        <v>0</v>
      </c>
      <c r="Q4">
        <f>'Calculations BTU'!Y161</f>
        <v>0</v>
      </c>
      <c r="R4">
        <f>'Calculations BTU'!Z161</f>
        <v>0</v>
      </c>
      <c r="S4">
        <f>'Calculations BTU'!AA161</f>
        <v>0</v>
      </c>
      <c r="T4">
        <f>'Calculations BTU'!AB161</f>
        <v>0</v>
      </c>
      <c r="U4">
        <f>'Calculations BTU'!AC161</f>
        <v>0</v>
      </c>
      <c r="V4">
        <f>'Calculations BTU'!AD161</f>
        <v>0</v>
      </c>
      <c r="W4">
        <f>'Calculations BTU'!AE161</f>
        <v>0</v>
      </c>
      <c r="X4">
        <f>'Calculations BTU'!AF161</f>
        <v>0</v>
      </c>
      <c r="Y4">
        <f>'Calculations BTU'!AG161</f>
        <v>0</v>
      </c>
      <c r="Z4">
        <f>'Calculations BTU'!AH161</f>
        <v>0</v>
      </c>
      <c r="AA4">
        <f>'Calculations BTU'!AI161</f>
        <v>0</v>
      </c>
      <c r="AB4">
        <f>'Calculations BTU'!AJ161</f>
        <v>0</v>
      </c>
      <c r="AC4">
        <f>'Calculations BTU'!AK161</f>
        <v>0</v>
      </c>
      <c r="AD4">
        <f>'Calculations BTU'!AL161</f>
        <v>0</v>
      </c>
      <c r="AE4">
        <f>'Calculations BTU'!AM161</f>
        <v>0</v>
      </c>
      <c r="AF4">
        <f>'Calculations BTU'!AN161</f>
        <v>0</v>
      </c>
      <c r="AG4">
        <f>'Calculations BTU'!AO161</f>
        <v>0</v>
      </c>
      <c r="AH4">
        <f>'Calculations BTU'!AP161</f>
        <v>0</v>
      </c>
      <c r="AI4">
        <f>'Calculations BTU'!AQ161</f>
        <v>0</v>
      </c>
      <c r="AJ4">
        <f>'Calculations BTU'!AR161</f>
        <v>0</v>
      </c>
      <c r="AK4">
        <f>'Calculations BTU'!AS161</f>
        <v>0</v>
      </c>
      <c r="AL4">
        <f>'Calculations BTU'!AT161</f>
        <v>0</v>
      </c>
      <c r="AM4">
        <f>'Calculations BTU'!AU161</f>
        <v>0</v>
      </c>
      <c r="AN4">
        <f>'Calculations BTU'!AV161</f>
        <v>0</v>
      </c>
      <c r="AO4">
        <f>'Calculations BTU'!AW161</f>
        <v>0</v>
      </c>
      <c r="AP4">
        <f>'Calculations BTU'!AX161</f>
        <v>0</v>
      </c>
      <c r="AQ4">
        <f>'Calculations BTU'!AY161</f>
        <v>0</v>
      </c>
      <c r="AR4">
        <f>'Calculations BTU'!AZ161</f>
        <v>0</v>
      </c>
      <c r="AS4">
        <f>'Calculations BTU'!BA161</f>
        <v>0</v>
      </c>
      <c r="AT4">
        <f>'Calculations BTU'!BB161</f>
        <v>0</v>
      </c>
      <c r="AU4">
        <f>'Calculations BTU'!BC161</f>
        <v>0</v>
      </c>
      <c r="AV4">
        <f>'Calculations BTU'!BD161</f>
        <v>0</v>
      </c>
      <c r="AW4">
        <f>'Calculations BTU'!BE161</f>
        <v>0</v>
      </c>
      <c r="AX4">
        <f>'Calculations BTU'!BF161</f>
        <v>0</v>
      </c>
      <c r="AY4">
        <f>'Calculations BTU'!BG161</f>
        <v>0</v>
      </c>
      <c r="AZ4">
        <f>'Calculations BTU'!BH161</f>
        <v>0</v>
      </c>
    </row>
    <row r="5" spans="1:52">
      <c r="A5" t="s">
        <v>129</v>
      </c>
      <c r="B5">
        <f>'Calculations BTU'!J162</f>
        <v>1458293591940.1177</v>
      </c>
      <c r="C5">
        <f>'Calculations BTU'!K162</f>
        <v>1796682160235.6147</v>
      </c>
      <c r="D5">
        <f>'Calculations BTU'!L162</f>
        <v>1740284065519.6987</v>
      </c>
      <c r="E5">
        <f>'Calculations BTU'!M162</f>
        <v>1675829100130.0801</v>
      </c>
      <c r="F5">
        <f>'Calculations BTU'!N162</f>
        <v>1611374134740.4617</v>
      </c>
      <c r="G5">
        <f>'Calculations BTU'!O162</f>
        <v>1554976040024.5454</v>
      </c>
      <c r="H5">
        <f>'Calculations BTU'!P162</f>
        <v>1490521074634.927</v>
      </c>
      <c r="I5">
        <f>'Calculations BTU'!Q162</f>
        <v>1426066109245.3086</v>
      </c>
      <c r="J5">
        <f>'Calculations BTU'!R162</f>
        <v>1369668014529.3923</v>
      </c>
      <c r="K5">
        <f>'Calculations BTU'!S162</f>
        <v>1305213049139.7739</v>
      </c>
      <c r="L5">
        <f>'Calculations BTU'!T162</f>
        <v>1240758083750.1555</v>
      </c>
      <c r="M5">
        <f>'Calculations BTU'!U162</f>
        <v>1176303118360.5369</v>
      </c>
      <c r="N5">
        <f>'Calculations BTU'!V162</f>
        <v>1119905023644.6208</v>
      </c>
      <c r="O5">
        <f>'Calculations BTU'!W162</f>
        <v>1055450058255.0023</v>
      </c>
      <c r="P5">
        <f>'Calculations BTU'!X162</f>
        <v>990995092865.38379</v>
      </c>
      <c r="Q5">
        <f>'Calculations BTU'!Y162</f>
        <v>934596998149.46765</v>
      </c>
      <c r="R5">
        <f>'Calculations BTU'!Z162</f>
        <v>870142032759.84937</v>
      </c>
      <c r="S5">
        <f>'Calculations BTU'!AA162</f>
        <v>805687067370.23083</v>
      </c>
      <c r="T5">
        <f>'Calculations BTU'!AB162</f>
        <v>741232101980.61243</v>
      </c>
      <c r="U5">
        <f>'Calculations BTU'!AC162</f>
        <v>684834007264.69617</v>
      </c>
      <c r="V5">
        <f>'Calculations BTU'!AD162</f>
        <v>620379041875.07776</v>
      </c>
      <c r="W5">
        <f>'Calculations BTU'!AE162</f>
        <v>555924076485.45923</v>
      </c>
      <c r="X5">
        <f>'Calculations BTU'!AF162</f>
        <v>499525981769.54315</v>
      </c>
      <c r="Y5">
        <f>'Calculations BTU'!AG162</f>
        <v>435071016379.92468</v>
      </c>
      <c r="Z5">
        <f>'Calculations BTU'!AH162</f>
        <v>370616050990.30621</v>
      </c>
      <c r="AA5">
        <f>'Calculations BTU'!AI162</f>
        <v>314217956274.39001</v>
      </c>
      <c r="AB5">
        <f>'Calculations BTU'!AJ162</f>
        <v>249762990884.77158</v>
      </c>
      <c r="AC5">
        <f>'Calculations BTU'!AK162</f>
        <v>185308025495.15311</v>
      </c>
      <c r="AD5">
        <f>'Calculations BTU'!AL162</f>
        <v>120853060105.53462</v>
      </c>
      <c r="AE5">
        <f>'Calculations BTU'!AM162</f>
        <v>64454965389.618469</v>
      </c>
      <c r="AF5">
        <f>'Calculations BTU'!AN162</f>
        <v>0</v>
      </c>
      <c r="AG5">
        <f>'Calculations BTU'!AO162</f>
        <v>0</v>
      </c>
      <c r="AH5">
        <f>'Calculations BTU'!AP162</f>
        <v>0</v>
      </c>
      <c r="AI5">
        <f>'Calculations BTU'!AQ162</f>
        <v>0</v>
      </c>
      <c r="AJ5">
        <f>'Calculations BTU'!AR162</f>
        <v>0</v>
      </c>
      <c r="AK5">
        <f>'Calculations BTU'!AS162</f>
        <v>0</v>
      </c>
      <c r="AL5">
        <f>'Calculations BTU'!AT162</f>
        <v>0</v>
      </c>
      <c r="AM5">
        <f>'Calculations BTU'!AU162</f>
        <v>0</v>
      </c>
      <c r="AN5">
        <f>'Calculations BTU'!AV162</f>
        <v>0</v>
      </c>
      <c r="AO5">
        <f>'Calculations BTU'!AW162</f>
        <v>0</v>
      </c>
      <c r="AP5">
        <f>'Calculations BTU'!AX162</f>
        <v>0</v>
      </c>
      <c r="AQ5">
        <f>'Calculations BTU'!AY162</f>
        <v>0</v>
      </c>
      <c r="AR5">
        <f>'Calculations BTU'!AZ162</f>
        <v>0</v>
      </c>
      <c r="AS5">
        <f>'Calculations BTU'!BA162</f>
        <v>0</v>
      </c>
      <c r="AT5">
        <f>'Calculations BTU'!BB162</f>
        <v>0</v>
      </c>
      <c r="AU5">
        <f>'Calculations BTU'!BC162</f>
        <v>0</v>
      </c>
      <c r="AV5">
        <f>'Calculations BTU'!BD162</f>
        <v>0</v>
      </c>
      <c r="AW5">
        <f>'Calculations BTU'!BE162</f>
        <v>0</v>
      </c>
      <c r="AX5">
        <f>'Calculations BTU'!BF162</f>
        <v>0</v>
      </c>
      <c r="AY5">
        <f>'Calculations BTU'!BG162</f>
        <v>0</v>
      </c>
      <c r="AZ5">
        <f>'Calculations BTU'!BH162</f>
        <v>0</v>
      </c>
    </row>
    <row r="6" spans="1:52">
      <c r="A6" t="s">
        <v>130</v>
      </c>
      <c r="B6">
        <f>'Calculations BTU'!J163</f>
        <v>890995109797.66699</v>
      </c>
      <c r="C6">
        <f>'Calculations BTU'!K163</f>
        <v>1099525880175.8445</v>
      </c>
      <c r="D6">
        <f>'Calculations BTU'!L163</f>
        <v>1061611194652.5396</v>
      </c>
      <c r="E6">
        <f>'Calculations BTU'!M163</f>
        <v>1023696509129.2345</v>
      </c>
      <c r="F6">
        <f>'Calculations BTU'!N163</f>
        <v>985781823605.92957</v>
      </c>
      <c r="G6">
        <f>'Calculations BTU'!O163</f>
        <v>947867138082.62439</v>
      </c>
      <c r="H6">
        <f>'Calculations BTU'!P163</f>
        <v>909952452559.31946</v>
      </c>
      <c r="I6">
        <f>'Calculations BTU'!Q163</f>
        <v>872037767036.01453</v>
      </c>
      <c r="J6">
        <f>'Calculations BTU'!R163</f>
        <v>843601752893.53589</v>
      </c>
      <c r="K6">
        <f>'Calculations BTU'!S163</f>
        <v>805687067370.23096</v>
      </c>
      <c r="L6">
        <f>'Calculations BTU'!T163</f>
        <v>758293710466.09961</v>
      </c>
      <c r="M6">
        <f>'Calculations BTU'!U163</f>
        <v>720379024942.79468</v>
      </c>
      <c r="N6">
        <f>'Calculations BTU'!V163</f>
        <v>682464339419.48962</v>
      </c>
      <c r="O6">
        <f>'Calculations BTU'!W163</f>
        <v>644549653896.18469</v>
      </c>
      <c r="P6">
        <f>'Calculations BTU'!X163</f>
        <v>606634968372.87976</v>
      </c>
      <c r="Q6">
        <f>'Calculations BTU'!Y163</f>
        <v>568720282849.57483</v>
      </c>
      <c r="R6">
        <f>'Calculations BTU'!Z163</f>
        <v>530805597326.26978</v>
      </c>
      <c r="S6">
        <f>'Calculations BTU'!AA163</f>
        <v>492890911802.96478</v>
      </c>
      <c r="T6">
        <f>'Calculations BTU'!AB163</f>
        <v>464454897660.48602</v>
      </c>
      <c r="U6">
        <f>'Calculations BTU'!AC163</f>
        <v>417061540756.35486</v>
      </c>
      <c r="V6">
        <f>'Calculations BTU'!AD163</f>
        <v>379146855233.0498</v>
      </c>
      <c r="W6">
        <f>'Calculations BTU'!AE163</f>
        <v>341232169709.74481</v>
      </c>
      <c r="X6">
        <f>'Calculations BTU'!AF163</f>
        <v>293838812805.61365</v>
      </c>
      <c r="Y6">
        <f>'Calculations BTU'!AG163</f>
        <v>265402798663.13489</v>
      </c>
      <c r="Z6">
        <f>'Calculations BTU'!AH163</f>
        <v>227488113139.8299</v>
      </c>
      <c r="AA6">
        <f>'Calculations BTU'!AI163</f>
        <v>189573427616.5249</v>
      </c>
      <c r="AB6">
        <f>'Calculations BTU'!AJ163</f>
        <v>151658742093.21994</v>
      </c>
      <c r="AC6">
        <f>'Calculations BTU'!AK163</f>
        <v>113744056569.91493</v>
      </c>
      <c r="AD6">
        <f>'Calculations BTU'!AL163</f>
        <v>85308042427.436203</v>
      </c>
      <c r="AE6">
        <f>'Calculations BTU'!AM163</f>
        <v>37914685523.304985</v>
      </c>
      <c r="AF6">
        <f>'Calculations BTU'!AN163</f>
        <v>0</v>
      </c>
      <c r="AG6">
        <f>'Calculations BTU'!AO163</f>
        <v>0</v>
      </c>
      <c r="AH6">
        <f>'Calculations BTU'!AP163</f>
        <v>0</v>
      </c>
      <c r="AI6">
        <f>'Calculations BTU'!AQ163</f>
        <v>0</v>
      </c>
      <c r="AJ6">
        <f>'Calculations BTU'!AR163</f>
        <v>0</v>
      </c>
      <c r="AK6">
        <f>'Calculations BTU'!AS163</f>
        <v>0</v>
      </c>
      <c r="AL6">
        <f>'Calculations BTU'!AT163</f>
        <v>0</v>
      </c>
      <c r="AM6">
        <f>'Calculations BTU'!AU163</f>
        <v>0</v>
      </c>
      <c r="AN6">
        <f>'Calculations BTU'!AV163</f>
        <v>0</v>
      </c>
      <c r="AO6">
        <f>'Calculations BTU'!AW163</f>
        <v>0</v>
      </c>
      <c r="AP6">
        <f>'Calculations BTU'!AX163</f>
        <v>0</v>
      </c>
      <c r="AQ6">
        <f>'Calculations BTU'!AY163</f>
        <v>0</v>
      </c>
      <c r="AR6">
        <f>'Calculations BTU'!AZ163</f>
        <v>0</v>
      </c>
      <c r="AS6">
        <f>'Calculations BTU'!BA163</f>
        <v>0</v>
      </c>
      <c r="AT6">
        <f>'Calculations BTU'!BB163</f>
        <v>0</v>
      </c>
      <c r="AU6">
        <f>'Calculations BTU'!BC163</f>
        <v>0</v>
      </c>
      <c r="AV6">
        <f>'Calculations BTU'!BD163</f>
        <v>0</v>
      </c>
      <c r="AW6">
        <f>'Calculations BTU'!BE163</f>
        <v>0</v>
      </c>
      <c r="AX6">
        <f>'Calculations BTU'!BF163</f>
        <v>0</v>
      </c>
      <c r="AY6">
        <f>'Calculations BTU'!BG163</f>
        <v>0</v>
      </c>
      <c r="AZ6">
        <f>'Calculations BTU'!BH163</f>
        <v>0</v>
      </c>
    </row>
    <row r="7" spans="1:52">
      <c r="A7" t="s">
        <v>131</v>
      </c>
      <c r="B7">
        <f>'Calculations BTU'!J164</f>
        <v>18957342761.652493</v>
      </c>
      <c r="C7">
        <f>'Calculations BTU'!K164</f>
        <v>28436014142.478733</v>
      </c>
      <c r="D7">
        <f>'Calculations BTU'!L164</f>
        <v>28436014142.478733</v>
      </c>
      <c r="E7">
        <f>'Calculations BTU'!M164</f>
        <v>28436014142.478733</v>
      </c>
      <c r="F7">
        <f>'Calculations BTU'!N164</f>
        <v>28466054499.434906</v>
      </c>
      <c r="G7">
        <f>'Calculations BTU'!O164</f>
        <v>28495625475.813637</v>
      </c>
      <c r="H7">
        <f>'Calculations BTU'!P164</f>
        <v>28526135213.347244</v>
      </c>
      <c r="I7">
        <f>'Calculations BTU'!Q164</f>
        <v>28556175570.303413</v>
      </c>
      <c r="J7">
        <f>'Calculations BTU'!R164</f>
        <v>28585746546.682144</v>
      </c>
      <c r="K7">
        <f>'Calculations BTU'!S164</f>
        <v>28616256284.215759</v>
      </c>
      <c r="L7">
        <f>'Calculations BTU'!T164</f>
        <v>28645827260.594482</v>
      </c>
      <c r="M7">
        <f>'Calculations BTU'!U164</f>
        <v>28675398236.973209</v>
      </c>
      <c r="N7">
        <f>'Calculations BTU'!V164</f>
        <v>28706377355.084263</v>
      </c>
      <c r="O7">
        <f>'Calculations BTU'!W164</f>
        <v>28735948331.462994</v>
      </c>
      <c r="P7">
        <f>'Calculations BTU'!X164</f>
        <v>28654745491.565845</v>
      </c>
      <c r="Q7">
        <f>'Calculations BTU'!Y164</f>
        <v>28423340866.887852</v>
      </c>
      <c r="R7">
        <f>'Calculations BTU'!Z164</f>
        <v>28191466861.632427</v>
      </c>
      <c r="S7">
        <f>'Calculations BTU'!AA164</f>
        <v>27960531617.531879</v>
      </c>
      <c r="T7">
        <f>'Calculations BTU'!AB164</f>
        <v>27729126992.853889</v>
      </c>
      <c r="U7">
        <f>'Calculations BTU'!AC164</f>
        <v>27496783607.021023</v>
      </c>
      <c r="V7">
        <f>'Calculations BTU'!AD164</f>
        <v>27266317743.49791</v>
      </c>
      <c r="W7">
        <f>'Calculations BTU'!AE164</f>
        <v>27034913118.81992</v>
      </c>
      <c r="X7">
        <f>'Calculations BTU'!AF164</f>
        <v>26803039113.564484</v>
      </c>
      <c r="Y7">
        <f>'Calculations BTU'!AG164</f>
        <v>26571634488.886494</v>
      </c>
      <c r="Z7">
        <f>'Calculations BTU'!AH164</f>
        <v>26340699244.785938</v>
      </c>
      <c r="AA7">
        <f>'Calculations BTU'!AI164</f>
        <v>26108825239.530514</v>
      </c>
      <c r="AB7">
        <f>'Calculations BTU'!AJ164</f>
        <v>25877420614.85252</v>
      </c>
      <c r="AC7">
        <f>'Calculations BTU'!AK164</f>
        <v>25646015990.174534</v>
      </c>
      <c r="AD7">
        <f>'Calculations BTU'!AL164</f>
        <v>25415080746.073986</v>
      </c>
      <c r="AE7">
        <f>'Calculations BTU'!AM164</f>
        <v>25180859837.931355</v>
      </c>
      <c r="AF7">
        <f>'Calculations BTU'!AN164</f>
        <v>24947108310.366161</v>
      </c>
      <c r="AG7">
        <f>'Calculations BTU'!AO164</f>
        <v>24947108310.366161</v>
      </c>
      <c r="AH7">
        <f>'Calculations BTU'!AP164</f>
        <v>24947108310.366161</v>
      </c>
      <c r="AI7">
        <f>'Calculations BTU'!AQ164</f>
        <v>24947108310.366161</v>
      </c>
      <c r="AJ7">
        <f>'Calculations BTU'!AR164</f>
        <v>24947108310.366161</v>
      </c>
      <c r="AK7">
        <f>'Calculations BTU'!AS164</f>
        <v>24947108310.366161</v>
      </c>
      <c r="AL7">
        <f>'Calculations BTU'!AT164</f>
        <v>24947108310.366161</v>
      </c>
      <c r="AM7">
        <f>'Calculations BTU'!AU164</f>
        <v>24947108310.366161</v>
      </c>
      <c r="AN7">
        <f>'Calculations BTU'!AV164</f>
        <v>24947108310.366161</v>
      </c>
      <c r="AO7">
        <f>'Calculations BTU'!AW164</f>
        <v>24947108310.366161</v>
      </c>
      <c r="AP7">
        <f>'Calculations BTU'!AX164</f>
        <v>24947108310.366161</v>
      </c>
      <c r="AQ7">
        <f>'Calculations BTU'!AY164</f>
        <v>24947108310.366161</v>
      </c>
      <c r="AR7">
        <f>'Calculations BTU'!AZ164</f>
        <v>24947108310.366161</v>
      </c>
      <c r="AS7">
        <f>'Calculations BTU'!BA164</f>
        <v>24947108310.366161</v>
      </c>
      <c r="AT7">
        <f>'Calculations BTU'!BB164</f>
        <v>24947108310.366161</v>
      </c>
      <c r="AU7">
        <f>'Calculations BTU'!BC164</f>
        <v>24947108310.366161</v>
      </c>
      <c r="AV7">
        <f>'Calculations BTU'!BD164</f>
        <v>24947108310.366161</v>
      </c>
      <c r="AW7">
        <f>'Calculations BTU'!BE164</f>
        <v>24947108310.366161</v>
      </c>
      <c r="AX7">
        <f>'Calculations BTU'!BF164</f>
        <v>24947108310.366161</v>
      </c>
      <c r="AY7">
        <f>'Calculations BTU'!BG164</f>
        <v>24947108310.366161</v>
      </c>
      <c r="AZ7">
        <f>'Calculations BTU'!BH164</f>
        <v>24947108310.366161</v>
      </c>
    </row>
    <row r="8" spans="1:52">
      <c r="A8" t="s">
        <v>132</v>
      </c>
      <c r="B8">
        <f>'Calculations BTU'!J165</f>
        <v>0</v>
      </c>
      <c r="C8">
        <f>'Calculations BTU'!K165</f>
        <v>0</v>
      </c>
      <c r="D8">
        <f>'Calculations BTU'!L165</f>
        <v>0</v>
      </c>
      <c r="E8">
        <f>'Calculations BTU'!M165</f>
        <v>0</v>
      </c>
      <c r="F8">
        <f>'Calculations BTU'!N165</f>
        <v>0</v>
      </c>
      <c r="G8">
        <f>'Calculations BTU'!O165</f>
        <v>0</v>
      </c>
      <c r="H8">
        <f>'Calculations BTU'!P165</f>
        <v>0</v>
      </c>
      <c r="I8">
        <f>'Calculations BTU'!Q165</f>
        <v>0</v>
      </c>
      <c r="J8">
        <f>'Calculations BTU'!R165</f>
        <v>0</v>
      </c>
      <c r="K8">
        <f>'Calculations BTU'!S165</f>
        <v>0</v>
      </c>
      <c r="L8">
        <f>'Calculations BTU'!T165</f>
        <v>0</v>
      </c>
      <c r="M8">
        <f>'Calculations BTU'!U165</f>
        <v>0</v>
      </c>
      <c r="N8">
        <f>'Calculations BTU'!V165</f>
        <v>0</v>
      </c>
      <c r="O8">
        <f>'Calculations BTU'!W165</f>
        <v>0</v>
      </c>
      <c r="P8">
        <f>'Calculations BTU'!X165</f>
        <v>0</v>
      </c>
      <c r="Q8">
        <f>'Calculations BTU'!Y165</f>
        <v>0</v>
      </c>
      <c r="R8">
        <f>'Calculations BTU'!Z165</f>
        <v>0</v>
      </c>
      <c r="S8">
        <f>'Calculations BTU'!AA165</f>
        <v>0</v>
      </c>
      <c r="T8">
        <f>'Calculations BTU'!AB165</f>
        <v>0</v>
      </c>
      <c r="U8">
        <f>'Calculations BTU'!AC165</f>
        <v>0</v>
      </c>
      <c r="V8">
        <f>'Calculations BTU'!AD165</f>
        <v>0</v>
      </c>
      <c r="W8">
        <f>'Calculations BTU'!AE165</f>
        <v>0</v>
      </c>
      <c r="X8">
        <f>'Calculations BTU'!AF165</f>
        <v>0</v>
      </c>
      <c r="Y8">
        <f>'Calculations BTU'!AG165</f>
        <v>0</v>
      </c>
      <c r="Z8">
        <f>'Calculations BTU'!AH165</f>
        <v>0</v>
      </c>
      <c r="AA8">
        <f>'Calculations BTU'!AI165</f>
        <v>0</v>
      </c>
      <c r="AB8">
        <f>'Calculations BTU'!AJ165</f>
        <v>0</v>
      </c>
      <c r="AC8">
        <f>'Calculations BTU'!AK165</f>
        <v>0</v>
      </c>
      <c r="AD8">
        <f>'Calculations BTU'!AL165</f>
        <v>0</v>
      </c>
      <c r="AE8">
        <f>'Calculations BTU'!AM165</f>
        <v>0</v>
      </c>
      <c r="AF8">
        <f>'Calculations BTU'!AN165</f>
        <v>0</v>
      </c>
      <c r="AG8">
        <f>'Calculations BTU'!AO165</f>
        <v>0</v>
      </c>
      <c r="AH8">
        <f>'Calculations BTU'!AP165</f>
        <v>0</v>
      </c>
      <c r="AI8">
        <f>'Calculations BTU'!AQ165</f>
        <v>0</v>
      </c>
      <c r="AJ8">
        <f>'Calculations BTU'!AR165</f>
        <v>0</v>
      </c>
      <c r="AK8">
        <f>'Calculations BTU'!AS165</f>
        <v>0</v>
      </c>
      <c r="AL8">
        <f>'Calculations BTU'!AT165</f>
        <v>0</v>
      </c>
      <c r="AM8">
        <f>'Calculations BTU'!AU165</f>
        <v>0</v>
      </c>
      <c r="AN8">
        <f>'Calculations BTU'!AV165</f>
        <v>0</v>
      </c>
      <c r="AO8">
        <f>'Calculations BTU'!AW165</f>
        <v>0</v>
      </c>
      <c r="AP8">
        <f>'Calculations BTU'!AX165</f>
        <v>0</v>
      </c>
      <c r="AQ8">
        <f>'Calculations BTU'!AY165</f>
        <v>0</v>
      </c>
      <c r="AR8">
        <f>'Calculations BTU'!AZ165</f>
        <v>0</v>
      </c>
      <c r="AS8">
        <f>'Calculations BTU'!BA165</f>
        <v>0</v>
      </c>
      <c r="AT8">
        <f>'Calculations BTU'!BB165</f>
        <v>0</v>
      </c>
      <c r="AU8">
        <f>'Calculations BTU'!BC165</f>
        <v>0</v>
      </c>
      <c r="AV8">
        <f>'Calculations BTU'!BD165</f>
        <v>0</v>
      </c>
      <c r="AW8">
        <f>'Calculations BTU'!BE165</f>
        <v>0</v>
      </c>
      <c r="AX8">
        <f>'Calculations BTU'!BF165</f>
        <v>0</v>
      </c>
      <c r="AY8">
        <f>'Calculations BTU'!BG165</f>
        <v>0</v>
      </c>
      <c r="AZ8">
        <f>'Calculations BTU'!BH165</f>
        <v>0</v>
      </c>
    </row>
    <row r="9" spans="1:52">
      <c r="A9" t="s">
        <v>133</v>
      </c>
      <c r="B9">
        <f>'Calculations BTU'!J166</f>
        <v>3914691280281.2393</v>
      </c>
      <c r="C9">
        <f>'Calculations BTU'!K166</f>
        <v>4834122404221.3848</v>
      </c>
      <c r="D9">
        <f>'Calculations BTU'!L166</f>
        <v>4672984990747.3389</v>
      </c>
      <c r="E9">
        <f>'Calculations BTU'!M166</f>
        <v>4511847577273.292</v>
      </c>
      <c r="F9">
        <f>'Calculations BTU'!N166</f>
        <v>4341231492418.4204</v>
      </c>
      <c r="G9">
        <f>'Calculations BTU'!O166</f>
        <v>4180094078944.374</v>
      </c>
      <c r="H9">
        <f>'Calculations BTU'!P166</f>
        <v>4009477994089.502</v>
      </c>
      <c r="I9">
        <f>'Calculations BTU'!Q166</f>
        <v>3838861909234.6289</v>
      </c>
      <c r="J9">
        <f>'Calculations BTU'!R166</f>
        <v>3677724495760.583</v>
      </c>
      <c r="K9">
        <f>'Calculations BTU'!S166</f>
        <v>3507108410905.7109</v>
      </c>
      <c r="L9">
        <f>'Calculations BTU'!T166</f>
        <v>3336492326050.8384</v>
      </c>
      <c r="M9">
        <f>'Calculations BTU'!U166</f>
        <v>3175354912576.792</v>
      </c>
      <c r="N9">
        <f>'Calculations BTU'!V166</f>
        <v>3004738827721.9194</v>
      </c>
      <c r="O9">
        <f>'Calculations BTU'!W166</f>
        <v>2843601414247.8735</v>
      </c>
      <c r="P9">
        <f>'Calculations BTU'!X166</f>
        <v>2672985329393.001</v>
      </c>
      <c r="Q9">
        <f>'Calculations BTU'!Y166</f>
        <v>2502369244538.1289</v>
      </c>
      <c r="R9">
        <f>'Calculations BTU'!Z166</f>
        <v>2341231831064.0825</v>
      </c>
      <c r="S9">
        <f>'Calculations BTU'!AA166</f>
        <v>2170615746209.2102</v>
      </c>
      <c r="T9">
        <f>'Calculations BTU'!AB166</f>
        <v>1999999661354.3376</v>
      </c>
      <c r="U9">
        <f>'Calculations BTU'!AC166</f>
        <v>1838862247880.2915</v>
      </c>
      <c r="V9">
        <f>'Calculations BTU'!AD166</f>
        <v>1668246163025.4192</v>
      </c>
      <c r="W9">
        <f>'Calculations BTU'!AE166</f>
        <v>1507108749551.373</v>
      </c>
      <c r="X9">
        <f>'Calculations BTU'!AF166</f>
        <v>1336492664696.5005</v>
      </c>
      <c r="Y9">
        <f>'Calculations BTU'!AG166</f>
        <v>1165876579841.6282</v>
      </c>
      <c r="Z9">
        <f>'Calculations BTU'!AH166</f>
        <v>1004739166367.582</v>
      </c>
      <c r="AA9">
        <f>'Calculations BTU'!AI166</f>
        <v>834123081512.70959</v>
      </c>
      <c r="AB9">
        <f>'Calculations BTU'!AJ166</f>
        <v>663506996657.83716</v>
      </c>
      <c r="AC9">
        <f>'Calculations BTU'!AK166</f>
        <v>502369583183.79102</v>
      </c>
      <c r="AD9">
        <f>'Calculations BTU'!AL166</f>
        <v>331753498328.91858</v>
      </c>
      <c r="AE9">
        <f>'Calculations BTU'!AM166</f>
        <v>170616084854.87241</v>
      </c>
      <c r="AF9">
        <f>'Calculations BTU'!AN166</f>
        <v>0</v>
      </c>
      <c r="AG9">
        <f>'Calculations BTU'!AO166</f>
        <v>0</v>
      </c>
      <c r="AH9">
        <f>'Calculations BTU'!AP166</f>
        <v>0</v>
      </c>
      <c r="AI9">
        <f>'Calculations BTU'!AQ166</f>
        <v>0</v>
      </c>
      <c r="AJ9">
        <f>'Calculations BTU'!AR166</f>
        <v>0</v>
      </c>
      <c r="AK9">
        <f>'Calculations BTU'!AS166</f>
        <v>0</v>
      </c>
      <c r="AL9">
        <f>'Calculations BTU'!AT166</f>
        <v>0</v>
      </c>
      <c r="AM9">
        <f>'Calculations BTU'!AU166</f>
        <v>0</v>
      </c>
      <c r="AN9">
        <f>'Calculations BTU'!AV166</f>
        <v>0</v>
      </c>
      <c r="AO9">
        <f>'Calculations BTU'!AW166</f>
        <v>0</v>
      </c>
      <c r="AP9">
        <f>'Calculations BTU'!AX166</f>
        <v>0</v>
      </c>
      <c r="AQ9">
        <f>'Calculations BTU'!AY166</f>
        <v>0</v>
      </c>
      <c r="AR9">
        <f>'Calculations BTU'!AZ166</f>
        <v>0</v>
      </c>
      <c r="AS9">
        <f>'Calculations BTU'!BA166</f>
        <v>0</v>
      </c>
      <c r="AT9">
        <f>'Calculations BTU'!BB166</f>
        <v>0</v>
      </c>
      <c r="AU9">
        <f>'Calculations BTU'!BC166</f>
        <v>0</v>
      </c>
      <c r="AV9">
        <f>'Calculations BTU'!BD166</f>
        <v>0</v>
      </c>
      <c r="AW9">
        <f>'Calculations BTU'!BE166</f>
        <v>0</v>
      </c>
      <c r="AX9">
        <f>'Calculations BTU'!BF166</f>
        <v>0</v>
      </c>
      <c r="AY9">
        <f>'Calculations BTU'!BG166</f>
        <v>0</v>
      </c>
      <c r="AZ9">
        <f>'Calculations BTU'!BH166</f>
        <v>0</v>
      </c>
    </row>
    <row r="10" spans="1:52">
      <c r="A10" t="s">
        <v>134</v>
      </c>
      <c r="B10">
        <f>'Calculations BTU'!J167</f>
        <v>19056868811151.191</v>
      </c>
      <c r="C10">
        <f>'Calculations BTU'!K167</f>
        <v>66412311029759.07</v>
      </c>
      <c r="D10">
        <f>'Calculations BTU'!L167</f>
        <v>58535356542872.242</v>
      </c>
      <c r="E10">
        <f>'Calculations BTU'!M167</f>
        <v>59069450247129.906</v>
      </c>
      <c r="F10">
        <f>'Calculations BTU'!N167</f>
        <v>60818255394503.719</v>
      </c>
      <c r="G10">
        <f>'Calculations BTU'!O167</f>
        <v>62308575304015.984</v>
      </c>
      <c r="H10">
        <f>'Calculations BTU'!P167</f>
        <v>65371032140129.742</v>
      </c>
      <c r="I10">
        <f>'Calculations BTU'!Q167</f>
        <v>70102799121331.172</v>
      </c>
      <c r="J10">
        <f>'Calculations BTU'!R167</f>
        <v>72143393490226.469</v>
      </c>
      <c r="K10">
        <f>'Calculations BTU'!S167</f>
        <v>72291718608034.109</v>
      </c>
      <c r="L10">
        <f>'Calculations BTU'!T167</f>
        <v>72289615575357.672</v>
      </c>
      <c r="M10">
        <f>'Calculations BTU'!U167</f>
        <v>72118030339202.625</v>
      </c>
      <c r="N10">
        <f>'Calculations BTU'!V167</f>
        <v>71761702038549.531</v>
      </c>
      <c r="O10">
        <f>'Calculations BTU'!W167</f>
        <v>71239631678954.719</v>
      </c>
      <c r="P10">
        <f>'Calculations BTU'!X167</f>
        <v>70365759046262.57</v>
      </c>
      <c r="Q10">
        <f>'Calculations BTU'!Y167</f>
        <v>69141401290129.781</v>
      </c>
      <c r="R10">
        <f>'Calculations BTU'!Z167</f>
        <v>67567990876666.156</v>
      </c>
      <c r="S10">
        <f>'Calculations BTU'!AA167</f>
        <v>65638639771019.828</v>
      </c>
      <c r="T10">
        <f>'Calculations BTU'!AB167</f>
        <v>63714585254868.977</v>
      </c>
      <c r="U10">
        <f>'Calculations BTU'!AC167</f>
        <v>61787665806490.531</v>
      </c>
      <c r="V10">
        <f>'Calculations BTU'!AD167</f>
        <v>59855891705960.703</v>
      </c>
      <c r="W10">
        <f>'Calculations BTU'!AE167</f>
        <v>57927265495759.977</v>
      </c>
      <c r="X10">
        <f>'Calculations BTU'!AF167</f>
        <v>56002547071731.969</v>
      </c>
      <c r="Y10">
        <f>'Calculations BTU'!AG167</f>
        <v>54079544071919.578</v>
      </c>
      <c r="Z10">
        <f>'Calculations BTU'!AH167</f>
        <v>52140775282460.93</v>
      </c>
      <c r="AA10">
        <f>'Calculations BTU'!AI167</f>
        <v>50218656157346.117</v>
      </c>
      <c r="AB10">
        <f>'Calculations BTU'!AJ167</f>
        <v>48297579886180.672</v>
      </c>
      <c r="AC10">
        <f>'Calculations BTU'!AK167</f>
        <v>46359261696464.625</v>
      </c>
      <c r="AD10">
        <f>'Calculations BTU'!AL167</f>
        <v>44432181265130.688</v>
      </c>
      <c r="AE10">
        <f>'Calculations BTU'!AM167</f>
        <v>42499928223151.414</v>
      </c>
      <c r="AF10">
        <f>'Calculations BTU'!AN167</f>
        <v>40572131558760.789</v>
      </c>
      <c r="AG10">
        <f>'Calculations BTU'!AO167</f>
        <v>40572131558760.789</v>
      </c>
      <c r="AH10">
        <f>'Calculations BTU'!AP167</f>
        <v>40572131558760.789</v>
      </c>
      <c r="AI10">
        <f>'Calculations BTU'!AQ167</f>
        <v>40572131558760.789</v>
      </c>
      <c r="AJ10">
        <f>'Calculations BTU'!AR167</f>
        <v>40572131558760.789</v>
      </c>
      <c r="AK10">
        <f>'Calculations BTU'!AS167</f>
        <v>40572131558760.789</v>
      </c>
      <c r="AL10">
        <f>'Calculations BTU'!AT167</f>
        <v>40572131558760.789</v>
      </c>
      <c r="AM10">
        <f>'Calculations BTU'!AU167</f>
        <v>40572131558760.789</v>
      </c>
      <c r="AN10">
        <f>'Calculations BTU'!AV167</f>
        <v>40572131558760.789</v>
      </c>
      <c r="AO10">
        <f>'Calculations BTU'!AW167</f>
        <v>40572131558760.789</v>
      </c>
      <c r="AP10">
        <f>'Calculations BTU'!AX167</f>
        <v>40572131558760.789</v>
      </c>
      <c r="AQ10">
        <f>'Calculations BTU'!AY167</f>
        <v>40572131558760.789</v>
      </c>
      <c r="AR10">
        <f>'Calculations BTU'!AZ167</f>
        <v>40572131558760.789</v>
      </c>
      <c r="AS10">
        <f>'Calculations BTU'!BA167</f>
        <v>40572131558760.789</v>
      </c>
      <c r="AT10">
        <f>'Calculations BTU'!BB167</f>
        <v>40572131558760.789</v>
      </c>
      <c r="AU10">
        <f>'Calculations BTU'!BC167</f>
        <v>40572131558760.789</v>
      </c>
      <c r="AV10">
        <f>'Calculations BTU'!BD167</f>
        <v>40572131558760.789</v>
      </c>
      <c r="AW10">
        <f>'Calculations BTU'!BE167</f>
        <v>40572131558760.789</v>
      </c>
      <c r="AX10">
        <f>'Calculations BTU'!BF167</f>
        <v>40572131558760.789</v>
      </c>
      <c r="AY10">
        <f>'Calculations BTU'!BG167</f>
        <v>40572131558760.789</v>
      </c>
      <c r="AZ10">
        <f>'Calculations BTU'!BH167</f>
        <v>40572131558760.789</v>
      </c>
    </row>
    <row r="11" spans="1:52">
      <c r="A11" t="s">
        <v>135</v>
      </c>
      <c r="B11">
        <f>'Calculations BTU'!J168</f>
        <v>6417060524819.3672</v>
      </c>
      <c r="C11">
        <f>'Calculations BTU'!K168</f>
        <v>6682463323482.5039</v>
      </c>
      <c r="D11">
        <f>'Calculations BTU'!L168</f>
        <v>6701420666244.1553</v>
      </c>
      <c r="E11">
        <f>'Calculations BTU'!M168</f>
        <v>6777250037290.7656</v>
      </c>
      <c r="F11">
        <f>'Calculations BTU'!N168</f>
        <v>6843600736956.5488</v>
      </c>
      <c r="G11">
        <f>'Calculations BTU'!O168</f>
        <v>6909951436622.333</v>
      </c>
      <c r="H11">
        <f>'Calculations BTU'!P168</f>
        <v>6995259479049.7686</v>
      </c>
      <c r="I11">
        <f>'Calculations BTU'!Q168</f>
        <v>7061610178715.5527</v>
      </c>
      <c r="J11">
        <f>'Calculations BTU'!R168</f>
        <v>7127960878381.3369</v>
      </c>
      <c r="K11">
        <f>'Calculations BTU'!S168</f>
        <v>7213268920808.7725</v>
      </c>
      <c r="L11">
        <f>'Calculations BTU'!T168</f>
        <v>7279619620474.5557</v>
      </c>
      <c r="M11">
        <f>'Calculations BTU'!U168</f>
        <v>7345970320140.3398</v>
      </c>
      <c r="N11">
        <f>'Calculations BTU'!V168</f>
        <v>7431278362567.7764</v>
      </c>
      <c r="O11">
        <f>'Calculations BTU'!W168</f>
        <v>7497629062233.5596</v>
      </c>
      <c r="P11">
        <f>'Calculations BTU'!X168</f>
        <v>7563979761899.3438</v>
      </c>
      <c r="Q11">
        <f>'Calculations BTU'!Y168</f>
        <v>7639809132945.9541</v>
      </c>
      <c r="R11">
        <f>'Calculations BTU'!Z168</f>
        <v>7715638503992.5645</v>
      </c>
      <c r="S11">
        <f>'Calculations BTU'!AA168</f>
        <v>7781989203658.3467</v>
      </c>
      <c r="T11">
        <f>'Calculations BTU'!AB168</f>
        <v>7848339903324.1299</v>
      </c>
      <c r="U11">
        <f>'Calculations BTU'!AC168</f>
        <v>7933647945751.5664</v>
      </c>
      <c r="V11">
        <f>'Calculations BTU'!AD168</f>
        <v>7999998645417.3506</v>
      </c>
      <c r="W11">
        <f>'Calculations BTU'!AE168</f>
        <v>8066349345083.1348</v>
      </c>
      <c r="X11">
        <f>'Calculations BTU'!AF168</f>
        <v>8151657387510.5723</v>
      </c>
      <c r="Y11">
        <f>'Calculations BTU'!AG168</f>
        <v>8218008087176.3545</v>
      </c>
      <c r="Z11">
        <f>'Calculations BTU'!AH168</f>
        <v>8284358786842.1387</v>
      </c>
      <c r="AA11">
        <f>'Calculations BTU'!AI168</f>
        <v>8360188157888.748</v>
      </c>
      <c r="AB11">
        <f>'Calculations BTU'!AJ168</f>
        <v>8436017528935.3584</v>
      </c>
      <c r="AC11">
        <f>'Calculations BTU'!AK168</f>
        <v>8502368228601.1426</v>
      </c>
      <c r="AD11">
        <f>'Calculations BTU'!AL168</f>
        <v>8578197599647.7529</v>
      </c>
      <c r="AE11">
        <f>'Calculations BTU'!AM168</f>
        <v>8654026970694.3623</v>
      </c>
      <c r="AF11">
        <f>'Calculations BTU'!AN168</f>
        <v>8720377670360.1445</v>
      </c>
      <c r="AG11">
        <f>'Calculations BTU'!AO168</f>
        <v>8720377670360.1445</v>
      </c>
      <c r="AH11">
        <f>'Calculations BTU'!AP168</f>
        <v>8720377670360.1445</v>
      </c>
      <c r="AI11">
        <f>'Calculations BTU'!AQ168</f>
        <v>8720377670360.1445</v>
      </c>
      <c r="AJ11">
        <f>'Calculations BTU'!AR168</f>
        <v>8720377670360.1445</v>
      </c>
      <c r="AK11">
        <f>'Calculations BTU'!AS168</f>
        <v>8720377670360.1445</v>
      </c>
      <c r="AL11">
        <f>'Calculations BTU'!AT168</f>
        <v>8720377670360.1445</v>
      </c>
      <c r="AM11">
        <f>'Calculations BTU'!AU168</f>
        <v>8720377670360.1445</v>
      </c>
      <c r="AN11">
        <f>'Calculations BTU'!AV168</f>
        <v>8720377670360.1445</v>
      </c>
      <c r="AO11">
        <f>'Calculations BTU'!AW168</f>
        <v>8720377670360.1445</v>
      </c>
      <c r="AP11">
        <f>'Calculations BTU'!AX168</f>
        <v>8720377670360.1445</v>
      </c>
      <c r="AQ11">
        <f>'Calculations BTU'!AY168</f>
        <v>8720377670360.1445</v>
      </c>
      <c r="AR11">
        <f>'Calculations BTU'!AZ168</f>
        <v>8720377670360.1445</v>
      </c>
      <c r="AS11">
        <f>'Calculations BTU'!BA168</f>
        <v>8720377670360.1445</v>
      </c>
      <c r="AT11">
        <f>'Calculations BTU'!BB168</f>
        <v>8720377670360.1445</v>
      </c>
      <c r="AU11">
        <f>'Calculations BTU'!BC168</f>
        <v>8720377670360.1445</v>
      </c>
      <c r="AV11">
        <f>'Calculations BTU'!BD168</f>
        <v>8720377670360.1445</v>
      </c>
      <c r="AW11">
        <f>'Calculations BTU'!BE168</f>
        <v>8720377670360.1445</v>
      </c>
      <c r="AX11">
        <f>'Calculations BTU'!BF168</f>
        <v>8720377670360.1445</v>
      </c>
      <c r="AY11">
        <f>'Calculations BTU'!BG168</f>
        <v>8720377670360.1445</v>
      </c>
      <c r="AZ11">
        <f>'Calculations BTU'!BH168</f>
        <v>8720377670360.1445</v>
      </c>
    </row>
    <row r="12" spans="1:52">
      <c r="A12" t="s">
        <v>136</v>
      </c>
      <c r="B12">
        <f>'Calculations BTU'!J169</f>
        <v>398104197994.70227</v>
      </c>
      <c r="C12">
        <f>'Calculations BTU'!K169</f>
        <v>492890911802.96478</v>
      </c>
      <c r="D12">
        <f>'Calculations BTU'!L169</f>
        <v>473933569041.31226</v>
      </c>
      <c r="E12">
        <f>'Calculations BTU'!M169</f>
        <v>464454897660.48602</v>
      </c>
      <c r="F12">
        <f>'Calculations BTU'!N169</f>
        <v>445497554898.8335</v>
      </c>
      <c r="G12">
        <f>'Calculations BTU'!O169</f>
        <v>426540212137.18103</v>
      </c>
      <c r="H12">
        <f>'Calculations BTU'!P169</f>
        <v>407582869375.5285</v>
      </c>
      <c r="I12">
        <f>'Calculations BTU'!Q169</f>
        <v>388625526613.87604</v>
      </c>
      <c r="J12">
        <f>'Calculations BTU'!R169</f>
        <v>379146855233.0498</v>
      </c>
      <c r="K12">
        <f>'Calculations BTU'!S169</f>
        <v>360189512471.39734</v>
      </c>
      <c r="L12">
        <f>'Calculations BTU'!T169</f>
        <v>341232169709.74481</v>
      </c>
      <c r="M12">
        <f>'Calculations BTU'!U169</f>
        <v>322274826948.09235</v>
      </c>
      <c r="N12">
        <f>'Calculations BTU'!V169</f>
        <v>303317484186.43988</v>
      </c>
      <c r="O12">
        <f>'Calculations BTU'!W169</f>
        <v>293838812805.61359</v>
      </c>
      <c r="P12">
        <f>'Calculations BTU'!X169</f>
        <v>274881470043.96106</v>
      </c>
      <c r="Q12">
        <f>'Calculations BTU'!Y169</f>
        <v>255924127282.30862</v>
      </c>
      <c r="R12">
        <f>'Calculations BTU'!Z169</f>
        <v>236966784520.65613</v>
      </c>
      <c r="S12">
        <f>'Calculations BTU'!AA169</f>
        <v>218009441759.00366</v>
      </c>
      <c r="T12">
        <f>'Calculations BTU'!AB169</f>
        <v>208530770378.1774</v>
      </c>
      <c r="U12">
        <f>'Calculations BTU'!AC169</f>
        <v>189573427616.5249</v>
      </c>
      <c r="V12">
        <f>'Calculations BTU'!AD169</f>
        <v>170616084854.87241</v>
      </c>
      <c r="W12">
        <f>'Calculations BTU'!AE169</f>
        <v>151658742093.21994</v>
      </c>
      <c r="X12">
        <f>'Calculations BTU'!AF169</f>
        <v>132701399331.56744</v>
      </c>
      <c r="Y12">
        <f>'Calculations BTU'!AG169</f>
        <v>123222727950.7412</v>
      </c>
      <c r="Z12">
        <f>'Calculations BTU'!AH169</f>
        <v>104265385189.0887</v>
      </c>
      <c r="AA12">
        <f>'Calculations BTU'!AI169</f>
        <v>85308042427.436203</v>
      </c>
      <c r="AB12">
        <f>'Calculations BTU'!AJ169</f>
        <v>66350699665.783722</v>
      </c>
      <c r="AC12">
        <f>'Calculations BTU'!AK169</f>
        <v>47393356904.131226</v>
      </c>
      <c r="AD12">
        <f>'Calculations BTU'!AL169</f>
        <v>37914685523.304985</v>
      </c>
      <c r="AE12">
        <f>'Calculations BTU'!AM169</f>
        <v>18957342761.652493</v>
      </c>
      <c r="AF12">
        <f>'Calculations BTU'!AN169</f>
        <v>0</v>
      </c>
      <c r="AG12">
        <f>'Calculations BTU'!AO169</f>
        <v>0</v>
      </c>
      <c r="AH12">
        <f>'Calculations BTU'!AP169</f>
        <v>0</v>
      </c>
      <c r="AI12">
        <f>'Calculations BTU'!AQ169</f>
        <v>0</v>
      </c>
      <c r="AJ12">
        <f>'Calculations BTU'!AR169</f>
        <v>0</v>
      </c>
      <c r="AK12">
        <f>'Calculations BTU'!AS169</f>
        <v>0</v>
      </c>
      <c r="AL12">
        <f>'Calculations BTU'!AT169</f>
        <v>0</v>
      </c>
      <c r="AM12">
        <f>'Calculations BTU'!AU169</f>
        <v>0</v>
      </c>
      <c r="AN12">
        <f>'Calculations BTU'!AV169</f>
        <v>0</v>
      </c>
      <c r="AO12">
        <f>'Calculations BTU'!AW169</f>
        <v>0</v>
      </c>
      <c r="AP12">
        <f>'Calculations BTU'!AX169</f>
        <v>0</v>
      </c>
      <c r="AQ12">
        <f>'Calculations BTU'!AY169</f>
        <v>0</v>
      </c>
      <c r="AR12">
        <f>'Calculations BTU'!AZ169</f>
        <v>0</v>
      </c>
      <c r="AS12">
        <f>'Calculations BTU'!BA169</f>
        <v>0</v>
      </c>
      <c r="AT12">
        <f>'Calculations BTU'!BB169</f>
        <v>0</v>
      </c>
      <c r="AU12">
        <f>'Calculations BTU'!BC169</f>
        <v>0</v>
      </c>
      <c r="AV12">
        <f>'Calculations BTU'!BD169</f>
        <v>0</v>
      </c>
      <c r="AW12">
        <f>'Calculations BTU'!BE169</f>
        <v>0</v>
      </c>
      <c r="AX12">
        <f>'Calculations BTU'!BF169</f>
        <v>0</v>
      </c>
      <c r="AY12">
        <f>'Calculations BTU'!BG169</f>
        <v>0</v>
      </c>
      <c r="AZ12">
        <f>'Calculations BTU'!BH169</f>
        <v>0</v>
      </c>
    </row>
    <row r="13" spans="1:52">
      <c r="A13" t="s">
        <v>137</v>
      </c>
      <c r="B13">
        <f>'Calculations BTU'!J170</f>
        <v>218009441759.00366</v>
      </c>
      <c r="C13">
        <f>'Calculations BTU'!K170</f>
        <v>265402798663.13489</v>
      </c>
      <c r="D13">
        <f>'Calculations BTU'!L170</f>
        <v>255924127282.30862</v>
      </c>
      <c r="E13">
        <f>'Calculations BTU'!M170</f>
        <v>246445455901.48239</v>
      </c>
      <c r="F13">
        <f>'Calculations BTU'!N170</f>
        <v>236966784520.65613</v>
      </c>
      <c r="G13">
        <f>'Calculations BTU'!O170</f>
        <v>227488113139.8299</v>
      </c>
      <c r="H13">
        <f>'Calculations BTU'!P170</f>
        <v>218009441759.00366</v>
      </c>
      <c r="I13">
        <f>'Calculations BTU'!Q170</f>
        <v>208530770378.1774</v>
      </c>
      <c r="J13">
        <f>'Calculations BTU'!R170</f>
        <v>208530770378.1774</v>
      </c>
      <c r="K13">
        <f>'Calculations BTU'!S170</f>
        <v>199052098997.35117</v>
      </c>
      <c r="L13">
        <f>'Calculations BTU'!T170</f>
        <v>189573427616.5249</v>
      </c>
      <c r="M13">
        <f>'Calculations BTU'!U170</f>
        <v>180094756235.69867</v>
      </c>
      <c r="N13">
        <f>'Calculations BTU'!V170</f>
        <v>170616084854.87244</v>
      </c>
      <c r="O13">
        <f>'Calculations BTU'!W170</f>
        <v>161137413474.04617</v>
      </c>
      <c r="P13">
        <f>'Calculations BTU'!X170</f>
        <v>151658742093.21994</v>
      </c>
      <c r="Q13">
        <f>'Calculations BTU'!Y170</f>
        <v>142180070712.39371</v>
      </c>
      <c r="R13">
        <f>'Calculations BTU'!Z170</f>
        <v>132701399331.56744</v>
      </c>
      <c r="S13">
        <f>'Calculations BTU'!AA170</f>
        <v>123222727950.7412</v>
      </c>
      <c r="T13">
        <f>'Calculations BTU'!AB170</f>
        <v>113744056569.91493</v>
      </c>
      <c r="U13">
        <f>'Calculations BTU'!AC170</f>
        <v>104265385189.0887</v>
      </c>
      <c r="V13">
        <f>'Calculations BTU'!AD170</f>
        <v>94786713808.262436</v>
      </c>
      <c r="W13">
        <f>'Calculations BTU'!AE170</f>
        <v>85308042427.436203</v>
      </c>
      <c r="X13">
        <f>'Calculations BTU'!AF170</f>
        <v>75829371046.60997</v>
      </c>
      <c r="Y13">
        <f>'Calculations BTU'!AG170</f>
        <v>75829371046.60997</v>
      </c>
      <c r="Z13">
        <f>'Calculations BTU'!AH170</f>
        <v>66350699665.783707</v>
      </c>
      <c r="AA13">
        <f>'Calculations BTU'!AI170</f>
        <v>66350699665.783722</v>
      </c>
      <c r="AB13">
        <f>'Calculations BTU'!AJ170</f>
        <v>56872028284.957466</v>
      </c>
      <c r="AC13">
        <f>'Calculations BTU'!AK170</f>
        <v>47393356904.131226</v>
      </c>
      <c r="AD13">
        <f>'Calculations BTU'!AL170</f>
        <v>37914685523.304985</v>
      </c>
      <c r="AE13">
        <f>'Calculations BTU'!AM170</f>
        <v>28436014142.478733</v>
      </c>
      <c r="AF13">
        <f>'Calculations BTU'!AN170</f>
        <v>18957342761.652493</v>
      </c>
      <c r="AG13">
        <f>'Calculations BTU'!AO170</f>
        <v>18957342761.652493</v>
      </c>
      <c r="AH13">
        <f>'Calculations BTU'!AP170</f>
        <v>18957342761.652493</v>
      </c>
      <c r="AI13">
        <f>'Calculations BTU'!AQ170</f>
        <v>18957342761.652493</v>
      </c>
      <c r="AJ13">
        <f>'Calculations BTU'!AR170</f>
        <v>18957342761.652493</v>
      </c>
      <c r="AK13">
        <f>'Calculations BTU'!AS170</f>
        <v>18957342761.652493</v>
      </c>
      <c r="AL13">
        <f>'Calculations BTU'!AT170</f>
        <v>18957342761.652493</v>
      </c>
      <c r="AM13">
        <f>'Calculations BTU'!AU170</f>
        <v>18957342761.652493</v>
      </c>
      <c r="AN13">
        <f>'Calculations BTU'!AV170</f>
        <v>18957342761.652493</v>
      </c>
      <c r="AO13">
        <f>'Calculations BTU'!AW170</f>
        <v>18957342761.652493</v>
      </c>
      <c r="AP13">
        <f>'Calculations BTU'!AX170</f>
        <v>18957342761.652493</v>
      </c>
      <c r="AQ13">
        <f>'Calculations BTU'!AY170</f>
        <v>18957342761.652493</v>
      </c>
      <c r="AR13">
        <f>'Calculations BTU'!AZ170</f>
        <v>18957342761.652493</v>
      </c>
      <c r="AS13">
        <f>'Calculations BTU'!BA170</f>
        <v>18957342761.652493</v>
      </c>
      <c r="AT13">
        <f>'Calculations BTU'!BB170</f>
        <v>18957342761.652493</v>
      </c>
      <c r="AU13">
        <f>'Calculations BTU'!BC170</f>
        <v>18957342761.652493</v>
      </c>
      <c r="AV13">
        <f>'Calculations BTU'!BD170</f>
        <v>18957342761.652493</v>
      </c>
      <c r="AW13">
        <f>'Calculations BTU'!BE170</f>
        <v>18957342761.652493</v>
      </c>
      <c r="AX13">
        <f>'Calculations BTU'!BF170</f>
        <v>18957342761.652493</v>
      </c>
      <c r="AY13">
        <f>'Calculations BTU'!BG170</f>
        <v>18957342761.652493</v>
      </c>
      <c r="AZ13">
        <f>'Calculations BTU'!BH170</f>
        <v>18957342761.652493</v>
      </c>
    </row>
    <row r="14" spans="1:52">
      <c r="A14" t="s">
        <v>138</v>
      </c>
      <c r="B14">
        <f>'Calculations BTU'!J171</f>
        <v>103545006164145.91</v>
      </c>
      <c r="C14">
        <f>'Calculations BTU'!K171</f>
        <v>104113726446995.48</v>
      </c>
      <c r="D14">
        <f>'Calculations BTU'!L171</f>
        <v>105241688341313.8</v>
      </c>
      <c r="E14">
        <f>'Calculations BTU'!M171</f>
        <v>107421782758903.83</v>
      </c>
      <c r="F14">
        <f>'Calculations BTU'!N171</f>
        <v>109611355847874.7</v>
      </c>
      <c r="G14">
        <f>'Calculations BTU'!O171</f>
        <v>111800928936845.56</v>
      </c>
      <c r="H14">
        <f>'Calculations BTU'!P171</f>
        <v>113981023354435.59</v>
      </c>
      <c r="I14">
        <f>'Calculations BTU'!Q171</f>
        <v>116170596443406.47</v>
      </c>
      <c r="J14">
        <f>'Calculations BTU'!R171</f>
        <v>118350690860996.5</v>
      </c>
      <c r="K14">
        <f>'Calculations BTU'!S171</f>
        <v>120540263949967.36</v>
      </c>
      <c r="L14">
        <f>'Calculations BTU'!T171</f>
        <v>122720358367557.39</v>
      </c>
      <c r="M14">
        <f>'Calculations BTU'!U171</f>
        <v>124909931456528.27</v>
      </c>
      <c r="N14">
        <f>'Calculations BTU'!V171</f>
        <v>127099504545499.13</v>
      </c>
      <c r="O14">
        <f>'Calculations BTU'!W171</f>
        <v>129279598963089.14</v>
      </c>
      <c r="P14">
        <f>'Calculations BTU'!X171</f>
        <v>131469172052060.03</v>
      </c>
      <c r="Q14">
        <f>'Calculations BTU'!Y171</f>
        <v>133649266469650.06</v>
      </c>
      <c r="R14">
        <f>'Calculations BTU'!Z171</f>
        <v>135829360887240.11</v>
      </c>
      <c r="S14">
        <f>'Calculations BTU'!AA171</f>
        <v>138009455304830.13</v>
      </c>
      <c r="T14">
        <f>'Calculations BTU'!AB171</f>
        <v>140199028393800.98</v>
      </c>
      <c r="U14">
        <f>'Calculations BTU'!AC171</f>
        <v>142388601482771.84</v>
      </c>
      <c r="V14">
        <f>'Calculations BTU'!AD171</f>
        <v>144568695900361.91</v>
      </c>
      <c r="W14">
        <f>'Calculations BTU'!AE171</f>
        <v>146758268989332.75</v>
      </c>
      <c r="X14">
        <f>'Calculations BTU'!AF171</f>
        <v>148938363406922.78</v>
      </c>
      <c r="Y14">
        <f>'Calculations BTU'!AG171</f>
        <v>151127936495893.66</v>
      </c>
      <c r="Z14">
        <f>'Calculations BTU'!AH171</f>
        <v>153317509584864.5</v>
      </c>
      <c r="AA14">
        <f>'Calculations BTU'!AI171</f>
        <v>155497604002454.56</v>
      </c>
      <c r="AB14">
        <f>'Calculations BTU'!AJ171</f>
        <v>157687177091425.44</v>
      </c>
      <c r="AC14">
        <f>'Calculations BTU'!AK171</f>
        <v>159867271509015.44</v>
      </c>
      <c r="AD14">
        <f>'Calculations BTU'!AL171</f>
        <v>162056844597986.31</v>
      </c>
      <c r="AE14">
        <f>'Calculations BTU'!AM171</f>
        <v>164236939015576.34</v>
      </c>
      <c r="AF14">
        <f>'Calculations BTU'!AN171</f>
        <v>166426512104547.22</v>
      </c>
      <c r="AG14">
        <f>'Calculations BTU'!AO171</f>
        <v>166426512104547.22</v>
      </c>
      <c r="AH14">
        <f>'Calculations BTU'!AP171</f>
        <v>166426512104547.22</v>
      </c>
      <c r="AI14">
        <f>'Calculations BTU'!AQ171</f>
        <v>166426512104547.22</v>
      </c>
      <c r="AJ14">
        <f>'Calculations BTU'!AR171</f>
        <v>166426512104547.22</v>
      </c>
      <c r="AK14">
        <f>'Calculations BTU'!AS171</f>
        <v>166426512104547.22</v>
      </c>
      <c r="AL14">
        <f>'Calculations BTU'!AT171</f>
        <v>166426512104547.22</v>
      </c>
      <c r="AM14">
        <f>'Calculations BTU'!AU171</f>
        <v>166426512104547.22</v>
      </c>
      <c r="AN14">
        <f>'Calculations BTU'!AV171</f>
        <v>166426512104547.22</v>
      </c>
      <c r="AO14">
        <f>'Calculations BTU'!AW171</f>
        <v>166426512104547.22</v>
      </c>
      <c r="AP14">
        <f>'Calculations BTU'!AX171</f>
        <v>166426512104547.22</v>
      </c>
      <c r="AQ14">
        <f>'Calculations BTU'!AY171</f>
        <v>166426512104547.22</v>
      </c>
      <c r="AR14">
        <f>'Calculations BTU'!AZ171</f>
        <v>166426512104547.22</v>
      </c>
      <c r="AS14">
        <f>'Calculations BTU'!BA171</f>
        <v>166426512104547.22</v>
      </c>
      <c r="AT14">
        <f>'Calculations BTU'!BB171</f>
        <v>166426512104547.22</v>
      </c>
      <c r="AU14">
        <f>'Calculations BTU'!BC171</f>
        <v>166426512104547.22</v>
      </c>
      <c r="AV14">
        <f>'Calculations BTU'!BD171</f>
        <v>166426512104547.22</v>
      </c>
      <c r="AW14">
        <f>'Calculations BTU'!BE171</f>
        <v>166426512104547.22</v>
      </c>
      <c r="AX14">
        <f>'Calculations BTU'!BF171</f>
        <v>166426512104547.22</v>
      </c>
      <c r="AY14">
        <f>'Calculations BTU'!BG171</f>
        <v>166426512104547.22</v>
      </c>
      <c r="AZ14">
        <f>'Calculations BTU'!BH171</f>
        <v>166426512104547.22</v>
      </c>
    </row>
    <row r="15" spans="1:52">
      <c r="A15" t="s">
        <v>139</v>
      </c>
      <c r="B15">
        <f>'Calculations BTU'!J172</f>
        <v>2360189173825.7349</v>
      </c>
      <c r="C15">
        <f>'Calculations BTU'!K172</f>
        <v>2549762601442.2598</v>
      </c>
      <c r="D15">
        <f>'Calculations BTU'!L172</f>
        <v>2540283930061.4336</v>
      </c>
      <c r="E15">
        <f>'Calculations BTU'!M172</f>
        <v>2540283930061.4336</v>
      </c>
      <c r="F15">
        <f>'Calculations BTU'!N172</f>
        <v>2540283930061.4341</v>
      </c>
      <c r="G15">
        <f>'Calculations BTU'!O172</f>
        <v>2540283930061.4341</v>
      </c>
      <c r="H15">
        <f>'Calculations BTU'!P172</f>
        <v>2540283930061.4341</v>
      </c>
      <c r="I15">
        <f>'Calculations BTU'!Q172</f>
        <v>2540283930061.4341</v>
      </c>
      <c r="J15">
        <f>'Calculations BTU'!R172</f>
        <v>2549762601442.2598</v>
      </c>
      <c r="K15">
        <f>'Calculations BTU'!S172</f>
        <v>2540283930061.4336</v>
      </c>
      <c r="L15">
        <f>'Calculations BTU'!T172</f>
        <v>2540283930061.4336</v>
      </c>
      <c r="M15">
        <f>'Calculations BTU'!U172</f>
        <v>2540283930061.4336</v>
      </c>
      <c r="N15">
        <f>'Calculations BTU'!V172</f>
        <v>2540283930061.4336</v>
      </c>
      <c r="O15">
        <f>'Calculations BTU'!W172</f>
        <v>2549762601442.2598</v>
      </c>
      <c r="P15">
        <f>'Calculations BTU'!X172</f>
        <v>2540283930061.4341</v>
      </c>
      <c r="Q15">
        <f>'Calculations BTU'!Y172</f>
        <v>2549762601442.2603</v>
      </c>
      <c r="R15">
        <f>'Calculations BTU'!Z172</f>
        <v>2540283930061.4336</v>
      </c>
      <c r="S15">
        <f>'Calculations BTU'!AA172</f>
        <v>2549762601442.2598</v>
      </c>
      <c r="T15">
        <f>'Calculations BTU'!AB172</f>
        <v>2549762601442.2598</v>
      </c>
      <c r="U15">
        <f>'Calculations BTU'!AC172</f>
        <v>2549762601442.2598</v>
      </c>
      <c r="V15">
        <f>'Calculations BTU'!AD172</f>
        <v>2549762601442.2598</v>
      </c>
      <c r="W15">
        <f>'Calculations BTU'!AE172</f>
        <v>2559241272823.0859</v>
      </c>
      <c r="X15">
        <f>'Calculations BTU'!AF172</f>
        <v>2549762601442.2603</v>
      </c>
      <c r="Y15">
        <f>'Calculations BTU'!AG172</f>
        <v>2559241272823.0864</v>
      </c>
      <c r="Z15">
        <f>'Calculations BTU'!AH172</f>
        <v>2549762601442.2598</v>
      </c>
      <c r="AA15">
        <f>'Calculations BTU'!AI172</f>
        <v>2559241272823.0864</v>
      </c>
      <c r="AB15">
        <f>'Calculations BTU'!AJ172</f>
        <v>2559241272823.0864</v>
      </c>
      <c r="AC15">
        <f>'Calculations BTU'!AK172</f>
        <v>2559241272823.0859</v>
      </c>
      <c r="AD15">
        <f>'Calculations BTU'!AL172</f>
        <v>2559241272823.0859</v>
      </c>
      <c r="AE15">
        <f>'Calculations BTU'!AM172</f>
        <v>2559241272823.0864</v>
      </c>
      <c r="AF15">
        <f>'Calculations BTU'!AN172</f>
        <v>2559241272823.0864</v>
      </c>
      <c r="AG15">
        <f>'Calculations BTU'!AO172</f>
        <v>2559241272823.0864</v>
      </c>
      <c r="AH15">
        <f>'Calculations BTU'!AP172</f>
        <v>2559241272823.0864</v>
      </c>
      <c r="AI15">
        <f>'Calculations BTU'!AQ172</f>
        <v>2559241272823.0864</v>
      </c>
      <c r="AJ15">
        <f>'Calculations BTU'!AR172</f>
        <v>2559241272823.0864</v>
      </c>
      <c r="AK15">
        <f>'Calculations BTU'!AS172</f>
        <v>2559241272823.0864</v>
      </c>
      <c r="AL15">
        <f>'Calculations BTU'!AT172</f>
        <v>2559241272823.0864</v>
      </c>
      <c r="AM15">
        <f>'Calculations BTU'!AU172</f>
        <v>2559241272823.0864</v>
      </c>
      <c r="AN15">
        <f>'Calculations BTU'!AV172</f>
        <v>2559241272823.0864</v>
      </c>
      <c r="AO15">
        <f>'Calculations BTU'!AW172</f>
        <v>2559241272823.0864</v>
      </c>
      <c r="AP15">
        <f>'Calculations BTU'!AX172</f>
        <v>2559241272823.0864</v>
      </c>
      <c r="AQ15">
        <f>'Calculations BTU'!AY172</f>
        <v>2559241272823.0864</v>
      </c>
      <c r="AR15">
        <f>'Calculations BTU'!AZ172</f>
        <v>2559241272823.0864</v>
      </c>
      <c r="AS15">
        <f>'Calculations BTU'!BA172</f>
        <v>2559241272823.0864</v>
      </c>
      <c r="AT15">
        <f>'Calculations BTU'!BB172</f>
        <v>2559241272823.0864</v>
      </c>
      <c r="AU15">
        <f>'Calculations BTU'!BC172</f>
        <v>2559241272823.0864</v>
      </c>
      <c r="AV15">
        <f>'Calculations BTU'!BD172</f>
        <v>2559241272823.0864</v>
      </c>
      <c r="AW15">
        <f>'Calculations BTU'!BE172</f>
        <v>2559241272823.0864</v>
      </c>
      <c r="AX15">
        <f>'Calculations BTU'!BF172</f>
        <v>2559241272823.0864</v>
      </c>
      <c r="AY15">
        <f>'Calculations BTU'!BG172</f>
        <v>2559241272823.0864</v>
      </c>
      <c r="AZ15">
        <f>'Calculations BTU'!BH172</f>
        <v>2559241272823.0864</v>
      </c>
    </row>
    <row r="16" spans="1:52">
      <c r="A16" t="s">
        <v>140</v>
      </c>
      <c r="B16">
        <f>'Calculations BTU'!J173</f>
        <v>0</v>
      </c>
      <c r="C16">
        <f>'Calculations BTU'!K173</f>
        <v>0</v>
      </c>
      <c r="D16">
        <f>'Calculations BTU'!L173</f>
        <v>0</v>
      </c>
      <c r="E16">
        <f>'Calculations BTU'!M173</f>
        <v>0</v>
      </c>
      <c r="F16">
        <f>'Calculations BTU'!N173</f>
        <v>0</v>
      </c>
      <c r="G16">
        <f>'Calculations BTU'!O173</f>
        <v>0</v>
      </c>
      <c r="H16">
        <f>'Calculations BTU'!P173</f>
        <v>0</v>
      </c>
      <c r="I16">
        <f>'Calculations BTU'!Q173</f>
        <v>0</v>
      </c>
      <c r="J16">
        <f>'Calculations BTU'!R173</f>
        <v>0</v>
      </c>
      <c r="K16">
        <f>'Calculations BTU'!S173</f>
        <v>0</v>
      </c>
      <c r="L16">
        <f>'Calculations BTU'!T173</f>
        <v>0</v>
      </c>
      <c r="M16">
        <f>'Calculations BTU'!U173</f>
        <v>0</v>
      </c>
      <c r="N16">
        <f>'Calculations BTU'!V173</f>
        <v>0</v>
      </c>
      <c r="O16">
        <f>'Calculations BTU'!W173</f>
        <v>0</v>
      </c>
      <c r="P16">
        <f>'Calculations BTU'!X173</f>
        <v>0</v>
      </c>
      <c r="Q16">
        <f>'Calculations BTU'!Y173</f>
        <v>0</v>
      </c>
      <c r="R16">
        <f>'Calculations BTU'!Z173</f>
        <v>0</v>
      </c>
      <c r="S16">
        <f>'Calculations BTU'!AA173</f>
        <v>0</v>
      </c>
      <c r="T16">
        <f>'Calculations BTU'!AB173</f>
        <v>0</v>
      </c>
      <c r="U16">
        <f>'Calculations BTU'!AC173</f>
        <v>0</v>
      </c>
      <c r="V16">
        <f>'Calculations BTU'!AD173</f>
        <v>0</v>
      </c>
      <c r="W16">
        <f>'Calculations BTU'!AE173</f>
        <v>0</v>
      </c>
      <c r="X16">
        <f>'Calculations BTU'!AF173</f>
        <v>0</v>
      </c>
      <c r="Y16">
        <f>'Calculations BTU'!AG173</f>
        <v>0</v>
      </c>
      <c r="Z16">
        <f>'Calculations BTU'!AH173</f>
        <v>0</v>
      </c>
      <c r="AA16">
        <f>'Calculations BTU'!AI173</f>
        <v>0</v>
      </c>
      <c r="AB16">
        <f>'Calculations BTU'!AJ173</f>
        <v>0</v>
      </c>
      <c r="AC16">
        <f>'Calculations BTU'!AK173</f>
        <v>0</v>
      </c>
      <c r="AD16">
        <f>'Calculations BTU'!AL173</f>
        <v>0</v>
      </c>
      <c r="AE16">
        <f>'Calculations BTU'!AM173</f>
        <v>0</v>
      </c>
      <c r="AF16">
        <f>'Calculations BTU'!AN173</f>
        <v>0</v>
      </c>
      <c r="AG16">
        <f>'Calculations BTU'!AO173</f>
        <v>0</v>
      </c>
      <c r="AH16">
        <f>'Calculations BTU'!AP173</f>
        <v>0</v>
      </c>
      <c r="AI16">
        <f>'Calculations BTU'!AQ173</f>
        <v>0</v>
      </c>
      <c r="AJ16">
        <f>'Calculations BTU'!AR173</f>
        <v>0</v>
      </c>
      <c r="AK16">
        <f>'Calculations BTU'!AS173</f>
        <v>0</v>
      </c>
      <c r="AL16">
        <f>'Calculations BTU'!AT173</f>
        <v>0</v>
      </c>
      <c r="AM16">
        <f>'Calculations BTU'!AU173</f>
        <v>0</v>
      </c>
      <c r="AN16">
        <f>'Calculations BTU'!AV173</f>
        <v>0</v>
      </c>
      <c r="AO16">
        <f>'Calculations BTU'!AW173</f>
        <v>0</v>
      </c>
      <c r="AP16">
        <f>'Calculations BTU'!AX173</f>
        <v>0</v>
      </c>
      <c r="AQ16">
        <f>'Calculations BTU'!AY173</f>
        <v>0</v>
      </c>
      <c r="AR16">
        <f>'Calculations BTU'!AZ173</f>
        <v>0</v>
      </c>
      <c r="AS16">
        <f>'Calculations BTU'!BA173</f>
        <v>0</v>
      </c>
      <c r="AT16">
        <f>'Calculations BTU'!BB173</f>
        <v>0</v>
      </c>
      <c r="AU16">
        <f>'Calculations BTU'!BC173</f>
        <v>0</v>
      </c>
      <c r="AV16">
        <f>'Calculations BTU'!BD173</f>
        <v>0</v>
      </c>
      <c r="AW16">
        <f>'Calculations BTU'!BE173</f>
        <v>0</v>
      </c>
      <c r="AX16">
        <f>'Calculations BTU'!BF173</f>
        <v>0</v>
      </c>
      <c r="AY16">
        <f>'Calculations BTU'!BG173</f>
        <v>0</v>
      </c>
      <c r="AZ16">
        <f>'Calculations BTU'!BH173</f>
        <v>0</v>
      </c>
    </row>
    <row r="17" spans="1:52">
      <c r="A17" t="s">
        <v>141</v>
      </c>
      <c r="B17">
        <f>'Calculations BTU'!J174</f>
        <v>0</v>
      </c>
      <c r="C17">
        <f>'Calculations BTU'!K174</f>
        <v>0</v>
      </c>
      <c r="D17">
        <f>'Calculations BTU'!L174</f>
        <v>0</v>
      </c>
      <c r="E17">
        <f>'Calculations BTU'!M174</f>
        <v>0</v>
      </c>
      <c r="F17">
        <f>'Calculations BTU'!N174</f>
        <v>0</v>
      </c>
      <c r="G17">
        <f>'Calculations BTU'!O174</f>
        <v>0</v>
      </c>
      <c r="H17">
        <f>'Calculations BTU'!P174</f>
        <v>0</v>
      </c>
      <c r="I17">
        <f>'Calculations BTU'!Q174</f>
        <v>0</v>
      </c>
      <c r="J17">
        <f>'Calculations BTU'!R174</f>
        <v>0</v>
      </c>
      <c r="K17">
        <f>'Calculations BTU'!S174</f>
        <v>0</v>
      </c>
      <c r="L17">
        <f>'Calculations BTU'!T174</f>
        <v>0</v>
      </c>
      <c r="M17">
        <f>'Calculations BTU'!U174</f>
        <v>0</v>
      </c>
      <c r="N17">
        <f>'Calculations BTU'!V174</f>
        <v>0</v>
      </c>
      <c r="O17">
        <f>'Calculations BTU'!W174</f>
        <v>0</v>
      </c>
      <c r="P17">
        <f>'Calculations BTU'!X174</f>
        <v>0</v>
      </c>
      <c r="Q17">
        <f>'Calculations BTU'!Y174</f>
        <v>0</v>
      </c>
      <c r="R17">
        <f>'Calculations BTU'!Z174</f>
        <v>0</v>
      </c>
      <c r="S17">
        <f>'Calculations BTU'!AA174</f>
        <v>0</v>
      </c>
      <c r="T17">
        <f>'Calculations BTU'!AB174</f>
        <v>0</v>
      </c>
      <c r="U17">
        <f>'Calculations BTU'!AC174</f>
        <v>0</v>
      </c>
      <c r="V17">
        <f>'Calculations BTU'!AD174</f>
        <v>0</v>
      </c>
      <c r="W17">
        <f>'Calculations BTU'!AE174</f>
        <v>0</v>
      </c>
      <c r="X17">
        <f>'Calculations BTU'!AF174</f>
        <v>0</v>
      </c>
      <c r="Y17">
        <f>'Calculations BTU'!AG174</f>
        <v>0</v>
      </c>
      <c r="Z17">
        <f>'Calculations BTU'!AH174</f>
        <v>0</v>
      </c>
      <c r="AA17">
        <f>'Calculations BTU'!AI174</f>
        <v>0</v>
      </c>
      <c r="AB17">
        <f>'Calculations BTU'!AJ174</f>
        <v>0</v>
      </c>
      <c r="AC17">
        <f>'Calculations BTU'!AK174</f>
        <v>0</v>
      </c>
      <c r="AD17">
        <f>'Calculations BTU'!AL174</f>
        <v>0</v>
      </c>
      <c r="AE17">
        <f>'Calculations BTU'!AM174</f>
        <v>0</v>
      </c>
      <c r="AF17">
        <f>'Calculations BTU'!AN174</f>
        <v>0</v>
      </c>
      <c r="AG17">
        <f>'Calculations BTU'!AO174</f>
        <v>0</v>
      </c>
      <c r="AH17">
        <f>'Calculations BTU'!AP174</f>
        <v>0</v>
      </c>
      <c r="AI17">
        <f>'Calculations BTU'!AQ174</f>
        <v>0</v>
      </c>
      <c r="AJ17">
        <f>'Calculations BTU'!AR174</f>
        <v>0</v>
      </c>
      <c r="AK17">
        <f>'Calculations BTU'!AS174</f>
        <v>0</v>
      </c>
      <c r="AL17">
        <f>'Calculations BTU'!AT174</f>
        <v>0</v>
      </c>
      <c r="AM17">
        <f>'Calculations BTU'!AU174</f>
        <v>0</v>
      </c>
      <c r="AN17">
        <f>'Calculations BTU'!AV174</f>
        <v>0</v>
      </c>
      <c r="AO17">
        <f>'Calculations BTU'!AW174</f>
        <v>0</v>
      </c>
      <c r="AP17">
        <f>'Calculations BTU'!AX174</f>
        <v>0</v>
      </c>
      <c r="AQ17">
        <f>'Calculations BTU'!AY174</f>
        <v>0</v>
      </c>
      <c r="AR17">
        <f>'Calculations BTU'!AZ174</f>
        <v>0</v>
      </c>
      <c r="AS17">
        <f>'Calculations BTU'!BA174</f>
        <v>0</v>
      </c>
      <c r="AT17">
        <f>'Calculations BTU'!BB174</f>
        <v>0</v>
      </c>
      <c r="AU17">
        <f>'Calculations BTU'!BC174</f>
        <v>0</v>
      </c>
      <c r="AV17">
        <f>'Calculations BTU'!BD174</f>
        <v>0</v>
      </c>
      <c r="AW17">
        <f>'Calculations BTU'!BE174</f>
        <v>0</v>
      </c>
      <c r="AX17">
        <f>'Calculations BTU'!BF174</f>
        <v>0</v>
      </c>
      <c r="AY17">
        <f>'Calculations BTU'!BG174</f>
        <v>0</v>
      </c>
      <c r="AZ17">
        <f>'Calculations BTU'!BH174</f>
        <v>0</v>
      </c>
    </row>
    <row r="18" spans="1:52">
      <c r="A18" t="s">
        <v>142</v>
      </c>
      <c r="B18">
        <f>'Calculations BTU'!J175</f>
        <v>9478671380.8262463</v>
      </c>
      <c r="C18">
        <f>'Calculations BTU'!K175</f>
        <v>9478671380.8262463</v>
      </c>
      <c r="D18">
        <f>'Calculations BTU'!L175</f>
        <v>18957342761.652493</v>
      </c>
      <c r="E18">
        <f>'Calculations BTU'!M175</f>
        <v>18957342761.652493</v>
      </c>
      <c r="F18">
        <f>'Calculations BTU'!N175</f>
        <v>18977369666.28994</v>
      </c>
      <c r="G18">
        <f>'Calculations BTU'!O175</f>
        <v>18997083650.542427</v>
      </c>
      <c r="H18">
        <f>'Calculations BTU'!P175</f>
        <v>19017423475.564831</v>
      </c>
      <c r="I18">
        <f>'Calculations BTU'!Q175</f>
        <v>19037450380.202278</v>
      </c>
      <c r="J18">
        <f>'Calculations BTU'!R175</f>
        <v>19057164364.454762</v>
      </c>
      <c r="K18">
        <f>'Calculations BTU'!S175</f>
        <v>19077504189.477169</v>
      </c>
      <c r="L18">
        <f>'Calculations BTU'!T175</f>
        <v>19097218173.729652</v>
      </c>
      <c r="M18">
        <f>'Calculations BTU'!U175</f>
        <v>19116932157.982136</v>
      </c>
      <c r="N18">
        <f>'Calculations BTU'!V175</f>
        <v>19137584903.389503</v>
      </c>
      <c r="O18">
        <f>'Calculations BTU'!W175</f>
        <v>19157298887.641991</v>
      </c>
      <c r="P18">
        <f>'Calculations BTU'!X175</f>
        <v>19103163661.043896</v>
      </c>
      <c r="Q18">
        <f>'Calculations BTU'!Y175</f>
        <v>18948893911.258568</v>
      </c>
      <c r="R18">
        <f>'Calculations BTU'!Z175</f>
        <v>18794311241.088287</v>
      </c>
      <c r="S18">
        <f>'Calculations BTU'!AA175</f>
        <v>18640354411.68792</v>
      </c>
      <c r="T18">
        <f>'Calculations BTU'!AB175</f>
        <v>18486084661.902592</v>
      </c>
      <c r="U18">
        <f>'Calculations BTU'!AC175</f>
        <v>18331189071.347347</v>
      </c>
      <c r="V18">
        <f>'Calculations BTU'!AD175</f>
        <v>18177545162.33194</v>
      </c>
      <c r="W18">
        <f>'Calculations BTU'!AE175</f>
        <v>18023275412.546612</v>
      </c>
      <c r="X18">
        <f>'Calculations BTU'!AF175</f>
        <v>17868692742.376324</v>
      </c>
      <c r="Y18">
        <f>'Calculations BTU'!AG175</f>
        <v>17714422992.590996</v>
      </c>
      <c r="Z18">
        <f>'Calculations BTU'!AH175</f>
        <v>17560466163.190632</v>
      </c>
      <c r="AA18">
        <f>'Calculations BTU'!AI175</f>
        <v>17405883493.020344</v>
      </c>
      <c r="AB18">
        <f>'Calculations BTU'!AJ175</f>
        <v>17251613743.235012</v>
      </c>
      <c r="AC18">
        <f>'Calculations BTU'!AK175</f>
        <v>17097343993.449686</v>
      </c>
      <c r="AD18">
        <f>'Calculations BTU'!AL175</f>
        <v>16943387164.049322</v>
      </c>
      <c r="AE18">
        <f>'Calculations BTU'!AM175</f>
        <v>16787239891.954235</v>
      </c>
      <c r="AF18">
        <f>'Calculations BTU'!AN175</f>
        <v>16631405540.244106</v>
      </c>
      <c r="AG18">
        <f>'Calculations BTU'!AO175</f>
        <v>16631405540.244106</v>
      </c>
      <c r="AH18">
        <f>'Calculations BTU'!AP175</f>
        <v>16631405540.244106</v>
      </c>
      <c r="AI18">
        <f>'Calculations BTU'!AQ175</f>
        <v>16631405540.244106</v>
      </c>
      <c r="AJ18">
        <f>'Calculations BTU'!AR175</f>
        <v>16631405540.244106</v>
      </c>
      <c r="AK18">
        <f>'Calculations BTU'!AS175</f>
        <v>16631405540.244106</v>
      </c>
      <c r="AL18">
        <f>'Calculations BTU'!AT175</f>
        <v>16631405540.244106</v>
      </c>
      <c r="AM18">
        <f>'Calculations BTU'!AU175</f>
        <v>16631405540.244106</v>
      </c>
      <c r="AN18">
        <f>'Calculations BTU'!AV175</f>
        <v>16631405540.244106</v>
      </c>
      <c r="AO18">
        <f>'Calculations BTU'!AW175</f>
        <v>16631405540.244106</v>
      </c>
      <c r="AP18">
        <f>'Calculations BTU'!AX175</f>
        <v>16631405540.244106</v>
      </c>
      <c r="AQ18">
        <f>'Calculations BTU'!AY175</f>
        <v>16631405540.244106</v>
      </c>
      <c r="AR18">
        <f>'Calculations BTU'!AZ175</f>
        <v>16631405540.244106</v>
      </c>
      <c r="AS18">
        <f>'Calculations BTU'!BA175</f>
        <v>16631405540.244106</v>
      </c>
      <c r="AT18">
        <f>'Calculations BTU'!BB175</f>
        <v>16631405540.244106</v>
      </c>
      <c r="AU18">
        <f>'Calculations BTU'!BC175</f>
        <v>16631405540.244106</v>
      </c>
      <c r="AV18">
        <f>'Calculations BTU'!BD175</f>
        <v>16631405540.244106</v>
      </c>
      <c r="AW18">
        <f>'Calculations BTU'!BE175</f>
        <v>16631405540.244106</v>
      </c>
      <c r="AX18">
        <f>'Calculations BTU'!BF175</f>
        <v>16631405540.244106</v>
      </c>
      <c r="AY18">
        <f>'Calculations BTU'!BG175</f>
        <v>16631405540.244106</v>
      </c>
      <c r="AZ18">
        <f>'Calculations BTU'!BH175</f>
        <v>16631405540.244106</v>
      </c>
    </row>
    <row r="19" spans="1:52">
      <c r="A19" t="s">
        <v>143</v>
      </c>
      <c r="B19">
        <f>'Calculations BTU'!J176</f>
        <v>436018883518.00732</v>
      </c>
      <c r="C19">
        <f>'Calculations BTU'!K176</f>
        <v>511848254564.61725</v>
      </c>
      <c r="D19">
        <f>'Calculations BTU'!L176</f>
        <v>530805597326.26978</v>
      </c>
      <c r="E19">
        <f>'Calculations BTU'!M176</f>
        <v>540284268707.09595</v>
      </c>
      <c r="F19">
        <f>'Calculations BTU'!N176</f>
        <v>540855035489.26324</v>
      </c>
      <c r="G19">
        <f>'Calculations BTU'!O176</f>
        <v>541416884040.45905</v>
      </c>
      <c r="H19">
        <f>'Calculations BTU'!P176</f>
        <v>541996569053.5976</v>
      </c>
      <c r="I19">
        <f>'Calculations BTU'!Q176</f>
        <v>542567335835.76483</v>
      </c>
      <c r="J19">
        <f>'Calculations BTU'!R176</f>
        <v>543129184386.96063</v>
      </c>
      <c r="K19">
        <f>'Calculations BTU'!S176</f>
        <v>543708869400.0993</v>
      </c>
      <c r="L19">
        <f>'Calculations BTU'!T176</f>
        <v>544270717951.29504</v>
      </c>
      <c r="M19">
        <f>'Calculations BTU'!U176</f>
        <v>544832566502.49091</v>
      </c>
      <c r="N19">
        <f>'Calculations BTU'!V176</f>
        <v>545421169746.60089</v>
      </c>
      <c r="O19">
        <f>'Calculations BTU'!W176</f>
        <v>545983018297.79675</v>
      </c>
      <c r="P19">
        <f>'Calculations BTU'!X176</f>
        <v>544440164339.75098</v>
      </c>
      <c r="Q19">
        <f>'Calculations BTU'!Y176</f>
        <v>540043476470.86908</v>
      </c>
      <c r="R19">
        <f>'Calculations BTU'!Z176</f>
        <v>535637870371.01599</v>
      </c>
      <c r="S19">
        <f>'Calculations BTU'!AA176</f>
        <v>531250100733.10559</v>
      </c>
      <c r="T19">
        <f>'Calculations BTU'!AB176</f>
        <v>526853412864.22369</v>
      </c>
      <c r="U19">
        <f>'Calculations BTU'!AC176</f>
        <v>522438888533.39923</v>
      </c>
      <c r="V19">
        <f>'Calculations BTU'!AD176</f>
        <v>518060037126.46008</v>
      </c>
      <c r="W19">
        <f>'Calculations BTU'!AE176</f>
        <v>513663349257.57831</v>
      </c>
      <c r="X19">
        <f>'Calculations BTU'!AF176</f>
        <v>509257743157.7251</v>
      </c>
      <c r="Y19">
        <f>'Calculations BTU'!AG176</f>
        <v>504861055288.84332</v>
      </c>
      <c r="Z19">
        <f>'Calculations BTU'!AH176</f>
        <v>500473285650.9328</v>
      </c>
      <c r="AA19">
        <f>'Calculations BTU'!AI176</f>
        <v>496067679551.07965</v>
      </c>
      <c r="AB19">
        <f>'Calculations BTU'!AJ176</f>
        <v>491670991682.19781</v>
      </c>
      <c r="AC19">
        <f>'Calculations BTU'!AK176</f>
        <v>487274303813.31604</v>
      </c>
      <c r="AD19">
        <f>'Calculations BTU'!AL176</f>
        <v>482886534175.40564</v>
      </c>
      <c r="AE19">
        <f>'Calculations BTU'!AM176</f>
        <v>478436336920.69568</v>
      </c>
      <c r="AF19">
        <f>'Calculations BTU'!AN176</f>
        <v>473995057896.95703</v>
      </c>
      <c r="AG19">
        <f>'Calculations BTU'!AO176</f>
        <v>473995057896.95703</v>
      </c>
      <c r="AH19">
        <f>'Calculations BTU'!AP176</f>
        <v>473995057896.95703</v>
      </c>
      <c r="AI19">
        <f>'Calculations BTU'!AQ176</f>
        <v>473995057896.95703</v>
      </c>
      <c r="AJ19">
        <f>'Calculations BTU'!AR176</f>
        <v>473995057896.95703</v>
      </c>
      <c r="AK19">
        <f>'Calculations BTU'!AS176</f>
        <v>473995057896.95703</v>
      </c>
      <c r="AL19">
        <f>'Calculations BTU'!AT176</f>
        <v>473995057896.95703</v>
      </c>
      <c r="AM19">
        <f>'Calculations BTU'!AU176</f>
        <v>473995057896.95703</v>
      </c>
      <c r="AN19">
        <f>'Calculations BTU'!AV176</f>
        <v>473995057896.95703</v>
      </c>
      <c r="AO19">
        <f>'Calculations BTU'!AW176</f>
        <v>473995057896.95703</v>
      </c>
      <c r="AP19">
        <f>'Calculations BTU'!AX176</f>
        <v>473995057896.95703</v>
      </c>
      <c r="AQ19">
        <f>'Calculations BTU'!AY176</f>
        <v>473995057896.95703</v>
      </c>
      <c r="AR19">
        <f>'Calculations BTU'!AZ176</f>
        <v>473995057896.95703</v>
      </c>
      <c r="AS19">
        <f>'Calculations BTU'!BA176</f>
        <v>473995057896.95703</v>
      </c>
      <c r="AT19">
        <f>'Calculations BTU'!BB176</f>
        <v>473995057896.95703</v>
      </c>
      <c r="AU19">
        <f>'Calculations BTU'!BC176</f>
        <v>473995057896.95703</v>
      </c>
      <c r="AV19">
        <f>'Calculations BTU'!BD176</f>
        <v>473995057896.95703</v>
      </c>
      <c r="AW19">
        <f>'Calculations BTU'!BE176</f>
        <v>473995057896.95703</v>
      </c>
      <c r="AX19">
        <f>'Calculations BTU'!BF176</f>
        <v>473995057896.95703</v>
      </c>
      <c r="AY19">
        <f>'Calculations BTU'!BG176</f>
        <v>473995057896.95703</v>
      </c>
      <c r="AZ19">
        <f>'Calculations BTU'!BH176</f>
        <v>473995057896.95703</v>
      </c>
    </row>
    <row r="20" spans="1:52">
      <c r="A20" t="s">
        <v>144</v>
      </c>
      <c r="B20">
        <f>'Calculations BTU'!J177</f>
        <v>0</v>
      </c>
      <c r="C20">
        <f>'Calculations BTU'!K177</f>
        <v>0</v>
      </c>
      <c r="D20">
        <f>'Calculations BTU'!L177</f>
        <v>0</v>
      </c>
      <c r="E20">
        <f>'Calculations BTU'!M177</f>
        <v>0</v>
      </c>
      <c r="F20">
        <f>'Calculations BTU'!N177</f>
        <v>0</v>
      </c>
      <c r="G20">
        <f>'Calculations BTU'!O177</f>
        <v>0</v>
      </c>
      <c r="H20">
        <f>'Calculations BTU'!P177</f>
        <v>0</v>
      </c>
      <c r="I20">
        <f>'Calculations BTU'!Q177</f>
        <v>0</v>
      </c>
      <c r="J20">
        <f>'Calculations BTU'!R177</f>
        <v>0</v>
      </c>
      <c r="K20">
        <f>'Calculations BTU'!S177</f>
        <v>0</v>
      </c>
      <c r="L20">
        <f>'Calculations BTU'!T177</f>
        <v>0</v>
      </c>
      <c r="M20">
        <f>'Calculations BTU'!U177</f>
        <v>0</v>
      </c>
      <c r="N20">
        <f>'Calculations BTU'!V177</f>
        <v>0</v>
      </c>
      <c r="O20">
        <f>'Calculations BTU'!W177</f>
        <v>0</v>
      </c>
      <c r="P20">
        <f>'Calculations BTU'!X177</f>
        <v>0</v>
      </c>
      <c r="Q20">
        <f>'Calculations BTU'!Y177</f>
        <v>0</v>
      </c>
      <c r="R20">
        <f>'Calculations BTU'!Z177</f>
        <v>0</v>
      </c>
      <c r="S20">
        <f>'Calculations BTU'!AA177</f>
        <v>0</v>
      </c>
      <c r="T20">
        <f>'Calculations BTU'!AB177</f>
        <v>0</v>
      </c>
      <c r="U20">
        <f>'Calculations BTU'!AC177</f>
        <v>0</v>
      </c>
      <c r="V20">
        <f>'Calculations BTU'!AD177</f>
        <v>0</v>
      </c>
      <c r="W20">
        <f>'Calculations BTU'!AE177</f>
        <v>0</v>
      </c>
      <c r="X20">
        <f>'Calculations BTU'!AF177</f>
        <v>0</v>
      </c>
      <c r="Y20">
        <f>'Calculations BTU'!AG177</f>
        <v>0</v>
      </c>
      <c r="Z20">
        <f>'Calculations BTU'!AH177</f>
        <v>0</v>
      </c>
      <c r="AA20">
        <f>'Calculations BTU'!AI177</f>
        <v>0</v>
      </c>
      <c r="AB20">
        <f>'Calculations BTU'!AJ177</f>
        <v>0</v>
      </c>
      <c r="AC20">
        <f>'Calculations BTU'!AK177</f>
        <v>0</v>
      </c>
      <c r="AD20">
        <f>'Calculations BTU'!AL177</f>
        <v>0</v>
      </c>
      <c r="AE20">
        <f>'Calculations BTU'!AM177</f>
        <v>0</v>
      </c>
      <c r="AF20">
        <f>'Calculations BTU'!AN177</f>
        <v>0</v>
      </c>
      <c r="AG20">
        <f>'Calculations BTU'!AO177</f>
        <v>0</v>
      </c>
      <c r="AH20">
        <f>'Calculations BTU'!AP177</f>
        <v>0</v>
      </c>
      <c r="AI20">
        <f>'Calculations BTU'!AQ177</f>
        <v>0</v>
      </c>
      <c r="AJ20">
        <f>'Calculations BTU'!AR177</f>
        <v>0</v>
      </c>
      <c r="AK20">
        <f>'Calculations BTU'!AS177</f>
        <v>0</v>
      </c>
      <c r="AL20">
        <f>'Calculations BTU'!AT177</f>
        <v>0</v>
      </c>
      <c r="AM20">
        <f>'Calculations BTU'!AU177</f>
        <v>0</v>
      </c>
      <c r="AN20">
        <f>'Calculations BTU'!AV177</f>
        <v>0</v>
      </c>
      <c r="AO20">
        <f>'Calculations BTU'!AW177</f>
        <v>0</v>
      </c>
      <c r="AP20">
        <f>'Calculations BTU'!AX177</f>
        <v>0</v>
      </c>
      <c r="AQ20">
        <f>'Calculations BTU'!AY177</f>
        <v>0</v>
      </c>
      <c r="AR20">
        <f>'Calculations BTU'!AZ177</f>
        <v>0</v>
      </c>
      <c r="AS20">
        <f>'Calculations BTU'!BA177</f>
        <v>0</v>
      </c>
      <c r="AT20">
        <f>'Calculations BTU'!BB177</f>
        <v>0</v>
      </c>
      <c r="AU20">
        <f>'Calculations BTU'!BC177</f>
        <v>0</v>
      </c>
      <c r="AV20">
        <f>'Calculations BTU'!BD177</f>
        <v>0</v>
      </c>
      <c r="AW20">
        <f>'Calculations BTU'!BE177</f>
        <v>0</v>
      </c>
      <c r="AX20">
        <f>'Calculations BTU'!BF177</f>
        <v>0</v>
      </c>
      <c r="AY20">
        <f>'Calculations BTU'!BG177</f>
        <v>0</v>
      </c>
      <c r="AZ20">
        <f>'Calculations BTU'!BH177</f>
        <v>0</v>
      </c>
    </row>
    <row r="21" spans="1:52">
      <c r="A21" t="s">
        <v>145</v>
      </c>
      <c r="B21">
        <f>'Calculations BTU'!J178</f>
        <v>0</v>
      </c>
      <c r="C21">
        <f>'Calculations BTU'!K178</f>
        <v>0</v>
      </c>
      <c r="D21">
        <f>'Calculations BTU'!L178</f>
        <v>0</v>
      </c>
      <c r="E21">
        <f>'Calculations BTU'!M178</f>
        <v>0</v>
      </c>
      <c r="F21">
        <f>'Calculations BTU'!N178</f>
        <v>0</v>
      </c>
      <c r="G21">
        <f>'Calculations BTU'!O178</f>
        <v>0</v>
      </c>
      <c r="H21">
        <f>'Calculations BTU'!P178</f>
        <v>0</v>
      </c>
      <c r="I21">
        <f>'Calculations BTU'!Q178</f>
        <v>0</v>
      </c>
      <c r="J21">
        <f>'Calculations BTU'!R178</f>
        <v>0</v>
      </c>
      <c r="K21">
        <f>'Calculations BTU'!S178</f>
        <v>0</v>
      </c>
      <c r="L21">
        <f>'Calculations BTU'!T178</f>
        <v>0</v>
      </c>
      <c r="M21">
        <f>'Calculations BTU'!U178</f>
        <v>0</v>
      </c>
      <c r="N21">
        <f>'Calculations BTU'!V178</f>
        <v>0</v>
      </c>
      <c r="O21">
        <f>'Calculations BTU'!W178</f>
        <v>0</v>
      </c>
      <c r="P21">
        <f>'Calculations BTU'!X178</f>
        <v>0</v>
      </c>
      <c r="Q21">
        <f>'Calculations BTU'!Y178</f>
        <v>0</v>
      </c>
      <c r="R21">
        <f>'Calculations BTU'!Z178</f>
        <v>0</v>
      </c>
      <c r="S21">
        <f>'Calculations BTU'!AA178</f>
        <v>0</v>
      </c>
      <c r="T21">
        <f>'Calculations BTU'!AB178</f>
        <v>0</v>
      </c>
      <c r="U21">
        <f>'Calculations BTU'!AC178</f>
        <v>0</v>
      </c>
      <c r="V21">
        <f>'Calculations BTU'!AD178</f>
        <v>0</v>
      </c>
      <c r="W21">
        <f>'Calculations BTU'!AE178</f>
        <v>0</v>
      </c>
      <c r="X21">
        <f>'Calculations BTU'!AF178</f>
        <v>0</v>
      </c>
      <c r="Y21">
        <f>'Calculations BTU'!AG178</f>
        <v>0</v>
      </c>
      <c r="Z21">
        <f>'Calculations BTU'!AH178</f>
        <v>0</v>
      </c>
      <c r="AA21">
        <f>'Calculations BTU'!AI178</f>
        <v>0</v>
      </c>
      <c r="AB21">
        <f>'Calculations BTU'!AJ178</f>
        <v>0</v>
      </c>
      <c r="AC21">
        <f>'Calculations BTU'!AK178</f>
        <v>0</v>
      </c>
      <c r="AD21">
        <f>'Calculations BTU'!AL178</f>
        <v>0</v>
      </c>
      <c r="AE21">
        <f>'Calculations BTU'!AM178</f>
        <v>0</v>
      </c>
      <c r="AF21">
        <f>'Calculations BTU'!AN178</f>
        <v>0</v>
      </c>
      <c r="AG21">
        <f>'Calculations BTU'!AO178</f>
        <v>0</v>
      </c>
      <c r="AH21">
        <f>'Calculations BTU'!AP178</f>
        <v>0</v>
      </c>
      <c r="AI21">
        <f>'Calculations BTU'!AQ178</f>
        <v>0</v>
      </c>
      <c r="AJ21">
        <f>'Calculations BTU'!AR178</f>
        <v>0</v>
      </c>
      <c r="AK21">
        <f>'Calculations BTU'!AS178</f>
        <v>0</v>
      </c>
      <c r="AL21">
        <f>'Calculations BTU'!AT178</f>
        <v>0</v>
      </c>
      <c r="AM21">
        <f>'Calculations BTU'!AU178</f>
        <v>0</v>
      </c>
      <c r="AN21">
        <f>'Calculations BTU'!AV178</f>
        <v>0</v>
      </c>
      <c r="AO21">
        <f>'Calculations BTU'!AW178</f>
        <v>0</v>
      </c>
      <c r="AP21">
        <f>'Calculations BTU'!AX178</f>
        <v>0</v>
      </c>
      <c r="AQ21">
        <f>'Calculations BTU'!AY178</f>
        <v>0</v>
      </c>
      <c r="AR21">
        <f>'Calculations BTU'!AZ178</f>
        <v>0</v>
      </c>
      <c r="AS21">
        <f>'Calculations BTU'!BA178</f>
        <v>0</v>
      </c>
      <c r="AT21">
        <f>'Calculations BTU'!BB178</f>
        <v>0</v>
      </c>
      <c r="AU21">
        <f>'Calculations BTU'!BC178</f>
        <v>0</v>
      </c>
      <c r="AV21">
        <f>'Calculations BTU'!BD178</f>
        <v>0</v>
      </c>
      <c r="AW21">
        <f>'Calculations BTU'!BE178</f>
        <v>0</v>
      </c>
      <c r="AX21">
        <f>'Calculations BTU'!BF178</f>
        <v>0</v>
      </c>
      <c r="AY21">
        <f>'Calculations BTU'!BG178</f>
        <v>0</v>
      </c>
      <c r="AZ21">
        <f>'Calculations BTU'!BH178</f>
        <v>0</v>
      </c>
    </row>
    <row r="22" spans="1:52">
      <c r="A22" t="s">
        <v>146</v>
      </c>
      <c r="B22">
        <f>'Calculations BTU'!J179</f>
        <v>0</v>
      </c>
      <c r="C22">
        <f>'Calculations BTU'!K179</f>
        <v>0</v>
      </c>
      <c r="D22">
        <f>'Calculations BTU'!L179</f>
        <v>0</v>
      </c>
      <c r="E22">
        <f>'Calculations BTU'!M179</f>
        <v>0</v>
      </c>
      <c r="F22">
        <f>'Calculations BTU'!N179</f>
        <v>0</v>
      </c>
      <c r="G22">
        <f>'Calculations BTU'!O179</f>
        <v>0</v>
      </c>
      <c r="H22">
        <f>'Calculations BTU'!P179</f>
        <v>0</v>
      </c>
      <c r="I22">
        <f>'Calculations BTU'!Q179</f>
        <v>0</v>
      </c>
      <c r="J22">
        <f>'Calculations BTU'!R179</f>
        <v>0</v>
      </c>
      <c r="K22">
        <f>'Calculations BTU'!S179</f>
        <v>0</v>
      </c>
      <c r="L22">
        <f>'Calculations BTU'!T179</f>
        <v>0</v>
      </c>
      <c r="M22">
        <f>'Calculations BTU'!U179</f>
        <v>0</v>
      </c>
      <c r="N22">
        <f>'Calculations BTU'!V179</f>
        <v>0</v>
      </c>
      <c r="O22">
        <f>'Calculations BTU'!W179</f>
        <v>0</v>
      </c>
      <c r="P22">
        <f>'Calculations BTU'!X179</f>
        <v>0</v>
      </c>
      <c r="Q22">
        <f>'Calculations BTU'!Y179</f>
        <v>0</v>
      </c>
      <c r="R22">
        <f>'Calculations BTU'!Z179</f>
        <v>0</v>
      </c>
      <c r="S22">
        <f>'Calculations BTU'!AA179</f>
        <v>0</v>
      </c>
      <c r="T22">
        <f>'Calculations BTU'!AB179</f>
        <v>0</v>
      </c>
      <c r="U22">
        <f>'Calculations BTU'!AC179</f>
        <v>0</v>
      </c>
      <c r="V22">
        <f>'Calculations BTU'!AD179</f>
        <v>0</v>
      </c>
      <c r="W22">
        <f>'Calculations BTU'!AE179</f>
        <v>0</v>
      </c>
      <c r="X22">
        <f>'Calculations BTU'!AF179</f>
        <v>0</v>
      </c>
      <c r="Y22">
        <f>'Calculations BTU'!AG179</f>
        <v>0</v>
      </c>
      <c r="Z22">
        <f>'Calculations BTU'!AH179</f>
        <v>0</v>
      </c>
      <c r="AA22">
        <f>'Calculations BTU'!AI179</f>
        <v>0</v>
      </c>
      <c r="AB22">
        <f>'Calculations BTU'!AJ179</f>
        <v>0</v>
      </c>
      <c r="AC22">
        <f>'Calculations BTU'!AK179</f>
        <v>0</v>
      </c>
      <c r="AD22">
        <f>'Calculations BTU'!AL179</f>
        <v>0</v>
      </c>
      <c r="AE22">
        <f>'Calculations BTU'!AM179</f>
        <v>0</v>
      </c>
      <c r="AF22">
        <f>'Calculations BTU'!AN179</f>
        <v>0</v>
      </c>
      <c r="AG22">
        <f>'Calculations BTU'!AO179</f>
        <v>0</v>
      </c>
      <c r="AH22">
        <f>'Calculations BTU'!AP179</f>
        <v>0</v>
      </c>
      <c r="AI22">
        <f>'Calculations BTU'!AQ179</f>
        <v>0</v>
      </c>
      <c r="AJ22">
        <f>'Calculations BTU'!AR179</f>
        <v>0</v>
      </c>
      <c r="AK22">
        <f>'Calculations BTU'!AS179</f>
        <v>0</v>
      </c>
      <c r="AL22">
        <f>'Calculations BTU'!AT179</f>
        <v>0</v>
      </c>
      <c r="AM22">
        <f>'Calculations BTU'!AU179</f>
        <v>0</v>
      </c>
      <c r="AN22">
        <f>'Calculations BTU'!AV179</f>
        <v>0</v>
      </c>
      <c r="AO22">
        <f>'Calculations BTU'!AW179</f>
        <v>0</v>
      </c>
      <c r="AP22">
        <f>'Calculations BTU'!AX179</f>
        <v>0</v>
      </c>
      <c r="AQ22">
        <f>'Calculations BTU'!AY179</f>
        <v>0</v>
      </c>
      <c r="AR22">
        <f>'Calculations BTU'!AZ179</f>
        <v>0</v>
      </c>
      <c r="AS22">
        <f>'Calculations BTU'!BA179</f>
        <v>0</v>
      </c>
      <c r="AT22">
        <f>'Calculations BTU'!BB179</f>
        <v>0</v>
      </c>
      <c r="AU22">
        <f>'Calculations BTU'!BC179</f>
        <v>0</v>
      </c>
      <c r="AV22">
        <f>'Calculations BTU'!BD179</f>
        <v>0</v>
      </c>
      <c r="AW22">
        <f>'Calculations BTU'!BE179</f>
        <v>0</v>
      </c>
      <c r="AX22">
        <f>'Calculations BTU'!BF179</f>
        <v>0</v>
      </c>
      <c r="AY22">
        <f>'Calculations BTU'!BG179</f>
        <v>0</v>
      </c>
      <c r="AZ22">
        <f>'Calculations BTU'!BH179</f>
        <v>0</v>
      </c>
    </row>
    <row r="23" spans="1:52">
      <c r="A23" t="s">
        <v>147</v>
      </c>
      <c r="B23">
        <f>'Calculations BTU'!J180</f>
        <v>12502367551309.816</v>
      </c>
      <c r="C23">
        <f>'Calculations BTU'!K180</f>
        <v>12710898321687.994</v>
      </c>
      <c r="D23">
        <f>'Calculations BTU'!L180</f>
        <v>12625590279260.559</v>
      </c>
      <c r="E23">
        <f>'Calculations BTU'!M180</f>
        <v>12777249021353.779</v>
      </c>
      <c r="F23">
        <f>'Calculations BTU'!N180</f>
        <v>12937615398999.283</v>
      </c>
      <c r="G23">
        <f>'Calculations BTU'!O180</f>
        <v>13097993824079.609</v>
      </c>
      <c r="H23">
        <f>'Calculations BTU'!P180</f>
        <v>13267826825671.119</v>
      </c>
      <c r="I23">
        <f>'Calculations BTU'!Q180</f>
        <v>13437671874697.451</v>
      </c>
      <c r="J23">
        <f>'Calculations BTU'!R180</f>
        <v>13598050299777.773</v>
      </c>
      <c r="K23">
        <f>'Calculations BTU'!S180</f>
        <v>13758404629988.457</v>
      </c>
      <c r="L23">
        <f>'Calculations BTU'!T180</f>
        <v>13928261726449.609</v>
      </c>
      <c r="M23">
        <f>'Calculations BTU'!U180</f>
        <v>14088640151529.934</v>
      </c>
      <c r="N23">
        <f>'Calculations BTU'!V180</f>
        <v>14258461105686.625</v>
      </c>
      <c r="O23">
        <f>'Calculations BTU'!W180</f>
        <v>14428318202147.777</v>
      </c>
      <c r="P23">
        <f>'Calculations BTU'!X180</f>
        <v>14601018493226.674</v>
      </c>
      <c r="Q23">
        <f>'Calculations BTU'!Y180</f>
        <v>14768095292067.457</v>
      </c>
      <c r="R23">
        <f>'Calculations BTU'!Z180</f>
        <v>14935184138343.059</v>
      </c>
      <c r="S23">
        <f>'Calculations BTU'!AA180</f>
        <v>15111727561129.844</v>
      </c>
      <c r="T23">
        <f>'Calculations BTU'!AB180</f>
        <v>15278804359970.625</v>
      </c>
      <c r="U23">
        <f>'Calculations BTU'!AC180</f>
        <v>15445905253681.049</v>
      </c>
      <c r="V23">
        <f>'Calculations BTU'!AD180</f>
        <v>15622436629033.016</v>
      </c>
      <c r="W23">
        <f>'Calculations BTU'!AE180</f>
        <v>15798992099254.623</v>
      </c>
      <c r="X23">
        <f>'Calculations BTU'!AF180</f>
        <v>15966080945530.225</v>
      </c>
      <c r="Y23">
        <f>'Calculations BTU'!AG180</f>
        <v>16133157744371.004</v>
      </c>
      <c r="Z23">
        <f>'Calculations BTU'!AH180</f>
        <v>16319179838538.615</v>
      </c>
      <c r="AA23">
        <f>'Calculations BTU'!AI180</f>
        <v>16486268684814.221</v>
      </c>
      <c r="AB23">
        <f>'Calculations BTU'!AJ180</f>
        <v>16653345483655</v>
      </c>
      <c r="AC23">
        <f>'Calculations BTU'!AK180</f>
        <v>16829900953876.611</v>
      </c>
      <c r="AD23">
        <f>'Calculations BTU'!AL180</f>
        <v>17006444376663.395</v>
      </c>
      <c r="AE23">
        <f>'Calculations BTU'!AM180</f>
        <v>17173593460113.105</v>
      </c>
      <c r="AF23">
        <f>'Calculations BTU'!AN180</f>
        <v>17340730496127.99</v>
      </c>
      <c r="AG23">
        <f>'Calculations BTU'!AO180</f>
        <v>17340730496127.99</v>
      </c>
      <c r="AH23">
        <f>'Calculations BTU'!AP180</f>
        <v>17340730496127.99</v>
      </c>
      <c r="AI23">
        <f>'Calculations BTU'!AQ180</f>
        <v>17340730496127.99</v>
      </c>
      <c r="AJ23">
        <f>'Calculations BTU'!AR180</f>
        <v>17340730496127.99</v>
      </c>
      <c r="AK23">
        <f>'Calculations BTU'!AS180</f>
        <v>17340730496127.99</v>
      </c>
      <c r="AL23">
        <f>'Calculations BTU'!AT180</f>
        <v>17340730496127.99</v>
      </c>
      <c r="AM23">
        <f>'Calculations BTU'!AU180</f>
        <v>17340730496127.99</v>
      </c>
      <c r="AN23">
        <f>'Calculations BTU'!AV180</f>
        <v>17340730496127.99</v>
      </c>
      <c r="AO23">
        <f>'Calculations BTU'!AW180</f>
        <v>17340730496127.99</v>
      </c>
      <c r="AP23">
        <f>'Calculations BTU'!AX180</f>
        <v>17340730496127.99</v>
      </c>
      <c r="AQ23">
        <f>'Calculations BTU'!AY180</f>
        <v>17340730496127.99</v>
      </c>
      <c r="AR23">
        <f>'Calculations BTU'!AZ180</f>
        <v>17340730496127.99</v>
      </c>
      <c r="AS23">
        <f>'Calculations BTU'!BA180</f>
        <v>17340730496127.99</v>
      </c>
      <c r="AT23">
        <f>'Calculations BTU'!BB180</f>
        <v>17340730496127.99</v>
      </c>
      <c r="AU23">
        <f>'Calculations BTU'!BC180</f>
        <v>17340730496127.99</v>
      </c>
      <c r="AV23">
        <f>'Calculations BTU'!BD180</f>
        <v>17340730496127.99</v>
      </c>
      <c r="AW23">
        <f>'Calculations BTU'!BE180</f>
        <v>17340730496127.99</v>
      </c>
      <c r="AX23">
        <f>'Calculations BTU'!BF180</f>
        <v>17340730496127.99</v>
      </c>
      <c r="AY23">
        <f>'Calculations BTU'!BG180</f>
        <v>17340730496127.99</v>
      </c>
      <c r="AZ23">
        <f>'Calculations BTU'!BH180</f>
        <v>17340730496127.99</v>
      </c>
    </row>
    <row r="24" spans="1:52">
      <c r="A24" t="s">
        <v>148</v>
      </c>
      <c r="B24">
        <f>'Calculations BTU'!J181</f>
        <v>0</v>
      </c>
      <c r="C24">
        <f>'Calculations BTU'!K181</f>
        <v>0</v>
      </c>
      <c r="D24">
        <f>'Calculations BTU'!L181</f>
        <v>0</v>
      </c>
      <c r="E24">
        <f>'Calculations BTU'!M181</f>
        <v>0</v>
      </c>
      <c r="F24">
        <f>'Calculations BTU'!N181</f>
        <v>0</v>
      </c>
      <c r="G24">
        <f>'Calculations BTU'!O181</f>
        <v>0</v>
      </c>
      <c r="H24">
        <f>'Calculations BTU'!P181</f>
        <v>0</v>
      </c>
      <c r="I24">
        <f>'Calculations BTU'!Q181</f>
        <v>0</v>
      </c>
      <c r="J24">
        <f>'Calculations BTU'!R181</f>
        <v>0</v>
      </c>
      <c r="K24">
        <f>'Calculations BTU'!S181</f>
        <v>0</v>
      </c>
      <c r="L24">
        <f>'Calculations BTU'!T181</f>
        <v>0</v>
      </c>
      <c r="M24">
        <f>'Calculations BTU'!U181</f>
        <v>0</v>
      </c>
      <c r="N24">
        <f>'Calculations BTU'!V181</f>
        <v>0</v>
      </c>
      <c r="O24">
        <f>'Calculations BTU'!W181</f>
        <v>0</v>
      </c>
      <c r="P24">
        <f>'Calculations BTU'!X181</f>
        <v>0</v>
      </c>
      <c r="Q24">
        <f>'Calculations BTU'!Y181</f>
        <v>0</v>
      </c>
      <c r="R24">
        <f>'Calculations BTU'!Z181</f>
        <v>0</v>
      </c>
      <c r="S24">
        <f>'Calculations BTU'!AA181</f>
        <v>0</v>
      </c>
      <c r="T24">
        <f>'Calculations BTU'!AB181</f>
        <v>0</v>
      </c>
      <c r="U24">
        <f>'Calculations BTU'!AC181</f>
        <v>0</v>
      </c>
      <c r="V24">
        <f>'Calculations BTU'!AD181</f>
        <v>0</v>
      </c>
      <c r="W24">
        <f>'Calculations BTU'!AE181</f>
        <v>0</v>
      </c>
      <c r="X24">
        <f>'Calculations BTU'!AF181</f>
        <v>0</v>
      </c>
      <c r="Y24">
        <f>'Calculations BTU'!AG181</f>
        <v>0</v>
      </c>
      <c r="Z24">
        <f>'Calculations BTU'!AH181</f>
        <v>0</v>
      </c>
      <c r="AA24">
        <f>'Calculations BTU'!AI181</f>
        <v>0</v>
      </c>
      <c r="AB24">
        <f>'Calculations BTU'!AJ181</f>
        <v>0</v>
      </c>
      <c r="AC24">
        <f>'Calculations BTU'!AK181</f>
        <v>0</v>
      </c>
      <c r="AD24">
        <f>'Calculations BTU'!AL181</f>
        <v>0</v>
      </c>
      <c r="AE24">
        <f>'Calculations BTU'!AM181</f>
        <v>0</v>
      </c>
      <c r="AF24">
        <f>'Calculations BTU'!AN181</f>
        <v>0</v>
      </c>
      <c r="AG24">
        <f>'Calculations BTU'!AO181</f>
        <v>0</v>
      </c>
      <c r="AH24">
        <f>'Calculations BTU'!AP181</f>
        <v>0</v>
      </c>
      <c r="AI24">
        <f>'Calculations BTU'!AQ181</f>
        <v>0</v>
      </c>
      <c r="AJ24">
        <f>'Calculations BTU'!AR181</f>
        <v>0</v>
      </c>
      <c r="AK24">
        <f>'Calculations BTU'!AS181</f>
        <v>0</v>
      </c>
      <c r="AL24">
        <f>'Calculations BTU'!AT181</f>
        <v>0</v>
      </c>
      <c r="AM24">
        <f>'Calculations BTU'!AU181</f>
        <v>0</v>
      </c>
      <c r="AN24">
        <f>'Calculations BTU'!AV181</f>
        <v>0</v>
      </c>
      <c r="AO24">
        <f>'Calculations BTU'!AW181</f>
        <v>0</v>
      </c>
      <c r="AP24">
        <f>'Calculations BTU'!AX181</f>
        <v>0</v>
      </c>
      <c r="AQ24">
        <f>'Calculations BTU'!AY181</f>
        <v>0</v>
      </c>
      <c r="AR24">
        <f>'Calculations BTU'!AZ181</f>
        <v>0</v>
      </c>
      <c r="AS24">
        <f>'Calculations BTU'!BA181</f>
        <v>0</v>
      </c>
      <c r="AT24">
        <f>'Calculations BTU'!BB181</f>
        <v>0</v>
      </c>
      <c r="AU24">
        <f>'Calculations BTU'!BC181</f>
        <v>0</v>
      </c>
      <c r="AV24">
        <f>'Calculations BTU'!BD181</f>
        <v>0</v>
      </c>
      <c r="AW24">
        <f>'Calculations BTU'!BE181</f>
        <v>0</v>
      </c>
      <c r="AX24">
        <f>'Calculations BTU'!BF181</f>
        <v>0</v>
      </c>
      <c r="AY24">
        <f>'Calculations BTU'!BG181</f>
        <v>0</v>
      </c>
      <c r="AZ24">
        <f>'Calculations BTU'!BH181</f>
        <v>0</v>
      </c>
    </row>
    <row r="25" spans="1:52">
      <c r="A25" t="s">
        <v>149</v>
      </c>
      <c r="B25">
        <f>'Calculations BTU'!J182</f>
        <v>0</v>
      </c>
      <c r="C25">
        <f>'Calculations BTU'!K182</f>
        <v>0</v>
      </c>
      <c r="D25">
        <f>'Calculations BTU'!L182</f>
        <v>0</v>
      </c>
      <c r="E25">
        <f>'Calculations BTU'!M182</f>
        <v>0</v>
      </c>
      <c r="F25">
        <f>'Calculations BTU'!N182</f>
        <v>0</v>
      </c>
      <c r="G25">
        <f>'Calculations BTU'!O182</f>
        <v>0</v>
      </c>
      <c r="H25">
        <f>'Calculations BTU'!P182</f>
        <v>0</v>
      </c>
      <c r="I25">
        <f>'Calculations BTU'!Q182</f>
        <v>0</v>
      </c>
      <c r="J25">
        <f>'Calculations BTU'!R182</f>
        <v>0</v>
      </c>
      <c r="K25">
        <f>'Calculations BTU'!S182</f>
        <v>0</v>
      </c>
      <c r="L25">
        <f>'Calculations BTU'!T182</f>
        <v>0</v>
      </c>
      <c r="M25">
        <f>'Calculations BTU'!U182</f>
        <v>0</v>
      </c>
      <c r="N25">
        <f>'Calculations BTU'!V182</f>
        <v>0</v>
      </c>
      <c r="O25">
        <f>'Calculations BTU'!W182</f>
        <v>0</v>
      </c>
      <c r="P25">
        <f>'Calculations BTU'!X182</f>
        <v>0</v>
      </c>
      <c r="Q25">
        <f>'Calculations BTU'!Y182</f>
        <v>0</v>
      </c>
      <c r="R25">
        <f>'Calculations BTU'!Z182</f>
        <v>0</v>
      </c>
      <c r="S25">
        <f>'Calculations BTU'!AA182</f>
        <v>0</v>
      </c>
      <c r="T25">
        <f>'Calculations BTU'!AB182</f>
        <v>0</v>
      </c>
      <c r="U25">
        <f>'Calculations BTU'!AC182</f>
        <v>0</v>
      </c>
      <c r="V25">
        <f>'Calculations BTU'!AD182</f>
        <v>0</v>
      </c>
      <c r="W25">
        <f>'Calculations BTU'!AE182</f>
        <v>0</v>
      </c>
      <c r="X25">
        <f>'Calculations BTU'!AF182</f>
        <v>0</v>
      </c>
      <c r="Y25">
        <f>'Calculations BTU'!AG182</f>
        <v>0</v>
      </c>
      <c r="Z25">
        <f>'Calculations BTU'!AH182</f>
        <v>0</v>
      </c>
      <c r="AA25">
        <f>'Calculations BTU'!AI182</f>
        <v>0</v>
      </c>
      <c r="AB25">
        <f>'Calculations BTU'!AJ182</f>
        <v>0</v>
      </c>
      <c r="AC25">
        <f>'Calculations BTU'!AK182</f>
        <v>0</v>
      </c>
      <c r="AD25">
        <f>'Calculations BTU'!AL182</f>
        <v>0</v>
      </c>
      <c r="AE25">
        <f>'Calculations BTU'!AM182</f>
        <v>0</v>
      </c>
      <c r="AF25">
        <f>'Calculations BTU'!AN182</f>
        <v>0</v>
      </c>
      <c r="AG25">
        <f>'Calculations BTU'!AO182</f>
        <v>0</v>
      </c>
      <c r="AH25">
        <f>'Calculations BTU'!AP182</f>
        <v>0</v>
      </c>
      <c r="AI25">
        <f>'Calculations BTU'!AQ182</f>
        <v>0</v>
      </c>
      <c r="AJ25">
        <f>'Calculations BTU'!AR182</f>
        <v>0</v>
      </c>
      <c r="AK25">
        <f>'Calculations BTU'!AS182</f>
        <v>0</v>
      </c>
      <c r="AL25">
        <f>'Calculations BTU'!AT182</f>
        <v>0</v>
      </c>
      <c r="AM25">
        <f>'Calculations BTU'!AU182</f>
        <v>0</v>
      </c>
      <c r="AN25">
        <f>'Calculations BTU'!AV182</f>
        <v>0</v>
      </c>
      <c r="AO25">
        <f>'Calculations BTU'!AW182</f>
        <v>0</v>
      </c>
      <c r="AP25">
        <f>'Calculations BTU'!AX182</f>
        <v>0</v>
      </c>
      <c r="AQ25">
        <f>'Calculations BTU'!AY182</f>
        <v>0</v>
      </c>
      <c r="AR25">
        <f>'Calculations BTU'!AZ182</f>
        <v>0</v>
      </c>
      <c r="AS25">
        <f>'Calculations BTU'!BA182</f>
        <v>0</v>
      </c>
      <c r="AT25">
        <f>'Calculations BTU'!BB182</f>
        <v>0</v>
      </c>
      <c r="AU25">
        <f>'Calculations BTU'!BC182</f>
        <v>0</v>
      </c>
      <c r="AV25">
        <f>'Calculations BTU'!BD182</f>
        <v>0</v>
      </c>
      <c r="AW25">
        <f>'Calculations BTU'!BE182</f>
        <v>0</v>
      </c>
      <c r="AX25">
        <f>'Calculations BTU'!BF182</f>
        <v>0</v>
      </c>
      <c r="AY25">
        <f>'Calculations BTU'!BG182</f>
        <v>0</v>
      </c>
      <c r="AZ25">
        <f>'Calculations BTU'!BH182</f>
        <v>0</v>
      </c>
    </row>
    <row r="26" spans="1:52">
      <c r="A26" t="s">
        <v>150</v>
      </c>
      <c r="B26">
        <f>'Calculations BTU'!J183</f>
        <v>0</v>
      </c>
      <c r="C26">
        <f>'Calculations BTU'!K183</f>
        <v>0</v>
      </c>
      <c r="D26">
        <f>'Calculations BTU'!L183</f>
        <v>0</v>
      </c>
      <c r="E26">
        <f>'Calculations BTU'!M183</f>
        <v>0</v>
      </c>
      <c r="F26">
        <f>'Calculations BTU'!N183</f>
        <v>0</v>
      </c>
      <c r="G26">
        <f>'Calculations BTU'!O183</f>
        <v>0</v>
      </c>
      <c r="H26">
        <f>'Calculations BTU'!P183</f>
        <v>0</v>
      </c>
      <c r="I26">
        <f>'Calculations BTU'!Q183</f>
        <v>0</v>
      </c>
      <c r="J26">
        <f>'Calculations BTU'!R183</f>
        <v>0</v>
      </c>
      <c r="K26">
        <f>'Calculations BTU'!S183</f>
        <v>0</v>
      </c>
      <c r="L26">
        <f>'Calculations BTU'!T183</f>
        <v>0</v>
      </c>
      <c r="M26">
        <f>'Calculations BTU'!U183</f>
        <v>0</v>
      </c>
      <c r="N26">
        <f>'Calculations BTU'!V183</f>
        <v>0</v>
      </c>
      <c r="O26">
        <f>'Calculations BTU'!W183</f>
        <v>0</v>
      </c>
      <c r="P26">
        <f>'Calculations BTU'!X183</f>
        <v>0</v>
      </c>
      <c r="Q26">
        <f>'Calculations BTU'!Y183</f>
        <v>0</v>
      </c>
      <c r="R26">
        <f>'Calculations BTU'!Z183</f>
        <v>0</v>
      </c>
      <c r="S26">
        <f>'Calculations BTU'!AA183</f>
        <v>0</v>
      </c>
      <c r="T26">
        <f>'Calculations BTU'!AB183</f>
        <v>0</v>
      </c>
      <c r="U26">
        <f>'Calculations BTU'!AC183</f>
        <v>0</v>
      </c>
      <c r="V26">
        <f>'Calculations BTU'!AD183</f>
        <v>0</v>
      </c>
      <c r="W26">
        <f>'Calculations BTU'!AE183</f>
        <v>0</v>
      </c>
      <c r="X26">
        <f>'Calculations BTU'!AF183</f>
        <v>0</v>
      </c>
      <c r="Y26">
        <f>'Calculations BTU'!AG183</f>
        <v>0</v>
      </c>
      <c r="Z26">
        <f>'Calculations BTU'!AH183</f>
        <v>0</v>
      </c>
      <c r="AA26">
        <f>'Calculations BTU'!AI183</f>
        <v>0</v>
      </c>
      <c r="AB26">
        <f>'Calculations BTU'!AJ183</f>
        <v>0</v>
      </c>
      <c r="AC26">
        <f>'Calculations BTU'!AK183</f>
        <v>0</v>
      </c>
      <c r="AD26">
        <f>'Calculations BTU'!AL183</f>
        <v>0</v>
      </c>
      <c r="AE26">
        <f>'Calculations BTU'!AM183</f>
        <v>0</v>
      </c>
      <c r="AF26">
        <f>'Calculations BTU'!AN183</f>
        <v>0</v>
      </c>
      <c r="AG26">
        <f>'Calculations BTU'!AO183</f>
        <v>0</v>
      </c>
      <c r="AH26">
        <f>'Calculations BTU'!AP183</f>
        <v>0</v>
      </c>
      <c r="AI26">
        <f>'Calculations BTU'!AQ183</f>
        <v>0</v>
      </c>
      <c r="AJ26">
        <f>'Calculations BTU'!AR183</f>
        <v>0</v>
      </c>
      <c r="AK26">
        <f>'Calculations BTU'!AS183</f>
        <v>0</v>
      </c>
      <c r="AL26">
        <f>'Calculations BTU'!AT183</f>
        <v>0</v>
      </c>
      <c r="AM26">
        <f>'Calculations BTU'!AU183</f>
        <v>0</v>
      </c>
      <c r="AN26">
        <f>'Calculations BTU'!AV183</f>
        <v>0</v>
      </c>
      <c r="AO26">
        <f>'Calculations BTU'!AW183</f>
        <v>0</v>
      </c>
      <c r="AP26">
        <f>'Calculations BTU'!AX183</f>
        <v>0</v>
      </c>
      <c r="AQ26">
        <f>'Calculations BTU'!AY183</f>
        <v>0</v>
      </c>
      <c r="AR26">
        <f>'Calculations BTU'!AZ183</f>
        <v>0</v>
      </c>
      <c r="AS26">
        <f>'Calculations BTU'!BA183</f>
        <v>0</v>
      </c>
      <c r="AT26">
        <f>'Calculations BTU'!BB183</f>
        <v>0</v>
      </c>
      <c r="AU26">
        <f>'Calculations BTU'!BC183</f>
        <v>0</v>
      </c>
      <c r="AV26">
        <f>'Calculations BTU'!BD183</f>
        <v>0</v>
      </c>
      <c r="AW26">
        <f>'Calculations BTU'!BE183</f>
        <v>0</v>
      </c>
      <c r="AX26">
        <f>'Calculations BTU'!BF183</f>
        <v>0</v>
      </c>
      <c r="AY26">
        <f>'Calculations BTU'!BG183</f>
        <v>0</v>
      </c>
      <c r="AZ26">
        <f>'Calculations BTU'!BH183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4425-127B-7B4A-93C8-492531EC9227}">
  <sheetPr>
    <tabColor theme="3"/>
  </sheetPr>
  <dimension ref="A1:AZ86"/>
  <sheetViews>
    <sheetView topLeftCell="AU11" workbookViewId="0">
      <selection activeCell="B2" sqref="B2:AZ26"/>
    </sheetView>
  </sheetViews>
  <sheetFormatPr defaultColWidth="9.140625" defaultRowHeight="15"/>
  <cols>
    <col min="1" max="1" width="39.85546875" customWidth="1"/>
    <col min="2" max="32" width="6.7109375" bestFit="1" customWidth="1"/>
    <col min="33" max="33" width="12.42578125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BTU'!J185</f>
        <v>4644548976604.8604</v>
      </c>
      <c r="C2">
        <f>'Calculations BTU'!K185</f>
        <v>4104264707897.7642</v>
      </c>
      <c r="D2">
        <f>'Calculations BTU'!L185</f>
        <v>3984833448499.353</v>
      </c>
      <c r="E2">
        <f>'Calculations BTU'!M185</f>
        <v>3855923517720.1162</v>
      </c>
      <c r="F2">
        <f>'Calculations BTU'!N185</f>
        <v>3727013586940.8794</v>
      </c>
      <c r="G2">
        <f>'Calculations BTU'!O185</f>
        <v>3598103656161.6426</v>
      </c>
      <c r="H2">
        <f>'Calculations BTU'!P185</f>
        <v>3469193725382.4058</v>
      </c>
      <c r="I2">
        <f>'Calculations BTU'!Q185</f>
        <v>3340283794603.1689</v>
      </c>
      <c r="J2">
        <f>'Calculations BTU'!R185</f>
        <v>3211373863823.9316</v>
      </c>
      <c r="K2">
        <f>'Calculations BTU'!S185</f>
        <v>3082463933044.6948</v>
      </c>
      <c r="L2">
        <f>'Calculations BTU'!T185</f>
        <v>2953554002265.458</v>
      </c>
      <c r="M2">
        <f>'Calculations BTU'!U185</f>
        <v>2824644071486.2212</v>
      </c>
      <c r="N2">
        <f>'Calculations BTU'!V185</f>
        <v>2695734140706.9839</v>
      </c>
      <c r="O2">
        <f>'Calculations BTU'!W185</f>
        <v>2566824209927.7476</v>
      </c>
      <c r="P2">
        <f>'Calculations BTU'!X185</f>
        <v>2437914279148.5103</v>
      </c>
      <c r="Q2">
        <f>'Calculations BTU'!Y185</f>
        <v>2309004348369.2734</v>
      </c>
      <c r="R2">
        <f>'Calculations BTU'!Z185</f>
        <v>2180094417590.0361</v>
      </c>
      <c r="S2">
        <f>'Calculations BTU'!AA185</f>
        <v>2051184486810.7996</v>
      </c>
      <c r="T2">
        <f>'Calculations BTU'!AB185</f>
        <v>1922274556031.5625</v>
      </c>
      <c r="U2">
        <f>'Calculations BTU'!AC185</f>
        <v>1793364625252.3254</v>
      </c>
      <c r="V2">
        <f>'Calculations BTU'!AD185</f>
        <v>1664454694473.0886</v>
      </c>
      <c r="W2">
        <f>'Calculations BTU'!AE185</f>
        <v>1535544763693.8518</v>
      </c>
      <c r="X2">
        <f>'Calculations BTU'!AF185</f>
        <v>1406634832914.6147</v>
      </c>
      <c r="Y2">
        <f>'Calculations BTU'!AG185</f>
        <v>1277724902135.3779</v>
      </c>
      <c r="Z2">
        <f>'Calculations BTU'!AH185</f>
        <v>1148814971356.1409</v>
      </c>
      <c r="AA2">
        <f>'Calculations BTU'!AI185</f>
        <v>1019905040576.9041</v>
      </c>
      <c r="AB2">
        <f>'Calculations BTU'!AJ185</f>
        <v>890995109797.66699</v>
      </c>
      <c r="AC2">
        <f>'Calculations BTU'!AK185</f>
        <v>762085179018.43018</v>
      </c>
      <c r="AD2">
        <f>'Calculations BTU'!AL185</f>
        <v>633175248239.19324</v>
      </c>
      <c r="AE2">
        <f>'Calculations BTU'!AM185</f>
        <v>504265317459.95624</v>
      </c>
      <c r="AF2">
        <f>'Calculations BTU'!AN185</f>
        <v>375355386680.7193</v>
      </c>
      <c r="AG2">
        <f>'Calculations BTU'!AO185</f>
        <v>375355386680.7193</v>
      </c>
      <c r="AH2">
        <f>'Calculations BTU'!AP185</f>
        <v>375355386680.7193</v>
      </c>
      <c r="AI2">
        <f>'Calculations BTU'!AQ185</f>
        <v>375355386680.7193</v>
      </c>
      <c r="AJ2">
        <f>'Calculations BTU'!AR185</f>
        <v>375355386680.7193</v>
      </c>
      <c r="AK2">
        <f>'Calculations BTU'!AS185</f>
        <v>375355386680.7193</v>
      </c>
      <c r="AL2">
        <f>'Calculations BTU'!AT185</f>
        <v>375355386680.7193</v>
      </c>
      <c r="AM2">
        <f>'Calculations BTU'!AU185</f>
        <v>375355386680.7193</v>
      </c>
      <c r="AN2">
        <f>'Calculations BTU'!AV185</f>
        <v>375355386680.7193</v>
      </c>
      <c r="AO2">
        <f>'Calculations BTU'!AW185</f>
        <v>375355386680.7193</v>
      </c>
      <c r="AP2">
        <f>'Calculations BTU'!AX185</f>
        <v>375355386680.7193</v>
      </c>
      <c r="AQ2">
        <f>'Calculations BTU'!AY185</f>
        <v>375355386680.7193</v>
      </c>
      <c r="AR2">
        <f>'Calculations BTU'!AZ185</f>
        <v>375355386680.7193</v>
      </c>
      <c r="AS2">
        <f>'Calculations BTU'!BA185</f>
        <v>375355386680.7193</v>
      </c>
      <c r="AT2">
        <f>'Calculations BTU'!BB185</f>
        <v>375355386680.7193</v>
      </c>
      <c r="AU2">
        <f>'Calculations BTU'!BC185</f>
        <v>375355386680.7193</v>
      </c>
      <c r="AV2">
        <f>'Calculations BTU'!BD185</f>
        <v>375355386680.7193</v>
      </c>
      <c r="AW2">
        <f>'Calculations BTU'!BE185</f>
        <v>375355386680.7193</v>
      </c>
      <c r="AX2">
        <f>'Calculations BTU'!BF185</f>
        <v>375355386680.7193</v>
      </c>
      <c r="AY2">
        <f>'Calculations BTU'!BG185</f>
        <v>375355386680.7193</v>
      </c>
      <c r="AZ2">
        <f>'Calculations BTU'!BH185</f>
        <v>375355386680.7193</v>
      </c>
    </row>
    <row r="3" spans="1:52">
      <c r="A3" t="s">
        <v>127</v>
      </c>
      <c r="B3">
        <f>'Calculations BTU'!J186</f>
        <v>1844075517139.7461</v>
      </c>
      <c r="C3">
        <f>'Calculations BTU'!K186</f>
        <v>1529857560865.356</v>
      </c>
      <c r="D3">
        <f>'Calculations BTU'!L186</f>
        <v>1625118208242.6597</v>
      </c>
      <c r="E3">
        <f>'Calculations BTU'!M186</f>
        <v>1633649012485.4033</v>
      </c>
      <c r="F3">
        <f>'Calculations BTU'!N186</f>
        <v>1642179816728.1472</v>
      </c>
      <c r="G3">
        <f>'Calculations BTU'!O186</f>
        <v>1650710620970.8904</v>
      </c>
      <c r="H3">
        <f>'Calculations BTU'!P186</f>
        <v>1659241425213.6343</v>
      </c>
      <c r="I3">
        <f>'Calculations BTU'!Q186</f>
        <v>1667772229456.3779</v>
      </c>
      <c r="J3">
        <f>'Calculations BTU'!R186</f>
        <v>1676303033699.1211</v>
      </c>
      <c r="K3">
        <f>'Calculations BTU'!S186</f>
        <v>1684833837941.865</v>
      </c>
      <c r="L3">
        <f>'Calculations BTU'!T186</f>
        <v>1693364642184.6086</v>
      </c>
      <c r="M3">
        <f>'Calculations BTU'!U186</f>
        <v>1701895446427.3523</v>
      </c>
      <c r="N3">
        <f>'Calculations BTU'!V186</f>
        <v>1710426250670.0957</v>
      </c>
      <c r="O3">
        <f>'Calculations BTU'!W186</f>
        <v>1718957054912.8394</v>
      </c>
      <c r="P3">
        <f>'Calculations BTU'!X186</f>
        <v>1727487859155.5833</v>
      </c>
      <c r="Q3">
        <f>'Calculations BTU'!Y186</f>
        <v>1736018663398.3269</v>
      </c>
      <c r="R3">
        <f>'Calculations BTU'!Z186</f>
        <v>1745971268348.1943</v>
      </c>
      <c r="S3">
        <f>'Calculations BTU'!AA186</f>
        <v>1754502072590.938</v>
      </c>
      <c r="T3">
        <f>'Calculations BTU'!AB186</f>
        <v>1763032876833.6814</v>
      </c>
      <c r="U3">
        <f>'Calculations BTU'!AC186</f>
        <v>1771563681076.4253</v>
      </c>
      <c r="V3">
        <f>'Calculations BTU'!AD186</f>
        <v>1780094485319.1687</v>
      </c>
      <c r="W3">
        <f>'Calculations BTU'!AE186</f>
        <v>1788625289561.9124</v>
      </c>
      <c r="X3">
        <f>'Calculations BTU'!AF186</f>
        <v>1797156093804.656</v>
      </c>
      <c r="Y3">
        <f>'Calculations BTU'!AG186</f>
        <v>1805686898047.3994</v>
      </c>
      <c r="Z3">
        <f>'Calculations BTU'!AH186</f>
        <v>1814217702290.1433</v>
      </c>
      <c r="AA3">
        <f>'Calculations BTU'!AI186</f>
        <v>1822748506532.887</v>
      </c>
      <c r="AB3">
        <f>'Calculations BTU'!AJ186</f>
        <v>1831279310775.6306</v>
      </c>
      <c r="AC3">
        <f>'Calculations BTU'!AK186</f>
        <v>1839810115018.374</v>
      </c>
      <c r="AD3">
        <f>'Calculations BTU'!AL186</f>
        <v>1848340919261.1177</v>
      </c>
      <c r="AE3">
        <f>'Calculations BTU'!AM186</f>
        <v>1856871723503.8616</v>
      </c>
      <c r="AF3">
        <f>'Calculations BTU'!AN186</f>
        <v>1865402527746.6047</v>
      </c>
      <c r="AG3">
        <f>'Calculations BTU'!AO186</f>
        <v>1865402527746.6047</v>
      </c>
      <c r="AH3">
        <f>'Calculations BTU'!AP186</f>
        <v>1865402527746.6047</v>
      </c>
      <c r="AI3">
        <f>'Calculations BTU'!AQ186</f>
        <v>1865402527746.6047</v>
      </c>
      <c r="AJ3">
        <f>'Calculations BTU'!AR186</f>
        <v>1865402527746.6047</v>
      </c>
      <c r="AK3">
        <f>'Calculations BTU'!AS186</f>
        <v>1865402527746.6047</v>
      </c>
      <c r="AL3">
        <f>'Calculations BTU'!AT186</f>
        <v>1865402527746.6047</v>
      </c>
      <c r="AM3">
        <f>'Calculations BTU'!AU186</f>
        <v>1865402527746.6047</v>
      </c>
      <c r="AN3">
        <f>'Calculations BTU'!AV186</f>
        <v>1865402527746.6047</v>
      </c>
      <c r="AO3">
        <f>'Calculations BTU'!AW186</f>
        <v>1865402527746.6047</v>
      </c>
      <c r="AP3">
        <f>'Calculations BTU'!AX186</f>
        <v>1865402527746.6047</v>
      </c>
      <c r="AQ3">
        <f>'Calculations BTU'!AY186</f>
        <v>1865402527746.6047</v>
      </c>
      <c r="AR3">
        <f>'Calculations BTU'!AZ186</f>
        <v>1865402527746.6047</v>
      </c>
      <c r="AS3">
        <f>'Calculations BTU'!BA186</f>
        <v>1865402527746.6047</v>
      </c>
      <c r="AT3">
        <f>'Calculations BTU'!BB186</f>
        <v>1865402527746.6047</v>
      </c>
      <c r="AU3">
        <f>'Calculations BTU'!BC186</f>
        <v>1865402527746.6047</v>
      </c>
      <c r="AV3">
        <f>'Calculations BTU'!BD186</f>
        <v>1865402527746.6047</v>
      </c>
      <c r="AW3">
        <f>'Calculations BTU'!BE186</f>
        <v>1865402527746.6047</v>
      </c>
      <c r="AX3">
        <f>'Calculations BTU'!BF186</f>
        <v>1865402527746.6047</v>
      </c>
      <c r="AY3">
        <f>'Calculations BTU'!BG186</f>
        <v>1865402527746.6047</v>
      </c>
      <c r="AZ3">
        <f>'Calculations BTU'!BH186</f>
        <v>1865402527746.6047</v>
      </c>
    </row>
    <row r="4" spans="1:52">
      <c r="A4" t="s">
        <v>128</v>
      </c>
      <c r="B4">
        <f>'Calculations BTU'!J187</f>
        <v>0</v>
      </c>
      <c r="C4">
        <f>'Calculations BTU'!K187</f>
        <v>0</v>
      </c>
      <c r="D4">
        <f>'Calculations BTU'!L187</f>
        <v>0</v>
      </c>
      <c r="E4">
        <f>'Calculations BTU'!M187</f>
        <v>0</v>
      </c>
      <c r="F4">
        <f>'Calculations BTU'!N187</f>
        <v>0</v>
      </c>
      <c r="G4">
        <f>'Calculations BTU'!O187</f>
        <v>0</v>
      </c>
      <c r="H4">
        <f>'Calculations BTU'!P187</f>
        <v>0</v>
      </c>
      <c r="I4">
        <f>'Calculations BTU'!Q187</f>
        <v>0</v>
      </c>
      <c r="J4">
        <f>'Calculations BTU'!R187</f>
        <v>0</v>
      </c>
      <c r="K4">
        <f>'Calculations BTU'!S187</f>
        <v>0</v>
      </c>
      <c r="L4">
        <f>'Calculations BTU'!T187</f>
        <v>0</v>
      </c>
      <c r="M4">
        <f>'Calculations BTU'!U187</f>
        <v>0</v>
      </c>
      <c r="N4">
        <f>'Calculations BTU'!V187</f>
        <v>0</v>
      </c>
      <c r="O4">
        <f>'Calculations BTU'!W187</f>
        <v>0</v>
      </c>
      <c r="P4">
        <f>'Calculations BTU'!X187</f>
        <v>0</v>
      </c>
      <c r="Q4">
        <f>'Calculations BTU'!Y187</f>
        <v>0</v>
      </c>
      <c r="R4">
        <f>'Calculations BTU'!Z187</f>
        <v>0</v>
      </c>
      <c r="S4">
        <f>'Calculations BTU'!AA187</f>
        <v>0</v>
      </c>
      <c r="T4">
        <f>'Calculations BTU'!AB187</f>
        <v>0</v>
      </c>
      <c r="U4">
        <f>'Calculations BTU'!AC187</f>
        <v>0</v>
      </c>
      <c r="V4">
        <f>'Calculations BTU'!AD187</f>
        <v>0</v>
      </c>
      <c r="W4">
        <f>'Calculations BTU'!AE187</f>
        <v>0</v>
      </c>
      <c r="X4">
        <f>'Calculations BTU'!AF187</f>
        <v>0</v>
      </c>
      <c r="Y4">
        <f>'Calculations BTU'!AG187</f>
        <v>0</v>
      </c>
      <c r="Z4">
        <f>'Calculations BTU'!AH187</f>
        <v>0</v>
      </c>
      <c r="AA4">
        <f>'Calculations BTU'!AI187</f>
        <v>0</v>
      </c>
      <c r="AB4">
        <f>'Calculations BTU'!AJ187</f>
        <v>0</v>
      </c>
      <c r="AC4">
        <f>'Calculations BTU'!AK187</f>
        <v>0</v>
      </c>
      <c r="AD4">
        <f>'Calculations BTU'!AL187</f>
        <v>0</v>
      </c>
      <c r="AE4">
        <f>'Calculations BTU'!AM187</f>
        <v>0</v>
      </c>
      <c r="AF4">
        <f>'Calculations BTU'!AN187</f>
        <v>0</v>
      </c>
      <c r="AG4">
        <f>'Calculations BTU'!AO187</f>
        <v>0</v>
      </c>
      <c r="AH4">
        <f>'Calculations BTU'!AP187</f>
        <v>0</v>
      </c>
      <c r="AI4">
        <f>'Calculations BTU'!AQ187</f>
        <v>0</v>
      </c>
      <c r="AJ4">
        <f>'Calculations BTU'!AR187</f>
        <v>0</v>
      </c>
      <c r="AK4">
        <f>'Calculations BTU'!AS187</f>
        <v>0</v>
      </c>
      <c r="AL4">
        <f>'Calculations BTU'!AT187</f>
        <v>0</v>
      </c>
      <c r="AM4">
        <f>'Calculations BTU'!AU187</f>
        <v>0</v>
      </c>
      <c r="AN4">
        <f>'Calculations BTU'!AV187</f>
        <v>0</v>
      </c>
      <c r="AO4">
        <f>'Calculations BTU'!AW187</f>
        <v>0</v>
      </c>
      <c r="AP4">
        <f>'Calculations BTU'!AX187</f>
        <v>0</v>
      </c>
      <c r="AQ4">
        <f>'Calculations BTU'!AY187</f>
        <v>0</v>
      </c>
      <c r="AR4">
        <f>'Calculations BTU'!AZ187</f>
        <v>0</v>
      </c>
      <c r="AS4">
        <f>'Calculations BTU'!BA187</f>
        <v>0</v>
      </c>
      <c r="AT4">
        <f>'Calculations BTU'!BB187</f>
        <v>0</v>
      </c>
      <c r="AU4">
        <f>'Calculations BTU'!BC187</f>
        <v>0</v>
      </c>
      <c r="AV4">
        <f>'Calculations BTU'!BD187</f>
        <v>0</v>
      </c>
      <c r="AW4">
        <f>'Calculations BTU'!BE187</f>
        <v>0</v>
      </c>
      <c r="AX4">
        <f>'Calculations BTU'!BF187</f>
        <v>0</v>
      </c>
      <c r="AY4">
        <f>'Calculations BTU'!BG187</f>
        <v>0</v>
      </c>
      <c r="AZ4">
        <f>'Calculations BTU'!BH187</f>
        <v>0</v>
      </c>
    </row>
    <row r="5" spans="1:52">
      <c r="A5" t="s">
        <v>129</v>
      </c>
      <c r="B5">
        <f>'Calculations BTU'!J188</f>
        <v>10449761263791.895</v>
      </c>
      <c r="C5">
        <f>'Calculations BTU'!K188</f>
        <v>8669192844903.6826</v>
      </c>
      <c r="D5">
        <f>'Calculations BTU'!L188</f>
        <v>9209003180041.7363</v>
      </c>
      <c r="E5">
        <f>'Calculations BTU'!M188</f>
        <v>9257344404083.9531</v>
      </c>
      <c r="F5">
        <f>'Calculations BTU'!N188</f>
        <v>9305685628126.166</v>
      </c>
      <c r="G5">
        <f>'Calculations BTU'!O188</f>
        <v>9354026852168.3789</v>
      </c>
      <c r="H5">
        <f>'Calculations BTU'!P188</f>
        <v>9402368076210.5938</v>
      </c>
      <c r="I5">
        <f>'Calculations BTU'!Q188</f>
        <v>9450709300252.8066</v>
      </c>
      <c r="J5">
        <f>'Calculations BTU'!R188</f>
        <v>9499050524295.0215</v>
      </c>
      <c r="K5">
        <f>'Calculations BTU'!S188</f>
        <v>9547391748337.2344</v>
      </c>
      <c r="L5">
        <f>'Calculations BTU'!T188</f>
        <v>9595732972379.4492</v>
      </c>
      <c r="M5">
        <f>'Calculations BTU'!U188</f>
        <v>9644074196421.6641</v>
      </c>
      <c r="N5">
        <f>'Calculations BTU'!V188</f>
        <v>9692415420463.875</v>
      </c>
      <c r="O5">
        <f>'Calculations BTU'!W188</f>
        <v>9740756644506.0918</v>
      </c>
      <c r="P5">
        <f>'Calculations BTU'!X188</f>
        <v>9789097868548.3047</v>
      </c>
      <c r="Q5">
        <f>'Calculations BTU'!Y188</f>
        <v>9837439092590.5195</v>
      </c>
      <c r="R5">
        <f>'Calculations BTU'!Z188</f>
        <v>9893837187306.4336</v>
      </c>
      <c r="S5">
        <f>'Calculations BTU'!AA188</f>
        <v>9942178411348.6484</v>
      </c>
      <c r="T5">
        <f>'Calculations BTU'!AB188</f>
        <v>9990519635390.8613</v>
      </c>
      <c r="U5">
        <f>'Calculations BTU'!AC188</f>
        <v>10038860859433.078</v>
      </c>
      <c r="V5">
        <f>'Calculations BTU'!AD188</f>
        <v>10087202083475.289</v>
      </c>
      <c r="W5">
        <f>'Calculations BTU'!AE188</f>
        <v>10135543307517.504</v>
      </c>
      <c r="X5">
        <f>'Calculations BTU'!AF188</f>
        <v>10183884531559.717</v>
      </c>
      <c r="Y5">
        <f>'Calculations BTU'!AG188</f>
        <v>10232225755601.932</v>
      </c>
      <c r="Z5">
        <f>'Calculations BTU'!AH188</f>
        <v>10280566979644.146</v>
      </c>
      <c r="AA5">
        <f>'Calculations BTU'!AI188</f>
        <v>10328908203686.359</v>
      </c>
      <c r="AB5">
        <f>'Calculations BTU'!AJ188</f>
        <v>10377249427728.574</v>
      </c>
      <c r="AC5">
        <f>'Calculations BTU'!AK188</f>
        <v>10425590651770.785</v>
      </c>
      <c r="AD5">
        <f>'Calculations BTU'!AL188</f>
        <v>10473931875813</v>
      </c>
      <c r="AE5">
        <f>'Calculations BTU'!AM188</f>
        <v>10522273099855.215</v>
      </c>
      <c r="AF5">
        <f>'Calculations BTU'!AN188</f>
        <v>10570614323897.428</v>
      </c>
      <c r="AG5">
        <f>'Calculations BTU'!AO188</f>
        <v>10570614323897.428</v>
      </c>
      <c r="AH5">
        <f>'Calculations BTU'!AP188</f>
        <v>10570614323897.428</v>
      </c>
      <c r="AI5">
        <f>'Calculations BTU'!AQ188</f>
        <v>10570614323897.428</v>
      </c>
      <c r="AJ5">
        <f>'Calculations BTU'!AR188</f>
        <v>10570614323897.428</v>
      </c>
      <c r="AK5">
        <f>'Calculations BTU'!AS188</f>
        <v>10570614323897.428</v>
      </c>
      <c r="AL5">
        <f>'Calculations BTU'!AT188</f>
        <v>10570614323897.428</v>
      </c>
      <c r="AM5">
        <f>'Calculations BTU'!AU188</f>
        <v>10570614323897.428</v>
      </c>
      <c r="AN5">
        <f>'Calculations BTU'!AV188</f>
        <v>10570614323897.428</v>
      </c>
      <c r="AO5">
        <f>'Calculations BTU'!AW188</f>
        <v>10570614323897.428</v>
      </c>
      <c r="AP5">
        <f>'Calculations BTU'!AX188</f>
        <v>10570614323897.428</v>
      </c>
      <c r="AQ5">
        <f>'Calculations BTU'!AY188</f>
        <v>10570614323897.428</v>
      </c>
      <c r="AR5">
        <f>'Calculations BTU'!AZ188</f>
        <v>10570614323897.428</v>
      </c>
      <c r="AS5">
        <f>'Calculations BTU'!BA188</f>
        <v>10570614323897.428</v>
      </c>
      <c r="AT5">
        <f>'Calculations BTU'!BB188</f>
        <v>10570614323897.428</v>
      </c>
      <c r="AU5">
        <f>'Calculations BTU'!BC188</f>
        <v>10570614323897.428</v>
      </c>
      <c r="AV5">
        <f>'Calculations BTU'!BD188</f>
        <v>10570614323897.428</v>
      </c>
      <c r="AW5">
        <f>'Calculations BTU'!BE188</f>
        <v>10570614323897.428</v>
      </c>
      <c r="AX5">
        <f>'Calculations BTU'!BF188</f>
        <v>10570614323897.428</v>
      </c>
      <c r="AY5">
        <f>'Calculations BTU'!BG188</f>
        <v>10570614323897.428</v>
      </c>
      <c r="AZ5">
        <f>'Calculations BTU'!BH188</f>
        <v>10570614323897.428</v>
      </c>
    </row>
    <row r="6" spans="1:52">
      <c r="A6" t="s">
        <v>130</v>
      </c>
      <c r="B6">
        <f>'Calculations BTU'!J189</f>
        <v>2635070643869.6963</v>
      </c>
      <c r="C6">
        <f>'Calculations BTU'!K189</f>
        <v>2180094417590.0361</v>
      </c>
      <c r="D6">
        <f>'Calculations BTU'!L189</f>
        <v>2312795816921.6035</v>
      </c>
      <c r="E6">
        <f>'Calculations BTU'!M189</f>
        <v>2322274488302.4302</v>
      </c>
      <c r="F6">
        <f>'Calculations BTU'!N189</f>
        <v>2341231831064.0825</v>
      </c>
      <c r="G6">
        <f>'Calculations BTU'!O189</f>
        <v>2350710502444.9087</v>
      </c>
      <c r="H6">
        <f>'Calculations BTU'!P189</f>
        <v>2369667845206.5615</v>
      </c>
      <c r="I6">
        <f>'Calculations BTU'!Q189</f>
        <v>2379146516587.3872</v>
      </c>
      <c r="J6">
        <f>'Calculations BTU'!R189</f>
        <v>2388625187968.2139</v>
      </c>
      <c r="K6">
        <f>'Calculations BTU'!S189</f>
        <v>2398103859349.04</v>
      </c>
      <c r="L6">
        <f>'Calculations BTU'!T189</f>
        <v>2417061202110.6924</v>
      </c>
      <c r="M6">
        <f>'Calculations BTU'!U189</f>
        <v>2426539873491.519</v>
      </c>
      <c r="N6">
        <f>'Calculations BTU'!V189</f>
        <v>2436018544872.3447</v>
      </c>
      <c r="O6">
        <f>'Calculations BTU'!W189</f>
        <v>2454975887633.9976</v>
      </c>
      <c r="P6">
        <f>'Calculations BTU'!X189</f>
        <v>2454975887633.9976</v>
      </c>
      <c r="Q6">
        <f>'Calculations BTU'!Y189</f>
        <v>2473933230395.6499</v>
      </c>
      <c r="R6">
        <f>'Calculations BTU'!Z189</f>
        <v>2483411901776.4766</v>
      </c>
      <c r="S6">
        <f>'Calculations BTU'!AA189</f>
        <v>2502369244538.1289</v>
      </c>
      <c r="T6">
        <f>'Calculations BTU'!AB189</f>
        <v>2511847915918.9551</v>
      </c>
      <c r="U6">
        <f>'Calculations BTU'!AC189</f>
        <v>2530805258680.6074</v>
      </c>
      <c r="V6">
        <f>'Calculations BTU'!AD189</f>
        <v>2530805258680.6074</v>
      </c>
      <c r="W6">
        <f>'Calculations BTU'!AE189</f>
        <v>2549762601442.2598</v>
      </c>
      <c r="X6">
        <f>'Calculations BTU'!AF189</f>
        <v>2559241272823.0864</v>
      </c>
      <c r="Y6">
        <f>'Calculations BTU'!AG189</f>
        <v>2568719944203.9126</v>
      </c>
      <c r="Z6">
        <f>'Calculations BTU'!AH189</f>
        <v>2587677286965.5649</v>
      </c>
      <c r="AA6">
        <f>'Calculations BTU'!AI189</f>
        <v>2597155958346.3916</v>
      </c>
      <c r="AB6">
        <f>'Calculations BTU'!AJ189</f>
        <v>2616113301108.0435</v>
      </c>
      <c r="AC6">
        <f>'Calculations BTU'!AK189</f>
        <v>2616113301108.0435</v>
      </c>
      <c r="AD6">
        <f>'Calculations BTU'!AL189</f>
        <v>2635070643869.6963</v>
      </c>
      <c r="AE6">
        <f>'Calculations BTU'!AM189</f>
        <v>2644549315250.5225</v>
      </c>
      <c r="AF6">
        <f>'Calculations BTU'!AN189</f>
        <v>2663506658012.1748</v>
      </c>
      <c r="AG6">
        <f>'Calculations BTU'!AO189</f>
        <v>2663506658012.1748</v>
      </c>
      <c r="AH6">
        <f>'Calculations BTU'!AP189</f>
        <v>2663506658012.1748</v>
      </c>
      <c r="AI6">
        <f>'Calculations BTU'!AQ189</f>
        <v>2663506658012.1748</v>
      </c>
      <c r="AJ6">
        <f>'Calculations BTU'!AR189</f>
        <v>2663506658012.1748</v>
      </c>
      <c r="AK6">
        <f>'Calculations BTU'!AS189</f>
        <v>2663506658012.1748</v>
      </c>
      <c r="AL6">
        <f>'Calculations BTU'!AT189</f>
        <v>2663506658012.1748</v>
      </c>
      <c r="AM6">
        <f>'Calculations BTU'!AU189</f>
        <v>2663506658012.1748</v>
      </c>
      <c r="AN6">
        <f>'Calculations BTU'!AV189</f>
        <v>2663506658012.1748</v>
      </c>
      <c r="AO6">
        <f>'Calculations BTU'!AW189</f>
        <v>2663506658012.1748</v>
      </c>
      <c r="AP6">
        <f>'Calculations BTU'!AX189</f>
        <v>2663506658012.1748</v>
      </c>
      <c r="AQ6">
        <f>'Calculations BTU'!AY189</f>
        <v>2663506658012.1748</v>
      </c>
      <c r="AR6">
        <f>'Calculations BTU'!AZ189</f>
        <v>2663506658012.1748</v>
      </c>
      <c r="AS6">
        <f>'Calculations BTU'!BA189</f>
        <v>2663506658012.1748</v>
      </c>
      <c r="AT6">
        <f>'Calculations BTU'!BB189</f>
        <v>2663506658012.1748</v>
      </c>
      <c r="AU6">
        <f>'Calculations BTU'!BC189</f>
        <v>2663506658012.1748</v>
      </c>
      <c r="AV6">
        <f>'Calculations BTU'!BD189</f>
        <v>2663506658012.1748</v>
      </c>
      <c r="AW6">
        <f>'Calculations BTU'!BE189</f>
        <v>2663506658012.1748</v>
      </c>
      <c r="AX6">
        <f>'Calculations BTU'!BF189</f>
        <v>2663506658012.1748</v>
      </c>
      <c r="AY6">
        <f>'Calculations BTU'!BG189</f>
        <v>2663506658012.1748</v>
      </c>
      <c r="AZ6">
        <f>'Calculations BTU'!BH189</f>
        <v>2663506658012.1748</v>
      </c>
    </row>
    <row r="7" spans="1:52">
      <c r="A7" t="s">
        <v>131</v>
      </c>
      <c r="B7">
        <f>'Calculations BTU'!J190</f>
        <v>18957342761.652493</v>
      </c>
      <c r="C7">
        <f>'Calculations BTU'!K190</f>
        <v>28436014142.478733</v>
      </c>
      <c r="D7">
        <f>'Calculations BTU'!L190</f>
        <v>28436014142.478733</v>
      </c>
      <c r="E7">
        <f>'Calculations BTU'!M190</f>
        <v>28436014142.478733</v>
      </c>
      <c r="F7">
        <f>'Calculations BTU'!N190</f>
        <v>28466054499.434906</v>
      </c>
      <c r="G7">
        <f>'Calculations BTU'!O190</f>
        <v>28495625475.813637</v>
      </c>
      <c r="H7">
        <f>'Calculations BTU'!P190</f>
        <v>28526135213.347244</v>
      </c>
      <c r="I7">
        <f>'Calculations BTU'!Q190</f>
        <v>28556175570.303413</v>
      </c>
      <c r="J7">
        <f>'Calculations BTU'!R190</f>
        <v>28585746546.682144</v>
      </c>
      <c r="K7">
        <f>'Calculations BTU'!S190</f>
        <v>28616256284.215759</v>
      </c>
      <c r="L7">
        <f>'Calculations BTU'!T190</f>
        <v>28645827260.594482</v>
      </c>
      <c r="M7">
        <f>'Calculations BTU'!U190</f>
        <v>28675398236.973209</v>
      </c>
      <c r="N7">
        <f>'Calculations BTU'!V190</f>
        <v>28706377355.084263</v>
      </c>
      <c r="O7">
        <f>'Calculations BTU'!W190</f>
        <v>28735948331.462994</v>
      </c>
      <c r="P7">
        <f>'Calculations BTU'!X190</f>
        <v>28654745491.565845</v>
      </c>
      <c r="Q7">
        <f>'Calculations BTU'!Y190</f>
        <v>28423340866.887852</v>
      </c>
      <c r="R7">
        <f>'Calculations BTU'!Z190</f>
        <v>28191466861.632427</v>
      </c>
      <c r="S7">
        <f>'Calculations BTU'!AA190</f>
        <v>27960531617.531879</v>
      </c>
      <c r="T7">
        <f>'Calculations BTU'!AB190</f>
        <v>27729126992.853889</v>
      </c>
      <c r="U7">
        <f>'Calculations BTU'!AC190</f>
        <v>27496783607.021023</v>
      </c>
      <c r="V7">
        <f>'Calculations BTU'!AD190</f>
        <v>27266317743.49791</v>
      </c>
      <c r="W7">
        <f>'Calculations BTU'!AE190</f>
        <v>27034913118.81992</v>
      </c>
      <c r="X7">
        <f>'Calculations BTU'!AF190</f>
        <v>26803039113.564484</v>
      </c>
      <c r="Y7">
        <f>'Calculations BTU'!AG190</f>
        <v>26571634488.886494</v>
      </c>
      <c r="Z7">
        <f>'Calculations BTU'!AH190</f>
        <v>26340699244.785938</v>
      </c>
      <c r="AA7">
        <f>'Calculations BTU'!AI190</f>
        <v>26108825239.530514</v>
      </c>
      <c r="AB7">
        <f>'Calculations BTU'!AJ190</f>
        <v>25877420614.85252</v>
      </c>
      <c r="AC7">
        <f>'Calculations BTU'!AK190</f>
        <v>25646015990.174534</v>
      </c>
      <c r="AD7">
        <f>'Calculations BTU'!AL190</f>
        <v>25415080746.073986</v>
      </c>
      <c r="AE7">
        <f>'Calculations BTU'!AM190</f>
        <v>25180859837.931355</v>
      </c>
      <c r="AF7">
        <f>'Calculations BTU'!AN190</f>
        <v>24947108310.366161</v>
      </c>
      <c r="AG7">
        <f>'Calculations BTU'!AO190</f>
        <v>24947108310.366161</v>
      </c>
      <c r="AH7">
        <f>'Calculations BTU'!AP190</f>
        <v>24947108310.366161</v>
      </c>
      <c r="AI7">
        <f>'Calculations BTU'!AQ190</f>
        <v>24947108310.366161</v>
      </c>
      <c r="AJ7">
        <f>'Calculations BTU'!AR190</f>
        <v>24947108310.366161</v>
      </c>
      <c r="AK7">
        <f>'Calculations BTU'!AS190</f>
        <v>24947108310.366161</v>
      </c>
      <c r="AL7">
        <f>'Calculations BTU'!AT190</f>
        <v>24947108310.366161</v>
      </c>
      <c r="AM7">
        <f>'Calculations BTU'!AU190</f>
        <v>24947108310.366161</v>
      </c>
      <c r="AN7">
        <f>'Calculations BTU'!AV190</f>
        <v>24947108310.366161</v>
      </c>
      <c r="AO7">
        <f>'Calculations BTU'!AW190</f>
        <v>24947108310.366161</v>
      </c>
      <c r="AP7">
        <f>'Calculations BTU'!AX190</f>
        <v>24947108310.366161</v>
      </c>
      <c r="AQ7">
        <f>'Calculations BTU'!AY190</f>
        <v>24947108310.366161</v>
      </c>
      <c r="AR7">
        <f>'Calculations BTU'!AZ190</f>
        <v>24947108310.366161</v>
      </c>
      <c r="AS7">
        <f>'Calculations BTU'!BA190</f>
        <v>24947108310.366161</v>
      </c>
      <c r="AT7">
        <f>'Calculations BTU'!BB190</f>
        <v>24947108310.366161</v>
      </c>
      <c r="AU7">
        <f>'Calculations BTU'!BC190</f>
        <v>24947108310.366161</v>
      </c>
      <c r="AV7">
        <f>'Calculations BTU'!BD190</f>
        <v>24947108310.366161</v>
      </c>
      <c r="AW7">
        <f>'Calculations BTU'!BE190</f>
        <v>24947108310.366161</v>
      </c>
      <c r="AX7">
        <f>'Calculations BTU'!BF190</f>
        <v>24947108310.366161</v>
      </c>
      <c r="AY7">
        <f>'Calculations BTU'!BG190</f>
        <v>24947108310.366161</v>
      </c>
      <c r="AZ7">
        <f>'Calculations BTU'!BH190</f>
        <v>24947108310.366161</v>
      </c>
    </row>
    <row r="8" spans="1:52">
      <c r="A8" t="s">
        <v>132</v>
      </c>
      <c r="B8">
        <f>'Calculations BTU'!J191</f>
        <v>0</v>
      </c>
      <c r="C8">
        <f>'Calculations BTU'!K191</f>
        <v>0</v>
      </c>
      <c r="D8">
        <f>'Calculations BTU'!L191</f>
        <v>0</v>
      </c>
      <c r="E8">
        <f>'Calculations BTU'!M191</f>
        <v>0</v>
      </c>
      <c r="F8">
        <f>'Calculations BTU'!N191</f>
        <v>0</v>
      </c>
      <c r="G8">
        <f>'Calculations BTU'!O191</f>
        <v>0</v>
      </c>
      <c r="H8">
        <f>'Calculations BTU'!P191</f>
        <v>0</v>
      </c>
      <c r="I8">
        <f>'Calculations BTU'!Q191</f>
        <v>0</v>
      </c>
      <c r="J8">
        <f>'Calculations BTU'!R191</f>
        <v>0</v>
      </c>
      <c r="K8">
        <f>'Calculations BTU'!S191</f>
        <v>0</v>
      </c>
      <c r="L8">
        <f>'Calculations BTU'!T191</f>
        <v>0</v>
      </c>
      <c r="M8">
        <f>'Calculations BTU'!U191</f>
        <v>0</v>
      </c>
      <c r="N8">
        <f>'Calculations BTU'!V191</f>
        <v>0</v>
      </c>
      <c r="O8">
        <f>'Calculations BTU'!W191</f>
        <v>0</v>
      </c>
      <c r="P8">
        <f>'Calculations BTU'!X191</f>
        <v>0</v>
      </c>
      <c r="Q8">
        <f>'Calculations BTU'!Y191</f>
        <v>0</v>
      </c>
      <c r="R8">
        <f>'Calculations BTU'!Z191</f>
        <v>0</v>
      </c>
      <c r="S8">
        <f>'Calculations BTU'!AA191</f>
        <v>0</v>
      </c>
      <c r="T8">
        <f>'Calculations BTU'!AB191</f>
        <v>0</v>
      </c>
      <c r="U8">
        <f>'Calculations BTU'!AC191</f>
        <v>0</v>
      </c>
      <c r="V8">
        <f>'Calculations BTU'!AD191</f>
        <v>0</v>
      </c>
      <c r="W8">
        <f>'Calculations BTU'!AE191</f>
        <v>0</v>
      </c>
      <c r="X8">
        <f>'Calculations BTU'!AF191</f>
        <v>0</v>
      </c>
      <c r="Y8">
        <f>'Calculations BTU'!AG191</f>
        <v>0</v>
      </c>
      <c r="Z8">
        <f>'Calculations BTU'!AH191</f>
        <v>0</v>
      </c>
      <c r="AA8">
        <f>'Calculations BTU'!AI191</f>
        <v>0</v>
      </c>
      <c r="AB8">
        <f>'Calculations BTU'!AJ191</f>
        <v>0</v>
      </c>
      <c r="AC8">
        <f>'Calculations BTU'!AK191</f>
        <v>0</v>
      </c>
      <c r="AD8">
        <f>'Calculations BTU'!AL191</f>
        <v>0</v>
      </c>
      <c r="AE8">
        <f>'Calculations BTU'!AM191</f>
        <v>0</v>
      </c>
      <c r="AF8">
        <f>'Calculations BTU'!AN191</f>
        <v>0</v>
      </c>
      <c r="AG8">
        <f>'Calculations BTU'!AO191</f>
        <v>0</v>
      </c>
      <c r="AH8">
        <f>'Calculations BTU'!AP191</f>
        <v>0</v>
      </c>
      <c r="AI8">
        <f>'Calculations BTU'!AQ191</f>
        <v>0</v>
      </c>
      <c r="AJ8">
        <f>'Calculations BTU'!AR191</f>
        <v>0</v>
      </c>
      <c r="AK8">
        <f>'Calculations BTU'!AS191</f>
        <v>0</v>
      </c>
      <c r="AL8">
        <f>'Calculations BTU'!AT191</f>
        <v>0</v>
      </c>
      <c r="AM8">
        <f>'Calculations BTU'!AU191</f>
        <v>0</v>
      </c>
      <c r="AN8">
        <f>'Calculations BTU'!AV191</f>
        <v>0</v>
      </c>
      <c r="AO8">
        <f>'Calculations BTU'!AW191</f>
        <v>0</v>
      </c>
      <c r="AP8">
        <f>'Calculations BTU'!AX191</f>
        <v>0</v>
      </c>
      <c r="AQ8">
        <f>'Calculations BTU'!AY191</f>
        <v>0</v>
      </c>
      <c r="AR8">
        <f>'Calculations BTU'!AZ191</f>
        <v>0</v>
      </c>
      <c r="AS8">
        <f>'Calculations BTU'!BA191</f>
        <v>0</v>
      </c>
      <c r="AT8">
        <f>'Calculations BTU'!BB191</f>
        <v>0</v>
      </c>
      <c r="AU8">
        <f>'Calculations BTU'!BC191</f>
        <v>0</v>
      </c>
      <c r="AV8">
        <f>'Calculations BTU'!BD191</f>
        <v>0</v>
      </c>
      <c r="AW8">
        <f>'Calculations BTU'!BE191</f>
        <v>0</v>
      </c>
      <c r="AX8">
        <f>'Calculations BTU'!BF191</f>
        <v>0</v>
      </c>
      <c r="AY8">
        <f>'Calculations BTU'!BG191</f>
        <v>0</v>
      </c>
      <c r="AZ8">
        <f>'Calculations BTU'!BH191</f>
        <v>0</v>
      </c>
    </row>
    <row r="9" spans="1:52">
      <c r="A9" t="s">
        <v>133</v>
      </c>
      <c r="B9">
        <f>'Calculations BTU'!J192</f>
        <v>436018883518.00732</v>
      </c>
      <c r="C9">
        <f>'Calculations BTU'!K192</f>
        <v>360189512471.39734</v>
      </c>
      <c r="D9">
        <f>'Calculations BTU'!L192</f>
        <v>379146855233.0498</v>
      </c>
      <c r="E9">
        <f>'Calculations BTU'!M192</f>
        <v>388625526613.87604</v>
      </c>
      <c r="F9">
        <f>'Calculations BTU'!N192</f>
        <v>388625526613.87604</v>
      </c>
      <c r="G9">
        <f>'Calculations BTU'!O192</f>
        <v>388625526613.87604</v>
      </c>
      <c r="H9">
        <f>'Calculations BTU'!P192</f>
        <v>388625526613.87604</v>
      </c>
      <c r="I9">
        <f>'Calculations BTU'!Q192</f>
        <v>388625526613.87604</v>
      </c>
      <c r="J9">
        <f>'Calculations BTU'!R192</f>
        <v>398104197994.70227</v>
      </c>
      <c r="K9">
        <f>'Calculations BTU'!S192</f>
        <v>398104197994.70227</v>
      </c>
      <c r="L9">
        <f>'Calculations BTU'!T192</f>
        <v>398104197994.70227</v>
      </c>
      <c r="M9">
        <f>'Calculations BTU'!U192</f>
        <v>398104197994.70227</v>
      </c>
      <c r="N9">
        <f>'Calculations BTU'!V192</f>
        <v>398104197994.70227</v>
      </c>
      <c r="O9">
        <f>'Calculations BTU'!W192</f>
        <v>407582869375.5285</v>
      </c>
      <c r="P9">
        <f>'Calculations BTU'!X192</f>
        <v>407582869375.5285</v>
      </c>
      <c r="Q9">
        <f>'Calculations BTU'!Y192</f>
        <v>407582869375.5285</v>
      </c>
      <c r="R9">
        <f>'Calculations BTU'!Z192</f>
        <v>407582869375.5285</v>
      </c>
      <c r="S9">
        <f>'Calculations BTU'!AA192</f>
        <v>417061540756.3548</v>
      </c>
      <c r="T9">
        <f>'Calculations BTU'!AB192</f>
        <v>417061540756.3548</v>
      </c>
      <c r="U9">
        <f>'Calculations BTU'!AC192</f>
        <v>417061540756.3548</v>
      </c>
      <c r="V9">
        <f>'Calculations BTU'!AD192</f>
        <v>417061540756.3548</v>
      </c>
      <c r="W9">
        <f>'Calculations BTU'!AE192</f>
        <v>417061540756.3548</v>
      </c>
      <c r="X9">
        <f>'Calculations BTU'!AF192</f>
        <v>426540212137.18103</v>
      </c>
      <c r="Y9">
        <f>'Calculations BTU'!AG192</f>
        <v>426540212137.18103</v>
      </c>
      <c r="Z9">
        <f>'Calculations BTU'!AH192</f>
        <v>426540212137.18103</v>
      </c>
      <c r="AA9">
        <f>'Calculations BTU'!AI192</f>
        <v>426540212137.18103</v>
      </c>
      <c r="AB9">
        <f>'Calculations BTU'!AJ192</f>
        <v>426540212137.18103</v>
      </c>
      <c r="AC9">
        <f>'Calculations BTU'!AK192</f>
        <v>436018883518.00732</v>
      </c>
      <c r="AD9">
        <f>'Calculations BTU'!AL192</f>
        <v>436018883518.00732</v>
      </c>
      <c r="AE9">
        <f>'Calculations BTU'!AM192</f>
        <v>436018883518.00732</v>
      </c>
      <c r="AF9">
        <f>'Calculations BTU'!AN192</f>
        <v>436018883518.00732</v>
      </c>
      <c r="AG9">
        <f>'Calculations BTU'!AO192</f>
        <v>436018883518.00732</v>
      </c>
      <c r="AH9">
        <f>'Calculations BTU'!AP192</f>
        <v>436018883518.00732</v>
      </c>
      <c r="AI9">
        <f>'Calculations BTU'!AQ192</f>
        <v>436018883518.00732</v>
      </c>
      <c r="AJ9">
        <f>'Calculations BTU'!AR192</f>
        <v>436018883518.00732</v>
      </c>
      <c r="AK9">
        <f>'Calculations BTU'!AS192</f>
        <v>436018883518.00732</v>
      </c>
      <c r="AL9">
        <f>'Calculations BTU'!AT192</f>
        <v>436018883518.00732</v>
      </c>
      <c r="AM9">
        <f>'Calculations BTU'!AU192</f>
        <v>436018883518.00732</v>
      </c>
      <c r="AN9">
        <f>'Calculations BTU'!AV192</f>
        <v>436018883518.00732</v>
      </c>
      <c r="AO9">
        <f>'Calculations BTU'!AW192</f>
        <v>436018883518.00732</v>
      </c>
      <c r="AP9">
        <f>'Calculations BTU'!AX192</f>
        <v>436018883518.00732</v>
      </c>
      <c r="AQ9">
        <f>'Calculations BTU'!AY192</f>
        <v>436018883518.00732</v>
      </c>
      <c r="AR9">
        <f>'Calculations BTU'!AZ192</f>
        <v>436018883518.00732</v>
      </c>
      <c r="AS9">
        <f>'Calculations BTU'!BA192</f>
        <v>436018883518.00732</v>
      </c>
      <c r="AT9">
        <f>'Calculations BTU'!BB192</f>
        <v>436018883518.00732</v>
      </c>
      <c r="AU9">
        <f>'Calculations BTU'!BC192</f>
        <v>436018883518.00732</v>
      </c>
      <c r="AV9">
        <f>'Calculations BTU'!BD192</f>
        <v>436018883518.00732</v>
      </c>
      <c r="AW9">
        <f>'Calculations BTU'!BE192</f>
        <v>436018883518.00732</v>
      </c>
      <c r="AX9">
        <f>'Calculations BTU'!BF192</f>
        <v>436018883518.00732</v>
      </c>
      <c r="AY9">
        <f>'Calculations BTU'!BG192</f>
        <v>436018883518.00732</v>
      </c>
      <c r="AZ9">
        <f>'Calculations BTU'!BH192</f>
        <v>436018883518.00732</v>
      </c>
    </row>
    <row r="10" spans="1:52">
      <c r="A10" t="s">
        <v>134</v>
      </c>
      <c r="B10">
        <f>'Calculations BTU'!J193</f>
        <v>0</v>
      </c>
      <c r="C10">
        <f>'Calculations BTU'!K193</f>
        <v>0</v>
      </c>
      <c r="D10">
        <f>'Calculations BTU'!L193</f>
        <v>0</v>
      </c>
      <c r="E10">
        <f>'Calculations BTU'!M193</f>
        <v>0</v>
      </c>
      <c r="F10">
        <f>'Calculations BTU'!N193</f>
        <v>0</v>
      </c>
      <c r="G10">
        <f>'Calculations BTU'!O193</f>
        <v>0</v>
      </c>
      <c r="H10">
        <f>'Calculations BTU'!P193</f>
        <v>0</v>
      </c>
      <c r="I10">
        <f>'Calculations BTU'!Q193</f>
        <v>0</v>
      </c>
      <c r="J10">
        <f>'Calculations BTU'!R193</f>
        <v>0</v>
      </c>
      <c r="K10">
        <f>'Calculations BTU'!S193</f>
        <v>0</v>
      </c>
      <c r="L10">
        <f>'Calculations BTU'!T193</f>
        <v>0</v>
      </c>
      <c r="M10">
        <f>'Calculations BTU'!U193</f>
        <v>0</v>
      </c>
      <c r="N10">
        <f>'Calculations BTU'!V193</f>
        <v>0</v>
      </c>
      <c r="O10">
        <f>'Calculations BTU'!W193</f>
        <v>0</v>
      </c>
      <c r="P10">
        <f>'Calculations BTU'!X193</f>
        <v>0</v>
      </c>
      <c r="Q10">
        <f>'Calculations BTU'!Y193</f>
        <v>0</v>
      </c>
      <c r="R10">
        <f>'Calculations BTU'!Z193</f>
        <v>0</v>
      </c>
      <c r="S10">
        <f>'Calculations BTU'!AA193</f>
        <v>0</v>
      </c>
      <c r="T10">
        <f>'Calculations BTU'!AB193</f>
        <v>0</v>
      </c>
      <c r="U10">
        <f>'Calculations BTU'!AC193</f>
        <v>0</v>
      </c>
      <c r="V10">
        <f>'Calculations BTU'!AD193</f>
        <v>0</v>
      </c>
      <c r="W10">
        <f>'Calculations BTU'!AE193</f>
        <v>0</v>
      </c>
      <c r="X10">
        <f>'Calculations BTU'!AF193</f>
        <v>0</v>
      </c>
      <c r="Y10">
        <f>'Calculations BTU'!AG193</f>
        <v>0</v>
      </c>
      <c r="Z10">
        <f>'Calculations BTU'!AH193</f>
        <v>0</v>
      </c>
      <c r="AA10">
        <f>'Calculations BTU'!AI193</f>
        <v>0</v>
      </c>
      <c r="AB10">
        <f>'Calculations BTU'!AJ193</f>
        <v>0</v>
      </c>
      <c r="AC10">
        <f>'Calculations BTU'!AK193</f>
        <v>0</v>
      </c>
      <c r="AD10">
        <f>'Calculations BTU'!AL193</f>
        <v>0</v>
      </c>
      <c r="AE10">
        <f>'Calculations BTU'!AM193</f>
        <v>0</v>
      </c>
      <c r="AF10">
        <f>'Calculations BTU'!AN193</f>
        <v>0</v>
      </c>
      <c r="AG10">
        <f>'Calculations BTU'!AO193</f>
        <v>0</v>
      </c>
      <c r="AH10">
        <f>'Calculations BTU'!AP193</f>
        <v>0</v>
      </c>
      <c r="AI10">
        <f>'Calculations BTU'!AQ193</f>
        <v>0</v>
      </c>
      <c r="AJ10">
        <f>'Calculations BTU'!AR193</f>
        <v>0</v>
      </c>
      <c r="AK10">
        <f>'Calculations BTU'!AS193</f>
        <v>0</v>
      </c>
      <c r="AL10">
        <f>'Calculations BTU'!AT193</f>
        <v>0</v>
      </c>
      <c r="AM10">
        <f>'Calculations BTU'!AU193</f>
        <v>0</v>
      </c>
      <c r="AN10">
        <f>'Calculations BTU'!AV193</f>
        <v>0</v>
      </c>
      <c r="AO10">
        <f>'Calculations BTU'!AW193</f>
        <v>0</v>
      </c>
      <c r="AP10">
        <f>'Calculations BTU'!AX193</f>
        <v>0</v>
      </c>
      <c r="AQ10">
        <f>'Calculations BTU'!AY193</f>
        <v>0</v>
      </c>
      <c r="AR10">
        <f>'Calculations BTU'!AZ193</f>
        <v>0</v>
      </c>
      <c r="AS10">
        <f>'Calculations BTU'!BA193</f>
        <v>0</v>
      </c>
      <c r="AT10">
        <f>'Calculations BTU'!BB193</f>
        <v>0</v>
      </c>
      <c r="AU10">
        <f>'Calculations BTU'!BC193</f>
        <v>0</v>
      </c>
      <c r="AV10">
        <f>'Calculations BTU'!BD193</f>
        <v>0</v>
      </c>
      <c r="AW10">
        <f>'Calculations BTU'!BE193</f>
        <v>0</v>
      </c>
      <c r="AX10">
        <f>'Calculations BTU'!BF193</f>
        <v>0</v>
      </c>
      <c r="AY10">
        <f>'Calculations BTU'!BG193</f>
        <v>0</v>
      </c>
      <c r="AZ10">
        <f>'Calculations BTU'!BH193</f>
        <v>0</v>
      </c>
    </row>
    <row r="11" spans="1:52">
      <c r="A11" t="s">
        <v>135</v>
      </c>
      <c r="B11">
        <f>'Calculations BTU'!J194</f>
        <v>644549653896.18469</v>
      </c>
      <c r="C11">
        <f>'Calculations BTU'!K194</f>
        <v>530805597326.26978</v>
      </c>
      <c r="D11">
        <f>'Calculations BTU'!L194</f>
        <v>559241611468.74841</v>
      </c>
      <c r="E11">
        <f>'Calculations BTU'!M194</f>
        <v>568720282849.57471</v>
      </c>
      <c r="F11">
        <f>'Calculations BTU'!N194</f>
        <v>568720282849.57471</v>
      </c>
      <c r="G11">
        <f>'Calculations BTU'!O194</f>
        <v>568720282849.57471</v>
      </c>
      <c r="H11">
        <f>'Calculations BTU'!P194</f>
        <v>578198954230.40088</v>
      </c>
      <c r="I11">
        <f>'Calculations BTU'!Q194</f>
        <v>578198954230.40088</v>
      </c>
      <c r="J11">
        <f>'Calculations BTU'!R194</f>
        <v>578198954230.40088</v>
      </c>
      <c r="K11">
        <f>'Calculations BTU'!S194</f>
        <v>587677625611.22717</v>
      </c>
      <c r="L11">
        <f>'Calculations BTU'!T194</f>
        <v>587677625611.22717</v>
      </c>
      <c r="M11">
        <f>'Calculations BTU'!U194</f>
        <v>587677625611.22717</v>
      </c>
      <c r="N11">
        <f>'Calculations BTU'!V194</f>
        <v>597156296992.05347</v>
      </c>
      <c r="O11">
        <f>'Calculations BTU'!W194</f>
        <v>597156296992.05347</v>
      </c>
      <c r="P11">
        <f>'Calculations BTU'!X194</f>
        <v>597156296992.05347</v>
      </c>
      <c r="Q11">
        <f>'Calculations BTU'!Y194</f>
        <v>606634968372.87976</v>
      </c>
      <c r="R11">
        <f>'Calculations BTU'!Z194</f>
        <v>606634968372.87976</v>
      </c>
      <c r="S11">
        <f>'Calculations BTU'!AA194</f>
        <v>606634968372.87976</v>
      </c>
      <c r="T11">
        <f>'Calculations BTU'!AB194</f>
        <v>616113639753.70593</v>
      </c>
      <c r="U11">
        <f>'Calculations BTU'!AC194</f>
        <v>616113639753.70593</v>
      </c>
      <c r="V11">
        <f>'Calculations BTU'!AD194</f>
        <v>616113639753.70593</v>
      </c>
      <c r="W11">
        <f>'Calculations BTU'!AE194</f>
        <v>616113639753.70593</v>
      </c>
      <c r="X11">
        <f>'Calculations BTU'!AF194</f>
        <v>625592311134.53223</v>
      </c>
      <c r="Y11">
        <f>'Calculations BTU'!AG194</f>
        <v>625592311134.53223</v>
      </c>
      <c r="Z11">
        <f>'Calculations BTU'!AH194</f>
        <v>625592311134.53223</v>
      </c>
      <c r="AA11">
        <f>'Calculations BTU'!AI194</f>
        <v>635070982515.35852</v>
      </c>
      <c r="AB11">
        <f>'Calculations BTU'!AJ194</f>
        <v>635070982515.35852</v>
      </c>
      <c r="AC11">
        <f>'Calculations BTU'!AK194</f>
        <v>635070982515.35852</v>
      </c>
      <c r="AD11">
        <f>'Calculations BTU'!AL194</f>
        <v>644549653896.18469</v>
      </c>
      <c r="AE11">
        <f>'Calculations BTU'!AM194</f>
        <v>644549653896.18469</v>
      </c>
      <c r="AF11">
        <f>'Calculations BTU'!AN194</f>
        <v>644549653896.18469</v>
      </c>
      <c r="AG11">
        <f>'Calculations BTU'!AO194</f>
        <v>644549653896.18469</v>
      </c>
      <c r="AH11">
        <f>'Calculations BTU'!AP194</f>
        <v>644549653896.18469</v>
      </c>
      <c r="AI11">
        <f>'Calculations BTU'!AQ194</f>
        <v>644549653896.18469</v>
      </c>
      <c r="AJ11">
        <f>'Calculations BTU'!AR194</f>
        <v>644549653896.18469</v>
      </c>
      <c r="AK11">
        <f>'Calculations BTU'!AS194</f>
        <v>644549653896.18469</v>
      </c>
      <c r="AL11">
        <f>'Calculations BTU'!AT194</f>
        <v>644549653896.18469</v>
      </c>
      <c r="AM11">
        <f>'Calculations BTU'!AU194</f>
        <v>644549653896.18469</v>
      </c>
      <c r="AN11">
        <f>'Calculations BTU'!AV194</f>
        <v>644549653896.18469</v>
      </c>
      <c r="AO11">
        <f>'Calculations BTU'!AW194</f>
        <v>644549653896.18469</v>
      </c>
      <c r="AP11">
        <f>'Calculations BTU'!AX194</f>
        <v>644549653896.18469</v>
      </c>
      <c r="AQ11">
        <f>'Calculations BTU'!AY194</f>
        <v>644549653896.18469</v>
      </c>
      <c r="AR11">
        <f>'Calculations BTU'!AZ194</f>
        <v>644549653896.18469</v>
      </c>
      <c r="AS11">
        <f>'Calculations BTU'!BA194</f>
        <v>644549653896.18469</v>
      </c>
      <c r="AT11">
        <f>'Calculations BTU'!BB194</f>
        <v>644549653896.18469</v>
      </c>
      <c r="AU11">
        <f>'Calculations BTU'!BC194</f>
        <v>644549653896.18469</v>
      </c>
      <c r="AV11">
        <f>'Calculations BTU'!BD194</f>
        <v>644549653896.18469</v>
      </c>
      <c r="AW11">
        <f>'Calculations BTU'!BE194</f>
        <v>644549653896.18469</v>
      </c>
      <c r="AX11">
        <f>'Calculations BTU'!BF194</f>
        <v>644549653896.18469</v>
      </c>
      <c r="AY11">
        <f>'Calculations BTU'!BG194</f>
        <v>644549653896.18469</v>
      </c>
      <c r="AZ11">
        <f>'Calculations BTU'!BH194</f>
        <v>644549653896.18469</v>
      </c>
    </row>
    <row r="12" spans="1:52">
      <c r="A12" t="s">
        <v>136</v>
      </c>
      <c r="B12">
        <f>'Calculations BTU'!J195</f>
        <v>28436014142.478733</v>
      </c>
      <c r="C12">
        <f>'Calculations BTU'!K195</f>
        <v>18957342761.652493</v>
      </c>
      <c r="D12">
        <f>'Calculations BTU'!L195</f>
        <v>18957342761.652493</v>
      </c>
      <c r="E12">
        <f>'Calculations BTU'!M195</f>
        <v>18957342761.652493</v>
      </c>
      <c r="F12">
        <f>'Calculations BTU'!N195</f>
        <v>18957342761.652493</v>
      </c>
      <c r="G12">
        <f>'Calculations BTU'!O195</f>
        <v>18957342761.652493</v>
      </c>
      <c r="H12">
        <f>'Calculations BTU'!P195</f>
        <v>18957342761.652493</v>
      </c>
      <c r="I12">
        <f>'Calculations BTU'!Q195</f>
        <v>18957342761.652493</v>
      </c>
      <c r="J12">
        <f>'Calculations BTU'!R195</f>
        <v>18957342761.652493</v>
      </c>
      <c r="K12">
        <f>'Calculations BTU'!S195</f>
        <v>18957342761.652493</v>
      </c>
      <c r="L12">
        <f>'Calculations BTU'!T195</f>
        <v>18957342761.652493</v>
      </c>
      <c r="M12">
        <f>'Calculations BTU'!U195</f>
        <v>18957342761.652493</v>
      </c>
      <c r="N12">
        <f>'Calculations BTU'!V195</f>
        <v>18957342761.652493</v>
      </c>
      <c r="O12">
        <f>'Calculations BTU'!W195</f>
        <v>18957342761.652493</v>
      </c>
      <c r="P12">
        <f>'Calculations BTU'!X195</f>
        <v>18957342761.652493</v>
      </c>
      <c r="Q12">
        <f>'Calculations BTU'!Y195</f>
        <v>28436014142.478733</v>
      </c>
      <c r="R12">
        <f>'Calculations BTU'!Z195</f>
        <v>28436014142.478733</v>
      </c>
      <c r="S12">
        <f>'Calculations BTU'!AA195</f>
        <v>28436014142.478733</v>
      </c>
      <c r="T12">
        <f>'Calculations BTU'!AB195</f>
        <v>28436014142.478733</v>
      </c>
      <c r="U12">
        <f>'Calculations BTU'!AC195</f>
        <v>28436014142.478733</v>
      </c>
      <c r="V12">
        <f>'Calculations BTU'!AD195</f>
        <v>28436014142.478733</v>
      </c>
      <c r="W12">
        <f>'Calculations BTU'!AE195</f>
        <v>28436014142.478733</v>
      </c>
      <c r="X12">
        <f>'Calculations BTU'!AF195</f>
        <v>28436014142.478733</v>
      </c>
      <c r="Y12">
        <f>'Calculations BTU'!AG195</f>
        <v>28436014142.478733</v>
      </c>
      <c r="Z12">
        <f>'Calculations BTU'!AH195</f>
        <v>28436014142.478733</v>
      </c>
      <c r="AA12">
        <f>'Calculations BTU'!AI195</f>
        <v>28436014142.478733</v>
      </c>
      <c r="AB12">
        <f>'Calculations BTU'!AJ195</f>
        <v>28436014142.478733</v>
      </c>
      <c r="AC12">
        <f>'Calculations BTU'!AK195</f>
        <v>28436014142.478733</v>
      </c>
      <c r="AD12">
        <f>'Calculations BTU'!AL195</f>
        <v>28436014142.478733</v>
      </c>
      <c r="AE12">
        <f>'Calculations BTU'!AM195</f>
        <v>28436014142.478733</v>
      </c>
      <c r="AF12">
        <f>'Calculations BTU'!AN195</f>
        <v>28436014142.478733</v>
      </c>
      <c r="AG12">
        <f>'Calculations BTU'!AO195</f>
        <v>28436014142.478733</v>
      </c>
      <c r="AH12">
        <f>'Calculations BTU'!AP195</f>
        <v>28436014142.478733</v>
      </c>
      <c r="AI12">
        <f>'Calculations BTU'!AQ195</f>
        <v>28436014142.478733</v>
      </c>
      <c r="AJ12">
        <f>'Calculations BTU'!AR195</f>
        <v>28436014142.478733</v>
      </c>
      <c r="AK12">
        <f>'Calculations BTU'!AS195</f>
        <v>28436014142.478733</v>
      </c>
      <c r="AL12">
        <f>'Calculations BTU'!AT195</f>
        <v>28436014142.478733</v>
      </c>
      <c r="AM12">
        <f>'Calculations BTU'!AU195</f>
        <v>28436014142.478733</v>
      </c>
      <c r="AN12">
        <f>'Calculations BTU'!AV195</f>
        <v>28436014142.478733</v>
      </c>
      <c r="AO12">
        <f>'Calculations BTU'!AW195</f>
        <v>28436014142.478733</v>
      </c>
      <c r="AP12">
        <f>'Calculations BTU'!AX195</f>
        <v>28436014142.478733</v>
      </c>
      <c r="AQ12">
        <f>'Calculations BTU'!AY195</f>
        <v>28436014142.478733</v>
      </c>
      <c r="AR12">
        <f>'Calculations BTU'!AZ195</f>
        <v>28436014142.478733</v>
      </c>
      <c r="AS12">
        <f>'Calculations BTU'!BA195</f>
        <v>28436014142.478733</v>
      </c>
      <c r="AT12">
        <f>'Calculations BTU'!BB195</f>
        <v>28436014142.478733</v>
      </c>
      <c r="AU12">
        <f>'Calculations BTU'!BC195</f>
        <v>28436014142.478733</v>
      </c>
      <c r="AV12">
        <f>'Calculations BTU'!BD195</f>
        <v>28436014142.478733</v>
      </c>
      <c r="AW12">
        <f>'Calculations BTU'!BE195</f>
        <v>28436014142.478733</v>
      </c>
      <c r="AX12">
        <f>'Calculations BTU'!BF195</f>
        <v>28436014142.478733</v>
      </c>
      <c r="AY12">
        <f>'Calculations BTU'!BG195</f>
        <v>28436014142.478733</v>
      </c>
      <c r="AZ12">
        <f>'Calculations BTU'!BH195</f>
        <v>28436014142.478733</v>
      </c>
    </row>
    <row r="13" spans="1:52">
      <c r="A13" t="s">
        <v>137</v>
      </c>
      <c r="B13">
        <f>'Calculations BTU'!J196</f>
        <v>142180070712.39368</v>
      </c>
      <c r="C13">
        <f>'Calculations BTU'!K196</f>
        <v>113744056569.91493</v>
      </c>
      <c r="D13">
        <f>'Calculations BTU'!L196</f>
        <v>123222727950.7412</v>
      </c>
      <c r="E13">
        <f>'Calculations BTU'!M196</f>
        <v>123222727950.7412</v>
      </c>
      <c r="F13">
        <f>'Calculations BTU'!N196</f>
        <v>123222727950.7412</v>
      </c>
      <c r="G13">
        <f>'Calculations BTU'!O196</f>
        <v>123222727950.7412</v>
      </c>
      <c r="H13">
        <f>'Calculations BTU'!P196</f>
        <v>123222727950.7412</v>
      </c>
      <c r="I13">
        <f>'Calculations BTU'!Q196</f>
        <v>123222727950.7412</v>
      </c>
      <c r="J13">
        <f>'Calculations BTU'!R196</f>
        <v>123222727950.7412</v>
      </c>
      <c r="K13">
        <f>'Calculations BTU'!S196</f>
        <v>123222727950.7412</v>
      </c>
      <c r="L13">
        <f>'Calculations BTU'!T196</f>
        <v>123222727950.7412</v>
      </c>
      <c r="M13">
        <f>'Calculations BTU'!U196</f>
        <v>123222727950.7412</v>
      </c>
      <c r="N13">
        <f>'Calculations BTU'!V196</f>
        <v>123222727950.7412</v>
      </c>
      <c r="O13">
        <f>'Calculations BTU'!W196</f>
        <v>123222727950.7412</v>
      </c>
      <c r="P13">
        <f>'Calculations BTU'!X196</f>
        <v>132701399331.56744</v>
      </c>
      <c r="Q13">
        <f>'Calculations BTU'!Y196</f>
        <v>132701399331.56744</v>
      </c>
      <c r="R13">
        <f>'Calculations BTU'!Z196</f>
        <v>132701399331.56744</v>
      </c>
      <c r="S13">
        <f>'Calculations BTU'!AA196</f>
        <v>132701399331.56744</v>
      </c>
      <c r="T13">
        <f>'Calculations BTU'!AB196</f>
        <v>132701399331.56744</v>
      </c>
      <c r="U13">
        <f>'Calculations BTU'!AC196</f>
        <v>132701399331.56744</v>
      </c>
      <c r="V13">
        <f>'Calculations BTU'!AD196</f>
        <v>132701399331.56744</v>
      </c>
      <c r="W13">
        <f>'Calculations BTU'!AE196</f>
        <v>132701399331.56744</v>
      </c>
      <c r="X13">
        <f>'Calculations BTU'!AF196</f>
        <v>132701399331.56744</v>
      </c>
      <c r="Y13">
        <f>'Calculations BTU'!AG196</f>
        <v>132701399331.56744</v>
      </c>
      <c r="Z13">
        <f>'Calculations BTU'!AH196</f>
        <v>132701399331.56744</v>
      </c>
      <c r="AA13">
        <f>'Calculations BTU'!AI196</f>
        <v>132701399331.56744</v>
      </c>
      <c r="AB13">
        <f>'Calculations BTU'!AJ196</f>
        <v>132701399331.56744</v>
      </c>
      <c r="AC13">
        <f>'Calculations BTU'!AK196</f>
        <v>132701399331.56744</v>
      </c>
      <c r="AD13">
        <f>'Calculations BTU'!AL196</f>
        <v>132701399331.56744</v>
      </c>
      <c r="AE13">
        <f>'Calculations BTU'!AM196</f>
        <v>142180070712.39368</v>
      </c>
      <c r="AF13">
        <f>'Calculations BTU'!AN196</f>
        <v>142180070712.39368</v>
      </c>
      <c r="AG13">
        <f>'Calculations BTU'!AO196</f>
        <v>142180070712.39368</v>
      </c>
      <c r="AH13">
        <f>'Calculations BTU'!AP196</f>
        <v>142180070712.39368</v>
      </c>
      <c r="AI13">
        <f>'Calculations BTU'!AQ196</f>
        <v>142180070712.39368</v>
      </c>
      <c r="AJ13">
        <f>'Calculations BTU'!AR196</f>
        <v>142180070712.39368</v>
      </c>
      <c r="AK13">
        <f>'Calculations BTU'!AS196</f>
        <v>142180070712.39368</v>
      </c>
      <c r="AL13">
        <f>'Calculations BTU'!AT196</f>
        <v>142180070712.39368</v>
      </c>
      <c r="AM13">
        <f>'Calculations BTU'!AU196</f>
        <v>142180070712.39368</v>
      </c>
      <c r="AN13">
        <f>'Calculations BTU'!AV196</f>
        <v>142180070712.39368</v>
      </c>
      <c r="AO13">
        <f>'Calculations BTU'!AW196</f>
        <v>142180070712.39368</v>
      </c>
      <c r="AP13">
        <f>'Calculations BTU'!AX196</f>
        <v>142180070712.39368</v>
      </c>
      <c r="AQ13">
        <f>'Calculations BTU'!AY196</f>
        <v>142180070712.39368</v>
      </c>
      <c r="AR13">
        <f>'Calculations BTU'!AZ196</f>
        <v>142180070712.39368</v>
      </c>
      <c r="AS13">
        <f>'Calculations BTU'!BA196</f>
        <v>142180070712.39368</v>
      </c>
      <c r="AT13">
        <f>'Calculations BTU'!BB196</f>
        <v>142180070712.39368</v>
      </c>
      <c r="AU13">
        <f>'Calculations BTU'!BC196</f>
        <v>142180070712.39368</v>
      </c>
      <c r="AV13">
        <f>'Calculations BTU'!BD196</f>
        <v>142180070712.39368</v>
      </c>
      <c r="AW13">
        <f>'Calculations BTU'!BE196</f>
        <v>142180070712.39368</v>
      </c>
      <c r="AX13">
        <f>'Calculations BTU'!BF196</f>
        <v>142180070712.39368</v>
      </c>
      <c r="AY13">
        <f>'Calculations BTU'!BG196</f>
        <v>142180070712.39368</v>
      </c>
      <c r="AZ13">
        <f>'Calculations BTU'!BH196</f>
        <v>142180070712.39368</v>
      </c>
    </row>
    <row r="14" spans="1:52">
      <c r="A14" t="s">
        <v>138</v>
      </c>
      <c r="B14">
        <f>'Calculations BTU'!J197</f>
        <v>0</v>
      </c>
      <c r="C14">
        <f>'Calculations BTU'!K197</f>
        <v>0</v>
      </c>
      <c r="D14">
        <f>'Calculations BTU'!L197</f>
        <v>0</v>
      </c>
      <c r="E14">
        <f>'Calculations BTU'!M197</f>
        <v>0</v>
      </c>
      <c r="F14">
        <f>'Calculations BTU'!N197</f>
        <v>0</v>
      </c>
      <c r="G14">
        <f>'Calculations BTU'!O197</f>
        <v>0</v>
      </c>
      <c r="H14">
        <f>'Calculations BTU'!P197</f>
        <v>0</v>
      </c>
      <c r="I14">
        <f>'Calculations BTU'!Q197</f>
        <v>0</v>
      </c>
      <c r="J14">
        <f>'Calculations BTU'!R197</f>
        <v>0</v>
      </c>
      <c r="K14">
        <f>'Calculations BTU'!S197</f>
        <v>0</v>
      </c>
      <c r="L14">
        <f>'Calculations BTU'!T197</f>
        <v>0</v>
      </c>
      <c r="M14">
        <f>'Calculations BTU'!U197</f>
        <v>0</v>
      </c>
      <c r="N14">
        <f>'Calculations BTU'!V197</f>
        <v>0</v>
      </c>
      <c r="O14">
        <f>'Calculations BTU'!W197</f>
        <v>0</v>
      </c>
      <c r="P14">
        <f>'Calculations BTU'!X197</f>
        <v>0</v>
      </c>
      <c r="Q14">
        <f>'Calculations BTU'!Y197</f>
        <v>0</v>
      </c>
      <c r="R14">
        <f>'Calculations BTU'!Z197</f>
        <v>0</v>
      </c>
      <c r="S14">
        <f>'Calculations BTU'!AA197</f>
        <v>0</v>
      </c>
      <c r="T14">
        <f>'Calculations BTU'!AB197</f>
        <v>0</v>
      </c>
      <c r="U14">
        <f>'Calculations BTU'!AC197</f>
        <v>0</v>
      </c>
      <c r="V14">
        <f>'Calculations BTU'!AD197</f>
        <v>0</v>
      </c>
      <c r="W14">
        <f>'Calculations BTU'!AE197</f>
        <v>0</v>
      </c>
      <c r="X14">
        <f>'Calculations BTU'!AF197</f>
        <v>0</v>
      </c>
      <c r="Y14">
        <f>'Calculations BTU'!AG197</f>
        <v>0</v>
      </c>
      <c r="Z14">
        <f>'Calculations BTU'!AH197</f>
        <v>0</v>
      </c>
      <c r="AA14">
        <f>'Calculations BTU'!AI197</f>
        <v>0</v>
      </c>
      <c r="AB14">
        <f>'Calculations BTU'!AJ197</f>
        <v>0</v>
      </c>
      <c r="AC14">
        <f>'Calculations BTU'!AK197</f>
        <v>0</v>
      </c>
      <c r="AD14">
        <f>'Calculations BTU'!AL197</f>
        <v>0</v>
      </c>
      <c r="AE14">
        <f>'Calculations BTU'!AM197</f>
        <v>0</v>
      </c>
      <c r="AF14">
        <f>'Calculations BTU'!AN197</f>
        <v>0</v>
      </c>
      <c r="AG14">
        <f>'Calculations BTU'!AO197</f>
        <v>0</v>
      </c>
      <c r="AH14">
        <f>'Calculations BTU'!AP197</f>
        <v>0</v>
      </c>
      <c r="AI14">
        <f>'Calculations BTU'!AQ197</f>
        <v>0</v>
      </c>
      <c r="AJ14">
        <f>'Calculations BTU'!AR197</f>
        <v>0</v>
      </c>
      <c r="AK14">
        <f>'Calculations BTU'!AS197</f>
        <v>0</v>
      </c>
      <c r="AL14">
        <f>'Calculations BTU'!AT197</f>
        <v>0</v>
      </c>
      <c r="AM14">
        <f>'Calculations BTU'!AU197</f>
        <v>0</v>
      </c>
      <c r="AN14">
        <f>'Calculations BTU'!AV197</f>
        <v>0</v>
      </c>
      <c r="AO14">
        <f>'Calculations BTU'!AW197</f>
        <v>0</v>
      </c>
      <c r="AP14">
        <f>'Calculations BTU'!AX197</f>
        <v>0</v>
      </c>
      <c r="AQ14">
        <f>'Calculations BTU'!AY197</f>
        <v>0</v>
      </c>
      <c r="AR14">
        <f>'Calculations BTU'!AZ197</f>
        <v>0</v>
      </c>
      <c r="AS14">
        <f>'Calculations BTU'!BA197</f>
        <v>0</v>
      </c>
      <c r="AT14">
        <f>'Calculations BTU'!BB197</f>
        <v>0</v>
      </c>
      <c r="AU14">
        <f>'Calculations BTU'!BC197</f>
        <v>0</v>
      </c>
      <c r="AV14">
        <f>'Calculations BTU'!BD197</f>
        <v>0</v>
      </c>
      <c r="AW14">
        <f>'Calculations BTU'!BE197</f>
        <v>0</v>
      </c>
      <c r="AX14">
        <f>'Calculations BTU'!BF197</f>
        <v>0</v>
      </c>
      <c r="AY14">
        <f>'Calculations BTU'!BG197</f>
        <v>0</v>
      </c>
      <c r="AZ14">
        <f>'Calculations BTU'!BH197</f>
        <v>0</v>
      </c>
    </row>
    <row r="15" spans="1:52">
      <c r="A15" t="s">
        <v>139</v>
      </c>
      <c r="B15">
        <f>'Calculations BTU'!J198</f>
        <v>9478671380.8262463</v>
      </c>
      <c r="C15">
        <f>'Calculations BTU'!K198</f>
        <v>9478671380.8262463</v>
      </c>
      <c r="D15">
        <f>'Calculations BTU'!L198</f>
        <v>9478671380.8262463</v>
      </c>
      <c r="E15">
        <f>'Calculations BTU'!M198</f>
        <v>9478671380.8262463</v>
      </c>
      <c r="F15">
        <f>'Calculations BTU'!N198</f>
        <v>9478671380.8262463</v>
      </c>
      <c r="G15">
        <f>'Calculations BTU'!O198</f>
        <v>9478671380.8262463</v>
      </c>
      <c r="H15">
        <f>'Calculations BTU'!P198</f>
        <v>9478671380.8262463</v>
      </c>
      <c r="I15">
        <f>'Calculations BTU'!Q198</f>
        <v>9478671380.8262463</v>
      </c>
      <c r="J15">
        <f>'Calculations BTU'!R198</f>
        <v>9478671380.8262463</v>
      </c>
      <c r="K15">
        <f>'Calculations BTU'!S198</f>
        <v>9478671380.8262463</v>
      </c>
      <c r="L15">
        <f>'Calculations BTU'!T198</f>
        <v>9478671380.8262463</v>
      </c>
      <c r="M15">
        <f>'Calculations BTU'!U198</f>
        <v>9478671380.8262463</v>
      </c>
      <c r="N15">
        <f>'Calculations BTU'!V198</f>
        <v>9478671380.8262463</v>
      </c>
      <c r="O15">
        <f>'Calculations BTU'!W198</f>
        <v>9478671380.8262463</v>
      </c>
      <c r="P15">
        <f>'Calculations BTU'!X198</f>
        <v>9478671380.8262463</v>
      </c>
      <c r="Q15">
        <f>'Calculations BTU'!Y198</f>
        <v>9478671380.8262463</v>
      </c>
      <c r="R15">
        <f>'Calculations BTU'!Z198</f>
        <v>9478671380.8262463</v>
      </c>
      <c r="S15">
        <f>'Calculations BTU'!AA198</f>
        <v>9478671380.8262463</v>
      </c>
      <c r="T15">
        <f>'Calculations BTU'!AB198</f>
        <v>9478671380.8262463</v>
      </c>
      <c r="U15">
        <f>'Calculations BTU'!AC198</f>
        <v>9478671380.8262463</v>
      </c>
      <c r="V15">
        <f>'Calculations BTU'!AD198</f>
        <v>9478671380.8262463</v>
      </c>
      <c r="W15">
        <f>'Calculations BTU'!AE198</f>
        <v>9478671380.8262463</v>
      </c>
      <c r="X15">
        <f>'Calculations BTU'!AF198</f>
        <v>9478671380.8262463</v>
      </c>
      <c r="Y15">
        <f>'Calculations BTU'!AG198</f>
        <v>9478671380.8262463</v>
      </c>
      <c r="Z15">
        <f>'Calculations BTU'!AH198</f>
        <v>9478671380.8262463</v>
      </c>
      <c r="AA15">
        <f>'Calculations BTU'!AI198</f>
        <v>9478671380.8262463</v>
      </c>
      <c r="AB15">
        <f>'Calculations BTU'!AJ198</f>
        <v>9478671380.8262463</v>
      </c>
      <c r="AC15">
        <f>'Calculations BTU'!AK198</f>
        <v>9478671380.8262463</v>
      </c>
      <c r="AD15">
        <f>'Calculations BTU'!AL198</f>
        <v>9478671380.8262463</v>
      </c>
      <c r="AE15">
        <f>'Calculations BTU'!AM198</f>
        <v>9478671380.8262463</v>
      </c>
      <c r="AF15">
        <f>'Calculations BTU'!AN198</f>
        <v>9478671380.8262463</v>
      </c>
      <c r="AG15">
        <f>'Calculations BTU'!AO198</f>
        <v>9478671380.8262463</v>
      </c>
      <c r="AH15">
        <f>'Calculations BTU'!AP198</f>
        <v>9478671380.8262463</v>
      </c>
      <c r="AI15">
        <f>'Calculations BTU'!AQ198</f>
        <v>9478671380.8262463</v>
      </c>
      <c r="AJ15">
        <f>'Calculations BTU'!AR198</f>
        <v>9478671380.8262463</v>
      </c>
      <c r="AK15">
        <f>'Calculations BTU'!AS198</f>
        <v>9478671380.8262463</v>
      </c>
      <c r="AL15">
        <f>'Calculations BTU'!AT198</f>
        <v>9478671380.8262463</v>
      </c>
      <c r="AM15">
        <f>'Calculations BTU'!AU198</f>
        <v>9478671380.8262463</v>
      </c>
      <c r="AN15">
        <f>'Calculations BTU'!AV198</f>
        <v>9478671380.8262463</v>
      </c>
      <c r="AO15">
        <f>'Calculations BTU'!AW198</f>
        <v>9478671380.8262463</v>
      </c>
      <c r="AP15">
        <f>'Calculations BTU'!AX198</f>
        <v>9478671380.8262463</v>
      </c>
      <c r="AQ15">
        <f>'Calculations BTU'!AY198</f>
        <v>9478671380.8262463</v>
      </c>
      <c r="AR15">
        <f>'Calculations BTU'!AZ198</f>
        <v>9478671380.8262463</v>
      </c>
      <c r="AS15">
        <f>'Calculations BTU'!BA198</f>
        <v>9478671380.8262463</v>
      </c>
      <c r="AT15">
        <f>'Calculations BTU'!BB198</f>
        <v>9478671380.8262463</v>
      </c>
      <c r="AU15">
        <f>'Calculations BTU'!BC198</f>
        <v>9478671380.8262463</v>
      </c>
      <c r="AV15">
        <f>'Calculations BTU'!BD198</f>
        <v>9478671380.8262463</v>
      </c>
      <c r="AW15">
        <f>'Calculations BTU'!BE198</f>
        <v>9478671380.8262463</v>
      </c>
      <c r="AX15">
        <f>'Calculations BTU'!BF198</f>
        <v>9478671380.8262463</v>
      </c>
      <c r="AY15">
        <f>'Calculations BTU'!BG198</f>
        <v>9478671380.8262463</v>
      </c>
      <c r="AZ15">
        <f>'Calculations BTU'!BH198</f>
        <v>9478671380.8262463</v>
      </c>
    </row>
    <row r="16" spans="1:52">
      <c r="A16" t="s">
        <v>140</v>
      </c>
      <c r="B16">
        <f>'Calculations BTU'!J199</f>
        <v>0</v>
      </c>
      <c r="C16">
        <f>'Calculations BTU'!K199</f>
        <v>0</v>
      </c>
      <c r="D16">
        <f>'Calculations BTU'!L199</f>
        <v>0</v>
      </c>
      <c r="E16">
        <f>'Calculations BTU'!M199</f>
        <v>0</v>
      </c>
      <c r="F16">
        <f>'Calculations BTU'!N199</f>
        <v>0</v>
      </c>
      <c r="G16">
        <f>'Calculations BTU'!O199</f>
        <v>0</v>
      </c>
      <c r="H16">
        <f>'Calculations BTU'!P199</f>
        <v>0</v>
      </c>
      <c r="I16">
        <f>'Calculations BTU'!Q199</f>
        <v>0</v>
      </c>
      <c r="J16">
        <f>'Calculations BTU'!R199</f>
        <v>0</v>
      </c>
      <c r="K16">
        <f>'Calculations BTU'!S199</f>
        <v>0</v>
      </c>
      <c r="L16">
        <f>'Calculations BTU'!T199</f>
        <v>0</v>
      </c>
      <c r="M16">
        <f>'Calculations BTU'!U199</f>
        <v>0</v>
      </c>
      <c r="N16">
        <f>'Calculations BTU'!V199</f>
        <v>0</v>
      </c>
      <c r="O16">
        <f>'Calculations BTU'!W199</f>
        <v>0</v>
      </c>
      <c r="P16">
        <f>'Calculations BTU'!X199</f>
        <v>0</v>
      </c>
      <c r="Q16">
        <f>'Calculations BTU'!Y199</f>
        <v>0</v>
      </c>
      <c r="R16">
        <f>'Calculations BTU'!Z199</f>
        <v>0</v>
      </c>
      <c r="S16">
        <f>'Calculations BTU'!AA199</f>
        <v>0</v>
      </c>
      <c r="T16">
        <f>'Calculations BTU'!AB199</f>
        <v>0</v>
      </c>
      <c r="U16">
        <f>'Calculations BTU'!AC199</f>
        <v>0</v>
      </c>
      <c r="V16">
        <f>'Calculations BTU'!AD199</f>
        <v>0</v>
      </c>
      <c r="W16">
        <f>'Calculations BTU'!AE199</f>
        <v>0</v>
      </c>
      <c r="X16">
        <f>'Calculations BTU'!AF199</f>
        <v>0</v>
      </c>
      <c r="Y16">
        <f>'Calculations BTU'!AG199</f>
        <v>0</v>
      </c>
      <c r="Z16">
        <f>'Calculations BTU'!AH199</f>
        <v>0</v>
      </c>
      <c r="AA16">
        <f>'Calculations BTU'!AI199</f>
        <v>0</v>
      </c>
      <c r="AB16">
        <f>'Calculations BTU'!AJ199</f>
        <v>0</v>
      </c>
      <c r="AC16">
        <f>'Calculations BTU'!AK199</f>
        <v>0</v>
      </c>
      <c r="AD16">
        <f>'Calculations BTU'!AL199</f>
        <v>0</v>
      </c>
      <c r="AE16">
        <f>'Calculations BTU'!AM199</f>
        <v>0</v>
      </c>
      <c r="AF16">
        <f>'Calculations BTU'!AN199</f>
        <v>0</v>
      </c>
      <c r="AG16">
        <f>'Calculations BTU'!AO199</f>
        <v>0</v>
      </c>
      <c r="AH16">
        <f>'Calculations BTU'!AP199</f>
        <v>0</v>
      </c>
      <c r="AI16">
        <f>'Calculations BTU'!AQ199</f>
        <v>0</v>
      </c>
      <c r="AJ16">
        <f>'Calculations BTU'!AR199</f>
        <v>0</v>
      </c>
      <c r="AK16">
        <f>'Calculations BTU'!AS199</f>
        <v>0</v>
      </c>
      <c r="AL16">
        <f>'Calculations BTU'!AT199</f>
        <v>0</v>
      </c>
      <c r="AM16">
        <f>'Calculations BTU'!AU199</f>
        <v>0</v>
      </c>
      <c r="AN16">
        <f>'Calculations BTU'!AV199</f>
        <v>0</v>
      </c>
      <c r="AO16">
        <f>'Calculations BTU'!AW199</f>
        <v>0</v>
      </c>
      <c r="AP16">
        <f>'Calculations BTU'!AX199</f>
        <v>0</v>
      </c>
      <c r="AQ16">
        <f>'Calculations BTU'!AY199</f>
        <v>0</v>
      </c>
      <c r="AR16">
        <f>'Calculations BTU'!AZ199</f>
        <v>0</v>
      </c>
      <c r="AS16">
        <f>'Calculations BTU'!BA199</f>
        <v>0</v>
      </c>
      <c r="AT16">
        <f>'Calculations BTU'!BB199</f>
        <v>0</v>
      </c>
      <c r="AU16">
        <f>'Calculations BTU'!BC199</f>
        <v>0</v>
      </c>
      <c r="AV16">
        <f>'Calculations BTU'!BD199</f>
        <v>0</v>
      </c>
      <c r="AW16">
        <f>'Calculations BTU'!BE199</f>
        <v>0</v>
      </c>
      <c r="AX16">
        <f>'Calculations BTU'!BF199</f>
        <v>0</v>
      </c>
      <c r="AY16">
        <f>'Calculations BTU'!BG199</f>
        <v>0</v>
      </c>
      <c r="AZ16">
        <f>'Calculations BTU'!BH199</f>
        <v>0</v>
      </c>
    </row>
    <row r="17" spans="1:52">
      <c r="A17" t="s">
        <v>141</v>
      </c>
      <c r="B17">
        <f>'Calculations BTU'!J200</f>
        <v>0</v>
      </c>
      <c r="C17">
        <f>'Calculations BTU'!K200</f>
        <v>0</v>
      </c>
      <c r="D17">
        <f>'Calculations BTU'!L200</f>
        <v>0</v>
      </c>
      <c r="E17">
        <f>'Calculations BTU'!M200</f>
        <v>0</v>
      </c>
      <c r="F17">
        <f>'Calculations BTU'!N200</f>
        <v>0</v>
      </c>
      <c r="G17">
        <f>'Calculations BTU'!O200</f>
        <v>0</v>
      </c>
      <c r="H17">
        <f>'Calculations BTU'!P200</f>
        <v>0</v>
      </c>
      <c r="I17">
        <f>'Calculations BTU'!Q200</f>
        <v>0</v>
      </c>
      <c r="J17">
        <f>'Calculations BTU'!R200</f>
        <v>0</v>
      </c>
      <c r="K17">
        <f>'Calculations BTU'!S200</f>
        <v>0</v>
      </c>
      <c r="L17">
        <f>'Calculations BTU'!T200</f>
        <v>0</v>
      </c>
      <c r="M17">
        <f>'Calculations BTU'!U200</f>
        <v>0</v>
      </c>
      <c r="N17">
        <f>'Calculations BTU'!V200</f>
        <v>0</v>
      </c>
      <c r="O17">
        <f>'Calculations BTU'!W200</f>
        <v>0</v>
      </c>
      <c r="P17">
        <f>'Calculations BTU'!X200</f>
        <v>0</v>
      </c>
      <c r="Q17">
        <f>'Calculations BTU'!Y200</f>
        <v>0</v>
      </c>
      <c r="R17">
        <f>'Calculations BTU'!Z200</f>
        <v>0</v>
      </c>
      <c r="S17">
        <f>'Calculations BTU'!AA200</f>
        <v>0</v>
      </c>
      <c r="T17">
        <f>'Calculations BTU'!AB200</f>
        <v>0</v>
      </c>
      <c r="U17">
        <f>'Calculations BTU'!AC200</f>
        <v>0</v>
      </c>
      <c r="V17">
        <f>'Calculations BTU'!AD200</f>
        <v>0</v>
      </c>
      <c r="W17">
        <f>'Calculations BTU'!AE200</f>
        <v>0</v>
      </c>
      <c r="X17">
        <f>'Calculations BTU'!AF200</f>
        <v>0</v>
      </c>
      <c r="Y17">
        <f>'Calculations BTU'!AG200</f>
        <v>0</v>
      </c>
      <c r="Z17">
        <f>'Calculations BTU'!AH200</f>
        <v>0</v>
      </c>
      <c r="AA17">
        <f>'Calculations BTU'!AI200</f>
        <v>0</v>
      </c>
      <c r="AB17">
        <f>'Calculations BTU'!AJ200</f>
        <v>0</v>
      </c>
      <c r="AC17">
        <f>'Calculations BTU'!AK200</f>
        <v>0</v>
      </c>
      <c r="AD17">
        <f>'Calculations BTU'!AL200</f>
        <v>0</v>
      </c>
      <c r="AE17">
        <f>'Calculations BTU'!AM200</f>
        <v>0</v>
      </c>
      <c r="AF17">
        <f>'Calculations BTU'!AN200</f>
        <v>0</v>
      </c>
      <c r="AG17">
        <f>'Calculations BTU'!AO200</f>
        <v>0</v>
      </c>
      <c r="AH17">
        <f>'Calculations BTU'!AP200</f>
        <v>0</v>
      </c>
      <c r="AI17">
        <f>'Calculations BTU'!AQ200</f>
        <v>0</v>
      </c>
      <c r="AJ17">
        <f>'Calculations BTU'!AR200</f>
        <v>0</v>
      </c>
      <c r="AK17">
        <f>'Calculations BTU'!AS200</f>
        <v>0</v>
      </c>
      <c r="AL17">
        <f>'Calculations BTU'!AT200</f>
        <v>0</v>
      </c>
      <c r="AM17">
        <f>'Calculations BTU'!AU200</f>
        <v>0</v>
      </c>
      <c r="AN17">
        <f>'Calculations BTU'!AV200</f>
        <v>0</v>
      </c>
      <c r="AO17">
        <f>'Calculations BTU'!AW200</f>
        <v>0</v>
      </c>
      <c r="AP17">
        <f>'Calculations BTU'!AX200</f>
        <v>0</v>
      </c>
      <c r="AQ17">
        <f>'Calculations BTU'!AY200</f>
        <v>0</v>
      </c>
      <c r="AR17">
        <f>'Calculations BTU'!AZ200</f>
        <v>0</v>
      </c>
      <c r="AS17">
        <f>'Calculations BTU'!BA200</f>
        <v>0</v>
      </c>
      <c r="AT17">
        <f>'Calculations BTU'!BB200</f>
        <v>0</v>
      </c>
      <c r="AU17">
        <f>'Calculations BTU'!BC200</f>
        <v>0</v>
      </c>
      <c r="AV17">
        <f>'Calculations BTU'!BD200</f>
        <v>0</v>
      </c>
      <c r="AW17">
        <f>'Calculations BTU'!BE200</f>
        <v>0</v>
      </c>
      <c r="AX17">
        <f>'Calculations BTU'!BF200</f>
        <v>0</v>
      </c>
      <c r="AY17">
        <f>'Calculations BTU'!BG200</f>
        <v>0</v>
      </c>
      <c r="AZ17">
        <f>'Calculations BTU'!BH200</f>
        <v>0</v>
      </c>
    </row>
    <row r="18" spans="1:52">
      <c r="A18" t="s">
        <v>142</v>
      </c>
      <c r="B18">
        <f>'Calculations BTU'!J201</f>
        <v>0</v>
      </c>
      <c r="C18">
        <f>'Calculations BTU'!K201</f>
        <v>0</v>
      </c>
      <c r="D18">
        <f>'Calculations BTU'!L201</f>
        <v>0</v>
      </c>
      <c r="E18">
        <f>'Calculations BTU'!M201</f>
        <v>0</v>
      </c>
      <c r="F18">
        <f>'Calculations BTU'!N201</f>
        <v>0</v>
      </c>
      <c r="G18">
        <f>'Calculations BTU'!O201</f>
        <v>0</v>
      </c>
      <c r="H18">
        <f>'Calculations BTU'!P201</f>
        <v>0</v>
      </c>
      <c r="I18">
        <f>'Calculations BTU'!Q201</f>
        <v>0</v>
      </c>
      <c r="J18">
        <f>'Calculations BTU'!R201</f>
        <v>0</v>
      </c>
      <c r="K18">
        <f>'Calculations BTU'!S201</f>
        <v>0</v>
      </c>
      <c r="L18">
        <f>'Calculations BTU'!T201</f>
        <v>0</v>
      </c>
      <c r="M18">
        <f>'Calculations BTU'!U201</f>
        <v>0</v>
      </c>
      <c r="N18">
        <f>'Calculations BTU'!V201</f>
        <v>0</v>
      </c>
      <c r="O18">
        <f>'Calculations BTU'!W201</f>
        <v>0</v>
      </c>
      <c r="P18">
        <f>'Calculations BTU'!X201</f>
        <v>0</v>
      </c>
      <c r="Q18">
        <f>'Calculations BTU'!Y201</f>
        <v>0</v>
      </c>
      <c r="R18">
        <f>'Calculations BTU'!Z201</f>
        <v>0</v>
      </c>
      <c r="S18">
        <f>'Calculations BTU'!AA201</f>
        <v>0</v>
      </c>
      <c r="T18">
        <f>'Calculations BTU'!AB201</f>
        <v>0</v>
      </c>
      <c r="U18">
        <f>'Calculations BTU'!AC201</f>
        <v>0</v>
      </c>
      <c r="V18">
        <f>'Calculations BTU'!AD201</f>
        <v>0</v>
      </c>
      <c r="W18">
        <f>'Calculations BTU'!AE201</f>
        <v>0</v>
      </c>
      <c r="X18">
        <f>'Calculations BTU'!AF201</f>
        <v>0</v>
      </c>
      <c r="Y18">
        <f>'Calculations BTU'!AG201</f>
        <v>0</v>
      </c>
      <c r="Z18">
        <f>'Calculations BTU'!AH201</f>
        <v>0</v>
      </c>
      <c r="AA18">
        <f>'Calculations BTU'!AI201</f>
        <v>0</v>
      </c>
      <c r="AB18">
        <f>'Calculations BTU'!AJ201</f>
        <v>0</v>
      </c>
      <c r="AC18">
        <f>'Calculations BTU'!AK201</f>
        <v>0</v>
      </c>
      <c r="AD18">
        <f>'Calculations BTU'!AL201</f>
        <v>0</v>
      </c>
      <c r="AE18">
        <f>'Calculations BTU'!AM201</f>
        <v>0</v>
      </c>
      <c r="AF18">
        <f>'Calculations BTU'!AN201</f>
        <v>0</v>
      </c>
      <c r="AG18">
        <f>'Calculations BTU'!AO201</f>
        <v>0</v>
      </c>
      <c r="AH18">
        <f>'Calculations BTU'!AP201</f>
        <v>0</v>
      </c>
      <c r="AI18">
        <f>'Calculations BTU'!AQ201</f>
        <v>0</v>
      </c>
      <c r="AJ18">
        <f>'Calculations BTU'!AR201</f>
        <v>0</v>
      </c>
      <c r="AK18">
        <f>'Calculations BTU'!AS201</f>
        <v>0</v>
      </c>
      <c r="AL18">
        <f>'Calculations BTU'!AT201</f>
        <v>0</v>
      </c>
      <c r="AM18">
        <f>'Calculations BTU'!AU201</f>
        <v>0</v>
      </c>
      <c r="AN18">
        <f>'Calculations BTU'!AV201</f>
        <v>0</v>
      </c>
      <c r="AO18">
        <f>'Calculations BTU'!AW201</f>
        <v>0</v>
      </c>
      <c r="AP18">
        <f>'Calculations BTU'!AX201</f>
        <v>0</v>
      </c>
      <c r="AQ18">
        <f>'Calculations BTU'!AY201</f>
        <v>0</v>
      </c>
      <c r="AR18">
        <f>'Calculations BTU'!AZ201</f>
        <v>0</v>
      </c>
      <c r="AS18">
        <f>'Calculations BTU'!BA201</f>
        <v>0</v>
      </c>
      <c r="AT18">
        <f>'Calculations BTU'!BB201</f>
        <v>0</v>
      </c>
      <c r="AU18">
        <f>'Calculations BTU'!BC201</f>
        <v>0</v>
      </c>
      <c r="AV18">
        <f>'Calculations BTU'!BD201</f>
        <v>0</v>
      </c>
      <c r="AW18">
        <f>'Calculations BTU'!BE201</f>
        <v>0</v>
      </c>
      <c r="AX18">
        <f>'Calculations BTU'!BF201</f>
        <v>0</v>
      </c>
      <c r="AY18">
        <f>'Calculations BTU'!BG201</f>
        <v>0</v>
      </c>
      <c r="AZ18">
        <f>'Calculations BTU'!BH201</f>
        <v>0</v>
      </c>
    </row>
    <row r="19" spans="1:52">
      <c r="A19" t="s">
        <v>143</v>
      </c>
      <c r="B19">
        <f>'Calculations BTU'!J202</f>
        <v>47393356904.131226</v>
      </c>
      <c r="C19">
        <f>'Calculations BTU'!K202</f>
        <v>47393356904.131226</v>
      </c>
      <c r="D19">
        <f>'Calculations BTU'!L202</f>
        <v>47393356904.131226</v>
      </c>
      <c r="E19">
        <f>'Calculations BTU'!M202</f>
        <v>47393356904.131226</v>
      </c>
      <c r="F19">
        <f>'Calculations BTU'!N202</f>
        <v>47443424165.724846</v>
      </c>
      <c r="G19">
        <f>'Calculations BTU'!O202</f>
        <v>47492709126.356064</v>
      </c>
      <c r="H19">
        <f>'Calculations BTU'!P202</f>
        <v>47543558688.912079</v>
      </c>
      <c r="I19">
        <f>'Calculations BTU'!Q202</f>
        <v>47593625950.505692</v>
      </c>
      <c r="J19">
        <f>'Calculations BTU'!R202</f>
        <v>47642910911.136902</v>
      </c>
      <c r="K19">
        <f>'Calculations BTU'!S202</f>
        <v>47693760473.692932</v>
      </c>
      <c r="L19">
        <f>'Calculations BTU'!T202</f>
        <v>47743045434.324142</v>
      </c>
      <c r="M19">
        <f>'Calculations BTU'!U202</f>
        <v>47792330394.95536</v>
      </c>
      <c r="N19">
        <f>'Calculations BTU'!V202</f>
        <v>47843962258.473778</v>
      </c>
      <c r="O19">
        <f>'Calculations BTU'!W202</f>
        <v>47893247219.104996</v>
      </c>
      <c r="P19">
        <f>'Calculations BTU'!X202</f>
        <v>47757909152.609749</v>
      </c>
      <c r="Q19">
        <f>'Calculations BTU'!Y202</f>
        <v>47372234778.146423</v>
      </c>
      <c r="R19">
        <f>'Calculations BTU'!Z202</f>
        <v>46985778102.720711</v>
      </c>
      <c r="S19">
        <f>'Calculations BTU'!AA202</f>
        <v>46600886029.219795</v>
      </c>
      <c r="T19">
        <f>'Calculations BTU'!AB202</f>
        <v>46215211654.756477</v>
      </c>
      <c r="U19">
        <f>'Calculations BTU'!AC202</f>
        <v>45827972678.368362</v>
      </c>
      <c r="V19">
        <f>'Calculations BTU'!AD202</f>
        <v>45443862905.829842</v>
      </c>
      <c r="W19">
        <f>'Calculations BTU'!AE202</f>
        <v>45058188531.366524</v>
      </c>
      <c r="X19">
        <f>'Calculations BTU'!AF202</f>
        <v>44671731855.940796</v>
      </c>
      <c r="Y19">
        <f>'Calculations BTU'!AG202</f>
        <v>44286057481.477486</v>
      </c>
      <c r="Z19">
        <f>'Calculations BTU'!AH202</f>
        <v>43901165407.976563</v>
      </c>
      <c r="AA19">
        <f>'Calculations BTU'!AI202</f>
        <v>43514708732.55085</v>
      </c>
      <c r="AB19">
        <f>'Calculations BTU'!AJ202</f>
        <v>43129034358.087524</v>
      </c>
      <c r="AC19">
        <f>'Calculations BTU'!AK202</f>
        <v>42743359983.624207</v>
      </c>
      <c r="AD19">
        <f>'Calculations BTU'!AL202</f>
        <v>42358467910.123291</v>
      </c>
      <c r="AE19">
        <f>'Calculations BTU'!AM202</f>
        <v>41968099729.885574</v>
      </c>
      <c r="AF19">
        <f>'Calculations BTU'!AN202</f>
        <v>41578513850.61026</v>
      </c>
      <c r="AG19">
        <f>'Calculations BTU'!AO202</f>
        <v>41578513850.61026</v>
      </c>
      <c r="AH19">
        <f>'Calculations BTU'!AP202</f>
        <v>41578513850.61026</v>
      </c>
      <c r="AI19">
        <f>'Calculations BTU'!AQ202</f>
        <v>41578513850.61026</v>
      </c>
      <c r="AJ19">
        <f>'Calculations BTU'!AR202</f>
        <v>41578513850.61026</v>
      </c>
      <c r="AK19">
        <f>'Calculations BTU'!AS202</f>
        <v>41578513850.61026</v>
      </c>
      <c r="AL19">
        <f>'Calculations BTU'!AT202</f>
        <v>41578513850.61026</v>
      </c>
      <c r="AM19">
        <f>'Calculations BTU'!AU202</f>
        <v>41578513850.61026</v>
      </c>
      <c r="AN19">
        <f>'Calculations BTU'!AV202</f>
        <v>41578513850.61026</v>
      </c>
      <c r="AO19">
        <f>'Calculations BTU'!AW202</f>
        <v>41578513850.61026</v>
      </c>
      <c r="AP19">
        <f>'Calculations BTU'!AX202</f>
        <v>41578513850.61026</v>
      </c>
      <c r="AQ19">
        <f>'Calculations BTU'!AY202</f>
        <v>41578513850.61026</v>
      </c>
      <c r="AR19">
        <f>'Calculations BTU'!AZ202</f>
        <v>41578513850.61026</v>
      </c>
      <c r="AS19">
        <f>'Calculations BTU'!BA202</f>
        <v>41578513850.61026</v>
      </c>
      <c r="AT19">
        <f>'Calculations BTU'!BB202</f>
        <v>41578513850.61026</v>
      </c>
      <c r="AU19">
        <f>'Calculations BTU'!BC202</f>
        <v>41578513850.61026</v>
      </c>
      <c r="AV19">
        <f>'Calculations BTU'!BD202</f>
        <v>41578513850.61026</v>
      </c>
      <c r="AW19">
        <f>'Calculations BTU'!BE202</f>
        <v>41578513850.61026</v>
      </c>
      <c r="AX19">
        <f>'Calculations BTU'!BF202</f>
        <v>41578513850.61026</v>
      </c>
      <c r="AY19">
        <f>'Calculations BTU'!BG202</f>
        <v>41578513850.61026</v>
      </c>
      <c r="AZ19">
        <f>'Calculations BTU'!BH202</f>
        <v>41578513850.61026</v>
      </c>
    </row>
    <row r="20" spans="1:52">
      <c r="A20" t="s">
        <v>144</v>
      </c>
      <c r="B20">
        <f>'Calculations BTU'!J203</f>
        <v>0</v>
      </c>
      <c r="C20">
        <f>'Calculations BTU'!K203</f>
        <v>0</v>
      </c>
      <c r="D20">
        <f>'Calculations BTU'!L203</f>
        <v>0</v>
      </c>
      <c r="E20">
        <f>'Calculations BTU'!M203</f>
        <v>0</v>
      </c>
      <c r="F20">
        <f>'Calculations BTU'!N203</f>
        <v>0</v>
      </c>
      <c r="G20">
        <f>'Calculations BTU'!O203</f>
        <v>0</v>
      </c>
      <c r="H20">
        <f>'Calculations BTU'!P203</f>
        <v>0</v>
      </c>
      <c r="I20">
        <f>'Calculations BTU'!Q203</f>
        <v>0</v>
      </c>
      <c r="J20">
        <f>'Calculations BTU'!R203</f>
        <v>0</v>
      </c>
      <c r="K20">
        <f>'Calculations BTU'!S203</f>
        <v>0</v>
      </c>
      <c r="L20">
        <f>'Calculations BTU'!T203</f>
        <v>0</v>
      </c>
      <c r="M20">
        <f>'Calculations BTU'!U203</f>
        <v>0</v>
      </c>
      <c r="N20">
        <f>'Calculations BTU'!V203</f>
        <v>0</v>
      </c>
      <c r="O20">
        <f>'Calculations BTU'!W203</f>
        <v>0</v>
      </c>
      <c r="P20">
        <f>'Calculations BTU'!X203</f>
        <v>0</v>
      </c>
      <c r="Q20">
        <f>'Calculations BTU'!Y203</f>
        <v>0</v>
      </c>
      <c r="R20">
        <f>'Calculations BTU'!Z203</f>
        <v>0</v>
      </c>
      <c r="S20">
        <f>'Calculations BTU'!AA203</f>
        <v>0</v>
      </c>
      <c r="T20">
        <f>'Calculations BTU'!AB203</f>
        <v>0</v>
      </c>
      <c r="U20">
        <f>'Calculations BTU'!AC203</f>
        <v>0</v>
      </c>
      <c r="V20">
        <f>'Calculations BTU'!AD203</f>
        <v>0</v>
      </c>
      <c r="W20">
        <f>'Calculations BTU'!AE203</f>
        <v>0</v>
      </c>
      <c r="X20">
        <f>'Calculations BTU'!AF203</f>
        <v>0</v>
      </c>
      <c r="Y20">
        <f>'Calculations BTU'!AG203</f>
        <v>0</v>
      </c>
      <c r="Z20">
        <f>'Calculations BTU'!AH203</f>
        <v>0</v>
      </c>
      <c r="AA20">
        <f>'Calculations BTU'!AI203</f>
        <v>0</v>
      </c>
      <c r="AB20">
        <f>'Calculations BTU'!AJ203</f>
        <v>0</v>
      </c>
      <c r="AC20">
        <f>'Calculations BTU'!AK203</f>
        <v>0</v>
      </c>
      <c r="AD20">
        <f>'Calculations BTU'!AL203</f>
        <v>0</v>
      </c>
      <c r="AE20">
        <f>'Calculations BTU'!AM203</f>
        <v>0</v>
      </c>
      <c r="AF20">
        <f>'Calculations BTU'!AN203</f>
        <v>0</v>
      </c>
      <c r="AG20">
        <f>'Calculations BTU'!AO203</f>
        <v>0</v>
      </c>
      <c r="AH20">
        <f>'Calculations BTU'!AP203</f>
        <v>0</v>
      </c>
      <c r="AI20">
        <f>'Calculations BTU'!AQ203</f>
        <v>0</v>
      </c>
      <c r="AJ20">
        <f>'Calculations BTU'!AR203</f>
        <v>0</v>
      </c>
      <c r="AK20">
        <f>'Calculations BTU'!AS203</f>
        <v>0</v>
      </c>
      <c r="AL20">
        <f>'Calculations BTU'!AT203</f>
        <v>0</v>
      </c>
      <c r="AM20">
        <f>'Calculations BTU'!AU203</f>
        <v>0</v>
      </c>
      <c r="AN20">
        <f>'Calculations BTU'!AV203</f>
        <v>0</v>
      </c>
      <c r="AO20">
        <f>'Calculations BTU'!AW203</f>
        <v>0</v>
      </c>
      <c r="AP20">
        <f>'Calculations BTU'!AX203</f>
        <v>0</v>
      </c>
      <c r="AQ20">
        <f>'Calculations BTU'!AY203</f>
        <v>0</v>
      </c>
      <c r="AR20">
        <f>'Calculations BTU'!AZ203</f>
        <v>0</v>
      </c>
      <c r="AS20">
        <f>'Calculations BTU'!BA203</f>
        <v>0</v>
      </c>
      <c r="AT20">
        <f>'Calculations BTU'!BB203</f>
        <v>0</v>
      </c>
      <c r="AU20">
        <f>'Calculations BTU'!BC203</f>
        <v>0</v>
      </c>
      <c r="AV20">
        <f>'Calculations BTU'!BD203</f>
        <v>0</v>
      </c>
      <c r="AW20">
        <f>'Calculations BTU'!BE203</f>
        <v>0</v>
      </c>
      <c r="AX20">
        <f>'Calculations BTU'!BF203</f>
        <v>0</v>
      </c>
      <c r="AY20">
        <f>'Calculations BTU'!BG203</f>
        <v>0</v>
      </c>
      <c r="AZ20">
        <f>'Calculations BTU'!BH203</f>
        <v>0</v>
      </c>
    </row>
    <row r="21" spans="1:52">
      <c r="A21" t="s">
        <v>145</v>
      </c>
      <c r="B21">
        <f>'Calculations BTU'!J204</f>
        <v>530805597326.26978</v>
      </c>
      <c r="C21">
        <f>'Calculations BTU'!K204</f>
        <v>436018883518.00732</v>
      </c>
      <c r="D21">
        <f>'Calculations BTU'!L204</f>
        <v>464454897660.48602</v>
      </c>
      <c r="E21">
        <f>'Calculations BTU'!M204</f>
        <v>464454897660.48602</v>
      </c>
      <c r="F21">
        <f>'Calculations BTU'!N204</f>
        <v>464454897660.48602</v>
      </c>
      <c r="G21">
        <f>'Calculations BTU'!O204</f>
        <v>473933569041.31226</v>
      </c>
      <c r="H21">
        <f>'Calculations BTU'!P204</f>
        <v>473933569041.31226</v>
      </c>
      <c r="I21">
        <f>'Calculations BTU'!Q204</f>
        <v>473933569041.31226</v>
      </c>
      <c r="J21">
        <f>'Calculations BTU'!R204</f>
        <v>473933569041.31226</v>
      </c>
      <c r="K21">
        <f>'Calculations BTU'!S204</f>
        <v>483412240422.13849</v>
      </c>
      <c r="L21">
        <f>'Calculations BTU'!T204</f>
        <v>483412240422.13849</v>
      </c>
      <c r="M21">
        <f>'Calculations BTU'!U204</f>
        <v>483412240422.13849</v>
      </c>
      <c r="N21">
        <f>'Calculations BTU'!V204</f>
        <v>483412240422.13849</v>
      </c>
      <c r="O21">
        <f>'Calculations BTU'!W204</f>
        <v>492890911802.96478</v>
      </c>
      <c r="P21">
        <f>'Calculations BTU'!X204</f>
        <v>492890911802.96478</v>
      </c>
      <c r="Q21">
        <f>'Calculations BTU'!Y204</f>
        <v>492890911802.96478</v>
      </c>
      <c r="R21">
        <f>'Calculations BTU'!Z204</f>
        <v>492890911802.96478</v>
      </c>
      <c r="S21">
        <f>'Calculations BTU'!AA204</f>
        <v>502369583183.79102</v>
      </c>
      <c r="T21">
        <f>'Calculations BTU'!AB204</f>
        <v>502369583183.79102</v>
      </c>
      <c r="U21">
        <f>'Calculations BTU'!AC204</f>
        <v>502369583183.79102</v>
      </c>
      <c r="V21">
        <f>'Calculations BTU'!AD204</f>
        <v>511848254564.61725</v>
      </c>
      <c r="W21">
        <f>'Calculations BTU'!AE204</f>
        <v>511848254564.61725</v>
      </c>
      <c r="X21">
        <f>'Calculations BTU'!AF204</f>
        <v>511848254564.61725</v>
      </c>
      <c r="Y21">
        <f>'Calculations BTU'!AG204</f>
        <v>511848254564.61725</v>
      </c>
      <c r="Z21">
        <f>'Calculations BTU'!AH204</f>
        <v>521326925945.44354</v>
      </c>
      <c r="AA21">
        <f>'Calculations BTU'!AI204</f>
        <v>521326925945.44354</v>
      </c>
      <c r="AB21">
        <f>'Calculations BTU'!AJ204</f>
        <v>521326925945.44354</v>
      </c>
      <c r="AC21">
        <f>'Calculations BTU'!AK204</f>
        <v>521326925945.44354</v>
      </c>
      <c r="AD21">
        <f>'Calculations BTU'!AL204</f>
        <v>530805597326.26978</v>
      </c>
      <c r="AE21">
        <f>'Calculations BTU'!AM204</f>
        <v>530805597326.26978</v>
      </c>
      <c r="AF21">
        <f>'Calculations BTU'!AN204</f>
        <v>530805597326.26978</v>
      </c>
      <c r="AG21">
        <f>'Calculations BTU'!AO204</f>
        <v>530805597326.26978</v>
      </c>
      <c r="AH21">
        <f>'Calculations BTU'!AP204</f>
        <v>530805597326.26978</v>
      </c>
      <c r="AI21">
        <f>'Calculations BTU'!AQ204</f>
        <v>530805597326.26978</v>
      </c>
      <c r="AJ21">
        <f>'Calculations BTU'!AR204</f>
        <v>530805597326.26978</v>
      </c>
      <c r="AK21">
        <f>'Calculations BTU'!AS204</f>
        <v>530805597326.26978</v>
      </c>
      <c r="AL21">
        <f>'Calculations BTU'!AT204</f>
        <v>530805597326.26978</v>
      </c>
      <c r="AM21">
        <f>'Calculations BTU'!AU204</f>
        <v>530805597326.26978</v>
      </c>
      <c r="AN21">
        <f>'Calculations BTU'!AV204</f>
        <v>530805597326.26978</v>
      </c>
      <c r="AO21">
        <f>'Calculations BTU'!AW204</f>
        <v>530805597326.26978</v>
      </c>
      <c r="AP21">
        <f>'Calculations BTU'!AX204</f>
        <v>530805597326.26978</v>
      </c>
      <c r="AQ21">
        <f>'Calculations BTU'!AY204</f>
        <v>530805597326.26978</v>
      </c>
      <c r="AR21">
        <f>'Calculations BTU'!AZ204</f>
        <v>530805597326.26978</v>
      </c>
      <c r="AS21">
        <f>'Calculations BTU'!BA204</f>
        <v>530805597326.26978</v>
      </c>
      <c r="AT21">
        <f>'Calculations BTU'!BB204</f>
        <v>530805597326.26978</v>
      </c>
      <c r="AU21">
        <f>'Calculations BTU'!BC204</f>
        <v>530805597326.26978</v>
      </c>
      <c r="AV21">
        <f>'Calculations BTU'!BD204</f>
        <v>530805597326.26978</v>
      </c>
      <c r="AW21">
        <f>'Calculations BTU'!BE204</f>
        <v>530805597326.26978</v>
      </c>
      <c r="AX21">
        <f>'Calculations BTU'!BF204</f>
        <v>530805597326.26978</v>
      </c>
      <c r="AY21">
        <f>'Calculations BTU'!BG204</f>
        <v>530805597326.26978</v>
      </c>
      <c r="AZ21">
        <f>'Calculations BTU'!BH204</f>
        <v>530805597326.26978</v>
      </c>
    </row>
    <row r="22" spans="1:52">
      <c r="A22" t="s">
        <v>146</v>
      </c>
      <c r="B22">
        <f>'Calculations BTU'!J205</f>
        <v>0</v>
      </c>
      <c r="C22">
        <f>'Calculations BTU'!K205</f>
        <v>0</v>
      </c>
      <c r="D22">
        <f>'Calculations BTU'!L205</f>
        <v>0</v>
      </c>
      <c r="E22">
        <f>'Calculations BTU'!M205</f>
        <v>0</v>
      </c>
      <c r="F22">
        <f>'Calculations BTU'!N205</f>
        <v>0</v>
      </c>
      <c r="G22">
        <f>'Calculations BTU'!O205</f>
        <v>0</v>
      </c>
      <c r="H22">
        <f>'Calculations BTU'!P205</f>
        <v>0</v>
      </c>
      <c r="I22">
        <f>'Calculations BTU'!Q205</f>
        <v>0</v>
      </c>
      <c r="J22">
        <f>'Calculations BTU'!R205</f>
        <v>0</v>
      </c>
      <c r="K22">
        <f>'Calculations BTU'!S205</f>
        <v>0</v>
      </c>
      <c r="L22">
        <f>'Calculations BTU'!T205</f>
        <v>0</v>
      </c>
      <c r="M22">
        <f>'Calculations BTU'!U205</f>
        <v>0</v>
      </c>
      <c r="N22">
        <f>'Calculations BTU'!V205</f>
        <v>0</v>
      </c>
      <c r="O22">
        <f>'Calculations BTU'!W205</f>
        <v>0</v>
      </c>
      <c r="P22">
        <f>'Calculations BTU'!X205</f>
        <v>0</v>
      </c>
      <c r="Q22">
        <f>'Calculations BTU'!Y205</f>
        <v>0</v>
      </c>
      <c r="R22">
        <f>'Calculations BTU'!Z205</f>
        <v>0</v>
      </c>
      <c r="S22">
        <f>'Calculations BTU'!AA205</f>
        <v>0</v>
      </c>
      <c r="T22">
        <f>'Calculations BTU'!AB205</f>
        <v>0</v>
      </c>
      <c r="U22">
        <f>'Calculations BTU'!AC205</f>
        <v>0</v>
      </c>
      <c r="V22">
        <f>'Calculations BTU'!AD205</f>
        <v>0</v>
      </c>
      <c r="W22">
        <f>'Calculations BTU'!AE205</f>
        <v>0</v>
      </c>
      <c r="X22">
        <f>'Calculations BTU'!AF205</f>
        <v>0</v>
      </c>
      <c r="Y22">
        <f>'Calculations BTU'!AG205</f>
        <v>0</v>
      </c>
      <c r="Z22">
        <f>'Calculations BTU'!AH205</f>
        <v>0</v>
      </c>
      <c r="AA22">
        <f>'Calculations BTU'!AI205</f>
        <v>0</v>
      </c>
      <c r="AB22">
        <f>'Calculations BTU'!AJ205</f>
        <v>0</v>
      </c>
      <c r="AC22">
        <f>'Calculations BTU'!AK205</f>
        <v>0</v>
      </c>
      <c r="AD22">
        <f>'Calculations BTU'!AL205</f>
        <v>0</v>
      </c>
      <c r="AE22">
        <f>'Calculations BTU'!AM205</f>
        <v>0</v>
      </c>
      <c r="AF22">
        <f>'Calculations BTU'!AN205</f>
        <v>0</v>
      </c>
      <c r="AG22">
        <f>'Calculations BTU'!AO205</f>
        <v>0</v>
      </c>
      <c r="AH22">
        <f>'Calculations BTU'!AP205</f>
        <v>0</v>
      </c>
      <c r="AI22">
        <f>'Calculations BTU'!AQ205</f>
        <v>0</v>
      </c>
      <c r="AJ22">
        <f>'Calculations BTU'!AR205</f>
        <v>0</v>
      </c>
      <c r="AK22">
        <f>'Calculations BTU'!AS205</f>
        <v>0</v>
      </c>
      <c r="AL22">
        <f>'Calculations BTU'!AT205</f>
        <v>0</v>
      </c>
      <c r="AM22">
        <f>'Calculations BTU'!AU205</f>
        <v>0</v>
      </c>
      <c r="AN22">
        <f>'Calculations BTU'!AV205</f>
        <v>0</v>
      </c>
      <c r="AO22">
        <f>'Calculations BTU'!AW205</f>
        <v>0</v>
      </c>
      <c r="AP22">
        <f>'Calculations BTU'!AX205</f>
        <v>0</v>
      </c>
      <c r="AQ22">
        <f>'Calculations BTU'!AY205</f>
        <v>0</v>
      </c>
      <c r="AR22">
        <f>'Calculations BTU'!AZ205</f>
        <v>0</v>
      </c>
      <c r="AS22">
        <f>'Calculations BTU'!BA205</f>
        <v>0</v>
      </c>
      <c r="AT22">
        <f>'Calculations BTU'!BB205</f>
        <v>0</v>
      </c>
      <c r="AU22">
        <f>'Calculations BTU'!BC205</f>
        <v>0</v>
      </c>
      <c r="AV22">
        <f>'Calculations BTU'!BD205</f>
        <v>0</v>
      </c>
      <c r="AW22">
        <f>'Calculations BTU'!BE205</f>
        <v>0</v>
      </c>
      <c r="AX22">
        <f>'Calculations BTU'!BF205</f>
        <v>0</v>
      </c>
      <c r="AY22">
        <f>'Calculations BTU'!BG205</f>
        <v>0</v>
      </c>
      <c r="AZ22">
        <f>'Calculations BTU'!BH205</f>
        <v>0</v>
      </c>
    </row>
    <row r="23" spans="1:52">
      <c r="A23" t="s">
        <v>147</v>
      </c>
      <c r="B23">
        <f>'Calculations BTU'!J206</f>
        <v>27127957491924.711</v>
      </c>
      <c r="C23">
        <f>'Calculations BTU'!K206</f>
        <v>22483408515319.848</v>
      </c>
      <c r="D23">
        <f>'Calculations BTU'!L206</f>
        <v>23886251879682.133</v>
      </c>
      <c r="E23">
        <f>'Calculations BTU'!M206</f>
        <v>24009474607632.879</v>
      </c>
      <c r="F23">
        <f>'Calculations BTU'!N206</f>
        <v>24142085885893.582</v>
      </c>
      <c r="G23">
        <f>'Calculations BTU'!O206</f>
        <v>24265219900915.184</v>
      </c>
      <c r="H23">
        <f>'Calculations BTU'!P206</f>
        <v>24397829771034.148</v>
      </c>
      <c r="I23">
        <f>'Calculations BTU'!Q206</f>
        <v>24520962377914.023</v>
      </c>
      <c r="J23">
        <f>'Calculations BTU'!R206</f>
        <v>24644096392935.625</v>
      </c>
      <c r="K23">
        <f>'Calculations BTU'!S206</f>
        <v>24776706263054.594</v>
      </c>
      <c r="L23">
        <f>'Calculations BTU'!T206</f>
        <v>24899840278076.199</v>
      </c>
      <c r="M23">
        <f>'Calculations BTU'!U206</f>
        <v>25022974293097.801</v>
      </c>
      <c r="N23">
        <f>'Calculations BTU'!V206</f>
        <v>25155582755075.035</v>
      </c>
      <c r="O23">
        <f>'Calculations BTU'!W206</f>
        <v>25278716770096.645</v>
      </c>
      <c r="P23">
        <f>'Calculations BTU'!X206</f>
        <v>25411661777947.902</v>
      </c>
      <c r="Q23">
        <f>'Calculations BTU'!Y206</f>
        <v>25535578719772.68</v>
      </c>
      <c r="R23">
        <f>'Calculations BTU'!Z206</f>
        <v>25659497069739.184</v>
      </c>
      <c r="S23">
        <f>'Calculations BTU'!AA206</f>
        <v>25792891274803.055</v>
      </c>
      <c r="T23">
        <f>'Calculations BTU'!AB206</f>
        <v>25916808216627.828</v>
      </c>
      <c r="U23">
        <f>'Calculations BTU'!AC206</f>
        <v>26040727974736.066</v>
      </c>
      <c r="V23">
        <f>'Calculations BTU'!AD206</f>
        <v>26174120771658.199</v>
      </c>
      <c r="W23">
        <f>'Calculations BTU'!AE206</f>
        <v>26298037713482.98</v>
      </c>
      <c r="X23">
        <f>'Calculations BTU'!AF206</f>
        <v>26431434734830.313</v>
      </c>
      <c r="Y23">
        <f>'Calculations BTU'!AG206</f>
        <v>26555351676655.09</v>
      </c>
      <c r="Z23">
        <f>'Calculations BTU'!AH206</f>
        <v>26679267210338.133</v>
      </c>
      <c r="AA23">
        <f>'Calculations BTU'!AI206</f>
        <v>26812664231685.469</v>
      </c>
      <c r="AB23">
        <f>'Calculations BTU'!AJ206</f>
        <v>26936581173510.238</v>
      </c>
      <c r="AC23">
        <f>'Calculations BTU'!AK206</f>
        <v>27060498115335.016</v>
      </c>
      <c r="AD23">
        <f>'Calculations BTU'!AL206</f>
        <v>27193892320398.887</v>
      </c>
      <c r="AE23">
        <f>'Calculations BTU'!AM206</f>
        <v>27317817711074.055</v>
      </c>
      <c r="AF23">
        <f>'Calculations BTU'!AN206</f>
        <v>27451220364988.316</v>
      </c>
      <c r="AG23">
        <f>'Calculations BTU'!AO206</f>
        <v>27451220364988.316</v>
      </c>
      <c r="AH23">
        <f>'Calculations BTU'!AP206</f>
        <v>27451220364988.316</v>
      </c>
      <c r="AI23">
        <f>'Calculations BTU'!AQ206</f>
        <v>27451220364988.316</v>
      </c>
      <c r="AJ23">
        <f>'Calculations BTU'!AR206</f>
        <v>27451220364988.316</v>
      </c>
      <c r="AK23">
        <f>'Calculations BTU'!AS206</f>
        <v>27451220364988.316</v>
      </c>
      <c r="AL23">
        <f>'Calculations BTU'!AT206</f>
        <v>27451220364988.316</v>
      </c>
      <c r="AM23">
        <f>'Calculations BTU'!AU206</f>
        <v>27451220364988.316</v>
      </c>
      <c r="AN23">
        <f>'Calculations BTU'!AV206</f>
        <v>27451220364988.316</v>
      </c>
      <c r="AO23">
        <f>'Calculations BTU'!AW206</f>
        <v>27451220364988.316</v>
      </c>
      <c r="AP23">
        <f>'Calculations BTU'!AX206</f>
        <v>27451220364988.316</v>
      </c>
      <c r="AQ23">
        <f>'Calculations BTU'!AY206</f>
        <v>27451220364988.316</v>
      </c>
      <c r="AR23">
        <f>'Calculations BTU'!AZ206</f>
        <v>27451220364988.316</v>
      </c>
      <c r="AS23">
        <f>'Calculations BTU'!BA206</f>
        <v>27451220364988.316</v>
      </c>
      <c r="AT23">
        <f>'Calculations BTU'!BB206</f>
        <v>27451220364988.316</v>
      </c>
      <c r="AU23">
        <f>'Calculations BTU'!BC206</f>
        <v>27451220364988.316</v>
      </c>
      <c r="AV23">
        <f>'Calculations BTU'!BD206</f>
        <v>27451220364988.316</v>
      </c>
      <c r="AW23">
        <f>'Calculations BTU'!BE206</f>
        <v>27451220364988.316</v>
      </c>
      <c r="AX23">
        <f>'Calculations BTU'!BF206</f>
        <v>27451220364988.316</v>
      </c>
      <c r="AY23">
        <f>'Calculations BTU'!BG206</f>
        <v>27451220364988.316</v>
      </c>
      <c r="AZ23">
        <f>'Calculations BTU'!BH206</f>
        <v>27451220364988.316</v>
      </c>
    </row>
    <row r="24" spans="1:52">
      <c r="A24" t="s">
        <v>148</v>
      </c>
      <c r="B24">
        <f>'Calculations BTU'!J207</f>
        <v>0</v>
      </c>
      <c r="C24">
        <f>'Calculations BTU'!K207</f>
        <v>0</v>
      </c>
      <c r="D24">
        <f>'Calculations BTU'!L207</f>
        <v>0</v>
      </c>
      <c r="E24">
        <f>'Calculations BTU'!M207</f>
        <v>0</v>
      </c>
      <c r="F24">
        <f>'Calculations BTU'!N207</f>
        <v>0</v>
      </c>
      <c r="G24">
        <f>'Calculations BTU'!O207</f>
        <v>0</v>
      </c>
      <c r="H24">
        <f>'Calculations BTU'!P207</f>
        <v>0</v>
      </c>
      <c r="I24">
        <f>'Calculations BTU'!Q207</f>
        <v>0</v>
      </c>
      <c r="J24">
        <f>'Calculations BTU'!R207</f>
        <v>0</v>
      </c>
      <c r="K24">
        <f>'Calculations BTU'!S207</f>
        <v>0</v>
      </c>
      <c r="L24">
        <f>'Calculations BTU'!T207</f>
        <v>0</v>
      </c>
      <c r="M24">
        <f>'Calculations BTU'!U207</f>
        <v>0</v>
      </c>
      <c r="N24">
        <f>'Calculations BTU'!V207</f>
        <v>0</v>
      </c>
      <c r="O24">
        <f>'Calculations BTU'!W207</f>
        <v>0</v>
      </c>
      <c r="P24">
        <f>'Calculations BTU'!X207</f>
        <v>0</v>
      </c>
      <c r="Q24">
        <f>'Calculations BTU'!Y207</f>
        <v>0</v>
      </c>
      <c r="R24">
        <f>'Calculations BTU'!Z207</f>
        <v>0</v>
      </c>
      <c r="S24">
        <f>'Calculations BTU'!AA207</f>
        <v>0</v>
      </c>
      <c r="T24">
        <f>'Calculations BTU'!AB207</f>
        <v>0</v>
      </c>
      <c r="U24">
        <f>'Calculations BTU'!AC207</f>
        <v>0</v>
      </c>
      <c r="V24">
        <f>'Calculations BTU'!AD207</f>
        <v>0</v>
      </c>
      <c r="W24">
        <f>'Calculations BTU'!AE207</f>
        <v>0</v>
      </c>
      <c r="X24">
        <f>'Calculations BTU'!AF207</f>
        <v>0</v>
      </c>
      <c r="Y24">
        <f>'Calculations BTU'!AG207</f>
        <v>0</v>
      </c>
      <c r="Z24">
        <f>'Calculations BTU'!AH207</f>
        <v>0</v>
      </c>
      <c r="AA24">
        <f>'Calculations BTU'!AI207</f>
        <v>0</v>
      </c>
      <c r="AB24">
        <f>'Calculations BTU'!AJ207</f>
        <v>0</v>
      </c>
      <c r="AC24">
        <f>'Calculations BTU'!AK207</f>
        <v>0</v>
      </c>
      <c r="AD24">
        <f>'Calculations BTU'!AL207</f>
        <v>0</v>
      </c>
      <c r="AE24">
        <f>'Calculations BTU'!AM207</f>
        <v>0</v>
      </c>
      <c r="AF24">
        <f>'Calculations BTU'!AN207</f>
        <v>0</v>
      </c>
      <c r="AG24">
        <f>'Calculations BTU'!AO207</f>
        <v>0</v>
      </c>
      <c r="AH24">
        <f>'Calculations BTU'!AP207</f>
        <v>0</v>
      </c>
      <c r="AI24">
        <f>'Calculations BTU'!AQ207</f>
        <v>0</v>
      </c>
      <c r="AJ24">
        <f>'Calculations BTU'!AR207</f>
        <v>0</v>
      </c>
      <c r="AK24">
        <f>'Calculations BTU'!AS207</f>
        <v>0</v>
      </c>
      <c r="AL24">
        <f>'Calculations BTU'!AT207</f>
        <v>0</v>
      </c>
      <c r="AM24">
        <f>'Calculations BTU'!AU207</f>
        <v>0</v>
      </c>
      <c r="AN24">
        <f>'Calculations BTU'!AV207</f>
        <v>0</v>
      </c>
      <c r="AO24">
        <f>'Calculations BTU'!AW207</f>
        <v>0</v>
      </c>
      <c r="AP24">
        <f>'Calculations BTU'!AX207</f>
        <v>0</v>
      </c>
      <c r="AQ24">
        <f>'Calculations BTU'!AY207</f>
        <v>0</v>
      </c>
      <c r="AR24">
        <f>'Calculations BTU'!AZ207</f>
        <v>0</v>
      </c>
      <c r="AS24">
        <f>'Calculations BTU'!BA207</f>
        <v>0</v>
      </c>
      <c r="AT24">
        <f>'Calculations BTU'!BB207</f>
        <v>0</v>
      </c>
      <c r="AU24">
        <f>'Calculations BTU'!BC207</f>
        <v>0</v>
      </c>
      <c r="AV24">
        <f>'Calculations BTU'!BD207</f>
        <v>0</v>
      </c>
      <c r="AW24">
        <f>'Calculations BTU'!BE207</f>
        <v>0</v>
      </c>
      <c r="AX24">
        <f>'Calculations BTU'!BF207</f>
        <v>0</v>
      </c>
      <c r="AY24">
        <f>'Calculations BTU'!BG207</f>
        <v>0</v>
      </c>
      <c r="AZ24">
        <f>'Calculations BTU'!BH207</f>
        <v>0</v>
      </c>
    </row>
    <row r="25" spans="1:52">
      <c r="A25" t="s">
        <v>149</v>
      </c>
      <c r="B25">
        <f>'Calculations BTU'!J208</f>
        <v>0</v>
      </c>
      <c r="C25">
        <f>'Calculations BTU'!K208</f>
        <v>0</v>
      </c>
      <c r="D25">
        <f>'Calculations BTU'!L208</f>
        <v>0</v>
      </c>
      <c r="E25">
        <f>'Calculations BTU'!M208</f>
        <v>0</v>
      </c>
      <c r="F25">
        <f>'Calculations BTU'!N208</f>
        <v>0</v>
      </c>
      <c r="G25">
        <f>'Calculations BTU'!O208</f>
        <v>0</v>
      </c>
      <c r="H25">
        <f>'Calculations BTU'!P208</f>
        <v>0</v>
      </c>
      <c r="I25">
        <f>'Calculations BTU'!Q208</f>
        <v>0</v>
      </c>
      <c r="J25">
        <f>'Calculations BTU'!R208</f>
        <v>0</v>
      </c>
      <c r="K25">
        <f>'Calculations BTU'!S208</f>
        <v>0</v>
      </c>
      <c r="L25">
        <f>'Calculations BTU'!T208</f>
        <v>0</v>
      </c>
      <c r="M25">
        <f>'Calculations BTU'!U208</f>
        <v>0</v>
      </c>
      <c r="N25">
        <f>'Calculations BTU'!V208</f>
        <v>0</v>
      </c>
      <c r="O25">
        <f>'Calculations BTU'!W208</f>
        <v>0</v>
      </c>
      <c r="P25">
        <f>'Calculations BTU'!X208</f>
        <v>0</v>
      </c>
      <c r="Q25">
        <f>'Calculations BTU'!Y208</f>
        <v>0</v>
      </c>
      <c r="R25">
        <f>'Calculations BTU'!Z208</f>
        <v>0</v>
      </c>
      <c r="S25">
        <f>'Calculations BTU'!AA208</f>
        <v>0</v>
      </c>
      <c r="T25">
        <f>'Calculations BTU'!AB208</f>
        <v>0</v>
      </c>
      <c r="U25">
        <f>'Calculations BTU'!AC208</f>
        <v>0</v>
      </c>
      <c r="V25">
        <f>'Calculations BTU'!AD208</f>
        <v>0</v>
      </c>
      <c r="W25">
        <f>'Calculations BTU'!AE208</f>
        <v>0</v>
      </c>
      <c r="X25">
        <f>'Calculations BTU'!AF208</f>
        <v>0</v>
      </c>
      <c r="Y25">
        <f>'Calculations BTU'!AG208</f>
        <v>0</v>
      </c>
      <c r="Z25">
        <f>'Calculations BTU'!AH208</f>
        <v>0</v>
      </c>
      <c r="AA25">
        <f>'Calculations BTU'!AI208</f>
        <v>0</v>
      </c>
      <c r="AB25">
        <f>'Calculations BTU'!AJ208</f>
        <v>0</v>
      </c>
      <c r="AC25">
        <f>'Calculations BTU'!AK208</f>
        <v>0</v>
      </c>
      <c r="AD25">
        <f>'Calculations BTU'!AL208</f>
        <v>0</v>
      </c>
      <c r="AE25">
        <f>'Calculations BTU'!AM208</f>
        <v>0</v>
      </c>
      <c r="AF25">
        <f>'Calculations BTU'!AN208</f>
        <v>0</v>
      </c>
      <c r="AG25">
        <f>'Calculations BTU'!AO208</f>
        <v>0</v>
      </c>
      <c r="AH25">
        <f>'Calculations BTU'!AP208</f>
        <v>0</v>
      </c>
      <c r="AI25">
        <f>'Calculations BTU'!AQ208</f>
        <v>0</v>
      </c>
      <c r="AJ25">
        <f>'Calculations BTU'!AR208</f>
        <v>0</v>
      </c>
      <c r="AK25">
        <f>'Calculations BTU'!AS208</f>
        <v>0</v>
      </c>
      <c r="AL25">
        <f>'Calculations BTU'!AT208</f>
        <v>0</v>
      </c>
      <c r="AM25">
        <f>'Calculations BTU'!AU208</f>
        <v>0</v>
      </c>
      <c r="AN25">
        <f>'Calculations BTU'!AV208</f>
        <v>0</v>
      </c>
      <c r="AO25">
        <f>'Calculations BTU'!AW208</f>
        <v>0</v>
      </c>
      <c r="AP25">
        <f>'Calculations BTU'!AX208</f>
        <v>0</v>
      </c>
      <c r="AQ25">
        <f>'Calculations BTU'!AY208</f>
        <v>0</v>
      </c>
      <c r="AR25">
        <f>'Calculations BTU'!AZ208</f>
        <v>0</v>
      </c>
      <c r="AS25">
        <f>'Calculations BTU'!BA208</f>
        <v>0</v>
      </c>
      <c r="AT25">
        <f>'Calculations BTU'!BB208</f>
        <v>0</v>
      </c>
      <c r="AU25">
        <f>'Calculations BTU'!BC208</f>
        <v>0</v>
      </c>
      <c r="AV25">
        <f>'Calculations BTU'!BD208</f>
        <v>0</v>
      </c>
      <c r="AW25">
        <f>'Calculations BTU'!BE208</f>
        <v>0</v>
      </c>
      <c r="AX25">
        <f>'Calculations BTU'!BF208</f>
        <v>0</v>
      </c>
      <c r="AY25">
        <f>'Calculations BTU'!BG208</f>
        <v>0</v>
      </c>
      <c r="AZ25">
        <f>'Calculations BTU'!BH208</f>
        <v>0</v>
      </c>
    </row>
    <row r="26" spans="1:52">
      <c r="A26" t="s">
        <v>150</v>
      </c>
      <c r="B26">
        <f>'Calculations BTU'!J209</f>
        <v>0</v>
      </c>
      <c r="C26">
        <f>'Calculations BTU'!K209</f>
        <v>0</v>
      </c>
      <c r="D26">
        <f>'Calculations BTU'!L209</f>
        <v>0</v>
      </c>
      <c r="E26">
        <f>'Calculations BTU'!M209</f>
        <v>0</v>
      </c>
      <c r="F26">
        <f>'Calculations BTU'!N209</f>
        <v>0</v>
      </c>
      <c r="G26">
        <f>'Calculations BTU'!O209</f>
        <v>0</v>
      </c>
      <c r="H26">
        <f>'Calculations BTU'!P209</f>
        <v>0</v>
      </c>
      <c r="I26">
        <f>'Calculations BTU'!Q209</f>
        <v>0</v>
      </c>
      <c r="J26">
        <f>'Calculations BTU'!R209</f>
        <v>0</v>
      </c>
      <c r="K26">
        <f>'Calculations BTU'!S209</f>
        <v>0</v>
      </c>
      <c r="L26">
        <f>'Calculations BTU'!T209</f>
        <v>0</v>
      </c>
      <c r="M26">
        <f>'Calculations BTU'!U209</f>
        <v>0</v>
      </c>
      <c r="N26">
        <f>'Calculations BTU'!V209</f>
        <v>0</v>
      </c>
      <c r="O26">
        <f>'Calculations BTU'!W209</f>
        <v>0</v>
      </c>
      <c r="P26">
        <f>'Calculations BTU'!X209</f>
        <v>0</v>
      </c>
      <c r="Q26">
        <f>'Calculations BTU'!Y209</f>
        <v>0</v>
      </c>
      <c r="R26">
        <f>'Calculations BTU'!Z209</f>
        <v>0</v>
      </c>
      <c r="S26">
        <f>'Calculations BTU'!AA209</f>
        <v>0</v>
      </c>
      <c r="T26">
        <f>'Calculations BTU'!AB209</f>
        <v>0</v>
      </c>
      <c r="U26">
        <f>'Calculations BTU'!AC209</f>
        <v>0</v>
      </c>
      <c r="V26">
        <f>'Calculations BTU'!AD209</f>
        <v>0</v>
      </c>
      <c r="W26">
        <f>'Calculations BTU'!AE209</f>
        <v>0</v>
      </c>
      <c r="X26">
        <f>'Calculations BTU'!AF209</f>
        <v>0</v>
      </c>
      <c r="Y26">
        <f>'Calculations BTU'!AG209</f>
        <v>0</v>
      </c>
      <c r="Z26">
        <f>'Calculations BTU'!AH209</f>
        <v>0</v>
      </c>
      <c r="AA26">
        <f>'Calculations BTU'!AI209</f>
        <v>0</v>
      </c>
      <c r="AB26">
        <f>'Calculations BTU'!AJ209</f>
        <v>0</v>
      </c>
      <c r="AC26">
        <f>'Calculations BTU'!AK209</f>
        <v>0</v>
      </c>
      <c r="AD26">
        <f>'Calculations BTU'!AL209</f>
        <v>0</v>
      </c>
      <c r="AE26">
        <f>'Calculations BTU'!AM209</f>
        <v>0</v>
      </c>
      <c r="AF26">
        <f>'Calculations BTU'!AN209</f>
        <v>0</v>
      </c>
      <c r="AG26">
        <f>'Calculations BTU'!AO209</f>
        <v>0</v>
      </c>
      <c r="AH26">
        <f>'Calculations BTU'!AP209</f>
        <v>0</v>
      </c>
      <c r="AI26">
        <f>'Calculations BTU'!AQ209</f>
        <v>0</v>
      </c>
      <c r="AJ26">
        <f>'Calculations BTU'!AR209</f>
        <v>0</v>
      </c>
      <c r="AK26">
        <f>'Calculations BTU'!AS209</f>
        <v>0</v>
      </c>
      <c r="AL26">
        <f>'Calculations BTU'!AT209</f>
        <v>0</v>
      </c>
      <c r="AM26">
        <f>'Calculations BTU'!AU209</f>
        <v>0</v>
      </c>
      <c r="AN26">
        <f>'Calculations BTU'!AV209</f>
        <v>0</v>
      </c>
      <c r="AO26">
        <f>'Calculations BTU'!AW209</f>
        <v>0</v>
      </c>
      <c r="AP26">
        <f>'Calculations BTU'!AX209</f>
        <v>0</v>
      </c>
      <c r="AQ26">
        <f>'Calculations BTU'!AY209</f>
        <v>0</v>
      </c>
      <c r="AR26">
        <f>'Calculations BTU'!AZ209</f>
        <v>0</v>
      </c>
      <c r="AS26">
        <f>'Calculations BTU'!BA209</f>
        <v>0</v>
      </c>
      <c r="AT26">
        <f>'Calculations BTU'!BB209</f>
        <v>0</v>
      </c>
      <c r="AU26">
        <f>'Calculations BTU'!BC209</f>
        <v>0</v>
      </c>
      <c r="AV26">
        <f>'Calculations BTU'!BD209</f>
        <v>0</v>
      </c>
      <c r="AW26">
        <f>'Calculations BTU'!BE209</f>
        <v>0</v>
      </c>
      <c r="AX26">
        <f>'Calculations BTU'!BF209</f>
        <v>0</v>
      </c>
      <c r="AY26">
        <f>'Calculations BTU'!BG209</f>
        <v>0</v>
      </c>
      <c r="AZ26">
        <f>'Calculations BTU'!BH209</f>
        <v>0</v>
      </c>
    </row>
    <row r="30" spans="1:5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4" spans="2:3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2:33"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2:3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2:3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9" spans="2:3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2:3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2:33"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2:3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2:3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2:3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2:3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2:3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2:3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2:33"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4" spans="2:3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6" spans="2:33">
      <c r="B56" s="23"/>
    </row>
    <row r="57" spans="2:33">
      <c r="B57" s="23"/>
    </row>
    <row r="58" spans="2:33">
      <c r="B58" s="23"/>
    </row>
    <row r="59" spans="2:33">
      <c r="B59" s="23"/>
    </row>
    <row r="60" spans="2:33">
      <c r="B60" s="23"/>
    </row>
    <row r="61" spans="2:33">
      <c r="B61" s="23"/>
    </row>
    <row r="62" spans="2:33">
      <c r="B62" s="23"/>
    </row>
    <row r="63" spans="2:33">
      <c r="B63" s="23"/>
    </row>
    <row r="64" spans="2:33">
      <c r="B64" s="23"/>
    </row>
    <row r="65" spans="2:2">
      <c r="B65" s="23"/>
    </row>
    <row r="66" spans="2:2">
      <c r="B66" s="23"/>
    </row>
    <row r="67" spans="2:2">
      <c r="B67" s="23"/>
    </row>
    <row r="68" spans="2:2">
      <c r="B68" s="23"/>
    </row>
    <row r="69" spans="2:2">
      <c r="B69" s="23"/>
    </row>
    <row r="70" spans="2:2">
      <c r="B70" s="23"/>
    </row>
    <row r="71" spans="2:2">
      <c r="B71" s="23"/>
    </row>
    <row r="72" spans="2:2">
      <c r="B72" s="23"/>
    </row>
    <row r="73" spans="2:2">
      <c r="B73" s="23"/>
    </row>
    <row r="74" spans="2:2">
      <c r="B74" s="23"/>
    </row>
    <row r="75" spans="2:2">
      <c r="B75" s="23"/>
    </row>
    <row r="76" spans="2:2">
      <c r="B76" s="23"/>
    </row>
    <row r="77" spans="2:2">
      <c r="B77" s="23"/>
    </row>
    <row r="78" spans="2:2">
      <c r="B78" s="23"/>
    </row>
    <row r="79" spans="2:2">
      <c r="B79" s="23"/>
    </row>
    <row r="80" spans="2:2">
      <c r="B80" s="23"/>
    </row>
    <row r="81" spans="2:2">
      <c r="B81" s="23"/>
    </row>
    <row r="82" spans="2:2">
      <c r="B82" s="23"/>
    </row>
    <row r="83" spans="2:2">
      <c r="B83" s="23"/>
    </row>
    <row r="84" spans="2:2">
      <c r="B84" s="23"/>
    </row>
    <row r="85" spans="2:2">
      <c r="B85" s="23"/>
    </row>
    <row r="86" spans="2:2">
      <c r="B86" s="2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0490-E547-B44F-80B2-FCC46A79107C}">
  <sheetPr>
    <tabColor theme="3"/>
  </sheetPr>
  <dimension ref="A1:AZ26"/>
  <sheetViews>
    <sheetView topLeftCell="AS10" workbookViewId="0">
      <selection activeCell="B2" sqref="B2:AZ26"/>
    </sheetView>
  </sheetViews>
  <sheetFormatPr defaultColWidth="9.140625" defaultRowHeight="15"/>
  <cols>
    <col min="1" max="1" width="39.85546875" customWidth="1"/>
    <col min="2" max="32" width="5.140625" bestFit="1" customWidth="1"/>
  </cols>
  <sheetData>
    <row r="1" spans="1:52">
      <c r="A1" s="1" t="s">
        <v>177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126</v>
      </c>
      <c r="B2">
        <f>'Calculations BTU'!J211</f>
        <v>0</v>
      </c>
      <c r="C2">
        <f>'Calculations BTU'!K211</f>
        <v>0</v>
      </c>
      <c r="D2">
        <f>'Calculations BTU'!L211</f>
        <v>0</v>
      </c>
      <c r="E2">
        <f>'Calculations BTU'!M211</f>
        <v>0</v>
      </c>
      <c r="F2">
        <f>'Calculations BTU'!N211</f>
        <v>0</v>
      </c>
      <c r="G2">
        <f>'Calculations BTU'!O211</f>
        <v>0</v>
      </c>
      <c r="H2">
        <f>'Calculations BTU'!P211</f>
        <v>0</v>
      </c>
      <c r="I2">
        <f>'Calculations BTU'!Q211</f>
        <v>0</v>
      </c>
      <c r="J2">
        <f>'Calculations BTU'!R211</f>
        <v>0</v>
      </c>
      <c r="K2">
        <f>'Calculations BTU'!S211</f>
        <v>0</v>
      </c>
      <c r="L2">
        <f>'Calculations BTU'!T211</f>
        <v>0</v>
      </c>
      <c r="M2">
        <f>'Calculations BTU'!U211</f>
        <v>0</v>
      </c>
      <c r="N2">
        <f>'Calculations BTU'!V211</f>
        <v>0</v>
      </c>
      <c r="O2">
        <f>'Calculations BTU'!W211</f>
        <v>0</v>
      </c>
      <c r="P2">
        <f>'Calculations BTU'!X211</f>
        <v>0</v>
      </c>
      <c r="Q2">
        <f>'Calculations BTU'!Y211</f>
        <v>0</v>
      </c>
      <c r="R2">
        <f>'Calculations BTU'!Z211</f>
        <v>0</v>
      </c>
      <c r="S2">
        <f>'Calculations BTU'!AA211</f>
        <v>0</v>
      </c>
      <c r="T2">
        <f>'Calculations BTU'!AB211</f>
        <v>0</v>
      </c>
      <c r="U2">
        <f>'Calculations BTU'!AC211</f>
        <v>0</v>
      </c>
      <c r="V2">
        <f>'Calculations BTU'!AD211</f>
        <v>0</v>
      </c>
      <c r="W2">
        <f>'Calculations BTU'!AE211</f>
        <v>0</v>
      </c>
      <c r="X2">
        <f>'Calculations BTU'!AF211</f>
        <v>0</v>
      </c>
      <c r="Y2">
        <f>'Calculations BTU'!AG211</f>
        <v>0</v>
      </c>
      <c r="Z2">
        <f>'Calculations BTU'!AH211</f>
        <v>0</v>
      </c>
      <c r="AA2">
        <f>'Calculations BTU'!AI211</f>
        <v>0</v>
      </c>
      <c r="AB2">
        <f>'Calculations BTU'!AJ211</f>
        <v>0</v>
      </c>
      <c r="AC2">
        <f>'Calculations BTU'!AK211</f>
        <v>0</v>
      </c>
      <c r="AD2">
        <f>'Calculations BTU'!AL211</f>
        <v>0</v>
      </c>
      <c r="AE2">
        <f>'Calculations BTU'!AM211</f>
        <v>0</v>
      </c>
      <c r="AF2">
        <f>'Calculations BTU'!AN211</f>
        <v>0</v>
      </c>
      <c r="AG2">
        <f>'Calculations BTU'!AO211</f>
        <v>0</v>
      </c>
      <c r="AH2">
        <f>'Calculations BTU'!AP211</f>
        <v>0</v>
      </c>
      <c r="AI2">
        <f>'Calculations BTU'!AQ211</f>
        <v>0</v>
      </c>
      <c r="AJ2">
        <f>'Calculations BTU'!AR211</f>
        <v>0</v>
      </c>
      <c r="AK2">
        <f>'Calculations BTU'!AS211</f>
        <v>0</v>
      </c>
      <c r="AL2">
        <f>'Calculations BTU'!AT211</f>
        <v>0</v>
      </c>
      <c r="AM2">
        <f>'Calculations BTU'!AU211</f>
        <v>0</v>
      </c>
      <c r="AN2">
        <f>'Calculations BTU'!AV211</f>
        <v>0</v>
      </c>
      <c r="AO2">
        <f>'Calculations BTU'!AW211</f>
        <v>0</v>
      </c>
      <c r="AP2">
        <f>'Calculations BTU'!AX211</f>
        <v>0</v>
      </c>
      <c r="AQ2">
        <f>'Calculations BTU'!AY211</f>
        <v>0</v>
      </c>
      <c r="AR2">
        <f>'Calculations BTU'!AZ211</f>
        <v>0</v>
      </c>
      <c r="AS2">
        <f>'Calculations BTU'!BA211</f>
        <v>0</v>
      </c>
      <c r="AT2">
        <f>'Calculations BTU'!BB211</f>
        <v>0</v>
      </c>
      <c r="AU2">
        <f>'Calculations BTU'!BC211</f>
        <v>0</v>
      </c>
      <c r="AV2">
        <f>'Calculations BTU'!BD211</f>
        <v>0</v>
      </c>
      <c r="AW2">
        <f>'Calculations BTU'!BE211</f>
        <v>0</v>
      </c>
      <c r="AX2">
        <f>'Calculations BTU'!BF211</f>
        <v>0</v>
      </c>
      <c r="AY2">
        <f>'Calculations BTU'!BG211</f>
        <v>0</v>
      </c>
      <c r="AZ2">
        <f>'Calculations BTU'!BH211</f>
        <v>0</v>
      </c>
    </row>
    <row r="3" spans="1:52">
      <c r="A3" t="s">
        <v>127</v>
      </c>
      <c r="B3">
        <f>'Calculations BTU'!J212</f>
        <v>0</v>
      </c>
      <c r="C3">
        <f>'Calculations BTU'!K212</f>
        <v>0</v>
      </c>
      <c r="D3">
        <f>'Calculations BTU'!L212</f>
        <v>0</v>
      </c>
      <c r="E3">
        <f>'Calculations BTU'!M212</f>
        <v>0</v>
      </c>
      <c r="F3">
        <f>'Calculations BTU'!N212</f>
        <v>0</v>
      </c>
      <c r="G3">
        <f>'Calculations BTU'!O212</f>
        <v>0</v>
      </c>
      <c r="H3">
        <f>'Calculations BTU'!P212</f>
        <v>0</v>
      </c>
      <c r="I3">
        <f>'Calculations BTU'!Q212</f>
        <v>0</v>
      </c>
      <c r="J3">
        <f>'Calculations BTU'!R212</f>
        <v>0</v>
      </c>
      <c r="K3">
        <f>'Calculations BTU'!S212</f>
        <v>0</v>
      </c>
      <c r="L3">
        <f>'Calculations BTU'!T212</f>
        <v>0</v>
      </c>
      <c r="M3">
        <f>'Calculations BTU'!U212</f>
        <v>0</v>
      </c>
      <c r="N3">
        <f>'Calculations BTU'!V212</f>
        <v>0</v>
      </c>
      <c r="O3">
        <f>'Calculations BTU'!W212</f>
        <v>0</v>
      </c>
      <c r="P3">
        <f>'Calculations BTU'!X212</f>
        <v>0</v>
      </c>
      <c r="Q3">
        <f>'Calculations BTU'!Y212</f>
        <v>0</v>
      </c>
      <c r="R3">
        <f>'Calculations BTU'!Z212</f>
        <v>0</v>
      </c>
      <c r="S3">
        <f>'Calculations BTU'!AA212</f>
        <v>0</v>
      </c>
      <c r="T3">
        <f>'Calculations BTU'!AB212</f>
        <v>0</v>
      </c>
      <c r="U3">
        <f>'Calculations BTU'!AC212</f>
        <v>0</v>
      </c>
      <c r="V3">
        <f>'Calculations BTU'!AD212</f>
        <v>0</v>
      </c>
      <c r="W3">
        <f>'Calculations BTU'!AE212</f>
        <v>0</v>
      </c>
      <c r="X3">
        <f>'Calculations BTU'!AF212</f>
        <v>0</v>
      </c>
      <c r="Y3">
        <f>'Calculations BTU'!AG212</f>
        <v>0</v>
      </c>
      <c r="Z3">
        <f>'Calculations BTU'!AH212</f>
        <v>0</v>
      </c>
      <c r="AA3">
        <f>'Calculations BTU'!AI212</f>
        <v>0</v>
      </c>
      <c r="AB3">
        <f>'Calculations BTU'!AJ212</f>
        <v>0</v>
      </c>
      <c r="AC3">
        <f>'Calculations BTU'!AK212</f>
        <v>0</v>
      </c>
      <c r="AD3">
        <f>'Calculations BTU'!AL212</f>
        <v>0</v>
      </c>
      <c r="AE3">
        <f>'Calculations BTU'!AM212</f>
        <v>0</v>
      </c>
      <c r="AF3">
        <f>'Calculations BTU'!AN212</f>
        <v>0</v>
      </c>
      <c r="AG3">
        <f>'Calculations BTU'!AO212</f>
        <v>0</v>
      </c>
      <c r="AH3">
        <f>'Calculations BTU'!AP212</f>
        <v>0</v>
      </c>
      <c r="AI3">
        <f>'Calculations BTU'!AQ212</f>
        <v>0</v>
      </c>
      <c r="AJ3">
        <f>'Calculations BTU'!AR212</f>
        <v>0</v>
      </c>
      <c r="AK3">
        <f>'Calculations BTU'!AS212</f>
        <v>0</v>
      </c>
      <c r="AL3">
        <f>'Calculations BTU'!AT212</f>
        <v>0</v>
      </c>
      <c r="AM3">
        <f>'Calculations BTU'!AU212</f>
        <v>0</v>
      </c>
      <c r="AN3">
        <f>'Calculations BTU'!AV212</f>
        <v>0</v>
      </c>
      <c r="AO3">
        <f>'Calculations BTU'!AW212</f>
        <v>0</v>
      </c>
      <c r="AP3">
        <f>'Calculations BTU'!AX212</f>
        <v>0</v>
      </c>
      <c r="AQ3">
        <f>'Calculations BTU'!AY212</f>
        <v>0</v>
      </c>
      <c r="AR3">
        <f>'Calculations BTU'!AZ212</f>
        <v>0</v>
      </c>
      <c r="AS3">
        <f>'Calculations BTU'!BA212</f>
        <v>0</v>
      </c>
      <c r="AT3">
        <f>'Calculations BTU'!BB212</f>
        <v>0</v>
      </c>
      <c r="AU3">
        <f>'Calculations BTU'!BC212</f>
        <v>0</v>
      </c>
      <c r="AV3">
        <f>'Calculations BTU'!BD212</f>
        <v>0</v>
      </c>
      <c r="AW3">
        <f>'Calculations BTU'!BE212</f>
        <v>0</v>
      </c>
      <c r="AX3">
        <f>'Calculations BTU'!BF212</f>
        <v>0</v>
      </c>
      <c r="AY3">
        <f>'Calculations BTU'!BG212</f>
        <v>0</v>
      </c>
      <c r="AZ3">
        <f>'Calculations BTU'!BH212</f>
        <v>0</v>
      </c>
    </row>
    <row r="4" spans="1:52">
      <c r="A4" t="s">
        <v>128</v>
      </c>
      <c r="B4">
        <f>'Calculations BTU'!J213</f>
        <v>0</v>
      </c>
      <c r="C4">
        <f>'Calculations BTU'!K213</f>
        <v>0</v>
      </c>
      <c r="D4">
        <f>'Calculations BTU'!L213</f>
        <v>0</v>
      </c>
      <c r="E4">
        <f>'Calculations BTU'!M213</f>
        <v>0</v>
      </c>
      <c r="F4">
        <f>'Calculations BTU'!N213</f>
        <v>0</v>
      </c>
      <c r="G4">
        <f>'Calculations BTU'!O213</f>
        <v>0</v>
      </c>
      <c r="H4">
        <f>'Calculations BTU'!P213</f>
        <v>0</v>
      </c>
      <c r="I4">
        <f>'Calculations BTU'!Q213</f>
        <v>0</v>
      </c>
      <c r="J4">
        <f>'Calculations BTU'!R213</f>
        <v>0</v>
      </c>
      <c r="K4">
        <f>'Calculations BTU'!S213</f>
        <v>0</v>
      </c>
      <c r="L4">
        <f>'Calculations BTU'!T213</f>
        <v>0</v>
      </c>
      <c r="M4">
        <f>'Calculations BTU'!U213</f>
        <v>0</v>
      </c>
      <c r="N4">
        <f>'Calculations BTU'!V213</f>
        <v>0</v>
      </c>
      <c r="O4">
        <f>'Calculations BTU'!W213</f>
        <v>0</v>
      </c>
      <c r="P4">
        <f>'Calculations BTU'!X213</f>
        <v>0</v>
      </c>
      <c r="Q4">
        <f>'Calculations BTU'!Y213</f>
        <v>0</v>
      </c>
      <c r="R4">
        <f>'Calculations BTU'!Z213</f>
        <v>0</v>
      </c>
      <c r="S4">
        <f>'Calculations BTU'!AA213</f>
        <v>0</v>
      </c>
      <c r="T4">
        <f>'Calculations BTU'!AB213</f>
        <v>0</v>
      </c>
      <c r="U4">
        <f>'Calculations BTU'!AC213</f>
        <v>0</v>
      </c>
      <c r="V4">
        <f>'Calculations BTU'!AD213</f>
        <v>0</v>
      </c>
      <c r="W4">
        <f>'Calculations BTU'!AE213</f>
        <v>0</v>
      </c>
      <c r="X4">
        <f>'Calculations BTU'!AF213</f>
        <v>0</v>
      </c>
      <c r="Y4">
        <f>'Calculations BTU'!AG213</f>
        <v>0</v>
      </c>
      <c r="Z4">
        <f>'Calculations BTU'!AH213</f>
        <v>0</v>
      </c>
      <c r="AA4">
        <f>'Calculations BTU'!AI213</f>
        <v>0</v>
      </c>
      <c r="AB4">
        <f>'Calculations BTU'!AJ213</f>
        <v>0</v>
      </c>
      <c r="AC4">
        <f>'Calculations BTU'!AK213</f>
        <v>0</v>
      </c>
      <c r="AD4">
        <f>'Calculations BTU'!AL213</f>
        <v>0</v>
      </c>
      <c r="AE4">
        <f>'Calculations BTU'!AM213</f>
        <v>0</v>
      </c>
      <c r="AF4">
        <f>'Calculations BTU'!AN213</f>
        <v>0</v>
      </c>
      <c r="AG4">
        <f>'Calculations BTU'!AO213</f>
        <v>0</v>
      </c>
      <c r="AH4">
        <f>'Calculations BTU'!AP213</f>
        <v>0</v>
      </c>
      <c r="AI4">
        <f>'Calculations BTU'!AQ213</f>
        <v>0</v>
      </c>
      <c r="AJ4">
        <f>'Calculations BTU'!AR213</f>
        <v>0</v>
      </c>
      <c r="AK4">
        <f>'Calculations BTU'!AS213</f>
        <v>0</v>
      </c>
      <c r="AL4">
        <f>'Calculations BTU'!AT213</f>
        <v>0</v>
      </c>
      <c r="AM4">
        <f>'Calculations BTU'!AU213</f>
        <v>0</v>
      </c>
      <c r="AN4">
        <f>'Calculations BTU'!AV213</f>
        <v>0</v>
      </c>
      <c r="AO4">
        <f>'Calculations BTU'!AW213</f>
        <v>0</v>
      </c>
      <c r="AP4">
        <f>'Calculations BTU'!AX213</f>
        <v>0</v>
      </c>
      <c r="AQ4">
        <f>'Calculations BTU'!AY213</f>
        <v>0</v>
      </c>
      <c r="AR4">
        <f>'Calculations BTU'!AZ213</f>
        <v>0</v>
      </c>
      <c r="AS4">
        <f>'Calculations BTU'!BA213</f>
        <v>0</v>
      </c>
      <c r="AT4">
        <f>'Calculations BTU'!BB213</f>
        <v>0</v>
      </c>
      <c r="AU4">
        <f>'Calculations BTU'!BC213</f>
        <v>0</v>
      </c>
      <c r="AV4">
        <f>'Calculations BTU'!BD213</f>
        <v>0</v>
      </c>
      <c r="AW4">
        <f>'Calculations BTU'!BE213</f>
        <v>0</v>
      </c>
      <c r="AX4">
        <f>'Calculations BTU'!BF213</f>
        <v>0</v>
      </c>
      <c r="AY4">
        <f>'Calculations BTU'!BG213</f>
        <v>0</v>
      </c>
      <c r="AZ4">
        <f>'Calculations BTU'!BH213</f>
        <v>0</v>
      </c>
    </row>
    <row r="5" spans="1:52">
      <c r="A5" t="s">
        <v>129</v>
      </c>
      <c r="B5">
        <f>'Calculations BTU'!J214</f>
        <v>0</v>
      </c>
      <c r="C5">
        <f>'Calculations BTU'!K214</f>
        <v>0</v>
      </c>
      <c r="D5">
        <f>'Calculations BTU'!L214</f>
        <v>0</v>
      </c>
      <c r="E5">
        <f>'Calculations BTU'!M214</f>
        <v>0</v>
      </c>
      <c r="F5">
        <f>'Calculations BTU'!N214</f>
        <v>0</v>
      </c>
      <c r="G5">
        <f>'Calculations BTU'!O214</f>
        <v>0</v>
      </c>
      <c r="H5">
        <f>'Calculations BTU'!P214</f>
        <v>0</v>
      </c>
      <c r="I5">
        <f>'Calculations BTU'!Q214</f>
        <v>0</v>
      </c>
      <c r="J5">
        <f>'Calculations BTU'!R214</f>
        <v>0</v>
      </c>
      <c r="K5">
        <f>'Calculations BTU'!S214</f>
        <v>0</v>
      </c>
      <c r="L5">
        <f>'Calculations BTU'!T214</f>
        <v>0</v>
      </c>
      <c r="M5">
        <f>'Calculations BTU'!U214</f>
        <v>0</v>
      </c>
      <c r="N5">
        <f>'Calculations BTU'!V214</f>
        <v>0</v>
      </c>
      <c r="O5">
        <f>'Calculations BTU'!W214</f>
        <v>0</v>
      </c>
      <c r="P5">
        <f>'Calculations BTU'!X214</f>
        <v>0</v>
      </c>
      <c r="Q5">
        <f>'Calculations BTU'!Y214</f>
        <v>0</v>
      </c>
      <c r="R5">
        <f>'Calculations BTU'!Z214</f>
        <v>0</v>
      </c>
      <c r="S5">
        <f>'Calculations BTU'!AA214</f>
        <v>0</v>
      </c>
      <c r="T5">
        <f>'Calculations BTU'!AB214</f>
        <v>0</v>
      </c>
      <c r="U5">
        <f>'Calculations BTU'!AC214</f>
        <v>0</v>
      </c>
      <c r="V5">
        <f>'Calculations BTU'!AD214</f>
        <v>0</v>
      </c>
      <c r="W5">
        <f>'Calculations BTU'!AE214</f>
        <v>0</v>
      </c>
      <c r="X5">
        <f>'Calculations BTU'!AF214</f>
        <v>0</v>
      </c>
      <c r="Y5">
        <f>'Calculations BTU'!AG214</f>
        <v>0</v>
      </c>
      <c r="Z5">
        <f>'Calculations BTU'!AH214</f>
        <v>0</v>
      </c>
      <c r="AA5">
        <f>'Calculations BTU'!AI214</f>
        <v>0</v>
      </c>
      <c r="AB5">
        <f>'Calculations BTU'!AJ214</f>
        <v>0</v>
      </c>
      <c r="AC5">
        <f>'Calculations BTU'!AK214</f>
        <v>0</v>
      </c>
      <c r="AD5">
        <f>'Calculations BTU'!AL214</f>
        <v>0</v>
      </c>
      <c r="AE5">
        <f>'Calculations BTU'!AM214</f>
        <v>0</v>
      </c>
      <c r="AF5">
        <f>'Calculations BTU'!AN214</f>
        <v>0</v>
      </c>
      <c r="AG5">
        <f>'Calculations BTU'!AO214</f>
        <v>0</v>
      </c>
      <c r="AH5">
        <f>'Calculations BTU'!AP214</f>
        <v>0</v>
      </c>
      <c r="AI5">
        <f>'Calculations BTU'!AQ214</f>
        <v>0</v>
      </c>
      <c r="AJ5">
        <f>'Calculations BTU'!AR214</f>
        <v>0</v>
      </c>
      <c r="AK5">
        <f>'Calculations BTU'!AS214</f>
        <v>0</v>
      </c>
      <c r="AL5">
        <f>'Calculations BTU'!AT214</f>
        <v>0</v>
      </c>
      <c r="AM5">
        <f>'Calculations BTU'!AU214</f>
        <v>0</v>
      </c>
      <c r="AN5">
        <f>'Calculations BTU'!AV214</f>
        <v>0</v>
      </c>
      <c r="AO5">
        <f>'Calculations BTU'!AW214</f>
        <v>0</v>
      </c>
      <c r="AP5">
        <f>'Calculations BTU'!AX214</f>
        <v>0</v>
      </c>
      <c r="AQ5">
        <f>'Calculations BTU'!AY214</f>
        <v>0</v>
      </c>
      <c r="AR5">
        <f>'Calculations BTU'!AZ214</f>
        <v>0</v>
      </c>
      <c r="AS5">
        <f>'Calculations BTU'!BA214</f>
        <v>0</v>
      </c>
      <c r="AT5">
        <f>'Calculations BTU'!BB214</f>
        <v>0</v>
      </c>
      <c r="AU5">
        <f>'Calculations BTU'!BC214</f>
        <v>0</v>
      </c>
      <c r="AV5">
        <f>'Calculations BTU'!BD214</f>
        <v>0</v>
      </c>
      <c r="AW5">
        <f>'Calculations BTU'!BE214</f>
        <v>0</v>
      </c>
      <c r="AX5">
        <f>'Calculations BTU'!BF214</f>
        <v>0</v>
      </c>
      <c r="AY5">
        <f>'Calculations BTU'!BG214</f>
        <v>0</v>
      </c>
      <c r="AZ5">
        <f>'Calculations BTU'!BH214</f>
        <v>0</v>
      </c>
    </row>
    <row r="6" spans="1:52">
      <c r="A6" t="s">
        <v>130</v>
      </c>
      <c r="B6">
        <f>'Calculations BTU'!J215</f>
        <v>0</v>
      </c>
      <c r="C6">
        <f>'Calculations BTU'!K215</f>
        <v>0</v>
      </c>
      <c r="D6">
        <f>'Calculations BTU'!L215</f>
        <v>0</v>
      </c>
      <c r="E6">
        <f>'Calculations BTU'!M215</f>
        <v>0</v>
      </c>
      <c r="F6">
        <f>'Calculations BTU'!N215</f>
        <v>0</v>
      </c>
      <c r="G6">
        <f>'Calculations BTU'!O215</f>
        <v>0</v>
      </c>
      <c r="H6">
        <f>'Calculations BTU'!P215</f>
        <v>0</v>
      </c>
      <c r="I6">
        <f>'Calculations BTU'!Q215</f>
        <v>0</v>
      </c>
      <c r="J6">
        <f>'Calculations BTU'!R215</f>
        <v>0</v>
      </c>
      <c r="K6">
        <f>'Calculations BTU'!S215</f>
        <v>0</v>
      </c>
      <c r="L6">
        <f>'Calculations BTU'!T215</f>
        <v>0</v>
      </c>
      <c r="M6">
        <f>'Calculations BTU'!U215</f>
        <v>0</v>
      </c>
      <c r="N6">
        <f>'Calculations BTU'!V215</f>
        <v>0</v>
      </c>
      <c r="O6">
        <f>'Calculations BTU'!W215</f>
        <v>0</v>
      </c>
      <c r="P6">
        <f>'Calculations BTU'!X215</f>
        <v>0</v>
      </c>
      <c r="Q6">
        <f>'Calculations BTU'!Y215</f>
        <v>0</v>
      </c>
      <c r="R6">
        <f>'Calculations BTU'!Z215</f>
        <v>0</v>
      </c>
      <c r="S6">
        <f>'Calculations BTU'!AA215</f>
        <v>0</v>
      </c>
      <c r="T6">
        <f>'Calculations BTU'!AB215</f>
        <v>0</v>
      </c>
      <c r="U6">
        <f>'Calculations BTU'!AC215</f>
        <v>0</v>
      </c>
      <c r="V6">
        <f>'Calculations BTU'!AD215</f>
        <v>0</v>
      </c>
      <c r="W6">
        <f>'Calculations BTU'!AE215</f>
        <v>0</v>
      </c>
      <c r="X6">
        <f>'Calculations BTU'!AF215</f>
        <v>0</v>
      </c>
      <c r="Y6">
        <f>'Calculations BTU'!AG215</f>
        <v>0</v>
      </c>
      <c r="Z6">
        <f>'Calculations BTU'!AH215</f>
        <v>0</v>
      </c>
      <c r="AA6">
        <f>'Calculations BTU'!AI215</f>
        <v>0</v>
      </c>
      <c r="AB6">
        <f>'Calculations BTU'!AJ215</f>
        <v>0</v>
      </c>
      <c r="AC6">
        <f>'Calculations BTU'!AK215</f>
        <v>0</v>
      </c>
      <c r="AD6">
        <f>'Calculations BTU'!AL215</f>
        <v>0</v>
      </c>
      <c r="AE6">
        <f>'Calculations BTU'!AM215</f>
        <v>0</v>
      </c>
      <c r="AF6">
        <f>'Calculations BTU'!AN215</f>
        <v>0</v>
      </c>
      <c r="AG6">
        <f>'Calculations BTU'!AO215</f>
        <v>0</v>
      </c>
      <c r="AH6">
        <f>'Calculations BTU'!AP215</f>
        <v>0</v>
      </c>
      <c r="AI6">
        <f>'Calculations BTU'!AQ215</f>
        <v>0</v>
      </c>
      <c r="AJ6">
        <f>'Calculations BTU'!AR215</f>
        <v>0</v>
      </c>
      <c r="AK6">
        <f>'Calculations BTU'!AS215</f>
        <v>0</v>
      </c>
      <c r="AL6">
        <f>'Calculations BTU'!AT215</f>
        <v>0</v>
      </c>
      <c r="AM6">
        <f>'Calculations BTU'!AU215</f>
        <v>0</v>
      </c>
      <c r="AN6">
        <f>'Calculations BTU'!AV215</f>
        <v>0</v>
      </c>
      <c r="AO6">
        <f>'Calculations BTU'!AW215</f>
        <v>0</v>
      </c>
      <c r="AP6">
        <f>'Calculations BTU'!AX215</f>
        <v>0</v>
      </c>
      <c r="AQ6">
        <f>'Calculations BTU'!AY215</f>
        <v>0</v>
      </c>
      <c r="AR6">
        <f>'Calculations BTU'!AZ215</f>
        <v>0</v>
      </c>
      <c r="AS6">
        <f>'Calculations BTU'!BA215</f>
        <v>0</v>
      </c>
      <c r="AT6">
        <f>'Calculations BTU'!BB215</f>
        <v>0</v>
      </c>
      <c r="AU6">
        <f>'Calculations BTU'!BC215</f>
        <v>0</v>
      </c>
      <c r="AV6">
        <f>'Calculations BTU'!BD215</f>
        <v>0</v>
      </c>
      <c r="AW6">
        <f>'Calculations BTU'!BE215</f>
        <v>0</v>
      </c>
      <c r="AX6">
        <f>'Calculations BTU'!BF215</f>
        <v>0</v>
      </c>
      <c r="AY6">
        <f>'Calculations BTU'!BG215</f>
        <v>0</v>
      </c>
      <c r="AZ6">
        <f>'Calculations BTU'!BH215</f>
        <v>0</v>
      </c>
    </row>
    <row r="7" spans="1:52">
      <c r="A7" t="s">
        <v>131</v>
      </c>
      <c r="B7">
        <f>'Calculations BTU'!J216</f>
        <v>0</v>
      </c>
      <c r="C7">
        <f>'Calculations BTU'!K216</f>
        <v>0</v>
      </c>
      <c r="D7">
        <f>'Calculations BTU'!L216</f>
        <v>0</v>
      </c>
      <c r="E7">
        <f>'Calculations BTU'!M216</f>
        <v>0</v>
      </c>
      <c r="F7">
        <f>'Calculations BTU'!N216</f>
        <v>0</v>
      </c>
      <c r="G7">
        <f>'Calculations BTU'!O216</f>
        <v>0</v>
      </c>
      <c r="H7">
        <f>'Calculations BTU'!P216</f>
        <v>0</v>
      </c>
      <c r="I7">
        <f>'Calculations BTU'!Q216</f>
        <v>0</v>
      </c>
      <c r="J7">
        <f>'Calculations BTU'!R216</f>
        <v>0</v>
      </c>
      <c r="K7">
        <f>'Calculations BTU'!S216</f>
        <v>0</v>
      </c>
      <c r="L7">
        <f>'Calculations BTU'!T216</f>
        <v>0</v>
      </c>
      <c r="M7">
        <f>'Calculations BTU'!U216</f>
        <v>0</v>
      </c>
      <c r="N7">
        <f>'Calculations BTU'!V216</f>
        <v>0</v>
      </c>
      <c r="O7">
        <f>'Calculations BTU'!W216</f>
        <v>0</v>
      </c>
      <c r="P7">
        <f>'Calculations BTU'!X216</f>
        <v>0</v>
      </c>
      <c r="Q7">
        <f>'Calculations BTU'!Y216</f>
        <v>0</v>
      </c>
      <c r="R7">
        <f>'Calculations BTU'!Z216</f>
        <v>0</v>
      </c>
      <c r="S7">
        <f>'Calculations BTU'!AA216</f>
        <v>0</v>
      </c>
      <c r="T7">
        <f>'Calculations BTU'!AB216</f>
        <v>0</v>
      </c>
      <c r="U7">
        <f>'Calculations BTU'!AC216</f>
        <v>0</v>
      </c>
      <c r="V7">
        <f>'Calculations BTU'!AD216</f>
        <v>0</v>
      </c>
      <c r="W7">
        <f>'Calculations BTU'!AE216</f>
        <v>0</v>
      </c>
      <c r="X7">
        <f>'Calculations BTU'!AF216</f>
        <v>0</v>
      </c>
      <c r="Y7">
        <f>'Calculations BTU'!AG216</f>
        <v>0</v>
      </c>
      <c r="Z7">
        <f>'Calculations BTU'!AH216</f>
        <v>0</v>
      </c>
      <c r="AA7">
        <f>'Calculations BTU'!AI216</f>
        <v>0</v>
      </c>
      <c r="AB7">
        <f>'Calculations BTU'!AJ216</f>
        <v>0</v>
      </c>
      <c r="AC7">
        <f>'Calculations BTU'!AK216</f>
        <v>0</v>
      </c>
      <c r="AD7">
        <f>'Calculations BTU'!AL216</f>
        <v>0</v>
      </c>
      <c r="AE7">
        <f>'Calculations BTU'!AM216</f>
        <v>0</v>
      </c>
      <c r="AF7">
        <f>'Calculations BTU'!AN216</f>
        <v>0</v>
      </c>
      <c r="AG7">
        <f>'Calculations BTU'!AO216</f>
        <v>0</v>
      </c>
      <c r="AH7">
        <f>'Calculations BTU'!AP216</f>
        <v>0</v>
      </c>
      <c r="AI7">
        <f>'Calculations BTU'!AQ216</f>
        <v>0</v>
      </c>
      <c r="AJ7">
        <f>'Calculations BTU'!AR216</f>
        <v>0</v>
      </c>
      <c r="AK7">
        <f>'Calculations BTU'!AS216</f>
        <v>0</v>
      </c>
      <c r="AL7">
        <f>'Calculations BTU'!AT216</f>
        <v>0</v>
      </c>
      <c r="AM7">
        <f>'Calculations BTU'!AU216</f>
        <v>0</v>
      </c>
      <c r="AN7">
        <f>'Calculations BTU'!AV216</f>
        <v>0</v>
      </c>
      <c r="AO7">
        <f>'Calculations BTU'!AW216</f>
        <v>0</v>
      </c>
      <c r="AP7">
        <f>'Calculations BTU'!AX216</f>
        <v>0</v>
      </c>
      <c r="AQ7">
        <f>'Calculations BTU'!AY216</f>
        <v>0</v>
      </c>
      <c r="AR7">
        <f>'Calculations BTU'!AZ216</f>
        <v>0</v>
      </c>
      <c r="AS7">
        <f>'Calculations BTU'!BA216</f>
        <v>0</v>
      </c>
      <c r="AT7">
        <f>'Calculations BTU'!BB216</f>
        <v>0</v>
      </c>
      <c r="AU7">
        <f>'Calculations BTU'!BC216</f>
        <v>0</v>
      </c>
      <c r="AV7">
        <f>'Calculations BTU'!BD216</f>
        <v>0</v>
      </c>
      <c r="AW7">
        <f>'Calculations BTU'!BE216</f>
        <v>0</v>
      </c>
      <c r="AX7">
        <f>'Calculations BTU'!BF216</f>
        <v>0</v>
      </c>
      <c r="AY7">
        <f>'Calculations BTU'!BG216</f>
        <v>0</v>
      </c>
      <c r="AZ7">
        <f>'Calculations BTU'!BH216</f>
        <v>0</v>
      </c>
    </row>
    <row r="8" spans="1:52">
      <c r="A8" t="s">
        <v>132</v>
      </c>
      <c r="B8">
        <f>'Calculations BTU'!J217</f>
        <v>0</v>
      </c>
      <c r="C8">
        <f>'Calculations BTU'!K217</f>
        <v>0</v>
      </c>
      <c r="D8">
        <f>'Calculations BTU'!L217</f>
        <v>0</v>
      </c>
      <c r="E8">
        <f>'Calculations BTU'!M217</f>
        <v>0</v>
      </c>
      <c r="F8">
        <f>'Calculations BTU'!N217</f>
        <v>0</v>
      </c>
      <c r="G8">
        <f>'Calculations BTU'!O217</f>
        <v>0</v>
      </c>
      <c r="H8">
        <f>'Calculations BTU'!P217</f>
        <v>0</v>
      </c>
      <c r="I8">
        <f>'Calculations BTU'!Q217</f>
        <v>0</v>
      </c>
      <c r="J8">
        <f>'Calculations BTU'!R217</f>
        <v>0</v>
      </c>
      <c r="K8">
        <f>'Calculations BTU'!S217</f>
        <v>0</v>
      </c>
      <c r="L8">
        <f>'Calculations BTU'!T217</f>
        <v>0</v>
      </c>
      <c r="M8">
        <f>'Calculations BTU'!U217</f>
        <v>0</v>
      </c>
      <c r="N8">
        <f>'Calculations BTU'!V217</f>
        <v>0</v>
      </c>
      <c r="O8">
        <f>'Calculations BTU'!W217</f>
        <v>0</v>
      </c>
      <c r="P8">
        <f>'Calculations BTU'!X217</f>
        <v>0</v>
      </c>
      <c r="Q8">
        <f>'Calculations BTU'!Y217</f>
        <v>0</v>
      </c>
      <c r="R8">
        <f>'Calculations BTU'!Z217</f>
        <v>0</v>
      </c>
      <c r="S8">
        <f>'Calculations BTU'!AA217</f>
        <v>0</v>
      </c>
      <c r="T8">
        <f>'Calculations BTU'!AB217</f>
        <v>0</v>
      </c>
      <c r="U8">
        <f>'Calculations BTU'!AC217</f>
        <v>0</v>
      </c>
      <c r="V8">
        <f>'Calculations BTU'!AD217</f>
        <v>0</v>
      </c>
      <c r="W8">
        <f>'Calculations BTU'!AE217</f>
        <v>0</v>
      </c>
      <c r="X8">
        <f>'Calculations BTU'!AF217</f>
        <v>0</v>
      </c>
      <c r="Y8">
        <f>'Calculations BTU'!AG217</f>
        <v>0</v>
      </c>
      <c r="Z8">
        <f>'Calculations BTU'!AH217</f>
        <v>0</v>
      </c>
      <c r="AA8">
        <f>'Calculations BTU'!AI217</f>
        <v>0</v>
      </c>
      <c r="AB8">
        <f>'Calculations BTU'!AJ217</f>
        <v>0</v>
      </c>
      <c r="AC8">
        <f>'Calculations BTU'!AK217</f>
        <v>0</v>
      </c>
      <c r="AD8">
        <f>'Calculations BTU'!AL217</f>
        <v>0</v>
      </c>
      <c r="AE8">
        <f>'Calculations BTU'!AM217</f>
        <v>0</v>
      </c>
      <c r="AF8">
        <f>'Calculations BTU'!AN217</f>
        <v>0</v>
      </c>
      <c r="AG8">
        <f>'Calculations BTU'!AO217</f>
        <v>0</v>
      </c>
      <c r="AH8">
        <f>'Calculations BTU'!AP217</f>
        <v>0</v>
      </c>
      <c r="AI8">
        <f>'Calculations BTU'!AQ217</f>
        <v>0</v>
      </c>
      <c r="AJ8">
        <f>'Calculations BTU'!AR217</f>
        <v>0</v>
      </c>
      <c r="AK8">
        <f>'Calculations BTU'!AS217</f>
        <v>0</v>
      </c>
      <c r="AL8">
        <f>'Calculations BTU'!AT217</f>
        <v>0</v>
      </c>
      <c r="AM8">
        <f>'Calculations BTU'!AU217</f>
        <v>0</v>
      </c>
      <c r="AN8">
        <f>'Calculations BTU'!AV217</f>
        <v>0</v>
      </c>
      <c r="AO8">
        <f>'Calculations BTU'!AW217</f>
        <v>0</v>
      </c>
      <c r="AP8">
        <f>'Calculations BTU'!AX217</f>
        <v>0</v>
      </c>
      <c r="AQ8">
        <f>'Calculations BTU'!AY217</f>
        <v>0</v>
      </c>
      <c r="AR8">
        <f>'Calculations BTU'!AZ217</f>
        <v>0</v>
      </c>
      <c r="AS8">
        <f>'Calculations BTU'!BA217</f>
        <v>0</v>
      </c>
      <c r="AT8">
        <f>'Calculations BTU'!BB217</f>
        <v>0</v>
      </c>
      <c r="AU8">
        <f>'Calculations BTU'!BC217</f>
        <v>0</v>
      </c>
      <c r="AV8">
        <f>'Calculations BTU'!BD217</f>
        <v>0</v>
      </c>
      <c r="AW8">
        <f>'Calculations BTU'!BE217</f>
        <v>0</v>
      </c>
      <c r="AX8">
        <f>'Calculations BTU'!BF217</f>
        <v>0</v>
      </c>
      <c r="AY8">
        <f>'Calculations BTU'!BG217</f>
        <v>0</v>
      </c>
      <c r="AZ8">
        <f>'Calculations BTU'!BH217</f>
        <v>0</v>
      </c>
    </row>
    <row r="9" spans="1:52">
      <c r="A9" t="s">
        <v>133</v>
      </c>
      <c r="B9">
        <f>'Calculations BTU'!J218</f>
        <v>0</v>
      </c>
      <c r="C9">
        <f>'Calculations BTU'!K218</f>
        <v>0</v>
      </c>
      <c r="D9">
        <f>'Calculations BTU'!L218</f>
        <v>0</v>
      </c>
      <c r="E9">
        <f>'Calculations BTU'!M218</f>
        <v>0</v>
      </c>
      <c r="F9">
        <f>'Calculations BTU'!N218</f>
        <v>0</v>
      </c>
      <c r="G9">
        <f>'Calculations BTU'!O218</f>
        <v>0</v>
      </c>
      <c r="H9">
        <f>'Calculations BTU'!P218</f>
        <v>0</v>
      </c>
      <c r="I9">
        <f>'Calculations BTU'!Q218</f>
        <v>0</v>
      </c>
      <c r="J9">
        <f>'Calculations BTU'!R218</f>
        <v>0</v>
      </c>
      <c r="K9">
        <f>'Calculations BTU'!S218</f>
        <v>0</v>
      </c>
      <c r="L9">
        <f>'Calculations BTU'!T218</f>
        <v>0</v>
      </c>
      <c r="M9">
        <f>'Calculations BTU'!U218</f>
        <v>0</v>
      </c>
      <c r="N9">
        <f>'Calculations BTU'!V218</f>
        <v>0</v>
      </c>
      <c r="O9">
        <f>'Calculations BTU'!W218</f>
        <v>0</v>
      </c>
      <c r="P9">
        <f>'Calculations BTU'!X218</f>
        <v>0</v>
      </c>
      <c r="Q9">
        <f>'Calculations BTU'!Y218</f>
        <v>0</v>
      </c>
      <c r="R9">
        <f>'Calculations BTU'!Z218</f>
        <v>0</v>
      </c>
      <c r="S9">
        <f>'Calculations BTU'!AA218</f>
        <v>0</v>
      </c>
      <c r="T9">
        <f>'Calculations BTU'!AB218</f>
        <v>0</v>
      </c>
      <c r="U9">
        <f>'Calculations BTU'!AC218</f>
        <v>0</v>
      </c>
      <c r="V9">
        <f>'Calculations BTU'!AD218</f>
        <v>0</v>
      </c>
      <c r="W9">
        <f>'Calculations BTU'!AE218</f>
        <v>0</v>
      </c>
      <c r="X9">
        <f>'Calculations BTU'!AF218</f>
        <v>0</v>
      </c>
      <c r="Y9">
        <f>'Calculations BTU'!AG218</f>
        <v>0</v>
      </c>
      <c r="Z9">
        <f>'Calculations BTU'!AH218</f>
        <v>0</v>
      </c>
      <c r="AA9">
        <f>'Calculations BTU'!AI218</f>
        <v>0</v>
      </c>
      <c r="AB9">
        <f>'Calculations BTU'!AJ218</f>
        <v>0</v>
      </c>
      <c r="AC9">
        <f>'Calculations BTU'!AK218</f>
        <v>0</v>
      </c>
      <c r="AD9">
        <f>'Calculations BTU'!AL218</f>
        <v>0</v>
      </c>
      <c r="AE9">
        <f>'Calculations BTU'!AM218</f>
        <v>0</v>
      </c>
      <c r="AF9">
        <f>'Calculations BTU'!AN218</f>
        <v>0</v>
      </c>
      <c r="AG9">
        <f>'Calculations BTU'!AO218</f>
        <v>0</v>
      </c>
      <c r="AH9">
        <f>'Calculations BTU'!AP218</f>
        <v>0</v>
      </c>
      <c r="AI9">
        <f>'Calculations BTU'!AQ218</f>
        <v>0</v>
      </c>
      <c r="AJ9">
        <f>'Calculations BTU'!AR218</f>
        <v>0</v>
      </c>
      <c r="AK9">
        <f>'Calculations BTU'!AS218</f>
        <v>0</v>
      </c>
      <c r="AL9">
        <f>'Calculations BTU'!AT218</f>
        <v>0</v>
      </c>
      <c r="AM9">
        <f>'Calculations BTU'!AU218</f>
        <v>0</v>
      </c>
      <c r="AN9">
        <f>'Calculations BTU'!AV218</f>
        <v>0</v>
      </c>
      <c r="AO9">
        <f>'Calculations BTU'!AW218</f>
        <v>0</v>
      </c>
      <c r="AP9">
        <f>'Calculations BTU'!AX218</f>
        <v>0</v>
      </c>
      <c r="AQ9">
        <f>'Calculations BTU'!AY218</f>
        <v>0</v>
      </c>
      <c r="AR9">
        <f>'Calculations BTU'!AZ218</f>
        <v>0</v>
      </c>
      <c r="AS9">
        <f>'Calculations BTU'!BA218</f>
        <v>0</v>
      </c>
      <c r="AT9">
        <f>'Calculations BTU'!BB218</f>
        <v>0</v>
      </c>
      <c r="AU9">
        <f>'Calculations BTU'!BC218</f>
        <v>0</v>
      </c>
      <c r="AV9">
        <f>'Calculations BTU'!BD218</f>
        <v>0</v>
      </c>
      <c r="AW9">
        <f>'Calculations BTU'!BE218</f>
        <v>0</v>
      </c>
      <c r="AX9">
        <f>'Calculations BTU'!BF218</f>
        <v>0</v>
      </c>
      <c r="AY9">
        <f>'Calculations BTU'!BG218</f>
        <v>0</v>
      </c>
      <c r="AZ9">
        <f>'Calculations BTU'!BH218</f>
        <v>0</v>
      </c>
    </row>
    <row r="10" spans="1:52">
      <c r="A10" t="s">
        <v>134</v>
      </c>
      <c r="B10">
        <f>'Calculations BTU'!J219</f>
        <v>0</v>
      </c>
      <c r="C10">
        <f>'Calculations BTU'!K219</f>
        <v>0</v>
      </c>
      <c r="D10">
        <f>'Calculations BTU'!L219</f>
        <v>0</v>
      </c>
      <c r="E10">
        <f>'Calculations BTU'!M219</f>
        <v>0</v>
      </c>
      <c r="F10">
        <f>'Calculations BTU'!N219</f>
        <v>0</v>
      </c>
      <c r="G10">
        <f>'Calculations BTU'!O219</f>
        <v>0</v>
      </c>
      <c r="H10">
        <f>'Calculations BTU'!P219</f>
        <v>0</v>
      </c>
      <c r="I10">
        <f>'Calculations BTU'!Q219</f>
        <v>0</v>
      </c>
      <c r="J10">
        <f>'Calculations BTU'!R219</f>
        <v>0</v>
      </c>
      <c r="K10">
        <f>'Calculations BTU'!S219</f>
        <v>0</v>
      </c>
      <c r="L10">
        <f>'Calculations BTU'!T219</f>
        <v>0</v>
      </c>
      <c r="M10">
        <f>'Calculations BTU'!U219</f>
        <v>0</v>
      </c>
      <c r="N10">
        <f>'Calculations BTU'!V219</f>
        <v>0</v>
      </c>
      <c r="O10">
        <f>'Calculations BTU'!W219</f>
        <v>0</v>
      </c>
      <c r="P10">
        <f>'Calculations BTU'!X219</f>
        <v>0</v>
      </c>
      <c r="Q10">
        <f>'Calculations BTU'!Y219</f>
        <v>0</v>
      </c>
      <c r="R10">
        <f>'Calculations BTU'!Z219</f>
        <v>0</v>
      </c>
      <c r="S10">
        <f>'Calculations BTU'!AA219</f>
        <v>0</v>
      </c>
      <c r="T10">
        <f>'Calculations BTU'!AB219</f>
        <v>0</v>
      </c>
      <c r="U10">
        <f>'Calculations BTU'!AC219</f>
        <v>0</v>
      </c>
      <c r="V10">
        <f>'Calculations BTU'!AD219</f>
        <v>0</v>
      </c>
      <c r="W10">
        <f>'Calculations BTU'!AE219</f>
        <v>0</v>
      </c>
      <c r="X10">
        <f>'Calculations BTU'!AF219</f>
        <v>0</v>
      </c>
      <c r="Y10">
        <f>'Calculations BTU'!AG219</f>
        <v>0</v>
      </c>
      <c r="Z10">
        <f>'Calculations BTU'!AH219</f>
        <v>0</v>
      </c>
      <c r="AA10">
        <f>'Calculations BTU'!AI219</f>
        <v>0</v>
      </c>
      <c r="AB10">
        <f>'Calculations BTU'!AJ219</f>
        <v>0</v>
      </c>
      <c r="AC10">
        <f>'Calculations BTU'!AK219</f>
        <v>0</v>
      </c>
      <c r="AD10">
        <f>'Calculations BTU'!AL219</f>
        <v>0</v>
      </c>
      <c r="AE10">
        <f>'Calculations BTU'!AM219</f>
        <v>0</v>
      </c>
      <c r="AF10">
        <f>'Calculations BTU'!AN219</f>
        <v>0</v>
      </c>
      <c r="AG10">
        <f>'Calculations BTU'!AO219</f>
        <v>0</v>
      </c>
      <c r="AH10">
        <f>'Calculations BTU'!AP219</f>
        <v>0</v>
      </c>
      <c r="AI10">
        <f>'Calculations BTU'!AQ219</f>
        <v>0</v>
      </c>
      <c r="AJ10">
        <f>'Calculations BTU'!AR219</f>
        <v>0</v>
      </c>
      <c r="AK10">
        <f>'Calculations BTU'!AS219</f>
        <v>0</v>
      </c>
      <c r="AL10">
        <f>'Calculations BTU'!AT219</f>
        <v>0</v>
      </c>
      <c r="AM10">
        <f>'Calculations BTU'!AU219</f>
        <v>0</v>
      </c>
      <c r="AN10">
        <f>'Calculations BTU'!AV219</f>
        <v>0</v>
      </c>
      <c r="AO10">
        <f>'Calculations BTU'!AW219</f>
        <v>0</v>
      </c>
      <c r="AP10">
        <f>'Calculations BTU'!AX219</f>
        <v>0</v>
      </c>
      <c r="AQ10">
        <f>'Calculations BTU'!AY219</f>
        <v>0</v>
      </c>
      <c r="AR10">
        <f>'Calculations BTU'!AZ219</f>
        <v>0</v>
      </c>
      <c r="AS10">
        <f>'Calculations BTU'!BA219</f>
        <v>0</v>
      </c>
      <c r="AT10">
        <f>'Calculations BTU'!BB219</f>
        <v>0</v>
      </c>
      <c r="AU10">
        <f>'Calculations BTU'!BC219</f>
        <v>0</v>
      </c>
      <c r="AV10">
        <f>'Calculations BTU'!BD219</f>
        <v>0</v>
      </c>
      <c r="AW10">
        <f>'Calculations BTU'!BE219</f>
        <v>0</v>
      </c>
      <c r="AX10">
        <f>'Calculations BTU'!BF219</f>
        <v>0</v>
      </c>
      <c r="AY10">
        <f>'Calculations BTU'!BG219</f>
        <v>0</v>
      </c>
      <c r="AZ10">
        <f>'Calculations BTU'!BH219</f>
        <v>0</v>
      </c>
    </row>
    <row r="11" spans="1:52">
      <c r="A11" t="s">
        <v>135</v>
      </c>
      <c r="B11">
        <f>'Calculations BTU'!J220</f>
        <v>0</v>
      </c>
      <c r="C11">
        <f>'Calculations BTU'!K220</f>
        <v>0</v>
      </c>
      <c r="D11">
        <f>'Calculations BTU'!L220</f>
        <v>0</v>
      </c>
      <c r="E11">
        <f>'Calculations BTU'!M220</f>
        <v>0</v>
      </c>
      <c r="F11">
        <f>'Calculations BTU'!N220</f>
        <v>0</v>
      </c>
      <c r="G11">
        <f>'Calculations BTU'!O220</f>
        <v>0</v>
      </c>
      <c r="H11">
        <f>'Calculations BTU'!P220</f>
        <v>0</v>
      </c>
      <c r="I11">
        <f>'Calculations BTU'!Q220</f>
        <v>0</v>
      </c>
      <c r="J11">
        <f>'Calculations BTU'!R220</f>
        <v>0</v>
      </c>
      <c r="K11">
        <f>'Calculations BTU'!S220</f>
        <v>0</v>
      </c>
      <c r="L11">
        <f>'Calculations BTU'!T220</f>
        <v>0</v>
      </c>
      <c r="M11">
        <f>'Calculations BTU'!U220</f>
        <v>0</v>
      </c>
      <c r="N11">
        <f>'Calculations BTU'!V220</f>
        <v>0</v>
      </c>
      <c r="O11">
        <f>'Calculations BTU'!W220</f>
        <v>0</v>
      </c>
      <c r="P11">
        <f>'Calculations BTU'!X220</f>
        <v>0</v>
      </c>
      <c r="Q11">
        <f>'Calculations BTU'!Y220</f>
        <v>0</v>
      </c>
      <c r="R11">
        <f>'Calculations BTU'!Z220</f>
        <v>0</v>
      </c>
      <c r="S11">
        <f>'Calculations BTU'!AA220</f>
        <v>0</v>
      </c>
      <c r="T11">
        <f>'Calculations BTU'!AB220</f>
        <v>0</v>
      </c>
      <c r="U11">
        <f>'Calculations BTU'!AC220</f>
        <v>0</v>
      </c>
      <c r="V11">
        <f>'Calculations BTU'!AD220</f>
        <v>0</v>
      </c>
      <c r="W11">
        <f>'Calculations BTU'!AE220</f>
        <v>0</v>
      </c>
      <c r="X11">
        <f>'Calculations BTU'!AF220</f>
        <v>0</v>
      </c>
      <c r="Y11">
        <f>'Calculations BTU'!AG220</f>
        <v>0</v>
      </c>
      <c r="Z11">
        <f>'Calculations BTU'!AH220</f>
        <v>0</v>
      </c>
      <c r="AA11">
        <f>'Calculations BTU'!AI220</f>
        <v>0</v>
      </c>
      <c r="AB11">
        <f>'Calculations BTU'!AJ220</f>
        <v>0</v>
      </c>
      <c r="AC11">
        <f>'Calculations BTU'!AK220</f>
        <v>0</v>
      </c>
      <c r="AD11">
        <f>'Calculations BTU'!AL220</f>
        <v>0</v>
      </c>
      <c r="AE11">
        <f>'Calculations BTU'!AM220</f>
        <v>0</v>
      </c>
      <c r="AF11">
        <f>'Calculations BTU'!AN220</f>
        <v>0</v>
      </c>
      <c r="AG11">
        <f>'Calculations BTU'!AO220</f>
        <v>0</v>
      </c>
      <c r="AH11">
        <f>'Calculations BTU'!AP220</f>
        <v>0</v>
      </c>
      <c r="AI11">
        <f>'Calculations BTU'!AQ220</f>
        <v>0</v>
      </c>
      <c r="AJ11">
        <f>'Calculations BTU'!AR220</f>
        <v>0</v>
      </c>
      <c r="AK11">
        <f>'Calculations BTU'!AS220</f>
        <v>0</v>
      </c>
      <c r="AL11">
        <f>'Calculations BTU'!AT220</f>
        <v>0</v>
      </c>
      <c r="AM11">
        <f>'Calculations BTU'!AU220</f>
        <v>0</v>
      </c>
      <c r="AN11">
        <f>'Calculations BTU'!AV220</f>
        <v>0</v>
      </c>
      <c r="AO11">
        <f>'Calculations BTU'!AW220</f>
        <v>0</v>
      </c>
      <c r="AP11">
        <f>'Calculations BTU'!AX220</f>
        <v>0</v>
      </c>
      <c r="AQ11">
        <f>'Calculations BTU'!AY220</f>
        <v>0</v>
      </c>
      <c r="AR11">
        <f>'Calculations BTU'!AZ220</f>
        <v>0</v>
      </c>
      <c r="AS11">
        <f>'Calculations BTU'!BA220</f>
        <v>0</v>
      </c>
      <c r="AT11">
        <f>'Calculations BTU'!BB220</f>
        <v>0</v>
      </c>
      <c r="AU11">
        <f>'Calculations BTU'!BC220</f>
        <v>0</v>
      </c>
      <c r="AV11">
        <f>'Calculations BTU'!BD220</f>
        <v>0</v>
      </c>
      <c r="AW11">
        <f>'Calculations BTU'!BE220</f>
        <v>0</v>
      </c>
      <c r="AX11">
        <f>'Calculations BTU'!BF220</f>
        <v>0</v>
      </c>
      <c r="AY11">
        <f>'Calculations BTU'!BG220</f>
        <v>0</v>
      </c>
      <c r="AZ11">
        <f>'Calculations BTU'!BH220</f>
        <v>0</v>
      </c>
    </row>
    <row r="12" spans="1:52">
      <c r="A12" t="s">
        <v>136</v>
      </c>
      <c r="B12">
        <f>'Calculations BTU'!J221</f>
        <v>0</v>
      </c>
      <c r="C12">
        <f>'Calculations BTU'!K221</f>
        <v>0</v>
      </c>
      <c r="D12">
        <f>'Calculations BTU'!L221</f>
        <v>0</v>
      </c>
      <c r="E12">
        <f>'Calculations BTU'!M221</f>
        <v>0</v>
      </c>
      <c r="F12">
        <f>'Calculations BTU'!N221</f>
        <v>0</v>
      </c>
      <c r="G12">
        <f>'Calculations BTU'!O221</f>
        <v>0</v>
      </c>
      <c r="H12">
        <f>'Calculations BTU'!P221</f>
        <v>0</v>
      </c>
      <c r="I12">
        <f>'Calculations BTU'!Q221</f>
        <v>0</v>
      </c>
      <c r="J12">
        <f>'Calculations BTU'!R221</f>
        <v>0</v>
      </c>
      <c r="K12">
        <f>'Calculations BTU'!S221</f>
        <v>0</v>
      </c>
      <c r="L12">
        <f>'Calculations BTU'!T221</f>
        <v>0</v>
      </c>
      <c r="M12">
        <f>'Calculations BTU'!U221</f>
        <v>0</v>
      </c>
      <c r="N12">
        <f>'Calculations BTU'!V221</f>
        <v>0</v>
      </c>
      <c r="O12">
        <f>'Calculations BTU'!W221</f>
        <v>0</v>
      </c>
      <c r="P12">
        <f>'Calculations BTU'!X221</f>
        <v>0</v>
      </c>
      <c r="Q12">
        <f>'Calculations BTU'!Y221</f>
        <v>0</v>
      </c>
      <c r="R12">
        <f>'Calculations BTU'!Z221</f>
        <v>0</v>
      </c>
      <c r="S12">
        <f>'Calculations BTU'!AA221</f>
        <v>0</v>
      </c>
      <c r="T12">
        <f>'Calculations BTU'!AB221</f>
        <v>0</v>
      </c>
      <c r="U12">
        <f>'Calculations BTU'!AC221</f>
        <v>0</v>
      </c>
      <c r="V12">
        <f>'Calculations BTU'!AD221</f>
        <v>0</v>
      </c>
      <c r="W12">
        <f>'Calculations BTU'!AE221</f>
        <v>0</v>
      </c>
      <c r="X12">
        <f>'Calculations BTU'!AF221</f>
        <v>0</v>
      </c>
      <c r="Y12">
        <f>'Calculations BTU'!AG221</f>
        <v>0</v>
      </c>
      <c r="Z12">
        <f>'Calculations BTU'!AH221</f>
        <v>0</v>
      </c>
      <c r="AA12">
        <f>'Calculations BTU'!AI221</f>
        <v>0</v>
      </c>
      <c r="AB12">
        <f>'Calculations BTU'!AJ221</f>
        <v>0</v>
      </c>
      <c r="AC12">
        <f>'Calculations BTU'!AK221</f>
        <v>0</v>
      </c>
      <c r="AD12">
        <f>'Calculations BTU'!AL221</f>
        <v>0</v>
      </c>
      <c r="AE12">
        <f>'Calculations BTU'!AM221</f>
        <v>0</v>
      </c>
      <c r="AF12">
        <f>'Calculations BTU'!AN221</f>
        <v>0</v>
      </c>
      <c r="AG12">
        <f>'Calculations BTU'!AO221</f>
        <v>0</v>
      </c>
      <c r="AH12">
        <f>'Calculations BTU'!AP221</f>
        <v>0</v>
      </c>
      <c r="AI12">
        <f>'Calculations BTU'!AQ221</f>
        <v>0</v>
      </c>
      <c r="AJ12">
        <f>'Calculations BTU'!AR221</f>
        <v>0</v>
      </c>
      <c r="AK12">
        <f>'Calculations BTU'!AS221</f>
        <v>0</v>
      </c>
      <c r="AL12">
        <f>'Calculations BTU'!AT221</f>
        <v>0</v>
      </c>
      <c r="AM12">
        <f>'Calculations BTU'!AU221</f>
        <v>0</v>
      </c>
      <c r="AN12">
        <f>'Calculations BTU'!AV221</f>
        <v>0</v>
      </c>
      <c r="AO12">
        <f>'Calculations BTU'!AW221</f>
        <v>0</v>
      </c>
      <c r="AP12">
        <f>'Calculations BTU'!AX221</f>
        <v>0</v>
      </c>
      <c r="AQ12">
        <f>'Calculations BTU'!AY221</f>
        <v>0</v>
      </c>
      <c r="AR12">
        <f>'Calculations BTU'!AZ221</f>
        <v>0</v>
      </c>
      <c r="AS12">
        <f>'Calculations BTU'!BA221</f>
        <v>0</v>
      </c>
      <c r="AT12">
        <f>'Calculations BTU'!BB221</f>
        <v>0</v>
      </c>
      <c r="AU12">
        <f>'Calculations BTU'!BC221</f>
        <v>0</v>
      </c>
      <c r="AV12">
        <f>'Calculations BTU'!BD221</f>
        <v>0</v>
      </c>
      <c r="AW12">
        <f>'Calculations BTU'!BE221</f>
        <v>0</v>
      </c>
      <c r="AX12">
        <f>'Calculations BTU'!BF221</f>
        <v>0</v>
      </c>
      <c r="AY12">
        <f>'Calculations BTU'!BG221</f>
        <v>0</v>
      </c>
      <c r="AZ12">
        <f>'Calculations BTU'!BH221</f>
        <v>0</v>
      </c>
    </row>
    <row r="13" spans="1:52">
      <c r="A13" t="s">
        <v>137</v>
      </c>
      <c r="B13">
        <f>'Calculations BTU'!J222</f>
        <v>0</v>
      </c>
      <c r="C13">
        <f>'Calculations BTU'!K222</f>
        <v>0</v>
      </c>
      <c r="D13">
        <f>'Calculations BTU'!L222</f>
        <v>0</v>
      </c>
      <c r="E13">
        <f>'Calculations BTU'!M222</f>
        <v>0</v>
      </c>
      <c r="F13">
        <f>'Calculations BTU'!N222</f>
        <v>0</v>
      </c>
      <c r="G13">
        <f>'Calculations BTU'!O222</f>
        <v>0</v>
      </c>
      <c r="H13">
        <f>'Calculations BTU'!P222</f>
        <v>0</v>
      </c>
      <c r="I13">
        <f>'Calculations BTU'!Q222</f>
        <v>0</v>
      </c>
      <c r="J13">
        <f>'Calculations BTU'!R222</f>
        <v>0</v>
      </c>
      <c r="K13">
        <f>'Calculations BTU'!S222</f>
        <v>0</v>
      </c>
      <c r="L13">
        <f>'Calculations BTU'!T222</f>
        <v>0</v>
      </c>
      <c r="M13">
        <f>'Calculations BTU'!U222</f>
        <v>0</v>
      </c>
      <c r="N13">
        <f>'Calculations BTU'!V222</f>
        <v>0</v>
      </c>
      <c r="O13">
        <f>'Calculations BTU'!W222</f>
        <v>0</v>
      </c>
      <c r="P13">
        <f>'Calculations BTU'!X222</f>
        <v>0</v>
      </c>
      <c r="Q13">
        <f>'Calculations BTU'!Y222</f>
        <v>0</v>
      </c>
      <c r="R13">
        <f>'Calculations BTU'!Z222</f>
        <v>0</v>
      </c>
      <c r="S13">
        <f>'Calculations BTU'!AA222</f>
        <v>0</v>
      </c>
      <c r="T13">
        <f>'Calculations BTU'!AB222</f>
        <v>0</v>
      </c>
      <c r="U13">
        <f>'Calculations BTU'!AC222</f>
        <v>0</v>
      </c>
      <c r="V13">
        <f>'Calculations BTU'!AD222</f>
        <v>0</v>
      </c>
      <c r="W13">
        <f>'Calculations BTU'!AE222</f>
        <v>0</v>
      </c>
      <c r="X13">
        <f>'Calculations BTU'!AF222</f>
        <v>0</v>
      </c>
      <c r="Y13">
        <f>'Calculations BTU'!AG222</f>
        <v>0</v>
      </c>
      <c r="Z13">
        <f>'Calculations BTU'!AH222</f>
        <v>0</v>
      </c>
      <c r="AA13">
        <f>'Calculations BTU'!AI222</f>
        <v>0</v>
      </c>
      <c r="AB13">
        <f>'Calculations BTU'!AJ222</f>
        <v>0</v>
      </c>
      <c r="AC13">
        <f>'Calculations BTU'!AK222</f>
        <v>0</v>
      </c>
      <c r="AD13">
        <f>'Calculations BTU'!AL222</f>
        <v>0</v>
      </c>
      <c r="AE13">
        <f>'Calculations BTU'!AM222</f>
        <v>0</v>
      </c>
      <c r="AF13">
        <f>'Calculations BTU'!AN222</f>
        <v>0</v>
      </c>
      <c r="AG13">
        <f>'Calculations BTU'!AO222</f>
        <v>0</v>
      </c>
      <c r="AH13">
        <f>'Calculations BTU'!AP222</f>
        <v>0</v>
      </c>
      <c r="AI13">
        <f>'Calculations BTU'!AQ222</f>
        <v>0</v>
      </c>
      <c r="AJ13">
        <f>'Calculations BTU'!AR222</f>
        <v>0</v>
      </c>
      <c r="AK13">
        <f>'Calculations BTU'!AS222</f>
        <v>0</v>
      </c>
      <c r="AL13">
        <f>'Calculations BTU'!AT222</f>
        <v>0</v>
      </c>
      <c r="AM13">
        <f>'Calculations BTU'!AU222</f>
        <v>0</v>
      </c>
      <c r="AN13">
        <f>'Calculations BTU'!AV222</f>
        <v>0</v>
      </c>
      <c r="AO13">
        <f>'Calculations BTU'!AW222</f>
        <v>0</v>
      </c>
      <c r="AP13">
        <f>'Calculations BTU'!AX222</f>
        <v>0</v>
      </c>
      <c r="AQ13">
        <f>'Calculations BTU'!AY222</f>
        <v>0</v>
      </c>
      <c r="AR13">
        <f>'Calculations BTU'!AZ222</f>
        <v>0</v>
      </c>
      <c r="AS13">
        <f>'Calculations BTU'!BA222</f>
        <v>0</v>
      </c>
      <c r="AT13">
        <f>'Calculations BTU'!BB222</f>
        <v>0</v>
      </c>
      <c r="AU13">
        <f>'Calculations BTU'!BC222</f>
        <v>0</v>
      </c>
      <c r="AV13">
        <f>'Calculations BTU'!BD222</f>
        <v>0</v>
      </c>
      <c r="AW13">
        <f>'Calculations BTU'!BE222</f>
        <v>0</v>
      </c>
      <c r="AX13">
        <f>'Calculations BTU'!BF222</f>
        <v>0</v>
      </c>
      <c r="AY13">
        <f>'Calculations BTU'!BG222</f>
        <v>0</v>
      </c>
      <c r="AZ13">
        <f>'Calculations BTU'!BH222</f>
        <v>0</v>
      </c>
    </row>
    <row r="14" spans="1:52">
      <c r="A14" t="s">
        <v>138</v>
      </c>
      <c r="B14">
        <f>'Calculations BTU'!J223</f>
        <v>0</v>
      </c>
      <c r="C14">
        <f>'Calculations BTU'!K223</f>
        <v>0</v>
      </c>
      <c r="D14">
        <f>'Calculations BTU'!L223</f>
        <v>0</v>
      </c>
      <c r="E14">
        <f>'Calculations BTU'!M223</f>
        <v>0</v>
      </c>
      <c r="F14">
        <f>'Calculations BTU'!N223</f>
        <v>0</v>
      </c>
      <c r="G14">
        <f>'Calculations BTU'!O223</f>
        <v>0</v>
      </c>
      <c r="H14">
        <f>'Calculations BTU'!P223</f>
        <v>0</v>
      </c>
      <c r="I14">
        <f>'Calculations BTU'!Q223</f>
        <v>0</v>
      </c>
      <c r="J14">
        <f>'Calculations BTU'!R223</f>
        <v>0</v>
      </c>
      <c r="K14">
        <f>'Calculations BTU'!S223</f>
        <v>0</v>
      </c>
      <c r="L14">
        <f>'Calculations BTU'!T223</f>
        <v>0</v>
      </c>
      <c r="M14">
        <f>'Calculations BTU'!U223</f>
        <v>0</v>
      </c>
      <c r="N14">
        <f>'Calculations BTU'!V223</f>
        <v>0</v>
      </c>
      <c r="O14">
        <f>'Calculations BTU'!W223</f>
        <v>0</v>
      </c>
      <c r="P14">
        <f>'Calculations BTU'!X223</f>
        <v>0</v>
      </c>
      <c r="Q14">
        <f>'Calculations BTU'!Y223</f>
        <v>0</v>
      </c>
      <c r="R14">
        <f>'Calculations BTU'!Z223</f>
        <v>0</v>
      </c>
      <c r="S14">
        <f>'Calculations BTU'!AA223</f>
        <v>0</v>
      </c>
      <c r="T14">
        <f>'Calculations BTU'!AB223</f>
        <v>0</v>
      </c>
      <c r="U14">
        <f>'Calculations BTU'!AC223</f>
        <v>0</v>
      </c>
      <c r="V14">
        <f>'Calculations BTU'!AD223</f>
        <v>0</v>
      </c>
      <c r="W14">
        <f>'Calculations BTU'!AE223</f>
        <v>0</v>
      </c>
      <c r="X14">
        <f>'Calculations BTU'!AF223</f>
        <v>0</v>
      </c>
      <c r="Y14">
        <f>'Calculations BTU'!AG223</f>
        <v>0</v>
      </c>
      <c r="Z14">
        <f>'Calculations BTU'!AH223</f>
        <v>0</v>
      </c>
      <c r="AA14">
        <f>'Calculations BTU'!AI223</f>
        <v>0</v>
      </c>
      <c r="AB14">
        <f>'Calculations BTU'!AJ223</f>
        <v>0</v>
      </c>
      <c r="AC14">
        <f>'Calculations BTU'!AK223</f>
        <v>0</v>
      </c>
      <c r="AD14">
        <f>'Calculations BTU'!AL223</f>
        <v>0</v>
      </c>
      <c r="AE14">
        <f>'Calculations BTU'!AM223</f>
        <v>0</v>
      </c>
      <c r="AF14">
        <f>'Calculations BTU'!AN223</f>
        <v>0</v>
      </c>
      <c r="AG14">
        <f>'Calculations BTU'!AO223</f>
        <v>0</v>
      </c>
      <c r="AH14">
        <f>'Calculations BTU'!AP223</f>
        <v>0</v>
      </c>
      <c r="AI14">
        <f>'Calculations BTU'!AQ223</f>
        <v>0</v>
      </c>
      <c r="AJ14">
        <f>'Calculations BTU'!AR223</f>
        <v>0</v>
      </c>
      <c r="AK14">
        <f>'Calculations BTU'!AS223</f>
        <v>0</v>
      </c>
      <c r="AL14">
        <f>'Calculations BTU'!AT223</f>
        <v>0</v>
      </c>
      <c r="AM14">
        <f>'Calculations BTU'!AU223</f>
        <v>0</v>
      </c>
      <c r="AN14">
        <f>'Calculations BTU'!AV223</f>
        <v>0</v>
      </c>
      <c r="AO14">
        <f>'Calculations BTU'!AW223</f>
        <v>0</v>
      </c>
      <c r="AP14">
        <f>'Calculations BTU'!AX223</f>
        <v>0</v>
      </c>
      <c r="AQ14">
        <f>'Calculations BTU'!AY223</f>
        <v>0</v>
      </c>
      <c r="AR14">
        <f>'Calculations BTU'!AZ223</f>
        <v>0</v>
      </c>
      <c r="AS14">
        <f>'Calculations BTU'!BA223</f>
        <v>0</v>
      </c>
      <c r="AT14">
        <f>'Calculations BTU'!BB223</f>
        <v>0</v>
      </c>
      <c r="AU14">
        <f>'Calculations BTU'!BC223</f>
        <v>0</v>
      </c>
      <c r="AV14">
        <f>'Calculations BTU'!BD223</f>
        <v>0</v>
      </c>
      <c r="AW14">
        <f>'Calculations BTU'!BE223</f>
        <v>0</v>
      </c>
      <c r="AX14">
        <f>'Calculations BTU'!BF223</f>
        <v>0</v>
      </c>
      <c r="AY14">
        <f>'Calculations BTU'!BG223</f>
        <v>0</v>
      </c>
      <c r="AZ14">
        <f>'Calculations BTU'!BH223</f>
        <v>0</v>
      </c>
    </row>
    <row r="15" spans="1:52">
      <c r="A15" t="s">
        <v>139</v>
      </c>
      <c r="B15">
        <f>'Calculations BTU'!J224</f>
        <v>0</v>
      </c>
      <c r="C15">
        <f>'Calculations BTU'!K224</f>
        <v>0</v>
      </c>
      <c r="D15">
        <f>'Calculations BTU'!L224</f>
        <v>0</v>
      </c>
      <c r="E15">
        <f>'Calculations BTU'!M224</f>
        <v>0</v>
      </c>
      <c r="F15">
        <f>'Calculations BTU'!N224</f>
        <v>0</v>
      </c>
      <c r="G15">
        <f>'Calculations BTU'!O224</f>
        <v>0</v>
      </c>
      <c r="H15">
        <f>'Calculations BTU'!P224</f>
        <v>0</v>
      </c>
      <c r="I15">
        <f>'Calculations BTU'!Q224</f>
        <v>0</v>
      </c>
      <c r="J15">
        <f>'Calculations BTU'!R224</f>
        <v>0</v>
      </c>
      <c r="K15">
        <f>'Calculations BTU'!S224</f>
        <v>0</v>
      </c>
      <c r="L15">
        <f>'Calculations BTU'!T224</f>
        <v>0</v>
      </c>
      <c r="M15">
        <f>'Calculations BTU'!U224</f>
        <v>0</v>
      </c>
      <c r="N15">
        <f>'Calculations BTU'!V224</f>
        <v>0</v>
      </c>
      <c r="O15">
        <f>'Calculations BTU'!W224</f>
        <v>0</v>
      </c>
      <c r="P15">
        <f>'Calculations BTU'!X224</f>
        <v>0</v>
      </c>
      <c r="Q15">
        <f>'Calculations BTU'!Y224</f>
        <v>0</v>
      </c>
      <c r="R15">
        <f>'Calculations BTU'!Z224</f>
        <v>0</v>
      </c>
      <c r="S15">
        <f>'Calculations BTU'!AA224</f>
        <v>0</v>
      </c>
      <c r="T15">
        <f>'Calculations BTU'!AB224</f>
        <v>0</v>
      </c>
      <c r="U15">
        <f>'Calculations BTU'!AC224</f>
        <v>0</v>
      </c>
      <c r="V15">
        <f>'Calculations BTU'!AD224</f>
        <v>0</v>
      </c>
      <c r="W15">
        <f>'Calculations BTU'!AE224</f>
        <v>0</v>
      </c>
      <c r="X15">
        <f>'Calculations BTU'!AF224</f>
        <v>0</v>
      </c>
      <c r="Y15">
        <f>'Calculations BTU'!AG224</f>
        <v>0</v>
      </c>
      <c r="Z15">
        <f>'Calculations BTU'!AH224</f>
        <v>0</v>
      </c>
      <c r="AA15">
        <f>'Calculations BTU'!AI224</f>
        <v>0</v>
      </c>
      <c r="AB15">
        <f>'Calculations BTU'!AJ224</f>
        <v>0</v>
      </c>
      <c r="AC15">
        <f>'Calculations BTU'!AK224</f>
        <v>0</v>
      </c>
      <c r="AD15">
        <f>'Calculations BTU'!AL224</f>
        <v>0</v>
      </c>
      <c r="AE15">
        <f>'Calculations BTU'!AM224</f>
        <v>0</v>
      </c>
      <c r="AF15">
        <f>'Calculations BTU'!AN224</f>
        <v>0</v>
      </c>
      <c r="AG15">
        <f>'Calculations BTU'!AO224</f>
        <v>0</v>
      </c>
      <c r="AH15">
        <f>'Calculations BTU'!AP224</f>
        <v>0</v>
      </c>
      <c r="AI15">
        <f>'Calculations BTU'!AQ224</f>
        <v>0</v>
      </c>
      <c r="AJ15">
        <f>'Calculations BTU'!AR224</f>
        <v>0</v>
      </c>
      <c r="AK15">
        <f>'Calculations BTU'!AS224</f>
        <v>0</v>
      </c>
      <c r="AL15">
        <f>'Calculations BTU'!AT224</f>
        <v>0</v>
      </c>
      <c r="AM15">
        <f>'Calculations BTU'!AU224</f>
        <v>0</v>
      </c>
      <c r="AN15">
        <f>'Calculations BTU'!AV224</f>
        <v>0</v>
      </c>
      <c r="AO15">
        <f>'Calculations BTU'!AW224</f>
        <v>0</v>
      </c>
      <c r="AP15">
        <f>'Calculations BTU'!AX224</f>
        <v>0</v>
      </c>
      <c r="AQ15">
        <f>'Calculations BTU'!AY224</f>
        <v>0</v>
      </c>
      <c r="AR15">
        <f>'Calculations BTU'!AZ224</f>
        <v>0</v>
      </c>
      <c r="AS15">
        <f>'Calculations BTU'!BA224</f>
        <v>0</v>
      </c>
      <c r="AT15">
        <f>'Calculations BTU'!BB224</f>
        <v>0</v>
      </c>
      <c r="AU15">
        <f>'Calculations BTU'!BC224</f>
        <v>0</v>
      </c>
      <c r="AV15">
        <f>'Calculations BTU'!BD224</f>
        <v>0</v>
      </c>
      <c r="AW15">
        <f>'Calculations BTU'!BE224</f>
        <v>0</v>
      </c>
      <c r="AX15">
        <f>'Calculations BTU'!BF224</f>
        <v>0</v>
      </c>
      <c r="AY15">
        <f>'Calculations BTU'!BG224</f>
        <v>0</v>
      </c>
      <c r="AZ15">
        <f>'Calculations BTU'!BH224</f>
        <v>0</v>
      </c>
    </row>
    <row r="16" spans="1:52">
      <c r="A16" t="s">
        <v>140</v>
      </c>
      <c r="B16">
        <f>'Calculations BTU'!J225</f>
        <v>0</v>
      </c>
      <c r="C16">
        <f>'Calculations BTU'!K225</f>
        <v>0</v>
      </c>
      <c r="D16">
        <f>'Calculations BTU'!L225</f>
        <v>0</v>
      </c>
      <c r="E16">
        <f>'Calculations BTU'!M225</f>
        <v>0</v>
      </c>
      <c r="F16">
        <f>'Calculations BTU'!N225</f>
        <v>0</v>
      </c>
      <c r="G16">
        <f>'Calculations BTU'!O225</f>
        <v>0</v>
      </c>
      <c r="H16">
        <f>'Calculations BTU'!P225</f>
        <v>0</v>
      </c>
      <c r="I16">
        <f>'Calculations BTU'!Q225</f>
        <v>0</v>
      </c>
      <c r="J16">
        <f>'Calculations BTU'!R225</f>
        <v>0</v>
      </c>
      <c r="K16">
        <f>'Calculations BTU'!S225</f>
        <v>0</v>
      </c>
      <c r="L16">
        <f>'Calculations BTU'!T225</f>
        <v>0</v>
      </c>
      <c r="M16">
        <f>'Calculations BTU'!U225</f>
        <v>0</v>
      </c>
      <c r="N16">
        <f>'Calculations BTU'!V225</f>
        <v>0</v>
      </c>
      <c r="O16">
        <f>'Calculations BTU'!W225</f>
        <v>0</v>
      </c>
      <c r="P16">
        <f>'Calculations BTU'!X225</f>
        <v>0</v>
      </c>
      <c r="Q16">
        <f>'Calculations BTU'!Y225</f>
        <v>0</v>
      </c>
      <c r="R16">
        <f>'Calculations BTU'!Z225</f>
        <v>0</v>
      </c>
      <c r="S16">
        <f>'Calculations BTU'!AA225</f>
        <v>0</v>
      </c>
      <c r="T16">
        <f>'Calculations BTU'!AB225</f>
        <v>0</v>
      </c>
      <c r="U16">
        <f>'Calculations BTU'!AC225</f>
        <v>0</v>
      </c>
      <c r="V16">
        <f>'Calculations BTU'!AD225</f>
        <v>0</v>
      </c>
      <c r="W16">
        <f>'Calculations BTU'!AE225</f>
        <v>0</v>
      </c>
      <c r="X16">
        <f>'Calculations BTU'!AF225</f>
        <v>0</v>
      </c>
      <c r="Y16">
        <f>'Calculations BTU'!AG225</f>
        <v>0</v>
      </c>
      <c r="Z16">
        <f>'Calculations BTU'!AH225</f>
        <v>0</v>
      </c>
      <c r="AA16">
        <f>'Calculations BTU'!AI225</f>
        <v>0</v>
      </c>
      <c r="AB16">
        <f>'Calculations BTU'!AJ225</f>
        <v>0</v>
      </c>
      <c r="AC16">
        <f>'Calculations BTU'!AK225</f>
        <v>0</v>
      </c>
      <c r="AD16">
        <f>'Calculations BTU'!AL225</f>
        <v>0</v>
      </c>
      <c r="AE16">
        <f>'Calculations BTU'!AM225</f>
        <v>0</v>
      </c>
      <c r="AF16">
        <f>'Calculations BTU'!AN225</f>
        <v>0</v>
      </c>
      <c r="AG16">
        <f>'Calculations BTU'!AO225</f>
        <v>0</v>
      </c>
      <c r="AH16">
        <f>'Calculations BTU'!AP225</f>
        <v>0</v>
      </c>
      <c r="AI16">
        <f>'Calculations BTU'!AQ225</f>
        <v>0</v>
      </c>
      <c r="AJ16">
        <f>'Calculations BTU'!AR225</f>
        <v>0</v>
      </c>
      <c r="AK16">
        <f>'Calculations BTU'!AS225</f>
        <v>0</v>
      </c>
      <c r="AL16">
        <f>'Calculations BTU'!AT225</f>
        <v>0</v>
      </c>
      <c r="AM16">
        <f>'Calculations BTU'!AU225</f>
        <v>0</v>
      </c>
      <c r="AN16">
        <f>'Calculations BTU'!AV225</f>
        <v>0</v>
      </c>
      <c r="AO16">
        <f>'Calculations BTU'!AW225</f>
        <v>0</v>
      </c>
      <c r="AP16">
        <f>'Calculations BTU'!AX225</f>
        <v>0</v>
      </c>
      <c r="AQ16">
        <f>'Calculations BTU'!AY225</f>
        <v>0</v>
      </c>
      <c r="AR16">
        <f>'Calculations BTU'!AZ225</f>
        <v>0</v>
      </c>
      <c r="AS16">
        <f>'Calculations BTU'!BA225</f>
        <v>0</v>
      </c>
      <c r="AT16">
        <f>'Calculations BTU'!BB225</f>
        <v>0</v>
      </c>
      <c r="AU16">
        <f>'Calculations BTU'!BC225</f>
        <v>0</v>
      </c>
      <c r="AV16">
        <f>'Calculations BTU'!BD225</f>
        <v>0</v>
      </c>
      <c r="AW16">
        <f>'Calculations BTU'!BE225</f>
        <v>0</v>
      </c>
      <c r="AX16">
        <f>'Calculations BTU'!BF225</f>
        <v>0</v>
      </c>
      <c r="AY16">
        <f>'Calculations BTU'!BG225</f>
        <v>0</v>
      </c>
      <c r="AZ16">
        <f>'Calculations BTU'!BH225</f>
        <v>0</v>
      </c>
    </row>
    <row r="17" spans="1:52">
      <c r="A17" t="s">
        <v>141</v>
      </c>
      <c r="B17">
        <f>'Calculations BTU'!J226</f>
        <v>0</v>
      </c>
      <c r="C17">
        <f>'Calculations BTU'!K226</f>
        <v>0</v>
      </c>
      <c r="D17">
        <f>'Calculations BTU'!L226</f>
        <v>0</v>
      </c>
      <c r="E17">
        <f>'Calculations BTU'!M226</f>
        <v>0</v>
      </c>
      <c r="F17">
        <f>'Calculations BTU'!N226</f>
        <v>0</v>
      </c>
      <c r="G17">
        <f>'Calculations BTU'!O226</f>
        <v>0</v>
      </c>
      <c r="H17">
        <f>'Calculations BTU'!P226</f>
        <v>0</v>
      </c>
      <c r="I17">
        <f>'Calculations BTU'!Q226</f>
        <v>0</v>
      </c>
      <c r="J17">
        <f>'Calculations BTU'!R226</f>
        <v>0</v>
      </c>
      <c r="K17">
        <f>'Calculations BTU'!S226</f>
        <v>0</v>
      </c>
      <c r="L17">
        <f>'Calculations BTU'!T226</f>
        <v>0</v>
      </c>
      <c r="M17">
        <f>'Calculations BTU'!U226</f>
        <v>0</v>
      </c>
      <c r="N17">
        <f>'Calculations BTU'!V226</f>
        <v>0</v>
      </c>
      <c r="O17">
        <f>'Calculations BTU'!W226</f>
        <v>0</v>
      </c>
      <c r="P17">
        <f>'Calculations BTU'!X226</f>
        <v>0</v>
      </c>
      <c r="Q17">
        <f>'Calculations BTU'!Y226</f>
        <v>0</v>
      </c>
      <c r="R17">
        <f>'Calculations BTU'!Z226</f>
        <v>0</v>
      </c>
      <c r="S17">
        <f>'Calculations BTU'!AA226</f>
        <v>0</v>
      </c>
      <c r="T17">
        <f>'Calculations BTU'!AB226</f>
        <v>0</v>
      </c>
      <c r="U17">
        <f>'Calculations BTU'!AC226</f>
        <v>0</v>
      </c>
      <c r="V17">
        <f>'Calculations BTU'!AD226</f>
        <v>0</v>
      </c>
      <c r="W17">
        <f>'Calculations BTU'!AE226</f>
        <v>0</v>
      </c>
      <c r="X17">
        <f>'Calculations BTU'!AF226</f>
        <v>0</v>
      </c>
      <c r="Y17">
        <f>'Calculations BTU'!AG226</f>
        <v>0</v>
      </c>
      <c r="Z17">
        <f>'Calculations BTU'!AH226</f>
        <v>0</v>
      </c>
      <c r="AA17">
        <f>'Calculations BTU'!AI226</f>
        <v>0</v>
      </c>
      <c r="AB17">
        <f>'Calculations BTU'!AJ226</f>
        <v>0</v>
      </c>
      <c r="AC17">
        <f>'Calculations BTU'!AK226</f>
        <v>0</v>
      </c>
      <c r="AD17">
        <f>'Calculations BTU'!AL226</f>
        <v>0</v>
      </c>
      <c r="AE17">
        <f>'Calculations BTU'!AM226</f>
        <v>0</v>
      </c>
      <c r="AF17">
        <f>'Calculations BTU'!AN226</f>
        <v>0</v>
      </c>
      <c r="AG17">
        <f>'Calculations BTU'!AO226</f>
        <v>0</v>
      </c>
      <c r="AH17">
        <f>'Calculations BTU'!AP226</f>
        <v>0</v>
      </c>
      <c r="AI17">
        <f>'Calculations BTU'!AQ226</f>
        <v>0</v>
      </c>
      <c r="AJ17">
        <f>'Calculations BTU'!AR226</f>
        <v>0</v>
      </c>
      <c r="AK17">
        <f>'Calculations BTU'!AS226</f>
        <v>0</v>
      </c>
      <c r="AL17">
        <f>'Calculations BTU'!AT226</f>
        <v>0</v>
      </c>
      <c r="AM17">
        <f>'Calculations BTU'!AU226</f>
        <v>0</v>
      </c>
      <c r="AN17">
        <f>'Calculations BTU'!AV226</f>
        <v>0</v>
      </c>
      <c r="AO17">
        <f>'Calculations BTU'!AW226</f>
        <v>0</v>
      </c>
      <c r="AP17">
        <f>'Calculations BTU'!AX226</f>
        <v>0</v>
      </c>
      <c r="AQ17">
        <f>'Calculations BTU'!AY226</f>
        <v>0</v>
      </c>
      <c r="AR17">
        <f>'Calculations BTU'!AZ226</f>
        <v>0</v>
      </c>
      <c r="AS17">
        <f>'Calculations BTU'!BA226</f>
        <v>0</v>
      </c>
      <c r="AT17">
        <f>'Calculations BTU'!BB226</f>
        <v>0</v>
      </c>
      <c r="AU17">
        <f>'Calculations BTU'!BC226</f>
        <v>0</v>
      </c>
      <c r="AV17">
        <f>'Calculations BTU'!BD226</f>
        <v>0</v>
      </c>
      <c r="AW17">
        <f>'Calculations BTU'!BE226</f>
        <v>0</v>
      </c>
      <c r="AX17">
        <f>'Calculations BTU'!BF226</f>
        <v>0</v>
      </c>
      <c r="AY17">
        <f>'Calculations BTU'!BG226</f>
        <v>0</v>
      </c>
      <c r="AZ17">
        <f>'Calculations BTU'!BH226</f>
        <v>0</v>
      </c>
    </row>
    <row r="18" spans="1:52">
      <c r="A18" t="s">
        <v>142</v>
      </c>
      <c r="B18">
        <f>'Calculations BTU'!J227</f>
        <v>0</v>
      </c>
      <c r="C18">
        <f>'Calculations BTU'!K227</f>
        <v>0</v>
      </c>
      <c r="D18">
        <f>'Calculations BTU'!L227</f>
        <v>0</v>
      </c>
      <c r="E18">
        <f>'Calculations BTU'!M227</f>
        <v>0</v>
      </c>
      <c r="F18">
        <f>'Calculations BTU'!N227</f>
        <v>0</v>
      </c>
      <c r="G18">
        <f>'Calculations BTU'!O227</f>
        <v>0</v>
      </c>
      <c r="H18">
        <f>'Calculations BTU'!P227</f>
        <v>0</v>
      </c>
      <c r="I18">
        <f>'Calculations BTU'!Q227</f>
        <v>0</v>
      </c>
      <c r="J18">
        <f>'Calculations BTU'!R227</f>
        <v>0</v>
      </c>
      <c r="K18">
        <f>'Calculations BTU'!S227</f>
        <v>0</v>
      </c>
      <c r="L18">
        <f>'Calculations BTU'!T227</f>
        <v>0</v>
      </c>
      <c r="M18">
        <f>'Calculations BTU'!U227</f>
        <v>0</v>
      </c>
      <c r="N18">
        <f>'Calculations BTU'!V227</f>
        <v>0</v>
      </c>
      <c r="O18">
        <f>'Calculations BTU'!W227</f>
        <v>0</v>
      </c>
      <c r="P18">
        <f>'Calculations BTU'!X227</f>
        <v>0</v>
      </c>
      <c r="Q18">
        <f>'Calculations BTU'!Y227</f>
        <v>0</v>
      </c>
      <c r="R18">
        <f>'Calculations BTU'!Z227</f>
        <v>0</v>
      </c>
      <c r="S18">
        <f>'Calculations BTU'!AA227</f>
        <v>0</v>
      </c>
      <c r="T18">
        <f>'Calculations BTU'!AB227</f>
        <v>0</v>
      </c>
      <c r="U18">
        <f>'Calculations BTU'!AC227</f>
        <v>0</v>
      </c>
      <c r="V18">
        <f>'Calculations BTU'!AD227</f>
        <v>0</v>
      </c>
      <c r="W18">
        <f>'Calculations BTU'!AE227</f>
        <v>0</v>
      </c>
      <c r="X18">
        <f>'Calculations BTU'!AF227</f>
        <v>0</v>
      </c>
      <c r="Y18">
        <f>'Calculations BTU'!AG227</f>
        <v>0</v>
      </c>
      <c r="Z18">
        <f>'Calculations BTU'!AH227</f>
        <v>0</v>
      </c>
      <c r="AA18">
        <f>'Calculations BTU'!AI227</f>
        <v>0</v>
      </c>
      <c r="AB18">
        <f>'Calculations BTU'!AJ227</f>
        <v>0</v>
      </c>
      <c r="AC18">
        <f>'Calculations BTU'!AK227</f>
        <v>0</v>
      </c>
      <c r="AD18">
        <f>'Calculations BTU'!AL227</f>
        <v>0</v>
      </c>
      <c r="AE18">
        <f>'Calculations BTU'!AM227</f>
        <v>0</v>
      </c>
      <c r="AF18">
        <f>'Calculations BTU'!AN227</f>
        <v>0</v>
      </c>
      <c r="AG18">
        <f>'Calculations BTU'!AO227</f>
        <v>0</v>
      </c>
      <c r="AH18">
        <f>'Calculations BTU'!AP227</f>
        <v>0</v>
      </c>
      <c r="AI18">
        <f>'Calculations BTU'!AQ227</f>
        <v>0</v>
      </c>
      <c r="AJ18">
        <f>'Calculations BTU'!AR227</f>
        <v>0</v>
      </c>
      <c r="AK18">
        <f>'Calculations BTU'!AS227</f>
        <v>0</v>
      </c>
      <c r="AL18">
        <f>'Calculations BTU'!AT227</f>
        <v>0</v>
      </c>
      <c r="AM18">
        <f>'Calculations BTU'!AU227</f>
        <v>0</v>
      </c>
      <c r="AN18">
        <f>'Calculations BTU'!AV227</f>
        <v>0</v>
      </c>
      <c r="AO18">
        <f>'Calculations BTU'!AW227</f>
        <v>0</v>
      </c>
      <c r="AP18">
        <f>'Calculations BTU'!AX227</f>
        <v>0</v>
      </c>
      <c r="AQ18">
        <f>'Calculations BTU'!AY227</f>
        <v>0</v>
      </c>
      <c r="AR18">
        <f>'Calculations BTU'!AZ227</f>
        <v>0</v>
      </c>
      <c r="AS18">
        <f>'Calculations BTU'!BA227</f>
        <v>0</v>
      </c>
      <c r="AT18">
        <f>'Calculations BTU'!BB227</f>
        <v>0</v>
      </c>
      <c r="AU18">
        <f>'Calculations BTU'!BC227</f>
        <v>0</v>
      </c>
      <c r="AV18">
        <f>'Calculations BTU'!BD227</f>
        <v>0</v>
      </c>
      <c r="AW18">
        <f>'Calculations BTU'!BE227</f>
        <v>0</v>
      </c>
      <c r="AX18">
        <f>'Calculations BTU'!BF227</f>
        <v>0</v>
      </c>
      <c r="AY18">
        <f>'Calculations BTU'!BG227</f>
        <v>0</v>
      </c>
      <c r="AZ18">
        <f>'Calculations BTU'!BH227</f>
        <v>0</v>
      </c>
    </row>
    <row r="19" spans="1:52">
      <c r="A19" t="s">
        <v>143</v>
      </c>
      <c r="B19">
        <f>'Calculations BTU'!J228</f>
        <v>0</v>
      </c>
      <c r="C19">
        <f>'Calculations BTU'!K228</f>
        <v>0</v>
      </c>
      <c r="D19">
        <f>'Calculations BTU'!L228</f>
        <v>0</v>
      </c>
      <c r="E19">
        <f>'Calculations BTU'!M228</f>
        <v>0</v>
      </c>
      <c r="F19">
        <f>'Calculations BTU'!N228</f>
        <v>0</v>
      </c>
      <c r="G19">
        <f>'Calculations BTU'!O228</f>
        <v>0</v>
      </c>
      <c r="H19">
        <f>'Calculations BTU'!P228</f>
        <v>0</v>
      </c>
      <c r="I19">
        <f>'Calculations BTU'!Q228</f>
        <v>0</v>
      </c>
      <c r="J19">
        <f>'Calculations BTU'!R228</f>
        <v>0</v>
      </c>
      <c r="K19">
        <f>'Calculations BTU'!S228</f>
        <v>0</v>
      </c>
      <c r="L19">
        <f>'Calculations BTU'!T228</f>
        <v>0</v>
      </c>
      <c r="M19">
        <f>'Calculations BTU'!U228</f>
        <v>0</v>
      </c>
      <c r="N19">
        <f>'Calculations BTU'!V228</f>
        <v>0</v>
      </c>
      <c r="O19">
        <f>'Calculations BTU'!W228</f>
        <v>0</v>
      </c>
      <c r="P19">
        <f>'Calculations BTU'!X228</f>
        <v>0</v>
      </c>
      <c r="Q19">
        <f>'Calculations BTU'!Y228</f>
        <v>0</v>
      </c>
      <c r="R19">
        <f>'Calculations BTU'!Z228</f>
        <v>0</v>
      </c>
      <c r="S19">
        <f>'Calculations BTU'!AA228</f>
        <v>0</v>
      </c>
      <c r="T19">
        <f>'Calculations BTU'!AB228</f>
        <v>0</v>
      </c>
      <c r="U19">
        <f>'Calculations BTU'!AC228</f>
        <v>0</v>
      </c>
      <c r="V19">
        <f>'Calculations BTU'!AD228</f>
        <v>0</v>
      </c>
      <c r="W19">
        <f>'Calculations BTU'!AE228</f>
        <v>0</v>
      </c>
      <c r="X19">
        <f>'Calculations BTU'!AF228</f>
        <v>0</v>
      </c>
      <c r="Y19">
        <f>'Calculations BTU'!AG228</f>
        <v>0</v>
      </c>
      <c r="Z19">
        <f>'Calculations BTU'!AH228</f>
        <v>0</v>
      </c>
      <c r="AA19">
        <f>'Calculations BTU'!AI228</f>
        <v>0</v>
      </c>
      <c r="AB19">
        <f>'Calculations BTU'!AJ228</f>
        <v>0</v>
      </c>
      <c r="AC19">
        <f>'Calculations BTU'!AK228</f>
        <v>0</v>
      </c>
      <c r="AD19">
        <f>'Calculations BTU'!AL228</f>
        <v>0</v>
      </c>
      <c r="AE19">
        <f>'Calculations BTU'!AM228</f>
        <v>0</v>
      </c>
      <c r="AF19">
        <f>'Calculations BTU'!AN228</f>
        <v>0</v>
      </c>
      <c r="AG19">
        <f>'Calculations BTU'!AO228</f>
        <v>0</v>
      </c>
      <c r="AH19">
        <f>'Calculations BTU'!AP228</f>
        <v>0</v>
      </c>
      <c r="AI19">
        <f>'Calculations BTU'!AQ228</f>
        <v>0</v>
      </c>
      <c r="AJ19">
        <f>'Calculations BTU'!AR228</f>
        <v>0</v>
      </c>
      <c r="AK19">
        <f>'Calculations BTU'!AS228</f>
        <v>0</v>
      </c>
      <c r="AL19">
        <f>'Calculations BTU'!AT228</f>
        <v>0</v>
      </c>
      <c r="AM19">
        <f>'Calculations BTU'!AU228</f>
        <v>0</v>
      </c>
      <c r="AN19">
        <f>'Calculations BTU'!AV228</f>
        <v>0</v>
      </c>
      <c r="AO19">
        <f>'Calculations BTU'!AW228</f>
        <v>0</v>
      </c>
      <c r="AP19">
        <f>'Calculations BTU'!AX228</f>
        <v>0</v>
      </c>
      <c r="AQ19">
        <f>'Calculations BTU'!AY228</f>
        <v>0</v>
      </c>
      <c r="AR19">
        <f>'Calculations BTU'!AZ228</f>
        <v>0</v>
      </c>
      <c r="AS19">
        <f>'Calculations BTU'!BA228</f>
        <v>0</v>
      </c>
      <c r="AT19">
        <f>'Calculations BTU'!BB228</f>
        <v>0</v>
      </c>
      <c r="AU19">
        <f>'Calculations BTU'!BC228</f>
        <v>0</v>
      </c>
      <c r="AV19">
        <f>'Calculations BTU'!BD228</f>
        <v>0</v>
      </c>
      <c r="AW19">
        <f>'Calculations BTU'!BE228</f>
        <v>0</v>
      </c>
      <c r="AX19">
        <f>'Calculations BTU'!BF228</f>
        <v>0</v>
      </c>
      <c r="AY19">
        <f>'Calculations BTU'!BG228</f>
        <v>0</v>
      </c>
      <c r="AZ19">
        <f>'Calculations BTU'!BH228</f>
        <v>0</v>
      </c>
    </row>
    <row r="20" spans="1:52">
      <c r="A20" t="s">
        <v>144</v>
      </c>
      <c r="B20">
        <f>'Calculations BTU'!J229</f>
        <v>0</v>
      </c>
      <c r="C20">
        <f>'Calculations BTU'!K229</f>
        <v>0</v>
      </c>
      <c r="D20">
        <f>'Calculations BTU'!L229</f>
        <v>0</v>
      </c>
      <c r="E20">
        <f>'Calculations BTU'!M229</f>
        <v>0</v>
      </c>
      <c r="F20">
        <f>'Calculations BTU'!N229</f>
        <v>0</v>
      </c>
      <c r="G20">
        <f>'Calculations BTU'!O229</f>
        <v>0</v>
      </c>
      <c r="H20">
        <f>'Calculations BTU'!P229</f>
        <v>0</v>
      </c>
      <c r="I20">
        <f>'Calculations BTU'!Q229</f>
        <v>0</v>
      </c>
      <c r="J20">
        <f>'Calculations BTU'!R229</f>
        <v>0</v>
      </c>
      <c r="K20">
        <f>'Calculations BTU'!S229</f>
        <v>0</v>
      </c>
      <c r="L20">
        <f>'Calculations BTU'!T229</f>
        <v>0</v>
      </c>
      <c r="M20">
        <f>'Calculations BTU'!U229</f>
        <v>0</v>
      </c>
      <c r="N20">
        <f>'Calculations BTU'!V229</f>
        <v>0</v>
      </c>
      <c r="O20">
        <f>'Calculations BTU'!W229</f>
        <v>0</v>
      </c>
      <c r="P20">
        <f>'Calculations BTU'!X229</f>
        <v>0</v>
      </c>
      <c r="Q20">
        <f>'Calculations BTU'!Y229</f>
        <v>0</v>
      </c>
      <c r="R20">
        <f>'Calculations BTU'!Z229</f>
        <v>0</v>
      </c>
      <c r="S20">
        <f>'Calculations BTU'!AA229</f>
        <v>0</v>
      </c>
      <c r="T20">
        <f>'Calculations BTU'!AB229</f>
        <v>0</v>
      </c>
      <c r="U20">
        <f>'Calculations BTU'!AC229</f>
        <v>0</v>
      </c>
      <c r="V20">
        <f>'Calculations BTU'!AD229</f>
        <v>0</v>
      </c>
      <c r="W20">
        <f>'Calculations BTU'!AE229</f>
        <v>0</v>
      </c>
      <c r="X20">
        <f>'Calculations BTU'!AF229</f>
        <v>0</v>
      </c>
      <c r="Y20">
        <f>'Calculations BTU'!AG229</f>
        <v>0</v>
      </c>
      <c r="Z20">
        <f>'Calculations BTU'!AH229</f>
        <v>0</v>
      </c>
      <c r="AA20">
        <f>'Calculations BTU'!AI229</f>
        <v>0</v>
      </c>
      <c r="AB20">
        <f>'Calculations BTU'!AJ229</f>
        <v>0</v>
      </c>
      <c r="AC20">
        <f>'Calculations BTU'!AK229</f>
        <v>0</v>
      </c>
      <c r="AD20">
        <f>'Calculations BTU'!AL229</f>
        <v>0</v>
      </c>
      <c r="AE20">
        <f>'Calculations BTU'!AM229</f>
        <v>0</v>
      </c>
      <c r="AF20">
        <f>'Calculations BTU'!AN229</f>
        <v>0</v>
      </c>
      <c r="AG20">
        <f>'Calculations BTU'!AO229</f>
        <v>0</v>
      </c>
      <c r="AH20">
        <f>'Calculations BTU'!AP229</f>
        <v>0</v>
      </c>
      <c r="AI20">
        <f>'Calculations BTU'!AQ229</f>
        <v>0</v>
      </c>
      <c r="AJ20">
        <f>'Calculations BTU'!AR229</f>
        <v>0</v>
      </c>
      <c r="AK20">
        <f>'Calculations BTU'!AS229</f>
        <v>0</v>
      </c>
      <c r="AL20">
        <f>'Calculations BTU'!AT229</f>
        <v>0</v>
      </c>
      <c r="AM20">
        <f>'Calculations BTU'!AU229</f>
        <v>0</v>
      </c>
      <c r="AN20">
        <f>'Calculations BTU'!AV229</f>
        <v>0</v>
      </c>
      <c r="AO20">
        <f>'Calculations BTU'!AW229</f>
        <v>0</v>
      </c>
      <c r="AP20">
        <f>'Calculations BTU'!AX229</f>
        <v>0</v>
      </c>
      <c r="AQ20">
        <f>'Calculations BTU'!AY229</f>
        <v>0</v>
      </c>
      <c r="AR20">
        <f>'Calculations BTU'!AZ229</f>
        <v>0</v>
      </c>
      <c r="AS20">
        <f>'Calculations BTU'!BA229</f>
        <v>0</v>
      </c>
      <c r="AT20">
        <f>'Calculations BTU'!BB229</f>
        <v>0</v>
      </c>
      <c r="AU20">
        <f>'Calculations BTU'!BC229</f>
        <v>0</v>
      </c>
      <c r="AV20">
        <f>'Calculations BTU'!BD229</f>
        <v>0</v>
      </c>
      <c r="AW20">
        <f>'Calculations BTU'!BE229</f>
        <v>0</v>
      </c>
      <c r="AX20">
        <f>'Calculations BTU'!BF229</f>
        <v>0</v>
      </c>
      <c r="AY20">
        <f>'Calculations BTU'!BG229</f>
        <v>0</v>
      </c>
      <c r="AZ20">
        <f>'Calculations BTU'!BH229</f>
        <v>0</v>
      </c>
    </row>
    <row r="21" spans="1:52">
      <c r="A21" t="s">
        <v>145</v>
      </c>
      <c r="B21">
        <f>'Calculations BTU'!J230</f>
        <v>0</v>
      </c>
      <c r="C21">
        <f>'Calculations BTU'!K230</f>
        <v>0</v>
      </c>
      <c r="D21">
        <f>'Calculations BTU'!L230</f>
        <v>0</v>
      </c>
      <c r="E21">
        <f>'Calculations BTU'!M230</f>
        <v>0</v>
      </c>
      <c r="F21">
        <f>'Calculations BTU'!N230</f>
        <v>0</v>
      </c>
      <c r="G21">
        <f>'Calculations BTU'!O230</f>
        <v>0</v>
      </c>
      <c r="H21">
        <f>'Calculations BTU'!P230</f>
        <v>0</v>
      </c>
      <c r="I21">
        <f>'Calculations BTU'!Q230</f>
        <v>0</v>
      </c>
      <c r="J21">
        <f>'Calculations BTU'!R230</f>
        <v>0</v>
      </c>
      <c r="K21">
        <f>'Calculations BTU'!S230</f>
        <v>0</v>
      </c>
      <c r="L21">
        <f>'Calculations BTU'!T230</f>
        <v>0</v>
      </c>
      <c r="M21">
        <f>'Calculations BTU'!U230</f>
        <v>0</v>
      </c>
      <c r="N21">
        <f>'Calculations BTU'!V230</f>
        <v>0</v>
      </c>
      <c r="O21">
        <f>'Calculations BTU'!W230</f>
        <v>0</v>
      </c>
      <c r="P21">
        <f>'Calculations BTU'!X230</f>
        <v>0</v>
      </c>
      <c r="Q21">
        <f>'Calculations BTU'!Y230</f>
        <v>0</v>
      </c>
      <c r="R21">
        <f>'Calculations BTU'!Z230</f>
        <v>0</v>
      </c>
      <c r="S21">
        <f>'Calculations BTU'!AA230</f>
        <v>0</v>
      </c>
      <c r="T21">
        <f>'Calculations BTU'!AB230</f>
        <v>0</v>
      </c>
      <c r="U21">
        <f>'Calculations BTU'!AC230</f>
        <v>0</v>
      </c>
      <c r="V21">
        <f>'Calculations BTU'!AD230</f>
        <v>0</v>
      </c>
      <c r="W21">
        <f>'Calculations BTU'!AE230</f>
        <v>0</v>
      </c>
      <c r="X21">
        <f>'Calculations BTU'!AF230</f>
        <v>0</v>
      </c>
      <c r="Y21">
        <f>'Calculations BTU'!AG230</f>
        <v>0</v>
      </c>
      <c r="Z21">
        <f>'Calculations BTU'!AH230</f>
        <v>0</v>
      </c>
      <c r="AA21">
        <f>'Calculations BTU'!AI230</f>
        <v>0</v>
      </c>
      <c r="AB21">
        <f>'Calculations BTU'!AJ230</f>
        <v>0</v>
      </c>
      <c r="AC21">
        <f>'Calculations BTU'!AK230</f>
        <v>0</v>
      </c>
      <c r="AD21">
        <f>'Calculations BTU'!AL230</f>
        <v>0</v>
      </c>
      <c r="AE21">
        <f>'Calculations BTU'!AM230</f>
        <v>0</v>
      </c>
      <c r="AF21">
        <f>'Calculations BTU'!AN230</f>
        <v>0</v>
      </c>
      <c r="AG21">
        <f>'Calculations BTU'!AO230</f>
        <v>0</v>
      </c>
      <c r="AH21">
        <f>'Calculations BTU'!AP230</f>
        <v>0</v>
      </c>
      <c r="AI21">
        <f>'Calculations BTU'!AQ230</f>
        <v>0</v>
      </c>
      <c r="AJ21">
        <f>'Calculations BTU'!AR230</f>
        <v>0</v>
      </c>
      <c r="AK21">
        <f>'Calculations BTU'!AS230</f>
        <v>0</v>
      </c>
      <c r="AL21">
        <f>'Calculations BTU'!AT230</f>
        <v>0</v>
      </c>
      <c r="AM21">
        <f>'Calculations BTU'!AU230</f>
        <v>0</v>
      </c>
      <c r="AN21">
        <f>'Calculations BTU'!AV230</f>
        <v>0</v>
      </c>
      <c r="AO21">
        <f>'Calculations BTU'!AW230</f>
        <v>0</v>
      </c>
      <c r="AP21">
        <f>'Calculations BTU'!AX230</f>
        <v>0</v>
      </c>
      <c r="AQ21">
        <f>'Calculations BTU'!AY230</f>
        <v>0</v>
      </c>
      <c r="AR21">
        <f>'Calculations BTU'!AZ230</f>
        <v>0</v>
      </c>
      <c r="AS21">
        <f>'Calculations BTU'!BA230</f>
        <v>0</v>
      </c>
      <c r="AT21">
        <f>'Calculations BTU'!BB230</f>
        <v>0</v>
      </c>
      <c r="AU21">
        <f>'Calculations BTU'!BC230</f>
        <v>0</v>
      </c>
      <c r="AV21">
        <f>'Calculations BTU'!BD230</f>
        <v>0</v>
      </c>
      <c r="AW21">
        <f>'Calculations BTU'!BE230</f>
        <v>0</v>
      </c>
      <c r="AX21">
        <f>'Calculations BTU'!BF230</f>
        <v>0</v>
      </c>
      <c r="AY21">
        <f>'Calculations BTU'!BG230</f>
        <v>0</v>
      </c>
      <c r="AZ21">
        <f>'Calculations BTU'!BH230</f>
        <v>0</v>
      </c>
    </row>
    <row r="22" spans="1:52">
      <c r="A22" t="s">
        <v>146</v>
      </c>
      <c r="B22">
        <f>'Calculations BTU'!J231</f>
        <v>0</v>
      </c>
      <c r="C22">
        <f>'Calculations BTU'!K231</f>
        <v>0</v>
      </c>
      <c r="D22">
        <f>'Calculations BTU'!L231</f>
        <v>0</v>
      </c>
      <c r="E22">
        <f>'Calculations BTU'!M231</f>
        <v>0</v>
      </c>
      <c r="F22">
        <f>'Calculations BTU'!N231</f>
        <v>0</v>
      </c>
      <c r="G22">
        <f>'Calculations BTU'!O231</f>
        <v>0</v>
      </c>
      <c r="H22">
        <f>'Calculations BTU'!P231</f>
        <v>0</v>
      </c>
      <c r="I22">
        <f>'Calculations BTU'!Q231</f>
        <v>0</v>
      </c>
      <c r="J22">
        <f>'Calculations BTU'!R231</f>
        <v>0</v>
      </c>
      <c r="K22">
        <f>'Calculations BTU'!S231</f>
        <v>0</v>
      </c>
      <c r="L22">
        <f>'Calculations BTU'!T231</f>
        <v>0</v>
      </c>
      <c r="M22">
        <f>'Calculations BTU'!U231</f>
        <v>0</v>
      </c>
      <c r="N22">
        <f>'Calculations BTU'!V231</f>
        <v>0</v>
      </c>
      <c r="O22">
        <f>'Calculations BTU'!W231</f>
        <v>0</v>
      </c>
      <c r="P22">
        <f>'Calculations BTU'!X231</f>
        <v>0</v>
      </c>
      <c r="Q22">
        <f>'Calculations BTU'!Y231</f>
        <v>0</v>
      </c>
      <c r="R22">
        <f>'Calculations BTU'!Z231</f>
        <v>0</v>
      </c>
      <c r="S22">
        <f>'Calculations BTU'!AA231</f>
        <v>0</v>
      </c>
      <c r="T22">
        <f>'Calculations BTU'!AB231</f>
        <v>0</v>
      </c>
      <c r="U22">
        <f>'Calculations BTU'!AC231</f>
        <v>0</v>
      </c>
      <c r="V22">
        <f>'Calculations BTU'!AD231</f>
        <v>0</v>
      </c>
      <c r="W22">
        <f>'Calculations BTU'!AE231</f>
        <v>0</v>
      </c>
      <c r="X22">
        <f>'Calculations BTU'!AF231</f>
        <v>0</v>
      </c>
      <c r="Y22">
        <f>'Calculations BTU'!AG231</f>
        <v>0</v>
      </c>
      <c r="Z22">
        <f>'Calculations BTU'!AH231</f>
        <v>0</v>
      </c>
      <c r="AA22">
        <f>'Calculations BTU'!AI231</f>
        <v>0</v>
      </c>
      <c r="AB22">
        <f>'Calculations BTU'!AJ231</f>
        <v>0</v>
      </c>
      <c r="AC22">
        <f>'Calculations BTU'!AK231</f>
        <v>0</v>
      </c>
      <c r="AD22">
        <f>'Calculations BTU'!AL231</f>
        <v>0</v>
      </c>
      <c r="AE22">
        <f>'Calculations BTU'!AM231</f>
        <v>0</v>
      </c>
      <c r="AF22">
        <f>'Calculations BTU'!AN231</f>
        <v>0</v>
      </c>
      <c r="AG22">
        <f>'Calculations BTU'!AO231</f>
        <v>0</v>
      </c>
      <c r="AH22">
        <f>'Calculations BTU'!AP231</f>
        <v>0</v>
      </c>
      <c r="AI22">
        <f>'Calculations BTU'!AQ231</f>
        <v>0</v>
      </c>
      <c r="AJ22">
        <f>'Calculations BTU'!AR231</f>
        <v>0</v>
      </c>
      <c r="AK22">
        <f>'Calculations BTU'!AS231</f>
        <v>0</v>
      </c>
      <c r="AL22">
        <f>'Calculations BTU'!AT231</f>
        <v>0</v>
      </c>
      <c r="AM22">
        <f>'Calculations BTU'!AU231</f>
        <v>0</v>
      </c>
      <c r="AN22">
        <f>'Calculations BTU'!AV231</f>
        <v>0</v>
      </c>
      <c r="AO22">
        <f>'Calculations BTU'!AW231</f>
        <v>0</v>
      </c>
      <c r="AP22">
        <f>'Calculations BTU'!AX231</f>
        <v>0</v>
      </c>
      <c r="AQ22">
        <f>'Calculations BTU'!AY231</f>
        <v>0</v>
      </c>
      <c r="AR22">
        <f>'Calculations BTU'!AZ231</f>
        <v>0</v>
      </c>
      <c r="AS22">
        <f>'Calculations BTU'!BA231</f>
        <v>0</v>
      </c>
      <c r="AT22">
        <f>'Calculations BTU'!BB231</f>
        <v>0</v>
      </c>
      <c r="AU22">
        <f>'Calculations BTU'!BC231</f>
        <v>0</v>
      </c>
      <c r="AV22">
        <f>'Calculations BTU'!BD231</f>
        <v>0</v>
      </c>
      <c r="AW22">
        <f>'Calculations BTU'!BE231</f>
        <v>0</v>
      </c>
      <c r="AX22">
        <f>'Calculations BTU'!BF231</f>
        <v>0</v>
      </c>
      <c r="AY22">
        <f>'Calculations BTU'!BG231</f>
        <v>0</v>
      </c>
      <c r="AZ22">
        <f>'Calculations BTU'!BH231</f>
        <v>0</v>
      </c>
    </row>
    <row r="23" spans="1:52">
      <c r="A23" t="s">
        <v>147</v>
      </c>
      <c r="B23">
        <f>'Calculations BTU'!J232</f>
        <v>0</v>
      </c>
      <c r="C23">
        <f>'Calculations BTU'!K232</f>
        <v>0</v>
      </c>
      <c r="D23">
        <f>'Calculations BTU'!L232</f>
        <v>0</v>
      </c>
      <c r="E23">
        <f>'Calculations BTU'!M232</f>
        <v>0</v>
      </c>
      <c r="F23">
        <f>'Calculations BTU'!N232</f>
        <v>0</v>
      </c>
      <c r="G23">
        <f>'Calculations BTU'!O232</f>
        <v>0</v>
      </c>
      <c r="H23">
        <f>'Calculations BTU'!P232</f>
        <v>0</v>
      </c>
      <c r="I23">
        <f>'Calculations BTU'!Q232</f>
        <v>0</v>
      </c>
      <c r="J23">
        <f>'Calculations BTU'!R232</f>
        <v>0</v>
      </c>
      <c r="K23">
        <f>'Calculations BTU'!S232</f>
        <v>0</v>
      </c>
      <c r="L23">
        <f>'Calculations BTU'!T232</f>
        <v>0</v>
      </c>
      <c r="M23">
        <f>'Calculations BTU'!U232</f>
        <v>0</v>
      </c>
      <c r="N23">
        <f>'Calculations BTU'!V232</f>
        <v>0</v>
      </c>
      <c r="O23">
        <f>'Calculations BTU'!W232</f>
        <v>0</v>
      </c>
      <c r="P23">
        <f>'Calculations BTU'!X232</f>
        <v>0</v>
      </c>
      <c r="Q23">
        <f>'Calculations BTU'!Y232</f>
        <v>0</v>
      </c>
      <c r="R23">
        <f>'Calculations BTU'!Z232</f>
        <v>0</v>
      </c>
      <c r="S23">
        <f>'Calculations BTU'!AA232</f>
        <v>0</v>
      </c>
      <c r="T23">
        <f>'Calculations BTU'!AB232</f>
        <v>0</v>
      </c>
      <c r="U23">
        <f>'Calculations BTU'!AC232</f>
        <v>0</v>
      </c>
      <c r="V23">
        <f>'Calculations BTU'!AD232</f>
        <v>0</v>
      </c>
      <c r="W23">
        <f>'Calculations BTU'!AE232</f>
        <v>0</v>
      </c>
      <c r="X23">
        <f>'Calculations BTU'!AF232</f>
        <v>0</v>
      </c>
      <c r="Y23">
        <f>'Calculations BTU'!AG232</f>
        <v>0</v>
      </c>
      <c r="Z23">
        <f>'Calculations BTU'!AH232</f>
        <v>0</v>
      </c>
      <c r="AA23">
        <f>'Calculations BTU'!AI232</f>
        <v>0</v>
      </c>
      <c r="AB23">
        <f>'Calculations BTU'!AJ232</f>
        <v>0</v>
      </c>
      <c r="AC23">
        <f>'Calculations BTU'!AK232</f>
        <v>0</v>
      </c>
      <c r="AD23">
        <f>'Calculations BTU'!AL232</f>
        <v>0</v>
      </c>
      <c r="AE23">
        <f>'Calculations BTU'!AM232</f>
        <v>0</v>
      </c>
      <c r="AF23">
        <f>'Calculations BTU'!AN232</f>
        <v>0</v>
      </c>
      <c r="AG23">
        <f>'Calculations BTU'!AO232</f>
        <v>0</v>
      </c>
      <c r="AH23">
        <f>'Calculations BTU'!AP232</f>
        <v>0</v>
      </c>
      <c r="AI23">
        <f>'Calculations BTU'!AQ232</f>
        <v>0</v>
      </c>
      <c r="AJ23">
        <f>'Calculations BTU'!AR232</f>
        <v>0</v>
      </c>
      <c r="AK23">
        <f>'Calculations BTU'!AS232</f>
        <v>0</v>
      </c>
      <c r="AL23">
        <f>'Calculations BTU'!AT232</f>
        <v>0</v>
      </c>
      <c r="AM23">
        <f>'Calculations BTU'!AU232</f>
        <v>0</v>
      </c>
      <c r="AN23">
        <f>'Calculations BTU'!AV232</f>
        <v>0</v>
      </c>
      <c r="AO23">
        <f>'Calculations BTU'!AW232</f>
        <v>0</v>
      </c>
      <c r="AP23">
        <f>'Calculations BTU'!AX232</f>
        <v>0</v>
      </c>
      <c r="AQ23">
        <f>'Calculations BTU'!AY232</f>
        <v>0</v>
      </c>
      <c r="AR23">
        <f>'Calculations BTU'!AZ232</f>
        <v>0</v>
      </c>
      <c r="AS23">
        <f>'Calculations BTU'!BA232</f>
        <v>0</v>
      </c>
      <c r="AT23">
        <f>'Calculations BTU'!BB232</f>
        <v>0</v>
      </c>
      <c r="AU23">
        <f>'Calculations BTU'!BC232</f>
        <v>0</v>
      </c>
      <c r="AV23">
        <f>'Calculations BTU'!BD232</f>
        <v>0</v>
      </c>
      <c r="AW23">
        <f>'Calculations BTU'!BE232</f>
        <v>0</v>
      </c>
      <c r="AX23">
        <f>'Calculations BTU'!BF232</f>
        <v>0</v>
      </c>
      <c r="AY23">
        <f>'Calculations BTU'!BG232</f>
        <v>0</v>
      </c>
      <c r="AZ23">
        <f>'Calculations BTU'!BH232</f>
        <v>0</v>
      </c>
    </row>
    <row r="24" spans="1:52">
      <c r="A24" t="s">
        <v>148</v>
      </c>
      <c r="B24">
        <f>'Calculations BTU'!J233</f>
        <v>0</v>
      </c>
      <c r="C24">
        <f>'Calculations BTU'!K233</f>
        <v>0</v>
      </c>
      <c r="D24">
        <f>'Calculations BTU'!L233</f>
        <v>0</v>
      </c>
      <c r="E24">
        <f>'Calculations BTU'!M233</f>
        <v>0</v>
      </c>
      <c r="F24">
        <f>'Calculations BTU'!N233</f>
        <v>0</v>
      </c>
      <c r="G24">
        <f>'Calculations BTU'!O233</f>
        <v>0</v>
      </c>
      <c r="H24">
        <f>'Calculations BTU'!P233</f>
        <v>0</v>
      </c>
      <c r="I24">
        <f>'Calculations BTU'!Q233</f>
        <v>0</v>
      </c>
      <c r="J24">
        <f>'Calculations BTU'!R233</f>
        <v>0</v>
      </c>
      <c r="K24">
        <f>'Calculations BTU'!S233</f>
        <v>0</v>
      </c>
      <c r="L24">
        <f>'Calculations BTU'!T233</f>
        <v>0</v>
      </c>
      <c r="M24">
        <f>'Calculations BTU'!U233</f>
        <v>0</v>
      </c>
      <c r="N24">
        <f>'Calculations BTU'!V233</f>
        <v>0</v>
      </c>
      <c r="O24">
        <f>'Calculations BTU'!W233</f>
        <v>0</v>
      </c>
      <c r="P24">
        <f>'Calculations BTU'!X233</f>
        <v>0</v>
      </c>
      <c r="Q24">
        <f>'Calculations BTU'!Y233</f>
        <v>0</v>
      </c>
      <c r="R24">
        <f>'Calculations BTU'!Z233</f>
        <v>0</v>
      </c>
      <c r="S24">
        <f>'Calculations BTU'!AA233</f>
        <v>0</v>
      </c>
      <c r="T24">
        <f>'Calculations BTU'!AB233</f>
        <v>0</v>
      </c>
      <c r="U24">
        <f>'Calculations BTU'!AC233</f>
        <v>0</v>
      </c>
      <c r="V24">
        <f>'Calculations BTU'!AD233</f>
        <v>0</v>
      </c>
      <c r="W24">
        <f>'Calculations BTU'!AE233</f>
        <v>0</v>
      </c>
      <c r="X24">
        <f>'Calculations BTU'!AF233</f>
        <v>0</v>
      </c>
      <c r="Y24">
        <f>'Calculations BTU'!AG233</f>
        <v>0</v>
      </c>
      <c r="Z24">
        <f>'Calculations BTU'!AH233</f>
        <v>0</v>
      </c>
      <c r="AA24">
        <f>'Calculations BTU'!AI233</f>
        <v>0</v>
      </c>
      <c r="AB24">
        <f>'Calculations BTU'!AJ233</f>
        <v>0</v>
      </c>
      <c r="AC24">
        <f>'Calculations BTU'!AK233</f>
        <v>0</v>
      </c>
      <c r="AD24">
        <f>'Calculations BTU'!AL233</f>
        <v>0</v>
      </c>
      <c r="AE24">
        <f>'Calculations BTU'!AM233</f>
        <v>0</v>
      </c>
      <c r="AF24">
        <f>'Calculations BTU'!AN233</f>
        <v>0</v>
      </c>
      <c r="AG24">
        <f>'Calculations BTU'!AO233</f>
        <v>0</v>
      </c>
      <c r="AH24">
        <f>'Calculations BTU'!AP233</f>
        <v>0</v>
      </c>
      <c r="AI24">
        <f>'Calculations BTU'!AQ233</f>
        <v>0</v>
      </c>
      <c r="AJ24">
        <f>'Calculations BTU'!AR233</f>
        <v>0</v>
      </c>
      <c r="AK24">
        <f>'Calculations BTU'!AS233</f>
        <v>0</v>
      </c>
      <c r="AL24">
        <f>'Calculations BTU'!AT233</f>
        <v>0</v>
      </c>
      <c r="AM24">
        <f>'Calculations BTU'!AU233</f>
        <v>0</v>
      </c>
      <c r="AN24">
        <f>'Calculations BTU'!AV233</f>
        <v>0</v>
      </c>
      <c r="AO24">
        <f>'Calculations BTU'!AW233</f>
        <v>0</v>
      </c>
      <c r="AP24">
        <f>'Calculations BTU'!AX233</f>
        <v>0</v>
      </c>
      <c r="AQ24">
        <f>'Calculations BTU'!AY233</f>
        <v>0</v>
      </c>
      <c r="AR24">
        <f>'Calculations BTU'!AZ233</f>
        <v>0</v>
      </c>
      <c r="AS24">
        <f>'Calculations BTU'!BA233</f>
        <v>0</v>
      </c>
      <c r="AT24">
        <f>'Calculations BTU'!BB233</f>
        <v>0</v>
      </c>
      <c r="AU24">
        <f>'Calculations BTU'!BC233</f>
        <v>0</v>
      </c>
      <c r="AV24">
        <f>'Calculations BTU'!BD233</f>
        <v>0</v>
      </c>
      <c r="AW24">
        <f>'Calculations BTU'!BE233</f>
        <v>0</v>
      </c>
      <c r="AX24">
        <f>'Calculations BTU'!BF233</f>
        <v>0</v>
      </c>
      <c r="AY24">
        <f>'Calculations BTU'!BG233</f>
        <v>0</v>
      </c>
      <c r="AZ24">
        <f>'Calculations BTU'!BH233</f>
        <v>0</v>
      </c>
    </row>
    <row r="25" spans="1:52">
      <c r="A25" t="s">
        <v>149</v>
      </c>
      <c r="B25">
        <f>'Calculations BTU'!J234</f>
        <v>0</v>
      </c>
      <c r="C25">
        <f>'Calculations BTU'!K234</f>
        <v>0</v>
      </c>
      <c r="D25">
        <f>'Calculations BTU'!L234</f>
        <v>0</v>
      </c>
      <c r="E25">
        <f>'Calculations BTU'!M234</f>
        <v>0</v>
      </c>
      <c r="F25">
        <f>'Calculations BTU'!N234</f>
        <v>0</v>
      </c>
      <c r="G25">
        <f>'Calculations BTU'!O234</f>
        <v>0</v>
      </c>
      <c r="H25">
        <f>'Calculations BTU'!P234</f>
        <v>0</v>
      </c>
      <c r="I25">
        <f>'Calculations BTU'!Q234</f>
        <v>0</v>
      </c>
      <c r="J25">
        <f>'Calculations BTU'!R234</f>
        <v>0</v>
      </c>
      <c r="K25">
        <f>'Calculations BTU'!S234</f>
        <v>0</v>
      </c>
      <c r="L25">
        <f>'Calculations BTU'!T234</f>
        <v>0</v>
      </c>
      <c r="M25">
        <f>'Calculations BTU'!U234</f>
        <v>0</v>
      </c>
      <c r="N25">
        <f>'Calculations BTU'!V234</f>
        <v>0</v>
      </c>
      <c r="O25">
        <f>'Calculations BTU'!W234</f>
        <v>0</v>
      </c>
      <c r="P25">
        <f>'Calculations BTU'!X234</f>
        <v>0</v>
      </c>
      <c r="Q25">
        <f>'Calculations BTU'!Y234</f>
        <v>0</v>
      </c>
      <c r="R25">
        <f>'Calculations BTU'!Z234</f>
        <v>0</v>
      </c>
      <c r="S25">
        <f>'Calculations BTU'!AA234</f>
        <v>0</v>
      </c>
      <c r="T25">
        <f>'Calculations BTU'!AB234</f>
        <v>0</v>
      </c>
      <c r="U25">
        <f>'Calculations BTU'!AC234</f>
        <v>0</v>
      </c>
      <c r="V25">
        <f>'Calculations BTU'!AD234</f>
        <v>0</v>
      </c>
      <c r="W25">
        <f>'Calculations BTU'!AE234</f>
        <v>0</v>
      </c>
      <c r="X25">
        <f>'Calculations BTU'!AF234</f>
        <v>0</v>
      </c>
      <c r="Y25">
        <f>'Calculations BTU'!AG234</f>
        <v>0</v>
      </c>
      <c r="Z25">
        <f>'Calculations BTU'!AH234</f>
        <v>0</v>
      </c>
      <c r="AA25">
        <f>'Calculations BTU'!AI234</f>
        <v>0</v>
      </c>
      <c r="AB25">
        <f>'Calculations BTU'!AJ234</f>
        <v>0</v>
      </c>
      <c r="AC25">
        <f>'Calculations BTU'!AK234</f>
        <v>0</v>
      </c>
      <c r="AD25">
        <f>'Calculations BTU'!AL234</f>
        <v>0</v>
      </c>
      <c r="AE25">
        <f>'Calculations BTU'!AM234</f>
        <v>0</v>
      </c>
      <c r="AF25">
        <f>'Calculations BTU'!AN234</f>
        <v>0</v>
      </c>
      <c r="AG25">
        <f>'Calculations BTU'!AO234</f>
        <v>0</v>
      </c>
      <c r="AH25">
        <f>'Calculations BTU'!AP234</f>
        <v>0</v>
      </c>
      <c r="AI25">
        <f>'Calculations BTU'!AQ234</f>
        <v>0</v>
      </c>
      <c r="AJ25">
        <f>'Calculations BTU'!AR234</f>
        <v>0</v>
      </c>
      <c r="AK25">
        <f>'Calculations BTU'!AS234</f>
        <v>0</v>
      </c>
      <c r="AL25">
        <f>'Calculations BTU'!AT234</f>
        <v>0</v>
      </c>
      <c r="AM25">
        <f>'Calculations BTU'!AU234</f>
        <v>0</v>
      </c>
      <c r="AN25">
        <f>'Calculations BTU'!AV234</f>
        <v>0</v>
      </c>
      <c r="AO25">
        <f>'Calculations BTU'!AW234</f>
        <v>0</v>
      </c>
      <c r="AP25">
        <f>'Calculations BTU'!AX234</f>
        <v>0</v>
      </c>
      <c r="AQ25">
        <f>'Calculations BTU'!AY234</f>
        <v>0</v>
      </c>
      <c r="AR25">
        <f>'Calculations BTU'!AZ234</f>
        <v>0</v>
      </c>
      <c r="AS25">
        <f>'Calculations BTU'!BA234</f>
        <v>0</v>
      </c>
      <c r="AT25">
        <f>'Calculations BTU'!BB234</f>
        <v>0</v>
      </c>
      <c r="AU25">
        <f>'Calculations BTU'!BC234</f>
        <v>0</v>
      </c>
      <c r="AV25">
        <f>'Calculations BTU'!BD234</f>
        <v>0</v>
      </c>
      <c r="AW25">
        <f>'Calculations BTU'!BE234</f>
        <v>0</v>
      </c>
      <c r="AX25">
        <f>'Calculations BTU'!BF234</f>
        <v>0</v>
      </c>
      <c r="AY25">
        <f>'Calculations BTU'!BG234</f>
        <v>0</v>
      </c>
      <c r="AZ25">
        <f>'Calculations BTU'!BH234</f>
        <v>0</v>
      </c>
    </row>
    <row r="26" spans="1:52">
      <c r="A26" t="s">
        <v>150</v>
      </c>
      <c r="B26">
        <f>'Calculations BTU'!J235</f>
        <v>0</v>
      </c>
      <c r="C26">
        <f>'Calculations BTU'!K235</f>
        <v>0</v>
      </c>
      <c r="D26">
        <f>'Calculations BTU'!L235</f>
        <v>0</v>
      </c>
      <c r="E26">
        <f>'Calculations BTU'!M235</f>
        <v>0</v>
      </c>
      <c r="F26">
        <f>'Calculations BTU'!N235</f>
        <v>0</v>
      </c>
      <c r="G26">
        <f>'Calculations BTU'!O235</f>
        <v>0</v>
      </c>
      <c r="H26">
        <f>'Calculations BTU'!P235</f>
        <v>0</v>
      </c>
      <c r="I26">
        <f>'Calculations BTU'!Q235</f>
        <v>0</v>
      </c>
      <c r="J26">
        <f>'Calculations BTU'!R235</f>
        <v>0</v>
      </c>
      <c r="K26">
        <f>'Calculations BTU'!S235</f>
        <v>0</v>
      </c>
      <c r="L26">
        <f>'Calculations BTU'!T235</f>
        <v>0</v>
      </c>
      <c r="M26">
        <f>'Calculations BTU'!U235</f>
        <v>0</v>
      </c>
      <c r="N26">
        <f>'Calculations BTU'!V235</f>
        <v>0</v>
      </c>
      <c r="O26">
        <f>'Calculations BTU'!W235</f>
        <v>0</v>
      </c>
      <c r="P26">
        <f>'Calculations BTU'!X235</f>
        <v>0</v>
      </c>
      <c r="Q26">
        <f>'Calculations BTU'!Y235</f>
        <v>0</v>
      </c>
      <c r="R26">
        <f>'Calculations BTU'!Z235</f>
        <v>0</v>
      </c>
      <c r="S26">
        <f>'Calculations BTU'!AA235</f>
        <v>0</v>
      </c>
      <c r="T26">
        <f>'Calculations BTU'!AB235</f>
        <v>0</v>
      </c>
      <c r="U26">
        <f>'Calculations BTU'!AC235</f>
        <v>0</v>
      </c>
      <c r="V26">
        <f>'Calculations BTU'!AD235</f>
        <v>0</v>
      </c>
      <c r="W26">
        <f>'Calculations BTU'!AE235</f>
        <v>0</v>
      </c>
      <c r="X26">
        <f>'Calculations BTU'!AF235</f>
        <v>0</v>
      </c>
      <c r="Y26">
        <f>'Calculations BTU'!AG235</f>
        <v>0</v>
      </c>
      <c r="Z26">
        <f>'Calculations BTU'!AH235</f>
        <v>0</v>
      </c>
      <c r="AA26">
        <f>'Calculations BTU'!AI235</f>
        <v>0</v>
      </c>
      <c r="AB26">
        <f>'Calculations BTU'!AJ235</f>
        <v>0</v>
      </c>
      <c r="AC26">
        <f>'Calculations BTU'!AK235</f>
        <v>0</v>
      </c>
      <c r="AD26">
        <f>'Calculations BTU'!AL235</f>
        <v>0</v>
      </c>
      <c r="AE26">
        <f>'Calculations BTU'!AM235</f>
        <v>0</v>
      </c>
      <c r="AF26">
        <f>'Calculations BTU'!AN235</f>
        <v>0</v>
      </c>
      <c r="AG26">
        <f>'Calculations BTU'!AO235</f>
        <v>0</v>
      </c>
      <c r="AH26">
        <f>'Calculations BTU'!AP235</f>
        <v>0</v>
      </c>
      <c r="AI26">
        <f>'Calculations BTU'!AQ235</f>
        <v>0</v>
      </c>
      <c r="AJ26">
        <f>'Calculations BTU'!AR235</f>
        <v>0</v>
      </c>
      <c r="AK26">
        <f>'Calculations BTU'!AS235</f>
        <v>0</v>
      </c>
      <c r="AL26">
        <f>'Calculations BTU'!AT235</f>
        <v>0</v>
      </c>
      <c r="AM26">
        <f>'Calculations BTU'!AU235</f>
        <v>0</v>
      </c>
      <c r="AN26">
        <f>'Calculations BTU'!AV235</f>
        <v>0</v>
      </c>
      <c r="AO26">
        <f>'Calculations BTU'!AW235</f>
        <v>0</v>
      </c>
      <c r="AP26">
        <f>'Calculations BTU'!AX235</f>
        <v>0</v>
      </c>
      <c r="AQ26">
        <f>'Calculations BTU'!AY235</f>
        <v>0</v>
      </c>
      <c r="AR26">
        <f>'Calculations BTU'!AZ235</f>
        <v>0</v>
      </c>
      <c r="AS26">
        <f>'Calculations BTU'!BA235</f>
        <v>0</v>
      </c>
      <c r="AT26">
        <f>'Calculations BTU'!BB235</f>
        <v>0</v>
      </c>
      <c r="AU26">
        <f>'Calculations BTU'!BC235</f>
        <v>0</v>
      </c>
      <c r="AV26">
        <f>'Calculations BTU'!BD235</f>
        <v>0</v>
      </c>
      <c r="AW26">
        <f>'Calculations BTU'!BE235</f>
        <v>0</v>
      </c>
      <c r="AX26">
        <f>'Calculations BTU'!BF235</f>
        <v>0</v>
      </c>
      <c r="AY26">
        <f>'Calculations BTU'!BG235</f>
        <v>0</v>
      </c>
      <c r="AZ26">
        <f>'Calculations BTU'!BH235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6C8F13-1C0C-4A41-8A6A-1CF814EE4F07}"/>
</file>

<file path=customXml/itemProps2.xml><?xml version="1.0" encoding="utf-8"?>
<ds:datastoreItem xmlns:ds="http://schemas.openxmlformats.org/officeDocument/2006/customXml" ds:itemID="{7F143BB4-365D-4F33-89A7-22C398A51FFA}"/>
</file>

<file path=customXml/itemProps3.xml><?xml version="1.0" encoding="utf-8"?>
<ds:datastoreItem xmlns:ds="http://schemas.openxmlformats.org/officeDocument/2006/customXml" ds:itemID="{9BD66C66-C5DE-4BCC-A174-2D443C03A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Olea</dc:creator>
  <cp:keywords/>
  <dc:description/>
  <cp:lastModifiedBy>Rachel Goldstein</cp:lastModifiedBy>
  <cp:revision/>
  <dcterms:created xsi:type="dcterms:W3CDTF">2021-07-14T06:25:00Z</dcterms:created>
  <dcterms:modified xsi:type="dcterms:W3CDTF">2025-03-13T14:16:36Z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