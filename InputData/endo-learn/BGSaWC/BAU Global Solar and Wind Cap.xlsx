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eps-mexico\InputData\endo-learn\BGSaWC\"/>
    </mc:Choice>
  </mc:AlternateContent>
  <xr:revisionPtr revIDLastSave="0" documentId="13_ncr:1_{73A8B15F-3EA8-4386-9C55-C1054770D6E6}" xr6:coauthVersionLast="47" xr6:coauthVersionMax="47" xr10:uidLastSave="{00000000-0000-0000-0000-000000000000}"/>
  <bookViews>
    <workbookView xWindow="-120" yWindow="-120" windowWidth="29040" windowHeight="17520" activeTab="4" xr2:uid="{00000000-000D-0000-FFFF-FFFF00000000}"/>
  </bookViews>
  <sheets>
    <sheet name="About" sheetId="1" r:id="rId1"/>
    <sheet name="Global Renewables Outlook" sheetId="6" r:id="rId2"/>
    <sheet name="Wind" sheetId="8" r:id="rId3"/>
    <sheet name="SYBGSaWC" sheetId="7" r:id="rId4"/>
    <sheet name="BGSaWC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G2" i="4" l="1"/>
  <c r="AH2" i="4"/>
  <c r="AI2" i="4"/>
  <c r="AJ2" i="4"/>
  <c r="AK2" i="4"/>
  <c r="AL2" i="4"/>
  <c r="AM2" i="4"/>
  <c r="AN2" i="4"/>
  <c r="AO2" i="4"/>
  <c r="AP2" i="4"/>
  <c r="AQ2" i="4"/>
  <c r="AR2" i="4"/>
  <c r="AS2" i="4"/>
  <c r="AT2" i="4"/>
  <c r="AU2" i="4"/>
  <c r="AV2" i="4"/>
  <c r="AW2" i="4"/>
  <c r="AX2" i="4"/>
  <c r="AY2" i="4"/>
  <c r="AZ2" i="4"/>
  <c r="AG3" i="4"/>
  <c r="AH3" i="4"/>
  <c r="AI3" i="4"/>
  <c r="AJ3" i="4"/>
  <c r="AK3" i="4"/>
  <c r="AL3" i="4"/>
  <c r="AM3" i="4"/>
  <c r="AN3" i="4"/>
  <c r="AO3" i="4"/>
  <c r="AP3" i="4"/>
  <c r="AQ3" i="4"/>
  <c r="AR3" i="4"/>
  <c r="AS3" i="4"/>
  <c r="AT3" i="4"/>
  <c r="AU3" i="4"/>
  <c r="AV3" i="4"/>
  <c r="AW3" i="4"/>
  <c r="AX3" i="4"/>
  <c r="AY3" i="4"/>
  <c r="AZ3" i="4"/>
  <c r="AG4" i="4"/>
  <c r="AH4" i="4"/>
  <c r="AI4" i="4"/>
  <c r="AJ4" i="4"/>
  <c r="AK4" i="4"/>
  <c r="AL4" i="4"/>
  <c r="AM4" i="4"/>
  <c r="AN4" i="4"/>
  <c r="AO4" i="4"/>
  <c r="AP4" i="4"/>
  <c r="AQ4" i="4"/>
  <c r="AR4" i="4"/>
  <c r="AS4" i="4"/>
  <c r="AT4" i="4"/>
  <c r="AU4" i="4"/>
  <c r="AV4" i="4"/>
  <c r="AW4" i="4"/>
  <c r="AX4" i="4"/>
  <c r="AY4" i="4"/>
  <c r="AZ4" i="4"/>
  <c r="AG5" i="4"/>
  <c r="AH5" i="4"/>
  <c r="AI5" i="4"/>
  <c r="AJ5" i="4"/>
  <c r="AK5" i="4"/>
  <c r="AL5" i="4"/>
  <c r="AM5" i="4"/>
  <c r="AN5" i="4"/>
  <c r="AO5" i="4"/>
  <c r="AP5" i="4"/>
  <c r="AQ5" i="4"/>
  <c r="AR5" i="4"/>
  <c r="AS5" i="4"/>
  <c r="AT5" i="4"/>
  <c r="AU5" i="4"/>
  <c r="AV5" i="4"/>
  <c r="AW5" i="4"/>
  <c r="AX5" i="4"/>
  <c r="AY5" i="4"/>
  <c r="AZ5" i="4"/>
  <c r="AG6" i="4"/>
  <c r="AH6" i="4"/>
  <c r="AI6" i="4"/>
  <c r="AJ6" i="4"/>
  <c r="AK6" i="4"/>
  <c r="AL6" i="4"/>
  <c r="AM6" i="4"/>
  <c r="AN6" i="4"/>
  <c r="AO6" i="4"/>
  <c r="AP6" i="4"/>
  <c r="AQ6" i="4"/>
  <c r="AR6" i="4"/>
  <c r="AS6" i="4"/>
  <c r="AT6" i="4"/>
  <c r="AU6" i="4"/>
  <c r="AV6" i="4"/>
  <c r="AW6" i="4"/>
  <c r="AX6" i="4"/>
  <c r="AY6" i="4"/>
  <c r="AZ6" i="4"/>
  <c r="AG7" i="4"/>
  <c r="AH7" i="4"/>
  <c r="AI7" i="4"/>
  <c r="AJ7" i="4"/>
  <c r="AK7" i="4"/>
  <c r="AL7" i="4"/>
  <c r="AM7" i="4"/>
  <c r="AN7" i="4"/>
  <c r="AO7" i="4"/>
  <c r="AP7" i="4"/>
  <c r="AQ7" i="4"/>
  <c r="AR7" i="4"/>
  <c r="AS7" i="4"/>
  <c r="AT7" i="4"/>
  <c r="AU7" i="4"/>
  <c r="AV7" i="4"/>
  <c r="AW7" i="4"/>
  <c r="AX7" i="4"/>
  <c r="AY7" i="4"/>
  <c r="AZ7" i="4"/>
  <c r="AG8" i="4"/>
  <c r="AH8" i="4"/>
  <c r="AI8" i="4"/>
  <c r="AJ8" i="4"/>
  <c r="AK8" i="4"/>
  <c r="AL8" i="4"/>
  <c r="AM8" i="4"/>
  <c r="AN8" i="4"/>
  <c r="AO8" i="4"/>
  <c r="AP8" i="4"/>
  <c r="AQ8" i="4"/>
  <c r="AR8" i="4"/>
  <c r="AS8" i="4"/>
  <c r="AT8" i="4"/>
  <c r="AU8" i="4"/>
  <c r="AV8" i="4"/>
  <c r="AW8" i="4"/>
  <c r="AX8" i="4"/>
  <c r="AY8" i="4"/>
  <c r="AZ8" i="4"/>
  <c r="AG9" i="4"/>
  <c r="AH9" i="4"/>
  <c r="AI9" i="4"/>
  <c r="AJ9" i="4"/>
  <c r="AK9" i="4"/>
  <c r="AL9" i="4"/>
  <c r="AM9" i="4"/>
  <c r="AN9" i="4"/>
  <c r="AO9" i="4"/>
  <c r="AP9" i="4"/>
  <c r="AQ9" i="4"/>
  <c r="AR9" i="4"/>
  <c r="AS9" i="4"/>
  <c r="AT9" i="4"/>
  <c r="AU9" i="4"/>
  <c r="AV9" i="4"/>
  <c r="AW9" i="4"/>
  <c r="AX9" i="4"/>
  <c r="AY9" i="4"/>
  <c r="AZ9" i="4"/>
  <c r="AG10" i="4"/>
  <c r="AH10" i="4"/>
  <c r="AI10" i="4"/>
  <c r="AJ10" i="4"/>
  <c r="AK10" i="4"/>
  <c r="AL10" i="4"/>
  <c r="AM10" i="4"/>
  <c r="AN10" i="4"/>
  <c r="AO10" i="4"/>
  <c r="AP10" i="4"/>
  <c r="AQ10" i="4"/>
  <c r="AR10" i="4"/>
  <c r="AS10" i="4"/>
  <c r="AT10" i="4"/>
  <c r="AU10" i="4"/>
  <c r="AV10" i="4"/>
  <c r="AW10" i="4"/>
  <c r="AX10" i="4"/>
  <c r="AY10" i="4"/>
  <c r="AZ10" i="4"/>
  <c r="AG11" i="4"/>
  <c r="AH11" i="4"/>
  <c r="AI11" i="4"/>
  <c r="AJ11" i="4"/>
  <c r="AK11" i="4"/>
  <c r="AL11" i="4"/>
  <c r="AM11" i="4"/>
  <c r="AN11" i="4"/>
  <c r="AO11" i="4"/>
  <c r="AP11" i="4"/>
  <c r="AQ11" i="4"/>
  <c r="AR11" i="4"/>
  <c r="AS11" i="4"/>
  <c r="AT11" i="4"/>
  <c r="AU11" i="4"/>
  <c r="AV11" i="4"/>
  <c r="AW11" i="4"/>
  <c r="AX11" i="4"/>
  <c r="AY11" i="4"/>
  <c r="AZ11" i="4"/>
  <c r="AG12" i="4"/>
  <c r="AH12" i="4"/>
  <c r="AI12" i="4"/>
  <c r="AJ12" i="4"/>
  <c r="AK12" i="4"/>
  <c r="AL12" i="4"/>
  <c r="AM12" i="4"/>
  <c r="AN12" i="4"/>
  <c r="AO12" i="4"/>
  <c r="AP12" i="4"/>
  <c r="AQ12" i="4"/>
  <c r="AR12" i="4"/>
  <c r="AS12" i="4"/>
  <c r="AT12" i="4"/>
  <c r="AU12" i="4"/>
  <c r="AV12" i="4"/>
  <c r="AW12" i="4"/>
  <c r="AX12" i="4"/>
  <c r="AY12" i="4"/>
  <c r="AZ12" i="4"/>
  <c r="AG13" i="4"/>
  <c r="AH13" i="4"/>
  <c r="AI13" i="4"/>
  <c r="AJ13" i="4"/>
  <c r="AK13" i="4"/>
  <c r="AL13" i="4"/>
  <c r="AM13" i="4"/>
  <c r="AN13" i="4"/>
  <c r="AO13" i="4"/>
  <c r="AP13" i="4"/>
  <c r="AQ13" i="4"/>
  <c r="AR13" i="4"/>
  <c r="AS13" i="4"/>
  <c r="AT13" i="4"/>
  <c r="AU13" i="4"/>
  <c r="AV13" i="4"/>
  <c r="AW13" i="4"/>
  <c r="AX13" i="4"/>
  <c r="AY13" i="4"/>
  <c r="AZ13" i="4"/>
  <c r="AG14" i="4"/>
  <c r="AH14" i="4"/>
  <c r="AI14" i="4"/>
  <c r="AJ14" i="4"/>
  <c r="AK14" i="4"/>
  <c r="AL14" i="4"/>
  <c r="AM14" i="4"/>
  <c r="AN14" i="4"/>
  <c r="AO14" i="4"/>
  <c r="AP14" i="4"/>
  <c r="AQ14" i="4"/>
  <c r="AR14" i="4"/>
  <c r="AS14" i="4"/>
  <c r="AT14" i="4"/>
  <c r="AU14" i="4"/>
  <c r="AV14" i="4"/>
  <c r="AW14" i="4"/>
  <c r="AX14" i="4"/>
  <c r="AY14" i="4"/>
  <c r="AZ14" i="4"/>
  <c r="AG15" i="4"/>
  <c r="AH15" i="4"/>
  <c r="AI15" i="4"/>
  <c r="AJ15" i="4"/>
  <c r="AK15" i="4"/>
  <c r="AL15" i="4"/>
  <c r="AM15" i="4"/>
  <c r="AN15" i="4"/>
  <c r="AO15" i="4"/>
  <c r="AP15" i="4"/>
  <c r="AQ15" i="4"/>
  <c r="AR15" i="4"/>
  <c r="AS15" i="4"/>
  <c r="AT15" i="4"/>
  <c r="AU15" i="4"/>
  <c r="AV15" i="4"/>
  <c r="AW15" i="4"/>
  <c r="AX15" i="4"/>
  <c r="AY15" i="4"/>
  <c r="AZ15" i="4"/>
  <c r="AG16" i="4"/>
  <c r="AH16" i="4"/>
  <c r="AI16" i="4"/>
  <c r="AJ16" i="4"/>
  <c r="AK16" i="4"/>
  <c r="AL16" i="4"/>
  <c r="AM16" i="4"/>
  <c r="AN16" i="4"/>
  <c r="AO16" i="4"/>
  <c r="AP16" i="4"/>
  <c r="AQ16" i="4"/>
  <c r="AR16" i="4"/>
  <c r="AS16" i="4"/>
  <c r="AT16" i="4"/>
  <c r="AU16" i="4"/>
  <c r="AV16" i="4"/>
  <c r="AW16" i="4"/>
  <c r="AX16" i="4"/>
  <c r="AY16" i="4"/>
  <c r="AZ16" i="4"/>
  <c r="AG17" i="4"/>
  <c r="AH17" i="4"/>
  <c r="AI17" i="4"/>
  <c r="AJ17" i="4"/>
  <c r="AK17" i="4"/>
  <c r="AL17" i="4"/>
  <c r="AM17" i="4"/>
  <c r="AN17" i="4"/>
  <c r="AO17" i="4"/>
  <c r="AP17" i="4"/>
  <c r="AQ17" i="4"/>
  <c r="AR17" i="4"/>
  <c r="AS17" i="4"/>
  <c r="AT17" i="4"/>
  <c r="AU17" i="4"/>
  <c r="AV17" i="4"/>
  <c r="AW17" i="4"/>
  <c r="AX17" i="4"/>
  <c r="AY17" i="4"/>
  <c r="AZ17" i="4"/>
  <c r="AG18" i="4"/>
  <c r="AH18" i="4"/>
  <c r="AI18" i="4"/>
  <c r="AJ18" i="4"/>
  <c r="AK18" i="4"/>
  <c r="AL18" i="4"/>
  <c r="AM18" i="4"/>
  <c r="AN18" i="4"/>
  <c r="AO18" i="4"/>
  <c r="AP18" i="4"/>
  <c r="AQ18" i="4"/>
  <c r="AR18" i="4"/>
  <c r="AS18" i="4"/>
  <c r="AT18" i="4"/>
  <c r="AU18" i="4"/>
  <c r="AV18" i="4"/>
  <c r="AW18" i="4"/>
  <c r="AX18" i="4"/>
  <c r="AY18" i="4"/>
  <c r="AZ18" i="4"/>
  <c r="AG19" i="4"/>
  <c r="AH19" i="4"/>
  <c r="AI19" i="4"/>
  <c r="AJ19" i="4"/>
  <c r="AK19" i="4"/>
  <c r="AL19" i="4"/>
  <c r="AM19" i="4"/>
  <c r="AN19" i="4"/>
  <c r="AO19" i="4"/>
  <c r="AP19" i="4"/>
  <c r="AQ19" i="4"/>
  <c r="AR19" i="4"/>
  <c r="AS19" i="4"/>
  <c r="AT19" i="4"/>
  <c r="AU19" i="4"/>
  <c r="AV19" i="4"/>
  <c r="AW19" i="4"/>
  <c r="AX19" i="4"/>
  <c r="AY19" i="4"/>
  <c r="AZ19" i="4"/>
  <c r="AG20" i="4"/>
  <c r="AH20" i="4"/>
  <c r="AI20" i="4"/>
  <c r="AJ20" i="4"/>
  <c r="AK20" i="4"/>
  <c r="AL20" i="4"/>
  <c r="AM20" i="4"/>
  <c r="AN20" i="4"/>
  <c r="AO20" i="4"/>
  <c r="AP20" i="4"/>
  <c r="AQ20" i="4"/>
  <c r="AR20" i="4"/>
  <c r="AS20" i="4"/>
  <c r="AT20" i="4"/>
  <c r="AU20" i="4"/>
  <c r="AV20" i="4"/>
  <c r="AW20" i="4"/>
  <c r="AX20" i="4"/>
  <c r="AY20" i="4"/>
  <c r="AZ20" i="4"/>
  <c r="AG21" i="4"/>
  <c r="AH21" i="4"/>
  <c r="AI21" i="4"/>
  <c r="AJ21" i="4"/>
  <c r="AK21" i="4"/>
  <c r="AL21" i="4"/>
  <c r="AM21" i="4"/>
  <c r="AN21" i="4"/>
  <c r="AO21" i="4"/>
  <c r="AP21" i="4"/>
  <c r="AQ21" i="4"/>
  <c r="AR21" i="4"/>
  <c r="AS21" i="4"/>
  <c r="AT21" i="4"/>
  <c r="AU21" i="4"/>
  <c r="AV21" i="4"/>
  <c r="AW21" i="4"/>
  <c r="AX21" i="4"/>
  <c r="AY21" i="4"/>
  <c r="AZ21" i="4"/>
  <c r="AG22" i="4"/>
  <c r="AH22" i="4"/>
  <c r="AI22" i="4"/>
  <c r="AJ22" i="4"/>
  <c r="AK22" i="4"/>
  <c r="AL22" i="4"/>
  <c r="AM22" i="4"/>
  <c r="AN22" i="4"/>
  <c r="AO22" i="4"/>
  <c r="AP22" i="4"/>
  <c r="AQ22" i="4"/>
  <c r="AR22" i="4"/>
  <c r="AS22" i="4"/>
  <c r="AT22" i="4"/>
  <c r="AU22" i="4"/>
  <c r="AV22" i="4"/>
  <c r="AW22" i="4"/>
  <c r="AX22" i="4"/>
  <c r="AY22" i="4"/>
  <c r="AZ22" i="4"/>
  <c r="AG23" i="4"/>
  <c r="AH23" i="4"/>
  <c r="AI23" i="4"/>
  <c r="AJ23" i="4"/>
  <c r="AK23" i="4"/>
  <c r="AL23" i="4"/>
  <c r="AM23" i="4"/>
  <c r="AN23" i="4"/>
  <c r="AO23" i="4"/>
  <c r="AP23" i="4"/>
  <c r="AQ23" i="4"/>
  <c r="AR23" i="4"/>
  <c r="AS23" i="4"/>
  <c r="AT23" i="4"/>
  <c r="AU23" i="4"/>
  <c r="AV23" i="4"/>
  <c r="AW23" i="4"/>
  <c r="AX23" i="4"/>
  <c r="AY23" i="4"/>
  <c r="AZ23" i="4"/>
  <c r="AG24" i="4"/>
  <c r="AH24" i="4"/>
  <c r="AI24" i="4"/>
  <c r="AJ24" i="4"/>
  <c r="AK24" i="4"/>
  <c r="AL24" i="4"/>
  <c r="AM24" i="4"/>
  <c r="AN24" i="4"/>
  <c r="AO24" i="4"/>
  <c r="AP24" i="4"/>
  <c r="AQ24" i="4"/>
  <c r="AR24" i="4"/>
  <c r="AS24" i="4"/>
  <c r="AT24" i="4"/>
  <c r="AU24" i="4"/>
  <c r="AV24" i="4"/>
  <c r="AW24" i="4"/>
  <c r="AX24" i="4"/>
  <c r="AY24" i="4"/>
  <c r="AZ24" i="4"/>
  <c r="AG25" i="4"/>
  <c r="AH25" i="4"/>
  <c r="AI25" i="4"/>
  <c r="AJ25" i="4"/>
  <c r="AK25" i="4"/>
  <c r="AL25" i="4"/>
  <c r="AM25" i="4"/>
  <c r="AN25" i="4"/>
  <c r="AO25" i="4"/>
  <c r="AP25" i="4"/>
  <c r="AQ25" i="4"/>
  <c r="AR25" i="4"/>
  <c r="AS25" i="4"/>
  <c r="AT25" i="4"/>
  <c r="AU25" i="4"/>
  <c r="AV25" i="4"/>
  <c r="AW25" i="4"/>
  <c r="AX25" i="4"/>
  <c r="AY25" i="4"/>
  <c r="AZ25" i="4"/>
  <c r="AF3" i="4"/>
  <c r="AF4" i="4"/>
  <c r="AF5" i="4"/>
  <c r="AF6" i="4"/>
  <c r="AF7" i="4"/>
  <c r="AF8" i="4"/>
  <c r="AF9" i="4"/>
  <c r="AF10" i="4"/>
  <c r="AF11" i="4"/>
  <c r="AF12" i="4"/>
  <c r="AF13" i="4"/>
  <c r="AF14" i="4"/>
  <c r="AF15" i="4"/>
  <c r="AF16" i="4"/>
  <c r="AF17" i="4"/>
  <c r="AF18" i="4"/>
  <c r="AF19" i="4"/>
  <c r="AF20" i="4"/>
  <c r="AF21" i="4"/>
  <c r="AF22" i="4"/>
  <c r="AF23" i="4"/>
  <c r="AF24" i="4"/>
  <c r="AF25" i="4"/>
  <c r="AF2" i="4"/>
  <c r="B3" i="7"/>
  <c r="B4" i="7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" i="7"/>
  <c r="B7" i="4"/>
  <c r="C7" i="4"/>
  <c r="D7" i="4"/>
  <c r="B8" i="4"/>
  <c r="C8" i="4"/>
  <c r="D8" i="4"/>
  <c r="B15" i="4"/>
  <c r="C15" i="4"/>
  <c r="D15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AD7" i="4"/>
  <c r="AE7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AD8" i="4"/>
  <c r="AE8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V15" i="4"/>
  <c r="W15" i="4"/>
  <c r="X15" i="4"/>
  <c r="Y15" i="4"/>
  <c r="Z15" i="4"/>
  <c r="AA15" i="4"/>
  <c r="AB15" i="4"/>
  <c r="AC15" i="4"/>
  <c r="AD15" i="4"/>
  <c r="AE15" i="4"/>
  <c r="C4" i="8"/>
  <c r="D4" i="8"/>
  <c r="E4" i="8"/>
  <c r="F4" i="8"/>
  <c r="G4" i="8"/>
  <c r="H4" i="8"/>
  <c r="I4" i="8"/>
  <c r="J4" i="8"/>
  <c r="K4" i="8"/>
  <c r="L4" i="8"/>
  <c r="M4" i="8"/>
  <c r="N4" i="8"/>
  <c r="O4" i="8"/>
  <c r="P4" i="8"/>
  <c r="Q4" i="8"/>
  <c r="R4" i="8"/>
  <c r="S4" i="8"/>
  <c r="T4" i="8"/>
  <c r="U4" i="8"/>
  <c r="V4" i="8"/>
  <c r="W4" i="8"/>
  <c r="X4" i="8"/>
  <c r="Y4" i="8"/>
  <c r="Z4" i="8"/>
  <c r="AA4" i="8"/>
  <c r="AB4" i="8"/>
  <c r="AC4" i="8"/>
  <c r="AD4" i="8"/>
  <c r="AE4" i="8"/>
  <c r="AF4" i="8"/>
  <c r="B4" i="8"/>
  <c r="B6" i="6"/>
  <c r="C6" i="6"/>
  <c r="B7" i="6"/>
  <c r="C7" i="6"/>
  <c r="D6" i="6"/>
  <c r="X7" i="6"/>
  <c r="Y7" i="6"/>
  <c r="Z7" i="6"/>
  <c r="AA7" i="6"/>
  <c r="AB7" i="6"/>
  <c r="AC7" i="6"/>
  <c r="AD7" i="6"/>
  <c r="AE7" i="6"/>
  <c r="AF7" i="6"/>
  <c r="AG7" i="6"/>
  <c r="O7" i="6"/>
  <c r="P7" i="6"/>
  <c r="Q7" i="6"/>
  <c r="R7" i="6"/>
  <c r="S7" i="6"/>
  <c r="T7" i="6"/>
  <c r="U7" i="6"/>
  <c r="V7" i="6"/>
  <c r="W7" i="6"/>
  <c r="N7" i="6"/>
  <c r="D7" i="6"/>
  <c r="E7" i="6"/>
  <c r="F7" i="6"/>
  <c r="G7" i="6"/>
  <c r="H7" i="6"/>
  <c r="I7" i="6"/>
  <c r="J7" i="6"/>
  <c r="K7" i="6"/>
  <c r="L7" i="6"/>
  <c r="M7" i="6"/>
  <c r="O6" i="6"/>
  <c r="P6" i="6"/>
  <c r="Q6" i="6"/>
  <c r="R6" i="6"/>
  <c r="S6" i="6"/>
  <c r="T6" i="6"/>
  <c r="U6" i="6"/>
  <c r="V6" i="6"/>
  <c r="W6" i="6"/>
  <c r="X6" i="6"/>
  <c r="Y6" i="6"/>
  <c r="Z6" i="6"/>
  <c r="AA6" i="6"/>
  <c r="AB6" i="6"/>
  <c r="AC6" i="6"/>
  <c r="AD6" i="6"/>
  <c r="AE6" i="6"/>
  <c r="AF6" i="6"/>
  <c r="AG6" i="6"/>
  <c r="N6" i="6"/>
  <c r="E6" i="6"/>
  <c r="F6" i="6"/>
  <c r="G6" i="6"/>
  <c r="H6" i="6"/>
  <c r="I6" i="6"/>
  <c r="J6" i="6"/>
  <c r="K6" i="6"/>
  <c r="L6" i="6"/>
  <c r="M6" i="6"/>
</calcChain>
</file>

<file path=xl/sharedStrings.xml><?xml version="1.0" encoding="utf-8"?>
<sst xmlns="http://schemas.openxmlformats.org/spreadsheetml/2006/main" count="72" uniqueCount="45">
  <si>
    <t>BGSaWC BAU Global Solar and Wind Capacities</t>
  </si>
  <si>
    <t>Source:</t>
  </si>
  <si>
    <t>Onshore wind</t>
  </si>
  <si>
    <t>Offshore wind</t>
  </si>
  <si>
    <t>International Energy Agency</t>
  </si>
  <si>
    <t>hard coal</t>
  </si>
  <si>
    <t>nuclear</t>
  </si>
  <si>
    <t>onshore wind</t>
  </si>
  <si>
    <t>hydro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</si>
  <si>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</si>
  <si>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</si>
  <si>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</si>
  <si>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</si>
  <si>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</si>
  <si>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</si>
  <si>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</si>
  <si>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</si>
  <si>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Notes</t>
  </si>
  <si>
    <t>crude oil</t>
  </si>
  <si>
    <t>heavy or residual fuel oil</t>
  </si>
  <si>
    <t>municipal solid waste</t>
  </si>
  <si>
    <t>Global Capacity (MW)</t>
  </si>
  <si>
    <t>Solar and Wind</t>
  </si>
  <si>
    <t>We assume solar capacity reported be IEA is already in AC.</t>
  </si>
  <si>
    <t>Accordingly, we do not apply a DC-to-AC derate factor.</t>
  </si>
  <si>
    <t>Wind (GW)</t>
  </si>
  <si>
    <t>Solar (GW)</t>
  </si>
  <si>
    <t>Share of Offshore wind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</si>
  <si>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</si>
  <si>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</si>
  <si>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</si>
  <si>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</si>
  <si>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</si>
  <si>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</si>
  <si>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</si>
  <si>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</si>
  <si>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</si>
  <si>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https://www.iea.org/data-and-statistics/data-product/world-energy-outlook-2023-free-dataset-2#data-files</t>
  </si>
  <si>
    <t>Global Data Set</t>
  </si>
  <si>
    <t>World Energy Outlook 2023 Free Dataset</t>
  </si>
  <si>
    <t>Bloomberg</t>
  </si>
  <si>
    <t>Bloomberg New Energy Outlook 2024</t>
  </si>
  <si>
    <t>https://www.bnef.com/insights/33869</t>
  </si>
  <si>
    <t>Data Viewer</t>
  </si>
  <si>
    <t>Share of Wind that is Offshore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</si>
</sst>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2" fillId="0" borderId="1" applyNumberFormat="0">
      <alignment horizontal="left" vertical="center"/>
    </xf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3" fillId="0" borderId="0" xfId="2"/>
    <xf numFmtId="0" fontId="1" fillId="2" borderId="0" xfId="0" applyFont="1" applyFill="1"/>
    <xf numFmtId="1" fontId="0" fillId="0" borderId="0" xfId="0" applyNumberFormat="1"/>
    <xf numFmtId="0" fontId="0" fillId="0" borderId="0" xfId="0" applyAlignment="1">
      <alignment wrapText="1"/>
    </xf>
    <xf numFmtId="0" fontId="1" fillId="2" borderId="0" xfId="0" applyFont="1" applyFill="1" applyAlignment="1">
      <alignment wrapText="1"/>
    </xf>
    <xf numFmtId="0" fontId="4" fillId="0" borderId="0" xfId="0" applyFont="1" applyAlignment="1">
      <alignment vertical="center"/>
    </xf>
    <xf numFmtId="0" fontId="5" fillId="0" borderId="0" xfId="0" applyFont="1"/>
    <xf numFmtId="0" fontId="5" fillId="0" borderId="0" xfId="0" applyFont="1" applyAlignment="1">
      <alignment horizontal="right" indent="1"/>
    </xf>
    <xf numFmtId="164" fontId="0" fillId="0" borderId="0" xfId="0" applyNumberFormat="1"/>
    <xf numFmtId="0" fontId="0" fillId="3" borderId="0" xfId="0" applyFill="1"/>
  </cellXfs>
  <cellStyles count="3">
    <cellStyle name="Hyperlink" xfId="2" builtinId="8"/>
    <cellStyle name="Normal" xfId="0" builtinId="0"/>
    <cellStyle name="Table Header 2" xfId="1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0"/>
  <sheetViews>
    <sheetView workbookViewId="0">
      <selection activeCell="B23" sqref="B23"/>
    </sheetView>
  </sheetViews>
  <sheetFormatPr defaultRowHeight="15" x14ac:dyDescent="0.25"/>
  <cols>
    <col min="2" max="2" width="38" customWidth="1"/>
  </cols>
  <sheetData>
    <row r="1" spans="1:2" x14ac:dyDescent="0.25">
      <c r="A1" s="1" t="s">
        <v>0</v>
      </c>
    </row>
    <row r="3" spans="1:2" x14ac:dyDescent="0.25">
      <c r="A3" s="1" t="s">
        <v>1</v>
      </c>
      <c r="B3" s="4" t="s">
        <v>22</v>
      </c>
    </row>
    <row r="4" spans="1:2" x14ac:dyDescent="0.25">
      <c r="B4" t="s">
        <v>4</v>
      </c>
    </row>
    <row r="5" spans="1:2" x14ac:dyDescent="0.25">
      <c r="B5" s="2">
        <v>2024</v>
      </c>
    </row>
    <row r="6" spans="1:2" x14ac:dyDescent="0.25">
      <c r="B6" t="s">
        <v>39</v>
      </c>
    </row>
    <row r="7" spans="1:2" x14ac:dyDescent="0.25">
      <c r="B7" s="3" t="s">
        <v>37</v>
      </c>
    </row>
    <row r="8" spans="1:2" x14ac:dyDescent="0.25">
      <c r="B8" s="6" t="s">
        <v>38</v>
      </c>
    </row>
    <row r="10" spans="1:2" x14ac:dyDescent="0.25">
      <c r="B10" s="7" t="s">
        <v>27</v>
      </c>
    </row>
    <row r="11" spans="1:2" x14ac:dyDescent="0.25">
      <c r="B11" t="s">
        <v>40</v>
      </c>
    </row>
    <row r="12" spans="1:2" x14ac:dyDescent="0.25">
      <c r="B12" s="2">
        <v>2024</v>
      </c>
    </row>
    <row r="13" spans="1:2" x14ac:dyDescent="0.25">
      <c r="B13" t="s">
        <v>41</v>
      </c>
    </row>
    <row r="14" spans="1:2" x14ac:dyDescent="0.25">
      <c r="B14" s="3" t="s">
        <v>42</v>
      </c>
    </row>
    <row r="15" spans="1:2" x14ac:dyDescent="0.25">
      <c r="B15" t="s">
        <v>43</v>
      </c>
    </row>
    <row r="18" spans="1:1" x14ac:dyDescent="0.25">
      <c r="A18" s="1" t="s">
        <v>17</v>
      </c>
    </row>
    <row r="19" spans="1:1" x14ac:dyDescent="0.25">
      <c r="A19" t="s">
        <v>23</v>
      </c>
    </row>
    <row r="20" spans="1:1" x14ac:dyDescent="0.25">
      <c r="A20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7"/>
  <sheetViews>
    <sheetView workbookViewId="0">
      <selection activeCell="G7" sqref="G7"/>
    </sheetView>
  </sheetViews>
  <sheetFormatPr defaultRowHeight="15" x14ac:dyDescent="0.25"/>
  <cols>
    <col min="1" max="1" width="14.85546875" customWidth="1"/>
  </cols>
  <sheetData>
    <row r="1" spans="1:33" x14ac:dyDescent="0.25">
      <c r="B1">
        <v>2021</v>
      </c>
      <c r="C1">
        <v>2030</v>
      </c>
      <c r="D1">
        <v>2050</v>
      </c>
    </row>
    <row r="2" spans="1:33" x14ac:dyDescent="0.25">
      <c r="A2" t="s">
        <v>26</v>
      </c>
      <c r="B2">
        <v>924.78</v>
      </c>
      <c r="C2">
        <v>4698.96</v>
      </c>
      <c r="D2">
        <v>12639</v>
      </c>
    </row>
    <row r="3" spans="1:33" x14ac:dyDescent="0.25">
      <c r="A3" t="s">
        <v>25</v>
      </c>
      <c r="B3">
        <v>827</v>
      </c>
      <c r="C3">
        <v>2064</v>
      </c>
      <c r="D3">
        <v>3874</v>
      </c>
    </row>
    <row r="5" spans="1:33" x14ac:dyDescent="0.25">
      <c r="B5">
        <v>2019</v>
      </c>
      <c r="C5">
        <v>2020</v>
      </c>
      <c r="D5">
        <v>2021</v>
      </c>
      <c r="E5">
        <v>2022</v>
      </c>
      <c r="F5">
        <v>2023</v>
      </c>
      <c r="G5">
        <v>2024</v>
      </c>
      <c r="H5">
        <v>2025</v>
      </c>
      <c r="I5">
        <v>2026</v>
      </c>
      <c r="J5">
        <v>2027</v>
      </c>
      <c r="K5">
        <v>2028</v>
      </c>
      <c r="L5">
        <v>2029</v>
      </c>
      <c r="M5">
        <v>2030</v>
      </c>
      <c r="N5">
        <v>2031</v>
      </c>
      <c r="O5">
        <v>2032</v>
      </c>
      <c r="P5">
        <v>2033</v>
      </c>
      <c r="Q5">
        <v>2034</v>
      </c>
      <c r="R5">
        <v>2035</v>
      </c>
      <c r="S5">
        <v>2036</v>
      </c>
      <c r="T5">
        <v>2037</v>
      </c>
      <c r="U5">
        <v>2038</v>
      </c>
      <c r="V5">
        <v>2039</v>
      </c>
      <c r="W5">
        <v>2040</v>
      </c>
      <c r="X5">
        <v>2041</v>
      </c>
      <c r="Y5">
        <v>2042</v>
      </c>
      <c r="Z5">
        <v>2043</v>
      </c>
      <c r="AA5">
        <v>2044</v>
      </c>
      <c r="AB5">
        <v>2045</v>
      </c>
      <c r="AC5">
        <v>2046</v>
      </c>
      <c r="AD5">
        <v>2047</v>
      </c>
      <c r="AE5">
        <v>2048</v>
      </c>
      <c r="AF5">
        <v>2049</v>
      </c>
      <c r="AG5">
        <v>2050</v>
      </c>
    </row>
    <row r="6" spans="1:33" x14ac:dyDescent="0.25">
      <c r="A6" t="s">
        <v>26</v>
      </c>
      <c r="B6">
        <f t="shared" ref="B6:C6" si="0">TREND($B$2:$C$2,$B$1:$C$1,B5)*1000</f>
        <v>86073.33333324641</v>
      </c>
      <c r="C6">
        <f t="shared" si="0"/>
        <v>505426.66666663717</v>
      </c>
      <c r="D6">
        <f>TREND($B$2:$C$2,$B$1:$C$1,D5)*1000</f>
        <v>924779.99999991152</v>
      </c>
      <c r="E6">
        <f t="shared" ref="E6:M6" si="1">TREND($B$2:$C$2,$B$1:$C$1,E5)*1000</f>
        <v>1344133.3333333023</v>
      </c>
      <c r="F6">
        <f t="shared" si="1"/>
        <v>1763486.6666665766</v>
      </c>
      <c r="G6">
        <f t="shared" si="1"/>
        <v>2182839.9999999674</v>
      </c>
      <c r="H6">
        <f t="shared" si="1"/>
        <v>2602193.3333332418</v>
      </c>
      <c r="I6">
        <f t="shared" si="1"/>
        <v>3021546.6666666325</v>
      </c>
      <c r="J6">
        <f t="shared" si="1"/>
        <v>3440899.9999999069</v>
      </c>
      <c r="K6">
        <f t="shared" si="1"/>
        <v>3860253.3333332976</v>
      </c>
      <c r="L6">
        <f t="shared" si="1"/>
        <v>4279606.666666572</v>
      </c>
      <c r="M6">
        <f t="shared" si="1"/>
        <v>4698959.9999999627</v>
      </c>
      <c r="N6">
        <f>TREND($C$2:$D$2,$C$1:$D$1,N5)*1000</f>
        <v>5095961.9999999413</v>
      </c>
      <c r="O6">
        <f t="shared" ref="O6:AG6" si="2">TREND($C$2:$D$2,$C$1:$D$1,O5)*1000</f>
        <v>5492963.9999999199</v>
      </c>
      <c r="P6">
        <f t="shared" si="2"/>
        <v>5889965.9999998985</v>
      </c>
      <c r="Q6">
        <f t="shared" si="2"/>
        <v>6286967.9999998771</v>
      </c>
      <c r="R6">
        <f t="shared" si="2"/>
        <v>6683969.9999999721</v>
      </c>
      <c r="S6">
        <f t="shared" si="2"/>
        <v>7080971.9999999506</v>
      </c>
      <c r="T6">
        <f t="shared" si="2"/>
        <v>7477973.9999999292</v>
      </c>
      <c r="U6">
        <f t="shared" si="2"/>
        <v>7874975.9999999078</v>
      </c>
      <c r="V6">
        <f t="shared" si="2"/>
        <v>8271977.9999998864</v>
      </c>
      <c r="W6">
        <f t="shared" si="2"/>
        <v>8668979.9999999814</v>
      </c>
      <c r="X6">
        <f t="shared" si="2"/>
        <v>9065981.999999959</v>
      </c>
      <c r="Y6">
        <f t="shared" si="2"/>
        <v>9462983.9999999385</v>
      </c>
      <c r="Z6">
        <f t="shared" si="2"/>
        <v>9859985.999999918</v>
      </c>
      <c r="AA6">
        <f t="shared" si="2"/>
        <v>10256987.999999896</v>
      </c>
      <c r="AB6">
        <f t="shared" si="2"/>
        <v>10653989.999999873</v>
      </c>
      <c r="AC6">
        <f t="shared" si="2"/>
        <v>11050991.99999997</v>
      </c>
      <c r="AD6">
        <f t="shared" si="2"/>
        <v>11447993.999999948</v>
      </c>
      <c r="AE6">
        <f t="shared" si="2"/>
        <v>11844995.999999925</v>
      </c>
      <c r="AF6">
        <f t="shared" si="2"/>
        <v>12241997.999999905</v>
      </c>
      <c r="AG6">
        <f t="shared" si="2"/>
        <v>12638999.999999885</v>
      </c>
    </row>
    <row r="7" spans="1:33" x14ac:dyDescent="0.25">
      <c r="A7" t="s">
        <v>25</v>
      </c>
      <c r="B7">
        <f t="shared" ref="B7:C7" si="3">TREND($B$3:$C$3,$B$1:$C$1,B5)*1000</f>
        <v>552111.11111112405</v>
      </c>
      <c r="C7">
        <f t="shared" si="3"/>
        <v>689555.55555556202</v>
      </c>
      <c r="D7">
        <f t="shared" ref="D7:M7" si="4">TREND($B$3:$C$3,$B$1:$C$1,D5)*1000</f>
        <v>827000</v>
      </c>
      <c r="E7">
        <f t="shared" si="4"/>
        <v>964444.44444443798</v>
      </c>
      <c r="F7">
        <f t="shared" si="4"/>
        <v>1101888.888888876</v>
      </c>
      <c r="G7">
        <f t="shared" si="4"/>
        <v>1239333.3333333139</v>
      </c>
      <c r="H7">
        <f t="shared" si="4"/>
        <v>1376777.7777777519</v>
      </c>
      <c r="I7">
        <f t="shared" si="4"/>
        <v>1514222.2222222481</v>
      </c>
      <c r="J7">
        <f t="shared" si="4"/>
        <v>1651666.6666666861</v>
      </c>
      <c r="K7">
        <f t="shared" si="4"/>
        <v>1789111.111111124</v>
      </c>
      <c r="L7">
        <f t="shared" si="4"/>
        <v>1926555.555555562</v>
      </c>
      <c r="M7">
        <f t="shared" si="4"/>
        <v>2064000</v>
      </c>
      <c r="N7">
        <f>TREND($C$3:$D$3,$C$1:$D$1,N5)*1000</f>
        <v>2154500</v>
      </c>
      <c r="O7">
        <f t="shared" ref="O7:AG7" si="5">TREND($C$3:$D$3,$C$1:$D$1,O5)*1000</f>
        <v>2245000</v>
      </c>
      <c r="P7">
        <f t="shared" si="5"/>
        <v>2335500</v>
      </c>
      <c r="Q7">
        <f t="shared" si="5"/>
        <v>2426000</v>
      </c>
      <c r="R7">
        <f t="shared" si="5"/>
        <v>2516500</v>
      </c>
      <c r="S7">
        <f t="shared" si="5"/>
        <v>2607000</v>
      </c>
      <c r="T7">
        <f t="shared" si="5"/>
        <v>2697500</v>
      </c>
      <c r="U7">
        <f t="shared" si="5"/>
        <v>2788000</v>
      </c>
      <c r="V7">
        <f t="shared" si="5"/>
        <v>2878500</v>
      </c>
      <c r="W7">
        <f t="shared" si="5"/>
        <v>2969000</v>
      </c>
      <c r="X7">
        <f t="shared" si="5"/>
        <v>3059500</v>
      </c>
      <c r="Y7">
        <f t="shared" si="5"/>
        <v>3150000</v>
      </c>
      <c r="Z7">
        <f t="shared" si="5"/>
        <v>3240500</v>
      </c>
      <c r="AA7">
        <f t="shared" si="5"/>
        <v>3331000</v>
      </c>
      <c r="AB7">
        <f t="shared" si="5"/>
        <v>3421500</v>
      </c>
      <c r="AC7">
        <f t="shared" si="5"/>
        <v>3512000</v>
      </c>
      <c r="AD7">
        <f t="shared" si="5"/>
        <v>3602500</v>
      </c>
      <c r="AE7">
        <f t="shared" si="5"/>
        <v>3693000</v>
      </c>
      <c r="AF7">
        <f t="shared" si="5"/>
        <v>3783500</v>
      </c>
      <c r="AG7">
        <f t="shared" si="5"/>
        <v>3874000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031182-2635-4560-BFB8-5BE251E4AFFA}">
  <dimension ref="A1:AF4"/>
  <sheetViews>
    <sheetView workbookViewId="0">
      <selection activeCell="H30" sqref="H30"/>
    </sheetView>
  </sheetViews>
  <sheetFormatPr defaultRowHeight="15" x14ac:dyDescent="0.25"/>
  <cols>
    <col min="1" max="1" width="25.140625" customWidth="1"/>
  </cols>
  <sheetData>
    <row r="1" spans="1:32" x14ac:dyDescent="0.25">
      <c r="A1" s="9"/>
      <c r="B1" s="10">
        <v>2020</v>
      </c>
      <c r="C1" s="10">
        <v>2021</v>
      </c>
      <c r="D1" s="10">
        <v>2022</v>
      </c>
      <c r="E1" s="10">
        <v>2023</v>
      </c>
      <c r="F1" s="10">
        <v>2024</v>
      </c>
      <c r="G1" s="10">
        <v>2025</v>
      </c>
      <c r="H1" s="10">
        <v>2026</v>
      </c>
      <c r="I1" s="10">
        <v>2027</v>
      </c>
      <c r="J1" s="10">
        <v>2028</v>
      </c>
      <c r="K1" s="10">
        <v>2029</v>
      </c>
      <c r="L1" s="10">
        <v>2030</v>
      </c>
      <c r="M1" s="10">
        <v>2031</v>
      </c>
      <c r="N1" s="10">
        <v>2032</v>
      </c>
      <c r="O1" s="10">
        <v>2033</v>
      </c>
      <c r="P1" s="10">
        <v>2034</v>
      </c>
      <c r="Q1" s="10">
        <v>2035</v>
      </c>
      <c r="R1" s="10">
        <v>2036</v>
      </c>
      <c r="S1" s="10">
        <v>2037</v>
      </c>
      <c r="T1" s="10">
        <v>2038</v>
      </c>
      <c r="U1" s="10">
        <v>2039</v>
      </c>
      <c r="V1" s="10">
        <v>2040</v>
      </c>
      <c r="W1" s="10">
        <v>2041</v>
      </c>
      <c r="X1" s="10">
        <v>2042</v>
      </c>
      <c r="Y1" s="10">
        <v>2043</v>
      </c>
      <c r="Z1" s="10">
        <v>2044</v>
      </c>
      <c r="AA1" s="10">
        <v>2045</v>
      </c>
      <c r="AB1" s="10">
        <v>2046</v>
      </c>
      <c r="AC1" s="10">
        <v>2047</v>
      </c>
      <c r="AD1" s="10">
        <v>2048</v>
      </c>
      <c r="AE1" s="10">
        <v>2049</v>
      </c>
      <c r="AF1" s="10">
        <v>2050</v>
      </c>
    </row>
    <row r="2" spans="1:32" x14ac:dyDescent="0.25">
      <c r="A2" t="s">
        <v>2</v>
      </c>
      <c r="B2" s="11">
        <v>706.35363749999885</v>
      </c>
      <c r="C2" s="11">
        <v>789.69222749999892</v>
      </c>
      <c r="D2" s="11">
        <v>867.99970749999898</v>
      </c>
      <c r="E2" s="11">
        <v>961.04589154670305</v>
      </c>
      <c r="F2" s="11">
        <v>1052.291603609686</v>
      </c>
      <c r="G2" s="11">
        <v>1154.4913310363197</v>
      </c>
      <c r="H2" s="11">
        <v>1241.5883487306978</v>
      </c>
      <c r="I2" s="11">
        <v>1382.0920216608476</v>
      </c>
      <c r="J2" s="11">
        <v>1541.4721418290785</v>
      </c>
      <c r="K2" s="11">
        <v>1722.2996750935304</v>
      </c>
      <c r="L2" s="11">
        <v>1908.533790394252</v>
      </c>
      <c r="M2" s="11">
        <v>2113.2135719307043</v>
      </c>
      <c r="N2" s="11">
        <v>2313.6509281930626</v>
      </c>
      <c r="O2" s="11">
        <v>2513.2925068372174</v>
      </c>
      <c r="P2" s="11">
        <v>2707.3603314855941</v>
      </c>
      <c r="Q2" s="11">
        <v>2894.0809187921882</v>
      </c>
      <c r="R2" s="11">
        <v>2984.3518706952505</v>
      </c>
      <c r="S2" s="11">
        <v>3053.8605680750916</v>
      </c>
      <c r="T2" s="11">
        <v>3128.331396844454</v>
      </c>
      <c r="U2" s="11">
        <v>3211.5757016447842</v>
      </c>
      <c r="V2" s="11">
        <v>3273.3938521024556</v>
      </c>
      <c r="W2" s="11">
        <v>3348.3445861810687</v>
      </c>
      <c r="X2" s="11">
        <v>3437.0994609527647</v>
      </c>
      <c r="Y2" s="11">
        <v>3522.2482779941561</v>
      </c>
      <c r="Z2" s="11">
        <v>3593.3687834333318</v>
      </c>
      <c r="AA2" s="11">
        <v>3651.5581312788204</v>
      </c>
      <c r="AB2" s="11">
        <v>3759.257028111128</v>
      </c>
      <c r="AC2" s="11">
        <v>3894.0840650824653</v>
      </c>
      <c r="AD2" s="11">
        <v>3996.420921125788</v>
      </c>
      <c r="AE2" s="11">
        <v>4088.3752144744676</v>
      </c>
      <c r="AF2" s="11">
        <v>4167.711163284006</v>
      </c>
    </row>
    <row r="3" spans="1:32" x14ac:dyDescent="0.25">
      <c r="A3" t="s">
        <v>3</v>
      </c>
      <c r="B3" s="11">
        <v>35.984633000000009</v>
      </c>
      <c r="C3" s="11">
        <v>52.902333000000006</v>
      </c>
      <c r="D3" s="11">
        <v>62.027833000000008</v>
      </c>
      <c r="E3" s="11">
        <v>74.388883000000007</v>
      </c>
      <c r="F3" s="11">
        <v>94.816763000000009</v>
      </c>
      <c r="G3" s="11">
        <v>116.30426300000001</v>
      </c>
      <c r="H3" s="11">
        <v>138.26836300000008</v>
      </c>
      <c r="I3" s="11">
        <v>161.7278630000001</v>
      </c>
      <c r="J3" s="11">
        <v>184.67766299999997</v>
      </c>
      <c r="K3" s="11">
        <v>216.29395723599998</v>
      </c>
      <c r="L3" s="11">
        <v>256.59223798200003</v>
      </c>
      <c r="M3" s="11">
        <v>315.00641162400001</v>
      </c>
      <c r="N3" s="11">
        <v>380.74837160600003</v>
      </c>
      <c r="O3" s="11">
        <v>439.37550340299998</v>
      </c>
      <c r="P3" s="11">
        <v>498.17587101700002</v>
      </c>
      <c r="Q3" s="11">
        <v>525.21087101699993</v>
      </c>
      <c r="R3" s="11">
        <v>526.6783710169999</v>
      </c>
      <c r="S3" s="11">
        <v>527.84837101699998</v>
      </c>
      <c r="T3" s="11">
        <v>531.45344101700005</v>
      </c>
      <c r="U3" s="11">
        <v>533.84916101700003</v>
      </c>
      <c r="V3" s="11">
        <v>536.54857801700007</v>
      </c>
      <c r="W3" s="11">
        <v>539.60358801699999</v>
      </c>
      <c r="X3" s="11">
        <v>543.57275801700007</v>
      </c>
      <c r="Y3" s="11">
        <v>545.63396801700003</v>
      </c>
      <c r="Z3" s="11">
        <v>548.18573501700007</v>
      </c>
      <c r="AA3" s="11">
        <v>551.75303501700023</v>
      </c>
      <c r="AB3" s="11">
        <v>552.12883501700003</v>
      </c>
      <c r="AC3" s="11">
        <v>553.39058501699992</v>
      </c>
      <c r="AD3" s="11">
        <v>556.44963501699999</v>
      </c>
      <c r="AE3" s="11">
        <v>557.02553501700004</v>
      </c>
      <c r="AF3" s="11">
        <v>548.97100501700004</v>
      </c>
    </row>
    <row r="4" spans="1:32" x14ac:dyDescent="0.25">
      <c r="A4" t="s">
        <v>44</v>
      </c>
      <c r="B4">
        <f>B3/SUM(B2:B3)</f>
        <v>4.8474710829286366E-2</v>
      </c>
      <c r="C4">
        <f t="shared" ref="C4:AF4" si="0">C3/SUM(C2:C3)</f>
        <v>6.2785039780707291E-2</v>
      </c>
      <c r="D4">
        <f t="shared" si="0"/>
        <v>6.6694619566483773E-2</v>
      </c>
      <c r="E4">
        <f t="shared" si="0"/>
        <v>7.1843137615854452E-2</v>
      </c>
      <c r="F4">
        <f t="shared" si="0"/>
        <v>8.2657197663228502E-2</v>
      </c>
      <c r="G4">
        <f t="shared" si="0"/>
        <v>9.1520826438021161E-2</v>
      </c>
      <c r="H4">
        <f t="shared" si="0"/>
        <v>0.10020487042207137</v>
      </c>
      <c r="I4">
        <f t="shared" si="0"/>
        <v>0.10475824583353459</v>
      </c>
      <c r="J4">
        <f t="shared" si="0"/>
        <v>0.10698820141991475</v>
      </c>
      <c r="K4">
        <f t="shared" si="0"/>
        <v>0.11157261306800445</v>
      </c>
      <c r="L4">
        <f t="shared" si="0"/>
        <v>0.11851145597027105</v>
      </c>
      <c r="M4">
        <f t="shared" si="0"/>
        <v>0.1297272956146493</v>
      </c>
      <c r="N4">
        <f t="shared" si="0"/>
        <v>0.14131104162415523</v>
      </c>
      <c r="O4">
        <f t="shared" si="0"/>
        <v>0.14880626669818328</v>
      </c>
      <c r="P4">
        <f t="shared" si="0"/>
        <v>0.15541108867467138</v>
      </c>
      <c r="Q4">
        <f t="shared" si="0"/>
        <v>0.15360223792024169</v>
      </c>
      <c r="R4">
        <f t="shared" si="0"/>
        <v>0.15000678853741536</v>
      </c>
      <c r="S4">
        <f t="shared" si="0"/>
        <v>0.14737332932217587</v>
      </c>
      <c r="T4">
        <f t="shared" si="0"/>
        <v>0.14521439498818944</v>
      </c>
      <c r="U4">
        <f t="shared" si="0"/>
        <v>0.14253367257182303</v>
      </c>
      <c r="V4">
        <f t="shared" si="0"/>
        <v>0.14082852637754353</v>
      </c>
      <c r="W4">
        <f t="shared" si="0"/>
        <v>0.13878878108458814</v>
      </c>
      <c r="X4">
        <f t="shared" si="0"/>
        <v>0.13655300615474483</v>
      </c>
      <c r="Y4">
        <f t="shared" si="0"/>
        <v>0.13413219336720783</v>
      </c>
      <c r="Z4">
        <f t="shared" si="0"/>
        <v>0.13236231288876471</v>
      </c>
      <c r="AA4">
        <f t="shared" si="0"/>
        <v>0.1312662834579611</v>
      </c>
      <c r="AB4">
        <f t="shared" si="0"/>
        <v>0.12806295992639422</v>
      </c>
      <c r="AC4">
        <f t="shared" si="0"/>
        <v>0.12442804705016669</v>
      </c>
      <c r="AD4">
        <f t="shared" si="0"/>
        <v>0.12221951583188137</v>
      </c>
      <c r="AE4">
        <f t="shared" si="0"/>
        <v>0.11990903800452042</v>
      </c>
      <c r="AF4">
        <f t="shared" si="0"/>
        <v>0.11638922985025821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CCC06-A3E1-4979-A0C0-9FC1124D52CA}">
  <sheetPr>
    <tabColor theme="8" tint="-0.249977111117893"/>
  </sheetPr>
  <dimension ref="A1:AF25"/>
  <sheetViews>
    <sheetView workbookViewId="0">
      <selection activeCell="B2" sqref="B2:B25"/>
    </sheetView>
  </sheetViews>
  <sheetFormatPr defaultRowHeight="15" x14ac:dyDescent="0.25"/>
  <cols>
    <col min="1" max="1" width="25.42578125" style="2" customWidth="1"/>
  </cols>
  <sheetData>
    <row r="1" spans="1:32" x14ac:dyDescent="0.25">
      <c r="A1" s="2" t="s">
        <v>21</v>
      </c>
      <c r="B1">
        <v>2021</v>
      </c>
    </row>
    <row r="2" spans="1:32" x14ac:dyDescent="0.25">
      <c r="A2" s="2" t="s">
        <v>5</v>
      </c>
      <c r="B2">
        <f>BGSaWC!B2</f>
        <v>0</v>
      </c>
    </row>
    <row r="3" spans="1:32" x14ac:dyDescent="0.25">
      <c r="A3" s="2" t="s">
        <v>28</v>
      </c>
      <c r="B3">
        <f>BGSaWC!B3</f>
        <v>0</v>
      </c>
    </row>
    <row r="4" spans="1:32" x14ac:dyDescent="0.25">
      <c r="A4" s="2" t="s">
        <v>29</v>
      </c>
      <c r="B4">
        <f>BGSaWC!B4</f>
        <v>0</v>
      </c>
    </row>
    <row r="5" spans="1:32" x14ac:dyDescent="0.25">
      <c r="A5" s="2" t="s">
        <v>6</v>
      </c>
      <c r="B5">
        <f>BGSaWC!B5</f>
        <v>0</v>
      </c>
    </row>
    <row r="6" spans="1:32" x14ac:dyDescent="0.25">
      <c r="A6" s="2" t="s">
        <v>8</v>
      </c>
      <c r="B6">
        <f>BGSaWC!B6</f>
        <v>0</v>
      </c>
    </row>
    <row r="7" spans="1:32" x14ac:dyDescent="0.25">
      <c r="A7" s="2" t="s">
        <v>7</v>
      </c>
      <c r="B7">
        <f>BGSaWC!B7</f>
        <v>775076.77210135513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x14ac:dyDescent="0.25">
      <c r="A8" s="2" t="s">
        <v>9</v>
      </c>
      <c r="B8">
        <f>BGSaWC!B8</f>
        <v>924779.99999991152</v>
      </c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x14ac:dyDescent="0.25">
      <c r="A9" s="2" t="s">
        <v>10</v>
      </c>
      <c r="B9">
        <f>BGSaWC!B9</f>
        <v>0</v>
      </c>
    </row>
    <row r="10" spans="1:32" x14ac:dyDescent="0.25">
      <c r="A10" s="2" t="s">
        <v>11</v>
      </c>
      <c r="B10">
        <f>BGSaWC!B10</f>
        <v>0</v>
      </c>
    </row>
    <row r="11" spans="1:32" x14ac:dyDescent="0.25">
      <c r="A11" s="2" t="s">
        <v>12</v>
      </c>
      <c r="B11">
        <f>BGSaWC!B11</f>
        <v>0</v>
      </c>
    </row>
    <row r="12" spans="1:32" x14ac:dyDescent="0.25">
      <c r="A12" s="2" t="s">
        <v>13</v>
      </c>
      <c r="B12">
        <f>BGSaWC!B12</f>
        <v>0</v>
      </c>
    </row>
    <row r="13" spans="1:32" x14ac:dyDescent="0.25">
      <c r="A13" s="2" t="s">
        <v>14</v>
      </c>
      <c r="B13">
        <f>BGSaWC!B13</f>
        <v>0</v>
      </c>
    </row>
    <row r="14" spans="1:32" x14ac:dyDescent="0.25">
      <c r="A14" s="2" t="s">
        <v>15</v>
      </c>
      <c r="B14">
        <f>BGSaWC!B14</f>
        <v>0</v>
      </c>
    </row>
    <row r="15" spans="1:32" x14ac:dyDescent="0.25">
      <c r="A15" s="2" t="s">
        <v>16</v>
      </c>
      <c r="B15">
        <f>BGSaWC!B15</f>
        <v>40088.585855819823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</row>
    <row r="16" spans="1:32" x14ac:dyDescent="0.25">
      <c r="A16" s="2" t="s">
        <v>18</v>
      </c>
      <c r="B16">
        <f>BGSaWC!B16</f>
        <v>0</v>
      </c>
    </row>
    <row r="17" spans="1:2" x14ac:dyDescent="0.25">
      <c r="A17" s="2" t="s">
        <v>19</v>
      </c>
      <c r="B17">
        <f>BGSaWC!B17</f>
        <v>0</v>
      </c>
    </row>
    <row r="18" spans="1:2" x14ac:dyDescent="0.25">
      <c r="A18" s="2" t="s">
        <v>20</v>
      </c>
      <c r="B18">
        <f>BGSaWC!B18</f>
        <v>0</v>
      </c>
    </row>
    <row r="19" spans="1:2" x14ac:dyDescent="0.25">
      <c r="A19" t="s">
        <v>30</v>
      </c>
      <c r="B19">
        <f>BGSaWC!B19</f>
        <v>0</v>
      </c>
    </row>
    <row r="20" spans="1:2" x14ac:dyDescent="0.25">
      <c r="A20" t="s">
        <v>31</v>
      </c>
      <c r="B20">
        <f>BGSaWC!B20</f>
        <v>0</v>
      </c>
    </row>
    <row r="21" spans="1:2" x14ac:dyDescent="0.25">
      <c r="A21" t="s">
        <v>32</v>
      </c>
      <c r="B21">
        <f>BGSaWC!B21</f>
        <v>0</v>
      </c>
    </row>
    <row r="22" spans="1:2" x14ac:dyDescent="0.25">
      <c r="A22" t="s">
        <v>33</v>
      </c>
      <c r="B22">
        <f>BGSaWC!B22</f>
        <v>0</v>
      </c>
    </row>
    <row r="23" spans="1:2" x14ac:dyDescent="0.25">
      <c r="A23" t="s">
        <v>34</v>
      </c>
      <c r="B23">
        <f>BGSaWC!B23</f>
        <v>0</v>
      </c>
    </row>
    <row r="24" spans="1:2" x14ac:dyDescent="0.25">
      <c r="A24" s="8" t="s">
        <v>35</v>
      </c>
      <c r="B24">
        <f>BGSaWC!B24</f>
        <v>0</v>
      </c>
    </row>
    <row r="25" spans="1:2" x14ac:dyDescent="0.25">
      <c r="A25" s="8" t="s">
        <v>36</v>
      </c>
      <c r="B25">
        <f>BGSaWC!B25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8" tint="-0.249977111117893"/>
  </sheetPr>
  <dimension ref="A1:AZ25"/>
  <sheetViews>
    <sheetView tabSelected="1" workbookViewId="0"/>
  </sheetViews>
  <sheetFormatPr defaultRowHeight="15" x14ac:dyDescent="0.25"/>
  <cols>
    <col min="1" max="1" width="25.42578125" style="2" customWidth="1"/>
    <col min="2" max="4" width="11.42578125" style="2" customWidth="1"/>
    <col min="5" max="5" width="11.42578125" customWidth="1"/>
  </cols>
  <sheetData>
    <row r="1" spans="1:52" x14ac:dyDescent="0.25">
      <c r="A1" s="2" t="s">
        <v>21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  <c r="AF1" s="12">
        <v>2051</v>
      </c>
      <c r="AG1">
        <v>2052</v>
      </c>
      <c r="AH1">
        <v>2053</v>
      </c>
      <c r="AI1">
        <v>2054</v>
      </c>
      <c r="AJ1">
        <v>2055</v>
      </c>
      <c r="AK1">
        <v>2056</v>
      </c>
      <c r="AL1">
        <v>2057</v>
      </c>
      <c r="AM1">
        <v>2058</v>
      </c>
      <c r="AN1">
        <v>2059</v>
      </c>
      <c r="AO1">
        <v>2060</v>
      </c>
      <c r="AP1">
        <v>2061</v>
      </c>
      <c r="AQ1">
        <v>2062</v>
      </c>
      <c r="AR1">
        <v>2063</v>
      </c>
      <c r="AS1">
        <v>2064</v>
      </c>
      <c r="AT1">
        <v>2065</v>
      </c>
      <c r="AU1">
        <v>2066</v>
      </c>
      <c r="AV1">
        <v>2067</v>
      </c>
      <c r="AW1">
        <v>2068</v>
      </c>
      <c r="AX1">
        <v>2069</v>
      </c>
      <c r="AY1">
        <v>2070</v>
      </c>
      <c r="AZ1">
        <v>2071</v>
      </c>
    </row>
    <row r="2" spans="1:52" x14ac:dyDescent="0.25">
      <c r="A2" s="2" t="s">
        <v>5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12">
        <f>_xlfn.FORECAST.LINEAR(AF$1,$U2:$AE2,$U$1:$AE$1)</f>
        <v>0</v>
      </c>
      <c r="AG2" s="12">
        <f t="shared" ref="AG2:AZ15" si="0">_xlfn.FORECAST.LINEAR(AG$1,$U2:$AE2,$U$1:$AE$1)</f>
        <v>0</v>
      </c>
      <c r="AH2" s="12">
        <f t="shared" si="0"/>
        <v>0</v>
      </c>
      <c r="AI2" s="12">
        <f t="shared" si="0"/>
        <v>0</v>
      </c>
      <c r="AJ2" s="12">
        <f t="shared" si="0"/>
        <v>0</v>
      </c>
      <c r="AK2" s="12">
        <f t="shared" si="0"/>
        <v>0</v>
      </c>
      <c r="AL2" s="12">
        <f t="shared" si="0"/>
        <v>0</v>
      </c>
      <c r="AM2" s="12">
        <f t="shared" si="0"/>
        <v>0</v>
      </c>
      <c r="AN2" s="12">
        <f t="shared" si="0"/>
        <v>0</v>
      </c>
      <c r="AO2" s="12">
        <f t="shared" si="0"/>
        <v>0</v>
      </c>
      <c r="AP2" s="12">
        <f t="shared" si="0"/>
        <v>0</v>
      </c>
      <c r="AQ2" s="12">
        <f t="shared" si="0"/>
        <v>0</v>
      </c>
      <c r="AR2" s="12">
        <f t="shared" si="0"/>
        <v>0</v>
      </c>
      <c r="AS2" s="12">
        <f t="shared" si="0"/>
        <v>0</v>
      </c>
      <c r="AT2" s="12">
        <f t="shared" si="0"/>
        <v>0</v>
      </c>
      <c r="AU2" s="12">
        <f t="shared" si="0"/>
        <v>0</v>
      </c>
      <c r="AV2" s="12">
        <f t="shared" si="0"/>
        <v>0</v>
      </c>
      <c r="AW2" s="12">
        <f t="shared" si="0"/>
        <v>0</v>
      </c>
      <c r="AX2" s="12">
        <f t="shared" si="0"/>
        <v>0</v>
      </c>
      <c r="AY2" s="12">
        <f t="shared" si="0"/>
        <v>0</v>
      </c>
      <c r="AZ2" s="12">
        <f t="shared" si="0"/>
        <v>0</v>
      </c>
    </row>
    <row r="3" spans="1:52" x14ac:dyDescent="0.25">
      <c r="A3" s="2" t="s">
        <v>28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12">
        <f t="shared" ref="AF3:AU25" si="1">_xlfn.FORECAST.LINEAR(AF$1,$U3:$AE3,$U$1:$AE$1)</f>
        <v>0</v>
      </c>
      <c r="AG3" s="12">
        <f t="shared" si="1"/>
        <v>0</v>
      </c>
      <c r="AH3" s="12">
        <f t="shared" si="1"/>
        <v>0</v>
      </c>
      <c r="AI3" s="12">
        <f t="shared" si="1"/>
        <v>0</v>
      </c>
      <c r="AJ3" s="12">
        <f t="shared" si="1"/>
        <v>0</v>
      </c>
      <c r="AK3" s="12">
        <f t="shared" si="1"/>
        <v>0</v>
      </c>
      <c r="AL3" s="12">
        <f t="shared" si="1"/>
        <v>0</v>
      </c>
      <c r="AM3" s="12">
        <f t="shared" si="1"/>
        <v>0</v>
      </c>
      <c r="AN3" s="12">
        <f t="shared" si="1"/>
        <v>0</v>
      </c>
      <c r="AO3" s="12">
        <f t="shared" si="1"/>
        <v>0</v>
      </c>
      <c r="AP3" s="12">
        <f t="shared" si="1"/>
        <v>0</v>
      </c>
      <c r="AQ3" s="12">
        <f t="shared" si="1"/>
        <v>0</v>
      </c>
      <c r="AR3" s="12">
        <f t="shared" si="1"/>
        <v>0</v>
      </c>
      <c r="AS3" s="12">
        <f t="shared" si="1"/>
        <v>0</v>
      </c>
      <c r="AT3" s="12">
        <f t="shared" si="1"/>
        <v>0</v>
      </c>
      <c r="AU3" s="12">
        <f t="shared" si="1"/>
        <v>0</v>
      </c>
      <c r="AV3" s="12">
        <f t="shared" si="0"/>
        <v>0</v>
      </c>
      <c r="AW3" s="12">
        <f t="shared" si="0"/>
        <v>0</v>
      </c>
      <c r="AX3" s="12">
        <f t="shared" si="0"/>
        <v>0</v>
      </c>
      <c r="AY3" s="12">
        <f t="shared" si="0"/>
        <v>0</v>
      </c>
      <c r="AZ3" s="12">
        <f t="shared" si="0"/>
        <v>0</v>
      </c>
    </row>
    <row r="4" spans="1:52" x14ac:dyDescent="0.25">
      <c r="A4" s="2" t="s">
        <v>29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12">
        <f t="shared" si="1"/>
        <v>0</v>
      </c>
      <c r="AG4" s="12">
        <f t="shared" si="0"/>
        <v>0</v>
      </c>
      <c r="AH4" s="12">
        <f t="shared" si="0"/>
        <v>0</v>
      </c>
      <c r="AI4" s="12">
        <f t="shared" si="0"/>
        <v>0</v>
      </c>
      <c r="AJ4" s="12">
        <f t="shared" si="0"/>
        <v>0</v>
      </c>
      <c r="AK4" s="12">
        <f t="shared" si="0"/>
        <v>0</v>
      </c>
      <c r="AL4" s="12">
        <f t="shared" si="0"/>
        <v>0</v>
      </c>
      <c r="AM4" s="12">
        <f t="shared" si="0"/>
        <v>0</v>
      </c>
      <c r="AN4" s="12">
        <f t="shared" si="0"/>
        <v>0</v>
      </c>
      <c r="AO4" s="12">
        <f t="shared" si="0"/>
        <v>0</v>
      </c>
      <c r="AP4" s="12">
        <f t="shared" si="0"/>
        <v>0</v>
      </c>
      <c r="AQ4" s="12">
        <f t="shared" si="0"/>
        <v>0</v>
      </c>
      <c r="AR4" s="12">
        <f t="shared" si="0"/>
        <v>0</v>
      </c>
      <c r="AS4" s="12">
        <f t="shared" si="0"/>
        <v>0</v>
      </c>
      <c r="AT4" s="12">
        <f t="shared" si="0"/>
        <v>0</v>
      </c>
      <c r="AU4" s="12">
        <f t="shared" si="0"/>
        <v>0</v>
      </c>
      <c r="AV4" s="12">
        <f t="shared" si="0"/>
        <v>0</v>
      </c>
      <c r="AW4" s="12">
        <f t="shared" si="0"/>
        <v>0</v>
      </c>
      <c r="AX4" s="12">
        <f t="shared" si="0"/>
        <v>0</v>
      </c>
      <c r="AY4" s="12">
        <f t="shared" si="0"/>
        <v>0</v>
      </c>
      <c r="AZ4" s="12">
        <f t="shared" si="0"/>
        <v>0</v>
      </c>
    </row>
    <row r="5" spans="1:52" x14ac:dyDescent="0.25">
      <c r="A5" s="2" t="s">
        <v>6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12">
        <f t="shared" si="1"/>
        <v>0</v>
      </c>
      <c r="AG5" s="12">
        <f t="shared" si="0"/>
        <v>0</v>
      </c>
      <c r="AH5" s="12">
        <f t="shared" si="0"/>
        <v>0</v>
      </c>
      <c r="AI5" s="12">
        <f t="shared" si="0"/>
        <v>0</v>
      </c>
      <c r="AJ5" s="12">
        <f t="shared" si="0"/>
        <v>0</v>
      </c>
      <c r="AK5" s="12">
        <f t="shared" si="0"/>
        <v>0</v>
      </c>
      <c r="AL5" s="12">
        <f t="shared" si="0"/>
        <v>0</v>
      </c>
      <c r="AM5" s="12">
        <f t="shared" si="0"/>
        <v>0</v>
      </c>
      <c r="AN5" s="12">
        <f t="shared" si="0"/>
        <v>0</v>
      </c>
      <c r="AO5" s="12">
        <f t="shared" si="0"/>
        <v>0</v>
      </c>
      <c r="AP5" s="12">
        <f t="shared" si="0"/>
        <v>0</v>
      </c>
      <c r="AQ5" s="12">
        <f t="shared" si="0"/>
        <v>0</v>
      </c>
      <c r="AR5" s="12">
        <f t="shared" si="0"/>
        <v>0</v>
      </c>
      <c r="AS5" s="12">
        <f t="shared" si="0"/>
        <v>0</v>
      </c>
      <c r="AT5" s="12">
        <f t="shared" si="0"/>
        <v>0</v>
      </c>
      <c r="AU5" s="12">
        <f t="shared" si="0"/>
        <v>0</v>
      </c>
      <c r="AV5" s="12">
        <f t="shared" si="0"/>
        <v>0</v>
      </c>
      <c r="AW5" s="12">
        <f t="shared" si="0"/>
        <v>0</v>
      </c>
      <c r="AX5" s="12">
        <f t="shared" si="0"/>
        <v>0</v>
      </c>
      <c r="AY5" s="12">
        <f t="shared" si="0"/>
        <v>0</v>
      </c>
      <c r="AZ5" s="12">
        <f t="shared" si="0"/>
        <v>0</v>
      </c>
    </row>
    <row r="6" spans="1:52" x14ac:dyDescent="0.25">
      <c r="A6" s="2" t="s">
        <v>8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12">
        <f t="shared" si="1"/>
        <v>0</v>
      </c>
      <c r="AG6" s="12">
        <f t="shared" si="0"/>
        <v>0</v>
      </c>
      <c r="AH6" s="12">
        <f t="shared" si="0"/>
        <v>0</v>
      </c>
      <c r="AI6" s="12">
        <f t="shared" si="0"/>
        <v>0</v>
      </c>
      <c r="AJ6" s="12">
        <f t="shared" si="0"/>
        <v>0</v>
      </c>
      <c r="AK6" s="12">
        <f t="shared" si="0"/>
        <v>0</v>
      </c>
      <c r="AL6" s="12">
        <f t="shared" si="0"/>
        <v>0</v>
      </c>
      <c r="AM6" s="12">
        <f t="shared" si="0"/>
        <v>0</v>
      </c>
      <c r="AN6" s="12">
        <f t="shared" si="0"/>
        <v>0</v>
      </c>
      <c r="AO6" s="12">
        <f t="shared" si="0"/>
        <v>0</v>
      </c>
      <c r="AP6" s="12">
        <f t="shared" si="0"/>
        <v>0</v>
      </c>
      <c r="AQ6" s="12">
        <f t="shared" si="0"/>
        <v>0</v>
      </c>
      <c r="AR6" s="12">
        <f t="shared" si="0"/>
        <v>0</v>
      </c>
      <c r="AS6" s="12">
        <f t="shared" si="0"/>
        <v>0</v>
      </c>
      <c r="AT6" s="12">
        <f t="shared" si="0"/>
        <v>0</v>
      </c>
      <c r="AU6" s="12">
        <f t="shared" si="0"/>
        <v>0</v>
      </c>
      <c r="AV6" s="12">
        <f t="shared" si="0"/>
        <v>0</v>
      </c>
      <c r="AW6" s="12">
        <f t="shared" si="0"/>
        <v>0</v>
      </c>
      <c r="AX6" s="12">
        <f t="shared" si="0"/>
        <v>0</v>
      </c>
      <c r="AY6" s="12">
        <f t="shared" si="0"/>
        <v>0</v>
      </c>
      <c r="AZ6" s="12">
        <f t="shared" si="0"/>
        <v>0</v>
      </c>
    </row>
    <row r="7" spans="1:52" x14ac:dyDescent="0.25">
      <c r="A7" s="2" t="s">
        <v>7</v>
      </c>
      <c r="B7" s="5">
        <f>'Global Renewables Outlook'!D7*(1-Wind!C4)</f>
        <v>775076.77210135513</v>
      </c>
      <c r="C7" s="5">
        <f>'Global Renewables Outlook'!E7*(1-Wind!D4)</f>
        <v>900121.1891292074</v>
      </c>
      <c r="D7" s="5">
        <f>'Global Renewables Outlook'!F7*(1-Wind!E4)</f>
        <v>1022725.7338070514</v>
      </c>
      <c r="E7" s="5">
        <f>'Global Renewables Outlook'!G7*(1-Wind!F4)</f>
        <v>1136893.5130293544</v>
      </c>
      <c r="F7" s="5">
        <f>'Global Renewables Outlook'!H7*(1-Wind!G4)</f>
        <v>1250773.9377340297</v>
      </c>
      <c r="G7" s="5">
        <f>'Global Renewables Outlook'!I7*(1-Wind!H4)</f>
        <v>1362489.7806542467</v>
      </c>
      <c r="H7" s="5">
        <f>'Global Renewables Outlook'!J7*(1-Wind!I4)</f>
        <v>1478640.9639649629</v>
      </c>
      <c r="I7" s="5">
        <f>'Global Renewables Outlook'!K7*(1-Wind!J4)</f>
        <v>1597697.3311929598</v>
      </c>
      <c r="J7" s="5">
        <f>'Global Renewables Outlook'!L7*(1-Wind!K4)</f>
        <v>1711604.7180015468</v>
      </c>
      <c r="K7" s="5">
        <f>'Global Renewables Outlook'!M7*(1-Wind!L4)</f>
        <v>1819392.3548773606</v>
      </c>
      <c r="L7" s="5">
        <f>'Global Renewables Outlook'!N7*(1-Wind!M4)</f>
        <v>1875002.5415982381</v>
      </c>
      <c r="M7" s="5">
        <f>'Global Renewables Outlook'!O7*(1-Wind!N4)</f>
        <v>1927756.7115537715</v>
      </c>
      <c r="N7" s="5">
        <f>'Global Renewables Outlook'!P7*(1-Wind!O4)</f>
        <v>1987962.964126393</v>
      </c>
      <c r="O7" s="5">
        <f>'Global Renewables Outlook'!Q7*(1-Wind!P4)</f>
        <v>2048972.6988752473</v>
      </c>
      <c r="P7" s="5">
        <f>'Global Renewables Outlook'!R7*(1-Wind!Q4)</f>
        <v>2129959.9682737119</v>
      </c>
      <c r="Q7" s="5">
        <f>'Global Renewables Outlook'!S7*(1-Wind!R4)</f>
        <v>2215932.3022829583</v>
      </c>
      <c r="R7" s="5">
        <f>'Global Renewables Outlook'!T7*(1-Wind!S4)</f>
        <v>2299960.4441534309</v>
      </c>
      <c r="S7" s="5">
        <f>'Global Renewables Outlook'!U7*(1-Wind!T4)</f>
        <v>2383142.2667729277</v>
      </c>
      <c r="T7" s="5">
        <f>'Global Renewables Outlook'!V7*(1-Wind!U4)</f>
        <v>2468216.8235020074</v>
      </c>
      <c r="U7" s="5">
        <f>'Global Renewables Outlook'!W7*(1-Wind!V4)</f>
        <v>2550880.1051850733</v>
      </c>
      <c r="V7" s="5">
        <f>'Global Renewables Outlook'!X7*(1-Wind!W4)</f>
        <v>2634875.7242717026</v>
      </c>
      <c r="W7" s="5">
        <f>'Global Renewables Outlook'!Y7*(1-Wind!X4)</f>
        <v>2719858.0306125535</v>
      </c>
      <c r="X7" s="5">
        <f>'Global Renewables Outlook'!Z7*(1-Wind!Y4)</f>
        <v>2805844.6273935628</v>
      </c>
      <c r="Y7" s="5">
        <f>'Global Renewables Outlook'!AA7*(1-Wind!Z4)</f>
        <v>2890101.1357675246</v>
      </c>
      <c r="Z7" s="5">
        <f>'Global Renewables Outlook'!AB7*(1-Wind!AA4)</f>
        <v>2972372.4111485863</v>
      </c>
      <c r="AA7" s="5">
        <f>'Global Renewables Outlook'!AC7*(1-Wind!AB4)</f>
        <v>3062242.8847385035</v>
      </c>
      <c r="AB7" s="5">
        <f>'Global Renewables Outlook'!AD7*(1-Wind!AC4)</f>
        <v>3154247.9605017747</v>
      </c>
      <c r="AC7" s="5">
        <f>'Global Renewables Outlook'!AE7*(1-Wind!AD4)</f>
        <v>3241643.3280328619</v>
      </c>
      <c r="AD7" s="5">
        <f>'Global Renewables Outlook'!AF7*(1-Wind!AE4)</f>
        <v>3329824.154709897</v>
      </c>
      <c r="AE7" s="5">
        <f>'Global Renewables Outlook'!AG7*(1-Wind!AF4)</f>
        <v>3423108.1235600994</v>
      </c>
      <c r="AF7" s="12">
        <f t="shared" si="1"/>
        <v>3502740.1235061884</v>
      </c>
      <c r="AG7" s="12">
        <f t="shared" si="0"/>
        <v>3589787.7427887022</v>
      </c>
      <c r="AH7" s="12">
        <f t="shared" si="0"/>
        <v>3676835.3620712161</v>
      </c>
      <c r="AI7" s="12">
        <f t="shared" si="0"/>
        <v>3763882.9813537002</v>
      </c>
      <c r="AJ7" s="12">
        <f t="shared" si="0"/>
        <v>3850930.600636214</v>
      </c>
      <c r="AK7" s="12">
        <f t="shared" si="0"/>
        <v>3937978.2199187279</v>
      </c>
      <c r="AL7" s="12">
        <f t="shared" si="0"/>
        <v>4025025.8392012417</v>
      </c>
      <c r="AM7" s="12">
        <f t="shared" si="0"/>
        <v>4112073.4584837556</v>
      </c>
      <c r="AN7" s="12">
        <f t="shared" si="0"/>
        <v>4199121.0777662694</v>
      </c>
      <c r="AO7" s="12">
        <f t="shared" si="0"/>
        <v>4286168.6970487833</v>
      </c>
      <c r="AP7" s="12">
        <f t="shared" si="0"/>
        <v>4373216.3163312972</v>
      </c>
      <c r="AQ7" s="12">
        <f t="shared" si="0"/>
        <v>4460263.935613811</v>
      </c>
      <c r="AR7" s="12">
        <f t="shared" si="0"/>
        <v>4547311.5548963249</v>
      </c>
      <c r="AS7" s="12">
        <f t="shared" si="0"/>
        <v>4634359.1741788387</v>
      </c>
      <c r="AT7" s="12">
        <f t="shared" si="0"/>
        <v>4721406.7934613526</v>
      </c>
      <c r="AU7" s="12">
        <f t="shared" si="0"/>
        <v>4808454.4127438366</v>
      </c>
      <c r="AV7" s="12">
        <f t="shared" si="0"/>
        <v>4895502.0320263505</v>
      </c>
      <c r="AW7" s="12">
        <f t="shared" si="0"/>
        <v>4982549.6513088644</v>
      </c>
      <c r="AX7" s="12">
        <f t="shared" si="0"/>
        <v>5069597.2705913782</v>
      </c>
      <c r="AY7" s="12">
        <f t="shared" si="0"/>
        <v>5156644.8898738921</v>
      </c>
      <c r="AZ7" s="12">
        <f t="shared" si="0"/>
        <v>5243692.5091564059</v>
      </c>
    </row>
    <row r="8" spans="1:52" x14ac:dyDescent="0.25">
      <c r="A8" s="2" t="s">
        <v>9</v>
      </c>
      <c r="B8" s="5">
        <f>'Global Renewables Outlook'!D6</f>
        <v>924779.99999991152</v>
      </c>
      <c r="C8" s="5">
        <f>'Global Renewables Outlook'!E6</f>
        <v>1344133.3333333023</v>
      </c>
      <c r="D8" s="5">
        <f>'Global Renewables Outlook'!F6</f>
        <v>1763486.6666665766</v>
      </c>
      <c r="E8" s="5">
        <f>'Global Renewables Outlook'!G6</f>
        <v>2182839.9999999674</v>
      </c>
      <c r="F8" s="5">
        <f>'Global Renewables Outlook'!H6</f>
        <v>2602193.3333332418</v>
      </c>
      <c r="G8" s="5">
        <f>'Global Renewables Outlook'!I6</f>
        <v>3021546.6666666325</v>
      </c>
      <c r="H8" s="5">
        <f>'Global Renewables Outlook'!J6</f>
        <v>3440899.9999999069</v>
      </c>
      <c r="I8" s="5">
        <f>'Global Renewables Outlook'!K6</f>
        <v>3860253.3333332976</v>
      </c>
      <c r="J8" s="5">
        <f>'Global Renewables Outlook'!L6</f>
        <v>4279606.666666572</v>
      </c>
      <c r="K8" s="5">
        <f>'Global Renewables Outlook'!M6</f>
        <v>4698959.9999999627</v>
      </c>
      <c r="L8" s="5">
        <f>'Global Renewables Outlook'!N6</f>
        <v>5095961.9999999413</v>
      </c>
      <c r="M8" s="5">
        <f>'Global Renewables Outlook'!O6</f>
        <v>5492963.9999999199</v>
      </c>
      <c r="N8" s="5">
        <f>'Global Renewables Outlook'!P6</f>
        <v>5889965.9999998985</v>
      </c>
      <c r="O8" s="5">
        <f>'Global Renewables Outlook'!Q6</f>
        <v>6286967.9999998771</v>
      </c>
      <c r="P8" s="5">
        <f>'Global Renewables Outlook'!R6</f>
        <v>6683969.9999999721</v>
      </c>
      <c r="Q8" s="5">
        <f>'Global Renewables Outlook'!S6</f>
        <v>7080971.9999999506</v>
      </c>
      <c r="R8" s="5">
        <f>'Global Renewables Outlook'!T6</f>
        <v>7477973.9999999292</v>
      </c>
      <c r="S8" s="5">
        <f>'Global Renewables Outlook'!U6</f>
        <v>7874975.9999999078</v>
      </c>
      <c r="T8" s="5">
        <f>'Global Renewables Outlook'!V6</f>
        <v>8271977.9999998864</v>
      </c>
      <c r="U8" s="5">
        <f>'Global Renewables Outlook'!W6</f>
        <v>8668979.9999999814</v>
      </c>
      <c r="V8" s="5">
        <f>'Global Renewables Outlook'!X6</f>
        <v>9065981.999999959</v>
      </c>
      <c r="W8" s="5">
        <f>'Global Renewables Outlook'!Y6</f>
        <v>9462983.9999999385</v>
      </c>
      <c r="X8" s="5">
        <f>'Global Renewables Outlook'!Z6</f>
        <v>9859985.999999918</v>
      </c>
      <c r="Y8" s="5">
        <f>'Global Renewables Outlook'!AA6</f>
        <v>10256987.999999896</v>
      </c>
      <c r="Z8" s="5">
        <f>'Global Renewables Outlook'!AB6</f>
        <v>10653989.999999873</v>
      </c>
      <c r="AA8" s="5">
        <f>'Global Renewables Outlook'!AC6</f>
        <v>11050991.99999997</v>
      </c>
      <c r="AB8" s="5">
        <f>'Global Renewables Outlook'!AD6</f>
        <v>11447993.999999948</v>
      </c>
      <c r="AC8" s="5">
        <f>'Global Renewables Outlook'!AE6</f>
        <v>11844995.999999925</v>
      </c>
      <c r="AD8" s="5">
        <f>'Global Renewables Outlook'!AF6</f>
        <v>12241997.999999905</v>
      </c>
      <c r="AE8" s="5">
        <f>'Global Renewables Outlook'!AG6</f>
        <v>12638999.999999885</v>
      </c>
      <c r="AF8" s="12">
        <f t="shared" si="1"/>
        <v>13036001.999999881</v>
      </c>
      <c r="AG8" s="12">
        <f t="shared" si="0"/>
        <v>13433003.999999881</v>
      </c>
      <c r="AH8" s="12">
        <f t="shared" si="0"/>
        <v>13830005.999999881</v>
      </c>
      <c r="AI8" s="12">
        <f t="shared" si="0"/>
        <v>14227007.999999881</v>
      </c>
      <c r="AJ8" s="12">
        <f t="shared" si="0"/>
        <v>14624009.999999881</v>
      </c>
      <c r="AK8" s="12">
        <f t="shared" si="0"/>
        <v>15021011.999999881</v>
      </c>
      <c r="AL8" s="12">
        <f t="shared" si="0"/>
        <v>15418013.999999881</v>
      </c>
      <c r="AM8" s="12">
        <f t="shared" si="0"/>
        <v>15815015.999999881</v>
      </c>
      <c r="AN8" s="12">
        <f t="shared" si="0"/>
        <v>16212017.999999762</v>
      </c>
      <c r="AO8" s="12">
        <f t="shared" si="0"/>
        <v>16609019.999999762</v>
      </c>
      <c r="AP8" s="12">
        <f t="shared" si="0"/>
        <v>17006021.999999762</v>
      </c>
      <c r="AQ8" s="12">
        <f t="shared" si="0"/>
        <v>17403023.999999762</v>
      </c>
      <c r="AR8" s="12">
        <f t="shared" si="0"/>
        <v>17800025.999999762</v>
      </c>
      <c r="AS8" s="12">
        <f t="shared" si="0"/>
        <v>18197027.999999762</v>
      </c>
      <c r="AT8" s="12">
        <f t="shared" si="0"/>
        <v>18594029.999999762</v>
      </c>
      <c r="AU8" s="12">
        <f t="shared" si="0"/>
        <v>18991031.999999762</v>
      </c>
      <c r="AV8" s="12">
        <f t="shared" si="0"/>
        <v>19388033.999999762</v>
      </c>
      <c r="AW8" s="12">
        <f t="shared" si="0"/>
        <v>19785035.999999762</v>
      </c>
      <c r="AX8" s="12">
        <f t="shared" si="0"/>
        <v>20182037.999999762</v>
      </c>
      <c r="AY8" s="12">
        <f t="shared" si="0"/>
        <v>20579039.999999762</v>
      </c>
      <c r="AZ8" s="12">
        <f t="shared" si="0"/>
        <v>20976041.999999762</v>
      </c>
    </row>
    <row r="9" spans="1:52" x14ac:dyDescent="0.25">
      <c r="A9" s="2" t="s">
        <v>10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12">
        <f t="shared" si="1"/>
        <v>0</v>
      </c>
      <c r="AG9" s="12">
        <f t="shared" si="0"/>
        <v>0</v>
      </c>
      <c r="AH9" s="12">
        <f t="shared" si="0"/>
        <v>0</v>
      </c>
      <c r="AI9" s="12">
        <f t="shared" si="0"/>
        <v>0</v>
      </c>
      <c r="AJ9" s="12">
        <f t="shared" si="0"/>
        <v>0</v>
      </c>
      <c r="AK9" s="12">
        <f t="shared" si="0"/>
        <v>0</v>
      </c>
      <c r="AL9" s="12">
        <f t="shared" si="0"/>
        <v>0</v>
      </c>
      <c r="AM9" s="12">
        <f t="shared" si="0"/>
        <v>0</v>
      </c>
      <c r="AN9" s="12">
        <f t="shared" si="0"/>
        <v>0</v>
      </c>
      <c r="AO9" s="12">
        <f t="shared" si="0"/>
        <v>0</v>
      </c>
      <c r="AP9" s="12">
        <f t="shared" si="0"/>
        <v>0</v>
      </c>
      <c r="AQ9" s="12">
        <f t="shared" si="0"/>
        <v>0</v>
      </c>
      <c r="AR9" s="12">
        <f t="shared" si="0"/>
        <v>0</v>
      </c>
      <c r="AS9" s="12">
        <f t="shared" si="0"/>
        <v>0</v>
      </c>
      <c r="AT9" s="12">
        <f t="shared" si="0"/>
        <v>0</v>
      </c>
      <c r="AU9" s="12">
        <f t="shared" si="0"/>
        <v>0</v>
      </c>
      <c r="AV9" s="12">
        <f t="shared" si="0"/>
        <v>0</v>
      </c>
      <c r="AW9" s="12">
        <f t="shared" si="0"/>
        <v>0</v>
      </c>
      <c r="AX9" s="12">
        <f t="shared" si="0"/>
        <v>0</v>
      </c>
      <c r="AY9" s="12">
        <f t="shared" si="0"/>
        <v>0</v>
      </c>
      <c r="AZ9" s="12">
        <f t="shared" si="0"/>
        <v>0</v>
      </c>
    </row>
    <row r="10" spans="1:52" x14ac:dyDescent="0.25">
      <c r="A10" s="2" t="s">
        <v>11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s="12">
        <f t="shared" si="1"/>
        <v>0</v>
      </c>
      <c r="AG10" s="12">
        <f t="shared" si="0"/>
        <v>0</v>
      </c>
      <c r="AH10" s="12">
        <f t="shared" si="0"/>
        <v>0</v>
      </c>
      <c r="AI10" s="12">
        <f t="shared" si="0"/>
        <v>0</v>
      </c>
      <c r="AJ10" s="12">
        <f t="shared" si="0"/>
        <v>0</v>
      </c>
      <c r="AK10" s="12">
        <f t="shared" si="0"/>
        <v>0</v>
      </c>
      <c r="AL10" s="12">
        <f t="shared" si="0"/>
        <v>0</v>
      </c>
      <c r="AM10" s="12">
        <f t="shared" si="0"/>
        <v>0</v>
      </c>
      <c r="AN10" s="12">
        <f t="shared" si="0"/>
        <v>0</v>
      </c>
      <c r="AO10" s="12">
        <f t="shared" si="0"/>
        <v>0</v>
      </c>
      <c r="AP10" s="12">
        <f t="shared" si="0"/>
        <v>0</v>
      </c>
      <c r="AQ10" s="12">
        <f t="shared" si="0"/>
        <v>0</v>
      </c>
      <c r="AR10" s="12">
        <f t="shared" si="0"/>
        <v>0</v>
      </c>
      <c r="AS10" s="12">
        <f t="shared" si="0"/>
        <v>0</v>
      </c>
      <c r="AT10" s="12">
        <f t="shared" si="0"/>
        <v>0</v>
      </c>
      <c r="AU10" s="12">
        <f t="shared" si="0"/>
        <v>0</v>
      </c>
      <c r="AV10" s="12">
        <f t="shared" si="0"/>
        <v>0</v>
      </c>
      <c r="AW10" s="12">
        <f t="shared" si="0"/>
        <v>0</v>
      </c>
      <c r="AX10" s="12">
        <f t="shared" si="0"/>
        <v>0</v>
      </c>
      <c r="AY10" s="12">
        <f t="shared" si="0"/>
        <v>0</v>
      </c>
      <c r="AZ10" s="12">
        <f t="shared" si="0"/>
        <v>0</v>
      </c>
    </row>
    <row r="11" spans="1:52" x14ac:dyDescent="0.25">
      <c r="A11" s="2" t="s">
        <v>12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 s="12">
        <f t="shared" si="1"/>
        <v>0</v>
      </c>
      <c r="AG11" s="12">
        <f t="shared" si="0"/>
        <v>0</v>
      </c>
      <c r="AH11" s="12">
        <f t="shared" si="0"/>
        <v>0</v>
      </c>
      <c r="AI11" s="12">
        <f t="shared" si="0"/>
        <v>0</v>
      </c>
      <c r="AJ11" s="12">
        <f t="shared" si="0"/>
        <v>0</v>
      </c>
      <c r="AK11" s="12">
        <f t="shared" si="0"/>
        <v>0</v>
      </c>
      <c r="AL11" s="12">
        <f t="shared" si="0"/>
        <v>0</v>
      </c>
      <c r="AM11" s="12">
        <f t="shared" si="0"/>
        <v>0</v>
      </c>
      <c r="AN11" s="12">
        <f t="shared" si="0"/>
        <v>0</v>
      </c>
      <c r="AO11" s="12">
        <f t="shared" si="0"/>
        <v>0</v>
      </c>
      <c r="AP11" s="12">
        <f t="shared" si="0"/>
        <v>0</v>
      </c>
      <c r="AQ11" s="12">
        <f t="shared" si="0"/>
        <v>0</v>
      </c>
      <c r="AR11" s="12">
        <f t="shared" si="0"/>
        <v>0</v>
      </c>
      <c r="AS11" s="12">
        <f t="shared" si="0"/>
        <v>0</v>
      </c>
      <c r="AT11" s="12">
        <f t="shared" si="0"/>
        <v>0</v>
      </c>
      <c r="AU11" s="12">
        <f t="shared" si="0"/>
        <v>0</v>
      </c>
      <c r="AV11" s="12">
        <f t="shared" si="0"/>
        <v>0</v>
      </c>
      <c r="AW11" s="12">
        <f t="shared" si="0"/>
        <v>0</v>
      </c>
      <c r="AX11" s="12">
        <f t="shared" si="0"/>
        <v>0</v>
      </c>
      <c r="AY11" s="12">
        <f t="shared" si="0"/>
        <v>0</v>
      </c>
      <c r="AZ11" s="12">
        <f t="shared" si="0"/>
        <v>0</v>
      </c>
    </row>
    <row r="12" spans="1:52" x14ac:dyDescent="0.25">
      <c r="A12" s="2" t="s">
        <v>13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 s="12">
        <f t="shared" si="1"/>
        <v>0</v>
      </c>
      <c r="AG12" s="12">
        <f t="shared" si="0"/>
        <v>0</v>
      </c>
      <c r="AH12" s="12">
        <f t="shared" si="0"/>
        <v>0</v>
      </c>
      <c r="AI12" s="12">
        <f t="shared" si="0"/>
        <v>0</v>
      </c>
      <c r="AJ12" s="12">
        <f t="shared" si="0"/>
        <v>0</v>
      </c>
      <c r="AK12" s="12">
        <f t="shared" si="0"/>
        <v>0</v>
      </c>
      <c r="AL12" s="12">
        <f t="shared" si="0"/>
        <v>0</v>
      </c>
      <c r="AM12" s="12">
        <f t="shared" si="0"/>
        <v>0</v>
      </c>
      <c r="AN12" s="12">
        <f t="shared" si="0"/>
        <v>0</v>
      </c>
      <c r="AO12" s="12">
        <f t="shared" si="0"/>
        <v>0</v>
      </c>
      <c r="AP12" s="12">
        <f t="shared" si="0"/>
        <v>0</v>
      </c>
      <c r="AQ12" s="12">
        <f t="shared" si="0"/>
        <v>0</v>
      </c>
      <c r="AR12" s="12">
        <f t="shared" si="0"/>
        <v>0</v>
      </c>
      <c r="AS12" s="12">
        <f t="shared" si="0"/>
        <v>0</v>
      </c>
      <c r="AT12" s="12">
        <f t="shared" si="0"/>
        <v>0</v>
      </c>
      <c r="AU12" s="12">
        <f t="shared" si="0"/>
        <v>0</v>
      </c>
      <c r="AV12" s="12">
        <f t="shared" si="0"/>
        <v>0</v>
      </c>
      <c r="AW12" s="12">
        <f t="shared" si="0"/>
        <v>0</v>
      </c>
      <c r="AX12" s="12">
        <f t="shared" si="0"/>
        <v>0</v>
      </c>
      <c r="AY12" s="12">
        <f t="shared" si="0"/>
        <v>0</v>
      </c>
      <c r="AZ12" s="12">
        <f t="shared" si="0"/>
        <v>0</v>
      </c>
    </row>
    <row r="13" spans="1:52" x14ac:dyDescent="0.25">
      <c r="A13" s="2" t="s">
        <v>14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 s="12">
        <f t="shared" si="1"/>
        <v>0</v>
      </c>
      <c r="AG13" s="12">
        <f t="shared" si="0"/>
        <v>0</v>
      </c>
      <c r="AH13" s="12">
        <f t="shared" si="0"/>
        <v>0</v>
      </c>
      <c r="AI13" s="12">
        <f t="shared" si="0"/>
        <v>0</v>
      </c>
      <c r="AJ13" s="12">
        <f t="shared" si="0"/>
        <v>0</v>
      </c>
      <c r="AK13" s="12">
        <f t="shared" si="0"/>
        <v>0</v>
      </c>
      <c r="AL13" s="12">
        <f t="shared" si="0"/>
        <v>0</v>
      </c>
      <c r="AM13" s="12">
        <f t="shared" si="0"/>
        <v>0</v>
      </c>
      <c r="AN13" s="12">
        <f t="shared" si="0"/>
        <v>0</v>
      </c>
      <c r="AO13" s="12">
        <f t="shared" si="0"/>
        <v>0</v>
      </c>
      <c r="AP13" s="12">
        <f t="shared" si="0"/>
        <v>0</v>
      </c>
      <c r="AQ13" s="12">
        <f t="shared" si="0"/>
        <v>0</v>
      </c>
      <c r="AR13" s="12">
        <f t="shared" si="0"/>
        <v>0</v>
      </c>
      <c r="AS13" s="12">
        <f t="shared" si="0"/>
        <v>0</v>
      </c>
      <c r="AT13" s="12">
        <f t="shared" si="0"/>
        <v>0</v>
      </c>
      <c r="AU13" s="12">
        <f t="shared" si="0"/>
        <v>0</v>
      </c>
      <c r="AV13" s="12">
        <f t="shared" si="0"/>
        <v>0</v>
      </c>
      <c r="AW13" s="12">
        <f t="shared" si="0"/>
        <v>0</v>
      </c>
      <c r="AX13" s="12">
        <f t="shared" si="0"/>
        <v>0</v>
      </c>
      <c r="AY13" s="12">
        <f t="shared" si="0"/>
        <v>0</v>
      </c>
      <c r="AZ13" s="12">
        <f t="shared" si="0"/>
        <v>0</v>
      </c>
    </row>
    <row r="14" spans="1:52" x14ac:dyDescent="0.25">
      <c r="A14" s="2" t="s">
        <v>15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  <c r="AF14" s="12">
        <f t="shared" si="1"/>
        <v>0</v>
      </c>
      <c r="AG14" s="12">
        <f t="shared" si="0"/>
        <v>0</v>
      </c>
      <c r="AH14" s="12">
        <f t="shared" si="0"/>
        <v>0</v>
      </c>
      <c r="AI14" s="12">
        <f t="shared" si="0"/>
        <v>0</v>
      </c>
      <c r="AJ14" s="12">
        <f t="shared" si="0"/>
        <v>0</v>
      </c>
      <c r="AK14" s="12">
        <f t="shared" si="0"/>
        <v>0</v>
      </c>
      <c r="AL14" s="12">
        <f t="shared" si="0"/>
        <v>0</v>
      </c>
      <c r="AM14" s="12">
        <f t="shared" si="0"/>
        <v>0</v>
      </c>
      <c r="AN14" s="12">
        <f t="shared" si="0"/>
        <v>0</v>
      </c>
      <c r="AO14" s="12">
        <f t="shared" si="0"/>
        <v>0</v>
      </c>
      <c r="AP14" s="12">
        <f t="shared" si="0"/>
        <v>0</v>
      </c>
      <c r="AQ14" s="12">
        <f t="shared" si="0"/>
        <v>0</v>
      </c>
      <c r="AR14" s="12">
        <f t="shared" si="0"/>
        <v>0</v>
      </c>
      <c r="AS14" s="12">
        <f t="shared" si="0"/>
        <v>0</v>
      </c>
      <c r="AT14" s="12">
        <f t="shared" si="0"/>
        <v>0</v>
      </c>
      <c r="AU14" s="12">
        <f t="shared" si="0"/>
        <v>0</v>
      </c>
      <c r="AV14" s="12">
        <f t="shared" si="0"/>
        <v>0</v>
      </c>
      <c r="AW14" s="12">
        <f t="shared" si="0"/>
        <v>0</v>
      </c>
      <c r="AX14" s="12">
        <f t="shared" si="0"/>
        <v>0</v>
      </c>
      <c r="AY14" s="12">
        <f t="shared" si="0"/>
        <v>0</v>
      </c>
      <c r="AZ14" s="12">
        <f t="shared" si="0"/>
        <v>0</v>
      </c>
    </row>
    <row r="15" spans="1:52" x14ac:dyDescent="0.25">
      <c r="A15" s="2" t="s">
        <v>16</v>
      </c>
      <c r="B15" s="5">
        <f>'Global Renewables Outlook'!D7*Wind!B4</f>
        <v>40088.585855819823</v>
      </c>
      <c r="C15" s="5">
        <f>'Global Renewables Outlook'!E7*Wind!C4</f>
        <v>60552.682810726183</v>
      </c>
      <c r="D15" s="5">
        <f>'Global Renewables Outlook'!F7*Wind!D4</f>
        <v>73490.060248979091</v>
      </c>
      <c r="E15" s="5">
        <f>'Global Renewables Outlook'!G7*Wind!E4</f>
        <v>89037.595218580886</v>
      </c>
      <c r="F15" s="5">
        <f>'Global Renewables Outlook'!H7*Wind!F4</f>
        <v>113800.59291611612</v>
      </c>
      <c r="G15" s="5">
        <f>'Global Renewables Outlook'!I7*Wind!G4</f>
        <v>138582.86918859708</v>
      </c>
      <c r="H15" s="5">
        <f>'Global Renewables Outlook'!J7*Wind!H4</f>
        <v>165505.04431378981</v>
      </c>
      <c r="I15" s="5">
        <f>'Global Renewables Outlook'!K7*Wind!I4</f>
        <v>187424.14160128735</v>
      </c>
      <c r="J15" s="5">
        <f>'Global Renewables Outlook'!L7*Wind!J4</f>
        <v>206118.71382443423</v>
      </c>
      <c r="K15" s="5">
        <f>'Global Renewables Outlook'!M7*Wind!K4</f>
        <v>230285.87337236118</v>
      </c>
      <c r="L15" s="5">
        <f>'Global Renewables Outlook'!N7*Wind!L4</f>
        <v>255332.93188794897</v>
      </c>
      <c r="M15" s="5">
        <f>'Global Renewables Outlook'!O7*Wind!M4</f>
        <v>291237.77865488769</v>
      </c>
      <c r="N15" s="5">
        <f>'Global Renewables Outlook'!P7*Wind!N4</f>
        <v>330031.93771321455</v>
      </c>
      <c r="O15" s="5">
        <f>'Global Renewables Outlook'!Q7*Wind!O4</f>
        <v>361004.00300979265</v>
      </c>
      <c r="P15" s="5">
        <f>'Global Renewables Outlook'!R7*Wind!P4</f>
        <v>391092.00464981049</v>
      </c>
      <c r="Q15" s="5">
        <f>'Global Renewables Outlook'!S7*Wind!Q4</f>
        <v>400441.03425807011</v>
      </c>
      <c r="R15" s="5">
        <f>'Global Renewables Outlook'!T7*Wind!R4</f>
        <v>404643.31207967794</v>
      </c>
      <c r="S15" s="5">
        <f>'Global Renewables Outlook'!U7*Wind!S4</f>
        <v>410876.84215022629</v>
      </c>
      <c r="T15" s="5">
        <f>'Global Renewables Outlook'!V7*Wind!T4</f>
        <v>417999.63597350329</v>
      </c>
      <c r="U15" s="5">
        <f>'Global Renewables Outlook'!W7*Wind!U4</f>
        <v>423182.47386574256</v>
      </c>
      <c r="V15" s="5">
        <f>'Global Renewables Outlook'!X7*Wind!V4</f>
        <v>430864.87645209447</v>
      </c>
      <c r="W15" s="5">
        <f>'Global Renewables Outlook'!Y7*Wind!W4</f>
        <v>437184.66041645262</v>
      </c>
      <c r="X15" s="5">
        <f>'Global Renewables Outlook'!Z7*Wind!X4</f>
        <v>442500.01644445065</v>
      </c>
      <c r="Y15" s="5">
        <f>'Global Renewables Outlook'!AA7*Wind!Y4</f>
        <v>446794.33610616927</v>
      </c>
      <c r="Z15" s="5">
        <f>'Global Renewables Outlook'!AB7*Wind!Z4</f>
        <v>452877.65354890848</v>
      </c>
      <c r="AA15" s="5">
        <f>'Global Renewables Outlook'!AC7*Wind!AA4</f>
        <v>461007.18750435935</v>
      </c>
      <c r="AB15" s="5">
        <f>'Global Renewables Outlook'!AD7*Wind!AB4</f>
        <v>461346.81313483516</v>
      </c>
      <c r="AC15" s="5">
        <f>'Global Renewables Outlook'!AE7*Wind!AC4</f>
        <v>459512.7777562656</v>
      </c>
      <c r="AD15" s="5">
        <f>'Global Renewables Outlook'!AF7*Wind!AD4</f>
        <v>462417.53814992314</v>
      </c>
      <c r="AE15" s="5">
        <f>'Global Renewables Outlook'!AG7*Wind!AE4</f>
        <v>464527.61322951212</v>
      </c>
      <c r="AF15" s="12">
        <f t="shared" si="1"/>
        <v>473937.47553216852</v>
      </c>
      <c r="AG15" s="12">
        <f t="shared" si="0"/>
        <v>478044.99499042705</v>
      </c>
      <c r="AH15" s="12">
        <f t="shared" si="0"/>
        <v>482152.51444868743</v>
      </c>
      <c r="AI15" s="12">
        <f t="shared" si="0"/>
        <v>486260.03390694782</v>
      </c>
      <c r="AJ15" s="12">
        <f t="shared" si="0"/>
        <v>490367.55336520635</v>
      </c>
      <c r="AK15" s="12">
        <f t="shared" si="0"/>
        <v>494475.07282346673</v>
      </c>
      <c r="AL15" s="12">
        <f t="shared" si="0"/>
        <v>498582.59228172526</v>
      </c>
      <c r="AM15" s="12">
        <f t="shared" si="0"/>
        <v>502690.11173998564</v>
      </c>
      <c r="AN15" s="12">
        <f t="shared" si="0"/>
        <v>506797.63119824603</v>
      </c>
      <c r="AO15" s="12">
        <f t="shared" si="0"/>
        <v>510905.15065650456</v>
      </c>
      <c r="AP15" s="12">
        <f t="shared" si="0"/>
        <v>515012.67011476494</v>
      </c>
      <c r="AQ15" s="12">
        <f t="shared" ref="AG15:AZ25" si="2">_xlfn.FORECAST.LINEAR(AQ$1,$U15:$AE15,$U$1:$AE$1)</f>
        <v>519120.18957302347</v>
      </c>
      <c r="AR15" s="12">
        <f t="shared" si="2"/>
        <v>523227.70903128386</v>
      </c>
      <c r="AS15" s="12">
        <f t="shared" si="2"/>
        <v>527335.22848954424</v>
      </c>
      <c r="AT15" s="12">
        <f t="shared" si="2"/>
        <v>531442.74794780277</v>
      </c>
      <c r="AU15" s="12">
        <f t="shared" si="2"/>
        <v>535550.26740606315</v>
      </c>
      <c r="AV15" s="12">
        <f t="shared" si="2"/>
        <v>539657.78686432168</v>
      </c>
      <c r="AW15" s="12">
        <f t="shared" si="2"/>
        <v>543765.30632258207</v>
      </c>
      <c r="AX15" s="12">
        <f t="shared" si="2"/>
        <v>547872.82578084245</v>
      </c>
      <c r="AY15" s="12">
        <f t="shared" si="2"/>
        <v>551980.34523910098</v>
      </c>
      <c r="AZ15" s="12">
        <f t="shared" si="2"/>
        <v>556087.86469736136</v>
      </c>
    </row>
    <row r="16" spans="1:52" x14ac:dyDescent="0.25">
      <c r="A16" s="2" t="s">
        <v>18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  <c r="AF16" s="12">
        <f t="shared" si="1"/>
        <v>0</v>
      </c>
      <c r="AG16" s="12">
        <f t="shared" si="2"/>
        <v>0</v>
      </c>
      <c r="AH16" s="12">
        <f t="shared" si="2"/>
        <v>0</v>
      </c>
      <c r="AI16" s="12">
        <f t="shared" si="2"/>
        <v>0</v>
      </c>
      <c r="AJ16" s="12">
        <f t="shared" si="2"/>
        <v>0</v>
      </c>
      <c r="AK16" s="12">
        <f t="shared" si="2"/>
        <v>0</v>
      </c>
      <c r="AL16" s="12">
        <f t="shared" si="2"/>
        <v>0</v>
      </c>
      <c r="AM16" s="12">
        <f t="shared" si="2"/>
        <v>0</v>
      </c>
      <c r="AN16" s="12">
        <f t="shared" si="2"/>
        <v>0</v>
      </c>
      <c r="AO16" s="12">
        <f t="shared" si="2"/>
        <v>0</v>
      </c>
      <c r="AP16" s="12">
        <f t="shared" si="2"/>
        <v>0</v>
      </c>
      <c r="AQ16" s="12">
        <f t="shared" si="2"/>
        <v>0</v>
      </c>
      <c r="AR16" s="12">
        <f t="shared" si="2"/>
        <v>0</v>
      </c>
      <c r="AS16" s="12">
        <f t="shared" si="2"/>
        <v>0</v>
      </c>
      <c r="AT16" s="12">
        <f t="shared" si="2"/>
        <v>0</v>
      </c>
      <c r="AU16" s="12">
        <f t="shared" si="2"/>
        <v>0</v>
      </c>
      <c r="AV16" s="12">
        <f t="shared" si="2"/>
        <v>0</v>
      </c>
      <c r="AW16" s="12">
        <f t="shared" si="2"/>
        <v>0</v>
      </c>
      <c r="AX16" s="12">
        <f t="shared" si="2"/>
        <v>0</v>
      </c>
      <c r="AY16" s="12">
        <f t="shared" si="2"/>
        <v>0</v>
      </c>
      <c r="AZ16" s="12">
        <f t="shared" si="2"/>
        <v>0</v>
      </c>
    </row>
    <row r="17" spans="1:52" x14ac:dyDescent="0.25">
      <c r="A17" s="2" t="s">
        <v>19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 s="12">
        <f t="shared" si="1"/>
        <v>0</v>
      </c>
      <c r="AG17" s="12">
        <f t="shared" si="2"/>
        <v>0</v>
      </c>
      <c r="AH17" s="12">
        <f t="shared" si="2"/>
        <v>0</v>
      </c>
      <c r="AI17" s="12">
        <f t="shared" si="2"/>
        <v>0</v>
      </c>
      <c r="AJ17" s="12">
        <f t="shared" si="2"/>
        <v>0</v>
      </c>
      <c r="AK17" s="12">
        <f t="shared" si="2"/>
        <v>0</v>
      </c>
      <c r="AL17" s="12">
        <f t="shared" si="2"/>
        <v>0</v>
      </c>
      <c r="AM17" s="12">
        <f t="shared" si="2"/>
        <v>0</v>
      </c>
      <c r="AN17" s="12">
        <f t="shared" si="2"/>
        <v>0</v>
      </c>
      <c r="AO17" s="12">
        <f t="shared" si="2"/>
        <v>0</v>
      </c>
      <c r="AP17" s="12">
        <f t="shared" si="2"/>
        <v>0</v>
      </c>
      <c r="AQ17" s="12">
        <f t="shared" si="2"/>
        <v>0</v>
      </c>
      <c r="AR17" s="12">
        <f t="shared" si="2"/>
        <v>0</v>
      </c>
      <c r="AS17" s="12">
        <f t="shared" si="2"/>
        <v>0</v>
      </c>
      <c r="AT17" s="12">
        <f t="shared" si="2"/>
        <v>0</v>
      </c>
      <c r="AU17" s="12">
        <f t="shared" si="2"/>
        <v>0</v>
      </c>
      <c r="AV17" s="12">
        <f t="shared" si="2"/>
        <v>0</v>
      </c>
      <c r="AW17" s="12">
        <f t="shared" si="2"/>
        <v>0</v>
      </c>
      <c r="AX17" s="12">
        <f t="shared" si="2"/>
        <v>0</v>
      </c>
      <c r="AY17" s="12">
        <f t="shared" si="2"/>
        <v>0</v>
      </c>
      <c r="AZ17" s="12">
        <f t="shared" si="2"/>
        <v>0</v>
      </c>
    </row>
    <row r="18" spans="1:52" x14ac:dyDescent="0.25">
      <c r="A18" s="2" t="s">
        <v>20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  <c r="AF18" s="12">
        <f t="shared" si="1"/>
        <v>0</v>
      </c>
      <c r="AG18" s="12">
        <f t="shared" si="2"/>
        <v>0</v>
      </c>
      <c r="AH18" s="12">
        <f t="shared" si="2"/>
        <v>0</v>
      </c>
      <c r="AI18" s="12">
        <f t="shared" si="2"/>
        <v>0</v>
      </c>
      <c r="AJ18" s="12">
        <f t="shared" si="2"/>
        <v>0</v>
      </c>
      <c r="AK18" s="12">
        <f t="shared" si="2"/>
        <v>0</v>
      </c>
      <c r="AL18" s="12">
        <f t="shared" si="2"/>
        <v>0</v>
      </c>
      <c r="AM18" s="12">
        <f t="shared" si="2"/>
        <v>0</v>
      </c>
      <c r="AN18" s="12">
        <f t="shared" si="2"/>
        <v>0</v>
      </c>
      <c r="AO18" s="12">
        <f t="shared" si="2"/>
        <v>0</v>
      </c>
      <c r="AP18" s="12">
        <f t="shared" si="2"/>
        <v>0</v>
      </c>
      <c r="AQ18" s="12">
        <f t="shared" si="2"/>
        <v>0</v>
      </c>
      <c r="AR18" s="12">
        <f t="shared" si="2"/>
        <v>0</v>
      </c>
      <c r="AS18" s="12">
        <f t="shared" si="2"/>
        <v>0</v>
      </c>
      <c r="AT18" s="12">
        <f t="shared" si="2"/>
        <v>0</v>
      </c>
      <c r="AU18" s="12">
        <f t="shared" si="2"/>
        <v>0</v>
      </c>
      <c r="AV18" s="12">
        <f t="shared" si="2"/>
        <v>0</v>
      </c>
      <c r="AW18" s="12">
        <f t="shared" si="2"/>
        <v>0</v>
      </c>
      <c r="AX18" s="12">
        <f t="shared" si="2"/>
        <v>0</v>
      </c>
      <c r="AY18" s="12">
        <f t="shared" si="2"/>
        <v>0</v>
      </c>
      <c r="AZ18" s="12">
        <f t="shared" si="2"/>
        <v>0</v>
      </c>
    </row>
    <row r="19" spans="1:52" x14ac:dyDescent="0.2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 s="12">
        <f t="shared" si="1"/>
        <v>0</v>
      </c>
      <c r="AG19" s="12">
        <f t="shared" si="2"/>
        <v>0</v>
      </c>
      <c r="AH19" s="12">
        <f t="shared" si="2"/>
        <v>0</v>
      </c>
      <c r="AI19" s="12">
        <f t="shared" si="2"/>
        <v>0</v>
      </c>
      <c r="AJ19" s="12">
        <f t="shared" si="2"/>
        <v>0</v>
      </c>
      <c r="AK19" s="12">
        <f t="shared" si="2"/>
        <v>0</v>
      </c>
      <c r="AL19" s="12">
        <f t="shared" si="2"/>
        <v>0</v>
      </c>
      <c r="AM19" s="12">
        <f t="shared" si="2"/>
        <v>0</v>
      </c>
      <c r="AN19" s="12">
        <f t="shared" si="2"/>
        <v>0</v>
      </c>
      <c r="AO19" s="12">
        <f t="shared" si="2"/>
        <v>0</v>
      </c>
      <c r="AP19" s="12">
        <f t="shared" si="2"/>
        <v>0</v>
      </c>
      <c r="AQ19" s="12">
        <f t="shared" si="2"/>
        <v>0</v>
      </c>
      <c r="AR19" s="12">
        <f t="shared" si="2"/>
        <v>0</v>
      </c>
      <c r="AS19" s="12">
        <f t="shared" si="2"/>
        <v>0</v>
      </c>
      <c r="AT19" s="12">
        <f t="shared" si="2"/>
        <v>0</v>
      </c>
      <c r="AU19" s="12">
        <f t="shared" si="2"/>
        <v>0</v>
      </c>
      <c r="AV19" s="12">
        <f t="shared" si="2"/>
        <v>0</v>
      </c>
      <c r="AW19" s="12">
        <f t="shared" si="2"/>
        <v>0</v>
      </c>
      <c r="AX19" s="12">
        <f t="shared" si="2"/>
        <v>0</v>
      </c>
      <c r="AY19" s="12">
        <f t="shared" si="2"/>
        <v>0</v>
      </c>
      <c r="AZ19" s="12">
        <f t="shared" si="2"/>
        <v>0</v>
      </c>
    </row>
    <row r="20" spans="1:52" x14ac:dyDescent="0.2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 s="12">
        <f t="shared" si="1"/>
        <v>0</v>
      </c>
      <c r="AG20" s="12">
        <f t="shared" si="2"/>
        <v>0</v>
      </c>
      <c r="AH20" s="12">
        <f t="shared" si="2"/>
        <v>0</v>
      </c>
      <c r="AI20" s="12">
        <f t="shared" si="2"/>
        <v>0</v>
      </c>
      <c r="AJ20" s="12">
        <f t="shared" si="2"/>
        <v>0</v>
      </c>
      <c r="AK20" s="12">
        <f t="shared" si="2"/>
        <v>0</v>
      </c>
      <c r="AL20" s="12">
        <f t="shared" si="2"/>
        <v>0</v>
      </c>
      <c r="AM20" s="12">
        <f t="shared" si="2"/>
        <v>0</v>
      </c>
      <c r="AN20" s="12">
        <f t="shared" si="2"/>
        <v>0</v>
      </c>
      <c r="AO20" s="12">
        <f t="shared" si="2"/>
        <v>0</v>
      </c>
      <c r="AP20" s="12">
        <f t="shared" si="2"/>
        <v>0</v>
      </c>
      <c r="AQ20" s="12">
        <f t="shared" si="2"/>
        <v>0</v>
      </c>
      <c r="AR20" s="12">
        <f t="shared" si="2"/>
        <v>0</v>
      </c>
      <c r="AS20" s="12">
        <f t="shared" si="2"/>
        <v>0</v>
      </c>
      <c r="AT20" s="12">
        <f t="shared" si="2"/>
        <v>0</v>
      </c>
      <c r="AU20" s="12">
        <f t="shared" si="2"/>
        <v>0</v>
      </c>
      <c r="AV20" s="12">
        <f t="shared" si="2"/>
        <v>0</v>
      </c>
      <c r="AW20" s="12">
        <f t="shared" si="2"/>
        <v>0</v>
      </c>
      <c r="AX20" s="12">
        <f t="shared" si="2"/>
        <v>0</v>
      </c>
      <c r="AY20" s="12">
        <f t="shared" si="2"/>
        <v>0</v>
      </c>
      <c r="AZ20" s="12">
        <f t="shared" si="2"/>
        <v>0</v>
      </c>
    </row>
    <row r="21" spans="1:52" x14ac:dyDescent="0.2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 s="12">
        <f t="shared" si="1"/>
        <v>0</v>
      </c>
      <c r="AG21" s="12">
        <f t="shared" si="2"/>
        <v>0</v>
      </c>
      <c r="AH21" s="12">
        <f t="shared" si="2"/>
        <v>0</v>
      </c>
      <c r="AI21" s="12">
        <f t="shared" si="2"/>
        <v>0</v>
      </c>
      <c r="AJ21" s="12">
        <f t="shared" si="2"/>
        <v>0</v>
      </c>
      <c r="AK21" s="12">
        <f t="shared" si="2"/>
        <v>0</v>
      </c>
      <c r="AL21" s="12">
        <f t="shared" si="2"/>
        <v>0</v>
      </c>
      <c r="AM21" s="12">
        <f t="shared" si="2"/>
        <v>0</v>
      </c>
      <c r="AN21" s="12">
        <f t="shared" si="2"/>
        <v>0</v>
      </c>
      <c r="AO21" s="12">
        <f t="shared" si="2"/>
        <v>0</v>
      </c>
      <c r="AP21" s="12">
        <f t="shared" si="2"/>
        <v>0</v>
      </c>
      <c r="AQ21" s="12">
        <f t="shared" si="2"/>
        <v>0</v>
      </c>
      <c r="AR21" s="12">
        <f t="shared" si="2"/>
        <v>0</v>
      </c>
      <c r="AS21" s="12">
        <f t="shared" si="2"/>
        <v>0</v>
      </c>
      <c r="AT21" s="12">
        <f t="shared" si="2"/>
        <v>0</v>
      </c>
      <c r="AU21" s="12">
        <f t="shared" si="2"/>
        <v>0</v>
      </c>
      <c r="AV21" s="12">
        <f t="shared" si="2"/>
        <v>0</v>
      </c>
      <c r="AW21" s="12">
        <f t="shared" si="2"/>
        <v>0</v>
      </c>
      <c r="AX21" s="12">
        <f t="shared" si="2"/>
        <v>0</v>
      </c>
      <c r="AY21" s="12">
        <f t="shared" si="2"/>
        <v>0</v>
      </c>
      <c r="AZ21" s="12">
        <f t="shared" si="2"/>
        <v>0</v>
      </c>
    </row>
    <row r="22" spans="1:52" x14ac:dyDescent="0.2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 s="12">
        <f t="shared" si="1"/>
        <v>0</v>
      </c>
      <c r="AG22" s="12">
        <f t="shared" si="2"/>
        <v>0</v>
      </c>
      <c r="AH22" s="12">
        <f t="shared" si="2"/>
        <v>0</v>
      </c>
      <c r="AI22" s="12">
        <f t="shared" si="2"/>
        <v>0</v>
      </c>
      <c r="AJ22" s="12">
        <f t="shared" si="2"/>
        <v>0</v>
      </c>
      <c r="AK22" s="12">
        <f t="shared" si="2"/>
        <v>0</v>
      </c>
      <c r="AL22" s="12">
        <f t="shared" si="2"/>
        <v>0</v>
      </c>
      <c r="AM22" s="12">
        <f t="shared" si="2"/>
        <v>0</v>
      </c>
      <c r="AN22" s="12">
        <f t="shared" si="2"/>
        <v>0</v>
      </c>
      <c r="AO22" s="12">
        <f t="shared" si="2"/>
        <v>0</v>
      </c>
      <c r="AP22" s="12">
        <f t="shared" si="2"/>
        <v>0</v>
      </c>
      <c r="AQ22" s="12">
        <f t="shared" si="2"/>
        <v>0</v>
      </c>
      <c r="AR22" s="12">
        <f t="shared" si="2"/>
        <v>0</v>
      </c>
      <c r="AS22" s="12">
        <f t="shared" si="2"/>
        <v>0</v>
      </c>
      <c r="AT22" s="12">
        <f t="shared" si="2"/>
        <v>0</v>
      </c>
      <c r="AU22" s="12">
        <f t="shared" si="2"/>
        <v>0</v>
      </c>
      <c r="AV22" s="12">
        <f t="shared" si="2"/>
        <v>0</v>
      </c>
      <c r="AW22" s="12">
        <f t="shared" si="2"/>
        <v>0</v>
      </c>
      <c r="AX22" s="12">
        <f t="shared" si="2"/>
        <v>0</v>
      </c>
      <c r="AY22" s="12">
        <f t="shared" si="2"/>
        <v>0</v>
      </c>
      <c r="AZ22" s="12">
        <f t="shared" si="2"/>
        <v>0</v>
      </c>
    </row>
    <row r="23" spans="1:52" x14ac:dyDescent="0.25">
      <c r="A23" t="s">
        <v>34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 s="12">
        <f t="shared" si="1"/>
        <v>0</v>
      </c>
      <c r="AG23" s="12">
        <f t="shared" si="2"/>
        <v>0</v>
      </c>
      <c r="AH23" s="12">
        <f t="shared" si="2"/>
        <v>0</v>
      </c>
      <c r="AI23" s="12">
        <f t="shared" si="2"/>
        <v>0</v>
      </c>
      <c r="AJ23" s="12">
        <f t="shared" si="2"/>
        <v>0</v>
      </c>
      <c r="AK23" s="12">
        <f t="shared" si="2"/>
        <v>0</v>
      </c>
      <c r="AL23" s="12">
        <f t="shared" si="2"/>
        <v>0</v>
      </c>
      <c r="AM23" s="12">
        <f t="shared" si="2"/>
        <v>0</v>
      </c>
      <c r="AN23" s="12">
        <f t="shared" si="2"/>
        <v>0</v>
      </c>
      <c r="AO23" s="12">
        <f t="shared" si="2"/>
        <v>0</v>
      </c>
      <c r="AP23" s="12">
        <f t="shared" si="2"/>
        <v>0</v>
      </c>
      <c r="AQ23" s="12">
        <f t="shared" si="2"/>
        <v>0</v>
      </c>
      <c r="AR23" s="12">
        <f t="shared" si="2"/>
        <v>0</v>
      </c>
      <c r="AS23" s="12">
        <f t="shared" si="2"/>
        <v>0</v>
      </c>
      <c r="AT23" s="12">
        <f t="shared" si="2"/>
        <v>0</v>
      </c>
      <c r="AU23" s="12">
        <f t="shared" si="2"/>
        <v>0</v>
      </c>
      <c r="AV23" s="12">
        <f t="shared" si="2"/>
        <v>0</v>
      </c>
      <c r="AW23" s="12">
        <f t="shared" si="2"/>
        <v>0</v>
      </c>
      <c r="AX23" s="12">
        <f t="shared" si="2"/>
        <v>0</v>
      </c>
      <c r="AY23" s="12">
        <f t="shared" si="2"/>
        <v>0</v>
      </c>
      <c r="AZ23" s="12">
        <f t="shared" si="2"/>
        <v>0</v>
      </c>
    </row>
    <row r="24" spans="1:52" x14ac:dyDescent="0.25">
      <c r="A24" s="8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 s="12">
        <f t="shared" si="1"/>
        <v>0</v>
      </c>
      <c r="AG24" s="12">
        <f t="shared" si="2"/>
        <v>0</v>
      </c>
      <c r="AH24" s="12">
        <f t="shared" si="2"/>
        <v>0</v>
      </c>
      <c r="AI24" s="12">
        <f t="shared" si="2"/>
        <v>0</v>
      </c>
      <c r="AJ24" s="12">
        <f t="shared" si="2"/>
        <v>0</v>
      </c>
      <c r="AK24" s="12">
        <f t="shared" si="2"/>
        <v>0</v>
      </c>
      <c r="AL24" s="12">
        <f t="shared" si="2"/>
        <v>0</v>
      </c>
      <c r="AM24" s="12">
        <f t="shared" si="2"/>
        <v>0</v>
      </c>
      <c r="AN24" s="12">
        <f t="shared" si="2"/>
        <v>0</v>
      </c>
      <c r="AO24" s="12">
        <f t="shared" si="2"/>
        <v>0</v>
      </c>
      <c r="AP24" s="12">
        <f t="shared" si="2"/>
        <v>0</v>
      </c>
      <c r="AQ24" s="12">
        <f t="shared" si="2"/>
        <v>0</v>
      </c>
      <c r="AR24" s="12">
        <f t="shared" si="2"/>
        <v>0</v>
      </c>
      <c r="AS24" s="12">
        <f t="shared" si="2"/>
        <v>0</v>
      </c>
      <c r="AT24" s="12">
        <f t="shared" si="2"/>
        <v>0</v>
      </c>
      <c r="AU24" s="12">
        <f t="shared" si="2"/>
        <v>0</v>
      </c>
      <c r="AV24" s="12">
        <f t="shared" si="2"/>
        <v>0</v>
      </c>
      <c r="AW24" s="12">
        <f t="shared" si="2"/>
        <v>0</v>
      </c>
      <c r="AX24" s="12">
        <f t="shared" si="2"/>
        <v>0</v>
      </c>
      <c r="AY24" s="12">
        <f t="shared" si="2"/>
        <v>0</v>
      </c>
      <c r="AZ24" s="12">
        <f t="shared" si="2"/>
        <v>0</v>
      </c>
    </row>
    <row r="25" spans="1:52" x14ac:dyDescent="0.25">
      <c r="A25" s="8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 s="12">
        <f t="shared" si="1"/>
        <v>0</v>
      </c>
      <c r="AG25" s="12">
        <f t="shared" si="2"/>
        <v>0</v>
      </c>
      <c r="AH25" s="12">
        <f t="shared" si="2"/>
        <v>0</v>
      </c>
      <c r="AI25" s="12">
        <f t="shared" si="2"/>
        <v>0</v>
      </c>
      <c r="AJ25" s="12">
        <f t="shared" si="2"/>
        <v>0</v>
      </c>
      <c r="AK25" s="12">
        <f t="shared" si="2"/>
        <v>0</v>
      </c>
      <c r="AL25" s="12">
        <f t="shared" si="2"/>
        <v>0</v>
      </c>
      <c r="AM25" s="12">
        <f t="shared" si="2"/>
        <v>0</v>
      </c>
      <c r="AN25" s="12">
        <f t="shared" si="2"/>
        <v>0</v>
      </c>
      <c r="AO25" s="12">
        <f t="shared" si="2"/>
        <v>0</v>
      </c>
      <c r="AP25" s="12">
        <f t="shared" si="2"/>
        <v>0</v>
      </c>
      <c r="AQ25" s="12">
        <f t="shared" si="2"/>
        <v>0</v>
      </c>
      <c r="AR25" s="12">
        <f t="shared" si="2"/>
        <v>0</v>
      </c>
      <c r="AS25" s="12">
        <f t="shared" si="2"/>
        <v>0</v>
      </c>
      <c r="AT25" s="12">
        <f t="shared" si="2"/>
        <v>0</v>
      </c>
      <c r="AU25" s="12">
        <f t="shared" si="2"/>
        <v>0</v>
      </c>
      <c r="AV25" s="12">
        <f t="shared" si="2"/>
        <v>0</v>
      </c>
      <c r="AW25" s="12">
        <f t="shared" si="2"/>
        <v>0</v>
      </c>
      <c r="AX25" s="12">
        <f t="shared" si="2"/>
        <v>0</v>
      </c>
      <c r="AY25" s="12">
        <f t="shared" si="2"/>
        <v>0</v>
      </c>
      <c r="AZ25" s="12">
        <f t="shared" si="2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Global Renewables Outlook</vt:lpstr>
      <vt:lpstr>Wind</vt:lpstr>
      <vt:lpstr>SYBGSaWC</vt:lpstr>
      <vt:lpstr>BGSaWC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2018-04-24T20:58:27Z</dcterms:created>
  <dcterms:modified xsi:type="dcterms:W3CDTF">2026-02-17T21:45:32Z</dcterms:modified>
</cp:coreProperties>
</file>