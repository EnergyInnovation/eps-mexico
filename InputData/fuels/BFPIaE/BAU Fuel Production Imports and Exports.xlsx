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24226"/>
  <mc:AlternateContent xmlns:mc="http://schemas.openxmlformats.org/markup-compatibility/2006">
    <mc:Choice Requires="x15">
      <x15ac:absPath xmlns:x15ac="http://schemas.microsoft.com/office/spreadsheetml/2010/11/ac" url="C:\Users\Olivia Ashmoore\Documents\EPS_Models by Region\eps-mexico\InputData\fuels\BFPIaE\"/>
    </mc:Choice>
  </mc:AlternateContent>
  <xr:revisionPtr revIDLastSave="0" documentId="13_ncr:1_{B606C60A-9F58-4984-BBA4-6A90FD5874CD}" xr6:coauthVersionLast="47" xr6:coauthVersionMax="47" xr10:uidLastSave="{00000000-0000-0000-0000-000000000000}"/>
  <bookViews>
    <workbookView xWindow="-90" yWindow="-90" windowWidth="19380" windowHeight="10260" tabRatio="820" firstSheet="14" activeTab="18" xr2:uid="{00000000-000D-0000-FFFF-FFFF00000000}"/>
  </bookViews>
  <sheets>
    <sheet name="About" sheetId="4" r:id="rId1"/>
    <sheet name="Petroleum and Biofuel Data" sheetId="5" r:id="rId2"/>
    <sheet name="Biomass Data" sheetId="6" r:id="rId3"/>
    <sheet name="Uranium, Coal, MSW, Hydrogen" sheetId="8" r:id="rId4"/>
    <sheet name="AEO 2022 Table 1" sheetId="17" r:id="rId5"/>
    <sheet name="AEO 2023 Table 1" sheetId="20" r:id="rId6"/>
    <sheet name="AEO 2023 Table 71" sheetId="15" r:id="rId7"/>
    <sheet name="AEO 2023 Table 58 Raw" sheetId="25" r:id="rId8"/>
    <sheet name="AEO 2023 Table 58" sheetId="21" r:id="rId9"/>
    <sheet name="AEO 2023 Table 59 Raw" sheetId="26" r:id="rId10"/>
    <sheet name="AEO 2023 Table 59" sheetId="22" r:id="rId11"/>
    <sheet name="GREET1 Fuel_Specs" sheetId="16" r:id="rId12"/>
    <sheet name="BALANCE" sheetId="27" r:id="rId13"/>
    <sheet name="Start Year Data" sheetId="9" r:id="rId14"/>
    <sheet name="Time Series Scaling Factors" sheetId="18" r:id="rId15"/>
    <sheet name="growth rate gas and oil" sheetId="23" r:id="rId16"/>
    <sheet name="BFPIaE-production" sheetId="12" r:id="rId17"/>
    <sheet name="BFPIaE-imports" sheetId="19" r:id="rId18"/>
    <sheet name="BFPIaE-exports" sheetId="13" r:id="rId19"/>
  </sheets>
  <externalReferences>
    <externalReference r:id="rId20"/>
  </externalReferences>
  <definedNames>
    <definedName name="gal_per_barrel">[1]About!$A$63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22" i="13" l="1"/>
  <c r="AG22" i="13" s="1"/>
  <c r="AH22" i="13" s="1"/>
  <c r="AI22" i="13" s="1"/>
  <c r="AJ22" i="13" s="1"/>
  <c r="AK22" i="13" s="1"/>
  <c r="AL22" i="13" s="1"/>
  <c r="AM22" i="13" s="1"/>
  <c r="AN22" i="13" s="1"/>
  <c r="AO22" i="13" s="1"/>
  <c r="AP22" i="13" s="1"/>
  <c r="AQ22" i="13" s="1"/>
  <c r="AR22" i="13" s="1"/>
  <c r="AS22" i="13" s="1"/>
  <c r="AT22" i="13" s="1"/>
  <c r="AU22" i="13" s="1"/>
  <c r="AV22" i="13" s="1"/>
  <c r="AW22" i="13" s="1"/>
  <c r="AX22" i="13" s="1"/>
  <c r="AY22" i="13" s="1"/>
  <c r="AF21" i="13"/>
  <c r="AG21" i="13" s="1"/>
  <c r="AH21" i="13" s="1"/>
  <c r="AI21" i="13" s="1"/>
  <c r="AJ21" i="13" s="1"/>
  <c r="AK21" i="13" s="1"/>
  <c r="AL21" i="13" s="1"/>
  <c r="AM21" i="13" s="1"/>
  <c r="AN21" i="13" s="1"/>
  <c r="AO21" i="13" s="1"/>
  <c r="AP21" i="13" s="1"/>
  <c r="AQ21" i="13" s="1"/>
  <c r="AR21" i="13" s="1"/>
  <c r="AS21" i="13" s="1"/>
  <c r="AT21" i="13" s="1"/>
  <c r="AU21" i="13" s="1"/>
  <c r="AV21" i="13" s="1"/>
  <c r="AW21" i="13" s="1"/>
  <c r="AX21" i="13" s="1"/>
  <c r="AY21" i="13" s="1"/>
  <c r="AF20" i="13"/>
  <c r="AG20" i="13" s="1"/>
  <c r="AH20" i="13" s="1"/>
  <c r="AI20" i="13" s="1"/>
  <c r="AJ20" i="13" s="1"/>
  <c r="AK20" i="13" s="1"/>
  <c r="AL20" i="13" s="1"/>
  <c r="AM20" i="13" s="1"/>
  <c r="AN20" i="13" s="1"/>
  <c r="AO20" i="13" s="1"/>
  <c r="AP20" i="13" s="1"/>
  <c r="AQ20" i="13" s="1"/>
  <c r="AR20" i="13" s="1"/>
  <c r="AS20" i="13" s="1"/>
  <c r="AT20" i="13" s="1"/>
  <c r="AU20" i="13" s="1"/>
  <c r="AV20" i="13" s="1"/>
  <c r="AW20" i="13" s="1"/>
  <c r="AX20" i="13" s="1"/>
  <c r="AY20" i="13" s="1"/>
  <c r="AF19" i="13"/>
  <c r="AG19" i="13" s="1"/>
  <c r="AH19" i="13" s="1"/>
  <c r="AI19" i="13" s="1"/>
  <c r="AJ19" i="13" s="1"/>
  <c r="AK19" i="13" s="1"/>
  <c r="AL19" i="13" s="1"/>
  <c r="AM19" i="13" s="1"/>
  <c r="AN19" i="13" s="1"/>
  <c r="AO19" i="13" s="1"/>
  <c r="AP19" i="13" s="1"/>
  <c r="AQ19" i="13" s="1"/>
  <c r="AR19" i="13" s="1"/>
  <c r="AS19" i="13" s="1"/>
  <c r="AT19" i="13" s="1"/>
  <c r="AU19" i="13" s="1"/>
  <c r="AV19" i="13" s="1"/>
  <c r="AW19" i="13" s="1"/>
  <c r="AX19" i="13" s="1"/>
  <c r="AY19" i="13" s="1"/>
  <c r="AF18" i="13"/>
  <c r="AG18" i="13" s="1"/>
  <c r="AH18" i="13" s="1"/>
  <c r="AI18" i="13" s="1"/>
  <c r="AJ18" i="13" s="1"/>
  <c r="AK18" i="13" s="1"/>
  <c r="AL18" i="13" s="1"/>
  <c r="AM18" i="13" s="1"/>
  <c r="AN18" i="13" s="1"/>
  <c r="AO18" i="13" s="1"/>
  <c r="AP18" i="13" s="1"/>
  <c r="AQ18" i="13" s="1"/>
  <c r="AR18" i="13" s="1"/>
  <c r="AS18" i="13" s="1"/>
  <c r="AT18" i="13" s="1"/>
  <c r="AU18" i="13" s="1"/>
  <c r="AV18" i="13" s="1"/>
  <c r="AW18" i="13" s="1"/>
  <c r="AX18" i="13" s="1"/>
  <c r="AY18" i="13" s="1"/>
  <c r="AF17" i="13"/>
  <c r="AG17" i="13" s="1"/>
  <c r="AH17" i="13" s="1"/>
  <c r="AI17" i="13" s="1"/>
  <c r="AJ17" i="13" s="1"/>
  <c r="AK17" i="13" s="1"/>
  <c r="AL17" i="13" s="1"/>
  <c r="AM17" i="13" s="1"/>
  <c r="AN17" i="13" s="1"/>
  <c r="AO17" i="13" s="1"/>
  <c r="AP17" i="13" s="1"/>
  <c r="AQ17" i="13" s="1"/>
  <c r="AR17" i="13" s="1"/>
  <c r="AS17" i="13" s="1"/>
  <c r="AT17" i="13" s="1"/>
  <c r="AU17" i="13" s="1"/>
  <c r="AV17" i="13" s="1"/>
  <c r="AW17" i="13" s="1"/>
  <c r="AX17" i="13" s="1"/>
  <c r="AY17" i="13" s="1"/>
  <c r="AF16" i="13"/>
  <c r="AG16" i="13" s="1"/>
  <c r="AH16" i="13" s="1"/>
  <c r="AI16" i="13" s="1"/>
  <c r="AJ16" i="13" s="1"/>
  <c r="AK16" i="13" s="1"/>
  <c r="AL16" i="13" s="1"/>
  <c r="AM16" i="13" s="1"/>
  <c r="AN16" i="13" s="1"/>
  <c r="AO16" i="13" s="1"/>
  <c r="AP16" i="13" s="1"/>
  <c r="AQ16" i="13" s="1"/>
  <c r="AR16" i="13" s="1"/>
  <c r="AS16" i="13" s="1"/>
  <c r="AT16" i="13" s="1"/>
  <c r="AU16" i="13" s="1"/>
  <c r="AV16" i="13" s="1"/>
  <c r="AW16" i="13" s="1"/>
  <c r="AX16" i="13" s="1"/>
  <c r="AY16" i="13" s="1"/>
  <c r="AF15" i="13"/>
  <c r="AG15" i="13" s="1"/>
  <c r="AH15" i="13" s="1"/>
  <c r="AI15" i="13" s="1"/>
  <c r="AJ15" i="13" s="1"/>
  <c r="AK15" i="13" s="1"/>
  <c r="AL15" i="13" s="1"/>
  <c r="AM15" i="13" s="1"/>
  <c r="AN15" i="13" s="1"/>
  <c r="AO15" i="13" s="1"/>
  <c r="AP15" i="13" s="1"/>
  <c r="AQ15" i="13" s="1"/>
  <c r="AR15" i="13" s="1"/>
  <c r="AS15" i="13" s="1"/>
  <c r="AT15" i="13" s="1"/>
  <c r="AU15" i="13" s="1"/>
  <c r="AV15" i="13" s="1"/>
  <c r="AW15" i="13" s="1"/>
  <c r="AX15" i="13" s="1"/>
  <c r="AY15" i="13" s="1"/>
  <c r="AF14" i="13"/>
  <c r="AG14" i="13" s="1"/>
  <c r="AH14" i="13" s="1"/>
  <c r="AI14" i="13" s="1"/>
  <c r="AJ14" i="13" s="1"/>
  <c r="AK14" i="13" s="1"/>
  <c r="AL14" i="13" s="1"/>
  <c r="AM14" i="13" s="1"/>
  <c r="AN14" i="13" s="1"/>
  <c r="AO14" i="13" s="1"/>
  <c r="AP14" i="13" s="1"/>
  <c r="AQ14" i="13" s="1"/>
  <c r="AR14" i="13" s="1"/>
  <c r="AS14" i="13" s="1"/>
  <c r="AT14" i="13" s="1"/>
  <c r="AU14" i="13" s="1"/>
  <c r="AV14" i="13" s="1"/>
  <c r="AW14" i="13" s="1"/>
  <c r="AX14" i="13" s="1"/>
  <c r="AY14" i="13" s="1"/>
  <c r="AF13" i="13"/>
  <c r="AG13" i="13" s="1"/>
  <c r="AH13" i="13" s="1"/>
  <c r="AI13" i="13" s="1"/>
  <c r="AJ13" i="13" s="1"/>
  <c r="AK13" i="13" s="1"/>
  <c r="AL13" i="13" s="1"/>
  <c r="AM13" i="13" s="1"/>
  <c r="AN13" i="13" s="1"/>
  <c r="AO13" i="13" s="1"/>
  <c r="AP13" i="13" s="1"/>
  <c r="AQ13" i="13" s="1"/>
  <c r="AR13" i="13" s="1"/>
  <c r="AS13" i="13" s="1"/>
  <c r="AT13" i="13" s="1"/>
  <c r="AU13" i="13" s="1"/>
  <c r="AV13" i="13" s="1"/>
  <c r="AW13" i="13" s="1"/>
  <c r="AX13" i="13" s="1"/>
  <c r="AY13" i="13" s="1"/>
  <c r="AF12" i="13"/>
  <c r="AG12" i="13" s="1"/>
  <c r="AH12" i="13" s="1"/>
  <c r="AI12" i="13" s="1"/>
  <c r="AJ12" i="13" s="1"/>
  <c r="AK12" i="13" s="1"/>
  <c r="AL12" i="13" s="1"/>
  <c r="AM12" i="13" s="1"/>
  <c r="AN12" i="13" s="1"/>
  <c r="AO12" i="13" s="1"/>
  <c r="AP12" i="13" s="1"/>
  <c r="AQ12" i="13" s="1"/>
  <c r="AR12" i="13" s="1"/>
  <c r="AS12" i="13" s="1"/>
  <c r="AT12" i="13" s="1"/>
  <c r="AU12" i="13" s="1"/>
  <c r="AV12" i="13" s="1"/>
  <c r="AW12" i="13" s="1"/>
  <c r="AX12" i="13" s="1"/>
  <c r="AY12" i="13" s="1"/>
  <c r="AF11" i="13"/>
  <c r="AG11" i="13" s="1"/>
  <c r="AH11" i="13" s="1"/>
  <c r="AI11" i="13" s="1"/>
  <c r="AJ11" i="13" s="1"/>
  <c r="AK11" i="13" s="1"/>
  <c r="AL11" i="13" s="1"/>
  <c r="AM11" i="13" s="1"/>
  <c r="AN11" i="13" s="1"/>
  <c r="AO11" i="13" s="1"/>
  <c r="AP11" i="13" s="1"/>
  <c r="AQ11" i="13" s="1"/>
  <c r="AR11" i="13" s="1"/>
  <c r="AS11" i="13" s="1"/>
  <c r="AT11" i="13" s="1"/>
  <c r="AU11" i="13" s="1"/>
  <c r="AV11" i="13" s="1"/>
  <c r="AW11" i="13" s="1"/>
  <c r="AX11" i="13" s="1"/>
  <c r="AY11" i="13" s="1"/>
  <c r="AF10" i="13"/>
  <c r="AG10" i="13" s="1"/>
  <c r="AH10" i="13" s="1"/>
  <c r="AI10" i="13" s="1"/>
  <c r="AJ10" i="13" s="1"/>
  <c r="AK10" i="13" s="1"/>
  <c r="AL10" i="13" s="1"/>
  <c r="AM10" i="13" s="1"/>
  <c r="AN10" i="13" s="1"/>
  <c r="AO10" i="13" s="1"/>
  <c r="AP10" i="13" s="1"/>
  <c r="AQ10" i="13" s="1"/>
  <c r="AR10" i="13" s="1"/>
  <c r="AS10" i="13" s="1"/>
  <c r="AT10" i="13" s="1"/>
  <c r="AU10" i="13" s="1"/>
  <c r="AV10" i="13" s="1"/>
  <c r="AW10" i="13" s="1"/>
  <c r="AX10" i="13" s="1"/>
  <c r="AY10" i="13" s="1"/>
  <c r="AF9" i="13"/>
  <c r="AG9" i="13" s="1"/>
  <c r="AH9" i="13" s="1"/>
  <c r="AI9" i="13" s="1"/>
  <c r="AJ9" i="13" s="1"/>
  <c r="AK9" i="13" s="1"/>
  <c r="AL9" i="13" s="1"/>
  <c r="AM9" i="13" s="1"/>
  <c r="AN9" i="13" s="1"/>
  <c r="AO9" i="13" s="1"/>
  <c r="AP9" i="13" s="1"/>
  <c r="AQ9" i="13" s="1"/>
  <c r="AR9" i="13" s="1"/>
  <c r="AS9" i="13" s="1"/>
  <c r="AT9" i="13" s="1"/>
  <c r="AU9" i="13" s="1"/>
  <c r="AV9" i="13" s="1"/>
  <c r="AW9" i="13" s="1"/>
  <c r="AX9" i="13" s="1"/>
  <c r="AY9" i="13" s="1"/>
  <c r="AF8" i="13"/>
  <c r="AG8" i="13" s="1"/>
  <c r="AH8" i="13" s="1"/>
  <c r="AI8" i="13" s="1"/>
  <c r="AJ8" i="13" s="1"/>
  <c r="AK8" i="13" s="1"/>
  <c r="AL8" i="13" s="1"/>
  <c r="AM8" i="13" s="1"/>
  <c r="AN8" i="13" s="1"/>
  <c r="AO8" i="13" s="1"/>
  <c r="AP8" i="13" s="1"/>
  <c r="AQ8" i="13" s="1"/>
  <c r="AR8" i="13" s="1"/>
  <c r="AS8" i="13" s="1"/>
  <c r="AT8" i="13" s="1"/>
  <c r="AU8" i="13" s="1"/>
  <c r="AV8" i="13" s="1"/>
  <c r="AW8" i="13" s="1"/>
  <c r="AX8" i="13" s="1"/>
  <c r="AY8" i="13" s="1"/>
  <c r="AF7" i="13"/>
  <c r="AG7" i="13" s="1"/>
  <c r="AH7" i="13" s="1"/>
  <c r="AI7" i="13" s="1"/>
  <c r="AJ7" i="13" s="1"/>
  <c r="AK7" i="13" s="1"/>
  <c r="AL7" i="13" s="1"/>
  <c r="AM7" i="13" s="1"/>
  <c r="AN7" i="13" s="1"/>
  <c r="AO7" i="13" s="1"/>
  <c r="AP7" i="13" s="1"/>
  <c r="AQ7" i="13" s="1"/>
  <c r="AR7" i="13" s="1"/>
  <c r="AS7" i="13" s="1"/>
  <c r="AT7" i="13" s="1"/>
  <c r="AU7" i="13" s="1"/>
  <c r="AV7" i="13" s="1"/>
  <c r="AW7" i="13" s="1"/>
  <c r="AX7" i="13" s="1"/>
  <c r="AY7" i="13" s="1"/>
  <c r="AF6" i="13"/>
  <c r="AG6" i="13" s="1"/>
  <c r="AH6" i="13" s="1"/>
  <c r="AI6" i="13" s="1"/>
  <c r="AJ6" i="13" s="1"/>
  <c r="AK6" i="13" s="1"/>
  <c r="AL6" i="13" s="1"/>
  <c r="AM6" i="13" s="1"/>
  <c r="AN6" i="13" s="1"/>
  <c r="AO6" i="13" s="1"/>
  <c r="AP6" i="13" s="1"/>
  <c r="AQ6" i="13" s="1"/>
  <c r="AR6" i="13" s="1"/>
  <c r="AS6" i="13" s="1"/>
  <c r="AT6" i="13" s="1"/>
  <c r="AU6" i="13" s="1"/>
  <c r="AV6" i="13" s="1"/>
  <c r="AW6" i="13" s="1"/>
  <c r="AX6" i="13" s="1"/>
  <c r="AY6" i="13" s="1"/>
  <c r="AF5" i="13"/>
  <c r="AG5" i="13" s="1"/>
  <c r="AH5" i="13" s="1"/>
  <c r="AI5" i="13" s="1"/>
  <c r="AJ5" i="13" s="1"/>
  <c r="AK5" i="13" s="1"/>
  <c r="AL5" i="13" s="1"/>
  <c r="AM5" i="13" s="1"/>
  <c r="AN5" i="13" s="1"/>
  <c r="AO5" i="13" s="1"/>
  <c r="AP5" i="13" s="1"/>
  <c r="AQ5" i="13" s="1"/>
  <c r="AR5" i="13" s="1"/>
  <c r="AS5" i="13" s="1"/>
  <c r="AT5" i="13" s="1"/>
  <c r="AU5" i="13" s="1"/>
  <c r="AV5" i="13" s="1"/>
  <c r="AW5" i="13" s="1"/>
  <c r="AX5" i="13" s="1"/>
  <c r="AY5" i="13" s="1"/>
  <c r="AF4" i="13"/>
  <c r="AG4" i="13" s="1"/>
  <c r="AH4" i="13" s="1"/>
  <c r="AI4" i="13" s="1"/>
  <c r="AJ4" i="13" s="1"/>
  <c r="AK4" i="13" s="1"/>
  <c r="AL4" i="13" s="1"/>
  <c r="AM4" i="13" s="1"/>
  <c r="AN4" i="13" s="1"/>
  <c r="AO4" i="13" s="1"/>
  <c r="AP4" i="13" s="1"/>
  <c r="AQ4" i="13" s="1"/>
  <c r="AR4" i="13" s="1"/>
  <c r="AS4" i="13" s="1"/>
  <c r="AT4" i="13" s="1"/>
  <c r="AU4" i="13" s="1"/>
  <c r="AV4" i="13" s="1"/>
  <c r="AW4" i="13" s="1"/>
  <c r="AX4" i="13" s="1"/>
  <c r="AY4" i="13" s="1"/>
  <c r="AF3" i="13"/>
  <c r="AG3" i="13" s="1"/>
  <c r="AH3" i="13" s="1"/>
  <c r="AI3" i="13" s="1"/>
  <c r="AJ3" i="13" s="1"/>
  <c r="AK3" i="13" s="1"/>
  <c r="AL3" i="13" s="1"/>
  <c r="AM3" i="13" s="1"/>
  <c r="AN3" i="13" s="1"/>
  <c r="AO3" i="13" s="1"/>
  <c r="AP3" i="13" s="1"/>
  <c r="AQ3" i="13" s="1"/>
  <c r="AR3" i="13" s="1"/>
  <c r="AS3" i="13" s="1"/>
  <c r="AT3" i="13" s="1"/>
  <c r="AU3" i="13" s="1"/>
  <c r="AV3" i="13" s="1"/>
  <c r="AW3" i="13" s="1"/>
  <c r="AX3" i="13" s="1"/>
  <c r="AY3" i="13" s="1"/>
  <c r="AF2" i="13"/>
  <c r="AG2" i="13" s="1"/>
  <c r="AH2" i="13" s="1"/>
  <c r="AI2" i="13" s="1"/>
  <c r="AJ2" i="13" s="1"/>
  <c r="AK2" i="13" s="1"/>
  <c r="AL2" i="13" s="1"/>
  <c r="AM2" i="13" s="1"/>
  <c r="AN2" i="13" s="1"/>
  <c r="AO2" i="13" s="1"/>
  <c r="AP2" i="13" s="1"/>
  <c r="AQ2" i="13" s="1"/>
  <c r="AR2" i="13" s="1"/>
  <c r="AS2" i="13" s="1"/>
  <c r="AT2" i="13" s="1"/>
  <c r="AU2" i="13" s="1"/>
  <c r="AV2" i="13" s="1"/>
  <c r="AW2" i="13" s="1"/>
  <c r="AX2" i="13" s="1"/>
  <c r="AY2" i="13" s="1"/>
  <c r="AF22" i="19"/>
  <c r="AG22" i="19" s="1"/>
  <c r="AH22" i="19" s="1"/>
  <c r="AI22" i="19" s="1"/>
  <c r="AJ22" i="19" s="1"/>
  <c r="AK22" i="19" s="1"/>
  <c r="AL22" i="19" s="1"/>
  <c r="AM22" i="19" s="1"/>
  <c r="AN22" i="19" s="1"/>
  <c r="AO22" i="19" s="1"/>
  <c r="AP22" i="19" s="1"/>
  <c r="AQ22" i="19" s="1"/>
  <c r="AR22" i="19" s="1"/>
  <c r="AS22" i="19" s="1"/>
  <c r="AT22" i="19" s="1"/>
  <c r="AU22" i="19" s="1"/>
  <c r="AV22" i="19" s="1"/>
  <c r="AW22" i="19" s="1"/>
  <c r="AX22" i="19" s="1"/>
  <c r="AY22" i="19" s="1"/>
  <c r="AG21" i="19"/>
  <c r="AH21" i="19" s="1"/>
  <c r="AI21" i="19" s="1"/>
  <c r="AJ21" i="19" s="1"/>
  <c r="AK21" i="19" s="1"/>
  <c r="AL21" i="19" s="1"/>
  <c r="AM21" i="19" s="1"/>
  <c r="AN21" i="19" s="1"/>
  <c r="AO21" i="19" s="1"/>
  <c r="AP21" i="19" s="1"/>
  <c r="AQ21" i="19" s="1"/>
  <c r="AR21" i="19" s="1"/>
  <c r="AS21" i="19" s="1"/>
  <c r="AT21" i="19" s="1"/>
  <c r="AU21" i="19" s="1"/>
  <c r="AV21" i="19" s="1"/>
  <c r="AW21" i="19" s="1"/>
  <c r="AX21" i="19" s="1"/>
  <c r="AY21" i="19" s="1"/>
  <c r="AF21" i="19"/>
  <c r="AF20" i="19"/>
  <c r="AG20" i="19" s="1"/>
  <c r="AH20" i="19" s="1"/>
  <c r="AI20" i="19" s="1"/>
  <c r="AJ20" i="19" s="1"/>
  <c r="AK20" i="19" s="1"/>
  <c r="AL20" i="19" s="1"/>
  <c r="AM20" i="19" s="1"/>
  <c r="AN20" i="19" s="1"/>
  <c r="AO20" i="19" s="1"/>
  <c r="AP20" i="19" s="1"/>
  <c r="AQ20" i="19" s="1"/>
  <c r="AR20" i="19" s="1"/>
  <c r="AS20" i="19" s="1"/>
  <c r="AT20" i="19" s="1"/>
  <c r="AU20" i="19" s="1"/>
  <c r="AV20" i="19" s="1"/>
  <c r="AW20" i="19" s="1"/>
  <c r="AX20" i="19" s="1"/>
  <c r="AY20" i="19" s="1"/>
  <c r="AG19" i="19"/>
  <c r="AH19" i="19" s="1"/>
  <c r="AI19" i="19" s="1"/>
  <c r="AJ19" i="19" s="1"/>
  <c r="AK19" i="19" s="1"/>
  <c r="AL19" i="19" s="1"/>
  <c r="AM19" i="19" s="1"/>
  <c r="AN19" i="19" s="1"/>
  <c r="AO19" i="19" s="1"/>
  <c r="AP19" i="19" s="1"/>
  <c r="AQ19" i="19" s="1"/>
  <c r="AR19" i="19" s="1"/>
  <c r="AS19" i="19" s="1"/>
  <c r="AT19" i="19" s="1"/>
  <c r="AU19" i="19" s="1"/>
  <c r="AV19" i="19" s="1"/>
  <c r="AW19" i="19" s="1"/>
  <c r="AX19" i="19" s="1"/>
  <c r="AY19" i="19" s="1"/>
  <c r="AF19" i="19"/>
  <c r="AF18" i="19"/>
  <c r="AG18" i="19" s="1"/>
  <c r="AH18" i="19" s="1"/>
  <c r="AI18" i="19" s="1"/>
  <c r="AJ18" i="19" s="1"/>
  <c r="AK18" i="19" s="1"/>
  <c r="AL18" i="19" s="1"/>
  <c r="AM18" i="19" s="1"/>
  <c r="AN18" i="19" s="1"/>
  <c r="AO18" i="19" s="1"/>
  <c r="AP18" i="19" s="1"/>
  <c r="AQ18" i="19" s="1"/>
  <c r="AR18" i="19" s="1"/>
  <c r="AS18" i="19" s="1"/>
  <c r="AT18" i="19" s="1"/>
  <c r="AU18" i="19" s="1"/>
  <c r="AV18" i="19" s="1"/>
  <c r="AW18" i="19" s="1"/>
  <c r="AX18" i="19" s="1"/>
  <c r="AY18" i="19" s="1"/>
  <c r="AG17" i="19"/>
  <c r="AH17" i="19" s="1"/>
  <c r="AI17" i="19" s="1"/>
  <c r="AJ17" i="19" s="1"/>
  <c r="AK17" i="19" s="1"/>
  <c r="AL17" i="19" s="1"/>
  <c r="AM17" i="19" s="1"/>
  <c r="AN17" i="19" s="1"/>
  <c r="AO17" i="19" s="1"/>
  <c r="AP17" i="19" s="1"/>
  <c r="AQ17" i="19" s="1"/>
  <c r="AR17" i="19" s="1"/>
  <c r="AS17" i="19" s="1"/>
  <c r="AT17" i="19" s="1"/>
  <c r="AU17" i="19" s="1"/>
  <c r="AV17" i="19" s="1"/>
  <c r="AW17" i="19" s="1"/>
  <c r="AX17" i="19" s="1"/>
  <c r="AY17" i="19" s="1"/>
  <c r="AF17" i="19"/>
  <c r="AF16" i="19"/>
  <c r="AG16" i="19" s="1"/>
  <c r="AH16" i="19" s="1"/>
  <c r="AI16" i="19" s="1"/>
  <c r="AJ16" i="19" s="1"/>
  <c r="AK16" i="19" s="1"/>
  <c r="AL16" i="19" s="1"/>
  <c r="AM16" i="19" s="1"/>
  <c r="AN16" i="19" s="1"/>
  <c r="AO16" i="19" s="1"/>
  <c r="AP16" i="19" s="1"/>
  <c r="AQ16" i="19" s="1"/>
  <c r="AR16" i="19" s="1"/>
  <c r="AS16" i="19" s="1"/>
  <c r="AT16" i="19" s="1"/>
  <c r="AU16" i="19" s="1"/>
  <c r="AV16" i="19" s="1"/>
  <c r="AW16" i="19" s="1"/>
  <c r="AX16" i="19" s="1"/>
  <c r="AY16" i="19" s="1"/>
  <c r="AG15" i="19"/>
  <c r="AH15" i="19" s="1"/>
  <c r="AI15" i="19" s="1"/>
  <c r="AJ15" i="19" s="1"/>
  <c r="AK15" i="19" s="1"/>
  <c r="AL15" i="19" s="1"/>
  <c r="AM15" i="19" s="1"/>
  <c r="AN15" i="19" s="1"/>
  <c r="AO15" i="19" s="1"/>
  <c r="AP15" i="19" s="1"/>
  <c r="AQ15" i="19" s="1"/>
  <c r="AR15" i="19" s="1"/>
  <c r="AS15" i="19" s="1"/>
  <c r="AT15" i="19" s="1"/>
  <c r="AU15" i="19" s="1"/>
  <c r="AV15" i="19" s="1"/>
  <c r="AW15" i="19" s="1"/>
  <c r="AX15" i="19" s="1"/>
  <c r="AY15" i="19" s="1"/>
  <c r="AF15" i="19"/>
  <c r="AF14" i="19"/>
  <c r="AG14" i="19" s="1"/>
  <c r="AH14" i="19" s="1"/>
  <c r="AI14" i="19" s="1"/>
  <c r="AJ14" i="19" s="1"/>
  <c r="AK14" i="19" s="1"/>
  <c r="AL14" i="19" s="1"/>
  <c r="AM14" i="19" s="1"/>
  <c r="AN14" i="19" s="1"/>
  <c r="AO14" i="19" s="1"/>
  <c r="AP14" i="19" s="1"/>
  <c r="AQ14" i="19" s="1"/>
  <c r="AR14" i="19" s="1"/>
  <c r="AS14" i="19" s="1"/>
  <c r="AT14" i="19" s="1"/>
  <c r="AU14" i="19" s="1"/>
  <c r="AV14" i="19" s="1"/>
  <c r="AW14" i="19" s="1"/>
  <c r="AX14" i="19" s="1"/>
  <c r="AY14" i="19" s="1"/>
  <c r="AG13" i="19"/>
  <c r="AH13" i="19" s="1"/>
  <c r="AI13" i="19" s="1"/>
  <c r="AJ13" i="19" s="1"/>
  <c r="AK13" i="19" s="1"/>
  <c r="AL13" i="19" s="1"/>
  <c r="AM13" i="19" s="1"/>
  <c r="AN13" i="19" s="1"/>
  <c r="AO13" i="19" s="1"/>
  <c r="AP13" i="19" s="1"/>
  <c r="AQ13" i="19" s="1"/>
  <c r="AR13" i="19" s="1"/>
  <c r="AS13" i="19" s="1"/>
  <c r="AT13" i="19" s="1"/>
  <c r="AU13" i="19" s="1"/>
  <c r="AV13" i="19" s="1"/>
  <c r="AW13" i="19" s="1"/>
  <c r="AX13" i="19" s="1"/>
  <c r="AY13" i="19" s="1"/>
  <c r="AF13" i="19"/>
  <c r="AF12" i="19"/>
  <c r="AG12" i="19" s="1"/>
  <c r="AH12" i="19" s="1"/>
  <c r="AI12" i="19" s="1"/>
  <c r="AJ12" i="19" s="1"/>
  <c r="AK12" i="19" s="1"/>
  <c r="AL12" i="19" s="1"/>
  <c r="AM12" i="19" s="1"/>
  <c r="AN12" i="19" s="1"/>
  <c r="AO12" i="19" s="1"/>
  <c r="AP12" i="19" s="1"/>
  <c r="AQ12" i="19" s="1"/>
  <c r="AR12" i="19" s="1"/>
  <c r="AS12" i="19" s="1"/>
  <c r="AT12" i="19" s="1"/>
  <c r="AU12" i="19" s="1"/>
  <c r="AV12" i="19" s="1"/>
  <c r="AW12" i="19" s="1"/>
  <c r="AX12" i="19" s="1"/>
  <c r="AY12" i="19" s="1"/>
  <c r="AG11" i="19"/>
  <c r="AH11" i="19" s="1"/>
  <c r="AI11" i="19" s="1"/>
  <c r="AJ11" i="19" s="1"/>
  <c r="AK11" i="19" s="1"/>
  <c r="AL11" i="19" s="1"/>
  <c r="AM11" i="19" s="1"/>
  <c r="AN11" i="19" s="1"/>
  <c r="AO11" i="19" s="1"/>
  <c r="AP11" i="19" s="1"/>
  <c r="AQ11" i="19" s="1"/>
  <c r="AR11" i="19" s="1"/>
  <c r="AS11" i="19" s="1"/>
  <c r="AT11" i="19" s="1"/>
  <c r="AU11" i="19" s="1"/>
  <c r="AV11" i="19" s="1"/>
  <c r="AW11" i="19" s="1"/>
  <c r="AX11" i="19" s="1"/>
  <c r="AY11" i="19" s="1"/>
  <c r="AF11" i="19"/>
  <c r="AF10" i="19"/>
  <c r="AG10" i="19" s="1"/>
  <c r="AH10" i="19" s="1"/>
  <c r="AI10" i="19" s="1"/>
  <c r="AJ10" i="19" s="1"/>
  <c r="AK10" i="19" s="1"/>
  <c r="AL10" i="19" s="1"/>
  <c r="AM10" i="19" s="1"/>
  <c r="AN10" i="19" s="1"/>
  <c r="AO10" i="19" s="1"/>
  <c r="AP10" i="19" s="1"/>
  <c r="AQ10" i="19" s="1"/>
  <c r="AR10" i="19" s="1"/>
  <c r="AS10" i="19" s="1"/>
  <c r="AT10" i="19" s="1"/>
  <c r="AU10" i="19" s="1"/>
  <c r="AV10" i="19" s="1"/>
  <c r="AW10" i="19" s="1"/>
  <c r="AX10" i="19" s="1"/>
  <c r="AY10" i="19" s="1"/>
  <c r="AG9" i="19"/>
  <c r="AH9" i="19" s="1"/>
  <c r="AI9" i="19" s="1"/>
  <c r="AJ9" i="19" s="1"/>
  <c r="AK9" i="19" s="1"/>
  <c r="AL9" i="19" s="1"/>
  <c r="AM9" i="19" s="1"/>
  <c r="AN9" i="19" s="1"/>
  <c r="AO9" i="19" s="1"/>
  <c r="AP9" i="19" s="1"/>
  <c r="AQ9" i="19" s="1"/>
  <c r="AR9" i="19" s="1"/>
  <c r="AS9" i="19" s="1"/>
  <c r="AT9" i="19" s="1"/>
  <c r="AU9" i="19" s="1"/>
  <c r="AV9" i="19" s="1"/>
  <c r="AW9" i="19" s="1"/>
  <c r="AX9" i="19" s="1"/>
  <c r="AY9" i="19" s="1"/>
  <c r="AF9" i="19"/>
  <c r="AF8" i="19"/>
  <c r="AG8" i="19" s="1"/>
  <c r="AH8" i="19" s="1"/>
  <c r="AI8" i="19" s="1"/>
  <c r="AJ8" i="19" s="1"/>
  <c r="AK8" i="19" s="1"/>
  <c r="AL8" i="19" s="1"/>
  <c r="AM8" i="19" s="1"/>
  <c r="AN8" i="19" s="1"/>
  <c r="AO8" i="19" s="1"/>
  <c r="AP8" i="19" s="1"/>
  <c r="AQ8" i="19" s="1"/>
  <c r="AR8" i="19" s="1"/>
  <c r="AS8" i="19" s="1"/>
  <c r="AT8" i="19" s="1"/>
  <c r="AU8" i="19" s="1"/>
  <c r="AV8" i="19" s="1"/>
  <c r="AW8" i="19" s="1"/>
  <c r="AX8" i="19" s="1"/>
  <c r="AY8" i="19" s="1"/>
  <c r="AG7" i="19"/>
  <c r="AH7" i="19" s="1"/>
  <c r="AI7" i="19" s="1"/>
  <c r="AJ7" i="19" s="1"/>
  <c r="AK7" i="19" s="1"/>
  <c r="AL7" i="19" s="1"/>
  <c r="AM7" i="19" s="1"/>
  <c r="AN7" i="19" s="1"/>
  <c r="AO7" i="19" s="1"/>
  <c r="AP7" i="19" s="1"/>
  <c r="AQ7" i="19" s="1"/>
  <c r="AR7" i="19" s="1"/>
  <c r="AS7" i="19" s="1"/>
  <c r="AT7" i="19" s="1"/>
  <c r="AU7" i="19" s="1"/>
  <c r="AV7" i="19" s="1"/>
  <c r="AW7" i="19" s="1"/>
  <c r="AX7" i="19" s="1"/>
  <c r="AY7" i="19" s="1"/>
  <c r="AF7" i="19"/>
  <c r="AF6" i="19"/>
  <c r="AG6" i="19" s="1"/>
  <c r="AH6" i="19" s="1"/>
  <c r="AI6" i="19" s="1"/>
  <c r="AJ6" i="19" s="1"/>
  <c r="AK6" i="19" s="1"/>
  <c r="AL6" i="19" s="1"/>
  <c r="AM6" i="19" s="1"/>
  <c r="AN6" i="19" s="1"/>
  <c r="AO6" i="19" s="1"/>
  <c r="AP6" i="19" s="1"/>
  <c r="AQ6" i="19" s="1"/>
  <c r="AR6" i="19" s="1"/>
  <c r="AS6" i="19" s="1"/>
  <c r="AT6" i="19" s="1"/>
  <c r="AU6" i="19" s="1"/>
  <c r="AV6" i="19" s="1"/>
  <c r="AW6" i="19" s="1"/>
  <c r="AX6" i="19" s="1"/>
  <c r="AY6" i="19" s="1"/>
  <c r="AG5" i="19"/>
  <c r="AH5" i="19" s="1"/>
  <c r="AI5" i="19" s="1"/>
  <c r="AJ5" i="19" s="1"/>
  <c r="AK5" i="19" s="1"/>
  <c r="AL5" i="19" s="1"/>
  <c r="AM5" i="19" s="1"/>
  <c r="AN5" i="19" s="1"/>
  <c r="AO5" i="19" s="1"/>
  <c r="AP5" i="19" s="1"/>
  <c r="AQ5" i="19" s="1"/>
  <c r="AR5" i="19" s="1"/>
  <c r="AS5" i="19" s="1"/>
  <c r="AT5" i="19" s="1"/>
  <c r="AU5" i="19" s="1"/>
  <c r="AV5" i="19" s="1"/>
  <c r="AW5" i="19" s="1"/>
  <c r="AX5" i="19" s="1"/>
  <c r="AY5" i="19" s="1"/>
  <c r="AF5" i="19"/>
  <c r="AF4" i="19"/>
  <c r="AG4" i="19" s="1"/>
  <c r="AH4" i="19" s="1"/>
  <c r="AI4" i="19" s="1"/>
  <c r="AJ4" i="19" s="1"/>
  <c r="AK4" i="19" s="1"/>
  <c r="AL4" i="19" s="1"/>
  <c r="AM4" i="19" s="1"/>
  <c r="AN4" i="19" s="1"/>
  <c r="AO4" i="19" s="1"/>
  <c r="AP4" i="19" s="1"/>
  <c r="AQ4" i="19" s="1"/>
  <c r="AR4" i="19" s="1"/>
  <c r="AS4" i="19" s="1"/>
  <c r="AT4" i="19" s="1"/>
  <c r="AU4" i="19" s="1"/>
  <c r="AV4" i="19" s="1"/>
  <c r="AW4" i="19" s="1"/>
  <c r="AX4" i="19" s="1"/>
  <c r="AY4" i="19" s="1"/>
  <c r="AG3" i="19"/>
  <c r="AH3" i="19" s="1"/>
  <c r="AI3" i="19" s="1"/>
  <c r="AJ3" i="19" s="1"/>
  <c r="AK3" i="19" s="1"/>
  <c r="AL3" i="19" s="1"/>
  <c r="AM3" i="19" s="1"/>
  <c r="AN3" i="19" s="1"/>
  <c r="AO3" i="19" s="1"/>
  <c r="AP3" i="19" s="1"/>
  <c r="AQ3" i="19" s="1"/>
  <c r="AR3" i="19" s="1"/>
  <c r="AS3" i="19" s="1"/>
  <c r="AT3" i="19" s="1"/>
  <c r="AU3" i="19" s="1"/>
  <c r="AV3" i="19" s="1"/>
  <c r="AW3" i="19" s="1"/>
  <c r="AX3" i="19" s="1"/>
  <c r="AY3" i="19" s="1"/>
  <c r="AF3" i="19"/>
  <c r="AF2" i="19"/>
  <c r="AG2" i="19" s="1"/>
  <c r="AH2" i="19" s="1"/>
  <c r="AI2" i="19" s="1"/>
  <c r="AJ2" i="19" s="1"/>
  <c r="AK2" i="19" s="1"/>
  <c r="AL2" i="19" s="1"/>
  <c r="AM2" i="19" s="1"/>
  <c r="AN2" i="19" s="1"/>
  <c r="AO2" i="19" s="1"/>
  <c r="AP2" i="19" s="1"/>
  <c r="AQ2" i="19" s="1"/>
  <c r="AR2" i="19" s="1"/>
  <c r="AS2" i="19" s="1"/>
  <c r="AT2" i="19" s="1"/>
  <c r="AU2" i="19" s="1"/>
  <c r="AV2" i="19" s="1"/>
  <c r="AW2" i="19" s="1"/>
  <c r="AX2" i="19" s="1"/>
  <c r="AY2" i="19" s="1"/>
  <c r="AG2" i="12"/>
  <c r="AH2" i="12" s="1"/>
  <c r="AI2" i="12" s="1"/>
  <c r="AJ2" i="12" s="1"/>
  <c r="AK2" i="12" s="1"/>
  <c r="AL2" i="12" s="1"/>
  <c r="AM2" i="12" s="1"/>
  <c r="AN2" i="12" s="1"/>
  <c r="AO2" i="12" s="1"/>
  <c r="AP2" i="12" s="1"/>
  <c r="AQ2" i="12" s="1"/>
  <c r="AR2" i="12" s="1"/>
  <c r="AS2" i="12" s="1"/>
  <c r="AT2" i="12" s="1"/>
  <c r="AU2" i="12" s="1"/>
  <c r="AV2" i="12" s="1"/>
  <c r="AW2" i="12" s="1"/>
  <c r="AX2" i="12" s="1"/>
  <c r="AY2" i="12" s="1"/>
  <c r="AG3" i="12"/>
  <c r="AH3" i="12" s="1"/>
  <c r="AI3" i="12" s="1"/>
  <c r="AJ3" i="12" s="1"/>
  <c r="AK3" i="12" s="1"/>
  <c r="AL3" i="12" s="1"/>
  <c r="AM3" i="12" s="1"/>
  <c r="AN3" i="12" s="1"/>
  <c r="AO3" i="12" s="1"/>
  <c r="AP3" i="12" s="1"/>
  <c r="AQ3" i="12" s="1"/>
  <c r="AR3" i="12" s="1"/>
  <c r="AS3" i="12" s="1"/>
  <c r="AT3" i="12" s="1"/>
  <c r="AU3" i="12" s="1"/>
  <c r="AV3" i="12" s="1"/>
  <c r="AW3" i="12" s="1"/>
  <c r="AX3" i="12" s="1"/>
  <c r="AY3" i="12" s="1"/>
  <c r="AG4" i="12"/>
  <c r="AH4" i="12" s="1"/>
  <c r="AI4" i="12" s="1"/>
  <c r="AJ4" i="12" s="1"/>
  <c r="AK4" i="12" s="1"/>
  <c r="AL4" i="12" s="1"/>
  <c r="AM4" i="12" s="1"/>
  <c r="AN4" i="12" s="1"/>
  <c r="AO4" i="12" s="1"/>
  <c r="AP4" i="12" s="1"/>
  <c r="AQ4" i="12" s="1"/>
  <c r="AR4" i="12" s="1"/>
  <c r="AS4" i="12" s="1"/>
  <c r="AT4" i="12" s="1"/>
  <c r="AU4" i="12" s="1"/>
  <c r="AV4" i="12" s="1"/>
  <c r="AW4" i="12" s="1"/>
  <c r="AX4" i="12" s="1"/>
  <c r="AY4" i="12" s="1"/>
  <c r="AG5" i="12"/>
  <c r="AH5" i="12" s="1"/>
  <c r="AI5" i="12" s="1"/>
  <c r="AJ5" i="12" s="1"/>
  <c r="AK5" i="12" s="1"/>
  <c r="AL5" i="12" s="1"/>
  <c r="AM5" i="12" s="1"/>
  <c r="AN5" i="12" s="1"/>
  <c r="AO5" i="12" s="1"/>
  <c r="AP5" i="12" s="1"/>
  <c r="AQ5" i="12" s="1"/>
  <c r="AR5" i="12" s="1"/>
  <c r="AS5" i="12" s="1"/>
  <c r="AT5" i="12" s="1"/>
  <c r="AU5" i="12" s="1"/>
  <c r="AV5" i="12" s="1"/>
  <c r="AW5" i="12" s="1"/>
  <c r="AX5" i="12" s="1"/>
  <c r="AY5" i="12" s="1"/>
  <c r="AG6" i="12"/>
  <c r="AH6" i="12" s="1"/>
  <c r="AI6" i="12" s="1"/>
  <c r="AJ6" i="12" s="1"/>
  <c r="AK6" i="12" s="1"/>
  <c r="AL6" i="12" s="1"/>
  <c r="AM6" i="12" s="1"/>
  <c r="AN6" i="12" s="1"/>
  <c r="AO6" i="12" s="1"/>
  <c r="AP6" i="12" s="1"/>
  <c r="AQ6" i="12" s="1"/>
  <c r="AR6" i="12" s="1"/>
  <c r="AS6" i="12" s="1"/>
  <c r="AT6" i="12" s="1"/>
  <c r="AU6" i="12" s="1"/>
  <c r="AV6" i="12" s="1"/>
  <c r="AW6" i="12" s="1"/>
  <c r="AX6" i="12" s="1"/>
  <c r="AY6" i="12" s="1"/>
  <c r="AG7" i="12"/>
  <c r="AH7" i="12" s="1"/>
  <c r="AI7" i="12" s="1"/>
  <c r="AJ7" i="12" s="1"/>
  <c r="AK7" i="12" s="1"/>
  <c r="AL7" i="12" s="1"/>
  <c r="AM7" i="12" s="1"/>
  <c r="AN7" i="12" s="1"/>
  <c r="AO7" i="12" s="1"/>
  <c r="AP7" i="12" s="1"/>
  <c r="AQ7" i="12" s="1"/>
  <c r="AR7" i="12" s="1"/>
  <c r="AS7" i="12" s="1"/>
  <c r="AT7" i="12" s="1"/>
  <c r="AU7" i="12" s="1"/>
  <c r="AV7" i="12" s="1"/>
  <c r="AW7" i="12" s="1"/>
  <c r="AX7" i="12" s="1"/>
  <c r="AY7" i="12" s="1"/>
  <c r="AG8" i="12"/>
  <c r="AH8" i="12" s="1"/>
  <c r="AI8" i="12" s="1"/>
  <c r="AJ8" i="12" s="1"/>
  <c r="AK8" i="12" s="1"/>
  <c r="AL8" i="12" s="1"/>
  <c r="AM8" i="12" s="1"/>
  <c r="AN8" i="12" s="1"/>
  <c r="AO8" i="12" s="1"/>
  <c r="AP8" i="12" s="1"/>
  <c r="AQ8" i="12" s="1"/>
  <c r="AR8" i="12" s="1"/>
  <c r="AS8" i="12" s="1"/>
  <c r="AT8" i="12" s="1"/>
  <c r="AU8" i="12" s="1"/>
  <c r="AV8" i="12" s="1"/>
  <c r="AW8" i="12" s="1"/>
  <c r="AX8" i="12" s="1"/>
  <c r="AY8" i="12" s="1"/>
  <c r="AG9" i="12"/>
  <c r="AH9" i="12"/>
  <c r="AI9" i="12" s="1"/>
  <c r="AJ9" i="12" s="1"/>
  <c r="AK9" i="12" s="1"/>
  <c r="AL9" i="12" s="1"/>
  <c r="AM9" i="12" s="1"/>
  <c r="AN9" i="12" s="1"/>
  <c r="AO9" i="12" s="1"/>
  <c r="AP9" i="12" s="1"/>
  <c r="AQ9" i="12" s="1"/>
  <c r="AR9" i="12" s="1"/>
  <c r="AS9" i="12" s="1"/>
  <c r="AT9" i="12" s="1"/>
  <c r="AU9" i="12" s="1"/>
  <c r="AV9" i="12" s="1"/>
  <c r="AW9" i="12" s="1"/>
  <c r="AX9" i="12" s="1"/>
  <c r="AY9" i="12" s="1"/>
  <c r="AG10" i="12"/>
  <c r="AH10" i="12" s="1"/>
  <c r="AI10" i="12" s="1"/>
  <c r="AJ10" i="12" s="1"/>
  <c r="AK10" i="12" s="1"/>
  <c r="AL10" i="12" s="1"/>
  <c r="AM10" i="12" s="1"/>
  <c r="AN10" i="12" s="1"/>
  <c r="AO10" i="12" s="1"/>
  <c r="AP10" i="12" s="1"/>
  <c r="AQ10" i="12" s="1"/>
  <c r="AR10" i="12" s="1"/>
  <c r="AS10" i="12" s="1"/>
  <c r="AT10" i="12" s="1"/>
  <c r="AU10" i="12" s="1"/>
  <c r="AV10" i="12" s="1"/>
  <c r="AW10" i="12" s="1"/>
  <c r="AX10" i="12" s="1"/>
  <c r="AY10" i="12" s="1"/>
  <c r="AG11" i="12"/>
  <c r="AH11" i="12" s="1"/>
  <c r="AI11" i="12" s="1"/>
  <c r="AJ11" i="12" s="1"/>
  <c r="AK11" i="12" s="1"/>
  <c r="AL11" i="12" s="1"/>
  <c r="AM11" i="12" s="1"/>
  <c r="AN11" i="12" s="1"/>
  <c r="AO11" i="12" s="1"/>
  <c r="AP11" i="12" s="1"/>
  <c r="AQ11" i="12" s="1"/>
  <c r="AR11" i="12" s="1"/>
  <c r="AS11" i="12" s="1"/>
  <c r="AT11" i="12" s="1"/>
  <c r="AU11" i="12" s="1"/>
  <c r="AV11" i="12" s="1"/>
  <c r="AW11" i="12" s="1"/>
  <c r="AX11" i="12" s="1"/>
  <c r="AY11" i="12" s="1"/>
  <c r="AG12" i="12"/>
  <c r="AH12" i="12" s="1"/>
  <c r="AI12" i="12" s="1"/>
  <c r="AJ12" i="12" s="1"/>
  <c r="AK12" i="12" s="1"/>
  <c r="AL12" i="12" s="1"/>
  <c r="AM12" i="12" s="1"/>
  <c r="AN12" i="12" s="1"/>
  <c r="AO12" i="12" s="1"/>
  <c r="AP12" i="12" s="1"/>
  <c r="AQ12" i="12" s="1"/>
  <c r="AR12" i="12" s="1"/>
  <c r="AS12" i="12" s="1"/>
  <c r="AT12" i="12" s="1"/>
  <c r="AU12" i="12" s="1"/>
  <c r="AV12" i="12" s="1"/>
  <c r="AW12" i="12" s="1"/>
  <c r="AX12" i="12" s="1"/>
  <c r="AY12" i="12" s="1"/>
  <c r="AG13" i="12"/>
  <c r="AH13" i="12" s="1"/>
  <c r="AI13" i="12" s="1"/>
  <c r="AJ13" i="12" s="1"/>
  <c r="AK13" i="12" s="1"/>
  <c r="AL13" i="12" s="1"/>
  <c r="AM13" i="12" s="1"/>
  <c r="AN13" i="12" s="1"/>
  <c r="AO13" i="12" s="1"/>
  <c r="AP13" i="12" s="1"/>
  <c r="AQ13" i="12" s="1"/>
  <c r="AR13" i="12" s="1"/>
  <c r="AS13" i="12" s="1"/>
  <c r="AT13" i="12" s="1"/>
  <c r="AU13" i="12" s="1"/>
  <c r="AV13" i="12" s="1"/>
  <c r="AW13" i="12" s="1"/>
  <c r="AX13" i="12" s="1"/>
  <c r="AY13" i="12" s="1"/>
  <c r="AG14" i="12"/>
  <c r="AH14" i="12" s="1"/>
  <c r="AI14" i="12" s="1"/>
  <c r="AJ14" i="12" s="1"/>
  <c r="AK14" i="12" s="1"/>
  <c r="AL14" i="12" s="1"/>
  <c r="AM14" i="12" s="1"/>
  <c r="AN14" i="12" s="1"/>
  <c r="AO14" i="12" s="1"/>
  <c r="AP14" i="12" s="1"/>
  <c r="AQ14" i="12" s="1"/>
  <c r="AR14" i="12" s="1"/>
  <c r="AS14" i="12" s="1"/>
  <c r="AT14" i="12" s="1"/>
  <c r="AU14" i="12" s="1"/>
  <c r="AV14" i="12" s="1"/>
  <c r="AW14" i="12" s="1"/>
  <c r="AX14" i="12" s="1"/>
  <c r="AY14" i="12" s="1"/>
  <c r="AG15" i="12"/>
  <c r="AH15" i="12" s="1"/>
  <c r="AI15" i="12" s="1"/>
  <c r="AJ15" i="12" s="1"/>
  <c r="AK15" i="12" s="1"/>
  <c r="AL15" i="12" s="1"/>
  <c r="AM15" i="12" s="1"/>
  <c r="AN15" i="12" s="1"/>
  <c r="AO15" i="12" s="1"/>
  <c r="AP15" i="12" s="1"/>
  <c r="AQ15" i="12" s="1"/>
  <c r="AR15" i="12" s="1"/>
  <c r="AS15" i="12" s="1"/>
  <c r="AT15" i="12" s="1"/>
  <c r="AU15" i="12" s="1"/>
  <c r="AV15" i="12" s="1"/>
  <c r="AW15" i="12" s="1"/>
  <c r="AX15" i="12" s="1"/>
  <c r="AY15" i="12" s="1"/>
  <c r="AG16" i="12"/>
  <c r="AH16" i="12" s="1"/>
  <c r="AI16" i="12" s="1"/>
  <c r="AJ16" i="12" s="1"/>
  <c r="AK16" i="12" s="1"/>
  <c r="AL16" i="12" s="1"/>
  <c r="AM16" i="12" s="1"/>
  <c r="AN16" i="12" s="1"/>
  <c r="AO16" i="12" s="1"/>
  <c r="AP16" i="12" s="1"/>
  <c r="AQ16" i="12" s="1"/>
  <c r="AR16" i="12" s="1"/>
  <c r="AS16" i="12" s="1"/>
  <c r="AT16" i="12" s="1"/>
  <c r="AU16" i="12" s="1"/>
  <c r="AV16" i="12" s="1"/>
  <c r="AW16" i="12" s="1"/>
  <c r="AX16" i="12" s="1"/>
  <c r="AY16" i="12" s="1"/>
  <c r="AG17" i="12"/>
  <c r="AH17" i="12"/>
  <c r="AI17" i="12" s="1"/>
  <c r="AJ17" i="12" s="1"/>
  <c r="AK17" i="12" s="1"/>
  <c r="AL17" i="12" s="1"/>
  <c r="AM17" i="12" s="1"/>
  <c r="AN17" i="12" s="1"/>
  <c r="AO17" i="12" s="1"/>
  <c r="AP17" i="12" s="1"/>
  <c r="AQ17" i="12" s="1"/>
  <c r="AR17" i="12" s="1"/>
  <c r="AS17" i="12" s="1"/>
  <c r="AT17" i="12" s="1"/>
  <c r="AU17" i="12" s="1"/>
  <c r="AV17" i="12" s="1"/>
  <c r="AW17" i="12" s="1"/>
  <c r="AX17" i="12" s="1"/>
  <c r="AY17" i="12" s="1"/>
  <c r="AG18" i="12"/>
  <c r="AH18" i="12" s="1"/>
  <c r="AI18" i="12" s="1"/>
  <c r="AJ18" i="12" s="1"/>
  <c r="AK18" i="12" s="1"/>
  <c r="AL18" i="12" s="1"/>
  <c r="AM18" i="12" s="1"/>
  <c r="AN18" i="12" s="1"/>
  <c r="AO18" i="12" s="1"/>
  <c r="AP18" i="12" s="1"/>
  <c r="AQ18" i="12" s="1"/>
  <c r="AR18" i="12" s="1"/>
  <c r="AS18" i="12" s="1"/>
  <c r="AT18" i="12" s="1"/>
  <c r="AU18" i="12" s="1"/>
  <c r="AV18" i="12" s="1"/>
  <c r="AW18" i="12" s="1"/>
  <c r="AX18" i="12" s="1"/>
  <c r="AY18" i="12" s="1"/>
  <c r="AG19" i="12"/>
  <c r="AH19" i="12" s="1"/>
  <c r="AI19" i="12" s="1"/>
  <c r="AJ19" i="12" s="1"/>
  <c r="AK19" i="12" s="1"/>
  <c r="AL19" i="12" s="1"/>
  <c r="AM19" i="12" s="1"/>
  <c r="AN19" i="12" s="1"/>
  <c r="AO19" i="12" s="1"/>
  <c r="AP19" i="12" s="1"/>
  <c r="AQ19" i="12" s="1"/>
  <c r="AR19" i="12" s="1"/>
  <c r="AS19" i="12" s="1"/>
  <c r="AT19" i="12" s="1"/>
  <c r="AU19" i="12" s="1"/>
  <c r="AV19" i="12" s="1"/>
  <c r="AW19" i="12" s="1"/>
  <c r="AX19" i="12" s="1"/>
  <c r="AY19" i="12" s="1"/>
  <c r="AG20" i="12"/>
  <c r="AH20" i="12" s="1"/>
  <c r="AI20" i="12" s="1"/>
  <c r="AJ20" i="12" s="1"/>
  <c r="AK20" i="12" s="1"/>
  <c r="AL20" i="12" s="1"/>
  <c r="AM20" i="12" s="1"/>
  <c r="AN20" i="12" s="1"/>
  <c r="AO20" i="12" s="1"/>
  <c r="AP20" i="12" s="1"/>
  <c r="AQ20" i="12" s="1"/>
  <c r="AR20" i="12" s="1"/>
  <c r="AS20" i="12" s="1"/>
  <c r="AT20" i="12" s="1"/>
  <c r="AU20" i="12" s="1"/>
  <c r="AV20" i="12" s="1"/>
  <c r="AW20" i="12" s="1"/>
  <c r="AX20" i="12" s="1"/>
  <c r="AY20" i="12" s="1"/>
  <c r="AG21" i="12"/>
  <c r="AH21" i="12" s="1"/>
  <c r="AI21" i="12" s="1"/>
  <c r="AJ21" i="12" s="1"/>
  <c r="AK21" i="12" s="1"/>
  <c r="AL21" i="12" s="1"/>
  <c r="AM21" i="12" s="1"/>
  <c r="AN21" i="12" s="1"/>
  <c r="AO21" i="12" s="1"/>
  <c r="AP21" i="12" s="1"/>
  <c r="AQ21" i="12" s="1"/>
  <c r="AR21" i="12" s="1"/>
  <c r="AS21" i="12" s="1"/>
  <c r="AT21" i="12" s="1"/>
  <c r="AU21" i="12" s="1"/>
  <c r="AV21" i="12" s="1"/>
  <c r="AW21" i="12" s="1"/>
  <c r="AX21" i="12" s="1"/>
  <c r="AY21" i="12" s="1"/>
  <c r="AG22" i="12"/>
  <c r="AH22" i="12" s="1"/>
  <c r="AI22" i="12" s="1"/>
  <c r="AJ22" i="12" s="1"/>
  <c r="AK22" i="12" s="1"/>
  <c r="AL22" i="12" s="1"/>
  <c r="AM22" i="12" s="1"/>
  <c r="AN22" i="12" s="1"/>
  <c r="AO22" i="12" s="1"/>
  <c r="AP22" i="12" s="1"/>
  <c r="AQ22" i="12" s="1"/>
  <c r="AR22" i="12" s="1"/>
  <c r="AS22" i="12" s="1"/>
  <c r="AT22" i="12" s="1"/>
  <c r="AU22" i="12" s="1"/>
  <c r="AV22" i="12" s="1"/>
  <c r="AW22" i="12" s="1"/>
  <c r="AX22" i="12" s="1"/>
  <c r="AY22" i="12" s="1"/>
  <c r="AF3" i="12"/>
  <c r="AF4" i="12"/>
  <c r="AF5" i="12"/>
  <c r="AF6" i="12"/>
  <c r="AF7" i="12"/>
  <c r="AF8" i="12"/>
  <c r="AF9" i="12"/>
  <c r="AF10" i="12"/>
  <c r="AF11" i="12"/>
  <c r="AF12" i="12"/>
  <c r="AF13" i="12"/>
  <c r="AF14" i="12"/>
  <c r="AF15" i="12"/>
  <c r="AF16" i="12"/>
  <c r="AF17" i="12"/>
  <c r="AF18" i="12"/>
  <c r="AF19" i="12"/>
  <c r="AF20" i="12"/>
  <c r="AF21" i="12"/>
  <c r="AF22" i="12"/>
  <c r="AF2" i="12"/>
  <c r="C28" i="9"/>
  <c r="B28" i="9"/>
  <c r="D71" i="23"/>
  <c r="D76" i="23"/>
  <c r="B29" i="9"/>
  <c r="C4" i="9" l="1"/>
  <c r="B4" i="9"/>
  <c r="D4" i="9"/>
  <c r="D28" i="9" s="1"/>
  <c r="E4" i="9"/>
  <c r="E28" i="9" s="1"/>
  <c r="B5" i="9"/>
  <c r="C5" i="9"/>
  <c r="C29" i="9" s="1"/>
  <c r="D5" i="9"/>
  <c r="D29" i="9" s="1"/>
  <c r="E5" i="9"/>
  <c r="E29" i="9" s="1"/>
  <c r="B9" i="9"/>
  <c r="C9" i="9"/>
  <c r="D9" i="9"/>
  <c r="E9" i="9"/>
  <c r="B10" i="9"/>
  <c r="C10" i="9"/>
  <c r="D10" i="9"/>
  <c r="E10" i="9"/>
  <c r="E34" i="9" s="1"/>
  <c r="B11" i="9"/>
  <c r="C11" i="9"/>
  <c r="D11" i="9"/>
  <c r="E11" i="9"/>
  <c r="E12" i="9"/>
  <c r="E36" i="9" s="1"/>
  <c r="E13" i="9"/>
  <c r="B14" i="9"/>
  <c r="E14" i="9" s="1"/>
  <c r="E38" i="9" s="1"/>
  <c r="C14" i="9"/>
  <c r="C38" i="9" s="1"/>
  <c r="D14" i="9"/>
  <c r="E17" i="9"/>
  <c r="B18" i="9"/>
  <c r="C18" i="9"/>
  <c r="E18" i="9" s="1"/>
  <c r="D18" i="9"/>
  <c r="B19" i="9"/>
  <c r="E19" i="9" s="1"/>
  <c r="C19" i="9"/>
  <c r="D19" i="9"/>
  <c r="B20" i="9"/>
  <c r="C20" i="9"/>
  <c r="D20" i="9"/>
  <c r="E20" i="9"/>
  <c r="E21" i="9"/>
  <c r="E22" i="9"/>
  <c r="H27" i="9"/>
  <c r="B27" i="9" s="1"/>
  <c r="H28" i="9"/>
  <c r="H29" i="9"/>
  <c r="H33" i="9"/>
  <c r="B33" i="9" s="1"/>
  <c r="B34" i="9"/>
  <c r="C34" i="9"/>
  <c r="D34" i="9"/>
  <c r="H34" i="9"/>
  <c r="C35" i="9"/>
  <c r="H35" i="9"/>
  <c r="B35" i="9" s="1"/>
  <c r="B36" i="9"/>
  <c r="H36" i="9"/>
  <c r="C36" i="9" s="1"/>
  <c r="B37" i="9"/>
  <c r="C37" i="9"/>
  <c r="D37" i="9"/>
  <c r="E37" i="9"/>
  <c r="H37" i="9"/>
  <c r="H38" i="9"/>
  <c r="D38" i="9" s="1"/>
  <c r="H41" i="9"/>
  <c r="H42" i="9"/>
  <c r="H43" i="9"/>
  <c r="H44" i="9"/>
  <c r="H45" i="9"/>
  <c r="H46" i="9"/>
  <c r="D3" i="9"/>
  <c r="C3" i="9"/>
  <c r="B3" i="9"/>
  <c r="E3" i="9" s="1"/>
  <c r="E35" i="9" l="1"/>
  <c r="E27" i="9"/>
  <c r="E33" i="9"/>
  <c r="D33" i="9"/>
  <c r="C27" i="9"/>
  <c r="D35" i="9"/>
  <c r="D27" i="9"/>
  <c r="B38" i="9"/>
  <c r="D36" i="9"/>
  <c r="C33" i="9"/>
  <c r="J7" i="13"/>
  <c r="W7" i="13"/>
  <c r="G15" i="13"/>
  <c r="H15" i="13"/>
  <c r="AA15" i="13"/>
  <c r="AB15" i="13"/>
  <c r="AC15" i="13"/>
  <c r="H16" i="13"/>
  <c r="I16" i="13"/>
  <c r="J16" i="13"/>
  <c r="K16" i="13"/>
  <c r="R16" i="13"/>
  <c r="S16" i="13"/>
  <c r="T16" i="13"/>
  <c r="U16" i="13"/>
  <c r="AB16" i="13"/>
  <c r="AC16" i="13"/>
  <c r="AD16" i="13"/>
  <c r="AE16" i="13"/>
  <c r="B16" i="13"/>
  <c r="L16" i="13" s="1"/>
  <c r="B15" i="13"/>
  <c r="B8" i="13"/>
  <c r="P8" i="13" s="1"/>
  <c r="B7" i="13"/>
  <c r="D7" i="13" s="1"/>
  <c r="B6" i="13"/>
  <c r="L6" i="13" s="1"/>
  <c r="B2" i="13"/>
  <c r="U2" i="13" s="1"/>
  <c r="B16" i="12"/>
  <c r="B15" i="12"/>
  <c r="B8" i="12"/>
  <c r="G8" i="12" s="1"/>
  <c r="B7" i="12"/>
  <c r="S7" i="12" s="1"/>
  <c r="B6" i="12"/>
  <c r="H6" i="12" s="1"/>
  <c r="B2" i="12"/>
  <c r="B16" i="19"/>
  <c r="G16" i="19" s="1"/>
  <c r="B15" i="19"/>
  <c r="I15" i="19" s="1"/>
  <c r="B8" i="19"/>
  <c r="O8" i="19" s="1"/>
  <c r="B7" i="19"/>
  <c r="H7" i="19" s="1"/>
  <c r="B6" i="19"/>
  <c r="L6" i="19" s="1"/>
  <c r="B2" i="19"/>
  <c r="G2" i="19" s="1"/>
  <c r="S2" i="19"/>
  <c r="G6" i="19"/>
  <c r="I6" i="19"/>
  <c r="V6" i="19"/>
  <c r="X6" i="19"/>
  <c r="D15" i="19"/>
  <c r="E15" i="19"/>
  <c r="F15" i="19"/>
  <c r="G15" i="19"/>
  <c r="H15" i="19"/>
  <c r="K15" i="19"/>
  <c r="L15" i="19"/>
  <c r="M15" i="19"/>
  <c r="N15" i="19"/>
  <c r="O15" i="19"/>
  <c r="P15" i="19"/>
  <c r="Q15" i="19"/>
  <c r="S15" i="19"/>
  <c r="T15" i="19"/>
  <c r="V15" i="19"/>
  <c r="W15" i="19"/>
  <c r="X15" i="19"/>
  <c r="Z15" i="19"/>
  <c r="AA15" i="19"/>
  <c r="AB15" i="19"/>
  <c r="AE15" i="19"/>
  <c r="D16" i="19"/>
  <c r="E16" i="19"/>
  <c r="P16" i="19"/>
  <c r="R16" i="19"/>
  <c r="S16" i="19"/>
  <c r="U16" i="19"/>
  <c r="V16" i="19"/>
  <c r="W16" i="19"/>
  <c r="AC16" i="19"/>
  <c r="AD16" i="19"/>
  <c r="AE16" i="19"/>
  <c r="C16" i="19"/>
  <c r="C15" i="19"/>
  <c r="E6" i="12"/>
  <c r="Q6" i="12"/>
  <c r="Y6" i="12"/>
  <c r="AA7" i="12"/>
  <c r="L8" i="12"/>
  <c r="M8" i="12"/>
  <c r="Y8" i="12"/>
  <c r="AA8" i="12"/>
  <c r="D15" i="12"/>
  <c r="E15" i="12"/>
  <c r="F15" i="12"/>
  <c r="G15" i="12"/>
  <c r="H15" i="12"/>
  <c r="I15" i="12"/>
  <c r="K15" i="12"/>
  <c r="L15" i="12"/>
  <c r="M15" i="12"/>
  <c r="N15" i="12"/>
  <c r="O15" i="12"/>
  <c r="P15" i="12"/>
  <c r="Q15" i="12"/>
  <c r="R15" i="12"/>
  <c r="S15" i="12"/>
  <c r="X15" i="12"/>
  <c r="Y15" i="12"/>
  <c r="Z15" i="12"/>
  <c r="AA15" i="12"/>
  <c r="AB15" i="12"/>
  <c r="AC15" i="12"/>
  <c r="AD15" i="12"/>
  <c r="AE15" i="12"/>
  <c r="D16" i="12"/>
  <c r="H16" i="12"/>
  <c r="I16" i="12"/>
  <c r="J16" i="12"/>
  <c r="K16" i="12"/>
  <c r="P16" i="12"/>
  <c r="Q16" i="12"/>
  <c r="R16" i="12"/>
  <c r="S16" i="12"/>
  <c r="T16" i="12"/>
  <c r="U16" i="12"/>
  <c r="V16" i="12"/>
  <c r="W16" i="12"/>
  <c r="X16" i="12"/>
  <c r="Y16" i="12"/>
  <c r="Z16" i="12"/>
  <c r="AA16" i="12"/>
  <c r="AB16" i="12"/>
  <c r="C16" i="12"/>
  <c r="C15" i="12"/>
  <c r="F16" i="12"/>
  <c r="D7" i="12"/>
  <c r="E65" i="23"/>
  <c r="E64" i="23"/>
  <c r="D16" i="22"/>
  <c r="D57" i="23" s="1"/>
  <c r="G64" i="23" s="1"/>
  <c r="E16" i="22"/>
  <c r="E57" i="23" s="1"/>
  <c r="H64" i="23" s="1"/>
  <c r="F16" i="22"/>
  <c r="F57" i="23" s="1"/>
  <c r="I64" i="23" s="1"/>
  <c r="G16" i="22"/>
  <c r="G57" i="23" s="1"/>
  <c r="J64" i="23" s="1"/>
  <c r="H16" i="22"/>
  <c r="H57" i="23" s="1"/>
  <c r="K64" i="23" s="1"/>
  <c r="I16" i="22"/>
  <c r="I57" i="23" s="1"/>
  <c r="L64" i="23" s="1"/>
  <c r="J16" i="22"/>
  <c r="J57" i="23" s="1"/>
  <c r="M64" i="23" s="1"/>
  <c r="K16" i="22"/>
  <c r="K57" i="23" s="1"/>
  <c r="N64" i="23" s="1"/>
  <c r="L16" i="22"/>
  <c r="M16" i="22"/>
  <c r="M57" i="23" s="1"/>
  <c r="P64" i="23" s="1"/>
  <c r="N16" i="22"/>
  <c r="N57" i="23" s="1"/>
  <c r="Q64" i="23" s="1"/>
  <c r="O16" i="22"/>
  <c r="P16" i="22"/>
  <c r="P57" i="23" s="1"/>
  <c r="S64" i="23" s="1"/>
  <c r="Q16" i="22"/>
  <c r="Q57" i="23" s="1"/>
  <c r="T64" i="23" s="1"/>
  <c r="R16" i="22"/>
  <c r="R57" i="23" s="1"/>
  <c r="U64" i="23" s="1"/>
  <c r="S16" i="22"/>
  <c r="S57" i="23" s="1"/>
  <c r="V64" i="23" s="1"/>
  <c r="T16" i="22"/>
  <c r="T57" i="23" s="1"/>
  <c r="W64" i="23" s="1"/>
  <c r="U16" i="22"/>
  <c r="U57" i="23" s="1"/>
  <c r="X64" i="23" s="1"/>
  <c r="V16" i="22"/>
  <c r="V57" i="23" s="1"/>
  <c r="Y64" i="23" s="1"/>
  <c r="W16" i="22"/>
  <c r="W57" i="23" s="1"/>
  <c r="Z64" i="23" s="1"/>
  <c r="X16" i="22"/>
  <c r="X57" i="23" s="1"/>
  <c r="AA64" i="23" s="1"/>
  <c r="Y16" i="22"/>
  <c r="Y57" i="23" s="1"/>
  <c r="AB64" i="23" s="1"/>
  <c r="Z16" i="22"/>
  <c r="AA16" i="22"/>
  <c r="AB16" i="22"/>
  <c r="AB57" i="23" s="1"/>
  <c r="AE64" i="23" s="1"/>
  <c r="AC16" i="22"/>
  <c r="AC57" i="23" s="1"/>
  <c r="AF64" i="23" s="1"/>
  <c r="AD16" i="22"/>
  <c r="AD57" i="23" s="1"/>
  <c r="AG64" i="23" s="1"/>
  <c r="AE16" i="22"/>
  <c r="AE57" i="23" s="1"/>
  <c r="AH64" i="23" s="1"/>
  <c r="AF16" i="22"/>
  <c r="D18" i="22"/>
  <c r="E18" i="22"/>
  <c r="F18" i="22"/>
  <c r="G18" i="22"/>
  <c r="H18" i="22"/>
  <c r="I18" i="22"/>
  <c r="J18" i="22"/>
  <c r="K18" i="22"/>
  <c r="L18" i="22"/>
  <c r="M18" i="22"/>
  <c r="N18" i="22"/>
  <c r="O18" i="22"/>
  <c r="P18" i="22"/>
  <c r="Q18" i="22"/>
  <c r="R18" i="22"/>
  <c r="S18" i="22"/>
  <c r="T18" i="22"/>
  <c r="U18" i="22"/>
  <c r="V18" i="22"/>
  <c r="W18" i="22"/>
  <c r="X18" i="22"/>
  <c r="Y18" i="22"/>
  <c r="Z18" i="22"/>
  <c r="AA18" i="22"/>
  <c r="AB18" i="22"/>
  <c r="AC18" i="22"/>
  <c r="AD18" i="22"/>
  <c r="AE18" i="22"/>
  <c r="AF18" i="22"/>
  <c r="D19" i="22"/>
  <c r="E19" i="22"/>
  <c r="F19" i="22"/>
  <c r="G19" i="22"/>
  <c r="H19" i="22"/>
  <c r="I19" i="22"/>
  <c r="J19" i="22"/>
  <c r="K19" i="22"/>
  <c r="L19" i="22"/>
  <c r="M19" i="22"/>
  <c r="N19" i="22"/>
  <c r="O19" i="22"/>
  <c r="P19" i="22"/>
  <c r="Q19" i="22"/>
  <c r="R19" i="22"/>
  <c r="S19" i="22"/>
  <c r="T19" i="22"/>
  <c r="U19" i="22"/>
  <c r="V19" i="22"/>
  <c r="W19" i="22"/>
  <c r="X19" i="22"/>
  <c r="Y19" i="22"/>
  <c r="Z19" i="22"/>
  <c r="AA19" i="22"/>
  <c r="AB19" i="22"/>
  <c r="AC19" i="22"/>
  <c r="AD19" i="22"/>
  <c r="AE19" i="22"/>
  <c r="AF19" i="22"/>
  <c r="D20" i="22"/>
  <c r="E20" i="22"/>
  <c r="F20" i="22"/>
  <c r="G20" i="22"/>
  <c r="H20" i="22"/>
  <c r="I20" i="22"/>
  <c r="J20" i="22"/>
  <c r="K20" i="22"/>
  <c r="L20" i="22"/>
  <c r="M20" i="22"/>
  <c r="N20" i="22"/>
  <c r="O20" i="22"/>
  <c r="P20" i="22"/>
  <c r="Q20" i="22"/>
  <c r="R20" i="22"/>
  <c r="S20" i="22"/>
  <c r="T20" i="22"/>
  <c r="U20" i="22"/>
  <c r="V20" i="22"/>
  <c r="W20" i="22"/>
  <c r="X20" i="22"/>
  <c r="Y20" i="22"/>
  <c r="Z20" i="22"/>
  <c r="AA20" i="22"/>
  <c r="AB20" i="22"/>
  <c r="AC20" i="22"/>
  <c r="AD20" i="22"/>
  <c r="AE20" i="22"/>
  <c r="AF20" i="22"/>
  <c r="D21" i="22"/>
  <c r="E21" i="22"/>
  <c r="F21" i="22"/>
  <c r="G21" i="22"/>
  <c r="H21" i="22"/>
  <c r="I21" i="22"/>
  <c r="J21" i="22"/>
  <c r="K21" i="22"/>
  <c r="L21" i="22"/>
  <c r="M21" i="22"/>
  <c r="N21" i="22"/>
  <c r="O21" i="22"/>
  <c r="P21" i="22"/>
  <c r="Q21" i="22"/>
  <c r="R21" i="22"/>
  <c r="S21" i="22"/>
  <c r="T21" i="22"/>
  <c r="U21" i="22"/>
  <c r="V21" i="22"/>
  <c r="W21" i="22"/>
  <c r="X21" i="22"/>
  <c r="Y21" i="22"/>
  <c r="Z21" i="22"/>
  <c r="AA21" i="22"/>
  <c r="AB21" i="22"/>
  <c r="AC21" i="22"/>
  <c r="AD21" i="22"/>
  <c r="AE21" i="22"/>
  <c r="AF21" i="22"/>
  <c r="D22" i="22"/>
  <c r="E22" i="22"/>
  <c r="F22" i="22"/>
  <c r="G22" i="22"/>
  <c r="H22" i="22"/>
  <c r="I22" i="22"/>
  <c r="J22" i="22"/>
  <c r="K22" i="22"/>
  <c r="L22" i="22"/>
  <c r="M22" i="22"/>
  <c r="N22" i="22"/>
  <c r="O22" i="22"/>
  <c r="P22" i="22"/>
  <c r="Q22" i="22"/>
  <c r="R22" i="22"/>
  <c r="S22" i="22"/>
  <c r="T22" i="22"/>
  <c r="U22" i="22"/>
  <c r="V22" i="22"/>
  <c r="W22" i="22"/>
  <c r="X22" i="22"/>
  <c r="Y22" i="22"/>
  <c r="Z22" i="22"/>
  <c r="AA22" i="22"/>
  <c r="AB22" i="22"/>
  <c r="AC22" i="22"/>
  <c r="AD22" i="22"/>
  <c r="AE22" i="22"/>
  <c r="AF22" i="22"/>
  <c r="D23" i="22"/>
  <c r="E23" i="22"/>
  <c r="F23" i="22"/>
  <c r="G23" i="22"/>
  <c r="H23" i="22"/>
  <c r="I23" i="22"/>
  <c r="J23" i="22"/>
  <c r="K23" i="22"/>
  <c r="L23" i="22"/>
  <c r="M23" i="22"/>
  <c r="N23" i="22"/>
  <c r="O23" i="22"/>
  <c r="P23" i="22"/>
  <c r="Q23" i="22"/>
  <c r="R23" i="22"/>
  <c r="S23" i="22"/>
  <c r="T23" i="22"/>
  <c r="U23" i="22"/>
  <c r="V23" i="22"/>
  <c r="W23" i="22"/>
  <c r="X23" i="22"/>
  <c r="Y23" i="22"/>
  <c r="Z23" i="22"/>
  <c r="AA23" i="22"/>
  <c r="AB23" i="22"/>
  <c r="AC23" i="22"/>
  <c r="AD23" i="22"/>
  <c r="AE23" i="22"/>
  <c r="AF23" i="22"/>
  <c r="D24" i="22"/>
  <c r="E24" i="22"/>
  <c r="F24" i="22"/>
  <c r="G24" i="22"/>
  <c r="H24" i="22"/>
  <c r="I24" i="22"/>
  <c r="J24" i="22"/>
  <c r="K24" i="22"/>
  <c r="L24" i="22"/>
  <c r="M24" i="22"/>
  <c r="N24" i="22"/>
  <c r="O24" i="22"/>
  <c r="P24" i="22"/>
  <c r="Q24" i="22"/>
  <c r="R24" i="22"/>
  <c r="S24" i="22"/>
  <c r="T24" i="22"/>
  <c r="U24" i="22"/>
  <c r="V24" i="22"/>
  <c r="W24" i="22"/>
  <c r="X24" i="22"/>
  <c r="Y24" i="22"/>
  <c r="Z24" i="22"/>
  <c r="AA24" i="22"/>
  <c r="AB24" i="22"/>
  <c r="AC24" i="22"/>
  <c r="AD24" i="22"/>
  <c r="AE24" i="22"/>
  <c r="AF24" i="22"/>
  <c r="D25" i="22"/>
  <c r="E25" i="22"/>
  <c r="F25" i="22"/>
  <c r="G25" i="22"/>
  <c r="H25" i="22"/>
  <c r="I25" i="22"/>
  <c r="J25" i="22"/>
  <c r="K25" i="22"/>
  <c r="L25" i="22"/>
  <c r="M25" i="22"/>
  <c r="N25" i="22"/>
  <c r="O25" i="22"/>
  <c r="P25" i="22"/>
  <c r="Q25" i="22"/>
  <c r="R25" i="22"/>
  <c r="S25" i="22"/>
  <c r="T25" i="22"/>
  <c r="U25" i="22"/>
  <c r="V25" i="22"/>
  <c r="W25" i="22"/>
  <c r="X25" i="22"/>
  <c r="Y25" i="22"/>
  <c r="Z25" i="22"/>
  <c r="AA25" i="22"/>
  <c r="AB25" i="22"/>
  <c r="AC25" i="22"/>
  <c r="AD25" i="22"/>
  <c r="AE25" i="22"/>
  <c r="AF25" i="22"/>
  <c r="D27" i="22"/>
  <c r="E27" i="22"/>
  <c r="F27" i="22"/>
  <c r="G27" i="22"/>
  <c r="H27" i="22"/>
  <c r="I27" i="22"/>
  <c r="J27" i="22"/>
  <c r="K27" i="22"/>
  <c r="L27" i="22"/>
  <c r="M27" i="22"/>
  <c r="N27" i="22"/>
  <c r="O27" i="22"/>
  <c r="P27" i="22"/>
  <c r="Q27" i="22"/>
  <c r="R27" i="22"/>
  <c r="S27" i="22"/>
  <c r="T27" i="22"/>
  <c r="U27" i="22"/>
  <c r="V27" i="22"/>
  <c r="W27" i="22"/>
  <c r="X27" i="22"/>
  <c r="Y27" i="22"/>
  <c r="Z27" i="22"/>
  <c r="AA27" i="22"/>
  <c r="AB27" i="22"/>
  <c r="AC27" i="22"/>
  <c r="AD27" i="22"/>
  <c r="AE27" i="22"/>
  <c r="AF27" i="22"/>
  <c r="D28" i="22"/>
  <c r="E28" i="22"/>
  <c r="F28" i="22"/>
  <c r="G28" i="22"/>
  <c r="H28" i="22"/>
  <c r="I28" i="22"/>
  <c r="J28" i="22"/>
  <c r="K28" i="22"/>
  <c r="L28" i="22"/>
  <c r="M28" i="22"/>
  <c r="N28" i="22"/>
  <c r="O28" i="22"/>
  <c r="P28" i="22"/>
  <c r="Q28" i="22"/>
  <c r="R28" i="22"/>
  <c r="S28" i="22"/>
  <c r="T28" i="22"/>
  <c r="U28" i="22"/>
  <c r="V28" i="22"/>
  <c r="W28" i="22"/>
  <c r="X28" i="22"/>
  <c r="Y28" i="22"/>
  <c r="Z28" i="22"/>
  <c r="AA28" i="22"/>
  <c r="AB28" i="22"/>
  <c r="AC28" i="22"/>
  <c r="AD28" i="22"/>
  <c r="AE28" i="22"/>
  <c r="AF28" i="22"/>
  <c r="D29" i="22"/>
  <c r="E29" i="22"/>
  <c r="F29" i="22"/>
  <c r="G29" i="22"/>
  <c r="H29" i="22"/>
  <c r="I29" i="22"/>
  <c r="J29" i="22"/>
  <c r="K29" i="22"/>
  <c r="L29" i="22"/>
  <c r="M29" i="22"/>
  <c r="N29" i="22"/>
  <c r="O29" i="22"/>
  <c r="P29" i="22"/>
  <c r="Q29" i="22"/>
  <c r="R29" i="22"/>
  <c r="S29" i="22"/>
  <c r="T29" i="22"/>
  <c r="U29" i="22"/>
  <c r="V29" i="22"/>
  <c r="W29" i="22"/>
  <c r="X29" i="22"/>
  <c r="Y29" i="22"/>
  <c r="Z29" i="22"/>
  <c r="AA29" i="22"/>
  <c r="AB29" i="22"/>
  <c r="AC29" i="22"/>
  <c r="AD29" i="22"/>
  <c r="AE29" i="22"/>
  <c r="AF29" i="22"/>
  <c r="D30" i="22"/>
  <c r="E30" i="22"/>
  <c r="F30" i="22"/>
  <c r="G30" i="22"/>
  <c r="H30" i="22"/>
  <c r="I30" i="22"/>
  <c r="J30" i="22"/>
  <c r="K30" i="22"/>
  <c r="L30" i="22"/>
  <c r="M30" i="22"/>
  <c r="N30" i="22"/>
  <c r="O30" i="22"/>
  <c r="P30" i="22"/>
  <c r="Q30" i="22"/>
  <c r="R30" i="22"/>
  <c r="S30" i="22"/>
  <c r="T30" i="22"/>
  <c r="U30" i="22"/>
  <c r="V30" i="22"/>
  <c r="W30" i="22"/>
  <c r="X30" i="22"/>
  <c r="Y30" i="22"/>
  <c r="Z30" i="22"/>
  <c r="AA30" i="22"/>
  <c r="AB30" i="22"/>
  <c r="AC30" i="22"/>
  <c r="AD30" i="22"/>
  <c r="AE30" i="22"/>
  <c r="AF30" i="22"/>
  <c r="D31" i="22"/>
  <c r="E31" i="22"/>
  <c r="F31" i="22"/>
  <c r="G31" i="22"/>
  <c r="H31" i="22"/>
  <c r="I31" i="22"/>
  <c r="J31" i="22"/>
  <c r="K31" i="22"/>
  <c r="L31" i="22"/>
  <c r="M31" i="22"/>
  <c r="N31" i="22"/>
  <c r="O31" i="22"/>
  <c r="P31" i="22"/>
  <c r="Q31" i="22"/>
  <c r="R31" i="22"/>
  <c r="S31" i="22"/>
  <c r="T31" i="22"/>
  <c r="U31" i="22"/>
  <c r="V31" i="22"/>
  <c r="W31" i="22"/>
  <c r="X31" i="22"/>
  <c r="Y31" i="22"/>
  <c r="Z31" i="22"/>
  <c r="AA31" i="22"/>
  <c r="AB31" i="22"/>
  <c r="AC31" i="22"/>
  <c r="AD31" i="22"/>
  <c r="AE31" i="22"/>
  <c r="AF31" i="22"/>
  <c r="D32" i="22"/>
  <c r="E32" i="22"/>
  <c r="F32" i="22"/>
  <c r="G32" i="22"/>
  <c r="H32" i="22"/>
  <c r="I32" i="22"/>
  <c r="J32" i="22"/>
  <c r="K32" i="22"/>
  <c r="L32" i="22"/>
  <c r="M32" i="22"/>
  <c r="N32" i="22"/>
  <c r="O32" i="22"/>
  <c r="P32" i="22"/>
  <c r="Q32" i="22"/>
  <c r="R32" i="22"/>
  <c r="S32" i="22"/>
  <c r="T32" i="22"/>
  <c r="U32" i="22"/>
  <c r="V32" i="22"/>
  <c r="W32" i="22"/>
  <c r="X32" i="22"/>
  <c r="Y32" i="22"/>
  <c r="Z32" i="22"/>
  <c r="AA32" i="22"/>
  <c r="AB32" i="22"/>
  <c r="AC32" i="22"/>
  <c r="AD32" i="22"/>
  <c r="AE32" i="22"/>
  <c r="AF32" i="22"/>
  <c r="D33" i="22"/>
  <c r="E33" i="22"/>
  <c r="F33" i="22"/>
  <c r="G33" i="22"/>
  <c r="H33" i="22"/>
  <c r="I33" i="22"/>
  <c r="J33" i="22"/>
  <c r="K33" i="22"/>
  <c r="L33" i="22"/>
  <c r="M33" i="22"/>
  <c r="N33" i="22"/>
  <c r="O33" i="22"/>
  <c r="P33" i="22"/>
  <c r="Q33" i="22"/>
  <c r="R33" i="22"/>
  <c r="S33" i="22"/>
  <c r="T33" i="22"/>
  <c r="U33" i="22"/>
  <c r="V33" i="22"/>
  <c r="W33" i="22"/>
  <c r="X33" i="22"/>
  <c r="Y33" i="22"/>
  <c r="Z33" i="22"/>
  <c r="AA33" i="22"/>
  <c r="AB33" i="22"/>
  <c r="AC33" i="22"/>
  <c r="AD33" i="22"/>
  <c r="AE33" i="22"/>
  <c r="AF33" i="22"/>
  <c r="D34" i="22"/>
  <c r="E34" i="22"/>
  <c r="F34" i="22"/>
  <c r="G34" i="22"/>
  <c r="H34" i="22"/>
  <c r="I34" i="22"/>
  <c r="J34" i="22"/>
  <c r="K34" i="22"/>
  <c r="L34" i="22"/>
  <c r="M34" i="22"/>
  <c r="N34" i="22"/>
  <c r="O34" i="22"/>
  <c r="P34" i="22"/>
  <c r="Q34" i="22"/>
  <c r="R34" i="22"/>
  <c r="S34" i="22"/>
  <c r="T34" i="22"/>
  <c r="U34" i="22"/>
  <c r="V34" i="22"/>
  <c r="W34" i="22"/>
  <c r="X34" i="22"/>
  <c r="Y34" i="22"/>
  <c r="Z34" i="22"/>
  <c r="AA34" i="22"/>
  <c r="AB34" i="22"/>
  <c r="AC34" i="22"/>
  <c r="AD34" i="22"/>
  <c r="AE34" i="22"/>
  <c r="AF34" i="22"/>
  <c r="D35" i="22"/>
  <c r="E35" i="22"/>
  <c r="F35" i="22"/>
  <c r="G35" i="22"/>
  <c r="H35" i="22"/>
  <c r="I35" i="22"/>
  <c r="J35" i="22"/>
  <c r="K35" i="22"/>
  <c r="L35" i="22"/>
  <c r="M35" i="22"/>
  <c r="N35" i="22"/>
  <c r="O35" i="22"/>
  <c r="P35" i="22"/>
  <c r="Q35" i="22"/>
  <c r="R35" i="22"/>
  <c r="S35" i="22"/>
  <c r="T35" i="22"/>
  <c r="U35" i="22"/>
  <c r="V35" i="22"/>
  <c r="W35" i="22"/>
  <c r="X35" i="22"/>
  <c r="Y35" i="22"/>
  <c r="Z35" i="22"/>
  <c r="AA35" i="22"/>
  <c r="AB35" i="22"/>
  <c r="AC35" i="22"/>
  <c r="AD35" i="22"/>
  <c r="AE35" i="22"/>
  <c r="AF35" i="22"/>
  <c r="D36" i="22"/>
  <c r="E36" i="22"/>
  <c r="F36" i="22"/>
  <c r="G36" i="22"/>
  <c r="H36" i="22"/>
  <c r="I36" i="22"/>
  <c r="J36" i="22"/>
  <c r="K36" i="22"/>
  <c r="L36" i="22"/>
  <c r="M36" i="22"/>
  <c r="N36" i="22"/>
  <c r="O36" i="22"/>
  <c r="P36" i="22"/>
  <c r="Q36" i="22"/>
  <c r="R36" i="22"/>
  <c r="S36" i="22"/>
  <c r="T36" i="22"/>
  <c r="U36" i="22"/>
  <c r="V36" i="22"/>
  <c r="W36" i="22"/>
  <c r="X36" i="22"/>
  <c r="Y36" i="22"/>
  <c r="Z36" i="22"/>
  <c r="AA36" i="22"/>
  <c r="AB36" i="22"/>
  <c r="AC36" i="22"/>
  <c r="AD36" i="22"/>
  <c r="AE36" i="22"/>
  <c r="AF36" i="22"/>
  <c r="D37" i="22"/>
  <c r="E37" i="22"/>
  <c r="F37" i="22"/>
  <c r="G37" i="22"/>
  <c r="H37" i="22"/>
  <c r="I37" i="22"/>
  <c r="J37" i="22"/>
  <c r="K37" i="22"/>
  <c r="L37" i="22"/>
  <c r="M37" i="22"/>
  <c r="N37" i="22"/>
  <c r="O37" i="22"/>
  <c r="P37" i="22"/>
  <c r="Q37" i="22"/>
  <c r="R37" i="22"/>
  <c r="S37" i="22"/>
  <c r="T37" i="22"/>
  <c r="U37" i="22"/>
  <c r="V37" i="22"/>
  <c r="W37" i="22"/>
  <c r="X37" i="22"/>
  <c r="Y37" i="22"/>
  <c r="Z37" i="22"/>
  <c r="AA37" i="22"/>
  <c r="AB37" i="22"/>
  <c r="AC37" i="22"/>
  <c r="AD37" i="22"/>
  <c r="AE37" i="22"/>
  <c r="AF37" i="22"/>
  <c r="D42" i="22"/>
  <c r="E42" i="22"/>
  <c r="F42" i="22"/>
  <c r="G42" i="22"/>
  <c r="H42" i="22"/>
  <c r="I42" i="22"/>
  <c r="J42" i="22"/>
  <c r="K42" i="22"/>
  <c r="L42" i="22"/>
  <c r="M42" i="22"/>
  <c r="N42" i="22"/>
  <c r="O42" i="22"/>
  <c r="P42" i="22"/>
  <c r="Q42" i="22"/>
  <c r="R42" i="22"/>
  <c r="S42" i="22"/>
  <c r="T42" i="22"/>
  <c r="U42" i="22"/>
  <c r="V42" i="22"/>
  <c r="W42" i="22"/>
  <c r="X42" i="22"/>
  <c r="Y42" i="22"/>
  <c r="Z42" i="22"/>
  <c r="AA42" i="22"/>
  <c r="AB42" i="22"/>
  <c r="AC42" i="22"/>
  <c r="AD42" i="22"/>
  <c r="AE42" i="22"/>
  <c r="AF42" i="22"/>
  <c r="D43" i="22"/>
  <c r="E43" i="22"/>
  <c r="F43" i="22"/>
  <c r="G43" i="22"/>
  <c r="H43" i="22"/>
  <c r="I43" i="22"/>
  <c r="J43" i="22"/>
  <c r="K43" i="22"/>
  <c r="L43" i="22"/>
  <c r="M43" i="22"/>
  <c r="N43" i="22"/>
  <c r="O43" i="22"/>
  <c r="P43" i="22"/>
  <c r="Q43" i="22"/>
  <c r="R43" i="22"/>
  <c r="S43" i="22"/>
  <c r="T43" i="22"/>
  <c r="U43" i="22"/>
  <c r="V43" i="22"/>
  <c r="W43" i="22"/>
  <c r="X43" i="22"/>
  <c r="Y43" i="22"/>
  <c r="Z43" i="22"/>
  <c r="AA43" i="22"/>
  <c r="AB43" i="22"/>
  <c r="AC43" i="22"/>
  <c r="AD43" i="22"/>
  <c r="AE43" i="22"/>
  <c r="AF43" i="22"/>
  <c r="D46" i="22"/>
  <c r="E46" i="22"/>
  <c r="F46" i="22"/>
  <c r="G46" i="22"/>
  <c r="H46" i="22"/>
  <c r="I46" i="22"/>
  <c r="J46" i="22"/>
  <c r="K46" i="22"/>
  <c r="L46" i="22"/>
  <c r="M46" i="22"/>
  <c r="N46" i="22"/>
  <c r="O46" i="22"/>
  <c r="P46" i="22"/>
  <c r="Q46" i="22"/>
  <c r="R46" i="22"/>
  <c r="S46" i="22"/>
  <c r="T46" i="22"/>
  <c r="U46" i="22"/>
  <c r="V46" i="22"/>
  <c r="W46" i="22"/>
  <c r="X46" i="22"/>
  <c r="Y46" i="22"/>
  <c r="Z46" i="22"/>
  <c r="AA46" i="22"/>
  <c r="AB46" i="22"/>
  <c r="AC46" i="22"/>
  <c r="AD46" i="22"/>
  <c r="AE46" i="22"/>
  <c r="AF46" i="22"/>
  <c r="D49" i="22"/>
  <c r="E49" i="22"/>
  <c r="F49" i="22"/>
  <c r="G49" i="22"/>
  <c r="H49" i="22"/>
  <c r="I49" i="22"/>
  <c r="J49" i="22"/>
  <c r="K49" i="22"/>
  <c r="L49" i="22"/>
  <c r="M49" i="22"/>
  <c r="N49" i="22"/>
  <c r="O49" i="22"/>
  <c r="P49" i="22"/>
  <c r="Q49" i="22"/>
  <c r="R49" i="22"/>
  <c r="S49" i="22"/>
  <c r="T49" i="22"/>
  <c r="U49" i="22"/>
  <c r="V49" i="22"/>
  <c r="W49" i="22"/>
  <c r="X49" i="22"/>
  <c r="Y49" i="22"/>
  <c r="Z49" i="22"/>
  <c r="AA49" i="22"/>
  <c r="AB49" i="22"/>
  <c r="AC49" i="22"/>
  <c r="AD49" i="22"/>
  <c r="AE49" i="22"/>
  <c r="AF49" i="22"/>
  <c r="D50" i="22"/>
  <c r="E50" i="22"/>
  <c r="F50" i="22"/>
  <c r="G50" i="22"/>
  <c r="H50" i="22"/>
  <c r="I50" i="22"/>
  <c r="J50" i="22"/>
  <c r="K50" i="22"/>
  <c r="L50" i="22"/>
  <c r="M50" i="22"/>
  <c r="N50" i="22"/>
  <c r="O50" i="22"/>
  <c r="P50" i="22"/>
  <c r="Q50" i="22"/>
  <c r="R50" i="22"/>
  <c r="S50" i="22"/>
  <c r="T50" i="22"/>
  <c r="U50" i="22"/>
  <c r="V50" i="22"/>
  <c r="W50" i="22"/>
  <c r="X50" i="22"/>
  <c r="Y50" i="22"/>
  <c r="Z50" i="22"/>
  <c r="AA50" i="22"/>
  <c r="AB50" i="22"/>
  <c r="AC50" i="22"/>
  <c r="AD50" i="22"/>
  <c r="AE50" i="22"/>
  <c r="AF50" i="22"/>
  <c r="D51" i="22"/>
  <c r="E51" i="22"/>
  <c r="F51" i="22"/>
  <c r="G51" i="22"/>
  <c r="H51" i="22"/>
  <c r="I51" i="22"/>
  <c r="J51" i="22"/>
  <c r="K51" i="22"/>
  <c r="L51" i="22"/>
  <c r="M51" i="22"/>
  <c r="N51" i="22"/>
  <c r="O51" i="22"/>
  <c r="P51" i="22"/>
  <c r="Q51" i="22"/>
  <c r="R51" i="22"/>
  <c r="S51" i="22"/>
  <c r="T51" i="22"/>
  <c r="U51" i="22"/>
  <c r="V51" i="22"/>
  <c r="W51" i="22"/>
  <c r="X51" i="22"/>
  <c r="Y51" i="22"/>
  <c r="Z51" i="22"/>
  <c r="AA51" i="22"/>
  <c r="AB51" i="22"/>
  <c r="AC51" i="22"/>
  <c r="AD51" i="22"/>
  <c r="AE51" i="22"/>
  <c r="AF51" i="22"/>
  <c r="D52" i="22"/>
  <c r="E52" i="22"/>
  <c r="F52" i="22"/>
  <c r="G52" i="22"/>
  <c r="H52" i="22"/>
  <c r="I52" i="22"/>
  <c r="J52" i="22"/>
  <c r="K52" i="22"/>
  <c r="L52" i="22"/>
  <c r="M52" i="22"/>
  <c r="N52" i="22"/>
  <c r="O52" i="22"/>
  <c r="P52" i="22"/>
  <c r="Q52" i="22"/>
  <c r="R52" i="22"/>
  <c r="S52" i="22"/>
  <c r="T52" i="22"/>
  <c r="U52" i="22"/>
  <c r="V52" i="22"/>
  <c r="W52" i="22"/>
  <c r="X52" i="22"/>
  <c r="Y52" i="22"/>
  <c r="Z52" i="22"/>
  <c r="AA52" i="22"/>
  <c r="AB52" i="22"/>
  <c r="AC52" i="22"/>
  <c r="AD52" i="22"/>
  <c r="AE52" i="22"/>
  <c r="AF52" i="22"/>
  <c r="D53" i="22"/>
  <c r="E53" i="22"/>
  <c r="F53" i="22"/>
  <c r="G53" i="22"/>
  <c r="H53" i="22"/>
  <c r="I53" i="22"/>
  <c r="J53" i="22"/>
  <c r="K53" i="22"/>
  <c r="L53" i="22"/>
  <c r="M53" i="22"/>
  <c r="N53" i="22"/>
  <c r="O53" i="22"/>
  <c r="P53" i="22"/>
  <c r="Q53" i="22"/>
  <c r="R53" i="22"/>
  <c r="S53" i="22"/>
  <c r="T53" i="22"/>
  <c r="U53" i="22"/>
  <c r="V53" i="22"/>
  <c r="W53" i="22"/>
  <c r="X53" i="22"/>
  <c r="Y53" i="22"/>
  <c r="Z53" i="22"/>
  <c r="AA53" i="22"/>
  <c r="AB53" i="22"/>
  <c r="AC53" i="22"/>
  <c r="AD53" i="22"/>
  <c r="AE53" i="22"/>
  <c r="AF53" i="22"/>
  <c r="D54" i="22"/>
  <c r="E54" i="22"/>
  <c r="F54" i="22"/>
  <c r="G54" i="22"/>
  <c r="H54" i="22"/>
  <c r="I54" i="22"/>
  <c r="J54" i="22"/>
  <c r="K54" i="22"/>
  <c r="L54" i="22"/>
  <c r="M54" i="22"/>
  <c r="N54" i="22"/>
  <c r="O54" i="22"/>
  <c r="P54" i="22"/>
  <c r="Q54" i="22"/>
  <c r="R54" i="22"/>
  <c r="S54" i="22"/>
  <c r="T54" i="22"/>
  <c r="U54" i="22"/>
  <c r="V54" i="22"/>
  <c r="W54" i="22"/>
  <c r="X54" i="22"/>
  <c r="Y54" i="22"/>
  <c r="Z54" i="22"/>
  <c r="AA54" i="22"/>
  <c r="AB54" i="22"/>
  <c r="AC54" i="22"/>
  <c r="AD54" i="22"/>
  <c r="AE54" i="22"/>
  <c r="AF54" i="22"/>
  <c r="D55" i="22"/>
  <c r="E55" i="22"/>
  <c r="F55" i="22"/>
  <c r="G55" i="22"/>
  <c r="H55" i="22"/>
  <c r="I55" i="22"/>
  <c r="J55" i="22"/>
  <c r="K55" i="22"/>
  <c r="L55" i="22"/>
  <c r="M55" i="22"/>
  <c r="N55" i="22"/>
  <c r="O55" i="22"/>
  <c r="P55" i="22"/>
  <c r="Q55" i="22"/>
  <c r="R55" i="22"/>
  <c r="S55" i="22"/>
  <c r="T55" i="22"/>
  <c r="U55" i="22"/>
  <c r="V55" i="22"/>
  <c r="W55" i="22"/>
  <c r="X55" i="22"/>
  <c r="Y55" i="22"/>
  <c r="Z55" i="22"/>
  <c r="AA55" i="22"/>
  <c r="AB55" i="22"/>
  <c r="AC55" i="22"/>
  <c r="AD55" i="22"/>
  <c r="AE55" i="22"/>
  <c r="AF55" i="22"/>
  <c r="D58" i="22"/>
  <c r="E58" i="22"/>
  <c r="F58" i="22"/>
  <c r="G58" i="22"/>
  <c r="H58" i="22"/>
  <c r="I58" i="22"/>
  <c r="J58" i="22"/>
  <c r="K58" i="22"/>
  <c r="L58" i="22"/>
  <c r="M58" i="22"/>
  <c r="N58" i="22"/>
  <c r="O58" i="22"/>
  <c r="P58" i="22"/>
  <c r="Q58" i="22"/>
  <c r="R58" i="22"/>
  <c r="S58" i="22"/>
  <c r="T58" i="22"/>
  <c r="U58" i="22"/>
  <c r="V58" i="22"/>
  <c r="W58" i="22"/>
  <c r="X58" i="22"/>
  <c r="Y58" i="22"/>
  <c r="Z58" i="22"/>
  <c r="AA58" i="22"/>
  <c r="AB58" i="22"/>
  <c r="AC58" i="22"/>
  <c r="AD58" i="22"/>
  <c r="AE58" i="22"/>
  <c r="AF58" i="22"/>
  <c r="D59" i="22"/>
  <c r="E59" i="22"/>
  <c r="F59" i="22"/>
  <c r="G59" i="22"/>
  <c r="H59" i="22"/>
  <c r="I59" i="22"/>
  <c r="J59" i="22"/>
  <c r="K59" i="22"/>
  <c r="L59" i="22"/>
  <c r="M59" i="22"/>
  <c r="N59" i="22"/>
  <c r="O59" i="22"/>
  <c r="P59" i="22"/>
  <c r="Q59" i="22"/>
  <c r="R59" i="22"/>
  <c r="S59" i="22"/>
  <c r="T59" i="22"/>
  <c r="U59" i="22"/>
  <c r="V59" i="22"/>
  <c r="W59" i="22"/>
  <c r="X59" i="22"/>
  <c r="Y59" i="22"/>
  <c r="Z59" i="22"/>
  <c r="AA59" i="22"/>
  <c r="AB59" i="22"/>
  <c r="AC59" i="22"/>
  <c r="AD59" i="22"/>
  <c r="AE59" i="22"/>
  <c r="AF59" i="22"/>
  <c r="D60" i="22"/>
  <c r="E60" i="22"/>
  <c r="F60" i="22"/>
  <c r="G60" i="22"/>
  <c r="H60" i="22"/>
  <c r="I60" i="22"/>
  <c r="J60" i="22"/>
  <c r="K60" i="22"/>
  <c r="L60" i="22"/>
  <c r="M60" i="22"/>
  <c r="N60" i="22"/>
  <c r="O60" i="22"/>
  <c r="P60" i="22"/>
  <c r="Q60" i="22"/>
  <c r="R60" i="22"/>
  <c r="S60" i="22"/>
  <c r="T60" i="22"/>
  <c r="U60" i="22"/>
  <c r="V60" i="22"/>
  <c r="W60" i="22"/>
  <c r="X60" i="22"/>
  <c r="Y60" i="22"/>
  <c r="Z60" i="22"/>
  <c r="AA60" i="22"/>
  <c r="AB60" i="22"/>
  <c r="AC60" i="22"/>
  <c r="AD60" i="22"/>
  <c r="AE60" i="22"/>
  <c r="AF60" i="22"/>
  <c r="C60" i="22"/>
  <c r="C59" i="22"/>
  <c r="C58" i="22"/>
  <c r="C55" i="22"/>
  <c r="C54" i="22"/>
  <c r="C53" i="22"/>
  <c r="C52" i="22"/>
  <c r="C51" i="22"/>
  <c r="C50" i="22"/>
  <c r="C49" i="22"/>
  <c r="C46" i="22"/>
  <c r="C43" i="22"/>
  <c r="C42" i="22"/>
  <c r="C37" i="22"/>
  <c r="C36" i="22"/>
  <c r="C35" i="22"/>
  <c r="C34" i="22"/>
  <c r="C33" i="22"/>
  <c r="C32" i="22"/>
  <c r="C31" i="22"/>
  <c r="C30" i="22"/>
  <c r="C29" i="22"/>
  <c r="C28" i="22"/>
  <c r="C27" i="22"/>
  <c r="C25" i="22"/>
  <c r="C24" i="22"/>
  <c r="C23" i="22"/>
  <c r="C22" i="22"/>
  <c r="C21" i="22"/>
  <c r="C20" i="22"/>
  <c r="C19" i="22"/>
  <c r="C18" i="22"/>
  <c r="C16" i="22"/>
  <c r="C57" i="23" s="1"/>
  <c r="F64" i="23" s="1"/>
  <c r="C64" i="23"/>
  <c r="C67" i="23" s="1"/>
  <c r="C65" i="23"/>
  <c r="C68" i="23" s="1"/>
  <c r="AF17" i="21"/>
  <c r="AF60" i="23" s="1"/>
  <c r="AF19" i="21"/>
  <c r="AF20" i="21"/>
  <c r="AF21" i="21"/>
  <c r="AF22" i="21"/>
  <c r="AF23" i="21"/>
  <c r="AF24" i="21"/>
  <c r="AF25" i="21"/>
  <c r="AF26" i="21"/>
  <c r="AF28" i="21"/>
  <c r="AF29" i="21"/>
  <c r="AF30" i="21"/>
  <c r="AF31" i="21"/>
  <c r="AF32" i="21"/>
  <c r="AF33" i="21"/>
  <c r="AF34" i="21"/>
  <c r="AF35" i="21"/>
  <c r="AF36" i="21"/>
  <c r="AF37" i="21"/>
  <c r="AF38" i="21"/>
  <c r="AF43" i="21"/>
  <c r="AF46" i="21"/>
  <c r="AF47" i="21"/>
  <c r="AF48" i="21"/>
  <c r="AF49" i="21"/>
  <c r="AF50" i="21"/>
  <c r="AF51" i="21"/>
  <c r="AF52" i="21"/>
  <c r="AF55" i="21"/>
  <c r="AF56" i="21"/>
  <c r="AF57" i="21"/>
  <c r="D17" i="21"/>
  <c r="D16" i="21" s="1"/>
  <c r="E17" i="21"/>
  <c r="E16" i="21" s="1"/>
  <c r="F17" i="21"/>
  <c r="F16" i="21" s="1"/>
  <c r="G17" i="21"/>
  <c r="G16" i="21" s="1"/>
  <c r="H17" i="21"/>
  <c r="H16" i="21" s="1"/>
  <c r="I17" i="21"/>
  <c r="I16" i="21" s="1"/>
  <c r="J17" i="21"/>
  <c r="J16" i="21" s="1"/>
  <c r="K17" i="21"/>
  <c r="K16" i="21" s="1"/>
  <c r="L17" i="21"/>
  <c r="L16" i="21" s="1"/>
  <c r="M17" i="21"/>
  <c r="M16" i="21" s="1"/>
  <c r="N17" i="21"/>
  <c r="N16" i="21" s="1"/>
  <c r="O17" i="21"/>
  <c r="O16" i="21" s="1"/>
  <c r="P17" i="21"/>
  <c r="P16" i="21" s="1"/>
  <c r="Q17" i="21"/>
  <c r="Q16" i="21" s="1"/>
  <c r="R17" i="21"/>
  <c r="R16" i="21" s="1"/>
  <c r="S17" i="21"/>
  <c r="S16" i="21" s="1"/>
  <c r="T17" i="21"/>
  <c r="T16" i="21" s="1"/>
  <c r="U17" i="21"/>
  <c r="U16" i="21" s="1"/>
  <c r="V17" i="21"/>
  <c r="V16" i="21" s="1"/>
  <c r="W17" i="21"/>
  <c r="W16" i="21" s="1"/>
  <c r="X17" i="21"/>
  <c r="X16" i="21" s="1"/>
  <c r="Y17" i="21"/>
  <c r="Y16" i="21" s="1"/>
  <c r="Z17" i="21"/>
  <c r="Z16" i="21" s="1"/>
  <c r="AA17" i="21"/>
  <c r="AA16" i="21" s="1"/>
  <c r="AB17" i="21"/>
  <c r="AB16" i="21" s="1"/>
  <c r="AC17" i="21"/>
  <c r="AC16" i="21" s="1"/>
  <c r="AD17" i="21"/>
  <c r="AD16" i="21" s="1"/>
  <c r="AE17" i="21"/>
  <c r="AE16" i="21" s="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C71" i="21"/>
  <c r="C70" i="21"/>
  <c r="C69" i="21"/>
  <c r="C68" i="21"/>
  <c r="C67" i="21"/>
  <c r="C66" i="21"/>
  <c r="C65" i="21"/>
  <c r="C64" i="21"/>
  <c r="C63" i="21"/>
  <c r="C62" i="21"/>
  <c r="C61" i="21"/>
  <c r="C60" i="21"/>
  <c r="C57" i="21"/>
  <c r="C56" i="21"/>
  <c r="C55" i="21"/>
  <c r="C52" i="21"/>
  <c r="C51" i="21"/>
  <c r="C50" i="21"/>
  <c r="C49" i="21"/>
  <c r="C48" i="21"/>
  <c r="C47" i="21"/>
  <c r="C46" i="21"/>
  <c r="C43" i="21"/>
  <c r="C38" i="21"/>
  <c r="C37" i="21"/>
  <c r="C36" i="21"/>
  <c r="C35" i="21"/>
  <c r="C34" i="21"/>
  <c r="C33" i="21"/>
  <c r="C32" i="21"/>
  <c r="C31" i="21"/>
  <c r="C30" i="21"/>
  <c r="C29" i="21"/>
  <c r="C28" i="21"/>
  <c r="C26" i="21"/>
  <c r="C25" i="21"/>
  <c r="C24" i="21"/>
  <c r="C23" i="21"/>
  <c r="C22" i="21"/>
  <c r="C21" i="21"/>
  <c r="C20" i="21"/>
  <c r="C19" i="21"/>
  <c r="C17" i="21"/>
  <c r="C16" i="21" s="1"/>
  <c r="D54" i="18"/>
  <c r="E54" i="18"/>
  <c r="F54" i="18"/>
  <c r="G54" i="18"/>
  <c r="H54" i="18"/>
  <c r="I54" i="18"/>
  <c r="J54" i="18"/>
  <c r="K54" i="18"/>
  <c r="L54" i="18"/>
  <c r="M54" i="18"/>
  <c r="N54" i="18"/>
  <c r="O54" i="18"/>
  <c r="P54" i="18"/>
  <c r="Q54" i="18"/>
  <c r="R54" i="18"/>
  <c r="S54" i="18"/>
  <c r="T54" i="18"/>
  <c r="U54" i="18"/>
  <c r="V54" i="18"/>
  <c r="W54" i="18"/>
  <c r="X54" i="18"/>
  <c r="Y54" i="18"/>
  <c r="Z54" i="18"/>
  <c r="AA54" i="18"/>
  <c r="AB54" i="18"/>
  <c r="AC54" i="18"/>
  <c r="AD54" i="18"/>
  <c r="AE54" i="18"/>
  <c r="D55" i="18"/>
  <c r="E55" i="18"/>
  <c r="F55" i="18"/>
  <c r="G55" i="18"/>
  <c r="H55" i="18"/>
  <c r="I55" i="18"/>
  <c r="J55" i="18"/>
  <c r="K55" i="18"/>
  <c r="L55" i="18"/>
  <c r="M55" i="18"/>
  <c r="N55" i="18"/>
  <c r="O55" i="18"/>
  <c r="P55" i="18"/>
  <c r="Q55" i="18"/>
  <c r="R55" i="18"/>
  <c r="S55" i="18"/>
  <c r="T55" i="18"/>
  <c r="U55" i="18"/>
  <c r="V55" i="18"/>
  <c r="W55" i="18"/>
  <c r="X55" i="18"/>
  <c r="Y55" i="18"/>
  <c r="Z55" i="18"/>
  <c r="AA55" i="18"/>
  <c r="AB55" i="18"/>
  <c r="AC55" i="18"/>
  <c r="AD55" i="18"/>
  <c r="AE55" i="18"/>
  <c r="D61" i="18"/>
  <c r="E61" i="18"/>
  <c r="F61" i="18"/>
  <c r="G61" i="18"/>
  <c r="H61" i="18"/>
  <c r="I61" i="18"/>
  <c r="J61" i="18"/>
  <c r="K61" i="18"/>
  <c r="L61" i="18"/>
  <c r="M61" i="18"/>
  <c r="N61" i="18"/>
  <c r="O61" i="18"/>
  <c r="P61" i="18"/>
  <c r="Q61" i="18"/>
  <c r="R61" i="18"/>
  <c r="S61" i="18"/>
  <c r="T61" i="18"/>
  <c r="U61" i="18"/>
  <c r="V61" i="18"/>
  <c r="W61" i="18"/>
  <c r="X61" i="18"/>
  <c r="Y61" i="18"/>
  <c r="Z61" i="18"/>
  <c r="AA61" i="18"/>
  <c r="AB61" i="18"/>
  <c r="AC61" i="18"/>
  <c r="AD61" i="18"/>
  <c r="AE61" i="18"/>
  <c r="D62" i="18"/>
  <c r="E62" i="18"/>
  <c r="F62" i="18"/>
  <c r="G62" i="18"/>
  <c r="H62" i="18"/>
  <c r="I62" i="18"/>
  <c r="J62" i="18"/>
  <c r="K62" i="18"/>
  <c r="L62" i="18"/>
  <c r="M62" i="18"/>
  <c r="N62" i="18"/>
  <c r="O62" i="18"/>
  <c r="P62" i="18"/>
  <c r="Q62" i="18"/>
  <c r="R62" i="18"/>
  <c r="S62" i="18"/>
  <c r="T62" i="18"/>
  <c r="U62" i="18"/>
  <c r="V62" i="18"/>
  <c r="W62" i="18"/>
  <c r="X62" i="18"/>
  <c r="Y62" i="18"/>
  <c r="Z62" i="18"/>
  <c r="AA62" i="18"/>
  <c r="AB62" i="18"/>
  <c r="AC62" i="18"/>
  <c r="AD62" i="18"/>
  <c r="AE62" i="18"/>
  <c r="D63" i="18"/>
  <c r="E63" i="18"/>
  <c r="F63" i="18"/>
  <c r="G63" i="18"/>
  <c r="H63" i="18"/>
  <c r="I63" i="18"/>
  <c r="J63" i="18"/>
  <c r="K63" i="18"/>
  <c r="L63" i="18"/>
  <c r="M63" i="18"/>
  <c r="N63" i="18"/>
  <c r="O63" i="18"/>
  <c r="P63" i="18"/>
  <c r="Q63" i="18"/>
  <c r="R63" i="18"/>
  <c r="S63" i="18"/>
  <c r="T63" i="18"/>
  <c r="U63" i="18"/>
  <c r="V63" i="18"/>
  <c r="W63" i="18"/>
  <c r="X63" i="18"/>
  <c r="Y63" i="18"/>
  <c r="Z63" i="18"/>
  <c r="AA63" i="18"/>
  <c r="AB63" i="18"/>
  <c r="AC63" i="18"/>
  <c r="AD63" i="18"/>
  <c r="AE63" i="18"/>
  <c r="D64" i="18"/>
  <c r="E64" i="18"/>
  <c r="F64" i="18"/>
  <c r="G64" i="18"/>
  <c r="H64" i="18"/>
  <c r="I64" i="18"/>
  <c r="J64" i="18"/>
  <c r="K64" i="18"/>
  <c r="L64" i="18"/>
  <c r="M64" i="18"/>
  <c r="N64" i="18"/>
  <c r="O64" i="18"/>
  <c r="P64" i="18"/>
  <c r="Q64" i="18"/>
  <c r="R64" i="18"/>
  <c r="S64" i="18"/>
  <c r="T64" i="18"/>
  <c r="U64" i="18"/>
  <c r="V64" i="18"/>
  <c r="W64" i="18"/>
  <c r="X64" i="18"/>
  <c r="Y64" i="18"/>
  <c r="Z64" i="18"/>
  <c r="AA64" i="18"/>
  <c r="AB64" i="18"/>
  <c r="AC64" i="18"/>
  <c r="AD64" i="18"/>
  <c r="AE64" i="18"/>
  <c r="D65" i="18"/>
  <c r="E65" i="18"/>
  <c r="F65" i="18"/>
  <c r="G65" i="18"/>
  <c r="H65" i="18"/>
  <c r="I65" i="18"/>
  <c r="J65" i="18"/>
  <c r="K65" i="18"/>
  <c r="L65" i="18"/>
  <c r="M65" i="18"/>
  <c r="N65" i="18"/>
  <c r="O65" i="18"/>
  <c r="P65" i="18"/>
  <c r="Q65" i="18"/>
  <c r="R65" i="18"/>
  <c r="S65" i="18"/>
  <c r="T65" i="18"/>
  <c r="U65" i="18"/>
  <c r="V65" i="18"/>
  <c r="W65" i="18"/>
  <c r="X65" i="18"/>
  <c r="Y65" i="18"/>
  <c r="Z65" i="18"/>
  <c r="AA65" i="18"/>
  <c r="AB65" i="18"/>
  <c r="AC65" i="18"/>
  <c r="AD65" i="18"/>
  <c r="AE65" i="18"/>
  <c r="D68" i="18"/>
  <c r="E68" i="18"/>
  <c r="F68" i="18"/>
  <c r="G68" i="18"/>
  <c r="H68" i="18"/>
  <c r="I68" i="18"/>
  <c r="J68" i="18"/>
  <c r="K68" i="18"/>
  <c r="L68" i="18"/>
  <c r="M68" i="18"/>
  <c r="N68" i="18"/>
  <c r="O68" i="18"/>
  <c r="P68" i="18"/>
  <c r="Q68" i="18"/>
  <c r="R68" i="18"/>
  <c r="S68" i="18"/>
  <c r="T68" i="18"/>
  <c r="U68" i="18"/>
  <c r="V68" i="18"/>
  <c r="W68" i="18"/>
  <c r="X68" i="18"/>
  <c r="Y68" i="18"/>
  <c r="Z68" i="18"/>
  <c r="AA68" i="18"/>
  <c r="AB68" i="18"/>
  <c r="AC68" i="18"/>
  <c r="AD68" i="18"/>
  <c r="AE68" i="18"/>
  <c r="D69" i="18"/>
  <c r="E69" i="18"/>
  <c r="F69" i="18"/>
  <c r="G69" i="18"/>
  <c r="H69" i="18"/>
  <c r="I69" i="18"/>
  <c r="J69" i="18"/>
  <c r="K69" i="18"/>
  <c r="L69" i="18"/>
  <c r="M69" i="18"/>
  <c r="N69" i="18"/>
  <c r="O69" i="18"/>
  <c r="P69" i="18"/>
  <c r="Q69" i="18"/>
  <c r="R69" i="18"/>
  <c r="S69" i="18"/>
  <c r="T69" i="18"/>
  <c r="U69" i="18"/>
  <c r="V69" i="18"/>
  <c r="W69" i="18"/>
  <c r="X69" i="18"/>
  <c r="Y69" i="18"/>
  <c r="Z69" i="18"/>
  <c r="AA69" i="18"/>
  <c r="AB69" i="18"/>
  <c r="AC69" i="18"/>
  <c r="AD69" i="18"/>
  <c r="AE69" i="18"/>
  <c r="D70" i="18"/>
  <c r="E70" i="18"/>
  <c r="F70" i="18"/>
  <c r="G70" i="18"/>
  <c r="H70" i="18"/>
  <c r="I70" i="18"/>
  <c r="J70" i="18"/>
  <c r="K70" i="18"/>
  <c r="L70" i="18"/>
  <c r="M70" i="18"/>
  <c r="N70" i="18"/>
  <c r="O70" i="18"/>
  <c r="P70" i="18"/>
  <c r="Q70" i="18"/>
  <c r="R70" i="18"/>
  <c r="S70" i="18"/>
  <c r="T70" i="18"/>
  <c r="U70" i="18"/>
  <c r="V70" i="18"/>
  <c r="W70" i="18"/>
  <c r="X70" i="18"/>
  <c r="Y70" i="18"/>
  <c r="Z70" i="18"/>
  <c r="AA70" i="18"/>
  <c r="AB70" i="18"/>
  <c r="AC70" i="18"/>
  <c r="AD70" i="18"/>
  <c r="AE70" i="18"/>
  <c r="D71" i="18"/>
  <c r="E71" i="18"/>
  <c r="F71" i="18"/>
  <c r="G71" i="18"/>
  <c r="H71" i="18"/>
  <c r="I71" i="18"/>
  <c r="J71" i="18"/>
  <c r="K71" i="18"/>
  <c r="L71" i="18"/>
  <c r="M71" i="18"/>
  <c r="N71" i="18"/>
  <c r="O71" i="18"/>
  <c r="P71" i="18"/>
  <c r="Q71" i="18"/>
  <c r="R71" i="18"/>
  <c r="S71" i="18"/>
  <c r="T71" i="18"/>
  <c r="U71" i="18"/>
  <c r="V71" i="18"/>
  <c r="W71" i="18"/>
  <c r="X71" i="18"/>
  <c r="Y71" i="18"/>
  <c r="Z71" i="18"/>
  <c r="AA71" i="18"/>
  <c r="AB71" i="18"/>
  <c r="AC71" i="18"/>
  <c r="AD71" i="18"/>
  <c r="AE71" i="18"/>
  <c r="D29" i="18"/>
  <c r="E29" i="18"/>
  <c r="F29" i="18"/>
  <c r="G29" i="18"/>
  <c r="H29" i="18"/>
  <c r="I29" i="18"/>
  <c r="J29" i="18"/>
  <c r="K29" i="18"/>
  <c r="L29" i="18"/>
  <c r="M29" i="18"/>
  <c r="N29" i="18"/>
  <c r="O29" i="18"/>
  <c r="P29" i="18"/>
  <c r="Q29" i="18"/>
  <c r="R29" i="18"/>
  <c r="S29" i="18"/>
  <c r="T29" i="18"/>
  <c r="U29" i="18"/>
  <c r="V29" i="18"/>
  <c r="W29" i="18"/>
  <c r="X29" i="18"/>
  <c r="Y29" i="18"/>
  <c r="Z29" i="18"/>
  <c r="AA29" i="18"/>
  <c r="AB29" i="18"/>
  <c r="AC29" i="18"/>
  <c r="AD29" i="18"/>
  <c r="AE29" i="18"/>
  <c r="D30" i="18"/>
  <c r="E30" i="18"/>
  <c r="F30" i="18"/>
  <c r="G30" i="18"/>
  <c r="H30" i="18"/>
  <c r="I30" i="18"/>
  <c r="J30" i="18"/>
  <c r="K30" i="18"/>
  <c r="L30" i="18"/>
  <c r="M30" i="18"/>
  <c r="N30" i="18"/>
  <c r="O30" i="18"/>
  <c r="P30" i="18"/>
  <c r="Q30" i="18"/>
  <c r="R30" i="18"/>
  <c r="S30" i="18"/>
  <c r="T30" i="18"/>
  <c r="U30" i="18"/>
  <c r="V30" i="18"/>
  <c r="W30" i="18"/>
  <c r="X30" i="18"/>
  <c r="Y30" i="18"/>
  <c r="Z30" i="18"/>
  <c r="AA30" i="18"/>
  <c r="AB30" i="18"/>
  <c r="AC30" i="18"/>
  <c r="AD30" i="18"/>
  <c r="AE30" i="18"/>
  <c r="D36" i="18"/>
  <c r="E36" i="18"/>
  <c r="F36" i="18"/>
  <c r="G36" i="18"/>
  <c r="H36" i="18"/>
  <c r="I36" i="18"/>
  <c r="J36" i="18"/>
  <c r="K36" i="18"/>
  <c r="L36" i="18"/>
  <c r="M36" i="18"/>
  <c r="N36" i="18"/>
  <c r="O36" i="18"/>
  <c r="P36" i="18"/>
  <c r="Q36" i="18"/>
  <c r="R36" i="18"/>
  <c r="S36" i="18"/>
  <c r="T36" i="18"/>
  <c r="U36" i="18"/>
  <c r="V36" i="18"/>
  <c r="W36" i="18"/>
  <c r="X36" i="18"/>
  <c r="Y36" i="18"/>
  <c r="Z36" i="18"/>
  <c r="AA36" i="18"/>
  <c r="AB36" i="18"/>
  <c r="AC36" i="18"/>
  <c r="AD36" i="18"/>
  <c r="AE36" i="18"/>
  <c r="D37" i="18"/>
  <c r="E37" i="18"/>
  <c r="F37" i="18"/>
  <c r="G37" i="18"/>
  <c r="H37" i="18"/>
  <c r="I37" i="18"/>
  <c r="J37" i="18"/>
  <c r="K37" i="18"/>
  <c r="L37" i="18"/>
  <c r="M37" i="18"/>
  <c r="N37" i="18"/>
  <c r="O37" i="18"/>
  <c r="P37" i="18"/>
  <c r="Q37" i="18"/>
  <c r="R37" i="18"/>
  <c r="S37" i="18"/>
  <c r="T37" i="18"/>
  <c r="U37" i="18"/>
  <c r="V37" i="18"/>
  <c r="W37" i="18"/>
  <c r="X37" i="18"/>
  <c r="Y37" i="18"/>
  <c r="Z37" i="18"/>
  <c r="AA37" i="18"/>
  <c r="AB37" i="18"/>
  <c r="AC37" i="18"/>
  <c r="AD37" i="18"/>
  <c r="AE37" i="18"/>
  <c r="D38" i="18"/>
  <c r="E38" i="18"/>
  <c r="F38" i="18"/>
  <c r="G38" i="18"/>
  <c r="H38" i="18"/>
  <c r="I38" i="18"/>
  <c r="J38" i="18"/>
  <c r="K38" i="18"/>
  <c r="L38" i="18"/>
  <c r="M38" i="18"/>
  <c r="N38" i="18"/>
  <c r="O38" i="18"/>
  <c r="P38" i="18"/>
  <c r="Q38" i="18"/>
  <c r="R38" i="18"/>
  <c r="S38" i="18"/>
  <c r="T38" i="18"/>
  <c r="U38" i="18"/>
  <c r="V38" i="18"/>
  <c r="W38" i="18"/>
  <c r="X38" i="18"/>
  <c r="Y38" i="18"/>
  <c r="Z38" i="18"/>
  <c r="AA38" i="18"/>
  <c r="AB38" i="18"/>
  <c r="AC38" i="18"/>
  <c r="AD38" i="18"/>
  <c r="AE38" i="18"/>
  <c r="D39" i="18"/>
  <c r="E39" i="18"/>
  <c r="F39" i="18"/>
  <c r="G39" i="18"/>
  <c r="H39" i="18"/>
  <c r="I39" i="18"/>
  <c r="J39" i="18"/>
  <c r="K39" i="18"/>
  <c r="L39" i="18"/>
  <c r="M39" i="18"/>
  <c r="N39" i="18"/>
  <c r="O39" i="18"/>
  <c r="P39" i="18"/>
  <c r="Q39" i="18"/>
  <c r="R39" i="18"/>
  <c r="S39" i="18"/>
  <c r="T39" i="18"/>
  <c r="U39" i="18"/>
  <c r="V39" i="18"/>
  <c r="W39" i="18"/>
  <c r="X39" i="18"/>
  <c r="Y39" i="18"/>
  <c r="Z39" i="18"/>
  <c r="AA39" i="18"/>
  <c r="AB39" i="18"/>
  <c r="AC39" i="18"/>
  <c r="AD39" i="18"/>
  <c r="AE39" i="18"/>
  <c r="D40" i="18"/>
  <c r="E40" i="18"/>
  <c r="F40" i="18"/>
  <c r="G40" i="18"/>
  <c r="H40" i="18"/>
  <c r="I40" i="18"/>
  <c r="J40" i="18"/>
  <c r="K40" i="18"/>
  <c r="L40" i="18"/>
  <c r="M40" i="18"/>
  <c r="N40" i="18"/>
  <c r="O40" i="18"/>
  <c r="P40" i="18"/>
  <c r="Q40" i="18"/>
  <c r="R40" i="18"/>
  <c r="S40" i="18"/>
  <c r="T40" i="18"/>
  <c r="U40" i="18"/>
  <c r="V40" i="18"/>
  <c r="W40" i="18"/>
  <c r="X40" i="18"/>
  <c r="Y40" i="18"/>
  <c r="Z40" i="18"/>
  <c r="AA40" i="18"/>
  <c r="AB40" i="18"/>
  <c r="AC40" i="18"/>
  <c r="AD40" i="18"/>
  <c r="AE40" i="18"/>
  <c r="D43" i="18"/>
  <c r="E43" i="18"/>
  <c r="F43" i="18"/>
  <c r="G43" i="18"/>
  <c r="H43" i="18"/>
  <c r="I43" i="18"/>
  <c r="J43" i="18"/>
  <c r="K43" i="18"/>
  <c r="L43" i="18"/>
  <c r="M43" i="18"/>
  <c r="N43" i="18"/>
  <c r="O43" i="18"/>
  <c r="P43" i="18"/>
  <c r="Q43" i="18"/>
  <c r="R43" i="18"/>
  <c r="S43" i="18"/>
  <c r="T43" i="18"/>
  <c r="U43" i="18"/>
  <c r="V43" i="18"/>
  <c r="W43" i="18"/>
  <c r="X43" i="18"/>
  <c r="Y43" i="18"/>
  <c r="Z43" i="18"/>
  <c r="AA43" i="18"/>
  <c r="AB43" i="18"/>
  <c r="AC43" i="18"/>
  <c r="AD43" i="18"/>
  <c r="AE43" i="18"/>
  <c r="D44" i="18"/>
  <c r="E44" i="18"/>
  <c r="F44" i="18"/>
  <c r="G44" i="18"/>
  <c r="H44" i="18"/>
  <c r="I44" i="18"/>
  <c r="J44" i="18"/>
  <c r="K44" i="18"/>
  <c r="L44" i="18"/>
  <c r="M44" i="18"/>
  <c r="N44" i="18"/>
  <c r="O44" i="18"/>
  <c r="P44" i="18"/>
  <c r="Q44" i="18"/>
  <c r="R44" i="18"/>
  <c r="S44" i="18"/>
  <c r="T44" i="18"/>
  <c r="U44" i="18"/>
  <c r="V44" i="18"/>
  <c r="W44" i="18"/>
  <c r="X44" i="18"/>
  <c r="Y44" i="18"/>
  <c r="Z44" i="18"/>
  <c r="AA44" i="18"/>
  <c r="AB44" i="18"/>
  <c r="AC44" i="18"/>
  <c r="AD44" i="18"/>
  <c r="AE44" i="18"/>
  <c r="D45" i="18"/>
  <c r="E45" i="18"/>
  <c r="F45" i="18"/>
  <c r="G45" i="18"/>
  <c r="H45" i="18"/>
  <c r="I45" i="18"/>
  <c r="J45" i="18"/>
  <c r="K45" i="18"/>
  <c r="L45" i="18"/>
  <c r="M45" i="18"/>
  <c r="N45" i="18"/>
  <c r="O45" i="18"/>
  <c r="P45" i="18"/>
  <c r="Q45" i="18"/>
  <c r="R45" i="18"/>
  <c r="S45" i="18"/>
  <c r="T45" i="18"/>
  <c r="U45" i="18"/>
  <c r="V45" i="18"/>
  <c r="W45" i="18"/>
  <c r="X45" i="18"/>
  <c r="Y45" i="18"/>
  <c r="Z45" i="18"/>
  <c r="AA45" i="18"/>
  <c r="AB45" i="18"/>
  <c r="AC45" i="18"/>
  <c r="AD45" i="18"/>
  <c r="AE45" i="18"/>
  <c r="D46" i="18"/>
  <c r="E46" i="18"/>
  <c r="F46" i="18"/>
  <c r="G46" i="18"/>
  <c r="H46" i="18"/>
  <c r="I46" i="18"/>
  <c r="J46" i="18"/>
  <c r="K46" i="18"/>
  <c r="L46" i="18"/>
  <c r="M46" i="18"/>
  <c r="N46" i="18"/>
  <c r="O46" i="18"/>
  <c r="P46" i="18"/>
  <c r="Q46" i="18"/>
  <c r="R46" i="18"/>
  <c r="S46" i="18"/>
  <c r="T46" i="18"/>
  <c r="U46" i="18"/>
  <c r="V46" i="18"/>
  <c r="W46" i="18"/>
  <c r="X46" i="18"/>
  <c r="Y46" i="18"/>
  <c r="Z46" i="18"/>
  <c r="AA46" i="18"/>
  <c r="AB46" i="18"/>
  <c r="AC46" i="18"/>
  <c r="AD46" i="18"/>
  <c r="AE46" i="18"/>
  <c r="D4" i="18"/>
  <c r="E4" i="18"/>
  <c r="F4" i="18"/>
  <c r="G4" i="18"/>
  <c r="H4" i="18"/>
  <c r="I4" i="18"/>
  <c r="J4" i="18"/>
  <c r="K4" i="18"/>
  <c r="L4" i="18"/>
  <c r="M4" i="18"/>
  <c r="N4" i="18"/>
  <c r="O4" i="18"/>
  <c r="P4" i="18"/>
  <c r="Q4" i="18"/>
  <c r="R4" i="18"/>
  <c r="S4" i="18"/>
  <c r="T4" i="18"/>
  <c r="U4" i="18"/>
  <c r="V4" i="18"/>
  <c r="W4" i="18"/>
  <c r="X4" i="18"/>
  <c r="Y4" i="18"/>
  <c r="Z4" i="18"/>
  <c r="AA4" i="18"/>
  <c r="AB4" i="18"/>
  <c r="AC4" i="18"/>
  <c r="AD4" i="18"/>
  <c r="AE4" i="18"/>
  <c r="D5" i="18"/>
  <c r="E5" i="18"/>
  <c r="F5" i="18"/>
  <c r="G5" i="18"/>
  <c r="H5" i="18"/>
  <c r="I5" i="18"/>
  <c r="J5" i="18"/>
  <c r="K5" i="18"/>
  <c r="L5" i="18"/>
  <c r="M5" i="18"/>
  <c r="N5" i="18"/>
  <c r="O5" i="18"/>
  <c r="P5" i="18"/>
  <c r="Q5" i="18"/>
  <c r="R5" i="18"/>
  <c r="S5" i="18"/>
  <c r="T5" i="18"/>
  <c r="U5" i="18"/>
  <c r="V5" i="18"/>
  <c r="W5" i="18"/>
  <c r="X5" i="18"/>
  <c r="Y5" i="18"/>
  <c r="Z5" i="18"/>
  <c r="AA5" i="18"/>
  <c r="AB5" i="18"/>
  <c r="AC5" i="18"/>
  <c r="AD5" i="18"/>
  <c r="AE5" i="18"/>
  <c r="D6" i="18"/>
  <c r="E6" i="18"/>
  <c r="F6" i="18"/>
  <c r="G6" i="18"/>
  <c r="H6" i="18"/>
  <c r="I6" i="18"/>
  <c r="J6" i="18"/>
  <c r="K6" i="18"/>
  <c r="L6" i="18"/>
  <c r="M6" i="18"/>
  <c r="N6" i="18"/>
  <c r="O6" i="18"/>
  <c r="P6" i="18"/>
  <c r="Q6" i="18"/>
  <c r="R6" i="18"/>
  <c r="S6" i="18"/>
  <c r="T6" i="18"/>
  <c r="U6" i="18"/>
  <c r="V6" i="18"/>
  <c r="W6" i="18"/>
  <c r="X6" i="18"/>
  <c r="Y6" i="18"/>
  <c r="Z6" i="18"/>
  <c r="AA6" i="18"/>
  <c r="AB6" i="18"/>
  <c r="AC6" i="18"/>
  <c r="AD6" i="18"/>
  <c r="AE6" i="18"/>
  <c r="D10" i="18"/>
  <c r="E10" i="18"/>
  <c r="F10" i="18"/>
  <c r="G10" i="18"/>
  <c r="H10" i="18"/>
  <c r="I10" i="18"/>
  <c r="J10" i="18"/>
  <c r="K10" i="18"/>
  <c r="L10" i="18"/>
  <c r="M10" i="18"/>
  <c r="N10" i="18"/>
  <c r="O10" i="18"/>
  <c r="P10" i="18"/>
  <c r="Q10" i="18"/>
  <c r="R10" i="18"/>
  <c r="S10" i="18"/>
  <c r="T10" i="18"/>
  <c r="U10" i="18"/>
  <c r="V10" i="18"/>
  <c r="W10" i="18"/>
  <c r="X10" i="18"/>
  <c r="Y10" i="18"/>
  <c r="Z10" i="18"/>
  <c r="AA10" i="18"/>
  <c r="AB10" i="18"/>
  <c r="AC10" i="18"/>
  <c r="AD10" i="18"/>
  <c r="AE10" i="18"/>
  <c r="D11" i="18"/>
  <c r="E11" i="18"/>
  <c r="F11" i="18"/>
  <c r="G11" i="18"/>
  <c r="H11" i="18"/>
  <c r="I11" i="18"/>
  <c r="J11" i="18"/>
  <c r="K11" i="18"/>
  <c r="L11" i="18"/>
  <c r="M11" i="18"/>
  <c r="N11" i="18"/>
  <c r="O11" i="18"/>
  <c r="P11" i="18"/>
  <c r="Q11" i="18"/>
  <c r="R11" i="18"/>
  <c r="S11" i="18"/>
  <c r="T11" i="18"/>
  <c r="U11" i="18"/>
  <c r="V11" i="18"/>
  <c r="W11" i="18"/>
  <c r="X11" i="18"/>
  <c r="Y11" i="18"/>
  <c r="Z11" i="18"/>
  <c r="AA11" i="18"/>
  <c r="AB11" i="18"/>
  <c r="AC11" i="18"/>
  <c r="AD11" i="18"/>
  <c r="AE11" i="18"/>
  <c r="D12" i="18"/>
  <c r="E12" i="18"/>
  <c r="F12" i="18"/>
  <c r="G12" i="18"/>
  <c r="H12" i="18"/>
  <c r="I12" i="18"/>
  <c r="J12" i="18"/>
  <c r="K12" i="18"/>
  <c r="L12" i="18"/>
  <c r="M12" i="18"/>
  <c r="N12" i="18"/>
  <c r="O12" i="18"/>
  <c r="P12" i="18"/>
  <c r="Q12" i="18"/>
  <c r="R12" i="18"/>
  <c r="S12" i="18"/>
  <c r="T12" i="18"/>
  <c r="U12" i="18"/>
  <c r="V12" i="18"/>
  <c r="W12" i="18"/>
  <c r="X12" i="18"/>
  <c r="Y12" i="18"/>
  <c r="Z12" i="18"/>
  <c r="AA12" i="18"/>
  <c r="AB12" i="18"/>
  <c r="AC12" i="18"/>
  <c r="AD12" i="18"/>
  <c r="AE12" i="18"/>
  <c r="D13" i="18"/>
  <c r="E13" i="18"/>
  <c r="F13" i="18"/>
  <c r="G13" i="18"/>
  <c r="H13" i="18"/>
  <c r="I13" i="18"/>
  <c r="J13" i="18"/>
  <c r="K13" i="18"/>
  <c r="L13" i="18"/>
  <c r="M13" i="18"/>
  <c r="N13" i="18"/>
  <c r="O13" i="18"/>
  <c r="P13" i="18"/>
  <c r="Q13" i="18"/>
  <c r="R13" i="18"/>
  <c r="S13" i="18"/>
  <c r="T13" i="18"/>
  <c r="U13" i="18"/>
  <c r="V13" i="18"/>
  <c r="W13" i="18"/>
  <c r="X13" i="18"/>
  <c r="Y13" i="18"/>
  <c r="Z13" i="18"/>
  <c r="AA13" i="18"/>
  <c r="AB13" i="18"/>
  <c r="AC13" i="18"/>
  <c r="AD13" i="18"/>
  <c r="AE13" i="18"/>
  <c r="D14" i="18"/>
  <c r="E14" i="18"/>
  <c r="F14" i="18"/>
  <c r="G14" i="18"/>
  <c r="H14" i="18"/>
  <c r="I14" i="18"/>
  <c r="J14" i="18"/>
  <c r="K14" i="18"/>
  <c r="L14" i="18"/>
  <c r="M14" i="18"/>
  <c r="N14" i="18"/>
  <c r="O14" i="18"/>
  <c r="P14" i="18"/>
  <c r="Q14" i="18"/>
  <c r="R14" i="18"/>
  <c r="S14" i="18"/>
  <c r="T14" i="18"/>
  <c r="U14" i="18"/>
  <c r="V14" i="18"/>
  <c r="W14" i="18"/>
  <c r="X14" i="18"/>
  <c r="Y14" i="18"/>
  <c r="Z14" i="18"/>
  <c r="AA14" i="18"/>
  <c r="AB14" i="18"/>
  <c r="AC14" i="18"/>
  <c r="AD14" i="18"/>
  <c r="AE14" i="18"/>
  <c r="D15" i="18"/>
  <c r="E15" i="18"/>
  <c r="F15" i="18"/>
  <c r="G15" i="18"/>
  <c r="H15" i="18"/>
  <c r="I15" i="18"/>
  <c r="J15" i="18"/>
  <c r="K15" i="18"/>
  <c r="L15" i="18"/>
  <c r="M15" i="18"/>
  <c r="N15" i="18"/>
  <c r="O15" i="18"/>
  <c r="P15" i="18"/>
  <c r="Q15" i="18"/>
  <c r="R15" i="18"/>
  <c r="S15" i="18"/>
  <c r="T15" i="18"/>
  <c r="U15" i="18"/>
  <c r="V15" i="18"/>
  <c r="W15" i="18"/>
  <c r="X15" i="18"/>
  <c r="Y15" i="18"/>
  <c r="Z15" i="18"/>
  <c r="AA15" i="18"/>
  <c r="AB15" i="18"/>
  <c r="AC15" i="18"/>
  <c r="AD15" i="18"/>
  <c r="AE15" i="18"/>
  <c r="D18" i="18"/>
  <c r="E18" i="18"/>
  <c r="F18" i="18"/>
  <c r="G18" i="18"/>
  <c r="H18" i="18"/>
  <c r="I18" i="18"/>
  <c r="J18" i="18"/>
  <c r="K18" i="18"/>
  <c r="L18" i="18"/>
  <c r="M18" i="18"/>
  <c r="N18" i="18"/>
  <c r="O18" i="18"/>
  <c r="P18" i="18"/>
  <c r="Q18" i="18"/>
  <c r="R18" i="18"/>
  <c r="S18" i="18"/>
  <c r="T18" i="18"/>
  <c r="U18" i="18"/>
  <c r="V18" i="18"/>
  <c r="W18" i="18"/>
  <c r="X18" i="18"/>
  <c r="Y18" i="18"/>
  <c r="Z18" i="18"/>
  <c r="AA18" i="18"/>
  <c r="AB18" i="18"/>
  <c r="AC18" i="18"/>
  <c r="AD18" i="18"/>
  <c r="AE18" i="18"/>
  <c r="D19" i="18"/>
  <c r="E19" i="18"/>
  <c r="F19" i="18"/>
  <c r="G19" i="18"/>
  <c r="H19" i="18"/>
  <c r="I19" i="18"/>
  <c r="J19" i="18"/>
  <c r="K19" i="18"/>
  <c r="L19" i="18"/>
  <c r="M19" i="18"/>
  <c r="N19" i="18"/>
  <c r="O19" i="18"/>
  <c r="P19" i="18"/>
  <c r="Q19" i="18"/>
  <c r="R19" i="18"/>
  <c r="S19" i="18"/>
  <c r="T19" i="18"/>
  <c r="U19" i="18"/>
  <c r="V19" i="18"/>
  <c r="W19" i="18"/>
  <c r="X19" i="18"/>
  <c r="Y19" i="18"/>
  <c r="Z19" i="18"/>
  <c r="AA19" i="18"/>
  <c r="AB19" i="18"/>
  <c r="AC19" i="18"/>
  <c r="AD19" i="18"/>
  <c r="AE19" i="18"/>
  <c r="D20" i="18"/>
  <c r="E20" i="18"/>
  <c r="F20" i="18"/>
  <c r="G20" i="18"/>
  <c r="H20" i="18"/>
  <c r="I20" i="18"/>
  <c r="J20" i="18"/>
  <c r="K20" i="18"/>
  <c r="L20" i="18"/>
  <c r="M20" i="18"/>
  <c r="N20" i="18"/>
  <c r="O20" i="18"/>
  <c r="P20" i="18"/>
  <c r="Q20" i="18"/>
  <c r="R20" i="18"/>
  <c r="S20" i="18"/>
  <c r="T20" i="18"/>
  <c r="U20" i="18"/>
  <c r="V20" i="18"/>
  <c r="W20" i="18"/>
  <c r="X20" i="18"/>
  <c r="Y20" i="18"/>
  <c r="Z20" i="18"/>
  <c r="AA20" i="18"/>
  <c r="AB20" i="18"/>
  <c r="AC20" i="18"/>
  <c r="AD20" i="18"/>
  <c r="AE20" i="18"/>
  <c r="D21" i="18"/>
  <c r="E21" i="18"/>
  <c r="F21" i="18"/>
  <c r="G21" i="18"/>
  <c r="H21" i="18"/>
  <c r="I21" i="18"/>
  <c r="J21" i="18"/>
  <c r="K21" i="18"/>
  <c r="L21" i="18"/>
  <c r="M21" i="18"/>
  <c r="N21" i="18"/>
  <c r="O21" i="18"/>
  <c r="P21" i="18"/>
  <c r="Q21" i="18"/>
  <c r="R21" i="18"/>
  <c r="S21" i="18"/>
  <c r="T21" i="18"/>
  <c r="U21" i="18"/>
  <c r="V21" i="18"/>
  <c r="W21" i="18"/>
  <c r="X21" i="18"/>
  <c r="Y21" i="18"/>
  <c r="Z21" i="18"/>
  <c r="AA21" i="18"/>
  <c r="AB21" i="18"/>
  <c r="AC21" i="18"/>
  <c r="AD21" i="18"/>
  <c r="AE21" i="18"/>
  <c r="D22" i="18"/>
  <c r="E22" i="18"/>
  <c r="F22" i="18"/>
  <c r="G22" i="18"/>
  <c r="H22" i="18"/>
  <c r="I22" i="18"/>
  <c r="J22" i="18"/>
  <c r="K22" i="18"/>
  <c r="L22" i="18"/>
  <c r="M22" i="18"/>
  <c r="N22" i="18"/>
  <c r="O22" i="18"/>
  <c r="P22" i="18"/>
  <c r="Q22" i="18"/>
  <c r="R22" i="18"/>
  <c r="S22" i="18"/>
  <c r="T22" i="18"/>
  <c r="U22" i="18"/>
  <c r="V22" i="18"/>
  <c r="W22" i="18"/>
  <c r="X22" i="18"/>
  <c r="Y22" i="18"/>
  <c r="Z22" i="18"/>
  <c r="AA22" i="18"/>
  <c r="AB22" i="18"/>
  <c r="AC22" i="18"/>
  <c r="AD22" i="18"/>
  <c r="AE22" i="18"/>
  <c r="C71" i="18"/>
  <c r="C70" i="18"/>
  <c r="C69" i="18"/>
  <c r="C68" i="18"/>
  <c r="C65" i="18"/>
  <c r="C64" i="18"/>
  <c r="C63" i="18"/>
  <c r="C62" i="18"/>
  <c r="C61" i="18"/>
  <c r="C55" i="18"/>
  <c r="C54" i="18"/>
  <c r="C46" i="18"/>
  <c r="C45" i="18"/>
  <c r="C44" i="18"/>
  <c r="C43" i="18"/>
  <c r="C40" i="18"/>
  <c r="C39" i="18"/>
  <c r="C38" i="18"/>
  <c r="C37" i="18"/>
  <c r="C36" i="18"/>
  <c r="C30" i="18"/>
  <c r="C29" i="18"/>
  <c r="C22" i="18"/>
  <c r="C21" i="18"/>
  <c r="C20" i="18"/>
  <c r="C19" i="18"/>
  <c r="C18" i="18"/>
  <c r="C15" i="18"/>
  <c r="C14" i="18"/>
  <c r="C13" i="18"/>
  <c r="C12" i="18"/>
  <c r="C11" i="18"/>
  <c r="C10" i="18"/>
  <c r="C6" i="18"/>
  <c r="C5" i="18"/>
  <c r="C4" i="18"/>
  <c r="B71" i="18"/>
  <c r="B70" i="18"/>
  <c r="B69" i="18"/>
  <c r="B68" i="18"/>
  <c r="B65" i="18"/>
  <c r="B64" i="18"/>
  <c r="B63" i="18"/>
  <c r="B62" i="18"/>
  <c r="B61" i="18"/>
  <c r="B55" i="18"/>
  <c r="B54" i="18"/>
  <c r="B46" i="18"/>
  <c r="B45" i="18"/>
  <c r="B44" i="18"/>
  <c r="B43" i="18"/>
  <c r="B40" i="18"/>
  <c r="B39" i="18"/>
  <c r="B38" i="18"/>
  <c r="B37" i="18"/>
  <c r="B36" i="18"/>
  <c r="B30" i="18"/>
  <c r="B29" i="18"/>
  <c r="B22" i="18"/>
  <c r="B21" i="18"/>
  <c r="B20" i="18"/>
  <c r="B19" i="18"/>
  <c r="B18" i="18"/>
  <c r="B15" i="18"/>
  <c r="B14" i="18"/>
  <c r="B13" i="18"/>
  <c r="B12" i="18"/>
  <c r="B11" i="18"/>
  <c r="B10" i="18"/>
  <c r="B6" i="18"/>
  <c r="B5" i="18"/>
  <c r="B4" i="18"/>
  <c r="Z57" i="23"/>
  <c r="AC64" i="23" s="1"/>
  <c r="AA57" i="23"/>
  <c r="AD64" i="23" s="1"/>
  <c r="D65" i="23"/>
  <c r="D64" i="23"/>
  <c r="C59" i="23"/>
  <c r="D59" i="23"/>
  <c r="E59" i="23"/>
  <c r="F59" i="23"/>
  <c r="G59" i="23"/>
  <c r="H59" i="23"/>
  <c r="I59" i="23"/>
  <c r="J59" i="23"/>
  <c r="K59" i="23"/>
  <c r="L59" i="23"/>
  <c r="M59" i="23"/>
  <c r="N59" i="23"/>
  <c r="O59" i="23"/>
  <c r="P59" i="23"/>
  <c r="Q59" i="23"/>
  <c r="R59" i="23"/>
  <c r="S59" i="23"/>
  <c r="T59" i="23"/>
  <c r="U59" i="23"/>
  <c r="V59" i="23"/>
  <c r="W59" i="23"/>
  <c r="X59" i="23"/>
  <c r="Y59" i="23"/>
  <c r="Z59" i="23"/>
  <c r="AA59" i="23"/>
  <c r="AB59" i="23"/>
  <c r="AC59" i="23"/>
  <c r="AD59" i="23"/>
  <c r="AE59" i="23"/>
  <c r="AF59" i="23"/>
  <c r="L57" i="23"/>
  <c r="O64" i="23" s="1"/>
  <c r="O57" i="23"/>
  <c r="R64" i="23" s="1"/>
  <c r="C56" i="23"/>
  <c r="D56" i="23"/>
  <c r="E56" i="23"/>
  <c r="F56" i="23"/>
  <c r="G56" i="23"/>
  <c r="H56" i="23"/>
  <c r="I56" i="23"/>
  <c r="J56" i="23"/>
  <c r="K56" i="23"/>
  <c r="L56" i="23"/>
  <c r="M56" i="23"/>
  <c r="N56" i="23"/>
  <c r="O56" i="23"/>
  <c r="P56" i="23"/>
  <c r="Q56" i="23"/>
  <c r="R56" i="23"/>
  <c r="S56" i="23"/>
  <c r="T56" i="23"/>
  <c r="U56" i="23"/>
  <c r="V56" i="23"/>
  <c r="W56" i="23"/>
  <c r="X56" i="23"/>
  <c r="Y56" i="23"/>
  <c r="Z56" i="23"/>
  <c r="AA56" i="23"/>
  <c r="AB56" i="23"/>
  <c r="AC56" i="23"/>
  <c r="AD56" i="23"/>
  <c r="AE56" i="23"/>
  <c r="AF56" i="23"/>
  <c r="A4" i="5"/>
  <c r="A5" i="5"/>
  <c r="A6"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7" i="5"/>
  <c r="J8" i="12" l="1"/>
  <c r="L2" i="19"/>
  <c r="V8" i="12"/>
  <c r="H8" i="12"/>
  <c r="M7" i="12"/>
  <c r="N8" i="19"/>
  <c r="N6" i="19"/>
  <c r="AA2" i="19"/>
  <c r="K2" i="19"/>
  <c r="R7" i="12"/>
  <c r="X8" i="12"/>
  <c r="K8" i="12"/>
  <c r="N7" i="12"/>
  <c r="AE8" i="12"/>
  <c r="U8" i="12"/>
  <c r="F8" i="12"/>
  <c r="L7" i="12"/>
  <c r="N7" i="19"/>
  <c r="M6" i="19"/>
  <c r="X2" i="19"/>
  <c r="H2" i="19"/>
  <c r="S6" i="13"/>
  <c r="P2" i="19"/>
  <c r="P7" i="12"/>
  <c r="T6" i="19"/>
  <c r="AC2" i="19"/>
  <c r="Q6" i="19"/>
  <c r="AD8" i="12"/>
  <c r="S8" i="12"/>
  <c r="E8" i="12"/>
  <c r="K7" i="12"/>
  <c r="AE6" i="19"/>
  <c r="K6" i="19"/>
  <c r="U2" i="19"/>
  <c r="E2" i="19"/>
  <c r="M2" i="19"/>
  <c r="W8" i="12"/>
  <c r="AB2" i="19"/>
  <c r="AC8" i="12"/>
  <c r="N8" i="12"/>
  <c r="D8" i="12"/>
  <c r="Y6" i="19"/>
  <c r="J6" i="19"/>
  <c r="T2" i="19"/>
  <c r="D2" i="19"/>
  <c r="AA6" i="12"/>
  <c r="S6" i="12"/>
  <c r="G6" i="12"/>
  <c r="AD8" i="19"/>
  <c r="AD2" i="19"/>
  <c r="V2" i="19"/>
  <c r="N2" i="19"/>
  <c r="F2" i="19"/>
  <c r="Y8" i="13"/>
  <c r="M8" i="13"/>
  <c r="AC7" i="13"/>
  <c r="L7" i="13"/>
  <c r="U6" i="13"/>
  <c r="Z6" i="12"/>
  <c r="R6" i="12"/>
  <c r="F6" i="12"/>
  <c r="AC8" i="19"/>
  <c r="X8" i="13"/>
  <c r="L8" i="13"/>
  <c r="AB7" i="13"/>
  <c r="K7" i="13"/>
  <c r="T6" i="13"/>
  <c r="W8" i="13"/>
  <c r="K8" i="13"/>
  <c r="L6" i="12"/>
  <c r="X6" i="12"/>
  <c r="P6" i="12"/>
  <c r="D6" i="12"/>
  <c r="M8" i="19"/>
  <c r="V8" i="13"/>
  <c r="J8" i="13"/>
  <c r="V7" i="13"/>
  <c r="I7" i="13"/>
  <c r="R6" i="13"/>
  <c r="AE6" i="12"/>
  <c r="W6" i="12"/>
  <c r="K6" i="12"/>
  <c r="C2" i="19"/>
  <c r="J8" i="19"/>
  <c r="Z2" i="19"/>
  <c r="R2" i="19"/>
  <c r="J2" i="19"/>
  <c r="U8" i="13"/>
  <c r="E8" i="13"/>
  <c r="U7" i="13"/>
  <c r="AE6" i="13"/>
  <c r="K6" i="13"/>
  <c r="P8" i="12"/>
  <c r="AB8" i="12"/>
  <c r="T8" i="12"/>
  <c r="I8" i="12"/>
  <c r="Q7" i="12"/>
  <c r="AD6" i="12"/>
  <c r="V6" i="12"/>
  <c r="J6" i="12"/>
  <c r="C6" i="19"/>
  <c r="I8" i="19"/>
  <c r="S6" i="19"/>
  <c r="H6" i="19"/>
  <c r="Y2" i="19"/>
  <c r="Q2" i="19"/>
  <c r="I2" i="19"/>
  <c r="T8" i="13"/>
  <c r="D8" i="13"/>
  <c r="T7" i="13"/>
  <c r="AD6" i="13"/>
  <c r="J6" i="13"/>
  <c r="U6" i="12"/>
  <c r="I6" i="12"/>
  <c r="AE8" i="13"/>
  <c r="O8" i="13"/>
  <c r="AE7" i="13"/>
  <c r="S7" i="13"/>
  <c r="AC6" i="13"/>
  <c r="I6" i="13"/>
  <c r="AC6" i="12"/>
  <c r="Z8" i="12"/>
  <c r="O8" i="12"/>
  <c r="O7" i="12"/>
  <c r="AB6" i="12"/>
  <c r="T6" i="12"/>
  <c r="F7" i="19"/>
  <c r="O6" i="19"/>
  <c r="AE2" i="19"/>
  <c r="W2" i="19"/>
  <c r="O2" i="19"/>
  <c r="AD8" i="13"/>
  <c r="N8" i="13"/>
  <c r="AD7" i="13"/>
  <c r="M7" i="13"/>
  <c r="AB6" i="13"/>
  <c r="H6" i="13"/>
  <c r="AG71" i="23"/>
  <c r="O60" i="23"/>
  <c r="R65" i="23" s="1"/>
  <c r="Y60" i="23"/>
  <c r="AB65" i="23" s="1"/>
  <c r="AB68" i="23" s="1"/>
  <c r="U60" i="23"/>
  <c r="X65" i="23" s="1"/>
  <c r="X68" i="23" s="1"/>
  <c r="U71" i="23"/>
  <c r="P71" i="23"/>
  <c r="AA71" i="23"/>
  <c r="L71" i="23"/>
  <c r="G71" i="23"/>
  <c r="K71" i="23"/>
  <c r="M71" i="23"/>
  <c r="AF71" i="23"/>
  <c r="AE71" i="23"/>
  <c r="AB71" i="23"/>
  <c r="Y71" i="23"/>
  <c r="H71" i="23"/>
  <c r="J71" i="23"/>
  <c r="O71" i="23"/>
  <c r="I71" i="23"/>
  <c r="X71" i="23"/>
  <c r="V71" i="23"/>
  <c r="Q71" i="23"/>
  <c r="S71" i="23"/>
  <c r="W71" i="23"/>
  <c r="AH71" i="23"/>
  <c r="N71" i="23"/>
  <c r="T71" i="23"/>
  <c r="AC71" i="23"/>
  <c r="R71" i="23"/>
  <c r="Z71" i="23"/>
  <c r="AD71" i="23"/>
  <c r="C71" i="23"/>
  <c r="F71" i="23"/>
  <c r="E71" i="23"/>
  <c r="L60" i="23"/>
  <c r="O65" i="23" s="1"/>
  <c r="O68" i="23" s="1"/>
  <c r="G60" i="23"/>
  <c r="J65" i="23" s="1"/>
  <c r="J68" i="23" s="1"/>
  <c r="AA60" i="23"/>
  <c r="AD65" i="23" s="1"/>
  <c r="T15" i="13"/>
  <c r="V15" i="13"/>
  <c r="W15" i="13"/>
  <c r="U15" i="13"/>
  <c r="D15" i="13"/>
  <c r="X15" i="13"/>
  <c r="E15" i="13"/>
  <c r="Y15" i="13"/>
  <c r="J15" i="13"/>
  <c r="AD15" i="13"/>
  <c r="K15" i="13"/>
  <c r="AE15" i="13"/>
  <c r="N15" i="13"/>
  <c r="O15" i="13"/>
  <c r="C15" i="13"/>
  <c r="L15" i="13"/>
  <c r="M15" i="13"/>
  <c r="Z15" i="13"/>
  <c r="S15" i="13"/>
  <c r="R15" i="13"/>
  <c r="Q15" i="13"/>
  <c r="P15" i="13"/>
  <c r="I15" i="13"/>
  <c r="V2" i="13"/>
  <c r="D2" i="13"/>
  <c r="X2" i="13"/>
  <c r="F2" i="13"/>
  <c r="G2" i="13"/>
  <c r="AA2" i="13"/>
  <c r="H2" i="13"/>
  <c r="E2" i="13"/>
  <c r="Y2" i="13"/>
  <c r="Z2" i="13"/>
  <c r="AB2" i="13"/>
  <c r="I2" i="13"/>
  <c r="AC2" i="13"/>
  <c r="N2" i="13"/>
  <c r="O2" i="13"/>
  <c r="R2" i="13"/>
  <c r="S2" i="13"/>
  <c r="T2" i="13"/>
  <c r="P2" i="13"/>
  <c r="Q2" i="13"/>
  <c r="F15" i="13"/>
  <c r="AD2" i="13"/>
  <c r="M2" i="13"/>
  <c r="L2" i="13"/>
  <c r="AE2" i="13"/>
  <c r="W2" i="13"/>
  <c r="K2" i="13"/>
  <c r="C2" i="13"/>
  <c r="J2" i="13"/>
  <c r="Y16" i="13"/>
  <c r="E16" i="13"/>
  <c r="AC8" i="13"/>
  <c r="I8" i="13"/>
  <c r="Q7" i="13"/>
  <c r="Y6" i="13"/>
  <c r="E6" i="13"/>
  <c r="X16" i="13"/>
  <c r="D16" i="13"/>
  <c r="AB8" i="13"/>
  <c r="H8" i="13"/>
  <c r="P7" i="13"/>
  <c r="X6" i="13"/>
  <c r="D6" i="13"/>
  <c r="AA16" i="13"/>
  <c r="G16" i="13"/>
  <c r="AA6" i="13"/>
  <c r="G6" i="13"/>
  <c r="C16" i="13"/>
  <c r="Z16" i="13"/>
  <c r="F16" i="13"/>
  <c r="R7" i="13"/>
  <c r="Z6" i="13"/>
  <c r="F6" i="13"/>
  <c r="W16" i="13"/>
  <c r="AA8" i="13"/>
  <c r="G8" i="13"/>
  <c r="O7" i="13"/>
  <c r="W6" i="13"/>
  <c r="V16" i="13"/>
  <c r="Z8" i="13"/>
  <c r="F8" i="13"/>
  <c r="N7" i="13"/>
  <c r="V6" i="13"/>
  <c r="Q16" i="13"/>
  <c r="Q6" i="13"/>
  <c r="C6" i="13"/>
  <c r="P16" i="13"/>
  <c r="M16" i="13"/>
  <c r="Q8" i="13"/>
  <c r="Y7" i="13"/>
  <c r="E7" i="13"/>
  <c r="M6" i="13"/>
  <c r="H7" i="13"/>
  <c r="P6" i="13"/>
  <c r="C7" i="13"/>
  <c r="O16" i="13"/>
  <c r="S8" i="13"/>
  <c r="AA7" i="13"/>
  <c r="G7" i="13"/>
  <c r="O6" i="13"/>
  <c r="C8" i="13"/>
  <c r="N16" i="13"/>
  <c r="R8" i="13"/>
  <c r="Z7" i="13"/>
  <c r="F7" i="13"/>
  <c r="N6" i="13"/>
  <c r="X7" i="13"/>
  <c r="J7" i="12"/>
  <c r="AE7" i="12"/>
  <c r="I7" i="12"/>
  <c r="AD7" i="12"/>
  <c r="H7" i="12"/>
  <c r="AC7" i="12"/>
  <c r="G7" i="12"/>
  <c r="AB7" i="12"/>
  <c r="E7" i="12"/>
  <c r="Y7" i="12"/>
  <c r="W7" i="12"/>
  <c r="V7" i="12"/>
  <c r="U7" i="12"/>
  <c r="T7" i="12"/>
  <c r="M7" i="19"/>
  <c r="L8" i="19"/>
  <c r="L7" i="19"/>
  <c r="T16" i="19"/>
  <c r="AE8" i="19"/>
  <c r="K8" i="19"/>
  <c r="G7" i="19"/>
  <c r="AB8" i="19"/>
  <c r="H8" i="19"/>
  <c r="D7" i="19"/>
  <c r="C7" i="19"/>
  <c r="N16" i="19"/>
  <c r="AA8" i="19"/>
  <c r="G8" i="19"/>
  <c r="C8" i="19"/>
  <c r="M16" i="19"/>
  <c r="Z8" i="19"/>
  <c r="F8" i="19"/>
  <c r="AD6" i="19"/>
  <c r="F6" i="19"/>
  <c r="E7" i="19"/>
  <c r="L16" i="19"/>
  <c r="Y8" i="19"/>
  <c r="E8" i="19"/>
  <c r="AC6" i="19"/>
  <c r="E6" i="19"/>
  <c r="K16" i="19"/>
  <c r="X8" i="19"/>
  <c r="D8" i="19"/>
  <c r="AB6" i="19"/>
  <c r="D6" i="19"/>
  <c r="J16" i="19"/>
  <c r="W8" i="19"/>
  <c r="AA7" i="19"/>
  <c r="AA6" i="19"/>
  <c r="F16" i="19"/>
  <c r="V8" i="19"/>
  <c r="Z7" i="19"/>
  <c r="Z6" i="19"/>
  <c r="U8" i="19"/>
  <c r="Y7" i="19"/>
  <c r="T8" i="19"/>
  <c r="X7" i="19"/>
  <c r="S8" i="19"/>
  <c r="W7" i="19"/>
  <c r="R8" i="19"/>
  <c r="Z16" i="19"/>
  <c r="Q8" i="19"/>
  <c r="U7" i="19"/>
  <c r="Y16" i="19"/>
  <c r="T7" i="19"/>
  <c r="V7" i="19"/>
  <c r="P8" i="19"/>
  <c r="X16" i="19"/>
  <c r="Y15" i="19"/>
  <c r="O7" i="19"/>
  <c r="P6" i="19"/>
  <c r="Q16" i="19"/>
  <c r="O16" i="19"/>
  <c r="I16" i="19"/>
  <c r="AB16" i="19"/>
  <c r="H16" i="19"/>
  <c r="AA16" i="19"/>
  <c r="U15" i="19"/>
  <c r="R15" i="19"/>
  <c r="AD15" i="19"/>
  <c r="J15" i="19"/>
  <c r="AC15" i="19"/>
  <c r="S7" i="19"/>
  <c r="R7" i="19"/>
  <c r="Q7" i="19"/>
  <c r="P7" i="19"/>
  <c r="AE7" i="19"/>
  <c r="K7" i="19"/>
  <c r="AD7" i="19"/>
  <c r="J7" i="19"/>
  <c r="AC7" i="19"/>
  <c r="I7" i="19"/>
  <c r="AB7" i="19"/>
  <c r="W6" i="19"/>
  <c r="U6" i="19"/>
  <c r="R6" i="19"/>
  <c r="D2" i="12"/>
  <c r="X2" i="12"/>
  <c r="E2" i="12"/>
  <c r="Y2" i="12"/>
  <c r="AA2" i="12"/>
  <c r="H2" i="12"/>
  <c r="AB2" i="12"/>
  <c r="F2" i="12"/>
  <c r="Z2" i="12"/>
  <c r="G2" i="12"/>
  <c r="I2" i="12"/>
  <c r="J2" i="12"/>
  <c r="K2" i="12"/>
  <c r="M2" i="12"/>
  <c r="N2" i="12"/>
  <c r="O2" i="12"/>
  <c r="P2" i="12"/>
  <c r="L2" i="12"/>
  <c r="AE2" i="12"/>
  <c r="C2" i="12"/>
  <c r="AD2" i="12"/>
  <c r="AC2" i="12"/>
  <c r="W2" i="12"/>
  <c r="V2" i="12"/>
  <c r="U2" i="12"/>
  <c r="T2" i="12"/>
  <c r="S2" i="12"/>
  <c r="R2" i="12"/>
  <c r="Q2" i="12"/>
  <c r="AE16" i="12"/>
  <c r="G16" i="12"/>
  <c r="T15" i="12"/>
  <c r="U15" i="12"/>
  <c r="W15" i="12"/>
  <c r="V15" i="12"/>
  <c r="AD16" i="12"/>
  <c r="J15" i="12"/>
  <c r="L16" i="12"/>
  <c r="M16" i="12"/>
  <c r="O16" i="12"/>
  <c r="N16" i="12"/>
  <c r="AC16" i="12"/>
  <c r="E16" i="12"/>
  <c r="C7" i="12"/>
  <c r="R8" i="12"/>
  <c r="Z7" i="12"/>
  <c r="F7" i="12"/>
  <c r="N6" i="12"/>
  <c r="C6" i="12"/>
  <c r="O6" i="12"/>
  <c r="C8" i="12"/>
  <c r="Q8" i="12"/>
  <c r="M6" i="12"/>
  <c r="X7" i="12"/>
  <c r="H60" i="23"/>
  <c r="K65" i="23" s="1"/>
  <c r="S60" i="23"/>
  <c r="V65" i="23" s="1"/>
  <c r="AB60" i="23"/>
  <c r="AE65" i="23" s="1"/>
  <c r="P60" i="23"/>
  <c r="S65" i="23" s="1"/>
  <c r="N60" i="23"/>
  <c r="Q65" i="23" s="1"/>
  <c r="M60" i="23"/>
  <c r="P65" i="23" s="1"/>
  <c r="D60" i="23"/>
  <c r="G65" i="23" s="1"/>
  <c r="AE60" i="23"/>
  <c r="AH65" i="23" s="1"/>
  <c r="T60" i="23"/>
  <c r="W65" i="23" s="1"/>
  <c r="W60" i="23"/>
  <c r="Z65" i="23" s="1"/>
  <c r="Q60" i="23"/>
  <c r="T65" i="23" s="1"/>
  <c r="F60" i="23"/>
  <c r="I65" i="23" s="1"/>
  <c r="E60" i="23"/>
  <c r="H65" i="23" s="1"/>
  <c r="AC60" i="23"/>
  <c r="AF65" i="23" s="1"/>
  <c r="V60" i="23"/>
  <c r="Y65" i="23" s="1"/>
  <c r="I60" i="23"/>
  <c r="L65" i="23" s="1"/>
  <c r="C60" i="23"/>
  <c r="F65" i="23" s="1"/>
  <c r="K60" i="23"/>
  <c r="N65" i="23" s="1"/>
  <c r="X60" i="23"/>
  <c r="AA65" i="23" s="1"/>
  <c r="AD60" i="23"/>
  <c r="AG65" i="23" s="1"/>
  <c r="Z60" i="23"/>
  <c r="AC65" i="23" s="1"/>
  <c r="R60" i="23"/>
  <c r="U65" i="23" s="1"/>
  <c r="J60" i="23"/>
  <c r="M65" i="23" s="1"/>
  <c r="Z67" i="23"/>
  <c r="AG67" i="23"/>
  <c r="AH67" i="23"/>
  <c r="D67" i="23"/>
  <c r="U67" i="23"/>
  <c r="D68" i="23"/>
  <c r="T67" i="23"/>
  <c r="G67" i="23"/>
  <c r="AE67" i="23"/>
  <c r="Q67" i="23"/>
  <c r="AA67" i="23"/>
  <c r="O67" i="23"/>
  <c r="AF67" i="23"/>
  <c r="H67" i="23"/>
  <c r="R68" i="23"/>
  <c r="M67" i="23"/>
  <c r="W67" i="23"/>
  <c r="L67" i="23"/>
  <c r="X67" i="23"/>
  <c r="N67" i="23"/>
  <c r="J67" i="23"/>
  <c r="AC67" i="23"/>
  <c r="I67" i="23"/>
  <c r="S67" i="23"/>
  <c r="E67" i="23"/>
  <c r="K67" i="23"/>
  <c r="F67" i="23"/>
  <c r="P67" i="23"/>
  <c r="AD67" i="23"/>
  <c r="R67" i="23"/>
  <c r="AB67" i="23"/>
  <c r="Y67" i="23"/>
  <c r="V67" i="23"/>
  <c r="A36" i="6"/>
  <c r="A33" i="6"/>
  <c r="B52" i="18"/>
  <c r="C52" i="18"/>
  <c r="D52" i="18"/>
  <c r="E52" i="18"/>
  <c r="F52" i="18"/>
  <c r="G52" i="18"/>
  <c r="H52" i="18"/>
  <c r="I52" i="18"/>
  <c r="J52" i="18"/>
  <c r="K52" i="18"/>
  <c r="L52" i="18"/>
  <c r="M52" i="18"/>
  <c r="N52" i="18"/>
  <c r="O52" i="18"/>
  <c r="P52" i="18"/>
  <c r="Q52" i="18"/>
  <c r="R52" i="18"/>
  <c r="S52" i="18"/>
  <c r="T52" i="18"/>
  <c r="U52" i="18"/>
  <c r="V52" i="18"/>
  <c r="W52" i="18"/>
  <c r="X52" i="18"/>
  <c r="Y52" i="18"/>
  <c r="Z52" i="18"/>
  <c r="AA52" i="18"/>
  <c r="AB52" i="18"/>
  <c r="AC52" i="18"/>
  <c r="AD52" i="18"/>
  <c r="AE52" i="18"/>
  <c r="B27" i="18"/>
  <c r="C27" i="18"/>
  <c r="D27" i="18"/>
  <c r="E27" i="18"/>
  <c r="F27" i="18"/>
  <c r="G27" i="18"/>
  <c r="H27" i="18"/>
  <c r="I27" i="18"/>
  <c r="J27" i="18"/>
  <c r="K27" i="18"/>
  <c r="L27" i="18"/>
  <c r="M27" i="18"/>
  <c r="N27" i="18"/>
  <c r="O27" i="18"/>
  <c r="P27" i="18"/>
  <c r="Q27" i="18"/>
  <c r="R27" i="18"/>
  <c r="S27" i="18"/>
  <c r="T27" i="18"/>
  <c r="U27" i="18"/>
  <c r="V27" i="18"/>
  <c r="W27" i="18"/>
  <c r="X27" i="18"/>
  <c r="Y27" i="18"/>
  <c r="Z27" i="18"/>
  <c r="AA27" i="18"/>
  <c r="AB27" i="18"/>
  <c r="AC27" i="18"/>
  <c r="AD27" i="18"/>
  <c r="AE27" i="18"/>
  <c r="AD72" i="23" l="1"/>
  <c r="J72" i="23"/>
  <c r="AD68" i="23"/>
  <c r="Z68" i="23"/>
  <c r="Z72" i="23"/>
  <c r="M68" i="23"/>
  <c r="M72" i="23"/>
  <c r="AE68" i="23"/>
  <c r="AE72" i="23"/>
  <c r="H68" i="23"/>
  <c r="H72" i="23"/>
  <c r="I68" i="23"/>
  <c r="I72" i="23"/>
  <c r="V68" i="23"/>
  <c r="V72" i="23"/>
  <c r="AC68" i="23"/>
  <c r="AC72" i="23"/>
  <c r="AA68" i="23"/>
  <c r="AA72" i="23"/>
  <c r="N68" i="23"/>
  <c r="N72" i="23"/>
  <c r="AF68" i="23"/>
  <c r="AF72" i="23"/>
  <c r="K68" i="23"/>
  <c r="K72" i="23"/>
  <c r="AG68" i="23"/>
  <c r="AG72" i="23"/>
  <c r="F68" i="23"/>
  <c r="D72" i="23"/>
  <c r="E72" i="23"/>
  <c r="F72" i="23"/>
  <c r="C72" i="23"/>
  <c r="U68" i="23"/>
  <c r="U72" i="23"/>
  <c r="L68" i="23"/>
  <c r="L72" i="23"/>
  <c r="Y68" i="23"/>
  <c r="Y72" i="23"/>
  <c r="T68" i="23"/>
  <c r="T72" i="23"/>
  <c r="W68" i="23"/>
  <c r="W72" i="23"/>
  <c r="AH68" i="23"/>
  <c r="AH72" i="23"/>
  <c r="G68" i="23"/>
  <c r="G72" i="23"/>
  <c r="O72" i="23"/>
  <c r="P68" i="23"/>
  <c r="P72" i="23"/>
  <c r="AB72" i="23"/>
  <c r="Q68" i="23"/>
  <c r="Q72" i="23"/>
  <c r="R72" i="23"/>
  <c r="S68" i="23"/>
  <c r="S72" i="23"/>
  <c r="X72" i="23"/>
  <c r="E68" i="23"/>
  <c r="C45" i="9" l="1"/>
  <c r="B21" i="19" s="1"/>
  <c r="C46" i="9"/>
  <c r="B22" i="19" s="1"/>
  <c r="C76" i="23"/>
  <c r="U21" i="19" l="1"/>
  <c r="R21" i="19"/>
  <c r="D21" i="19"/>
  <c r="S21" i="19"/>
  <c r="J21" i="19"/>
  <c r="V21" i="19"/>
  <c r="K21" i="19"/>
  <c r="W21" i="19"/>
  <c r="N21" i="19"/>
  <c r="X21" i="19"/>
  <c r="O21" i="19"/>
  <c r="Y21" i="19"/>
  <c r="P21" i="19"/>
  <c r="Z21" i="19"/>
  <c r="Q21" i="19"/>
  <c r="AA21" i="19"/>
  <c r="AD21" i="19"/>
  <c r="E21" i="19"/>
  <c r="G21" i="19"/>
  <c r="AE21" i="19"/>
  <c r="M21" i="19"/>
  <c r="H21" i="19"/>
  <c r="L21" i="19"/>
  <c r="T21" i="19"/>
  <c r="AB21" i="19"/>
  <c r="C21" i="19"/>
  <c r="AC21" i="19"/>
  <c r="F21" i="19"/>
  <c r="I21" i="19"/>
  <c r="N22" i="19"/>
  <c r="G22" i="19"/>
  <c r="P22" i="19"/>
  <c r="X22" i="19"/>
  <c r="C22" i="19"/>
  <c r="H22" i="19"/>
  <c r="Q22" i="19"/>
  <c r="Y22" i="19"/>
  <c r="I22" i="19"/>
  <c r="R22" i="19"/>
  <c r="Z22" i="19"/>
  <c r="F22" i="19"/>
  <c r="AE22" i="19"/>
  <c r="J22" i="19"/>
  <c r="S22" i="19"/>
  <c r="AA22" i="19"/>
  <c r="K22" i="19"/>
  <c r="T22" i="19"/>
  <c r="AB22" i="19"/>
  <c r="D22" i="19"/>
  <c r="L22" i="19"/>
  <c r="U22" i="19"/>
  <c r="AC22" i="19"/>
  <c r="W22" i="19"/>
  <c r="E22" i="19"/>
  <c r="M22" i="19"/>
  <c r="V22" i="19"/>
  <c r="AD22" i="19"/>
  <c r="O22" i="19"/>
  <c r="AG76" i="23"/>
  <c r="AD4" i="12" s="1"/>
  <c r="AH76" i="23"/>
  <c r="AE4" i="12" s="1"/>
  <c r="E76" i="23"/>
  <c r="B4" i="12" s="1"/>
  <c r="Z76" i="23"/>
  <c r="W4" i="12" s="1"/>
  <c r="AA76" i="23"/>
  <c r="X4" i="12" s="1"/>
  <c r="P76" i="23"/>
  <c r="M4" i="12" s="1"/>
  <c r="K76" i="23"/>
  <c r="H4" i="12" s="1"/>
  <c r="L76" i="23"/>
  <c r="I4" i="12" s="1"/>
  <c r="M76" i="23"/>
  <c r="J4" i="12" s="1"/>
  <c r="H76" i="23"/>
  <c r="E4" i="12" s="1"/>
  <c r="O76" i="23"/>
  <c r="L4" i="12" s="1"/>
  <c r="AD76" i="23"/>
  <c r="AA4" i="12" s="1"/>
  <c r="U76" i="23"/>
  <c r="R4" i="12" s="1"/>
  <c r="F76" i="23"/>
  <c r="C4" i="12" s="1"/>
  <c r="AC76" i="23"/>
  <c r="Z4" i="12" s="1"/>
  <c r="N76" i="23"/>
  <c r="K4" i="12" s="1"/>
  <c r="Q76" i="23"/>
  <c r="N4" i="12" s="1"/>
  <c r="T76" i="23"/>
  <c r="Q4" i="12" s="1"/>
  <c r="J76" i="23"/>
  <c r="G4" i="12" s="1"/>
  <c r="S76" i="23"/>
  <c r="P4" i="12" s="1"/>
  <c r="AE76" i="23"/>
  <c r="AB4" i="12" s="1"/>
  <c r="W76" i="23"/>
  <c r="T4" i="12" s="1"/>
  <c r="AF76" i="23"/>
  <c r="AC4" i="12" s="1"/>
  <c r="G76" i="23"/>
  <c r="D4" i="12" s="1"/>
  <c r="AB76" i="23"/>
  <c r="Y4" i="12" s="1"/>
  <c r="R76" i="23"/>
  <c r="O4" i="12" s="1"/>
  <c r="Y76" i="23"/>
  <c r="V4" i="12" s="1"/>
  <c r="X76" i="23"/>
  <c r="U4" i="12" s="1"/>
  <c r="V76" i="23"/>
  <c r="S4" i="12" s="1"/>
  <c r="I76" i="23"/>
  <c r="F4" i="12" s="1"/>
  <c r="D45" i="9"/>
  <c r="B21" i="13" s="1"/>
  <c r="D46" i="9"/>
  <c r="B22" i="13" s="1"/>
  <c r="L21" i="13" l="1"/>
  <c r="E21" i="13"/>
  <c r="O21" i="13"/>
  <c r="Y21" i="13"/>
  <c r="F21" i="13"/>
  <c r="P21" i="13"/>
  <c r="Z21" i="13"/>
  <c r="G21" i="13"/>
  <c r="Q21" i="13"/>
  <c r="AA21" i="13"/>
  <c r="H21" i="13"/>
  <c r="R21" i="13"/>
  <c r="AB21" i="13"/>
  <c r="I21" i="13"/>
  <c r="S21" i="13"/>
  <c r="AC21" i="13"/>
  <c r="J21" i="13"/>
  <c r="T21" i="13"/>
  <c r="AD21" i="13"/>
  <c r="K21" i="13"/>
  <c r="U21" i="13"/>
  <c r="AE21" i="13"/>
  <c r="N21" i="13"/>
  <c r="W21" i="13"/>
  <c r="C21" i="13"/>
  <c r="D21" i="13"/>
  <c r="V21" i="13"/>
  <c r="M21" i="13"/>
  <c r="X21" i="13"/>
  <c r="J22" i="13"/>
  <c r="AE22" i="13"/>
  <c r="C22" i="13"/>
  <c r="K22" i="13"/>
  <c r="W22" i="13"/>
  <c r="L22" i="13"/>
  <c r="E22" i="13"/>
  <c r="R22" i="13"/>
  <c r="U22" i="13"/>
  <c r="Y22" i="13"/>
  <c r="S22" i="13"/>
  <c r="D22" i="13"/>
  <c r="H22" i="13"/>
  <c r="P22" i="13"/>
  <c r="M22" i="13"/>
  <c r="X22" i="13"/>
  <c r="AB22" i="13"/>
  <c r="Q22" i="13"/>
  <c r="AD22" i="13"/>
  <c r="F22" i="13"/>
  <c r="I22" i="13"/>
  <c r="V22" i="13"/>
  <c r="Z22" i="13"/>
  <c r="AC22" i="13"/>
  <c r="T22" i="13"/>
  <c r="G22" i="13"/>
  <c r="N22" i="13"/>
  <c r="AA22" i="13"/>
  <c r="O22" i="13"/>
  <c r="B13" i="12"/>
  <c r="B13" i="19"/>
  <c r="B13" i="13"/>
  <c r="B12" i="13"/>
  <c r="B12" i="19"/>
  <c r="B12" i="12"/>
  <c r="I12" i="12" l="1"/>
  <c r="V12" i="12"/>
  <c r="J12" i="12"/>
  <c r="W12" i="12"/>
  <c r="K12" i="12"/>
  <c r="AC12" i="12"/>
  <c r="L12" i="12"/>
  <c r="AD12" i="12"/>
  <c r="M12" i="12"/>
  <c r="AE12" i="12"/>
  <c r="N12" i="12"/>
  <c r="T12" i="12"/>
  <c r="U12" i="12"/>
  <c r="C12" i="12"/>
  <c r="AA12" i="12"/>
  <c r="R12" i="12"/>
  <c r="D12" i="12"/>
  <c r="F12" i="12"/>
  <c r="AB12" i="12"/>
  <c r="Q12" i="12"/>
  <c r="E12" i="12"/>
  <c r="Z12" i="12"/>
  <c r="P12" i="12"/>
  <c r="S12" i="12"/>
  <c r="X12" i="12"/>
  <c r="Y12" i="12"/>
  <c r="G12" i="12"/>
  <c r="O12" i="12"/>
  <c r="H12" i="12"/>
  <c r="W12" i="19"/>
  <c r="I12" i="19"/>
  <c r="Q12" i="19"/>
  <c r="Z12" i="19"/>
  <c r="J12" i="19"/>
  <c r="R12" i="19"/>
  <c r="AA12" i="19"/>
  <c r="K12" i="19"/>
  <c r="S12" i="19"/>
  <c r="AB12" i="19"/>
  <c r="D12" i="19"/>
  <c r="L12" i="19"/>
  <c r="T12" i="19"/>
  <c r="AC12" i="19"/>
  <c r="E12" i="19"/>
  <c r="M12" i="19"/>
  <c r="U12" i="19"/>
  <c r="AD12" i="19"/>
  <c r="F12" i="19"/>
  <c r="N12" i="19"/>
  <c r="V12" i="19"/>
  <c r="AE12" i="19"/>
  <c r="C12" i="19"/>
  <c r="G12" i="19"/>
  <c r="O12" i="19"/>
  <c r="X12" i="19"/>
  <c r="H12" i="19"/>
  <c r="P12" i="19"/>
  <c r="Y12" i="19"/>
  <c r="O13" i="19"/>
  <c r="F13" i="19"/>
  <c r="N13" i="19"/>
  <c r="W13" i="19"/>
  <c r="AE13" i="19"/>
  <c r="G13" i="19"/>
  <c r="P13" i="19"/>
  <c r="X13" i="19"/>
  <c r="H13" i="19"/>
  <c r="Q13" i="19"/>
  <c r="Y13" i="19"/>
  <c r="I13" i="19"/>
  <c r="R13" i="19"/>
  <c r="Z13" i="19"/>
  <c r="J13" i="19"/>
  <c r="S13" i="19"/>
  <c r="AA13" i="19"/>
  <c r="C13" i="19"/>
  <c r="K13" i="19"/>
  <c r="T13" i="19"/>
  <c r="AB13" i="19"/>
  <c r="D13" i="19"/>
  <c r="L13" i="19"/>
  <c r="U13" i="19"/>
  <c r="AC13" i="19"/>
  <c r="E13" i="19"/>
  <c r="M13" i="19"/>
  <c r="V13" i="19"/>
  <c r="AD13" i="19"/>
  <c r="T12" i="13"/>
  <c r="F12" i="13"/>
  <c r="I12" i="13"/>
  <c r="M12" i="13"/>
  <c r="Z12" i="13"/>
  <c r="AC12" i="13"/>
  <c r="J12" i="13"/>
  <c r="W12" i="13"/>
  <c r="V12" i="13"/>
  <c r="G12" i="13"/>
  <c r="N12" i="13"/>
  <c r="AA12" i="13"/>
  <c r="O12" i="13"/>
  <c r="L12" i="13"/>
  <c r="AE12" i="13"/>
  <c r="E12" i="13"/>
  <c r="R12" i="13"/>
  <c r="C12" i="13"/>
  <c r="Y12" i="13"/>
  <c r="S12" i="13"/>
  <c r="K12" i="13"/>
  <c r="AD12" i="13"/>
  <c r="D12" i="13"/>
  <c r="H12" i="13"/>
  <c r="P12" i="13"/>
  <c r="U12" i="13"/>
  <c r="X12" i="13"/>
  <c r="AB12" i="13"/>
  <c r="Q12" i="13"/>
  <c r="N13" i="13"/>
  <c r="Z13" i="13"/>
  <c r="AB13" i="13"/>
  <c r="D13" i="13"/>
  <c r="L13" i="13"/>
  <c r="P13" i="13"/>
  <c r="G13" i="13"/>
  <c r="I13" i="13"/>
  <c r="R13" i="13"/>
  <c r="AA13" i="13"/>
  <c r="AC13" i="13"/>
  <c r="E13" i="13"/>
  <c r="S13" i="13"/>
  <c r="J13" i="13"/>
  <c r="W13" i="13"/>
  <c r="O13" i="13"/>
  <c r="M13" i="13"/>
  <c r="Q13" i="13"/>
  <c r="AD13" i="13"/>
  <c r="Y13" i="13"/>
  <c r="T13" i="13"/>
  <c r="K13" i="13"/>
  <c r="U13" i="13"/>
  <c r="AE13" i="13"/>
  <c r="F13" i="13"/>
  <c r="H13" i="13"/>
  <c r="X13" i="13"/>
  <c r="V13" i="13"/>
  <c r="C13" i="13"/>
  <c r="G13" i="12"/>
  <c r="X13" i="12"/>
  <c r="H13" i="12"/>
  <c r="Y13" i="12"/>
  <c r="I13" i="12"/>
  <c r="Z13" i="12"/>
  <c r="J13" i="12"/>
  <c r="AA13" i="12"/>
  <c r="M13" i="12"/>
  <c r="K13" i="12"/>
  <c r="AB13" i="12"/>
  <c r="D13" i="12"/>
  <c r="U13" i="12"/>
  <c r="AC13" i="12"/>
  <c r="E13" i="12"/>
  <c r="V13" i="12"/>
  <c r="AD13" i="12"/>
  <c r="C13" i="12"/>
  <c r="F13" i="12"/>
  <c r="W13" i="12"/>
  <c r="AE13" i="12"/>
  <c r="T13" i="12"/>
  <c r="L13" i="12"/>
  <c r="N13" i="12"/>
  <c r="O13" i="12"/>
  <c r="P13" i="12"/>
  <c r="Q13" i="12"/>
  <c r="S13" i="12"/>
  <c r="R13" i="12"/>
  <c r="E46" i="9"/>
  <c r="B46" i="9"/>
  <c r="B22" i="12" s="1"/>
  <c r="AB22" i="12" l="1"/>
  <c r="AC22" i="12"/>
  <c r="AD22" i="12"/>
  <c r="W22" i="12"/>
  <c r="AE22" i="12"/>
  <c r="T22" i="12"/>
  <c r="C22" i="12"/>
  <c r="U22" i="12"/>
  <c r="V22" i="12"/>
  <c r="E22" i="12"/>
  <c r="K22" i="12"/>
  <c r="Y22" i="12"/>
  <c r="L22" i="12"/>
  <c r="G22" i="12"/>
  <c r="M22" i="12"/>
  <c r="Q22" i="12"/>
  <c r="AA22" i="12"/>
  <c r="N22" i="12"/>
  <c r="F22" i="12"/>
  <c r="O22" i="12"/>
  <c r="R22" i="12"/>
  <c r="Z22" i="12"/>
  <c r="P22" i="12"/>
  <c r="D22" i="12"/>
  <c r="I22" i="12"/>
  <c r="S22" i="12"/>
  <c r="H22" i="12"/>
  <c r="X22" i="12"/>
  <c r="J22" i="12"/>
  <c r="E45" i="9"/>
  <c r="B45" i="9"/>
  <c r="B21" i="12" s="1"/>
  <c r="D41" i="9"/>
  <c r="B17" i="13" s="1"/>
  <c r="C41" i="9"/>
  <c r="B17" i="19" s="1"/>
  <c r="B14" i="8"/>
  <c r="B41" i="9" s="1"/>
  <c r="B17" i="12" s="1"/>
  <c r="D13" i="8"/>
  <c r="C13" i="8"/>
  <c r="B13" i="8"/>
  <c r="D17" i="13" l="1"/>
  <c r="J17" i="13"/>
  <c r="W17" i="13"/>
  <c r="K17" i="13"/>
  <c r="AB17" i="13"/>
  <c r="L17" i="13"/>
  <c r="AC17" i="13"/>
  <c r="M17" i="13"/>
  <c r="AD17" i="13"/>
  <c r="S17" i="13"/>
  <c r="AE17" i="13"/>
  <c r="T17" i="13"/>
  <c r="H17" i="13"/>
  <c r="U17" i="13"/>
  <c r="I17" i="13"/>
  <c r="V17" i="13"/>
  <c r="AA17" i="13"/>
  <c r="N17" i="13"/>
  <c r="G17" i="13"/>
  <c r="C17" i="13"/>
  <c r="Y17" i="13"/>
  <c r="Z17" i="13"/>
  <c r="R17" i="13"/>
  <c r="E17" i="13"/>
  <c r="F17" i="13"/>
  <c r="P17" i="13"/>
  <c r="O17" i="13"/>
  <c r="X17" i="13"/>
  <c r="Q17" i="13"/>
  <c r="H21" i="12"/>
  <c r="W21" i="12"/>
  <c r="X21" i="12"/>
  <c r="Y21" i="12"/>
  <c r="E21" i="12"/>
  <c r="F21" i="12"/>
  <c r="G21" i="12"/>
  <c r="U21" i="12"/>
  <c r="V21" i="12"/>
  <c r="C21" i="12"/>
  <c r="D21" i="12"/>
  <c r="Z21" i="12"/>
  <c r="J21" i="12"/>
  <c r="K21" i="12"/>
  <c r="L21" i="12"/>
  <c r="P21" i="12"/>
  <c r="N21" i="12"/>
  <c r="I21" i="12"/>
  <c r="R21" i="12"/>
  <c r="Q21" i="12"/>
  <c r="AD21" i="12"/>
  <c r="AB21" i="12"/>
  <c r="S21" i="12"/>
  <c r="T21" i="12"/>
  <c r="M21" i="12"/>
  <c r="AE21" i="12"/>
  <c r="AC21" i="12"/>
  <c r="O21" i="12"/>
  <c r="AA21" i="12"/>
  <c r="G17" i="12"/>
  <c r="C17" i="12"/>
  <c r="Q17" i="12"/>
  <c r="O17" i="12"/>
  <c r="AA17" i="12"/>
  <c r="I17" i="12"/>
  <c r="F17" i="12"/>
  <c r="J17" i="12"/>
  <c r="U17" i="12"/>
  <c r="T17" i="12"/>
  <c r="Z17" i="12"/>
  <c r="K17" i="12"/>
  <c r="V17" i="12"/>
  <c r="AE17" i="12"/>
  <c r="X17" i="12"/>
  <c r="E17" i="12"/>
  <c r="H17" i="12"/>
  <c r="AB17" i="12"/>
  <c r="N17" i="12"/>
  <c r="D17" i="12"/>
  <c r="L17" i="12"/>
  <c r="M17" i="12"/>
  <c r="S17" i="12"/>
  <c r="P17" i="12"/>
  <c r="Y17" i="12"/>
  <c r="W17" i="12"/>
  <c r="AC17" i="12"/>
  <c r="R17" i="12"/>
  <c r="AD17" i="12"/>
  <c r="R17" i="19"/>
  <c r="U17" i="19"/>
  <c r="D17" i="19"/>
  <c r="V17" i="19"/>
  <c r="K17" i="19"/>
  <c r="W17" i="19"/>
  <c r="L17" i="19"/>
  <c r="X17" i="19"/>
  <c r="M17" i="19"/>
  <c r="AE17" i="19"/>
  <c r="O17" i="19"/>
  <c r="P17" i="19"/>
  <c r="Q17" i="19"/>
  <c r="N17" i="19"/>
  <c r="H17" i="19"/>
  <c r="C17" i="19"/>
  <c r="S17" i="19"/>
  <c r="AD17" i="19"/>
  <c r="AC17" i="19"/>
  <c r="Z17" i="19"/>
  <c r="J17" i="19"/>
  <c r="I17" i="19"/>
  <c r="F17" i="19"/>
  <c r="AB17" i="19"/>
  <c r="Y17" i="19"/>
  <c r="AA17" i="19"/>
  <c r="E17" i="19"/>
  <c r="G17" i="19"/>
  <c r="T17" i="19"/>
  <c r="E41" i="9"/>
  <c r="D44" i="9"/>
  <c r="B20" i="13" s="1"/>
  <c r="C44" i="9"/>
  <c r="B20" i="19" s="1"/>
  <c r="B44" i="9"/>
  <c r="B20" i="12" s="1"/>
  <c r="D43" i="9"/>
  <c r="B19" i="13" s="1"/>
  <c r="C43" i="9"/>
  <c r="B19" i="19" s="1"/>
  <c r="B43" i="9"/>
  <c r="B19" i="12" s="1"/>
  <c r="D42" i="9"/>
  <c r="B18" i="13" s="1"/>
  <c r="C42" i="9"/>
  <c r="B18" i="19" s="1"/>
  <c r="B14" i="13"/>
  <c r="B14" i="19"/>
  <c r="B14" i="12"/>
  <c r="B11" i="13"/>
  <c r="B11" i="19"/>
  <c r="B11" i="12"/>
  <c r="B10" i="13"/>
  <c r="B10" i="19"/>
  <c r="B10" i="12"/>
  <c r="B9" i="13"/>
  <c r="B5" i="13"/>
  <c r="B5" i="19"/>
  <c r="B5" i="12"/>
  <c r="B4" i="13"/>
  <c r="B4" i="19"/>
  <c r="B3" i="13"/>
  <c r="B3" i="12"/>
  <c r="A47" i="6"/>
  <c r="B9" i="12"/>
  <c r="D9" i="12" l="1"/>
  <c r="N9" i="12"/>
  <c r="V9" i="12"/>
  <c r="E9" i="12"/>
  <c r="O9" i="12"/>
  <c r="W9" i="12"/>
  <c r="F9" i="12"/>
  <c r="P9" i="12"/>
  <c r="X9" i="12"/>
  <c r="G9" i="12"/>
  <c r="Q9" i="12"/>
  <c r="Y9" i="12"/>
  <c r="I9" i="12"/>
  <c r="R9" i="12"/>
  <c r="Z9" i="12"/>
  <c r="H9" i="12"/>
  <c r="K9" i="12"/>
  <c r="S9" i="12"/>
  <c r="AA9" i="12"/>
  <c r="L9" i="12"/>
  <c r="T9" i="12"/>
  <c r="AC9" i="12"/>
  <c r="M9" i="12"/>
  <c r="U9" i="12"/>
  <c r="AE9" i="12"/>
  <c r="C9" i="12"/>
  <c r="AD9" i="12"/>
  <c r="AB9" i="12"/>
  <c r="J9" i="12"/>
  <c r="G5" i="13"/>
  <c r="Q5" i="13"/>
  <c r="R5" i="13"/>
  <c r="S5" i="13"/>
  <c r="Z5" i="13"/>
  <c r="AA5" i="13"/>
  <c r="AB5" i="13"/>
  <c r="F5" i="13"/>
  <c r="P5" i="13"/>
  <c r="H5" i="13"/>
  <c r="D5" i="13"/>
  <c r="K5" i="13"/>
  <c r="X5" i="13"/>
  <c r="AE5" i="13"/>
  <c r="U5" i="13"/>
  <c r="N5" i="13"/>
  <c r="E5" i="13"/>
  <c r="O5" i="13"/>
  <c r="I5" i="13"/>
  <c r="Y5" i="13"/>
  <c r="L5" i="13"/>
  <c r="T5" i="13"/>
  <c r="C5" i="13"/>
  <c r="M5" i="13"/>
  <c r="V5" i="13"/>
  <c r="J5" i="13"/>
  <c r="W5" i="13"/>
  <c r="AD5" i="13"/>
  <c r="AC5" i="13"/>
  <c r="M14" i="12"/>
  <c r="D14" i="12"/>
  <c r="Y14" i="12"/>
  <c r="E14" i="12"/>
  <c r="Z14" i="12"/>
  <c r="F14" i="12"/>
  <c r="AA14" i="12"/>
  <c r="G14" i="12"/>
  <c r="L14" i="12"/>
  <c r="Q14" i="12"/>
  <c r="C14" i="12"/>
  <c r="R14" i="12"/>
  <c r="S14" i="12"/>
  <c r="X14" i="12"/>
  <c r="AE14" i="12"/>
  <c r="N14" i="12"/>
  <c r="W14" i="12"/>
  <c r="V14" i="12"/>
  <c r="U14" i="12"/>
  <c r="H14" i="12"/>
  <c r="T14" i="12"/>
  <c r="P14" i="12"/>
  <c r="I14" i="12"/>
  <c r="J14" i="12"/>
  <c r="AC14" i="12"/>
  <c r="K14" i="12"/>
  <c r="AD14" i="12"/>
  <c r="AB14" i="12"/>
  <c r="O14" i="12"/>
  <c r="G20" i="12"/>
  <c r="H20" i="12"/>
  <c r="I20" i="12"/>
  <c r="D20" i="12"/>
  <c r="E20" i="12"/>
  <c r="F20" i="12"/>
  <c r="M20" i="12"/>
  <c r="S20" i="12"/>
  <c r="Y20" i="12"/>
  <c r="X20" i="12"/>
  <c r="N20" i="12"/>
  <c r="AD20" i="12"/>
  <c r="AB20" i="12"/>
  <c r="C20" i="12"/>
  <c r="Z20" i="12"/>
  <c r="W20" i="12"/>
  <c r="K20" i="12"/>
  <c r="L20" i="12"/>
  <c r="Q20" i="12"/>
  <c r="V20" i="12"/>
  <c r="AE20" i="12"/>
  <c r="AC20" i="12"/>
  <c r="O20" i="12"/>
  <c r="P20" i="12"/>
  <c r="R20" i="12"/>
  <c r="J20" i="12"/>
  <c r="T20" i="12"/>
  <c r="U20" i="12"/>
  <c r="AA20" i="12"/>
  <c r="H9" i="13"/>
  <c r="D9" i="13"/>
  <c r="O9" i="13"/>
  <c r="Y9" i="13"/>
  <c r="E9" i="13"/>
  <c r="P9" i="13"/>
  <c r="Z9" i="13"/>
  <c r="F9" i="13"/>
  <c r="Q9" i="13"/>
  <c r="AA9" i="13"/>
  <c r="G9" i="13"/>
  <c r="S9" i="13"/>
  <c r="AE9" i="13"/>
  <c r="K9" i="13"/>
  <c r="U9" i="13"/>
  <c r="L9" i="13"/>
  <c r="V9" i="13"/>
  <c r="M9" i="13"/>
  <c r="W9" i="13"/>
  <c r="N9" i="13"/>
  <c r="X9" i="13"/>
  <c r="T9" i="13"/>
  <c r="I9" i="13"/>
  <c r="R9" i="13"/>
  <c r="C9" i="13"/>
  <c r="AD9" i="13"/>
  <c r="J9" i="13"/>
  <c r="AB9" i="13"/>
  <c r="AC9" i="13"/>
  <c r="E14" i="19"/>
  <c r="M14" i="19"/>
  <c r="U14" i="19"/>
  <c r="AE14" i="19"/>
  <c r="D14" i="19"/>
  <c r="N14" i="19"/>
  <c r="V14" i="19"/>
  <c r="F14" i="19"/>
  <c r="O14" i="19"/>
  <c r="W14" i="19"/>
  <c r="G14" i="19"/>
  <c r="P14" i="19"/>
  <c r="X14" i="19"/>
  <c r="C14" i="19"/>
  <c r="I14" i="19"/>
  <c r="Q14" i="19"/>
  <c r="Z14" i="19"/>
  <c r="J14" i="19"/>
  <c r="R14" i="19"/>
  <c r="AA14" i="19"/>
  <c r="K14" i="19"/>
  <c r="S14" i="19"/>
  <c r="AB14" i="19"/>
  <c r="L14" i="19"/>
  <c r="T14" i="19"/>
  <c r="AD14" i="19"/>
  <c r="AC14" i="19"/>
  <c r="H14" i="19"/>
  <c r="Y14" i="19"/>
  <c r="F20" i="19"/>
  <c r="I20" i="19"/>
  <c r="V20" i="19"/>
  <c r="AE20" i="19"/>
  <c r="C20" i="19"/>
  <c r="J20" i="19"/>
  <c r="W20" i="19"/>
  <c r="K20" i="19"/>
  <c r="X20" i="19"/>
  <c r="L20" i="19"/>
  <c r="Y20" i="19"/>
  <c r="D20" i="19"/>
  <c r="R20" i="19"/>
  <c r="AA20" i="19"/>
  <c r="E20" i="19"/>
  <c r="S20" i="19"/>
  <c r="AB20" i="19"/>
  <c r="G20" i="19"/>
  <c r="T20" i="19"/>
  <c r="AC20" i="19"/>
  <c r="H20" i="19"/>
  <c r="U20" i="19"/>
  <c r="AD20" i="19"/>
  <c r="M20" i="19"/>
  <c r="O20" i="19"/>
  <c r="Q20" i="19"/>
  <c r="Z20" i="19"/>
  <c r="P20" i="19"/>
  <c r="N20" i="19"/>
  <c r="F14" i="13"/>
  <c r="G14" i="13"/>
  <c r="N14" i="13"/>
  <c r="K14" i="13"/>
  <c r="V14" i="13"/>
  <c r="D14" i="13"/>
  <c r="Q14" i="13"/>
  <c r="P14" i="13"/>
  <c r="AE14" i="13"/>
  <c r="W14" i="13"/>
  <c r="I14" i="13"/>
  <c r="T14" i="13"/>
  <c r="Y14" i="13"/>
  <c r="AA14" i="13"/>
  <c r="AC14" i="13"/>
  <c r="U14" i="13"/>
  <c r="H14" i="13"/>
  <c r="L14" i="13"/>
  <c r="E14" i="13"/>
  <c r="AB14" i="13"/>
  <c r="M14" i="13"/>
  <c r="X14" i="13"/>
  <c r="O14" i="13"/>
  <c r="J14" i="13"/>
  <c r="R14" i="13"/>
  <c r="AD14" i="13"/>
  <c r="S14" i="13"/>
  <c r="Z14" i="13"/>
  <c r="C14" i="13"/>
  <c r="T20" i="13"/>
  <c r="G20" i="13"/>
  <c r="S20" i="13"/>
  <c r="H20" i="13"/>
  <c r="W20" i="13"/>
  <c r="I20" i="13"/>
  <c r="X20" i="13"/>
  <c r="N20" i="13"/>
  <c r="Y20" i="13"/>
  <c r="O20" i="13"/>
  <c r="Z20" i="13"/>
  <c r="D20" i="13"/>
  <c r="P20" i="13"/>
  <c r="AA20" i="13"/>
  <c r="E20" i="13"/>
  <c r="Q20" i="13"/>
  <c r="AB20" i="13"/>
  <c r="F20" i="13"/>
  <c r="R20" i="13"/>
  <c r="AC20" i="13"/>
  <c r="V20" i="13"/>
  <c r="L20" i="13"/>
  <c r="AE20" i="13"/>
  <c r="K20" i="13"/>
  <c r="M20" i="13"/>
  <c r="C20" i="13"/>
  <c r="AD20" i="13"/>
  <c r="J20" i="13"/>
  <c r="U20" i="13"/>
  <c r="D3" i="12"/>
  <c r="U3" i="12"/>
  <c r="V3" i="12"/>
  <c r="O3" i="12"/>
  <c r="T3" i="12"/>
  <c r="I3" i="12"/>
  <c r="J3" i="12"/>
  <c r="N3" i="12"/>
  <c r="R3" i="12"/>
  <c r="M3" i="12"/>
  <c r="E3" i="12"/>
  <c r="K3" i="12"/>
  <c r="AD3" i="12"/>
  <c r="L3" i="12"/>
  <c r="AA3" i="12"/>
  <c r="X3" i="12"/>
  <c r="Z3" i="12"/>
  <c r="Y3" i="12"/>
  <c r="W3" i="12"/>
  <c r="G3" i="12"/>
  <c r="C3" i="12"/>
  <c r="H3" i="12"/>
  <c r="AB3" i="12"/>
  <c r="P3" i="12"/>
  <c r="Q3" i="12"/>
  <c r="S3" i="12"/>
  <c r="AC3" i="12"/>
  <c r="F3" i="12"/>
  <c r="AE3" i="12"/>
  <c r="S10" i="19"/>
  <c r="D10" i="19"/>
  <c r="Q10" i="19"/>
  <c r="AE10" i="19"/>
  <c r="E10" i="19"/>
  <c r="R10" i="19"/>
  <c r="K10" i="19"/>
  <c r="T10" i="19"/>
  <c r="L10" i="19"/>
  <c r="U10" i="19"/>
  <c r="M10" i="19"/>
  <c r="V10" i="19"/>
  <c r="N10" i="19"/>
  <c r="W10" i="19"/>
  <c r="O10" i="19"/>
  <c r="X10" i="19"/>
  <c r="P10" i="19"/>
  <c r="Y10" i="19"/>
  <c r="AB10" i="19"/>
  <c r="F10" i="19"/>
  <c r="H10" i="19"/>
  <c r="AC10" i="19"/>
  <c r="I10" i="19"/>
  <c r="AD10" i="19"/>
  <c r="AA10" i="19"/>
  <c r="C10" i="19"/>
  <c r="G10" i="19"/>
  <c r="J10" i="19"/>
  <c r="Z10" i="19"/>
  <c r="O18" i="19"/>
  <c r="L18" i="19"/>
  <c r="M18" i="19"/>
  <c r="U18" i="19"/>
  <c r="V18" i="19"/>
  <c r="W18" i="19"/>
  <c r="H18" i="19"/>
  <c r="AB18" i="19"/>
  <c r="I18" i="19"/>
  <c r="K18" i="19"/>
  <c r="S18" i="19"/>
  <c r="F18" i="19"/>
  <c r="AD18" i="19"/>
  <c r="Y18" i="19"/>
  <c r="E18" i="19"/>
  <c r="AC18" i="19"/>
  <c r="T18" i="19"/>
  <c r="X18" i="19"/>
  <c r="P18" i="19"/>
  <c r="AE18" i="19"/>
  <c r="N18" i="19"/>
  <c r="AA18" i="19"/>
  <c r="G18" i="19"/>
  <c r="Z18" i="19"/>
  <c r="J18" i="19"/>
  <c r="D18" i="19"/>
  <c r="C18" i="19"/>
  <c r="R18" i="19"/>
  <c r="Q18" i="19"/>
  <c r="G4" i="19"/>
  <c r="E4" i="19"/>
  <c r="C4" i="19"/>
  <c r="F4" i="19"/>
  <c r="U4" i="19"/>
  <c r="V4" i="19"/>
  <c r="Y4" i="19"/>
  <c r="Z4" i="19"/>
  <c r="P4" i="19"/>
  <c r="H4" i="19"/>
  <c r="X4" i="19"/>
  <c r="S4" i="19"/>
  <c r="AA4" i="19"/>
  <c r="D4" i="19"/>
  <c r="Q4" i="19"/>
  <c r="AE4" i="19"/>
  <c r="K4" i="19"/>
  <c r="AC4" i="19"/>
  <c r="R4" i="19"/>
  <c r="M4" i="19"/>
  <c r="T4" i="19"/>
  <c r="N4" i="19"/>
  <c r="O4" i="19"/>
  <c r="L4" i="19"/>
  <c r="AD4" i="19"/>
  <c r="I4" i="19"/>
  <c r="AB4" i="19"/>
  <c r="W4" i="19"/>
  <c r="J4" i="19"/>
  <c r="T10" i="13"/>
  <c r="H10" i="13"/>
  <c r="P10" i="13"/>
  <c r="Z10" i="13"/>
  <c r="I10" i="13"/>
  <c r="Q10" i="13"/>
  <c r="AA10" i="13"/>
  <c r="J10" i="13"/>
  <c r="R10" i="13"/>
  <c r="AB10" i="13"/>
  <c r="K10" i="13"/>
  <c r="S10" i="13"/>
  <c r="AC10" i="13"/>
  <c r="D10" i="13"/>
  <c r="L10" i="13"/>
  <c r="V10" i="13"/>
  <c r="AD10" i="13"/>
  <c r="E10" i="13"/>
  <c r="M10" i="13"/>
  <c r="W10" i="13"/>
  <c r="AE10" i="13"/>
  <c r="F10" i="13"/>
  <c r="N10" i="13"/>
  <c r="X10" i="13"/>
  <c r="G10" i="13"/>
  <c r="O10" i="13"/>
  <c r="Y10" i="13"/>
  <c r="C10" i="13"/>
  <c r="U10" i="13"/>
  <c r="P18" i="13"/>
  <c r="K18" i="13"/>
  <c r="V18" i="13"/>
  <c r="L18" i="13"/>
  <c r="W18" i="13"/>
  <c r="M18" i="13"/>
  <c r="X18" i="13"/>
  <c r="N18" i="13"/>
  <c r="Y18" i="13"/>
  <c r="O18" i="13"/>
  <c r="AD18" i="13"/>
  <c r="D18" i="13"/>
  <c r="S18" i="13"/>
  <c r="AE18" i="13"/>
  <c r="E18" i="13"/>
  <c r="T18" i="13"/>
  <c r="J18" i="13"/>
  <c r="U18" i="13"/>
  <c r="F18" i="13"/>
  <c r="Q18" i="13"/>
  <c r="R18" i="13"/>
  <c r="AB18" i="13"/>
  <c r="AA18" i="13"/>
  <c r="AC18" i="13"/>
  <c r="H18" i="13"/>
  <c r="G18" i="13"/>
  <c r="I18" i="13"/>
  <c r="C18" i="13"/>
  <c r="Z18" i="13"/>
  <c r="E10" i="12"/>
  <c r="M10" i="12"/>
  <c r="F10" i="12"/>
  <c r="N10" i="12"/>
  <c r="C10" i="12"/>
  <c r="G10" i="12"/>
  <c r="O10" i="12"/>
  <c r="H10" i="12"/>
  <c r="AB10" i="12"/>
  <c r="I10" i="12"/>
  <c r="AC10" i="12"/>
  <c r="J10" i="12"/>
  <c r="AD10" i="12"/>
  <c r="K10" i="12"/>
  <c r="AE10" i="12"/>
  <c r="L10" i="12"/>
  <c r="D10" i="12"/>
  <c r="AA10" i="12"/>
  <c r="Q10" i="12"/>
  <c r="P10" i="12"/>
  <c r="T10" i="12"/>
  <c r="U10" i="12"/>
  <c r="Y10" i="12"/>
  <c r="V10" i="12"/>
  <c r="W10" i="12"/>
  <c r="Z10" i="12"/>
  <c r="R10" i="12"/>
  <c r="X10" i="12"/>
  <c r="S10" i="12"/>
  <c r="O4" i="13"/>
  <c r="E4" i="13"/>
  <c r="F4" i="13"/>
  <c r="Z4" i="13"/>
  <c r="AA4" i="13"/>
  <c r="I4" i="13"/>
  <c r="T4" i="13"/>
  <c r="G4" i="13"/>
  <c r="H4" i="13"/>
  <c r="AC4" i="13"/>
  <c r="U4" i="13"/>
  <c r="AB4" i="13"/>
  <c r="M4" i="13"/>
  <c r="N4" i="13"/>
  <c r="Y4" i="13"/>
  <c r="J4" i="13"/>
  <c r="R4" i="13"/>
  <c r="Q4" i="13"/>
  <c r="X4" i="13"/>
  <c r="AD4" i="13"/>
  <c r="S4" i="13"/>
  <c r="K4" i="13"/>
  <c r="V4" i="13"/>
  <c r="C4" i="13"/>
  <c r="AE4" i="13"/>
  <c r="W4" i="13"/>
  <c r="P4" i="13"/>
  <c r="L4" i="13"/>
  <c r="D4" i="13"/>
  <c r="E11" i="12"/>
  <c r="X11" i="12"/>
  <c r="C11" i="12"/>
  <c r="F11" i="12"/>
  <c r="Y11" i="12"/>
  <c r="G11" i="12"/>
  <c r="Z11" i="12"/>
  <c r="H11" i="12"/>
  <c r="AA11" i="12"/>
  <c r="I11" i="12"/>
  <c r="AB11" i="12"/>
  <c r="J11" i="12"/>
  <c r="AC11" i="12"/>
  <c r="K11" i="12"/>
  <c r="AD11" i="12"/>
  <c r="D11" i="12"/>
  <c r="Q11" i="12"/>
  <c r="AE11" i="12"/>
  <c r="N11" i="12"/>
  <c r="T11" i="12"/>
  <c r="P11" i="12"/>
  <c r="U11" i="12"/>
  <c r="W11" i="12"/>
  <c r="V11" i="12"/>
  <c r="S11" i="12"/>
  <c r="L11" i="12"/>
  <c r="M11" i="12"/>
  <c r="O11" i="12"/>
  <c r="R11" i="12"/>
  <c r="AA19" i="12"/>
  <c r="H19" i="12"/>
  <c r="Q19" i="12"/>
  <c r="X19" i="12"/>
  <c r="AB19" i="12"/>
  <c r="R19" i="12"/>
  <c r="Y19" i="12"/>
  <c r="P19" i="12"/>
  <c r="I19" i="12"/>
  <c r="S19" i="12"/>
  <c r="Z19" i="12"/>
  <c r="AC19" i="12"/>
  <c r="C19" i="12"/>
  <c r="M19" i="12"/>
  <c r="G19" i="12"/>
  <c r="J19" i="12"/>
  <c r="F19" i="12"/>
  <c r="AD19" i="12"/>
  <c r="L19" i="12"/>
  <c r="U19" i="12"/>
  <c r="T19" i="12"/>
  <c r="N19" i="12"/>
  <c r="E19" i="12"/>
  <c r="V19" i="12"/>
  <c r="W19" i="12"/>
  <c r="K19" i="12"/>
  <c r="O19" i="12"/>
  <c r="AE19" i="12"/>
  <c r="D19" i="12"/>
  <c r="C3" i="13"/>
  <c r="D3" i="13"/>
  <c r="X3" i="13"/>
  <c r="Y3" i="13"/>
  <c r="T3" i="13"/>
  <c r="K3" i="13"/>
  <c r="O3" i="13"/>
  <c r="M3" i="13"/>
  <c r="Q3" i="13"/>
  <c r="AE3" i="13"/>
  <c r="W3" i="13"/>
  <c r="U3" i="13"/>
  <c r="L3" i="13"/>
  <c r="F3" i="13"/>
  <c r="H3" i="13"/>
  <c r="E3" i="13"/>
  <c r="Z3" i="13"/>
  <c r="AB3" i="13"/>
  <c r="V3" i="13"/>
  <c r="N3" i="13"/>
  <c r="P3" i="13"/>
  <c r="G3" i="13"/>
  <c r="I3" i="13"/>
  <c r="R3" i="13"/>
  <c r="AA3" i="13"/>
  <c r="AC3" i="13"/>
  <c r="S3" i="13"/>
  <c r="AD3" i="13"/>
  <c r="J3" i="13"/>
  <c r="K11" i="19"/>
  <c r="L11" i="19"/>
  <c r="T11" i="19"/>
  <c r="AB11" i="19"/>
  <c r="D11" i="19"/>
  <c r="M11" i="19"/>
  <c r="U11" i="19"/>
  <c r="AC11" i="19"/>
  <c r="E11" i="19"/>
  <c r="N11" i="19"/>
  <c r="V11" i="19"/>
  <c r="AD11" i="19"/>
  <c r="F11" i="19"/>
  <c r="O11" i="19"/>
  <c r="W11" i="19"/>
  <c r="G11" i="19"/>
  <c r="P11" i="19"/>
  <c r="X11" i="19"/>
  <c r="H11" i="19"/>
  <c r="Q11" i="19"/>
  <c r="Y11" i="19"/>
  <c r="I11" i="19"/>
  <c r="R11" i="19"/>
  <c r="Z11" i="19"/>
  <c r="C11" i="19"/>
  <c r="J11" i="19"/>
  <c r="S11" i="19"/>
  <c r="AA11" i="19"/>
  <c r="AE11" i="19"/>
  <c r="N19" i="19"/>
  <c r="I19" i="19"/>
  <c r="AA19" i="19"/>
  <c r="K19" i="19"/>
  <c r="AB19" i="19"/>
  <c r="L19" i="19"/>
  <c r="AC19" i="19"/>
  <c r="M19" i="19"/>
  <c r="AE19" i="19"/>
  <c r="Q19" i="19"/>
  <c r="R19" i="19"/>
  <c r="G19" i="19"/>
  <c r="S19" i="19"/>
  <c r="H19" i="19"/>
  <c r="T19" i="19"/>
  <c r="Z19" i="19"/>
  <c r="Y19" i="19"/>
  <c r="V19" i="19"/>
  <c r="F19" i="19"/>
  <c r="E19" i="19"/>
  <c r="U19" i="19"/>
  <c r="P19" i="19"/>
  <c r="W19" i="19"/>
  <c r="AD19" i="19"/>
  <c r="X19" i="19"/>
  <c r="J19" i="19"/>
  <c r="D19" i="19"/>
  <c r="O19" i="19"/>
  <c r="C19" i="19"/>
  <c r="H5" i="12"/>
  <c r="I5" i="12"/>
  <c r="J5" i="12"/>
  <c r="K5" i="12"/>
  <c r="L5" i="12"/>
  <c r="E5" i="12"/>
  <c r="M5" i="12"/>
  <c r="F5" i="12"/>
  <c r="G5" i="12"/>
  <c r="O5" i="12"/>
  <c r="AB5" i="12"/>
  <c r="T5" i="12"/>
  <c r="Q5" i="12"/>
  <c r="U5" i="12"/>
  <c r="R5" i="12"/>
  <c r="AC5" i="12"/>
  <c r="S5" i="12"/>
  <c r="AE5" i="12"/>
  <c r="AD5" i="12"/>
  <c r="Y5" i="12"/>
  <c r="W5" i="12"/>
  <c r="AA5" i="12"/>
  <c r="Z5" i="12"/>
  <c r="C5" i="12"/>
  <c r="D5" i="12"/>
  <c r="X5" i="12"/>
  <c r="V5" i="12"/>
  <c r="N5" i="12"/>
  <c r="P5" i="12"/>
  <c r="Q5" i="19"/>
  <c r="N5" i="19"/>
  <c r="C5" i="19"/>
  <c r="O5" i="19"/>
  <c r="S5" i="19"/>
  <c r="T5" i="19"/>
  <c r="U5" i="19"/>
  <c r="Y5" i="19"/>
  <c r="Z5" i="19"/>
  <c r="M5" i="19"/>
  <c r="AC5" i="19"/>
  <c r="L5" i="19"/>
  <c r="V5" i="19"/>
  <c r="J5" i="19"/>
  <c r="AA5" i="19"/>
  <c r="X5" i="19"/>
  <c r="AB5" i="19"/>
  <c r="AE5" i="19"/>
  <c r="D5" i="19"/>
  <c r="H5" i="19"/>
  <c r="K5" i="19"/>
  <c r="AD5" i="19"/>
  <c r="I5" i="19"/>
  <c r="F5" i="19"/>
  <c r="R5" i="19"/>
  <c r="W5" i="19"/>
  <c r="P5" i="19"/>
  <c r="G5" i="19"/>
  <c r="E5" i="19"/>
  <c r="L11" i="13"/>
  <c r="F11" i="13"/>
  <c r="P11" i="13"/>
  <c r="X11" i="13"/>
  <c r="G11" i="13"/>
  <c r="Q11" i="13"/>
  <c r="Y11" i="13"/>
  <c r="C11" i="13"/>
  <c r="H11" i="13"/>
  <c r="R11" i="13"/>
  <c r="Z11" i="13"/>
  <c r="I11" i="13"/>
  <c r="S11" i="13"/>
  <c r="AA11" i="13"/>
  <c r="J11" i="13"/>
  <c r="T11" i="13"/>
  <c r="AB11" i="13"/>
  <c r="K11" i="13"/>
  <c r="U11" i="13"/>
  <c r="AC11" i="13"/>
  <c r="D11" i="13"/>
  <c r="N11" i="13"/>
  <c r="V11" i="13"/>
  <c r="AD11" i="13"/>
  <c r="E11" i="13"/>
  <c r="O11" i="13"/>
  <c r="W11" i="13"/>
  <c r="AE11" i="13"/>
  <c r="M11" i="13"/>
  <c r="H19" i="13"/>
  <c r="F19" i="13"/>
  <c r="P19" i="13"/>
  <c r="Y19" i="13"/>
  <c r="C19" i="13"/>
  <c r="G19" i="13"/>
  <c r="Q19" i="13"/>
  <c r="Z19" i="13"/>
  <c r="J19" i="13"/>
  <c r="R19" i="13"/>
  <c r="AA19" i="13"/>
  <c r="K19" i="13"/>
  <c r="S19" i="13"/>
  <c r="AD19" i="13"/>
  <c r="L19" i="13"/>
  <c r="U19" i="13"/>
  <c r="AE19" i="13"/>
  <c r="M19" i="13"/>
  <c r="V19" i="13"/>
  <c r="D19" i="13"/>
  <c r="N19" i="13"/>
  <c r="W19" i="13"/>
  <c r="E19" i="13"/>
  <c r="O19" i="13"/>
  <c r="X19" i="13"/>
  <c r="I19" i="13"/>
  <c r="T19" i="13"/>
  <c r="AB19" i="13"/>
  <c r="AC19" i="13"/>
  <c r="B42" i="9"/>
  <c r="C78" i="23" s="1"/>
  <c r="B3" i="19"/>
  <c r="A50" i="6"/>
  <c r="B9" i="19" s="1"/>
  <c r="E42" i="9"/>
  <c r="E43" i="9"/>
  <c r="E44" i="9"/>
  <c r="G9" i="19" l="1"/>
  <c r="F9" i="19"/>
  <c r="J9" i="19"/>
  <c r="T9" i="19"/>
  <c r="U9" i="19"/>
  <c r="V9" i="19"/>
  <c r="Y9" i="19"/>
  <c r="Z9" i="19"/>
  <c r="E9" i="19"/>
  <c r="AD9" i="19"/>
  <c r="C9" i="19"/>
  <c r="N9" i="19"/>
  <c r="M9" i="19"/>
  <c r="W9" i="19"/>
  <c r="P9" i="19"/>
  <c r="AB9" i="19"/>
  <c r="X9" i="19"/>
  <c r="S9" i="19"/>
  <c r="AC9" i="19"/>
  <c r="Q9" i="19"/>
  <c r="L9" i="19"/>
  <c r="I9" i="19"/>
  <c r="H9" i="19"/>
  <c r="O9" i="19"/>
  <c r="D9" i="19"/>
  <c r="R9" i="19"/>
  <c r="K9" i="19"/>
  <c r="AE9" i="19"/>
  <c r="AA9" i="19"/>
  <c r="O3" i="19"/>
  <c r="N3" i="19"/>
  <c r="AE3" i="19"/>
  <c r="V3" i="19"/>
  <c r="R3" i="19"/>
  <c r="K3" i="19"/>
  <c r="X3" i="19"/>
  <c r="P3" i="19"/>
  <c r="J3" i="19"/>
  <c r="AA3" i="19"/>
  <c r="D3" i="19"/>
  <c r="L3" i="19"/>
  <c r="AC3" i="19"/>
  <c r="G3" i="19"/>
  <c r="Y3" i="19"/>
  <c r="I3" i="19"/>
  <c r="C3" i="19"/>
  <c r="M3" i="19"/>
  <c r="H3" i="19"/>
  <c r="W3" i="19"/>
  <c r="U3" i="19"/>
  <c r="AD3" i="19"/>
  <c r="Z3" i="19"/>
  <c r="F3" i="19"/>
  <c r="S3" i="19"/>
  <c r="AB3" i="19"/>
  <c r="T3" i="19"/>
  <c r="Q3" i="19"/>
  <c r="E3" i="19"/>
  <c r="AG78" i="23"/>
  <c r="AD18" i="12" s="1"/>
  <c r="AH78" i="23"/>
  <c r="AE18" i="12" s="1"/>
  <c r="E78" i="23"/>
  <c r="B18" i="12" s="1"/>
  <c r="S78" i="23"/>
  <c r="P18" i="12" s="1"/>
  <c r="AD78" i="23"/>
  <c r="AA18" i="12" s="1"/>
  <c r="N78" i="23"/>
  <c r="K18" i="12" s="1"/>
  <c r="AE78" i="23"/>
  <c r="AB18" i="12" s="1"/>
  <c r="I78" i="23"/>
  <c r="F18" i="12" s="1"/>
  <c r="X78" i="23"/>
  <c r="U18" i="12" s="1"/>
  <c r="D78" i="23"/>
  <c r="F78" i="23"/>
  <c r="C18" i="12" s="1"/>
  <c r="K78" i="23"/>
  <c r="H18" i="12" s="1"/>
  <c r="H78" i="23"/>
  <c r="E18" i="12" s="1"/>
  <c r="AF78" i="23"/>
  <c r="AC18" i="12" s="1"/>
  <c r="W78" i="23"/>
  <c r="T18" i="12" s="1"/>
  <c r="Y78" i="23"/>
  <c r="V18" i="12" s="1"/>
  <c r="J78" i="23"/>
  <c r="G18" i="12" s="1"/>
  <c r="M78" i="23"/>
  <c r="J18" i="12" s="1"/>
  <c r="U78" i="23"/>
  <c r="R18" i="12" s="1"/>
  <c r="G78" i="23"/>
  <c r="D18" i="12" s="1"/>
  <c r="AB78" i="23"/>
  <c r="Y18" i="12" s="1"/>
  <c r="V78" i="23"/>
  <c r="S18" i="12" s="1"/>
  <c r="Z78" i="23"/>
  <c r="W18" i="12" s="1"/>
  <c r="P78" i="23"/>
  <c r="M18" i="12" s="1"/>
  <c r="T78" i="23"/>
  <c r="Q18" i="12" s="1"/>
  <c r="L78" i="23"/>
  <c r="I18" i="12" s="1"/>
  <c r="Q78" i="23"/>
  <c r="N18" i="12" s="1"/>
  <c r="AC78" i="23"/>
  <c r="Z18" i="12" s="1"/>
  <c r="AA78" i="23"/>
  <c r="X18" i="12" s="1"/>
  <c r="R78" i="23"/>
  <c r="O18" i="12" s="1"/>
  <c r="O78" i="23"/>
  <c r="L18"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Michael Wang</author>
    <author>ywu</author>
    <author>Jeongwoo Han</author>
    <author>jhan</author>
    <author>A Elgowainy</author>
  </authors>
  <commentList>
    <comment ref="B4" authorId="0" shapeId="0" xr:uid="{00000000-0006-0000-0600-000001000000}">
      <text>
        <r>
          <rPr>
            <sz val="8"/>
            <color indexed="81"/>
            <rFont val="Tahoma"/>
            <family val="2"/>
          </rPr>
          <t>GREET's calculations use LHVs. If one decides to use HHVs, the HHV cell values in this sheet can be pasted into the cells in this column. However, combustion emission factors in the EF sheet need to be changed, according to the differences between LHV and HHV for each fuel.</t>
        </r>
      </text>
    </comment>
    <comment ref="H4" authorId="0" shapeId="0" xr:uid="{00000000-0006-0000-0600-000002000000}">
      <text>
        <r>
          <rPr>
            <sz val="8"/>
            <color indexed="81"/>
            <rFont val="Tahoma"/>
            <family val="2"/>
          </rPr>
          <t xml:space="preserve">Values in this column are calculated from those in the left column. Values here are used for calculations in other sheets. Values in the left column are inputted in ppm for high transparency.
</t>
        </r>
      </text>
    </comment>
    <comment ref="G15" authorId="0" shapeId="0" xr:uid="{00000000-0006-0000-0600-000003000000}">
      <text>
        <r>
          <rPr>
            <sz val="8"/>
            <color indexed="81"/>
            <rFont val="Arial"/>
            <family val="2"/>
          </rPr>
          <t>Value here is from a TS look-up table. User should not change the value here.</t>
        </r>
        <r>
          <rPr>
            <sz val="9"/>
            <color indexed="81"/>
            <rFont val="Tahoma"/>
            <family val="2"/>
          </rPr>
          <t xml:space="preserve">
</t>
        </r>
      </text>
    </comment>
    <comment ref="G20" authorId="0" shapeId="0" xr:uid="{00000000-0006-0000-0600-000004000000}">
      <text>
        <r>
          <rPr>
            <sz val="8"/>
            <color indexed="81"/>
            <rFont val="Arial"/>
            <family val="2"/>
          </rPr>
          <t>Value here is from a TS look-up table. User should not change the value here.</t>
        </r>
        <r>
          <rPr>
            <sz val="9"/>
            <color indexed="81"/>
            <rFont val="Tahoma"/>
            <family val="2"/>
          </rPr>
          <t xml:space="preserve">
</t>
        </r>
      </text>
    </comment>
    <comment ref="G21" authorId="0" shapeId="0" xr:uid="{00000000-0006-0000-0600-000005000000}">
      <text>
        <r>
          <rPr>
            <sz val="8"/>
            <color indexed="81"/>
            <rFont val="Arial"/>
            <family val="2"/>
          </rPr>
          <t>Value here is from a TS look-up table. User should not change the value here.</t>
        </r>
        <r>
          <rPr>
            <sz val="9"/>
            <color indexed="81"/>
            <rFont val="Tahoma"/>
            <family val="2"/>
          </rPr>
          <t xml:space="preserve">
</t>
        </r>
      </text>
    </comment>
    <comment ref="G22" authorId="0" shapeId="0" xr:uid="{00000000-0006-0000-0600-000006000000}">
      <text>
        <r>
          <rPr>
            <sz val="8"/>
            <color indexed="81"/>
            <rFont val="Arial"/>
            <family val="2"/>
          </rPr>
          <t>Value here is from a TS look-up table. User should not change the value here.
Beginning June 1, 2007, non-road diesel is required to have maxium of 500 ppm S; and beginning June 1, 2012, the S content is reduced to 15 ppm.
Sources: Final regulatory analysis: control of emissions from non-road diesel engines. US EPA, EPA420-R-04-007, 2004.</t>
        </r>
        <r>
          <rPr>
            <sz val="9"/>
            <color indexed="81"/>
            <rFont val="Tahoma"/>
            <family val="2"/>
          </rPr>
          <t xml:space="preserve">
</t>
        </r>
      </text>
    </comment>
    <comment ref="G29" authorId="1" shapeId="0" xr:uid="{00000000-0006-0000-0600-000007000000}">
      <text>
        <r>
          <rPr>
            <sz val="8"/>
            <color indexed="81"/>
            <rFont val="Tahoma"/>
            <family val="2"/>
          </rPr>
          <t>From a report prepaed by ENVIRON International Corporation (Los Angeles, CA, 2004) for the Port Authority of Long Beach Ports).</t>
        </r>
        <r>
          <rPr>
            <sz val="8"/>
            <color indexed="81"/>
            <rFont val="Tahoma"/>
            <family val="2"/>
          </rPr>
          <t xml:space="preserve">
</t>
        </r>
      </text>
    </comment>
    <comment ref="A43" authorId="2" shapeId="0" xr:uid="{00000000-0006-0000-0600-000008000000}">
      <text>
        <r>
          <rPr>
            <sz val="9"/>
            <color indexed="81"/>
            <rFont val="Tahoma"/>
            <family val="2"/>
          </rPr>
          <t>For algae-based renewable diesel only</t>
        </r>
      </text>
    </comment>
    <comment ref="A63" authorId="3" shapeId="0" xr:uid="{00000000-0006-0000-0600-000009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B65" authorId="4" shapeId="0" xr:uid="{00000000-0006-0000-0600-00000A000000}">
      <text>
        <r>
          <rPr>
            <b/>
            <sz val="10"/>
            <color indexed="81"/>
            <rFont val="Tahoma"/>
            <family val="2"/>
          </rPr>
          <t>Btu per (short ton, as received)</t>
        </r>
        <r>
          <rPr>
            <sz val="10"/>
            <color indexed="81"/>
            <rFont val="Tahoma"/>
            <family val="2"/>
          </rPr>
          <t xml:space="preserve">
</t>
        </r>
      </text>
    </comment>
    <comment ref="A66" authorId="0" shapeId="0" xr:uid="{00000000-0006-0000-0600-00000B000000}">
      <text>
        <r>
          <rPr>
            <sz val="8"/>
            <color indexed="81"/>
            <rFont val="Tahoma"/>
            <family val="2"/>
          </rPr>
          <t xml:space="preserve">As feedstock for coal-based H2 and FTD production pathways.
</t>
        </r>
      </text>
    </comment>
    <comment ref="B66" authorId="4" shapeId="0" xr:uid="{00000000-0006-0000-0600-00000C000000}">
      <text>
        <r>
          <rPr>
            <b/>
            <sz val="10"/>
            <color indexed="81"/>
            <rFont val="Tahoma"/>
            <family val="2"/>
          </rPr>
          <t>Btu per (short ton, as received)
Moisture Content: 4.5% wt.</t>
        </r>
        <r>
          <rPr>
            <sz val="10"/>
            <color indexed="81"/>
            <rFont val="Tahoma"/>
            <family val="2"/>
          </rPr>
          <t xml:space="preserve">
</t>
        </r>
      </text>
    </comment>
    <comment ref="D66" authorId="3" shapeId="0" xr:uid="{00000000-0006-0000-0600-00000D000000}">
      <text>
        <r>
          <rPr>
            <sz val="9"/>
            <color indexed="81"/>
            <rFont val="Tahoma"/>
            <family val="2"/>
          </rPr>
          <t>Based on EIA-423</t>
        </r>
      </text>
    </comment>
    <comment ref="F66" authorId="3" shapeId="0" xr:uid="{00000000-0006-0000-0600-00000E000000}">
      <text>
        <r>
          <rPr>
            <sz val="9"/>
            <color indexed="81"/>
            <rFont val="Tahoma"/>
            <family val="2"/>
          </rPr>
          <t>Calculated from the USGS database (2006)</t>
        </r>
      </text>
    </comment>
    <comment ref="G66" authorId="3" shapeId="0" xr:uid="{00000000-0006-0000-0600-00000F000000}">
      <text>
        <r>
          <rPr>
            <sz val="9"/>
            <color indexed="81"/>
            <rFont val="Tahoma"/>
            <family val="2"/>
          </rPr>
          <t>Based on EIA-423</t>
        </r>
      </text>
    </comment>
    <comment ref="I66" authorId="3" shapeId="0" xr:uid="{00000000-0006-0000-0600-000010000000}">
      <text>
        <r>
          <rPr>
            <sz val="9"/>
            <color indexed="81"/>
            <rFont val="Tahoma"/>
            <family val="2"/>
          </rPr>
          <t>Calculated from the USGS database (2006)</t>
        </r>
      </text>
    </comment>
    <comment ref="B67" authorId="4" shapeId="0" xr:uid="{00000000-0006-0000-0600-000011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22.4% wt.</t>
        </r>
      </text>
    </comment>
    <comment ref="D67" authorId="3" shapeId="0" xr:uid="{00000000-0006-0000-0600-000012000000}">
      <text>
        <r>
          <rPr>
            <sz val="9"/>
            <color indexed="81"/>
            <rFont val="Tahoma"/>
            <family val="2"/>
          </rPr>
          <t>Based on EIA-423</t>
        </r>
      </text>
    </comment>
    <comment ref="F67" authorId="3" shapeId="0" xr:uid="{00000000-0006-0000-0600-000013000000}">
      <text>
        <r>
          <rPr>
            <sz val="9"/>
            <color indexed="81"/>
            <rFont val="Tahoma"/>
            <family val="2"/>
          </rPr>
          <t>Calculated from the USGS database (2006)</t>
        </r>
      </text>
    </comment>
    <comment ref="G67" authorId="3" shapeId="0" xr:uid="{00000000-0006-0000-0600-000014000000}">
      <text>
        <r>
          <rPr>
            <sz val="9"/>
            <color indexed="81"/>
            <rFont val="Tahoma"/>
            <family val="2"/>
          </rPr>
          <t>Based on EIA-423</t>
        </r>
      </text>
    </comment>
    <comment ref="I67" authorId="3" shapeId="0" xr:uid="{00000000-0006-0000-0600-000015000000}">
      <text>
        <r>
          <rPr>
            <sz val="9"/>
            <color indexed="81"/>
            <rFont val="Tahoma"/>
            <family val="2"/>
          </rPr>
          <t>Calculated from the USGS database (2006)</t>
        </r>
      </text>
    </comment>
    <comment ref="B68" authorId="4" shapeId="0" xr:uid="{00000000-0006-0000-0600-000016000000}">
      <text>
        <r>
          <rPr>
            <b/>
            <sz val="10"/>
            <color indexed="81"/>
            <rFont val="Tahoma"/>
            <family val="2"/>
          </rPr>
          <t>Btu per (short ton, as received)</t>
        </r>
        <r>
          <rPr>
            <sz val="10"/>
            <color indexed="81"/>
            <rFont val="Tahoma"/>
            <family val="2"/>
          </rPr>
          <t xml:space="preserve">
</t>
        </r>
        <r>
          <rPr>
            <b/>
            <sz val="10"/>
            <color indexed="81"/>
            <rFont val="Tahoma"/>
            <family val="2"/>
          </rPr>
          <t>Moisture Content: 31.9% wt.</t>
        </r>
      </text>
    </comment>
    <comment ref="D68" authorId="3" shapeId="0" xr:uid="{00000000-0006-0000-0600-000017000000}">
      <text>
        <r>
          <rPr>
            <sz val="9"/>
            <color indexed="81"/>
            <rFont val="Tahoma"/>
            <family val="2"/>
          </rPr>
          <t>Based on EIA-423</t>
        </r>
      </text>
    </comment>
    <comment ref="F68" authorId="3" shapeId="0" xr:uid="{00000000-0006-0000-0600-000018000000}">
      <text>
        <r>
          <rPr>
            <sz val="9"/>
            <color indexed="81"/>
            <rFont val="Tahoma"/>
            <family val="2"/>
          </rPr>
          <t>Calculated from the USGS database (2006)</t>
        </r>
      </text>
    </comment>
    <comment ref="G68" authorId="3" shapeId="0" xr:uid="{00000000-0006-0000-0600-000019000000}">
      <text>
        <r>
          <rPr>
            <sz val="9"/>
            <color indexed="81"/>
            <rFont val="Tahoma"/>
            <family val="2"/>
          </rPr>
          <t>Based on EIA-423</t>
        </r>
      </text>
    </comment>
    <comment ref="I68" authorId="3" shapeId="0" xr:uid="{00000000-0006-0000-0600-00001A000000}">
      <text>
        <r>
          <rPr>
            <sz val="9"/>
            <color indexed="81"/>
            <rFont val="Tahoma"/>
            <family val="2"/>
          </rPr>
          <t>Calculated from the USGS database (2006)</t>
        </r>
      </text>
    </comment>
    <comment ref="B69" authorId="4" shapeId="0" xr:uid="{00000000-0006-0000-0600-00001B000000}">
      <text>
        <r>
          <rPr>
            <b/>
            <sz val="10"/>
            <color indexed="81"/>
            <rFont val="Tahoma"/>
            <family val="2"/>
          </rPr>
          <t>Btu per (short ton, as received)</t>
        </r>
        <r>
          <rPr>
            <sz val="10"/>
            <color indexed="81"/>
            <rFont val="Tahoma"/>
            <family val="2"/>
          </rPr>
          <t xml:space="preserve">
</t>
        </r>
      </text>
    </comment>
    <comment ref="D69" authorId="3" shapeId="0" xr:uid="{00000000-0006-0000-0600-00001C000000}">
      <text>
        <r>
          <rPr>
            <sz val="9"/>
            <color indexed="81"/>
            <rFont val="Tahoma"/>
            <family val="2"/>
          </rPr>
          <t>Assumed to be the same as bituminous coal</t>
        </r>
      </text>
    </comment>
    <comment ref="F69" authorId="3" shapeId="0" xr:uid="{00000000-0006-0000-0600-00001D000000}">
      <text>
        <r>
          <rPr>
            <sz val="9"/>
            <color indexed="81"/>
            <rFont val="Tahoma"/>
            <family val="2"/>
          </rPr>
          <t>Based on EIA-423</t>
        </r>
      </text>
    </comment>
    <comment ref="G69" authorId="3" shapeId="0" xr:uid="{00000000-0006-0000-0600-00001E000000}">
      <text>
        <r>
          <rPr>
            <sz val="9"/>
            <color indexed="81"/>
            <rFont val="Tahoma"/>
            <family val="2"/>
          </rPr>
          <t>Based on EIA-423</t>
        </r>
      </text>
    </comment>
    <comment ref="I69" authorId="3" shapeId="0" xr:uid="{00000000-0006-0000-0600-00001F000000}">
      <text>
        <r>
          <rPr>
            <sz val="9"/>
            <color indexed="81"/>
            <rFont val="Tahoma"/>
            <family val="2"/>
          </rPr>
          <t>Assumed to be the same as bituminous coal</t>
        </r>
      </text>
    </comment>
    <comment ref="B70" authorId="4" shapeId="0" xr:uid="{00000000-0006-0000-0600-000020000000}">
      <text>
        <r>
          <rPr>
            <b/>
            <sz val="10"/>
            <color indexed="81"/>
            <rFont val="Tahoma"/>
            <family val="2"/>
          </rPr>
          <t>Btu per (short ton, as received)</t>
        </r>
        <r>
          <rPr>
            <sz val="10"/>
            <color indexed="81"/>
            <rFont val="Tahoma"/>
            <family val="2"/>
          </rPr>
          <t xml:space="preserve">
</t>
        </r>
      </text>
    </comment>
    <comment ref="D70" authorId="3" shapeId="0" xr:uid="{00000000-0006-0000-0600-000021000000}">
      <text>
        <r>
          <rPr>
            <sz val="9"/>
            <color indexed="81"/>
            <rFont val="Tahoma"/>
            <family val="2"/>
          </rPr>
          <t>Based on EIA-423</t>
        </r>
      </text>
    </comment>
    <comment ref="F70" authorId="3" shapeId="0" xr:uid="{00000000-0006-0000-0600-000022000000}">
      <text>
        <r>
          <rPr>
            <sz val="9"/>
            <color indexed="81"/>
            <rFont val="Tahoma"/>
            <family val="2"/>
          </rPr>
          <t>Based on EIA-423</t>
        </r>
      </text>
    </comment>
    <comment ref="G70" authorId="3" shapeId="0" xr:uid="{00000000-0006-0000-0600-000023000000}">
      <text>
        <r>
          <rPr>
            <sz val="9"/>
            <color indexed="81"/>
            <rFont val="Tahoma"/>
            <family val="2"/>
          </rPr>
          <t>Assumed to be the same as lignite coal</t>
        </r>
      </text>
    </comment>
    <comment ref="I70" authorId="3" shapeId="0" xr:uid="{00000000-0006-0000-0600-000024000000}">
      <text>
        <r>
          <rPr>
            <sz val="9"/>
            <color indexed="81"/>
            <rFont val="Tahoma"/>
            <family val="2"/>
          </rPr>
          <t>Assumed to be the same as lignite coal</t>
        </r>
      </text>
    </comment>
    <comment ref="B71" authorId="4" shapeId="0" xr:uid="{00000000-0006-0000-0600-000025000000}">
      <text>
        <r>
          <rPr>
            <b/>
            <sz val="10"/>
            <color indexed="81"/>
            <rFont val="Tahoma"/>
            <family val="2"/>
          </rPr>
          <t>Btu per (short ton, as received)</t>
        </r>
        <r>
          <rPr>
            <sz val="10"/>
            <color indexed="81"/>
            <rFont val="Tahoma"/>
            <family val="2"/>
          </rPr>
          <t xml:space="preserve">
</t>
        </r>
      </text>
    </comment>
    <comment ref="D71" authorId="3" shapeId="0" xr:uid="{00000000-0006-0000-0600-000026000000}">
      <text>
        <r>
          <rPr>
            <sz val="9"/>
            <color indexed="81"/>
            <rFont val="Tahoma"/>
            <family val="2"/>
          </rPr>
          <t>Based on EIA-423</t>
        </r>
      </text>
    </comment>
    <comment ref="F71" authorId="3" shapeId="0" xr:uid="{00000000-0006-0000-0600-000027000000}">
      <text>
        <r>
          <rPr>
            <sz val="9"/>
            <color indexed="81"/>
            <rFont val="Tahoma"/>
            <family val="2"/>
          </rPr>
          <t xml:space="preserve">Elgowainy, A., Han, J., Cai, H., Wang, M., Forman, G. S., and DiVita, V. B. (2014) Energy Efficiency and Greenhouse Gas Emission Intensity of Petroleum Products at U.S. Refineries. Environ. Sci. Technol. 48, 7612–7624.
</t>
        </r>
      </text>
    </comment>
    <comment ref="G71" authorId="3" shapeId="0" xr:uid="{00000000-0006-0000-0600-000028000000}">
      <text>
        <r>
          <rPr>
            <sz val="9"/>
            <color indexed="81"/>
            <rFont val="Tahoma"/>
            <family val="2"/>
          </rPr>
          <t>Based on EIA-423</t>
        </r>
      </text>
    </comment>
    <comment ref="I71" authorId="3" shapeId="0" xr:uid="{00000000-0006-0000-0600-000029000000}">
      <text>
        <r>
          <rPr>
            <sz val="9"/>
            <color indexed="81"/>
            <rFont val="Tahoma"/>
            <family val="2"/>
          </rPr>
          <t>Based on the ratio in the previous GREET</t>
        </r>
      </text>
    </comment>
    <comment ref="B72" authorId="4" shapeId="0" xr:uid="{00000000-0006-0000-0600-00002A000000}">
      <text>
        <r>
          <rPr>
            <b/>
            <sz val="10"/>
            <color indexed="81"/>
            <rFont val="Tahoma"/>
            <family val="2"/>
          </rPr>
          <t>Btu per (short ton, as received)</t>
        </r>
        <r>
          <rPr>
            <sz val="10"/>
            <color indexed="81"/>
            <rFont val="Tahoma"/>
            <family val="2"/>
          </rPr>
          <t xml:space="preserve">
</t>
        </r>
      </text>
    </comment>
    <comment ref="D72" authorId="3" shapeId="0" xr:uid="{00000000-0006-0000-0600-00002B000000}">
      <text>
        <r>
          <rPr>
            <sz val="9"/>
            <color indexed="81"/>
            <rFont val="Tahoma"/>
            <family val="2"/>
          </rPr>
          <t>Based on EIA-423</t>
        </r>
      </text>
    </comment>
    <comment ref="F72" authorId="3" shapeId="0" xr:uid="{00000000-0006-0000-0600-00002C000000}">
      <text>
        <r>
          <rPr>
            <sz val="9"/>
            <color indexed="81"/>
            <rFont val="Tahoma"/>
            <family val="2"/>
          </rPr>
          <t>Based on EIA-423</t>
        </r>
      </text>
    </comment>
    <comment ref="G72" authorId="3" shapeId="0" xr:uid="{00000000-0006-0000-0600-00002D000000}">
      <text>
        <r>
          <rPr>
            <sz val="9"/>
            <color indexed="81"/>
            <rFont val="Tahoma"/>
            <family val="2"/>
          </rPr>
          <t>Assumed to be the same as pet coke</t>
        </r>
      </text>
    </comment>
    <comment ref="I72" authorId="3" shapeId="0" xr:uid="{00000000-0006-0000-0600-00002E000000}">
      <text>
        <r>
          <rPr>
            <sz val="9"/>
            <color indexed="81"/>
            <rFont val="Tahoma"/>
            <family val="2"/>
          </rPr>
          <t>Assumed to be the same as pet coke</t>
        </r>
      </text>
    </comment>
    <comment ref="B73" authorId="4" shapeId="0" xr:uid="{00000000-0006-0000-0600-00002F000000}">
      <text>
        <r>
          <rPr>
            <b/>
            <sz val="10"/>
            <color indexed="81"/>
            <rFont val="Tahoma"/>
            <family val="2"/>
          </rPr>
          <t>Btu per (short ton, as received)</t>
        </r>
        <r>
          <rPr>
            <sz val="10"/>
            <color indexed="81"/>
            <rFont val="Tahoma"/>
            <family val="2"/>
          </rPr>
          <t xml:space="preserve">
</t>
        </r>
      </text>
    </comment>
    <comment ref="B74" authorId="4" shapeId="0" xr:uid="{00000000-0006-0000-0600-000030000000}">
      <text>
        <r>
          <rPr>
            <b/>
            <sz val="10"/>
            <color indexed="81"/>
            <rFont val="Tahoma"/>
            <family val="2"/>
          </rPr>
          <t>Btu per (short ton, dry matter)</t>
        </r>
        <r>
          <rPr>
            <sz val="10"/>
            <color indexed="81"/>
            <rFont val="Tahoma"/>
            <family val="2"/>
          </rPr>
          <t xml:space="preserve">
</t>
        </r>
      </text>
    </comment>
    <comment ref="B76" authorId="4" shapeId="0" xr:uid="{00000000-0006-0000-0600-000031000000}">
      <text>
        <r>
          <rPr>
            <b/>
            <sz val="10"/>
            <color indexed="81"/>
            <rFont val="Tahoma"/>
            <family val="2"/>
          </rPr>
          <t>Btu per (short ton, dry matter)</t>
        </r>
        <r>
          <rPr>
            <sz val="10"/>
            <color indexed="81"/>
            <rFont val="Tahoma"/>
            <family val="2"/>
          </rPr>
          <t xml:space="preserve">
</t>
        </r>
      </text>
    </comment>
    <comment ref="B77" authorId="4" shapeId="0" xr:uid="{00000000-0006-0000-0600-000032000000}">
      <text>
        <r>
          <rPr>
            <b/>
            <sz val="10"/>
            <color indexed="81"/>
            <rFont val="Tahoma"/>
            <family val="2"/>
          </rPr>
          <t>Btu per (short ton, dry matter)</t>
        </r>
        <r>
          <rPr>
            <sz val="10"/>
            <color indexed="81"/>
            <rFont val="Tahoma"/>
            <family val="2"/>
          </rPr>
          <t xml:space="preserve">
</t>
        </r>
      </text>
    </comment>
    <comment ref="B78" authorId="4" shapeId="0" xr:uid="{00000000-0006-0000-0600-000033000000}">
      <text>
        <r>
          <rPr>
            <b/>
            <sz val="10"/>
            <color indexed="81"/>
            <rFont val="Tahoma"/>
            <family val="2"/>
          </rPr>
          <t>Btu per (short ton, dry matter)</t>
        </r>
        <r>
          <rPr>
            <sz val="10"/>
            <color indexed="81"/>
            <rFont val="Tahoma"/>
            <family val="2"/>
          </rPr>
          <t xml:space="preserve">
</t>
        </r>
      </text>
    </comment>
    <comment ref="B79" authorId="4" shapeId="0" xr:uid="{00000000-0006-0000-0600-000034000000}">
      <text>
        <r>
          <rPr>
            <b/>
            <sz val="10"/>
            <color indexed="81"/>
            <rFont val="Tahoma"/>
            <family val="2"/>
          </rPr>
          <t>Btu per (short ton, dry matter)</t>
        </r>
        <r>
          <rPr>
            <sz val="10"/>
            <color indexed="81"/>
            <rFont val="Tahoma"/>
            <family val="2"/>
          </rPr>
          <t xml:space="preserve">
</t>
        </r>
      </text>
    </comment>
    <comment ref="B80" authorId="4" shapeId="0" xr:uid="{00000000-0006-0000-0600-000035000000}">
      <text>
        <r>
          <rPr>
            <b/>
            <sz val="10"/>
            <color indexed="81"/>
            <rFont val="Tahoma"/>
            <family val="2"/>
          </rPr>
          <t>Btu per (short ton, dry matter)</t>
        </r>
        <r>
          <rPr>
            <sz val="10"/>
            <color indexed="81"/>
            <rFont val="Tahoma"/>
            <family val="2"/>
          </rPr>
          <t xml:space="preserve">
</t>
        </r>
      </text>
    </comment>
    <comment ref="B81" authorId="4" shapeId="0" xr:uid="{00000000-0006-0000-0600-000036000000}">
      <text>
        <r>
          <rPr>
            <b/>
            <sz val="10"/>
            <color indexed="81"/>
            <rFont val="Tahoma"/>
            <family val="2"/>
          </rPr>
          <t>Btu per (short ton, dry matter)</t>
        </r>
        <r>
          <rPr>
            <sz val="10"/>
            <color indexed="81"/>
            <rFont val="Tahoma"/>
            <family val="2"/>
          </rPr>
          <t xml:space="preserve">
</t>
        </r>
      </text>
    </comment>
    <comment ref="B82" authorId="4" shapeId="0" xr:uid="{00000000-0006-0000-0600-000037000000}">
      <text>
        <r>
          <rPr>
            <b/>
            <sz val="10"/>
            <color indexed="81"/>
            <rFont val="Tahoma"/>
            <family val="2"/>
          </rPr>
          <t>Btu per (short ton, dry matter)</t>
        </r>
        <r>
          <rPr>
            <sz val="10"/>
            <color indexed="81"/>
            <rFont val="Tahoma"/>
            <family val="2"/>
          </rPr>
          <t xml:space="preserve">
</t>
        </r>
      </text>
    </comment>
    <comment ref="B83" authorId="4" shapeId="0" xr:uid="{00000000-0006-0000-0600-000038000000}">
      <text>
        <r>
          <rPr>
            <b/>
            <sz val="10"/>
            <color indexed="81"/>
            <rFont val="Tahoma"/>
            <family val="2"/>
          </rPr>
          <t>Btu per (short ton, as received)</t>
        </r>
        <r>
          <rPr>
            <sz val="10"/>
            <color indexed="81"/>
            <rFont val="Tahoma"/>
            <family val="2"/>
          </rPr>
          <t xml:space="preserve">
</t>
        </r>
      </text>
    </comment>
    <comment ref="B84" authorId="4" shapeId="0" xr:uid="{00000000-0006-0000-0600-000039000000}">
      <text>
        <r>
          <rPr>
            <b/>
            <sz val="10"/>
            <color indexed="81"/>
            <rFont val="Tahoma"/>
            <family val="2"/>
          </rPr>
          <t>Btu per (short ton, as received)</t>
        </r>
        <r>
          <rPr>
            <sz val="10"/>
            <color indexed="81"/>
            <rFont val="Tahoma"/>
            <family val="2"/>
          </rPr>
          <t xml:space="preserve">
</t>
        </r>
      </text>
    </comment>
    <comment ref="B85" authorId="4" shapeId="0" xr:uid="{00000000-0006-0000-0600-00003A000000}">
      <text>
        <r>
          <rPr>
            <b/>
            <sz val="10"/>
            <color indexed="81"/>
            <rFont val="Tahoma"/>
            <family val="2"/>
          </rPr>
          <t>Btu per (short ton, as received)</t>
        </r>
        <r>
          <rPr>
            <sz val="10"/>
            <color indexed="81"/>
            <rFont val="Tahoma"/>
            <family val="2"/>
          </rPr>
          <t xml:space="preserve">
</t>
        </r>
      </text>
    </comment>
    <comment ref="B86" authorId="4" shapeId="0" xr:uid="{00000000-0006-0000-0600-00003B000000}">
      <text>
        <r>
          <rPr>
            <b/>
            <sz val="10"/>
            <color indexed="81"/>
            <rFont val="Tahoma"/>
            <family val="2"/>
          </rPr>
          <t>Btu per (short ton, as received)</t>
        </r>
        <r>
          <rPr>
            <sz val="10"/>
            <color indexed="81"/>
            <rFont val="Tahoma"/>
            <family val="2"/>
          </rPr>
          <t xml:space="preserve">
</t>
        </r>
      </text>
    </comment>
    <comment ref="B87" authorId="4" shapeId="0" xr:uid="{00000000-0006-0000-0600-00003C000000}">
      <text>
        <r>
          <rPr>
            <b/>
            <sz val="10"/>
            <color indexed="81"/>
            <rFont val="Tahoma"/>
            <family val="2"/>
          </rPr>
          <t>Btu per (short ton, dry matter)</t>
        </r>
        <r>
          <rPr>
            <sz val="10"/>
            <color indexed="81"/>
            <rFont val="Tahoma"/>
            <family val="2"/>
          </rPr>
          <t xml:space="preserve">
</t>
        </r>
      </text>
    </comment>
    <comment ref="B88" authorId="4" shapeId="0" xr:uid="{00000000-0006-0000-0600-00003D000000}">
      <text>
        <r>
          <rPr>
            <b/>
            <sz val="10"/>
            <color indexed="81"/>
            <rFont val="Tahoma"/>
            <family val="2"/>
          </rPr>
          <t>Btu per (short ton, dry matter)</t>
        </r>
        <r>
          <rPr>
            <sz val="10"/>
            <color indexed="81"/>
            <rFont val="Tahoma"/>
            <family val="2"/>
          </rPr>
          <t xml:space="preserve">
</t>
        </r>
      </text>
    </comment>
    <comment ref="A90" authorId="0" shapeId="0" xr:uid="{00000000-0006-0000-0600-00003E000000}">
      <text>
        <r>
          <rPr>
            <sz val="8"/>
            <color indexed="81"/>
            <rFont val="Tahoma"/>
            <family val="2"/>
          </rPr>
          <t>Different global warming potential values can be inputted here and GREET then takes the new values for calculations automatically.</t>
        </r>
      </text>
    </comment>
  </commentList>
</comments>
</file>

<file path=xl/sharedStrings.xml><?xml version="1.0" encoding="utf-8"?>
<sst xmlns="http://schemas.openxmlformats.org/spreadsheetml/2006/main" count="2105" uniqueCount="1078">
  <si>
    <t>BFPIaE BAU Fuel Production</t>
  </si>
  <si>
    <t>BFPIaE BAU Fuel Imports</t>
  </si>
  <si>
    <t>BFPIaE BAU Fuel Exports</t>
  </si>
  <si>
    <t>Source:</t>
  </si>
  <si>
    <t>Petroleum-based fuels, biofuels</t>
  </si>
  <si>
    <t>U.S. Energy Information Administration</t>
  </si>
  <si>
    <t>Petroleum &amp; Other Liquids: Supply and Disposition</t>
  </si>
  <si>
    <t>https://www.eia.gov/dnav/pet/pet_sum_snd_d_nus_mbbl_a_cur.htm</t>
  </si>
  <si>
    <t>Area: US, Period: Annual 2017</t>
  </si>
  <si>
    <t>Nuclear Fuel (Uranium)</t>
  </si>
  <si>
    <t>U.S. uranium imports continue as domestic production remains at historical lows</t>
  </si>
  <si>
    <t>https://www.eia.gov/todayinenergy/detail.php?id=37192</t>
  </si>
  <si>
    <t>Paragraph 1</t>
  </si>
  <si>
    <t>Hard Coal, Lignite</t>
  </si>
  <si>
    <t>Coal Explained: Where Our Coal Comes From</t>
  </si>
  <si>
    <t>https://www.eia.gov/energyexplained/index.php?page=coal_where</t>
  </si>
  <si>
    <t>https://www.eia.gov/energyexplained/index.php?page=coal_imports</t>
  </si>
  <si>
    <t>https://www.eia.gov/energyexplained/index.php?page=coal_prices</t>
  </si>
  <si>
    <t>Biomass Production and Exports</t>
  </si>
  <si>
    <t>Monthly Densified Biomass Fuel Report</t>
  </si>
  <si>
    <t>https://www.eia.gov/biofuels/biomass/?year=2020&amp;month=12#table_data</t>
  </si>
  <si>
    <t>Tables 4 and 8</t>
  </si>
  <si>
    <t>Biomass Imports and Exports (for Import to Export Ratio)</t>
  </si>
  <si>
    <t>U.S. International Trade Administration</t>
  </si>
  <si>
    <t>2016 Top Markets Report Renewable Fuels Sector Snapshot: Biomass Wood Pellets</t>
  </si>
  <si>
    <t>https://www.trade.gov/topmarkets/pdf/Renewable_Fuels_Biomass_Wood_Pellets.pdf</t>
  </si>
  <si>
    <t>Tables 2 and 3a</t>
  </si>
  <si>
    <t>Natural Gas, Time Series Scaling Factors</t>
  </si>
  <si>
    <t>2020, 2022</t>
  </si>
  <si>
    <t>Annual Energy Outlook 2020, Annual Energy Outlook 2022</t>
  </si>
  <si>
    <t>https://www.eia.gov/outlooks/aeo/tables_ref.php</t>
  </si>
  <si>
    <t>Table 1</t>
  </si>
  <si>
    <t>Municipal Solid Waste</t>
  </si>
  <si>
    <t>U.S. Environmental Protection Agency</t>
  </si>
  <si>
    <t>National Overview: Facts and Figures on Materials, Wastes and Recycling</t>
  </si>
  <si>
    <t>https://www.epa.gov/facts-and-figures-about-materials-waste-and-recycling/national-overview-facts-and-figures-materials</t>
  </si>
  <si>
    <t>Hydrogen</t>
  </si>
  <si>
    <t>U.S. Department of Energy</t>
  </si>
  <si>
    <t>Fact of the Month May 2018: 10 Million Metric Tons of Hydrogen Produced Annually in the United States</t>
  </si>
  <si>
    <t>https://www.energy.gov/eere/fuelcells/fact-month-may-2018-10-million-metric-tons-hydrogen-produced-annually-united-states</t>
  </si>
  <si>
    <t>Unit Conversions for hard coal, natural gas, petroleum fuels, liquid biofuels</t>
  </si>
  <si>
    <t>Energy Information Administration</t>
  </si>
  <si>
    <t>Annual Energy Outlook 2021</t>
  </si>
  <si>
    <t>http://www.eia.gov/forecasts/aeo/supplement/excel/suptab_73.xlsx</t>
  </si>
  <si>
    <t>AEO2021 Table 71</t>
  </si>
  <si>
    <t>Unit Conversions for Lignite, Biomass, LPG, municipal solid waste, hydrogen</t>
  </si>
  <si>
    <t>Argonne National Laboratory</t>
  </si>
  <si>
    <t>GREET1 2019</t>
  </si>
  <si>
    <t>https://greet.es.anl.gov/</t>
  </si>
  <si>
    <t>Tab "Fuel_Specs"</t>
  </si>
  <si>
    <t>Unit Conversion for Uranium (U3O8)</t>
  </si>
  <si>
    <t>TradeTech</t>
  </si>
  <si>
    <t>Uranium Primer - Price &amp; Unit Conversion Calculator &amp; Table</t>
  </si>
  <si>
    <t>https://www.uranium.info/unit_conversion_table.php</t>
  </si>
  <si>
    <t>Notes</t>
  </si>
  <si>
    <t>Collect Export, Import, and Production Data for Each Fuel</t>
  </si>
  <si>
    <t>The consolidated data in this variable (production, imports, exports, and domestic use of each fuel)</t>
  </si>
  <si>
    <t>is used in the variable fuels/CiFIaEpUDFS.  Therefore, even though this variable only outputs</t>
  </si>
  <si>
    <t>production and exports, you should also collect data on fuel imports.  (Domestic use data</t>
  </si>
  <si>
    <t>can be calculated from production, imports, and exports.  We ignore changes in fuel stocks,</t>
  </si>
  <si>
    <t>which should average to zero over multi-year timeframes.)</t>
  </si>
  <si>
    <t>Time Series</t>
  </si>
  <si>
    <t>This variable contains time series data.</t>
  </si>
  <si>
    <t>However, only data from the first year are used in variable fuels/CiFIaEpUDFS.</t>
  </si>
  <si>
    <t>In the future, fuels/CiFIaEpUDFS may be replaced with internal Vensim calculations,</t>
  </si>
  <si>
    <t>making those values sensitive to changes over time.</t>
  </si>
  <si>
    <t>Units</t>
  </si>
  <si>
    <t>In this variable, units are standardized to BTU, the internal working energy unit of the model.</t>
  </si>
  <si>
    <t>Variable fuels/CiFIaEpUDFS is not sensitive to the units used, as long as the same unit is used</t>
  </si>
  <si>
    <t>for all quantities associated with the same fuel (imports, exports, production, use).</t>
  </si>
  <si>
    <t>Included Fuels</t>
  </si>
  <si>
    <t>Hydro, wind, solar, and geothermal are neither fuels nor energy carriers</t>
  </si>
  <si>
    <t>and should always contain zeroes in this variable.</t>
  </si>
  <si>
    <t>Electricity and heat are energy carriers and are not handled in this</t>
  </si>
  <si>
    <t>part of the model.  (Electricity imports/exports are exogenous</t>
  </si>
  <si>
    <t>and handled in the power sector.  District heat imports/exports are assumed to be negligible.)</t>
  </si>
  <si>
    <t>Hydrogen is an energy carrier, but can theoretically be imported</t>
  </si>
  <si>
    <t>or exported in bulk, so is included here.</t>
  </si>
  <si>
    <t>Area: US</t>
  </si>
  <si>
    <t>Period: 2017 (Annual)</t>
  </si>
  <si>
    <t>Unit: Thousand Barrels</t>
  </si>
  <si>
    <t>Supply</t>
  </si>
  <si>
    <t>Disposition</t>
  </si>
  <si>
    <t>Ending Stocks</t>
  </si>
  <si>
    <t>Field Production</t>
  </si>
  <si>
    <t>Renewable Fuels &amp; Oxygenate Plant Net Production</t>
  </si>
  <si>
    <t>Refinery &amp; Blender Net Production</t>
  </si>
  <si>
    <t>Imports</t>
  </si>
  <si>
    <t>Net Receipts</t>
  </si>
  <si>
    <t>Adjust- ments</t>
  </si>
  <si>
    <t>Stock Change</t>
  </si>
  <si>
    <t>Refinery &amp; Blender Net Inputs</t>
  </si>
  <si>
    <t>Exports</t>
  </si>
  <si>
    <t>Products Supplied</t>
  </si>
  <si>
    <t>Crude Oil &amp; Petroleum Products</t>
  </si>
  <si>
    <t>Crude Oil</t>
  </si>
  <si>
    <t>- -</t>
  </si>
  <si>
    <t>Hydrocarbon Gas Liquids</t>
  </si>
  <si>
    <t>Natural Gas Liquids</t>
  </si>
  <si>
    <t>Ethane</t>
  </si>
  <si>
    <t>-</t>
  </si>
  <si>
    <t>Propane</t>
  </si>
  <si>
    <t>Normal Butane</t>
  </si>
  <si>
    <t>Isobutane</t>
  </si>
  <si>
    <t>Natural Gasoline</t>
  </si>
  <si>
    <t>Refinery Olefins</t>
  </si>
  <si>
    <t>Ethylene</t>
  </si>
  <si>
    <t>Propylene</t>
  </si>
  <si>
    <t>Normal Butylene</t>
  </si>
  <si>
    <t>Isobutylene</t>
  </si>
  <si>
    <t>Other Liquids</t>
  </si>
  <si>
    <t>Hydrogen/Oxygenates/Renewables/Other Hydrocarbons</t>
  </si>
  <si>
    <t>Oxygenates (excl. Fuel Ethanol)</t>
  </si>
  <si>
    <t>Renewable Fuels (incl. Fuel Ethanol)</t>
  </si>
  <si>
    <t>Fuel Ethanol</t>
  </si>
  <si>
    <t>Renewable Fuels Except Fuel Ethanol</t>
  </si>
  <si>
    <t>Other Hydrocarbons</t>
  </si>
  <si>
    <t>Unfinished Oils</t>
  </si>
  <si>
    <t>Motor Gasoline Blend. Comp.</t>
  </si>
  <si>
    <t>Reformulated</t>
  </si>
  <si>
    <t>Conventional</t>
  </si>
  <si>
    <t>Aviation Gasoline Blend. Comp.</t>
  </si>
  <si>
    <t>Finished Petroleum Products</t>
  </si>
  <si>
    <t>Finished Motor Gasoline</t>
  </si>
  <si>
    <t>Finished Aviation Gasoline</t>
  </si>
  <si>
    <t>Kerosene-Type Jet Fuel</t>
  </si>
  <si>
    <t>Kerosene</t>
  </si>
  <si>
    <t>Distillate Fuel Oil</t>
  </si>
  <si>
    <t>15 ppm Sulfur and Under</t>
  </si>
  <si>
    <t>Greater than 15 to 500 ppm Sulfur</t>
  </si>
  <si>
    <t>Greater than 500 ppm Sulfur</t>
  </si>
  <si>
    <t>Residual Fuel Oil</t>
  </si>
  <si>
    <t>Less than 0.31% Sulfur</t>
  </si>
  <si>
    <t>NA</t>
  </si>
  <si>
    <t>0.31 to 1.00% Sulfur</t>
  </si>
  <si>
    <t>Greater than 1.00% Sulfur</t>
  </si>
  <si>
    <t>Petrochemical Feedstocks</t>
  </si>
  <si>
    <t>Naphtha for Petro. Feed. Use</t>
  </si>
  <si>
    <t>Other Oils for Petro. Feed. Use</t>
  </si>
  <si>
    <t>Special Naphthas</t>
  </si>
  <si>
    <t>Lubricants</t>
  </si>
  <si>
    <t>Waxes</t>
  </si>
  <si>
    <t>Petroleum Coke</t>
  </si>
  <si>
    <t>Marketable</t>
  </si>
  <si>
    <t>Catalyst</t>
  </si>
  <si>
    <t>Asphalt and Road Oil</t>
  </si>
  <si>
    <t>Still Gas</t>
  </si>
  <si>
    <t>Miscellaneous Products</t>
  </si>
  <si>
    <t>Table 4. Production of densified biomass fuel, 2020 (tons)</t>
  </si>
  <si>
    <t>Region</t>
  </si>
  <si>
    <t>Month</t>
  </si>
  <si>
    <t>Wood Pellets, premium/standard</t>
  </si>
  <si>
    <t>Wood Pellets Utility</t>
  </si>
  <si>
    <t>U.S. Total</t>
  </si>
  <si>
    <t>Table 8. Export sales and average price of densified biomass fuel, 2020</t>
  </si>
  <si>
    <t>Quantity (tons)</t>
  </si>
  <si>
    <t>Average Price (USD per ton)</t>
  </si>
  <si>
    <t>Total wood pellet production</t>
  </si>
  <si>
    <t>tons</t>
  </si>
  <si>
    <t>Total wood pellet exports</t>
  </si>
  <si>
    <t>We don't have biomass import data from EIA, but we do have some from the International Trade Administration (trade.gov).</t>
  </si>
  <si>
    <t>It uses different units and shows much higher wood pellet quantities than the EIA data, and it lacks production data.</t>
  </si>
  <si>
    <t>Accordingly, we only use it to establish a ratio of exports to imports, and apply that ratio to the EIA export data to</t>
  </si>
  <si>
    <t>estimate wood pellet imports (which are small compared to exports).</t>
  </si>
  <si>
    <t>Unit</t>
  </si>
  <si>
    <t>kg</t>
  </si>
  <si>
    <t>Import to Export Ratio</t>
  </si>
  <si>
    <t>Total wood pellet imports</t>
  </si>
  <si>
    <t>Uranium</t>
  </si>
  <si>
    <t>Production</t>
  </si>
  <si>
    <t>million pounds U3O8</t>
  </si>
  <si>
    <t>Hard Coal and Lignite</t>
  </si>
  <si>
    <t>of U.S. coal production was lignite in 2017</t>
  </si>
  <si>
    <t>million short tons of coal produced (of all types) in 2017</t>
  </si>
  <si>
    <t>million short tons of coal exported in 2017</t>
  </si>
  <si>
    <t>million short tons of coal imported in 2017</t>
  </si>
  <si>
    <t>We assume that all imported and exported coal was hard coal, while all lignite produced was used domestically.</t>
  </si>
  <si>
    <t>Hard Coal</t>
  </si>
  <si>
    <t>million short tons</t>
  </si>
  <si>
    <t>Lignite</t>
  </si>
  <si>
    <t>MSW Tonnage Data for Year 2015</t>
  </si>
  <si>
    <t>U.S. MSW generated (million tons)</t>
  </si>
  <si>
    <t>U.S. MSW burned with energy recovery (million tons)</t>
  </si>
  <si>
    <t>U.S. MSW recycled (million tons)</t>
  </si>
  <si>
    <t>U.S. MSW composted (million tons)</t>
  </si>
  <si>
    <t>U.S. MSW landfilled (million tons)</t>
  </si>
  <si>
    <t>Although the U.S. exports waste to other countries,</t>
  </si>
  <si>
    <t>it is difficult to find statistics for waste exports other than plastic waste.</t>
  </si>
  <si>
    <t>(Plastic waste exports to other countries in 2018 were</t>
  </si>
  <si>
    <t>1.07 million metric tons in 2018.)</t>
  </si>
  <si>
    <t>https://www.plasticpollutioncoalition.org/pft/2019/3/6/157000-shipping-containers-of-us-plastic-waste-exported-to-countries-with-poor-waste-management-in-2018</t>
  </si>
  <si>
    <t>In this model, we are only concerned about MSW that is burned as a</t>
  </si>
  <si>
    <t>fuel.  We will assume that a negligible amount of exported waste</t>
  </si>
  <si>
    <t>is used as a fuel.</t>
  </si>
  <si>
    <t>million metric tons</t>
  </si>
  <si>
    <t>produced in 2018</t>
  </si>
  <si>
    <t>We assume none was imported or exported.</t>
  </si>
  <si>
    <t>ref2022.d011222a</t>
  </si>
  <si>
    <t>Report</t>
  </si>
  <si>
    <t>Annual Energy Outlook 2022</t>
  </si>
  <si>
    <t>Scenario</t>
  </si>
  <si>
    <t>ref2022</t>
  </si>
  <si>
    <t>Reference</t>
  </si>
  <si>
    <t>Datekey</t>
  </si>
  <si>
    <t>d011222a</t>
  </si>
  <si>
    <t>Release Date</t>
  </si>
  <si>
    <t xml:space="preserve"> March 2022</t>
  </si>
  <si>
    <t>SUP000</t>
  </si>
  <si>
    <t>1. Total Energy Supply, Disposition, and Price Summary</t>
  </si>
  <si>
    <t>Average</t>
  </si>
  <si>
    <t>(quadrillion Btu, unless otherwise noted)</t>
  </si>
  <si>
    <t>Annual</t>
  </si>
  <si>
    <t>Change</t>
  </si>
  <si>
    <t xml:space="preserve"> Supply, Disposition, and Prices</t>
  </si>
  <si>
    <t>2021–2050</t>
  </si>
  <si>
    <t>SUP000:ba_CrudeOilLease</t>
  </si>
  <si>
    <t xml:space="preserve">   Crude Oil and Lease Condensate</t>
  </si>
  <si>
    <t>SUP000:ba_NaturalGasPla</t>
  </si>
  <si>
    <t xml:space="preserve">   Natural Gas Plant Liquids</t>
  </si>
  <si>
    <t>SUP000:ba_DryNaturalGas</t>
  </si>
  <si>
    <t xml:space="preserve">   Dry Natural Gas</t>
  </si>
  <si>
    <t>SUP000:ba_Coal</t>
  </si>
  <si>
    <t xml:space="preserve">   Coal 1/</t>
  </si>
  <si>
    <t>SUP000:ba_NuclearPower</t>
  </si>
  <si>
    <t xml:space="preserve">   Nuclear / Uranium 2/</t>
  </si>
  <si>
    <t>SUP000:ba_Hydropower</t>
  </si>
  <si>
    <t xml:space="preserve">   Conventional Hydroelectric Power</t>
  </si>
  <si>
    <t>SUP000:ba_Biomass</t>
  </si>
  <si>
    <t xml:space="preserve">   Biomass 3/</t>
  </si>
  <si>
    <t>SUP000:ba_RenewableEner</t>
  </si>
  <si>
    <t xml:space="preserve">   Other Renewable Energy 4/</t>
  </si>
  <si>
    <t>SUP000:ba_Other</t>
  </si>
  <si>
    <t xml:space="preserve">   Other 5/</t>
  </si>
  <si>
    <t>SUP000:ba_Total</t>
  </si>
  <si>
    <t xml:space="preserve">       Total</t>
  </si>
  <si>
    <t>SUP000:ca_CrudeOil</t>
  </si>
  <si>
    <t xml:space="preserve">   Crude Oil</t>
  </si>
  <si>
    <t>SUP000:ca_PetroleumProd</t>
  </si>
  <si>
    <t xml:space="preserve">   Petroleum and Other Liquids 6/</t>
  </si>
  <si>
    <t>SUP000:ca_NaturalGas</t>
  </si>
  <si>
    <t xml:space="preserve">   Natural Gas</t>
  </si>
  <si>
    <t>SUP000:ca_OtherImports</t>
  </si>
  <si>
    <t xml:space="preserve">   Other 7/</t>
  </si>
  <si>
    <t>SUP000:ca_Total</t>
  </si>
  <si>
    <t>SUP000:da_Petroleum</t>
  </si>
  <si>
    <t xml:space="preserve">   Petroleum and Other Liquids 8/</t>
  </si>
  <si>
    <t>SUP000:da_NaturalGas</t>
  </si>
  <si>
    <t>SUP000:da_Coal</t>
  </si>
  <si>
    <t xml:space="preserve">   Coal</t>
  </si>
  <si>
    <t>SUP000:da_Total</t>
  </si>
  <si>
    <t>SUP000:ea_Discrepancy</t>
  </si>
  <si>
    <t>Discrepancy 9/</t>
  </si>
  <si>
    <t>--</t>
  </si>
  <si>
    <t>Consumption</t>
  </si>
  <si>
    <t>SUP000:fa_PetroleumProd</t>
  </si>
  <si>
    <t xml:space="preserve">   Petroleum and Other Liquids 10/</t>
  </si>
  <si>
    <t>SUP000:fa_NaturalGas</t>
  </si>
  <si>
    <t>SUP000:fa_Coal</t>
  </si>
  <si>
    <t xml:space="preserve">   Coal 11/</t>
  </si>
  <si>
    <t>SUP000:fa_NuclearPower</t>
  </si>
  <si>
    <t>SUP000:fa_Hydropower</t>
  </si>
  <si>
    <t>SUP000:fa_Biomass</t>
  </si>
  <si>
    <t xml:space="preserve">   Biomass 12/</t>
  </si>
  <si>
    <t>SUP000:fa_RenewableEner</t>
  </si>
  <si>
    <t>SUP000:fa_Other</t>
  </si>
  <si>
    <t xml:space="preserve">   Other 13/</t>
  </si>
  <si>
    <t>SUP000:fa_Total</t>
  </si>
  <si>
    <t xml:space="preserve">     Total</t>
  </si>
  <si>
    <t>Prices (2021 dollars per unit)</t>
  </si>
  <si>
    <t>SUP000:ha_WorldOilPrice</t>
  </si>
  <si>
    <t xml:space="preserve">  Brent Spot Price (dollars per barrel)</t>
  </si>
  <si>
    <t>SUP000:ha_ForLowSulfLit</t>
  </si>
  <si>
    <t xml:space="preserve">  West Texas Intermediate Spot Price (dollars per barrel</t>
  </si>
  <si>
    <t>SUP000:ha_GasPriceHenry</t>
  </si>
  <si>
    <t xml:space="preserve">  Natural Gas at Henry Hub (dollars per mmBtu)</t>
  </si>
  <si>
    <t>SUP000:ha_CoalMinemouth</t>
  </si>
  <si>
    <t xml:space="preserve">  Coal, Minemouth (dollars per ton) 14/</t>
  </si>
  <si>
    <t>SUP000:ha_CoalMineBtu</t>
  </si>
  <si>
    <t xml:space="preserve">  Coal, Minemouth (dollars per million Btu) 14/</t>
  </si>
  <si>
    <t>SUP000:ha_CoalDelivered</t>
  </si>
  <si>
    <t xml:space="preserve">  Coal, Delivered (dollars per million Btu) 15/</t>
  </si>
  <si>
    <t>SUP000:ha_Electricity(c</t>
  </si>
  <si>
    <t xml:space="preserve">  Electricity (cents per kilowatthour)</t>
  </si>
  <si>
    <t>Prices (nominal dollars per unit)</t>
  </si>
  <si>
    <t>SUP000:nom_ImportRACost</t>
  </si>
  <si>
    <t>SUP000:nom_ForLowSulfLi</t>
  </si>
  <si>
    <t>SUP000:nom_Gas@HenryHub</t>
  </si>
  <si>
    <t>SUP000:nom_CoalMinemout</t>
  </si>
  <si>
    <t>SUP000:nom_CoalMineBtu</t>
  </si>
  <si>
    <t>SUP000:nom_CoalDeliverd</t>
  </si>
  <si>
    <t>SUP000:nom_Electricity</t>
  </si>
  <si>
    <t>1/ Includes waste coal.</t>
  </si>
  <si>
    <t>2/ These values represent the energy obtained from uranium when it is used in light water reactors.  The total energy content of uranium</t>
  </si>
  <si>
    <t>is much larger, but alternative processes are required to take advantage of it.</t>
  </si>
  <si>
    <t>3/ Includes grid-connected electricity from wood and wood waste; biomass, such as corn, used for liquid fuels production; and nonelectric</t>
  </si>
  <si>
    <t>energy demand from wood.  Refer to Table 17 for details.</t>
  </si>
  <si>
    <t>4/ Includes grid-connected electricity from landfill gas; biogenic municipal waste; wind; photovoltaic and solar thermal sources; and</t>
  </si>
  <si>
    <t>nonelectric energy from renewable sources, such as active and passive solar systems.  Excludes electricity imports using renewable sources</t>
  </si>
  <si>
    <t>and nonmarketed renewable energy. See Table 17 for selected nonmarketed residential and commercial renewable energy data.</t>
  </si>
  <si>
    <t>5/ Includes non-biogenic municipal waste, hydrogen, methanol, and some domestic inputs to refineries.</t>
  </si>
  <si>
    <t>6/ Includes imports of finished petroleum products, unfinished oils, alcohols, ethers, blending components, and renewable fuels such as ethanol.</t>
  </si>
  <si>
    <t>7/ Includes coal, coal coke (net), and electricity (net).  Excludes imports of fuel used in nuclear power plants.</t>
  </si>
  <si>
    <t>8/ Includes crude oil, petroleum products, ethanol, and biodiesel.</t>
  </si>
  <si>
    <t>9/ Balancing item.  Includes unaccounted for supply, losses, gains, and net storage withdrawals.</t>
  </si>
  <si>
    <t>10/ Estimated consumption.  Includes petroleum-derived fuels and non-petroleum-derived fuels, such as ethanol and biodiesel, and coal-based</t>
  </si>
  <si>
    <t>synthetic liquids.  Petroleum coke, which is a solid, is included.  Also included are hydrocarbon gas liquids and crude oil consumed as a fuel.</t>
  </si>
  <si>
    <t>Refer to Table 17 for detailed renewable liquid fuels consumption.</t>
  </si>
  <si>
    <t>11/ Excludes coal converted to coal-based synthetic liquids and natural gas.</t>
  </si>
  <si>
    <t>12/ Includes grid-connected electricity from wood and wood waste, nonelectric energy from wood, and biofuels heat and coproducts used in the</t>
  </si>
  <si>
    <t>production of liquid fuels, but excludes the energy content of the liquid fuels.</t>
  </si>
  <si>
    <t>13/ Includes non-biogenic municipal waste, hydrogen, and net electricity imports.</t>
  </si>
  <si>
    <t>14/ Includes reported prices for both open market and captive mines.  Prices weighted by production, which differs from average minemouth prices</t>
  </si>
  <si>
    <t>published in EIA data reports where it is weighted by reported sales.</t>
  </si>
  <si>
    <t>15/ Prices weighted by consumption; weighted average excludes export free-alongside-ship (f.a.s.) prices.</t>
  </si>
  <si>
    <t>Btu = British thermal unit.</t>
  </si>
  <si>
    <t>MmBtu = Million Btu.</t>
  </si>
  <si>
    <t>- - = Not applicable.</t>
  </si>
  <si>
    <t>Note:  Totals may not equal sum of components due to independent rounding.</t>
  </si>
  <si>
    <t>Sources:  2021:  U.S. Energy Information Administration (EIA), Short-Term Energy Outlook, November 2021 and EIA, AEO2022</t>
  </si>
  <si>
    <t>National Energy Modeling System run ref2022.d011222a.  Projections:  EIA, AEO2022 National Energy Modeling System run ref2022.d011222a.</t>
  </si>
  <si>
    <t>ref2023.d020623a</t>
  </si>
  <si>
    <t>Annual Energy Outlook 2023</t>
  </si>
  <si>
    <t>ref2023</t>
  </si>
  <si>
    <t>d020623a</t>
  </si>
  <si>
    <t xml:space="preserve"> March 2023</t>
  </si>
  <si>
    <t>2022–2050</t>
  </si>
  <si>
    <t>Prices (2022 dollars per unit)</t>
  </si>
  <si>
    <t xml:space="preserve">  West Texas Intermediate Spot Price (dollars per barrel)</t>
  </si>
  <si>
    <t>2/ These values represent the energy obtained from uranium when it is used in light water reactors. The total energy content of uranium</t>
  </si>
  <si>
    <t>3/ Includes grid-connected electricity from wood and wood waste; biomass, such as corn, used for liquid fuels production; and non-electric</t>
  </si>
  <si>
    <t>energy demand from wood. Refer to Table 17 for details on biomass use by sector.</t>
  </si>
  <si>
    <t>non-electric energy from renewable sources, such as active and passive solar systems.  Excludes electricity imports using renewable sources</t>
  </si>
  <si>
    <t>7/ Includes coal, coal coke (net), and electricity (net). Excludes imports of fuel used in nuclear power plants.</t>
  </si>
  <si>
    <t>12/ Includes grid-connected electricity from wood and wood waste, non-electric energy from wood, and biofuels heat and coproducts used in the</t>
  </si>
  <si>
    <t>Data source: 2022:  U.S. Energy Information Administration (EIA), Short-Term Energy Outlook, November 2022 and EIA, AEO2023</t>
  </si>
  <si>
    <t>National Energy Modeling System run ref2023.d020623a.  Projections:  EIA, AEO2023 National Energy Modeling System run ref2023.d020623a.</t>
  </si>
  <si>
    <t>CNV000:convert_cbob</t>
  </si>
  <si>
    <t>68. Conversion Factors</t>
  </si>
  <si>
    <t>CNV000:convert_rbob</t>
  </si>
  <si>
    <t>(from physical units to million Btu)</t>
  </si>
  <si>
    <t>CNV000:aa_PentanesPlus</t>
  </si>
  <si>
    <t>CNV000:aa_OtherPetroleu</t>
  </si>
  <si>
    <t>CNV000:aa_PetrochemFeed</t>
  </si>
  <si>
    <t>Petroleum and Other Liquids</t>
  </si>
  <si>
    <t>CNV000:aa_PetroleumCoke</t>
  </si>
  <si>
    <t>(million Btu per barrel)</t>
  </si>
  <si>
    <t>CNV000:aa_ResidualFuel</t>
  </si>
  <si>
    <t xml:space="preserve">  Asphalt and Road Oil</t>
  </si>
  <si>
    <t>CNV000:aa_StillGas</t>
  </si>
  <si>
    <t xml:space="preserve">  Aviation Gasoline</t>
  </si>
  <si>
    <t>CNV000:aa_UnfinishOilIm</t>
  </si>
  <si>
    <t xml:space="preserve">  Biodiesel</t>
  </si>
  <si>
    <t>CNV000:aa_TotalPetroleu</t>
  </si>
  <si>
    <t xml:space="preserve">  Distillate Fuel Oil</t>
  </si>
  <si>
    <t>CNV000:aa_Imports</t>
  </si>
  <si>
    <t xml:space="preserve">    Residential</t>
  </si>
  <si>
    <t>CNV000:aa_Exports</t>
  </si>
  <si>
    <t xml:space="preserve">    Commercial</t>
  </si>
  <si>
    <t xml:space="preserve">    Transportation</t>
  </si>
  <si>
    <t>CNV000:aa_CrudeOilProdu</t>
  </si>
  <si>
    <t xml:space="preserve">    Industrial</t>
  </si>
  <si>
    <t>CNV000:aa_CrudeOilImpor</t>
  </si>
  <si>
    <t xml:space="preserve">    Electric Power</t>
  </si>
  <si>
    <t>CNV000:aa_CrudeOilExpor</t>
  </si>
  <si>
    <t xml:space="preserve">      Total Distillate</t>
  </si>
  <si>
    <t>CNV000:aa_NaturalGasPla</t>
  </si>
  <si>
    <t xml:space="preserve">  Distillate Fuel Oil - Low Sulfur Diesel</t>
  </si>
  <si>
    <t xml:space="preserve">  Distillate Fuel Oil - Ultra Low Sulfur Diesel</t>
  </si>
  <si>
    <t xml:space="preserve">  Ethanol including denaturant</t>
  </si>
  <si>
    <t>CNV000:ba_Consumption</t>
  </si>
  <si>
    <t xml:space="preserve">  E85 1/</t>
  </si>
  <si>
    <t>CNV000:ba_Utility</t>
  </si>
  <si>
    <t xml:space="preserve">  Jet Fuel - Kerosene</t>
  </si>
  <si>
    <t>CNV000:ba_Nonutility</t>
  </si>
  <si>
    <t xml:space="preserve">  Lubricants</t>
  </si>
  <si>
    <t>CNV000:ba_Production</t>
  </si>
  <si>
    <t xml:space="preserve">  Motor Gasoline Average</t>
  </si>
  <si>
    <t>CNV000:ba_Imports</t>
  </si>
  <si>
    <t xml:space="preserve">     Conventional Motor Gasoline</t>
  </si>
  <si>
    <t>CNV000:ba_Exports</t>
  </si>
  <si>
    <t xml:space="preserve">     Reformulated Motor Gasoline</t>
  </si>
  <si>
    <t>CNV000:ba_CompressedNat</t>
  </si>
  <si>
    <t xml:space="preserve">     Conventional before Blending</t>
  </si>
  <si>
    <t xml:space="preserve">     Reformulated before Blending</t>
  </si>
  <si>
    <t xml:space="preserve">  Natural Gasoline</t>
  </si>
  <si>
    <t>CNV000:ca_Production</t>
  </si>
  <si>
    <t xml:space="preserve">  Other Petroleum</t>
  </si>
  <si>
    <t>CNV000:ca_EastoftheMiss</t>
  </si>
  <si>
    <t xml:space="preserve">  Petrochemical Feedstocks</t>
  </si>
  <si>
    <t>CNV000:ca_WestoftheMiss</t>
  </si>
  <si>
    <t xml:space="preserve">  Petroleum Coke</t>
  </si>
  <si>
    <t>CNV000:ca_Consumption</t>
  </si>
  <si>
    <t xml:space="preserve">  Residual Fuel</t>
  </si>
  <si>
    <t>CNV000:ca_Residentialan</t>
  </si>
  <si>
    <t xml:space="preserve">  Still Gas</t>
  </si>
  <si>
    <t>CNV000:ca_Industrial</t>
  </si>
  <si>
    <t xml:space="preserve">  Unfinished Oils</t>
  </si>
  <si>
    <t>CNV000:ca_Coking</t>
  </si>
  <si>
    <t xml:space="preserve">  Total Petroleum Consumption</t>
  </si>
  <si>
    <t>CNV000:ca_ElectricPower</t>
  </si>
  <si>
    <t xml:space="preserve">  Petroleum Product Imports</t>
  </si>
  <si>
    <t>CNV000:ca_Imports</t>
  </si>
  <si>
    <t xml:space="preserve">  Petroleum Product Exports</t>
  </si>
  <si>
    <t>CNV000:ca_Exports</t>
  </si>
  <si>
    <t xml:space="preserve">  Crude Oil</t>
  </si>
  <si>
    <t>CNV000:ca_CoaltoLiquids</t>
  </si>
  <si>
    <t xml:space="preserve">    Production</t>
  </si>
  <si>
    <t>CNV000:ca_WasteCoal</t>
  </si>
  <si>
    <t xml:space="preserve">    Imports</t>
  </si>
  <si>
    <t xml:space="preserve">    Exports</t>
  </si>
  <si>
    <t xml:space="preserve">  Natural Gas Plant Liquids</t>
  </si>
  <si>
    <t>CNV000:da_Electricity</t>
  </si>
  <si>
    <t>Natural Gas (thousand Btu per cubic foot)</t>
  </si>
  <si>
    <t>CNV000:fossil_hr_us</t>
  </si>
  <si>
    <t xml:space="preserve">  Consumption</t>
  </si>
  <si>
    <t xml:space="preserve">    Electric Power Sector 2/</t>
  </si>
  <si>
    <t xml:space="preserve">    End-use Sector</t>
  </si>
  <si>
    <t xml:space="preserve">  Production</t>
  </si>
  <si>
    <t xml:space="preserve">  Imports</t>
  </si>
  <si>
    <t xml:space="preserve">  Exports</t>
  </si>
  <si>
    <t xml:space="preserve">  Compressed/Liquefied Natural Gas</t>
  </si>
  <si>
    <t>Coal (million Btu per short ton)</t>
  </si>
  <si>
    <t xml:space="preserve">    East of the Mississippi</t>
  </si>
  <si>
    <t xml:space="preserve">    West of the Mississippi</t>
  </si>
  <si>
    <t xml:space="preserve">    Commercial and Institutional</t>
  </si>
  <si>
    <t xml:space="preserve">    Industrial 3/</t>
  </si>
  <si>
    <t xml:space="preserve">    Coking</t>
  </si>
  <si>
    <t xml:space="preserve">    Electric Power 2/</t>
  </si>
  <si>
    <t xml:space="preserve">  Coal to Liquids</t>
  </si>
  <si>
    <t xml:space="preserve">  Waste Coal</t>
  </si>
  <si>
    <t>Approximate Heat Rates and Heat Content</t>
  </si>
  <si>
    <t>(Btu per kilowatthour)</t>
  </si>
  <si>
    <t xml:space="preserve">  Electricity Heat Content</t>
  </si>
  <si>
    <t xml:space="preserve">  Fossil Fuel Heat Rate</t>
  </si>
  <si>
    <t>1/ E85 refers to a blend of 85 percent ethanol (renewable) and 15 percent motor gasoline (nonrenewable).  To address cold starting issues,</t>
  </si>
  <si>
    <t>the percentage of ethanol varies seasonally.  The annual average ethanol content of 74% is used for these projections.</t>
  </si>
  <si>
    <t>2/ Includes all electricity-only and combined-heat-and-power plants that have a regulatory status.</t>
  </si>
  <si>
    <t>3/ Includes combined-heat-and-power plants that have a non-regulatory status and small on-site generating systems.</t>
  </si>
  <si>
    <t>Btu = British Thermal Unit.</t>
  </si>
  <si>
    <t>Data source: 2022:  U.S. Energy Information Administration (EIA), Short-Term Energy Outlook, November 2022 and EIA,</t>
  </si>
  <si>
    <t>AEO2023 National Energy Modeling System run ref2023.d020623a. Projections:  EIA, AEO2023 National Energy Modeling System run ref2023.d020623a.</t>
  </si>
  <si>
    <t>PPC001</t>
  </si>
  <si>
    <t>PPC001:ba_End-UserPrice</t>
  </si>
  <si>
    <t>PPC001:ba_FederalTaxes</t>
  </si>
  <si>
    <t>PPC001:ba_StateTaxes</t>
  </si>
  <si>
    <t>PPC001:Diesel_Tax_Allow</t>
  </si>
  <si>
    <t>PPC001:ba_DistributionC</t>
  </si>
  <si>
    <t>PPC001:ba_WholesalePric</t>
  </si>
  <si>
    <t>PPC001:ca_End-UserPrice</t>
  </si>
  <si>
    <t>PPC001:ca_FederalTaxes</t>
  </si>
  <si>
    <t>PPC001:ca_StateTaxes</t>
  </si>
  <si>
    <t>PPC001:MoGas_Tax_Allow</t>
  </si>
  <si>
    <t>PPC001:ca_DistributionC</t>
  </si>
  <si>
    <t>PPC001:ca_WholesalePric</t>
  </si>
  <si>
    <t>PPC001:da_End-UserPrice</t>
  </si>
  <si>
    <t>PPC001:da_FederalTaxes</t>
  </si>
  <si>
    <t>PPC001:da_StateTaxes</t>
  </si>
  <si>
    <t>Table 58.  Lower 48 Crude Oil Production and Wellhead Prices by Supply Region</t>
  </si>
  <si>
    <t>https://www.eia.gov/outlooks/aeo/data/browser/#/?id=71-AEO2023&amp;cases=ref2023&amp;sourcekey=0</t>
  </si>
  <si>
    <t>Thu Apr 13 2023 09:30:41 GMT-0400 (Eastern Daylight Time)</t>
  </si>
  <si>
    <t>Source: U.S. Energy Information Administration</t>
  </si>
  <si>
    <t>full name</t>
  </si>
  <si>
    <t>api key</t>
  </si>
  <si>
    <t>units</t>
  </si>
  <si>
    <t>Growth (2022-2050)</t>
  </si>
  <si>
    <t>(million barrels per day)</t>
  </si>
  <si>
    <t>Lower 48 Total</t>
  </si>
  <si>
    <t>Crude Oil: Production: Lower 48 Total: Reference case</t>
  </si>
  <si>
    <t>AEO.2023.REF2023.PRD_NA_NA_NA_CR_NA_L48_MILLBRLPDY.A</t>
  </si>
  <si>
    <t>MMb/d</t>
  </si>
  <si>
    <t>Lower 48 Onshore</t>
  </si>
  <si>
    <t>Crude Oil: Production: Lower 48 Onshore: Reference case</t>
  </si>
  <si>
    <t>AEO.2023.REF2023.PRD_NA_ONS_NA_CR_NA_L48_MILLBRLPDY.A</t>
  </si>
  <si>
    <t>East</t>
  </si>
  <si>
    <t>Crude Oil: Production: Lower 48 Onshore: East: Reference case</t>
  </si>
  <si>
    <t>AEO.2023.REF2023.PRD_NA_ONS_NA_CR_NA_EST_MILLBRLPDY.A</t>
  </si>
  <si>
    <t>Gulf Coast</t>
  </si>
  <si>
    <t>Crude Oil: Production: Lower 48 Onshore: Gulf Coast: Reference case</t>
  </si>
  <si>
    <t>AEO.2023.REF2023.PRD_NA_ONS_NA_CR_NA_GLFCT_MILLBRLPDY.A</t>
  </si>
  <si>
    <t>Midcontinent</t>
  </si>
  <si>
    <t>Crude Oil: Production: Lower 48 Onshore: Midcontinent: Reference case</t>
  </si>
  <si>
    <t>AEO.2023.REF2023.PRD_NA_ONS_NA_CR_NA_MDCN_MILLBRLPDY.A</t>
  </si>
  <si>
    <t>Southwest</t>
  </si>
  <si>
    <t>Crude Oil: Production: Lower 48 Onshore: Southwest: Reference case</t>
  </si>
  <si>
    <t>AEO.2023.REF2023.PRD_NA_ONS_NA_CR_NA_SW_MILLBRLPDY.A</t>
  </si>
  <si>
    <t>Rocky Mountain</t>
  </si>
  <si>
    <t>Crude Oil: Production: Lower 48 Onshore: Rocky Mountain: Reference case</t>
  </si>
  <si>
    <t>AEO.2023.REF2023.PRD_NA_ONS_NA_CR_NA_RKYMTN_MILLBRLPDY.A</t>
  </si>
  <si>
    <t>Northern Great Plains</t>
  </si>
  <si>
    <t>Crude Oil: Production: Lower 48 Onshore: Northern Great Plains: Reference case</t>
  </si>
  <si>
    <t>AEO.2023.REF2023.PRD_NA_ONS_NA_CR_NA_NOGP_MILLBRLPDY.A</t>
  </si>
  <si>
    <t>West Coast</t>
  </si>
  <si>
    <t>Crude Oil: Production: Lower 48 Onshore: West Coast: Reference case</t>
  </si>
  <si>
    <t>AEO.2023.REF2023.PRD_NA_ONS_NA_CR_NA_WETCOT_MILLBRLPDY.A</t>
  </si>
  <si>
    <t>Lower 48 Offshore</t>
  </si>
  <si>
    <t>Crude Oil: Production: Lower 48 Offshore: Reference case</t>
  </si>
  <si>
    <t>AEO.2023.REF2023.PRD_NA_OFS_NA_CR_NA_L48_MILLBRLPDY.A</t>
  </si>
  <si>
    <t>Gulf</t>
  </si>
  <si>
    <t>Crude Oil: Production: Lower 48 Offshore: Gulf of Mexico: Reference case</t>
  </si>
  <si>
    <t>AEO.2023.REF2023.PRD_NA_OFS_NA_CR_NA_GOM_MILLBRLPDY.A</t>
  </si>
  <si>
    <t>Shallow (State)</t>
  </si>
  <si>
    <t xml:space="preserve"> less than 200 meters</t>
  </si>
  <si>
    <t>Crude Oil: Production: Lower 48 Offshore: Gulf of Mexico: Shallow (State): Reference case</t>
  </si>
  <si>
    <t>AEO.2023.REF2023.PRD_NA_OFS_SHOF_CR_ST_GOM_MILLBRLPDY.A</t>
  </si>
  <si>
    <t>Shallow (Federal)</t>
  </si>
  <si>
    <t>Crude Oil: Production: Lower 48 Offshore: Gulf of Mexico: Shallow (Federal): Reference case</t>
  </si>
  <si>
    <t>AEO.2023.REF2023.PRD_NA_OFS_SHOF_CR_FED_GOM_MILLBRLPDY.A</t>
  </si>
  <si>
    <t>Deep (Federal)</t>
  </si>
  <si>
    <t>Crude Oil: Production: Lower 48 Offshore: Gulf of Mexico: Deep: Reference case</t>
  </si>
  <si>
    <t>AEO.2023.REF2023.PRD_NA_OFS_DPO_CR_FED_GOM_MILLBRLPDY.A</t>
  </si>
  <si>
    <t>Pacific</t>
  </si>
  <si>
    <t>Crude Oil: Production: Lower 48 Offshore: Pacific: Reference case</t>
  </si>
  <si>
    <t>AEO.2023.REF2023.PRD_NA_OFS_NA_CR_NA_PCF_MILLBRLPDY.A</t>
  </si>
  <si>
    <t>State</t>
  </si>
  <si>
    <t>Crude Oil: Production: Lower 48 Offshore: Pacific: State: Reference case</t>
  </si>
  <si>
    <t>AEO.2023.REF2023.PRD_NA_OFS_NA_CR_ST_PCF_MILLBRLPDY.A</t>
  </si>
  <si>
    <t>Federal</t>
  </si>
  <si>
    <t>Crude Oil: Production: Lower 48 Offshore: Pacific: Federal: Reference case</t>
  </si>
  <si>
    <t>AEO.2023.REF2023.PRD_NA_OFS_NA_CR_FED_PCF_MILLBRLPDY.A</t>
  </si>
  <si>
    <t>Atlantic</t>
  </si>
  <si>
    <t>Crude Oil: Production: Lower 48 Offshore: Atlantic: Reference case</t>
  </si>
  <si>
    <t>AEO.2023.REF2023.PRD_NA_OFS_NA_CR_NA_ATLN_MILLBRLPDY.A</t>
  </si>
  <si>
    <t>- -</t>
  </si>
  <si>
    <t>Crude Oil: Production: Lower 48 Offshore: Atlantic: State: Reference case</t>
  </si>
  <si>
    <t>AEO.2023.REF2023.PRD_NA_OFS_NA_CR_ST_ATLN_MILLBRLPDY.A</t>
  </si>
  <si>
    <t>Crude Oil: Production: Lower 48 Offshore: Atlantic: Federal: Reference case</t>
  </si>
  <si>
    <t>AEO.2023.REF2023.PRD_NA_OFS_NA_CR_FED_ATLN_MILLBRLPDY.A</t>
  </si>
  <si>
    <t>Wellhead Prices (2022 dollars per barrel)</t>
  </si>
  <si>
    <t>Lower 48 Average</t>
  </si>
  <si>
    <t>Crude Oil: Wellhead Prices: Lower 48 Average: Reference case</t>
  </si>
  <si>
    <t>AEO.2023.REF2023.PRCE_NA_NA_NA_CR_WLHD_L48_Y13DLRPBBL.A</t>
  </si>
  <si>
    <t>2022 $/b</t>
  </si>
  <si>
    <t>Crude Oil: Wellhead Prices: Lower 48 Onshore: East: Reference case</t>
  </si>
  <si>
    <t>AEO.2023.REF2023.PRCE_NA_ONS_NA_CR_WLHD_EST_Y13DLRPBBL.A</t>
  </si>
  <si>
    <t>Crude Oil: Wellhead Prices: Lower 48 Onshore: Gulf Coast: Reference case</t>
  </si>
  <si>
    <t>AEO.2023.REF2023.PRCE_NA_ONS_NA_CR_WLHD_GLFCT_Y13DLRPBBL.A</t>
  </si>
  <si>
    <t>Crude Oil: Wellhead Prices: Lower 48 Onshore: Midcontinent: Reference case</t>
  </si>
  <si>
    <t>AEO.2023.REF2023.PRCE_NA_ONS_NA_CR_WLHD_MDCN_Y13DLRPBBL.A</t>
  </si>
  <si>
    <t>Crude Oil: Wellhead Prices: Lower 48 Onshore: Southwest: Reference case</t>
  </si>
  <si>
    <t>AEO.2023.REF2023.PRCE_NA_ONS_NA_CR_WLHD_SW_Y13DLRPBBL.A</t>
  </si>
  <si>
    <t>Crude Oil: Wellhead Prices: Lower 48 Onshore: Rocky Mountain: Reference case</t>
  </si>
  <si>
    <t>AEO.2023.REF2023.PRCE_NA_ONS_NA_CR_WLHD_RKYMTN_Y13DLRPBBL.A</t>
  </si>
  <si>
    <t>Crude Oil: Wellhead Prices: Lower 48 Onshore: Northern Great Plains: Reference case</t>
  </si>
  <si>
    <t>AEO.2023.REF2023.PRCE_NA_ONS_NA_CR_WLHD_NOGP_Y13DLRPBBL.A</t>
  </si>
  <si>
    <t>Crude Oil: Wellhead Prices: Lower 48 Onshore: West Coast: Reference case</t>
  </si>
  <si>
    <t>AEO.2023.REF2023.PRCE_NA_ONS_NA_CR_WLHD_WETCOT_Y13DLRPBBL.A</t>
  </si>
  <si>
    <t>Crude Oil: Wellhead Prices: Lower 48 Offshore: Gulf: Reference case</t>
  </si>
  <si>
    <t>AEO.2023.REF2023.PRCE_NA_OFS_NA_CR_WLHD_GOM_Y13DLRPBBL.A</t>
  </si>
  <si>
    <t>Crude Oil: Wellhead Prices: Lower 48 Offshore: Pacific: Reference case</t>
  </si>
  <si>
    <t>AEO.2023.REF2023.PRCE_NA_OFS_NA_CR_WLHD_PCF_Y13DLRPBBL.A</t>
  </si>
  <si>
    <t>Crude Oil: Wellhead Prices: Lower 48 Offshore: Atlantic: Reference case</t>
  </si>
  <si>
    <t>AEO.2023.REF2023.PRCE_NA_OFS_NA_CR_WLHD_ATLN_Y13DLRPBBL.A</t>
  </si>
  <si>
    <t>COP000</t>
  </si>
  <si>
    <t>58. Lower 48 Crude Oil Production and Wellhead Prices by Supply Region</t>
  </si>
  <si>
    <t xml:space="preserve"> Region</t>
  </si>
  <si>
    <t>Production 1/</t>
  </si>
  <si>
    <t>COP000:ba_Lower48Total</t>
  </si>
  <si>
    <t xml:space="preserve"> Lower 48 Total</t>
  </si>
  <si>
    <t>COP000:ca_Low48Onshore</t>
  </si>
  <si>
    <t xml:space="preserve"> Lower 48 Onshore</t>
  </si>
  <si>
    <t>COP000:ca_Northeast</t>
  </si>
  <si>
    <t xml:space="preserve">   East</t>
  </si>
  <si>
    <t>COP000:ca_GulfCoast</t>
  </si>
  <si>
    <t xml:space="preserve">   Gulf Coast</t>
  </si>
  <si>
    <t>COP000:ca_Midcontinent</t>
  </si>
  <si>
    <t xml:space="preserve">   Midcontinent</t>
  </si>
  <si>
    <t>COP000:ca_Southwest</t>
  </si>
  <si>
    <t xml:space="preserve">   Southwest</t>
  </si>
  <si>
    <t>COP000:ca_RockyMountain</t>
  </si>
  <si>
    <t xml:space="preserve">   Rocky Mountain</t>
  </si>
  <si>
    <t>COP000:ca_NoGreatPlains</t>
  </si>
  <si>
    <t xml:space="preserve">   Northern Great Plains</t>
  </si>
  <si>
    <t>COP000:ca_WestCoast</t>
  </si>
  <si>
    <t xml:space="preserve">   West Coast</t>
  </si>
  <si>
    <t>COP000:da_Low48Offshore</t>
  </si>
  <si>
    <t xml:space="preserve"> Lower 48 Offshore</t>
  </si>
  <si>
    <t>COP000:da_Gulf</t>
  </si>
  <si>
    <t xml:space="preserve">   Gulf</t>
  </si>
  <si>
    <t>COP000:da_Shallow</t>
  </si>
  <si>
    <t xml:space="preserve">     Shallow (State), less than 200 meters</t>
  </si>
  <si>
    <t>COP000:da_shallowfed</t>
  </si>
  <si>
    <t xml:space="preserve">     Shallow (Federal), less than 200 meters</t>
  </si>
  <si>
    <t>COP000:da_Deep</t>
  </si>
  <si>
    <t xml:space="preserve">     Deep (Federal)</t>
  </si>
  <si>
    <t>COP000:da_Pacific</t>
  </si>
  <si>
    <t xml:space="preserve">   Pacific</t>
  </si>
  <si>
    <t>COP000:da_Pacificstate</t>
  </si>
  <si>
    <t xml:space="preserve">     State</t>
  </si>
  <si>
    <t>COP000:da_Pacificfed</t>
  </si>
  <si>
    <t xml:space="preserve">     Federal</t>
  </si>
  <si>
    <t>COP000:da_Atlantic</t>
  </si>
  <si>
    <t xml:space="preserve">   Atlantic</t>
  </si>
  <si>
    <t>COP000:da_Atlanticstate</t>
  </si>
  <si>
    <t>COP000:da_Atlanticfed</t>
  </si>
  <si>
    <t>Wellhead Prices (2021 dollars per barrel)</t>
  </si>
  <si>
    <t>COP000:fa_Lower48Averag</t>
  </si>
  <si>
    <t xml:space="preserve"> Lower 48 Average 2/</t>
  </si>
  <si>
    <t>COP000:ga_Northeast</t>
  </si>
  <si>
    <t>COP000:ga_GulfCoast</t>
  </si>
  <si>
    <t>COP000:ga_Midcontinent</t>
  </si>
  <si>
    <t>COP000:ga_Southwest</t>
  </si>
  <si>
    <t>COP000:ga_RockyMountain</t>
  </si>
  <si>
    <t>COP000:ga_NoGreatPlains</t>
  </si>
  <si>
    <t>COP000:ga_WestCoast</t>
  </si>
  <si>
    <t>COP000:ha_Gulf</t>
  </si>
  <si>
    <t>COP000:ha_Pacific</t>
  </si>
  <si>
    <t>COP000:ha_Atlantic</t>
  </si>
  <si>
    <t>Tight Oil Plays</t>
  </si>
  <si>
    <t xml:space="preserve">  Bakken</t>
  </si>
  <si>
    <t xml:space="preserve">  Eagle Ford</t>
  </si>
  <si>
    <t xml:space="preserve">  Woodford</t>
  </si>
  <si>
    <t xml:space="preserve">  Austin Chalk</t>
  </si>
  <si>
    <t xml:space="preserve">  Spraberry</t>
  </si>
  <si>
    <t xml:space="preserve">  Niobrara</t>
  </si>
  <si>
    <t xml:space="preserve">  Avalon/Bone Springs</t>
  </si>
  <si>
    <t xml:space="preserve">  Monterey</t>
  </si>
  <si>
    <t xml:space="preserve">  Wolfcamp</t>
  </si>
  <si>
    <t xml:space="preserve">  Utica</t>
  </si>
  <si>
    <t xml:space="preserve">  Other</t>
  </si>
  <si>
    <t xml:space="preserve">    Total</t>
  </si>
  <si>
    <t>1/ Includes lease condensate.</t>
  </si>
  <si>
    <t>2/ Represents lower 48 onshore and offshore supplies.</t>
  </si>
  <si>
    <t>Note:  Oil and Gas Supply Model regions are defined in Assumptions to the Annual Energy Outlook.  Totals may not equal sum of components</t>
  </si>
  <si>
    <t>due to independent rounding.</t>
  </si>
  <si>
    <t>Table 59.  Lower 48 Natural Gas Production and Supply Prices by Supply Region</t>
  </si>
  <si>
    <t>https://www.eia.gov/outlooks/aeo/data/browser/#/?id=72-AEO2023&amp;cases=ref2023&amp;sourcekey=0</t>
  </si>
  <si>
    <t>Thu Apr 13 2023 09:35:30 GMT-0400 (Eastern Daylight Time)</t>
  </si>
  <si>
    <t>Dry Production (trillion cubic feet)</t>
  </si>
  <si>
    <t>Natural Gas: Dry Production: Lower 48 Total: Reference case</t>
  </si>
  <si>
    <t>AEO.2023.REF2023.PRD_NA_NA_NA_NG_NA_L48_TRLCF.A</t>
  </si>
  <si>
    <t>Tcf</t>
  </si>
  <si>
    <t>Natural Gas: Dry Production: Lower 48 Onshore: Reference case</t>
  </si>
  <si>
    <t>AEO.2023.REF2023.PRD_NA_ONS_NA_NG_NA_L48_TRLCF.A</t>
  </si>
  <si>
    <t>Natural Gas: Dry Production: Lower 48 Onshore: East: Reference case</t>
  </si>
  <si>
    <t>AEO.2023.REF2023.PRD_NA_ONS_NA_NG_NA_EST_TRLCF.A</t>
  </si>
  <si>
    <t>Natural Gas: Dry Production: Lower 48 Onshore: Gulf Coast: Reference case</t>
  </si>
  <si>
    <t>AEO.2023.REF2023.PRD_NA_ONS_NA_NG_NA_GLFCT_TRLCF.A</t>
  </si>
  <si>
    <t>Natural Gas: Dry Production: Lower 48 Onshore: Midcontinent: Reference case</t>
  </si>
  <si>
    <t>AEO.2023.REF2023.PRD_NA_ONS_NA_NG_NA_MDCN_TRLCF.A</t>
  </si>
  <si>
    <t>Natural Gas: Dry Production: Lower 48 Onshore: Southwest: Reference case</t>
  </si>
  <si>
    <t>AEO.2023.REF2023.PRD_NA_ONS_NA_NG_NA_SW_TRLCF.A</t>
  </si>
  <si>
    <t>Natural Gas: Dry Production: Lower 48 Onshore: Rocky Mountain: Reference case</t>
  </si>
  <si>
    <t>AEO.2023.REF2023.PRD_NA_ONS_NA_NG_NA_RKYMTN_TRLCF.A</t>
  </si>
  <si>
    <t>Natural Gas: Dry Production: Lower 48 Onshore: Northern Great Plains: Reference case</t>
  </si>
  <si>
    <t>AEO.2023.REF2023.PRD_NA_ONS_NA_NG_NA_NOGP_TRLCF.A</t>
  </si>
  <si>
    <t>Natural Gas: Dry Production: Lower 48 Onshore: West Coast: Reference case</t>
  </si>
  <si>
    <t>AEO.2023.REF2023.PRD_NA_ONS_NA_NG_NA_WETCOT_TRLCF.A</t>
  </si>
  <si>
    <t>Natural Gas: Dry Production: Lower 48 Offshore: Reference case</t>
  </si>
  <si>
    <t>AEO.2023.REF2023.PRD_NA_OFS_NA_NG_NA_L48_TRLCF.A</t>
  </si>
  <si>
    <t>Natural Gas: Dry Production: Lower 48 Offshore: Gulf of Mexico: Reference case</t>
  </si>
  <si>
    <t>AEO.2023.REF2023.PRD_NA_OFS_NA_NG_NA_GOM_TRLCF.A</t>
  </si>
  <si>
    <t>Natural Gas: Dry Production: Lower 48 Offshore: Gulf: Shallow (State): Reference case</t>
  </si>
  <si>
    <t>AEO.2023.REF2023.PRD_NA_OFS_SHOF_NG_ST_GOM_TRLCF.A</t>
  </si>
  <si>
    <t>Natural Gas: Dry Production: Lower 48 Offshore: Gulf: Shallow (Federal): Reference case</t>
  </si>
  <si>
    <t>AEO.2023.REF2023.PRD_NA_OFS_SHOF_NG_FED_GOM_TRLCF.A</t>
  </si>
  <si>
    <t>Natural Gas: Dry Production: Lower 48 Offshore: Gulf: Deep: Reference case</t>
  </si>
  <si>
    <t>AEO.2023.REF2023.PRD_NA_OFS_DPO_NG_FED_GOM_TRLCF.A</t>
  </si>
  <si>
    <t>Natural Gas: Dry Production: Lower 48 Offshore: Pacific: Reference case</t>
  </si>
  <si>
    <t>AEO.2023.REF2023.PRD_NA_OFS_NA_NG_NA_PCF_TRLCF.A</t>
  </si>
  <si>
    <t>Natural Gas: Dry Production: Lower 48 Offshore: Pacific: State: Reference case</t>
  </si>
  <si>
    <t>AEO.2023.REF2023.PRD_NA_OFS_NA_NG_ST_PCF_TRLCF.A</t>
  </si>
  <si>
    <t>Natural Gas: Dry Production: Lower 48 Offshore: Pacific: Federal: Reference case</t>
  </si>
  <si>
    <t>AEO.2023.REF2023.PRD_NA_OFS_NA_NG_FED_PCF_TRLCF.A</t>
  </si>
  <si>
    <t>Natural Gas: Dry Production: Lower 48 Offshore: Atlantic: Reference case</t>
  </si>
  <si>
    <t>AEO.2023.REF2023.PRD_NA_OFS_NA_NG_NA_ATLN_TRLCF.A</t>
  </si>
  <si>
    <t>Natural Gas: Dry Production: Lower 48 Offshore: Atlantic: State: Reference case</t>
  </si>
  <si>
    <t>AEO.2023.REF2023.PRD_NA_OFS_NA_NG_ST_ATLN_TRLCF.A</t>
  </si>
  <si>
    <t>Natural Gas: Dry Production: Lower 48 Offshore: Atlantic: Federal: Reference case</t>
  </si>
  <si>
    <t>AEO.2023.REF2023.PRD_NA_OFS_NA_NG_FED_ATLN_TRLCF.A</t>
  </si>
  <si>
    <t>Supply Prices</t>
  </si>
  <si>
    <t>(2022 dollars per million Btu)</t>
  </si>
  <si>
    <t>Henry Hub Spot Price</t>
  </si>
  <si>
    <t>Natural Gas: Supply Prices: Henry Hub Spot: Reference case</t>
  </si>
  <si>
    <t>AEO.2023.REF2023.PRCE_SUP_NA_NA_NG_NA_HHUB_Y13DLRPMMBTU.A</t>
  </si>
  <si>
    <t>2022 $/MMBtu</t>
  </si>
  <si>
    <t>Lower 48 Average Price</t>
  </si>
  <si>
    <t>Natural Gas: Supply Prices: Lower 48 Average: Reference case</t>
  </si>
  <si>
    <t>AEO.2023.REF2023.PRCE_SUP_NA_NA_NG_NA_L48_Y13DLRPMMBTU.A</t>
  </si>
  <si>
    <t>(2022 dollars per thousand cubic feet)</t>
  </si>
  <si>
    <t>AEO.2023.REF2023.PRCE_SUP_NA_NA_NG_NA_L48_Y13DLRPMCF.A</t>
  </si>
  <si>
    <t>2022 $/Mcf</t>
  </si>
  <si>
    <t>Lower 48 Onshore Price</t>
  </si>
  <si>
    <t>Natural Gas: Supply Prices: Lower 48 Onshore: East: Reference case</t>
  </si>
  <si>
    <t>AEO.2023.REF2023.PRCE_SUP_NA_NA_NG_NA_EST_Y13DLRPMCF.A</t>
  </si>
  <si>
    <t>Natural Gas: Supply Prices: Lower 48 Onshore: Gulf Coast: Reference case</t>
  </si>
  <si>
    <t>AEO.2023.REF2023.PRCE_SUP_NA_NA_NG_NA_GLFCT_Y13DLRPMCF.A</t>
  </si>
  <si>
    <t>Natural Gas: Supply Prices: Lower 48 Onshore: Midcontinent: Reference case</t>
  </si>
  <si>
    <t>AEO.2023.REF2023.PRCE_SUP_NA_NA_NG_NA_MDCN_Y13DLRPMCF.A</t>
  </si>
  <si>
    <t>Natural Gas: Supply Prices: Lower 48 Onshore: Southwest: Reference case</t>
  </si>
  <si>
    <t>AEO.2023.REF2023.PRCE_SUP_NA_NA_NG_NA_SW_Y13DLRPMCF.A</t>
  </si>
  <si>
    <t>Natural Gas: Supply Prices: Lower 48 Onshore: Rocky Mountain: Reference case</t>
  </si>
  <si>
    <t>AEO.2023.REF2023.PRCE_SUP_NA_NA_NG_NA_RKYMTN_Y13DLRPMCF.A</t>
  </si>
  <si>
    <t>Natural Gas: Supply Prices: Lower 48 Onshore: Northern Great Plains: Reference case</t>
  </si>
  <si>
    <t>AEO.2023.REF2023.PRCE_SUP_NA_NA_NG_NA_NOGP_Y13DLRPMCF.A</t>
  </si>
  <si>
    <t>Natural Gas: Supply Prices: Lower 48 Onshore: West Coast: Reference case</t>
  </si>
  <si>
    <t>AEO.2023.REF2023.PRCE_SUP_NA_NA_NG_NA_WETCOT_Y13DLRPMCF.A</t>
  </si>
  <si>
    <t>Lower 48 Offshore Price</t>
  </si>
  <si>
    <t>Natural Gas: Supply Prices: Lower 48 Offshore: Gulf: Reference case</t>
  </si>
  <si>
    <t>AEO.2023.REF2023.#NAME?.A</t>
  </si>
  <si>
    <t>Natural Gas: Supply Prices: Lower 48 Offshore: Pacific: Reference case</t>
  </si>
  <si>
    <t>Natural Gas: Supply Prices: Lower 48 Offshore: Atlantic: Reference case</t>
  </si>
  <si>
    <t>L48000</t>
  </si>
  <si>
    <t>59. Lower 48 Natural Gas Production and Supply Prices by Supply Region</t>
  </si>
  <si>
    <t>Dry Production (trillion cubic feet) 1/</t>
  </si>
  <si>
    <t>L48000:ba_Lower48Total</t>
  </si>
  <si>
    <t>L48000:ca_Low48Onshore</t>
  </si>
  <si>
    <t>L48000:ca_Northeast</t>
  </si>
  <si>
    <t>L48000:ca_GulfCoast</t>
  </si>
  <si>
    <t>L48000:ca_Midcontinent</t>
  </si>
  <si>
    <t>L48000:ca_Southwest</t>
  </si>
  <si>
    <t>L48000:ca_RockyMountain</t>
  </si>
  <si>
    <t>L48000:ca_NoGreatPlains</t>
  </si>
  <si>
    <t>L48000:ca_WestCoast</t>
  </si>
  <si>
    <t>L48000:da_Low48Offshore</t>
  </si>
  <si>
    <t>L48000:da_Gulf</t>
  </si>
  <si>
    <t>L48000:da_Shallow</t>
  </si>
  <si>
    <t>L48000:da_shallowfed</t>
  </si>
  <si>
    <t>L48000:da_Deep</t>
  </si>
  <si>
    <t>L48000:da_Pacific</t>
  </si>
  <si>
    <t>L48000:da_Pacificstate</t>
  </si>
  <si>
    <t>L48000:da_Pacificfed</t>
  </si>
  <si>
    <t>L48000:da_Atlantic</t>
  </si>
  <si>
    <t>L48000:da_Atlanticstate</t>
  </si>
  <si>
    <t>L48000:da_Atlanticfed</t>
  </si>
  <si>
    <t xml:space="preserve">  (2021 dollars per million Btu)</t>
  </si>
  <si>
    <t>L48000:fa_HenryHub</t>
  </si>
  <si>
    <t xml:space="preserve">    Henry Hub Spot Price</t>
  </si>
  <si>
    <t>L48000:fa_Lower48AveBtu</t>
  </si>
  <si>
    <t xml:space="preserve">    Lower 48 Average Price</t>
  </si>
  <si>
    <t xml:space="preserve">  (2021 dollars per thousand cubic feet)</t>
  </si>
  <si>
    <t>L48000:fa_Lower48Averag</t>
  </si>
  <si>
    <t xml:space="preserve">    Lower 48 Onshore Price</t>
  </si>
  <si>
    <t>L48000:ga_Northeast</t>
  </si>
  <si>
    <t xml:space="preserve">      East</t>
  </si>
  <si>
    <t>L48000:ga_GulfCoast</t>
  </si>
  <si>
    <t xml:space="preserve">      Gulf Coast</t>
  </si>
  <si>
    <t>L48000:ga_Midcontinent</t>
  </si>
  <si>
    <t xml:space="preserve">      Midcontinent</t>
  </si>
  <si>
    <t>L48000:ga_Southwest</t>
  </si>
  <si>
    <t xml:space="preserve">      Southwest</t>
  </si>
  <si>
    <t>L48000:ga_RockyMountain</t>
  </si>
  <si>
    <t xml:space="preserve">      Rocky Mountain</t>
  </si>
  <si>
    <t>L48000:ga_NoGreatPlains</t>
  </si>
  <si>
    <t xml:space="preserve">      Northern Great Plains</t>
  </si>
  <si>
    <t>L48000:ga_WestCoast</t>
  </si>
  <si>
    <t xml:space="preserve">      West Coast</t>
  </si>
  <si>
    <t xml:space="preserve">    Lower 48 Offshore Price</t>
  </si>
  <si>
    <t>L48000:ha_Gulf</t>
  </si>
  <si>
    <t xml:space="preserve">      Gulf</t>
  </si>
  <si>
    <t>L48000:ha_Pacific</t>
  </si>
  <si>
    <t xml:space="preserve">      Pacific</t>
  </si>
  <si>
    <t>L48000:ha_Atlantic</t>
  </si>
  <si>
    <t xml:space="preserve">      Atlantic</t>
  </si>
  <si>
    <t>Shale Gas Plays</t>
  </si>
  <si>
    <t xml:space="preserve">  Barnett</t>
  </si>
  <si>
    <t xml:space="preserve">  Haynesville/Bossier</t>
  </si>
  <si>
    <t xml:space="preserve">  Fayetteville</t>
  </si>
  <si>
    <t xml:space="preserve">  Antrim</t>
  </si>
  <si>
    <t xml:space="preserve">  Marcellus</t>
  </si>
  <si>
    <t>1/ Marketed production (wet) minus extraction losses.</t>
  </si>
  <si>
    <t>Note:  Oil and Gas Supply Model regions are defined in Assumptions to the Annual Energy Outlook.  Totals may not equal sum of</t>
  </si>
  <si>
    <t>components due to independent rounding.</t>
  </si>
  <si>
    <t>National Energy Modeling System run ref2022.d011222a. Projections:  EIA, AEO2022 National Energy Modeling System run ref2022.d011222a.</t>
  </si>
  <si>
    <t>Specifications of Fuels, Global Warming Potentials of Greenhouse Gases, and Carbon and Sulfur Ratios of Pollutants</t>
  </si>
  <si>
    <t>1) Specifications of Fuels</t>
  </si>
  <si>
    <t>Fuel</t>
  </si>
  <si>
    <t>Heating Value</t>
  </si>
  <si>
    <t>Density</t>
  </si>
  <si>
    <t>C ratio</t>
  </si>
  <si>
    <t>S ratio</t>
  </si>
  <si>
    <t>Calculation: LHV</t>
  </si>
  <si>
    <t>LHV</t>
  </si>
  <si>
    <t>HHV</t>
  </si>
  <si>
    <t>(% by wt)</t>
  </si>
  <si>
    <t>(ppm by wt)</t>
  </si>
  <si>
    <t>Actual ratio by wt</t>
  </si>
  <si>
    <t>LHV/HHV</t>
  </si>
  <si>
    <t>Use LHV or HHV in calculations?</t>
  </si>
  <si>
    <t>1 -- LHV; 2 -- HHV</t>
  </si>
  <si>
    <t>Liquid Fuels:</t>
  </si>
  <si>
    <t>Btu/gal</t>
  </si>
  <si>
    <t>grams/gal</t>
  </si>
  <si>
    <t>Crude oil</t>
  </si>
  <si>
    <t>Synthetic crude oil (SCO)</t>
  </si>
  <si>
    <t>Bitumen</t>
  </si>
  <si>
    <t>Dilbit (After Recovery)</t>
  </si>
  <si>
    <t>Dilbit (Before Recovery)</t>
  </si>
  <si>
    <t>Diluent</t>
  </si>
  <si>
    <t>Shale Oil (Bakken)</t>
  </si>
  <si>
    <t>Shale Oil (Eagle Ford)</t>
  </si>
  <si>
    <t>Gasoline blendstock</t>
  </si>
  <si>
    <t>Gasoline</t>
  </si>
  <si>
    <t>CA gasoline</t>
  </si>
  <si>
    <t>High Octane Fuel (E25)</t>
  </si>
  <si>
    <t>High Octane Fuel (E40)</t>
  </si>
  <si>
    <t>U.S. conventional diesel</t>
  </si>
  <si>
    <t>CA diesel</t>
  </si>
  <si>
    <t>Diesel for non-road engines</t>
  </si>
  <si>
    <t>Low-sulfur diesel</t>
  </si>
  <si>
    <t>Petroleum naphtha</t>
  </si>
  <si>
    <t>Low Octane Gasoline-Like Fuel (LOF)</t>
  </si>
  <si>
    <t>Conventional Jet Fuel</t>
  </si>
  <si>
    <t>ULS Jet Fuel</t>
  </si>
  <si>
    <t>NG-based FT naphtha</t>
  </si>
  <si>
    <t>Residual oil</t>
  </si>
  <si>
    <t>Bunker fuel for ocean tanker</t>
  </si>
  <si>
    <t>Methanol</t>
  </si>
  <si>
    <t>Ethanol</t>
  </si>
  <si>
    <t>Butanol</t>
  </si>
  <si>
    <t>Acetone</t>
  </si>
  <si>
    <t>E-Diesel Additives</t>
  </si>
  <si>
    <t>Liquefied petroleum gas (LPG)</t>
  </si>
  <si>
    <t>Liquefied natural gas (LNG)</t>
  </si>
  <si>
    <t>Dimethyl ether (DME)</t>
  </si>
  <si>
    <t>Dimethoxy methane (DMM)</t>
  </si>
  <si>
    <t>Methyl ester (biodiesel, BD)</t>
  </si>
  <si>
    <t>Fischer-Tropsch diesel (FTD)</t>
  </si>
  <si>
    <t>Renewable Diesel I (SuperCetane)</t>
  </si>
  <si>
    <t>Renewable Diesel II (UOP-HDO)</t>
  </si>
  <si>
    <t>Renewable Diesel III (PNNL-HTL)</t>
  </si>
  <si>
    <t>Renewable Gasoline</t>
  </si>
  <si>
    <t>Renewable Gasoline (IDL)</t>
  </si>
  <si>
    <t>Renewable Gasoline (Ex Situ CFP)</t>
  </si>
  <si>
    <t xml:space="preserve">SPK (FT Jet Fuel/HRJ) </t>
  </si>
  <si>
    <t>Liquid hydrogen</t>
  </si>
  <si>
    <t>Methyl tertiary butyl ether (MTBE)</t>
  </si>
  <si>
    <t>Ethyl tertiary butyl ether (ETBE)</t>
  </si>
  <si>
    <t>Tertiary amyl methyl ether (TAME)</t>
  </si>
  <si>
    <t>Butane</t>
  </si>
  <si>
    <t>Natural gas liquids</t>
  </si>
  <si>
    <t>n-Hexane</t>
  </si>
  <si>
    <t>Gaseous Fuels (at 32F and 1atm):</t>
  </si>
  <si>
    <t>Btu/ft3</t>
  </si>
  <si>
    <t>gms/ft3</t>
  </si>
  <si>
    <t>Natural gas</t>
  </si>
  <si>
    <t>Pure Methane</t>
  </si>
  <si>
    <t>Gaseous hydrogen</t>
  </si>
  <si>
    <t>Carbon Dioxide</t>
  </si>
  <si>
    <t>Still gas (in refineries)</t>
  </si>
  <si>
    <t>Solid Fuels:</t>
  </si>
  <si>
    <t>Btu/ton</t>
  </si>
  <si>
    <t>Coal Mix for Electricity Generation</t>
  </si>
  <si>
    <t>Bituminous coal</t>
  </si>
  <si>
    <t>Subbituminous coal</t>
  </si>
  <si>
    <t>Lignite coal</t>
  </si>
  <si>
    <t>Synthetic coal</t>
  </si>
  <si>
    <t>Waste coal</t>
  </si>
  <si>
    <t>Pet Coke</t>
  </si>
  <si>
    <t>Tire Derived Fuel</t>
  </si>
  <si>
    <t>Coking coal</t>
  </si>
  <si>
    <t>Catalyst Coke</t>
  </si>
  <si>
    <t>Willow</t>
  </si>
  <si>
    <t>Poplar</t>
  </si>
  <si>
    <t>Switchgrass</t>
  </si>
  <si>
    <t>Miscanthus</t>
  </si>
  <si>
    <t>Corn stover</t>
  </si>
  <si>
    <t>Forest residue</t>
  </si>
  <si>
    <t>Clean Pine</t>
  </si>
  <si>
    <t>Yard trimming waste</t>
  </si>
  <si>
    <t>Sugarcane straw</t>
  </si>
  <si>
    <t>Sugarcane bagasse</t>
  </si>
  <si>
    <t>Bio-char</t>
  </si>
  <si>
    <t>Grain sorghum bagasse</t>
  </si>
  <si>
    <t>Sweet sorghum bagasse</t>
  </si>
  <si>
    <t>Forage sorghum bagasse</t>
  </si>
  <si>
    <t>Municipal solid waste (defined by EISA)</t>
  </si>
  <si>
    <t>Convertible municipal solid waste</t>
  </si>
  <si>
    <t>Asphalt</t>
  </si>
  <si>
    <t>2) Global Warming Potentials of Greenhouse Gases: relative to CO2</t>
  </si>
  <si>
    <t>Metrics for Carbon Dioxide, Methane, Nitrous Oxide</t>
  </si>
  <si>
    <t>AR Edition/Type</t>
  </si>
  <si>
    <t>AR5/GWP</t>
  </si>
  <si>
    <t>AR5/GTP</t>
  </si>
  <si>
    <t>AR4/GWP</t>
  </si>
  <si>
    <t>AR3/GWP</t>
  </si>
  <si>
    <t>AR2/GWP</t>
  </si>
  <si>
    <t>AR1/GWP</t>
  </si>
  <si>
    <t>Time Horizon (YR)</t>
  </si>
  <si>
    <t>CO2</t>
  </si>
  <si>
    <t>CH4</t>
  </si>
  <si>
    <t>N2O</t>
  </si>
  <si>
    <t>Metrics for Near Term Climate Forcers</t>
  </si>
  <si>
    <t>Type</t>
  </si>
  <si>
    <t>None</t>
  </si>
  <si>
    <t>GWP</t>
  </si>
  <si>
    <t>GTP</t>
  </si>
  <si>
    <t>VOC</t>
  </si>
  <si>
    <t>CO</t>
  </si>
  <si>
    <t>NOx</t>
  </si>
  <si>
    <t>BC</t>
  </si>
  <si>
    <t>OC</t>
  </si>
  <si>
    <t>3) Carbon and Sulfur Ratios of Pollutants</t>
  </si>
  <si>
    <t>Carbon ratio of VOC</t>
  </si>
  <si>
    <t>Carbon ratio of CO</t>
  </si>
  <si>
    <t>Carbon ratio of CH4</t>
  </si>
  <si>
    <t>Carbon ratio of CO2</t>
  </si>
  <si>
    <t>Sulfur ratio of SO2</t>
  </si>
  <si>
    <t>4) Regulated Sulfur Content in Gasoline Blendstock and Conventional Diesel over Time</t>
  </si>
  <si>
    <t>5-year period</t>
  </si>
  <si>
    <t>Sulfur Content in Gasoline Blendstock (ppm)</t>
  </si>
  <si>
    <t>Relative Change (to yr 2010)</t>
  </si>
  <si>
    <t>Sulfur Content in Conventional Diesel (ppm)</t>
  </si>
  <si>
    <t>Sulfur Content in California Diesel (ppm)</t>
  </si>
  <si>
    <t>Sulfur Content in non-Road Diesel (ppm)</t>
  </si>
  <si>
    <t>Sulfur Content in Residual Oil (ppm)</t>
  </si>
  <si>
    <t>Sulfur Content in Marine Disttillate (ppm)</t>
  </si>
  <si>
    <t>5) Unit Conversion</t>
  </si>
  <si>
    <t>Mass</t>
  </si>
  <si>
    <t>1 g</t>
  </si>
  <si>
    <t>1 kg</t>
  </si>
  <si>
    <t>1 metric tonne</t>
  </si>
  <si>
    <t>1 lb</t>
  </si>
  <si>
    <t>1 short ton</t>
  </si>
  <si>
    <t>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</si>
  <si>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</si>
  <si>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</si>
  <si>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</si>
  <si>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</si>
  <si>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</si>
  <si>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</si>
  <si>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</si>
  <si>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</si>
  <si>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</si>
  <si>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</si>
  <si>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</si>
  <si>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</si>
  <si>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</si>
  <si>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</si>
  <si>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</si>
  <si>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</si>
  <si>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</si>
  <si>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</si>
  <si>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</si>
  <si>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</si>
  <si>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</si>
  <si>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</si>
  <si>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</si>
  <si>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</si>
  <si>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</si>
  <si>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</si>
  <si>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</si>
  <si>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kWh</t>
  </si>
  <si>
    <t>BTU</t>
  </si>
  <si>
    <t>mmBTU</t>
  </si>
  <si>
    <t>hph</t>
  </si>
  <si>
    <t>Length</t>
  </si>
  <si>
    <t>mm</t>
  </si>
  <si>
    <t>m</t>
  </si>
  <si>
    <t>km</t>
  </si>
  <si>
    <t>ft</t>
  </si>
  <si>
    <t>mi</t>
  </si>
  <si>
    <t>Sistema de Información Energética</t>
  </si>
  <si>
    <t>Secretaría de Energía</t>
  </si>
  <si>
    <t>Dirección General de Planeación e Información Energéticas</t>
  </si>
  <si>
    <t>Información de Interés nacional "Origen y destino de la energía a nivel nacional" (1)</t>
  </si>
  <si>
    <t>(petajoules)</t>
  </si>
  <si>
    <t/>
  </si>
  <si>
    <t>Carbón</t>
  </si>
  <si>
    <t>Petróleo crudo</t>
  </si>
  <si>
    <t>Condensados</t>
  </si>
  <si>
    <t>Gas   natural</t>
  </si>
  <si>
    <t>Energía Nuclear</t>
  </si>
  <si>
    <t>Energía Hidráulica</t>
  </si>
  <si>
    <t>Geoenergía</t>
  </si>
  <si>
    <t>Energía solar (2)</t>
  </si>
  <si>
    <t>Energía eólica</t>
  </si>
  <si>
    <t>Bagazo de cana</t>
  </si>
  <si>
    <t>Lenia</t>
  </si>
  <si>
    <t>Biogás</t>
  </si>
  <si>
    <t>Total de energía primaria</t>
  </si>
  <si>
    <t>Coque de carbón</t>
  </si>
  <si>
    <t>Coque de petróleo</t>
  </si>
  <si>
    <t>Gas LP</t>
  </si>
  <si>
    <t>Gasolinas  y naftas</t>
  </si>
  <si>
    <t>Querosenos</t>
  </si>
  <si>
    <t>Diesel</t>
  </si>
  <si>
    <t>Combustóleo</t>
  </si>
  <si>
    <t>Productos no energéticos</t>
  </si>
  <si>
    <t>Gas seco</t>
  </si>
  <si>
    <t>Otros autogeneración</t>
  </si>
  <si>
    <t>Electricidad</t>
  </si>
  <si>
    <t>Total de energía secundaria</t>
  </si>
  <si>
    <t>Total</t>
  </si>
  <si>
    <t>2022</t>
  </si>
  <si>
    <t>Producción</t>
  </si>
  <si>
    <t>De otras fuentes</t>
  </si>
  <si>
    <t>Importación</t>
  </si>
  <si>
    <t>Variación de inventarios</t>
  </si>
  <si>
    <t>Oferta total</t>
  </si>
  <si>
    <t>Exportación</t>
  </si>
  <si>
    <t>No aprovechada</t>
  </si>
  <si>
    <t>Maquila-intercambio neto</t>
  </si>
  <si>
    <t>Oferta interna bruta</t>
  </si>
  <si>
    <t>Total transformación</t>
  </si>
  <si>
    <t xml:space="preserve">   Coquizadoras</t>
  </si>
  <si>
    <t xml:space="preserve">   Refinerías y despuntadoras</t>
  </si>
  <si>
    <t xml:space="preserve">   Plantas de gas y fraccionadoras</t>
  </si>
  <si>
    <t xml:space="preserve">   Centrales eléctricas públicas</t>
  </si>
  <si>
    <t xml:space="preserve">   Centrales eléctricas PIE</t>
  </si>
  <si>
    <t xml:space="preserve">   Centrales eléctricas de autogeneración</t>
  </si>
  <si>
    <t xml:space="preserve">   Centrales eléctricas con modalidad de Generación</t>
  </si>
  <si>
    <t>Consumo propio del sector</t>
  </si>
  <si>
    <t>Transferencias interproductos</t>
  </si>
  <si>
    <t>Recirculaciones</t>
  </si>
  <si>
    <t>Diferencia estadística</t>
  </si>
  <si>
    <t>Pérdidas (transp.,dist. y almac)</t>
  </si>
  <si>
    <t>Consumo final total</t>
  </si>
  <si>
    <t>Consumo final no energético</t>
  </si>
  <si>
    <t xml:space="preserve">   Petroquímica de Pemex</t>
  </si>
  <si>
    <t xml:space="preserve">   Otras ramas económicas</t>
  </si>
  <si>
    <t>Consumo final energético</t>
  </si>
  <si>
    <t xml:space="preserve">   Residencial, comercial y público</t>
  </si>
  <si>
    <t xml:space="preserve">   Transporte</t>
  </si>
  <si>
    <t xml:space="preserve">   Agropecuario</t>
  </si>
  <si>
    <t xml:space="preserve">   Industrial</t>
  </si>
  <si>
    <t>Producción bruta de energía secundaria</t>
  </si>
  <si>
    <t>Notas:</t>
  </si>
  <si>
    <t xml:space="preserve">   1. La suma de los parciales puede no coincidir con los totales debido al redondeo de las cifras.</t>
  </si>
  <si>
    <t xml:space="preserve">   2. Para 2023, Incluye el equivalente de la energía solar primaria de las descargas de las baterías (0.23 PJ)</t>
  </si>
  <si>
    <t xml:space="preserve">   3. La generación de electricidad mediante módulos fotovoltáicos se consideró como centrales eléctricas autogeneración.</t>
  </si>
  <si>
    <t xml:space="preserve">   4. A partir de 2016 se incluye información de las centrales eléctricas con permiso de generación otorgado por la CRE.</t>
  </si>
  <si>
    <t xml:space="preserve">   5. A partir de 2021 se consideran los permisos de generación eléctrica de pequenos productores, cogeneración y usos propios continuos. Del mismo modo, las centrales públicas se denominan Centrales Eléctricas de CFE</t>
  </si>
  <si>
    <t xml:space="preserve">   6. A partir del 2021 se considera la clasificación industrial del Sistema de Clasificación Industrial de América del Norte (SCIAN)</t>
  </si>
  <si>
    <t xml:space="preserve">   7. A partir de 2021 se consideran perdidas no técnicas, porteo y suministro calificado de energía electrica.</t>
  </si>
  <si>
    <t>Fuente: Sistema de Información Energética, SENER.</t>
  </si>
  <si>
    <t>Domestic Use</t>
  </si>
  <si>
    <t>Domestic use also includes change in domestic inventories, which should average to zero over multi-year timeframes.</t>
  </si>
  <si>
    <t>electricity (not used in this variable)</t>
  </si>
  <si>
    <t>hard coal</t>
  </si>
  <si>
    <t>PJ</t>
  </si>
  <si>
    <t>natural gas</t>
  </si>
  <si>
    <t>uranium</t>
  </si>
  <si>
    <t>hydro (is not a fuel)</t>
  </si>
  <si>
    <t>wind (is not a fuel)</t>
  </si>
  <si>
    <t>solar (is not a fuel)</t>
  </si>
  <si>
    <t>biomass</t>
  </si>
  <si>
    <t>petroleum gasoline</t>
  </si>
  <si>
    <t>petroleum diesel</t>
  </si>
  <si>
    <t>biofuel gasoline</t>
  </si>
  <si>
    <t>biofuel diesel</t>
  </si>
  <si>
    <t>jet fuel or kerosene</t>
  </si>
  <si>
    <t>heat (not used in this variable)</t>
  </si>
  <si>
    <t>geothermal (is not a fuel)</t>
  </si>
  <si>
    <t>lignite</t>
  </si>
  <si>
    <t>crude oil</t>
  </si>
  <si>
    <t>heavy fuel oil</t>
  </si>
  <si>
    <t>LPG propane or butane</t>
  </si>
  <si>
    <t>municipal solid waste</t>
  </si>
  <si>
    <t>hydrogen</t>
  </si>
  <si>
    <t>Converted to BTU</t>
  </si>
  <si>
    <t>Conversion Factors</t>
  </si>
  <si>
    <t>SENER</t>
  </si>
  <si>
    <t>https://sie.energia.gob.mx/bdiController.do?action=convertidor</t>
  </si>
  <si>
    <t>BTU per</t>
  </si>
  <si>
    <t>BTU/PJ</t>
  </si>
  <si>
    <t>Production Scaling Factors</t>
  </si>
  <si>
    <t>Imports Scaling Factors</t>
  </si>
  <si>
    <t>Exports Scaling Factors</t>
  </si>
  <si>
    <t>AEO 2020 REF CASE</t>
  </si>
  <si>
    <t>60. Lower 48 Natural Gas Production and Supply Prices by Supply Region</t>
  </si>
  <si>
    <t>2019-</t>
  </si>
  <si>
    <t>59. Lower 48 Crude Oil Production and Wellhead Prices by Supply Region</t>
  </si>
  <si>
    <t>AEO 2021 REF CASE</t>
  </si>
  <si>
    <t>Compound</t>
  </si>
  <si>
    <t xml:space="preserve"> Growth </t>
  </si>
  <si>
    <t xml:space="preserve">2020-2050 </t>
  </si>
  <si>
    <t>(percent)</t>
  </si>
  <si>
    <t>AEO 2022 REF CASE</t>
  </si>
  <si>
    <t>AEO 2022</t>
  </si>
  <si>
    <t>Nat gas</t>
  </si>
  <si>
    <t>CRUDE OIL</t>
  </si>
  <si>
    <t>GROWTH RATES</t>
  </si>
  <si>
    <t>NG</t>
  </si>
  <si>
    <t>SCALING</t>
  </si>
  <si>
    <t>Calcs</t>
  </si>
  <si>
    <t>Fuel (BTU)</t>
  </si>
  <si>
    <t>nuclear</t>
  </si>
  <si>
    <t>heat (energy carrier)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</si>
</sst>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
    <numFmt numFmtId="166" formatCode="#,##0.0000"/>
    <numFmt numFmtId="167" formatCode="0.0000"/>
    <numFmt numFmtId="168" formatCode="0.0"/>
    <numFmt numFmtId="169" formatCode="#,##0.000"/>
    <numFmt numFmtId="170" formatCode="0.000"/>
    <numFmt numFmtId="171" formatCode="#,##0.000000"/>
    <numFmt numFmtId="172" formatCode="0.000000"/>
    <numFmt numFmtId="173" formatCode="#,##0.000000000"/>
    <numFmt numFmtId="174" formatCode="#,##0.0000000000"/>
    <numFmt numFmtId="175" formatCode="#,##0.0000000"/>
    <numFmt numFmtId="176" formatCode="0.0000E+00"/>
    <numFmt numFmtId="177" formatCode="_(* #,##0_);_(* \(#,##0\);_(* &quot;-&quot;??_);_(@_)"/>
  </numFmts>
  <fonts count="35" x14ac:knownFonts="1">
    <font>
      <sz val="11"/>
      <color theme="1"/>
      <name val="Calibri"/>
      <family val="2"/>
      <scheme val="minor"/>
    </font>
    <font>
      <b/>
      <sz val="11"/>
      <color theme="1"/>
      <name val="Calibri"/>
      <family val="2"/>
      <scheme val="minor"/>
    </font>
    <font>
      <u/>
      <sz val="11"/>
      <color theme="10"/>
      <name val="Calibri"/>
      <family val="2"/>
      <scheme val="minor"/>
    </font>
    <font>
      <b/>
      <sz val="9"/>
      <color rgb="FFFFFFFF"/>
      <name val="Arial"/>
      <family val="2"/>
    </font>
    <font>
      <b/>
      <sz val="9"/>
      <color rgb="FF000000"/>
      <name val="Arial"/>
      <family val="2"/>
    </font>
    <font>
      <sz val="9"/>
      <color rgb="FF000000"/>
      <name val="Arial"/>
      <family val="2"/>
    </font>
    <font>
      <sz val="9"/>
      <color indexed="8"/>
      <name val="Calibri"/>
      <family val="2"/>
    </font>
    <font>
      <b/>
      <sz val="9"/>
      <color indexed="8"/>
      <name val="Calibri"/>
      <family val="2"/>
    </font>
    <font>
      <sz val="10"/>
      <color indexed="8"/>
      <name val="Arial"/>
      <family val="2"/>
    </font>
    <font>
      <sz val="8"/>
      <name val="Arial"/>
      <family val="2"/>
    </font>
    <font>
      <b/>
      <sz val="12"/>
      <color indexed="30"/>
      <name val="Calibri"/>
      <family val="2"/>
    </font>
    <font>
      <sz val="9"/>
      <name val="Calibri"/>
      <family val="2"/>
    </font>
    <font>
      <i/>
      <sz val="11"/>
      <color theme="1"/>
      <name val="Calibri"/>
      <family val="2"/>
      <scheme val="minor"/>
    </font>
    <font>
      <sz val="11"/>
      <color theme="1"/>
      <name val="Calibri"/>
      <family val="2"/>
      <scheme val="minor"/>
    </font>
    <font>
      <b/>
      <sz val="12"/>
      <name val="Arial"/>
      <family val="2"/>
    </font>
    <font>
      <b/>
      <sz val="11"/>
      <name val="Arial"/>
      <family val="2"/>
    </font>
    <font>
      <b/>
      <sz val="10"/>
      <name val="Arial"/>
      <family val="2"/>
    </font>
    <font>
      <sz val="10"/>
      <name val="Arial"/>
      <family val="2"/>
    </font>
    <font>
      <sz val="8"/>
      <color indexed="81"/>
      <name val="Tahoma"/>
      <family val="2"/>
    </font>
    <font>
      <sz val="8"/>
      <color indexed="81"/>
      <name val="Arial"/>
      <family val="2"/>
    </font>
    <font>
      <sz val="9"/>
      <color indexed="81"/>
      <name val="Tahoma"/>
      <family val="2"/>
    </font>
    <font>
      <b/>
      <sz val="10"/>
      <color indexed="81"/>
      <name val="Tahoma"/>
      <family val="2"/>
    </font>
    <font>
      <sz val="10"/>
      <color indexed="81"/>
      <name val="Tahoma"/>
      <family val="2"/>
    </font>
    <font>
      <sz val="9"/>
      <color theme="1"/>
      <name val="Calibri"/>
      <family val="2"/>
      <scheme val="minor"/>
    </font>
    <font>
      <b/>
      <sz val="9"/>
      <color theme="1"/>
      <name val="Calibri"/>
      <family val="2"/>
      <scheme val="minor"/>
    </font>
    <font>
      <u/>
      <sz val="11"/>
      <color rgb="FF0070C0"/>
      <name val="Calibri"/>
      <family val="2"/>
      <scheme val="minor"/>
    </font>
    <font>
      <sz val="11"/>
      <name val="Calibri"/>
      <family val="2"/>
      <scheme val="minor"/>
    </font>
    <font>
      <sz val="10"/>
      <name val="Calibri"/>
      <family val="2"/>
    </font>
    <font>
      <b/>
      <sz val="9"/>
      <name val="Calibri"/>
      <family val="2"/>
    </font>
    <font>
      <sz val="11"/>
      <color rgb="FFFF0000"/>
      <name val="Calibri"/>
      <family val="2"/>
      <scheme val="minor"/>
    </font>
    <font>
      <b/>
      <sz val="9"/>
      <color rgb="FFFF0000"/>
      <name val="Calibri"/>
      <family val="2"/>
    </font>
    <font>
      <sz val="9"/>
      <color rgb="FFFF0000"/>
      <name val="Calibri"/>
      <family val="2"/>
    </font>
    <font>
      <b/>
      <sz val="12"/>
      <name val="Calibri"/>
      <family val="2"/>
    </font>
    <font>
      <sz val="11"/>
      <name val="Calibri"/>
      <family val="2"/>
    </font>
    <font>
      <b/>
      <sz val="11"/>
      <name val="Calibri"/>
      <family val="2"/>
    </font>
  </fonts>
  <fills count="24">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rgb="FFFFC000"/>
        <bgColor indexed="64"/>
      </patternFill>
    </fill>
    <fill>
      <patternFill patternType="solid">
        <fgColor rgb="FF3F74B6"/>
        <bgColor indexed="64"/>
      </patternFill>
    </fill>
    <fill>
      <patternFill patternType="solid">
        <fgColor rgb="FF7D7D7D"/>
        <bgColor indexed="64"/>
      </patternFill>
    </fill>
    <fill>
      <patternFill patternType="solid">
        <fgColor rgb="FFFFFFFF"/>
        <bgColor indexed="64"/>
      </patternFill>
    </fill>
    <fill>
      <patternFill patternType="solid">
        <fgColor rgb="FFD2E2F2"/>
        <bgColor indexed="64"/>
      </patternFill>
    </fill>
    <fill>
      <patternFill patternType="solid">
        <fgColor rgb="FFCFCFCF"/>
        <bgColor indexed="64"/>
      </patternFill>
    </fill>
    <fill>
      <patternFill patternType="solid">
        <fgColor rgb="FFFFFFE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3" tint="0.59999389629810485"/>
        <bgColor indexed="64"/>
      </patternFill>
    </fill>
    <fill>
      <patternFill patternType="solid">
        <fgColor indexed="29"/>
        <bgColor indexed="64"/>
      </patternFill>
    </fill>
    <fill>
      <patternFill patternType="solid">
        <fgColor rgb="FF00FF00"/>
        <bgColor indexed="9"/>
      </patternFill>
    </fill>
    <fill>
      <patternFill patternType="solid">
        <fgColor indexed="13"/>
        <bgColor indexed="64"/>
      </patternFill>
    </fill>
    <fill>
      <patternFill patternType="solid">
        <fgColor rgb="FFFFFF00"/>
        <bgColor indexed="9"/>
      </patternFill>
    </fill>
    <fill>
      <patternFill patternType="solid">
        <fgColor theme="1" tint="0.34998626667073579"/>
        <bgColor indexed="64"/>
      </patternFill>
    </fill>
    <fill>
      <patternFill patternType="solid">
        <fgColor indexed="13"/>
        <bgColor indexed="9"/>
      </patternFill>
    </fill>
    <fill>
      <patternFill patternType="solid">
        <fgColor rgb="FF00FF00"/>
        <bgColor indexed="64"/>
      </patternFill>
    </fill>
    <fill>
      <patternFill patternType="solid">
        <fgColor rgb="FFFF8080"/>
        <bgColor indexed="64"/>
      </patternFill>
    </fill>
    <fill>
      <patternFill patternType="solid">
        <fgColor theme="4" tint="0.39997558519241921"/>
        <bgColor indexed="64"/>
      </patternFill>
    </fill>
    <fill>
      <patternFill patternType="solid">
        <fgColor theme="8" tint="0.39997558519241921"/>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right/>
      <top/>
      <bottom style="thick">
        <color rgb="FF0096D7"/>
      </bottom>
      <diagonal/>
    </border>
    <border>
      <left/>
      <right/>
      <top/>
      <bottom style="thin">
        <color rgb="FFBFBFBF"/>
      </bottom>
      <diagonal/>
    </border>
    <border>
      <left/>
      <right/>
      <top/>
      <bottom style="dashed">
        <color rgb="FFBFBFBF"/>
      </bottom>
      <diagonal/>
    </border>
    <border>
      <left/>
      <right/>
      <top style="medium">
        <color rgb="FF0096D7"/>
      </top>
      <bottom/>
      <diagonal/>
    </border>
    <border>
      <left style="thin">
        <color auto="1"/>
      </left>
      <right/>
      <top style="thin">
        <color auto="1"/>
      </top>
      <bottom/>
      <diagonal/>
    </border>
    <border>
      <left/>
      <right/>
      <top style="thin">
        <color indexed="64"/>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style="thin">
        <color auto="1"/>
      </top>
      <bottom style="thin">
        <color indexed="64"/>
      </bottom>
      <diagonal/>
    </border>
    <border>
      <left/>
      <right/>
      <top style="thin">
        <color auto="1"/>
      </top>
      <bottom style="thin">
        <color indexed="64"/>
      </bottom>
      <diagonal/>
    </border>
    <border>
      <left/>
      <right style="thin">
        <color auto="1"/>
      </right>
      <top style="thin">
        <color auto="1"/>
      </top>
      <bottom style="thin">
        <color indexed="64"/>
      </bottom>
      <diagonal/>
    </border>
    <border>
      <left style="thin">
        <color auto="1"/>
      </left>
      <right style="thin">
        <color auto="1"/>
      </right>
      <top/>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auto="1"/>
      </left>
      <right style="thin">
        <color indexed="64"/>
      </right>
      <top style="thin">
        <color indexed="64"/>
      </top>
      <bottom/>
      <diagonal/>
    </border>
    <border>
      <left style="thin">
        <color indexed="64"/>
      </left>
      <right/>
      <top/>
      <bottom style="thin">
        <color indexed="64"/>
      </bottom>
      <diagonal/>
    </border>
    <border>
      <left style="thick">
        <color theme="0"/>
      </left>
      <right style="thick">
        <color theme="0"/>
      </right>
      <top/>
      <bottom style="thin">
        <color theme="0" tint="-0.24994659260841701"/>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38">
    <xf numFmtId="0" fontId="0" fillId="0" borderId="0"/>
    <xf numFmtId="0" fontId="2" fillId="0" borderId="0" applyNumberFormat="0" applyFill="0" applyBorder="0" applyAlignment="0" applyProtection="0"/>
    <xf numFmtId="0" fontId="6" fillId="0" borderId="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43" fontId="13" fillId="0" borderId="0" applyFont="0" applyFill="0" applyBorder="0" applyAlignment="0" applyProtection="0"/>
    <xf numFmtId="9" fontId="13" fillId="0" borderId="0" applyFont="0" applyFill="0" applyBorder="0" applyAlignment="0" applyProtection="0"/>
    <xf numFmtId="0" fontId="6" fillId="0" borderId="0" applyNumberFormat="0" applyFill="0" applyBorder="0" applyAlignment="0" applyProtection="0"/>
    <xf numFmtId="0" fontId="7" fillId="0" borderId="2" applyNumberFormat="0" applyProtection="0">
      <alignment wrapText="1"/>
    </xf>
    <xf numFmtId="0" fontId="10" fillId="0" borderId="0" applyNumberFormat="0" applyProtection="0">
      <alignment horizontal="left"/>
    </xf>
    <xf numFmtId="0" fontId="7" fillId="0" borderId="3" applyNumberFormat="0" applyProtection="0">
      <alignment wrapText="1"/>
    </xf>
    <xf numFmtId="0" fontId="6" fillId="0" borderId="4" applyNumberFormat="0" applyFont="0" applyProtection="0">
      <alignment wrapText="1"/>
    </xf>
    <xf numFmtId="0" fontId="6" fillId="0" borderId="5" applyNumberFormat="0" applyProtection="0">
      <alignment wrapText="1"/>
    </xf>
    <xf numFmtId="0" fontId="23" fillId="0" borderId="0" applyNumberFormat="0" applyProtection="0">
      <alignment vertical="top" wrapText="1"/>
    </xf>
    <xf numFmtId="0" fontId="24" fillId="0" borderId="20" applyNumberFormat="0" applyProtection="0">
      <alignment horizontal="left" wrapText="1"/>
    </xf>
    <xf numFmtId="0" fontId="23" fillId="0" borderId="21" applyNumberFormat="0" applyFont="0" applyFill="0" applyProtection="0">
      <alignment wrapText="1"/>
    </xf>
    <xf numFmtId="0" fontId="24" fillId="0" borderId="22" applyNumberFormat="0" applyFill="0" applyProtection="0">
      <alignment wrapText="1"/>
    </xf>
    <xf numFmtId="0" fontId="6" fillId="0" borderId="5">
      <alignment wrapText="1"/>
    </xf>
    <xf numFmtId="0" fontId="6" fillId="0" borderId="4">
      <alignment wrapText="1"/>
    </xf>
    <xf numFmtId="0" fontId="7" fillId="0" borderId="3">
      <alignment wrapText="1"/>
    </xf>
    <xf numFmtId="0" fontId="7" fillId="0" borderId="2">
      <alignment wrapText="1"/>
    </xf>
    <xf numFmtId="0" fontId="6" fillId="0" borderId="0"/>
    <xf numFmtId="0" fontId="10" fillId="0" borderId="0">
      <alignment horizontal="left"/>
    </xf>
    <xf numFmtId="9" fontId="6" fillId="0" borderId="0" applyFont="0" applyFill="0" applyBorder="0" applyAlignment="0" applyProtection="0"/>
    <xf numFmtId="0" fontId="13" fillId="0" borderId="0"/>
    <xf numFmtId="0" fontId="6" fillId="0" borderId="0"/>
    <xf numFmtId="0" fontId="13" fillId="0" borderId="0"/>
    <xf numFmtId="0" fontId="6" fillId="0" borderId="4">
      <alignment wrapText="1"/>
    </xf>
    <xf numFmtId="0" fontId="6" fillId="0" borderId="0"/>
    <xf numFmtId="0" fontId="6" fillId="0" borderId="5">
      <alignment wrapText="1"/>
    </xf>
    <xf numFmtId="0" fontId="7" fillId="0" borderId="2">
      <alignment wrapText="1"/>
    </xf>
    <xf numFmtId="0" fontId="7" fillId="0" borderId="3">
      <alignment wrapText="1"/>
    </xf>
    <xf numFmtId="0" fontId="10" fillId="0" borderId="0">
      <alignment horizontal="left"/>
    </xf>
    <xf numFmtId="0" fontId="33" fillId="0" borderId="0"/>
  </cellStyleXfs>
  <cellXfs count="299">
    <xf numFmtId="0" fontId="0" fillId="0" borderId="0" xfId="0"/>
    <xf numFmtId="0" fontId="1" fillId="0" borderId="0" xfId="0" applyFont="1"/>
    <xf numFmtId="0" fontId="1" fillId="2" borderId="0" xfId="0" applyFont="1" applyFill="1"/>
    <xf numFmtId="0" fontId="0" fillId="0" borderId="0" xfId="0" applyAlignment="1">
      <alignment horizontal="left"/>
    </xf>
    <xf numFmtId="0" fontId="2" fillId="0" borderId="0" xfId="1"/>
    <xf numFmtId="0" fontId="0" fillId="3" borderId="0" xfId="0" applyFill="1"/>
    <xf numFmtId="0" fontId="0" fillId="4" borderId="0" xfId="0" applyFill="1"/>
    <xf numFmtId="0" fontId="0" fillId="2" borderId="0" xfId="0" applyFill="1"/>
    <xf numFmtId="0" fontId="4" fillId="8" borderId="1" xfId="0" applyFont="1" applyFill="1" applyBorder="1" applyAlignment="1">
      <alignment horizontal="center" wrapText="1"/>
    </xf>
    <xf numFmtId="0" fontId="4" fillId="9" borderId="1" xfId="0" applyFont="1" applyFill="1" applyBorder="1" applyAlignment="1">
      <alignment horizontal="center" wrapText="1"/>
    </xf>
    <xf numFmtId="0" fontId="4" fillId="10" borderId="1" xfId="0" applyFont="1" applyFill="1" applyBorder="1" applyAlignment="1">
      <alignment horizontal="left" vertical="center" wrapText="1"/>
    </xf>
    <xf numFmtId="0" fontId="0" fillId="0" borderId="1" xfId="0" applyBorder="1"/>
    <xf numFmtId="0" fontId="5" fillId="0" borderId="1" xfId="0" applyFont="1" applyBorder="1" applyAlignment="1">
      <alignment horizontal="right" vertical="center" wrapText="1"/>
    </xf>
    <xf numFmtId="0" fontId="0" fillId="11" borderId="1" xfId="0" applyFill="1" applyBorder="1"/>
    <xf numFmtId="0" fontId="5" fillId="10" borderId="1" xfId="0" applyFont="1" applyFill="1" applyBorder="1" applyAlignment="1">
      <alignment horizontal="left" vertical="center" wrapText="1" indent="1"/>
    </xf>
    <xf numFmtId="0" fontId="5" fillId="10" borderId="1" xfId="0" applyFont="1" applyFill="1" applyBorder="1" applyAlignment="1">
      <alignment horizontal="left" vertical="center" wrapText="1" indent="2"/>
    </xf>
    <xf numFmtId="0" fontId="5" fillId="11" borderId="1" xfId="0" applyFont="1" applyFill="1" applyBorder="1" applyAlignment="1">
      <alignment horizontal="right" vertical="center" wrapText="1"/>
    </xf>
    <xf numFmtId="0" fontId="5" fillId="10" borderId="1" xfId="0" applyFont="1" applyFill="1" applyBorder="1" applyAlignment="1">
      <alignment horizontal="left" vertical="center" wrapText="1" indent="3"/>
    </xf>
    <xf numFmtId="0" fontId="0" fillId="0" borderId="0" xfId="0" applyAlignment="1">
      <alignment horizontal="right"/>
    </xf>
    <xf numFmtId="1" fontId="0" fillId="3" borderId="0" xfId="0" applyNumberFormat="1" applyFill="1"/>
    <xf numFmtId="0" fontId="12" fillId="0" borderId="0" xfId="0" applyFont="1"/>
    <xf numFmtId="3" fontId="0" fillId="0" borderId="0" xfId="0" applyNumberFormat="1" applyAlignment="1">
      <alignment horizontal="right"/>
    </xf>
    <xf numFmtId="4" fontId="0" fillId="0" borderId="0" xfId="0" applyNumberFormat="1" applyAlignment="1">
      <alignment horizontal="right"/>
    </xf>
    <xf numFmtId="1" fontId="0" fillId="0" borderId="0" xfId="0" applyNumberFormat="1" applyAlignment="1">
      <alignment horizontal="right"/>
    </xf>
    <xf numFmtId="0" fontId="1" fillId="0" borderId="0" xfId="0" applyFont="1" applyAlignment="1">
      <alignment wrapText="1"/>
    </xf>
    <xf numFmtId="9" fontId="0" fillId="0" borderId="0" xfId="0" applyNumberFormat="1"/>
    <xf numFmtId="1" fontId="0" fillId="0" borderId="0" xfId="0" applyNumberFormat="1"/>
    <xf numFmtId="168" fontId="0" fillId="0" borderId="0" xfId="0" applyNumberFormat="1"/>
    <xf numFmtId="2" fontId="0" fillId="0" borderId="0" xfId="0" applyNumberFormat="1"/>
    <xf numFmtId="0" fontId="0" fillId="2" borderId="0" xfId="0" applyFill="1" applyAlignment="1">
      <alignment horizontal="right"/>
    </xf>
    <xf numFmtId="0" fontId="0" fillId="2" borderId="0" xfId="0" applyFill="1" applyAlignment="1">
      <alignment horizontal="left"/>
    </xf>
    <xf numFmtId="0" fontId="0" fillId="2" borderId="0" xfId="0" applyFill="1" applyAlignment="1">
      <alignment wrapText="1"/>
    </xf>
    <xf numFmtId="0" fontId="1" fillId="13" borderId="0" xfId="0" applyFont="1" applyFill="1"/>
    <xf numFmtId="0" fontId="1" fillId="13" borderId="0" xfId="0" applyFont="1" applyFill="1" applyAlignment="1">
      <alignment horizontal="right"/>
    </xf>
    <xf numFmtId="0" fontId="1" fillId="13" borderId="0" xfId="0" applyFont="1" applyFill="1" applyAlignment="1">
      <alignment horizontal="right" wrapText="1"/>
    </xf>
    <xf numFmtId="0" fontId="1" fillId="13" borderId="0" xfId="0" applyFont="1" applyFill="1" applyAlignment="1">
      <alignment horizontal="left"/>
    </xf>
    <xf numFmtId="0" fontId="14" fillId="0" borderId="0" xfId="0" applyFont="1"/>
    <xf numFmtId="0" fontId="15" fillId="0" borderId="0" xfId="0" applyFont="1"/>
    <xf numFmtId="0" fontId="16" fillId="0" borderId="6" xfId="0" applyFont="1" applyBorder="1" applyAlignment="1">
      <alignment horizontal="left"/>
    </xf>
    <xf numFmtId="0" fontId="16" fillId="0" borderId="6" xfId="0" applyFont="1" applyBorder="1" applyAlignment="1">
      <alignment horizontal="centerContinuous"/>
    </xf>
    <xf numFmtId="0" fontId="16" fillId="0" borderId="7" xfId="0" applyFont="1" applyBorder="1" applyAlignment="1">
      <alignment horizontal="centerContinuous"/>
    </xf>
    <xf numFmtId="0" fontId="16" fillId="0" borderId="7" xfId="0" applyFont="1" applyBorder="1" applyAlignment="1">
      <alignment horizontal="right"/>
    </xf>
    <xf numFmtId="170" fontId="16" fillId="0" borderId="8" xfId="0" applyNumberFormat="1" applyFont="1" applyBorder="1" applyAlignment="1">
      <alignment horizontal="right"/>
    </xf>
    <xf numFmtId="0" fontId="16" fillId="0" borderId="9" xfId="0" applyFont="1" applyBorder="1" applyAlignment="1">
      <alignment horizontal="right"/>
    </xf>
    <xf numFmtId="0" fontId="16" fillId="0" borderId="9" xfId="0" applyFont="1" applyBorder="1" applyAlignment="1">
      <alignment horizontal="right" wrapText="1"/>
    </xf>
    <xf numFmtId="0" fontId="16" fillId="0" borderId="0" xfId="0" applyFont="1" applyAlignment="1">
      <alignment horizontal="right"/>
    </xf>
    <xf numFmtId="0" fontId="16" fillId="0" borderId="0" xfId="0" applyFont="1" applyAlignment="1">
      <alignment horizontal="right" wrapText="1"/>
    </xf>
    <xf numFmtId="170" fontId="16" fillId="0" borderId="10" xfId="0" applyNumberFormat="1" applyFont="1" applyBorder="1" applyAlignment="1">
      <alignment horizontal="right" wrapText="1"/>
    </xf>
    <xf numFmtId="0" fontId="16" fillId="0" borderId="9" xfId="0" applyFont="1" applyBorder="1"/>
    <xf numFmtId="0" fontId="16" fillId="14" borderId="9" xfId="0" applyFont="1" applyFill="1" applyBorder="1"/>
    <xf numFmtId="0" fontId="17" fillId="0" borderId="0" xfId="0" applyFont="1"/>
    <xf numFmtId="0" fontId="16" fillId="0" borderId="0" xfId="0" applyFont="1"/>
    <xf numFmtId="170" fontId="16" fillId="0" borderId="10" xfId="0" applyNumberFormat="1" applyFont="1" applyBorder="1"/>
    <xf numFmtId="0" fontId="16" fillId="0" borderId="11" xfId="0" applyFont="1" applyBorder="1"/>
    <xf numFmtId="0" fontId="16" fillId="0" borderId="11" xfId="0" applyFont="1" applyBorder="1" applyAlignment="1">
      <alignment horizontal="right"/>
    </xf>
    <xf numFmtId="0" fontId="16" fillId="0" borderId="12" xfId="0" applyFont="1" applyBorder="1" applyAlignment="1">
      <alignment horizontal="right"/>
    </xf>
    <xf numFmtId="0" fontId="16" fillId="0" borderId="12" xfId="0" applyFont="1" applyBorder="1"/>
    <xf numFmtId="170" fontId="16" fillId="0" borderId="13" xfId="0" applyNumberFormat="1" applyFont="1" applyBorder="1"/>
    <xf numFmtId="0" fontId="0" fillId="0" borderId="9" xfId="0" applyBorder="1"/>
    <xf numFmtId="3" fontId="17" fillId="0" borderId="9" xfId="9" applyNumberFormat="1" applyFont="1" applyFill="1" applyBorder="1" applyAlignment="1"/>
    <xf numFmtId="3" fontId="17" fillId="15" borderId="0" xfId="9" applyNumberFormat="1" applyFont="1" applyFill="1" applyBorder="1" applyAlignment="1"/>
    <xf numFmtId="164" fontId="17" fillId="15" borderId="0" xfId="10" applyNumberFormat="1" applyFont="1" applyFill="1" applyBorder="1" applyAlignment="1"/>
    <xf numFmtId="3" fontId="17" fillId="16" borderId="0" xfId="9" applyNumberFormat="1" applyFont="1" applyFill="1" applyBorder="1" applyAlignment="1"/>
    <xf numFmtId="171" fontId="17" fillId="0" borderId="0" xfId="9" applyNumberFormat="1" applyFont="1" applyFill="1" applyBorder="1" applyAlignment="1"/>
    <xf numFmtId="170" fontId="17" fillId="0" borderId="10" xfId="9" applyNumberFormat="1" applyFont="1" applyFill="1" applyBorder="1" applyAlignment="1"/>
    <xf numFmtId="3" fontId="17" fillId="17" borderId="0" xfId="9" applyNumberFormat="1" applyFont="1" applyFill="1" applyBorder="1" applyAlignment="1"/>
    <xf numFmtId="164" fontId="17" fillId="17" borderId="0" xfId="10" applyNumberFormat="1" applyFont="1" applyFill="1" applyBorder="1" applyAlignment="1"/>
    <xf numFmtId="3" fontId="17" fillId="0" borderId="0" xfId="9" applyNumberFormat="1" applyFont="1" applyFill="1" applyBorder="1" applyAlignment="1"/>
    <xf numFmtId="164" fontId="17" fillId="0" borderId="0" xfId="10" applyNumberFormat="1" applyFont="1" applyFill="1" applyBorder="1" applyAlignment="1"/>
    <xf numFmtId="170" fontId="17" fillId="0" borderId="0" xfId="9" applyNumberFormat="1" applyFont="1" applyFill="1" applyBorder="1" applyAlignment="1"/>
    <xf numFmtId="3" fontId="0" fillId="0" borderId="0" xfId="0" applyNumberFormat="1"/>
    <xf numFmtId="3" fontId="17" fillId="0" borderId="0" xfId="0" applyNumberFormat="1" applyFont="1" applyAlignment="1">
      <alignment vertical="top"/>
    </xf>
    <xf numFmtId="0" fontId="0" fillId="18" borderId="0" xfId="0" applyFill="1"/>
    <xf numFmtId="164" fontId="0" fillId="0" borderId="0" xfId="0" applyNumberFormat="1"/>
    <xf numFmtId="1" fontId="17" fillId="0" borderId="0" xfId="10" applyNumberFormat="1" applyFont="1" applyFill="1" applyBorder="1" applyAlignment="1"/>
    <xf numFmtId="0" fontId="17" fillId="0" borderId="9" xfId="0" applyFont="1" applyBorder="1"/>
    <xf numFmtId="164" fontId="17" fillId="0" borderId="0" xfId="9" applyNumberFormat="1" applyFont="1" applyFill="1" applyBorder="1" applyAlignment="1"/>
    <xf numFmtId="3" fontId="17" fillId="12" borderId="0" xfId="9" applyNumberFormat="1" applyFont="1" applyFill="1" applyBorder="1" applyAlignment="1"/>
    <xf numFmtId="164" fontId="17" fillId="16" borderId="0" xfId="10" applyNumberFormat="1" applyFont="1" applyFill="1" applyBorder="1" applyAlignment="1"/>
    <xf numFmtId="3" fontId="0" fillId="12" borderId="0" xfId="0" applyNumberFormat="1" applyFill="1"/>
    <xf numFmtId="164" fontId="0" fillId="12" borderId="0" xfId="0" applyNumberFormat="1" applyFill="1"/>
    <xf numFmtId="164" fontId="17" fillId="12" borderId="0" xfId="10" applyNumberFormat="1" applyFont="1" applyFill="1" applyBorder="1" applyAlignment="1"/>
    <xf numFmtId="3" fontId="17" fillId="0" borderId="0" xfId="10" applyNumberFormat="1" applyFont="1" applyFill="1" applyBorder="1" applyAlignment="1"/>
    <xf numFmtId="3" fontId="17" fillId="0" borderId="0" xfId="9" applyNumberFormat="1" applyFont="1" applyBorder="1" applyAlignment="1"/>
    <xf numFmtId="164" fontId="17" fillId="0" borderId="0" xfId="10" applyNumberFormat="1" applyFont="1" applyBorder="1" applyAlignment="1"/>
    <xf numFmtId="3" fontId="16" fillId="0" borderId="11" xfId="9" applyNumberFormat="1" applyFont="1" applyFill="1" applyBorder="1" applyAlignment="1">
      <alignment horizontal="right"/>
    </xf>
    <xf numFmtId="3" fontId="16" fillId="0" borderId="12" xfId="9" applyNumberFormat="1" applyFont="1" applyFill="1" applyBorder="1" applyAlignment="1">
      <alignment horizontal="right"/>
    </xf>
    <xf numFmtId="164" fontId="16" fillId="0" borderId="12" xfId="10" applyNumberFormat="1" applyFont="1" applyFill="1" applyBorder="1" applyAlignment="1"/>
    <xf numFmtId="3" fontId="16" fillId="0" borderId="12" xfId="9" applyNumberFormat="1" applyFont="1" applyBorder="1" applyAlignment="1"/>
    <xf numFmtId="171" fontId="16" fillId="0" borderId="12" xfId="9" applyNumberFormat="1" applyFont="1" applyFill="1" applyBorder="1" applyAlignment="1"/>
    <xf numFmtId="170" fontId="16" fillId="0" borderId="13" xfId="9" applyNumberFormat="1" applyFont="1" applyFill="1" applyBorder="1" applyAlignment="1"/>
    <xf numFmtId="165" fontId="17" fillId="15" borderId="0" xfId="9" applyNumberFormat="1" applyFont="1" applyFill="1" applyBorder="1" applyAlignment="1"/>
    <xf numFmtId="3" fontId="17" fillId="19" borderId="0" xfId="9" applyNumberFormat="1" applyFont="1" applyFill="1" applyBorder="1" applyAlignment="1"/>
    <xf numFmtId="165" fontId="17" fillId="19" borderId="0" xfId="9" applyNumberFormat="1" applyFont="1" applyFill="1" applyBorder="1" applyAlignment="1"/>
    <xf numFmtId="165" fontId="17" fillId="12" borderId="0" xfId="9" applyNumberFormat="1" applyFont="1" applyFill="1" applyBorder="1" applyAlignment="1"/>
    <xf numFmtId="165" fontId="17" fillId="17" borderId="0" xfId="9" applyNumberFormat="1" applyFont="1" applyFill="1" applyBorder="1" applyAlignment="1"/>
    <xf numFmtId="3" fontId="16" fillId="0" borderId="12" xfId="9" applyNumberFormat="1" applyFont="1" applyBorder="1" applyAlignment="1">
      <alignment horizontal="right"/>
    </xf>
    <xf numFmtId="170" fontId="17" fillId="12" borderId="10" xfId="9" applyNumberFormat="1" applyFont="1" applyFill="1" applyBorder="1" applyAlignment="1"/>
    <xf numFmtId="10" fontId="0" fillId="0" borderId="0" xfId="0" applyNumberFormat="1"/>
    <xf numFmtId="3" fontId="17" fillId="20" borderId="0" xfId="9" applyNumberFormat="1" applyFont="1" applyFill="1" applyBorder="1" applyAlignment="1"/>
    <xf numFmtId="0" fontId="17" fillId="0" borderId="0" xfId="10" applyNumberFormat="1" applyFont="1" applyBorder="1" applyAlignment="1"/>
    <xf numFmtId="172" fontId="17" fillId="0" borderId="0" xfId="9" applyNumberFormat="1" applyFont="1" applyFill="1" applyBorder="1" applyAlignment="1"/>
    <xf numFmtId="164" fontId="17" fillId="16" borderId="0" xfId="0" applyNumberFormat="1" applyFont="1" applyFill="1"/>
    <xf numFmtId="171" fontId="0" fillId="0" borderId="0" xfId="0" applyNumberFormat="1"/>
    <xf numFmtId="170" fontId="0" fillId="0" borderId="10" xfId="0" applyNumberFormat="1" applyBorder="1"/>
    <xf numFmtId="0" fontId="17" fillId="0" borderId="14" xfId="0" applyFont="1" applyBorder="1"/>
    <xf numFmtId="164" fontId="17" fillId="12" borderId="0" xfId="0" applyNumberFormat="1" applyFont="1" applyFill="1"/>
    <xf numFmtId="164" fontId="17" fillId="0" borderId="0" xfId="0" applyNumberFormat="1" applyFont="1"/>
    <xf numFmtId="0" fontId="0" fillId="0" borderId="14" xfId="0" applyBorder="1"/>
    <xf numFmtId="0" fontId="0" fillId="0" borderId="15" xfId="0" applyBorder="1"/>
    <xf numFmtId="3" fontId="17" fillId="0" borderId="16" xfId="9" applyNumberFormat="1" applyFont="1" applyFill="1" applyBorder="1" applyAlignment="1"/>
    <xf numFmtId="3" fontId="17" fillId="12" borderId="16" xfId="9" applyNumberFormat="1" applyFont="1" applyFill="1" applyBorder="1" applyAlignment="1"/>
    <xf numFmtId="164" fontId="17" fillId="12" borderId="16" xfId="0" applyNumberFormat="1" applyFont="1" applyFill="1" applyBorder="1"/>
    <xf numFmtId="171" fontId="0" fillId="0" borderId="16" xfId="0" applyNumberFormat="1" applyBorder="1"/>
    <xf numFmtId="170" fontId="0" fillId="0" borderId="17" xfId="0" applyNumberFormat="1" applyBorder="1"/>
    <xf numFmtId="3" fontId="0" fillId="0" borderId="0" xfId="9" applyNumberFormat="1" applyFont="1" applyFill="1" applyBorder="1" applyAlignment="1"/>
    <xf numFmtId="0" fontId="0" fillId="0" borderId="0" xfId="9" applyNumberFormat="1" applyFont="1" applyFill="1" applyBorder="1" applyAlignment="1"/>
    <xf numFmtId="164" fontId="0" fillId="0" borderId="0" xfId="10" applyNumberFormat="1" applyFont="1" applyFill="1" applyBorder="1" applyAlignment="1"/>
    <xf numFmtId="170" fontId="0" fillId="0" borderId="0" xfId="0" applyNumberFormat="1"/>
    <xf numFmtId="0" fontId="17" fillId="0" borderId="0" xfId="9" applyNumberFormat="1" applyFont="1" applyBorder="1" applyAlignment="1"/>
    <xf numFmtId="0" fontId="0" fillId="0" borderId="6" xfId="0" applyBorder="1" applyAlignment="1">
      <alignment horizontal="right"/>
    </xf>
    <xf numFmtId="0" fontId="17" fillId="21" borderId="18" xfId="9" applyNumberFormat="1" applyFont="1" applyFill="1" applyBorder="1" applyAlignment="1">
      <alignment horizontal="right"/>
    </xf>
    <xf numFmtId="0" fontId="0" fillId="0" borderId="7" xfId="9" applyNumberFormat="1" applyFont="1" applyBorder="1" applyAlignment="1">
      <alignment horizontal="right"/>
    </xf>
    <xf numFmtId="0" fontId="0" fillId="0" borderId="7" xfId="9" applyNumberFormat="1" applyFont="1" applyFill="1" applyBorder="1" applyAlignment="1">
      <alignment horizontal="right"/>
    </xf>
    <xf numFmtId="0" fontId="0" fillId="0" borderId="8" xfId="9" applyNumberFormat="1" applyFont="1" applyFill="1" applyBorder="1" applyAlignment="1">
      <alignment horizontal="right"/>
    </xf>
    <xf numFmtId="0" fontId="0" fillId="0" borderId="19" xfId="0" applyBorder="1" applyAlignment="1">
      <alignment horizontal="right"/>
    </xf>
    <xf numFmtId="0" fontId="17" fillId="21" borderId="15" xfId="9" applyNumberFormat="1" applyFont="1" applyFill="1" applyBorder="1" applyAlignment="1">
      <alignment horizontal="right"/>
    </xf>
    <xf numFmtId="0" fontId="17" fillId="0" borderId="16" xfId="9" applyNumberFormat="1" applyFont="1" applyBorder="1" applyAlignment="1">
      <alignment horizontal="right"/>
    </xf>
    <xf numFmtId="0" fontId="17" fillId="0" borderId="17" xfId="9" applyNumberFormat="1" applyFont="1" applyBorder="1" applyAlignment="1">
      <alignment horizontal="right"/>
    </xf>
    <xf numFmtId="0" fontId="0" fillId="0" borderId="9" xfId="0" applyBorder="1" applyAlignment="1">
      <alignment horizontal="right"/>
    </xf>
    <xf numFmtId="3" fontId="0" fillId="0" borderId="14" xfId="0" applyNumberFormat="1" applyBorder="1"/>
    <xf numFmtId="0" fontId="0" fillId="0" borderId="10" xfId="0" applyBorder="1"/>
    <xf numFmtId="3" fontId="0" fillId="0" borderId="15" xfId="0" applyNumberFormat="1" applyBorder="1"/>
    <xf numFmtId="0" fontId="0" fillId="0" borderId="16" xfId="0" applyBorder="1"/>
    <xf numFmtId="0" fontId="0" fillId="0" borderId="17" xfId="0" applyBorder="1"/>
    <xf numFmtId="0" fontId="0" fillId="0" borderId="6" xfId="0" applyBorder="1" applyAlignment="1">
      <alignment horizontal="left"/>
    </xf>
    <xf numFmtId="3" fontId="0" fillId="21" borderId="18" xfId="0" applyNumberFormat="1" applyFill="1" applyBorder="1" applyAlignment="1">
      <alignment horizontal="right"/>
    </xf>
    <xf numFmtId="0" fontId="0" fillId="0" borderId="7" xfId="0" applyBorder="1" applyAlignment="1">
      <alignment horizontal="right"/>
    </xf>
    <xf numFmtId="0" fontId="0" fillId="0" borderId="8" xfId="0" applyBorder="1" applyAlignment="1">
      <alignment horizontal="right"/>
    </xf>
    <xf numFmtId="0" fontId="0" fillId="0" borderId="16" xfId="0" applyBorder="1" applyAlignment="1">
      <alignment horizontal="right"/>
    </xf>
    <xf numFmtId="0" fontId="0" fillId="0" borderId="17" xfId="0" applyBorder="1" applyAlignment="1">
      <alignment horizontal="right"/>
    </xf>
    <xf numFmtId="0" fontId="0" fillId="20" borderId="0" xfId="0" applyFill="1"/>
    <xf numFmtId="0" fontId="0" fillId="20" borderId="10" xfId="0" applyFill="1" applyBorder="1"/>
    <xf numFmtId="2" fontId="0" fillId="0" borderId="8" xfId="0" applyNumberFormat="1" applyBorder="1"/>
    <xf numFmtId="2" fontId="0" fillId="0" borderId="10" xfId="0" applyNumberFormat="1" applyBorder="1"/>
    <xf numFmtId="2" fontId="0" fillId="0" borderId="17" xfId="0" applyNumberFormat="1" applyBorder="1"/>
    <xf numFmtId="0" fontId="0" fillId="16" borderId="0" xfId="0" applyFill="1" applyAlignment="1">
      <alignment horizontal="center"/>
    </xf>
    <xf numFmtId="168" fontId="0" fillId="16" borderId="0" xfId="0" applyNumberFormat="1" applyFill="1" applyAlignment="1">
      <alignment horizontal="center"/>
    </xf>
    <xf numFmtId="165" fontId="0" fillId="16" borderId="0" xfId="0" applyNumberFormat="1" applyFill="1" applyAlignment="1">
      <alignment horizontal="center"/>
    </xf>
    <xf numFmtId="0" fontId="0" fillId="0" borderId="0" xfId="0" applyAlignment="1">
      <alignment horizontal="center"/>
    </xf>
    <xf numFmtId="168" fontId="0" fillId="0" borderId="0" xfId="0" applyNumberFormat="1" applyAlignment="1">
      <alignment horizontal="center"/>
    </xf>
    <xf numFmtId="165" fontId="0" fillId="0" borderId="0" xfId="0" applyNumberFormat="1" applyAlignment="1">
      <alignment horizontal="center"/>
    </xf>
    <xf numFmtId="0" fontId="16" fillId="0" borderId="11" xfId="0" applyFont="1" applyBorder="1" applyAlignment="1">
      <alignment horizontal="right" wrapText="1"/>
    </xf>
    <xf numFmtId="0" fontId="16" fillId="0" borderId="12" xfId="0" applyFont="1" applyBorder="1" applyAlignment="1">
      <alignment horizontal="center" wrapText="1"/>
    </xf>
    <xf numFmtId="0" fontId="16" fillId="0" borderId="13" xfId="0" applyFont="1" applyBorder="1" applyAlignment="1">
      <alignment horizontal="right" wrapText="1"/>
    </xf>
    <xf numFmtId="0" fontId="16" fillId="0" borderId="12" xfId="0" applyFont="1" applyBorder="1" applyAlignment="1">
      <alignment horizontal="right" wrapText="1"/>
    </xf>
    <xf numFmtId="0" fontId="0" fillId="0" borderId="6" xfId="0" applyBorder="1" applyAlignment="1">
      <alignment horizontal="center"/>
    </xf>
    <xf numFmtId="165" fontId="0" fillId="0" borderId="7" xfId="0" applyNumberFormat="1" applyBorder="1" applyAlignment="1">
      <alignment horizontal="center"/>
    </xf>
    <xf numFmtId="164" fontId="0" fillId="0" borderId="8" xfId="0" applyNumberFormat="1" applyBorder="1" applyAlignment="1">
      <alignment horizontal="center"/>
    </xf>
    <xf numFmtId="0" fontId="0" fillId="0" borderId="9" xfId="0" applyBorder="1" applyAlignment="1">
      <alignment horizontal="center"/>
    </xf>
    <xf numFmtId="164" fontId="0" fillId="0" borderId="10" xfId="0" applyNumberFormat="1" applyBorder="1" applyAlignment="1">
      <alignment horizontal="center"/>
    </xf>
    <xf numFmtId="0" fontId="16" fillId="0" borderId="9" xfId="0" applyFont="1" applyBorder="1" applyAlignment="1">
      <alignment horizontal="center"/>
    </xf>
    <xf numFmtId="165" fontId="16" fillId="0" borderId="0" xfId="0" applyNumberFormat="1" applyFont="1" applyAlignment="1">
      <alignment horizontal="center"/>
    </xf>
    <xf numFmtId="164" fontId="16" fillId="0" borderId="10" xfId="0" applyNumberFormat="1" applyFont="1" applyBorder="1" applyAlignment="1">
      <alignment horizontal="center"/>
    </xf>
    <xf numFmtId="0" fontId="0" fillId="0" borderId="19" xfId="0" applyBorder="1" applyAlignment="1">
      <alignment horizontal="center"/>
    </xf>
    <xf numFmtId="165" fontId="0" fillId="0" borderId="16" xfId="0" applyNumberFormat="1" applyBorder="1" applyAlignment="1">
      <alignment horizontal="center"/>
    </xf>
    <xf numFmtId="164" fontId="0" fillId="0" borderId="17" xfId="0" applyNumberFormat="1" applyBorder="1" applyAlignment="1">
      <alignment horizontal="center"/>
    </xf>
    <xf numFmtId="0" fontId="16" fillId="0" borderId="1" xfId="0" applyFont="1" applyBorder="1" applyAlignment="1">
      <alignment horizontal="center"/>
    </xf>
    <xf numFmtId="0" fontId="0" fillId="0" borderId="12" xfId="0"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3" fontId="0" fillId="0" borderId="0" xfId="0" applyNumberFormat="1" applyAlignment="1">
      <alignment horizontal="center"/>
    </xf>
    <xf numFmtId="169" fontId="0" fillId="0" borderId="0" xfId="0" applyNumberFormat="1" applyAlignment="1">
      <alignment horizontal="center"/>
    </xf>
    <xf numFmtId="3" fontId="0" fillId="0" borderId="10" xfId="0" applyNumberFormat="1" applyBorder="1" applyAlignment="1">
      <alignment horizontal="center"/>
    </xf>
    <xf numFmtId="171" fontId="0" fillId="0" borderId="0" xfId="0" applyNumberFormat="1" applyAlignment="1">
      <alignment horizontal="center"/>
    </xf>
    <xf numFmtId="169" fontId="0" fillId="0" borderId="10" xfId="0" applyNumberFormat="1" applyBorder="1" applyAlignment="1">
      <alignment horizontal="center"/>
    </xf>
    <xf numFmtId="0" fontId="0" fillId="0" borderId="15" xfId="0" applyBorder="1" applyAlignment="1">
      <alignment horizontal="center"/>
    </xf>
    <xf numFmtId="171" fontId="0" fillId="0" borderId="16" xfId="0" applyNumberFormat="1" applyBorder="1" applyAlignment="1">
      <alignment horizontal="center"/>
    </xf>
    <xf numFmtId="169" fontId="0" fillId="0" borderId="16" xfId="0" applyNumberFormat="1" applyBorder="1" applyAlignment="1">
      <alignment horizontal="center"/>
    </xf>
    <xf numFmtId="3" fontId="0" fillId="0" borderId="17" xfId="0" applyNumberFormat="1" applyBorder="1" applyAlignment="1">
      <alignment horizontal="center"/>
    </xf>
    <xf numFmtId="172" fontId="0" fillId="0" borderId="0" xfId="0" applyNumberFormat="1" applyAlignment="1">
      <alignment horizontal="center"/>
    </xf>
    <xf numFmtId="170" fontId="0" fillId="0" borderId="0" xfId="0" applyNumberFormat="1" applyAlignment="1">
      <alignment horizontal="center"/>
    </xf>
    <xf numFmtId="167" fontId="0" fillId="0" borderId="0" xfId="0" applyNumberFormat="1" applyAlignment="1">
      <alignment horizontal="center"/>
    </xf>
    <xf numFmtId="167" fontId="0" fillId="0" borderId="10" xfId="0" applyNumberFormat="1" applyBorder="1" applyAlignment="1">
      <alignment horizontal="center"/>
    </xf>
    <xf numFmtId="166" fontId="0" fillId="0" borderId="0" xfId="0" applyNumberFormat="1" applyAlignment="1">
      <alignment horizontal="center"/>
    </xf>
    <xf numFmtId="173" fontId="0" fillId="0" borderId="0" xfId="0" applyNumberFormat="1" applyAlignment="1">
      <alignment horizontal="center"/>
    </xf>
    <xf numFmtId="174" fontId="0" fillId="0" borderId="0" xfId="0" applyNumberFormat="1" applyAlignment="1">
      <alignment horizontal="center"/>
    </xf>
    <xf numFmtId="175" fontId="0" fillId="0" borderId="0" xfId="0" applyNumberFormat="1" applyAlignment="1">
      <alignment horizontal="center"/>
    </xf>
    <xf numFmtId="0" fontId="1" fillId="12" borderId="0" xfId="0" applyFont="1" applyFill="1"/>
    <xf numFmtId="0" fontId="0" fillId="12" borderId="0" xfId="0" applyFill="1" applyAlignment="1">
      <alignment horizontal="right"/>
    </xf>
    <xf numFmtId="0" fontId="0" fillId="12" borderId="0" xfId="0" applyFill="1" applyAlignment="1">
      <alignment horizontal="left"/>
    </xf>
    <xf numFmtId="176" fontId="0" fillId="0" borderId="0" xfId="0" applyNumberFormat="1" applyAlignment="1">
      <alignment horizontal="right"/>
    </xf>
    <xf numFmtId="176" fontId="0" fillId="2" borderId="0" xfId="0" applyNumberFormat="1" applyFill="1" applyAlignment="1">
      <alignment horizontal="right"/>
    </xf>
    <xf numFmtId="0" fontId="25" fillId="0" borderId="0" xfId="1" applyFont="1" applyAlignment="1" applyProtection="1"/>
    <xf numFmtId="11" fontId="0" fillId="0" borderId="0" xfId="0" applyNumberFormat="1"/>
    <xf numFmtId="0" fontId="1" fillId="4" borderId="0" xfId="0" applyFont="1" applyFill="1"/>
    <xf numFmtId="0" fontId="1" fillId="22" borderId="0" xfId="0" applyFont="1" applyFill="1"/>
    <xf numFmtId="0" fontId="0" fillId="22" borderId="0" xfId="0" applyFill="1"/>
    <xf numFmtId="0" fontId="26" fillId="0" borderId="0" xfId="1" applyFont="1"/>
    <xf numFmtId="0" fontId="6" fillId="0" borderId="0" xfId="3"/>
    <xf numFmtId="0" fontId="7" fillId="0" borderId="2" xfId="4">
      <alignment wrapText="1"/>
    </xf>
    <xf numFmtId="0" fontId="9" fillId="0" borderId="0" xfId="0" applyFont="1"/>
    <xf numFmtId="0" fontId="10" fillId="0" borderId="0" xfId="5">
      <alignment horizontal="left"/>
    </xf>
    <xf numFmtId="0" fontId="7" fillId="0" borderId="0" xfId="0" applyFont="1" applyAlignment="1">
      <alignment horizontal="right"/>
    </xf>
    <xf numFmtId="0" fontId="7" fillId="0" borderId="3" xfId="6">
      <alignment wrapText="1"/>
    </xf>
    <xf numFmtId="4" fontId="7" fillId="0" borderId="3" xfId="6" applyNumberFormat="1" applyAlignment="1">
      <alignment horizontal="right" wrapText="1"/>
    </xf>
    <xf numFmtId="164" fontId="7" fillId="0" borderId="3" xfId="6" applyNumberFormat="1" applyAlignment="1">
      <alignment horizontal="right" wrapText="1"/>
    </xf>
    <xf numFmtId="0" fontId="6" fillId="0" borderId="0" xfId="2"/>
    <xf numFmtId="0" fontId="11" fillId="0" borderId="0" xfId="2" applyFont="1"/>
    <xf numFmtId="164" fontId="0" fillId="0" borderId="4" xfId="22" applyNumberFormat="1" applyFont="1" applyAlignment="1">
      <alignment horizontal="right" wrapText="1"/>
    </xf>
    <xf numFmtId="165" fontId="0" fillId="0" borderId="4" xfId="22" applyNumberFormat="1" applyFont="1" applyAlignment="1">
      <alignment horizontal="right" wrapText="1"/>
    </xf>
    <xf numFmtId="0" fontId="0" fillId="0" borderId="4" xfId="22" applyFont="1">
      <alignment wrapText="1"/>
    </xf>
    <xf numFmtId="0" fontId="9" fillId="0" borderId="0" xfId="2" applyFont="1"/>
    <xf numFmtId="4" fontId="0" fillId="0" borderId="4" xfId="22" applyNumberFormat="1" applyFont="1" applyAlignment="1">
      <alignment horizontal="right" wrapText="1"/>
    </xf>
    <xf numFmtId="3" fontId="0" fillId="0" borderId="4" xfId="22" applyNumberFormat="1" applyFont="1" applyAlignment="1">
      <alignment horizontal="right" wrapText="1"/>
    </xf>
    <xf numFmtId="0" fontId="7" fillId="0" borderId="3" xfId="23">
      <alignment wrapText="1"/>
    </xf>
    <xf numFmtId="164" fontId="7" fillId="0" borderId="3" xfId="23" applyNumberFormat="1" applyAlignment="1">
      <alignment horizontal="right" wrapText="1"/>
    </xf>
    <xf numFmtId="4" fontId="7" fillId="0" borderId="3" xfId="23" applyNumberFormat="1" applyAlignment="1">
      <alignment horizontal="right" wrapText="1"/>
    </xf>
    <xf numFmtId="0" fontId="7" fillId="0" borderId="2" xfId="24" applyAlignment="1">
      <alignment horizontal="right"/>
    </xf>
    <xf numFmtId="0" fontId="7" fillId="0" borderId="2" xfId="24">
      <alignment wrapText="1"/>
    </xf>
    <xf numFmtId="0" fontId="28" fillId="0" borderId="0" xfId="2" applyFont="1" applyAlignment="1">
      <alignment horizontal="right"/>
    </xf>
    <xf numFmtId="0" fontId="6" fillId="0" borderId="0" xfId="2" applyAlignment="1">
      <alignment horizontal="left"/>
    </xf>
    <xf numFmtId="0" fontId="6" fillId="0" borderId="0" xfId="25"/>
    <xf numFmtId="0" fontId="10" fillId="0" borderId="0" xfId="26">
      <alignment horizontal="left"/>
    </xf>
    <xf numFmtId="0" fontId="8" fillId="0" borderId="0" xfId="2" applyFont="1"/>
    <xf numFmtId="0" fontId="0" fillId="12" borderId="1" xfId="0" applyFill="1" applyBorder="1"/>
    <xf numFmtId="0" fontId="0" fillId="12" borderId="0" xfId="0" applyFill="1"/>
    <xf numFmtId="177" fontId="0" fillId="0" borderId="0" xfId="9" applyNumberFormat="1" applyFont="1"/>
    <xf numFmtId="4" fontId="0" fillId="0" borderId="0" xfId="0" applyNumberFormat="1"/>
    <xf numFmtId="0" fontId="5" fillId="12" borderId="1" xfId="0" applyFont="1" applyFill="1" applyBorder="1" applyAlignment="1">
      <alignment horizontal="right" vertical="center" wrapText="1"/>
    </xf>
    <xf numFmtId="0" fontId="6" fillId="0" borderId="5" xfId="2" applyBorder="1"/>
    <xf numFmtId="0" fontId="6" fillId="0" borderId="4" xfId="22">
      <alignment wrapText="1"/>
    </xf>
    <xf numFmtId="11" fontId="6" fillId="23" borderId="0" xfId="2" applyNumberFormat="1" applyFill="1"/>
    <xf numFmtId="11" fontId="6" fillId="12" borderId="0" xfId="2" applyNumberFormat="1" applyFill="1"/>
    <xf numFmtId="9" fontId="0" fillId="0" borderId="0" xfId="27" applyFont="1"/>
    <xf numFmtId="11" fontId="6" fillId="0" borderId="0" xfId="2" applyNumberFormat="1" applyAlignment="1">
      <alignment horizontal="left"/>
    </xf>
    <xf numFmtId="0" fontId="27" fillId="0" borderId="0" xfId="2" applyFont="1"/>
    <xf numFmtId="0" fontId="7" fillId="12" borderId="3" xfId="23" applyFill="1">
      <alignment wrapText="1"/>
    </xf>
    <xf numFmtId="4" fontId="7" fillId="12" borderId="3" xfId="23" applyNumberFormat="1" applyFill="1" applyAlignment="1">
      <alignment horizontal="right" wrapText="1"/>
    </xf>
    <xf numFmtId="0" fontId="7" fillId="0" borderId="2" xfId="24" applyAlignment="1">
      <alignment horizontal="right" wrapText="1"/>
    </xf>
    <xf numFmtId="4" fontId="0" fillId="12" borderId="0" xfId="0" applyNumberFormat="1" applyFill="1"/>
    <xf numFmtId="9" fontId="0" fillId="0" borderId="0" xfId="10" applyFont="1"/>
    <xf numFmtId="177" fontId="0" fillId="0" borderId="0" xfId="0" applyNumberFormat="1"/>
    <xf numFmtId="0" fontId="0" fillId="0" borderId="23" xfId="0" applyBorder="1"/>
    <xf numFmtId="0" fontId="0" fillId="0" borderId="24" xfId="0" applyBorder="1"/>
    <xf numFmtId="11" fontId="0" fillId="0" borderId="24" xfId="0" applyNumberFormat="1" applyBorder="1"/>
    <xf numFmtId="0" fontId="0" fillId="0" borderId="25" xfId="0" applyBorder="1"/>
    <xf numFmtId="0" fontId="30" fillId="0" borderId="3" xfId="23" applyFont="1">
      <alignment wrapText="1"/>
    </xf>
    <xf numFmtId="4" fontId="30" fillId="0" borderId="3" xfId="23" applyNumberFormat="1" applyFont="1" applyAlignment="1">
      <alignment horizontal="right" wrapText="1"/>
    </xf>
    <xf numFmtId="0" fontId="31" fillId="0" borderId="0" xfId="2" applyFont="1"/>
    <xf numFmtId="0" fontId="31" fillId="0" borderId="4" xfId="22" applyFont="1">
      <alignment wrapText="1"/>
    </xf>
    <xf numFmtId="4" fontId="31" fillId="0" borderId="4" xfId="22" applyNumberFormat="1" applyFont="1" applyAlignment="1">
      <alignment horizontal="right" wrapText="1"/>
    </xf>
    <xf numFmtId="164" fontId="7" fillId="0" borderId="3" xfId="10" applyNumberFormat="1" applyFont="1" applyBorder="1" applyAlignment="1">
      <alignment horizontal="right" wrapText="1"/>
    </xf>
    <xf numFmtId="164" fontId="28" fillId="0" borderId="2" xfId="10" applyNumberFormat="1" applyFont="1" applyBorder="1" applyAlignment="1">
      <alignment horizontal="right"/>
    </xf>
    <xf numFmtId="164" fontId="7" fillId="12" borderId="3" xfId="10" applyNumberFormat="1" applyFont="1" applyFill="1" applyBorder="1" applyAlignment="1">
      <alignment horizontal="right" wrapText="1"/>
    </xf>
    <xf numFmtId="164" fontId="28" fillId="0" borderId="0" xfId="10" applyNumberFormat="1" applyFont="1" applyAlignment="1">
      <alignment horizontal="right"/>
    </xf>
    <xf numFmtId="164" fontId="0" fillId="0" borderId="4" xfId="10" applyNumberFormat="1" applyFont="1" applyBorder="1" applyAlignment="1">
      <alignment horizontal="right" wrapText="1"/>
    </xf>
    <xf numFmtId="164" fontId="29" fillId="0" borderId="4" xfId="10" applyNumberFormat="1" applyFont="1" applyBorder="1" applyAlignment="1">
      <alignment horizontal="right" wrapText="1"/>
    </xf>
    <xf numFmtId="0" fontId="32" fillId="0" borderId="0" xfId="26" applyFont="1">
      <alignment horizontal="left"/>
    </xf>
    <xf numFmtId="0" fontId="11" fillId="0" borderId="0" xfId="25" applyFont="1"/>
    <xf numFmtId="0" fontId="11" fillId="0" borderId="0" xfId="2" applyFont="1" applyAlignment="1">
      <alignment horizontal="left"/>
    </xf>
    <xf numFmtId="0" fontId="28" fillId="0" borderId="2" xfId="24" applyFont="1">
      <alignment wrapText="1"/>
    </xf>
    <xf numFmtId="0" fontId="28" fillId="0" borderId="2" xfId="24" applyFont="1" applyAlignment="1">
      <alignment horizontal="right"/>
    </xf>
    <xf numFmtId="0" fontId="28" fillId="0" borderId="3" xfId="23" applyFont="1">
      <alignment wrapText="1"/>
    </xf>
    <xf numFmtId="0" fontId="11" fillId="0" borderId="4" xfId="22" applyFont="1">
      <alignment wrapText="1"/>
    </xf>
    <xf numFmtId="4" fontId="11" fillId="0" borderId="4" xfId="22" applyNumberFormat="1" applyFont="1" applyAlignment="1">
      <alignment horizontal="right" wrapText="1"/>
    </xf>
    <xf numFmtId="164" fontId="11" fillId="0" borderId="4" xfId="22" applyNumberFormat="1" applyFont="1" applyAlignment="1">
      <alignment horizontal="right" wrapText="1"/>
    </xf>
    <xf numFmtId="4" fontId="28" fillId="0" borderId="3" xfId="23" applyNumberFormat="1" applyFont="1" applyAlignment="1">
      <alignment horizontal="right" wrapText="1"/>
    </xf>
    <xf numFmtId="164" fontId="28" fillId="0" borderId="3" xfId="23" applyNumberFormat="1" applyFont="1" applyAlignment="1">
      <alignment horizontal="right" wrapText="1"/>
    </xf>
    <xf numFmtId="3" fontId="11" fillId="0" borderId="4" xfId="22" applyNumberFormat="1" applyFont="1" applyAlignment="1">
      <alignment horizontal="right" wrapText="1"/>
    </xf>
    <xf numFmtId="165" fontId="11" fillId="0" borderId="4" xfId="22" applyNumberFormat="1" applyFont="1" applyAlignment="1">
      <alignment horizontal="right" wrapText="1"/>
    </xf>
    <xf numFmtId="164" fontId="6" fillId="0" borderId="0" xfId="10" applyNumberFormat="1" applyFont="1"/>
    <xf numFmtId="164" fontId="31" fillId="0" borderId="0" xfId="10" applyNumberFormat="1" applyFont="1"/>
    <xf numFmtId="164" fontId="6" fillId="0" borderId="0" xfId="10" applyNumberFormat="1" applyFont="1" applyAlignment="1">
      <alignment horizontal="right"/>
    </xf>
    <xf numFmtId="0" fontId="6" fillId="0" borderId="0" xfId="32"/>
    <xf numFmtId="0" fontId="7" fillId="0" borderId="2" xfId="34" applyAlignment="1"/>
    <xf numFmtId="0" fontId="32" fillId="0" borderId="0" xfId="36" applyFont="1">
      <alignment horizontal="left"/>
    </xf>
    <xf numFmtId="0" fontId="11" fillId="0" borderId="0" xfId="32" applyFont="1"/>
    <xf numFmtId="0" fontId="28" fillId="0" borderId="2" xfId="34" applyFont="1" applyAlignment="1"/>
    <xf numFmtId="0" fontId="28" fillId="0" borderId="2" xfId="34" applyFont="1" applyAlignment="1">
      <alignment horizontal="right"/>
    </xf>
    <xf numFmtId="0" fontId="28" fillId="0" borderId="3" xfId="35" applyFont="1" applyAlignment="1"/>
    <xf numFmtId="0" fontId="11" fillId="0" borderId="4" xfId="31" applyFont="1" applyAlignment="1"/>
    <xf numFmtId="4" fontId="11" fillId="0" borderId="4" xfId="31" applyNumberFormat="1" applyFont="1" applyAlignment="1">
      <alignment horizontal="right"/>
    </xf>
    <xf numFmtId="164" fontId="11" fillId="0" borderId="4" xfId="31" applyNumberFormat="1" applyFont="1" applyAlignment="1">
      <alignment horizontal="right"/>
    </xf>
    <xf numFmtId="0" fontId="11" fillId="0" borderId="5" xfId="2" applyFont="1" applyBorder="1"/>
    <xf numFmtId="3" fontId="11" fillId="0" borderId="4" xfId="31" applyNumberFormat="1" applyFont="1" applyAlignment="1">
      <alignment horizontal="right"/>
    </xf>
    <xf numFmtId="169" fontId="11" fillId="0" borderId="4" xfId="31" applyNumberFormat="1" applyFont="1" applyAlignment="1">
      <alignment horizontal="right"/>
    </xf>
    <xf numFmtId="0" fontId="33" fillId="0" borderId="0" xfId="37"/>
    <xf numFmtId="0" fontId="34" fillId="0" borderId="0" xfId="37" applyFont="1"/>
    <xf numFmtId="0" fontId="11" fillId="0" borderId="5" xfId="21" applyFont="1">
      <alignment wrapText="1"/>
    </xf>
    <xf numFmtId="0" fontId="3" fillId="5" borderId="1" xfId="0" applyFont="1" applyFill="1" applyBorder="1" applyAlignment="1">
      <alignment horizontal="center" wrapText="1"/>
    </xf>
    <xf numFmtId="0" fontId="3" fillId="6" borderId="1" xfId="0" applyFont="1" applyFill="1" applyBorder="1" applyAlignment="1">
      <alignment horizontal="center" wrapText="1"/>
    </xf>
    <xf numFmtId="0" fontId="4" fillId="7" borderId="1" xfId="0" applyFont="1" applyFill="1" applyBorder="1" applyAlignment="1">
      <alignment horizontal="center" wrapText="1"/>
    </xf>
    <xf numFmtId="0" fontId="6" fillId="0" borderId="0" xfId="2"/>
    <xf numFmtId="0" fontId="11" fillId="0" borderId="5" xfId="21" applyFont="1">
      <alignment wrapText="1"/>
    </xf>
    <xf numFmtId="0" fontId="6" fillId="0" borderId="5" xfId="2" applyBorder="1"/>
    <xf numFmtId="0" fontId="0" fillId="0" borderId="0" xfId="0"/>
    <xf numFmtId="0" fontId="11" fillId="0" borderId="5" xfId="33" applyFont="1" applyAlignment="1"/>
    <xf numFmtId="0" fontId="11" fillId="0" borderId="0" xfId="2" applyFont="1"/>
  </cellXfs>
  <cellStyles count="38">
    <cellStyle name="Body: normal cell" xfId="7" xr:uid="{00000000-0005-0000-0000-000000000000}"/>
    <cellStyle name="Body: normal cell 2" xfId="15" xr:uid="{00000000-0005-0000-0000-000001000000}"/>
    <cellStyle name="Body: normal cell 2 2" xfId="31" xr:uid="{D1FE2E30-B1FC-481B-BE3D-09B590B78790}"/>
    <cellStyle name="Body: normal cell 3" xfId="22" xr:uid="{B1293A1F-F4C6-4A3E-BD91-9A34733FCCAD}"/>
    <cellStyle name="Comma" xfId="9" builtinId="3"/>
    <cellStyle name="Font: Calibri, 9pt regular" xfId="3" xr:uid="{00000000-0005-0000-0000-000003000000}"/>
    <cellStyle name="Font: Calibri, 9pt regular 2" xfId="11" xr:uid="{00000000-0005-0000-0000-000004000000}"/>
    <cellStyle name="Font: Calibri, 9pt regular 2 2" xfId="32" xr:uid="{273FFB9A-635C-481F-B917-E0F5D2D4C1A0}"/>
    <cellStyle name="Font: Calibri, 9pt regular 3" xfId="25" xr:uid="{8475CEE1-2C32-49A6-8FA4-42C33F4120AF}"/>
    <cellStyle name="Footnotes: all except top row" xfId="17" xr:uid="{00000000-0005-0000-0000-000005000000}"/>
    <cellStyle name="Footnotes: top row" xfId="8" xr:uid="{00000000-0005-0000-0000-000006000000}"/>
    <cellStyle name="Footnotes: top row 2" xfId="16" xr:uid="{00000000-0005-0000-0000-000007000000}"/>
    <cellStyle name="Footnotes: top row 2 2" xfId="33" xr:uid="{C078E2A6-F48A-4B2F-98AB-C95F058ED1A5}"/>
    <cellStyle name="Footnotes: top row 3" xfId="21" xr:uid="{8A775C82-5C61-4D7B-A6D8-70CEAAAC375B}"/>
    <cellStyle name="Header: bottom row" xfId="4" xr:uid="{00000000-0005-0000-0000-000008000000}"/>
    <cellStyle name="Header: bottom row 2" xfId="12" xr:uid="{00000000-0005-0000-0000-000009000000}"/>
    <cellStyle name="Header: bottom row 2 2" xfId="34" xr:uid="{DA5B4D03-0D24-46E5-AD61-7A4EA198A6CA}"/>
    <cellStyle name="Header: bottom row 3" xfId="24" xr:uid="{AE126B05-B4CF-4974-9AFE-DDCD45802937}"/>
    <cellStyle name="Header: top rows" xfId="18" xr:uid="{00000000-0005-0000-0000-00000A000000}"/>
    <cellStyle name="Hyperlink" xfId="1" builtinId="8"/>
    <cellStyle name="Normal" xfId="0" builtinId="0"/>
    <cellStyle name="Normal 2" xfId="2" xr:uid="{00000000-0005-0000-0000-00000D000000}"/>
    <cellStyle name="Normal 3" xfId="30" xr:uid="{AC580BE3-4547-48E9-99FD-938AB06B9F6E}"/>
    <cellStyle name="Normal 4" xfId="29" xr:uid="{DEF297B8-1C43-46DE-9267-A0FE6F009557}"/>
    <cellStyle name="Normal 5" xfId="28" xr:uid="{745BDA17-13E3-4571-908A-E0B9276F5358}"/>
    <cellStyle name="Normal 6" xfId="37" xr:uid="{329566B6-51F4-B345-8DFC-171D138B838B}"/>
    <cellStyle name="Parent row" xfId="6" xr:uid="{00000000-0005-0000-0000-00000E000000}"/>
    <cellStyle name="Parent row 2" xfId="14" xr:uid="{00000000-0005-0000-0000-00000F000000}"/>
    <cellStyle name="Parent row 2 2" xfId="35" xr:uid="{FB6159C2-3816-462C-9C7E-597FA8726819}"/>
    <cellStyle name="Parent row 3" xfId="23" xr:uid="{331FC99C-93DD-42D6-8CB1-F9333C05A143}"/>
    <cellStyle name="Percent" xfId="10" builtinId="5"/>
    <cellStyle name="Percent 2" xfId="27" xr:uid="{9E1DDFDA-DFF4-4D40-BF83-8294F9197DDF}"/>
    <cellStyle name="Section Break" xfId="19" xr:uid="{00000000-0005-0000-0000-000011000000}"/>
    <cellStyle name="Section Break: parent row" xfId="20" xr:uid="{00000000-0005-0000-0000-000012000000}"/>
    <cellStyle name="Table title" xfId="5" xr:uid="{00000000-0005-0000-0000-000013000000}"/>
    <cellStyle name="Table title 2" xfId="13" xr:uid="{00000000-0005-0000-0000-000014000000}"/>
    <cellStyle name="Table title 2 2" xfId="36" xr:uid="{4DA32883-3F28-49DD-A335-06D63994080A}"/>
    <cellStyle name="Table title 3" xfId="26" xr:uid="{CE97C44B-4CC0-45E6-AB97-7B8144BE63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val>
            <c:numRef>
              <c:f>'growth rate gas and oil'!$C$78:$AH$78</c:f>
              <c:numCache>
                <c:formatCode>General</c:formatCode>
                <c:ptCount val="32"/>
                <c:pt idx="0">
                  <c:v>3732363946068311.5</c:v>
                </c:pt>
                <c:pt idx="1">
                  <c:v>3488655309654154</c:v>
                </c:pt>
                <c:pt idx="2">
                  <c:v>3386840244087969.5</c:v>
                </c:pt>
                <c:pt idx="3">
                  <c:v>3608871501244320</c:v>
                </c:pt>
                <c:pt idx="4">
                  <c:v>3773495781653955.5</c:v>
                </c:pt>
                <c:pt idx="5">
                  <c:v>3892138155214180</c:v>
                </c:pt>
                <c:pt idx="6">
                  <c:v>3930058046152969.5</c:v>
                </c:pt>
                <c:pt idx="7">
                  <c:v>3980247888769631</c:v>
                </c:pt>
                <c:pt idx="8">
                  <c:v>4003746183091064.5</c:v>
                </c:pt>
                <c:pt idx="9">
                  <c:v>4041221932951356</c:v>
                </c:pt>
                <c:pt idx="10">
                  <c:v>4031613026251645.5</c:v>
                </c:pt>
                <c:pt idx="11">
                  <c:v>4027024941201800</c:v>
                </c:pt>
                <c:pt idx="12">
                  <c:v>4004456745458447.5</c:v>
                </c:pt>
                <c:pt idx="13">
                  <c:v>4005334890301240</c:v>
                </c:pt>
                <c:pt idx="14">
                  <c:v>4007595194577332.5</c:v>
                </c:pt>
                <c:pt idx="15">
                  <c:v>4007290124778050.5</c:v>
                </c:pt>
                <c:pt idx="16">
                  <c:v>4012125306861582.5</c:v>
                </c:pt>
                <c:pt idx="17">
                  <c:v>3994358079766327.5</c:v>
                </c:pt>
                <c:pt idx="18">
                  <c:v>3976780610521301</c:v>
                </c:pt>
                <c:pt idx="19">
                  <c:v>3948404050530975</c:v>
                </c:pt>
                <c:pt idx="20">
                  <c:v>3922480403786588</c:v>
                </c:pt>
                <c:pt idx="21">
                  <c:v>3900768811093347.5</c:v>
                </c:pt>
                <c:pt idx="22">
                  <c:v>3867232041382871</c:v>
                </c:pt>
                <c:pt idx="23">
                  <c:v>3877863549652760.5</c:v>
                </c:pt>
                <c:pt idx="24">
                  <c:v>3900800173409161.5</c:v>
                </c:pt>
                <c:pt idx="25">
                  <c:v>3926037017116327.5</c:v>
                </c:pt>
                <c:pt idx="26">
                  <c:v>3927562999694875</c:v>
                </c:pt>
                <c:pt idx="27">
                  <c:v>3924790444260486.5</c:v>
                </c:pt>
                <c:pt idx="28">
                  <c:v>3892400141428101.5</c:v>
                </c:pt>
                <c:pt idx="29">
                  <c:v>3896426239121844</c:v>
                </c:pt>
                <c:pt idx="30">
                  <c:v>3941454604854080</c:v>
                </c:pt>
                <c:pt idx="31">
                  <c:v>3963056904628574.5</c:v>
                </c:pt>
              </c:numCache>
            </c:numRef>
          </c:val>
          <c:smooth val="0"/>
          <c:extLst>
            <c:ext xmlns:c16="http://schemas.microsoft.com/office/drawing/2014/chart" uri="{C3380CC4-5D6E-409C-BE32-E72D297353CC}">
              <c16:uniqueId val="{00000000-171E-42CD-BB1F-97B38810356A}"/>
            </c:ext>
          </c:extLst>
        </c:ser>
        <c:ser>
          <c:idx val="1"/>
          <c:order val="1"/>
          <c:spPr>
            <a:ln w="28575" cap="rnd">
              <a:solidFill>
                <a:schemeClr val="accent2"/>
              </a:solidFill>
              <a:round/>
            </a:ln>
            <a:effectLst/>
          </c:spPr>
          <c:marker>
            <c:symbol val="none"/>
          </c:marker>
          <c:val>
            <c:numRef>
              <c:f>'growth rate gas and oil'!$C$79:$AH$79</c:f>
              <c:numCache>
                <c:formatCode>General</c:formatCode>
                <c:ptCount val="32"/>
              </c:numCache>
            </c:numRef>
          </c:val>
          <c:smooth val="0"/>
          <c:extLst>
            <c:ext xmlns:c16="http://schemas.microsoft.com/office/drawing/2014/chart" uri="{C3380CC4-5D6E-409C-BE32-E72D297353CC}">
              <c16:uniqueId val="{00000001-171E-42CD-BB1F-97B38810356A}"/>
            </c:ext>
          </c:extLst>
        </c:ser>
        <c:dLbls>
          <c:showLegendKey val="0"/>
          <c:showVal val="0"/>
          <c:showCatName val="0"/>
          <c:showSerName val="0"/>
          <c:showPercent val="0"/>
          <c:showBubbleSize val="0"/>
        </c:dLbls>
        <c:smooth val="0"/>
        <c:axId val="589463215"/>
        <c:axId val="589441167"/>
      </c:lineChart>
      <c:catAx>
        <c:axId val="589463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441167"/>
        <c:crosses val="autoZero"/>
        <c:auto val="1"/>
        <c:lblAlgn val="ctr"/>
        <c:lblOffset val="100"/>
        <c:noMultiLvlLbl val="0"/>
      </c:catAx>
      <c:valAx>
        <c:axId val="5894411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4632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102053</xdr:colOff>
      <xdr:row>81</xdr:row>
      <xdr:rowOff>17007</xdr:rowOff>
    </xdr:from>
    <xdr:to>
      <xdr:col>11</xdr:col>
      <xdr:colOff>510267</xdr:colOff>
      <xdr:row>99</xdr:row>
      <xdr:rowOff>155120</xdr:rowOff>
    </xdr:to>
    <xdr:graphicFrame macro="">
      <xdr:nvGraphicFramePr>
        <xdr:cNvPr id="2" name="Chart 1">
          <a:extLst>
            <a:ext uri="{FF2B5EF4-FFF2-40B4-BE49-F238E27FC236}">
              <a16:creationId xmlns:a16="http://schemas.microsoft.com/office/drawing/2014/main" id="{955C2573-25A7-4AC9-D06C-2242C39BA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Users\jeff-nonadmin\Dropbox%20(Energy%20Innovation)\EI-PlcyMdl\eps-1.5.0-us-wipE\InputData\web-app\BCF\BTU%20Conversion%20Facto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out"/>
      <sheetName val="AEO Table 73"/>
      <sheetName val="GREET1 Fuel_Specs"/>
      <sheetName val="BCF-BpLFOU"/>
      <sheetName val="BCF-BpSFOU"/>
      <sheetName val="BCF-VFEUCF"/>
      <sheetName val="BCF-BpEIEOU"/>
    </sheetNames>
    <sheetDataSet>
      <sheetData sheetId="0"/>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epa.gov/facts-and-figures-about-materials-waste-and-recycling/national-overview-facts-and-figures-materials" TargetMode="External"/><Relationship Id="rId3" Type="http://schemas.openxmlformats.org/officeDocument/2006/relationships/hyperlink" Target="https://www.eia.gov/todayinenergy/detail.php?id=37192" TargetMode="External"/><Relationship Id="rId7" Type="http://schemas.openxmlformats.org/officeDocument/2006/relationships/hyperlink" Target="https://www.trade.gov/topmarkets/pdf/Renewable_Fuels_Biomass_Wood_Pellets.pdf" TargetMode="External"/><Relationship Id="rId12" Type="http://schemas.openxmlformats.org/officeDocument/2006/relationships/printerSettings" Target="../printerSettings/printerSettings1.bin"/><Relationship Id="rId2" Type="http://schemas.openxmlformats.org/officeDocument/2006/relationships/hyperlink" Target="https://www.eia.gov/dnav/pet/pet_sum_snd_d_nus_mbbl_a_cur.htm" TargetMode="External"/><Relationship Id="rId1" Type="http://schemas.openxmlformats.org/officeDocument/2006/relationships/hyperlink" Target="https://www.eia.gov/outlooks/aeo/tables_ref.php" TargetMode="External"/><Relationship Id="rId6" Type="http://schemas.openxmlformats.org/officeDocument/2006/relationships/hyperlink" Target="https://www.eia.gov/biofuels/biomass/?year=2020&amp;month=12" TargetMode="External"/><Relationship Id="rId11" Type="http://schemas.openxmlformats.org/officeDocument/2006/relationships/hyperlink" Target="https://greet.es.anl.gov/" TargetMode="External"/><Relationship Id="rId5" Type="http://schemas.openxmlformats.org/officeDocument/2006/relationships/hyperlink" Target="https://www.eia.gov/energyexplained/index.php?page=coal_imports" TargetMode="External"/><Relationship Id="rId10" Type="http://schemas.openxmlformats.org/officeDocument/2006/relationships/hyperlink" Target="https://www.uranium.info/unit_conversion_table.php" TargetMode="External"/><Relationship Id="rId4" Type="http://schemas.openxmlformats.org/officeDocument/2006/relationships/hyperlink" Target="https://www.eia.gov/energyexplained/index.php?page=coal_where" TargetMode="External"/><Relationship Id="rId9" Type="http://schemas.openxmlformats.org/officeDocument/2006/relationships/hyperlink" Target="https://www.energy.gov/eere/fuelcells/fact-month-may-2018-10-million-metric-tons-hydrogen-produced-annually-united-stat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7"/>
  <sheetViews>
    <sheetView topLeftCell="A73" workbookViewId="0">
      <selection activeCell="B73" sqref="B73"/>
    </sheetView>
  </sheetViews>
  <sheetFormatPr defaultColWidth="8.86328125" defaultRowHeight="14.75" x14ac:dyDescent="0.75"/>
  <cols>
    <col min="2" max="2" width="82.7265625" customWidth="1"/>
  </cols>
  <sheetData>
    <row r="1" spans="1:2" x14ac:dyDescent="0.75">
      <c r="A1" s="1" t="s">
        <v>0</v>
      </c>
    </row>
    <row r="2" spans="1:2" x14ac:dyDescent="0.75">
      <c r="A2" s="1" t="s">
        <v>1</v>
      </c>
    </row>
    <row r="3" spans="1:2" x14ac:dyDescent="0.75">
      <c r="A3" s="1" t="s">
        <v>2</v>
      </c>
    </row>
    <row r="5" spans="1:2" x14ac:dyDescent="0.75">
      <c r="A5" s="1" t="s">
        <v>3</v>
      </c>
      <c r="B5" s="2" t="s">
        <v>4</v>
      </c>
    </row>
    <row r="6" spans="1:2" x14ac:dyDescent="0.75">
      <c r="B6" t="s">
        <v>5</v>
      </c>
    </row>
    <row r="7" spans="1:2" x14ac:dyDescent="0.75">
      <c r="B7" s="3">
        <v>2019</v>
      </c>
    </row>
    <row r="8" spans="1:2" x14ac:dyDescent="0.75">
      <c r="B8" t="s">
        <v>6</v>
      </c>
    </row>
    <row r="9" spans="1:2" x14ac:dyDescent="0.75">
      <c r="B9" s="4" t="s">
        <v>7</v>
      </c>
    </row>
    <row r="10" spans="1:2" x14ac:dyDescent="0.75">
      <c r="B10" t="s">
        <v>8</v>
      </c>
    </row>
    <row r="12" spans="1:2" x14ac:dyDescent="0.75">
      <c r="B12" s="2" t="s">
        <v>9</v>
      </c>
    </row>
    <row r="13" spans="1:2" x14ac:dyDescent="0.75">
      <c r="B13" t="s">
        <v>5</v>
      </c>
    </row>
    <row r="14" spans="1:2" x14ac:dyDescent="0.75">
      <c r="B14" s="3">
        <v>2018</v>
      </c>
    </row>
    <row r="15" spans="1:2" x14ac:dyDescent="0.75">
      <c r="B15" t="s">
        <v>10</v>
      </c>
    </row>
    <row r="16" spans="1:2" x14ac:dyDescent="0.75">
      <c r="B16" s="4" t="s">
        <v>11</v>
      </c>
    </row>
    <row r="17" spans="2:2" x14ac:dyDescent="0.75">
      <c r="B17" t="s">
        <v>12</v>
      </c>
    </row>
    <row r="19" spans="2:2" x14ac:dyDescent="0.75">
      <c r="B19" s="2" t="s">
        <v>13</v>
      </c>
    </row>
    <row r="20" spans="2:2" x14ac:dyDescent="0.75">
      <c r="B20" t="s">
        <v>5</v>
      </c>
    </row>
    <row r="21" spans="2:2" x14ac:dyDescent="0.75">
      <c r="B21" s="3">
        <v>2019</v>
      </c>
    </row>
    <row r="22" spans="2:2" x14ac:dyDescent="0.75">
      <c r="B22" t="s">
        <v>14</v>
      </c>
    </row>
    <row r="23" spans="2:2" x14ac:dyDescent="0.75">
      <c r="B23" s="4" t="s">
        <v>15</v>
      </c>
    </row>
    <row r="24" spans="2:2" x14ac:dyDescent="0.75">
      <c r="B24" s="4" t="s">
        <v>16</v>
      </c>
    </row>
    <row r="25" spans="2:2" x14ac:dyDescent="0.75">
      <c r="B25" s="4" t="s">
        <v>17</v>
      </c>
    </row>
    <row r="27" spans="2:2" x14ac:dyDescent="0.75">
      <c r="B27" s="2" t="s">
        <v>18</v>
      </c>
    </row>
    <row r="28" spans="2:2" x14ac:dyDescent="0.75">
      <c r="B28" t="s">
        <v>5</v>
      </c>
    </row>
    <row r="29" spans="2:2" x14ac:dyDescent="0.75">
      <c r="B29" s="3">
        <v>2020</v>
      </c>
    </row>
    <row r="30" spans="2:2" x14ac:dyDescent="0.75">
      <c r="B30" t="s">
        <v>19</v>
      </c>
    </row>
    <row r="31" spans="2:2" x14ac:dyDescent="0.75">
      <c r="B31" s="4" t="s">
        <v>20</v>
      </c>
    </row>
    <row r="32" spans="2:2" x14ac:dyDescent="0.75">
      <c r="B32" t="s">
        <v>21</v>
      </c>
    </row>
    <row r="34" spans="2:2" x14ac:dyDescent="0.75">
      <c r="B34" s="2" t="s">
        <v>22</v>
      </c>
    </row>
    <row r="35" spans="2:2" x14ac:dyDescent="0.75">
      <c r="B35" t="s">
        <v>23</v>
      </c>
    </row>
    <row r="36" spans="2:2" x14ac:dyDescent="0.75">
      <c r="B36" s="3">
        <v>2017</v>
      </c>
    </row>
    <row r="37" spans="2:2" x14ac:dyDescent="0.75">
      <c r="B37" t="s">
        <v>24</v>
      </c>
    </row>
    <row r="38" spans="2:2" x14ac:dyDescent="0.75">
      <c r="B38" s="4" t="s">
        <v>25</v>
      </c>
    </row>
    <row r="39" spans="2:2" x14ac:dyDescent="0.75">
      <c r="B39" t="s">
        <v>26</v>
      </c>
    </row>
    <row r="41" spans="2:2" x14ac:dyDescent="0.75">
      <c r="B41" s="2" t="s">
        <v>27</v>
      </c>
    </row>
    <row r="42" spans="2:2" x14ac:dyDescent="0.75">
      <c r="B42" t="s">
        <v>5</v>
      </c>
    </row>
    <row r="43" spans="2:2" x14ac:dyDescent="0.75">
      <c r="B43" s="3" t="s">
        <v>28</v>
      </c>
    </row>
    <row r="44" spans="2:2" x14ac:dyDescent="0.75">
      <c r="B44" t="s">
        <v>29</v>
      </c>
    </row>
    <row r="45" spans="2:2" x14ac:dyDescent="0.75">
      <c r="B45" s="4" t="s">
        <v>30</v>
      </c>
    </row>
    <row r="46" spans="2:2" x14ac:dyDescent="0.75">
      <c r="B46" t="s">
        <v>31</v>
      </c>
    </row>
    <row r="48" spans="2:2" x14ac:dyDescent="0.75">
      <c r="B48" s="2" t="s">
        <v>32</v>
      </c>
    </row>
    <row r="49" spans="2:2" x14ac:dyDescent="0.75">
      <c r="B49" t="s">
        <v>33</v>
      </c>
    </row>
    <row r="50" spans="2:2" x14ac:dyDescent="0.75">
      <c r="B50" s="3">
        <v>2016</v>
      </c>
    </row>
    <row r="51" spans="2:2" x14ac:dyDescent="0.75">
      <c r="B51" t="s">
        <v>34</v>
      </c>
    </row>
    <row r="52" spans="2:2" x14ac:dyDescent="0.75">
      <c r="B52" s="4" t="s">
        <v>35</v>
      </c>
    </row>
    <row r="54" spans="2:2" x14ac:dyDescent="0.75">
      <c r="B54" s="2" t="s">
        <v>36</v>
      </c>
    </row>
    <row r="55" spans="2:2" x14ac:dyDescent="0.75">
      <c r="B55" t="s">
        <v>37</v>
      </c>
    </row>
    <row r="56" spans="2:2" x14ac:dyDescent="0.75">
      <c r="B56" s="3">
        <v>2018</v>
      </c>
    </row>
    <row r="57" spans="2:2" x14ac:dyDescent="0.75">
      <c r="B57" t="s">
        <v>38</v>
      </c>
    </row>
    <row r="58" spans="2:2" x14ac:dyDescent="0.75">
      <c r="B58" s="4" t="s">
        <v>39</v>
      </c>
    </row>
    <row r="59" spans="2:2" x14ac:dyDescent="0.75">
      <c r="B59" s="4"/>
    </row>
    <row r="60" spans="2:2" x14ac:dyDescent="0.75">
      <c r="B60" s="2" t="s">
        <v>40</v>
      </c>
    </row>
    <row r="61" spans="2:2" x14ac:dyDescent="0.75">
      <c r="B61" t="s">
        <v>41</v>
      </c>
    </row>
    <row r="62" spans="2:2" x14ac:dyDescent="0.75">
      <c r="B62" s="3">
        <v>2021</v>
      </c>
    </row>
    <row r="63" spans="2:2" x14ac:dyDescent="0.75">
      <c r="B63" t="s">
        <v>42</v>
      </c>
    </row>
    <row r="64" spans="2:2" x14ac:dyDescent="0.75">
      <c r="B64" s="193" t="s">
        <v>43</v>
      </c>
    </row>
    <row r="65" spans="1:2" x14ac:dyDescent="0.75">
      <c r="B65" t="s">
        <v>44</v>
      </c>
    </row>
    <row r="67" spans="1:2" x14ac:dyDescent="0.75">
      <c r="B67" s="2" t="s">
        <v>45</v>
      </c>
    </row>
    <row r="68" spans="1:2" x14ac:dyDescent="0.75">
      <c r="B68" t="s">
        <v>46</v>
      </c>
    </row>
    <row r="69" spans="1:2" x14ac:dyDescent="0.75">
      <c r="B69" s="3">
        <v>2019</v>
      </c>
    </row>
    <row r="70" spans="1:2" x14ac:dyDescent="0.75">
      <c r="B70" t="s">
        <v>47</v>
      </c>
    </row>
    <row r="71" spans="1:2" x14ac:dyDescent="0.75">
      <c r="B71" s="4" t="s">
        <v>48</v>
      </c>
    </row>
    <row r="72" spans="1:2" x14ac:dyDescent="0.75">
      <c r="B72" t="s">
        <v>49</v>
      </c>
    </row>
    <row r="74" spans="1:2" x14ac:dyDescent="0.75">
      <c r="B74" s="2" t="s">
        <v>50</v>
      </c>
    </row>
    <row r="75" spans="1:2" x14ac:dyDescent="0.75">
      <c r="B75" t="s">
        <v>51</v>
      </c>
    </row>
    <row r="76" spans="1:2" x14ac:dyDescent="0.75">
      <c r="B76" s="3">
        <v>2019</v>
      </c>
    </row>
    <row r="77" spans="1:2" x14ac:dyDescent="0.75">
      <c r="B77" t="s">
        <v>52</v>
      </c>
    </row>
    <row r="78" spans="1:2" x14ac:dyDescent="0.75">
      <c r="B78" s="4" t="s">
        <v>53</v>
      </c>
    </row>
    <row r="79" spans="1:2" x14ac:dyDescent="0.75">
      <c r="B79" s="198"/>
    </row>
    <row r="80" spans="1:2" x14ac:dyDescent="0.75">
      <c r="A80" s="1" t="s">
        <v>54</v>
      </c>
    </row>
    <row r="82" spans="1:1" x14ac:dyDescent="0.75">
      <c r="A82" s="1" t="s">
        <v>55</v>
      </c>
    </row>
    <row r="83" spans="1:1" x14ac:dyDescent="0.75">
      <c r="A83" t="s">
        <v>56</v>
      </c>
    </row>
    <row r="84" spans="1:1" x14ac:dyDescent="0.75">
      <c r="A84" t="s">
        <v>57</v>
      </c>
    </row>
    <row r="85" spans="1:1" x14ac:dyDescent="0.75">
      <c r="A85" t="s">
        <v>58</v>
      </c>
    </row>
    <row r="86" spans="1:1" x14ac:dyDescent="0.75">
      <c r="A86" t="s">
        <v>59</v>
      </c>
    </row>
    <row r="87" spans="1:1" x14ac:dyDescent="0.75">
      <c r="A87" t="s">
        <v>60</v>
      </c>
    </row>
    <row r="89" spans="1:1" x14ac:dyDescent="0.75">
      <c r="A89" s="1" t="s">
        <v>61</v>
      </c>
    </row>
    <row r="90" spans="1:1" x14ac:dyDescent="0.75">
      <c r="A90" t="s">
        <v>62</v>
      </c>
    </row>
    <row r="91" spans="1:1" x14ac:dyDescent="0.75">
      <c r="A91" t="s">
        <v>63</v>
      </c>
    </row>
    <row r="92" spans="1:1" x14ac:dyDescent="0.75">
      <c r="A92" t="s">
        <v>64</v>
      </c>
    </row>
    <row r="93" spans="1:1" x14ac:dyDescent="0.75">
      <c r="A93" t="s">
        <v>65</v>
      </c>
    </row>
    <row r="95" spans="1:1" x14ac:dyDescent="0.75">
      <c r="A95" s="1" t="s">
        <v>66</v>
      </c>
    </row>
    <row r="96" spans="1:1" x14ac:dyDescent="0.75">
      <c r="A96" t="s">
        <v>67</v>
      </c>
    </row>
    <row r="97" spans="1:1" x14ac:dyDescent="0.75">
      <c r="A97" t="s">
        <v>68</v>
      </c>
    </row>
    <row r="98" spans="1:1" x14ac:dyDescent="0.75">
      <c r="A98" t="s">
        <v>69</v>
      </c>
    </row>
    <row r="100" spans="1:1" x14ac:dyDescent="0.75">
      <c r="A100" s="1" t="s">
        <v>70</v>
      </c>
    </row>
    <row r="101" spans="1:1" x14ac:dyDescent="0.75">
      <c r="A101" t="s">
        <v>71</v>
      </c>
    </row>
    <row r="102" spans="1:1" x14ac:dyDescent="0.75">
      <c r="A102" t="s">
        <v>72</v>
      </c>
    </row>
    <row r="103" spans="1:1" x14ac:dyDescent="0.75">
      <c r="A103" t="s">
        <v>73</v>
      </c>
    </row>
    <row r="104" spans="1:1" x14ac:dyDescent="0.75">
      <c r="A104" t="s">
        <v>74</v>
      </c>
    </row>
    <row r="105" spans="1:1" x14ac:dyDescent="0.75">
      <c r="A105" t="s">
        <v>75</v>
      </c>
    </row>
    <row r="106" spans="1:1" x14ac:dyDescent="0.75">
      <c r="A106" t="s">
        <v>76</v>
      </c>
    </row>
    <row r="107" spans="1:1" x14ac:dyDescent="0.75">
      <c r="A107" t="s">
        <v>77</v>
      </c>
    </row>
  </sheetData>
  <hyperlinks>
    <hyperlink ref="B45" r:id="rId1" xr:uid="{00000000-0004-0000-0000-000000000000}"/>
    <hyperlink ref="B9" r:id="rId2" xr:uid="{00000000-0004-0000-0000-000001000000}"/>
    <hyperlink ref="B16" r:id="rId3" xr:uid="{00000000-0004-0000-0000-000002000000}"/>
    <hyperlink ref="B23" r:id="rId4" xr:uid="{00000000-0004-0000-0000-000003000000}"/>
    <hyperlink ref="B24" r:id="rId5" xr:uid="{00000000-0004-0000-0000-000004000000}"/>
    <hyperlink ref="B31" r:id="rId6" location="table_data" xr:uid="{00000000-0004-0000-0000-000005000000}"/>
    <hyperlink ref="B38" r:id="rId7" xr:uid="{00000000-0004-0000-0000-000006000000}"/>
    <hyperlink ref="B52" r:id="rId8" xr:uid="{00000000-0004-0000-0000-000007000000}"/>
    <hyperlink ref="B58" r:id="rId9" xr:uid="{00000000-0004-0000-0000-000008000000}"/>
    <hyperlink ref="B78" r:id="rId10" xr:uid="{00000000-0004-0000-0000-000009000000}"/>
    <hyperlink ref="B71" r:id="rId11" xr:uid="{000A6849-BB52-4934-B731-3641C10054B8}"/>
  </hyperlinks>
  <pageMargins left="0.7" right="0.7" top="0.75" bottom="0.75" header="0.3" footer="0.3"/>
  <pageSetup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57"/>
  <sheetViews>
    <sheetView workbookViewId="0">
      <pane xSplit="2" ySplit="3" topLeftCell="C4" activePane="bottomRight" state="frozen"/>
      <selection pane="topRight"/>
      <selection pane="bottomLeft"/>
      <selection pane="bottomRight" activeCell="B15" sqref="B15"/>
    </sheetView>
  </sheetViews>
  <sheetFormatPr defaultColWidth="8.86328125" defaultRowHeight="14.75" x14ac:dyDescent="0.75"/>
  <cols>
    <col min="2" max="2" width="44" customWidth="1"/>
    <col min="3" max="3" width="12.26953125" customWidth="1"/>
    <col min="4" max="4" width="19.26953125" customWidth="1"/>
    <col min="5" max="5" width="13.1328125" customWidth="1"/>
    <col min="10" max="10" width="12.26953125" customWidth="1"/>
  </cols>
  <sheetData>
    <row r="1" spans="1:13" x14ac:dyDescent="0.75">
      <c r="B1" s="1" t="s">
        <v>78</v>
      </c>
      <c r="C1" s="1" t="s">
        <v>79</v>
      </c>
      <c r="D1" s="1"/>
      <c r="E1" s="1" t="s">
        <v>80</v>
      </c>
    </row>
    <row r="2" spans="1:13" ht="16.5" customHeight="1" x14ac:dyDescent="0.75">
      <c r="C2" s="290" t="s">
        <v>81</v>
      </c>
      <c r="D2" s="290"/>
      <c r="E2" s="290"/>
      <c r="F2" s="290"/>
      <c r="G2" s="290"/>
      <c r="H2" s="290"/>
      <c r="I2" s="291" t="s">
        <v>82</v>
      </c>
      <c r="J2" s="291"/>
      <c r="K2" s="291"/>
      <c r="L2" s="291"/>
      <c r="M2" s="292" t="s">
        <v>83</v>
      </c>
    </row>
    <row r="3" spans="1:13" ht="36.75" x14ac:dyDescent="0.75">
      <c r="C3" s="8" t="s">
        <v>84</v>
      </c>
      <c r="D3" s="8" t="s">
        <v>85</v>
      </c>
      <c r="E3" s="8" t="s">
        <v>86</v>
      </c>
      <c r="F3" s="8" t="s">
        <v>87</v>
      </c>
      <c r="G3" s="8" t="s">
        <v>88</v>
      </c>
      <c r="H3" s="8" t="s">
        <v>89</v>
      </c>
      <c r="I3" s="9" t="s">
        <v>90</v>
      </c>
      <c r="J3" s="9" t="s">
        <v>91</v>
      </c>
      <c r="K3" s="9" t="s">
        <v>92</v>
      </c>
      <c r="L3" s="9" t="s">
        <v>93</v>
      </c>
      <c r="M3" s="292"/>
    </row>
    <row r="4" spans="1:13" x14ac:dyDescent="0.75">
      <c r="A4" t="str">
        <f t="shared" ref="A4:A6" si="0">TRIM(B4)</f>
        <v>Crude Oil &amp; Petroleum Products</v>
      </c>
      <c r="B4" s="10" t="s">
        <v>94</v>
      </c>
      <c r="C4" s="11">
        <v>4794078</v>
      </c>
      <c r="D4" s="11">
        <v>437131</v>
      </c>
      <c r="E4" s="11">
        <v>7408771</v>
      </c>
      <c r="F4" s="11">
        <v>3702640</v>
      </c>
      <c r="G4" s="12"/>
      <c r="H4" s="11">
        <v>137262</v>
      </c>
      <c r="I4" s="13">
        <v>-135002</v>
      </c>
      <c r="J4" s="13">
        <v>7003159</v>
      </c>
      <c r="K4" s="13">
        <v>2327156</v>
      </c>
      <c r="L4" s="13">
        <v>7284569</v>
      </c>
      <c r="M4" s="11">
        <v>1894570</v>
      </c>
    </row>
    <row r="5" spans="1:13" x14ac:dyDescent="0.75">
      <c r="A5" t="str">
        <f t="shared" si="0"/>
        <v>Crude Oil</v>
      </c>
      <c r="B5" s="10" t="s">
        <v>95</v>
      </c>
      <c r="C5" s="225">
        <v>4083494</v>
      </c>
      <c r="D5" s="229" t="s">
        <v>96</v>
      </c>
      <c r="E5" s="229" t="s">
        <v>96</v>
      </c>
      <c r="F5" s="225">
        <v>2230000</v>
      </c>
      <c r="G5" s="229"/>
      <c r="H5" s="225">
        <v>194916</v>
      </c>
      <c r="I5" s="225">
        <v>-108241</v>
      </c>
      <c r="J5" s="225">
        <v>5529012</v>
      </c>
      <c r="K5" s="225">
        <v>1087638</v>
      </c>
      <c r="L5" s="225">
        <v>0</v>
      </c>
      <c r="M5" s="225">
        <v>1015102</v>
      </c>
    </row>
    <row r="6" spans="1:13" x14ac:dyDescent="0.75">
      <c r="A6" t="str">
        <f t="shared" si="0"/>
        <v>Hydrocarbon Gas Liquids</v>
      </c>
      <c r="B6" s="10" t="s">
        <v>97</v>
      </c>
      <c r="C6" s="225">
        <v>1970031</v>
      </c>
      <c r="D6" s="225">
        <v>-7941</v>
      </c>
      <c r="E6" s="225">
        <v>225172</v>
      </c>
      <c r="F6" s="225">
        <v>63125</v>
      </c>
      <c r="G6" s="229"/>
      <c r="H6" s="229" t="s">
        <v>96</v>
      </c>
      <c r="I6" s="225">
        <v>-40797</v>
      </c>
      <c r="J6" s="225">
        <v>198527</v>
      </c>
      <c r="K6" s="225">
        <v>848015</v>
      </c>
      <c r="L6" s="225">
        <v>1244642</v>
      </c>
      <c r="M6" s="225">
        <v>188360</v>
      </c>
    </row>
    <row r="7" spans="1:13" x14ac:dyDescent="0.75">
      <c r="A7" t="str">
        <f>TRIM(B7)</f>
        <v>Natural Gas Liquids</v>
      </c>
      <c r="B7" s="14" t="s">
        <v>98</v>
      </c>
      <c r="C7" s="225">
        <v>1970031</v>
      </c>
      <c r="D7" s="225">
        <v>-7941</v>
      </c>
      <c r="E7" s="225">
        <v>120757</v>
      </c>
      <c r="F7" s="225">
        <v>57128</v>
      </c>
      <c r="G7" s="229"/>
      <c r="H7" s="229" t="s">
        <v>96</v>
      </c>
      <c r="I7" s="225">
        <v>-40636</v>
      </c>
      <c r="J7" s="225">
        <v>198527</v>
      </c>
      <c r="K7" s="225">
        <v>848015</v>
      </c>
      <c r="L7" s="225">
        <v>1134069</v>
      </c>
      <c r="M7" s="225">
        <v>186272</v>
      </c>
    </row>
    <row r="8" spans="1:13" x14ac:dyDescent="0.75">
      <c r="A8" t="str">
        <f t="shared" ref="A8:A57" si="1">TRIM(B8)</f>
        <v>Ethane</v>
      </c>
      <c r="B8" s="15" t="s">
        <v>99</v>
      </c>
      <c r="C8" s="225">
        <v>781560</v>
      </c>
      <c r="D8" s="229" t="s">
        <v>96</v>
      </c>
      <c r="E8" s="225">
        <v>1505</v>
      </c>
      <c r="F8" s="225" t="s">
        <v>100</v>
      </c>
      <c r="G8" s="229"/>
      <c r="H8" s="229" t="s">
        <v>96</v>
      </c>
      <c r="I8" s="225">
        <v>-9779</v>
      </c>
      <c r="J8" s="229"/>
      <c r="K8" s="225">
        <v>147584</v>
      </c>
      <c r="L8" s="225">
        <v>645260</v>
      </c>
      <c r="M8" s="225">
        <v>59821</v>
      </c>
    </row>
    <row r="9" spans="1:13" x14ac:dyDescent="0.75">
      <c r="A9" t="str">
        <f t="shared" si="1"/>
        <v>Propane</v>
      </c>
      <c r="B9" s="15" t="s">
        <v>101</v>
      </c>
      <c r="C9" s="225">
        <v>632906</v>
      </c>
      <c r="D9" s="229" t="s">
        <v>96</v>
      </c>
      <c r="E9" s="225">
        <v>101344</v>
      </c>
      <c r="F9" s="225">
        <v>41465</v>
      </c>
      <c r="G9" s="229"/>
      <c r="H9" s="229" t="s">
        <v>96</v>
      </c>
      <c r="I9" s="225">
        <v>-8358</v>
      </c>
      <c r="J9" s="229"/>
      <c r="K9" s="225">
        <v>477616</v>
      </c>
      <c r="L9" s="225">
        <v>306457</v>
      </c>
      <c r="M9" s="225">
        <v>62077</v>
      </c>
    </row>
    <row r="10" spans="1:13" x14ac:dyDescent="0.75">
      <c r="A10" t="str">
        <f t="shared" si="1"/>
        <v>Normal Butane</v>
      </c>
      <c r="B10" s="15" t="s">
        <v>102</v>
      </c>
      <c r="C10" s="225">
        <v>180543</v>
      </c>
      <c r="D10" s="229" t="s">
        <v>100</v>
      </c>
      <c r="E10" s="225">
        <v>20998</v>
      </c>
      <c r="F10" s="225">
        <v>13237</v>
      </c>
      <c r="G10" s="229"/>
      <c r="H10" s="229" t="s">
        <v>96</v>
      </c>
      <c r="I10" s="225">
        <v>-7626</v>
      </c>
      <c r="J10" s="225">
        <v>66056</v>
      </c>
      <c r="K10" s="225">
        <v>149693</v>
      </c>
      <c r="L10" s="225">
        <v>6655</v>
      </c>
      <c r="M10" s="225">
        <v>34017</v>
      </c>
    </row>
    <row r="11" spans="1:13" x14ac:dyDescent="0.75">
      <c r="A11" t="str">
        <f t="shared" si="1"/>
        <v>Isobutane</v>
      </c>
      <c r="B11" s="15" t="s">
        <v>103</v>
      </c>
      <c r="C11" s="225">
        <v>153863</v>
      </c>
      <c r="D11" s="229" t="s">
        <v>100</v>
      </c>
      <c r="E11" s="225">
        <v>-3090</v>
      </c>
      <c r="F11" s="225">
        <v>2358</v>
      </c>
      <c r="G11" s="229"/>
      <c r="H11" s="229" t="s">
        <v>96</v>
      </c>
      <c r="I11" s="225">
        <v>-2667</v>
      </c>
      <c r="J11" s="225">
        <v>71652</v>
      </c>
      <c r="K11" s="225">
        <v>1181</v>
      </c>
      <c r="L11" s="225">
        <v>82965</v>
      </c>
      <c r="M11" s="225">
        <v>9674</v>
      </c>
    </row>
    <row r="12" spans="1:13" x14ac:dyDescent="0.75">
      <c r="A12" t="str">
        <f t="shared" si="1"/>
        <v>Natural Gasoline</v>
      </c>
      <c r="B12" s="15" t="s">
        <v>104</v>
      </c>
      <c r="C12" s="225">
        <v>221159</v>
      </c>
      <c r="D12" s="225">
        <v>-7941</v>
      </c>
      <c r="E12" s="229"/>
      <c r="F12" s="225">
        <v>68</v>
      </c>
      <c r="G12" s="229"/>
      <c r="H12" s="229" t="s">
        <v>96</v>
      </c>
      <c r="I12" s="225">
        <v>-12206</v>
      </c>
      <c r="J12" s="225">
        <v>60819</v>
      </c>
      <c r="K12" s="225">
        <v>71941</v>
      </c>
      <c r="L12" s="225">
        <v>92732</v>
      </c>
      <c r="M12" s="225">
        <v>20683</v>
      </c>
    </row>
    <row r="13" spans="1:13" x14ac:dyDescent="0.75">
      <c r="A13" t="str">
        <f t="shared" si="1"/>
        <v>Refinery Olefins</v>
      </c>
      <c r="B13" s="14" t="s">
        <v>105</v>
      </c>
      <c r="C13" s="229" t="s">
        <v>96</v>
      </c>
      <c r="D13" s="229" t="s">
        <v>96</v>
      </c>
      <c r="E13" s="225">
        <v>104415</v>
      </c>
      <c r="F13" s="225">
        <v>5997</v>
      </c>
      <c r="G13" s="229"/>
      <c r="H13" s="229" t="s">
        <v>96</v>
      </c>
      <c r="I13" s="225">
        <v>-161</v>
      </c>
      <c r="J13" s="229" t="s">
        <v>96</v>
      </c>
      <c r="K13" s="229" t="s">
        <v>96</v>
      </c>
      <c r="L13" s="225">
        <v>110573</v>
      </c>
      <c r="M13" s="225">
        <v>2088</v>
      </c>
    </row>
    <row r="14" spans="1:13" x14ac:dyDescent="0.75">
      <c r="A14" t="str">
        <f t="shared" si="1"/>
        <v>Ethylene</v>
      </c>
      <c r="B14" s="15" t="s">
        <v>106</v>
      </c>
      <c r="C14" s="229" t="s">
        <v>96</v>
      </c>
      <c r="D14" s="229" t="s">
        <v>96</v>
      </c>
      <c r="E14" s="225">
        <v>277</v>
      </c>
      <c r="F14" s="225" t="s">
        <v>100</v>
      </c>
      <c r="G14" s="229"/>
      <c r="H14" s="229" t="s">
        <v>96</v>
      </c>
      <c r="I14" s="225">
        <v>0</v>
      </c>
      <c r="J14" s="229" t="s">
        <v>96</v>
      </c>
      <c r="K14" s="229" t="s">
        <v>96</v>
      </c>
      <c r="L14" s="225">
        <v>277</v>
      </c>
      <c r="M14" s="225">
        <v>0</v>
      </c>
    </row>
    <row r="15" spans="1:13" x14ac:dyDescent="0.75">
      <c r="A15" t="str">
        <f t="shared" si="1"/>
        <v>Propylene</v>
      </c>
      <c r="B15" s="15" t="s">
        <v>107</v>
      </c>
      <c r="C15" s="229" t="s">
        <v>96</v>
      </c>
      <c r="D15" s="229" t="s">
        <v>96</v>
      </c>
      <c r="E15" s="225">
        <v>106126</v>
      </c>
      <c r="F15" s="225">
        <v>5243</v>
      </c>
      <c r="G15" s="229"/>
      <c r="H15" s="229" t="s">
        <v>96</v>
      </c>
      <c r="I15" s="225">
        <v>-90</v>
      </c>
      <c r="J15" s="229" t="s">
        <v>96</v>
      </c>
      <c r="K15" s="229" t="s">
        <v>96</v>
      </c>
      <c r="L15" s="225">
        <v>111459</v>
      </c>
      <c r="M15" s="225">
        <v>1397</v>
      </c>
    </row>
    <row r="16" spans="1:13" x14ac:dyDescent="0.75">
      <c r="A16" t="str">
        <f t="shared" si="1"/>
        <v>Normal Butylene</v>
      </c>
      <c r="B16" s="15" t="s">
        <v>108</v>
      </c>
      <c r="C16" s="12" t="s">
        <v>96</v>
      </c>
      <c r="D16" s="12" t="s">
        <v>96</v>
      </c>
      <c r="E16" s="11">
        <v>-2397</v>
      </c>
      <c r="F16" s="11">
        <v>2433</v>
      </c>
      <c r="G16" s="12"/>
      <c r="H16" s="12" t="s">
        <v>96</v>
      </c>
      <c r="I16" s="13">
        <v>-1165</v>
      </c>
      <c r="J16" s="16" t="s">
        <v>96</v>
      </c>
      <c r="K16" s="16" t="s">
        <v>96</v>
      </c>
      <c r="L16" s="13">
        <v>1201</v>
      </c>
      <c r="M16" s="11">
        <v>1204</v>
      </c>
    </row>
    <row r="17" spans="1:13" x14ac:dyDescent="0.75">
      <c r="A17" t="str">
        <f t="shared" si="1"/>
        <v>Isobutylene</v>
      </c>
      <c r="B17" s="15" t="s">
        <v>109</v>
      </c>
      <c r="C17" s="12" t="s">
        <v>96</v>
      </c>
      <c r="D17" s="12" t="s">
        <v>96</v>
      </c>
      <c r="E17" s="11">
        <v>286</v>
      </c>
      <c r="F17" s="11" t="s">
        <v>100</v>
      </c>
      <c r="G17" s="12"/>
      <c r="H17" s="12" t="s">
        <v>96</v>
      </c>
      <c r="I17" s="13">
        <v>6</v>
      </c>
      <c r="J17" s="16" t="s">
        <v>96</v>
      </c>
      <c r="K17" s="16" t="s">
        <v>96</v>
      </c>
      <c r="L17" s="13">
        <v>280</v>
      </c>
      <c r="M17" s="11">
        <v>30</v>
      </c>
    </row>
    <row r="18" spans="1:13" x14ac:dyDescent="0.75">
      <c r="A18" t="str">
        <f t="shared" si="1"/>
        <v>Other Liquids</v>
      </c>
      <c r="B18" s="10" t="s">
        <v>110</v>
      </c>
      <c r="C18" s="12" t="s">
        <v>96</v>
      </c>
      <c r="D18" s="11">
        <v>443737</v>
      </c>
      <c r="E18" s="12" t="s">
        <v>96</v>
      </c>
      <c r="F18" s="11">
        <v>471784</v>
      </c>
      <c r="G18" s="12"/>
      <c r="H18" s="11">
        <v>19117</v>
      </c>
      <c r="I18" s="13">
        <v>8685</v>
      </c>
      <c r="J18" s="13">
        <v>741289</v>
      </c>
      <c r="K18" s="13">
        <v>171592</v>
      </c>
      <c r="L18" s="13">
        <v>13072</v>
      </c>
      <c r="M18" s="11">
        <v>328230</v>
      </c>
    </row>
    <row r="19" spans="1:13" x14ac:dyDescent="0.75">
      <c r="A19" t="str">
        <f t="shared" si="1"/>
        <v>Hydrogen/Oxygenates/Renewables/Other Hydrocarbons</v>
      </c>
      <c r="B19" s="14" t="s">
        <v>111</v>
      </c>
      <c r="C19" s="12" t="s">
        <v>96</v>
      </c>
      <c r="D19" s="11">
        <v>443788</v>
      </c>
      <c r="E19" s="12" t="s">
        <v>96</v>
      </c>
      <c r="F19" s="11">
        <v>19778</v>
      </c>
      <c r="G19" s="12"/>
      <c r="H19" s="11">
        <v>36824</v>
      </c>
      <c r="I19" s="13">
        <v>577</v>
      </c>
      <c r="J19" s="13">
        <v>439078</v>
      </c>
      <c r="K19" s="13">
        <v>60735</v>
      </c>
      <c r="L19" s="13">
        <v>0</v>
      </c>
      <c r="M19" s="11">
        <v>29585</v>
      </c>
    </row>
    <row r="20" spans="1:13" x14ac:dyDescent="0.75">
      <c r="A20" t="str">
        <f t="shared" si="1"/>
        <v>Hydrogen</v>
      </c>
      <c r="B20" s="15" t="s">
        <v>36</v>
      </c>
      <c r="C20" s="12" t="s">
        <v>96</v>
      </c>
      <c r="D20" s="12" t="s">
        <v>96</v>
      </c>
      <c r="E20" s="12" t="s">
        <v>96</v>
      </c>
      <c r="F20" s="12"/>
      <c r="G20" s="12"/>
      <c r="H20" s="11">
        <v>81091</v>
      </c>
      <c r="I20" s="16" t="s">
        <v>96</v>
      </c>
      <c r="J20" s="13">
        <v>81091</v>
      </c>
      <c r="K20" s="16"/>
      <c r="L20" s="13">
        <v>0</v>
      </c>
      <c r="M20" s="12" t="s">
        <v>96</v>
      </c>
    </row>
    <row r="21" spans="1:13" x14ac:dyDescent="0.75">
      <c r="A21" t="str">
        <f t="shared" si="1"/>
        <v>Oxygenates (excl. Fuel Ethanol)</v>
      </c>
      <c r="B21" s="15" t="s">
        <v>112</v>
      </c>
      <c r="C21" s="12" t="s">
        <v>96</v>
      </c>
      <c r="D21" s="11">
        <v>26360</v>
      </c>
      <c r="E21" s="12" t="s">
        <v>96</v>
      </c>
      <c r="F21" s="11">
        <v>3835</v>
      </c>
      <c r="G21" s="12"/>
      <c r="H21" s="11">
        <v>-4811</v>
      </c>
      <c r="I21" s="13">
        <v>-31</v>
      </c>
      <c r="J21" s="13" t="s">
        <v>100</v>
      </c>
      <c r="K21" s="13">
        <v>25415</v>
      </c>
      <c r="L21" s="13">
        <v>0</v>
      </c>
      <c r="M21" s="11">
        <v>1446</v>
      </c>
    </row>
    <row r="22" spans="1:13" x14ac:dyDescent="0.75">
      <c r="A22" t="str">
        <f t="shared" si="1"/>
        <v>Renewable Fuels (incl. Fuel Ethanol)</v>
      </c>
      <c r="B22" s="15" t="s">
        <v>113</v>
      </c>
      <c r="C22" s="12" t="s">
        <v>96</v>
      </c>
      <c r="D22" s="11">
        <v>417428</v>
      </c>
      <c r="E22" s="12" t="s">
        <v>96</v>
      </c>
      <c r="F22" s="11">
        <v>15707</v>
      </c>
      <c r="G22" s="12"/>
      <c r="H22" s="11">
        <v>-39640</v>
      </c>
      <c r="I22" s="13">
        <v>578</v>
      </c>
      <c r="J22" s="13">
        <v>357597</v>
      </c>
      <c r="K22" s="13">
        <v>35320</v>
      </c>
      <c r="L22" s="13">
        <v>0</v>
      </c>
      <c r="M22" s="11">
        <v>28092</v>
      </c>
    </row>
    <row r="23" spans="1:13" x14ac:dyDescent="0.75">
      <c r="A23" t="str">
        <f t="shared" si="1"/>
        <v>Fuel Ethanol</v>
      </c>
      <c r="B23" s="17" t="s">
        <v>114</v>
      </c>
      <c r="C23" s="12" t="s">
        <v>96</v>
      </c>
      <c r="D23" s="11">
        <v>379435</v>
      </c>
      <c r="E23" s="12" t="s">
        <v>96</v>
      </c>
      <c r="F23" s="11">
        <v>1824</v>
      </c>
      <c r="G23" s="12"/>
      <c r="H23" s="11">
        <v>-9859</v>
      </c>
      <c r="I23" s="13">
        <v>3285</v>
      </c>
      <c r="J23" s="13">
        <v>335023</v>
      </c>
      <c r="K23" s="13">
        <v>33092</v>
      </c>
      <c r="L23" s="13">
        <v>0</v>
      </c>
      <c r="M23" s="11">
        <v>23043</v>
      </c>
    </row>
    <row r="24" spans="1:13" x14ac:dyDescent="0.75">
      <c r="A24" t="str">
        <f t="shared" si="1"/>
        <v>Renewable Fuels Except Fuel Ethanol</v>
      </c>
      <c r="B24" s="17" t="s">
        <v>115</v>
      </c>
      <c r="C24" s="12" t="s">
        <v>96</v>
      </c>
      <c r="D24" s="11">
        <v>37993</v>
      </c>
      <c r="E24" s="12" t="s">
        <v>96</v>
      </c>
      <c r="F24" s="11">
        <v>13883</v>
      </c>
      <c r="G24" s="12"/>
      <c r="H24" s="11">
        <v>-29781</v>
      </c>
      <c r="I24" s="13">
        <v>-2707</v>
      </c>
      <c r="J24" s="13">
        <v>22574</v>
      </c>
      <c r="K24" s="13">
        <v>2228</v>
      </c>
      <c r="L24" s="13">
        <v>0</v>
      </c>
      <c r="M24" s="11">
        <v>5049</v>
      </c>
    </row>
    <row r="25" spans="1:13" x14ac:dyDescent="0.75">
      <c r="A25" t="str">
        <f t="shared" si="1"/>
        <v>Other Hydrocarbons</v>
      </c>
      <c r="B25" s="15" t="s">
        <v>116</v>
      </c>
      <c r="C25" s="12" t="s">
        <v>96</v>
      </c>
      <c r="D25" s="12" t="s">
        <v>96</v>
      </c>
      <c r="E25" s="12" t="s">
        <v>96</v>
      </c>
      <c r="F25" s="11">
        <v>236</v>
      </c>
      <c r="G25" s="12"/>
      <c r="H25" s="11">
        <v>184</v>
      </c>
      <c r="I25" s="13">
        <v>30</v>
      </c>
      <c r="J25" s="13">
        <v>390</v>
      </c>
      <c r="K25" s="16"/>
      <c r="L25" s="13">
        <v>0</v>
      </c>
      <c r="M25" s="11">
        <v>47</v>
      </c>
    </row>
    <row r="26" spans="1:13" x14ac:dyDescent="0.75">
      <c r="A26" t="str">
        <f t="shared" si="1"/>
        <v>Unfinished Oils</v>
      </c>
      <c r="B26" s="14" t="s">
        <v>117</v>
      </c>
      <c r="C26" s="12" t="s">
        <v>96</v>
      </c>
      <c r="D26" s="12" t="s">
        <v>96</v>
      </c>
      <c r="E26" s="12" t="s">
        <v>96</v>
      </c>
      <c r="F26" s="11">
        <v>231478</v>
      </c>
      <c r="G26" s="12"/>
      <c r="H26" s="12" t="s">
        <v>96</v>
      </c>
      <c r="I26" s="13">
        <v>6013</v>
      </c>
      <c r="J26" s="13">
        <v>129406</v>
      </c>
      <c r="K26" s="13">
        <v>82949</v>
      </c>
      <c r="L26" s="13">
        <v>13110</v>
      </c>
      <c r="M26" s="11">
        <v>86337</v>
      </c>
    </row>
    <row r="27" spans="1:13" x14ac:dyDescent="0.75">
      <c r="A27" t="str">
        <f t="shared" si="1"/>
        <v>Motor Gasoline Blend. Comp.</v>
      </c>
      <c r="B27" s="14" t="s">
        <v>118</v>
      </c>
      <c r="C27" s="12" t="s">
        <v>96</v>
      </c>
      <c r="D27" s="11">
        <v>-51</v>
      </c>
      <c r="E27" s="12" t="s">
        <v>96</v>
      </c>
      <c r="F27" s="11">
        <v>220528</v>
      </c>
      <c r="G27" s="12"/>
      <c r="H27" s="11">
        <v>-17707</v>
      </c>
      <c r="I27" s="13">
        <v>2089</v>
      </c>
      <c r="J27" s="13">
        <v>172773</v>
      </c>
      <c r="K27" s="13">
        <v>27908</v>
      </c>
      <c r="L27" s="13">
        <v>0</v>
      </c>
      <c r="M27" s="11">
        <v>212293</v>
      </c>
    </row>
    <row r="28" spans="1:13" x14ac:dyDescent="0.75">
      <c r="A28" t="str">
        <f t="shared" si="1"/>
        <v>Reformulated</v>
      </c>
      <c r="B28" s="15" t="s">
        <v>119</v>
      </c>
      <c r="C28" s="12" t="s">
        <v>96</v>
      </c>
      <c r="D28" s="11">
        <v>-3</v>
      </c>
      <c r="E28" s="12" t="s">
        <v>96</v>
      </c>
      <c r="F28" s="11">
        <v>76948</v>
      </c>
      <c r="G28" s="12"/>
      <c r="H28" s="11">
        <v>65150</v>
      </c>
      <c r="I28" s="13">
        <v>1299</v>
      </c>
      <c r="J28" s="13">
        <v>140697</v>
      </c>
      <c r="K28" s="13">
        <v>99</v>
      </c>
      <c r="L28" s="13">
        <v>0</v>
      </c>
      <c r="M28" s="11">
        <v>53447</v>
      </c>
    </row>
    <row r="29" spans="1:13" x14ac:dyDescent="0.75">
      <c r="A29" t="str">
        <f t="shared" si="1"/>
        <v>Conventional</v>
      </c>
      <c r="B29" s="15" t="s">
        <v>120</v>
      </c>
      <c r="C29" s="12" t="s">
        <v>96</v>
      </c>
      <c r="D29" s="11">
        <v>-48</v>
      </c>
      <c r="E29" s="12" t="s">
        <v>96</v>
      </c>
      <c r="F29" s="11">
        <v>143580</v>
      </c>
      <c r="G29" s="12"/>
      <c r="H29" s="11">
        <v>-82856</v>
      </c>
      <c r="I29" s="13">
        <v>790</v>
      </c>
      <c r="J29" s="13">
        <v>32076</v>
      </c>
      <c r="K29" s="13">
        <v>27810</v>
      </c>
      <c r="L29" s="13">
        <v>0</v>
      </c>
      <c r="M29" s="11">
        <v>158846</v>
      </c>
    </row>
    <row r="30" spans="1:13" x14ac:dyDescent="0.75">
      <c r="A30" t="str">
        <f t="shared" si="1"/>
        <v>Aviation Gasoline Blend. Comp.</v>
      </c>
      <c r="B30" s="14" t="s">
        <v>121</v>
      </c>
      <c r="C30" s="12" t="s">
        <v>96</v>
      </c>
      <c r="D30" s="12" t="s">
        <v>96</v>
      </c>
      <c r="E30" s="12" t="s">
        <v>96</v>
      </c>
      <c r="F30" s="11" t="s">
        <v>100</v>
      </c>
      <c r="G30" s="12"/>
      <c r="H30" s="12" t="s">
        <v>96</v>
      </c>
      <c r="I30" s="13">
        <v>6</v>
      </c>
      <c r="J30" s="13">
        <v>32</v>
      </c>
      <c r="K30" s="13" t="s">
        <v>100</v>
      </c>
      <c r="L30" s="13">
        <v>-38</v>
      </c>
      <c r="M30" s="11">
        <v>15</v>
      </c>
    </row>
    <row r="31" spans="1:13" x14ac:dyDescent="0.75">
      <c r="A31" t="str">
        <f t="shared" si="1"/>
        <v>Finished Petroleum Products</v>
      </c>
      <c r="B31" s="10" t="s">
        <v>122</v>
      </c>
      <c r="C31" s="12" t="s">
        <v>96</v>
      </c>
      <c r="D31" s="11">
        <v>1336</v>
      </c>
      <c r="E31" s="11">
        <v>7179380</v>
      </c>
      <c r="F31" s="11">
        <v>250759</v>
      </c>
      <c r="G31" s="12"/>
      <c r="H31" s="11">
        <v>57659</v>
      </c>
      <c r="I31" s="13">
        <v>-38269</v>
      </c>
      <c r="J31" s="16" t="s">
        <v>96</v>
      </c>
      <c r="K31" s="13">
        <v>1220551</v>
      </c>
      <c r="L31" s="13">
        <v>6306852</v>
      </c>
      <c r="M31" s="11">
        <v>291859</v>
      </c>
    </row>
    <row r="32" spans="1:13" x14ac:dyDescent="0.75">
      <c r="A32" t="str">
        <f t="shared" si="1"/>
        <v>Finished Motor Gasoline</v>
      </c>
      <c r="B32" s="14" t="s">
        <v>123</v>
      </c>
      <c r="C32" s="12" t="s">
        <v>96</v>
      </c>
      <c r="D32" s="11">
        <v>1336</v>
      </c>
      <c r="E32" s="11">
        <v>3633123</v>
      </c>
      <c r="F32" s="11">
        <v>11784</v>
      </c>
      <c r="G32" s="12"/>
      <c r="H32" s="11">
        <v>27566</v>
      </c>
      <c r="I32" s="13">
        <v>-3860</v>
      </c>
      <c r="J32" s="16" t="s">
        <v>96</v>
      </c>
      <c r="K32" s="13">
        <v>273483</v>
      </c>
      <c r="L32" s="13">
        <v>3404186</v>
      </c>
      <c r="M32" s="11">
        <v>24523</v>
      </c>
    </row>
    <row r="33" spans="1:13" x14ac:dyDescent="0.75">
      <c r="A33" t="str">
        <f t="shared" si="1"/>
        <v>Reformulated</v>
      </c>
      <c r="B33" s="15" t="s">
        <v>119</v>
      </c>
      <c r="C33" s="12" t="s">
        <v>96</v>
      </c>
      <c r="D33" s="12"/>
      <c r="E33" s="11">
        <v>1187104</v>
      </c>
      <c r="F33" s="11" t="s">
        <v>100</v>
      </c>
      <c r="G33" s="12"/>
      <c r="H33" s="11">
        <v>-59342</v>
      </c>
      <c r="I33" s="13">
        <v>-7</v>
      </c>
      <c r="J33" s="16" t="s">
        <v>96</v>
      </c>
      <c r="K33" s="13" t="s">
        <v>100</v>
      </c>
      <c r="L33" s="13">
        <v>1127769</v>
      </c>
      <c r="M33" s="11">
        <v>40</v>
      </c>
    </row>
    <row r="34" spans="1:13" x14ac:dyDescent="0.75">
      <c r="A34" t="str">
        <f t="shared" si="1"/>
        <v>Conventional</v>
      </c>
      <c r="B34" s="15" t="s">
        <v>120</v>
      </c>
      <c r="C34" s="12" t="s">
        <v>96</v>
      </c>
      <c r="D34" s="11">
        <v>1336</v>
      </c>
      <c r="E34" s="11">
        <v>2446019</v>
      </c>
      <c r="F34" s="11">
        <v>11784</v>
      </c>
      <c r="G34" s="12"/>
      <c r="H34" s="11">
        <v>86908</v>
      </c>
      <c r="I34" s="13">
        <v>-3853</v>
      </c>
      <c r="J34" s="16" t="s">
        <v>96</v>
      </c>
      <c r="K34" s="13">
        <v>273483</v>
      </c>
      <c r="L34" s="13">
        <v>2276417</v>
      </c>
      <c r="M34" s="11">
        <v>24483</v>
      </c>
    </row>
    <row r="35" spans="1:13" x14ac:dyDescent="0.75">
      <c r="A35" t="str">
        <f t="shared" si="1"/>
        <v>Finished Aviation Gasoline</v>
      </c>
      <c r="B35" s="14" t="s">
        <v>124</v>
      </c>
      <c r="C35" s="12" t="s">
        <v>96</v>
      </c>
      <c r="D35" s="12" t="s">
        <v>96</v>
      </c>
      <c r="E35" s="11">
        <v>4032</v>
      </c>
      <c r="F35" s="11">
        <v>165</v>
      </c>
      <c r="G35" s="12"/>
      <c r="H35" s="12" t="s">
        <v>96</v>
      </c>
      <c r="I35" s="13">
        <v>47</v>
      </c>
      <c r="J35" s="16" t="s">
        <v>96</v>
      </c>
      <c r="K35" s="13" t="s">
        <v>100</v>
      </c>
      <c r="L35" s="13">
        <v>4150</v>
      </c>
      <c r="M35" s="11">
        <v>1041</v>
      </c>
    </row>
    <row r="36" spans="1:13" x14ac:dyDescent="0.75">
      <c r="A36" t="str">
        <f t="shared" si="1"/>
        <v>Kerosene-Type Jet Fuel</v>
      </c>
      <c r="B36" s="14" t="s">
        <v>125</v>
      </c>
      <c r="C36" s="12" t="s">
        <v>96</v>
      </c>
      <c r="D36" s="12" t="s">
        <v>96</v>
      </c>
      <c r="E36" s="11">
        <v>621176</v>
      </c>
      <c r="F36" s="11">
        <v>58273</v>
      </c>
      <c r="G36" s="12"/>
      <c r="H36" s="12" t="s">
        <v>96</v>
      </c>
      <c r="I36" s="13">
        <v>-1706</v>
      </c>
      <c r="J36" s="16" t="s">
        <v>96</v>
      </c>
      <c r="K36" s="13">
        <v>67161</v>
      </c>
      <c r="L36" s="13">
        <v>613994</v>
      </c>
      <c r="M36" s="11">
        <v>41304</v>
      </c>
    </row>
    <row r="37" spans="1:13" x14ac:dyDescent="0.75">
      <c r="A37" t="str">
        <f t="shared" si="1"/>
        <v>Kerosene</v>
      </c>
      <c r="B37" s="14" t="s">
        <v>126</v>
      </c>
      <c r="C37" s="12" t="s">
        <v>96</v>
      </c>
      <c r="D37" s="12" t="s">
        <v>96</v>
      </c>
      <c r="E37" s="11">
        <v>2738</v>
      </c>
      <c r="F37" s="11">
        <v>1429</v>
      </c>
      <c r="G37" s="12"/>
      <c r="H37" s="12" t="s">
        <v>96</v>
      </c>
      <c r="I37" s="13">
        <v>10</v>
      </c>
      <c r="J37" s="16" t="s">
        <v>96</v>
      </c>
      <c r="K37" s="13">
        <v>2267</v>
      </c>
      <c r="L37" s="13">
        <v>1890</v>
      </c>
      <c r="M37" s="11">
        <v>2138</v>
      </c>
    </row>
    <row r="38" spans="1:13" x14ac:dyDescent="0.75">
      <c r="A38" t="str">
        <f t="shared" si="1"/>
        <v>Distillate Fuel Oil</v>
      </c>
      <c r="B38" s="14" t="s">
        <v>127</v>
      </c>
      <c r="C38" s="12" t="s">
        <v>96</v>
      </c>
      <c r="D38" s="12" t="s">
        <v>96</v>
      </c>
      <c r="E38" s="11">
        <v>1833879</v>
      </c>
      <c r="F38" s="11">
        <v>54975</v>
      </c>
      <c r="G38" s="12"/>
      <c r="H38" s="11">
        <v>30093</v>
      </c>
      <c r="I38" s="13">
        <v>-20457</v>
      </c>
      <c r="J38" s="16" t="s">
        <v>96</v>
      </c>
      <c r="K38" s="13">
        <v>504155</v>
      </c>
      <c r="L38" s="13">
        <v>1435249</v>
      </c>
      <c r="M38" s="11">
        <v>145638</v>
      </c>
    </row>
    <row r="39" spans="1:13" x14ac:dyDescent="0.75">
      <c r="A39" t="str">
        <f t="shared" si="1"/>
        <v>15 ppm Sulfur and Under</v>
      </c>
      <c r="B39" s="15" t="s">
        <v>128</v>
      </c>
      <c r="C39" s="12" t="s">
        <v>96</v>
      </c>
      <c r="D39" s="12" t="s">
        <v>96</v>
      </c>
      <c r="E39" s="11">
        <v>1713652</v>
      </c>
      <c r="F39" s="11">
        <v>37012</v>
      </c>
      <c r="G39" s="12"/>
      <c r="H39" s="11">
        <v>30093</v>
      </c>
      <c r="I39" s="13">
        <v>-16256</v>
      </c>
      <c r="J39" s="16" t="s">
        <v>96</v>
      </c>
      <c r="K39" s="13">
        <v>423862</v>
      </c>
      <c r="L39" s="13">
        <v>1373151</v>
      </c>
      <c r="M39" s="11">
        <v>128016</v>
      </c>
    </row>
    <row r="40" spans="1:13" x14ac:dyDescent="0.75">
      <c r="A40" t="str">
        <f t="shared" si="1"/>
        <v>Greater than 15 to 500 ppm Sulfur</v>
      </c>
      <c r="B40" s="15" t="s">
        <v>129</v>
      </c>
      <c r="C40" s="12" t="s">
        <v>96</v>
      </c>
      <c r="D40" s="12" t="s">
        <v>96</v>
      </c>
      <c r="E40" s="11">
        <v>42167</v>
      </c>
      <c r="F40" s="11">
        <v>759</v>
      </c>
      <c r="G40" s="12"/>
      <c r="H40" s="11" t="s">
        <v>100</v>
      </c>
      <c r="I40" s="13">
        <v>-929</v>
      </c>
      <c r="J40" s="16" t="s">
        <v>96</v>
      </c>
      <c r="K40" s="13">
        <v>41645</v>
      </c>
      <c r="L40" s="13">
        <v>2210</v>
      </c>
      <c r="M40" s="11">
        <v>7480</v>
      </c>
    </row>
    <row r="41" spans="1:13" x14ac:dyDescent="0.75">
      <c r="A41" t="str">
        <f t="shared" si="1"/>
        <v>Greater than 500 ppm Sulfur</v>
      </c>
      <c r="B41" s="15" t="s">
        <v>130</v>
      </c>
      <c r="C41" s="12" t="s">
        <v>96</v>
      </c>
      <c r="D41" s="12" t="s">
        <v>96</v>
      </c>
      <c r="E41" s="11">
        <v>78060</v>
      </c>
      <c r="F41" s="11">
        <v>17204</v>
      </c>
      <c r="G41" s="12"/>
      <c r="H41" s="12" t="s">
        <v>96</v>
      </c>
      <c r="I41" s="13">
        <v>-3272</v>
      </c>
      <c r="J41" s="16" t="s">
        <v>96</v>
      </c>
      <c r="K41" s="13">
        <v>38648</v>
      </c>
      <c r="L41" s="13">
        <v>59888</v>
      </c>
      <c r="M41" s="11">
        <v>10142</v>
      </c>
    </row>
    <row r="42" spans="1:13" x14ac:dyDescent="0.75">
      <c r="A42" t="str">
        <f t="shared" si="1"/>
        <v>Residual Fuel Oil</v>
      </c>
      <c r="B42" s="14" t="s">
        <v>131</v>
      </c>
      <c r="C42" s="12" t="s">
        <v>96</v>
      </c>
      <c r="D42" s="12" t="s">
        <v>96</v>
      </c>
      <c r="E42" s="11">
        <v>155851</v>
      </c>
      <c r="F42" s="11">
        <v>69015</v>
      </c>
      <c r="G42" s="12"/>
      <c r="H42" s="12" t="s">
        <v>96</v>
      </c>
      <c r="I42" s="13">
        <v>-12098</v>
      </c>
      <c r="J42" s="16" t="s">
        <v>96</v>
      </c>
      <c r="K42" s="13">
        <v>112240</v>
      </c>
      <c r="L42" s="13">
        <v>124724</v>
      </c>
      <c r="M42" s="11">
        <v>29377</v>
      </c>
    </row>
    <row r="43" spans="1:13" x14ac:dyDescent="0.75">
      <c r="A43" t="str">
        <f t="shared" si="1"/>
        <v>Less than 0.31% Sulfur</v>
      </c>
      <c r="B43" s="15" t="s">
        <v>132</v>
      </c>
      <c r="C43" s="12" t="s">
        <v>96</v>
      </c>
      <c r="D43" s="12" t="s">
        <v>96</v>
      </c>
      <c r="E43" s="11">
        <v>18946</v>
      </c>
      <c r="F43" s="11">
        <v>4112</v>
      </c>
      <c r="G43" s="12"/>
      <c r="H43" s="12" t="s">
        <v>96</v>
      </c>
      <c r="I43" s="13">
        <v>-2600</v>
      </c>
      <c r="J43" s="16" t="s">
        <v>96</v>
      </c>
      <c r="K43" s="16" t="s">
        <v>133</v>
      </c>
      <c r="L43" s="16" t="s">
        <v>133</v>
      </c>
      <c r="M43" s="11">
        <v>1928</v>
      </c>
    </row>
    <row r="44" spans="1:13" x14ac:dyDescent="0.75">
      <c r="A44" t="str">
        <f t="shared" si="1"/>
        <v>0.31 to 1.00% Sulfur</v>
      </c>
      <c r="B44" s="15" t="s">
        <v>134</v>
      </c>
      <c r="C44" s="12" t="s">
        <v>96</v>
      </c>
      <c r="D44" s="12" t="s">
        <v>96</v>
      </c>
      <c r="E44" s="11">
        <v>19577</v>
      </c>
      <c r="F44" s="11">
        <v>7295</v>
      </c>
      <c r="G44" s="12"/>
      <c r="H44" s="12" t="s">
        <v>96</v>
      </c>
      <c r="I44" s="13">
        <v>-1119</v>
      </c>
      <c r="J44" s="16" t="s">
        <v>96</v>
      </c>
      <c r="K44" s="16" t="s">
        <v>133</v>
      </c>
      <c r="L44" s="16" t="s">
        <v>133</v>
      </c>
      <c r="M44" s="11">
        <v>6822</v>
      </c>
    </row>
    <row r="45" spans="1:13" x14ac:dyDescent="0.75">
      <c r="A45" t="str">
        <f t="shared" si="1"/>
        <v>Greater than 1.00% Sulfur</v>
      </c>
      <c r="B45" s="15" t="s">
        <v>135</v>
      </c>
      <c r="C45" s="12" t="s">
        <v>96</v>
      </c>
      <c r="D45" s="12" t="s">
        <v>96</v>
      </c>
      <c r="E45" s="11">
        <v>117328</v>
      </c>
      <c r="F45" s="11">
        <v>57608</v>
      </c>
      <c r="G45" s="12"/>
      <c r="H45" s="12" t="s">
        <v>96</v>
      </c>
      <c r="I45" s="13">
        <v>-8379</v>
      </c>
      <c r="J45" s="16" t="s">
        <v>96</v>
      </c>
      <c r="K45" s="16" t="s">
        <v>133</v>
      </c>
      <c r="L45" s="16" t="s">
        <v>133</v>
      </c>
      <c r="M45" s="11">
        <v>20621</v>
      </c>
    </row>
    <row r="46" spans="1:13" x14ac:dyDescent="0.75">
      <c r="A46" t="str">
        <f t="shared" si="1"/>
        <v>Petrochemical Feedstocks</v>
      </c>
      <c r="B46" s="14" t="s">
        <v>136</v>
      </c>
      <c r="C46" s="12" t="s">
        <v>96</v>
      </c>
      <c r="D46" s="12" t="s">
        <v>96</v>
      </c>
      <c r="E46" s="11">
        <v>112198</v>
      </c>
      <c r="F46" s="11">
        <v>15696</v>
      </c>
      <c r="G46" s="12"/>
      <c r="H46" s="12" t="s">
        <v>96</v>
      </c>
      <c r="I46" s="13">
        <v>-357</v>
      </c>
      <c r="J46" s="16" t="s">
        <v>96</v>
      </c>
      <c r="K46" s="13" t="s">
        <v>100</v>
      </c>
      <c r="L46" s="13">
        <v>128251</v>
      </c>
      <c r="M46" s="11">
        <v>2883</v>
      </c>
    </row>
    <row r="47" spans="1:13" x14ac:dyDescent="0.75">
      <c r="A47" t="str">
        <f t="shared" si="1"/>
        <v>Naphtha for Petro. Feed. Use</v>
      </c>
      <c r="B47" s="15" t="s">
        <v>137</v>
      </c>
      <c r="C47" s="12" t="s">
        <v>96</v>
      </c>
      <c r="D47" s="12" t="s">
        <v>96</v>
      </c>
      <c r="E47" s="11">
        <v>71578</v>
      </c>
      <c r="F47" s="11">
        <v>11373</v>
      </c>
      <c r="G47" s="12"/>
      <c r="H47" s="12" t="s">
        <v>96</v>
      </c>
      <c r="I47" s="13">
        <v>-162</v>
      </c>
      <c r="J47" s="16" t="s">
        <v>96</v>
      </c>
      <c r="K47" s="13" t="s">
        <v>100</v>
      </c>
      <c r="L47" s="13">
        <v>83113</v>
      </c>
      <c r="M47" s="11">
        <v>1849</v>
      </c>
    </row>
    <row r="48" spans="1:13" x14ac:dyDescent="0.75">
      <c r="A48" t="str">
        <f t="shared" si="1"/>
        <v>Other Oils for Petro. Feed. Use</v>
      </c>
      <c r="B48" s="15" t="s">
        <v>138</v>
      </c>
      <c r="C48" s="12" t="s">
        <v>96</v>
      </c>
      <c r="D48" s="12" t="s">
        <v>96</v>
      </c>
      <c r="E48" s="11">
        <v>40620</v>
      </c>
      <c r="F48" s="11">
        <v>4323</v>
      </c>
      <c r="G48" s="12"/>
      <c r="H48" s="12" t="s">
        <v>96</v>
      </c>
      <c r="I48" s="13">
        <v>-195</v>
      </c>
      <c r="J48" s="16" t="s">
        <v>96</v>
      </c>
      <c r="K48" s="13" t="s">
        <v>100</v>
      </c>
      <c r="L48" s="13">
        <v>45138</v>
      </c>
      <c r="M48" s="11">
        <v>1034</v>
      </c>
    </row>
    <row r="49" spans="1:13" x14ac:dyDescent="0.75">
      <c r="A49" t="str">
        <f t="shared" si="1"/>
        <v>Special Naphthas</v>
      </c>
      <c r="B49" s="14" t="s">
        <v>139</v>
      </c>
      <c r="C49" s="12" t="s">
        <v>96</v>
      </c>
      <c r="D49" s="12" t="s">
        <v>96</v>
      </c>
      <c r="E49" s="11">
        <v>13688</v>
      </c>
      <c r="F49" s="11">
        <v>5405</v>
      </c>
      <c r="G49" s="12"/>
      <c r="H49" s="12" t="s">
        <v>96</v>
      </c>
      <c r="I49" s="13">
        <v>-26</v>
      </c>
      <c r="J49" s="16" t="s">
        <v>96</v>
      </c>
      <c r="K49" s="13" t="s">
        <v>100</v>
      </c>
      <c r="L49" s="13">
        <v>19119</v>
      </c>
      <c r="M49" s="11">
        <v>1192</v>
      </c>
    </row>
    <row r="50" spans="1:13" x14ac:dyDescent="0.75">
      <c r="A50" t="str">
        <f t="shared" si="1"/>
        <v>Lubricants</v>
      </c>
      <c r="B50" s="14" t="s">
        <v>140</v>
      </c>
      <c r="C50" s="12" t="s">
        <v>96</v>
      </c>
      <c r="D50" s="12" t="s">
        <v>96</v>
      </c>
      <c r="E50" s="11">
        <v>64970</v>
      </c>
      <c r="F50" s="11">
        <v>14901</v>
      </c>
      <c r="G50" s="12"/>
      <c r="H50" s="12" t="s">
        <v>96</v>
      </c>
      <c r="I50" s="13">
        <v>-347</v>
      </c>
      <c r="J50" s="16" t="s">
        <v>96</v>
      </c>
      <c r="K50" s="13">
        <v>36215</v>
      </c>
      <c r="L50" s="13">
        <v>44003</v>
      </c>
      <c r="M50" s="11">
        <v>12021</v>
      </c>
    </row>
    <row r="51" spans="1:13" x14ac:dyDescent="0.75">
      <c r="A51" t="str">
        <f t="shared" si="1"/>
        <v>Waxes</v>
      </c>
      <c r="B51" s="14" t="s">
        <v>141</v>
      </c>
      <c r="C51" s="12" t="s">
        <v>96</v>
      </c>
      <c r="D51" s="12" t="s">
        <v>96</v>
      </c>
      <c r="E51" s="11">
        <v>1774</v>
      </c>
      <c r="F51" s="11">
        <v>1724</v>
      </c>
      <c r="G51" s="12"/>
      <c r="H51" s="12" t="s">
        <v>96</v>
      </c>
      <c r="I51" s="13">
        <v>184</v>
      </c>
      <c r="J51" s="16" t="s">
        <v>96</v>
      </c>
      <c r="K51" s="13">
        <v>1479</v>
      </c>
      <c r="L51" s="13">
        <v>1835</v>
      </c>
      <c r="M51" s="11">
        <v>855</v>
      </c>
    </row>
    <row r="52" spans="1:13" x14ac:dyDescent="0.75">
      <c r="A52" t="str">
        <f t="shared" si="1"/>
        <v>Petroleum Coke</v>
      </c>
      <c r="B52" s="14" t="s">
        <v>142</v>
      </c>
      <c r="C52" s="12" t="s">
        <v>96</v>
      </c>
      <c r="D52" s="12" t="s">
        <v>96</v>
      </c>
      <c r="E52" s="11">
        <v>329170</v>
      </c>
      <c r="F52" s="11">
        <v>3662</v>
      </c>
      <c r="G52" s="12"/>
      <c r="H52" s="12" t="s">
        <v>96</v>
      </c>
      <c r="I52" s="13">
        <v>1536</v>
      </c>
      <c r="J52" s="16" t="s">
        <v>96</v>
      </c>
      <c r="K52" s="13">
        <v>215873</v>
      </c>
      <c r="L52" s="13">
        <v>115423</v>
      </c>
      <c r="M52" s="11">
        <v>8519</v>
      </c>
    </row>
    <row r="53" spans="1:13" x14ac:dyDescent="0.75">
      <c r="A53" t="str">
        <f t="shared" si="1"/>
        <v>Marketable</v>
      </c>
      <c r="B53" s="15" t="s">
        <v>143</v>
      </c>
      <c r="C53" s="12" t="s">
        <v>96</v>
      </c>
      <c r="D53" s="12" t="s">
        <v>96</v>
      </c>
      <c r="E53" s="11">
        <v>245213</v>
      </c>
      <c r="F53" s="11">
        <v>3662</v>
      </c>
      <c r="G53" s="12"/>
      <c r="H53" s="12" t="s">
        <v>96</v>
      </c>
      <c r="I53" s="13">
        <v>1536</v>
      </c>
      <c r="J53" s="16" t="s">
        <v>96</v>
      </c>
      <c r="K53" s="13">
        <v>215873</v>
      </c>
      <c r="L53" s="13">
        <v>31466</v>
      </c>
      <c r="M53" s="11">
        <v>8519</v>
      </c>
    </row>
    <row r="54" spans="1:13" x14ac:dyDescent="0.75">
      <c r="A54" t="str">
        <f t="shared" si="1"/>
        <v>Catalyst</v>
      </c>
      <c r="B54" s="15" t="s">
        <v>144</v>
      </c>
      <c r="C54" s="12" t="s">
        <v>96</v>
      </c>
      <c r="D54" s="12" t="s">
        <v>96</v>
      </c>
      <c r="E54" s="11">
        <v>83957</v>
      </c>
      <c r="F54" s="12" t="s">
        <v>96</v>
      </c>
      <c r="G54" s="12" t="s">
        <v>96</v>
      </c>
      <c r="H54" s="12" t="s">
        <v>96</v>
      </c>
      <c r="I54" s="16" t="s">
        <v>96</v>
      </c>
      <c r="J54" s="16" t="s">
        <v>96</v>
      </c>
      <c r="K54" s="16" t="s">
        <v>96</v>
      </c>
      <c r="L54" s="13">
        <v>83957</v>
      </c>
      <c r="M54" s="12" t="s">
        <v>96</v>
      </c>
    </row>
    <row r="55" spans="1:13" x14ac:dyDescent="0.75">
      <c r="A55" t="str">
        <f t="shared" si="1"/>
        <v>Asphalt and Road Oil</v>
      </c>
      <c r="B55" s="14" t="s">
        <v>145</v>
      </c>
      <c r="C55" s="12" t="s">
        <v>96</v>
      </c>
      <c r="D55" s="12" t="s">
        <v>96</v>
      </c>
      <c r="E55" s="11">
        <v>120515</v>
      </c>
      <c r="F55" s="11">
        <v>13666</v>
      </c>
      <c r="G55" s="12"/>
      <c r="H55" s="12" t="s">
        <v>96</v>
      </c>
      <c r="I55" s="13">
        <v>-1184</v>
      </c>
      <c r="J55" s="16" t="s">
        <v>96</v>
      </c>
      <c r="K55" s="13">
        <v>7399</v>
      </c>
      <c r="L55" s="13">
        <v>127966</v>
      </c>
      <c r="M55" s="11">
        <v>21697</v>
      </c>
    </row>
    <row r="56" spans="1:13" x14ac:dyDescent="0.75">
      <c r="A56" t="str">
        <f t="shared" si="1"/>
        <v>Still Gas</v>
      </c>
      <c r="B56" s="14" t="s">
        <v>146</v>
      </c>
      <c r="C56" s="12" t="s">
        <v>96</v>
      </c>
      <c r="D56" s="12" t="s">
        <v>96</v>
      </c>
      <c r="E56" s="11">
        <v>251761</v>
      </c>
      <c r="F56" s="12" t="s">
        <v>96</v>
      </c>
      <c r="G56" s="12" t="s">
        <v>96</v>
      </c>
      <c r="H56" s="12" t="s">
        <v>96</v>
      </c>
      <c r="I56" s="16" t="s">
        <v>96</v>
      </c>
      <c r="J56" s="16" t="s">
        <v>96</v>
      </c>
      <c r="K56" s="16" t="s">
        <v>96</v>
      </c>
      <c r="L56" s="13">
        <v>251761</v>
      </c>
      <c r="M56" s="12" t="s">
        <v>96</v>
      </c>
    </row>
    <row r="57" spans="1:13" x14ac:dyDescent="0.75">
      <c r="A57" t="str">
        <f t="shared" si="1"/>
        <v>Miscellaneous Products</v>
      </c>
      <c r="B57" s="14" t="s">
        <v>147</v>
      </c>
      <c r="C57" s="12" t="s">
        <v>96</v>
      </c>
      <c r="D57" s="12" t="s">
        <v>96</v>
      </c>
      <c r="E57" s="11">
        <v>34505</v>
      </c>
      <c r="F57" s="11">
        <v>64</v>
      </c>
      <c r="G57" s="12"/>
      <c r="H57" s="12" t="s">
        <v>96</v>
      </c>
      <c r="I57" s="13">
        <v>-11</v>
      </c>
      <c r="J57" s="16" t="s">
        <v>96</v>
      </c>
      <c r="K57" s="13">
        <v>279</v>
      </c>
      <c r="L57" s="13">
        <v>34301</v>
      </c>
      <c r="M57" s="11">
        <v>671</v>
      </c>
    </row>
  </sheetData>
  <mergeCells count="3">
    <mergeCell ref="C2:H2"/>
    <mergeCell ref="I2:L2"/>
    <mergeCell ref="M2:M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50"/>
  <sheetViews>
    <sheetView topLeftCell="A19" workbookViewId="0">
      <selection activeCell="B23" sqref="B23"/>
    </sheetView>
  </sheetViews>
  <sheetFormatPr defaultColWidth="8.86328125" defaultRowHeight="14.75" x14ac:dyDescent="0.75"/>
  <cols>
    <col min="2" max="2" width="18" customWidth="1"/>
    <col min="3" max="3" width="29" customWidth="1"/>
    <col min="4" max="4" width="36" customWidth="1"/>
    <col min="5" max="5" width="22" customWidth="1"/>
    <col min="6" max="6" width="29.7265625" customWidth="1"/>
    <col min="10" max="10" width="29.86328125" bestFit="1" customWidth="1"/>
    <col min="11" max="11" width="18.1328125" bestFit="1" customWidth="1"/>
  </cols>
  <sheetData>
    <row r="1" spans="1:9" x14ac:dyDescent="0.75">
      <c r="A1" s="1" t="s">
        <v>148</v>
      </c>
    </row>
    <row r="2" spans="1:9" x14ac:dyDescent="0.75">
      <c r="A2" t="s">
        <v>149</v>
      </c>
      <c r="B2" s="18" t="s">
        <v>150</v>
      </c>
      <c r="C2" t="s">
        <v>151</v>
      </c>
      <c r="D2" t="s">
        <v>152</v>
      </c>
      <c r="E2" s="18"/>
      <c r="F2" s="18"/>
      <c r="I2" s="18"/>
    </row>
    <row r="3" spans="1:9" x14ac:dyDescent="0.75">
      <c r="A3" t="s">
        <v>153</v>
      </c>
    </row>
    <row r="4" spans="1:9" x14ac:dyDescent="0.75">
      <c r="B4">
        <v>1</v>
      </c>
      <c r="C4">
        <v>184451</v>
      </c>
      <c r="D4">
        <v>589367</v>
      </c>
    </row>
    <row r="5" spans="1:9" x14ac:dyDescent="0.75">
      <c r="B5">
        <v>2</v>
      </c>
      <c r="C5">
        <v>168559</v>
      </c>
      <c r="D5">
        <v>535088</v>
      </c>
    </row>
    <row r="6" spans="1:9" x14ac:dyDescent="0.75">
      <c r="B6">
        <v>3</v>
      </c>
      <c r="C6">
        <v>158633</v>
      </c>
      <c r="D6">
        <v>613798</v>
      </c>
    </row>
    <row r="7" spans="1:9" x14ac:dyDescent="0.75">
      <c r="B7">
        <v>4</v>
      </c>
      <c r="C7">
        <v>122820</v>
      </c>
      <c r="D7">
        <v>592364</v>
      </c>
    </row>
    <row r="8" spans="1:9" x14ac:dyDescent="0.75">
      <c r="B8">
        <v>5</v>
      </c>
      <c r="C8">
        <v>143019</v>
      </c>
      <c r="D8">
        <v>608837</v>
      </c>
    </row>
    <row r="9" spans="1:9" x14ac:dyDescent="0.75">
      <c r="B9">
        <v>6</v>
      </c>
      <c r="C9">
        <v>157357</v>
      </c>
      <c r="D9">
        <v>575481</v>
      </c>
    </row>
    <row r="10" spans="1:9" x14ac:dyDescent="0.75">
      <c r="B10">
        <v>7</v>
      </c>
      <c r="C10">
        <v>174016</v>
      </c>
      <c r="D10">
        <v>581260</v>
      </c>
    </row>
    <row r="11" spans="1:9" x14ac:dyDescent="0.75">
      <c r="B11">
        <v>8</v>
      </c>
      <c r="C11">
        <v>178391</v>
      </c>
      <c r="D11">
        <v>664441</v>
      </c>
    </row>
    <row r="12" spans="1:9" x14ac:dyDescent="0.75">
      <c r="B12">
        <v>9</v>
      </c>
      <c r="C12">
        <v>173333</v>
      </c>
      <c r="D12">
        <v>629927</v>
      </c>
    </row>
    <row r="13" spans="1:9" x14ac:dyDescent="0.75">
      <c r="B13">
        <v>10</v>
      </c>
      <c r="C13">
        <v>193711</v>
      </c>
      <c r="D13">
        <v>658237</v>
      </c>
    </row>
    <row r="14" spans="1:9" x14ac:dyDescent="0.75">
      <c r="B14">
        <v>11</v>
      </c>
      <c r="C14">
        <v>172601</v>
      </c>
      <c r="D14">
        <v>635793</v>
      </c>
    </row>
    <row r="15" spans="1:9" x14ac:dyDescent="0.75">
      <c r="B15">
        <v>12</v>
      </c>
      <c r="C15">
        <v>161979</v>
      </c>
      <c r="D15">
        <v>599576</v>
      </c>
    </row>
    <row r="17" spans="1:3" x14ac:dyDescent="0.75">
      <c r="A17" s="1" t="s">
        <v>154</v>
      </c>
    </row>
    <row r="18" spans="1:3" x14ac:dyDescent="0.75">
      <c r="A18" t="s">
        <v>150</v>
      </c>
      <c r="B18" s="18" t="s">
        <v>155</v>
      </c>
      <c r="C18" s="18" t="s">
        <v>156</v>
      </c>
    </row>
    <row r="19" spans="1:3" x14ac:dyDescent="0.75">
      <c r="A19">
        <v>1</v>
      </c>
      <c r="B19">
        <v>465014</v>
      </c>
      <c r="C19">
        <v>167.75</v>
      </c>
    </row>
    <row r="20" spans="1:3" x14ac:dyDescent="0.75">
      <c r="A20">
        <v>2</v>
      </c>
      <c r="B20">
        <v>532014</v>
      </c>
      <c r="C20">
        <v>163.38999999999999</v>
      </c>
    </row>
    <row r="21" spans="1:3" x14ac:dyDescent="0.75">
      <c r="A21">
        <v>3</v>
      </c>
      <c r="B21">
        <v>655441</v>
      </c>
      <c r="C21">
        <v>167.92</v>
      </c>
    </row>
    <row r="22" spans="1:3" x14ac:dyDescent="0.75">
      <c r="A22">
        <v>4</v>
      </c>
      <c r="B22">
        <v>548340</v>
      </c>
      <c r="C22">
        <v>164.43</v>
      </c>
    </row>
    <row r="23" spans="1:3" x14ac:dyDescent="0.75">
      <c r="A23">
        <v>5</v>
      </c>
      <c r="B23">
        <v>525716</v>
      </c>
      <c r="C23">
        <v>166.38</v>
      </c>
    </row>
    <row r="24" spans="1:3" x14ac:dyDescent="0.75">
      <c r="A24">
        <v>6</v>
      </c>
      <c r="B24">
        <v>627529</v>
      </c>
      <c r="C24">
        <v>159.44</v>
      </c>
    </row>
    <row r="25" spans="1:3" x14ac:dyDescent="0.75">
      <c r="A25">
        <v>7</v>
      </c>
      <c r="B25">
        <v>466871</v>
      </c>
      <c r="C25">
        <v>159.27000000000001</v>
      </c>
    </row>
    <row r="26" spans="1:3" x14ac:dyDescent="0.75">
      <c r="A26">
        <v>8</v>
      </c>
      <c r="B26">
        <v>557048</v>
      </c>
      <c r="C26">
        <v>169.81</v>
      </c>
    </row>
    <row r="27" spans="1:3" x14ac:dyDescent="0.75">
      <c r="A27">
        <v>9</v>
      </c>
      <c r="B27">
        <v>658081</v>
      </c>
      <c r="C27">
        <v>165.88</v>
      </c>
    </row>
    <row r="28" spans="1:3" x14ac:dyDescent="0.75">
      <c r="A28">
        <v>10</v>
      </c>
      <c r="B28">
        <v>572569</v>
      </c>
      <c r="C28">
        <v>166.42</v>
      </c>
    </row>
    <row r="29" spans="1:3" x14ac:dyDescent="0.75">
      <c r="A29">
        <v>11</v>
      </c>
      <c r="B29">
        <v>579346</v>
      </c>
      <c r="C29">
        <v>171.17</v>
      </c>
    </row>
    <row r="30" spans="1:3" x14ac:dyDescent="0.75">
      <c r="A30">
        <v>12</v>
      </c>
      <c r="B30">
        <v>761935</v>
      </c>
      <c r="C30">
        <v>172.44</v>
      </c>
    </row>
    <row r="32" spans="1:3" x14ac:dyDescent="0.75">
      <c r="A32" s="1" t="s">
        <v>157</v>
      </c>
    </row>
    <row r="33" spans="1:4" x14ac:dyDescent="0.75">
      <c r="A33" s="5">
        <f>SUM(C4:D15)</f>
        <v>9273039</v>
      </c>
      <c r="B33" t="s">
        <v>158</v>
      </c>
    </row>
    <row r="35" spans="1:4" x14ac:dyDescent="0.75">
      <c r="A35" s="1" t="s">
        <v>159</v>
      </c>
    </row>
    <row r="36" spans="1:4" x14ac:dyDescent="0.75">
      <c r="A36" s="5">
        <f>SUM(B19:B30)</f>
        <v>6949904</v>
      </c>
      <c r="B36" t="s">
        <v>158</v>
      </c>
    </row>
    <row r="38" spans="1:4" x14ac:dyDescent="0.75">
      <c r="A38" t="s">
        <v>160</v>
      </c>
    </row>
    <row r="39" spans="1:4" x14ac:dyDescent="0.75">
      <c r="A39" t="s">
        <v>161</v>
      </c>
    </row>
    <row r="40" spans="1:4" x14ac:dyDescent="0.75">
      <c r="A40" t="s">
        <v>162</v>
      </c>
    </row>
    <row r="41" spans="1:4" x14ac:dyDescent="0.75">
      <c r="A41" t="s">
        <v>163</v>
      </c>
    </row>
    <row r="43" spans="1:4" x14ac:dyDescent="0.75">
      <c r="B43" s="18" t="s">
        <v>87</v>
      </c>
      <c r="C43" s="18" t="s">
        <v>92</v>
      </c>
      <c r="D43" t="s">
        <v>164</v>
      </c>
    </row>
    <row r="44" spans="1:4" x14ac:dyDescent="0.75">
      <c r="A44">
        <v>2015</v>
      </c>
      <c r="B44">
        <v>207171527</v>
      </c>
      <c r="C44">
        <v>4668774792</v>
      </c>
      <c r="D44" t="s">
        <v>165</v>
      </c>
    </row>
    <row r="46" spans="1:4" x14ac:dyDescent="0.75">
      <c r="A46" s="1" t="s">
        <v>166</v>
      </c>
    </row>
    <row r="47" spans="1:4" x14ac:dyDescent="0.75">
      <c r="A47">
        <f>B44/C44</f>
        <v>4.4373853147723213E-2</v>
      </c>
    </row>
    <row r="49" spans="1:2" x14ac:dyDescent="0.75">
      <c r="A49" s="1" t="s">
        <v>167</v>
      </c>
    </row>
    <row r="50" spans="1:2" x14ac:dyDescent="0.75">
      <c r="A50" s="19">
        <f>A36*A47</f>
        <v>308394.01948677417</v>
      </c>
      <c r="B50"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8"/>
  <sheetViews>
    <sheetView topLeftCell="A13" workbookViewId="0">
      <selection activeCell="A3" sqref="A3"/>
    </sheetView>
  </sheetViews>
  <sheetFormatPr defaultColWidth="8.86328125" defaultRowHeight="14.75" x14ac:dyDescent="0.75"/>
  <cols>
    <col min="1" max="1" width="10.40625" customWidth="1"/>
    <col min="2" max="4" width="11.7265625" customWidth="1"/>
    <col min="5" max="5" width="23.26953125" customWidth="1"/>
  </cols>
  <sheetData>
    <row r="1" spans="1:5" x14ac:dyDescent="0.75">
      <c r="A1" s="2" t="s">
        <v>168</v>
      </c>
      <c r="B1" s="7"/>
      <c r="C1" s="7"/>
      <c r="D1" s="7"/>
      <c r="E1" s="7"/>
    </row>
    <row r="2" spans="1:5" x14ac:dyDescent="0.75">
      <c r="B2" t="s">
        <v>169</v>
      </c>
      <c r="C2" t="s">
        <v>87</v>
      </c>
      <c r="D2" t="s">
        <v>92</v>
      </c>
      <c r="E2" t="s">
        <v>164</v>
      </c>
    </row>
    <row r="3" spans="1:5" x14ac:dyDescent="0.75">
      <c r="A3">
        <v>2017</v>
      </c>
      <c r="B3">
        <v>3</v>
      </c>
      <c r="C3">
        <v>40</v>
      </c>
      <c r="D3">
        <v>0</v>
      </c>
      <c r="E3" t="s">
        <v>170</v>
      </c>
    </row>
    <row r="5" spans="1:5" x14ac:dyDescent="0.75">
      <c r="A5" s="2" t="s">
        <v>171</v>
      </c>
      <c r="B5" s="7"/>
      <c r="C5" s="7"/>
      <c r="D5" s="7"/>
      <c r="E5" s="7"/>
    </row>
    <row r="6" spans="1:5" x14ac:dyDescent="0.75">
      <c r="A6" s="25">
        <v>0.09</v>
      </c>
      <c r="B6" t="s">
        <v>172</v>
      </c>
    </row>
    <row r="7" spans="1:5" x14ac:dyDescent="0.75">
      <c r="A7">
        <v>775</v>
      </c>
      <c r="B7" t="s">
        <v>173</v>
      </c>
    </row>
    <row r="8" spans="1:5" x14ac:dyDescent="0.75">
      <c r="A8">
        <v>97</v>
      </c>
      <c r="B8" t="s">
        <v>174</v>
      </c>
    </row>
    <row r="9" spans="1:5" x14ac:dyDescent="0.75">
      <c r="A9">
        <v>6</v>
      </c>
      <c r="B9" t="s">
        <v>175</v>
      </c>
    </row>
    <row r="10" spans="1:5" x14ac:dyDescent="0.75">
      <c r="A10" s="20" t="s">
        <v>176</v>
      </c>
    </row>
    <row r="12" spans="1:5" x14ac:dyDescent="0.75">
      <c r="B12" t="s">
        <v>169</v>
      </c>
      <c r="C12" t="s">
        <v>87</v>
      </c>
      <c r="D12" t="s">
        <v>92</v>
      </c>
      <c r="E12" t="s">
        <v>164</v>
      </c>
    </row>
    <row r="13" spans="1:5" x14ac:dyDescent="0.75">
      <c r="A13" t="s">
        <v>177</v>
      </c>
      <c r="B13" s="26">
        <f>A7*(1-A6)</f>
        <v>705.25</v>
      </c>
      <c r="C13">
        <f>A9</f>
        <v>6</v>
      </c>
      <c r="D13">
        <f>A8</f>
        <v>97</v>
      </c>
      <c r="E13" t="s">
        <v>178</v>
      </c>
    </row>
    <row r="14" spans="1:5" x14ac:dyDescent="0.75">
      <c r="A14" t="s">
        <v>179</v>
      </c>
      <c r="B14" s="26">
        <f>A6*A7</f>
        <v>69.75</v>
      </c>
      <c r="C14">
        <v>0</v>
      </c>
      <c r="D14">
        <v>0</v>
      </c>
      <c r="E14" t="s">
        <v>178</v>
      </c>
    </row>
    <row r="16" spans="1:5" x14ac:dyDescent="0.75">
      <c r="A16" s="2" t="s">
        <v>32</v>
      </c>
      <c r="B16" s="7"/>
      <c r="C16" s="7"/>
      <c r="D16" s="7"/>
      <c r="E16" s="7"/>
    </row>
    <row r="17" spans="1:5" x14ac:dyDescent="0.75">
      <c r="A17" s="1" t="s">
        <v>180</v>
      </c>
    </row>
    <row r="18" spans="1:5" x14ac:dyDescent="0.75">
      <c r="A18" s="27">
        <v>262.39999999999998</v>
      </c>
      <c r="B18" t="s">
        <v>181</v>
      </c>
    </row>
    <row r="19" spans="1:5" x14ac:dyDescent="0.75">
      <c r="A19" s="28">
        <v>33.57</v>
      </c>
      <c r="B19" t="s">
        <v>182</v>
      </c>
    </row>
    <row r="20" spans="1:5" x14ac:dyDescent="0.75">
      <c r="A20">
        <v>67.8</v>
      </c>
      <c r="B20" t="s">
        <v>183</v>
      </c>
    </row>
    <row r="21" spans="1:5" x14ac:dyDescent="0.75">
      <c r="A21">
        <v>23.4</v>
      </c>
      <c r="B21" t="s">
        <v>184</v>
      </c>
    </row>
    <row r="22" spans="1:5" x14ac:dyDescent="0.75">
      <c r="A22">
        <v>137.69999999999999</v>
      </c>
      <c r="B22" t="s">
        <v>185</v>
      </c>
    </row>
    <row r="24" spans="1:5" x14ac:dyDescent="0.75">
      <c r="A24" s="28" t="s">
        <v>186</v>
      </c>
    </row>
    <row r="25" spans="1:5" x14ac:dyDescent="0.75">
      <c r="A25" t="s">
        <v>187</v>
      </c>
    </row>
    <row r="26" spans="1:5" x14ac:dyDescent="0.75">
      <c r="A26" t="s">
        <v>188</v>
      </c>
    </row>
    <row r="27" spans="1:5" x14ac:dyDescent="0.75">
      <c r="A27" s="3" t="s">
        <v>189</v>
      </c>
      <c r="D27" t="s">
        <v>190</v>
      </c>
    </row>
    <row r="28" spans="1:5" x14ac:dyDescent="0.75">
      <c r="E28" s="4"/>
    </row>
    <row r="30" spans="1:5" x14ac:dyDescent="0.75">
      <c r="A30" t="s">
        <v>191</v>
      </c>
    </row>
    <row r="31" spans="1:5" x14ac:dyDescent="0.75">
      <c r="A31" t="s">
        <v>192</v>
      </c>
    </row>
    <row r="32" spans="1:5" x14ac:dyDescent="0.75">
      <c r="A32" t="s">
        <v>193</v>
      </c>
    </row>
    <row r="34" spans="1:5" x14ac:dyDescent="0.75">
      <c r="A34" s="2" t="s">
        <v>36</v>
      </c>
      <c r="B34" s="7"/>
      <c r="C34" s="7"/>
      <c r="D34" s="7"/>
      <c r="E34" s="7"/>
    </row>
    <row r="35" spans="1:5" x14ac:dyDescent="0.75">
      <c r="A35">
        <v>10</v>
      </c>
      <c r="B35" t="s">
        <v>194</v>
      </c>
    </row>
    <row r="36" spans="1:5" x14ac:dyDescent="0.75">
      <c r="A36" t="s">
        <v>195</v>
      </c>
    </row>
    <row r="38" spans="1:5" x14ac:dyDescent="0.75">
      <c r="A38" t="s">
        <v>196</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2837"/>
  <sheetViews>
    <sheetView workbookViewId="0">
      <pane xSplit="2" ySplit="1" topLeftCell="C2" activePane="bottomRight" state="frozen"/>
      <selection pane="topRight" activeCell="C1" sqref="C1"/>
      <selection pane="bottomLeft" activeCell="A2" sqref="A2"/>
      <selection pane="bottomRight" activeCell="C18" sqref="C18"/>
    </sheetView>
  </sheetViews>
  <sheetFormatPr defaultColWidth="8.7265625" defaultRowHeight="15" customHeight="1" x14ac:dyDescent="0.65"/>
  <cols>
    <col min="1" max="1" width="21.40625" style="207" hidden="1" customWidth="1"/>
    <col min="2" max="2" width="46.7265625" style="207" customWidth="1"/>
    <col min="3" max="16384" width="8.7265625" style="207"/>
  </cols>
  <sheetData>
    <row r="1" spans="1:33" ht="15" customHeight="1" thickBot="1" x14ac:dyDescent="0.8">
      <c r="B1" s="222" t="s">
        <v>197</v>
      </c>
      <c r="C1" s="219">
        <v>2021</v>
      </c>
      <c r="D1" s="219">
        <v>2022</v>
      </c>
      <c r="E1" s="219">
        <v>2023</v>
      </c>
      <c r="F1" s="219">
        <v>2024</v>
      </c>
      <c r="G1" s="219">
        <v>2025</v>
      </c>
      <c r="H1" s="219">
        <v>2026</v>
      </c>
      <c r="I1" s="219">
        <v>2027</v>
      </c>
      <c r="J1" s="219">
        <v>2028</v>
      </c>
      <c r="K1" s="219">
        <v>2029</v>
      </c>
      <c r="L1" s="219">
        <v>2030</v>
      </c>
      <c r="M1" s="219">
        <v>2031</v>
      </c>
      <c r="N1" s="219">
        <v>2032</v>
      </c>
      <c r="O1" s="219">
        <v>2033</v>
      </c>
      <c r="P1" s="219">
        <v>2034</v>
      </c>
      <c r="Q1" s="219">
        <v>2035</v>
      </c>
      <c r="R1" s="219">
        <v>2036</v>
      </c>
      <c r="S1" s="219">
        <v>2037</v>
      </c>
      <c r="T1" s="219">
        <v>2038</v>
      </c>
      <c r="U1" s="219">
        <v>2039</v>
      </c>
      <c r="V1" s="219">
        <v>2040</v>
      </c>
      <c r="W1" s="219">
        <v>2041</v>
      </c>
      <c r="X1" s="219">
        <v>2042</v>
      </c>
      <c r="Y1" s="219">
        <v>2043</v>
      </c>
      <c r="Z1" s="219">
        <v>2044</v>
      </c>
      <c r="AA1" s="219">
        <v>2045</v>
      </c>
      <c r="AB1" s="219">
        <v>2046</v>
      </c>
      <c r="AC1" s="219">
        <v>2047</v>
      </c>
      <c r="AD1" s="219">
        <v>2048</v>
      </c>
      <c r="AE1" s="219">
        <v>2049</v>
      </c>
      <c r="AF1" s="219">
        <v>2050</v>
      </c>
    </row>
    <row r="2" spans="1:33" ht="15" customHeight="1" thickTop="1" x14ac:dyDescent="0.65"/>
    <row r="3" spans="1:33" ht="15" customHeight="1" x14ac:dyDescent="0.65">
      <c r="C3" s="224" t="s">
        <v>198</v>
      </c>
      <c r="D3" s="224" t="s">
        <v>199</v>
      </c>
      <c r="E3" s="224"/>
      <c r="F3" s="224"/>
      <c r="G3" s="224"/>
    </row>
    <row r="4" spans="1:33" ht="15" customHeight="1" x14ac:dyDescent="0.65">
      <c r="C4" s="224" t="s">
        <v>200</v>
      </c>
      <c r="D4" s="224" t="s">
        <v>201</v>
      </c>
      <c r="E4" s="224"/>
      <c r="F4" s="224"/>
      <c r="G4" s="224" t="s">
        <v>202</v>
      </c>
    </row>
    <row r="5" spans="1:33" ht="15" customHeight="1" x14ac:dyDescent="0.65">
      <c r="C5" s="224" t="s">
        <v>203</v>
      </c>
      <c r="D5" s="224" t="s">
        <v>204</v>
      </c>
      <c r="E5" s="224"/>
      <c r="F5" s="224"/>
      <c r="G5" s="224"/>
    </row>
    <row r="6" spans="1:33" ht="15" customHeight="1" x14ac:dyDescent="0.65">
      <c r="C6" s="224" t="s">
        <v>205</v>
      </c>
      <c r="D6" s="224"/>
      <c r="E6" s="224" t="s">
        <v>206</v>
      </c>
      <c r="F6" s="224"/>
      <c r="G6" s="224"/>
    </row>
    <row r="7" spans="1:33" ht="12.25" x14ac:dyDescent="0.65"/>
    <row r="8" spans="1:33" ht="12.25" x14ac:dyDescent="0.65"/>
    <row r="9" spans="1:33" ht="12.25" x14ac:dyDescent="0.65"/>
    <row r="10" spans="1:33" ht="15" customHeight="1" x14ac:dyDescent="0.8">
      <c r="A10" s="212" t="s">
        <v>207</v>
      </c>
      <c r="B10" s="223" t="s">
        <v>208</v>
      </c>
      <c r="AG10" s="220" t="s">
        <v>209</v>
      </c>
    </row>
    <row r="11" spans="1:33" ht="15" customHeight="1" x14ac:dyDescent="0.65">
      <c r="B11" s="222" t="s">
        <v>210</v>
      </c>
      <c r="AG11" s="220" t="s">
        <v>211</v>
      </c>
    </row>
    <row r="12" spans="1:33" ht="15" customHeight="1" x14ac:dyDescent="0.65">
      <c r="B12" s="222"/>
      <c r="C12" s="221"/>
      <c r="D12" s="221"/>
      <c r="E12" s="221"/>
      <c r="F12" s="221"/>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21"/>
      <c r="AG12" s="220" t="s">
        <v>212</v>
      </c>
    </row>
    <row r="13" spans="1:33" ht="15" customHeight="1" thickBot="1" x14ac:dyDescent="0.8">
      <c r="B13" s="219" t="s">
        <v>213</v>
      </c>
      <c r="C13" s="219">
        <v>2021</v>
      </c>
      <c r="D13" s="219">
        <v>2022</v>
      </c>
      <c r="E13" s="219">
        <v>2023</v>
      </c>
      <c r="F13" s="219">
        <v>2024</v>
      </c>
      <c r="G13" s="219">
        <v>2025</v>
      </c>
      <c r="H13" s="219">
        <v>2026</v>
      </c>
      <c r="I13" s="219">
        <v>2027</v>
      </c>
      <c r="J13" s="219">
        <v>2028</v>
      </c>
      <c r="K13" s="219">
        <v>2029</v>
      </c>
      <c r="L13" s="219">
        <v>2030</v>
      </c>
      <c r="M13" s="219">
        <v>2031</v>
      </c>
      <c r="N13" s="219">
        <v>2032</v>
      </c>
      <c r="O13" s="219">
        <v>2033</v>
      </c>
      <c r="P13" s="219">
        <v>2034</v>
      </c>
      <c r="Q13" s="219">
        <v>2035</v>
      </c>
      <c r="R13" s="219">
        <v>2036</v>
      </c>
      <c r="S13" s="219">
        <v>2037</v>
      </c>
      <c r="T13" s="219">
        <v>2038</v>
      </c>
      <c r="U13" s="219">
        <v>2039</v>
      </c>
      <c r="V13" s="219">
        <v>2040</v>
      </c>
      <c r="W13" s="219">
        <v>2041</v>
      </c>
      <c r="X13" s="219">
        <v>2042</v>
      </c>
      <c r="Y13" s="219">
        <v>2043</v>
      </c>
      <c r="Z13" s="219">
        <v>2044</v>
      </c>
      <c r="AA13" s="219">
        <v>2045</v>
      </c>
      <c r="AB13" s="219">
        <v>2046</v>
      </c>
      <c r="AC13" s="219">
        <v>2047</v>
      </c>
      <c r="AD13" s="219">
        <v>2048</v>
      </c>
      <c r="AE13" s="219">
        <v>2049</v>
      </c>
      <c r="AF13" s="219">
        <v>2050</v>
      </c>
      <c r="AG13" s="218" t="s">
        <v>214</v>
      </c>
    </row>
    <row r="14" spans="1:33" ht="15" customHeight="1" thickTop="1" x14ac:dyDescent="0.65"/>
    <row r="15" spans="1:33" ht="15" customHeight="1" x14ac:dyDescent="0.75">
      <c r="B15" s="215" t="s">
        <v>169</v>
      </c>
      <c r="C15"/>
      <c r="D15"/>
      <c r="E15"/>
      <c r="F15"/>
      <c r="G15"/>
      <c r="H15"/>
      <c r="I15"/>
      <c r="J15"/>
      <c r="K15"/>
      <c r="L15"/>
      <c r="M15"/>
      <c r="N15"/>
      <c r="O15"/>
      <c r="P15"/>
      <c r="Q15"/>
      <c r="R15"/>
      <c r="S15"/>
      <c r="T15"/>
      <c r="U15"/>
      <c r="V15"/>
      <c r="W15"/>
      <c r="X15"/>
      <c r="Y15"/>
      <c r="Z15"/>
      <c r="AA15"/>
      <c r="AB15"/>
      <c r="AC15"/>
      <c r="AD15"/>
      <c r="AE15"/>
      <c r="AF15"/>
      <c r="AG15"/>
    </row>
    <row r="16" spans="1:33" ht="15" customHeight="1" x14ac:dyDescent="0.75">
      <c r="A16" s="212" t="s">
        <v>215</v>
      </c>
      <c r="B16" s="211" t="s">
        <v>216</v>
      </c>
      <c r="C16" s="213">
        <v>23.173487000000002</v>
      </c>
      <c r="D16" s="213">
        <v>24.717472000000001</v>
      </c>
      <c r="E16" s="213">
        <v>25.494104</v>
      </c>
      <c r="F16" s="213">
        <v>26.154641999999999</v>
      </c>
      <c r="G16" s="213">
        <v>27.054276999999999</v>
      </c>
      <c r="H16" s="213">
        <v>27.435596</v>
      </c>
      <c r="I16" s="213">
        <v>27.342155000000002</v>
      </c>
      <c r="J16" s="213">
        <v>27.686851999999998</v>
      </c>
      <c r="K16" s="213">
        <v>27.633852000000001</v>
      </c>
      <c r="L16" s="213">
        <v>27.555264999999999</v>
      </c>
      <c r="M16" s="213">
        <v>27.280258</v>
      </c>
      <c r="N16" s="213">
        <v>27.009712</v>
      </c>
      <c r="O16" s="213">
        <v>27.003247999999999</v>
      </c>
      <c r="P16" s="213">
        <v>26.646474999999999</v>
      </c>
      <c r="Q16" s="213">
        <v>26.477429999999998</v>
      </c>
      <c r="R16" s="213">
        <v>26.305444999999999</v>
      </c>
      <c r="S16" s="213">
        <v>26.016472</v>
      </c>
      <c r="T16" s="213">
        <v>25.819599</v>
      </c>
      <c r="U16" s="213">
        <v>25.821352000000001</v>
      </c>
      <c r="V16" s="213">
        <v>25.902487000000001</v>
      </c>
      <c r="W16" s="213">
        <v>25.722721</v>
      </c>
      <c r="X16" s="213">
        <v>25.635947999999999</v>
      </c>
      <c r="Y16" s="213">
        <v>25.636410000000001</v>
      </c>
      <c r="Z16" s="213">
        <v>25.47831</v>
      </c>
      <c r="AA16" s="213">
        <v>25.779816</v>
      </c>
      <c r="AB16" s="213">
        <v>25.951447999999999</v>
      </c>
      <c r="AC16" s="213">
        <v>25.981897</v>
      </c>
      <c r="AD16" s="213">
        <v>25.859144000000001</v>
      </c>
      <c r="AE16" s="213">
        <v>25.553583</v>
      </c>
      <c r="AF16" s="213">
        <v>26.234584999999999</v>
      </c>
      <c r="AG16" s="209">
        <v>4.287E-3</v>
      </c>
    </row>
    <row r="17" spans="1:33" ht="15" customHeight="1" x14ac:dyDescent="0.75">
      <c r="A17" s="212" t="s">
        <v>217</v>
      </c>
      <c r="B17" s="211" t="s">
        <v>218</v>
      </c>
      <c r="C17" s="213">
        <v>7.0062150000000001</v>
      </c>
      <c r="D17" s="213">
        <v>7.5528149999999998</v>
      </c>
      <c r="E17" s="213">
        <v>7.8837830000000002</v>
      </c>
      <c r="F17" s="213">
        <v>8.023396</v>
      </c>
      <c r="G17" s="213">
        <v>8.1639909999999993</v>
      </c>
      <c r="H17" s="213">
        <v>8.1082020000000004</v>
      </c>
      <c r="I17" s="213">
        <v>8.0414820000000002</v>
      </c>
      <c r="J17" s="213">
        <v>8.0296179999999993</v>
      </c>
      <c r="K17" s="213">
        <v>8.0821810000000003</v>
      </c>
      <c r="L17" s="213">
        <v>8.1559480000000004</v>
      </c>
      <c r="M17" s="213">
        <v>8.1848320000000001</v>
      </c>
      <c r="N17" s="213">
        <v>8.2599870000000006</v>
      </c>
      <c r="O17" s="213">
        <v>8.235239</v>
      </c>
      <c r="P17" s="213">
        <v>8.2500719999999994</v>
      </c>
      <c r="Q17" s="213">
        <v>8.2784399999999998</v>
      </c>
      <c r="R17" s="213">
        <v>8.2101170000000003</v>
      </c>
      <c r="S17" s="213">
        <v>8.1747200000000007</v>
      </c>
      <c r="T17" s="213">
        <v>8.1722750000000008</v>
      </c>
      <c r="U17" s="213">
        <v>8.2225110000000008</v>
      </c>
      <c r="V17" s="213">
        <v>8.2677019999999999</v>
      </c>
      <c r="W17" s="213">
        <v>8.2817030000000003</v>
      </c>
      <c r="X17" s="213">
        <v>8.384741</v>
      </c>
      <c r="Y17" s="213">
        <v>8.4902529999999992</v>
      </c>
      <c r="Z17" s="213">
        <v>8.4762629999999994</v>
      </c>
      <c r="AA17" s="213">
        <v>8.5796620000000008</v>
      </c>
      <c r="AB17" s="213">
        <v>8.6128929999999997</v>
      </c>
      <c r="AC17" s="213">
        <v>8.6344580000000004</v>
      </c>
      <c r="AD17" s="213">
        <v>8.6448269999999994</v>
      </c>
      <c r="AE17" s="213">
        <v>8.6502510000000008</v>
      </c>
      <c r="AF17" s="213">
        <v>8.7012350000000005</v>
      </c>
      <c r="AG17" s="209">
        <v>7.4989999999999996E-3</v>
      </c>
    </row>
    <row r="18" spans="1:33" ht="15" customHeight="1" x14ac:dyDescent="0.75">
      <c r="A18" s="212" t="s">
        <v>219</v>
      </c>
      <c r="B18" s="211" t="s">
        <v>220</v>
      </c>
      <c r="C18" s="213">
        <v>35.682777000000002</v>
      </c>
      <c r="D18" s="213">
        <v>36.629646000000001</v>
      </c>
      <c r="E18" s="213">
        <v>36.922058</v>
      </c>
      <c r="F18" s="213">
        <v>37.131554000000001</v>
      </c>
      <c r="G18" s="213">
        <v>37.233967</v>
      </c>
      <c r="H18" s="213">
        <v>37.210548000000003</v>
      </c>
      <c r="I18" s="213">
        <v>37.134987000000002</v>
      </c>
      <c r="J18" s="213">
        <v>37.74691</v>
      </c>
      <c r="K18" s="213">
        <v>38.012238000000004</v>
      </c>
      <c r="L18" s="213">
        <v>38.079895</v>
      </c>
      <c r="M18" s="213">
        <v>38.334229000000001</v>
      </c>
      <c r="N18" s="213">
        <v>38.609394000000002</v>
      </c>
      <c r="O18" s="213">
        <v>38.861305000000002</v>
      </c>
      <c r="P18" s="213">
        <v>38.688675000000003</v>
      </c>
      <c r="Q18" s="213">
        <v>38.547446999999998</v>
      </c>
      <c r="R18" s="213">
        <v>38.495739</v>
      </c>
      <c r="S18" s="213">
        <v>38.611136999999999</v>
      </c>
      <c r="T18" s="213">
        <v>38.832619000000001</v>
      </c>
      <c r="U18" s="213">
        <v>39.095233999999998</v>
      </c>
      <c r="V18" s="213">
        <v>39.377578999999997</v>
      </c>
      <c r="W18" s="213">
        <v>39.502231999999999</v>
      </c>
      <c r="X18" s="213">
        <v>39.694870000000002</v>
      </c>
      <c r="Y18" s="213">
        <v>40.037334000000001</v>
      </c>
      <c r="Z18" s="213">
        <v>40.361305000000002</v>
      </c>
      <c r="AA18" s="213">
        <v>40.596077000000001</v>
      </c>
      <c r="AB18" s="213">
        <v>40.848937999999997</v>
      </c>
      <c r="AC18" s="213">
        <v>41.134644000000002</v>
      </c>
      <c r="AD18" s="213">
        <v>41.335979000000002</v>
      </c>
      <c r="AE18" s="213">
        <v>41.513866</v>
      </c>
      <c r="AF18" s="213">
        <v>41.894924000000003</v>
      </c>
      <c r="AG18" s="209">
        <v>5.5500000000000002E-3</v>
      </c>
    </row>
    <row r="19" spans="1:33" ht="15" customHeight="1" x14ac:dyDescent="0.75">
      <c r="A19" s="212" t="s">
        <v>221</v>
      </c>
      <c r="B19" s="211" t="s">
        <v>222</v>
      </c>
      <c r="C19" s="213">
        <v>13.089978</v>
      </c>
      <c r="D19" s="213">
        <v>12.741251999999999</v>
      </c>
      <c r="E19" s="213">
        <v>12.812080999999999</v>
      </c>
      <c r="F19" s="213">
        <v>11.346849000000001</v>
      </c>
      <c r="G19" s="213">
        <v>10.919338</v>
      </c>
      <c r="H19" s="213">
        <v>10.890395</v>
      </c>
      <c r="I19" s="213">
        <v>10.594276000000001</v>
      </c>
      <c r="J19" s="213">
        <v>10.517385000000001</v>
      </c>
      <c r="K19" s="213">
        <v>10.477952</v>
      </c>
      <c r="L19" s="213">
        <v>10.320335</v>
      </c>
      <c r="M19" s="213">
        <v>10.278053999999999</v>
      </c>
      <c r="N19" s="213">
        <v>10.186623000000001</v>
      </c>
      <c r="O19" s="213">
        <v>10.161192</v>
      </c>
      <c r="P19" s="213">
        <v>9.8407079999999993</v>
      </c>
      <c r="Q19" s="213">
        <v>9.5687519999999999</v>
      </c>
      <c r="R19" s="213">
        <v>9.414873</v>
      </c>
      <c r="S19" s="213">
        <v>9.2873289999999997</v>
      </c>
      <c r="T19" s="213">
        <v>9.3013359999999992</v>
      </c>
      <c r="U19" s="213">
        <v>9.2276330000000009</v>
      </c>
      <c r="V19" s="213">
        <v>9.1459650000000003</v>
      </c>
      <c r="W19" s="213">
        <v>9.1226819999999993</v>
      </c>
      <c r="X19" s="213">
        <v>9.0860120000000002</v>
      </c>
      <c r="Y19" s="213">
        <v>8.961373</v>
      </c>
      <c r="Z19" s="213">
        <v>8.89466</v>
      </c>
      <c r="AA19" s="213">
        <v>8.785145</v>
      </c>
      <c r="AB19" s="213">
        <v>8.7206039999999998</v>
      </c>
      <c r="AC19" s="213">
        <v>8.6230239999999991</v>
      </c>
      <c r="AD19" s="213">
        <v>8.5444119999999995</v>
      </c>
      <c r="AE19" s="213">
        <v>8.5071809999999992</v>
      </c>
      <c r="AF19" s="213">
        <v>8.5720969999999994</v>
      </c>
      <c r="AG19" s="209">
        <v>-1.4492E-2</v>
      </c>
    </row>
    <row r="20" spans="1:33" ht="15" customHeight="1" x14ac:dyDescent="0.75">
      <c r="A20" s="212" t="s">
        <v>223</v>
      </c>
      <c r="B20" s="211" t="s">
        <v>224</v>
      </c>
      <c r="C20" s="213">
        <v>8.1211500000000001</v>
      </c>
      <c r="D20" s="213">
        <v>8.1831110000000002</v>
      </c>
      <c r="E20" s="213">
        <v>8.2025790000000001</v>
      </c>
      <c r="F20" s="213">
        <v>8.239058</v>
      </c>
      <c r="G20" s="213">
        <v>8.1638990000000007</v>
      </c>
      <c r="H20" s="213">
        <v>8.0757549999999991</v>
      </c>
      <c r="I20" s="213">
        <v>7.9302669999999997</v>
      </c>
      <c r="J20" s="213">
        <v>7.3689460000000002</v>
      </c>
      <c r="K20" s="213">
        <v>7.2995039999999998</v>
      </c>
      <c r="L20" s="213">
        <v>7.3070060000000003</v>
      </c>
      <c r="M20" s="213">
        <v>7.3184230000000001</v>
      </c>
      <c r="N20" s="213">
        <v>7.3263429999999996</v>
      </c>
      <c r="O20" s="213">
        <v>6.8084160000000002</v>
      </c>
      <c r="P20" s="213">
        <v>6.8156670000000004</v>
      </c>
      <c r="Q20" s="213">
        <v>6.7474470000000002</v>
      </c>
      <c r="R20" s="213">
        <v>6.7583539999999998</v>
      </c>
      <c r="S20" s="213">
        <v>6.760554</v>
      </c>
      <c r="T20" s="213">
        <v>6.7626590000000002</v>
      </c>
      <c r="U20" s="213">
        <v>6.762759</v>
      </c>
      <c r="V20" s="213">
        <v>6.766273</v>
      </c>
      <c r="W20" s="213">
        <v>6.7793599999999996</v>
      </c>
      <c r="X20" s="213">
        <v>6.788805</v>
      </c>
      <c r="Y20" s="213">
        <v>6.797936</v>
      </c>
      <c r="Z20" s="213">
        <v>6.8059019999999997</v>
      </c>
      <c r="AA20" s="213">
        <v>6.8144450000000001</v>
      </c>
      <c r="AB20" s="213">
        <v>6.8189029999999997</v>
      </c>
      <c r="AC20" s="213">
        <v>6.8233490000000003</v>
      </c>
      <c r="AD20" s="213">
        <v>6.8261190000000003</v>
      </c>
      <c r="AE20" s="213">
        <v>6.829472</v>
      </c>
      <c r="AF20" s="213">
        <v>6.8343129999999999</v>
      </c>
      <c r="AG20" s="209">
        <v>-5.9309999999999996E-3</v>
      </c>
    </row>
    <row r="21" spans="1:33" ht="15" customHeight="1" x14ac:dyDescent="0.75">
      <c r="A21" s="212" t="s">
        <v>225</v>
      </c>
      <c r="B21" s="211" t="s">
        <v>226</v>
      </c>
      <c r="C21" s="213">
        <v>2.288529</v>
      </c>
      <c r="D21" s="213">
        <v>2.3965299999999998</v>
      </c>
      <c r="E21" s="213">
        <v>2.5203760000000002</v>
      </c>
      <c r="F21" s="213">
        <v>2.6075819999999998</v>
      </c>
      <c r="G21" s="213">
        <v>2.562303</v>
      </c>
      <c r="H21" s="213">
        <v>2.533515</v>
      </c>
      <c r="I21" s="213">
        <v>2.5148000000000001</v>
      </c>
      <c r="J21" s="213">
        <v>2.4944809999999999</v>
      </c>
      <c r="K21" s="213">
        <v>2.4826299999999999</v>
      </c>
      <c r="L21" s="213">
        <v>2.4713959999999999</v>
      </c>
      <c r="M21" s="213">
        <v>2.4567709999999998</v>
      </c>
      <c r="N21" s="213">
        <v>2.4500829999999998</v>
      </c>
      <c r="O21" s="213">
        <v>2.436512</v>
      </c>
      <c r="P21" s="213">
        <v>2.4270999999999998</v>
      </c>
      <c r="Q21" s="213">
        <v>2.4106049999999999</v>
      </c>
      <c r="R21" s="213">
        <v>2.3970229999999999</v>
      </c>
      <c r="S21" s="213">
        <v>2.3926630000000002</v>
      </c>
      <c r="T21" s="213">
        <v>2.3816570000000001</v>
      </c>
      <c r="U21" s="213">
        <v>2.3768020000000001</v>
      </c>
      <c r="V21" s="213">
        <v>2.3701400000000001</v>
      </c>
      <c r="W21" s="213">
        <v>2.3620960000000002</v>
      </c>
      <c r="X21" s="213">
        <v>2.3541889999999999</v>
      </c>
      <c r="Y21" s="213">
        <v>2.3426999999999998</v>
      </c>
      <c r="Z21" s="213">
        <v>2.3369900000000001</v>
      </c>
      <c r="AA21" s="213">
        <v>2.3251300000000001</v>
      </c>
      <c r="AB21" s="213">
        <v>2.3184429999999998</v>
      </c>
      <c r="AC21" s="213">
        <v>2.3090259999999998</v>
      </c>
      <c r="AD21" s="213">
        <v>2.304834</v>
      </c>
      <c r="AE21" s="213">
        <v>2.2952330000000001</v>
      </c>
      <c r="AF21" s="213">
        <v>2.2746879999999998</v>
      </c>
      <c r="AG21" s="209">
        <v>-2.0900000000000001E-4</v>
      </c>
    </row>
    <row r="22" spans="1:33" ht="15" customHeight="1" x14ac:dyDescent="0.75">
      <c r="A22" s="212" t="s">
        <v>227</v>
      </c>
      <c r="B22" s="211" t="s">
        <v>228</v>
      </c>
      <c r="C22" s="213">
        <v>4.7011900000000004</v>
      </c>
      <c r="D22" s="213">
        <v>4.8336649999999999</v>
      </c>
      <c r="E22" s="213">
        <v>4.7369510000000004</v>
      </c>
      <c r="F22" s="213">
        <v>4.7318429999999996</v>
      </c>
      <c r="G22" s="213">
        <v>4.7514820000000002</v>
      </c>
      <c r="H22" s="213">
        <v>4.7400380000000002</v>
      </c>
      <c r="I22" s="213">
        <v>4.7281459999999997</v>
      </c>
      <c r="J22" s="213">
        <v>4.7067750000000004</v>
      </c>
      <c r="K22" s="213">
        <v>4.7082629999999996</v>
      </c>
      <c r="L22" s="213">
        <v>4.6997</v>
      </c>
      <c r="M22" s="213">
        <v>4.6885269999999997</v>
      </c>
      <c r="N22" s="213">
        <v>4.6818270000000002</v>
      </c>
      <c r="O22" s="213">
        <v>4.6667490000000003</v>
      </c>
      <c r="P22" s="213">
        <v>4.6540860000000004</v>
      </c>
      <c r="Q22" s="213">
        <v>4.6489719999999997</v>
      </c>
      <c r="R22" s="213">
        <v>4.641438</v>
      </c>
      <c r="S22" s="213">
        <v>4.6341799999999997</v>
      </c>
      <c r="T22" s="213">
        <v>4.6383159999999997</v>
      </c>
      <c r="U22" s="213">
        <v>4.6474570000000002</v>
      </c>
      <c r="V22" s="213">
        <v>4.6834860000000003</v>
      </c>
      <c r="W22" s="213">
        <v>4.7054450000000001</v>
      </c>
      <c r="X22" s="213">
        <v>4.7221570000000002</v>
      </c>
      <c r="Y22" s="213">
        <v>4.7483430000000002</v>
      </c>
      <c r="Z22" s="213">
        <v>4.7919939999999999</v>
      </c>
      <c r="AA22" s="213">
        <v>4.8140039999999997</v>
      </c>
      <c r="AB22" s="213">
        <v>4.8435649999999999</v>
      </c>
      <c r="AC22" s="213">
        <v>4.8766879999999997</v>
      </c>
      <c r="AD22" s="213">
        <v>4.909999</v>
      </c>
      <c r="AE22" s="213">
        <v>4.942437</v>
      </c>
      <c r="AF22" s="213">
        <v>4.9846370000000002</v>
      </c>
      <c r="AG22" s="209">
        <v>2.0209999999999998E-3</v>
      </c>
    </row>
    <row r="23" spans="1:33" ht="15" customHeight="1" x14ac:dyDescent="0.75">
      <c r="A23" s="212" t="s">
        <v>229</v>
      </c>
      <c r="B23" s="211" t="s">
        <v>230</v>
      </c>
      <c r="C23" s="213">
        <v>4.8390050000000002</v>
      </c>
      <c r="D23" s="213">
        <v>5.5444839999999997</v>
      </c>
      <c r="E23" s="213">
        <v>6.0855569999999997</v>
      </c>
      <c r="F23" s="213">
        <v>6.9892269999999996</v>
      </c>
      <c r="G23" s="213">
        <v>7.5613590000000004</v>
      </c>
      <c r="H23" s="213">
        <v>7.8463159999999998</v>
      </c>
      <c r="I23" s="213">
        <v>8.3474660000000007</v>
      </c>
      <c r="J23" s="213">
        <v>8.5777000000000001</v>
      </c>
      <c r="K23" s="213">
        <v>8.7871590000000008</v>
      </c>
      <c r="L23" s="213">
        <v>9.1559860000000004</v>
      </c>
      <c r="M23" s="213">
        <v>9.4117800000000003</v>
      </c>
      <c r="N23" s="213">
        <v>9.6492149999999999</v>
      </c>
      <c r="O23" s="213">
        <v>9.9103840000000005</v>
      </c>
      <c r="P23" s="213">
        <v>10.464489</v>
      </c>
      <c r="Q23" s="213">
        <v>11.179779999999999</v>
      </c>
      <c r="R23" s="213">
        <v>11.560812</v>
      </c>
      <c r="S23" s="213">
        <v>11.709242</v>
      </c>
      <c r="T23" s="213">
        <v>11.735645</v>
      </c>
      <c r="U23" s="213">
        <v>11.787336</v>
      </c>
      <c r="V23" s="213">
        <v>11.864063</v>
      </c>
      <c r="W23" s="213">
        <v>11.965892999999999</v>
      </c>
      <c r="X23" s="213">
        <v>12.084974000000001</v>
      </c>
      <c r="Y23" s="213">
        <v>12.202391</v>
      </c>
      <c r="Z23" s="213">
        <v>12.369851000000001</v>
      </c>
      <c r="AA23" s="213">
        <v>12.586577</v>
      </c>
      <c r="AB23" s="213">
        <v>12.70438</v>
      </c>
      <c r="AC23" s="213">
        <v>12.871214</v>
      </c>
      <c r="AD23" s="213">
        <v>13.03612</v>
      </c>
      <c r="AE23" s="213">
        <v>13.182046</v>
      </c>
      <c r="AF23" s="213">
        <v>13.273847</v>
      </c>
      <c r="AG23" s="209">
        <v>3.5408000000000002E-2</v>
      </c>
    </row>
    <row r="24" spans="1:33" ht="15" customHeight="1" x14ac:dyDescent="0.75">
      <c r="A24" s="212" t="s">
        <v>231</v>
      </c>
      <c r="B24" s="211" t="s">
        <v>232</v>
      </c>
      <c r="C24" s="213">
        <v>2.1335760000000001</v>
      </c>
      <c r="D24" s="213">
        <v>1.0129729999999999</v>
      </c>
      <c r="E24" s="213">
        <v>0.87985500000000005</v>
      </c>
      <c r="F24" s="213">
        <v>0.89494600000000002</v>
      </c>
      <c r="G24" s="213">
        <v>0.77427100000000004</v>
      </c>
      <c r="H24" s="213">
        <v>0.88321000000000005</v>
      </c>
      <c r="I24" s="213">
        <v>0.86990000000000001</v>
      </c>
      <c r="J24" s="213">
        <v>0.79612899999999998</v>
      </c>
      <c r="K24" s="213">
        <v>0.77055099999999999</v>
      </c>
      <c r="L24" s="213">
        <v>0.770231</v>
      </c>
      <c r="M24" s="213">
        <v>0.76856500000000005</v>
      </c>
      <c r="N24" s="213">
        <v>0.63267300000000004</v>
      </c>
      <c r="O24" s="213">
        <v>0.63193500000000002</v>
      </c>
      <c r="P24" s="213">
        <v>0.64056500000000005</v>
      </c>
      <c r="Q24" s="213">
        <v>0.63755099999999998</v>
      </c>
      <c r="R24" s="213">
        <v>0.64736700000000003</v>
      </c>
      <c r="S24" s="213">
        <v>0.651814</v>
      </c>
      <c r="T24" s="213">
        <v>0.65363300000000002</v>
      </c>
      <c r="U24" s="213">
        <v>0.65149100000000004</v>
      </c>
      <c r="V24" s="213">
        <v>0.64203699999999997</v>
      </c>
      <c r="W24" s="213">
        <v>0.639621</v>
      </c>
      <c r="X24" s="213">
        <v>0.63405599999999995</v>
      </c>
      <c r="Y24" s="213">
        <v>0.62779700000000005</v>
      </c>
      <c r="Z24" s="213">
        <v>0.63269799999999998</v>
      </c>
      <c r="AA24" s="213">
        <v>0.62671699999999997</v>
      </c>
      <c r="AB24" s="213">
        <v>0.61856599999999995</v>
      </c>
      <c r="AC24" s="213">
        <v>0.61455000000000004</v>
      </c>
      <c r="AD24" s="213">
        <v>0.62107800000000002</v>
      </c>
      <c r="AE24" s="213">
        <v>0.62837600000000005</v>
      </c>
      <c r="AF24" s="213">
        <v>0.62333499999999997</v>
      </c>
      <c r="AG24" s="209">
        <v>-4.1542000000000003E-2</v>
      </c>
    </row>
    <row r="25" spans="1:33" ht="15" customHeight="1" x14ac:dyDescent="0.65">
      <c r="A25" s="212" t="s">
        <v>233</v>
      </c>
      <c r="B25" s="215" t="s">
        <v>234</v>
      </c>
      <c r="C25" s="217">
        <v>101.035904</v>
      </c>
      <c r="D25" s="217">
        <v>103.611946</v>
      </c>
      <c r="E25" s="217">
        <v>105.53733099999999</v>
      </c>
      <c r="F25" s="217">
        <v>106.119095</v>
      </c>
      <c r="G25" s="217">
        <v>107.18489099999999</v>
      </c>
      <c r="H25" s="217">
        <v>107.723572</v>
      </c>
      <c r="I25" s="217">
        <v>107.503479</v>
      </c>
      <c r="J25" s="217">
        <v>107.924797</v>
      </c>
      <c r="K25" s="217">
        <v>108.254341</v>
      </c>
      <c r="L25" s="217">
        <v>108.515762</v>
      </c>
      <c r="M25" s="217">
        <v>108.721436</v>
      </c>
      <c r="N25" s="217">
        <v>108.80585499999999</v>
      </c>
      <c r="O25" s="217">
        <v>108.714989</v>
      </c>
      <c r="P25" s="217">
        <v>108.427834</v>
      </c>
      <c r="Q25" s="217">
        <v>108.496422</v>
      </c>
      <c r="R25" s="217">
        <v>108.431175</v>
      </c>
      <c r="S25" s="217">
        <v>108.238113</v>
      </c>
      <c r="T25" s="217">
        <v>108.297737</v>
      </c>
      <c r="U25" s="217">
        <v>108.592575</v>
      </c>
      <c r="V25" s="217">
        <v>109.01973</v>
      </c>
      <c r="W25" s="217">
        <v>109.081749</v>
      </c>
      <c r="X25" s="217">
        <v>109.385757</v>
      </c>
      <c r="Y25" s="217">
        <v>109.844543</v>
      </c>
      <c r="Z25" s="217">
        <v>110.147972</v>
      </c>
      <c r="AA25" s="217">
        <v>110.90757000000001</v>
      </c>
      <c r="AB25" s="217">
        <v>111.437744</v>
      </c>
      <c r="AC25" s="217">
        <v>111.86885100000001</v>
      </c>
      <c r="AD25" s="217">
        <v>112.08251199999999</v>
      </c>
      <c r="AE25" s="217">
        <v>112.10244</v>
      </c>
      <c r="AF25" s="217">
        <v>113.393669</v>
      </c>
      <c r="AG25" s="216">
        <v>3.9870000000000001E-3</v>
      </c>
    </row>
    <row r="26" spans="1:33" ht="15" customHeight="1" x14ac:dyDescent="0.75">
      <c r="B26"/>
      <c r="C26"/>
      <c r="D26"/>
      <c r="E26"/>
      <c r="F26"/>
      <c r="G26"/>
      <c r="H26"/>
      <c r="I26"/>
      <c r="J26"/>
      <c r="K26"/>
      <c r="L26"/>
      <c r="M26"/>
      <c r="N26"/>
      <c r="O26"/>
      <c r="P26"/>
      <c r="Q26"/>
      <c r="R26"/>
      <c r="S26"/>
      <c r="T26"/>
      <c r="U26"/>
      <c r="V26"/>
      <c r="W26"/>
      <c r="X26"/>
      <c r="Y26"/>
      <c r="Z26"/>
      <c r="AA26"/>
      <c r="AB26"/>
      <c r="AC26"/>
      <c r="AD26"/>
      <c r="AE26"/>
      <c r="AF26"/>
      <c r="AG26"/>
    </row>
    <row r="27" spans="1:33" ht="15" customHeight="1" x14ac:dyDescent="0.75">
      <c r="B27" s="215" t="s">
        <v>87</v>
      </c>
      <c r="C27"/>
      <c r="D27"/>
      <c r="E27"/>
      <c r="F27"/>
      <c r="G27"/>
      <c r="H27"/>
      <c r="I27"/>
      <c r="J27"/>
      <c r="K27"/>
      <c r="L27"/>
      <c r="M27"/>
      <c r="N27"/>
      <c r="O27"/>
      <c r="P27"/>
      <c r="Q27"/>
      <c r="R27"/>
      <c r="S27"/>
      <c r="T27"/>
      <c r="U27"/>
      <c r="V27"/>
      <c r="W27"/>
      <c r="X27"/>
      <c r="Y27"/>
      <c r="Z27"/>
      <c r="AA27"/>
      <c r="AB27"/>
      <c r="AC27"/>
      <c r="AD27"/>
      <c r="AE27"/>
      <c r="AF27"/>
      <c r="AG27"/>
    </row>
    <row r="28" spans="1:33" ht="15" customHeight="1" x14ac:dyDescent="0.75">
      <c r="A28" s="212" t="s">
        <v>235</v>
      </c>
      <c r="B28" s="211" t="s">
        <v>236</v>
      </c>
      <c r="C28" s="213">
        <v>13.849983</v>
      </c>
      <c r="D28" s="213">
        <v>16.370850000000001</v>
      </c>
      <c r="E28" s="213">
        <v>16.629141000000001</v>
      </c>
      <c r="F28" s="213">
        <v>15.971055</v>
      </c>
      <c r="G28" s="213">
        <v>15.230758</v>
      </c>
      <c r="H28" s="213">
        <v>14.679036</v>
      </c>
      <c r="I28" s="213">
        <v>14.643375000000001</v>
      </c>
      <c r="J28" s="213">
        <v>14.357627000000001</v>
      </c>
      <c r="K28" s="213">
        <v>14.264915999999999</v>
      </c>
      <c r="L28" s="213">
        <v>14.200820999999999</v>
      </c>
      <c r="M28" s="213">
        <v>14.399286</v>
      </c>
      <c r="N28" s="213">
        <v>14.778255</v>
      </c>
      <c r="O28" s="213">
        <v>14.611300999999999</v>
      </c>
      <c r="P28" s="213">
        <v>14.955673000000001</v>
      </c>
      <c r="Q28" s="213">
        <v>15.036996</v>
      </c>
      <c r="R28" s="213">
        <v>15.363056</v>
      </c>
      <c r="S28" s="213">
        <v>15.527345</v>
      </c>
      <c r="T28" s="213">
        <v>15.740888</v>
      </c>
      <c r="U28" s="213">
        <v>15.813135000000001</v>
      </c>
      <c r="V28" s="213">
        <v>15.458242</v>
      </c>
      <c r="W28" s="213">
        <v>15.443821</v>
      </c>
      <c r="X28" s="213">
        <v>15.243117</v>
      </c>
      <c r="Y28" s="213">
        <v>14.882616000000001</v>
      </c>
      <c r="Z28" s="213">
        <v>15.204732</v>
      </c>
      <c r="AA28" s="213">
        <v>14.507173999999999</v>
      </c>
      <c r="AB28" s="213">
        <v>14.091373000000001</v>
      </c>
      <c r="AC28" s="213">
        <v>13.903983999999999</v>
      </c>
      <c r="AD28" s="213">
        <v>14.131474000000001</v>
      </c>
      <c r="AE28" s="213">
        <v>14.485480000000001</v>
      </c>
      <c r="AF28" s="213">
        <v>13.759513</v>
      </c>
      <c r="AG28" s="209">
        <v>-2.2599999999999999E-4</v>
      </c>
    </row>
    <row r="29" spans="1:33" ht="15" customHeight="1" x14ac:dyDescent="0.75">
      <c r="A29" s="212" t="s">
        <v>237</v>
      </c>
      <c r="B29" s="211" t="s">
        <v>238</v>
      </c>
      <c r="C29" s="213">
        <v>4.7159639999999996</v>
      </c>
      <c r="D29" s="213">
        <v>4.4709909999999997</v>
      </c>
      <c r="E29" s="213">
        <v>3.845002</v>
      </c>
      <c r="F29" s="213">
        <v>3.9238819999999999</v>
      </c>
      <c r="G29" s="213">
        <v>4.01288</v>
      </c>
      <c r="H29" s="213">
        <v>3.9654750000000001</v>
      </c>
      <c r="I29" s="213">
        <v>3.9148239999999999</v>
      </c>
      <c r="J29" s="213">
        <v>3.8320599999999998</v>
      </c>
      <c r="K29" s="213">
        <v>3.7203219999999999</v>
      </c>
      <c r="L29" s="213">
        <v>3.6937340000000001</v>
      </c>
      <c r="M29" s="213">
        <v>3.6342319999999999</v>
      </c>
      <c r="N29" s="213">
        <v>3.635437</v>
      </c>
      <c r="O29" s="213">
        <v>3.5949499999999999</v>
      </c>
      <c r="P29" s="213">
        <v>3.5628989999999998</v>
      </c>
      <c r="Q29" s="213">
        <v>3.5439729999999998</v>
      </c>
      <c r="R29" s="213">
        <v>3.4976250000000002</v>
      </c>
      <c r="S29" s="213">
        <v>3.494834</v>
      </c>
      <c r="T29" s="213">
        <v>3.5053169999999998</v>
      </c>
      <c r="U29" s="213">
        <v>3.5012050000000001</v>
      </c>
      <c r="V29" s="213">
        <v>3.4830779999999999</v>
      </c>
      <c r="W29" s="213">
        <v>3.5034010000000002</v>
      </c>
      <c r="X29" s="213">
        <v>3.5066989999999998</v>
      </c>
      <c r="Y29" s="213">
        <v>3.5148820000000001</v>
      </c>
      <c r="Z29" s="213">
        <v>3.5296599999999998</v>
      </c>
      <c r="AA29" s="213">
        <v>3.55301</v>
      </c>
      <c r="AB29" s="213">
        <v>3.5662569999999998</v>
      </c>
      <c r="AC29" s="213">
        <v>3.5994120000000001</v>
      </c>
      <c r="AD29" s="213">
        <v>3.6864880000000002</v>
      </c>
      <c r="AE29" s="213">
        <v>3.6776529999999998</v>
      </c>
      <c r="AF29" s="213">
        <v>3.6424300000000001</v>
      </c>
      <c r="AG29" s="209">
        <v>-8.8669999999999999E-3</v>
      </c>
    </row>
    <row r="30" spans="1:33" ht="15" customHeight="1" x14ac:dyDescent="0.75">
      <c r="A30" s="212" t="s">
        <v>239</v>
      </c>
      <c r="B30" s="211" t="s">
        <v>240</v>
      </c>
      <c r="C30" s="213">
        <v>2.798295</v>
      </c>
      <c r="D30" s="213">
        <v>2.540921</v>
      </c>
      <c r="E30" s="213">
        <v>2.4598689999999999</v>
      </c>
      <c r="F30" s="213">
        <v>2.3568530000000001</v>
      </c>
      <c r="G30" s="213">
        <v>2.2828909999999998</v>
      </c>
      <c r="H30" s="213">
        <v>2.2567409999999999</v>
      </c>
      <c r="I30" s="213">
        <v>2.221225</v>
      </c>
      <c r="J30" s="213">
        <v>2.1706270000000001</v>
      </c>
      <c r="K30" s="213">
        <v>2.0368050000000002</v>
      </c>
      <c r="L30" s="213">
        <v>1.983411</v>
      </c>
      <c r="M30" s="213">
        <v>1.890747</v>
      </c>
      <c r="N30" s="213">
        <v>1.8788009999999999</v>
      </c>
      <c r="O30" s="213">
        <v>1.924771</v>
      </c>
      <c r="P30" s="213">
        <v>1.886512</v>
      </c>
      <c r="Q30" s="213">
        <v>1.844462</v>
      </c>
      <c r="R30" s="213">
        <v>1.8390280000000001</v>
      </c>
      <c r="S30" s="213">
        <v>1.8733390000000001</v>
      </c>
      <c r="T30" s="213">
        <v>1.870136</v>
      </c>
      <c r="U30" s="213">
        <v>1.8399859999999999</v>
      </c>
      <c r="V30" s="213">
        <v>1.805083</v>
      </c>
      <c r="W30" s="213">
        <v>1.780095</v>
      </c>
      <c r="X30" s="213">
        <v>1.7721610000000001</v>
      </c>
      <c r="Y30" s="213">
        <v>1.7107829999999999</v>
      </c>
      <c r="Z30" s="213">
        <v>1.5873250000000001</v>
      </c>
      <c r="AA30" s="213">
        <v>1.509457</v>
      </c>
      <c r="AB30" s="213">
        <v>1.489166</v>
      </c>
      <c r="AC30" s="213">
        <v>1.4608019999999999</v>
      </c>
      <c r="AD30" s="213">
        <v>1.464388</v>
      </c>
      <c r="AE30" s="213">
        <v>1.431648</v>
      </c>
      <c r="AF30" s="213">
        <v>1.387205</v>
      </c>
      <c r="AG30" s="209">
        <v>-2.3907000000000001E-2</v>
      </c>
    </row>
    <row r="31" spans="1:33" ht="14.75" x14ac:dyDescent="0.75">
      <c r="A31" s="212" t="s">
        <v>241</v>
      </c>
      <c r="B31" s="211" t="s">
        <v>242</v>
      </c>
      <c r="C31" s="213">
        <v>0.29038799999999998</v>
      </c>
      <c r="D31" s="213">
        <v>0.22012000000000001</v>
      </c>
      <c r="E31" s="213">
        <v>0.11650000000000001</v>
      </c>
      <c r="F31" s="213">
        <v>0.120814</v>
      </c>
      <c r="G31" s="213">
        <v>0.110212</v>
      </c>
      <c r="H31" s="213">
        <v>0.115351</v>
      </c>
      <c r="I31" s="213">
        <v>0.128298</v>
      </c>
      <c r="J31" s="213">
        <v>0.136961</v>
      </c>
      <c r="K31" s="213">
        <v>0.13830899999999999</v>
      </c>
      <c r="L31" s="213">
        <v>0.145788</v>
      </c>
      <c r="M31" s="213">
        <v>0.13736599999999999</v>
      </c>
      <c r="N31" s="213">
        <v>0.14191400000000001</v>
      </c>
      <c r="O31" s="213">
        <v>0.134995</v>
      </c>
      <c r="P31" s="213">
        <v>0.140072</v>
      </c>
      <c r="Q31" s="213">
        <v>0.137182</v>
      </c>
      <c r="R31" s="213">
        <v>0.13678799999999999</v>
      </c>
      <c r="S31" s="213">
        <v>0.13159199999999999</v>
      </c>
      <c r="T31" s="213">
        <v>0.13375000000000001</v>
      </c>
      <c r="U31" s="213">
        <v>0.13447799999999999</v>
      </c>
      <c r="V31" s="213">
        <v>0.13620399999999999</v>
      </c>
      <c r="W31" s="213">
        <v>0.131303</v>
      </c>
      <c r="X31" s="213">
        <v>0.131657</v>
      </c>
      <c r="Y31" s="213">
        <v>0.13910800000000001</v>
      </c>
      <c r="Z31" s="213">
        <v>0.13867099999999999</v>
      </c>
      <c r="AA31" s="213">
        <v>0.13456899999999999</v>
      </c>
      <c r="AB31" s="213">
        <v>0.13466600000000001</v>
      </c>
      <c r="AC31" s="213">
        <v>0.13440299999999999</v>
      </c>
      <c r="AD31" s="213">
        <v>0.13461000000000001</v>
      </c>
      <c r="AE31" s="213">
        <v>0.13483000000000001</v>
      </c>
      <c r="AF31" s="213">
        <v>0.13547200000000001</v>
      </c>
      <c r="AG31" s="209">
        <v>-2.5949E-2</v>
      </c>
    </row>
    <row r="32" spans="1:33" ht="12.25" x14ac:dyDescent="0.65">
      <c r="A32" s="212" t="s">
        <v>243</v>
      </c>
      <c r="B32" s="215" t="s">
        <v>234</v>
      </c>
      <c r="C32" s="217">
        <v>21.654629</v>
      </c>
      <c r="D32" s="217">
        <v>23.602882000000001</v>
      </c>
      <c r="E32" s="217">
        <v>23.050509999999999</v>
      </c>
      <c r="F32" s="217">
        <v>22.372603999999999</v>
      </c>
      <c r="G32" s="217">
        <v>21.63674</v>
      </c>
      <c r="H32" s="217">
        <v>21.016601999999999</v>
      </c>
      <c r="I32" s="217">
        <v>20.907722</v>
      </c>
      <c r="J32" s="217">
        <v>20.497274000000001</v>
      </c>
      <c r="K32" s="217">
        <v>20.160353000000001</v>
      </c>
      <c r="L32" s="217">
        <v>20.023755999999999</v>
      </c>
      <c r="M32" s="217">
        <v>20.061630000000001</v>
      </c>
      <c r="N32" s="217">
        <v>20.434408000000001</v>
      </c>
      <c r="O32" s="217">
        <v>20.266016</v>
      </c>
      <c r="P32" s="217">
        <v>20.545155999999999</v>
      </c>
      <c r="Q32" s="217">
        <v>20.562612999999999</v>
      </c>
      <c r="R32" s="217">
        <v>20.836497999999999</v>
      </c>
      <c r="S32" s="217">
        <v>21.027108999999999</v>
      </c>
      <c r="T32" s="217">
        <v>21.250091999999999</v>
      </c>
      <c r="U32" s="217">
        <v>21.288803000000001</v>
      </c>
      <c r="V32" s="217">
        <v>20.882607</v>
      </c>
      <c r="W32" s="217">
        <v>20.858619999999998</v>
      </c>
      <c r="X32" s="217">
        <v>20.653632999999999</v>
      </c>
      <c r="Y32" s="217">
        <v>20.247391</v>
      </c>
      <c r="Z32" s="217">
        <v>20.460387999999998</v>
      </c>
      <c r="AA32" s="217">
        <v>19.70421</v>
      </c>
      <c r="AB32" s="217">
        <v>19.281464</v>
      </c>
      <c r="AC32" s="217">
        <v>19.098602</v>
      </c>
      <c r="AD32" s="217">
        <v>19.41696</v>
      </c>
      <c r="AE32" s="217">
        <v>19.729611999999999</v>
      </c>
      <c r="AF32" s="217">
        <v>18.924620000000001</v>
      </c>
      <c r="AG32" s="216">
        <v>-4.6360000000000004E-3</v>
      </c>
    </row>
    <row r="33" spans="1:33" ht="14.75" x14ac:dyDescent="0.75">
      <c r="B33"/>
      <c r="C33"/>
      <c r="D33"/>
      <c r="E33"/>
      <c r="F33"/>
      <c r="G33"/>
      <c r="H33"/>
      <c r="I33"/>
      <c r="J33"/>
      <c r="K33"/>
      <c r="L33"/>
      <c r="M33"/>
      <c r="N33"/>
      <c r="O33"/>
      <c r="P33"/>
      <c r="Q33"/>
      <c r="R33"/>
      <c r="S33"/>
      <c r="T33"/>
      <c r="U33"/>
      <c r="V33"/>
      <c r="W33"/>
      <c r="X33"/>
      <c r="Y33"/>
      <c r="Z33"/>
      <c r="AA33"/>
      <c r="AB33"/>
      <c r="AC33"/>
      <c r="AD33"/>
      <c r="AE33"/>
      <c r="AF33"/>
      <c r="AG33"/>
    </row>
    <row r="34" spans="1:33" ht="14.75" x14ac:dyDescent="0.75">
      <c r="B34" s="215" t="s">
        <v>92</v>
      </c>
      <c r="C34"/>
      <c r="D34"/>
      <c r="E34"/>
      <c r="F34"/>
      <c r="G34"/>
      <c r="H34"/>
      <c r="I34"/>
      <c r="J34"/>
      <c r="K34"/>
      <c r="L34"/>
      <c r="M34"/>
      <c r="N34"/>
      <c r="O34"/>
      <c r="P34"/>
      <c r="Q34"/>
      <c r="R34"/>
      <c r="S34"/>
      <c r="T34"/>
      <c r="U34"/>
      <c r="V34"/>
      <c r="W34"/>
      <c r="X34"/>
      <c r="Y34"/>
      <c r="Z34"/>
      <c r="AA34"/>
      <c r="AB34"/>
      <c r="AC34"/>
      <c r="AD34"/>
      <c r="AE34"/>
      <c r="AF34"/>
      <c r="AG34"/>
    </row>
    <row r="35" spans="1:33" ht="14.75" x14ac:dyDescent="0.75">
      <c r="A35" s="212" t="s">
        <v>244</v>
      </c>
      <c r="B35" s="211" t="s">
        <v>245</v>
      </c>
      <c r="C35" s="213">
        <v>16.73385</v>
      </c>
      <c r="D35" s="213">
        <v>18.356297999999999</v>
      </c>
      <c r="E35" s="213">
        <v>19.182388</v>
      </c>
      <c r="F35" s="213">
        <v>19.602926</v>
      </c>
      <c r="G35" s="213">
        <v>19.941938</v>
      </c>
      <c r="H35" s="213">
        <v>19.903314999999999</v>
      </c>
      <c r="I35" s="213">
        <v>19.849981</v>
      </c>
      <c r="J35" s="213">
        <v>19.863662999999999</v>
      </c>
      <c r="K35" s="213">
        <v>19.811287</v>
      </c>
      <c r="L35" s="213">
        <v>19.834377</v>
      </c>
      <c r="M35" s="213">
        <v>19.808157000000001</v>
      </c>
      <c r="N35" s="213">
        <v>19.842936000000002</v>
      </c>
      <c r="O35" s="213">
        <v>19.662490999999999</v>
      </c>
      <c r="P35" s="213">
        <v>19.775711000000001</v>
      </c>
      <c r="Q35" s="213">
        <v>19.814879999999999</v>
      </c>
      <c r="R35" s="213">
        <v>19.950239</v>
      </c>
      <c r="S35" s="213">
        <v>19.816631000000001</v>
      </c>
      <c r="T35" s="213">
        <v>19.884661000000001</v>
      </c>
      <c r="U35" s="213">
        <v>19.983006</v>
      </c>
      <c r="V35" s="213">
        <v>19.831689999999998</v>
      </c>
      <c r="W35" s="213">
        <v>19.682124999999999</v>
      </c>
      <c r="X35" s="213">
        <v>19.486173999999998</v>
      </c>
      <c r="Y35" s="213">
        <v>19.221823000000001</v>
      </c>
      <c r="Z35" s="213">
        <v>19.413260999999999</v>
      </c>
      <c r="AA35" s="213">
        <v>19.138691000000001</v>
      </c>
      <c r="AB35" s="213">
        <v>18.841377000000001</v>
      </c>
      <c r="AC35" s="213">
        <v>18.655954000000001</v>
      </c>
      <c r="AD35" s="213">
        <v>18.810967999999999</v>
      </c>
      <c r="AE35" s="213">
        <v>18.771132999999999</v>
      </c>
      <c r="AF35" s="213">
        <v>18.527114999999998</v>
      </c>
      <c r="AG35" s="209">
        <v>3.5170000000000002E-3</v>
      </c>
    </row>
    <row r="36" spans="1:33" ht="14.75" x14ac:dyDescent="0.75">
      <c r="A36" s="212" t="s">
        <v>246</v>
      </c>
      <c r="B36" s="211" t="s">
        <v>240</v>
      </c>
      <c r="C36" s="213">
        <v>6.8096719999999999</v>
      </c>
      <c r="D36" s="213">
        <v>7.5794759999999997</v>
      </c>
      <c r="E36" s="213">
        <v>7.7887389999999996</v>
      </c>
      <c r="F36" s="213">
        <v>7.8755379999999997</v>
      </c>
      <c r="G36" s="213">
        <v>8.0950819999999997</v>
      </c>
      <c r="H36" s="213">
        <v>8.1097380000000001</v>
      </c>
      <c r="I36" s="213">
        <v>8.2476500000000001</v>
      </c>
      <c r="J36" s="213">
        <v>8.5402070000000005</v>
      </c>
      <c r="K36" s="213">
        <v>8.7917880000000004</v>
      </c>
      <c r="L36" s="213">
        <v>9.0232550000000007</v>
      </c>
      <c r="M36" s="213">
        <v>9.3001489999999993</v>
      </c>
      <c r="N36" s="213">
        <v>9.5525009999999995</v>
      </c>
      <c r="O36" s="213">
        <v>9.6708750000000006</v>
      </c>
      <c r="P36" s="213">
        <v>9.7149719999999995</v>
      </c>
      <c r="Q36" s="213">
        <v>9.7774830000000001</v>
      </c>
      <c r="R36" s="213">
        <v>9.7998709999999996</v>
      </c>
      <c r="S36" s="213">
        <v>9.7984690000000008</v>
      </c>
      <c r="T36" s="213">
        <v>9.8207819999999995</v>
      </c>
      <c r="U36" s="213">
        <v>9.8456899999999994</v>
      </c>
      <c r="V36" s="213">
        <v>9.8811859999999996</v>
      </c>
      <c r="W36" s="213">
        <v>9.8682149999999993</v>
      </c>
      <c r="X36" s="213">
        <v>9.8854209999999991</v>
      </c>
      <c r="Y36" s="213">
        <v>9.8951910000000005</v>
      </c>
      <c r="Z36" s="213">
        <v>9.9312100000000001</v>
      </c>
      <c r="AA36" s="213">
        <v>9.9280050000000006</v>
      </c>
      <c r="AB36" s="213">
        <v>9.9116309999999999</v>
      </c>
      <c r="AC36" s="213">
        <v>9.8997290000000007</v>
      </c>
      <c r="AD36" s="213">
        <v>9.9049610000000001</v>
      </c>
      <c r="AE36" s="213">
        <v>9.8765959999999993</v>
      </c>
      <c r="AF36" s="213">
        <v>9.8704999999999998</v>
      </c>
      <c r="AG36" s="209">
        <v>1.2881999999999999E-2</v>
      </c>
    </row>
    <row r="37" spans="1:33" ht="14.75" x14ac:dyDescent="0.75">
      <c r="A37" s="212" t="s">
        <v>247</v>
      </c>
      <c r="B37" s="211" t="s">
        <v>248</v>
      </c>
      <c r="C37" s="213">
        <v>2.2533989999999999</v>
      </c>
      <c r="D37" s="213">
        <v>2.3004180000000001</v>
      </c>
      <c r="E37" s="213">
        <v>2.9242330000000001</v>
      </c>
      <c r="F37" s="213">
        <v>2.8064490000000002</v>
      </c>
      <c r="G37" s="213">
        <v>2.745555</v>
      </c>
      <c r="H37" s="213">
        <v>2.8780790000000001</v>
      </c>
      <c r="I37" s="213">
        <v>2.8222209999999999</v>
      </c>
      <c r="J37" s="213">
        <v>2.8147229999999999</v>
      </c>
      <c r="K37" s="213">
        <v>2.789355</v>
      </c>
      <c r="L37" s="213">
        <v>2.7811759999999999</v>
      </c>
      <c r="M37" s="213">
        <v>2.8095370000000002</v>
      </c>
      <c r="N37" s="213">
        <v>2.8647689999999999</v>
      </c>
      <c r="O37" s="213">
        <v>2.790718</v>
      </c>
      <c r="P37" s="213">
        <v>2.767172</v>
      </c>
      <c r="Q37" s="213">
        <v>2.7934779999999999</v>
      </c>
      <c r="R37" s="213">
        <v>2.759903</v>
      </c>
      <c r="S37" s="213">
        <v>2.751223</v>
      </c>
      <c r="T37" s="213">
        <v>2.7855810000000001</v>
      </c>
      <c r="U37" s="213">
        <v>2.7260239999999998</v>
      </c>
      <c r="V37" s="213">
        <v>2.735147</v>
      </c>
      <c r="W37" s="213">
        <v>2.7193100000000001</v>
      </c>
      <c r="X37" s="213">
        <v>2.7343320000000002</v>
      </c>
      <c r="Y37" s="213">
        <v>2.698877</v>
      </c>
      <c r="Z37" s="213">
        <v>2.6986759999999999</v>
      </c>
      <c r="AA37" s="213">
        <v>2.7121629999999999</v>
      </c>
      <c r="AB37" s="213">
        <v>2.696237</v>
      </c>
      <c r="AC37" s="213">
        <v>2.690248</v>
      </c>
      <c r="AD37" s="213">
        <v>2.7119900000000001</v>
      </c>
      <c r="AE37" s="213">
        <v>2.7228439999999998</v>
      </c>
      <c r="AF37" s="213">
        <v>2.7371850000000002</v>
      </c>
      <c r="AG37" s="209">
        <v>6.7289999999999997E-3</v>
      </c>
    </row>
    <row r="38" spans="1:33" ht="12.25" x14ac:dyDescent="0.65">
      <c r="A38" s="212" t="s">
        <v>249</v>
      </c>
      <c r="B38" s="215" t="s">
        <v>234</v>
      </c>
      <c r="C38" s="217">
        <v>25.796921000000001</v>
      </c>
      <c r="D38" s="217">
        <v>28.236191000000002</v>
      </c>
      <c r="E38" s="217">
        <v>29.895358999999999</v>
      </c>
      <c r="F38" s="217">
        <v>30.284914000000001</v>
      </c>
      <c r="G38" s="217">
        <v>30.782578000000001</v>
      </c>
      <c r="H38" s="217">
        <v>30.891131999999999</v>
      </c>
      <c r="I38" s="217">
        <v>30.919853</v>
      </c>
      <c r="J38" s="217">
        <v>31.218594</v>
      </c>
      <c r="K38" s="217">
        <v>31.392429</v>
      </c>
      <c r="L38" s="217">
        <v>31.638807</v>
      </c>
      <c r="M38" s="217">
        <v>31.917843000000001</v>
      </c>
      <c r="N38" s="217">
        <v>32.260204000000002</v>
      </c>
      <c r="O38" s="217">
        <v>32.124084000000003</v>
      </c>
      <c r="P38" s="217">
        <v>32.257857999999999</v>
      </c>
      <c r="Q38" s="217">
        <v>32.385840999999999</v>
      </c>
      <c r="R38" s="217">
        <v>32.510013999999998</v>
      </c>
      <c r="S38" s="217">
        <v>32.366325000000003</v>
      </c>
      <c r="T38" s="217">
        <v>32.491024000000003</v>
      </c>
      <c r="U38" s="217">
        <v>32.554718000000001</v>
      </c>
      <c r="V38" s="217">
        <v>32.448020999999997</v>
      </c>
      <c r="W38" s="217">
        <v>32.269649999999999</v>
      </c>
      <c r="X38" s="217">
        <v>32.105927000000001</v>
      </c>
      <c r="Y38" s="217">
        <v>31.815891000000001</v>
      </c>
      <c r="Z38" s="217">
        <v>32.043148000000002</v>
      </c>
      <c r="AA38" s="217">
        <v>31.778858</v>
      </c>
      <c r="AB38" s="217">
        <v>31.449245000000001</v>
      </c>
      <c r="AC38" s="217">
        <v>31.245932</v>
      </c>
      <c r="AD38" s="217">
        <v>31.427918999999999</v>
      </c>
      <c r="AE38" s="217">
        <v>31.370574999999999</v>
      </c>
      <c r="AF38" s="217">
        <v>31.134799999999998</v>
      </c>
      <c r="AG38" s="216">
        <v>6.5059999999999996E-3</v>
      </c>
    </row>
    <row r="39" spans="1:33" ht="14.75" x14ac:dyDescent="0.75">
      <c r="B39"/>
      <c r="C39"/>
      <c r="D39"/>
      <c r="E39"/>
      <c r="F39"/>
      <c r="G39"/>
      <c r="H39"/>
      <c r="I39"/>
      <c r="J39"/>
      <c r="K39"/>
      <c r="L39"/>
      <c r="M39"/>
      <c r="N39"/>
      <c r="O39"/>
      <c r="P39"/>
      <c r="Q39"/>
      <c r="R39"/>
      <c r="S39"/>
      <c r="T39"/>
      <c r="U39"/>
      <c r="V39"/>
      <c r="W39"/>
      <c r="X39"/>
      <c r="Y39"/>
      <c r="Z39"/>
      <c r="AA39"/>
      <c r="AB39"/>
      <c r="AC39"/>
      <c r="AD39"/>
      <c r="AE39"/>
      <c r="AF39"/>
      <c r="AG39"/>
    </row>
    <row r="40" spans="1:33" ht="12.25" x14ac:dyDescent="0.65">
      <c r="A40" s="212" t="s">
        <v>250</v>
      </c>
      <c r="B40" s="215" t="s">
        <v>251</v>
      </c>
      <c r="C40" s="217">
        <v>-9.9559999999999996E-2</v>
      </c>
      <c r="D40" s="217">
        <v>1.014343</v>
      </c>
      <c r="E40" s="217">
        <v>0.351906</v>
      </c>
      <c r="F40" s="217">
        <v>0.37148900000000001</v>
      </c>
      <c r="G40" s="217">
        <v>0.34117700000000001</v>
      </c>
      <c r="H40" s="217">
        <v>0.382046</v>
      </c>
      <c r="I40" s="217">
        <v>0.38127899999999998</v>
      </c>
      <c r="J40" s="217">
        <v>0.35733999999999999</v>
      </c>
      <c r="K40" s="217">
        <v>0.38627099999999998</v>
      </c>
      <c r="L40" s="217">
        <v>0.38148700000000002</v>
      </c>
      <c r="M40" s="217">
        <v>0.40063900000000002</v>
      </c>
      <c r="N40" s="217">
        <v>0.43374299999999999</v>
      </c>
      <c r="O40" s="217">
        <v>0.41500900000000002</v>
      </c>
      <c r="P40" s="217">
        <v>0.41313899999999998</v>
      </c>
      <c r="Q40" s="217">
        <v>0.41773199999999999</v>
      </c>
      <c r="R40" s="217">
        <v>0.40796700000000002</v>
      </c>
      <c r="S40" s="217">
        <v>0.411499</v>
      </c>
      <c r="T40" s="217">
        <v>0.40859600000000001</v>
      </c>
      <c r="U40" s="217">
        <v>0.40251199999999998</v>
      </c>
      <c r="V40" s="217">
        <v>0.37765500000000002</v>
      </c>
      <c r="W40" s="217">
        <v>0.373608</v>
      </c>
      <c r="X40" s="217">
        <v>0.35802499999999998</v>
      </c>
      <c r="Y40" s="217">
        <v>0.34440199999999999</v>
      </c>
      <c r="Z40" s="217">
        <v>0.34875899999999999</v>
      </c>
      <c r="AA40" s="217">
        <v>0.32074399999999997</v>
      </c>
      <c r="AB40" s="217">
        <v>0.279781</v>
      </c>
      <c r="AC40" s="217">
        <v>0.300562</v>
      </c>
      <c r="AD40" s="217">
        <v>0.30450100000000002</v>
      </c>
      <c r="AE40" s="217">
        <v>0.30743199999999998</v>
      </c>
      <c r="AF40" s="217">
        <v>0.309587</v>
      </c>
      <c r="AG40" s="216" t="s">
        <v>252</v>
      </c>
    </row>
    <row r="41" spans="1:33" ht="14.75" x14ac:dyDescent="0.75">
      <c r="B41"/>
      <c r="C41"/>
      <c r="D41"/>
      <c r="E41"/>
      <c r="F41"/>
      <c r="G41"/>
      <c r="H41"/>
      <c r="I41"/>
      <c r="J41"/>
      <c r="K41"/>
      <c r="L41"/>
      <c r="M41"/>
      <c r="N41"/>
      <c r="O41"/>
      <c r="P41"/>
      <c r="Q41"/>
      <c r="R41"/>
      <c r="S41"/>
      <c r="T41"/>
      <c r="U41"/>
      <c r="V41"/>
      <c r="W41"/>
      <c r="X41"/>
      <c r="Y41"/>
      <c r="Z41"/>
      <c r="AA41"/>
      <c r="AB41"/>
      <c r="AC41"/>
      <c r="AD41"/>
      <c r="AE41"/>
      <c r="AF41"/>
      <c r="AG41"/>
    </row>
    <row r="42" spans="1:33" ht="14.75" x14ac:dyDescent="0.75">
      <c r="B42" s="215" t="s">
        <v>253</v>
      </c>
      <c r="C42"/>
      <c r="D42"/>
      <c r="E42"/>
      <c r="F42"/>
      <c r="G42"/>
      <c r="H42"/>
      <c r="I42"/>
      <c r="J42"/>
      <c r="K42"/>
      <c r="L42"/>
      <c r="M42"/>
      <c r="N42"/>
      <c r="O42"/>
      <c r="P42"/>
      <c r="Q42"/>
      <c r="R42"/>
      <c r="S42"/>
      <c r="T42"/>
      <c r="U42"/>
      <c r="V42"/>
      <c r="W42"/>
      <c r="X42"/>
      <c r="Y42"/>
      <c r="Z42"/>
      <c r="AA42"/>
      <c r="AB42"/>
      <c r="AC42"/>
      <c r="AD42"/>
      <c r="AE42"/>
      <c r="AF42"/>
      <c r="AG42"/>
    </row>
    <row r="43" spans="1:33" ht="14.75" x14ac:dyDescent="0.75">
      <c r="A43" s="212" t="s">
        <v>254</v>
      </c>
      <c r="B43" s="211" t="s">
        <v>255</v>
      </c>
      <c r="C43" s="213">
        <v>36.038910000000001</v>
      </c>
      <c r="D43" s="213">
        <v>36.753875999999998</v>
      </c>
      <c r="E43" s="213">
        <v>37.164867000000001</v>
      </c>
      <c r="F43" s="213">
        <v>37.008743000000003</v>
      </c>
      <c r="G43" s="213">
        <v>36.993271</v>
      </c>
      <c r="H43" s="213">
        <v>36.890811999999997</v>
      </c>
      <c r="I43" s="213">
        <v>36.698307</v>
      </c>
      <c r="J43" s="213">
        <v>36.579684999999998</v>
      </c>
      <c r="K43" s="213">
        <v>36.420642999999998</v>
      </c>
      <c r="L43" s="213">
        <v>36.309967</v>
      </c>
      <c r="M43" s="213">
        <v>36.218291999999998</v>
      </c>
      <c r="N43" s="213">
        <v>36.215271000000001</v>
      </c>
      <c r="O43" s="213">
        <v>36.163837000000001</v>
      </c>
      <c r="P43" s="213">
        <v>36.030982999999999</v>
      </c>
      <c r="Q43" s="213">
        <v>35.914290999999999</v>
      </c>
      <c r="R43" s="213">
        <v>35.832382000000003</v>
      </c>
      <c r="S43" s="213">
        <v>35.810935999999998</v>
      </c>
      <c r="T43" s="213">
        <v>35.784923999999997</v>
      </c>
      <c r="U43" s="213">
        <v>35.813648000000001</v>
      </c>
      <c r="V43" s="213">
        <v>35.779423000000001</v>
      </c>
      <c r="W43" s="213">
        <v>35.801689000000003</v>
      </c>
      <c r="X43" s="213">
        <v>35.841453999999999</v>
      </c>
      <c r="Y43" s="213">
        <v>35.887526999999999</v>
      </c>
      <c r="Z43" s="213">
        <v>35.903362000000001</v>
      </c>
      <c r="AA43" s="213">
        <v>35.944035</v>
      </c>
      <c r="AB43" s="213">
        <v>36.088379000000003</v>
      </c>
      <c r="AC43" s="213">
        <v>36.201034999999997</v>
      </c>
      <c r="AD43" s="213">
        <v>36.273766000000002</v>
      </c>
      <c r="AE43" s="213">
        <v>36.392871999999997</v>
      </c>
      <c r="AF43" s="213">
        <v>36.628177999999998</v>
      </c>
      <c r="AG43" s="209">
        <v>5.5900000000000004E-4</v>
      </c>
    </row>
    <row r="44" spans="1:33" ht="14.75" x14ac:dyDescent="0.75">
      <c r="A44" s="212" t="s">
        <v>256</v>
      </c>
      <c r="B44" s="211" t="s">
        <v>240</v>
      </c>
      <c r="C44" s="213">
        <v>31.361422000000001</v>
      </c>
      <c r="D44" s="213">
        <v>31.199945</v>
      </c>
      <c r="E44" s="213">
        <v>31.177605</v>
      </c>
      <c r="F44" s="213">
        <v>31.16921</v>
      </c>
      <c r="G44" s="213">
        <v>30.965534000000002</v>
      </c>
      <c r="H44" s="213">
        <v>30.880772</v>
      </c>
      <c r="I44" s="213">
        <v>30.613737</v>
      </c>
      <c r="J44" s="213">
        <v>30.871202</v>
      </c>
      <c r="K44" s="213">
        <v>30.754141000000001</v>
      </c>
      <c r="L44" s="213">
        <v>30.537724999999998</v>
      </c>
      <c r="M44" s="213">
        <v>30.416205999999999</v>
      </c>
      <c r="N44" s="213">
        <v>30.414434</v>
      </c>
      <c r="O44" s="213">
        <v>30.607911999999999</v>
      </c>
      <c r="P44" s="213">
        <v>30.353966</v>
      </c>
      <c r="Q44" s="213">
        <v>30.106273999999999</v>
      </c>
      <c r="R44" s="213">
        <v>30.033339999999999</v>
      </c>
      <c r="S44" s="213">
        <v>30.184532000000001</v>
      </c>
      <c r="T44" s="213">
        <v>30.381095999999999</v>
      </c>
      <c r="U44" s="213">
        <v>30.592625000000002</v>
      </c>
      <c r="V44" s="213">
        <v>30.803253000000002</v>
      </c>
      <c r="W44" s="213">
        <v>30.909265999999999</v>
      </c>
      <c r="X44" s="213">
        <v>31.077223</v>
      </c>
      <c r="Y44" s="213">
        <v>31.346886000000001</v>
      </c>
      <c r="Z44" s="213">
        <v>31.509253000000001</v>
      </c>
      <c r="AA44" s="213">
        <v>31.678867</v>
      </c>
      <c r="AB44" s="213">
        <v>31.934574000000001</v>
      </c>
      <c r="AC44" s="213">
        <v>32.173541999999998</v>
      </c>
      <c r="AD44" s="213">
        <v>32.373511999999998</v>
      </c>
      <c r="AE44" s="213">
        <v>32.546021000000003</v>
      </c>
      <c r="AF44" s="213">
        <v>32.886066</v>
      </c>
      <c r="AG44" s="209">
        <v>1.6379999999999999E-3</v>
      </c>
    </row>
    <row r="45" spans="1:33" ht="14.75" x14ac:dyDescent="0.75">
      <c r="A45" s="212" t="s">
        <v>257</v>
      </c>
      <c r="B45" s="211" t="s">
        <v>258</v>
      </c>
      <c r="C45" s="213">
        <v>10.883374999999999</v>
      </c>
      <c r="D45" s="213">
        <v>10.484755</v>
      </c>
      <c r="E45" s="213">
        <v>9.8739120000000007</v>
      </c>
      <c r="F45" s="213">
        <v>8.5102779999999996</v>
      </c>
      <c r="G45" s="213">
        <v>8.1401909999999997</v>
      </c>
      <c r="H45" s="213">
        <v>7.937951</v>
      </c>
      <c r="I45" s="213">
        <v>7.7050960000000002</v>
      </c>
      <c r="J45" s="213">
        <v>7.669232</v>
      </c>
      <c r="K45" s="213">
        <v>7.6152100000000003</v>
      </c>
      <c r="L45" s="213">
        <v>7.4647059999999996</v>
      </c>
      <c r="M45" s="213">
        <v>7.3934369999999996</v>
      </c>
      <c r="N45" s="213">
        <v>7.2461659999999997</v>
      </c>
      <c r="O45" s="213">
        <v>7.2936759999999996</v>
      </c>
      <c r="P45" s="213">
        <v>6.99925</v>
      </c>
      <c r="Q45" s="213">
        <v>6.7008510000000001</v>
      </c>
      <c r="R45" s="213">
        <v>6.583507</v>
      </c>
      <c r="S45" s="213">
        <v>6.4617940000000003</v>
      </c>
      <c r="T45" s="213">
        <v>6.4417299999999997</v>
      </c>
      <c r="U45" s="213">
        <v>6.426641</v>
      </c>
      <c r="V45" s="213">
        <v>6.3371519999999997</v>
      </c>
      <c r="W45" s="213">
        <v>6.3267569999999997</v>
      </c>
      <c r="X45" s="213">
        <v>6.277361</v>
      </c>
      <c r="Y45" s="213">
        <v>6.194617</v>
      </c>
      <c r="Z45" s="213">
        <v>6.1279820000000003</v>
      </c>
      <c r="AA45" s="213">
        <v>6.0038099999999996</v>
      </c>
      <c r="AB45" s="213">
        <v>5.9578810000000004</v>
      </c>
      <c r="AC45" s="213">
        <v>5.8664969999999999</v>
      </c>
      <c r="AD45" s="213">
        <v>5.765072</v>
      </c>
      <c r="AE45" s="213">
        <v>5.7176580000000001</v>
      </c>
      <c r="AF45" s="213">
        <v>5.7663779999999996</v>
      </c>
      <c r="AG45" s="209">
        <v>-2.1665E-2</v>
      </c>
    </row>
    <row r="46" spans="1:33" ht="14.75" x14ac:dyDescent="0.75">
      <c r="A46" s="212" t="s">
        <v>259</v>
      </c>
      <c r="B46" s="211" t="s">
        <v>224</v>
      </c>
      <c r="C46" s="213">
        <v>8.1211500000000001</v>
      </c>
      <c r="D46" s="213">
        <v>8.1831110000000002</v>
      </c>
      <c r="E46" s="213">
        <v>8.2025790000000001</v>
      </c>
      <c r="F46" s="213">
        <v>8.239058</v>
      </c>
      <c r="G46" s="213">
        <v>8.1638990000000007</v>
      </c>
      <c r="H46" s="213">
        <v>8.0757549999999991</v>
      </c>
      <c r="I46" s="213">
        <v>7.9302669999999997</v>
      </c>
      <c r="J46" s="213">
        <v>7.3689460000000002</v>
      </c>
      <c r="K46" s="213">
        <v>7.2995039999999998</v>
      </c>
      <c r="L46" s="213">
        <v>7.3070060000000003</v>
      </c>
      <c r="M46" s="213">
        <v>7.3184230000000001</v>
      </c>
      <c r="N46" s="213">
        <v>7.3263429999999996</v>
      </c>
      <c r="O46" s="213">
        <v>6.8084160000000002</v>
      </c>
      <c r="P46" s="213">
        <v>6.8156670000000004</v>
      </c>
      <c r="Q46" s="213">
        <v>6.7474470000000002</v>
      </c>
      <c r="R46" s="213">
        <v>6.7583539999999998</v>
      </c>
      <c r="S46" s="213">
        <v>6.760554</v>
      </c>
      <c r="T46" s="213">
        <v>6.7626590000000002</v>
      </c>
      <c r="U46" s="213">
        <v>6.762759</v>
      </c>
      <c r="V46" s="213">
        <v>6.766273</v>
      </c>
      <c r="W46" s="213">
        <v>6.7793599999999996</v>
      </c>
      <c r="X46" s="213">
        <v>6.788805</v>
      </c>
      <c r="Y46" s="213">
        <v>6.797936</v>
      </c>
      <c r="Z46" s="213">
        <v>6.8059019999999997</v>
      </c>
      <c r="AA46" s="213">
        <v>6.8144450000000001</v>
      </c>
      <c r="AB46" s="213">
        <v>6.8189029999999997</v>
      </c>
      <c r="AC46" s="213">
        <v>6.8233490000000003</v>
      </c>
      <c r="AD46" s="213">
        <v>6.8261190000000003</v>
      </c>
      <c r="AE46" s="213">
        <v>6.829472</v>
      </c>
      <c r="AF46" s="213">
        <v>6.8343129999999999</v>
      </c>
      <c r="AG46" s="209">
        <v>-5.9309999999999996E-3</v>
      </c>
    </row>
    <row r="47" spans="1:33" ht="14.75" x14ac:dyDescent="0.75">
      <c r="A47" s="212" t="s">
        <v>260</v>
      </c>
      <c r="B47" s="211" t="s">
        <v>226</v>
      </c>
      <c r="C47" s="213">
        <v>2.288529</v>
      </c>
      <c r="D47" s="213">
        <v>2.3965299999999998</v>
      </c>
      <c r="E47" s="213">
        <v>2.5203760000000002</v>
      </c>
      <c r="F47" s="213">
        <v>2.6075819999999998</v>
      </c>
      <c r="G47" s="213">
        <v>2.562303</v>
      </c>
      <c r="H47" s="213">
        <v>2.533515</v>
      </c>
      <c r="I47" s="213">
        <v>2.5148000000000001</v>
      </c>
      <c r="J47" s="213">
        <v>2.4944809999999999</v>
      </c>
      <c r="K47" s="213">
        <v>2.4826299999999999</v>
      </c>
      <c r="L47" s="213">
        <v>2.4713959999999999</v>
      </c>
      <c r="M47" s="213">
        <v>2.4567709999999998</v>
      </c>
      <c r="N47" s="213">
        <v>2.4500829999999998</v>
      </c>
      <c r="O47" s="213">
        <v>2.436512</v>
      </c>
      <c r="P47" s="213">
        <v>2.4270999999999998</v>
      </c>
      <c r="Q47" s="213">
        <v>2.4106049999999999</v>
      </c>
      <c r="R47" s="213">
        <v>2.3970229999999999</v>
      </c>
      <c r="S47" s="213">
        <v>2.3926630000000002</v>
      </c>
      <c r="T47" s="213">
        <v>2.3816570000000001</v>
      </c>
      <c r="U47" s="213">
        <v>2.3768020000000001</v>
      </c>
      <c r="V47" s="213">
        <v>2.3701400000000001</v>
      </c>
      <c r="W47" s="213">
        <v>2.3620960000000002</v>
      </c>
      <c r="X47" s="213">
        <v>2.3541889999999999</v>
      </c>
      <c r="Y47" s="213">
        <v>2.3426999999999998</v>
      </c>
      <c r="Z47" s="213">
        <v>2.3369900000000001</v>
      </c>
      <c r="AA47" s="213">
        <v>2.3251300000000001</v>
      </c>
      <c r="AB47" s="213">
        <v>2.3184429999999998</v>
      </c>
      <c r="AC47" s="213">
        <v>2.3090259999999998</v>
      </c>
      <c r="AD47" s="213">
        <v>2.304834</v>
      </c>
      <c r="AE47" s="213">
        <v>2.2952330000000001</v>
      </c>
      <c r="AF47" s="213">
        <v>2.2746879999999998</v>
      </c>
      <c r="AG47" s="209">
        <v>-2.0900000000000001E-4</v>
      </c>
    </row>
    <row r="48" spans="1:33" ht="14.75" x14ac:dyDescent="0.75">
      <c r="A48" s="212" t="s">
        <v>261</v>
      </c>
      <c r="B48" s="211" t="s">
        <v>262</v>
      </c>
      <c r="C48" s="213">
        <v>3.124412</v>
      </c>
      <c r="D48" s="213">
        <v>3.1245669999999999</v>
      </c>
      <c r="E48" s="213">
        <v>3.05355</v>
      </c>
      <c r="F48" s="213">
        <v>3.0459540000000001</v>
      </c>
      <c r="G48" s="213">
        <v>3.0558299999999998</v>
      </c>
      <c r="H48" s="213">
        <v>3.0414469999999998</v>
      </c>
      <c r="I48" s="213">
        <v>3.0265740000000001</v>
      </c>
      <c r="J48" s="213">
        <v>3.002259</v>
      </c>
      <c r="K48" s="213">
        <v>2.9924819999999999</v>
      </c>
      <c r="L48" s="213">
        <v>2.9805280000000001</v>
      </c>
      <c r="M48" s="213">
        <v>2.9658829999999998</v>
      </c>
      <c r="N48" s="213">
        <v>2.9562680000000001</v>
      </c>
      <c r="O48" s="213">
        <v>2.9392529999999999</v>
      </c>
      <c r="P48" s="213">
        <v>2.923384</v>
      </c>
      <c r="Q48" s="213">
        <v>2.9118710000000001</v>
      </c>
      <c r="R48" s="213">
        <v>2.9001670000000002</v>
      </c>
      <c r="S48" s="213">
        <v>2.8886090000000002</v>
      </c>
      <c r="T48" s="213">
        <v>2.8791690000000001</v>
      </c>
      <c r="U48" s="213">
        <v>2.8820519999999998</v>
      </c>
      <c r="V48" s="213">
        <v>2.8721390000000002</v>
      </c>
      <c r="W48" s="213">
        <v>2.8727550000000002</v>
      </c>
      <c r="X48" s="213">
        <v>2.8721779999999999</v>
      </c>
      <c r="Y48" s="213">
        <v>2.8794590000000002</v>
      </c>
      <c r="Z48" s="213">
        <v>2.8831980000000001</v>
      </c>
      <c r="AA48" s="213">
        <v>2.8833709999999999</v>
      </c>
      <c r="AB48" s="213">
        <v>2.891699</v>
      </c>
      <c r="AC48" s="213">
        <v>2.9005019999999999</v>
      </c>
      <c r="AD48" s="213">
        <v>2.9111570000000002</v>
      </c>
      <c r="AE48" s="213">
        <v>2.9138310000000001</v>
      </c>
      <c r="AF48" s="213">
        <v>2.9330039999999999</v>
      </c>
      <c r="AG48" s="209">
        <v>-2.1779999999999998E-3</v>
      </c>
    </row>
    <row r="49" spans="1:33" ht="14.75" x14ac:dyDescent="0.75">
      <c r="A49" s="212" t="s">
        <v>263</v>
      </c>
      <c r="B49" s="211" t="s">
        <v>230</v>
      </c>
      <c r="C49" s="213">
        <v>4.8390050000000002</v>
      </c>
      <c r="D49" s="213">
        <v>5.5444839999999997</v>
      </c>
      <c r="E49" s="213">
        <v>6.0855569999999997</v>
      </c>
      <c r="F49" s="213">
        <v>6.9892269999999996</v>
      </c>
      <c r="G49" s="213">
        <v>7.5613590000000004</v>
      </c>
      <c r="H49" s="213">
        <v>7.8463159999999998</v>
      </c>
      <c r="I49" s="213">
        <v>8.3474660000000007</v>
      </c>
      <c r="J49" s="213">
        <v>8.5777000000000001</v>
      </c>
      <c r="K49" s="213">
        <v>8.7871590000000008</v>
      </c>
      <c r="L49" s="213">
        <v>9.1559860000000004</v>
      </c>
      <c r="M49" s="213">
        <v>9.4117800000000003</v>
      </c>
      <c r="N49" s="213">
        <v>9.6492149999999999</v>
      </c>
      <c r="O49" s="213">
        <v>9.9103840000000005</v>
      </c>
      <c r="P49" s="213">
        <v>10.464489</v>
      </c>
      <c r="Q49" s="213">
        <v>11.179779999999999</v>
      </c>
      <c r="R49" s="213">
        <v>11.560812</v>
      </c>
      <c r="S49" s="213">
        <v>11.709242</v>
      </c>
      <c r="T49" s="213">
        <v>11.735645</v>
      </c>
      <c r="U49" s="213">
        <v>11.787336</v>
      </c>
      <c r="V49" s="213">
        <v>11.864063</v>
      </c>
      <c r="W49" s="213">
        <v>11.965892999999999</v>
      </c>
      <c r="X49" s="213">
        <v>12.084974000000001</v>
      </c>
      <c r="Y49" s="213">
        <v>12.202391</v>
      </c>
      <c r="Z49" s="213">
        <v>12.369851000000001</v>
      </c>
      <c r="AA49" s="213">
        <v>12.586577</v>
      </c>
      <c r="AB49" s="213">
        <v>12.70438</v>
      </c>
      <c r="AC49" s="213">
        <v>12.871214</v>
      </c>
      <c r="AD49" s="213">
        <v>13.03612</v>
      </c>
      <c r="AE49" s="213">
        <v>13.182046</v>
      </c>
      <c r="AF49" s="213">
        <v>13.273847</v>
      </c>
      <c r="AG49" s="209">
        <v>3.5408000000000002E-2</v>
      </c>
    </row>
    <row r="50" spans="1:33" ht="15" customHeight="1" x14ac:dyDescent="0.75">
      <c r="A50" s="212" t="s">
        <v>264</v>
      </c>
      <c r="B50" s="211" t="s">
        <v>265</v>
      </c>
      <c r="C50" s="213">
        <v>0.33637299999999998</v>
      </c>
      <c r="D50" s="213">
        <v>0.27702399999999999</v>
      </c>
      <c r="E50" s="213">
        <v>0.26213999999999998</v>
      </c>
      <c r="F50" s="213">
        <v>0.26524199999999998</v>
      </c>
      <c r="G50" s="213">
        <v>0.255492</v>
      </c>
      <c r="H50" s="213">
        <v>0.26043100000000002</v>
      </c>
      <c r="I50" s="213">
        <v>0.27382699999999999</v>
      </c>
      <c r="J50" s="213">
        <v>0.28262100000000001</v>
      </c>
      <c r="K50" s="213">
        <v>0.284219</v>
      </c>
      <c r="L50" s="213">
        <v>0.29190700000000003</v>
      </c>
      <c r="M50" s="213">
        <v>0.28378999999999999</v>
      </c>
      <c r="N50" s="213">
        <v>0.28854600000000002</v>
      </c>
      <c r="O50" s="213">
        <v>0.28191300000000002</v>
      </c>
      <c r="P50" s="213">
        <v>0.28715800000000002</v>
      </c>
      <c r="Q50" s="213">
        <v>0.28434199999999998</v>
      </c>
      <c r="R50" s="213">
        <v>0.28410600000000003</v>
      </c>
      <c r="S50" s="213">
        <v>0.27906500000000001</v>
      </c>
      <c r="T50" s="213">
        <v>0.281331</v>
      </c>
      <c r="U50" s="213">
        <v>0.28228500000000001</v>
      </c>
      <c r="V50" s="213">
        <v>0.28422199999999997</v>
      </c>
      <c r="W50" s="213">
        <v>0.27929999999999999</v>
      </c>
      <c r="X50" s="213">
        <v>0.27926000000000001</v>
      </c>
      <c r="Y50" s="213">
        <v>0.28012500000000001</v>
      </c>
      <c r="Z50" s="213">
        <v>0.279916</v>
      </c>
      <c r="AA50" s="213">
        <v>0.275945</v>
      </c>
      <c r="AB50" s="213">
        <v>0.27593000000000001</v>
      </c>
      <c r="AC50" s="213">
        <v>0.27579500000000001</v>
      </c>
      <c r="AD50" s="213">
        <v>0.276476</v>
      </c>
      <c r="AE50" s="213">
        <v>0.27690799999999999</v>
      </c>
      <c r="AF50" s="213">
        <v>0.27742</v>
      </c>
      <c r="AG50" s="209">
        <v>-6.6220000000000003E-3</v>
      </c>
    </row>
    <row r="51" spans="1:33" ht="15" customHeight="1" x14ac:dyDescent="0.65">
      <c r="A51" s="212" t="s">
        <v>266</v>
      </c>
      <c r="B51" s="215" t="s">
        <v>267</v>
      </c>
      <c r="C51" s="217">
        <v>96.993172000000001</v>
      </c>
      <c r="D51" s="217">
        <v>97.964293999999995</v>
      </c>
      <c r="E51" s="217">
        <v>98.340575999999999</v>
      </c>
      <c r="F51" s="217">
        <v>97.835296999999997</v>
      </c>
      <c r="G51" s="217">
        <v>97.697875999999994</v>
      </c>
      <c r="H51" s="217">
        <v>97.466994999999997</v>
      </c>
      <c r="I51" s="217">
        <v>97.110068999999996</v>
      </c>
      <c r="J51" s="217">
        <v>96.846137999999996</v>
      </c>
      <c r="K51" s="217">
        <v>96.635993999999997</v>
      </c>
      <c r="L51" s="217">
        <v>96.519226000000003</v>
      </c>
      <c r="M51" s="217">
        <v>96.464584000000002</v>
      </c>
      <c r="N51" s="217">
        <v>96.546317999999999</v>
      </c>
      <c r="O51" s="217">
        <v>96.441909999999993</v>
      </c>
      <c r="P51" s="217">
        <v>96.301993999999993</v>
      </c>
      <c r="Q51" s="217">
        <v>96.255463000000006</v>
      </c>
      <c r="R51" s="217">
        <v>96.349693000000002</v>
      </c>
      <c r="S51" s="217">
        <v>96.487396000000004</v>
      </c>
      <c r="T51" s="217">
        <v>96.648208999999994</v>
      </c>
      <c r="U51" s="217">
        <v>96.924149</v>
      </c>
      <c r="V51" s="217">
        <v>97.076660000000004</v>
      </c>
      <c r="W51" s="217">
        <v>97.297111999999998</v>
      </c>
      <c r="X51" s="217">
        <v>97.575439000000003</v>
      </c>
      <c r="Y51" s="217">
        <v>97.931640999999999</v>
      </c>
      <c r="Z51" s="217">
        <v>98.216453999999999</v>
      </c>
      <c r="AA51" s="217">
        <v>98.512176999999994</v>
      </c>
      <c r="AB51" s="217">
        <v>98.990181000000007</v>
      </c>
      <c r="AC51" s="217">
        <v>99.420958999999996</v>
      </c>
      <c r="AD51" s="217">
        <v>99.767052000000007</v>
      </c>
      <c r="AE51" s="217">
        <v>100.154045</v>
      </c>
      <c r="AF51" s="217">
        <v>100.873901</v>
      </c>
      <c r="AG51" s="216">
        <v>1.354E-3</v>
      </c>
    </row>
    <row r="52" spans="1:33" ht="15" customHeight="1" x14ac:dyDescent="0.75">
      <c r="B52"/>
      <c r="C52"/>
      <c r="D52"/>
      <c r="E52"/>
      <c r="F52"/>
      <c r="G52"/>
      <c r="H52"/>
      <c r="I52"/>
      <c r="J52"/>
      <c r="K52"/>
      <c r="L52"/>
      <c r="M52"/>
      <c r="N52"/>
      <c r="O52"/>
      <c r="P52"/>
      <c r="Q52"/>
      <c r="R52"/>
      <c r="S52"/>
      <c r="T52"/>
      <c r="U52"/>
      <c r="V52"/>
      <c r="W52"/>
      <c r="X52"/>
      <c r="Y52"/>
      <c r="Z52"/>
      <c r="AA52"/>
      <c r="AB52"/>
      <c r="AC52"/>
      <c r="AD52"/>
      <c r="AE52"/>
      <c r="AF52"/>
      <c r="AG52"/>
    </row>
    <row r="53" spans="1:33" ht="15" customHeight="1" x14ac:dyDescent="0.75">
      <c r="B53" s="215" t="s">
        <v>268</v>
      </c>
      <c r="C53"/>
      <c r="D53"/>
      <c r="E53"/>
      <c r="F53"/>
      <c r="G53"/>
      <c r="H53"/>
      <c r="I53"/>
      <c r="J53"/>
      <c r="K53"/>
      <c r="L53"/>
      <c r="M53"/>
      <c r="N53"/>
      <c r="O53"/>
      <c r="P53"/>
      <c r="Q53"/>
      <c r="R53"/>
      <c r="S53"/>
      <c r="T53"/>
      <c r="U53"/>
      <c r="V53"/>
      <c r="W53"/>
      <c r="X53"/>
      <c r="Y53"/>
      <c r="Z53"/>
      <c r="AA53"/>
      <c r="AB53"/>
      <c r="AC53"/>
      <c r="AD53"/>
      <c r="AE53"/>
      <c r="AF53"/>
      <c r="AG53"/>
    </row>
    <row r="54" spans="1:33" ht="15" customHeight="1" x14ac:dyDescent="0.75">
      <c r="A54" s="212" t="s">
        <v>269</v>
      </c>
      <c r="B54" s="211" t="s">
        <v>270</v>
      </c>
      <c r="C54" s="214">
        <v>71.587997000000001</v>
      </c>
      <c r="D54" s="214">
        <v>69.665710000000004</v>
      </c>
      <c r="E54" s="214">
        <v>60.115009000000001</v>
      </c>
      <c r="F54" s="214">
        <v>65.487526000000003</v>
      </c>
      <c r="G54" s="214">
        <v>66.944946000000002</v>
      </c>
      <c r="H54" s="214">
        <v>68.336487000000005</v>
      </c>
      <c r="I54" s="214">
        <v>70.188248000000002</v>
      </c>
      <c r="J54" s="214">
        <v>71.247107999999997</v>
      </c>
      <c r="K54" s="214">
        <v>72.276756000000006</v>
      </c>
      <c r="L54" s="214">
        <v>73.089027000000002</v>
      </c>
      <c r="M54" s="214">
        <v>74.201713999999996</v>
      </c>
      <c r="N54" s="214">
        <v>75.693770999999998</v>
      </c>
      <c r="O54" s="214">
        <v>76.516807999999997</v>
      </c>
      <c r="P54" s="214">
        <v>77.011725999999996</v>
      </c>
      <c r="Q54" s="214">
        <v>77.511916999999997</v>
      </c>
      <c r="R54" s="214">
        <v>77.914551000000003</v>
      </c>
      <c r="S54" s="214">
        <v>79.120429999999999</v>
      </c>
      <c r="T54" s="214">
        <v>79.949264999999997</v>
      </c>
      <c r="U54" s="214">
        <v>80.107307000000006</v>
      </c>
      <c r="V54" s="214">
        <v>81.746223000000001</v>
      </c>
      <c r="W54" s="214">
        <v>82.892478999999994</v>
      </c>
      <c r="X54" s="214">
        <v>83.244727999999995</v>
      </c>
      <c r="Y54" s="214">
        <v>84.953598</v>
      </c>
      <c r="Z54" s="214">
        <v>86.823943999999997</v>
      </c>
      <c r="AA54" s="214">
        <v>87.048102999999998</v>
      </c>
      <c r="AB54" s="214">
        <v>88.261673000000002</v>
      </c>
      <c r="AC54" s="214">
        <v>88.154121000000004</v>
      </c>
      <c r="AD54" s="214">
        <v>88.153580000000005</v>
      </c>
      <c r="AE54" s="214">
        <v>88.626503</v>
      </c>
      <c r="AF54" s="214">
        <v>88.049567999999994</v>
      </c>
      <c r="AG54" s="209">
        <v>7.1630000000000001E-3</v>
      </c>
    </row>
    <row r="55" spans="1:33" ht="15" customHeight="1" x14ac:dyDescent="0.75">
      <c r="A55" s="212" t="s">
        <v>271</v>
      </c>
      <c r="B55" s="211" t="s">
        <v>272</v>
      </c>
      <c r="C55" s="214">
        <v>69.023003000000003</v>
      </c>
      <c r="D55" s="214">
        <v>66.150893999999994</v>
      </c>
      <c r="E55" s="214">
        <v>58.565804</v>
      </c>
      <c r="F55" s="214">
        <v>63.481312000000003</v>
      </c>
      <c r="G55" s="214">
        <v>64.713440000000006</v>
      </c>
      <c r="H55" s="214">
        <v>65.889472999999995</v>
      </c>
      <c r="I55" s="214">
        <v>67.339889999999997</v>
      </c>
      <c r="J55" s="214">
        <v>68.794830000000005</v>
      </c>
      <c r="K55" s="214">
        <v>69.806861999999995</v>
      </c>
      <c r="L55" s="214">
        <v>70.716560000000001</v>
      </c>
      <c r="M55" s="214">
        <v>71.664321999999999</v>
      </c>
      <c r="N55" s="214">
        <v>73.149719000000005</v>
      </c>
      <c r="O55" s="214">
        <v>74.028023000000005</v>
      </c>
      <c r="P55" s="214">
        <v>74.299271000000005</v>
      </c>
      <c r="Q55" s="214">
        <v>74.585869000000002</v>
      </c>
      <c r="R55" s="214">
        <v>74.74485</v>
      </c>
      <c r="S55" s="214">
        <v>75.858504999999994</v>
      </c>
      <c r="T55" s="214">
        <v>76.686295000000001</v>
      </c>
      <c r="U55" s="214">
        <v>76.795463999999996</v>
      </c>
      <c r="V55" s="214">
        <v>78.571479999999994</v>
      </c>
      <c r="W55" s="214">
        <v>79.729445999999996</v>
      </c>
      <c r="X55" s="214">
        <v>80.188102999999998</v>
      </c>
      <c r="Y55" s="214">
        <v>81.850860999999995</v>
      </c>
      <c r="Z55" s="214">
        <v>83.591797</v>
      </c>
      <c r="AA55" s="214">
        <v>84.018883000000002</v>
      </c>
      <c r="AB55" s="214">
        <v>85.136870999999999</v>
      </c>
      <c r="AC55" s="214">
        <v>85.346710000000002</v>
      </c>
      <c r="AD55" s="214">
        <v>85.364227</v>
      </c>
      <c r="AE55" s="214">
        <v>85.855141000000003</v>
      </c>
      <c r="AF55" s="214">
        <v>85.234679999999997</v>
      </c>
      <c r="AG55" s="209">
        <v>7.3010000000000002E-3</v>
      </c>
    </row>
    <row r="56" spans="1:33" ht="15" customHeight="1" x14ac:dyDescent="0.75">
      <c r="A56" s="212" t="s">
        <v>273</v>
      </c>
      <c r="B56" s="211" t="s">
        <v>274</v>
      </c>
      <c r="C56" s="213">
        <v>4.115437</v>
      </c>
      <c r="D56" s="213">
        <v>3.8375569999999999</v>
      </c>
      <c r="E56" s="213">
        <v>3.4711470000000002</v>
      </c>
      <c r="F56" s="213">
        <v>3.1265849999999999</v>
      </c>
      <c r="G56" s="213">
        <v>2.9537409999999999</v>
      </c>
      <c r="H56" s="213">
        <v>2.9069660000000002</v>
      </c>
      <c r="I56" s="213">
        <v>2.9545490000000001</v>
      </c>
      <c r="J56" s="213">
        <v>3.1361569999999999</v>
      </c>
      <c r="K56" s="213">
        <v>3.2922310000000001</v>
      </c>
      <c r="L56" s="213">
        <v>3.3889710000000002</v>
      </c>
      <c r="M56" s="213">
        <v>3.4544480000000002</v>
      </c>
      <c r="N56" s="213">
        <v>3.4918580000000001</v>
      </c>
      <c r="O56" s="213">
        <v>3.5932900000000001</v>
      </c>
      <c r="P56" s="213">
        <v>3.5941529999999999</v>
      </c>
      <c r="Q56" s="213">
        <v>3.5243639999999998</v>
      </c>
      <c r="R56" s="213">
        <v>3.4853049999999999</v>
      </c>
      <c r="S56" s="213">
        <v>3.4869300000000001</v>
      </c>
      <c r="T56" s="213">
        <v>3.5182699999999998</v>
      </c>
      <c r="U56" s="213">
        <v>3.5456129999999999</v>
      </c>
      <c r="V56" s="213">
        <v>3.577658</v>
      </c>
      <c r="W56" s="213">
        <v>3.6346500000000002</v>
      </c>
      <c r="X56" s="213">
        <v>3.6520290000000002</v>
      </c>
      <c r="Y56" s="213">
        <v>3.5895619999999999</v>
      </c>
      <c r="Z56" s="213">
        <v>3.5611259999999998</v>
      </c>
      <c r="AA56" s="213">
        <v>3.4696760000000002</v>
      </c>
      <c r="AB56" s="213">
        <v>3.4253659999999999</v>
      </c>
      <c r="AC56" s="213">
        <v>3.400315</v>
      </c>
      <c r="AD56" s="213">
        <v>3.3924319999999999</v>
      </c>
      <c r="AE56" s="213">
        <v>3.4035679999999999</v>
      </c>
      <c r="AF56" s="213">
        <v>3.4095119999999999</v>
      </c>
      <c r="AG56" s="209">
        <v>-6.4679999999999998E-3</v>
      </c>
    </row>
    <row r="57" spans="1:33" ht="15" customHeight="1" x14ac:dyDescent="0.75">
      <c r="A57" s="212" t="s">
        <v>275</v>
      </c>
      <c r="B57" s="211" t="s">
        <v>276</v>
      </c>
      <c r="C57" s="210">
        <v>36.126964999999998</v>
      </c>
      <c r="D57" s="210">
        <v>33.048690999999998</v>
      </c>
      <c r="E57" s="210">
        <v>33.697308</v>
      </c>
      <c r="F57" s="210">
        <v>34.915207000000002</v>
      </c>
      <c r="G57" s="210">
        <v>33.191757000000003</v>
      </c>
      <c r="H57" s="210">
        <v>31.716324</v>
      </c>
      <c r="I57" s="210">
        <v>31.066441000000001</v>
      </c>
      <c r="J57" s="210">
        <v>30.505334999999999</v>
      </c>
      <c r="K57" s="210">
        <v>30.725069000000001</v>
      </c>
      <c r="L57" s="210">
        <v>30.714941</v>
      </c>
      <c r="M57" s="210">
        <v>30.711940999999999</v>
      </c>
      <c r="N57" s="210">
        <v>30.82056</v>
      </c>
      <c r="O57" s="210">
        <v>31.028635000000001</v>
      </c>
      <c r="P57" s="210">
        <v>31.325903</v>
      </c>
      <c r="Q57" s="210">
        <v>31.308147000000002</v>
      </c>
      <c r="R57" s="210">
        <v>31.61187</v>
      </c>
      <c r="S57" s="210">
        <v>32.129680999999998</v>
      </c>
      <c r="T57" s="210">
        <v>32.227969999999999</v>
      </c>
      <c r="U57" s="210">
        <v>32.280780999999998</v>
      </c>
      <c r="V57" s="210">
        <v>32.69191</v>
      </c>
      <c r="W57" s="210">
        <v>32.910851000000001</v>
      </c>
      <c r="X57" s="210">
        <v>32.751488000000002</v>
      </c>
      <c r="Y57" s="210">
        <v>33.197136</v>
      </c>
      <c r="Z57" s="210">
        <v>33.294753999999998</v>
      </c>
      <c r="AA57" s="210">
        <v>33.901966000000002</v>
      </c>
      <c r="AB57" s="210">
        <v>34.154437999999999</v>
      </c>
      <c r="AC57" s="210">
        <v>34.402785999999999</v>
      </c>
      <c r="AD57" s="210">
        <v>34.352524000000003</v>
      </c>
      <c r="AE57" s="210">
        <v>34.457165000000003</v>
      </c>
      <c r="AF57" s="210">
        <v>34.526252999999997</v>
      </c>
      <c r="AG57" s="209">
        <v>-1.562E-3</v>
      </c>
    </row>
    <row r="58" spans="1:33" ht="15" customHeight="1" x14ac:dyDescent="0.75">
      <c r="A58" s="212" t="s">
        <v>277</v>
      </c>
      <c r="B58" s="211" t="s">
        <v>278</v>
      </c>
      <c r="C58" s="213">
        <v>1.753047</v>
      </c>
      <c r="D58" s="213">
        <v>1.605396</v>
      </c>
      <c r="E58" s="213">
        <v>1.612716</v>
      </c>
      <c r="F58" s="213">
        <v>1.644811</v>
      </c>
      <c r="G58" s="213">
        <v>1.5786800000000001</v>
      </c>
      <c r="H58" s="213">
        <v>1.524597</v>
      </c>
      <c r="I58" s="213">
        <v>1.4982040000000001</v>
      </c>
      <c r="J58" s="213">
        <v>1.483403</v>
      </c>
      <c r="K58" s="213">
        <v>1.4923</v>
      </c>
      <c r="L58" s="213">
        <v>1.492875</v>
      </c>
      <c r="M58" s="213">
        <v>1.493347</v>
      </c>
      <c r="N58" s="213">
        <v>1.4936529999999999</v>
      </c>
      <c r="O58" s="213">
        <v>1.4965390000000001</v>
      </c>
      <c r="P58" s="213">
        <v>1.510248</v>
      </c>
      <c r="Q58" s="213">
        <v>1.5111859999999999</v>
      </c>
      <c r="R58" s="213">
        <v>1.522797</v>
      </c>
      <c r="S58" s="213">
        <v>1.5360039999999999</v>
      </c>
      <c r="T58" s="213">
        <v>1.543051</v>
      </c>
      <c r="U58" s="213">
        <v>1.5474950000000001</v>
      </c>
      <c r="V58" s="213">
        <v>1.5640559999999999</v>
      </c>
      <c r="W58" s="213">
        <v>1.574198</v>
      </c>
      <c r="X58" s="213">
        <v>1.5691949999999999</v>
      </c>
      <c r="Y58" s="213">
        <v>1.5863130000000001</v>
      </c>
      <c r="Z58" s="213">
        <v>1.5902780000000001</v>
      </c>
      <c r="AA58" s="213">
        <v>1.607756</v>
      </c>
      <c r="AB58" s="213">
        <v>1.618476</v>
      </c>
      <c r="AC58" s="213">
        <v>1.6294310000000001</v>
      </c>
      <c r="AD58" s="213">
        <v>1.6292679999999999</v>
      </c>
      <c r="AE58" s="213">
        <v>1.6348339999999999</v>
      </c>
      <c r="AF58" s="213">
        <v>1.639391</v>
      </c>
      <c r="AG58" s="209">
        <v>-2.3089999999999999E-3</v>
      </c>
    </row>
    <row r="59" spans="1:33" ht="15" customHeight="1" x14ac:dyDescent="0.75">
      <c r="A59" s="212" t="s">
        <v>279</v>
      </c>
      <c r="B59" s="211" t="s">
        <v>280</v>
      </c>
      <c r="C59" s="213">
        <v>2.2292390000000002</v>
      </c>
      <c r="D59" s="213">
        <v>2.1085590000000001</v>
      </c>
      <c r="E59" s="213">
        <v>2.1093130000000002</v>
      </c>
      <c r="F59" s="213">
        <v>2.1188609999999999</v>
      </c>
      <c r="G59" s="213">
        <v>2.0726010000000001</v>
      </c>
      <c r="H59" s="213">
        <v>2.0520100000000001</v>
      </c>
      <c r="I59" s="213">
        <v>2.0395110000000001</v>
      </c>
      <c r="J59" s="213">
        <v>2.0317379999999998</v>
      </c>
      <c r="K59" s="213">
        <v>2.0420389999999999</v>
      </c>
      <c r="L59" s="213">
        <v>2.041963</v>
      </c>
      <c r="M59" s="213">
        <v>2.0381300000000002</v>
      </c>
      <c r="N59" s="213">
        <v>2.033941</v>
      </c>
      <c r="O59" s="213">
        <v>2.0277940000000001</v>
      </c>
      <c r="P59" s="213">
        <v>2.0314239999999999</v>
      </c>
      <c r="Q59" s="213">
        <v>2.0170699999999999</v>
      </c>
      <c r="R59" s="213">
        <v>2.0104799999999998</v>
      </c>
      <c r="S59" s="213">
        <v>2.012397</v>
      </c>
      <c r="T59" s="213">
        <v>2.0086400000000002</v>
      </c>
      <c r="U59" s="213">
        <v>2.0080589999999998</v>
      </c>
      <c r="V59" s="213">
        <v>2.0107750000000002</v>
      </c>
      <c r="W59" s="213">
        <v>2.0145870000000001</v>
      </c>
      <c r="X59" s="213">
        <v>2.0022630000000001</v>
      </c>
      <c r="Y59" s="213">
        <v>2.0030899999999998</v>
      </c>
      <c r="Z59" s="213">
        <v>2.0003690000000001</v>
      </c>
      <c r="AA59" s="213">
        <v>2.0006309999999998</v>
      </c>
      <c r="AB59" s="213">
        <v>2.0018259999999999</v>
      </c>
      <c r="AC59" s="213">
        <v>1.9972270000000001</v>
      </c>
      <c r="AD59" s="213">
        <v>1.9858020000000001</v>
      </c>
      <c r="AE59" s="213">
        <v>1.98377</v>
      </c>
      <c r="AF59" s="213">
        <v>1.9814369999999999</v>
      </c>
      <c r="AG59" s="209">
        <v>-4.0549999999999996E-3</v>
      </c>
    </row>
    <row r="60" spans="1:33" ht="15" customHeight="1" x14ac:dyDescent="0.75">
      <c r="A60" s="212" t="s">
        <v>281</v>
      </c>
      <c r="B60" s="211" t="s">
        <v>282</v>
      </c>
      <c r="C60" s="210">
        <v>11.09206</v>
      </c>
      <c r="D60" s="210">
        <v>10.975097</v>
      </c>
      <c r="E60" s="210">
        <v>10.752556999999999</v>
      </c>
      <c r="F60" s="210">
        <v>10.540874000000001</v>
      </c>
      <c r="G60" s="210">
        <v>10.475073</v>
      </c>
      <c r="H60" s="210">
        <v>10.501467999999999</v>
      </c>
      <c r="I60" s="210">
        <v>10.507842</v>
      </c>
      <c r="J60" s="210">
        <v>10.523569999999999</v>
      </c>
      <c r="K60" s="210">
        <v>10.553371</v>
      </c>
      <c r="L60" s="210">
        <v>10.551202999999999</v>
      </c>
      <c r="M60" s="210">
        <v>10.580885</v>
      </c>
      <c r="N60" s="210">
        <v>10.611276999999999</v>
      </c>
      <c r="O60" s="210">
        <v>10.653981</v>
      </c>
      <c r="P60" s="210">
        <v>10.673109999999999</v>
      </c>
      <c r="Q60" s="210">
        <v>10.574654000000001</v>
      </c>
      <c r="R60" s="210">
        <v>10.500532</v>
      </c>
      <c r="S60" s="210">
        <v>10.454601</v>
      </c>
      <c r="T60" s="210">
        <v>10.40737</v>
      </c>
      <c r="U60" s="210">
        <v>10.364239</v>
      </c>
      <c r="V60" s="210">
        <v>10.379671</v>
      </c>
      <c r="W60" s="210">
        <v>10.349372000000001</v>
      </c>
      <c r="X60" s="210">
        <v>10.349371</v>
      </c>
      <c r="Y60" s="210">
        <v>10.292790999999999</v>
      </c>
      <c r="Z60" s="210">
        <v>10.252166000000001</v>
      </c>
      <c r="AA60" s="210">
        <v>10.25128</v>
      </c>
      <c r="AB60" s="210">
        <v>10.175208</v>
      </c>
      <c r="AC60" s="210">
        <v>10.157688</v>
      </c>
      <c r="AD60" s="210">
        <v>10.123593</v>
      </c>
      <c r="AE60" s="210">
        <v>10.092719000000001</v>
      </c>
      <c r="AF60" s="210">
        <v>10.021296</v>
      </c>
      <c r="AG60" s="209">
        <v>-3.4940000000000001E-3</v>
      </c>
    </row>
    <row r="61" spans="1:33" ht="15" customHeight="1" x14ac:dyDescent="0.75">
      <c r="B61"/>
      <c r="C61"/>
      <c r="D61"/>
      <c r="E61"/>
      <c r="F61"/>
      <c r="G61"/>
      <c r="H61"/>
      <c r="I61"/>
      <c r="J61"/>
      <c r="K61"/>
      <c r="L61"/>
      <c r="M61"/>
      <c r="N61"/>
      <c r="O61"/>
      <c r="P61"/>
      <c r="Q61"/>
      <c r="R61"/>
      <c r="S61"/>
      <c r="T61"/>
      <c r="U61"/>
      <c r="V61"/>
      <c r="W61"/>
      <c r="X61"/>
      <c r="Y61"/>
      <c r="Z61"/>
      <c r="AA61"/>
      <c r="AB61"/>
      <c r="AC61"/>
      <c r="AD61"/>
      <c r="AE61"/>
      <c r="AF61"/>
      <c r="AG61"/>
    </row>
    <row r="62" spans="1:33" ht="15" customHeight="1" x14ac:dyDescent="0.75">
      <c r="B62"/>
      <c r="C62"/>
      <c r="D62"/>
      <c r="E62"/>
      <c r="F62"/>
      <c r="G62"/>
      <c r="H62"/>
      <c r="I62"/>
      <c r="J62"/>
      <c r="K62"/>
      <c r="L62"/>
      <c r="M62"/>
      <c r="N62"/>
      <c r="O62"/>
      <c r="P62"/>
      <c r="Q62"/>
      <c r="R62"/>
      <c r="S62"/>
      <c r="T62"/>
      <c r="U62"/>
      <c r="V62"/>
      <c r="W62"/>
      <c r="X62"/>
      <c r="Y62"/>
      <c r="Z62"/>
      <c r="AA62"/>
      <c r="AB62"/>
      <c r="AC62"/>
      <c r="AD62"/>
      <c r="AE62"/>
      <c r="AF62"/>
      <c r="AG62"/>
    </row>
    <row r="63" spans="1:33" ht="15" customHeight="1" x14ac:dyDescent="0.75">
      <c r="B63" s="215" t="s">
        <v>283</v>
      </c>
      <c r="C63"/>
      <c r="D63"/>
      <c r="E63"/>
      <c r="F63"/>
      <c r="G63"/>
      <c r="H63"/>
      <c r="I63"/>
      <c r="J63"/>
      <c r="K63"/>
      <c r="L63"/>
      <c r="M63"/>
      <c r="N63"/>
      <c r="O63"/>
      <c r="P63"/>
      <c r="Q63"/>
      <c r="R63"/>
      <c r="S63"/>
      <c r="T63"/>
      <c r="U63"/>
      <c r="V63"/>
      <c r="W63"/>
      <c r="X63"/>
      <c r="Y63"/>
      <c r="Z63"/>
      <c r="AA63"/>
      <c r="AB63"/>
      <c r="AC63"/>
      <c r="AD63"/>
      <c r="AE63"/>
      <c r="AF63"/>
      <c r="AG63"/>
    </row>
    <row r="64" spans="1:33" ht="15" customHeight="1" x14ac:dyDescent="0.75">
      <c r="A64" s="212" t="s">
        <v>284</v>
      </c>
      <c r="B64" s="211" t="s">
        <v>270</v>
      </c>
      <c r="C64" s="214">
        <v>71.587997000000001</v>
      </c>
      <c r="D64" s="214">
        <v>71.908996999999999</v>
      </c>
      <c r="E64" s="214">
        <v>63.619979999999998</v>
      </c>
      <c r="F64" s="214">
        <v>71.373054999999994</v>
      </c>
      <c r="G64" s="214">
        <v>75.273742999999996</v>
      </c>
      <c r="H64" s="214">
        <v>79.457572999999996</v>
      </c>
      <c r="I64" s="214">
        <v>84.495559999999998</v>
      </c>
      <c r="J64" s="214">
        <v>88.816947999999996</v>
      </c>
      <c r="K64" s="214">
        <v>93.240852000000004</v>
      </c>
      <c r="L64" s="214">
        <v>97.461692999999997</v>
      </c>
      <c r="M64" s="214">
        <v>102.242752</v>
      </c>
      <c r="N64" s="214">
        <v>107.677361</v>
      </c>
      <c r="O64" s="214">
        <v>112.40005499999999</v>
      </c>
      <c r="P64" s="214">
        <v>116.90786</v>
      </c>
      <c r="Q64" s="214">
        <v>121.683891</v>
      </c>
      <c r="R64" s="214">
        <v>126.524063</v>
      </c>
      <c r="S64" s="214">
        <v>132.93751499999999</v>
      </c>
      <c r="T64" s="214">
        <v>138.98382599999999</v>
      </c>
      <c r="U64" s="214">
        <v>144.00289900000001</v>
      </c>
      <c r="V64" s="214">
        <v>152.015152</v>
      </c>
      <c r="W64" s="214">
        <v>159.442139</v>
      </c>
      <c r="X64" s="214">
        <v>165.62905900000001</v>
      </c>
      <c r="Y64" s="214">
        <v>174.78681900000001</v>
      </c>
      <c r="Z64" s="214">
        <v>184.651535</v>
      </c>
      <c r="AA64" s="214">
        <v>191.32926900000001</v>
      </c>
      <c r="AB64" s="214">
        <v>200.49499499999999</v>
      </c>
      <c r="AC64" s="214">
        <v>206.955399</v>
      </c>
      <c r="AD64" s="214">
        <v>213.823441</v>
      </c>
      <c r="AE64" s="214">
        <v>221.992188</v>
      </c>
      <c r="AF64" s="214">
        <v>227.62056000000001</v>
      </c>
      <c r="AG64" s="209">
        <v>4.0694000000000001E-2</v>
      </c>
    </row>
    <row r="65" spans="1:33" ht="15" customHeight="1" x14ac:dyDescent="0.75">
      <c r="A65" s="212" t="s">
        <v>285</v>
      </c>
      <c r="B65" s="211" t="s">
        <v>272</v>
      </c>
      <c r="C65" s="214">
        <v>69.023003000000003</v>
      </c>
      <c r="D65" s="214">
        <v>68.280997999999997</v>
      </c>
      <c r="E65" s="214">
        <v>61.980446000000001</v>
      </c>
      <c r="F65" s="214">
        <v>69.186538999999996</v>
      </c>
      <c r="G65" s="214">
        <v>72.764610000000005</v>
      </c>
      <c r="H65" s="214">
        <v>76.612328000000005</v>
      </c>
      <c r="I65" s="214">
        <v>81.066588999999993</v>
      </c>
      <c r="J65" s="214">
        <v>85.759925999999993</v>
      </c>
      <c r="K65" s="214">
        <v>90.054550000000006</v>
      </c>
      <c r="L65" s="214">
        <v>94.298096000000001</v>
      </c>
      <c r="M65" s="214">
        <v>98.746475000000004</v>
      </c>
      <c r="N65" s="214">
        <v>104.058342</v>
      </c>
      <c r="O65" s="214">
        <v>108.744141</v>
      </c>
      <c r="P65" s="214">
        <v>112.790207</v>
      </c>
      <c r="Q65" s="214">
        <v>117.090363</v>
      </c>
      <c r="R65" s="214">
        <v>121.376839</v>
      </c>
      <c r="S65" s="214">
        <v>127.456856</v>
      </c>
      <c r="T65" s="214">
        <v>133.31147799999999</v>
      </c>
      <c r="U65" s="214">
        <v>138.049454</v>
      </c>
      <c r="V65" s="214">
        <v>146.111389</v>
      </c>
      <c r="W65" s="214">
        <v>153.358124</v>
      </c>
      <c r="X65" s="214">
        <v>159.54740899999999</v>
      </c>
      <c r="Y65" s="214">
        <v>168.40313699999999</v>
      </c>
      <c r="Z65" s="214">
        <v>177.777603</v>
      </c>
      <c r="AA65" s="214">
        <v>184.67111199999999</v>
      </c>
      <c r="AB65" s="214">
        <v>193.39669799999999</v>
      </c>
      <c r="AC65" s="214">
        <v>200.364563</v>
      </c>
      <c r="AD65" s="214">
        <v>207.057648</v>
      </c>
      <c r="AE65" s="214">
        <v>215.05046100000001</v>
      </c>
      <c r="AF65" s="214">
        <v>220.34367399999999</v>
      </c>
      <c r="AG65" s="209">
        <v>4.0837999999999999E-2</v>
      </c>
    </row>
    <row r="66" spans="1:33" ht="14.75" x14ac:dyDescent="0.75">
      <c r="A66" s="212" t="s">
        <v>286</v>
      </c>
      <c r="B66" s="211" t="s">
        <v>274</v>
      </c>
      <c r="C66" s="213">
        <v>4.115437</v>
      </c>
      <c r="D66" s="213">
        <v>3.9611290000000001</v>
      </c>
      <c r="E66" s="213">
        <v>3.67353</v>
      </c>
      <c r="F66" s="213">
        <v>3.4075790000000001</v>
      </c>
      <c r="G66" s="213">
        <v>3.3212229999999998</v>
      </c>
      <c r="H66" s="213">
        <v>3.3800460000000001</v>
      </c>
      <c r="I66" s="213">
        <v>3.55681</v>
      </c>
      <c r="J66" s="213">
        <v>3.9095469999999999</v>
      </c>
      <c r="K66" s="213">
        <v>4.247153</v>
      </c>
      <c r="L66" s="213">
        <v>4.519075</v>
      </c>
      <c r="M66" s="213">
        <v>4.7598940000000001</v>
      </c>
      <c r="N66" s="213">
        <v>4.9673059999999998</v>
      </c>
      <c r="O66" s="213">
        <v>5.2783959999999999</v>
      </c>
      <c r="P66" s="213">
        <v>5.4561140000000004</v>
      </c>
      <c r="Q66" s="213">
        <v>5.5328049999999998</v>
      </c>
      <c r="R66" s="213">
        <v>5.6597249999999999</v>
      </c>
      <c r="S66" s="213">
        <v>5.8587119999999997</v>
      </c>
      <c r="T66" s="213">
        <v>6.1161620000000001</v>
      </c>
      <c r="U66" s="213">
        <v>6.3736819999999996</v>
      </c>
      <c r="V66" s="213">
        <v>6.6530069999999997</v>
      </c>
      <c r="W66" s="213">
        <v>6.9911810000000001</v>
      </c>
      <c r="X66" s="213">
        <v>7.266311</v>
      </c>
      <c r="Y66" s="213">
        <v>7.3853030000000004</v>
      </c>
      <c r="Z66" s="213">
        <v>7.5735729999999997</v>
      </c>
      <c r="AA66" s="213">
        <v>7.6262499999999998</v>
      </c>
      <c r="AB66" s="213">
        <v>7.7810519999999999</v>
      </c>
      <c r="AC66" s="213">
        <v>7.9827640000000004</v>
      </c>
      <c r="AD66" s="213">
        <v>8.2286110000000008</v>
      </c>
      <c r="AE66" s="213">
        <v>8.5252770000000009</v>
      </c>
      <c r="AF66" s="213">
        <v>8.8140680000000007</v>
      </c>
      <c r="AG66" s="209">
        <v>2.6610000000000002E-2</v>
      </c>
    </row>
    <row r="67" spans="1:33" ht="15" customHeight="1" x14ac:dyDescent="0.75">
      <c r="A67" s="212" t="s">
        <v>287</v>
      </c>
      <c r="B67" s="211" t="s">
        <v>276</v>
      </c>
      <c r="C67" s="210">
        <v>36.126964999999998</v>
      </c>
      <c r="D67" s="210">
        <v>34.112881000000002</v>
      </c>
      <c r="E67" s="210">
        <v>35.662010000000002</v>
      </c>
      <c r="F67" s="210">
        <v>38.053122999999999</v>
      </c>
      <c r="G67" s="210">
        <v>37.321235999999999</v>
      </c>
      <c r="H67" s="210">
        <v>36.877842000000001</v>
      </c>
      <c r="I67" s="210">
        <v>37.399085999999997</v>
      </c>
      <c r="J67" s="210">
        <v>38.028080000000003</v>
      </c>
      <c r="K67" s="210">
        <v>39.636966999999999</v>
      </c>
      <c r="L67" s="210">
        <v>40.957313999999997</v>
      </c>
      <c r="M67" s="210">
        <v>42.318069000000001</v>
      </c>
      <c r="N67" s="210">
        <v>43.843456000000003</v>
      </c>
      <c r="O67" s="210">
        <v>45.579796000000002</v>
      </c>
      <c r="P67" s="210">
        <v>47.554371000000003</v>
      </c>
      <c r="Q67" s="210">
        <v>49.149825999999997</v>
      </c>
      <c r="R67" s="210">
        <v>51.333953999999999</v>
      </c>
      <c r="S67" s="210">
        <v>53.984034999999999</v>
      </c>
      <c r="T67" s="210">
        <v>56.025112</v>
      </c>
      <c r="U67" s="210">
        <v>58.028739999999999</v>
      </c>
      <c r="V67" s="210">
        <v>60.793827</v>
      </c>
      <c r="W67" s="210">
        <v>63.30341</v>
      </c>
      <c r="X67" s="210">
        <v>65.164467000000002</v>
      </c>
      <c r="Y67" s="210">
        <v>68.301070999999993</v>
      </c>
      <c r="Z67" s="210">
        <v>70.809119999999993</v>
      </c>
      <c r="AA67" s="210">
        <v>74.515556000000004</v>
      </c>
      <c r="AB67" s="210">
        <v>77.585136000000006</v>
      </c>
      <c r="AC67" s="210">
        <v>80.765845999999996</v>
      </c>
      <c r="AD67" s="210">
        <v>83.324744999999993</v>
      </c>
      <c r="AE67" s="210">
        <v>86.308509999999998</v>
      </c>
      <c r="AF67" s="210">
        <v>89.255225999999993</v>
      </c>
      <c r="AG67" s="209">
        <v>3.168E-2</v>
      </c>
    </row>
    <row r="68" spans="1:33" ht="15" customHeight="1" x14ac:dyDescent="0.75">
      <c r="A68" s="212" t="s">
        <v>288</v>
      </c>
      <c r="B68" s="211" t="s">
        <v>278</v>
      </c>
      <c r="C68" s="213">
        <v>1.753047</v>
      </c>
      <c r="D68" s="213">
        <v>1.65709</v>
      </c>
      <c r="E68" s="213">
        <v>1.706745</v>
      </c>
      <c r="F68" s="213">
        <v>1.792635</v>
      </c>
      <c r="G68" s="213">
        <v>1.775088</v>
      </c>
      <c r="H68" s="213">
        <v>1.77271</v>
      </c>
      <c r="I68" s="213">
        <v>1.803601</v>
      </c>
      <c r="J68" s="213">
        <v>1.8492170000000001</v>
      </c>
      <c r="K68" s="213">
        <v>1.925146</v>
      </c>
      <c r="L68" s="213">
        <v>1.9906969999999999</v>
      </c>
      <c r="M68" s="213">
        <v>2.057687</v>
      </c>
      <c r="N68" s="213">
        <v>2.1247790000000002</v>
      </c>
      <c r="O68" s="213">
        <v>2.1983540000000001</v>
      </c>
      <c r="P68" s="213">
        <v>2.2926359999999999</v>
      </c>
      <c r="Q68" s="213">
        <v>2.3723700000000001</v>
      </c>
      <c r="R68" s="213">
        <v>2.4728430000000001</v>
      </c>
      <c r="S68" s="213">
        <v>2.580781</v>
      </c>
      <c r="T68" s="213">
        <v>2.6824400000000002</v>
      </c>
      <c r="U68" s="213">
        <v>2.7818160000000001</v>
      </c>
      <c r="V68" s="213">
        <v>2.9085169999999998</v>
      </c>
      <c r="W68" s="213">
        <v>3.0279400000000001</v>
      </c>
      <c r="X68" s="213">
        <v>3.1221709999999998</v>
      </c>
      <c r="Y68" s="213">
        <v>3.263741</v>
      </c>
      <c r="Z68" s="213">
        <v>3.3820999999999999</v>
      </c>
      <c r="AA68" s="213">
        <v>3.5338020000000001</v>
      </c>
      <c r="AB68" s="213">
        <v>3.676526</v>
      </c>
      <c r="AC68" s="213">
        <v>3.8253409999999999</v>
      </c>
      <c r="AD68" s="213">
        <v>3.951918</v>
      </c>
      <c r="AE68" s="213">
        <v>4.0949419999999996</v>
      </c>
      <c r="AF68" s="213">
        <v>4.2380579999999997</v>
      </c>
      <c r="AG68" s="209">
        <v>3.0908000000000001E-2</v>
      </c>
    </row>
    <row r="69" spans="1:33" ht="15" customHeight="1" x14ac:dyDescent="0.75">
      <c r="A69" s="212" t="s">
        <v>289</v>
      </c>
      <c r="B69" s="211" t="s">
        <v>280</v>
      </c>
      <c r="C69" s="213">
        <v>2.2292390000000002</v>
      </c>
      <c r="D69" s="213">
        <v>2.1764559999999999</v>
      </c>
      <c r="E69" s="213">
        <v>2.2322959999999998</v>
      </c>
      <c r="F69" s="213">
        <v>2.309288</v>
      </c>
      <c r="G69" s="213">
        <v>2.3304589999999998</v>
      </c>
      <c r="H69" s="213">
        <v>2.3859539999999999</v>
      </c>
      <c r="I69" s="213">
        <v>2.4552489999999998</v>
      </c>
      <c r="J69" s="213">
        <v>2.5327730000000002</v>
      </c>
      <c r="K69" s="213">
        <v>2.6343390000000002</v>
      </c>
      <c r="L69" s="213">
        <v>2.7228870000000001</v>
      </c>
      <c r="M69" s="213">
        <v>2.808344</v>
      </c>
      <c r="N69" s="213">
        <v>2.8933599999999999</v>
      </c>
      <c r="O69" s="213">
        <v>2.9787469999999998</v>
      </c>
      <c r="P69" s="213">
        <v>3.0838079999999999</v>
      </c>
      <c r="Q69" s="213">
        <v>3.166544</v>
      </c>
      <c r="R69" s="213">
        <v>3.264783</v>
      </c>
      <c r="S69" s="213">
        <v>3.3812139999999999</v>
      </c>
      <c r="T69" s="213">
        <v>3.4918209999999998</v>
      </c>
      <c r="U69" s="213">
        <v>3.609737</v>
      </c>
      <c r="V69" s="213">
        <v>3.7392340000000002</v>
      </c>
      <c r="W69" s="213">
        <v>3.8750209999999998</v>
      </c>
      <c r="X69" s="213">
        <v>3.9838300000000002</v>
      </c>
      <c r="Y69" s="213">
        <v>4.1212350000000004</v>
      </c>
      <c r="Z69" s="213">
        <v>4.2542540000000004</v>
      </c>
      <c r="AA69" s="213">
        <v>4.3973310000000003</v>
      </c>
      <c r="AB69" s="213">
        <v>4.5473439999999998</v>
      </c>
      <c r="AC69" s="213">
        <v>4.6887990000000004</v>
      </c>
      <c r="AD69" s="213">
        <v>4.8167200000000001</v>
      </c>
      <c r="AE69" s="213">
        <v>4.9689589999999999</v>
      </c>
      <c r="AF69" s="213">
        <v>5.1222940000000001</v>
      </c>
      <c r="AG69" s="209">
        <v>2.9103E-2</v>
      </c>
    </row>
    <row r="70" spans="1:33" ht="15" customHeight="1" x14ac:dyDescent="0.75">
      <c r="A70" s="212" t="s">
        <v>290</v>
      </c>
      <c r="B70" s="211" t="s">
        <v>282</v>
      </c>
      <c r="C70" s="210">
        <v>11.09206</v>
      </c>
      <c r="D70" s="210">
        <v>11.328503</v>
      </c>
      <c r="E70" s="210">
        <v>11.379478000000001</v>
      </c>
      <c r="F70" s="210">
        <v>11.48821</v>
      </c>
      <c r="G70" s="210">
        <v>11.778304</v>
      </c>
      <c r="H70" s="210">
        <v>12.210476999999999</v>
      </c>
      <c r="I70" s="210">
        <v>12.649781000000001</v>
      </c>
      <c r="J70" s="210">
        <v>13.118728000000001</v>
      </c>
      <c r="K70" s="210">
        <v>13.614407999999999</v>
      </c>
      <c r="L70" s="210">
        <v>14.069665000000001</v>
      </c>
      <c r="M70" s="210">
        <v>14.579432000000001</v>
      </c>
      <c r="N70" s="210">
        <v>15.094956</v>
      </c>
      <c r="O70" s="210">
        <v>15.650263000000001</v>
      </c>
      <c r="P70" s="210">
        <v>16.202342999999999</v>
      </c>
      <c r="Q70" s="210">
        <v>16.600866</v>
      </c>
      <c r="R70" s="210">
        <v>17.051628000000001</v>
      </c>
      <c r="S70" s="210">
        <v>17.565736999999999</v>
      </c>
      <c r="T70" s="210">
        <v>18.092175000000001</v>
      </c>
      <c r="U70" s="210">
        <v>18.631014</v>
      </c>
      <c r="V70" s="210">
        <v>19.302019000000001</v>
      </c>
      <c r="W70" s="210">
        <v>19.906824</v>
      </c>
      <c r="X70" s="210">
        <v>20.591771999999999</v>
      </c>
      <c r="Y70" s="210">
        <v>21.176786</v>
      </c>
      <c r="Z70" s="210">
        <v>21.803642</v>
      </c>
      <c r="AA70" s="210">
        <v>22.532022000000001</v>
      </c>
      <c r="AB70" s="210">
        <v>23.113976999999998</v>
      </c>
      <c r="AC70" s="210">
        <v>23.846741000000002</v>
      </c>
      <c r="AD70" s="210">
        <v>24.555572999999999</v>
      </c>
      <c r="AE70" s="210">
        <v>25.280301999999999</v>
      </c>
      <c r="AF70" s="210">
        <v>25.906462000000001</v>
      </c>
      <c r="AG70" s="209">
        <v>2.9682E-2</v>
      </c>
    </row>
    <row r="71" spans="1:33" ht="15" customHeight="1" thickBot="1" x14ac:dyDescent="0.8"/>
    <row r="72" spans="1:33" ht="15" customHeight="1" x14ac:dyDescent="0.65">
      <c r="B72" s="289" t="s">
        <v>291</v>
      </c>
    </row>
    <row r="73" spans="1:33" ht="12.25" x14ac:dyDescent="0.65">
      <c r="B73" s="208" t="s">
        <v>292</v>
      </c>
    </row>
    <row r="74" spans="1:33" ht="15" customHeight="1" x14ac:dyDescent="0.65">
      <c r="B74" s="208" t="s">
        <v>293</v>
      </c>
    </row>
    <row r="75" spans="1:33" ht="15" customHeight="1" x14ac:dyDescent="0.65">
      <c r="B75" s="208" t="s">
        <v>294</v>
      </c>
    </row>
    <row r="76" spans="1:33" ht="15" customHeight="1" x14ac:dyDescent="0.65">
      <c r="B76" s="208" t="s">
        <v>295</v>
      </c>
    </row>
    <row r="77" spans="1:33" ht="15" customHeight="1" x14ac:dyDescent="0.65">
      <c r="B77" s="208" t="s">
        <v>296</v>
      </c>
    </row>
    <row r="78" spans="1:33" ht="15" customHeight="1" x14ac:dyDescent="0.65">
      <c r="B78" s="208" t="s">
        <v>297</v>
      </c>
    </row>
    <row r="79" spans="1:33" ht="12.25" x14ac:dyDescent="0.65">
      <c r="B79" s="208" t="s">
        <v>298</v>
      </c>
    </row>
    <row r="80" spans="1:33" ht="15" customHeight="1" x14ac:dyDescent="0.65">
      <c r="B80" s="208" t="s">
        <v>299</v>
      </c>
    </row>
    <row r="81" spans="2:2" ht="12.25" x14ac:dyDescent="0.65">
      <c r="B81" s="208" t="s">
        <v>300</v>
      </c>
    </row>
    <row r="82" spans="2:2" ht="15" customHeight="1" x14ac:dyDescent="0.65">
      <c r="B82" s="208" t="s">
        <v>301</v>
      </c>
    </row>
    <row r="83" spans="2:2" ht="15" customHeight="1" x14ac:dyDescent="0.65">
      <c r="B83" s="208" t="s">
        <v>302</v>
      </c>
    </row>
    <row r="84" spans="2:2" ht="15" customHeight="1" x14ac:dyDescent="0.65">
      <c r="B84" s="208" t="s">
        <v>303</v>
      </c>
    </row>
    <row r="85" spans="2:2" ht="15" customHeight="1" x14ac:dyDescent="0.65">
      <c r="B85" s="208" t="s">
        <v>304</v>
      </c>
    </row>
    <row r="86" spans="2:2" ht="15" customHeight="1" x14ac:dyDescent="0.65">
      <c r="B86" s="208" t="s">
        <v>305</v>
      </c>
    </row>
    <row r="87" spans="2:2" ht="15" customHeight="1" x14ac:dyDescent="0.65">
      <c r="B87" s="208" t="s">
        <v>306</v>
      </c>
    </row>
    <row r="88" spans="2:2" ht="15" customHeight="1" x14ac:dyDescent="0.65">
      <c r="B88" s="208" t="s">
        <v>307</v>
      </c>
    </row>
    <row r="89" spans="2:2" ht="15" customHeight="1" x14ac:dyDescent="0.65">
      <c r="B89" s="208" t="s">
        <v>308</v>
      </c>
    </row>
    <row r="90" spans="2:2" ht="15" customHeight="1" x14ac:dyDescent="0.65">
      <c r="B90" s="208" t="s">
        <v>309</v>
      </c>
    </row>
    <row r="91" spans="2:2" ht="15" customHeight="1" x14ac:dyDescent="0.65">
      <c r="B91" s="208" t="s">
        <v>310</v>
      </c>
    </row>
    <row r="92" spans="2:2" ht="12.25" x14ac:dyDescent="0.65">
      <c r="B92" s="208" t="s">
        <v>311</v>
      </c>
    </row>
    <row r="93" spans="2:2" ht="15" customHeight="1" x14ac:dyDescent="0.65">
      <c r="B93" s="208" t="s">
        <v>312</v>
      </c>
    </row>
    <row r="94" spans="2:2" ht="15" customHeight="1" x14ac:dyDescent="0.65">
      <c r="B94" s="208" t="s">
        <v>313</v>
      </c>
    </row>
    <row r="95" spans="2:2" ht="15" customHeight="1" x14ac:dyDescent="0.65">
      <c r="B95" s="208" t="s">
        <v>314</v>
      </c>
    </row>
    <row r="96" spans="2:2" ht="15" customHeight="1" x14ac:dyDescent="0.65">
      <c r="B96" s="208" t="s">
        <v>315</v>
      </c>
    </row>
    <row r="97" spans="2:33" ht="15" customHeight="1" x14ac:dyDescent="0.65">
      <c r="B97" s="208" t="s">
        <v>316</v>
      </c>
    </row>
    <row r="98" spans="2:33" ht="15" customHeight="1" x14ac:dyDescent="0.65">
      <c r="B98" s="208" t="s">
        <v>317</v>
      </c>
    </row>
    <row r="99" spans="2:33" ht="15" customHeight="1" x14ac:dyDescent="0.65">
      <c r="B99" s="208" t="s">
        <v>318</v>
      </c>
    </row>
    <row r="100" spans="2:33" ht="15" customHeight="1" x14ac:dyDescent="0.65">
      <c r="B100" s="208" t="s">
        <v>319</v>
      </c>
    </row>
    <row r="101" spans="2:33" ht="12.25" x14ac:dyDescent="0.65"/>
    <row r="102" spans="2:33" ht="12.25" x14ac:dyDescent="0.65"/>
    <row r="112" spans="2:33" ht="15" customHeight="1" x14ac:dyDescent="0.65">
      <c r="B112" s="293"/>
      <c r="C112" s="293"/>
      <c r="D112" s="293"/>
      <c r="E112" s="293"/>
      <c r="F112" s="293"/>
      <c r="G112" s="293"/>
      <c r="H112" s="293"/>
      <c r="I112" s="293"/>
      <c r="J112" s="293"/>
      <c r="K112" s="293"/>
      <c r="L112" s="293"/>
      <c r="M112" s="293"/>
      <c r="N112" s="293"/>
      <c r="O112" s="293"/>
      <c r="P112" s="293"/>
      <c r="Q112" s="293"/>
      <c r="R112" s="293"/>
      <c r="S112" s="293"/>
      <c r="T112" s="293"/>
      <c r="U112" s="293"/>
      <c r="V112" s="293"/>
      <c r="W112" s="293"/>
      <c r="X112" s="293"/>
      <c r="Y112" s="293"/>
      <c r="Z112" s="293"/>
      <c r="AA112" s="293"/>
      <c r="AB112" s="293"/>
      <c r="AC112" s="293"/>
      <c r="AD112" s="293"/>
      <c r="AE112" s="293"/>
      <c r="AF112" s="293"/>
      <c r="AG112" s="293"/>
    </row>
    <row r="308" spans="2:33" ht="15" customHeight="1" x14ac:dyDescent="0.65">
      <c r="B308" s="293"/>
      <c r="C308" s="293"/>
      <c r="D308" s="293"/>
      <c r="E308" s="293"/>
      <c r="F308" s="293"/>
      <c r="G308" s="293"/>
      <c r="H308" s="293"/>
      <c r="I308" s="293"/>
      <c r="J308" s="293"/>
      <c r="K308" s="293"/>
      <c r="L308" s="293"/>
      <c r="M308" s="293"/>
      <c r="N308" s="293"/>
      <c r="O308" s="293"/>
      <c r="P308" s="293"/>
      <c r="Q308" s="293"/>
      <c r="R308" s="293"/>
      <c r="S308" s="293"/>
      <c r="T308" s="293"/>
      <c r="U308" s="293"/>
      <c r="V308" s="293"/>
      <c r="W308" s="293"/>
      <c r="X308" s="293"/>
      <c r="Y308" s="293"/>
      <c r="Z308" s="293"/>
      <c r="AA308" s="293"/>
      <c r="AB308" s="293"/>
      <c r="AC308" s="293"/>
      <c r="AD308" s="293"/>
      <c r="AE308" s="293"/>
      <c r="AF308" s="293"/>
      <c r="AG308" s="293"/>
    </row>
    <row r="511" spans="2:33" ht="15" customHeight="1" x14ac:dyDescent="0.65">
      <c r="B511" s="293"/>
      <c r="C511" s="293"/>
      <c r="D511" s="293"/>
      <c r="E511" s="293"/>
      <c r="F511" s="293"/>
      <c r="G511" s="293"/>
      <c r="H511" s="293"/>
      <c r="I511" s="293"/>
      <c r="J511" s="293"/>
      <c r="K511" s="293"/>
      <c r="L511" s="293"/>
      <c r="M511" s="293"/>
      <c r="N511" s="293"/>
      <c r="O511" s="293"/>
      <c r="P511" s="293"/>
      <c r="Q511" s="293"/>
      <c r="R511" s="293"/>
      <c r="S511" s="293"/>
      <c r="T511" s="293"/>
      <c r="U511" s="293"/>
      <c r="V511" s="293"/>
      <c r="W511" s="293"/>
      <c r="X511" s="293"/>
      <c r="Y511" s="293"/>
      <c r="Z511" s="293"/>
      <c r="AA511" s="293"/>
      <c r="AB511" s="293"/>
      <c r="AC511" s="293"/>
      <c r="AD511" s="293"/>
      <c r="AE511" s="293"/>
      <c r="AF511" s="293"/>
      <c r="AG511" s="293"/>
    </row>
    <row r="712" spans="2:33" ht="15" customHeight="1" x14ac:dyDescent="0.65">
      <c r="B712" s="293"/>
      <c r="C712" s="293"/>
      <c r="D712" s="293"/>
      <c r="E712" s="293"/>
      <c r="F712" s="293"/>
      <c r="G712" s="293"/>
      <c r="H712" s="293"/>
      <c r="I712" s="293"/>
      <c r="J712" s="293"/>
      <c r="K712" s="293"/>
      <c r="L712" s="293"/>
      <c r="M712" s="293"/>
      <c r="N712" s="293"/>
      <c r="O712" s="293"/>
      <c r="P712" s="293"/>
      <c r="Q712" s="293"/>
      <c r="R712" s="293"/>
      <c r="S712" s="293"/>
      <c r="T712" s="293"/>
      <c r="U712" s="293"/>
      <c r="V712" s="293"/>
      <c r="W712" s="293"/>
      <c r="X712" s="293"/>
      <c r="Y712" s="293"/>
      <c r="Z712" s="293"/>
      <c r="AA712" s="293"/>
      <c r="AB712" s="293"/>
      <c r="AC712" s="293"/>
      <c r="AD712" s="293"/>
      <c r="AE712" s="293"/>
      <c r="AF712" s="293"/>
      <c r="AG712" s="293"/>
    </row>
    <row r="887" spans="2:33" ht="15" customHeight="1" x14ac:dyDescent="0.65">
      <c r="B887" s="293"/>
      <c r="C887" s="293"/>
      <c r="D887" s="293"/>
      <c r="E887" s="293"/>
      <c r="F887" s="293"/>
      <c r="G887" s="293"/>
      <c r="H887" s="293"/>
      <c r="I887" s="293"/>
      <c r="J887" s="293"/>
      <c r="K887" s="293"/>
      <c r="L887" s="293"/>
      <c r="M887" s="293"/>
      <c r="N887" s="293"/>
      <c r="O887" s="293"/>
      <c r="P887" s="293"/>
      <c r="Q887" s="293"/>
      <c r="R887" s="293"/>
      <c r="S887" s="293"/>
      <c r="T887" s="293"/>
      <c r="U887" s="293"/>
      <c r="V887" s="293"/>
      <c r="W887" s="293"/>
      <c r="X887" s="293"/>
      <c r="Y887" s="293"/>
      <c r="Z887" s="293"/>
      <c r="AA887" s="293"/>
      <c r="AB887" s="293"/>
      <c r="AC887" s="293"/>
      <c r="AD887" s="293"/>
      <c r="AE887" s="293"/>
      <c r="AF887" s="293"/>
      <c r="AG887" s="293"/>
    </row>
    <row r="1100" spans="2:33" ht="15" customHeight="1" x14ac:dyDescent="0.65">
      <c r="B1100" s="293"/>
      <c r="C1100" s="293"/>
      <c r="D1100" s="293"/>
      <c r="E1100" s="293"/>
      <c r="F1100" s="293"/>
      <c r="G1100" s="293"/>
      <c r="H1100" s="293"/>
      <c r="I1100" s="293"/>
      <c r="J1100" s="293"/>
      <c r="K1100" s="293"/>
      <c r="L1100" s="293"/>
      <c r="M1100" s="293"/>
      <c r="N1100" s="293"/>
      <c r="O1100" s="293"/>
      <c r="P1100" s="293"/>
      <c r="Q1100" s="293"/>
      <c r="R1100" s="293"/>
      <c r="S1100" s="293"/>
      <c r="T1100" s="293"/>
      <c r="U1100" s="293"/>
      <c r="V1100" s="293"/>
      <c r="W1100" s="293"/>
      <c r="X1100" s="293"/>
      <c r="Y1100" s="293"/>
      <c r="Z1100" s="293"/>
      <c r="AA1100" s="293"/>
      <c r="AB1100" s="293"/>
      <c r="AC1100" s="293"/>
      <c r="AD1100" s="293"/>
      <c r="AE1100" s="293"/>
      <c r="AF1100" s="293"/>
      <c r="AG1100" s="293"/>
    </row>
    <row r="1227" spans="2:33" ht="15" customHeight="1" x14ac:dyDescent="0.65">
      <c r="B1227" s="293"/>
      <c r="C1227" s="293"/>
      <c r="D1227" s="293"/>
      <c r="E1227" s="293"/>
      <c r="F1227" s="293"/>
      <c r="G1227" s="293"/>
      <c r="H1227" s="293"/>
      <c r="I1227" s="293"/>
      <c r="J1227" s="293"/>
      <c r="K1227" s="293"/>
      <c r="L1227" s="293"/>
      <c r="M1227" s="293"/>
      <c r="N1227" s="293"/>
      <c r="O1227" s="293"/>
      <c r="P1227" s="293"/>
      <c r="Q1227" s="293"/>
      <c r="R1227" s="293"/>
      <c r="S1227" s="293"/>
      <c r="T1227" s="293"/>
      <c r="U1227" s="293"/>
      <c r="V1227" s="293"/>
      <c r="W1227" s="293"/>
      <c r="X1227" s="293"/>
      <c r="Y1227" s="293"/>
      <c r="Z1227" s="293"/>
      <c r="AA1227" s="293"/>
      <c r="AB1227" s="293"/>
      <c r="AC1227" s="293"/>
      <c r="AD1227" s="293"/>
      <c r="AE1227" s="293"/>
      <c r="AF1227" s="293"/>
      <c r="AG1227" s="293"/>
    </row>
    <row r="1390" spans="2:33" ht="15" customHeight="1" x14ac:dyDescent="0.65">
      <c r="B1390" s="293"/>
      <c r="C1390" s="293"/>
      <c r="D1390" s="293"/>
      <c r="E1390" s="293"/>
      <c r="F1390" s="293"/>
      <c r="G1390" s="293"/>
      <c r="H1390" s="293"/>
      <c r="I1390" s="293"/>
      <c r="J1390" s="293"/>
      <c r="K1390" s="293"/>
      <c r="L1390" s="293"/>
      <c r="M1390" s="293"/>
      <c r="N1390" s="293"/>
      <c r="O1390" s="293"/>
      <c r="P1390" s="293"/>
      <c r="Q1390" s="293"/>
      <c r="R1390" s="293"/>
      <c r="S1390" s="293"/>
      <c r="T1390" s="293"/>
      <c r="U1390" s="293"/>
      <c r="V1390" s="293"/>
      <c r="W1390" s="293"/>
      <c r="X1390" s="293"/>
      <c r="Y1390" s="293"/>
      <c r="Z1390" s="293"/>
      <c r="AA1390" s="293"/>
      <c r="AB1390" s="293"/>
      <c r="AC1390" s="293"/>
      <c r="AD1390" s="293"/>
      <c r="AE1390" s="293"/>
      <c r="AF1390" s="293"/>
      <c r="AG1390" s="293"/>
    </row>
    <row r="1502" spans="2:33" ht="15" customHeight="1" x14ac:dyDescent="0.65">
      <c r="B1502" s="293"/>
      <c r="C1502" s="293"/>
      <c r="D1502" s="293"/>
      <c r="E1502" s="293"/>
      <c r="F1502" s="293"/>
      <c r="G1502" s="293"/>
      <c r="H1502" s="293"/>
      <c r="I1502" s="293"/>
      <c r="J1502" s="293"/>
      <c r="K1502" s="293"/>
      <c r="L1502" s="293"/>
      <c r="M1502" s="293"/>
      <c r="N1502" s="293"/>
      <c r="O1502" s="293"/>
      <c r="P1502" s="293"/>
      <c r="Q1502" s="293"/>
      <c r="R1502" s="293"/>
      <c r="S1502" s="293"/>
      <c r="T1502" s="293"/>
      <c r="U1502" s="293"/>
      <c r="V1502" s="293"/>
      <c r="W1502" s="293"/>
      <c r="X1502" s="293"/>
      <c r="Y1502" s="293"/>
      <c r="Z1502" s="293"/>
      <c r="AA1502" s="293"/>
      <c r="AB1502" s="293"/>
      <c r="AC1502" s="293"/>
      <c r="AD1502" s="293"/>
      <c r="AE1502" s="293"/>
      <c r="AF1502" s="293"/>
      <c r="AG1502" s="293"/>
    </row>
    <row r="1604" spans="2:33" ht="15" customHeight="1" x14ac:dyDescent="0.65">
      <c r="B1604" s="293"/>
      <c r="C1604" s="293"/>
      <c r="D1604" s="293"/>
      <c r="E1604" s="293"/>
      <c r="F1604" s="293"/>
      <c r="G1604" s="293"/>
      <c r="H1604" s="293"/>
      <c r="I1604" s="293"/>
      <c r="J1604" s="293"/>
      <c r="K1604" s="293"/>
      <c r="L1604" s="293"/>
      <c r="M1604" s="293"/>
      <c r="N1604" s="293"/>
      <c r="O1604" s="293"/>
      <c r="P1604" s="293"/>
      <c r="Q1604" s="293"/>
      <c r="R1604" s="293"/>
      <c r="S1604" s="293"/>
      <c r="T1604" s="293"/>
      <c r="U1604" s="293"/>
      <c r="V1604" s="293"/>
      <c r="W1604" s="293"/>
      <c r="X1604" s="293"/>
      <c r="Y1604" s="293"/>
      <c r="Z1604" s="293"/>
      <c r="AA1604" s="293"/>
      <c r="AB1604" s="293"/>
      <c r="AC1604" s="293"/>
      <c r="AD1604" s="293"/>
      <c r="AE1604" s="293"/>
      <c r="AF1604" s="293"/>
      <c r="AG1604" s="293"/>
    </row>
    <row r="1698" spans="2:33" ht="15" customHeight="1" x14ac:dyDescent="0.65">
      <c r="B1698" s="293"/>
      <c r="C1698" s="293"/>
      <c r="D1698" s="293"/>
      <c r="E1698" s="293"/>
      <c r="F1698" s="293"/>
      <c r="G1698" s="293"/>
      <c r="H1698" s="293"/>
      <c r="I1698" s="293"/>
      <c r="J1698" s="293"/>
      <c r="K1698" s="293"/>
      <c r="L1698" s="293"/>
      <c r="M1698" s="293"/>
      <c r="N1698" s="293"/>
      <c r="O1698" s="293"/>
      <c r="P1698" s="293"/>
      <c r="Q1698" s="293"/>
      <c r="R1698" s="293"/>
      <c r="S1698" s="293"/>
      <c r="T1698" s="293"/>
      <c r="U1698" s="293"/>
      <c r="V1698" s="293"/>
      <c r="W1698" s="293"/>
      <c r="X1698" s="293"/>
      <c r="Y1698" s="293"/>
      <c r="Z1698" s="293"/>
      <c r="AA1698" s="293"/>
      <c r="AB1698" s="293"/>
      <c r="AC1698" s="293"/>
      <c r="AD1698" s="293"/>
      <c r="AE1698" s="293"/>
      <c r="AF1698" s="293"/>
      <c r="AG1698" s="293"/>
    </row>
    <row r="1945" spans="2:33" ht="15" customHeight="1" x14ac:dyDescent="0.65">
      <c r="B1945" s="293"/>
      <c r="C1945" s="293"/>
      <c r="D1945" s="293"/>
      <c r="E1945" s="293"/>
      <c r="F1945" s="293"/>
      <c r="G1945" s="293"/>
      <c r="H1945" s="293"/>
      <c r="I1945" s="293"/>
      <c r="J1945" s="293"/>
      <c r="K1945" s="293"/>
      <c r="L1945" s="293"/>
      <c r="M1945" s="293"/>
      <c r="N1945" s="293"/>
      <c r="O1945" s="293"/>
      <c r="P1945" s="293"/>
      <c r="Q1945" s="293"/>
      <c r="R1945" s="293"/>
      <c r="S1945" s="293"/>
      <c r="T1945" s="293"/>
      <c r="U1945" s="293"/>
      <c r="V1945" s="293"/>
      <c r="W1945" s="293"/>
      <c r="X1945" s="293"/>
      <c r="Y1945" s="293"/>
      <c r="Z1945" s="293"/>
      <c r="AA1945" s="293"/>
      <c r="AB1945" s="293"/>
      <c r="AC1945" s="293"/>
      <c r="AD1945" s="293"/>
      <c r="AE1945" s="293"/>
      <c r="AF1945" s="293"/>
      <c r="AG1945" s="293"/>
    </row>
    <row r="2031" spans="2:33" ht="15" customHeight="1" x14ac:dyDescent="0.65">
      <c r="B2031" s="293"/>
      <c r="C2031" s="293"/>
      <c r="D2031" s="293"/>
      <c r="E2031" s="293"/>
      <c r="F2031" s="293"/>
      <c r="G2031" s="293"/>
      <c r="H2031" s="293"/>
      <c r="I2031" s="293"/>
      <c r="J2031" s="293"/>
      <c r="K2031" s="293"/>
      <c r="L2031" s="293"/>
      <c r="M2031" s="293"/>
      <c r="N2031" s="293"/>
      <c r="O2031" s="293"/>
      <c r="P2031" s="293"/>
      <c r="Q2031" s="293"/>
      <c r="R2031" s="293"/>
      <c r="S2031" s="293"/>
      <c r="T2031" s="293"/>
      <c r="U2031" s="293"/>
      <c r="V2031" s="293"/>
      <c r="W2031" s="293"/>
      <c r="X2031" s="293"/>
      <c r="Y2031" s="293"/>
      <c r="Z2031" s="293"/>
      <c r="AA2031" s="293"/>
      <c r="AB2031" s="293"/>
      <c r="AC2031" s="293"/>
      <c r="AD2031" s="293"/>
      <c r="AE2031" s="293"/>
      <c r="AF2031" s="293"/>
      <c r="AG2031" s="293"/>
    </row>
    <row r="2153" spans="2:33" ht="15" customHeight="1" x14ac:dyDescent="0.65">
      <c r="B2153" s="293"/>
      <c r="C2153" s="293"/>
      <c r="D2153" s="293"/>
      <c r="E2153" s="293"/>
      <c r="F2153" s="293"/>
      <c r="G2153" s="293"/>
      <c r="H2153" s="293"/>
      <c r="I2153" s="293"/>
      <c r="J2153" s="293"/>
      <c r="K2153" s="293"/>
      <c r="L2153" s="293"/>
      <c r="M2153" s="293"/>
      <c r="N2153" s="293"/>
      <c r="O2153" s="293"/>
      <c r="P2153" s="293"/>
      <c r="Q2153" s="293"/>
      <c r="R2153" s="293"/>
      <c r="S2153" s="293"/>
      <c r="T2153" s="293"/>
      <c r="U2153" s="293"/>
      <c r="V2153" s="293"/>
      <c r="W2153" s="293"/>
      <c r="X2153" s="293"/>
      <c r="Y2153" s="293"/>
      <c r="Z2153" s="293"/>
      <c r="AA2153" s="293"/>
      <c r="AB2153" s="293"/>
      <c r="AC2153" s="293"/>
      <c r="AD2153" s="293"/>
      <c r="AE2153" s="293"/>
      <c r="AF2153" s="293"/>
      <c r="AG2153" s="293"/>
    </row>
    <row r="2317" spans="2:33" ht="15" customHeight="1" x14ac:dyDescent="0.65">
      <c r="B2317" s="293"/>
      <c r="C2317" s="293"/>
      <c r="D2317" s="293"/>
      <c r="E2317" s="293"/>
      <c r="F2317" s="293"/>
      <c r="G2317" s="293"/>
      <c r="H2317" s="293"/>
      <c r="I2317" s="293"/>
      <c r="J2317" s="293"/>
      <c r="K2317" s="293"/>
      <c r="L2317" s="293"/>
      <c r="M2317" s="293"/>
      <c r="N2317" s="293"/>
      <c r="O2317" s="293"/>
      <c r="P2317" s="293"/>
      <c r="Q2317" s="293"/>
      <c r="R2317" s="293"/>
      <c r="S2317" s="293"/>
      <c r="T2317" s="293"/>
      <c r="U2317" s="293"/>
      <c r="V2317" s="293"/>
      <c r="W2317" s="293"/>
      <c r="X2317" s="293"/>
      <c r="Y2317" s="293"/>
      <c r="Z2317" s="293"/>
      <c r="AA2317" s="293"/>
      <c r="AB2317" s="293"/>
      <c r="AC2317" s="293"/>
      <c r="AD2317" s="293"/>
      <c r="AE2317" s="293"/>
      <c r="AF2317" s="293"/>
      <c r="AG2317" s="293"/>
    </row>
    <row r="2419" spans="2:33" ht="15" customHeight="1" x14ac:dyDescent="0.65">
      <c r="B2419" s="293"/>
      <c r="C2419" s="293"/>
      <c r="D2419" s="293"/>
      <c r="E2419" s="293"/>
      <c r="F2419" s="293"/>
      <c r="G2419" s="293"/>
      <c r="H2419" s="293"/>
      <c r="I2419" s="293"/>
      <c r="J2419" s="293"/>
      <c r="K2419" s="293"/>
      <c r="L2419" s="293"/>
      <c r="M2419" s="293"/>
      <c r="N2419" s="293"/>
      <c r="O2419" s="293"/>
      <c r="P2419" s="293"/>
      <c r="Q2419" s="293"/>
      <c r="R2419" s="293"/>
      <c r="S2419" s="293"/>
      <c r="T2419" s="293"/>
      <c r="U2419" s="293"/>
      <c r="V2419" s="293"/>
      <c r="W2419" s="293"/>
      <c r="X2419" s="293"/>
      <c r="Y2419" s="293"/>
      <c r="Z2419" s="293"/>
      <c r="AA2419" s="293"/>
      <c r="AB2419" s="293"/>
      <c r="AC2419" s="293"/>
      <c r="AD2419" s="293"/>
      <c r="AE2419" s="293"/>
      <c r="AF2419" s="293"/>
      <c r="AG2419" s="293"/>
    </row>
    <row r="2509" spans="2:33" ht="15" customHeight="1" x14ac:dyDescent="0.65">
      <c r="B2509" s="293"/>
      <c r="C2509" s="293"/>
      <c r="D2509" s="293"/>
      <c r="E2509" s="293"/>
      <c r="F2509" s="293"/>
      <c r="G2509" s="293"/>
      <c r="H2509" s="293"/>
      <c r="I2509" s="293"/>
      <c r="J2509" s="293"/>
      <c r="K2509" s="293"/>
      <c r="L2509" s="293"/>
      <c r="M2509" s="293"/>
      <c r="N2509" s="293"/>
      <c r="O2509" s="293"/>
      <c r="P2509" s="293"/>
      <c r="Q2509" s="293"/>
      <c r="R2509" s="293"/>
      <c r="S2509" s="293"/>
      <c r="T2509" s="293"/>
      <c r="U2509" s="293"/>
      <c r="V2509" s="293"/>
      <c r="W2509" s="293"/>
      <c r="X2509" s="293"/>
      <c r="Y2509" s="293"/>
      <c r="Z2509" s="293"/>
      <c r="AA2509" s="293"/>
      <c r="AB2509" s="293"/>
      <c r="AC2509" s="293"/>
      <c r="AD2509" s="293"/>
      <c r="AE2509" s="293"/>
      <c r="AF2509" s="293"/>
      <c r="AG2509" s="293"/>
    </row>
    <row r="2598" spans="2:33" ht="15" customHeight="1" x14ac:dyDescent="0.65">
      <c r="B2598" s="293"/>
      <c r="C2598" s="293"/>
      <c r="D2598" s="293"/>
      <c r="E2598" s="293"/>
      <c r="F2598" s="293"/>
      <c r="G2598" s="293"/>
      <c r="H2598" s="293"/>
      <c r="I2598" s="293"/>
      <c r="J2598" s="293"/>
      <c r="K2598" s="293"/>
      <c r="L2598" s="293"/>
      <c r="M2598" s="293"/>
      <c r="N2598" s="293"/>
      <c r="O2598" s="293"/>
      <c r="P2598" s="293"/>
      <c r="Q2598" s="293"/>
      <c r="R2598" s="293"/>
      <c r="S2598" s="293"/>
      <c r="T2598" s="293"/>
      <c r="U2598" s="293"/>
      <c r="V2598" s="293"/>
      <c r="W2598" s="293"/>
      <c r="X2598" s="293"/>
      <c r="Y2598" s="293"/>
      <c r="Z2598" s="293"/>
      <c r="AA2598" s="293"/>
      <c r="AB2598" s="293"/>
      <c r="AC2598" s="293"/>
      <c r="AD2598" s="293"/>
      <c r="AE2598" s="293"/>
      <c r="AF2598" s="293"/>
      <c r="AG2598" s="293"/>
    </row>
    <row r="2719" spans="2:33" ht="15" customHeight="1" x14ac:dyDescent="0.65">
      <c r="B2719" s="293"/>
      <c r="C2719" s="293"/>
      <c r="D2719" s="293"/>
      <c r="E2719" s="293"/>
      <c r="F2719" s="293"/>
      <c r="G2719" s="293"/>
      <c r="H2719" s="293"/>
      <c r="I2719" s="293"/>
      <c r="J2719" s="293"/>
      <c r="K2719" s="293"/>
      <c r="L2719" s="293"/>
      <c r="M2719" s="293"/>
      <c r="N2719" s="293"/>
      <c r="O2719" s="293"/>
      <c r="P2719" s="293"/>
      <c r="Q2719" s="293"/>
      <c r="R2719" s="293"/>
      <c r="S2719" s="293"/>
      <c r="T2719" s="293"/>
      <c r="U2719" s="293"/>
      <c r="V2719" s="293"/>
      <c r="W2719" s="293"/>
      <c r="X2719" s="293"/>
      <c r="Y2719" s="293"/>
      <c r="Z2719" s="293"/>
      <c r="AA2719" s="293"/>
      <c r="AB2719" s="293"/>
      <c r="AC2719" s="293"/>
      <c r="AD2719" s="293"/>
      <c r="AE2719" s="293"/>
      <c r="AF2719" s="293"/>
      <c r="AG2719" s="293"/>
    </row>
    <row r="2837" spans="2:33" ht="15" customHeight="1" x14ac:dyDescent="0.65">
      <c r="B2837" s="293"/>
      <c r="C2837" s="293"/>
      <c r="D2837" s="293"/>
      <c r="E2837" s="293"/>
      <c r="F2837" s="293"/>
      <c r="G2837" s="293"/>
      <c r="H2837" s="293"/>
      <c r="I2837" s="293"/>
      <c r="J2837" s="293"/>
      <c r="K2837" s="293"/>
      <c r="L2837" s="293"/>
      <c r="M2837" s="293"/>
      <c r="N2837" s="293"/>
      <c r="O2837" s="293"/>
      <c r="P2837" s="293"/>
      <c r="Q2837" s="293"/>
      <c r="R2837" s="293"/>
      <c r="S2837" s="293"/>
      <c r="T2837" s="293"/>
      <c r="U2837" s="293"/>
      <c r="V2837" s="293"/>
      <c r="W2837" s="293"/>
      <c r="X2837" s="293"/>
      <c r="Y2837" s="293"/>
      <c r="Z2837" s="293"/>
      <c r="AA2837" s="293"/>
      <c r="AB2837" s="293"/>
      <c r="AC2837" s="293"/>
      <c r="AD2837" s="293"/>
      <c r="AE2837" s="293"/>
      <c r="AF2837" s="293"/>
      <c r="AG2837" s="293"/>
    </row>
  </sheetData>
  <mergeCells count="20">
    <mergeCell ref="B1698:AG1698"/>
    <mergeCell ref="B1945:AG1945"/>
    <mergeCell ref="B2031:AG2031"/>
    <mergeCell ref="B2153:AG2153"/>
    <mergeCell ref="B2837:AG2837"/>
    <mergeCell ref="B2317:AG2317"/>
    <mergeCell ref="B2419:AG2419"/>
    <mergeCell ref="B2509:AG2509"/>
    <mergeCell ref="B2598:AG2598"/>
    <mergeCell ref="B2719:AG2719"/>
    <mergeCell ref="B1100:AG1100"/>
    <mergeCell ref="B1227:AG1227"/>
    <mergeCell ref="B1390:AG1390"/>
    <mergeCell ref="B1502:AG1502"/>
    <mergeCell ref="B1604:AG1604"/>
    <mergeCell ref="B112:AG112"/>
    <mergeCell ref="B308:AG308"/>
    <mergeCell ref="B511:AG511"/>
    <mergeCell ref="B712:AG712"/>
    <mergeCell ref="B887:AG887"/>
  </mergeCells>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EE866-B8AA-442D-B9F0-E90DBCC325DB}">
  <dimension ref="A1:AH2837"/>
  <sheetViews>
    <sheetView workbookViewId="0">
      <pane xSplit="2" ySplit="1" topLeftCell="C2" activePane="bottomRight" state="frozen"/>
      <selection pane="topRight" activeCell="C1" sqref="C1"/>
      <selection pane="bottomLeft" activeCell="A2" sqref="A2"/>
      <selection pane="bottomRight" activeCell="O35" sqref="O35"/>
    </sheetView>
  </sheetViews>
  <sheetFormatPr defaultColWidth="8.7265625" defaultRowHeight="15" customHeight="1" x14ac:dyDescent="0.65"/>
  <cols>
    <col min="1" max="1" width="21.40625" style="207" hidden="1" customWidth="1"/>
    <col min="2" max="2" width="46.7265625" style="207" customWidth="1"/>
    <col min="3" max="16384" width="8.7265625" style="207"/>
  </cols>
  <sheetData>
    <row r="1" spans="1:33" ht="15" customHeight="1" thickBot="1" x14ac:dyDescent="0.8">
      <c r="B1" s="222" t="s">
        <v>320</v>
      </c>
      <c r="C1" s="219">
        <v>2022</v>
      </c>
      <c r="D1" s="219">
        <v>2023</v>
      </c>
      <c r="E1" s="219">
        <v>2024</v>
      </c>
      <c r="F1" s="219">
        <v>2025</v>
      </c>
      <c r="G1" s="219">
        <v>2026</v>
      </c>
      <c r="H1" s="219">
        <v>2027</v>
      </c>
      <c r="I1" s="219">
        <v>2028</v>
      </c>
      <c r="J1" s="219">
        <v>2029</v>
      </c>
      <c r="K1" s="219">
        <v>2030</v>
      </c>
      <c r="L1" s="219">
        <v>2031</v>
      </c>
      <c r="M1" s="219">
        <v>2032</v>
      </c>
      <c r="N1" s="219">
        <v>2033</v>
      </c>
      <c r="O1" s="219">
        <v>2034</v>
      </c>
      <c r="P1" s="219">
        <v>2035</v>
      </c>
      <c r="Q1" s="219">
        <v>2036</v>
      </c>
      <c r="R1" s="219">
        <v>2037</v>
      </c>
      <c r="S1" s="219">
        <v>2038</v>
      </c>
      <c r="T1" s="219">
        <v>2039</v>
      </c>
      <c r="U1" s="219">
        <v>2040</v>
      </c>
      <c r="V1" s="219">
        <v>2041</v>
      </c>
      <c r="W1" s="219">
        <v>2042</v>
      </c>
      <c r="X1" s="219">
        <v>2043</v>
      </c>
      <c r="Y1" s="219">
        <v>2044</v>
      </c>
      <c r="Z1" s="219">
        <v>2045</v>
      </c>
      <c r="AA1" s="219">
        <v>2046</v>
      </c>
      <c r="AB1" s="219">
        <v>2047</v>
      </c>
      <c r="AC1" s="219">
        <v>2048</v>
      </c>
      <c r="AD1" s="219">
        <v>2049</v>
      </c>
      <c r="AE1" s="219">
        <v>2050</v>
      </c>
    </row>
    <row r="2" spans="1:33" ht="15" customHeight="1" thickTop="1" x14ac:dyDescent="0.65"/>
    <row r="3" spans="1:33" ht="15" customHeight="1" x14ac:dyDescent="0.7">
      <c r="C3" s="236" t="s">
        <v>198</v>
      </c>
      <c r="D3" s="236" t="s">
        <v>321</v>
      </c>
      <c r="E3" s="224"/>
      <c r="F3" s="224"/>
      <c r="G3" s="224"/>
    </row>
    <row r="4" spans="1:33" ht="15" customHeight="1" x14ac:dyDescent="0.7">
      <c r="C4" s="236" t="s">
        <v>200</v>
      </c>
      <c r="D4" s="236" t="s">
        <v>322</v>
      </c>
      <c r="E4" s="224"/>
      <c r="F4" s="224"/>
      <c r="G4" s="236" t="s">
        <v>202</v>
      </c>
    </row>
    <row r="5" spans="1:33" ht="15" customHeight="1" x14ac:dyDescent="0.7">
      <c r="C5" s="236" t="s">
        <v>203</v>
      </c>
      <c r="D5" s="236" t="s">
        <v>323</v>
      </c>
      <c r="E5" s="224"/>
      <c r="F5" s="224"/>
      <c r="G5" s="224"/>
    </row>
    <row r="6" spans="1:33" ht="15" customHeight="1" x14ac:dyDescent="0.7">
      <c r="C6" s="236" t="s">
        <v>205</v>
      </c>
      <c r="D6" s="224"/>
      <c r="E6" s="236" t="s">
        <v>324</v>
      </c>
      <c r="F6" s="224"/>
      <c r="G6" s="224"/>
    </row>
    <row r="7" spans="1:33" ht="12.25" x14ac:dyDescent="0.65"/>
    <row r="8" spans="1:33" ht="12.25" x14ac:dyDescent="0.65"/>
    <row r="9" spans="1:33" ht="12.25" x14ac:dyDescent="0.65">
      <c r="B9" s="208"/>
      <c r="C9" s="208"/>
      <c r="D9" s="208"/>
      <c r="E9" s="208"/>
      <c r="F9" s="208"/>
      <c r="G9" s="208"/>
      <c r="H9" s="208"/>
      <c r="I9" s="208"/>
      <c r="J9" s="208"/>
      <c r="K9" s="208"/>
      <c r="L9" s="208"/>
      <c r="M9" s="208"/>
      <c r="N9" s="208"/>
      <c r="O9" s="208"/>
      <c r="P9" s="208"/>
      <c r="Q9" s="208"/>
      <c r="R9" s="208"/>
      <c r="S9" s="208"/>
      <c r="T9" s="208"/>
      <c r="U9" s="208"/>
      <c r="V9" s="208"/>
      <c r="W9" s="208"/>
      <c r="X9" s="208"/>
      <c r="Y9" s="208"/>
      <c r="Z9" s="208"/>
      <c r="AA9" s="208"/>
      <c r="AB9" s="208"/>
      <c r="AC9" s="208"/>
      <c r="AD9" s="208"/>
      <c r="AE9" s="208"/>
      <c r="AF9" s="208"/>
      <c r="AG9" s="208"/>
    </row>
    <row r="10" spans="1:33" ht="15" customHeight="1" x14ac:dyDescent="0.8">
      <c r="A10" s="212" t="s">
        <v>207</v>
      </c>
      <c r="B10" s="258" t="s">
        <v>208</v>
      </c>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20" t="s">
        <v>209</v>
      </c>
      <c r="AG10" s="208"/>
    </row>
    <row r="11" spans="1:33" ht="15" customHeight="1" x14ac:dyDescent="0.65">
      <c r="B11" s="259" t="s">
        <v>210</v>
      </c>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20" t="s">
        <v>211</v>
      </c>
      <c r="AG11" s="208"/>
    </row>
    <row r="12" spans="1:33" ht="15" customHeight="1" x14ac:dyDescent="0.65">
      <c r="B12" s="259"/>
      <c r="C12" s="260"/>
      <c r="D12" s="260"/>
      <c r="E12" s="260"/>
      <c r="F12" s="260"/>
      <c r="G12" s="260"/>
      <c r="H12" s="260"/>
      <c r="I12" s="260"/>
      <c r="J12" s="260"/>
      <c r="K12" s="260"/>
      <c r="L12" s="260"/>
      <c r="M12" s="260"/>
      <c r="N12" s="260"/>
      <c r="O12" s="260"/>
      <c r="P12" s="260"/>
      <c r="Q12" s="260"/>
      <c r="R12" s="260"/>
      <c r="S12" s="260"/>
      <c r="T12" s="260"/>
      <c r="U12" s="260"/>
      <c r="V12" s="260"/>
      <c r="W12" s="260"/>
      <c r="X12" s="260"/>
      <c r="Y12" s="260"/>
      <c r="Z12" s="260"/>
      <c r="AA12" s="260"/>
      <c r="AB12" s="260"/>
      <c r="AC12" s="260"/>
      <c r="AD12" s="260"/>
      <c r="AE12" s="260"/>
      <c r="AF12" s="220" t="s">
        <v>212</v>
      </c>
      <c r="AG12" s="208"/>
    </row>
    <row r="13" spans="1:33" ht="15" customHeight="1" thickBot="1" x14ac:dyDescent="0.8">
      <c r="B13" s="261" t="s">
        <v>213</v>
      </c>
      <c r="C13" s="261">
        <v>2022</v>
      </c>
      <c r="D13" s="261">
        <v>2023</v>
      </c>
      <c r="E13" s="261">
        <v>2024</v>
      </c>
      <c r="F13" s="261">
        <v>2025</v>
      </c>
      <c r="G13" s="261">
        <v>2026</v>
      </c>
      <c r="H13" s="261">
        <v>2027</v>
      </c>
      <c r="I13" s="261">
        <v>2028</v>
      </c>
      <c r="J13" s="261">
        <v>2029</v>
      </c>
      <c r="K13" s="261">
        <v>2030</v>
      </c>
      <c r="L13" s="261">
        <v>2031</v>
      </c>
      <c r="M13" s="261">
        <v>2032</v>
      </c>
      <c r="N13" s="261">
        <v>2033</v>
      </c>
      <c r="O13" s="261">
        <v>2034</v>
      </c>
      <c r="P13" s="261">
        <v>2035</v>
      </c>
      <c r="Q13" s="261">
        <v>2036</v>
      </c>
      <c r="R13" s="261">
        <v>2037</v>
      </c>
      <c r="S13" s="261">
        <v>2038</v>
      </c>
      <c r="T13" s="261">
        <v>2039</v>
      </c>
      <c r="U13" s="261">
        <v>2040</v>
      </c>
      <c r="V13" s="261">
        <v>2041</v>
      </c>
      <c r="W13" s="261">
        <v>2042</v>
      </c>
      <c r="X13" s="261">
        <v>2043</v>
      </c>
      <c r="Y13" s="261">
        <v>2044</v>
      </c>
      <c r="Z13" s="261">
        <v>2045</v>
      </c>
      <c r="AA13" s="261">
        <v>2046</v>
      </c>
      <c r="AB13" s="261">
        <v>2047</v>
      </c>
      <c r="AC13" s="261">
        <v>2048</v>
      </c>
      <c r="AD13" s="261">
        <v>2049</v>
      </c>
      <c r="AE13" s="261">
        <v>2050</v>
      </c>
      <c r="AF13" s="262" t="s">
        <v>325</v>
      </c>
      <c r="AG13" s="208"/>
    </row>
    <row r="14" spans="1:33" ht="15" customHeight="1" thickTop="1" x14ac:dyDescent="0.65">
      <c r="B14" s="208"/>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row>
    <row r="15" spans="1:33" ht="15" customHeight="1" x14ac:dyDescent="0.65">
      <c r="B15" s="263" t="s">
        <v>169</v>
      </c>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row>
    <row r="16" spans="1:33" ht="15" customHeight="1" x14ac:dyDescent="0.65">
      <c r="A16" s="212" t="s">
        <v>215</v>
      </c>
      <c r="B16" s="264" t="s">
        <v>216</v>
      </c>
      <c r="C16" s="265">
        <v>24.586991999999999</v>
      </c>
      <c r="D16" s="265">
        <v>25.571161</v>
      </c>
      <c r="E16" s="265">
        <v>26.285039999999999</v>
      </c>
      <c r="F16" s="265">
        <v>26.689157000000002</v>
      </c>
      <c r="G16" s="265">
        <v>27.061613000000001</v>
      </c>
      <c r="H16" s="265">
        <v>27.276854</v>
      </c>
      <c r="I16" s="265">
        <v>27.645002000000002</v>
      </c>
      <c r="J16" s="265">
        <v>27.607613000000001</v>
      </c>
      <c r="K16" s="265">
        <v>27.657637000000001</v>
      </c>
      <c r="L16" s="265">
        <v>27.504726000000002</v>
      </c>
      <c r="M16" s="265">
        <v>27.566185000000001</v>
      </c>
      <c r="N16" s="265">
        <v>27.626515999999999</v>
      </c>
      <c r="O16" s="265">
        <v>27.525274</v>
      </c>
      <c r="P16" s="265">
        <v>27.454478999999999</v>
      </c>
      <c r="Q16" s="265">
        <v>27.324805999999999</v>
      </c>
      <c r="R16" s="265">
        <v>27.286284999999999</v>
      </c>
      <c r="S16" s="265">
        <v>27.180133999999999</v>
      </c>
      <c r="T16" s="265">
        <v>27.06955</v>
      </c>
      <c r="U16" s="265">
        <v>26.857201</v>
      </c>
      <c r="V16" s="265">
        <v>26.565493</v>
      </c>
      <c r="W16" s="265">
        <v>26.618496</v>
      </c>
      <c r="X16" s="265">
        <v>26.762219999999999</v>
      </c>
      <c r="Y16" s="265">
        <v>27.042204000000002</v>
      </c>
      <c r="Z16" s="265">
        <v>27.108968999999998</v>
      </c>
      <c r="AA16" s="265">
        <v>27.167717</v>
      </c>
      <c r="AB16" s="265">
        <v>26.948446000000001</v>
      </c>
      <c r="AC16" s="265">
        <v>27.031092000000001</v>
      </c>
      <c r="AD16" s="265">
        <v>27.320032000000001</v>
      </c>
      <c r="AE16" s="265">
        <v>27.390823000000001</v>
      </c>
      <c r="AF16" s="266">
        <v>3.8639999999999998E-3</v>
      </c>
      <c r="AG16" s="208"/>
    </row>
    <row r="17" spans="1:33" ht="15" customHeight="1" x14ac:dyDescent="0.65">
      <c r="A17" s="212" t="s">
        <v>217</v>
      </c>
      <c r="B17" s="264" t="s">
        <v>218</v>
      </c>
      <c r="C17" s="265">
        <v>7.7684930000000003</v>
      </c>
      <c r="D17" s="265">
        <v>8.1696559999999998</v>
      </c>
      <c r="E17" s="265">
        <v>8.3321199999999997</v>
      </c>
      <c r="F17" s="265">
        <v>8.3111510000000006</v>
      </c>
      <c r="G17" s="265">
        <v>8.4723849999999992</v>
      </c>
      <c r="H17" s="265">
        <v>8.3399160000000006</v>
      </c>
      <c r="I17" s="265">
        <v>8.2286289999999997</v>
      </c>
      <c r="J17" s="265">
        <v>8.1261060000000001</v>
      </c>
      <c r="K17" s="265">
        <v>8.0590299999999999</v>
      </c>
      <c r="L17" s="265">
        <v>8.0406610000000001</v>
      </c>
      <c r="M17" s="265">
        <v>8.1131670000000007</v>
      </c>
      <c r="N17" s="265">
        <v>8.1678940000000004</v>
      </c>
      <c r="O17" s="265">
        <v>8.2807069999999996</v>
      </c>
      <c r="P17" s="265">
        <v>8.3397360000000003</v>
      </c>
      <c r="Q17" s="265">
        <v>8.4637619999999991</v>
      </c>
      <c r="R17" s="265">
        <v>8.5171729999999997</v>
      </c>
      <c r="S17" s="265">
        <v>8.5180530000000001</v>
      </c>
      <c r="T17" s="265">
        <v>8.6456610000000005</v>
      </c>
      <c r="U17" s="265">
        <v>8.6326029999999996</v>
      </c>
      <c r="V17" s="265">
        <v>8.6911459999999998</v>
      </c>
      <c r="W17" s="265">
        <v>8.8430959999999992</v>
      </c>
      <c r="X17" s="265">
        <v>8.9670079999999999</v>
      </c>
      <c r="Y17" s="265">
        <v>9.0321160000000003</v>
      </c>
      <c r="Z17" s="265">
        <v>9.0799719999999997</v>
      </c>
      <c r="AA17" s="265">
        <v>9.1438089999999992</v>
      </c>
      <c r="AB17" s="265">
        <v>9.1952099999999994</v>
      </c>
      <c r="AC17" s="265">
        <v>9.2360419999999994</v>
      </c>
      <c r="AD17" s="265">
        <v>9.2827359999999999</v>
      </c>
      <c r="AE17" s="265">
        <v>9.3104460000000007</v>
      </c>
      <c r="AF17" s="266">
        <v>6.4869999999999997E-3</v>
      </c>
      <c r="AG17" s="208"/>
    </row>
    <row r="18" spans="1:33" ht="15" customHeight="1" x14ac:dyDescent="0.65">
      <c r="A18" s="212" t="s">
        <v>219</v>
      </c>
      <c r="B18" s="264" t="s">
        <v>220</v>
      </c>
      <c r="C18" s="265">
        <v>37.814273999999997</v>
      </c>
      <c r="D18" s="265">
        <v>37.835822999999998</v>
      </c>
      <c r="E18" s="265">
        <v>36.882995999999999</v>
      </c>
      <c r="F18" s="265">
        <v>37.047317999999997</v>
      </c>
      <c r="G18" s="265">
        <v>37.522250999999997</v>
      </c>
      <c r="H18" s="265">
        <v>37.473185999999998</v>
      </c>
      <c r="I18" s="265">
        <v>37.786017999999999</v>
      </c>
      <c r="J18" s="265">
        <v>38.036835000000004</v>
      </c>
      <c r="K18" s="265">
        <v>38.406055000000002</v>
      </c>
      <c r="L18" s="265">
        <v>38.853167999999997</v>
      </c>
      <c r="M18" s="265">
        <v>39.378104999999998</v>
      </c>
      <c r="N18" s="265">
        <v>39.977421</v>
      </c>
      <c r="O18" s="265">
        <v>40.490608000000002</v>
      </c>
      <c r="P18" s="265">
        <v>40.958793999999997</v>
      </c>
      <c r="Q18" s="265">
        <v>41.332081000000002</v>
      </c>
      <c r="R18" s="265">
        <v>41.707431999999997</v>
      </c>
      <c r="S18" s="265">
        <v>41.989215999999999</v>
      </c>
      <c r="T18" s="265">
        <v>42.240600999999998</v>
      </c>
      <c r="U18" s="265">
        <v>42.383110000000002</v>
      </c>
      <c r="V18" s="265">
        <v>42.506450999999998</v>
      </c>
      <c r="W18" s="265">
        <v>42.687958000000002</v>
      </c>
      <c r="X18" s="265">
        <v>42.804451</v>
      </c>
      <c r="Y18" s="265">
        <v>42.884608999999998</v>
      </c>
      <c r="Z18" s="265">
        <v>43.041491999999998</v>
      </c>
      <c r="AA18" s="265">
        <v>42.870251000000003</v>
      </c>
      <c r="AB18" s="265">
        <v>43.082157000000002</v>
      </c>
      <c r="AC18" s="265">
        <v>43.152934999999999</v>
      </c>
      <c r="AD18" s="265">
        <v>43.235588</v>
      </c>
      <c r="AE18" s="265">
        <v>43.621796000000003</v>
      </c>
      <c r="AF18" s="266">
        <v>5.1159999999999999E-3</v>
      </c>
      <c r="AG18" s="208"/>
    </row>
    <row r="19" spans="1:33" ht="15" customHeight="1" x14ac:dyDescent="0.65">
      <c r="A19" s="212" t="s">
        <v>221</v>
      </c>
      <c r="B19" s="264" t="s">
        <v>222</v>
      </c>
      <c r="C19" s="265">
        <v>11.789562999999999</v>
      </c>
      <c r="D19" s="265">
        <v>11.071955000000001</v>
      </c>
      <c r="E19" s="265">
        <v>12.067057</v>
      </c>
      <c r="F19" s="265">
        <v>11.332017</v>
      </c>
      <c r="G19" s="265">
        <v>10.370732</v>
      </c>
      <c r="H19" s="265">
        <v>9.3035239999999995</v>
      </c>
      <c r="I19" s="265">
        <v>8.3554209999999998</v>
      </c>
      <c r="J19" s="265">
        <v>7.4639850000000001</v>
      </c>
      <c r="K19" s="265">
        <v>7.0948640000000003</v>
      </c>
      <c r="L19" s="265">
        <v>7.0633650000000001</v>
      </c>
      <c r="M19" s="265">
        <v>7.1134110000000002</v>
      </c>
      <c r="N19" s="265">
        <v>7.082268</v>
      </c>
      <c r="O19" s="265">
        <v>7.0169699999999997</v>
      </c>
      <c r="P19" s="265">
        <v>7.0687850000000001</v>
      </c>
      <c r="Q19" s="265">
        <v>6.9859330000000002</v>
      </c>
      <c r="R19" s="265">
        <v>6.8019679999999996</v>
      </c>
      <c r="S19" s="265">
        <v>6.6920120000000001</v>
      </c>
      <c r="T19" s="265">
        <v>6.5331130000000002</v>
      </c>
      <c r="U19" s="265">
        <v>6.4377589999999998</v>
      </c>
      <c r="V19" s="265">
        <v>6.4426389999999998</v>
      </c>
      <c r="W19" s="265">
        <v>6.4541219999999999</v>
      </c>
      <c r="X19" s="265">
        <v>6.3639700000000001</v>
      </c>
      <c r="Y19" s="265">
        <v>6.2625320000000002</v>
      </c>
      <c r="Z19" s="265">
        <v>6.1887549999999996</v>
      </c>
      <c r="AA19" s="265">
        <v>6.1198709999999998</v>
      </c>
      <c r="AB19" s="265">
        <v>6.0876130000000002</v>
      </c>
      <c r="AC19" s="265">
        <v>6.0698829999999999</v>
      </c>
      <c r="AD19" s="265">
        <v>6.0320450000000001</v>
      </c>
      <c r="AE19" s="265">
        <v>5.9455960000000001</v>
      </c>
      <c r="AF19" s="266">
        <v>-2.4152E-2</v>
      </c>
      <c r="AG19" s="208"/>
    </row>
    <row r="20" spans="1:33" ht="15" customHeight="1" x14ac:dyDescent="0.65">
      <c r="A20" s="212" t="s">
        <v>223</v>
      </c>
      <c r="B20" s="264" t="s">
        <v>224</v>
      </c>
      <c r="C20" s="265">
        <v>8.0646540000000009</v>
      </c>
      <c r="D20" s="265">
        <v>8.1872109999999996</v>
      </c>
      <c r="E20" s="265">
        <v>8.2466290000000004</v>
      </c>
      <c r="F20" s="265">
        <v>8.1719659999999994</v>
      </c>
      <c r="G20" s="265">
        <v>8.0928570000000004</v>
      </c>
      <c r="H20" s="265">
        <v>8.0927190000000007</v>
      </c>
      <c r="I20" s="265">
        <v>7.9974689999999997</v>
      </c>
      <c r="J20" s="265">
        <v>7.9973400000000003</v>
      </c>
      <c r="K20" s="265">
        <v>7.9187440000000002</v>
      </c>
      <c r="L20" s="265">
        <v>7.9187969999999996</v>
      </c>
      <c r="M20" s="265">
        <v>7.9188850000000004</v>
      </c>
      <c r="N20" s="265">
        <v>7.47281</v>
      </c>
      <c r="O20" s="265">
        <v>7.4032179999999999</v>
      </c>
      <c r="P20" s="265">
        <v>7.3139329999999996</v>
      </c>
      <c r="Q20" s="265">
        <v>7.1458170000000001</v>
      </c>
      <c r="R20" s="265">
        <v>7.0316359999999998</v>
      </c>
      <c r="S20" s="265">
        <v>6.8371979999999999</v>
      </c>
      <c r="T20" s="265">
        <v>6.734248</v>
      </c>
      <c r="U20" s="265">
        <v>6.5336410000000003</v>
      </c>
      <c r="V20" s="265">
        <v>6.5354080000000003</v>
      </c>
      <c r="W20" s="265">
        <v>6.5385289999999996</v>
      </c>
      <c r="X20" s="265">
        <v>6.5412020000000002</v>
      </c>
      <c r="Y20" s="265">
        <v>6.5441659999999997</v>
      </c>
      <c r="Z20" s="265">
        <v>6.5441919999999998</v>
      </c>
      <c r="AA20" s="265">
        <v>6.5416629999999998</v>
      </c>
      <c r="AB20" s="265">
        <v>6.5396289999999997</v>
      </c>
      <c r="AC20" s="265">
        <v>6.5306360000000003</v>
      </c>
      <c r="AD20" s="265">
        <v>6.5318709999999998</v>
      </c>
      <c r="AE20" s="265">
        <v>6.5277070000000004</v>
      </c>
      <c r="AF20" s="266">
        <v>-7.5230000000000002E-3</v>
      </c>
      <c r="AG20" s="208"/>
    </row>
    <row r="21" spans="1:33" ht="15" customHeight="1" x14ac:dyDescent="0.65">
      <c r="A21" s="212" t="s">
        <v>225</v>
      </c>
      <c r="B21" s="264" t="s">
        <v>226</v>
      </c>
      <c r="C21" s="265">
        <v>2.4534539999999998</v>
      </c>
      <c r="D21" s="265">
        <v>2.4584619999999999</v>
      </c>
      <c r="E21" s="265">
        <v>2.5025629999999999</v>
      </c>
      <c r="F21" s="265">
        <v>2.5886840000000002</v>
      </c>
      <c r="G21" s="265">
        <v>2.579723</v>
      </c>
      <c r="H21" s="265">
        <v>2.556826</v>
      </c>
      <c r="I21" s="265">
        <v>2.5153810000000001</v>
      </c>
      <c r="J21" s="265">
        <v>2.4861960000000001</v>
      </c>
      <c r="K21" s="265">
        <v>2.4574240000000001</v>
      </c>
      <c r="L21" s="265">
        <v>2.4364599999999998</v>
      </c>
      <c r="M21" s="265">
        <v>2.4196759999999999</v>
      </c>
      <c r="N21" s="265">
        <v>2.4223810000000001</v>
      </c>
      <c r="O21" s="265">
        <v>2.4264060000000001</v>
      </c>
      <c r="P21" s="265">
        <v>2.4299979999999999</v>
      </c>
      <c r="Q21" s="265">
        <v>2.4353150000000001</v>
      </c>
      <c r="R21" s="265">
        <v>2.4235120000000001</v>
      </c>
      <c r="S21" s="265">
        <v>2.4101499999999998</v>
      </c>
      <c r="T21" s="265">
        <v>2.3862079999999999</v>
      </c>
      <c r="U21" s="265">
        <v>2.381421</v>
      </c>
      <c r="V21" s="265">
        <v>2.3661409999999998</v>
      </c>
      <c r="W21" s="265">
        <v>2.3694090000000001</v>
      </c>
      <c r="X21" s="265">
        <v>2.3626369999999999</v>
      </c>
      <c r="Y21" s="265">
        <v>2.357599</v>
      </c>
      <c r="Z21" s="265">
        <v>2.3544640000000001</v>
      </c>
      <c r="AA21" s="265">
        <v>2.343242</v>
      </c>
      <c r="AB21" s="265">
        <v>2.336414</v>
      </c>
      <c r="AC21" s="265">
        <v>2.3340749999999999</v>
      </c>
      <c r="AD21" s="265">
        <v>2.3209420000000001</v>
      </c>
      <c r="AE21" s="265">
        <v>2.309024</v>
      </c>
      <c r="AF21" s="266">
        <v>-2.1640000000000001E-3</v>
      </c>
      <c r="AG21" s="208"/>
    </row>
    <row r="22" spans="1:33" ht="15" customHeight="1" x14ac:dyDescent="0.65">
      <c r="A22" s="212" t="s">
        <v>227</v>
      </c>
      <c r="B22" s="264" t="s">
        <v>228</v>
      </c>
      <c r="C22" s="265">
        <v>4.8388049999999998</v>
      </c>
      <c r="D22" s="265">
        <v>5.0327409999999997</v>
      </c>
      <c r="E22" s="265">
        <v>4.9642150000000003</v>
      </c>
      <c r="F22" s="265">
        <v>4.9121420000000002</v>
      </c>
      <c r="G22" s="265">
        <v>4.8860520000000003</v>
      </c>
      <c r="H22" s="265">
        <v>4.8757210000000004</v>
      </c>
      <c r="I22" s="265">
        <v>4.7697370000000001</v>
      </c>
      <c r="J22" s="265">
        <v>4.7670009999999996</v>
      </c>
      <c r="K22" s="265">
        <v>4.7650350000000001</v>
      </c>
      <c r="L22" s="265">
        <v>4.7679150000000003</v>
      </c>
      <c r="M22" s="265">
        <v>4.7730139999999999</v>
      </c>
      <c r="N22" s="265">
        <v>4.7829480000000002</v>
      </c>
      <c r="O22" s="265">
        <v>4.7930339999999996</v>
      </c>
      <c r="P22" s="265">
        <v>4.8174720000000004</v>
      </c>
      <c r="Q22" s="265">
        <v>4.8185589999999996</v>
      </c>
      <c r="R22" s="265">
        <v>4.8266150000000003</v>
      </c>
      <c r="S22" s="265">
        <v>4.8344180000000003</v>
      </c>
      <c r="T22" s="265">
        <v>4.8440789999999998</v>
      </c>
      <c r="U22" s="265">
        <v>4.8579749999999997</v>
      </c>
      <c r="V22" s="265">
        <v>4.8927779999999998</v>
      </c>
      <c r="W22" s="265">
        <v>4.909179</v>
      </c>
      <c r="X22" s="265">
        <v>4.9259300000000001</v>
      </c>
      <c r="Y22" s="265">
        <v>4.9240259999999996</v>
      </c>
      <c r="Z22" s="265">
        <v>4.9320199999999996</v>
      </c>
      <c r="AA22" s="265">
        <v>4.970815</v>
      </c>
      <c r="AB22" s="265">
        <v>5.0192649999999999</v>
      </c>
      <c r="AC22" s="265">
        <v>5.1055200000000003</v>
      </c>
      <c r="AD22" s="265">
        <v>5.1544549999999996</v>
      </c>
      <c r="AE22" s="265">
        <v>5.1889159999999999</v>
      </c>
      <c r="AF22" s="266">
        <v>2.4979999999999998E-3</v>
      </c>
      <c r="AG22" s="208"/>
    </row>
    <row r="23" spans="1:33" ht="15" customHeight="1" x14ac:dyDescent="0.65">
      <c r="A23" s="212" t="s">
        <v>229</v>
      </c>
      <c r="B23" s="264" t="s">
        <v>230</v>
      </c>
      <c r="C23" s="265">
        <v>5.6228480000000003</v>
      </c>
      <c r="D23" s="265">
        <v>6.1255499999999996</v>
      </c>
      <c r="E23" s="265">
        <v>6.742159</v>
      </c>
      <c r="F23" s="265">
        <v>8.1732440000000004</v>
      </c>
      <c r="G23" s="265">
        <v>9.9076740000000001</v>
      </c>
      <c r="H23" s="265">
        <v>11.653165</v>
      </c>
      <c r="I23" s="265">
        <v>13.154488000000001</v>
      </c>
      <c r="J23" s="265">
        <v>14.209771999999999</v>
      </c>
      <c r="K23" s="265">
        <v>15.128234000000001</v>
      </c>
      <c r="L23" s="265">
        <v>15.78889</v>
      </c>
      <c r="M23" s="265">
        <v>16.442295000000001</v>
      </c>
      <c r="N23" s="265">
        <v>17.189572999999999</v>
      </c>
      <c r="O23" s="265">
        <v>17.791294000000001</v>
      </c>
      <c r="P23" s="265">
        <v>18.262888</v>
      </c>
      <c r="Q23" s="265">
        <v>18.746867999999999</v>
      </c>
      <c r="R23" s="265">
        <v>19.110621999999999</v>
      </c>
      <c r="S23" s="265">
        <v>19.414563999999999</v>
      </c>
      <c r="T23" s="265">
        <v>19.609310000000001</v>
      </c>
      <c r="U23" s="265">
        <v>19.90523</v>
      </c>
      <c r="V23" s="265">
        <v>20.063116000000001</v>
      </c>
      <c r="W23" s="265">
        <v>20.302187</v>
      </c>
      <c r="X23" s="265">
        <v>20.584305000000001</v>
      </c>
      <c r="Y23" s="265">
        <v>20.993839000000001</v>
      </c>
      <c r="Z23" s="265">
        <v>21.370591999999998</v>
      </c>
      <c r="AA23" s="265">
        <v>21.805226999999999</v>
      </c>
      <c r="AB23" s="265">
        <v>22.17202</v>
      </c>
      <c r="AC23" s="265">
        <v>22.539532000000001</v>
      </c>
      <c r="AD23" s="265">
        <v>22.840260000000001</v>
      </c>
      <c r="AE23" s="265">
        <v>23.283978999999999</v>
      </c>
      <c r="AF23" s="266">
        <v>5.2056999999999999E-2</v>
      </c>
      <c r="AG23" s="208"/>
    </row>
    <row r="24" spans="1:33" ht="15" customHeight="1" x14ac:dyDescent="0.65">
      <c r="A24" s="212" t="s">
        <v>231</v>
      </c>
      <c r="B24" s="264" t="s">
        <v>232</v>
      </c>
      <c r="C24" s="265">
        <v>1.8251299999999999</v>
      </c>
      <c r="D24" s="265">
        <v>1.2340370000000001</v>
      </c>
      <c r="E24" s="265">
        <v>0.92866899999999997</v>
      </c>
      <c r="F24" s="265">
        <v>0.80385700000000004</v>
      </c>
      <c r="G24" s="265">
        <v>0.90989799999999998</v>
      </c>
      <c r="H24" s="265">
        <v>0.90237000000000001</v>
      </c>
      <c r="I24" s="265">
        <v>0.84100299999999995</v>
      </c>
      <c r="J24" s="265">
        <v>0.82840100000000005</v>
      </c>
      <c r="K24" s="265">
        <v>0.83663500000000002</v>
      </c>
      <c r="L24" s="265">
        <v>0.83752599999999999</v>
      </c>
      <c r="M24" s="265">
        <v>0.71289000000000002</v>
      </c>
      <c r="N24" s="265">
        <v>0.708538</v>
      </c>
      <c r="O24" s="265">
        <v>0.71509</v>
      </c>
      <c r="P24" s="265">
        <v>0.70965400000000001</v>
      </c>
      <c r="Q24" s="265">
        <v>0.706237</v>
      </c>
      <c r="R24" s="265">
        <v>0.70395200000000002</v>
      </c>
      <c r="S24" s="265">
        <v>0.70483799999999996</v>
      </c>
      <c r="T24" s="265">
        <v>0.704036</v>
      </c>
      <c r="U24" s="265">
        <v>0.700627</v>
      </c>
      <c r="V24" s="265">
        <v>0.70272699999999999</v>
      </c>
      <c r="W24" s="265">
        <v>0.70044499999999998</v>
      </c>
      <c r="X24" s="265">
        <v>0.69992600000000005</v>
      </c>
      <c r="Y24" s="265">
        <v>0.70078099999999999</v>
      </c>
      <c r="Z24" s="265">
        <v>0.70064499999999996</v>
      </c>
      <c r="AA24" s="265">
        <v>0.67757400000000001</v>
      </c>
      <c r="AB24" s="265">
        <v>0.67462100000000003</v>
      </c>
      <c r="AC24" s="265">
        <v>0.67769199999999996</v>
      </c>
      <c r="AD24" s="265">
        <v>0.67827199999999999</v>
      </c>
      <c r="AE24" s="265">
        <v>0.67577299999999996</v>
      </c>
      <c r="AF24" s="266">
        <v>-3.4861999999999997E-2</v>
      </c>
      <c r="AG24" s="208"/>
    </row>
    <row r="25" spans="1:33" ht="15" customHeight="1" x14ac:dyDescent="0.65">
      <c r="A25" s="212" t="s">
        <v>233</v>
      </c>
      <c r="B25" s="263" t="s">
        <v>234</v>
      </c>
      <c r="C25" s="267">
        <v>104.764206</v>
      </c>
      <c r="D25" s="267">
        <v>105.6866</v>
      </c>
      <c r="E25" s="267">
        <v>106.951447</v>
      </c>
      <c r="F25" s="267">
        <v>108.029526</v>
      </c>
      <c r="G25" s="267">
        <v>109.803185</v>
      </c>
      <c r="H25" s="267">
        <v>110.474281</v>
      </c>
      <c r="I25" s="267">
        <v>111.29315200000001</v>
      </c>
      <c r="J25" s="267">
        <v>111.523239</v>
      </c>
      <c r="K25" s="267">
        <v>112.323662</v>
      </c>
      <c r="L25" s="267">
        <v>113.21151</v>
      </c>
      <c r="M25" s="267">
        <v>114.437622</v>
      </c>
      <c r="N25" s="267">
        <v>115.430359</v>
      </c>
      <c r="O25" s="267">
        <v>116.44259599999999</v>
      </c>
      <c r="P25" s="267">
        <v>117.35573599999999</v>
      </c>
      <c r="Q25" s="267">
        <v>117.95938099999999</v>
      </c>
      <c r="R25" s="267">
        <v>118.40920300000001</v>
      </c>
      <c r="S25" s="267">
        <v>118.580589</v>
      </c>
      <c r="T25" s="267">
        <v>118.766792</v>
      </c>
      <c r="U25" s="267">
        <v>118.68956</v>
      </c>
      <c r="V25" s="267">
        <v>118.765907</v>
      </c>
      <c r="W25" s="267">
        <v>119.423424</v>
      </c>
      <c r="X25" s="267">
        <v>120.01164199999999</v>
      </c>
      <c r="Y25" s="267">
        <v>120.741867</v>
      </c>
      <c r="Z25" s="267">
        <v>121.32109800000001</v>
      </c>
      <c r="AA25" s="267">
        <v>121.640175</v>
      </c>
      <c r="AB25" s="267">
        <v>122.05538199999999</v>
      </c>
      <c r="AC25" s="267">
        <v>122.67742200000001</v>
      </c>
      <c r="AD25" s="267">
        <v>123.396187</v>
      </c>
      <c r="AE25" s="267">
        <v>124.25406599999999</v>
      </c>
      <c r="AF25" s="268">
        <v>6.1120000000000002E-3</v>
      </c>
      <c r="AG25" s="208"/>
    </row>
    <row r="26" spans="1:33" ht="15" customHeight="1" x14ac:dyDescent="0.65">
      <c r="B26" s="208"/>
      <c r="C26" s="208"/>
      <c r="D26" s="208"/>
      <c r="E26" s="208"/>
      <c r="F26" s="208"/>
      <c r="G26" s="208"/>
      <c r="H26" s="208"/>
      <c r="I26" s="208"/>
      <c r="J26" s="208"/>
      <c r="K26" s="208"/>
      <c r="L26" s="208"/>
      <c r="M26" s="208"/>
      <c r="N26" s="208"/>
      <c r="O26" s="208"/>
      <c r="P26" s="208"/>
      <c r="Q26" s="208"/>
      <c r="R26" s="208"/>
      <c r="S26" s="208"/>
      <c r="T26" s="208"/>
      <c r="U26" s="208"/>
      <c r="V26" s="208"/>
      <c r="W26" s="208"/>
      <c r="X26" s="208"/>
      <c r="Y26" s="208"/>
      <c r="Z26" s="208"/>
      <c r="AA26" s="208"/>
      <c r="AB26" s="208"/>
      <c r="AC26" s="208"/>
      <c r="AD26" s="208"/>
      <c r="AE26" s="208"/>
      <c r="AF26" s="208"/>
      <c r="AG26" s="208"/>
    </row>
    <row r="27" spans="1:33" ht="15" customHeight="1" x14ac:dyDescent="0.65">
      <c r="B27" s="263" t="s">
        <v>87</v>
      </c>
      <c r="C27" s="208"/>
      <c r="D27" s="208"/>
      <c r="E27" s="208"/>
      <c r="F27" s="208"/>
      <c r="G27" s="208"/>
      <c r="H27" s="208"/>
      <c r="I27" s="208"/>
      <c r="J27" s="208"/>
      <c r="K27" s="208"/>
      <c r="L27" s="208"/>
      <c r="M27" s="208"/>
      <c r="N27" s="208"/>
      <c r="O27" s="208"/>
      <c r="P27" s="208"/>
      <c r="Q27" s="208"/>
      <c r="R27" s="208"/>
      <c r="S27" s="208"/>
      <c r="T27" s="208"/>
      <c r="U27" s="208"/>
      <c r="V27" s="208"/>
      <c r="W27" s="208"/>
      <c r="X27" s="208"/>
      <c r="Y27" s="208"/>
      <c r="Z27" s="208"/>
      <c r="AA27" s="208"/>
      <c r="AB27" s="208"/>
      <c r="AC27" s="208"/>
      <c r="AD27" s="208"/>
      <c r="AE27" s="208"/>
      <c r="AF27" s="208"/>
      <c r="AG27" s="208"/>
    </row>
    <row r="28" spans="1:33" ht="15" customHeight="1" x14ac:dyDescent="0.65">
      <c r="A28" s="212" t="s">
        <v>235</v>
      </c>
      <c r="B28" s="264" t="s">
        <v>236</v>
      </c>
      <c r="C28" s="265">
        <v>13.824968</v>
      </c>
      <c r="D28" s="265">
        <v>14.777424999999999</v>
      </c>
      <c r="E28" s="265">
        <v>15.446031</v>
      </c>
      <c r="F28" s="265">
        <v>15.30518</v>
      </c>
      <c r="G28" s="265">
        <v>15.0045</v>
      </c>
      <c r="H28" s="265">
        <v>15.261106</v>
      </c>
      <c r="I28" s="265">
        <v>15.230433</v>
      </c>
      <c r="J28" s="265">
        <v>15.491680000000001</v>
      </c>
      <c r="K28" s="265">
        <v>15.589062999999999</v>
      </c>
      <c r="L28" s="265">
        <v>15.686406</v>
      </c>
      <c r="M28" s="265">
        <v>15.720078000000001</v>
      </c>
      <c r="N28" s="265">
        <v>15.538974</v>
      </c>
      <c r="O28" s="265">
        <v>15.709466000000001</v>
      </c>
      <c r="P28" s="265">
        <v>15.851457</v>
      </c>
      <c r="Q28" s="265">
        <v>15.843707</v>
      </c>
      <c r="R28" s="265">
        <v>15.807153</v>
      </c>
      <c r="S28" s="265">
        <v>15.874155999999999</v>
      </c>
      <c r="T28" s="265">
        <v>15.984639</v>
      </c>
      <c r="U28" s="265">
        <v>16.045517</v>
      </c>
      <c r="V28" s="265">
        <v>16.390509000000002</v>
      </c>
      <c r="W28" s="265">
        <v>16.327881000000001</v>
      </c>
      <c r="X28" s="265">
        <v>16.155360999999999</v>
      </c>
      <c r="Y28" s="265">
        <v>15.890744</v>
      </c>
      <c r="Z28" s="265">
        <v>15.766374000000001</v>
      </c>
      <c r="AA28" s="265">
        <v>15.490686</v>
      </c>
      <c r="AB28" s="265">
        <v>15.523277999999999</v>
      </c>
      <c r="AC28" s="265">
        <v>15.392778</v>
      </c>
      <c r="AD28" s="265">
        <v>15.059613000000001</v>
      </c>
      <c r="AE28" s="265">
        <v>14.806977</v>
      </c>
      <c r="AF28" s="266">
        <v>2.454E-3</v>
      </c>
      <c r="AG28" s="208"/>
    </row>
    <row r="29" spans="1:33" ht="15" customHeight="1" x14ac:dyDescent="0.65">
      <c r="A29" s="212" t="s">
        <v>237</v>
      </c>
      <c r="B29" s="264" t="s">
        <v>238</v>
      </c>
      <c r="C29" s="265">
        <v>4.758858</v>
      </c>
      <c r="D29" s="265">
        <v>4.8393420000000003</v>
      </c>
      <c r="E29" s="265">
        <v>4.0300890000000003</v>
      </c>
      <c r="F29" s="265">
        <v>4.0340949999999998</v>
      </c>
      <c r="G29" s="265">
        <v>4.0358739999999997</v>
      </c>
      <c r="H29" s="265">
        <v>3.9928560000000002</v>
      </c>
      <c r="I29" s="265">
        <v>3.9138630000000001</v>
      </c>
      <c r="J29" s="265">
        <v>3.8377659999999998</v>
      </c>
      <c r="K29" s="265">
        <v>3.8044229999999999</v>
      </c>
      <c r="L29" s="265">
        <v>3.8062960000000001</v>
      </c>
      <c r="M29" s="265">
        <v>3.7409319999999999</v>
      </c>
      <c r="N29" s="265">
        <v>3.7181160000000002</v>
      </c>
      <c r="O29" s="265">
        <v>3.6847699999999999</v>
      </c>
      <c r="P29" s="265">
        <v>3.6818710000000001</v>
      </c>
      <c r="Q29" s="265">
        <v>3.6705369999999999</v>
      </c>
      <c r="R29" s="265">
        <v>3.6813039999999999</v>
      </c>
      <c r="S29" s="265">
        <v>3.6850719999999999</v>
      </c>
      <c r="T29" s="265">
        <v>3.6928719999999999</v>
      </c>
      <c r="U29" s="265">
        <v>3.7024089999999998</v>
      </c>
      <c r="V29" s="265">
        <v>3.7233679999999998</v>
      </c>
      <c r="W29" s="265">
        <v>3.7186750000000002</v>
      </c>
      <c r="X29" s="265">
        <v>3.7253620000000001</v>
      </c>
      <c r="Y29" s="265">
        <v>3.7171259999999999</v>
      </c>
      <c r="Z29" s="265">
        <v>3.7475429999999998</v>
      </c>
      <c r="AA29" s="265">
        <v>3.7224379999999999</v>
      </c>
      <c r="AB29" s="265">
        <v>3.7441249999999999</v>
      </c>
      <c r="AC29" s="265">
        <v>3.8167680000000002</v>
      </c>
      <c r="AD29" s="265">
        <v>3.836668</v>
      </c>
      <c r="AE29" s="265">
        <v>3.7676440000000002</v>
      </c>
      <c r="AF29" s="266">
        <v>-8.3070000000000001E-3</v>
      </c>
      <c r="AG29" s="208"/>
    </row>
    <row r="30" spans="1:33" ht="15" customHeight="1" x14ac:dyDescent="0.65">
      <c r="A30" s="212" t="s">
        <v>239</v>
      </c>
      <c r="B30" s="264" t="s">
        <v>240</v>
      </c>
      <c r="C30" s="265">
        <v>2.981649</v>
      </c>
      <c r="D30" s="265">
        <v>2.8084820000000001</v>
      </c>
      <c r="E30" s="265">
        <v>2.4610690000000002</v>
      </c>
      <c r="F30" s="265">
        <v>2.35087</v>
      </c>
      <c r="G30" s="265">
        <v>2.2521100000000001</v>
      </c>
      <c r="H30" s="265">
        <v>2.1840480000000002</v>
      </c>
      <c r="I30" s="265">
        <v>2.0737390000000002</v>
      </c>
      <c r="J30" s="265">
        <v>2.0405530000000001</v>
      </c>
      <c r="K30" s="265">
        <v>2.0728650000000002</v>
      </c>
      <c r="L30" s="265">
        <v>2.0679400000000001</v>
      </c>
      <c r="M30" s="265">
        <v>2.1186799999999999</v>
      </c>
      <c r="N30" s="265">
        <v>2.137902</v>
      </c>
      <c r="O30" s="265">
        <v>2.141702</v>
      </c>
      <c r="P30" s="265">
        <v>2.125696</v>
      </c>
      <c r="Q30" s="265">
        <v>2.080384</v>
      </c>
      <c r="R30" s="265">
        <v>2.0793509999999999</v>
      </c>
      <c r="S30" s="265">
        <v>2.1369690000000001</v>
      </c>
      <c r="T30" s="265">
        <v>2.1100599999999998</v>
      </c>
      <c r="U30" s="265">
        <v>2.231398</v>
      </c>
      <c r="V30" s="265">
        <v>2.2567810000000001</v>
      </c>
      <c r="W30" s="265">
        <v>2.2697090000000002</v>
      </c>
      <c r="X30" s="265">
        <v>2.3180019999999999</v>
      </c>
      <c r="Y30" s="265">
        <v>2.4019599999999999</v>
      </c>
      <c r="Z30" s="265">
        <v>2.477401</v>
      </c>
      <c r="AA30" s="265">
        <v>2.5080589999999998</v>
      </c>
      <c r="AB30" s="265">
        <v>2.53545</v>
      </c>
      <c r="AC30" s="265">
        <v>2.5825819999999999</v>
      </c>
      <c r="AD30" s="265">
        <v>2.5992690000000001</v>
      </c>
      <c r="AE30" s="265">
        <v>2.6272039999999999</v>
      </c>
      <c r="AF30" s="266">
        <v>-4.5100000000000001E-3</v>
      </c>
      <c r="AG30" s="208"/>
    </row>
    <row r="31" spans="1:33" ht="12.25" x14ac:dyDescent="0.65">
      <c r="A31" s="212" t="s">
        <v>241</v>
      </c>
      <c r="B31" s="264" t="s">
        <v>242</v>
      </c>
      <c r="C31" s="265">
        <v>0.25367000000000001</v>
      </c>
      <c r="D31" s="265">
        <v>0.337121</v>
      </c>
      <c r="E31" s="265">
        <v>0.14549000000000001</v>
      </c>
      <c r="F31" s="265">
        <v>0.13084100000000001</v>
      </c>
      <c r="G31" s="265">
        <v>0.141319</v>
      </c>
      <c r="H31" s="265">
        <v>0.155275</v>
      </c>
      <c r="I31" s="265">
        <v>0.17730299999999999</v>
      </c>
      <c r="J31" s="265">
        <v>0.16914799999999999</v>
      </c>
      <c r="K31" s="265">
        <v>0.176284</v>
      </c>
      <c r="L31" s="265">
        <v>0.166932</v>
      </c>
      <c r="M31" s="265">
        <v>0.17031399999999999</v>
      </c>
      <c r="N31" s="265">
        <v>0.16933599999999999</v>
      </c>
      <c r="O31" s="265">
        <v>0.17039799999999999</v>
      </c>
      <c r="P31" s="265">
        <v>0.16594200000000001</v>
      </c>
      <c r="Q31" s="265">
        <v>0.16400500000000001</v>
      </c>
      <c r="R31" s="265">
        <v>0.163859</v>
      </c>
      <c r="S31" s="265">
        <v>0.167017</v>
      </c>
      <c r="T31" s="265">
        <v>0.16908000000000001</v>
      </c>
      <c r="U31" s="265">
        <v>0.17061399999999999</v>
      </c>
      <c r="V31" s="265">
        <v>0.166044</v>
      </c>
      <c r="W31" s="265">
        <v>0.16572100000000001</v>
      </c>
      <c r="X31" s="265">
        <v>0.16325200000000001</v>
      </c>
      <c r="Y31" s="265">
        <v>0.161465</v>
      </c>
      <c r="Z31" s="265">
        <v>0.15851699999999999</v>
      </c>
      <c r="AA31" s="265">
        <v>0.155057</v>
      </c>
      <c r="AB31" s="265">
        <v>0.154695</v>
      </c>
      <c r="AC31" s="265">
        <v>0.15764900000000001</v>
      </c>
      <c r="AD31" s="265">
        <v>0.15917999999999999</v>
      </c>
      <c r="AE31" s="265">
        <v>0.15726100000000001</v>
      </c>
      <c r="AF31" s="266">
        <v>-1.6931000000000002E-2</v>
      </c>
      <c r="AG31" s="208"/>
    </row>
    <row r="32" spans="1:33" ht="12.25" x14ac:dyDescent="0.65">
      <c r="A32" s="212" t="s">
        <v>243</v>
      </c>
      <c r="B32" s="263" t="s">
        <v>234</v>
      </c>
      <c r="C32" s="267">
        <v>21.819144999999999</v>
      </c>
      <c r="D32" s="267">
        <v>22.762371000000002</v>
      </c>
      <c r="E32" s="267">
        <v>22.08268</v>
      </c>
      <c r="F32" s="267">
        <v>21.820986000000001</v>
      </c>
      <c r="G32" s="267">
        <v>21.433803999999999</v>
      </c>
      <c r="H32" s="267">
        <v>21.593285000000002</v>
      </c>
      <c r="I32" s="267">
        <v>21.395336</v>
      </c>
      <c r="J32" s="267">
        <v>21.539145999999999</v>
      </c>
      <c r="K32" s="267">
        <v>21.642633</v>
      </c>
      <c r="L32" s="267">
        <v>21.727573</v>
      </c>
      <c r="M32" s="267">
        <v>21.750001999999999</v>
      </c>
      <c r="N32" s="267">
        <v>21.564329000000001</v>
      </c>
      <c r="O32" s="267">
        <v>21.706337000000001</v>
      </c>
      <c r="P32" s="267">
        <v>21.824964999999999</v>
      </c>
      <c r="Q32" s="267">
        <v>21.758633</v>
      </c>
      <c r="R32" s="267">
        <v>21.731667000000002</v>
      </c>
      <c r="S32" s="267">
        <v>21.863212999999998</v>
      </c>
      <c r="T32" s="267">
        <v>21.956651999999998</v>
      </c>
      <c r="U32" s="267">
        <v>22.149939</v>
      </c>
      <c r="V32" s="267">
        <v>22.536701000000001</v>
      </c>
      <c r="W32" s="267">
        <v>22.481985000000002</v>
      </c>
      <c r="X32" s="267">
        <v>22.361977</v>
      </c>
      <c r="Y32" s="267">
        <v>22.171295000000001</v>
      </c>
      <c r="Z32" s="267">
        <v>22.149836000000001</v>
      </c>
      <c r="AA32" s="267">
        <v>21.876242000000001</v>
      </c>
      <c r="AB32" s="267">
        <v>21.957547999999999</v>
      </c>
      <c r="AC32" s="267">
        <v>21.949777999999998</v>
      </c>
      <c r="AD32" s="267">
        <v>21.654731999999999</v>
      </c>
      <c r="AE32" s="267">
        <v>21.359085</v>
      </c>
      <c r="AF32" s="268">
        <v>-7.6099999999999996E-4</v>
      </c>
      <c r="AG32" s="208"/>
    </row>
    <row r="33" spans="1:33" ht="12.25" x14ac:dyDescent="0.65">
      <c r="B33" s="208"/>
      <c r="C33" s="208"/>
      <c r="D33" s="208"/>
      <c r="E33" s="208"/>
      <c r="F33" s="208"/>
      <c r="G33" s="208"/>
      <c r="H33" s="208"/>
      <c r="I33" s="208"/>
      <c r="J33" s="208"/>
      <c r="K33" s="208"/>
      <c r="L33" s="208"/>
      <c r="M33" s="208"/>
      <c r="N33" s="208"/>
      <c r="O33" s="208"/>
      <c r="P33" s="208"/>
      <c r="Q33" s="208"/>
      <c r="R33" s="208"/>
      <c r="S33" s="208"/>
      <c r="T33" s="208"/>
      <c r="U33" s="208"/>
      <c r="V33" s="208"/>
      <c r="W33" s="208"/>
      <c r="X33" s="208"/>
      <c r="Y33" s="208"/>
      <c r="Z33" s="208"/>
      <c r="AA33" s="208"/>
      <c r="AB33" s="208"/>
      <c r="AC33" s="208"/>
      <c r="AD33" s="208"/>
      <c r="AE33" s="208"/>
      <c r="AF33" s="208"/>
      <c r="AG33" s="208"/>
    </row>
    <row r="34" spans="1:33" ht="12.25" x14ac:dyDescent="0.65">
      <c r="B34" s="263" t="s">
        <v>92</v>
      </c>
      <c r="C34" s="208"/>
      <c r="D34" s="208"/>
      <c r="E34" s="208"/>
      <c r="F34" s="208"/>
      <c r="G34" s="208"/>
      <c r="H34" s="208"/>
      <c r="I34" s="208"/>
      <c r="J34" s="208"/>
      <c r="K34" s="208"/>
      <c r="L34" s="208"/>
      <c r="M34" s="208"/>
      <c r="N34" s="208"/>
      <c r="O34" s="208"/>
      <c r="P34" s="208"/>
      <c r="Q34" s="208"/>
      <c r="R34" s="208"/>
      <c r="S34" s="208"/>
      <c r="T34" s="208"/>
      <c r="U34" s="208"/>
      <c r="V34" s="208"/>
      <c r="W34" s="208"/>
      <c r="X34" s="208"/>
      <c r="Y34" s="208"/>
      <c r="Z34" s="208"/>
      <c r="AA34" s="208"/>
      <c r="AB34" s="208"/>
      <c r="AC34" s="208"/>
      <c r="AD34" s="208"/>
      <c r="AE34" s="208"/>
      <c r="AF34" s="208"/>
      <c r="AG34" s="208"/>
    </row>
    <row r="35" spans="1:33" ht="12.25" x14ac:dyDescent="0.65">
      <c r="A35" s="212" t="s">
        <v>244</v>
      </c>
      <c r="B35" s="264" t="s">
        <v>245</v>
      </c>
      <c r="C35" s="265">
        <v>18.536159999999999</v>
      </c>
      <c r="D35" s="265">
        <v>19.040469999999999</v>
      </c>
      <c r="E35" s="265">
        <v>20.328047000000002</v>
      </c>
      <c r="F35" s="265">
        <v>20.579879999999999</v>
      </c>
      <c r="G35" s="265">
        <v>21.071783</v>
      </c>
      <c r="H35" s="265">
        <v>21.489708</v>
      </c>
      <c r="I35" s="265">
        <v>21.636562000000001</v>
      </c>
      <c r="J35" s="265">
        <v>21.880472000000001</v>
      </c>
      <c r="K35" s="265">
        <v>22.202881000000001</v>
      </c>
      <c r="L35" s="265">
        <v>22.327625000000001</v>
      </c>
      <c r="M35" s="265">
        <v>22.464676000000001</v>
      </c>
      <c r="N35" s="265">
        <v>22.515352</v>
      </c>
      <c r="O35" s="265">
        <v>22.756022999999999</v>
      </c>
      <c r="P35" s="265">
        <v>22.978777000000001</v>
      </c>
      <c r="Q35" s="265">
        <v>23.076605000000001</v>
      </c>
      <c r="R35" s="265">
        <v>23.112068000000001</v>
      </c>
      <c r="S35" s="265">
        <v>23.121672</v>
      </c>
      <c r="T35" s="265">
        <v>23.267797000000002</v>
      </c>
      <c r="U35" s="265">
        <v>23.053844000000002</v>
      </c>
      <c r="V35" s="265">
        <v>23.139195999999998</v>
      </c>
      <c r="W35" s="265">
        <v>23.210156999999999</v>
      </c>
      <c r="X35" s="265">
        <v>23.236941999999999</v>
      </c>
      <c r="Y35" s="265">
        <v>23.218385999999999</v>
      </c>
      <c r="Z35" s="265">
        <v>23.136253</v>
      </c>
      <c r="AA35" s="265">
        <v>22.799206000000002</v>
      </c>
      <c r="AB35" s="265">
        <v>22.530909999999999</v>
      </c>
      <c r="AC35" s="265">
        <v>22.513947999999999</v>
      </c>
      <c r="AD35" s="265">
        <v>22.402639000000001</v>
      </c>
      <c r="AE35" s="265">
        <v>21.931286</v>
      </c>
      <c r="AF35" s="266">
        <v>6.025E-3</v>
      </c>
      <c r="AG35" s="208"/>
    </row>
    <row r="36" spans="1:33" ht="12.25" x14ac:dyDescent="0.65">
      <c r="A36" s="212" t="s">
        <v>246</v>
      </c>
      <c r="B36" s="264" t="s">
        <v>240</v>
      </c>
      <c r="C36" s="265">
        <v>7.1570140000000002</v>
      </c>
      <c r="D36" s="265">
        <v>7.945881</v>
      </c>
      <c r="E36" s="265">
        <v>7.9438149999999998</v>
      </c>
      <c r="F36" s="265">
        <v>8.3370300000000004</v>
      </c>
      <c r="G36" s="265">
        <v>8.8427430000000005</v>
      </c>
      <c r="H36" s="265">
        <v>9.2638459999999991</v>
      </c>
      <c r="I36" s="265">
        <v>9.6647580000000008</v>
      </c>
      <c r="J36" s="265">
        <v>10.022475999999999</v>
      </c>
      <c r="K36" s="265">
        <v>10.671082</v>
      </c>
      <c r="L36" s="265">
        <v>11.372363</v>
      </c>
      <c r="M36" s="265">
        <v>12.069704</v>
      </c>
      <c r="N36" s="265">
        <v>12.747916999999999</v>
      </c>
      <c r="O36" s="265">
        <v>13.325286999999999</v>
      </c>
      <c r="P36" s="265">
        <v>13.720262999999999</v>
      </c>
      <c r="Q36" s="265">
        <v>13.973807000000001</v>
      </c>
      <c r="R36" s="265">
        <v>14.186524</v>
      </c>
      <c r="S36" s="265">
        <v>14.301539</v>
      </c>
      <c r="T36" s="265">
        <v>14.335634000000001</v>
      </c>
      <c r="U36" s="265">
        <v>14.360343</v>
      </c>
      <c r="V36" s="265">
        <v>14.349729</v>
      </c>
      <c r="W36" s="265">
        <v>14.358644</v>
      </c>
      <c r="X36" s="265">
        <v>14.365799000000001</v>
      </c>
      <c r="Y36" s="265">
        <v>14.408306</v>
      </c>
      <c r="Z36" s="265">
        <v>14.392715000000001</v>
      </c>
      <c r="AA36" s="265">
        <v>14.375298000000001</v>
      </c>
      <c r="AB36" s="265">
        <v>14.355017999999999</v>
      </c>
      <c r="AC36" s="265">
        <v>14.358720999999999</v>
      </c>
      <c r="AD36" s="265">
        <v>14.323404</v>
      </c>
      <c r="AE36" s="265">
        <v>14.304577</v>
      </c>
      <c r="AF36" s="266">
        <v>2.504E-2</v>
      </c>
      <c r="AG36" s="208"/>
    </row>
    <row r="37" spans="1:33" ht="12.25" x14ac:dyDescent="0.65">
      <c r="A37" s="212" t="s">
        <v>247</v>
      </c>
      <c r="B37" s="264" t="s">
        <v>248</v>
      </c>
      <c r="C37" s="265">
        <v>2.1545730000000001</v>
      </c>
      <c r="D37" s="265">
        <v>2.1435559999999998</v>
      </c>
      <c r="E37" s="265">
        <v>2.7799659999999999</v>
      </c>
      <c r="F37" s="265">
        <v>2.7159759999999999</v>
      </c>
      <c r="G37" s="265">
        <v>2.8481350000000001</v>
      </c>
      <c r="H37" s="265">
        <v>2.8107069999999998</v>
      </c>
      <c r="I37" s="265">
        <v>2.8227359999999999</v>
      </c>
      <c r="J37" s="265">
        <v>2.8087870000000001</v>
      </c>
      <c r="K37" s="265">
        <v>2.8101069999999999</v>
      </c>
      <c r="L37" s="265">
        <v>2.838428</v>
      </c>
      <c r="M37" s="265">
        <v>2.8912900000000001</v>
      </c>
      <c r="N37" s="265">
        <v>2.8190089999999999</v>
      </c>
      <c r="O37" s="265">
        <v>2.7945600000000002</v>
      </c>
      <c r="P37" s="265">
        <v>2.8213910000000002</v>
      </c>
      <c r="Q37" s="265">
        <v>2.7845870000000001</v>
      </c>
      <c r="R37" s="265">
        <v>2.726998</v>
      </c>
      <c r="S37" s="265">
        <v>2.7707769999999998</v>
      </c>
      <c r="T37" s="265">
        <v>2.712615</v>
      </c>
      <c r="U37" s="265">
        <v>2.7229890000000001</v>
      </c>
      <c r="V37" s="265">
        <v>2.7082160000000002</v>
      </c>
      <c r="W37" s="265">
        <v>2.723382</v>
      </c>
      <c r="X37" s="265">
        <v>2.6906240000000001</v>
      </c>
      <c r="Y37" s="265">
        <v>2.6948310000000002</v>
      </c>
      <c r="Z37" s="265">
        <v>2.703859</v>
      </c>
      <c r="AA37" s="265">
        <v>2.6886749999999999</v>
      </c>
      <c r="AB37" s="265">
        <v>2.682404</v>
      </c>
      <c r="AC37" s="265">
        <v>2.7056499999999999</v>
      </c>
      <c r="AD37" s="265">
        <v>2.707865</v>
      </c>
      <c r="AE37" s="265">
        <v>2.7239949999999999</v>
      </c>
      <c r="AF37" s="266">
        <v>8.4100000000000008E-3</v>
      </c>
      <c r="AG37" s="208"/>
    </row>
    <row r="38" spans="1:33" ht="12.25" x14ac:dyDescent="0.65">
      <c r="A38" s="212" t="s">
        <v>249</v>
      </c>
      <c r="B38" s="263" t="s">
        <v>234</v>
      </c>
      <c r="C38" s="267">
        <v>27.847746000000001</v>
      </c>
      <c r="D38" s="267">
        <v>29.129908</v>
      </c>
      <c r="E38" s="267">
        <v>31.051828</v>
      </c>
      <c r="F38" s="267">
        <v>31.632887</v>
      </c>
      <c r="G38" s="267">
        <v>32.762661000000001</v>
      </c>
      <c r="H38" s="267">
        <v>33.564261999999999</v>
      </c>
      <c r="I38" s="267">
        <v>34.124054000000001</v>
      </c>
      <c r="J38" s="267">
        <v>34.711734999999997</v>
      </c>
      <c r="K38" s="267">
        <v>35.684071000000003</v>
      </c>
      <c r="L38" s="267">
        <v>36.538418</v>
      </c>
      <c r="M38" s="267">
        <v>37.425666999999997</v>
      </c>
      <c r="N38" s="267">
        <v>38.082275000000003</v>
      </c>
      <c r="O38" s="267">
        <v>38.875869999999999</v>
      </c>
      <c r="P38" s="267">
        <v>39.520432</v>
      </c>
      <c r="Q38" s="267">
        <v>39.834999000000003</v>
      </c>
      <c r="R38" s="267">
        <v>40.025588999999997</v>
      </c>
      <c r="S38" s="267">
        <v>40.193984999999998</v>
      </c>
      <c r="T38" s="267">
        <v>40.316048000000002</v>
      </c>
      <c r="U38" s="267">
        <v>40.137177000000001</v>
      </c>
      <c r="V38" s="267">
        <v>40.197144000000002</v>
      </c>
      <c r="W38" s="267">
        <v>40.292183000000001</v>
      </c>
      <c r="X38" s="267">
        <v>40.293365000000001</v>
      </c>
      <c r="Y38" s="267">
        <v>40.321525999999999</v>
      </c>
      <c r="Z38" s="267">
        <v>40.232826000000003</v>
      </c>
      <c r="AA38" s="267">
        <v>39.863177999999998</v>
      </c>
      <c r="AB38" s="267">
        <v>39.568333000000003</v>
      </c>
      <c r="AC38" s="267">
        <v>39.578319999999998</v>
      </c>
      <c r="AD38" s="267">
        <v>39.433909999999997</v>
      </c>
      <c r="AE38" s="267">
        <v>38.959857999999997</v>
      </c>
      <c r="AF38" s="268">
        <v>1.2064E-2</v>
      </c>
      <c r="AG38" s="208"/>
    </row>
    <row r="39" spans="1:33" ht="12.25" x14ac:dyDescent="0.65">
      <c r="B39" s="208"/>
      <c r="C39" s="208"/>
      <c r="D39" s="208"/>
      <c r="E39" s="208"/>
      <c r="F39" s="208"/>
      <c r="G39" s="208"/>
      <c r="H39" s="208"/>
      <c r="I39" s="208"/>
      <c r="J39" s="208"/>
      <c r="K39" s="208"/>
      <c r="L39" s="208"/>
      <c r="M39" s="208"/>
      <c r="N39" s="208"/>
      <c r="O39" s="208"/>
      <c r="P39" s="208"/>
      <c r="Q39" s="208"/>
      <c r="R39" s="208"/>
      <c r="S39" s="208"/>
      <c r="T39" s="208"/>
      <c r="U39" s="208"/>
      <c r="V39" s="208"/>
      <c r="W39" s="208"/>
      <c r="X39" s="208"/>
      <c r="Y39" s="208"/>
      <c r="Z39" s="208"/>
      <c r="AA39" s="208"/>
      <c r="AB39" s="208"/>
      <c r="AC39" s="208"/>
      <c r="AD39" s="208"/>
      <c r="AE39" s="208"/>
      <c r="AF39" s="208"/>
      <c r="AG39" s="208"/>
    </row>
    <row r="40" spans="1:33" ht="12.25" x14ac:dyDescent="0.65">
      <c r="A40" s="212" t="s">
        <v>250</v>
      </c>
      <c r="B40" s="263" t="s">
        <v>251</v>
      </c>
      <c r="C40" s="267">
        <v>-0.45786100000000002</v>
      </c>
      <c r="D40" s="267">
        <v>0.97528999999999999</v>
      </c>
      <c r="E40" s="267">
        <v>0.42364299999999999</v>
      </c>
      <c r="F40" s="267">
        <v>0.46440300000000001</v>
      </c>
      <c r="G40" s="267">
        <v>0.459312</v>
      </c>
      <c r="H40" s="267">
        <v>0.42448399999999997</v>
      </c>
      <c r="I40" s="267">
        <v>0.43044700000000002</v>
      </c>
      <c r="J40" s="267">
        <v>0.29497099999999998</v>
      </c>
      <c r="K40" s="267">
        <v>0.32553500000000002</v>
      </c>
      <c r="L40" s="267">
        <v>0.40085599999999999</v>
      </c>
      <c r="M40" s="267">
        <v>0.44950899999999999</v>
      </c>
      <c r="N40" s="267">
        <v>0.44732699999999997</v>
      </c>
      <c r="O40" s="267">
        <v>0.45370500000000002</v>
      </c>
      <c r="P40" s="267">
        <v>0.53214300000000003</v>
      </c>
      <c r="Q40" s="267">
        <v>0.48624000000000001</v>
      </c>
      <c r="R40" s="267">
        <v>0.46405000000000002</v>
      </c>
      <c r="S40" s="267">
        <v>0.455482</v>
      </c>
      <c r="T40" s="267">
        <v>0.45082899999999998</v>
      </c>
      <c r="U40" s="267">
        <v>0.45003500000000002</v>
      </c>
      <c r="V40" s="267">
        <v>0.45556999999999997</v>
      </c>
      <c r="W40" s="267">
        <v>0.44808999999999999</v>
      </c>
      <c r="X40" s="267">
        <v>0.43851499999999999</v>
      </c>
      <c r="Y40" s="267">
        <v>0.440971</v>
      </c>
      <c r="Z40" s="267">
        <v>0.54706600000000005</v>
      </c>
      <c r="AA40" s="267">
        <v>0.47692499999999999</v>
      </c>
      <c r="AB40" s="267">
        <v>0.61267499999999997</v>
      </c>
      <c r="AC40" s="267">
        <v>0.56340400000000002</v>
      </c>
      <c r="AD40" s="267">
        <v>0.51369900000000002</v>
      </c>
      <c r="AE40" s="267">
        <v>0.713924</v>
      </c>
      <c r="AF40" s="268" t="s">
        <v>252</v>
      </c>
      <c r="AG40" s="208"/>
    </row>
    <row r="41" spans="1:33" ht="12.25" x14ac:dyDescent="0.65">
      <c r="B41" s="208"/>
      <c r="C41" s="208"/>
      <c r="D41" s="208"/>
      <c r="E41" s="208"/>
      <c r="F41" s="208"/>
      <c r="G41" s="208"/>
      <c r="H41" s="208"/>
      <c r="I41" s="208"/>
      <c r="J41" s="208"/>
      <c r="K41" s="208"/>
      <c r="L41" s="208"/>
      <c r="M41" s="208"/>
      <c r="N41" s="208"/>
      <c r="O41" s="208"/>
      <c r="P41" s="208"/>
      <c r="Q41" s="208"/>
      <c r="R41" s="208"/>
      <c r="S41" s="208"/>
      <c r="T41" s="208"/>
      <c r="U41" s="208"/>
      <c r="V41" s="208"/>
      <c r="W41" s="208"/>
      <c r="X41" s="208"/>
      <c r="Y41" s="208"/>
      <c r="Z41" s="208"/>
      <c r="AA41" s="208"/>
      <c r="AB41" s="208"/>
      <c r="AC41" s="208"/>
      <c r="AD41" s="208"/>
      <c r="AE41" s="208"/>
      <c r="AF41" s="208"/>
      <c r="AG41" s="208"/>
    </row>
    <row r="42" spans="1:33" ht="12.25" x14ac:dyDescent="0.65">
      <c r="B42" s="263" t="s">
        <v>253</v>
      </c>
      <c r="C42" s="208"/>
      <c r="D42" s="208"/>
      <c r="E42" s="208"/>
      <c r="F42" s="208"/>
      <c r="G42" s="208"/>
      <c r="H42" s="208"/>
      <c r="I42" s="208"/>
      <c r="J42" s="208"/>
      <c r="K42" s="208"/>
      <c r="L42" s="208"/>
      <c r="M42" s="208"/>
      <c r="N42" s="208"/>
      <c r="O42" s="208"/>
      <c r="P42" s="208"/>
      <c r="Q42" s="208"/>
      <c r="R42" s="208"/>
      <c r="S42" s="208"/>
      <c r="T42" s="208"/>
      <c r="U42" s="208"/>
      <c r="V42" s="208"/>
      <c r="W42" s="208"/>
      <c r="X42" s="208"/>
      <c r="Y42" s="208"/>
      <c r="Z42" s="208"/>
      <c r="AA42" s="208"/>
      <c r="AB42" s="208"/>
      <c r="AC42" s="208"/>
      <c r="AD42" s="208"/>
      <c r="AE42" s="208"/>
      <c r="AF42" s="208"/>
      <c r="AG42" s="208"/>
    </row>
    <row r="43" spans="1:33" ht="12.25" x14ac:dyDescent="0.65">
      <c r="A43" s="212" t="s">
        <v>254</v>
      </c>
      <c r="B43" s="264" t="s">
        <v>255</v>
      </c>
      <c r="C43" s="265">
        <v>36.816775999999997</v>
      </c>
      <c r="D43" s="265">
        <v>36.981636000000002</v>
      </c>
      <c r="E43" s="265">
        <v>36.540515999999997</v>
      </c>
      <c r="F43" s="265">
        <v>36.382579999999997</v>
      </c>
      <c r="G43" s="265">
        <v>36.236435</v>
      </c>
      <c r="H43" s="265">
        <v>36.093871999999998</v>
      </c>
      <c r="I43" s="265">
        <v>35.925086999999998</v>
      </c>
      <c r="J43" s="265">
        <v>35.71246</v>
      </c>
      <c r="K43" s="265">
        <v>35.460438000000003</v>
      </c>
      <c r="L43" s="265">
        <v>35.244152</v>
      </c>
      <c r="M43" s="265">
        <v>35.085304000000001</v>
      </c>
      <c r="N43" s="265">
        <v>34.948363999999998</v>
      </c>
      <c r="O43" s="265">
        <v>34.868290000000002</v>
      </c>
      <c r="P43" s="265">
        <v>34.774864000000001</v>
      </c>
      <c r="Q43" s="265">
        <v>34.660747999999998</v>
      </c>
      <c r="R43" s="265">
        <v>34.614303999999997</v>
      </c>
      <c r="S43" s="265">
        <v>34.581386999999999</v>
      </c>
      <c r="T43" s="265">
        <v>34.574551</v>
      </c>
      <c r="U43" s="265">
        <v>34.635840999999999</v>
      </c>
      <c r="V43" s="265">
        <v>34.700854999999997</v>
      </c>
      <c r="W43" s="265">
        <v>34.772815999999999</v>
      </c>
      <c r="X43" s="265">
        <v>34.843960000000003</v>
      </c>
      <c r="Y43" s="265">
        <v>34.938003999999999</v>
      </c>
      <c r="Z43" s="265">
        <v>35.050570999999998</v>
      </c>
      <c r="AA43" s="265">
        <v>35.202903999999997</v>
      </c>
      <c r="AB43" s="265">
        <v>35.394215000000003</v>
      </c>
      <c r="AC43" s="265">
        <v>35.548606999999997</v>
      </c>
      <c r="AD43" s="265">
        <v>35.727843999999997</v>
      </c>
      <c r="AE43" s="265">
        <v>35.995078999999997</v>
      </c>
      <c r="AF43" s="266">
        <v>-8.0599999999999997E-4</v>
      </c>
      <c r="AG43" s="208"/>
    </row>
    <row r="44" spans="1:33" ht="12.25" x14ac:dyDescent="0.65">
      <c r="A44" s="212" t="s">
        <v>256</v>
      </c>
      <c r="B44" s="264" t="s">
        <v>240</v>
      </c>
      <c r="C44" s="265">
        <v>33.183849000000002</v>
      </c>
      <c r="D44" s="265">
        <v>31.975372</v>
      </c>
      <c r="E44" s="265">
        <v>30.744192000000002</v>
      </c>
      <c r="F44" s="265">
        <v>30.454858999999999</v>
      </c>
      <c r="G44" s="265">
        <v>30.362862</v>
      </c>
      <c r="H44" s="265">
        <v>29.860353</v>
      </c>
      <c r="I44" s="265">
        <v>29.690902999999999</v>
      </c>
      <c r="J44" s="265">
        <v>29.540801999999999</v>
      </c>
      <c r="K44" s="265">
        <v>29.285072</v>
      </c>
      <c r="L44" s="265">
        <v>29.002974999999999</v>
      </c>
      <c r="M44" s="265">
        <v>28.867509999999999</v>
      </c>
      <c r="N44" s="265">
        <v>28.778568</v>
      </c>
      <c r="O44" s="265">
        <v>28.707445</v>
      </c>
      <c r="P44" s="265">
        <v>28.712893000000001</v>
      </c>
      <c r="Q44" s="265">
        <v>28.819685</v>
      </c>
      <c r="R44" s="265">
        <v>28.978542000000001</v>
      </c>
      <c r="S44" s="265">
        <v>29.210225999999999</v>
      </c>
      <c r="T44" s="265">
        <v>29.397072000000001</v>
      </c>
      <c r="U44" s="265">
        <v>29.632147</v>
      </c>
      <c r="V44" s="265">
        <v>29.788446</v>
      </c>
      <c r="W44" s="265">
        <v>29.983868000000001</v>
      </c>
      <c r="X44" s="265">
        <v>30.153929000000002</v>
      </c>
      <c r="Y44" s="265">
        <v>30.279633</v>
      </c>
      <c r="Z44" s="265">
        <v>30.429348000000001</v>
      </c>
      <c r="AA44" s="265">
        <v>30.410451999999999</v>
      </c>
      <c r="AB44" s="265">
        <v>30.539183000000001</v>
      </c>
      <c r="AC44" s="265">
        <v>30.747510999999999</v>
      </c>
      <c r="AD44" s="265">
        <v>30.902692999999999</v>
      </c>
      <c r="AE44" s="265">
        <v>31.130542999999999</v>
      </c>
      <c r="AF44" s="266">
        <v>-2.2790000000000002E-3</v>
      </c>
      <c r="AG44" s="208"/>
    </row>
    <row r="45" spans="1:33" ht="12.25" x14ac:dyDescent="0.65">
      <c r="A45" s="212" t="s">
        <v>257</v>
      </c>
      <c r="B45" s="264" t="s">
        <v>258</v>
      </c>
      <c r="C45" s="265">
        <v>9.694483</v>
      </c>
      <c r="D45" s="265">
        <v>9.0405219999999993</v>
      </c>
      <c r="E45" s="265">
        <v>9.4110289999999992</v>
      </c>
      <c r="F45" s="265">
        <v>8.6470579999999995</v>
      </c>
      <c r="G45" s="265">
        <v>7.5168629999999999</v>
      </c>
      <c r="H45" s="265">
        <v>6.5015349999999996</v>
      </c>
      <c r="I45" s="265">
        <v>5.5293720000000004</v>
      </c>
      <c r="J45" s="265">
        <v>4.8016839999999998</v>
      </c>
      <c r="K45" s="265">
        <v>4.3969440000000004</v>
      </c>
      <c r="L45" s="265">
        <v>4.3077800000000002</v>
      </c>
      <c r="M45" s="265">
        <v>4.2720849999999997</v>
      </c>
      <c r="N45" s="265">
        <v>4.3385850000000001</v>
      </c>
      <c r="O45" s="265">
        <v>4.2996169999999996</v>
      </c>
      <c r="P45" s="265">
        <v>4.3025219999999997</v>
      </c>
      <c r="Q45" s="265">
        <v>4.2609709999999996</v>
      </c>
      <c r="R45" s="265">
        <v>4.1610040000000001</v>
      </c>
      <c r="S45" s="265">
        <v>4.0027169999999996</v>
      </c>
      <c r="T45" s="265">
        <v>3.909357</v>
      </c>
      <c r="U45" s="265">
        <v>3.8068559999999998</v>
      </c>
      <c r="V45" s="265">
        <v>3.8240850000000002</v>
      </c>
      <c r="W45" s="265">
        <v>3.8151120000000001</v>
      </c>
      <c r="X45" s="265">
        <v>3.7632509999999999</v>
      </c>
      <c r="Y45" s="265">
        <v>3.6459890000000001</v>
      </c>
      <c r="Z45" s="265">
        <v>3.548136</v>
      </c>
      <c r="AA45" s="265">
        <v>3.4636490000000002</v>
      </c>
      <c r="AB45" s="265">
        <v>3.4229319999999999</v>
      </c>
      <c r="AC45" s="265">
        <v>3.3332199999999998</v>
      </c>
      <c r="AD45" s="265">
        <v>3.3112200000000001</v>
      </c>
      <c r="AE45" s="265">
        <v>3.208326</v>
      </c>
      <c r="AF45" s="266">
        <v>-3.8723E-2</v>
      </c>
      <c r="AG45" s="208"/>
    </row>
    <row r="46" spans="1:33" ht="12.25" x14ac:dyDescent="0.65">
      <c r="A46" s="212" t="s">
        <v>259</v>
      </c>
      <c r="B46" s="264" t="s">
        <v>224</v>
      </c>
      <c r="C46" s="265">
        <v>8.0646540000000009</v>
      </c>
      <c r="D46" s="265">
        <v>8.1872109999999996</v>
      </c>
      <c r="E46" s="265">
        <v>8.2466290000000004</v>
      </c>
      <c r="F46" s="265">
        <v>8.1719659999999994</v>
      </c>
      <c r="G46" s="265">
        <v>8.0928570000000004</v>
      </c>
      <c r="H46" s="265">
        <v>8.0927190000000007</v>
      </c>
      <c r="I46" s="265">
        <v>7.9974689999999997</v>
      </c>
      <c r="J46" s="265">
        <v>7.9973400000000003</v>
      </c>
      <c r="K46" s="265">
        <v>7.9187440000000002</v>
      </c>
      <c r="L46" s="265">
        <v>7.9187969999999996</v>
      </c>
      <c r="M46" s="265">
        <v>7.9188850000000004</v>
      </c>
      <c r="N46" s="265">
        <v>7.47281</v>
      </c>
      <c r="O46" s="265">
        <v>7.4032179999999999</v>
      </c>
      <c r="P46" s="265">
        <v>7.3139329999999996</v>
      </c>
      <c r="Q46" s="265">
        <v>7.1458170000000001</v>
      </c>
      <c r="R46" s="265">
        <v>7.0316359999999998</v>
      </c>
      <c r="S46" s="265">
        <v>6.8371979999999999</v>
      </c>
      <c r="T46" s="265">
        <v>6.734248</v>
      </c>
      <c r="U46" s="265">
        <v>6.5336410000000003</v>
      </c>
      <c r="V46" s="265">
        <v>6.5354080000000003</v>
      </c>
      <c r="W46" s="265">
        <v>6.5385289999999996</v>
      </c>
      <c r="X46" s="265">
        <v>6.5412020000000002</v>
      </c>
      <c r="Y46" s="265">
        <v>6.5441659999999997</v>
      </c>
      <c r="Z46" s="265">
        <v>6.5441919999999998</v>
      </c>
      <c r="AA46" s="265">
        <v>6.5416629999999998</v>
      </c>
      <c r="AB46" s="265">
        <v>6.5396289999999997</v>
      </c>
      <c r="AC46" s="265">
        <v>6.5306360000000003</v>
      </c>
      <c r="AD46" s="265">
        <v>6.5318709999999998</v>
      </c>
      <c r="AE46" s="265">
        <v>6.5277070000000004</v>
      </c>
      <c r="AF46" s="266">
        <v>-7.5230000000000002E-3</v>
      </c>
      <c r="AG46" s="208"/>
    </row>
    <row r="47" spans="1:33" ht="12.25" x14ac:dyDescent="0.65">
      <c r="A47" s="212" t="s">
        <v>260</v>
      </c>
      <c r="B47" s="264" t="s">
        <v>226</v>
      </c>
      <c r="C47" s="265">
        <v>2.4534539999999998</v>
      </c>
      <c r="D47" s="265">
        <v>2.4584619999999999</v>
      </c>
      <c r="E47" s="265">
        <v>2.5025629999999999</v>
      </c>
      <c r="F47" s="265">
        <v>2.5886840000000002</v>
      </c>
      <c r="G47" s="265">
        <v>2.579723</v>
      </c>
      <c r="H47" s="265">
        <v>2.556826</v>
      </c>
      <c r="I47" s="265">
        <v>2.5153810000000001</v>
      </c>
      <c r="J47" s="265">
        <v>2.4861960000000001</v>
      </c>
      <c r="K47" s="265">
        <v>2.4574240000000001</v>
      </c>
      <c r="L47" s="265">
        <v>2.4364599999999998</v>
      </c>
      <c r="M47" s="265">
        <v>2.4196759999999999</v>
      </c>
      <c r="N47" s="265">
        <v>2.4223810000000001</v>
      </c>
      <c r="O47" s="265">
        <v>2.4264060000000001</v>
      </c>
      <c r="P47" s="265">
        <v>2.4299979999999999</v>
      </c>
      <c r="Q47" s="265">
        <v>2.4353150000000001</v>
      </c>
      <c r="R47" s="265">
        <v>2.4235120000000001</v>
      </c>
      <c r="S47" s="265">
        <v>2.4101499999999998</v>
      </c>
      <c r="T47" s="265">
        <v>2.3862079999999999</v>
      </c>
      <c r="U47" s="265">
        <v>2.381421</v>
      </c>
      <c r="V47" s="265">
        <v>2.3661409999999998</v>
      </c>
      <c r="W47" s="265">
        <v>2.3694090000000001</v>
      </c>
      <c r="X47" s="265">
        <v>2.3626369999999999</v>
      </c>
      <c r="Y47" s="265">
        <v>2.357599</v>
      </c>
      <c r="Z47" s="265">
        <v>2.3544640000000001</v>
      </c>
      <c r="AA47" s="265">
        <v>2.343242</v>
      </c>
      <c r="AB47" s="265">
        <v>2.336414</v>
      </c>
      <c r="AC47" s="265">
        <v>2.3340749999999999</v>
      </c>
      <c r="AD47" s="265">
        <v>2.3209420000000001</v>
      </c>
      <c r="AE47" s="265">
        <v>2.309024</v>
      </c>
      <c r="AF47" s="266">
        <v>-2.1640000000000001E-3</v>
      </c>
      <c r="AG47" s="208"/>
    </row>
    <row r="48" spans="1:33" ht="12.25" x14ac:dyDescent="0.65">
      <c r="A48" s="212" t="s">
        <v>261</v>
      </c>
      <c r="B48" s="264" t="s">
        <v>262</v>
      </c>
      <c r="C48" s="265">
        <v>3.086376</v>
      </c>
      <c r="D48" s="265">
        <v>3.2750919999999999</v>
      </c>
      <c r="E48" s="265">
        <v>3.0971489999999999</v>
      </c>
      <c r="F48" s="265">
        <v>3.077337</v>
      </c>
      <c r="G48" s="265">
        <v>3.0571389999999998</v>
      </c>
      <c r="H48" s="265">
        <v>3.0452159999999999</v>
      </c>
      <c r="I48" s="265">
        <v>3.037763</v>
      </c>
      <c r="J48" s="265">
        <v>3.0313680000000001</v>
      </c>
      <c r="K48" s="265">
        <v>3.0259330000000002</v>
      </c>
      <c r="L48" s="265">
        <v>3.0254590000000001</v>
      </c>
      <c r="M48" s="265">
        <v>3.0276860000000001</v>
      </c>
      <c r="N48" s="265">
        <v>3.034011</v>
      </c>
      <c r="O48" s="265">
        <v>3.0408620000000002</v>
      </c>
      <c r="P48" s="265">
        <v>3.0527120000000001</v>
      </c>
      <c r="Q48" s="265">
        <v>3.0502639999999999</v>
      </c>
      <c r="R48" s="265">
        <v>3.0545429999999998</v>
      </c>
      <c r="S48" s="265">
        <v>3.0583879999999999</v>
      </c>
      <c r="T48" s="265">
        <v>3.063898</v>
      </c>
      <c r="U48" s="265">
        <v>3.0734149999999998</v>
      </c>
      <c r="V48" s="265">
        <v>3.0928680000000002</v>
      </c>
      <c r="W48" s="265">
        <v>3.1042909999999999</v>
      </c>
      <c r="X48" s="265">
        <v>3.1158239999999999</v>
      </c>
      <c r="Y48" s="265">
        <v>3.11755</v>
      </c>
      <c r="Z48" s="265">
        <v>3.1225860000000001</v>
      </c>
      <c r="AA48" s="265">
        <v>3.1411410000000002</v>
      </c>
      <c r="AB48" s="265">
        <v>3.1599710000000001</v>
      </c>
      <c r="AC48" s="265">
        <v>3.1829179999999999</v>
      </c>
      <c r="AD48" s="265">
        <v>3.2009940000000001</v>
      </c>
      <c r="AE48" s="265">
        <v>3.21923</v>
      </c>
      <c r="AF48" s="266">
        <v>1.506E-3</v>
      </c>
      <c r="AG48" s="208"/>
    </row>
    <row r="49" spans="1:33" ht="12.25" x14ac:dyDescent="0.65">
      <c r="A49" s="212" t="s">
        <v>263</v>
      </c>
      <c r="B49" s="264" t="s">
        <v>230</v>
      </c>
      <c r="C49" s="265">
        <v>5.6228480000000003</v>
      </c>
      <c r="D49" s="265">
        <v>6.1255499999999996</v>
      </c>
      <c r="E49" s="265">
        <v>6.742159</v>
      </c>
      <c r="F49" s="265">
        <v>8.1732440000000004</v>
      </c>
      <c r="G49" s="265">
        <v>9.9076740000000001</v>
      </c>
      <c r="H49" s="265">
        <v>11.653165</v>
      </c>
      <c r="I49" s="265">
        <v>13.154488000000001</v>
      </c>
      <c r="J49" s="265">
        <v>14.209771999999999</v>
      </c>
      <c r="K49" s="265">
        <v>15.128234000000001</v>
      </c>
      <c r="L49" s="265">
        <v>15.78889</v>
      </c>
      <c r="M49" s="265">
        <v>16.442295000000001</v>
      </c>
      <c r="N49" s="265">
        <v>17.189572999999999</v>
      </c>
      <c r="O49" s="265">
        <v>17.791294000000001</v>
      </c>
      <c r="P49" s="265">
        <v>18.262888</v>
      </c>
      <c r="Q49" s="265">
        <v>18.746867999999999</v>
      </c>
      <c r="R49" s="265">
        <v>19.110621999999999</v>
      </c>
      <c r="S49" s="265">
        <v>19.414563999999999</v>
      </c>
      <c r="T49" s="265">
        <v>19.609310000000001</v>
      </c>
      <c r="U49" s="265">
        <v>19.90523</v>
      </c>
      <c r="V49" s="265">
        <v>20.063116000000001</v>
      </c>
      <c r="W49" s="265">
        <v>20.302187</v>
      </c>
      <c r="X49" s="265">
        <v>20.584305000000001</v>
      </c>
      <c r="Y49" s="265">
        <v>20.993839000000001</v>
      </c>
      <c r="Z49" s="265">
        <v>21.370591999999998</v>
      </c>
      <c r="AA49" s="265">
        <v>21.805226999999999</v>
      </c>
      <c r="AB49" s="265">
        <v>22.17202</v>
      </c>
      <c r="AC49" s="265">
        <v>22.539532000000001</v>
      </c>
      <c r="AD49" s="265">
        <v>22.840260000000001</v>
      </c>
      <c r="AE49" s="265">
        <v>23.283978999999999</v>
      </c>
      <c r="AF49" s="266">
        <v>5.2056999999999999E-2</v>
      </c>
      <c r="AG49" s="208"/>
    </row>
    <row r="50" spans="1:33" ht="15" customHeight="1" x14ac:dyDescent="0.65">
      <c r="A50" s="212" t="s">
        <v>264</v>
      </c>
      <c r="B50" s="264" t="s">
        <v>265</v>
      </c>
      <c r="C50" s="265">
        <v>0.271036</v>
      </c>
      <c r="D50" s="265">
        <v>0.29992400000000002</v>
      </c>
      <c r="E50" s="265">
        <v>0.27443299999999998</v>
      </c>
      <c r="F50" s="265">
        <v>0.257492</v>
      </c>
      <c r="G50" s="265">
        <v>0.26146999999999998</v>
      </c>
      <c r="H50" s="265">
        <v>0.27512900000000001</v>
      </c>
      <c r="I50" s="265">
        <v>0.283526</v>
      </c>
      <c r="J50" s="265">
        <v>0.27605499999999999</v>
      </c>
      <c r="K50" s="265">
        <v>0.28388999999999998</v>
      </c>
      <c r="L50" s="265">
        <v>0.27529100000000001</v>
      </c>
      <c r="M50" s="265">
        <v>0.27900999999999998</v>
      </c>
      <c r="N50" s="265">
        <v>0.28079199999999999</v>
      </c>
      <c r="O50" s="265">
        <v>0.28222199999999997</v>
      </c>
      <c r="P50" s="265">
        <v>0.27832400000000002</v>
      </c>
      <c r="Q50" s="265">
        <v>0.27709899999999998</v>
      </c>
      <c r="R50" s="265">
        <v>0.277055</v>
      </c>
      <c r="S50" s="265">
        <v>0.27971200000000002</v>
      </c>
      <c r="T50" s="265">
        <v>0.28193299999999999</v>
      </c>
      <c r="U50" s="265">
        <v>0.28373700000000002</v>
      </c>
      <c r="V50" s="265">
        <v>0.278974</v>
      </c>
      <c r="W50" s="265">
        <v>0.27892800000000001</v>
      </c>
      <c r="X50" s="265">
        <v>0.27663399999999999</v>
      </c>
      <c r="Y50" s="265">
        <v>0.27388499999999999</v>
      </c>
      <c r="Z50" s="265">
        <v>0.27115800000000001</v>
      </c>
      <c r="AA50" s="265">
        <v>0.268038</v>
      </c>
      <c r="AB50" s="265">
        <v>0.26756000000000002</v>
      </c>
      <c r="AC50" s="265">
        <v>0.26897199999999999</v>
      </c>
      <c r="AD50" s="265">
        <v>0.26747799999999999</v>
      </c>
      <c r="AE50" s="265">
        <v>0.26547100000000001</v>
      </c>
      <c r="AF50" s="266">
        <v>-7.4100000000000001E-4</v>
      </c>
      <c r="AG50" s="208"/>
    </row>
    <row r="51" spans="1:33" ht="15" customHeight="1" x14ac:dyDescent="0.65">
      <c r="A51" s="212" t="s">
        <v>266</v>
      </c>
      <c r="B51" s="263" t="s">
        <v>267</v>
      </c>
      <c r="C51" s="267">
        <v>99.193466000000001</v>
      </c>
      <c r="D51" s="267">
        <v>98.343772999999999</v>
      </c>
      <c r="E51" s="267">
        <v>97.558655000000002</v>
      </c>
      <c r="F51" s="267">
        <v>97.753219999999999</v>
      </c>
      <c r="G51" s="267">
        <v>98.015015000000005</v>
      </c>
      <c r="H51" s="267">
        <v>98.078818999999996</v>
      </c>
      <c r="I51" s="267">
        <v>98.133987000000005</v>
      </c>
      <c r="J51" s="267">
        <v>98.055678999999998</v>
      </c>
      <c r="K51" s="267">
        <v>97.956688</v>
      </c>
      <c r="L51" s="267">
        <v>97.999808999999999</v>
      </c>
      <c r="M51" s="267">
        <v>98.312447000000006</v>
      </c>
      <c r="N51" s="267">
        <v>98.465087999999994</v>
      </c>
      <c r="O51" s="267">
        <v>98.819359000000006</v>
      </c>
      <c r="P51" s="267">
        <v>99.128128000000004</v>
      </c>
      <c r="Q51" s="267">
        <v>99.396773999999994</v>
      </c>
      <c r="R51" s="267">
        <v>99.651229999999998</v>
      </c>
      <c r="S51" s="267">
        <v>99.794334000000006</v>
      </c>
      <c r="T51" s="267">
        <v>99.956565999999995</v>
      </c>
      <c r="U51" s="267">
        <v>100.252289</v>
      </c>
      <c r="V51" s="267">
        <v>100.649895</v>
      </c>
      <c r="W51" s="267">
        <v>101.165138</v>
      </c>
      <c r="X51" s="267">
        <v>101.641739</v>
      </c>
      <c r="Y51" s="267">
        <v>102.150665</v>
      </c>
      <c r="Z51" s="267">
        <v>102.69104</v>
      </c>
      <c r="AA51" s="267">
        <v>103.176315</v>
      </c>
      <c r="AB51" s="267">
        <v>103.831924</v>
      </c>
      <c r="AC51" s="267">
        <v>104.485474</v>
      </c>
      <c r="AD51" s="267">
        <v>105.10330999999999</v>
      </c>
      <c r="AE51" s="267">
        <v>105.939369</v>
      </c>
      <c r="AF51" s="268">
        <v>2.3530000000000001E-3</v>
      </c>
      <c r="AG51" s="208"/>
    </row>
    <row r="52" spans="1:33" ht="15" customHeight="1" x14ac:dyDescent="0.65">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c r="AA52" s="208"/>
      <c r="AB52" s="208"/>
      <c r="AC52" s="208"/>
      <c r="AD52" s="208"/>
      <c r="AE52" s="208"/>
      <c r="AF52" s="208"/>
      <c r="AG52" s="208"/>
    </row>
    <row r="53" spans="1:33" ht="15" customHeight="1" x14ac:dyDescent="0.65">
      <c r="B53" s="263" t="s">
        <v>326</v>
      </c>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row>
    <row r="54" spans="1:33" ht="15" customHeight="1" x14ac:dyDescent="0.65">
      <c r="A54" s="212" t="s">
        <v>269</v>
      </c>
      <c r="B54" s="264" t="s">
        <v>270</v>
      </c>
      <c r="C54" s="269">
        <v>102.129997</v>
      </c>
      <c r="D54" s="269">
        <v>91.544692999999995</v>
      </c>
      <c r="E54" s="269">
        <v>92.531395000000003</v>
      </c>
      <c r="F54" s="269">
        <v>87.048607000000004</v>
      </c>
      <c r="G54" s="269">
        <v>87.882819999999995</v>
      </c>
      <c r="H54" s="269">
        <v>88.306426999999999</v>
      </c>
      <c r="I54" s="269">
        <v>88.879097000000002</v>
      </c>
      <c r="J54" s="269">
        <v>89.470894000000001</v>
      </c>
      <c r="K54" s="269">
        <v>90.163071000000002</v>
      </c>
      <c r="L54" s="269">
        <v>90.724143999999995</v>
      </c>
      <c r="M54" s="269">
        <v>91.546386999999996</v>
      </c>
      <c r="N54" s="269">
        <v>92.007187000000002</v>
      </c>
      <c r="O54" s="269">
        <v>92.694916000000006</v>
      </c>
      <c r="P54" s="269">
        <v>93.552750000000003</v>
      </c>
      <c r="Q54" s="269">
        <v>94.142882999999998</v>
      </c>
      <c r="R54" s="269">
        <v>94.796172999999996</v>
      </c>
      <c r="S54" s="269">
        <v>95.331740999999994</v>
      </c>
      <c r="T54" s="269">
        <v>95.867317</v>
      </c>
      <c r="U54" s="269">
        <v>96.392180999999994</v>
      </c>
      <c r="V54" s="269">
        <v>96.938461000000004</v>
      </c>
      <c r="W54" s="269">
        <v>97.381507999999997</v>
      </c>
      <c r="X54" s="269">
        <v>97.758681999999993</v>
      </c>
      <c r="Y54" s="269">
        <v>98.241776000000002</v>
      </c>
      <c r="Z54" s="269">
        <v>98.596687000000003</v>
      </c>
      <c r="AA54" s="269">
        <v>99.377373000000006</v>
      </c>
      <c r="AB54" s="269">
        <v>99.794150999999999</v>
      </c>
      <c r="AC54" s="269">
        <v>100.384407</v>
      </c>
      <c r="AD54" s="269">
        <v>101.06875599999999</v>
      </c>
      <c r="AE54" s="269">
        <v>101.34071400000001</v>
      </c>
      <c r="AF54" s="266">
        <v>-2.7700000000000001E-4</v>
      </c>
      <c r="AG54" s="208"/>
    </row>
    <row r="55" spans="1:33" ht="15" customHeight="1" x14ac:dyDescent="0.65">
      <c r="A55" s="212" t="s">
        <v>271</v>
      </c>
      <c r="B55" s="264" t="s">
        <v>327</v>
      </c>
      <c r="C55" s="269">
        <v>95.875998999999993</v>
      </c>
      <c r="D55" s="269">
        <v>85.782882999999998</v>
      </c>
      <c r="E55" s="269">
        <v>91.164046999999997</v>
      </c>
      <c r="F55" s="269">
        <v>85.233161999999993</v>
      </c>
      <c r="G55" s="269">
        <v>85.255095999999995</v>
      </c>
      <c r="H55" s="269">
        <v>85.532898000000003</v>
      </c>
      <c r="I55" s="269">
        <v>86.264731999999995</v>
      </c>
      <c r="J55" s="269">
        <v>86.738144000000005</v>
      </c>
      <c r="K55" s="269">
        <v>87.188271</v>
      </c>
      <c r="L55" s="269">
        <v>87.748749000000004</v>
      </c>
      <c r="M55" s="269">
        <v>88.512123000000003</v>
      </c>
      <c r="N55" s="269">
        <v>88.937447000000006</v>
      </c>
      <c r="O55" s="269">
        <v>89.608727000000002</v>
      </c>
      <c r="P55" s="269">
        <v>90.032150000000001</v>
      </c>
      <c r="Q55" s="269">
        <v>90.825806</v>
      </c>
      <c r="R55" s="269">
        <v>91.434028999999995</v>
      </c>
      <c r="S55" s="269">
        <v>91.807198</v>
      </c>
      <c r="T55" s="269">
        <v>92.341896000000006</v>
      </c>
      <c r="U55" s="269">
        <v>92.759917999999999</v>
      </c>
      <c r="V55" s="269">
        <v>93.263626000000002</v>
      </c>
      <c r="W55" s="269">
        <v>93.719948000000002</v>
      </c>
      <c r="X55" s="269">
        <v>94.111892999999995</v>
      </c>
      <c r="Y55" s="269">
        <v>94.517478999999994</v>
      </c>
      <c r="Z55" s="269">
        <v>94.856955999999997</v>
      </c>
      <c r="AA55" s="269">
        <v>95.591453999999999</v>
      </c>
      <c r="AB55" s="269">
        <v>96.024887000000007</v>
      </c>
      <c r="AC55" s="269">
        <v>96.717949000000004</v>
      </c>
      <c r="AD55" s="269">
        <v>97.444785999999993</v>
      </c>
      <c r="AE55" s="269">
        <v>97.681374000000005</v>
      </c>
      <c r="AF55" s="266">
        <v>6.6600000000000003E-4</v>
      </c>
      <c r="AG55" s="208"/>
    </row>
    <row r="56" spans="1:33" ht="15" customHeight="1" x14ac:dyDescent="0.65">
      <c r="A56" s="212" t="s">
        <v>273</v>
      </c>
      <c r="B56" s="264" t="s">
        <v>274</v>
      </c>
      <c r="C56" s="265">
        <v>6.5239969999999996</v>
      </c>
      <c r="D56" s="265">
        <v>5.2663760000000002</v>
      </c>
      <c r="E56" s="265">
        <v>4.072381</v>
      </c>
      <c r="F56" s="265">
        <v>3.4895139999999998</v>
      </c>
      <c r="G56" s="265">
        <v>3.0655079999999999</v>
      </c>
      <c r="H56" s="265">
        <v>2.8530009999999999</v>
      </c>
      <c r="I56" s="265">
        <v>2.7999040000000002</v>
      </c>
      <c r="J56" s="265">
        <v>2.825097</v>
      </c>
      <c r="K56" s="265">
        <v>2.91248</v>
      </c>
      <c r="L56" s="265">
        <v>3.043758</v>
      </c>
      <c r="M56" s="265">
        <v>3.2080039999999999</v>
      </c>
      <c r="N56" s="265">
        <v>3.4169179999999999</v>
      </c>
      <c r="O56" s="265">
        <v>3.5694300000000001</v>
      </c>
      <c r="P56" s="265">
        <v>3.6818240000000002</v>
      </c>
      <c r="Q56" s="265">
        <v>3.6941549999999999</v>
      </c>
      <c r="R56" s="265">
        <v>3.7375959999999999</v>
      </c>
      <c r="S56" s="265">
        <v>3.8665609999999999</v>
      </c>
      <c r="T56" s="265">
        <v>3.78878</v>
      </c>
      <c r="U56" s="265">
        <v>3.9380649999999999</v>
      </c>
      <c r="V56" s="265">
        <v>4.0221549999999997</v>
      </c>
      <c r="W56" s="265">
        <v>4.0147370000000002</v>
      </c>
      <c r="X56" s="265">
        <v>3.9506160000000001</v>
      </c>
      <c r="Y56" s="265">
        <v>3.9137680000000001</v>
      </c>
      <c r="Z56" s="265">
        <v>3.9107059999999998</v>
      </c>
      <c r="AA56" s="265">
        <v>3.9070830000000001</v>
      </c>
      <c r="AB56" s="265">
        <v>3.8707060000000002</v>
      </c>
      <c r="AC56" s="265">
        <v>3.849094</v>
      </c>
      <c r="AD56" s="265">
        <v>3.7838949999999998</v>
      </c>
      <c r="AE56" s="265">
        <v>3.7710149999999998</v>
      </c>
      <c r="AF56" s="266">
        <v>-1.9386E-2</v>
      </c>
      <c r="AG56" s="208"/>
    </row>
    <row r="57" spans="1:33" ht="15" customHeight="1" x14ac:dyDescent="0.65">
      <c r="A57" s="212" t="s">
        <v>275</v>
      </c>
      <c r="B57" s="264" t="s">
        <v>276</v>
      </c>
      <c r="C57" s="270">
        <v>37.847487999999998</v>
      </c>
      <c r="D57" s="270">
        <v>37.282367999999998</v>
      </c>
      <c r="E57" s="270">
        <v>40.075564999999997</v>
      </c>
      <c r="F57" s="270">
        <v>40.780799999999999</v>
      </c>
      <c r="G57" s="270">
        <v>43.636291999999997</v>
      </c>
      <c r="H57" s="270">
        <v>47.361679000000002</v>
      </c>
      <c r="I57" s="270">
        <v>49.855021999999998</v>
      </c>
      <c r="J57" s="270">
        <v>50.434627999999996</v>
      </c>
      <c r="K57" s="270">
        <v>52.797508000000001</v>
      </c>
      <c r="L57" s="270">
        <v>55.776046999999998</v>
      </c>
      <c r="M57" s="270">
        <v>53.310043</v>
      </c>
      <c r="N57" s="270">
        <v>53.457973000000003</v>
      </c>
      <c r="O57" s="270">
        <v>53.443798000000001</v>
      </c>
      <c r="P57" s="270">
        <v>53.327933999999999</v>
      </c>
      <c r="Q57" s="270">
        <v>54.118721000000001</v>
      </c>
      <c r="R57" s="270">
        <v>55.130642000000002</v>
      </c>
      <c r="S57" s="270">
        <v>57.305939000000002</v>
      </c>
      <c r="T57" s="270">
        <v>57.809910000000002</v>
      </c>
      <c r="U57" s="270">
        <v>59.124003999999999</v>
      </c>
      <c r="V57" s="270">
        <v>58.977061999999997</v>
      </c>
      <c r="W57" s="270">
        <v>59.082129999999999</v>
      </c>
      <c r="X57" s="270">
        <v>60.307980000000001</v>
      </c>
      <c r="Y57" s="270">
        <v>61.433601000000003</v>
      </c>
      <c r="Z57" s="270">
        <v>62.543072000000002</v>
      </c>
      <c r="AA57" s="270">
        <v>63.485416000000001</v>
      </c>
      <c r="AB57" s="270">
        <v>63.976109000000001</v>
      </c>
      <c r="AC57" s="270">
        <v>64.145095999999995</v>
      </c>
      <c r="AD57" s="270">
        <v>64.784263999999993</v>
      </c>
      <c r="AE57" s="270">
        <v>65.411857999999995</v>
      </c>
      <c r="AF57" s="266">
        <v>1.9733000000000001E-2</v>
      </c>
      <c r="AG57" s="208"/>
    </row>
    <row r="58" spans="1:33" ht="15" customHeight="1" x14ac:dyDescent="0.65">
      <c r="A58" s="212" t="s">
        <v>277</v>
      </c>
      <c r="B58" s="264" t="s">
        <v>278</v>
      </c>
      <c r="C58" s="265">
        <v>1.8539890000000001</v>
      </c>
      <c r="D58" s="265">
        <v>1.8359920000000001</v>
      </c>
      <c r="E58" s="265">
        <v>1.9490689999999999</v>
      </c>
      <c r="F58" s="265">
        <v>1.9717739999999999</v>
      </c>
      <c r="G58" s="265">
        <v>2.0752959999999998</v>
      </c>
      <c r="H58" s="265">
        <v>2.2083719999999998</v>
      </c>
      <c r="I58" s="265">
        <v>2.3061219999999998</v>
      </c>
      <c r="J58" s="265">
        <v>2.357656</v>
      </c>
      <c r="K58" s="265">
        <v>2.4579559999999998</v>
      </c>
      <c r="L58" s="265">
        <v>2.5936340000000002</v>
      </c>
      <c r="M58" s="265">
        <v>2.4775179999999999</v>
      </c>
      <c r="N58" s="265">
        <v>2.4766789999999999</v>
      </c>
      <c r="O58" s="265">
        <v>2.4868980000000001</v>
      </c>
      <c r="P58" s="265">
        <v>2.4888340000000002</v>
      </c>
      <c r="Q58" s="265">
        <v>2.523628</v>
      </c>
      <c r="R58" s="265">
        <v>2.5752160000000002</v>
      </c>
      <c r="S58" s="265">
        <v>2.63626</v>
      </c>
      <c r="T58" s="265">
        <v>2.6563850000000002</v>
      </c>
      <c r="U58" s="265">
        <v>2.7089910000000001</v>
      </c>
      <c r="V58" s="265">
        <v>2.7087599999999998</v>
      </c>
      <c r="W58" s="265">
        <v>2.7161059999999999</v>
      </c>
      <c r="X58" s="265">
        <v>2.7612809999999999</v>
      </c>
      <c r="Y58" s="265">
        <v>2.8047680000000001</v>
      </c>
      <c r="Z58" s="265">
        <v>2.8470110000000002</v>
      </c>
      <c r="AA58" s="265">
        <v>2.8845800000000001</v>
      </c>
      <c r="AB58" s="265">
        <v>2.9054470000000001</v>
      </c>
      <c r="AC58" s="265">
        <v>2.9184459999999999</v>
      </c>
      <c r="AD58" s="265">
        <v>2.9436810000000002</v>
      </c>
      <c r="AE58" s="265">
        <v>2.9761790000000001</v>
      </c>
      <c r="AF58" s="266">
        <v>1.7047E-2</v>
      </c>
      <c r="AG58" s="208"/>
    </row>
    <row r="59" spans="1:33" ht="15" customHeight="1" x14ac:dyDescent="0.65">
      <c r="A59" s="212" t="s">
        <v>279</v>
      </c>
      <c r="B59" s="264" t="s">
        <v>280</v>
      </c>
      <c r="C59" s="265">
        <v>2.326422</v>
      </c>
      <c r="D59" s="265">
        <v>2.2674699999999999</v>
      </c>
      <c r="E59" s="265">
        <v>2.266108</v>
      </c>
      <c r="F59" s="265">
        <v>2.2712279999999998</v>
      </c>
      <c r="G59" s="265">
        <v>2.2835740000000002</v>
      </c>
      <c r="H59" s="265">
        <v>2.312538</v>
      </c>
      <c r="I59" s="265">
        <v>2.3492929999999999</v>
      </c>
      <c r="J59" s="265">
        <v>2.399381</v>
      </c>
      <c r="K59" s="265">
        <v>2.4461050000000002</v>
      </c>
      <c r="L59" s="265">
        <v>2.4511440000000002</v>
      </c>
      <c r="M59" s="265">
        <v>2.4411139999999998</v>
      </c>
      <c r="N59" s="265">
        <v>2.4258280000000001</v>
      </c>
      <c r="O59" s="265">
        <v>2.4312170000000002</v>
      </c>
      <c r="P59" s="265">
        <v>2.4290120000000002</v>
      </c>
      <c r="Q59" s="265">
        <v>2.432617</v>
      </c>
      <c r="R59" s="265">
        <v>2.450752</v>
      </c>
      <c r="S59" s="265">
        <v>2.4936690000000001</v>
      </c>
      <c r="T59" s="265">
        <v>2.5012650000000001</v>
      </c>
      <c r="U59" s="265">
        <v>2.5190320000000002</v>
      </c>
      <c r="V59" s="265">
        <v>2.5169809999999999</v>
      </c>
      <c r="W59" s="265">
        <v>2.5201069999999999</v>
      </c>
      <c r="X59" s="265">
        <v>2.5293510000000001</v>
      </c>
      <c r="Y59" s="265">
        <v>2.5445700000000002</v>
      </c>
      <c r="Z59" s="265">
        <v>2.5584180000000001</v>
      </c>
      <c r="AA59" s="265">
        <v>2.5769570000000002</v>
      </c>
      <c r="AB59" s="265">
        <v>2.584111</v>
      </c>
      <c r="AC59" s="265">
        <v>2.597035</v>
      </c>
      <c r="AD59" s="265">
        <v>2.6051700000000002</v>
      </c>
      <c r="AE59" s="265">
        <v>2.6310929999999999</v>
      </c>
      <c r="AF59" s="266">
        <v>4.4050000000000001E-3</v>
      </c>
      <c r="AG59" s="208"/>
    </row>
    <row r="60" spans="1:33" ht="15" customHeight="1" x14ac:dyDescent="0.65">
      <c r="A60" s="212" t="s">
        <v>281</v>
      </c>
      <c r="B60" s="264" t="s">
        <v>282</v>
      </c>
      <c r="C60" s="270">
        <v>12.224997999999999</v>
      </c>
      <c r="D60" s="270">
        <v>11.913273</v>
      </c>
      <c r="E60" s="270">
        <v>11.471824</v>
      </c>
      <c r="F60" s="270">
        <v>11.030275</v>
      </c>
      <c r="G60" s="270">
        <v>10.768831</v>
      </c>
      <c r="H60" s="270">
        <v>10.582514</v>
      </c>
      <c r="I60" s="270">
        <v>10.45016</v>
      </c>
      <c r="J60" s="270">
        <v>10.399552</v>
      </c>
      <c r="K60" s="270">
        <v>10.413741999999999</v>
      </c>
      <c r="L60" s="270">
        <v>10.447018999999999</v>
      </c>
      <c r="M60" s="270">
        <v>10.475133</v>
      </c>
      <c r="N60" s="270">
        <v>10.629588999999999</v>
      </c>
      <c r="O60" s="270">
        <v>10.729555</v>
      </c>
      <c r="P60" s="270">
        <v>10.730740000000001</v>
      </c>
      <c r="Q60" s="270">
        <v>10.793545</v>
      </c>
      <c r="R60" s="270">
        <v>10.871433</v>
      </c>
      <c r="S60" s="270">
        <v>10.987963000000001</v>
      </c>
      <c r="T60" s="270">
        <v>11.078531</v>
      </c>
      <c r="U60" s="270">
        <v>11.155383</v>
      </c>
      <c r="V60" s="270">
        <v>11.217563</v>
      </c>
      <c r="W60" s="270">
        <v>11.243109</v>
      </c>
      <c r="X60" s="270">
        <v>11.258493</v>
      </c>
      <c r="Y60" s="270">
        <v>11.271253</v>
      </c>
      <c r="Z60" s="270">
        <v>11.281693000000001</v>
      </c>
      <c r="AA60" s="270">
        <v>11.247436</v>
      </c>
      <c r="AB60" s="270">
        <v>11.196383000000001</v>
      </c>
      <c r="AC60" s="270">
        <v>11.178801</v>
      </c>
      <c r="AD60" s="270">
        <v>11.117008</v>
      </c>
      <c r="AE60" s="270">
        <v>11.024077999999999</v>
      </c>
      <c r="AF60" s="266">
        <v>-3.686E-3</v>
      </c>
      <c r="AG60" s="208"/>
    </row>
    <row r="61" spans="1:33" ht="15" customHeight="1" x14ac:dyDescent="0.65">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208"/>
    </row>
    <row r="62" spans="1:33" ht="15" customHeight="1" x14ac:dyDescent="0.65">
      <c r="B62" s="208"/>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row>
    <row r="63" spans="1:33" ht="15" customHeight="1" x14ac:dyDescent="0.65">
      <c r="B63" s="263" t="s">
        <v>283</v>
      </c>
      <c r="C63" s="208"/>
      <c r="D63" s="208"/>
      <c r="E63" s="208"/>
      <c r="F63" s="208"/>
      <c r="G63" s="208"/>
      <c r="H63" s="208"/>
      <c r="I63" s="208"/>
      <c r="J63" s="208"/>
      <c r="K63" s="208"/>
      <c r="L63" s="208"/>
      <c r="M63" s="208"/>
      <c r="N63" s="208"/>
      <c r="O63" s="208"/>
      <c r="P63" s="208"/>
      <c r="Q63" s="208"/>
      <c r="R63" s="208"/>
      <c r="S63" s="208"/>
      <c r="T63" s="208"/>
      <c r="U63" s="208"/>
      <c r="V63" s="208"/>
      <c r="W63" s="208"/>
      <c r="X63" s="208"/>
      <c r="Y63" s="208"/>
      <c r="Z63" s="208"/>
      <c r="AA63" s="208"/>
      <c r="AB63" s="208"/>
      <c r="AC63" s="208"/>
      <c r="AD63" s="208"/>
      <c r="AE63" s="208"/>
      <c r="AF63" s="208"/>
      <c r="AG63" s="208"/>
    </row>
    <row r="64" spans="1:33" ht="15" customHeight="1" x14ac:dyDescent="0.65">
      <c r="A64" s="212" t="s">
        <v>284</v>
      </c>
      <c r="B64" s="264" t="s">
        <v>270</v>
      </c>
      <c r="C64" s="269">
        <v>102.129997</v>
      </c>
      <c r="D64" s="269">
        <v>95.329002000000003</v>
      </c>
      <c r="E64" s="269">
        <v>98.708404999999999</v>
      </c>
      <c r="F64" s="269">
        <v>94.878890999999996</v>
      </c>
      <c r="G64" s="269">
        <v>97.830475000000007</v>
      </c>
      <c r="H64" s="269">
        <v>100.425552</v>
      </c>
      <c r="I64" s="269">
        <v>103.260544</v>
      </c>
      <c r="J64" s="269">
        <v>106.227829</v>
      </c>
      <c r="K64" s="269">
        <v>109.43918600000001</v>
      </c>
      <c r="L64" s="269">
        <v>112.639786</v>
      </c>
      <c r="M64" s="269">
        <v>116.265869</v>
      </c>
      <c r="N64" s="269">
        <v>119.61837800000001</v>
      </c>
      <c r="O64" s="269">
        <v>123.399551</v>
      </c>
      <c r="P64" s="269">
        <v>127.457848</v>
      </c>
      <c r="Q64" s="269">
        <v>131.21597299999999</v>
      </c>
      <c r="R64" s="269">
        <v>135.083923</v>
      </c>
      <c r="S64" s="269">
        <v>138.85072299999999</v>
      </c>
      <c r="T64" s="269">
        <v>142.69729599999999</v>
      </c>
      <c r="U64" s="269">
        <v>146.67823799999999</v>
      </c>
      <c r="V64" s="269">
        <v>150.81691000000001</v>
      </c>
      <c r="W64" s="269">
        <v>154.928268</v>
      </c>
      <c r="X64" s="269">
        <v>159.09347500000001</v>
      </c>
      <c r="Y64" s="269">
        <v>163.57148699999999</v>
      </c>
      <c r="Z64" s="269">
        <v>167.987595</v>
      </c>
      <c r="AA64" s="269">
        <v>173.312363</v>
      </c>
      <c r="AB64" s="269">
        <v>178.174057</v>
      </c>
      <c r="AC64" s="269">
        <v>183.52430699999999</v>
      </c>
      <c r="AD64" s="269">
        <v>189.210342</v>
      </c>
      <c r="AE64" s="269">
        <v>194.299271</v>
      </c>
      <c r="AF64" s="266">
        <v>2.3236E-2</v>
      </c>
      <c r="AG64" s="208"/>
    </row>
    <row r="65" spans="1:34" ht="15" customHeight="1" x14ac:dyDescent="0.65">
      <c r="A65" s="212" t="s">
        <v>285</v>
      </c>
      <c r="B65" s="264" t="s">
        <v>327</v>
      </c>
      <c r="C65" s="269">
        <v>95.875998999999993</v>
      </c>
      <c r="D65" s="269">
        <v>89.329002000000003</v>
      </c>
      <c r="E65" s="269">
        <v>97.249779000000004</v>
      </c>
      <c r="F65" s="269">
        <v>92.900146000000007</v>
      </c>
      <c r="G65" s="269">
        <v>94.905304000000001</v>
      </c>
      <c r="H65" s="269">
        <v>97.271384999999995</v>
      </c>
      <c r="I65" s="269">
        <v>100.22315999999999</v>
      </c>
      <c r="J65" s="269">
        <v>102.98326900000001</v>
      </c>
      <c r="K65" s="269">
        <v>105.828407</v>
      </c>
      <c r="L65" s="269">
        <v>108.94564099999999</v>
      </c>
      <c r="M65" s="269">
        <v>112.41229199999999</v>
      </c>
      <c r="N65" s="269">
        <v>115.627411</v>
      </c>
      <c r="O65" s="269">
        <v>119.291077</v>
      </c>
      <c r="P65" s="269">
        <v>122.66132399999999</v>
      </c>
      <c r="Q65" s="269">
        <v>126.59264400000001</v>
      </c>
      <c r="R65" s="269">
        <v>130.29289199999999</v>
      </c>
      <c r="S65" s="269">
        <v>133.71722399999999</v>
      </c>
      <c r="T65" s="269">
        <v>137.44975299999999</v>
      </c>
      <c r="U65" s="269">
        <v>141.151093</v>
      </c>
      <c r="V65" s="269">
        <v>145.09960899999999</v>
      </c>
      <c r="W65" s="269">
        <v>149.102936</v>
      </c>
      <c r="X65" s="269">
        <v>153.158661</v>
      </c>
      <c r="Y65" s="269">
        <v>157.370575</v>
      </c>
      <c r="Z65" s="269">
        <v>161.615891</v>
      </c>
      <c r="AA65" s="269">
        <v>166.70979299999999</v>
      </c>
      <c r="AB65" s="269">
        <v>171.44435100000001</v>
      </c>
      <c r="AC65" s="269">
        <v>176.82122799999999</v>
      </c>
      <c r="AD65" s="269">
        <v>182.42593400000001</v>
      </c>
      <c r="AE65" s="269">
        <v>187.283264</v>
      </c>
      <c r="AF65" s="266">
        <v>2.4201E-2</v>
      </c>
      <c r="AG65" s="208"/>
    </row>
    <row r="66" spans="1:34" ht="12.25" x14ac:dyDescent="0.65">
      <c r="A66" s="212" t="s">
        <v>286</v>
      </c>
      <c r="B66" s="264" t="s">
        <v>274</v>
      </c>
      <c r="C66" s="265">
        <v>6.5239969999999996</v>
      </c>
      <c r="D66" s="265">
        <v>5.4840799999999996</v>
      </c>
      <c r="E66" s="265">
        <v>4.3442369999999997</v>
      </c>
      <c r="F66" s="265">
        <v>3.8034059999999998</v>
      </c>
      <c r="G66" s="265">
        <v>3.4125000000000001</v>
      </c>
      <c r="H66" s="265">
        <v>3.244545</v>
      </c>
      <c r="I66" s="265">
        <v>3.252955</v>
      </c>
      <c r="J66" s="265">
        <v>3.3542079999999999</v>
      </c>
      <c r="K66" s="265">
        <v>3.5351439999999998</v>
      </c>
      <c r="L66" s="265">
        <v>3.7790189999999999</v>
      </c>
      <c r="M66" s="265">
        <v>4.0742339999999997</v>
      </c>
      <c r="N66" s="265">
        <v>4.442329</v>
      </c>
      <c r="O66" s="265">
        <v>4.7517820000000004</v>
      </c>
      <c r="P66" s="265">
        <v>5.0161790000000002</v>
      </c>
      <c r="Q66" s="265">
        <v>5.148898</v>
      </c>
      <c r="R66" s="265">
        <v>5.3260490000000003</v>
      </c>
      <c r="S66" s="265">
        <v>5.6316480000000002</v>
      </c>
      <c r="T66" s="265">
        <v>5.6395520000000001</v>
      </c>
      <c r="U66" s="265">
        <v>5.992483</v>
      </c>
      <c r="V66" s="265">
        <v>6.2576710000000002</v>
      </c>
      <c r="W66" s="265">
        <v>6.3872109999999997</v>
      </c>
      <c r="X66" s="265">
        <v>6.4292730000000002</v>
      </c>
      <c r="Y66" s="265">
        <v>6.516381</v>
      </c>
      <c r="Z66" s="265">
        <v>6.6630039999999999</v>
      </c>
      <c r="AA66" s="265">
        <v>6.8138820000000004</v>
      </c>
      <c r="AB66" s="265">
        <v>6.910819</v>
      </c>
      <c r="AC66" s="265">
        <v>7.0369719999999996</v>
      </c>
      <c r="AD66" s="265">
        <v>7.083812</v>
      </c>
      <c r="AE66" s="265">
        <v>7.230118</v>
      </c>
      <c r="AF66" s="266">
        <v>3.6770000000000001E-3</v>
      </c>
      <c r="AG66" s="208"/>
    </row>
    <row r="67" spans="1:34" ht="15" customHeight="1" x14ac:dyDescent="0.65">
      <c r="A67" s="212" t="s">
        <v>287</v>
      </c>
      <c r="B67" s="264" t="s">
        <v>276</v>
      </c>
      <c r="C67" s="270">
        <v>37.847487999999998</v>
      </c>
      <c r="D67" s="270">
        <v>38.823559000000003</v>
      </c>
      <c r="E67" s="270">
        <v>42.750843000000003</v>
      </c>
      <c r="F67" s="270">
        <v>44.449157999999997</v>
      </c>
      <c r="G67" s="270">
        <v>48.575581</v>
      </c>
      <c r="H67" s="270">
        <v>53.861572000000002</v>
      </c>
      <c r="I67" s="270">
        <v>57.922020000000003</v>
      </c>
      <c r="J67" s="270">
        <v>59.880493000000001</v>
      </c>
      <c r="K67" s="270">
        <v>64.085182000000003</v>
      </c>
      <c r="L67" s="270">
        <v>69.249504000000002</v>
      </c>
      <c r="M67" s="270">
        <v>67.704903000000002</v>
      </c>
      <c r="N67" s="270">
        <v>69.500609999999995</v>
      </c>
      <c r="O67" s="270">
        <v>71.146736000000004</v>
      </c>
      <c r="P67" s="270">
        <v>72.654883999999996</v>
      </c>
      <c r="Q67" s="270">
        <v>75.430458000000002</v>
      </c>
      <c r="R67" s="270">
        <v>78.560805999999999</v>
      </c>
      <c r="S67" s="270">
        <v>83.466125000000005</v>
      </c>
      <c r="T67" s="270">
        <v>86.049323999999999</v>
      </c>
      <c r="U67" s="270">
        <v>89.967934</v>
      </c>
      <c r="V67" s="270">
        <v>91.756546</v>
      </c>
      <c r="W67" s="270">
        <v>93.996200999999999</v>
      </c>
      <c r="X67" s="270">
        <v>98.145827999999995</v>
      </c>
      <c r="Y67" s="270">
        <v>102.286278</v>
      </c>
      <c r="Z67" s="270">
        <v>106.55997499999999</v>
      </c>
      <c r="AA67" s="270">
        <v>110.71742999999999</v>
      </c>
      <c r="AB67" s="270">
        <v>114.22395299999999</v>
      </c>
      <c r="AC67" s="270">
        <v>117.27104199999999</v>
      </c>
      <c r="AD67" s="270">
        <v>121.28231</v>
      </c>
      <c r="AE67" s="270">
        <v>125.41332199999999</v>
      </c>
      <c r="AF67" s="266">
        <v>4.3715999999999998E-2</v>
      </c>
      <c r="AG67" s="208"/>
    </row>
    <row r="68" spans="1:34" ht="15" customHeight="1" x14ac:dyDescent="0.65">
      <c r="A68" s="212" t="s">
        <v>288</v>
      </c>
      <c r="B68" s="264" t="s">
        <v>278</v>
      </c>
      <c r="C68" s="265">
        <v>1.8539890000000001</v>
      </c>
      <c r="D68" s="265">
        <v>1.9118889999999999</v>
      </c>
      <c r="E68" s="265">
        <v>2.0791810000000002</v>
      </c>
      <c r="F68" s="265">
        <v>2.1491419999999999</v>
      </c>
      <c r="G68" s="265">
        <v>2.3102040000000001</v>
      </c>
      <c r="H68" s="265">
        <v>2.5114480000000001</v>
      </c>
      <c r="I68" s="265">
        <v>2.6792729999999998</v>
      </c>
      <c r="J68" s="265">
        <v>2.7992189999999999</v>
      </c>
      <c r="K68" s="265">
        <v>2.9834459999999998</v>
      </c>
      <c r="L68" s="265">
        <v>3.2201610000000001</v>
      </c>
      <c r="M68" s="265">
        <v>3.1465010000000002</v>
      </c>
      <c r="N68" s="265">
        <v>3.2199260000000001</v>
      </c>
      <c r="O68" s="265">
        <v>3.3106680000000002</v>
      </c>
      <c r="P68" s="265">
        <v>3.3908299999999998</v>
      </c>
      <c r="Q68" s="265">
        <v>3.517423</v>
      </c>
      <c r="R68" s="265">
        <v>3.6696659999999999</v>
      </c>
      <c r="S68" s="265">
        <v>3.839715</v>
      </c>
      <c r="T68" s="265">
        <v>3.9539949999999999</v>
      </c>
      <c r="U68" s="265">
        <v>4.1222219999999998</v>
      </c>
      <c r="V68" s="265">
        <v>4.2142900000000001</v>
      </c>
      <c r="W68" s="265">
        <v>4.3211649999999997</v>
      </c>
      <c r="X68" s="265">
        <v>4.4937379999999996</v>
      </c>
      <c r="Y68" s="265">
        <v>4.6699089999999996</v>
      </c>
      <c r="Z68" s="265">
        <v>4.8506960000000001</v>
      </c>
      <c r="AA68" s="265">
        <v>5.0306550000000003</v>
      </c>
      <c r="AB68" s="265">
        <v>5.1874320000000003</v>
      </c>
      <c r="AC68" s="265">
        <v>5.335547</v>
      </c>
      <c r="AD68" s="265">
        <v>5.5108499999999996</v>
      </c>
      <c r="AE68" s="265">
        <v>5.7061900000000003</v>
      </c>
      <c r="AF68" s="266">
        <v>4.0967000000000003E-2</v>
      </c>
      <c r="AG68" s="208"/>
    </row>
    <row r="69" spans="1:34" ht="15" customHeight="1" x14ac:dyDescent="0.65">
      <c r="A69" s="212" t="s">
        <v>289</v>
      </c>
      <c r="B69" s="264" t="s">
        <v>280</v>
      </c>
      <c r="C69" s="265">
        <v>2.326422</v>
      </c>
      <c r="D69" s="265">
        <v>2.3612030000000002</v>
      </c>
      <c r="E69" s="265">
        <v>2.4173830000000001</v>
      </c>
      <c r="F69" s="265">
        <v>2.4755319999999998</v>
      </c>
      <c r="G69" s="265">
        <v>2.5420569999999998</v>
      </c>
      <c r="H69" s="265">
        <v>2.6299100000000002</v>
      </c>
      <c r="I69" s="265">
        <v>2.7294299999999998</v>
      </c>
      <c r="J69" s="265">
        <v>2.8487589999999998</v>
      </c>
      <c r="K69" s="265">
        <v>2.9690620000000001</v>
      </c>
      <c r="L69" s="265">
        <v>3.0432510000000002</v>
      </c>
      <c r="M69" s="265">
        <v>3.1002670000000001</v>
      </c>
      <c r="N69" s="265">
        <v>3.1538149999999998</v>
      </c>
      <c r="O69" s="265">
        <v>3.2365430000000002</v>
      </c>
      <c r="P69" s="265">
        <v>3.3093279999999998</v>
      </c>
      <c r="Q69" s="265">
        <v>3.3905720000000001</v>
      </c>
      <c r="R69" s="265">
        <v>3.4923060000000001</v>
      </c>
      <c r="S69" s="265">
        <v>3.6320299999999999</v>
      </c>
      <c r="T69" s="265">
        <v>3.7231019999999999</v>
      </c>
      <c r="U69" s="265">
        <v>3.8331659999999999</v>
      </c>
      <c r="V69" s="265">
        <v>3.915921</v>
      </c>
      <c r="W69" s="265">
        <v>4.0093420000000002</v>
      </c>
      <c r="X69" s="265">
        <v>4.1162910000000004</v>
      </c>
      <c r="Y69" s="265">
        <v>4.2366820000000001</v>
      </c>
      <c r="Z69" s="265">
        <v>4.3589950000000002</v>
      </c>
      <c r="AA69" s="265">
        <v>4.4941659999999999</v>
      </c>
      <c r="AB69" s="265">
        <v>4.6137129999999997</v>
      </c>
      <c r="AC69" s="265">
        <v>4.7479399999999998</v>
      </c>
      <c r="AD69" s="265">
        <v>4.8771259999999996</v>
      </c>
      <c r="AE69" s="265">
        <v>5.044562</v>
      </c>
      <c r="AF69" s="266">
        <v>2.8028000000000001E-2</v>
      </c>
      <c r="AG69" s="208"/>
    </row>
    <row r="70" spans="1:34" ht="15" customHeight="1" x14ac:dyDescent="0.65">
      <c r="A70" s="212" t="s">
        <v>290</v>
      </c>
      <c r="B70" s="264" t="s">
        <v>282</v>
      </c>
      <c r="C70" s="270">
        <v>12.224997999999999</v>
      </c>
      <c r="D70" s="270">
        <v>12.405747</v>
      </c>
      <c r="E70" s="270">
        <v>12.237636</v>
      </c>
      <c r="F70" s="270">
        <v>12.022482999999999</v>
      </c>
      <c r="G70" s="270">
        <v>11.987779</v>
      </c>
      <c r="H70" s="270">
        <v>12.034852000000001</v>
      </c>
      <c r="I70" s="270">
        <v>12.141092</v>
      </c>
      <c r="J70" s="270">
        <v>12.347277</v>
      </c>
      <c r="K70" s="270">
        <v>12.640115</v>
      </c>
      <c r="L70" s="270">
        <v>12.970637</v>
      </c>
      <c r="M70" s="270">
        <v>13.303642999999999</v>
      </c>
      <c r="N70" s="270">
        <v>13.819509999999999</v>
      </c>
      <c r="O70" s="270">
        <v>14.283655</v>
      </c>
      <c r="P70" s="270">
        <v>14.619742</v>
      </c>
      <c r="Q70" s="270">
        <v>15.044</v>
      </c>
      <c r="R70" s="270">
        <v>15.491720000000001</v>
      </c>
      <c r="S70" s="270">
        <v>16.003972999999998</v>
      </c>
      <c r="T70" s="270">
        <v>16.490255000000001</v>
      </c>
      <c r="U70" s="270">
        <v>16.974945000000002</v>
      </c>
      <c r="V70" s="270">
        <v>17.452290999999999</v>
      </c>
      <c r="W70" s="270">
        <v>17.887127</v>
      </c>
      <c r="X70" s="270">
        <v>18.322187</v>
      </c>
      <c r="Y70" s="270">
        <v>18.766511999999999</v>
      </c>
      <c r="Z70" s="270">
        <v>19.221584</v>
      </c>
      <c r="AA70" s="270">
        <v>19.615328000000002</v>
      </c>
      <c r="AB70" s="270">
        <v>19.990197999999999</v>
      </c>
      <c r="AC70" s="270">
        <v>20.437253999999999</v>
      </c>
      <c r="AD70" s="270">
        <v>20.812099</v>
      </c>
      <c r="AE70" s="270">
        <v>21.136326</v>
      </c>
      <c r="AF70" s="266">
        <v>1.9746E-2</v>
      </c>
      <c r="AG70" s="208"/>
    </row>
    <row r="71" spans="1:34" ht="15" customHeight="1" thickBot="1" x14ac:dyDescent="0.8">
      <c r="B71" s="208"/>
      <c r="C71" s="208"/>
      <c r="D71" s="208"/>
      <c r="E71" s="208"/>
      <c r="F71" s="208"/>
      <c r="G71" s="208"/>
      <c r="H71" s="208"/>
      <c r="I71" s="208"/>
      <c r="J71" s="208"/>
      <c r="K71" s="208"/>
      <c r="L71" s="208"/>
      <c r="M71" s="208"/>
      <c r="N71" s="208"/>
      <c r="O71" s="208"/>
      <c r="P71" s="208"/>
      <c r="Q71" s="208"/>
      <c r="R71" s="208"/>
      <c r="S71" s="208"/>
      <c r="T71" s="208"/>
      <c r="U71" s="208"/>
      <c r="V71" s="208"/>
      <c r="W71" s="208"/>
      <c r="X71" s="208"/>
      <c r="Y71" s="208"/>
      <c r="Z71" s="208"/>
      <c r="AA71" s="208"/>
      <c r="AB71" s="208"/>
      <c r="AC71" s="208"/>
      <c r="AD71" s="208"/>
      <c r="AE71" s="208"/>
      <c r="AF71" s="208"/>
      <c r="AG71" s="208"/>
    </row>
    <row r="72" spans="1:34" ht="15" customHeight="1" x14ac:dyDescent="0.65">
      <c r="B72" s="294" t="s">
        <v>291</v>
      </c>
      <c r="C72" s="295"/>
      <c r="D72" s="295"/>
      <c r="E72" s="295"/>
      <c r="F72" s="295"/>
      <c r="G72" s="295"/>
      <c r="H72" s="295"/>
      <c r="I72" s="295"/>
      <c r="J72" s="295"/>
      <c r="K72" s="295"/>
      <c r="L72" s="295"/>
      <c r="M72" s="295"/>
      <c r="N72" s="295"/>
      <c r="O72" s="295"/>
      <c r="P72" s="295"/>
      <c r="Q72" s="295"/>
      <c r="R72" s="295"/>
      <c r="S72" s="295"/>
      <c r="T72" s="295"/>
      <c r="U72" s="295"/>
      <c r="V72" s="295"/>
      <c r="W72" s="295"/>
      <c r="X72" s="295"/>
      <c r="Y72" s="295"/>
      <c r="Z72" s="295"/>
      <c r="AA72" s="295"/>
      <c r="AB72" s="295"/>
      <c r="AC72" s="295"/>
      <c r="AD72" s="295"/>
      <c r="AE72" s="295"/>
      <c r="AF72" s="295"/>
      <c r="AG72" s="295"/>
      <c r="AH72" s="230"/>
    </row>
    <row r="73" spans="1:34" ht="12.25" x14ac:dyDescent="0.65">
      <c r="B73" s="208" t="s">
        <v>328</v>
      </c>
      <c r="C73" s="208"/>
      <c r="D73" s="208"/>
      <c r="E73" s="208"/>
      <c r="F73" s="208"/>
      <c r="G73" s="208"/>
      <c r="H73" s="208"/>
      <c r="I73" s="208"/>
      <c r="J73" s="208"/>
      <c r="K73" s="208"/>
      <c r="L73" s="208"/>
      <c r="M73" s="208"/>
      <c r="N73" s="208"/>
      <c r="O73" s="208"/>
      <c r="P73" s="208"/>
      <c r="Q73" s="208"/>
      <c r="R73" s="208"/>
      <c r="S73" s="208"/>
      <c r="T73" s="208"/>
      <c r="U73" s="208"/>
      <c r="V73" s="208"/>
      <c r="W73" s="208"/>
      <c r="X73" s="208"/>
      <c r="Y73" s="208"/>
      <c r="Z73" s="208"/>
      <c r="AA73" s="208"/>
      <c r="AB73" s="208"/>
      <c r="AC73" s="208"/>
      <c r="AD73" s="208"/>
      <c r="AE73" s="208"/>
      <c r="AF73" s="208"/>
      <c r="AG73" s="208"/>
    </row>
    <row r="74" spans="1:34" ht="15" customHeight="1" x14ac:dyDescent="0.65">
      <c r="B74" s="208" t="s">
        <v>293</v>
      </c>
      <c r="C74" s="208"/>
      <c r="D74" s="208"/>
      <c r="E74" s="208"/>
      <c r="F74" s="208"/>
      <c r="G74" s="208"/>
      <c r="H74" s="208"/>
      <c r="I74" s="208"/>
      <c r="J74" s="208"/>
      <c r="K74" s="208"/>
      <c r="L74" s="208"/>
      <c r="M74" s="208"/>
      <c r="N74" s="208"/>
      <c r="O74" s="208"/>
      <c r="P74" s="208"/>
      <c r="Q74" s="208"/>
      <c r="R74" s="208"/>
      <c r="S74" s="208"/>
      <c r="T74" s="208"/>
      <c r="U74" s="208"/>
      <c r="V74" s="208"/>
      <c r="W74" s="208"/>
      <c r="X74" s="208"/>
      <c r="Y74" s="208"/>
      <c r="Z74" s="208"/>
      <c r="AA74" s="208"/>
      <c r="AB74" s="208"/>
      <c r="AC74" s="208"/>
      <c r="AD74" s="208"/>
      <c r="AE74" s="208"/>
      <c r="AF74" s="208"/>
      <c r="AG74" s="208"/>
    </row>
    <row r="75" spans="1:34" ht="15" customHeight="1" x14ac:dyDescent="0.65">
      <c r="B75" s="208" t="s">
        <v>329</v>
      </c>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c r="AF75" s="208"/>
      <c r="AG75" s="208"/>
    </row>
    <row r="76" spans="1:34" ht="15" customHeight="1" x14ac:dyDescent="0.65">
      <c r="B76" s="208" t="s">
        <v>330</v>
      </c>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8"/>
      <c r="AE76" s="208"/>
      <c r="AF76" s="208"/>
      <c r="AG76" s="208"/>
    </row>
    <row r="77" spans="1:34" ht="15" customHeight="1" x14ac:dyDescent="0.65">
      <c r="B77" s="208" t="s">
        <v>296</v>
      </c>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c r="AA77" s="208"/>
      <c r="AB77" s="208"/>
      <c r="AC77" s="208"/>
      <c r="AD77" s="208"/>
      <c r="AE77" s="208"/>
      <c r="AF77" s="208"/>
      <c r="AG77" s="208"/>
    </row>
    <row r="78" spans="1:34" ht="15" customHeight="1" x14ac:dyDescent="0.65">
      <c r="B78" s="208" t="s">
        <v>331</v>
      </c>
      <c r="C78" s="208"/>
      <c r="D78" s="208"/>
      <c r="E78" s="208"/>
      <c r="F78" s="208"/>
      <c r="G78" s="208"/>
      <c r="H78" s="208"/>
      <c r="I78" s="208"/>
      <c r="J78" s="208"/>
      <c r="K78" s="208"/>
      <c r="L78" s="208"/>
      <c r="M78" s="208"/>
      <c r="N78" s="208"/>
      <c r="O78" s="208"/>
      <c r="P78" s="208"/>
      <c r="Q78" s="208"/>
      <c r="R78" s="208"/>
      <c r="S78" s="208"/>
      <c r="T78" s="208"/>
      <c r="U78" s="208"/>
      <c r="V78" s="208"/>
      <c r="W78" s="208"/>
      <c r="X78" s="208"/>
      <c r="Y78" s="208"/>
      <c r="Z78" s="208"/>
      <c r="AA78" s="208"/>
      <c r="AB78" s="208"/>
      <c r="AC78" s="208"/>
      <c r="AD78" s="208"/>
      <c r="AE78" s="208"/>
      <c r="AF78" s="208"/>
      <c r="AG78" s="208"/>
    </row>
    <row r="79" spans="1:34" ht="12.25" x14ac:dyDescent="0.65">
      <c r="B79" s="208" t="s">
        <v>298</v>
      </c>
      <c r="C79" s="208"/>
      <c r="D79" s="208"/>
      <c r="E79" s="208"/>
      <c r="F79" s="208"/>
      <c r="G79" s="208"/>
      <c r="H79" s="208"/>
      <c r="I79" s="208"/>
      <c r="J79" s="208"/>
      <c r="K79" s="208"/>
      <c r="L79" s="208"/>
      <c r="M79" s="208"/>
      <c r="N79" s="208"/>
      <c r="O79" s="208"/>
      <c r="P79" s="208"/>
      <c r="Q79" s="208"/>
      <c r="R79" s="208"/>
      <c r="S79" s="208"/>
      <c r="T79" s="208"/>
      <c r="U79" s="208"/>
      <c r="V79" s="208"/>
      <c r="W79" s="208"/>
      <c r="X79" s="208"/>
      <c r="Y79" s="208"/>
      <c r="Z79" s="208"/>
      <c r="AA79" s="208"/>
      <c r="AB79" s="208"/>
      <c r="AC79" s="208"/>
      <c r="AD79" s="208"/>
      <c r="AE79" s="208"/>
      <c r="AF79" s="208"/>
      <c r="AG79" s="208"/>
    </row>
    <row r="80" spans="1:34" ht="15" customHeight="1" x14ac:dyDescent="0.65">
      <c r="B80" s="208" t="s">
        <v>299</v>
      </c>
      <c r="C80" s="208"/>
      <c r="D80" s="208"/>
      <c r="E80" s="208"/>
      <c r="F80" s="208"/>
      <c r="G80" s="208"/>
      <c r="H80" s="208"/>
      <c r="I80" s="208"/>
      <c r="J80" s="208"/>
      <c r="K80" s="208"/>
      <c r="L80" s="208"/>
      <c r="M80" s="208"/>
      <c r="N80" s="208"/>
      <c r="O80" s="208"/>
      <c r="P80" s="208"/>
      <c r="Q80" s="208"/>
      <c r="R80" s="208"/>
      <c r="S80" s="208"/>
      <c r="T80" s="208"/>
      <c r="U80" s="208"/>
      <c r="V80" s="208"/>
      <c r="W80" s="208"/>
      <c r="X80" s="208"/>
      <c r="Y80" s="208"/>
      <c r="Z80" s="208"/>
      <c r="AA80" s="208"/>
      <c r="AB80" s="208"/>
      <c r="AC80" s="208"/>
      <c r="AD80" s="208"/>
      <c r="AE80" s="208"/>
      <c r="AF80" s="208"/>
      <c r="AG80" s="208"/>
    </row>
    <row r="81" spans="2:33" ht="12.25" x14ac:dyDescent="0.65">
      <c r="B81" s="208" t="s">
        <v>300</v>
      </c>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c r="AA81" s="208"/>
      <c r="AB81" s="208"/>
      <c r="AC81" s="208"/>
      <c r="AD81" s="208"/>
      <c r="AE81" s="208"/>
      <c r="AF81" s="208"/>
      <c r="AG81" s="208"/>
    </row>
    <row r="82" spans="2:33" ht="15" customHeight="1" x14ac:dyDescent="0.65">
      <c r="B82" s="208" t="s">
        <v>332</v>
      </c>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c r="AA82" s="208"/>
      <c r="AB82" s="208"/>
      <c r="AC82" s="208"/>
      <c r="AD82" s="208"/>
      <c r="AE82" s="208"/>
      <c r="AF82" s="208"/>
      <c r="AG82" s="208"/>
    </row>
    <row r="83" spans="2:33" ht="15" customHeight="1" x14ac:dyDescent="0.65">
      <c r="B83" s="208" t="s">
        <v>302</v>
      </c>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c r="AA83" s="208"/>
      <c r="AB83" s="208"/>
      <c r="AC83" s="208"/>
      <c r="AD83" s="208"/>
      <c r="AE83" s="208"/>
      <c r="AF83" s="208"/>
      <c r="AG83" s="208"/>
    </row>
    <row r="84" spans="2:33" ht="15" customHeight="1" x14ac:dyDescent="0.65">
      <c r="B84" s="208" t="s">
        <v>303</v>
      </c>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c r="AA84" s="208"/>
      <c r="AB84" s="208"/>
      <c r="AC84" s="208"/>
      <c r="AD84" s="208"/>
      <c r="AE84" s="208"/>
      <c r="AF84" s="208"/>
      <c r="AG84" s="208"/>
    </row>
    <row r="85" spans="2:33" ht="15" customHeight="1" x14ac:dyDescent="0.65">
      <c r="B85" s="208" t="s">
        <v>304</v>
      </c>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c r="AA85" s="208"/>
      <c r="AB85" s="208"/>
      <c r="AC85" s="208"/>
      <c r="AD85" s="208"/>
      <c r="AE85" s="208"/>
      <c r="AF85" s="208"/>
      <c r="AG85" s="208"/>
    </row>
    <row r="86" spans="2:33" ht="15" customHeight="1" x14ac:dyDescent="0.65">
      <c r="B86" s="208" t="s">
        <v>305</v>
      </c>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c r="AA86" s="208"/>
      <c r="AB86" s="208"/>
      <c r="AC86" s="208"/>
      <c r="AD86" s="208"/>
      <c r="AE86" s="208"/>
      <c r="AF86" s="208"/>
      <c r="AG86" s="208"/>
    </row>
    <row r="87" spans="2:33" ht="15" customHeight="1" x14ac:dyDescent="0.65">
      <c r="B87" s="208" t="s">
        <v>306</v>
      </c>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c r="AA87" s="208"/>
      <c r="AB87" s="208"/>
      <c r="AC87" s="208"/>
      <c r="AD87" s="208"/>
      <c r="AE87" s="208"/>
      <c r="AF87" s="208"/>
      <c r="AG87" s="208"/>
    </row>
    <row r="88" spans="2:33" ht="15" customHeight="1" x14ac:dyDescent="0.65">
      <c r="B88" s="208" t="s">
        <v>307</v>
      </c>
      <c r="C88" s="208"/>
      <c r="D88" s="208"/>
      <c r="E88" s="208"/>
      <c r="F88" s="208"/>
      <c r="G88" s="208"/>
      <c r="H88" s="208"/>
      <c r="I88" s="208"/>
      <c r="J88" s="208"/>
      <c r="K88" s="208"/>
      <c r="L88" s="208"/>
      <c r="M88" s="208"/>
      <c r="N88" s="208"/>
      <c r="O88" s="208"/>
      <c r="P88" s="208"/>
      <c r="Q88" s="208"/>
      <c r="R88" s="208"/>
      <c r="S88" s="208"/>
      <c r="T88" s="208"/>
      <c r="U88" s="208"/>
      <c r="V88" s="208"/>
      <c r="W88" s="208"/>
      <c r="X88" s="208"/>
      <c r="Y88" s="208"/>
      <c r="Z88" s="208"/>
      <c r="AA88" s="208"/>
      <c r="AB88" s="208"/>
      <c r="AC88" s="208"/>
      <c r="AD88" s="208"/>
      <c r="AE88" s="208"/>
      <c r="AF88" s="208"/>
      <c r="AG88" s="208"/>
    </row>
    <row r="89" spans="2:33" ht="15" customHeight="1" x14ac:dyDescent="0.65">
      <c r="B89" s="208" t="s">
        <v>333</v>
      </c>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8"/>
      <c r="AE89" s="208"/>
      <c r="AF89" s="208"/>
      <c r="AG89" s="208"/>
    </row>
    <row r="90" spans="2:33" ht="15" customHeight="1" x14ac:dyDescent="0.65">
      <c r="B90" s="208" t="s">
        <v>309</v>
      </c>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c r="AA90" s="208"/>
      <c r="AB90" s="208"/>
      <c r="AC90" s="208"/>
      <c r="AD90" s="208"/>
      <c r="AE90" s="208"/>
      <c r="AF90" s="208"/>
      <c r="AG90" s="208"/>
    </row>
    <row r="91" spans="2:33" ht="15" customHeight="1" x14ac:dyDescent="0.65">
      <c r="B91" s="208" t="s">
        <v>310</v>
      </c>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8"/>
      <c r="AE91" s="208"/>
      <c r="AF91" s="208"/>
      <c r="AG91" s="208"/>
    </row>
    <row r="92" spans="2:33" ht="12.25" x14ac:dyDescent="0.65">
      <c r="B92" s="208" t="s">
        <v>311</v>
      </c>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c r="AA92" s="208"/>
      <c r="AB92" s="208"/>
      <c r="AC92" s="208"/>
      <c r="AD92" s="208"/>
      <c r="AE92" s="208"/>
      <c r="AF92" s="208"/>
      <c r="AG92" s="208"/>
    </row>
    <row r="93" spans="2:33" ht="15" customHeight="1" x14ac:dyDescent="0.65">
      <c r="B93" s="208" t="s">
        <v>312</v>
      </c>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8"/>
      <c r="AE93" s="208"/>
      <c r="AF93" s="208"/>
      <c r="AG93" s="208"/>
    </row>
    <row r="94" spans="2:33" ht="15" customHeight="1" x14ac:dyDescent="0.65">
      <c r="B94" s="208" t="s">
        <v>313</v>
      </c>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c r="AA94" s="208"/>
      <c r="AB94" s="208"/>
      <c r="AC94" s="208"/>
      <c r="AD94" s="208"/>
      <c r="AE94" s="208"/>
      <c r="AF94" s="208"/>
      <c r="AG94" s="208"/>
    </row>
    <row r="95" spans="2:33" ht="15" customHeight="1" x14ac:dyDescent="0.65">
      <c r="B95" s="208" t="s">
        <v>314</v>
      </c>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8"/>
      <c r="AE95" s="208"/>
      <c r="AF95" s="208"/>
      <c r="AG95" s="208"/>
    </row>
    <row r="96" spans="2:33" ht="15" customHeight="1" x14ac:dyDescent="0.65">
      <c r="B96" s="208" t="s">
        <v>315</v>
      </c>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c r="AA96" s="208"/>
      <c r="AB96" s="208"/>
      <c r="AC96" s="208"/>
      <c r="AD96" s="208"/>
      <c r="AE96" s="208"/>
      <c r="AF96" s="208"/>
      <c r="AG96" s="208"/>
    </row>
    <row r="97" spans="2:33" ht="15" customHeight="1" x14ac:dyDescent="0.65">
      <c r="B97" s="208" t="s">
        <v>316</v>
      </c>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8"/>
      <c r="AE97" s="208"/>
      <c r="AF97" s="208"/>
      <c r="AG97" s="208"/>
    </row>
    <row r="98" spans="2:33" ht="15" customHeight="1" x14ac:dyDescent="0.65">
      <c r="B98" s="208" t="s">
        <v>317</v>
      </c>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c r="AA98" s="208"/>
      <c r="AB98" s="208"/>
      <c r="AC98" s="208"/>
      <c r="AD98" s="208"/>
      <c r="AE98" s="208"/>
      <c r="AF98" s="208"/>
      <c r="AG98" s="208"/>
    </row>
    <row r="99" spans="2:33" ht="15" customHeight="1" x14ac:dyDescent="0.65">
      <c r="B99" s="208" t="s">
        <v>334</v>
      </c>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8"/>
      <c r="AE99" s="208"/>
      <c r="AF99" s="208"/>
      <c r="AG99" s="208"/>
    </row>
    <row r="100" spans="2:33" ht="15" customHeight="1" x14ac:dyDescent="0.65">
      <c r="B100" s="208" t="s">
        <v>335</v>
      </c>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c r="AA100" s="208"/>
      <c r="AB100" s="208"/>
      <c r="AC100" s="208"/>
      <c r="AD100" s="208"/>
      <c r="AE100" s="208"/>
      <c r="AF100" s="208"/>
      <c r="AG100" s="208"/>
    </row>
    <row r="101" spans="2:33" ht="12.25" x14ac:dyDescent="0.65">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8"/>
      <c r="AE101" s="208"/>
      <c r="AF101" s="208"/>
      <c r="AG101" s="208"/>
    </row>
    <row r="102" spans="2:33" ht="12.25" x14ac:dyDescent="0.65">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c r="AA102" s="208"/>
      <c r="AB102" s="208"/>
      <c r="AC102" s="208"/>
      <c r="AD102" s="208"/>
      <c r="AE102" s="208"/>
      <c r="AF102" s="208"/>
      <c r="AG102" s="208"/>
    </row>
    <row r="103" spans="2:33" ht="15" customHeight="1" x14ac:dyDescent="0.65">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8"/>
      <c r="AE103" s="208"/>
      <c r="AF103" s="208"/>
      <c r="AG103" s="208"/>
    </row>
    <row r="104" spans="2:33" ht="15" customHeight="1" x14ac:dyDescent="0.65">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c r="AA104" s="208"/>
      <c r="AB104" s="208"/>
      <c r="AC104" s="208"/>
      <c r="AD104" s="208"/>
      <c r="AE104" s="208"/>
      <c r="AF104" s="208"/>
      <c r="AG104" s="208"/>
    </row>
    <row r="105" spans="2:33" ht="15" customHeight="1" x14ac:dyDescent="0.65">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c r="AA105" s="208"/>
      <c r="AB105" s="208"/>
      <c r="AC105" s="208"/>
      <c r="AD105" s="208"/>
      <c r="AE105" s="208"/>
      <c r="AF105" s="208"/>
      <c r="AG105" s="208"/>
    </row>
    <row r="106" spans="2:33" ht="15" customHeight="1" x14ac:dyDescent="0.65">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c r="AA106" s="208"/>
      <c r="AB106" s="208"/>
      <c r="AC106" s="208"/>
      <c r="AD106" s="208"/>
      <c r="AE106" s="208"/>
      <c r="AF106" s="208"/>
      <c r="AG106" s="208"/>
    </row>
    <row r="107" spans="2:33" ht="15" customHeight="1" x14ac:dyDescent="0.65">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c r="AA107" s="208"/>
      <c r="AB107" s="208"/>
      <c r="AC107" s="208"/>
      <c r="AD107" s="208"/>
      <c r="AE107" s="208"/>
      <c r="AF107" s="208"/>
      <c r="AG107" s="208"/>
    </row>
    <row r="108" spans="2:33" ht="15" customHeight="1" x14ac:dyDescent="0.65">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8"/>
      <c r="AE108" s="208"/>
      <c r="AF108" s="208"/>
      <c r="AG108" s="208"/>
    </row>
    <row r="109" spans="2:33" ht="15" customHeight="1" x14ac:dyDescent="0.65">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c r="AA109" s="208"/>
      <c r="AB109" s="208"/>
      <c r="AC109" s="208"/>
      <c r="AD109" s="208"/>
      <c r="AE109" s="208"/>
      <c r="AF109" s="208"/>
      <c r="AG109" s="208"/>
    </row>
    <row r="112" spans="2:33" ht="15" customHeight="1" x14ac:dyDescent="0.65">
      <c r="B112" s="293"/>
      <c r="C112" s="293"/>
      <c r="D112" s="293"/>
      <c r="E112" s="293"/>
      <c r="F112" s="293"/>
      <c r="G112" s="293"/>
      <c r="H112" s="293"/>
      <c r="I112" s="293"/>
      <c r="J112" s="293"/>
      <c r="K112" s="293"/>
      <c r="L112" s="293"/>
      <c r="M112" s="293"/>
      <c r="N112" s="293"/>
      <c r="O112" s="293"/>
      <c r="P112" s="293"/>
      <c r="Q112" s="293"/>
      <c r="R112" s="293"/>
      <c r="S112" s="293"/>
      <c r="T112" s="293"/>
      <c r="U112" s="293"/>
      <c r="V112" s="293"/>
      <c r="W112" s="293"/>
      <c r="X112" s="293"/>
      <c r="Y112" s="293"/>
      <c r="Z112" s="293"/>
      <c r="AA112" s="293"/>
      <c r="AB112" s="293"/>
      <c r="AC112" s="293"/>
      <c r="AD112" s="293"/>
      <c r="AE112" s="293"/>
      <c r="AF112" s="293"/>
    </row>
    <row r="308" spans="2:32" ht="15" customHeight="1" x14ac:dyDescent="0.65">
      <c r="B308" s="293"/>
      <c r="C308" s="293"/>
      <c r="D308" s="293"/>
      <c r="E308" s="293"/>
      <c r="F308" s="293"/>
      <c r="G308" s="293"/>
      <c r="H308" s="293"/>
      <c r="I308" s="293"/>
      <c r="J308" s="293"/>
      <c r="K308" s="293"/>
      <c r="L308" s="293"/>
      <c r="M308" s="293"/>
      <c r="N308" s="293"/>
      <c r="O308" s="293"/>
      <c r="P308" s="293"/>
      <c r="Q308" s="293"/>
      <c r="R308" s="293"/>
      <c r="S308" s="293"/>
      <c r="T308" s="293"/>
      <c r="U308" s="293"/>
      <c r="V308" s="293"/>
      <c r="W308" s="293"/>
      <c r="X308" s="293"/>
      <c r="Y308" s="293"/>
      <c r="Z308" s="293"/>
      <c r="AA308" s="293"/>
      <c r="AB308" s="293"/>
      <c r="AC308" s="293"/>
      <c r="AD308" s="293"/>
      <c r="AE308" s="293"/>
      <c r="AF308" s="293"/>
    </row>
    <row r="511" spans="2:32" ht="15" customHeight="1" x14ac:dyDescent="0.65">
      <c r="B511" s="293"/>
      <c r="C511" s="293"/>
      <c r="D511" s="293"/>
      <c r="E511" s="293"/>
      <c r="F511" s="293"/>
      <c r="G511" s="293"/>
      <c r="H511" s="293"/>
      <c r="I511" s="293"/>
      <c r="J511" s="293"/>
      <c r="K511" s="293"/>
      <c r="L511" s="293"/>
      <c r="M511" s="293"/>
      <c r="N511" s="293"/>
      <c r="O511" s="293"/>
      <c r="P511" s="293"/>
      <c r="Q511" s="293"/>
      <c r="R511" s="293"/>
      <c r="S511" s="293"/>
      <c r="T511" s="293"/>
      <c r="U511" s="293"/>
      <c r="V511" s="293"/>
      <c r="W511" s="293"/>
      <c r="X511" s="293"/>
      <c r="Y511" s="293"/>
      <c r="Z511" s="293"/>
      <c r="AA511" s="293"/>
      <c r="AB511" s="293"/>
      <c r="AC511" s="293"/>
      <c r="AD511" s="293"/>
      <c r="AE511" s="293"/>
      <c r="AF511" s="293"/>
    </row>
    <row r="712" spans="2:32" ht="15" customHeight="1" x14ac:dyDescent="0.65">
      <c r="B712" s="293"/>
      <c r="C712" s="293"/>
      <c r="D712" s="293"/>
      <c r="E712" s="293"/>
      <c r="F712" s="293"/>
      <c r="G712" s="293"/>
      <c r="H712" s="293"/>
      <c r="I712" s="293"/>
      <c r="J712" s="293"/>
      <c r="K712" s="293"/>
      <c r="L712" s="293"/>
      <c r="M712" s="293"/>
      <c r="N712" s="293"/>
      <c r="O712" s="293"/>
      <c r="P712" s="293"/>
      <c r="Q712" s="293"/>
      <c r="R712" s="293"/>
      <c r="S712" s="293"/>
      <c r="T712" s="293"/>
      <c r="U712" s="293"/>
      <c r="V712" s="293"/>
      <c r="W712" s="293"/>
      <c r="X712" s="293"/>
      <c r="Y712" s="293"/>
      <c r="Z712" s="293"/>
      <c r="AA712" s="293"/>
      <c r="AB712" s="293"/>
      <c r="AC712" s="293"/>
      <c r="AD712" s="293"/>
      <c r="AE712" s="293"/>
      <c r="AF712" s="293"/>
    </row>
    <row r="887" spans="2:32" ht="15" customHeight="1" x14ac:dyDescent="0.65">
      <c r="B887" s="293"/>
      <c r="C887" s="293"/>
      <c r="D887" s="293"/>
      <c r="E887" s="293"/>
      <c r="F887" s="293"/>
      <c r="G887" s="293"/>
      <c r="H887" s="293"/>
      <c r="I887" s="293"/>
      <c r="J887" s="293"/>
      <c r="K887" s="293"/>
      <c r="L887" s="293"/>
      <c r="M887" s="293"/>
      <c r="N887" s="293"/>
      <c r="O887" s="293"/>
      <c r="P887" s="293"/>
      <c r="Q887" s="293"/>
      <c r="R887" s="293"/>
      <c r="S887" s="293"/>
      <c r="T887" s="293"/>
      <c r="U887" s="293"/>
      <c r="V887" s="293"/>
      <c r="W887" s="293"/>
      <c r="X887" s="293"/>
      <c r="Y887" s="293"/>
      <c r="Z887" s="293"/>
      <c r="AA887" s="293"/>
      <c r="AB887" s="293"/>
      <c r="AC887" s="293"/>
      <c r="AD887" s="293"/>
      <c r="AE887" s="293"/>
      <c r="AF887" s="293"/>
    </row>
    <row r="1101" spans="2:32" ht="15" customHeight="1" x14ac:dyDescent="0.65">
      <c r="B1101" s="293"/>
      <c r="C1101" s="293"/>
      <c r="D1101" s="293"/>
      <c r="E1101" s="293"/>
      <c r="F1101" s="293"/>
      <c r="G1101" s="293"/>
      <c r="H1101" s="293"/>
      <c r="I1101" s="293"/>
      <c r="J1101" s="293"/>
      <c r="K1101" s="293"/>
      <c r="L1101" s="293"/>
      <c r="M1101" s="293"/>
      <c r="N1101" s="293"/>
      <c r="O1101" s="293"/>
      <c r="P1101" s="293"/>
      <c r="Q1101" s="293"/>
      <c r="R1101" s="293"/>
      <c r="S1101" s="293"/>
      <c r="T1101" s="293"/>
      <c r="U1101" s="293"/>
      <c r="V1101" s="293"/>
      <c r="W1101" s="293"/>
      <c r="X1101" s="293"/>
      <c r="Y1101" s="293"/>
      <c r="Z1101" s="293"/>
      <c r="AA1101" s="293"/>
      <c r="AB1101" s="293"/>
      <c r="AC1101" s="293"/>
      <c r="AD1101" s="293"/>
      <c r="AE1101" s="293"/>
      <c r="AF1101" s="293"/>
    </row>
    <row r="1229" spans="2:32" ht="15" customHeight="1" x14ac:dyDescent="0.65">
      <c r="B1229" s="293"/>
      <c r="C1229" s="293"/>
      <c r="D1229" s="293"/>
      <c r="E1229" s="293"/>
      <c r="F1229" s="293"/>
      <c r="G1229" s="293"/>
      <c r="H1229" s="293"/>
      <c r="I1229" s="293"/>
      <c r="J1229" s="293"/>
      <c r="K1229" s="293"/>
      <c r="L1229" s="293"/>
      <c r="M1229" s="293"/>
      <c r="N1229" s="293"/>
      <c r="O1229" s="293"/>
      <c r="P1229" s="293"/>
      <c r="Q1229" s="293"/>
      <c r="R1229" s="293"/>
      <c r="S1229" s="293"/>
      <c r="T1229" s="293"/>
      <c r="U1229" s="293"/>
      <c r="V1229" s="293"/>
      <c r="W1229" s="293"/>
      <c r="X1229" s="293"/>
      <c r="Y1229" s="293"/>
      <c r="Z1229" s="293"/>
      <c r="AA1229" s="293"/>
      <c r="AB1229" s="293"/>
      <c r="AC1229" s="293"/>
      <c r="AD1229" s="293"/>
      <c r="AE1229" s="293"/>
      <c r="AF1229" s="293"/>
    </row>
    <row r="1390" spans="2:32" ht="15" customHeight="1" x14ac:dyDescent="0.65">
      <c r="B1390" s="293"/>
      <c r="C1390" s="293"/>
      <c r="D1390" s="293"/>
      <c r="E1390" s="293"/>
      <c r="F1390" s="293"/>
      <c r="G1390" s="293"/>
      <c r="H1390" s="293"/>
      <c r="I1390" s="293"/>
      <c r="J1390" s="293"/>
      <c r="K1390" s="293"/>
      <c r="L1390" s="293"/>
      <c r="M1390" s="293"/>
      <c r="N1390" s="293"/>
      <c r="O1390" s="293"/>
      <c r="P1390" s="293"/>
      <c r="Q1390" s="293"/>
      <c r="R1390" s="293"/>
      <c r="S1390" s="293"/>
      <c r="T1390" s="293"/>
      <c r="U1390" s="293"/>
      <c r="V1390" s="293"/>
      <c r="W1390" s="293"/>
      <c r="X1390" s="293"/>
      <c r="Y1390" s="293"/>
      <c r="Z1390" s="293"/>
      <c r="AA1390" s="293"/>
      <c r="AB1390" s="293"/>
      <c r="AC1390" s="293"/>
      <c r="AD1390" s="293"/>
      <c r="AE1390" s="293"/>
      <c r="AF1390" s="293"/>
    </row>
    <row r="1502" spans="2:32" ht="15" customHeight="1" x14ac:dyDescent="0.65">
      <c r="B1502" s="293"/>
      <c r="C1502" s="293"/>
      <c r="D1502" s="293"/>
      <c r="E1502" s="293"/>
      <c r="F1502" s="293"/>
      <c r="G1502" s="293"/>
      <c r="H1502" s="293"/>
      <c r="I1502" s="293"/>
      <c r="J1502" s="293"/>
      <c r="K1502" s="293"/>
      <c r="L1502" s="293"/>
      <c r="M1502" s="293"/>
      <c r="N1502" s="293"/>
      <c r="O1502" s="293"/>
      <c r="P1502" s="293"/>
      <c r="Q1502" s="293"/>
      <c r="R1502" s="293"/>
      <c r="S1502" s="293"/>
      <c r="T1502" s="293"/>
      <c r="U1502" s="293"/>
      <c r="V1502" s="293"/>
      <c r="W1502" s="293"/>
      <c r="X1502" s="293"/>
      <c r="Y1502" s="293"/>
      <c r="Z1502" s="293"/>
      <c r="AA1502" s="293"/>
      <c r="AB1502" s="293"/>
      <c r="AC1502" s="293"/>
      <c r="AD1502" s="293"/>
      <c r="AE1502" s="293"/>
      <c r="AF1502" s="293"/>
    </row>
    <row r="1604" spans="2:32" ht="15" customHeight="1" x14ac:dyDescent="0.65">
      <c r="B1604" s="293"/>
      <c r="C1604" s="293"/>
      <c r="D1604" s="293"/>
      <c r="E1604" s="293"/>
      <c r="F1604" s="293"/>
      <c r="G1604" s="293"/>
      <c r="H1604" s="293"/>
      <c r="I1604" s="293"/>
      <c r="J1604" s="293"/>
      <c r="K1604" s="293"/>
      <c r="L1604" s="293"/>
      <c r="M1604" s="293"/>
      <c r="N1604" s="293"/>
      <c r="O1604" s="293"/>
      <c r="P1604" s="293"/>
      <c r="Q1604" s="293"/>
      <c r="R1604" s="293"/>
      <c r="S1604" s="293"/>
      <c r="T1604" s="293"/>
      <c r="U1604" s="293"/>
      <c r="V1604" s="293"/>
      <c r="W1604" s="293"/>
      <c r="X1604" s="293"/>
      <c r="Y1604" s="293"/>
      <c r="Z1604" s="293"/>
      <c r="AA1604" s="293"/>
      <c r="AB1604" s="293"/>
      <c r="AC1604" s="293"/>
      <c r="AD1604" s="293"/>
      <c r="AE1604" s="293"/>
      <c r="AF1604" s="293"/>
    </row>
    <row r="1699" spans="2:32" ht="15" customHeight="1" x14ac:dyDescent="0.65">
      <c r="B1699" s="293"/>
      <c r="C1699" s="293"/>
      <c r="D1699" s="293"/>
      <c r="E1699" s="293"/>
      <c r="F1699" s="293"/>
      <c r="G1699" s="293"/>
      <c r="H1699" s="293"/>
      <c r="I1699" s="293"/>
      <c r="J1699" s="293"/>
      <c r="K1699" s="293"/>
      <c r="L1699" s="293"/>
      <c r="M1699" s="293"/>
      <c r="N1699" s="293"/>
      <c r="O1699" s="293"/>
      <c r="P1699" s="293"/>
      <c r="Q1699" s="293"/>
      <c r="R1699" s="293"/>
      <c r="S1699" s="293"/>
      <c r="T1699" s="293"/>
      <c r="U1699" s="293"/>
      <c r="V1699" s="293"/>
      <c r="W1699" s="293"/>
      <c r="X1699" s="293"/>
      <c r="Y1699" s="293"/>
      <c r="Z1699" s="293"/>
      <c r="AA1699" s="293"/>
      <c r="AB1699" s="293"/>
      <c r="AC1699" s="293"/>
      <c r="AD1699" s="293"/>
      <c r="AE1699" s="293"/>
      <c r="AF1699" s="293"/>
    </row>
    <row r="1945" spans="2:32" ht="15" customHeight="1" x14ac:dyDescent="0.65">
      <c r="B1945" s="293"/>
      <c r="C1945" s="293"/>
      <c r="D1945" s="293"/>
      <c r="E1945" s="293"/>
      <c r="F1945" s="293"/>
      <c r="G1945" s="293"/>
      <c r="H1945" s="293"/>
      <c r="I1945" s="293"/>
      <c r="J1945" s="293"/>
      <c r="K1945" s="293"/>
      <c r="L1945" s="293"/>
      <c r="M1945" s="293"/>
      <c r="N1945" s="293"/>
      <c r="O1945" s="293"/>
      <c r="P1945" s="293"/>
      <c r="Q1945" s="293"/>
      <c r="R1945" s="293"/>
      <c r="S1945" s="293"/>
      <c r="T1945" s="293"/>
      <c r="U1945" s="293"/>
      <c r="V1945" s="293"/>
      <c r="W1945" s="293"/>
      <c r="X1945" s="293"/>
      <c r="Y1945" s="293"/>
      <c r="Z1945" s="293"/>
      <c r="AA1945" s="293"/>
      <c r="AB1945" s="293"/>
      <c r="AC1945" s="293"/>
      <c r="AD1945" s="293"/>
      <c r="AE1945" s="293"/>
      <c r="AF1945" s="293"/>
    </row>
    <row r="2031" spans="2:32" ht="15" customHeight="1" x14ac:dyDescent="0.65">
      <c r="B2031" s="293"/>
      <c r="C2031" s="293"/>
      <c r="D2031" s="293"/>
      <c r="E2031" s="293"/>
      <c r="F2031" s="293"/>
      <c r="G2031" s="293"/>
      <c r="H2031" s="293"/>
      <c r="I2031" s="293"/>
      <c r="J2031" s="293"/>
      <c r="K2031" s="293"/>
      <c r="L2031" s="293"/>
      <c r="M2031" s="293"/>
      <c r="N2031" s="293"/>
      <c r="O2031" s="293"/>
      <c r="P2031" s="293"/>
      <c r="Q2031" s="293"/>
      <c r="R2031" s="293"/>
      <c r="S2031" s="293"/>
      <c r="T2031" s="293"/>
      <c r="U2031" s="293"/>
      <c r="V2031" s="293"/>
      <c r="W2031" s="293"/>
      <c r="X2031" s="293"/>
      <c r="Y2031" s="293"/>
      <c r="Z2031" s="293"/>
      <c r="AA2031" s="293"/>
      <c r="AB2031" s="293"/>
      <c r="AC2031" s="293"/>
      <c r="AD2031" s="293"/>
      <c r="AE2031" s="293"/>
      <c r="AF2031" s="293"/>
    </row>
    <row r="2153" spans="2:32" ht="15" customHeight="1" x14ac:dyDescent="0.65">
      <c r="B2153" s="293"/>
      <c r="C2153" s="293"/>
      <c r="D2153" s="293"/>
      <c r="E2153" s="293"/>
      <c r="F2153" s="293"/>
      <c r="G2153" s="293"/>
      <c r="H2153" s="293"/>
      <c r="I2153" s="293"/>
      <c r="J2153" s="293"/>
      <c r="K2153" s="293"/>
      <c r="L2153" s="293"/>
      <c r="M2153" s="293"/>
      <c r="N2153" s="293"/>
      <c r="O2153" s="293"/>
      <c r="P2153" s="293"/>
      <c r="Q2153" s="293"/>
      <c r="R2153" s="293"/>
      <c r="S2153" s="293"/>
      <c r="T2153" s="293"/>
      <c r="U2153" s="293"/>
      <c r="V2153" s="293"/>
      <c r="W2153" s="293"/>
      <c r="X2153" s="293"/>
      <c r="Y2153" s="293"/>
      <c r="Z2153" s="293"/>
      <c r="AA2153" s="293"/>
      <c r="AB2153" s="293"/>
      <c r="AC2153" s="293"/>
      <c r="AD2153" s="293"/>
      <c r="AE2153" s="293"/>
      <c r="AF2153" s="293"/>
    </row>
    <row r="2317" spans="2:32" ht="15" customHeight="1" x14ac:dyDescent="0.65">
      <c r="B2317" s="293"/>
      <c r="C2317" s="293"/>
      <c r="D2317" s="293"/>
      <c r="E2317" s="293"/>
      <c r="F2317" s="293"/>
      <c r="G2317" s="293"/>
      <c r="H2317" s="293"/>
      <c r="I2317" s="293"/>
      <c r="J2317" s="293"/>
      <c r="K2317" s="293"/>
      <c r="L2317" s="293"/>
      <c r="M2317" s="293"/>
      <c r="N2317" s="293"/>
      <c r="O2317" s="293"/>
      <c r="P2317" s="293"/>
      <c r="Q2317" s="293"/>
      <c r="R2317" s="293"/>
      <c r="S2317" s="293"/>
      <c r="T2317" s="293"/>
      <c r="U2317" s="293"/>
      <c r="V2317" s="293"/>
      <c r="W2317" s="293"/>
      <c r="X2317" s="293"/>
      <c r="Y2317" s="293"/>
      <c r="Z2317" s="293"/>
      <c r="AA2317" s="293"/>
      <c r="AB2317" s="293"/>
      <c r="AC2317" s="293"/>
      <c r="AD2317" s="293"/>
      <c r="AE2317" s="293"/>
      <c r="AF2317" s="293"/>
    </row>
    <row r="2419" spans="2:32" ht="15" customHeight="1" x14ac:dyDescent="0.65">
      <c r="B2419" s="293"/>
      <c r="C2419" s="293"/>
      <c r="D2419" s="293"/>
      <c r="E2419" s="293"/>
      <c r="F2419" s="293"/>
      <c r="G2419" s="293"/>
      <c r="H2419" s="293"/>
      <c r="I2419" s="293"/>
      <c r="J2419" s="293"/>
      <c r="K2419" s="293"/>
      <c r="L2419" s="293"/>
      <c r="M2419" s="293"/>
      <c r="N2419" s="293"/>
      <c r="O2419" s="293"/>
      <c r="P2419" s="293"/>
      <c r="Q2419" s="293"/>
      <c r="R2419" s="293"/>
      <c r="S2419" s="293"/>
      <c r="T2419" s="293"/>
      <c r="U2419" s="293"/>
      <c r="V2419" s="293"/>
      <c r="W2419" s="293"/>
      <c r="X2419" s="293"/>
      <c r="Y2419" s="293"/>
      <c r="Z2419" s="293"/>
      <c r="AA2419" s="293"/>
      <c r="AB2419" s="293"/>
      <c r="AC2419" s="293"/>
      <c r="AD2419" s="293"/>
      <c r="AE2419" s="293"/>
      <c r="AF2419" s="293"/>
    </row>
    <row r="2509" spans="2:32" ht="15" customHeight="1" x14ac:dyDescent="0.65">
      <c r="B2509" s="293"/>
      <c r="C2509" s="293"/>
      <c r="D2509" s="293"/>
      <c r="E2509" s="293"/>
      <c r="F2509" s="293"/>
      <c r="G2509" s="293"/>
      <c r="H2509" s="293"/>
      <c r="I2509" s="293"/>
      <c r="J2509" s="293"/>
      <c r="K2509" s="293"/>
      <c r="L2509" s="293"/>
      <c r="M2509" s="293"/>
      <c r="N2509" s="293"/>
      <c r="O2509" s="293"/>
      <c r="P2509" s="293"/>
      <c r="Q2509" s="293"/>
      <c r="R2509" s="293"/>
      <c r="S2509" s="293"/>
      <c r="T2509" s="293"/>
      <c r="U2509" s="293"/>
      <c r="V2509" s="293"/>
      <c r="W2509" s="293"/>
      <c r="X2509" s="293"/>
      <c r="Y2509" s="293"/>
      <c r="Z2509" s="293"/>
      <c r="AA2509" s="293"/>
      <c r="AB2509" s="293"/>
      <c r="AC2509" s="293"/>
      <c r="AD2509" s="293"/>
      <c r="AE2509" s="293"/>
      <c r="AF2509" s="293"/>
    </row>
    <row r="2598" spans="2:32" ht="15" customHeight="1" x14ac:dyDescent="0.65">
      <c r="B2598" s="293"/>
      <c r="C2598" s="293"/>
      <c r="D2598" s="293"/>
      <c r="E2598" s="293"/>
      <c r="F2598" s="293"/>
      <c r="G2598" s="293"/>
      <c r="H2598" s="293"/>
      <c r="I2598" s="293"/>
      <c r="J2598" s="293"/>
      <c r="K2598" s="293"/>
      <c r="L2598" s="293"/>
      <c r="M2598" s="293"/>
      <c r="N2598" s="293"/>
      <c r="O2598" s="293"/>
      <c r="P2598" s="293"/>
      <c r="Q2598" s="293"/>
      <c r="R2598" s="293"/>
      <c r="S2598" s="293"/>
      <c r="T2598" s="293"/>
      <c r="U2598" s="293"/>
      <c r="V2598" s="293"/>
      <c r="W2598" s="293"/>
      <c r="X2598" s="293"/>
      <c r="Y2598" s="293"/>
      <c r="Z2598" s="293"/>
      <c r="AA2598" s="293"/>
      <c r="AB2598" s="293"/>
      <c r="AC2598" s="293"/>
      <c r="AD2598" s="293"/>
      <c r="AE2598" s="293"/>
      <c r="AF2598" s="293"/>
    </row>
    <row r="2719" spans="2:32" ht="15" customHeight="1" x14ac:dyDescent="0.65">
      <c r="B2719" s="293"/>
      <c r="C2719" s="293"/>
      <c r="D2719" s="293"/>
      <c r="E2719" s="293"/>
      <c r="F2719" s="293"/>
      <c r="G2719" s="293"/>
      <c r="H2719" s="293"/>
      <c r="I2719" s="293"/>
      <c r="J2719" s="293"/>
      <c r="K2719" s="293"/>
      <c r="L2719" s="293"/>
      <c r="M2719" s="293"/>
      <c r="N2719" s="293"/>
      <c r="O2719" s="293"/>
      <c r="P2719" s="293"/>
      <c r="Q2719" s="293"/>
      <c r="R2719" s="293"/>
      <c r="S2719" s="293"/>
      <c r="T2719" s="293"/>
      <c r="U2719" s="293"/>
      <c r="V2719" s="293"/>
      <c r="W2719" s="293"/>
      <c r="X2719" s="293"/>
      <c r="Y2719" s="293"/>
      <c r="Z2719" s="293"/>
      <c r="AA2719" s="293"/>
      <c r="AB2719" s="293"/>
      <c r="AC2719" s="293"/>
      <c r="AD2719" s="293"/>
      <c r="AE2719" s="293"/>
      <c r="AF2719" s="293"/>
    </row>
    <row r="2837" spans="2:32" ht="15" customHeight="1" x14ac:dyDescent="0.65">
      <c r="B2837" s="293"/>
      <c r="C2837" s="293"/>
      <c r="D2837" s="293"/>
      <c r="E2837" s="293"/>
      <c r="F2837" s="293"/>
      <c r="G2837" s="293"/>
      <c r="H2837" s="293"/>
      <c r="I2837" s="293"/>
      <c r="J2837" s="293"/>
      <c r="K2837" s="293"/>
      <c r="L2837" s="293"/>
      <c r="M2837" s="293"/>
      <c r="N2837" s="293"/>
      <c r="O2837" s="293"/>
      <c r="P2837" s="293"/>
      <c r="Q2837" s="293"/>
      <c r="R2837" s="293"/>
      <c r="S2837" s="293"/>
      <c r="T2837" s="293"/>
      <c r="U2837" s="293"/>
      <c r="V2837" s="293"/>
      <c r="W2837" s="293"/>
      <c r="X2837" s="293"/>
      <c r="Y2837" s="293"/>
      <c r="Z2837" s="293"/>
      <c r="AA2837" s="293"/>
      <c r="AB2837" s="293"/>
      <c r="AC2837" s="293"/>
      <c r="AD2837" s="293"/>
      <c r="AE2837" s="293"/>
      <c r="AF2837" s="293"/>
    </row>
  </sheetData>
  <mergeCells count="21">
    <mergeCell ref="B72:AG72"/>
    <mergeCell ref="B2719:AF2719"/>
    <mergeCell ref="B2837:AF2837"/>
    <mergeCell ref="B2031:AF2031"/>
    <mergeCell ref="B2153:AF2153"/>
    <mergeCell ref="B2317:AF2317"/>
    <mergeCell ref="B2419:AF2419"/>
    <mergeCell ref="B2509:AF2509"/>
    <mergeCell ref="B2598:AF2598"/>
    <mergeCell ref="B1945:AF1945"/>
    <mergeCell ref="B112:AF112"/>
    <mergeCell ref="B308:AF308"/>
    <mergeCell ref="B511:AF511"/>
    <mergeCell ref="B712:AF712"/>
    <mergeCell ref="B887:AF887"/>
    <mergeCell ref="B1101:AF1101"/>
    <mergeCell ref="B1229:AF1229"/>
    <mergeCell ref="B1390:AF1390"/>
    <mergeCell ref="B1502:AF1502"/>
    <mergeCell ref="B1604:AF1604"/>
    <mergeCell ref="B1699:AF1699"/>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A2540"/>
  <sheetViews>
    <sheetView workbookViewId="0">
      <pane xSplit="2" ySplit="1" topLeftCell="C2" activePane="bottomRight" state="frozen"/>
      <selection pane="topRight" activeCell="B1" sqref="B1"/>
      <selection pane="bottomLeft" activeCell="B1" sqref="B1"/>
      <selection pane="bottomRight" activeCell="A39" sqref="A39"/>
    </sheetView>
  </sheetViews>
  <sheetFormatPr defaultColWidth="8.86328125" defaultRowHeight="15" customHeight="1" x14ac:dyDescent="0.75"/>
  <cols>
    <col min="1" max="1" width="30.40625" customWidth="1"/>
    <col min="2" max="2" width="49" customWidth="1"/>
  </cols>
  <sheetData>
    <row r="1" spans="1:53" ht="15" customHeight="1" thickBot="1" x14ac:dyDescent="0.9">
      <c r="A1" s="207"/>
      <c r="B1" s="274" t="s">
        <v>320</v>
      </c>
      <c r="C1" s="275">
        <v>2022</v>
      </c>
      <c r="D1" s="275">
        <v>2023</v>
      </c>
      <c r="E1" s="275">
        <v>2024</v>
      </c>
      <c r="F1" s="275">
        <v>2025</v>
      </c>
      <c r="G1" s="275">
        <v>2026</v>
      </c>
      <c r="H1" s="275">
        <v>2027</v>
      </c>
      <c r="I1" s="275">
        <v>2028</v>
      </c>
      <c r="J1" s="275">
        <v>2029</v>
      </c>
      <c r="K1" s="275">
        <v>2030</v>
      </c>
      <c r="L1" s="275">
        <v>2031</v>
      </c>
      <c r="M1" s="275">
        <v>2032</v>
      </c>
      <c r="N1" s="275">
        <v>2033</v>
      </c>
      <c r="O1" s="275">
        <v>2034</v>
      </c>
      <c r="P1" s="275">
        <v>2035</v>
      </c>
      <c r="Q1" s="275">
        <v>2036</v>
      </c>
      <c r="R1" s="275">
        <v>2037</v>
      </c>
      <c r="S1" s="275">
        <v>2038</v>
      </c>
      <c r="T1" s="275">
        <v>2039</v>
      </c>
      <c r="U1" s="275">
        <v>2040</v>
      </c>
      <c r="V1" s="275">
        <v>2041</v>
      </c>
      <c r="W1" s="275">
        <v>2042</v>
      </c>
      <c r="X1" s="275">
        <v>2043</v>
      </c>
      <c r="Y1" s="275">
        <v>2044</v>
      </c>
      <c r="Z1" s="275">
        <v>2045</v>
      </c>
      <c r="AA1" s="275">
        <v>2046</v>
      </c>
      <c r="AB1" s="275">
        <v>2047</v>
      </c>
      <c r="AC1" s="275">
        <v>2048</v>
      </c>
      <c r="AD1" s="275">
        <v>2049</v>
      </c>
      <c r="AE1" s="275">
        <v>2050</v>
      </c>
      <c r="AF1" s="207"/>
      <c r="AG1" s="207"/>
      <c r="AH1" s="207"/>
      <c r="AI1" s="207"/>
      <c r="AJ1" s="207"/>
      <c r="AK1" s="207"/>
      <c r="AL1" s="207"/>
      <c r="AM1" s="207"/>
      <c r="AN1" s="207"/>
      <c r="AO1" s="207"/>
      <c r="AP1" s="207"/>
      <c r="AQ1" s="207"/>
      <c r="AR1" s="207"/>
      <c r="AS1" s="207"/>
      <c r="AT1" s="207"/>
      <c r="AU1" s="207"/>
      <c r="AV1" s="207"/>
      <c r="AW1" s="207"/>
      <c r="AX1" s="207"/>
      <c r="AY1" s="207"/>
      <c r="AZ1" s="207"/>
      <c r="BA1" s="207"/>
    </row>
    <row r="2" spans="1:53" ht="15" customHeight="1" thickTop="1" x14ac:dyDescent="0.75">
      <c r="A2" s="207"/>
      <c r="B2" s="207"/>
      <c r="C2" s="207"/>
      <c r="D2" s="207"/>
      <c r="E2" s="207"/>
      <c r="F2" s="207"/>
      <c r="G2" s="207"/>
      <c r="H2" s="207"/>
      <c r="I2" s="207"/>
      <c r="J2" s="207"/>
      <c r="K2" s="207"/>
      <c r="L2" s="207"/>
      <c r="M2" s="207"/>
      <c r="N2" s="207"/>
      <c r="O2" s="207"/>
      <c r="P2" s="207"/>
      <c r="Q2" s="207"/>
      <c r="R2" s="207"/>
      <c r="S2" s="207"/>
      <c r="T2" s="207"/>
      <c r="U2" s="207"/>
      <c r="V2" s="207"/>
      <c r="W2" s="207"/>
      <c r="X2" s="207"/>
      <c r="Y2" s="207"/>
      <c r="Z2" s="207"/>
      <c r="AA2" s="207"/>
      <c r="AB2" s="207"/>
      <c r="AC2" s="207"/>
      <c r="AD2" s="207"/>
      <c r="AE2" s="207"/>
      <c r="AF2" s="207"/>
      <c r="AG2" s="207"/>
      <c r="AH2" s="207"/>
      <c r="AI2" s="207"/>
      <c r="AJ2" s="207"/>
      <c r="AK2" s="207"/>
      <c r="AL2" s="207"/>
      <c r="AM2" s="207"/>
      <c r="AN2" s="207"/>
      <c r="AO2" s="207"/>
      <c r="AP2" s="207"/>
      <c r="AQ2" s="207"/>
      <c r="AR2" s="207"/>
      <c r="AS2" s="207"/>
      <c r="AT2" s="207"/>
      <c r="AU2" s="207"/>
      <c r="AV2" s="207"/>
      <c r="AW2" s="207"/>
      <c r="AX2" s="207"/>
      <c r="AY2" s="207"/>
      <c r="AZ2" s="207"/>
      <c r="BA2" s="207"/>
    </row>
    <row r="3" spans="1:53" ht="15" customHeight="1" x14ac:dyDescent="0.75">
      <c r="A3" s="207"/>
      <c r="B3" s="207"/>
      <c r="C3" s="236" t="s">
        <v>198</v>
      </c>
      <c r="D3" s="236" t="s">
        <v>321</v>
      </c>
      <c r="E3" s="224"/>
      <c r="F3" s="224"/>
      <c r="G3" s="224"/>
      <c r="H3" s="207"/>
      <c r="I3" s="207"/>
      <c r="J3" s="207"/>
      <c r="K3" s="207"/>
      <c r="L3" s="207"/>
      <c r="M3" s="207"/>
      <c r="N3" s="207"/>
      <c r="O3" s="207"/>
      <c r="P3" s="207"/>
      <c r="Q3" s="207"/>
      <c r="R3" s="207"/>
      <c r="S3" s="207"/>
      <c r="T3" s="207"/>
      <c r="U3" s="207"/>
      <c r="V3" s="207"/>
      <c r="W3" s="207"/>
      <c r="X3" s="207"/>
      <c r="Y3" s="207"/>
      <c r="Z3" s="207"/>
      <c r="AA3" s="207"/>
      <c r="AB3" s="207"/>
      <c r="AC3" s="207"/>
      <c r="AD3" s="207"/>
      <c r="AE3" s="207"/>
      <c r="AF3" s="207"/>
      <c r="AG3" s="207"/>
      <c r="AH3" s="207"/>
      <c r="AI3" s="207"/>
      <c r="AJ3" s="207"/>
      <c r="AK3" s="207"/>
      <c r="AL3" s="207"/>
      <c r="AM3" s="207"/>
      <c r="AN3" s="207"/>
      <c r="AO3" s="207"/>
      <c r="AP3" s="207"/>
      <c r="AQ3" s="207"/>
      <c r="AR3" s="207"/>
      <c r="AS3" s="207"/>
      <c r="AT3" s="207"/>
      <c r="AU3" s="207"/>
      <c r="AV3" s="207"/>
      <c r="AW3" s="207"/>
      <c r="AX3" s="207"/>
      <c r="AY3" s="207"/>
      <c r="AZ3" s="207"/>
      <c r="BA3" s="207"/>
    </row>
    <row r="4" spans="1:53" ht="15" customHeight="1" x14ac:dyDescent="0.75">
      <c r="A4" s="207"/>
      <c r="B4" s="207"/>
      <c r="C4" s="236" t="s">
        <v>200</v>
      </c>
      <c r="D4" s="236" t="s">
        <v>322</v>
      </c>
      <c r="E4" s="224"/>
      <c r="F4" s="224"/>
      <c r="G4" s="236" t="s">
        <v>202</v>
      </c>
      <c r="H4" s="207"/>
      <c r="I4" s="207"/>
      <c r="J4" s="207"/>
      <c r="K4" s="207"/>
      <c r="L4" s="207"/>
      <c r="M4" s="207"/>
      <c r="N4" s="207"/>
      <c r="O4" s="207"/>
      <c r="P4" s="207"/>
      <c r="Q4" s="207"/>
      <c r="R4" s="207"/>
      <c r="S4" s="207"/>
      <c r="T4" s="207"/>
      <c r="U4" s="207"/>
      <c r="V4" s="207"/>
      <c r="W4" s="207"/>
      <c r="X4" s="207"/>
      <c r="Y4" s="207"/>
      <c r="Z4" s="207"/>
      <c r="AA4" s="207"/>
      <c r="AB4" s="207"/>
      <c r="AC4" s="207"/>
      <c r="AD4" s="207"/>
      <c r="AE4" s="207"/>
      <c r="AF4" s="207"/>
      <c r="AG4" s="207"/>
      <c r="AH4" s="207"/>
      <c r="AI4" s="207"/>
      <c r="AJ4" s="207"/>
      <c r="AK4" s="207"/>
      <c r="AL4" s="207"/>
      <c r="AM4" s="207"/>
      <c r="AN4" s="207"/>
      <c r="AO4" s="207"/>
      <c r="AP4" s="207"/>
      <c r="AQ4" s="207"/>
      <c r="AR4" s="207"/>
      <c r="AS4" s="207"/>
      <c r="AT4" s="207"/>
      <c r="AU4" s="207"/>
      <c r="AV4" s="207"/>
      <c r="AW4" s="207"/>
      <c r="AX4" s="207"/>
      <c r="AY4" s="207"/>
      <c r="AZ4" s="207"/>
      <c r="BA4" s="207"/>
    </row>
    <row r="5" spans="1:53" ht="15" customHeight="1" x14ac:dyDescent="0.75">
      <c r="A5" s="207"/>
      <c r="B5" s="207"/>
      <c r="C5" s="236" t="s">
        <v>203</v>
      </c>
      <c r="D5" s="236" t="s">
        <v>323</v>
      </c>
      <c r="E5" s="224"/>
      <c r="F5" s="224"/>
      <c r="G5" s="224"/>
      <c r="H5" s="207"/>
      <c r="I5" s="207"/>
      <c r="J5" s="207"/>
      <c r="K5" s="207"/>
      <c r="L5" s="207"/>
      <c r="M5" s="207"/>
      <c r="N5" s="207"/>
      <c r="O5" s="207"/>
      <c r="P5" s="207"/>
      <c r="Q5" s="207"/>
      <c r="R5" s="207"/>
      <c r="S5" s="207"/>
      <c r="T5" s="207"/>
      <c r="U5" s="207"/>
      <c r="V5" s="207"/>
      <c r="W5" s="207"/>
      <c r="X5" s="207"/>
      <c r="Y5" s="207"/>
      <c r="Z5" s="207"/>
      <c r="AA5" s="207"/>
      <c r="AB5" s="207"/>
      <c r="AC5" s="207"/>
      <c r="AD5" s="207"/>
      <c r="AE5" s="207"/>
      <c r="AF5" s="207"/>
      <c r="AG5" s="207"/>
      <c r="AH5" s="207"/>
      <c r="AI5" s="207"/>
      <c r="AJ5" s="207"/>
      <c r="AK5" s="207"/>
      <c r="AL5" s="207"/>
      <c r="AM5" s="207"/>
      <c r="AN5" s="207"/>
      <c r="AO5" s="207"/>
      <c r="AP5" s="207"/>
      <c r="AQ5" s="207"/>
      <c r="AR5" s="207"/>
      <c r="AS5" s="207"/>
      <c r="AT5" s="207"/>
      <c r="AU5" s="207"/>
      <c r="AV5" s="207"/>
      <c r="AW5" s="207"/>
      <c r="AX5" s="207"/>
      <c r="AY5" s="207"/>
      <c r="AZ5" s="207"/>
      <c r="BA5" s="207"/>
    </row>
    <row r="6" spans="1:53" ht="15" customHeight="1" x14ac:dyDescent="0.75">
      <c r="A6" s="207"/>
      <c r="B6" s="207"/>
      <c r="C6" s="236" t="s">
        <v>205</v>
      </c>
      <c r="D6" s="224"/>
      <c r="E6" s="236" t="s">
        <v>324</v>
      </c>
      <c r="F6" s="224"/>
      <c r="G6" s="224"/>
      <c r="H6" s="207"/>
      <c r="I6" s="207"/>
      <c r="J6" s="207"/>
      <c r="K6" s="207"/>
      <c r="L6" s="207"/>
      <c r="M6" s="207"/>
      <c r="N6" s="207"/>
      <c r="O6" s="207"/>
      <c r="P6" s="207"/>
      <c r="Q6" s="207"/>
      <c r="R6" s="207"/>
      <c r="S6" s="207"/>
      <c r="T6" s="207"/>
      <c r="U6" s="207"/>
      <c r="V6" s="207"/>
      <c r="W6" s="207"/>
      <c r="X6" s="207"/>
      <c r="Y6" s="207"/>
      <c r="Z6" s="207"/>
      <c r="AA6" s="207"/>
      <c r="AB6" s="207"/>
      <c r="AC6" s="207"/>
      <c r="AD6" s="207"/>
      <c r="AE6" s="207"/>
      <c r="AF6" s="207"/>
      <c r="AG6" s="207"/>
      <c r="AH6" s="207"/>
      <c r="AI6" s="207"/>
      <c r="AJ6" s="207"/>
      <c r="AK6" s="207"/>
      <c r="AL6" s="207"/>
      <c r="AM6" s="207"/>
      <c r="AN6" s="207"/>
      <c r="AO6" s="207"/>
      <c r="AP6" s="207"/>
      <c r="AQ6" s="207"/>
      <c r="AR6" s="207"/>
      <c r="AS6" s="207"/>
      <c r="AT6" s="207"/>
      <c r="AU6" s="207"/>
      <c r="AV6" s="207"/>
      <c r="AW6" s="207"/>
      <c r="AX6" s="207"/>
      <c r="AY6" s="207"/>
      <c r="AZ6" s="207"/>
      <c r="BA6" s="207"/>
    </row>
    <row r="7" spans="1:53" ht="15" customHeight="1" x14ac:dyDescent="0.75">
      <c r="A7" s="207"/>
      <c r="B7" s="207"/>
      <c r="C7" s="207"/>
      <c r="D7" s="207"/>
      <c r="E7" s="207"/>
      <c r="F7" s="207"/>
      <c r="G7" s="207"/>
      <c r="H7" s="207"/>
      <c r="I7" s="207"/>
      <c r="J7" s="207"/>
      <c r="K7" s="207"/>
      <c r="L7" s="207"/>
      <c r="M7" s="207"/>
      <c r="N7" s="207"/>
      <c r="O7" s="207"/>
      <c r="P7" s="207"/>
      <c r="Q7" s="207"/>
      <c r="R7" s="207"/>
      <c r="S7" s="207"/>
      <c r="T7" s="207"/>
      <c r="U7" s="207"/>
      <c r="V7" s="207"/>
      <c r="W7" s="207"/>
      <c r="X7" s="207"/>
      <c r="Y7" s="207"/>
      <c r="Z7" s="207"/>
      <c r="AA7" s="207"/>
      <c r="AB7" s="207"/>
      <c r="AC7" s="207"/>
      <c r="AD7" s="207"/>
      <c r="AE7" s="207"/>
      <c r="AF7" s="207"/>
      <c r="AG7" s="207"/>
      <c r="AH7" s="207"/>
      <c r="AI7" s="207"/>
      <c r="AJ7" s="207"/>
      <c r="AK7" s="207"/>
      <c r="AL7" s="207"/>
      <c r="AM7" s="207"/>
      <c r="AN7" s="207"/>
      <c r="AO7" s="207"/>
      <c r="AP7" s="207"/>
      <c r="AQ7" s="207"/>
      <c r="AR7" s="207"/>
      <c r="AS7" s="207"/>
      <c r="AT7" s="207"/>
      <c r="AU7" s="207"/>
      <c r="AV7" s="207"/>
      <c r="AW7" s="207"/>
      <c r="AX7" s="207"/>
      <c r="AY7" s="207"/>
      <c r="AZ7" s="207"/>
      <c r="BA7" s="207"/>
    </row>
    <row r="8" spans="1:53" ht="15" customHeight="1" x14ac:dyDescent="0.75">
      <c r="A8" s="207"/>
      <c r="B8" s="207"/>
      <c r="C8" s="207"/>
      <c r="D8" s="207"/>
      <c r="E8" s="207"/>
      <c r="F8" s="207"/>
      <c r="G8" s="207"/>
      <c r="H8" s="207"/>
      <c r="I8" s="207"/>
      <c r="J8" s="207"/>
      <c r="K8" s="207"/>
      <c r="L8" s="207"/>
      <c r="M8" s="207"/>
      <c r="N8" s="207"/>
      <c r="O8" s="207"/>
      <c r="P8" s="207"/>
      <c r="Q8" s="207"/>
      <c r="R8" s="207"/>
      <c r="S8" s="207"/>
      <c r="T8" s="207"/>
      <c r="U8" s="207"/>
      <c r="V8" s="207"/>
      <c r="W8" s="207"/>
      <c r="X8" s="207"/>
      <c r="Y8" s="207"/>
      <c r="Z8" s="207"/>
      <c r="AA8" s="207"/>
      <c r="AB8" s="207"/>
      <c r="AC8" s="207"/>
      <c r="AD8" s="207"/>
      <c r="AE8" s="207"/>
      <c r="AF8" s="207"/>
      <c r="AG8" s="207"/>
      <c r="AH8" s="207"/>
      <c r="AI8" s="207"/>
      <c r="AJ8" s="207"/>
      <c r="AK8" s="207"/>
      <c r="AL8" s="207"/>
      <c r="AM8" s="207"/>
      <c r="AN8" s="207"/>
      <c r="AO8" s="207"/>
      <c r="AP8" s="207"/>
      <c r="AQ8" s="207"/>
      <c r="AR8" s="207"/>
      <c r="AS8" s="207"/>
      <c r="AT8" s="207"/>
      <c r="AU8" s="207"/>
      <c r="AV8" s="207"/>
      <c r="AW8" s="207"/>
      <c r="AX8" s="207"/>
      <c r="AY8" s="207"/>
      <c r="AZ8" s="207"/>
      <c r="BA8" s="207"/>
    </row>
    <row r="9" spans="1:53" ht="15" customHeight="1" x14ac:dyDescent="0.75">
      <c r="A9" s="207"/>
      <c r="B9" s="207"/>
      <c r="C9" s="207"/>
      <c r="D9" s="207"/>
      <c r="E9" s="207"/>
      <c r="F9" s="207"/>
      <c r="G9" s="207"/>
      <c r="H9" s="207"/>
      <c r="I9" s="207"/>
      <c r="J9" s="207"/>
      <c r="K9" s="207"/>
      <c r="L9" s="207"/>
      <c r="M9" s="207"/>
      <c r="N9" s="207"/>
      <c r="O9" s="207"/>
      <c r="P9" s="207"/>
      <c r="Q9" s="207"/>
      <c r="R9" s="207"/>
      <c r="S9" s="207"/>
      <c r="T9" s="207"/>
      <c r="U9" s="207"/>
      <c r="V9" s="207"/>
      <c r="W9" s="207"/>
      <c r="X9" s="207"/>
      <c r="Y9" s="207"/>
      <c r="Z9" s="207"/>
      <c r="AA9" s="207"/>
      <c r="AB9" s="207"/>
      <c r="AC9" s="207"/>
      <c r="AD9" s="207"/>
      <c r="AE9" s="207"/>
      <c r="AF9" s="207"/>
      <c r="AG9" s="207"/>
      <c r="AH9" s="207"/>
      <c r="AI9" s="207"/>
      <c r="AJ9" s="207"/>
      <c r="AK9" s="207"/>
      <c r="AL9" s="207"/>
      <c r="AM9" s="207"/>
      <c r="AN9" s="207"/>
      <c r="AO9" s="207"/>
      <c r="AP9" s="207"/>
      <c r="AQ9" s="207"/>
      <c r="AR9" s="207"/>
      <c r="AS9" s="207"/>
      <c r="AT9" s="207"/>
      <c r="AU9" s="207"/>
      <c r="AV9" s="207"/>
      <c r="AW9" s="207"/>
      <c r="AX9" s="207"/>
      <c r="AY9" s="207"/>
      <c r="AZ9" s="207"/>
      <c r="BA9" s="207"/>
    </row>
    <row r="10" spans="1:53" ht="15" customHeight="1" x14ac:dyDescent="0.8">
      <c r="A10" s="212" t="s">
        <v>336</v>
      </c>
      <c r="B10" s="276" t="s">
        <v>337</v>
      </c>
      <c r="C10" s="208"/>
      <c r="D10" s="208"/>
      <c r="E10" s="208"/>
      <c r="F10" s="208"/>
      <c r="G10" s="208"/>
      <c r="H10" s="208"/>
      <c r="I10" s="208"/>
      <c r="J10" s="208"/>
      <c r="K10" s="208"/>
      <c r="L10" s="208"/>
      <c r="M10" s="208"/>
      <c r="N10" s="208"/>
      <c r="O10" s="208"/>
      <c r="P10" s="208"/>
      <c r="Q10" s="208"/>
      <c r="R10" s="208"/>
      <c r="S10" s="208"/>
      <c r="T10" s="208"/>
      <c r="U10" s="208"/>
      <c r="V10" s="208"/>
      <c r="W10" s="208"/>
      <c r="X10" s="208"/>
      <c r="Y10" s="208"/>
      <c r="Z10" s="208"/>
      <c r="AA10" s="208"/>
      <c r="AB10" s="208"/>
      <c r="AC10" s="208"/>
      <c r="AD10" s="208"/>
      <c r="AE10" s="208"/>
      <c r="AF10" s="220" t="s">
        <v>211</v>
      </c>
      <c r="AG10" s="208"/>
      <c r="AH10" s="208"/>
      <c r="AI10" s="208"/>
      <c r="AJ10" s="208"/>
      <c r="AK10" s="208"/>
      <c r="AL10" s="208"/>
      <c r="AM10" s="208"/>
      <c r="AN10" s="208"/>
      <c r="AO10" s="208"/>
      <c r="AP10" s="208"/>
      <c r="AQ10" s="208"/>
      <c r="AR10" s="208"/>
      <c r="AS10" s="208"/>
      <c r="AT10" s="208"/>
      <c r="AU10" s="208"/>
      <c r="AV10" s="208"/>
      <c r="AW10" s="208"/>
      <c r="AX10" s="208"/>
      <c r="AY10" s="208"/>
      <c r="AZ10" s="208"/>
      <c r="BA10" s="208"/>
    </row>
    <row r="11" spans="1:53" ht="15" customHeight="1" x14ac:dyDescent="0.75">
      <c r="A11" s="212" t="s">
        <v>338</v>
      </c>
      <c r="B11" s="277" t="s">
        <v>339</v>
      </c>
      <c r="C11" s="208"/>
      <c r="D11" s="208"/>
      <c r="E11" s="208"/>
      <c r="F11" s="208"/>
      <c r="G11" s="208"/>
      <c r="H11" s="208"/>
      <c r="I11" s="208"/>
      <c r="J11" s="208"/>
      <c r="K11" s="208"/>
      <c r="L11" s="208"/>
      <c r="M11" s="208"/>
      <c r="N11" s="208"/>
      <c r="O11" s="208"/>
      <c r="P11" s="208"/>
      <c r="Q11" s="208"/>
      <c r="R11" s="208"/>
      <c r="S11" s="208"/>
      <c r="T11" s="208"/>
      <c r="U11" s="208"/>
      <c r="V11" s="208"/>
      <c r="W11" s="208"/>
      <c r="X11" s="208"/>
      <c r="Y11" s="208"/>
      <c r="Z11" s="208"/>
      <c r="AA11" s="208"/>
      <c r="AB11" s="208"/>
      <c r="AC11" s="208"/>
      <c r="AD11" s="208"/>
      <c r="AE11" s="208"/>
      <c r="AF11" s="220" t="s">
        <v>212</v>
      </c>
      <c r="AG11" s="208"/>
      <c r="AH11" s="208"/>
      <c r="AI11" s="208"/>
      <c r="AJ11" s="208"/>
      <c r="AK11" s="208"/>
      <c r="AL11" s="208"/>
      <c r="AM11" s="208"/>
      <c r="AN11" s="208"/>
      <c r="AO11" s="208"/>
      <c r="AP11" s="208"/>
      <c r="AQ11" s="208"/>
      <c r="AR11" s="208"/>
      <c r="AS11" s="208"/>
      <c r="AT11" s="208"/>
      <c r="AU11" s="208"/>
      <c r="AV11" s="208"/>
      <c r="AW11" s="208"/>
      <c r="AX11" s="208"/>
      <c r="AY11" s="208"/>
      <c r="AZ11" s="208"/>
      <c r="BA11" s="208"/>
    </row>
    <row r="12" spans="1:53" ht="15" customHeight="1" x14ac:dyDescent="0.75">
      <c r="A12" s="212" t="s">
        <v>340</v>
      </c>
      <c r="B12" s="277"/>
      <c r="C12" s="260"/>
      <c r="D12" s="260"/>
      <c r="E12" s="260"/>
      <c r="F12" s="260"/>
      <c r="G12" s="260"/>
      <c r="H12" s="260"/>
      <c r="I12" s="260"/>
      <c r="J12" s="260"/>
      <c r="K12" s="260"/>
      <c r="L12" s="260"/>
      <c r="M12" s="260"/>
      <c r="N12" s="260"/>
      <c r="O12" s="260"/>
      <c r="P12" s="260"/>
      <c r="Q12" s="260"/>
      <c r="R12" s="260"/>
      <c r="S12" s="260"/>
      <c r="T12" s="260"/>
      <c r="U12" s="260"/>
      <c r="V12" s="260"/>
      <c r="W12" s="260"/>
      <c r="X12" s="260"/>
      <c r="Y12" s="260"/>
      <c r="Z12" s="260"/>
      <c r="AA12" s="260"/>
      <c r="AB12" s="260"/>
      <c r="AC12" s="260"/>
      <c r="AD12" s="260"/>
      <c r="AE12" s="260"/>
      <c r="AF12" s="220" t="s">
        <v>325</v>
      </c>
      <c r="AG12" s="208"/>
      <c r="AH12" s="208"/>
      <c r="AI12" s="208"/>
      <c r="AJ12" s="208"/>
      <c r="AK12" s="208"/>
      <c r="AL12" s="208"/>
      <c r="AM12" s="208"/>
      <c r="AN12" s="208"/>
      <c r="AO12" s="208"/>
      <c r="AP12" s="208"/>
      <c r="AQ12" s="208"/>
      <c r="AR12" s="208"/>
      <c r="AS12" s="208"/>
      <c r="AT12" s="208"/>
      <c r="AU12" s="208"/>
      <c r="AV12" s="208"/>
      <c r="AW12" s="208"/>
      <c r="AX12" s="208"/>
      <c r="AY12" s="208"/>
      <c r="AZ12" s="208"/>
      <c r="BA12" s="208"/>
    </row>
    <row r="13" spans="1:53" ht="15" customHeight="1" thickBot="1" x14ac:dyDescent="0.9">
      <c r="A13" s="212" t="s">
        <v>341</v>
      </c>
      <c r="B13" s="278"/>
      <c r="C13" s="278">
        <v>2022</v>
      </c>
      <c r="D13" s="278">
        <v>2023</v>
      </c>
      <c r="E13" s="278">
        <v>2024</v>
      </c>
      <c r="F13" s="278">
        <v>2025</v>
      </c>
      <c r="G13" s="278">
        <v>2026</v>
      </c>
      <c r="H13" s="278">
        <v>2027</v>
      </c>
      <c r="I13" s="278">
        <v>2028</v>
      </c>
      <c r="J13" s="278">
        <v>2029</v>
      </c>
      <c r="K13" s="278">
        <v>2030</v>
      </c>
      <c r="L13" s="278">
        <v>2031</v>
      </c>
      <c r="M13" s="278">
        <v>2032</v>
      </c>
      <c r="N13" s="278">
        <v>2033</v>
      </c>
      <c r="O13" s="278">
        <v>2034</v>
      </c>
      <c r="P13" s="278">
        <v>2035</v>
      </c>
      <c r="Q13" s="278">
        <v>2036</v>
      </c>
      <c r="R13" s="278">
        <v>2037</v>
      </c>
      <c r="S13" s="278">
        <v>2038</v>
      </c>
      <c r="T13" s="278">
        <v>2039</v>
      </c>
      <c r="U13" s="278">
        <v>2040</v>
      </c>
      <c r="V13" s="278">
        <v>2041</v>
      </c>
      <c r="W13" s="278">
        <v>2042</v>
      </c>
      <c r="X13" s="278">
        <v>2043</v>
      </c>
      <c r="Y13" s="278">
        <v>2044</v>
      </c>
      <c r="Z13" s="278">
        <v>2045</v>
      </c>
      <c r="AA13" s="278">
        <v>2046</v>
      </c>
      <c r="AB13" s="278">
        <v>2047</v>
      </c>
      <c r="AC13" s="278">
        <v>2048</v>
      </c>
      <c r="AD13" s="278">
        <v>2049</v>
      </c>
      <c r="AE13" s="278">
        <v>2050</v>
      </c>
      <c r="AF13" s="279">
        <v>2050</v>
      </c>
      <c r="AG13" s="208"/>
      <c r="AH13" s="208"/>
      <c r="AI13" s="208"/>
      <c r="AJ13" s="208"/>
      <c r="AK13" s="208"/>
      <c r="AL13" s="208"/>
      <c r="AM13" s="208"/>
      <c r="AN13" s="208"/>
      <c r="AO13" s="208"/>
      <c r="AP13" s="208"/>
      <c r="AQ13" s="208"/>
      <c r="AR13" s="208"/>
      <c r="AS13" s="208"/>
      <c r="AT13" s="208"/>
      <c r="AU13" s="208"/>
      <c r="AV13" s="208"/>
      <c r="AW13" s="208"/>
      <c r="AX13" s="208"/>
      <c r="AY13" s="208"/>
      <c r="AZ13" s="208"/>
      <c r="BA13" s="208"/>
    </row>
    <row r="14" spans="1:53" ht="15" customHeight="1" thickTop="1" x14ac:dyDescent="0.75">
      <c r="A14" s="212" t="s">
        <v>342</v>
      </c>
      <c r="B14" s="280" t="s">
        <v>343</v>
      </c>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208"/>
      <c r="AZ14" s="208"/>
      <c r="BA14" s="208"/>
    </row>
    <row r="15" spans="1:53" ht="15" customHeight="1" x14ac:dyDescent="0.75">
      <c r="A15" s="212" t="s">
        <v>344</v>
      </c>
      <c r="B15" s="280" t="s">
        <v>345</v>
      </c>
      <c r="C15" s="208"/>
      <c r="D15" s="208"/>
      <c r="E15" s="208"/>
      <c r="F15" s="208"/>
      <c r="G15" s="208"/>
      <c r="H15" s="208"/>
      <c r="I15" s="208"/>
      <c r="J15" s="208"/>
      <c r="K15" s="208"/>
      <c r="L15" s="208"/>
      <c r="M15" s="208"/>
      <c r="N15" s="208"/>
      <c r="O15" s="208"/>
      <c r="P15" s="208"/>
      <c r="Q15" s="208"/>
      <c r="R15" s="208"/>
      <c r="S15" s="208"/>
      <c r="T15" s="208"/>
      <c r="U15" s="208"/>
      <c r="V15" s="208"/>
      <c r="W15" s="208"/>
      <c r="X15" s="208"/>
      <c r="Y15" s="208"/>
      <c r="Z15" s="208"/>
      <c r="AA15" s="208"/>
      <c r="AB15" s="208"/>
      <c r="AC15" s="208"/>
      <c r="AD15" s="208"/>
      <c r="AE15" s="208"/>
      <c r="AF15" s="208"/>
      <c r="AG15" s="208"/>
      <c r="AH15" s="208"/>
      <c r="AI15" s="208"/>
      <c r="AJ15" s="208"/>
      <c r="AK15" s="208"/>
      <c r="AL15" s="208"/>
      <c r="AM15" s="208"/>
      <c r="AN15" s="208"/>
      <c r="AO15" s="208"/>
      <c r="AP15" s="208"/>
      <c r="AQ15" s="208"/>
      <c r="AR15" s="208"/>
      <c r="AS15" s="208"/>
      <c r="AT15" s="208"/>
      <c r="AU15" s="208"/>
      <c r="AV15" s="208"/>
      <c r="AW15" s="208"/>
      <c r="AX15" s="208"/>
      <c r="AY15" s="208"/>
      <c r="AZ15" s="208"/>
      <c r="BA15" s="208"/>
    </row>
    <row r="16" spans="1:53" ht="15" customHeight="1" x14ac:dyDescent="0.75">
      <c r="A16" s="212" t="s">
        <v>346</v>
      </c>
      <c r="B16" s="281" t="s">
        <v>347</v>
      </c>
      <c r="C16" s="286">
        <v>6.6360000000000001</v>
      </c>
      <c r="D16" s="286">
        <v>6.6360000000000001</v>
      </c>
      <c r="E16" s="286">
        <v>6.6360000000000001</v>
      </c>
      <c r="F16" s="286">
        <v>6.6360000000000001</v>
      </c>
      <c r="G16" s="286">
        <v>6.6360000000000001</v>
      </c>
      <c r="H16" s="286">
        <v>6.6360000000000001</v>
      </c>
      <c r="I16" s="286">
        <v>6.6360000000000001</v>
      </c>
      <c r="J16" s="286">
        <v>6.6360000000000001</v>
      </c>
      <c r="K16" s="286">
        <v>6.6360000000000001</v>
      </c>
      <c r="L16" s="286">
        <v>6.6360000000000001</v>
      </c>
      <c r="M16" s="286">
        <v>6.6360000000000001</v>
      </c>
      <c r="N16" s="286">
        <v>6.6360000000000001</v>
      </c>
      <c r="O16" s="286">
        <v>6.6360000000000001</v>
      </c>
      <c r="P16" s="286">
        <v>6.6360000000000001</v>
      </c>
      <c r="Q16" s="286">
        <v>6.6360000000000001</v>
      </c>
      <c r="R16" s="286">
        <v>6.6360000000000001</v>
      </c>
      <c r="S16" s="286">
        <v>6.6360000000000001</v>
      </c>
      <c r="T16" s="286">
        <v>6.6360000000000001</v>
      </c>
      <c r="U16" s="286">
        <v>6.6360000000000001</v>
      </c>
      <c r="V16" s="286">
        <v>6.6360000000000001</v>
      </c>
      <c r="W16" s="286">
        <v>6.6360000000000001</v>
      </c>
      <c r="X16" s="286">
        <v>6.6360000000000001</v>
      </c>
      <c r="Y16" s="286">
        <v>6.6360000000000001</v>
      </c>
      <c r="Z16" s="286">
        <v>6.6360000000000001</v>
      </c>
      <c r="AA16" s="286">
        <v>6.6360000000000001</v>
      </c>
      <c r="AB16" s="286">
        <v>6.6360000000000001</v>
      </c>
      <c r="AC16" s="286">
        <v>6.6360000000000001</v>
      </c>
      <c r="AD16" s="286">
        <v>6.6360000000000001</v>
      </c>
      <c r="AE16" s="286">
        <v>6.6360000000000001</v>
      </c>
      <c r="AF16" s="283">
        <v>0</v>
      </c>
      <c r="AG16" s="208"/>
      <c r="AH16" s="208"/>
      <c r="AI16" s="208"/>
      <c r="AJ16" s="208"/>
      <c r="AK16" s="208"/>
      <c r="AL16" s="208"/>
      <c r="AM16" s="208"/>
      <c r="AN16" s="208"/>
      <c r="AO16" s="208"/>
      <c r="AP16" s="208"/>
      <c r="AQ16" s="208"/>
      <c r="AR16" s="208"/>
      <c r="AS16" s="208"/>
      <c r="AT16" s="208"/>
      <c r="AU16" s="208"/>
      <c r="AV16" s="208"/>
      <c r="AW16" s="208"/>
      <c r="AX16" s="208"/>
      <c r="AY16" s="208"/>
      <c r="AZ16" s="208"/>
      <c r="BA16" s="208"/>
    </row>
    <row r="17" spans="1:53" ht="15" customHeight="1" x14ac:dyDescent="0.75">
      <c r="A17" s="212" t="s">
        <v>348</v>
      </c>
      <c r="B17" s="281" t="s">
        <v>349</v>
      </c>
      <c r="C17" s="286">
        <v>5.048</v>
      </c>
      <c r="D17" s="286">
        <v>5.048</v>
      </c>
      <c r="E17" s="286">
        <v>5.048</v>
      </c>
      <c r="F17" s="286">
        <v>5.048</v>
      </c>
      <c r="G17" s="286">
        <v>5.048</v>
      </c>
      <c r="H17" s="286">
        <v>5.048</v>
      </c>
      <c r="I17" s="286">
        <v>5.048</v>
      </c>
      <c r="J17" s="286">
        <v>5.048</v>
      </c>
      <c r="K17" s="286">
        <v>5.048</v>
      </c>
      <c r="L17" s="286">
        <v>5.048</v>
      </c>
      <c r="M17" s="286">
        <v>5.048</v>
      </c>
      <c r="N17" s="286">
        <v>5.048</v>
      </c>
      <c r="O17" s="286">
        <v>5.048</v>
      </c>
      <c r="P17" s="286">
        <v>5.048</v>
      </c>
      <c r="Q17" s="286">
        <v>5.048</v>
      </c>
      <c r="R17" s="286">
        <v>5.048</v>
      </c>
      <c r="S17" s="286">
        <v>5.048</v>
      </c>
      <c r="T17" s="286">
        <v>5.048</v>
      </c>
      <c r="U17" s="286">
        <v>5.048</v>
      </c>
      <c r="V17" s="286">
        <v>5.048</v>
      </c>
      <c r="W17" s="286">
        <v>5.048</v>
      </c>
      <c r="X17" s="286">
        <v>5.048</v>
      </c>
      <c r="Y17" s="286">
        <v>5.048</v>
      </c>
      <c r="Z17" s="286">
        <v>5.048</v>
      </c>
      <c r="AA17" s="286">
        <v>5.048</v>
      </c>
      <c r="AB17" s="286">
        <v>5.048</v>
      </c>
      <c r="AC17" s="286">
        <v>5.048</v>
      </c>
      <c r="AD17" s="286">
        <v>5.048</v>
      </c>
      <c r="AE17" s="286">
        <v>5.048</v>
      </c>
      <c r="AF17" s="283">
        <v>0</v>
      </c>
      <c r="AG17" s="208"/>
      <c r="AH17" s="208"/>
      <c r="AI17" s="208"/>
      <c r="AJ17" s="208"/>
      <c r="AK17" s="208"/>
      <c r="AL17" s="208"/>
      <c r="AM17" s="208"/>
      <c r="AN17" s="208"/>
      <c r="AO17" s="208"/>
      <c r="AP17" s="208"/>
      <c r="AQ17" s="208"/>
      <c r="AR17" s="208"/>
      <c r="AS17" s="208"/>
      <c r="AT17" s="208"/>
      <c r="AU17" s="208"/>
      <c r="AV17" s="208"/>
      <c r="AW17" s="208"/>
      <c r="AX17" s="208"/>
      <c r="AY17" s="208"/>
      <c r="AZ17" s="208"/>
      <c r="BA17" s="208"/>
    </row>
    <row r="18" spans="1:53" ht="15" customHeight="1" x14ac:dyDescent="0.75">
      <c r="A18" s="212" t="s">
        <v>350</v>
      </c>
      <c r="B18" s="281" t="s">
        <v>351</v>
      </c>
      <c r="C18" s="286">
        <v>5.359</v>
      </c>
      <c r="D18" s="286">
        <v>5.359</v>
      </c>
      <c r="E18" s="286">
        <v>5.359</v>
      </c>
      <c r="F18" s="286">
        <v>5.359</v>
      </c>
      <c r="G18" s="286">
        <v>5.359</v>
      </c>
      <c r="H18" s="286">
        <v>5.359</v>
      </c>
      <c r="I18" s="286">
        <v>5.359</v>
      </c>
      <c r="J18" s="286">
        <v>5.359</v>
      </c>
      <c r="K18" s="286">
        <v>5.359</v>
      </c>
      <c r="L18" s="286">
        <v>5.359</v>
      </c>
      <c r="M18" s="286">
        <v>5.359</v>
      </c>
      <c r="N18" s="286">
        <v>5.359</v>
      </c>
      <c r="O18" s="286">
        <v>5.359</v>
      </c>
      <c r="P18" s="286">
        <v>5.359</v>
      </c>
      <c r="Q18" s="286">
        <v>5.359</v>
      </c>
      <c r="R18" s="286">
        <v>5.359</v>
      </c>
      <c r="S18" s="286">
        <v>5.359</v>
      </c>
      <c r="T18" s="286">
        <v>5.359</v>
      </c>
      <c r="U18" s="286">
        <v>5.359</v>
      </c>
      <c r="V18" s="286">
        <v>5.359</v>
      </c>
      <c r="W18" s="286">
        <v>5.359</v>
      </c>
      <c r="X18" s="286">
        <v>5.359</v>
      </c>
      <c r="Y18" s="286">
        <v>5.359</v>
      </c>
      <c r="Z18" s="286">
        <v>5.359</v>
      </c>
      <c r="AA18" s="286">
        <v>5.359</v>
      </c>
      <c r="AB18" s="286">
        <v>5.359</v>
      </c>
      <c r="AC18" s="286">
        <v>5.359</v>
      </c>
      <c r="AD18" s="286">
        <v>5.359</v>
      </c>
      <c r="AE18" s="286">
        <v>5.359</v>
      </c>
      <c r="AF18" s="283">
        <v>0</v>
      </c>
      <c r="AG18" s="208"/>
      <c r="AH18" s="208"/>
      <c r="AI18" s="208"/>
      <c r="AJ18" s="208"/>
      <c r="AK18" s="208"/>
      <c r="AL18" s="208"/>
      <c r="AM18" s="208"/>
      <c r="AN18" s="208"/>
      <c r="AO18" s="208"/>
      <c r="AP18" s="208"/>
      <c r="AQ18" s="208"/>
      <c r="AR18" s="208"/>
      <c r="AS18" s="208"/>
      <c r="AT18" s="208"/>
      <c r="AU18" s="208"/>
      <c r="AV18" s="208"/>
      <c r="AW18" s="208"/>
      <c r="AX18" s="208"/>
      <c r="AY18" s="208"/>
      <c r="AZ18" s="208"/>
      <c r="BA18" s="208"/>
    </row>
    <row r="19" spans="1:53" ht="15" customHeight="1" x14ac:dyDescent="0.75">
      <c r="A19" s="212" t="s">
        <v>352</v>
      </c>
      <c r="B19" s="281" t="s">
        <v>353</v>
      </c>
      <c r="C19" s="286">
        <v>5.8250000000000002</v>
      </c>
      <c r="D19" s="286">
        <v>5.8250000000000002</v>
      </c>
      <c r="E19" s="286">
        <v>5.8250000000000002</v>
      </c>
      <c r="F19" s="286">
        <v>5.8250000000000002</v>
      </c>
      <c r="G19" s="286">
        <v>5.8250000000000002</v>
      </c>
      <c r="H19" s="286">
        <v>5.8250000000000002</v>
      </c>
      <c r="I19" s="286">
        <v>5.8250000000000002</v>
      </c>
      <c r="J19" s="286">
        <v>5.8250000000000002</v>
      </c>
      <c r="K19" s="286">
        <v>5.8250000000000002</v>
      </c>
      <c r="L19" s="286">
        <v>5.8250000000000002</v>
      </c>
      <c r="M19" s="286">
        <v>5.8250000000000002</v>
      </c>
      <c r="N19" s="286">
        <v>5.8250000000000002</v>
      </c>
      <c r="O19" s="286">
        <v>5.8250000000000002</v>
      </c>
      <c r="P19" s="286">
        <v>5.8250000000000002</v>
      </c>
      <c r="Q19" s="286">
        <v>5.8250000000000002</v>
      </c>
      <c r="R19" s="286">
        <v>5.8250000000000002</v>
      </c>
      <c r="S19" s="286">
        <v>5.8250000000000002</v>
      </c>
      <c r="T19" s="286">
        <v>5.8250000000000002</v>
      </c>
      <c r="U19" s="286">
        <v>5.8250000000000002</v>
      </c>
      <c r="V19" s="286">
        <v>5.8250000000000002</v>
      </c>
      <c r="W19" s="286">
        <v>5.8250000000000002</v>
      </c>
      <c r="X19" s="286">
        <v>5.8250000000000002</v>
      </c>
      <c r="Y19" s="286">
        <v>5.8250000000000002</v>
      </c>
      <c r="Z19" s="286">
        <v>5.8250000000000002</v>
      </c>
      <c r="AA19" s="286">
        <v>5.8250000000000002</v>
      </c>
      <c r="AB19" s="286">
        <v>5.8250000000000002</v>
      </c>
      <c r="AC19" s="286">
        <v>5.8250000000000002</v>
      </c>
      <c r="AD19" s="286">
        <v>5.8250000000000002</v>
      </c>
      <c r="AE19" s="286">
        <v>5.8250000000000002</v>
      </c>
      <c r="AF19" s="283">
        <v>0</v>
      </c>
      <c r="AG19" s="208"/>
      <c r="AH19" s="208"/>
      <c r="AI19" s="208"/>
      <c r="AJ19" s="208"/>
      <c r="AK19" s="208"/>
      <c r="AL19" s="208"/>
      <c r="AM19" s="208"/>
      <c r="AN19" s="208"/>
      <c r="AO19" s="208"/>
      <c r="AP19" s="208"/>
      <c r="AQ19" s="208"/>
      <c r="AR19" s="208"/>
      <c r="AS19" s="208"/>
      <c r="AT19" s="208"/>
      <c r="AU19" s="208"/>
      <c r="AV19" s="208"/>
      <c r="AW19" s="208"/>
      <c r="AX19" s="208"/>
      <c r="AY19" s="208"/>
      <c r="AZ19" s="208"/>
      <c r="BA19" s="208"/>
    </row>
    <row r="20" spans="1:53" ht="15" customHeight="1" x14ac:dyDescent="0.75">
      <c r="A20" s="212" t="s">
        <v>354</v>
      </c>
      <c r="B20" s="281" t="s">
        <v>355</v>
      </c>
      <c r="C20" s="286">
        <v>5.7756210000000001</v>
      </c>
      <c r="D20" s="286">
        <v>5.7756480000000003</v>
      </c>
      <c r="E20" s="286">
        <v>5.7760829999999999</v>
      </c>
      <c r="F20" s="286">
        <v>5.7760619999999996</v>
      </c>
      <c r="G20" s="286">
        <v>5.7764670000000002</v>
      </c>
      <c r="H20" s="286">
        <v>5.7772180000000004</v>
      </c>
      <c r="I20" s="286">
        <v>5.776948</v>
      </c>
      <c r="J20" s="286">
        <v>5.7769529999999998</v>
      </c>
      <c r="K20" s="286">
        <v>5.7767980000000003</v>
      </c>
      <c r="L20" s="286">
        <v>5.7769740000000001</v>
      </c>
      <c r="M20" s="286">
        <v>5.7768980000000001</v>
      </c>
      <c r="N20" s="286">
        <v>5.7770099999999998</v>
      </c>
      <c r="O20" s="286">
        <v>5.7768050000000004</v>
      </c>
      <c r="P20" s="286">
        <v>5.7769560000000002</v>
      </c>
      <c r="Q20" s="286">
        <v>5.7768389999999998</v>
      </c>
      <c r="R20" s="286">
        <v>5.7768620000000004</v>
      </c>
      <c r="S20" s="286">
        <v>5.7767480000000004</v>
      </c>
      <c r="T20" s="286">
        <v>5.7767109999999997</v>
      </c>
      <c r="U20" s="286">
        <v>5.7766539999999997</v>
      </c>
      <c r="V20" s="286">
        <v>5.7766140000000004</v>
      </c>
      <c r="W20" s="286">
        <v>5.7766320000000002</v>
      </c>
      <c r="X20" s="286">
        <v>5.7766310000000001</v>
      </c>
      <c r="Y20" s="286">
        <v>5.7765519999999997</v>
      </c>
      <c r="Z20" s="286">
        <v>5.7765940000000002</v>
      </c>
      <c r="AA20" s="286">
        <v>5.7764090000000001</v>
      </c>
      <c r="AB20" s="286">
        <v>5.7762830000000003</v>
      </c>
      <c r="AC20" s="286">
        <v>5.7763799999999996</v>
      </c>
      <c r="AD20" s="286">
        <v>5.7763859999999996</v>
      </c>
      <c r="AE20" s="286">
        <v>5.7762339999999996</v>
      </c>
      <c r="AF20" s="283">
        <v>3.9999999999999998E-6</v>
      </c>
      <c r="AG20" s="208"/>
      <c r="AH20" s="208"/>
      <c r="AI20" s="208"/>
      <c r="AJ20" s="208"/>
      <c r="AK20" s="208"/>
      <c r="AL20" s="208"/>
      <c r="AM20" s="208"/>
      <c r="AN20" s="208"/>
      <c r="AO20" s="208"/>
      <c r="AP20" s="208"/>
      <c r="AQ20" s="208"/>
      <c r="AR20" s="208"/>
      <c r="AS20" s="208"/>
      <c r="AT20" s="208"/>
      <c r="AU20" s="208"/>
      <c r="AV20" s="208"/>
      <c r="AW20" s="208"/>
      <c r="AX20" s="208"/>
      <c r="AY20" s="208"/>
      <c r="AZ20" s="208"/>
      <c r="BA20" s="208"/>
    </row>
    <row r="21" spans="1:53" ht="15" customHeight="1" x14ac:dyDescent="0.75">
      <c r="A21" s="212" t="s">
        <v>356</v>
      </c>
      <c r="B21" s="281" t="s">
        <v>357</v>
      </c>
      <c r="C21" s="286">
        <v>5.7756210000000001</v>
      </c>
      <c r="D21" s="286">
        <v>5.7756480000000003</v>
      </c>
      <c r="E21" s="286">
        <v>5.7760829999999999</v>
      </c>
      <c r="F21" s="286">
        <v>5.7760619999999996</v>
      </c>
      <c r="G21" s="286">
        <v>5.7764670000000002</v>
      </c>
      <c r="H21" s="286">
        <v>5.7772180000000004</v>
      </c>
      <c r="I21" s="286">
        <v>5.776948</v>
      </c>
      <c r="J21" s="286">
        <v>5.7769529999999998</v>
      </c>
      <c r="K21" s="286">
        <v>5.7767980000000003</v>
      </c>
      <c r="L21" s="286">
        <v>5.7769740000000001</v>
      </c>
      <c r="M21" s="286">
        <v>5.7768980000000001</v>
      </c>
      <c r="N21" s="286">
        <v>5.7770099999999998</v>
      </c>
      <c r="O21" s="286">
        <v>5.7768050000000004</v>
      </c>
      <c r="P21" s="286">
        <v>5.7769560000000002</v>
      </c>
      <c r="Q21" s="286">
        <v>5.7768389999999998</v>
      </c>
      <c r="R21" s="286">
        <v>5.7768620000000004</v>
      </c>
      <c r="S21" s="286">
        <v>5.7767480000000004</v>
      </c>
      <c r="T21" s="286">
        <v>5.7767109999999997</v>
      </c>
      <c r="U21" s="286">
        <v>5.7766539999999997</v>
      </c>
      <c r="V21" s="286">
        <v>5.7766140000000004</v>
      </c>
      <c r="W21" s="286">
        <v>5.7766320000000002</v>
      </c>
      <c r="X21" s="286">
        <v>5.7766310000000001</v>
      </c>
      <c r="Y21" s="286">
        <v>5.7765519999999997</v>
      </c>
      <c r="Z21" s="286">
        <v>5.7765940000000002</v>
      </c>
      <c r="AA21" s="286">
        <v>5.7764090000000001</v>
      </c>
      <c r="AB21" s="286">
        <v>5.7762830000000003</v>
      </c>
      <c r="AC21" s="286">
        <v>5.7763799999999996</v>
      </c>
      <c r="AD21" s="286">
        <v>5.7763859999999996</v>
      </c>
      <c r="AE21" s="286">
        <v>5.7762339999999996</v>
      </c>
      <c r="AF21" s="283">
        <v>3.9999999999999998E-6</v>
      </c>
      <c r="AG21" s="208"/>
      <c r="AH21" s="208"/>
      <c r="AI21" s="208"/>
      <c r="AJ21" s="208"/>
      <c r="AK21" s="208"/>
      <c r="AL21" s="208"/>
      <c r="AM21" s="208"/>
      <c r="AN21" s="208"/>
      <c r="AO21" s="208"/>
      <c r="AP21" s="208"/>
      <c r="AQ21" s="208"/>
      <c r="AR21" s="208"/>
      <c r="AS21" s="208"/>
      <c r="AT21" s="208"/>
      <c r="AU21" s="208"/>
      <c r="AV21" s="208"/>
      <c r="AW21" s="208"/>
      <c r="AX21" s="208"/>
      <c r="AY21" s="208"/>
      <c r="AZ21" s="208"/>
      <c r="BA21" s="208"/>
    </row>
    <row r="22" spans="1:53" ht="15" customHeight="1" x14ac:dyDescent="0.75">
      <c r="A22" s="207"/>
      <c r="B22" s="281" t="s">
        <v>358</v>
      </c>
      <c r="C22" s="286">
        <v>5.7756210000000001</v>
      </c>
      <c r="D22" s="286">
        <v>5.7756480000000003</v>
      </c>
      <c r="E22" s="286">
        <v>5.7760829999999999</v>
      </c>
      <c r="F22" s="286">
        <v>5.7760619999999996</v>
      </c>
      <c r="G22" s="286">
        <v>5.7764670000000002</v>
      </c>
      <c r="H22" s="286">
        <v>5.7772180000000004</v>
      </c>
      <c r="I22" s="286">
        <v>5.776948</v>
      </c>
      <c r="J22" s="286">
        <v>5.7769529999999998</v>
      </c>
      <c r="K22" s="286">
        <v>5.7767980000000003</v>
      </c>
      <c r="L22" s="286">
        <v>5.7769740000000001</v>
      </c>
      <c r="M22" s="286">
        <v>5.7768980000000001</v>
      </c>
      <c r="N22" s="286">
        <v>5.7770099999999998</v>
      </c>
      <c r="O22" s="286">
        <v>5.7768050000000004</v>
      </c>
      <c r="P22" s="286">
        <v>5.7769560000000002</v>
      </c>
      <c r="Q22" s="286">
        <v>5.7768389999999998</v>
      </c>
      <c r="R22" s="286">
        <v>5.7768620000000004</v>
      </c>
      <c r="S22" s="286">
        <v>5.7767480000000004</v>
      </c>
      <c r="T22" s="286">
        <v>5.7767109999999997</v>
      </c>
      <c r="U22" s="286">
        <v>5.7766539999999997</v>
      </c>
      <c r="V22" s="286">
        <v>5.7766140000000004</v>
      </c>
      <c r="W22" s="286">
        <v>5.7766320000000002</v>
      </c>
      <c r="X22" s="286">
        <v>5.7766310000000001</v>
      </c>
      <c r="Y22" s="286">
        <v>5.7765519999999997</v>
      </c>
      <c r="Z22" s="286">
        <v>5.7765940000000002</v>
      </c>
      <c r="AA22" s="286">
        <v>5.7764090000000001</v>
      </c>
      <c r="AB22" s="286">
        <v>5.7762830000000003</v>
      </c>
      <c r="AC22" s="286">
        <v>5.7763799999999996</v>
      </c>
      <c r="AD22" s="286">
        <v>5.7763859999999996</v>
      </c>
      <c r="AE22" s="286">
        <v>5.7762339999999996</v>
      </c>
      <c r="AF22" s="283">
        <v>3.9999999999999998E-6</v>
      </c>
      <c r="AG22" s="208"/>
      <c r="AH22" s="208"/>
      <c r="AI22" s="208"/>
      <c r="AJ22" s="208"/>
      <c r="AK22" s="208"/>
      <c r="AL22" s="208"/>
      <c r="AM22" s="208"/>
      <c r="AN22" s="208"/>
      <c r="AO22" s="208"/>
      <c r="AP22" s="208"/>
      <c r="AQ22" s="208"/>
      <c r="AR22" s="208"/>
      <c r="AS22" s="208"/>
      <c r="AT22" s="208"/>
      <c r="AU22" s="208"/>
      <c r="AV22" s="208"/>
      <c r="AW22" s="208"/>
      <c r="AX22" s="208"/>
      <c r="AY22" s="208"/>
      <c r="AZ22" s="208"/>
      <c r="BA22" s="208"/>
    </row>
    <row r="23" spans="1:53" ht="15" customHeight="1" x14ac:dyDescent="0.75">
      <c r="A23" s="212" t="s">
        <v>359</v>
      </c>
      <c r="B23" s="281" t="s">
        <v>360</v>
      </c>
      <c r="C23" s="286">
        <v>5.7756210000000001</v>
      </c>
      <c r="D23" s="286">
        <v>5.7756480000000003</v>
      </c>
      <c r="E23" s="286">
        <v>5.7760829999999999</v>
      </c>
      <c r="F23" s="286">
        <v>5.7760619999999996</v>
      </c>
      <c r="G23" s="286">
        <v>5.7764670000000002</v>
      </c>
      <c r="H23" s="286">
        <v>5.7772180000000004</v>
      </c>
      <c r="I23" s="286">
        <v>5.776948</v>
      </c>
      <c r="J23" s="286">
        <v>5.7769529999999998</v>
      </c>
      <c r="K23" s="286">
        <v>5.7767980000000003</v>
      </c>
      <c r="L23" s="286">
        <v>5.7769740000000001</v>
      </c>
      <c r="M23" s="286">
        <v>5.7768980000000001</v>
      </c>
      <c r="N23" s="286">
        <v>5.7770099999999998</v>
      </c>
      <c r="O23" s="286">
        <v>5.7768050000000004</v>
      </c>
      <c r="P23" s="286">
        <v>5.7769560000000002</v>
      </c>
      <c r="Q23" s="286">
        <v>5.7768389999999998</v>
      </c>
      <c r="R23" s="286">
        <v>5.7768620000000004</v>
      </c>
      <c r="S23" s="286">
        <v>5.7767480000000004</v>
      </c>
      <c r="T23" s="286">
        <v>5.7767109999999997</v>
      </c>
      <c r="U23" s="286">
        <v>5.7766539999999997</v>
      </c>
      <c r="V23" s="286">
        <v>5.7766140000000004</v>
      </c>
      <c r="W23" s="286">
        <v>5.7766320000000002</v>
      </c>
      <c r="X23" s="286">
        <v>5.7766310000000001</v>
      </c>
      <c r="Y23" s="286">
        <v>5.7765519999999997</v>
      </c>
      <c r="Z23" s="286">
        <v>5.7765940000000002</v>
      </c>
      <c r="AA23" s="286">
        <v>5.7764090000000001</v>
      </c>
      <c r="AB23" s="286">
        <v>5.7762830000000003</v>
      </c>
      <c r="AC23" s="286">
        <v>5.7763799999999996</v>
      </c>
      <c r="AD23" s="286">
        <v>5.7763859999999996</v>
      </c>
      <c r="AE23" s="286">
        <v>5.7762339999999996</v>
      </c>
      <c r="AF23" s="283">
        <v>3.9999999999999998E-6</v>
      </c>
      <c r="AG23" s="208"/>
      <c r="AH23" s="208"/>
      <c r="AI23" s="208"/>
      <c r="AJ23" s="208"/>
      <c r="AK23" s="208"/>
      <c r="AL23" s="208"/>
      <c r="AM23" s="208"/>
      <c r="AN23" s="208"/>
      <c r="AO23" s="208"/>
      <c r="AP23" s="208"/>
      <c r="AQ23" s="208"/>
      <c r="AR23" s="208"/>
      <c r="AS23" s="208"/>
      <c r="AT23" s="208"/>
      <c r="AU23" s="208"/>
      <c r="AV23" s="208"/>
      <c r="AW23" s="208"/>
      <c r="AX23" s="208"/>
      <c r="AY23" s="208"/>
      <c r="AZ23" s="208"/>
      <c r="BA23" s="208"/>
    </row>
    <row r="24" spans="1:53" ht="15" customHeight="1" x14ac:dyDescent="0.75">
      <c r="A24" s="212" t="s">
        <v>361</v>
      </c>
      <c r="B24" s="281" t="s">
        <v>362</v>
      </c>
      <c r="C24" s="286">
        <v>5.7756210000000001</v>
      </c>
      <c r="D24" s="286">
        <v>5.7756480000000003</v>
      </c>
      <c r="E24" s="286">
        <v>5.7760829999999999</v>
      </c>
      <c r="F24" s="286">
        <v>5.7760619999999996</v>
      </c>
      <c r="G24" s="286">
        <v>5.7764670000000002</v>
      </c>
      <c r="H24" s="286">
        <v>5.7772180000000004</v>
      </c>
      <c r="I24" s="286">
        <v>5.776948</v>
      </c>
      <c r="J24" s="286">
        <v>5.7769529999999998</v>
      </c>
      <c r="K24" s="286">
        <v>5.7767980000000003</v>
      </c>
      <c r="L24" s="286">
        <v>5.7769740000000001</v>
      </c>
      <c r="M24" s="286">
        <v>5.7768980000000001</v>
      </c>
      <c r="N24" s="286">
        <v>5.7770099999999998</v>
      </c>
      <c r="O24" s="286">
        <v>5.7768050000000004</v>
      </c>
      <c r="P24" s="286">
        <v>5.7769560000000002</v>
      </c>
      <c r="Q24" s="286">
        <v>5.7768389999999998</v>
      </c>
      <c r="R24" s="286">
        <v>5.7768620000000004</v>
      </c>
      <c r="S24" s="286">
        <v>5.7767480000000004</v>
      </c>
      <c r="T24" s="286">
        <v>5.7767109999999997</v>
      </c>
      <c r="U24" s="286">
        <v>5.7766539999999997</v>
      </c>
      <c r="V24" s="286">
        <v>5.7766140000000004</v>
      </c>
      <c r="W24" s="286">
        <v>5.7766320000000002</v>
      </c>
      <c r="X24" s="286">
        <v>5.7766310000000001</v>
      </c>
      <c r="Y24" s="286">
        <v>5.7765519999999997</v>
      </c>
      <c r="Z24" s="286">
        <v>5.7765940000000002</v>
      </c>
      <c r="AA24" s="286">
        <v>5.7764090000000001</v>
      </c>
      <c r="AB24" s="286">
        <v>5.7762830000000003</v>
      </c>
      <c r="AC24" s="286">
        <v>5.7763799999999996</v>
      </c>
      <c r="AD24" s="286">
        <v>5.7763859999999996</v>
      </c>
      <c r="AE24" s="286">
        <v>5.7762339999999996</v>
      </c>
      <c r="AF24" s="283">
        <v>3.9999999999999998E-6</v>
      </c>
      <c r="AG24" s="208"/>
      <c r="AH24" s="208"/>
      <c r="AI24" s="208"/>
      <c r="AJ24" s="208"/>
      <c r="AK24" s="208"/>
      <c r="AL24" s="208"/>
      <c r="AM24" s="208"/>
      <c r="AN24" s="208"/>
      <c r="AO24" s="208"/>
      <c r="AP24" s="208"/>
      <c r="AQ24" s="208"/>
      <c r="AR24" s="208"/>
      <c r="AS24" s="208"/>
      <c r="AT24" s="208"/>
      <c r="AU24" s="208"/>
      <c r="AV24" s="208"/>
      <c r="AW24" s="208"/>
      <c r="AX24" s="208"/>
      <c r="AY24" s="208"/>
      <c r="AZ24" s="208"/>
      <c r="BA24" s="208"/>
    </row>
    <row r="25" spans="1:53" ht="15" customHeight="1" x14ac:dyDescent="0.75">
      <c r="A25" s="212" t="s">
        <v>363</v>
      </c>
      <c r="B25" s="281" t="s">
        <v>364</v>
      </c>
      <c r="C25" s="286">
        <v>5.7756210000000001</v>
      </c>
      <c r="D25" s="286">
        <v>5.7756480000000003</v>
      </c>
      <c r="E25" s="286">
        <v>5.7760829999999999</v>
      </c>
      <c r="F25" s="286">
        <v>5.7760619999999996</v>
      </c>
      <c r="G25" s="286">
        <v>5.7764670000000002</v>
      </c>
      <c r="H25" s="286">
        <v>5.7772180000000004</v>
      </c>
      <c r="I25" s="286">
        <v>5.776948</v>
      </c>
      <c r="J25" s="286">
        <v>5.7769529999999998</v>
      </c>
      <c r="K25" s="286">
        <v>5.7767989999999996</v>
      </c>
      <c r="L25" s="286">
        <v>5.7769740000000001</v>
      </c>
      <c r="M25" s="286">
        <v>5.7768990000000002</v>
      </c>
      <c r="N25" s="286">
        <v>5.7770099999999998</v>
      </c>
      <c r="O25" s="286">
        <v>5.7768050000000004</v>
      </c>
      <c r="P25" s="286">
        <v>5.7769560000000002</v>
      </c>
      <c r="Q25" s="286">
        <v>5.7768379999999997</v>
      </c>
      <c r="R25" s="286">
        <v>5.7768620000000004</v>
      </c>
      <c r="S25" s="286">
        <v>5.7767480000000004</v>
      </c>
      <c r="T25" s="286">
        <v>5.7767109999999997</v>
      </c>
      <c r="U25" s="286">
        <v>5.7766539999999997</v>
      </c>
      <c r="V25" s="286">
        <v>5.7766140000000004</v>
      </c>
      <c r="W25" s="286">
        <v>5.7766320000000002</v>
      </c>
      <c r="X25" s="286">
        <v>5.7766310000000001</v>
      </c>
      <c r="Y25" s="286">
        <v>5.7765519999999997</v>
      </c>
      <c r="Z25" s="286">
        <v>5.7765940000000002</v>
      </c>
      <c r="AA25" s="286">
        <v>5.7764090000000001</v>
      </c>
      <c r="AB25" s="286">
        <v>5.7762840000000004</v>
      </c>
      <c r="AC25" s="286">
        <v>5.7763799999999996</v>
      </c>
      <c r="AD25" s="286">
        <v>5.7763859999999996</v>
      </c>
      <c r="AE25" s="286">
        <v>5.7762339999999996</v>
      </c>
      <c r="AF25" s="283">
        <v>3.9999999999999998E-6</v>
      </c>
      <c r="AG25" s="208"/>
      <c r="AH25" s="208"/>
      <c r="AI25" s="208"/>
      <c r="AJ25" s="208"/>
      <c r="AK25" s="208"/>
      <c r="AL25" s="208"/>
      <c r="AM25" s="208"/>
      <c r="AN25" s="208"/>
      <c r="AO25" s="208"/>
      <c r="AP25" s="208"/>
      <c r="AQ25" s="208"/>
      <c r="AR25" s="208"/>
      <c r="AS25" s="208"/>
      <c r="AT25" s="208"/>
      <c r="AU25" s="208"/>
      <c r="AV25" s="208"/>
      <c r="AW25" s="208"/>
      <c r="AX25" s="208"/>
      <c r="AY25" s="208"/>
      <c r="AZ25" s="208"/>
      <c r="BA25" s="208"/>
    </row>
    <row r="26" spans="1:53" ht="15" customHeight="1" x14ac:dyDescent="0.75">
      <c r="A26" s="212" t="s">
        <v>365</v>
      </c>
      <c r="B26" s="281" t="s">
        <v>366</v>
      </c>
      <c r="C26" s="286">
        <v>5.8170000000000002</v>
      </c>
      <c r="D26" s="286">
        <v>5.8170000000000002</v>
      </c>
      <c r="E26" s="286">
        <v>5.8170000000000002</v>
      </c>
      <c r="F26" s="286">
        <v>5.8170000000000002</v>
      </c>
      <c r="G26" s="286">
        <v>5.8170000000000002</v>
      </c>
      <c r="H26" s="286">
        <v>5.8170000000000002</v>
      </c>
      <c r="I26" s="286">
        <v>5.8170000000000002</v>
      </c>
      <c r="J26" s="286">
        <v>5.8170000000000002</v>
      </c>
      <c r="K26" s="286">
        <v>5.8170000000000002</v>
      </c>
      <c r="L26" s="286">
        <v>5.8170000000000002</v>
      </c>
      <c r="M26" s="286">
        <v>5.8170000000000002</v>
      </c>
      <c r="N26" s="286">
        <v>5.8170000000000002</v>
      </c>
      <c r="O26" s="286">
        <v>5.8170000000000002</v>
      </c>
      <c r="P26" s="286">
        <v>5.8170000000000002</v>
      </c>
      <c r="Q26" s="286">
        <v>5.8170000000000002</v>
      </c>
      <c r="R26" s="286">
        <v>5.8170000000000002</v>
      </c>
      <c r="S26" s="286">
        <v>5.8170000000000002</v>
      </c>
      <c r="T26" s="286">
        <v>5.8170000000000002</v>
      </c>
      <c r="U26" s="286">
        <v>5.8170000000000002</v>
      </c>
      <c r="V26" s="286">
        <v>5.8170000000000002</v>
      </c>
      <c r="W26" s="286">
        <v>5.8170000000000002</v>
      </c>
      <c r="X26" s="286">
        <v>5.8170000000000002</v>
      </c>
      <c r="Y26" s="286">
        <v>5.8170000000000002</v>
      </c>
      <c r="Z26" s="286">
        <v>5.8170000000000002</v>
      </c>
      <c r="AA26" s="286">
        <v>5.8170000000000002</v>
      </c>
      <c r="AB26" s="286">
        <v>5.8170000000000002</v>
      </c>
      <c r="AC26" s="286">
        <v>5.8170000000000002</v>
      </c>
      <c r="AD26" s="286">
        <v>5.8170000000000002</v>
      </c>
      <c r="AE26" s="286">
        <v>5.8170000000000002</v>
      </c>
      <c r="AF26" s="283">
        <v>0</v>
      </c>
      <c r="AG26" s="208"/>
      <c r="AH26" s="208"/>
      <c r="AI26" s="208"/>
      <c r="AJ26" s="208"/>
      <c r="AK26" s="208"/>
      <c r="AL26" s="208"/>
      <c r="AM26" s="208"/>
      <c r="AN26" s="208"/>
      <c r="AO26" s="208"/>
      <c r="AP26" s="208"/>
      <c r="AQ26" s="208"/>
      <c r="AR26" s="208"/>
      <c r="AS26" s="208"/>
      <c r="AT26" s="208"/>
      <c r="AU26" s="208"/>
      <c r="AV26" s="208"/>
      <c r="AW26" s="208"/>
      <c r="AX26" s="208"/>
      <c r="AY26" s="208"/>
      <c r="AZ26" s="208"/>
      <c r="BA26" s="208"/>
    </row>
    <row r="27" spans="1:53" ht="15" customHeight="1" x14ac:dyDescent="0.75">
      <c r="A27" s="207"/>
      <c r="B27" s="281" t="s">
        <v>367</v>
      </c>
      <c r="C27" s="286">
        <v>5.77</v>
      </c>
      <c r="D27" s="286">
        <v>5.77</v>
      </c>
      <c r="E27" s="286">
        <v>5.77</v>
      </c>
      <c r="F27" s="286">
        <v>5.77</v>
      </c>
      <c r="G27" s="286">
        <v>5.77</v>
      </c>
      <c r="H27" s="286">
        <v>5.77</v>
      </c>
      <c r="I27" s="286">
        <v>5.77</v>
      </c>
      <c r="J27" s="286">
        <v>5.77</v>
      </c>
      <c r="K27" s="286">
        <v>5.77</v>
      </c>
      <c r="L27" s="286">
        <v>5.77</v>
      </c>
      <c r="M27" s="286">
        <v>5.77</v>
      </c>
      <c r="N27" s="286">
        <v>5.77</v>
      </c>
      <c r="O27" s="286">
        <v>5.77</v>
      </c>
      <c r="P27" s="286">
        <v>5.77</v>
      </c>
      <c r="Q27" s="286">
        <v>5.77</v>
      </c>
      <c r="R27" s="286">
        <v>5.77</v>
      </c>
      <c r="S27" s="286">
        <v>5.77</v>
      </c>
      <c r="T27" s="286">
        <v>5.77</v>
      </c>
      <c r="U27" s="286">
        <v>5.77</v>
      </c>
      <c r="V27" s="286">
        <v>5.77</v>
      </c>
      <c r="W27" s="286">
        <v>5.77</v>
      </c>
      <c r="X27" s="286">
        <v>5.77</v>
      </c>
      <c r="Y27" s="286">
        <v>5.77</v>
      </c>
      <c r="Z27" s="286">
        <v>5.77</v>
      </c>
      <c r="AA27" s="286">
        <v>5.77</v>
      </c>
      <c r="AB27" s="286">
        <v>5.77</v>
      </c>
      <c r="AC27" s="286">
        <v>5.77</v>
      </c>
      <c r="AD27" s="286">
        <v>5.77</v>
      </c>
      <c r="AE27" s="286">
        <v>5.77</v>
      </c>
      <c r="AF27" s="283">
        <v>0</v>
      </c>
      <c r="AG27" s="208"/>
      <c r="AH27" s="208"/>
      <c r="AI27" s="208"/>
      <c r="AJ27" s="208"/>
      <c r="AK27" s="208"/>
      <c r="AL27" s="208"/>
      <c r="AM27" s="208"/>
      <c r="AN27" s="208"/>
      <c r="AO27" s="208"/>
      <c r="AP27" s="208"/>
      <c r="AQ27" s="208"/>
      <c r="AR27" s="208"/>
      <c r="AS27" s="208"/>
      <c r="AT27" s="208"/>
      <c r="AU27" s="208"/>
      <c r="AV27" s="208"/>
      <c r="AW27" s="208"/>
      <c r="AX27" s="208"/>
      <c r="AY27" s="208"/>
      <c r="AZ27" s="208"/>
      <c r="BA27" s="208"/>
    </row>
    <row r="28" spans="1:53" ht="15" customHeight="1" x14ac:dyDescent="0.75">
      <c r="A28" s="207"/>
      <c r="B28" s="281" t="s">
        <v>368</v>
      </c>
      <c r="C28" s="286">
        <v>3.5630000000000002</v>
      </c>
      <c r="D28" s="286">
        <v>3.5630000000000002</v>
      </c>
      <c r="E28" s="286">
        <v>3.5630000000000002</v>
      </c>
      <c r="F28" s="286">
        <v>3.5630000000000002</v>
      </c>
      <c r="G28" s="286">
        <v>3.5630000000000002</v>
      </c>
      <c r="H28" s="286">
        <v>3.5630000000000002</v>
      </c>
      <c r="I28" s="286">
        <v>3.5630000000000002</v>
      </c>
      <c r="J28" s="286">
        <v>3.5630000000000002</v>
      </c>
      <c r="K28" s="286">
        <v>3.5630000000000002</v>
      </c>
      <c r="L28" s="286">
        <v>3.5630000000000002</v>
      </c>
      <c r="M28" s="286">
        <v>3.5630000000000002</v>
      </c>
      <c r="N28" s="286">
        <v>3.5630000000000002</v>
      </c>
      <c r="O28" s="286">
        <v>3.5630000000000002</v>
      </c>
      <c r="P28" s="286">
        <v>3.5630000000000002</v>
      </c>
      <c r="Q28" s="286">
        <v>3.5630000000000002</v>
      </c>
      <c r="R28" s="286">
        <v>3.5630000000000002</v>
      </c>
      <c r="S28" s="286">
        <v>3.5630000000000002</v>
      </c>
      <c r="T28" s="286">
        <v>3.5630000000000002</v>
      </c>
      <c r="U28" s="286">
        <v>3.5630000000000002</v>
      </c>
      <c r="V28" s="286">
        <v>3.5630000000000002</v>
      </c>
      <c r="W28" s="286">
        <v>3.5630000000000002</v>
      </c>
      <c r="X28" s="286">
        <v>3.5630000000000002</v>
      </c>
      <c r="Y28" s="286">
        <v>3.5630000000000002</v>
      </c>
      <c r="Z28" s="286">
        <v>3.5630000000000002</v>
      </c>
      <c r="AA28" s="286">
        <v>3.5630000000000002</v>
      </c>
      <c r="AB28" s="286">
        <v>3.5630000000000002</v>
      </c>
      <c r="AC28" s="286">
        <v>3.5630000000000002</v>
      </c>
      <c r="AD28" s="286">
        <v>3.5630000000000002</v>
      </c>
      <c r="AE28" s="286">
        <v>3.5630000000000002</v>
      </c>
      <c r="AF28" s="283">
        <v>0</v>
      </c>
      <c r="AG28" s="208"/>
      <c r="AH28" s="208"/>
      <c r="AI28" s="208"/>
      <c r="AJ28" s="208"/>
      <c r="AK28" s="208"/>
      <c r="AL28" s="208"/>
      <c r="AM28" s="208"/>
      <c r="AN28" s="208"/>
      <c r="AO28" s="208"/>
      <c r="AP28" s="208"/>
      <c r="AQ28" s="208"/>
      <c r="AR28" s="208"/>
      <c r="AS28" s="208"/>
      <c r="AT28" s="208"/>
      <c r="AU28" s="208"/>
      <c r="AV28" s="208"/>
      <c r="AW28" s="208"/>
      <c r="AX28" s="208"/>
      <c r="AY28" s="208"/>
      <c r="AZ28" s="208"/>
      <c r="BA28" s="208"/>
    </row>
    <row r="29" spans="1:53" ht="15" customHeight="1" x14ac:dyDescent="0.75">
      <c r="A29" s="212" t="s">
        <v>369</v>
      </c>
      <c r="B29" s="281" t="s">
        <v>370</v>
      </c>
      <c r="C29" s="286">
        <v>3.9944130000000002</v>
      </c>
      <c r="D29" s="286">
        <v>3.9944130000000002</v>
      </c>
      <c r="E29" s="286">
        <v>3.9944130000000002</v>
      </c>
      <c r="F29" s="286">
        <v>3.9944130000000002</v>
      </c>
      <c r="G29" s="286">
        <v>3.9944130000000002</v>
      </c>
      <c r="H29" s="286">
        <v>3.9944130000000002</v>
      </c>
      <c r="I29" s="286">
        <v>3.9944130000000002</v>
      </c>
      <c r="J29" s="286">
        <v>3.9944130000000002</v>
      </c>
      <c r="K29" s="286">
        <v>3.9944130000000002</v>
      </c>
      <c r="L29" s="286">
        <v>3.9944130000000002</v>
      </c>
      <c r="M29" s="286">
        <v>3.9944130000000002</v>
      </c>
      <c r="N29" s="286">
        <v>3.9944130000000002</v>
      </c>
      <c r="O29" s="286">
        <v>3.9944130000000002</v>
      </c>
      <c r="P29" s="286">
        <v>3.9944130000000002</v>
      </c>
      <c r="Q29" s="286">
        <v>3.9944130000000002</v>
      </c>
      <c r="R29" s="286">
        <v>3.9944130000000002</v>
      </c>
      <c r="S29" s="286">
        <v>3.9944130000000002</v>
      </c>
      <c r="T29" s="286">
        <v>3.9944130000000002</v>
      </c>
      <c r="U29" s="286">
        <v>3.9944130000000002</v>
      </c>
      <c r="V29" s="286">
        <v>3.9944130000000002</v>
      </c>
      <c r="W29" s="286">
        <v>3.9944130000000002</v>
      </c>
      <c r="X29" s="286">
        <v>3.9944130000000002</v>
      </c>
      <c r="Y29" s="286">
        <v>3.9944130000000002</v>
      </c>
      <c r="Z29" s="286">
        <v>3.9944130000000002</v>
      </c>
      <c r="AA29" s="286">
        <v>3.9944130000000002</v>
      </c>
      <c r="AB29" s="286">
        <v>3.9944130000000002</v>
      </c>
      <c r="AC29" s="286">
        <v>3.9944130000000002</v>
      </c>
      <c r="AD29" s="286">
        <v>3.9944130000000002</v>
      </c>
      <c r="AE29" s="286">
        <v>3.9944130000000002</v>
      </c>
      <c r="AF29" s="283">
        <v>0</v>
      </c>
      <c r="AG29" s="208"/>
      <c r="AH29" s="208"/>
      <c r="AI29" s="208"/>
      <c r="AJ29" s="208"/>
      <c r="AK29" s="208"/>
      <c r="AL29" s="208"/>
      <c r="AM29" s="208"/>
      <c r="AN29" s="208"/>
      <c r="AO29" s="208"/>
      <c r="AP29" s="208"/>
      <c r="AQ29" s="208"/>
      <c r="AR29" s="208"/>
      <c r="AS29" s="208"/>
      <c r="AT29" s="208"/>
      <c r="AU29" s="208"/>
      <c r="AV29" s="208"/>
      <c r="AW29" s="208"/>
      <c r="AX29" s="208"/>
      <c r="AY29" s="208"/>
      <c r="AZ29" s="208"/>
      <c r="BA29" s="208"/>
    </row>
    <row r="30" spans="1:53" ht="15" customHeight="1" x14ac:dyDescent="0.75">
      <c r="A30" s="212" t="s">
        <v>371</v>
      </c>
      <c r="B30" s="281" t="s">
        <v>372</v>
      </c>
      <c r="C30" s="286">
        <v>5.67</v>
      </c>
      <c r="D30" s="286">
        <v>5.67</v>
      </c>
      <c r="E30" s="286">
        <v>5.67</v>
      </c>
      <c r="F30" s="286">
        <v>5.67</v>
      </c>
      <c r="G30" s="286">
        <v>5.67</v>
      </c>
      <c r="H30" s="286">
        <v>5.67</v>
      </c>
      <c r="I30" s="286">
        <v>5.67</v>
      </c>
      <c r="J30" s="286">
        <v>5.67</v>
      </c>
      <c r="K30" s="286">
        <v>5.67</v>
      </c>
      <c r="L30" s="286">
        <v>5.67</v>
      </c>
      <c r="M30" s="286">
        <v>5.67</v>
      </c>
      <c r="N30" s="286">
        <v>5.67</v>
      </c>
      <c r="O30" s="286">
        <v>5.67</v>
      </c>
      <c r="P30" s="286">
        <v>5.67</v>
      </c>
      <c r="Q30" s="286">
        <v>5.67</v>
      </c>
      <c r="R30" s="286">
        <v>5.67</v>
      </c>
      <c r="S30" s="286">
        <v>5.67</v>
      </c>
      <c r="T30" s="286">
        <v>5.67</v>
      </c>
      <c r="U30" s="286">
        <v>5.67</v>
      </c>
      <c r="V30" s="286">
        <v>5.67</v>
      </c>
      <c r="W30" s="286">
        <v>5.67</v>
      </c>
      <c r="X30" s="286">
        <v>5.67</v>
      </c>
      <c r="Y30" s="286">
        <v>5.67</v>
      </c>
      <c r="Z30" s="286">
        <v>5.67</v>
      </c>
      <c r="AA30" s="286">
        <v>5.67</v>
      </c>
      <c r="AB30" s="286">
        <v>5.67</v>
      </c>
      <c r="AC30" s="286">
        <v>5.67</v>
      </c>
      <c r="AD30" s="286">
        <v>5.67</v>
      </c>
      <c r="AE30" s="286">
        <v>5.67</v>
      </c>
      <c r="AF30" s="283">
        <v>0</v>
      </c>
      <c r="AG30" s="208"/>
      <c r="AH30" s="208"/>
      <c r="AI30" s="208"/>
      <c r="AJ30" s="208"/>
      <c r="AK30" s="208"/>
      <c r="AL30" s="208"/>
      <c r="AM30" s="208"/>
      <c r="AN30" s="208"/>
      <c r="AO30" s="208"/>
      <c r="AP30" s="208"/>
      <c r="AQ30" s="208"/>
      <c r="AR30" s="208"/>
      <c r="AS30" s="208"/>
      <c r="AT30" s="208"/>
      <c r="AU30" s="208"/>
      <c r="AV30" s="208"/>
      <c r="AW30" s="208"/>
      <c r="AX30" s="208"/>
      <c r="AY30" s="208"/>
      <c r="AZ30" s="208"/>
      <c r="BA30" s="208"/>
    </row>
    <row r="31" spans="1:53" ht="15" customHeight="1" x14ac:dyDescent="0.75">
      <c r="A31" s="212" t="s">
        <v>373</v>
      </c>
      <c r="B31" s="281" t="s">
        <v>374</v>
      </c>
      <c r="C31" s="286">
        <v>6.0650000000000004</v>
      </c>
      <c r="D31" s="286">
        <v>6.0650000000000004</v>
      </c>
      <c r="E31" s="286">
        <v>6.0650000000000004</v>
      </c>
      <c r="F31" s="286">
        <v>6.0650000000000004</v>
      </c>
      <c r="G31" s="286">
        <v>6.0650000000000004</v>
      </c>
      <c r="H31" s="286">
        <v>6.0650000000000004</v>
      </c>
      <c r="I31" s="286">
        <v>6.0650000000000004</v>
      </c>
      <c r="J31" s="286">
        <v>6.0650000000000004</v>
      </c>
      <c r="K31" s="286">
        <v>6.0650000000000004</v>
      </c>
      <c r="L31" s="286">
        <v>6.0650000000000004</v>
      </c>
      <c r="M31" s="286">
        <v>6.0650000000000004</v>
      </c>
      <c r="N31" s="286">
        <v>6.0650000000000004</v>
      </c>
      <c r="O31" s="286">
        <v>6.0650000000000004</v>
      </c>
      <c r="P31" s="286">
        <v>6.0650000000000004</v>
      </c>
      <c r="Q31" s="286">
        <v>6.0650000000000004</v>
      </c>
      <c r="R31" s="286">
        <v>6.0650000000000004</v>
      </c>
      <c r="S31" s="286">
        <v>6.0650000000000004</v>
      </c>
      <c r="T31" s="286">
        <v>6.0650000000000004</v>
      </c>
      <c r="U31" s="286">
        <v>6.0650000000000004</v>
      </c>
      <c r="V31" s="286">
        <v>6.0650000000000004</v>
      </c>
      <c r="W31" s="286">
        <v>6.0650000000000004</v>
      </c>
      <c r="X31" s="286">
        <v>6.0650000000000004</v>
      </c>
      <c r="Y31" s="286">
        <v>6.0650000000000004</v>
      </c>
      <c r="Z31" s="286">
        <v>6.0650000000000004</v>
      </c>
      <c r="AA31" s="286">
        <v>6.0650000000000004</v>
      </c>
      <c r="AB31" s="286">
        <v>6.0650000000000004</v>
      </c>
      <c r="AC31" s="286">
        <v>6.0650000000000004</v>
      </c>
      <c r="AD31" s="286">
        <v>6.0650000000000004</v>
      </c>
      <c r="AE31" s="286">
        <v>6.0650000000000004</v>
      </c>
      <c r="AF31" s="283">
        <v>0</v>
      </c>
      <c r="AG31" s="208"/>
      <c r="AH31" s="208"/>
      <c r="AI31" s="208"/>
      <c r="AJ31" s="208"/>
      <c r="AK31" s="208"/>
      <c r="AL31" s="208"/>
      <c r="AM31" s="208"/>
      <c r="AN31" s="208"/>
      <c r="AO31" s="208"/>
      <c r="AP31" s="208"/>
      <c r="AQ31" s="208"/>
      <c r="AR31" s="208"/>
      <c r="AS31" s="208"/>
      <c r="AT31" s="208"/>
      <c r="AU31" s="208"/>
      <c r="AV31" s="208"/>
      <c r="AW31" s="208"/>
      <c r="AX31" s="208"/>
      <c r="AY31" s="208"/>
      <c r="AZ31" s="208"/>
      <c r="BA31" s="208"/>
    </row>
    <row r="32" spans="1:53" ht="15" customHeight="1" x14ac:dyDescent="0.75">
      <c r="A32" s="212" t="s">
        <v>375</v>
      </c>
      <c r="B32" s="281" t="s">
        <v>376</v>
      </c>
      <c r="C32" s="286">
        <v>5.0517110000000001</v>
      </c>
      <c r="D32" s="286">
        <v>5.0505360000000001</v>
      </c>
      <c r="E32" s="286">
        <v>5.0493629999999996</v>
      </c>
      <c r="F32" s="286">
        <v>5.0481809999999996</v>
      </c>
      <c r="G32" s="286">
        <v>5.0469949999999999</v>
      </c>
      <c r="H32" s="286">
        <v>5.0458059999999998</v>
      </c>
      <c r="I32" s="286">
        <v>5.0446140000000002</v>
      </c>
      <c r="J32" s="286">
        <v>5.0434169999999998</v>
      </c>
      <c r="K32" s="286">
        <v>5.0422159999999998</v>
      </c>
      <c r="L32" s="286">
        <v>5.0410120000000003</v>
      </c>
      <c r="M32" s="286">
        <v>5.0398050000000003</v>
      </c>
      <c r="N32" s="286">
        <v>5.0385939999999998</v>
      </c>
      <c r="O32" s="286">
        <v>5.0373809999999999</v>
      </c>
      <c r="P32" s="286">
        <v>5.0361640000000003</v>
      </c>
      <c r="Q32" s="286">
        <v>5.0351299999999997</v>
      </c>
      <c r="R32" s="286">
        <v>5.034097</v>
      </c>
      <c r="S32" s="286">
        <v>5.0331010000000003</v>
      </c>
      <c r="T32" s="286">
        <v>5.0321129999999998</v>
      </c>
      <c r="U32" s="286">
        <v>5.0311250000000003</v>
      </c>
      <c r="V32" s="286">
        <v>5.0302259999999999</v>
      </c>
      <c r="W32" s="286">
        <v>5.0293169999999998</v>
      </c>
      <c r="X32" s="286">
        <v>5.0284149999999999</v>
      </c>
      <c r="Y32" s="286">
        <v>5.02752</v>
      </c>
      <c r="Z32" s="286">
        <v>5.0266299999999999</v>
      </c>
      <c r="AA32" s="286">
        <v>5.0257459999999998</v>
      </c>
      <c r="AB32" s="286">
        <v>5.0248619999999997</v>
      </c>
      <c r="AC32" s="286">
        <v>5.0239739999999999</v>
      </c>
      <c r="AD32" s="286">
        <v>5.0230839999999999</v>
      </c>
      <c r="AE32" s="286">
        <v>5.0221999999999998</v>
      </c>
      <c r="AF32" s="283">
        <v>-2.0900000000000001E-4</v>
      </c>
      <c r="AG32" s="208"/>
      <c r="AH32" s="208"/>
      <c r="AI32" s="208"/>
      <c r="AJ32" s="208"/>
      <c r="AK32" s="208"/>
      <c r="AL32" s="208"/>
      <c r="AM32" s="208"/>
      <c r="AN32" s="208"/>
      <c r="AO32" s="208"/>
      <c r="AP32" s="208"/>
      <c r="AQ32" s="208"/>
      <c r="AR32" s="208"/>
      <c r="AS32" s="208"/>
      <c r="AT32" s="208"/>
      <c r="AU32" s="208"/>
      <c r="AV32" s="208"/>
      <c r="AW32" s="208"/>
      <c r="AX32" s="208"/>
      <c r="AY32" s="208"/>
      <c r="AZ32" s="208"/>
      <c r="BA32" s="208"/>
    </row>
    <row r="33" spans="1:53" ht="15" customHeight="1" x14ac:dyDescent="0.75">
      <c r="A33" s="212" t="s">
        <v>377</v>
      </c>
      <c r="B33" s="281" t="s">
        <v>378</v>
      </c>
      <c r="C33" s="286">
        <v>5.0512389999999998</v>
      </c>
      <c r="D33" s="286">
        <v>5.0499520000000002</v>
      </c>
      <c r="E33" s="286">
        <v>5.0486649999999997</v>
      </c>
      <c r="F33" s="286">
        <v>5.0473749999999997</v>
      </c>
      <c r="G33" s="286">
        <v>5.0460849999999997</v>
      </c>
      <c r="H33" s="286">
        <v>5.0447939999999996</v>
      </c>
      <c r="I33" s="286">
        <v>5.0435020000000002</v>
      </c>
      <c r="J33" s="286">
        <v>5.0422089999999997</v>
      </c>
      <c r="K33" s="286">
        <v>5.0409139999999999</v>
      </c>
      <c r="L33" s="286">
        <v>5.0396179999999999</v>
      </c>
      <c r="M33" s="286">
        <v>5.038322</v>
      </c>
      <c r="N33" s="286">
        <v>5.037026</v>
      </c>
      <c r="O33" s="286">
        <v>5.03573</v>
      </c>
      <c r="P33" s="286">
        <v>5.0344340000000001</v>
      </c>
      <c r="Q33" s="286">
        <v>5.0333230000000002</v>
      </c>
      <c r="R33" s="286">
        <v>5.0322180000000003</v>
      </c>
      <c r="S33" s="286">
        <v>5.0311500000000002</v>
      </c>
      <c r="T33" s="286">
        <v>5.0300909999999996</v>
      </c>
      <c r="U33" s="286">
        <v>5.0290319999999999</v>
      </c>
      <c r="V33" s="286">
        <v>5.0280829999999996</v>
      </c>
      <c r="W33" s="286">
        <v>5.0271239999999997</v>
      </c>
      <c r="X33" s="286">
        <v>5.0261709999999997</v>
      </c>
      <c r="Y33" s="286">
        <v>5.025226</v>
      </c>
      <c r="Z33" s="286">
        <v>5.0242849999999999</v>
      </c>
      <c r="AA33" s="286">
        <v>5.0233509999999999</v>
      </c>
      <c r="AB33" s="286">
        <v>5.0224169999999999</v>
      </c>
      <c r="AC33" s="286">
        <v>5.0214790000000002</v>
      </c>
      <c r="AD33" s="286">
        <v>5.0205390000000003</v>
      </c>
      <c r="AE33" s="286">
        <v>5.0196059999999996</v>
      </c>
      <c r="AF33" s="283">
        <v>-2.24E-4</v>
      </c>
      <c r="AG33" s="208"/>
      <c r="AH33" s="208"/>
      <c r="AI33" s="208"/>
      <c r="AJ33" s="208"/>
      <c r="AK33" s="208"/>
      <c r="AL33" s="208"/>
      <c r="AM33" s="208"/>
      <c r="AN33" s="208"/>
      <c r="AO33" s="208"/>
      <c r="AP33" s="208"/>
      <c r="AQ33" s="208"/>
      <c r="AR33" s="208"/>
      <c r="AS33" s="208"/>
      <c r="AT33" s="208"/>
      <c r="AU33" s="208"/>
      <c r="AV33" s="208"/>
      <c r="AW33" s="208"/>
      <c r="AX33" s="208"/>
      <c r="AY33" s="208"/>
      <c r="AZ33" s="208"/>
      <c r="BA33" s="208"/>
    </row>
    <row r="34" spans="1:53" ht="15" customHeight="1" x14ac:dyDescent="0.75">
      <c r="A34" s="212" t="s">
        <v>379</v>
      </c>
      <c r="B34" s="281" t="s">
        <v>380</v>
      </c>
      <c r="C34" s="286">
        <v>5.0509560000000002</v>
      </c>
      <c r="D34" s="286">
        <v>5.0496100000000004</v>
      </c>
      <c r="E34" s="286">
        <v>5.0482639999999996</v>
      </c>
      <c r="F34" s="286">
        <v>5.0469179999999998</v>
      </c>
      <c r="G34" s="286">
        <v>5.0455740000000002</v>
      </c>
      <c r="H34" s="286">
        <v>5.0442299999999998</v>
      </c>
      <c r="I34" s="286">
        <v>5.0428879999999996</v>
      </c>
      <c r="J34" s="286">
        <v>5.0415450000000002</v>
      </c>
      <c r="K34" s="286">
        <v>5.040203</v>
      </c>
      <c r="L34" s="286">
        <v>5.038862</v>
      </c>
      <c r="M34" s="286">
        <v>5.0375209999999999</v>
      </c>
      <c r="N34" s="286">
        <v>5.0361820000000002</v>
      </c>
      <c r="O34" s="286">
        <v>5.0348439999999997</v>
      </c>
      <c r="P34" s="286">
        <v>5.033506</v>
      </c>
      <c r="Q34" s="286">
        <v>5.032413</v>
      </c>
      <c r="R34" s="286">
        <v>5.031326</v>
      </c>
      <c r="S34" s="286">
        <v>5.030284</v>
      </c>
      <c r="T34" s="286">
        <v>5.0292519999999996</v>
      </c>
      <c r="U34" s="286">
        <v>5.028219</v>
      </c>
      <c r="V34" s="286">
        <v>5.0272449999999997</v>
      </c>
      <c r="W34" s="286">
        <v>5.0262560000000001</v>
      </c>
      <c r="X34" s="286">
        <v>5.0252730000000003</v>
      </c>
      <c r="Y34" s="286">
        <v>5.0242979999999999</v>
      </c>
      <c r="Z34" s="286">
        <v>5.0233290000000004</v>
      </c>
      <c r="AA34" s="286">
        <v>5.022367</v>
      </c>
      <c r="AB34" s="286">
        <v>5.0214040000000004</v>
      </c>
      <c r="AC34" s="286">
        <v>5.0204339999999998</v>
      </c>
      <c r="AD34" s="286">
        <v>5.0194609999999997</v>
      </c>
      <c r="AE34" s="286">
        <v>5.0184939999999996</v>
      </c>
      <c r="AF34" s="283">
        <v>-2.3000000000000001E-4</v>
      </c>
      <c r="AG34" s="208"/>
      <c r="AH34" s="208"/>
      <c r="AI34" s="208"/>
      <c r="AJ34" s="208"/>
      <c r="AK34" s="208"/>
      <c r="AL34" s="208"/>
      <c r="AM34" s="208"/>
      <c r="AN34" s="208"/>
      <c r="AO34" s="208"/>
      <c r="AP34" s="208"/>
      <c r="AQ34" s="208"/>
      <c r="AR34" s="208"/>
      <c r="AS34" s="208"/>
      <c r="AT34" s="208"/>
      <c r="AU34" s="208"/>
      <c r="AV34" s="208"/>
      <c r="AW34" s="208"/>
      <c r="AX34" s="208"/>
      <c r="AY34" s="208"/>
      <c r="AZ34" s="208"/>
      <c r="BA34" s="208"/>
    </row>
    <row r="35" spans="1:53" ht="14.75" x14ac:dyDescent="0.75">
      <c r="A35" s="212" t="s">
        <v>381</v>
      </c>
      <c r="B35" s="281" t="s">
        <v>382</v>
      </c>
      <c r="C35" s="286">
        <v>5.2222799999999996</v>
      </c>
      <c r="D35" s="286">
        <v>5.2222799999999996</v>
      </c>
      <c r="E35" s="286">
        <v>5.2222799999999996</v>
      </c>
      <c r="F35" s="286">
        <v>5.2222799999999996</v>
      </c>
      <c r="G35" s="286">
        <v>5.2222799999999996</v>
      </c>
      <c r="H35" s="286">
        <v>5.2222799999999996</v>
      </c>
      <c r="I35" s="286">
        <v>5.2222799999999996</v>
      </c>
      <c r="J35" s="286">
        <v>5.2222799999999996</v>
      </c>
      <c r="K35" s="286">
        <v>5.2222799999999996</v>
      </c>
      <c r="L35" s="286">
        <v>5.2222799999999996</v>
      </c>
      <c r="M35" s="286">
        <v>5.2222799999999996</v>
      </c>
      <c r="N35" s="286">
        <v>5.2222799999999996</v>
      </c>
      <c r="O35" s="286">
        <v>5.2222799999999996</v>
      </c>
      <c r="P35" s="286">
        <v>5.2222799999999996</v>
      </c>
      <c r="Q35" s="286">
        <v>5.2222799999999996</v>
      </c>
      <c r="R35" s="286">
        <v>5.2222799999999996</v>
      </c>
      <c r="S35" s="286">
        <v>5.2222799999999996</v>
      </c>
      <c r="T35" s="286">
        <v>5.2222799999999996</v>
      </c>
      <c r="U35" s="286">
        <v>5.2222799999999996</v>
      </c>
      <c r="V35" s="286">
        <v>5.2222799999999996</v>
      </c>
      <c r="W35" s="286">
        <v>5.2222799999999996</v>
      </c>
      <c r="X35" s="286">
        <v>5.2222799999999996</v>
      </c>
      <c r="Y35" s="286">
        <v>5.2222799999999996</v>
      </c>
      <c r="Z35" s="286">
        <v>5.2222799999999996</v>
      </c>
      <c r="AA35" s="286">
        <v>5.2222799999999996</v>
      </c>
      <c r="AB35" s="286">
        <v>5.2222799999999996</v>
      </c>
      <c r="AC35" s="286">
        <v>5.2222799999999996</v>
      </c>
      <c r="AD35" s="286">
        <v>5.2222799999999996</v>
      </c>
      <c r="AE35" s="286">
        <v>5.2222799999999996</v>
      </c>
      <c r="AF35" s="283">
        <v>0</v>
      </c>
      <c r="AG35" s="208"/>
      <c r="AH35" s="208"/>
      <c r="AI35" s="208"/>
      <c r="AJ35" s="208"/>
      <c r="AK35" s="208"/>
      <c r="AL35" s="208"/>
      <c r="AM35" s="208"/>
      <c r="AN35" s="208"/>
      <c r="AO35" s="208"/>
      <c r="AP35" s="208"/>
      <c r="AQ35" s="208"/>
      <c r="AR35" s="208"/>
      <c r="AS35" s="208"/>
      <c r="AT35" s="208"/>
      <c r="AU35" s="208"/>
      <c r="AV35" s="208"/>
      <c r="AW35" s="208"/>
      <c r="AX35" s="208"/>
      <c r="AY35" s="208"/>
      <c r="AZ35" s="208"/>
      <c r="BA35" s="208"/>
    </row>
    <row r="36" spans="1:53" ht="14.75" x14ac:dyDescent="0.75">
      <c r="A36" s="207"/>
      <c r="B36" s="281" t="s">
        <v>383</v>
      </c>
      <c r="C36" s="286">
        <v>5.2222799999999996</v>
      </c>
      <c r="D36" s="286">
        <v>5.2222799999999996</v>
      </c>
      <c r="E36" s="286">
        <v>5.2222799999999996</v>
      </c>
      <c r="F36" s="286">
        <v>5.2222799999999996</v>
      </c>
      <c r="G36" s="286">
        <v>5.2222799999999996</v>
      </c>
      <c r="H36" s="286">
        <v>5.2222799999999996</v>
      </c>
      <c r="I36" s="286">
        <v>5.2222799999999996</v>
      </c>
      <c r="J36" s="286">
        <v>5.2222799999999996</v>
      </c>
      <c r="K36" s="286">
        <v>5.2222799999999996</v>
      </c>
      <c r="L36" s="286">
        <v>5.2222799999999996</v>
      </c>
      <c r="M36" s="286">
        <v>5.2222799999999996</v>
      </c>
      <c r="N36" s="286">
        <v>5.2222799999999996</v>
      </c>
      <c r="O36" s="286">
        <v>5.2222799999999996</v>
      </c>
      <c r="P36" s="286">
        <v>5.2222799999999996</v>
      </c>
      <c r="Q36" s="286">
        <v>5.2222799999999996</v>
      </c>
      <c r="R36" s="286">
        <v>5.2222799999999996</v>
      </c>
      <c r="S36" s="286">
        <v>5.2222799999999996</v>
      </c>
      <c r="T36" s="286">
        <v>5.2222799999999996</v>
      </c>
      <c r="U36" s="286">
        <v>5.2222799999999996</v>
      </c>
      <c r="V36" s="286">
        <v>5.2222799999999996</v>
      </c>
      <c r="W36" s="286">
        <v>5.2222799999999996</v>
      </c>
      <c r="X36" s="286">
        <v>5.2222799999999996</v>
      </c>
      <c r="Y36" s="286">
        <v>5.2222799999999996</v>
      </c>
      <c r="Z36" s="286">
        <v>5.2222799999999996</v>
      </c>
      <c r="AA36" s="286">
        <v>5.2222799999999996</v>
      </c>
      <c r="AB36" s="286">
        <v>5.2222799999999996</v>
      </c>
      <c r="AC36" s="286">
        <v>5.2222799999999996</v>
      </c>
      <c r="AD36" s="286">
        <v>5.2222799999999996</v>
      </c>
      <c r="AE36" s="286">
        <v>5.2222799999999996</v>
      </c>
      <c r="AF36" s="283">
        <v>0</v>
      </c>
      <c r="AG36" s="208"/>
      <c r="AH36" s="208"/>
      <c r="AI36" s="208"/>
      <c r="AJ36" s="208"/>
      <c r="AK36" s="208"/>
      <c r="AL36" s="208"/>
      <c r="AM36" s="208"/>
      <c r="AN36" s="208"/>
      <c r="AO36" s="208"/>
      <c r="AP36" s="208"/>
      <c r="AQ36" s="208"/>
      <c r="AR36" s="208"/>
      <c r="AS36" s="208"/>
      <c r="AT36" s="208"/>
      <c r="AU36" s="208"/>
      <c r="AV36" s="208"/>
      <c r="AW36" s="208"/>
      <c r="AX36" s="208"/>
      <c r="AY36" s="208"/>
      <c r="AZ36" s="208"/>
      <c r="BA36" s="208"/>
    </row>
    <row r="37" spans="1:53" ht="14.75" x14ac:dyDescent="0.75">
      <c r="A37" s="207"/>
      <c r="B37" s="281" t="s">
        <v>384</v>
      </c>
      <c r="C37" s="286">
        <v>4.6379999999999999</v>
      </c>
      <c r="D37" s="286">
        <v>4.6379999999999999</v>
      </c>
      <c r="E37" s="286">
        <v>4.6379999999999999</v>
      </c>
      <c r="F37" s="286">
        <v>4.6379999999999999</v>
      </c>
      <c r="G37" s="286">
        <v>4.6379999999999999</v>
      </c>
      <c r="H37" s="286">
        <v>4.6379999999999999</v>
      </c>
      <c r="I37" s="286">
        <v>4.6379999999999999</v>
      </c>
      <c r="J37" s="286">
        <v>4.6379999999999999</v>
      </c>
      <c r="K37" s="286">
        <v>4.6379999999999999</v>
      </c>
      <c r="L37" s="286">
        <v>4.6379999999999999</v>
      </c>
      <c r="M37" s="286">
        <v>4.6379999999999999</v>
      </c>
      <c r="N37" s="286">
        <v>4.6379999999999999</v>
      </c>
      <c r="O37" s="286">
        <v>4.6379999999999999</v>
      </c>
      <c r="P37" s="286">
        <v>4.6379999999999999</v>
      </c>
      <c r="Q37" s="286">
        <v>4.6379999999999999</v>
      </c>
      <c r="R37" s="286">
        <v>4.6379999999999999</v>
      </c>
      <c r="S37" s="286">
        <v>4.6379999999999999</v>
      </c>
      <c r="T37" s="286">
        <v>4.6379999999999999</v>
      </c>
      <c r="U37" s="286">
        <v>4.6379999999999999</v>
      </c>
      <c r="V37" s="286">
        <v>4.6379999999999999</v>
      </c>
      <c r="W37" s="286">
        <v>4.6379999999999999</v>
      </c>
      <c r="X37" s="286">
        <v>4.6379999999999999</v>
      </c>
      <c r="Y37" s="286">
        <v>4.6379999999999999</v>
      </c>
      <c r="Z37" s="286">
        <v>4.6379999999999999</v>
      </c>
      <c r="AA37" s="286">
        <v>4.6379999999999999</v>
      </c>
      <c r="AB37" s="286">
        <v>4.6379999999999999</v>
      </c>
      <c r="AC37" s="286">
        <v>4.6379999999999999</v>
      </c>
      <c r="AD37" s="286">
        <v>4.6379999999999999</v>
      </c>
      <c r="AE37" s="286">
        <v>4.6379999999999999</v>
      </c>
      <c r="AF37" s="283">
        <v>0</v>
      </c>
      <c r="AG37" s="208"/>
      <c r="AH37" s="208"/>
      <c r="AI37" s="208"/>
      <c r="AJ37" s="208"/>
      <c r="AK37" s="208"/>
      <c r="AL37" s="208"/>
      <c r="AM37" s="208"/>
      <c r="AN37" s="208"/>
      <c r="AO37" s="208"/>
      <c r="AP37" s="208"/>
      <c r="AQ37" s="208"/>
      <c r="AR37" s="208"/>
      <c r="AS37" s="208"/>
      <c r="AT37" s="208"/>
      <c r="AU37" s="208"/>
      <c r="AV37" s="208"/>
      <c r="AW37" s="208"/>
      <c r="AX37" s="208"/>
      <c r="AY37" s="208"/>
      <c r="AZ37" s="208"/>
      <c r="BA37" s="208"/>
    </row>
    <row r="38" spans="1:53" ht="14.75" x14ac:dyDescent="0.75">
      <c r="A38" s="212" t="s">
        <v>385</v>
      </c>
      <c r="B38" s="281" t="s">
        <v>386</v>
      </c>
      <c r="C38" s="286">
        <v>5.8</v>
      </c>
      <c r="D38" s="286">
        <v>5.8</v>
      </c>
      <c r="E38" s="286">
        <v>5.8</v>
      </c>
      <c r="F38" s="286">
        <v>5.8</v>
      </c>
      <c r="G38" s="286">
        <v>5.8</v>
      </c>
      <c r="H38" s="286">
        <v>5.8</v>
      </c>
      <c r="I38" s="286">
        <v>5.8</v>
      </c>
      <c r="J38" s="286">
        <v>5.8</v>
      </c>
      <c r="K38" s="286">
        <v>5.8</v>
      </c>
      <c r="L38" s="286">
        <v>5.8</v>
      </c>
      <c r="M38" s="286">
        <v>5.8</v>
      </c>
      <c r="N38" s="286">
        <v>5.8</v>
      </c>
      <c r="O38" s="286">
        <v>5.8</v>
      </c>
      <c r="P38" s="286">
        <v>5.8</v>
      </c>
      <c r="Q38" s="286">
        <v>5.8</v>
      </c>
      <c r="R38" s="286">
        <v>5.8</v>
      </c>
      <c r="S38" s="286">
        <v>5.8</v>
      </c>
      <c r="T38" s="286">
        <v>5.8</v>
      </c>
      <c r="U38" s="286">
        <v>5.8</v>
      </c>
      <c r="V38" s="286">
        <v>5.8</v>
      </c>
      <c r="W38" s="286">
        <v>5.8</v>
      </c>
      <c r="X38" s="286">
        <v>5.8</v>
      </c>
      <c r="Y38" s="286">
        <v>5.8</v>
      </c>
      <c r="Z38" s="286">
        <v>5.8</v>
      </c>
      <c r="AA38" s="286">
        <v>5.8</v>
      </c>
      <c r="AB38" s="286">
        <v>5.8</v>
      </c>
      <c r="AC38" s="286">
        <v>5.8</v>
      </c>
      <c r="AD38" s="286">
        <v>5.8</v>
      </c>
      <c r="AE38" s="286">
        <v>5.8</v>
      </c>
      <c r="AF38" s="283">
        <v>0</v>
      </c>
      <c r="AG38" s="208"/>
      <c r="AH38" s="208"/>
      <c r="AI38" s="208"/>
      <c r="AJ38" s="208"/>
      <c r="AK38" s="208"/>
      <c r="AL38" s="208"/>
      <c r="AM38" s="208"/>
      <c r="AN38" s="208"/>
      <c r="AO38" s="208"/>
      <c r="AP38" s="208"/>
      <c r="AQ38" s="208"/>
      <c r="AR38" s="208"/>
      <c r="AS38" s="208"/>
      <c r="AT38" s="208"/>
      <c r="AU38" s="208"/>
      <c r="AV38" s="208"/>
      <c r="AW38" s="208"/>
      <c r="AX38" s="208"/>
      <c r="AY38" s="208"/>
      <c r="AZ38" s="208"/>
      <c r="BA38" s="208"/>
    </row>
    <row r="39" spans="1:53" ht="14.75" x14ac:dyDescent="0.75">
      <c r="A39" s="212" t="s">
        <v>387</v>
      </c>
      <c r="B39" s="281" t="s">
        <v>388</v>
      </c>
      <c r="C39" s="286">
        <v>5.448283</v>
      </c>
      <c r="D39" s="286">
        <v>5.448283</v>
      </c>
      <c r="E39" s="286">
        <v>5.448283</v>
      </c>
      <c r="F39" s="286">
        <v>5.448283</v>
      </c>
      <c r="G39" s="286">
        <v>5.448283</v>
      </c>
      <c r="H39" s="286">
        <v>5.448283</v>
      </c>
      <c r="I39" s="286">
        <v>5.448283</v>
      </c>
      <c r="J39" s="286">
        <v>5.448283</v>
      </c>
      <c r="K39" s="286">
        <v>5.448283</v>
      </c>
      <c r="L39" s="286">
        <v>5.448283</v>
      </c>
      <c r="M39" s="286">
        <v>5.448283</v>
      </c>
      <c r="N39" s="286">
        <v>5.448283</v>
      </c>
      <c r="O39" s="286">
        <v>5.448283</v>
      </c>
      <c r="P39" s="286">
        <v>5.448283</v>
      </c>
      <c r="Q39" s="286">
        <v>5.448283</v>
      </c>
      <c r="R39" s="286">
        <v>5.448283</v>
      </c>
      <c r="S39" s="286">
        <v>5.448283</v>
      </c>
      <c r="T39" s="286">
        <v>5.448283</v>
      </c>
      <c r="U39" s="286">
        <v>5.448283</v>
      </c>
      <c r="V39" s="286">
        <v>5.448283</v>
      </c>
      <c r="W39" s="286">
        <v>5.448283</v>
      </c>
      <c r="X39" s="286">
        <v>5.448283</v>
      </c>
      <c r="Y39" s="286">
        <v>5.448283</v>
      </c>
      <c r="Z39" s="286">
        <v>5.448283</v>
      </c>
      <c r="AA39" s="286">
        <v>5.448283</v>
      </c>
      <c r="AB39" s="286">
        <v>5.448283</v>
      </c>
      <c r="AC39" s="286">
        <v>5.448283</v>
      </c>
      <c r="AD39" s="286">
        <v>5.448283</v>
      </c>
      <c r="AE39" s="286">
        <v>5.448283</v>
      </c>
      <c r="AF39" s="283">
        <v>0</v>
      </c>
      <c r="AG39" s="208"/>
      <c r="AH39" s="208"/>
      <c r="AI39" s="208"/>
      <c r="AJ39" s="208"/>
      <c r="AK39" s="208"/>
      <c r="AL39" s="208"/>
      <c r="AM39" s="208"/>
      <c r="AN39" s="208"/>
      <c r="AO39" s="208"/>
      <c r="AP39" s="208"/>
      <c r="AQ39" s="208"/>
      <c r="AR39" s="208"/>
      <c r="AS39" s="208"/>
      <c r="AT39" s="208"/>
      <c r="AU39" s="208"/>
      <c r="AV39" s="208"/>
      <c r="AW39" s="208"/>
      <c r="AX39" s="208"/>
      <c r="AY39" s="208"/>
      <c r="AZ39" s="208"/>
      <c r="BA39" s="208"/>
    </row>
    <row r="40" spans="1:53" ht="14.75" x14ac:dyDescent="0.75">
      <c r="A40" s="212" t="s">
        <v>389</v>
      </c>
      <c r="B40" s="281" t="s">
        <v>390</v>
      </c>
      <c r="C40" s="286">
        <v>6.2869999999999999</v>
      </c>
      <c r="D40" s="286">
        <v>6.2869999999999999</v>
      </c>
      <c r="E40" s="286">
        <v>6.2869999999999999</v>
      </c>
      <c r="F40" s="286">
        <v>6.2869999999999999</v>
      </c>
      <c r="G40" s="286">
        <v>6.2869999999999999</v>
      </c>
      <c r="H40" s="286">
        <v>6.2869999999999999</v>
      </c>
      <c r="I40" s="286">
        <v>6.2869999999999999</v>
      </c>
      <c r="J40" s="286">
        <v>6.2869999999999999</v>
      </c>
      <c r="K40" s="286">
        <v>6.2869999999999999</v>
      </c>
      <c r="L40" s="286">
        <v>6.2869999999999999</v>
      </c>
      <c r="M40" s="286">
        <v>6.2869999999999999</v>
      </c>
      <c r="N40" s="286">
        <v>6.2869999999999999</v>
      </c>
      <c r="O40" s="286">
        <v>6.2869999999999999</v>
      </c>
      <c r="P40" s="286">
        <v>6.2869999999999999</v>
      </c>
      <c r="Q40" s="286">
        <v>6.2869999999999999</v>
      </c>
      <c r="R40" s="286">
        <v>6.2869999999999999</v>
      </c>
      <c r="S40" s="286">
        <v>6.2869999999999999</v>
      </c>
      <c r="T40" s="286">
        <v>6.2869999999999999</v>
      </c>
      <c r="U40" s="286">
        <v>6.2869999999999999</v>
      </c>
      <c r="V40" s="286">
        <v>6.2869999999999999</v>
      </c>
      <c r="W40" s="286">
        <v>6.2869999999999999</v>
      </c>
      <c r="X40" s="286">
        <v>6.2869999999999999</v>
      </c>
      <c r="Y40" s="286">
        <v>6.2869999999999999</v>
      </c>
      <c r="Z40" s="286">
        <v>6.2869999999999999</v>
      </c>
      <c r="AA40" s="286">
        <v>6.2869999999999999</v>
      </c>
      <c r="AB40" s="286">
        <v>6.2869999999999999</v>
      </c>
      <c r="AC40" s="286">
        <v>6.2869999999999999</v>
      </c>
      <c r="AD40" s="286">
        <v>6.2869999999999999</v>
      </c>
      <c r="AE40" s="286">
        <v>6.2869999999999999</v>
      </c>
      <c r="AF40" s="283">
        <v>0</v>
      </c>
      <c r="AG40" s="208"/>
      <c r="AH40" s="208"/>
      <c r="AI40" s="208"/>
      <c r="AJ40" s="208"/>
      <c r="AK40" s="208"/>
      <c r="AL40" s="208"/>
      <c r="AM40" s="208"/>
      <c r="AN40" s="208"/>
      <c r="AO40" s="208"/>
      <c r="AP40" s="208"/>
      <c r="AQ40" s="208"/>
      <c r="AR40" s="208"/>
      <c r="AS40" s="208"/>
      <c r="AT40" s="208"/>
      <c r="AU40" s="208"/>
      <c r="AV40" s="208"/>
      <c r="AW40" s="208"/>
      <c r="AX40" s="208"/>
      <c r="AY40" s="208"/>
      <c r="AZ40" s="208"/>
      <c r="BA40" s="208"/>
    </row>
    <row r="41" spans="1:53" ht="14.75" x14ac:dyDescent="0.75">
      <c r="A41" s="212" t="s">
        <v>391</v>
      </c>
      <c r="B41" s="281" t="s">
        <v>392</v>
      </c>
      <c r="C41" s="286">
        <v>6.2869999999999999</v>
      </c>
      <c r="D41" s="286">
        <v>6.2869999999999999</v>
      </c>
      <c r="E41" s="286">
        <v>6.2869999999999999</v>
      </c>
      <c r="F41" s="286">
        <v>6.2869999999999999</v>
      </c>
      <c r="G41" s="286">
        <v>6.2869999999999999</v>
      </c>
      <c r="H41" s="286">
        <v>6.2869999999999999</v>
      </c>
      <c r="I41" s="286">
        <v>6.2869999999999999</v>
      </c>
      <c r="J41" s="286">
        <v>6.2869999999999999</v>
      </c>
      <c r="K41" s="286">
        <v>6.2869999999999999</v>
      </c>
      <c r="L41" s="286">
        <v>6.2869999999999999</v>
      </c>
      <c r="M41" s="286">
        <v>6.2869999999999999</v>
      </c>
      <c r="N41" s="286">
        <v>6.2869999999999999</v>
      </c>
      <c r="O41" s="286">
        <v>6.2869999999999999</v>
      </c>
      <c r="P41" s="286">
        <v>6.2869999999999999</v>
      </c>
      <c r="Q41" s="286">
        <v>6.2869999999999999</v>
      </c>
      <c r="R41" s="286">
        <v>6.2869999999999999</v>
      </c>
      <c r="S41" s="286">
        <v>6.2869999999999999</v>
      </c>
      <c r="T41" s="286">
        <v>6.2869999999999999</v>
      </c>
      <c r="U41" s="286">
        <v>6.2869999999999999</v>
      </c>
      <c r="V41" s="286">
        <v>6.2869999999999999</v>
      </c>
      <c r="W41" s="286">
        <v>6.2869999999999999</v>
      </c>
      <c r="X41" s="286">
        <v>6.2869999999999999</v>
      </c>
      <c r="Y41" s="286">
        <v>6.2869999999999999</v>
      </c>
      <c r="Z41" s="286">
        <v>6.2869999999999999</v>
      </c>
      <c r="AA41" s="286">
        <v>6.2869999999999999</v>
      </c>
      <c r="AB41" s="286">
        <v>6.2869999999999999</v>
      </c>
      <c r="AC41" s="286">
        <v>6.2869999999999999</v>
      </c>
      <c r="AD41" s="286">
        <v>6.2869999999999999</v>
      </c>
      <c r="AE41" s="286">
        <v>6.2869999999999999</v>
      </c>
      <c r="AF41" s="283">
        <v>0</v>
      </c>
      <c r="AG41" s="208"/>
      <c r="AH41" s="208"/>
      <c r="AI41" s="208"/>
      <c r="AJ41" s="208"/>
      <c r="AK41" s="208"/>
      <c r="AL41" s="208"/>
      <c r="AM41" s="208"/>
      <c r="AN41" s="208"/>
      <c r="AO41" s="208"/>
      <c r="AP41" s="208"/>
      <c r="AQ41" s="208"/>
      <c r="AR41" s="208"/>
      <c r="AS41" s="208"/>
      <c r="AT41" s="208"/>
      <c r="AU41" s="208"/>
      <c r="AV41" s="208"/>
      <c r="AW41" s="208"/>
      <c r="AX41" s="208"/>
      <c r="AY41" s="208"/>
      <c r="AZ41" s="208"/>
      <c r="BA41" s="208"/>
    </row>
    <row r="42" spans="1:53" ht="14.75" x14ac:dyDescent="0.75">
      <c r="A42" s="212" t="s">
        <v>393</v>
      </c>
      <c r="B42" s="281" t="s">
        <v>394</v>
      </c>
      <c r="C42" s="286">
        <v>6.2869999999999999</v>
      </c>
      <c r="D42" s="286">
        <v>6.2869999999999999</v>
      </c>
      <c r="E42" s="286">
        <v>6.2869999999999999</v>
      </c>
      <c r="F42" s="286">
        <v>6.2869999999999999</v>
      </c>
      <c r="G42" s="286">
        <v>6.2869999999999999</v>
      </c>
      <c r="H42" s="286">
        <v>6.2869999999999999</v>
      </c>
      <c r="I42" s="286">
        <v>6.2869999999999999</v>
      </c>
      <c r="J42" s="286">
        <v>6.2869999999999999</v>
      </c>
      <c r="K42" s="286">
        <v>6.2869999999999999</v>
      </c>
      <c r="L42" s="286">
        <v>6.2869999999999999</v>
      </c>
      <c r="M42" s="286">
        <v>6.2869999999999999</v>
      </c>
      <c r="N42" s="286">
        <v>6.2869999999999999</v>
      </c>
      <c r="O42" s="286">
        <v>6.2869999999999999</v>
      </c>
      <c r="P42" s="286">
        <v>6.2869999999999999</v>
      </c>
      <c r="Q42" s="286">
        <v>6.2869999999999999</v>
      </c>
      <c r="R42" s="286">
        <v>6.2869999999999999</v>
      </c>
      <c r="S42" s="286">
        <v>6.2869999999999999</v>
      </c>
      <c r="T42" s="286">
        <v>6.2869999999999999</v>
      </c>
      <c r="U42" s="286">
        <v>6.2869999999999999</v>
      </c>
      <c r="V42" s="286">
        <v>6.2869999999999999</v>
      </c>
      <c r="W42" s="286">
        <v>6.2869999999999999</v>
      </c>
      <c r="X42" s="286">
        <v>6.2869999999999999</v>
      </c>
      <c r="Y42" s="286">
        <v>6.2869999999999999</v>
      </c>
      <c r="Z42" s="286">
        <v>6.2869999999999999</v>
      </c>
      <c r="AA42" s="286">
        <v>6.2869999999999999</v>
      </c>
      <c r="AB42" s="286">
        <v>6.2869999999999999</v>
      </c>
      <c r="AC42" s="286">
        <v>6.2869999999999999</v>
      </c>
      <c r="AD42" s="286">
        <v>6.2869999999999999</v>
      </c>
      <c r="AE42" s="286">
        <v>6.2869999999999999</v>
      </c>
      <c r="AF42" s="283">
        <v>0</v>
      </c>
      <c r="AG42" s="208"/>
      <c r="AH42" s="208"/>
      <c r="AI42" s="208"/>
      <c r="AJ42" s="208"/>
      <c r="AK42" s="208"/>
      <c r="AL42" s="208"/>
      <c r="AM42" s="208"/>
      <c r="AN42" s="208"/>
      <c r="AO42" s="208"/>
      <c r="AP42" s="208"/>
      <c r="AQ42" s="208"/>
      <c r="AR42" s="208"/>
      <c r="AS42" s="208"/>
      <c r="AT42" s="208"/>
      <c r="AU42" s="208"/>
      <c r="AV42" s="208"/>
      <c r="AW42" s="208"/>
      <c r="AX42" s="208"/>
      <c r="AY42" s="208"/>
      <c r="AZ42" s="208"/>
      <c r="BA42" s="208"/>
    </row>
    <row r="43" spans="1:53" ht="14.75" x14ac:dyDescent="0.75">
      <c r="A43" s="212" t="s">
        <v>395</v>
      </c>
      <c r="B43" s="281" t="s">
        <v>396</v>
      </c>
      <c r="C43" s="286">
        <v>6.1917359999999997</v>
      </c>
      <c r="D43" s="286">
        <v>6.1922389999999998</v>
      </c>
      <c r="E43" s="286">
        <v>6.1930670000000001</v>
      </c>
      <c r="F43" s="286">
        <v>6.1635160000000004</v>
      </c>
      <c r="G43" s="286">
        <v>6.1553069999999996</v>
      </c>
      <c r="H43" s="286">
        <v>6.1613670000000003</v>
      </c>
      <c r="I43" s="286">
        <v>6.16242</v>
      </c>
      <c r="J43" s="286">
        <v>6.1634779999999996</v>
      </c>
      <c r="K43" s="286">
        <v>6.1645450000000004</v>
      </c>
      <c r="L43" s="286">
        <v>6.1607760000000003</v>
      </c>
      <c r="M43" s="286">
        <v>6.166696</v>
      </c>
      <c r="N43" s="286">
        <v>6.1677819999999999</v>
      </c>
      <c r="O43" s="286">
        <v>6.1688749999999999</v>
      </c>
      <c r="P43" s="286">
        <v>6.169975</v>
      </c>
      <c r="Q43" s="286">
        <v>6.1710820000000002</v>
      </c>
      <c r="R43" s="286">
        <v>6.1721969999999997</v>
      </c>
      <c r="S43" s="286">
        <v>6.1733180000000001</v>
      </c>
      <c r="T43" s="286">
        <v>6.1744469999999998</v>
      </c>
      <c r="U43" s="286">
        <v>6.1755820000000003</v>
      </c>
      <c r="V43" s="286">
        <v>6.1769319999999999</v>
      </c>
      <c r="W43" s="286">
        <v>6.1780039999999996</v>
      </c>
      <c r="X43" s="286">
        <v>6.1792449999999999</v>
      </c>
      <c r="Y43" s="286">
        <v>6.180129</v>
      </c>
      <c r="Z43" s="286">
        <v>6.1813039999999999</v>
      </c>
      <c r="AA43" s="286">
        <v>6.1824859999999999</v>
      </c>
      <c r="AB43" s="286">
        <v>6.1836760000000002</v>
      </c>
      <c r="AC43" s="286">
        <v>6.1848739999999998</v>
      </c>
      <c r="AD43" s="286">
        <v>6.1860799999999996</v>
      </c>
      <c r="AE43" s="286">
        <v>6.1875859999999996</v>
      </c>
      <c r="AF43" s="283">
        <v>-2.4000000000000001E-5</v>
      </c>
      <c r="AG43" s="208"/>
      <c r="AH43" s="208"/>
      <c r="AI43" s="208"/>
      <c r="AJ43" s="208"/>
      <c r="AK43" s="208"/>
      <c r="AL43" s="208"/>
      <c r="AM43" s="208"/>
      <c r="AN43" s="208"/>
      <c r="AO43" s="208"/>
      <c r="AP43" s="208"/>
      <c r="AQ43" s="208"/>
      <c r="AR43" s="208"/>
      <c r="AS43" s="208"/>
      <c r="AT43" s="208"/>
      <c r="AU43" s="208"/>
      <c r="AV43" s="208"/>
      <c r="AW43" s="208"/>
      <c r="AX43" s="208"/>
      <c r="AY43" s="208"/>
      <c r="AZ43" s="208"/>
      <c r="BA43" s="208"/>
    </row>
    <row r="44" spans="1:53" ht="14.75" x14ac:dyDescent="0.75">
      <c r="A44" s="212" t="s">
        <v>397</v>
      </c>
      <c r="B44" s="281" t="s">
        <v>398</v>
      </c>
      <c r="C44" s="286">
        <v>5.0674640000000002</v>
      </c>
      <c r="D44" s="286">
        <v>5.0591470000000003</v>
      </c>
      <c r="E44" s="286">
        <v>5.0228250000000001</v>
      </c>
      <c r="F44" s="286">
        <v>5.0171900000000003</v>
      </c>
      <c r="G44" s="286">
        <v>5.0003479999999998</v>
      </c>
      <c r="H44" s="286">
        <v>4.9850260000000004</v>
      </c>
      <c r="I44" s="286">
        <v>4.9747820000000003</v>
      </c>
      <c r="J44" s="286">
        <v>4.9674639999999997</v>
      </c>
      <c r="K44" s="286">
        <v>4.9611150000000004</v>
      </c>
      <c r="L44" s="286">
        <v>4.9578129999999998</v>
      </c>
      <c r="M44" s="286">
        <v>4.9526690000000002</v>
      </c>
      <c r="N44" s="286">
        <v>4.9479660000000001</v>
      </c>
      <c r="O44" s="286">
        <v>4.9421249999999999</v>
      </c>
      <c r="P44" s="286">
        <v>4.9375249999999999</v>
      </c>
      <c r="Q44" s="286">
        <v>4.9320089999999999</v>
      </c>
      <c r="R44" s="286">
        <v>4.9291029999999996</v>
      </c>
      <c r="S44" s="286">
        <v>4.9277689999999996</v>
      </c>
      <c r="T44" s="286">
        <v>4.9226599999999996</v>
      </c>
      <c r="U44" s="286">
        <v>4.9201430000000004</v>
      </c>
      <c r="V44" s="286">
        <v>4.9166780000000001</v>
      </c>
      <c r="W44" s="286">
        <v>4.9108590000000003</v>
      </c>
      <c r="X44" s="286">
        <v>4.9054799999999998</v>
      </c>
      <c r="Y44" s="286">
        <v>4.9031469999999997</v>
      </c>
      <c r="Z44" s="286">
        <v>4.9015979999999999</v>
      </c>
      <c r="AA44" s="286">
        <v>4.8992639999999996</v>
      </c>
      <c r="AB44" s="286">
        <v>4.896852</v>
      </c>
      <c r="AC44" s="286">
        <v>4.895994</v>
      </c>
      <c r="AD44" s="286">
        <v>4.8937970000000002</v>
      </c>
      <c r="AE44" s="286">
        <v>4.8910229999999997</v>
      </c>
      <c r="AF44" s="283">
        <v>-1.2650000000000001E-3</v>
      </c>
      <c r="AG44" s="208"/>
      <c r="AH44" s="208"/>
      <c r="AI44" s="208"/>
      <c r="AJ44" s="208"/>
      <c r="AK44" s="208"/>
      <c r="AL44" s="208"/>
      <c r="AM44" s="208"/>
      <c r="AN44" s="208"/>
      <c r="AO44" s="208"/>
      <c r="AP44" s="208"/>
      <c r="AQ44" s="208"/>
      <c r="AR44" s="208"/>
      <c r="AS44" s="208"/>
      <c r="AT44" s="208"/>
      <c r="AU44" s="208"/>
      <c r="AV44" s="208"/>
      <c r="AW44" s="208"/>
      <c r="AX44" s="208"/>
      <c r="AY44" s="208"/>
      <c r="AZ44" s="208"/>
      <c r="BA44" s="208"/>
    </row>
    <row r="45" spans="1:53" ht="14.75" x14ac:dyDescent="0.75">
      <c r="A45" s="212" t="s">
        <v>399</v>
      </c>
      <c r="B45" s="281" t="s">
        <v>400</v>
      </c>
      <c r="C45" s="286">
        <v>5.8927449999999997</v>
      </c>
      <c r="D45" s="286">
        <v>5.7899760000000002</v>
      </c>
      <c r="E45" s="286">
        <v>5.7951759999999997</v>
      </c>
      <c r="F45" s="286">
        <v>5.7833329999999998</v>
      </c>
      <c r="G45" s="286">
        <v>5.778988</v>
      </c>
      <c r="H45" s="286">
        <v>5.7994719999999997</v>
      </c>
      <c r="I45" s="286">
        <v>5.8094400000000004</v>
      </c>
      <c r="J45" s="286">
        <v>5.8209179999999998</v>
      </c>
      <c r="K45" s="286">
        <v>5.8264579999999997</v>
      </c>
      <c r="L45" s="286">
        <v>5.8332709999999999</v>
      </c>
      <c r="M45" s="286">
        <v>5.8364739999999999</v>
      </c>
      <c r="N45" s="286">
        <v>5.8459729999999999</v>
      </c>
      <c r="O45" s="286">
        <v>5.848357</v>
      </c>
      <c r="P45" s="286">
        <v>5.8588459999999998</v>
      </c>
      <c r="Q45" s="286">
        <v>5.855556</v>
      </c>
      <c r="R45" s="286">
        <v>5.8578039999999998</v>
      </c>
      <c r="S45" s="286">
        <v>5.858994</v>
      </c>
      <c r="T45" s="286">
        <v>5.8614499999999996</v>
      </c>
      <c r="U45" s="286">
        <v>5.8606189999999998</v>
      </c>
      <c r="V45" s="286">
        <v>5.8597039999999998</v>
      </c>
      <c r="W45" s="286">
        <v>5.8580019999999999</v>
      </c>
      <c r="X45" s="286">
        <v>5.856611</v>
      </c>
      <c r="Y45" s="286">
        <v>5.8545439999999997</v>
      </c>
      <c r="Z45" s="286">
        <v>5.8540340000000004</v>
      </c>
      <c r="AA45" s="286">
        <v>5.8469509999999998</v>
      </c>
      <c r="AB45" s="286">
        <v>5.8447509999999996</v>
      </c>
      <c r="AC45" s="286">
        <v>5.8390459999999997</v>
      </c>
      <c r="AD45" s="286">
        <v>5.8365780000000003</v>
      </c>
      <c r="AE45" s="286">
        <v>5.8334640000000002</v>
      </c>
      <c r="AF45" s="283">
        <v>-3.6099999999999999E-4</v>
      </c>
      <c r="AG45" s="208"/>
      <c r="AH45" s="208"/>
      <c r="AI45" s="208"/>
      <c r="AJ45" s="208"/>
      <c r="AK45" s="208"/>
      <c r="AL45" s="208"/>
      <c r="AM45" s="208"/>
      <c r="AN45" s="208"/>
      <c r="AO45" s="208"/>
      <c r="AP45" s="208"/>
      <c r="AQ45" s="208"/>
      <c r="AR45" s="208"/>
      <c r="AS45" s="208"/>
      <c r="AT45" s="208"/>
      <c r="AU45" s="208"/>
      <c r="AV45" s="208"/>
      <c r="AW45" s="208"/>
      <c r="AX45" s="208"/>
      <c r="AY45" s="208"/>
      <c r="AZ45" s="208"/>
      <c r="BA45" s="208"/>
    </row>
    <row r="46" spans="1:53" ht="14.75" x14ac:dyDescent="0.75">
      <c r="A46" s="212" t="s">
        <v>401</v>
      </c>
      <c r="B46" s="281" t="s">
        <v>402</v>
      </c>
      <c r="C46" s="286">
        <v>5.0452859999999999</v>
      </c>
      <c r="D46" s="286">
        <v>5.1030439999999997</v>
      </c>
      <c r="E46" s="286">
        <v>5.0647929999999999</v>
      </c>
      <c r="F46" s="286">
        <v>5.0659340000000004</v>
      </c>
      <c r="G46" s="286">
        <v>5.0950769999999999</v>
      </c>
      <c r="H46" s="286">
        <v>5.1758240000000004</v>
      </c>
      <c r="I46" s="286">
        <v>5.2263799999999998</v>
      </c>
      <c r="J46" s="286">
        <v>5.2632329999999996</v>
      </c>
      <c r="K46" s="286">
        <v>5.2736970000000003</v>
      </c>
      <c r="L46" s="286">
        <v>5.2972070000000002</v>
      </c>
      <c r="M46" s="286">
        <v>5.2950119999999998</v>
      </c>
      <c r="N46" s="286">
        <v>5.2941830000000003</v>
      </c>
      <c r="O46" s="286">
        <v>5.2844410000000002</v>
      </c>
      <c r="P46" s="286">
        <v>5.2890100000000002</v>
      </c>
      <c r="Q46" s="286">
        <v>5.2747729999999997</v>
      </c>
      <c r="R46" s="286">
        <v>5.276637</v>
      </c>
      <c r="S46" s="286">
        <v>5.2793460000000003</v>
      </c>
      <c r="T46" s="286">
        <v>5.27027</v>
      </c>
      <c r="U46" s="286">
        <v>5.2766000000000002</v>
      </c>
      <c r="V46" s="286">
        <v>5.2763980000000004</v>
      </c>
      <c r="W46" s="286">
        <v>5.2635959999999997</v>
      </c>
      <c r="X46" s="286">
        <v>5.2571779999999997</v>
      </c>
      <c r="Y46" s="286">
        <v>5.2545260000000003</v>
      </c>
      <c r="Z46" s="286">
        <v>5.2526799999999998</v>
      </c>
      <c r="AA46" s="286">
        <v>5.2501319999999998</v>
      </c>
      <c r="AB46" s="286">
        <v>5.2491159999999999</v>
      </c>
      <c r="AC46" s="286">
        <v>5.2505110000000004</v>
      </c>
      <c r="AD46" s="286">
        <v>5.2516730000000003</v>
      </c>
      <c r="AE46" s="286">
        <v>5.2525630000000003</v>
      </c>
      <c r="AF46" s="283">
        <v>1.439E-3</v>
      </c>
      <c r="AG46" s="208"/>
      <c r="AH46" s="208"/>
      <c r="AI46" s="208"/>
      <c r="AJ46" s="208"/>
      <c r="AK46" s="208"/>
      <c r="AL46" s="208"/>
      <c r="AM46" s="208"/>
      <c r="AN46" s="208"/>
      <c r="AO46" s="208"/>
      <c r="AP46" s="208"/>
      <c r="AQ46" s="208"/>
      <c r="AR46" s="208"/>
      <c r="AS46" s="208"/>
      <c r="AT46" s="208"/>
      <c r="AU46" s="208"/>
      <c r="AV46" s="208"/>
      <c r="AW46" s="208"/>
      <c r="AX46" s="208"/>
      <c r="AY46" s="208"/>
      <c r="AZ46" s="208"/>
      <c r="BA46" s="208"/>
    </row>
    <row r="47" spans="1:53" ht="14.75" x14ac:dyDescent="0.75">
      <c r="A47" s="212" t="s">
        <v>403</v>
      </c>
      <c r="B47" s="280" t="s">
        <v>404</v>
      </c>
      <c r="C47" s="208"/>
      <c r="D47" s="208"/>
      <c r="E47" s="208"/>
      <c r="F47" s="208"/>
      <c r="G47" s="208"/>
      <c r="H47" s="208"/>
      <c r="I47" s="208"/>
      <c r="J47" s="208"/>
      <c r="K47" s="208"/>
      <c r="L47" s="208"/>
      <c r="M47" s="208"/>
      <c r="N47" s="208"/>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208"/>
      <c r="AU47" s="208"/>
      <c r="AV47" s="208"/>
      <c r="AW47" s="208"/>
      <c r="AX47" s="208"/>
      <c r="AY47" s="208"/>
      <c r="AZ47" s="208"/>
      <c r="BA47" s="208"/>
    </row>
    <row r="48" spans="1:53" ht="14.75" x14ac:dyDescent="0.75">
      <c r="A48" s="212" t="s">
        <v>405</v>
      </c>
      <c r="B48" s="281" t="s">
        <v>406</v>
      </c>
      <c r="C48" s="286">
        <v>5.6948990000000004</v>
      </c>
      <c r="D48" s="286">
        <v>5.6877190000000004</v>
      </c>
      <c r="E48" s="286">
        <v>5.6846410000000001</v>
      </c>
      <c r="F48" s="286">
        <v>5.6858890000000004</v>
      </c>
      <c r="G48" s="286">
        <v>5.6853109999999996</v>
      </c>
      <c r="H48" s="286">
        <v>5.6856270000000002</v>
      </c>
      <c r="I48" s="286">
        <v>5.6911149999999999</v>
      </c>
      <c r="J48" s="286">
        <v>5.6918160000000002</v>
      </c>
      <c r="K48" s="286">
        <v>5.6920570000000001</v>
      </c>
      <c r="L48" s="286">
        <v>5.6911259999999997</v>
      </c>
      <c r="M48" s="286">
        <v>5.6898340000000003</v>
      </c>
      <c r="N48" s="286">
        <v>5.6889719999999997</v>
      </c>
      <c r="O48" s="286">
        <v>5.6877810000000002</v>
      </c>
      <c r="P48" s="286">
        <v>5.6863159999999997</v>
      </c>
      <c r="Q48" s="286">
        <v>5.6842800000000002</v>
      </c>
      <c r="R48" s="286">
        <v>5.6826759999999998</v>
      </c>
      <c r="S48" s="286">
        <v>5.6804309999999996</v>
      </c>
      <c r="T48" s="286">
        <v>5.6789680000000002</v>
      </c>
      <c r="U48" s="286">
        <v>5.6764890000000001</v>
      </c>
      <c r="V48" s="286">
        <v>5.6727150000000002</v>
      </c>
      <c r="W48" s="286">
        <v>5.6709899999999998</v>
      </c>
      <c r="X48" s="286">
        <v>5.6708759999999998</v>
      </c>
      <c r="Y48" s="286">
        <v>5.6713120000000004</v>
      </c>
      <c r="Z48" s="286">
        <v>5.6707489999999998</v>
      </c>
      <c r="AA48" s="286">
        <v>5.6692479999999996</v>
      </c>
      <c r="AB48" s="286">
        <v>5.6653739999999999</v>
      </c>
      <c r="AC48" s="286">
        <v>5.6687510000000003</v>
      </c>
      <c r="AD48" s="286">
        <v>5.6699580000000003</v>
      </c>
      <c r="AE48" s="286">
        <v>5.6687200000000004</v>
      </c>
      <c r="AF48" s="283">
        <v>-1.65E-4</v>
      </c>
      <c r="AG48" s="208"/>
      <c r="AH48" s="208"/>
      <c r="AI48" s="208"/>
      <c r="AJ48" s="208"/>
      <c r="AK48" s="208"/>
      <c r="AL48" s="208"/>
      <c r="AM48" s="208"/>
      <c r="AN48" s="208"/>
      <c r="AO48" s="208"/>
      <c r="AP48" s="208"/>
      <c r="AQ48" s="208"/>
      <c r="AR48" s="208"/>
      <c r="AS48" s="208"/>
      <c r="AT48" s="208"/>
      <c r="AU48" s="208"/>
      <c r="AV48" s="208"/>
      <c r="AW48" s="208"/>
      <c r="AX48" s="208"/>
      <c r="AY48" s="208"/>
      <c r="AZ48" s="208"/>
      <c r="BA48" s="208"/>
    </row>
    <row r="49" spans="1:53" ht="14.75" x14ac:dyDescent="0.75">
      <c r="A49" s="212" t="s">
        <v>407</v>
      </c>
      <c r="B49" s="281" t="s">
        <v>408</v>
      </c>
      <c r="C49" s="286">
        <v>6.037077</v>
      </c>
      <c r="D49" s="286">
        <v>5.9970509999999999</v>
      </c>
      <c r="E49" s="286">
        <v>6.0355489999999996</v>
      </c>
      <c r="F49" s="286">
        <v>6.0402279999999999</v>
      </c>
      <c r="G49" s="286">
        <v>6.0577889999999996</v>
      </c>
      <c r="H49" s="286">
        <v>6.0494770000000004</v>
      </c>
      <c r="I49" s="286">
        <v>6.0610679999999997</v>
      </c>
      <c r="J49" s="286">
        <v>6.0603530000000001</v>
      </c>
      <c r="K49" s="286">
        <v>6.0616399999999997</v>
      </c>
      <c r="L49" s="286">
        <v>6.070837</v>
      </c>
      <c r="M49" s="286">
        <v>6.0799519999999996</v>
      </c>
      <c r="N49" s="286">
        <v>6.0781080000000003</v>
      </c>
      <c r="O49" s="286">
        <v>6.0890230000000001</v>
      </c>
      <c r="P49" s="286">
        <v>6.0897579999999998</v>
      </c>
      <c r="Q49" s="286">
        <v>6.0896980000000003</v>
      </c>
      <c r="R49" s="286">
        <v>6.0990609999999998</v>
      </c>
      <c r="S49" s="286">
        <v>6.098973</v>
      </c>
      <c r="T49" s="286">
        <v>6.0996079999999999</v>
      </c>
      <c r="U49" s="286">
        <v>6.101254</v>
      </c>
      <c r="V49" s="286">
        <v>6.0983270000000003</v>
      </c>
      <c r="W49" s="286">
        <v>6.0973819999999996</v>
      </c>
      <c r="X49" s="286">
        <v>6.1017659999999996</v>
      </c>
      <c r="Y49" s="286">
        <v>6.1045309999999997</v>
      </c>
      <c r="Z49" s="286">
        <v>6.1059720000000004</v>
      </c>
      <c r="AA49" s="286">
        <v>6.1007020000000001</v>
      </c>
      <c r="AB49" s="286">
        <v>6.1004480000000001</v>
      </c>
      <c r="AC49" s="286">
        <v>6.09999</v>
      </c>
      <c r="AD49" s="286">
        <v>6.1005159999999998</v>
      </c>
      <c r="AE49" s="286">
        <v>6.1003499999999997</v>
      </c>
      <c r="AF49" s="283">
        <v>3.7199999999999999E-4</v>
      </c>
      <c r="AG49" s="208"/>
      <c r="AH49" s="208"/>
      <c r="AI49" s="208"/>
      <c r="AJ49" s="208"/>
      <c r="AK49" s="208"/>
      <c r="AL49" s="208"/>
      <c r="AM49" s="208"/>
      <c r="AN49" s="208"/>
      <c r="AO49" s="208"/>
      <c r="AP49" s="208"/>
      <c r="AQ49" s="208"/>
      <c r="AR49" s="208"/>
      <c r="AS49" s="208"/>
      <c r="AT49" s="208"/>
      <c r="AU49" s="208"/>
      <c r="AV49" s="208"/>
      <c r="AW49" s="208"/>
      <c r="AX49" s="208"/>
      <c r="AY49" s="208"/>
      <c r="AZ49" s="208"/>
      <c r="BA49" s="208"/>
    </row>
    <row r="50" spans="1:53" ht="15" customHeight="1" x14ac:dyDescent="0.75">
      <c r="A50" s="207"/>
      <c r="B50" s="281" t="s">
        <v>409</v>
      </c>
      <c r="C50" s="286">
        <v>5.5726060000000004</v>
      </c>
      <c r="D50" s="286">
        <v>5.5974430000000002</v>
      </c>
      <c r="E50" s="286">
        <v>5.5954059999999997</v>
      </c>
      <c r="F50" s="286">
        <v>5.5953169999999997</v>
      </c>
      <c r="G50" s="286">
        <v>5.5952440000000001</v>
      </c>
      <c r="H50" s="286">
        <v>5.5950730000000002</v>
      </c>
      <c r="I50" s="286">
        <v>5.5949450000000001</v>
      </c>
      <c r="J50" s="286">
        <v>5.5948209999999996</v>
      </c>
      <c r="K50" s="286">
        <v>5.5946709999999999</v>
      </c>
      <c r="L50" s="286">
        <v>5.5945970000000003</v>
      </c>
      <c r="M50" s="286">
        <v>5.5945309999999999</v>
      </c>
      <c r="N50" s="286">
        <v>5.5944700000000003</v>
      </c>
      <c r="O50" s="286">
        <v>5.594379</v>
      </c>
      <c r="P50" s="286">
        <v>5.5942720000000001</v>
      </c>
      <c r="Q50" s="286">
        <v>5.59422</v>
      </c>
      <c r="R50" s="286">
        <v>5.5941409999999996</v>
      </c>
      <c r="S50" s="286">
        <v>5.5940859999999999</v>
      </c>
      <c r="T50" s="286">
        <v>5.5939909999999999</v>
      </c>
      <c r="U50" s="286">
        <v>5.5939639999999997</v>
      </c>
      <c r="V50" s="286">
        <v>5.593852</v>
      </c>
      <c r="W50" s="286">
        <v>5.5937570000000001</v>
      </c>
      <c r="X50" s="286">
        <v>5.5936409999999999</v>
      </c>
      <c r="Y50" s="286">
        <v>5.5935579999999998</v>
      </c>
      <c r="Z50" s="286">
        <v>5.5934499999999998</v>
      </c>
      <c r="AA50" s="286">
        <v>5.5934369999999998</v>
      </c>
      <c r="AB50" s="286">
        <v>5.5933469999999996</v>
      </c>
      <c r="AC50" s="286">
        <v>5.5945410000000004</v>
      </c>
      <c r="AD50" s="286">
        <v>5.5939819999999996</v>
      </c>
      <c r="AE50" s="286">
        <v>5.5930359999999997</v>
      </c>
      <c r="AF50" s="283">
        <v>1.3100000000000001E-4</v>
      </c>
      <c r="AG50" s="208"/>
      <c r="AH50" s="208"/>
      <c r="AI50" s="208"/>
      <c r="AJ50" s="208"/>
      <c r="AK50" s="208"/>
      <c r="AL50" s="208"/>
      <c r="AM50" s="208"/>
      <c r="AN50" s="208"/>
      <c r="AO50" s="208"/>
      <c r="AP50" s="208"/>
      <c r="AQ50" s="208"/>
      <c r="AR50" s="208"/>
      <c r="AS50" s="208"/>
      <c r="AT50" s="208"/>
      <c r="AU50" s="208"/>
      <c r="AV50" s="208"/>
      <c r="AW50" s="208"/>
      <c r="AX50" s="208"/>
      <c r="AY50" s="208"/>
      <c r="AZ50" s="208"/>
      <c r="BA50" s="208"/>
    </row>
    <row r="51" spans="1:53" ht="15" customHeight="1" x14ac:dyDescent="0.75">
      <c r="A51" s="207"/>
      <c r="B51" s="281" t="s">
        <v>410</v>
      </c>
      <c r="C51" s="286">
        <v>3.5650970000000002</v>
      </c>
      <c r="D51" s="286">
        <v>3.5545019999999998</v>
      </c>
      <c r="E51" s="286">
        <v>3.5491320000000002</v>
      </c>
      <c r="F51" s="286">
        <v>3.5417900000000002</v>
      </c>
      <c r="G51" s="286">
        <v>3.5397370000000001</v>
      </c>
      <c r="H51" s="286">
        <v>3.5402360000000002</v>
      </c>
      <c r="I51" s="286">
        <v>3.541674</v>
      </c>
      <c r="J51" s="286">
        <v>3.5420600000000002</v>
      </c>
      <c r="K51" s="286">
        <v>3.5418940000000001</v>
      </c>
      <c r="L51" s="286">
        <v>3.5411049999999999</v>
      </c>
      <c r="M51" s="286">
        <v>3.5407579999999998</v>
      </c>
      <c r="N51" s="286">
        <v>3.540197</v>
      </c>
      <c r="O51" s="286">
        <v>3.5389210000000002</v>
      </c>
      <c r="P51" s="286">
        <v>3.5374219999999998</v>
      </c>
      <c r="Q51" s="286">
        <v>3.5376159999999999</v>
      </c>
      <c r="R51" s="286">
        <v>3.5382470000000001</v>
      </c>
      <c r="S51" s="286">
        <v>3.5379139999999998</v>
      </c>
      <c r="T51" s="286">
        <v>3.5375230000000002</v>
      </c>
      <c r="U51" s="286">
        <v>3.5342799999999999</v>
      </c>
      <c r="V51" s="286">
        <v>3.5322290000000001</v>
      </c>
      <c r="W51" s="286">
        <v>3.5295700000000001</v>
      </c>
      <c r="X51" s="286">
        <v>3.5280019999999999</v>
      </c>
      <c r="Y51" s="286">
        <v>3.528308</v>
      </c>
      <c r="Z51" s="286">
        <v>3.5286379999999999</v>
      </c>
      <c r="AA51" s="286">
        <v>3.5291399999999999</v>
      </c>
      <c r="AB51" s="286">
        <v>3.5295570000000001</v>
      </c>
      <c r="AC51" s="286">
        <v>3.5307490000000001</v>
      </c>
      <c r="AD51" s="286">
        <v>3.531657</v>
      </c>
      <c r="AE51" s="286">
        <v>3.5311599999999999</v>
      </c>
      <c r="AF51" s="283">
        <v>-3.4200000000000002E-4</v>
      </c>
      <c r="AG51" s="208"/>
      <c r="AH51" s="208"/>
      <c r="AI51" s="208"/>
      <c r="AJ51" s="208"/>
      <c r="AK51" s="208"/>
      <c r="AL51" s="208"/>
      <c r="AM51" s="208"/>
      <c r="AN51" s="208"/>
      <c r="AO51" s="208"/>
      <c r="AP51" s="208"/>
      <c r="AQ51" s="208"/>
      <c r="AR51" s="208"/>
      <c r="AS51" s="208"/>
      <c r="AT51" s="208"/>
      <c r="AU51" s="208"/>
      <c r="AV51" s="208"/>
      <c r="AW51" s="208"/>
      <c r="AX51" s="208"/>
      <c r="AY51" s="208"/>
      <c r="AZ51" s="208"/>
      <c r="BA51" s="208"/>
    </row>
    <row r="52" spans="1:53" ht="15" customHeight="1" x14ac:dyDescent="0.75">
      <c r="A52" s="207"/>
      <c r="B52" s="208"/>
      <c r="C52" s="208"/>
      <c r="D52" s="208"/>
      <c r="E52" s="208"/>
      <c r="F52" s="208"/>
      <c r="G52" s="208"/>
      <c r="H52" s="208"/>
      <c r="I52" s="208"/>
      <c r="J52" s="208"/>
      <c r="K52" s="208"/>
      <c r="L52" s="208"/>
      <c r="M52" s="208"/>
      <c r="N52" s="208"/>
      <c r="O52" s="208"/>
      <c r="P52" s="208"/>
      <c r="Q52" s="208"/>
      <c r="R52" s="208"/>
      <c r="S52" s="208"/>
      <c r="T52" s="208"/>
      <c r="U52" s="208"/>
      <c r="V52" s="208"/>
      <c r="W52" s="208"/>
      <c r="X52" s="208"/>
      <c r="Y52" s="208"/>
      <c r="Z52" s="208"/>
      <c r="AA52" s="208"/>
      <c r="AB52" s="208"/>
      <c r="AC52" s="208"/>
      <c r="AD52" s="208"/>
      <c r="AE52" s="208"/>
      <c r="AF52" s="208"/>
      <c r="AG52" s="208"/>
      <c r="AH52" s="208"/>
      <c r="AI52" s="208"/>
      <c r="AJ52" s="208"/>
      <c r="AK52" s="208"/>
      <c r="AL52" s="208"/>
      <c r="AM52" s="208"/>
      <c r="AN52" s="208"/>
      <c r="AO52" s="208"/>
      <c r="AP52" s="208"/>
      <c r="AQ52" s="208"/>
      <c r="AR52" s="208"/>
      <c r="AS52" s="208"/>
      <c r="AT52" s="208"/>
      <c r="AU52" s="208"/>
      <c r="AV52" s="208"/>
      <c r="AW52" s="208"/>
      <c r="AX52" s="208"/>
      <c r="AY52" s="208"/>
      <c r="AZ52" s="208"/>
      <c r="BA52" s="208"/>
    </row>
    <row r="53" spans="1:53" ht="15" customHeight="1" x14ac:dyDescent="0.75">
      <c r="A53" s="212" t="s">
        <v>411</v>
      </c>
      <c r="B53" s="280" t="s">
        <v>412</v>
      </c>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208"/>
      <c r="AZ53" s="208"/>
      <c r="BA53" s="208"/>
    </row>
    <row r="54" spans="1:53" ht="15" customHeight="1" x14ac:dyDescent="0.75">
      <c r="A54" s="212" t="s">
        <v>413</v>
      </c>
      <c r="B54" s="281" t="s">
        <v>414</v>
      </c>
      <c r="C54" s="286">
        <v>1.0369999999999999</v>
      </c>
      <c r="D54" s="286">
        <v>1.0369999999999999</v>
      </c>
      <c r="E54" s="286">
        <v>1.0369999999999999</v>
      </c>
      <c r="F54" s="286">
        <v>1.0369999999999999</v>
      </c>
      <c r="G54" s="286">
        <v>1.0369999999999999</v>
      </c>
      <c r="H54" s="286">
        <v>1.0369999999999999</v>
      </c>
      <c r="I54" s="286">
        <v>1.0369999999999999</v>
      </c>
      <c r="J54" s="286">
        <v>1.0369999999999999</v>
      </c>
      <c r="K54" s="286">
        <v>1.0369999999999999</v>
      </c>
      <c r="L54" s="286">
        <v>1.0369999999999999</v>
      </c>
      <c r="M54" s="286">
        <v>1.0369999999999999</v>
      </c>
      <c r="N54" s="286">
        <v>1.0369999999999999</v>
      </c>
      <c r="O54" s="286">
        <v>1.0369999999999999</v>
      </c>
      <c r="P54" s="286">
        <v>1.0369999999999999</v>
      </c>
      <c r="Q54" s="286">
        <v>1.0369999999999999</v>
      </c>
      <c r="R54" s="286">
        <v>1.0369999999999999</v>
      </c>
      <c r="S54" s="286">
        <v>1.0369999999999999</v>
      </c>
      <c r="T54" s="286">
        <v>1.0369999999999999</v>
      </c>
      <c r="U54" s="286">
        <v>1.0369999999999999</v>
      </c>
      <c r="V54" s="286">
        <v>1.0369999999999999</v>
      </c>
      <c r="W54" s="286">
        <v>1.0369999999999999</v>
      </c>
      <c r="X54" s="286">
        <v>1.0369999999999999</v>
      </c>
      <c r="Y54" s="286">
        <v>1.0369999999999999</v>
      </c>
      <c r="Z54" s="286">
        <v>1.0369999999999999</v>
      </c>
      <c r="AA54" s="286">
        <v>1.0369999999999999</v>
      </c>
      <c r="AB54" s="286">
        <v>1.0369999999999999</v>
      </c>
      <c r="AC54" s="286">
        <v>1.0369999999999999</v>
      </c>
      <c r="AD54" s="286">
        <v>1.0369999999999999</v>
      </c>
      <c r="AE54" s="286">
        <v>1.0369999999999999</v>
      </c>
      <c r="AF54" s="283">
        <v>0</v>
      </c>
      <c r="AG54" s="208"/>
      <c r="AH54" s="208"/>
      <c r="AI54" s="208"/>
      <c r="AJ54" s="208"/>
      <c r="AK54" s="208"/>
      <c r="AL54" s="208"/>
      <c r="AM54" s="208"/>
      <c r="AN54" s="208"/>
      <c r="AO54" s="208"/>
      <c r="AP54" s="208"/>
      <c r="AQ54" s="208"/>
      <c r="AR54" s="208"/>
      <c r="AS54" s="208"/>
      <c r="AT54" s="208"/>
      <c r="AU54" s="208"/>
      <c r="AV54" s="208"/>
      <c r="AW54" s="208"/>
      <c r="AX54" s="208"/>
      <c r="AY54" s="208"/>
      <c r="AZ54" s="208"/>
      <c r="BA54" s="208"/>
    </row>
    <row r="55" spans="1:53" ht="15" customHeight="1" x14ac:dyDescent="0.75">
      <c r="A55" s="207"/>
      <c r="B55" s="281" t="s">
        <v>415</v>
      </c>
      <c r="C55" s="286">
        <v>1.034</v>
      </c>
      <c r="D55" s="286">
        <v>1.034</v>
      </c>
      <c r="E55" s="286">
        <v>1.034</v>
      </c>
      <c r="F55" s="286">
        <v>1.034</v>
      </c>
      <c r="G55" s="286">
        <v>1.034</v>
      </c>
      <c r="H55" s="286">
        <v>1.034</v>
      </c>
      <c r="I55" s="286">
        <v>1.034</v>
      </c>
      <c r="J55" s="286">
        <v>1.034</v>
      </c>
      <c r="K55" s="286">
        <v>1.034</v>
      </c>
      <c r="L55" s="286">
        <v>1.034</v>
      </c>
      <c r="M55" s="286">
        <v>1.034</v>
      </c>
      <c r="N55" s="286">
        <v>1.034</v>
      </c>
      <c r="O55" s="286">
        <v>1.034</v>
      </c>
      <c r="P55" s="286">
        <v>1.034</v>
      </c>
      <c r="Q55" s="286">
        <v>1.034</v>
      </c>
      <c r="R55" s="286">
        <v>1.034</v>
      </c>
      <c r="S55" s="286">
        <v>1.034</v>
      </c>
      <c r="T55" s="286">
        <v>1.034</v>
      </c>
      <c r="U55" s="286">
        <v>1.034</v>
      </c>
      <c r="V55" s="286">
        <v>1.034</v>
      </c>
      <c r="W55" s="286">
        <v>1.034</v>
      </c>
      <c r="X55" s="286">
        <v>1.034</v>
      </c>
      <c r="Y55" s="286">
        <v>1.034</v>
      </c>
      <c r="Z55" s="286">
        <v>1.034</v>
      </c>
      <c r="AA55" s="286">
        <v>1.034</v>
      </c>
      <c r="AB55" s="286">
        <v>1.034</v>
      </c>
      <c r="AC55" s="286">
        <v>1.034</v>
      </c>
      <c r="AD55" s="286">
        <v>1.034</v>
      </c>
      <c r="AE55" s="286">
        <v>1.034</v>
      </c>
      <c r="AF55" s="283">
        <v>0</v>
      </c>
      <c r="AG55" s="208"/>
      <c r="AH55" s="208"/>
      <c r="AI55" s="208"/>
      <c r="AJ55" s="208"/>
      <c r="AK55" s="208"/>
      <c r="AL55" s="208"/>
      <c r="AM55" s="208"/>
      <c r="AN55" s="208"/>
      <c r="AO55" s="208"/>
      <c r="AP55" s="208"/>
      <c r="AQ55" s="208"/>
      <c r="AR55" s="208"/>
      <c r="AS55" s="208"/>
      <c r="AT55" s="208"/>
      <c r="AU55" s="208"/>
      <c r="AV55" s="208"/>
      <c r="AW55" s="208"/>
      <c r="AX55" s="208"/>
      <c r="AY55" s="208"/>
      <c r="AZ55" s="208"/>
      <c r="BA55" s="208"/>
    </row>
    <row r="56" spans="1:53" ht="15" customHeight="1" x14ac:dyDescent="0.75">
      <c r="A56" s="207"/>
      <c r="B56" s="281" t="s">
        <v>416</v>
      </c>
      <c r="C56" s="286">
        <v>1.0389999999999999</v>
      </c>
      <c r="D56" s="286">
        <v>1.0389999999999999</v>
      </c>
      <c r="E56" s="286">
        <v>1.0389999999999999</v>
      </c>
      <c r="F56" s="286">
        <v>1.0389999999999999</v>
      </c>
      <c r="G56" s="286">
        <v>1.0389999999999999</v>
      </c>
      <c r="H56" s="286">
        <v>1.0389999999999999</v>
      </c>
      <c r="I56" s="286">
        <v>1.0389999999999999</v>
      </c>
      <c r="J56" s="286">
        <v>1.0389999999999999</v>
      </c>
      <c r="K56" s="286">
        <v>1.0389999999999999</v>
      </c>
      <c r="L56" s="286">
        <v>1.0389999999999999</v>
      </c>
      <c r="M56" s="286">
        <v>1.0389999999999999</v>
      </c>
      <c r="N56" s="286">
        <v>1.0389999999999999</v>
      </c>
      <c r="O56" s="286">
        <v>1.0389999999999999</v>
      </c>
      <c r="P56" s="286">
        <v>1.0389999999999999</v>
      </c>
      <c r="Q56" s="286">
        <v>1.0389999999999999</v>
      </c>
      <c r="R56" s="286">
        <v>1.0389999999999999</v>
      </c>
      <c r="S56" s="286">
        <v>1.0389999999999999</v>
      </c>
      <c r="T56" s="286">
        <v>1.0389999999999999</v>
      </c>
      <c r="U56" s="286">
        <v>1.0389999999999999</v>
      </c>
      <c r="V56" s="286">
        <v>1.0389999999999999</v>
      </c>
      <c r="W56" s="286">
        <v>1.0389999999999999</v>
      </c>
      <c r="X56" s="286">
        <v>1.0389999999999999</v>
      </c>
      <c r="Y56" s="286">
        <v>1.0389999999999999</v>
      </c>
      <c r="Z56" s="286">
        <v>1.0389999999999999</v>
      </c>
      <c r="AA56" s="286">
        <v>1.0389999999999999</v>
      </c>
      <c r="AB56" s="286">
        <v>1.0389999999999999</v>
      </c>
      <c r="AC56" s="286">
        <v>1.0389999999999999</v>
      </c>
      <c r="AD56" s="286">
        <v>1.0389999999999999</v>
      </c>
      <c r="AE56" s="286">
        <v>1.0389999999999999</v>
      </c>
      <c r="AF56" s="283">
        <v>0</v>
      </c>
      <c r="AG56" s="208"/>
      <c r="AH56" s="208"/>
      <c r="AI56" s="208"/>
      <c r="AJ56" s="208"/>
      <c r="AK56" s="208"/>
      <c r="AL56" s="208"/>
      <c r="AM56" s="208"/>
      <c r="AN56" s="208"/>
      <c r="AO56" s="208"/>
      <c r="AP56" s="208"/>
      <c r="AQ56" s="208"/>
      <c r="AR56" s="208"/>
      <c r="AS56" s="208"/>
      <c r="AT56" s="208"/>
      <c r="AU56" s="208"/>
      <c r="AV56" s="208"/>
      <c r="AW56" s="208"/>
      <c r="AX56" s="208"/>
      <c r="AY56" s="208"/>
      <c r="AZ56" s="208"/>
      <c r="BA56" s="208"/>
    </row>
    <row r="57" spans="1:53" ht="15" customHeight="1" x14ac:dyDescent="0.75">
      <c r="A57" s="207"/>
      <c r="B57" s="281" t="s">
        <v>417</v>
      </c>
      <c r="C57" s="286">
        <v>1.0369999999999999</v>
      </c>
      <c r="D57" s="286">
        <v>1.0369999999999999</v>
      </c>
      <c r="E57" s="286">
        <v>1.0369999999999999</v>
      </c>
      <c r="F57" s="286">
        <v>1.0369999999999999</v>
      </c>
      <c r="G57" s="286">
        <v>1.0369999999999999</v>
      </c>
      <c r="H57" s="286">
        <v>1.0369999999999999</v>
      </c>
      <c r="I57" s="286">
        <v>1.0369999999999999</v>
      </c>
      <c r="J57" s="286">
        <v>1.0369999999999999</v>
      </c>
      <c r="K57" s="286">
        <v>1.0369999999999999</v>
      </c>
      <c r="L57" s="286">
        <v>1.0369999999999999</v>
      </c>
      <c r="M57" s="286">
        <v>1.0369999999999999</v>
      </c>
      <c r="N57" s="286">
        <v>1.0369999999999999</v>
      </c>
      <c r="O57" s="286">
        <v>1.0369999999999999</v>
      </c>
      <c r="P57" s="286">
        <v>1.0369999999999999</v>
      </c>
      <c r="Q57" s="286">
        <v>1.0369999999999999</v>
      </c>
      <c r="R57" s="286">
        <v>1.0369999999999999</v>
      </c>
      <c r="S57" s="286">
        <v>1.0369999999999999</v>
      </c>
      <c r="T57" s="286">
        <v>1.0369999999999999</v>
      </c>
      <c r="U57" s="286">
        <v>1.0369999999999999</v>
      </c>
      <c r="V57" s="286">
        <v>1.0369999999999999</v>
      </c>
      <c r="W57" s="286">
        <v>1.0369999999999999</v>
      </c>
      <c r="X57" s="286">
        <v>1.0369999999999999</v>
      </c>
      <c r="Y57" s="286">
        <v>1.0369999999999999</v>
      </c>
      <c r="Z57" s="286">
        <v>1.0369999999999999</v>
      </c>
      <c r="AA57" s="286">
        <v>1.0369999999999999</v>
      </c>
      <c r="AB57" s="286">
        <v>1.0369999999999999</v>
      </c>
      <c r="AC57" s="286">
        <v>1.0369999999999999</v>
      </c>
      <c r="AD57" s="286">
        <v>1.0369999999999999</v>
      </c>
      <c r="AE57" s="286">
        <v>1.0369999999999999</v>
      </c>
      <c r="AF57" s="283">
        <v>0</v>
      </c>
      <c r="AG57" s="208"/>
      <c r="AH57" s="208"/>
      <c r="AI57" s="208"/>
      <c r="AJ57" s="208"/>
      <c r="AK57" s="208"/>
      <c r="AL57" s="208"/>
      <c r="AM57" s="208"/>
      <c r="AN57" s="208"/>
      <c r="AO57" s="208"/>
      <c r="AP57" s="208"/>
      <c r="AQ57" s="208"/>
      <c r="AR57" s="208"/>
      <c r="AS57" s="208"/>
      <c r="AT57" s="208"/>
      <c r="AU57" s="208"/>
      <c r="AV57" s="208"/>
      <c r="AW57" s="208"/>
      <c r="AX57" s="208"/>
      <c r="AY57" s="208"/>
      <c r="AZ57" s="208"/>
      <c r="BA57" s="208"/>
    </row>
    <row r="58" spans="1:53" ht="15" customHeight="1" x14ac:dyDescent="0.75">
      <c r="A58" s="207"/>
      <c r="B58" s="281" t="s">
        <v>418</v>
      </c>
      <c r="C58" s="286">
        <v>1.0249999999999999</v>
      </c>
      <c r="D58" s="286">
        <v>1.0249999999999999</v>
      </c>
      <c r="E58" s="286">
        <v>1.0249999999999999</v>
      </c>
      <c r="F58" s="286">
        <v>1.0249999999999999</v>
      </c>
      <c r="G58" s="286">
        <v>1.0249999999999999</v>
      </c>
      <c r="H58" s="286">
        <v>1.0249999999999999</v>
      </c>
      <c r="I58" s="286">
        <v>1.0249999999999999</v>
      </c>
      <c r="J58" s="286">
        <v>1.0249999999999999</v>
      </c>
      <c r="K58" s="286">
        <v>1.0249999999999999</v>
      </c>
      <c r="L58" s="286">
        <v>1.0249999999999999</v>
      </c>
      <c r="M58" s="286">
        <v>1.0249999999999999</v>
      </c>
      <c r="N58" s="286">
        <v>1.0249999999999999</v>
      </c>
      <c r="O58" s="286">
        <v>1.0249999999999999</v>
      </c>
      <c r="P58" s="286">
        <v>1.0249999999999999</v>
      </c>
      <c r="Q58" s="286">
        <v>1.0249999999999999</v>
      </c>
      <c r="R58" s="286">
        <v>1.0249999999999999</v>
      </c>
      <c r="S58" s="286">
        <v>1.0249999999999999</v>
      </c>
      <c r="T58" s="286">
        <v>1.0249999999999999</v>
      </c>
      <c r="U58" s="286">
        <v>1.0249999999999999</v>
      </c>
      <c r="V58" s="286">
        <v>1.0249999999999999</v>
      </c>
      <c r="W58" s="286">
        <v>1.0249999999999999</v>
      </c>
      <c r="X58" s="286">
        <v>1.0249999999999999</v>
      </c>
      <c r="Y58" s="286">
        <v>1.0249999999999999</v>
      </c>
      <c r="Z58" s="286">
        <v>1.0249999999999999</v>
      </c>
      <c r="AA58" s="286">
        <v>1.0249999999999999</v>
      </c>
      <c r="AB58" s="286">
        <v>1.0249999999999999</v>
      </c>
      <c r="AC58" s="286">
        <v>1.0249999999999999</v>
      </c>
      <c r="AD58" s="286">
        <v>1.0249999999999999</v>
      </c>
      <c r="AE58" s="286">
        <v>1.0249999999999999</v>
      </c>
      <c r="AF58" s="283">
        <v>0</v>
      </c>
      <c r="AG58" s="208"/>
      <c r="AH58" s="208"/>
      <c r="AI58" s="208"/>
      <c r="AJ58" s="208"/>
      <c r="AK58" s="208"/>
      <c r="AL58" s="208"/>
      <c r="AM58" s="208"/>
      <c r="AN58" s="208"/>
      <c r="AO58" s="208"/>
      <c r="AP58" s="208"/>
      <c r="AQ58" s="208"/>
      <c r="AR58" s="208"/>
      <c r="AS58" s="208"/>
      <c r="AT58" s="208"/>
      <c r="AU58" s="208"/>
      <c r="AV58" s="208"/>
      <c r="AW58" s="208"/>
      <c r="AX58" s="208"/>
      <c r="AY58" s="208"/>
      <c r="AZ58" s="208"/>
      <c r="BA58" s="208"/>
    </row>
    <row r="59" spans="1:53" ht="15" customHeight="1" x14ac:dyDescent="0.75">
      <c r="A59" s="207"/>
      <c r="B59" s="281" t="s">
        <v>419</v>
      </c>
      <c r="C59" s="286">
        <v>1.0089999999999999</v>
      </c>
      <c r="D59" s="286">
        <v>1.0089999999999999</v>
      </c>
      <c r="E59" s="286">
        <v>1.0089999999999999</v>
      </c>
      <c r="F59" s="286">
        <v>1.0089999999999999</v>
      </c>
      <c r="G59" s="286">
        <v>1.0089999999999999</v>
      </c>
      <c r="H59" s="286">
        <v>1.0089999999999999</v>
      </c>
      <c r="I59" s="286">
        <v>1.0089999999999999</v>
      </c>
      <c r="J59" s="286">
        <v>1.0089999999999999</v>
      </c>
      <c r="K59" s="286">
        <v>1.0089999999999999</v>
      </c>
      <c r="L59" s="286">
        <v>1.0089999999999999</v>
      </c>
      <c r="M59" s="286">
        <v>1.0089999999999999</v>
      </c>
      <c r="N59" s="286">
        <v>1.0089999999999999</v>
      </c>
      <c r="O59" s="286">
        <v>1.0089999999999999</v>
      </c>
      <c r="P59" s="286">
        <v>1.0089999999999999</v>
      </c>
      <c r="Q59" s="286">
        <v>1.0089999999999999</v>
      </c>
      <c r="R59" s="286">
        <v>1.0089999999999999</v>
      </c>
      <c r="S59" s="286">
        <v>1.0089999999999999</v>
      </c>
      <c r="T59" s="286">
        <v>1.0089999999999999</v>
      </c>
      <c r="U59" s="286">
        <v>1.0089999999999999</v>
      </c>
      <c r="V59" s="286">
        <v>1.0089999999999999</v>
      </c>
      <c r="W59" s="286">
        <v>1.0089999999999999</v>
      </c>
      <c r="X59" s="286">
        <v>1.0089999999999999</v>
      </c>
      <c r="Y59" s="286">
        <v>1.0089999999999999</v>
      </c>
      <c r="Z59" s="286">
        <v>1.0089999999999999</v>
      </c>
      <c r="AA59" s="286">
        <v>1.0089999999999999</v>
      </c>
      <c r="AB59" s="286">
        <v>1.0089999999999999</v>
      </c>
      <c r="AC59" s="286">
        <v>1.0089999999999999</v>
      </c>
      <c r="AD59" s="286">
        <v>1.0089999999999999</v>
      </c>
      <c r="AE59" s="286">
        <v>1.0089999999999999</v>
      </c>
      <c r="AF59" s="283">
        <v>0</v>
      </c>
      <c r="AG59" s="208"/>
      <c r="AH59" s="208"/>
      <c r="AI59" s="208"/>
      <c r="AJ59" s="208"/>
      <c r="AK59" s="208"/>
      <c r="AL59" s="208"/>
      <c r="AM59" s="208"/>
      <c r="AN59" s="208"/>
      <c r="AO59" s="208"/>
      <c r="AP59" s="208"/>
      <c r="AQ59" s="208"/>
      <c r="AR59" s="208"/>
      <c r="AS59" s="208"/>
      <c r="AT59" s="208"/>
      <c r="AU59" s="208"/>
      <c r="AV59" s="208"/>
      <c r="AW59" s="208"/>
      <c r="AX59" s="208"/>
      <c r="AY59" s="208"/>
      <c r="AZ59" s="208"/>
      <c r="BA59" s="208"/>
    </row>
    <row r="60" spans="1:53" ht="15" customHeight="1" x14ac:dyDescent="0.75">
      <c r="A60" s="207"/>
      <c r="B60" s="281" t="s">
        <v>420</v>
      </c>
      <c r="C60" s="286">
        <v>0.96</v>
      </c>
      <c r="D60" s="286">
        <v>0.96</v>
      </c>
      <c r="E60" s="286">
        <v>0.96</v>
      </c>
      <c r="F60" s="286">
        <v>0.96</v>
      </c>
      <c r="G60" s="286">
        <v>0.96</v>
      </c>
      <c r="H60" s="286">
        <v>0.96</v>
      </c>
      <c r="I60" s="286">
        <v>0.96</v>
      </c>
      <c r="J60" s="286">
        <v>0.96</v>
      </c>
      <c r="K60" s="286">
        <v>0.96</v>
      </c>
      <c r="L60" s="286">
        <v>0.96</v>
      </c>
      <c r="M60" s="286">
        <v>0.96</v>
      </c>
      <c r="N60" s="286">
        <v>0.96</v>
      </c>
      <c r="O60" s="286">
        <v>0.96</v>
      </c>
      <c r="P60" s="286">
        <v>0.96</v>
      </c>
      <c r="Q60" s="286">
        <v>0.96</v>
      </c>
      <c r="R60" s="286">
        <v>0.96</v>
      </c>
      <c r="S60" s="286">
        <v>0.96</v>
      </c>
      <c r="T60" s="286">
        <v>0.96</v>
      </c>
      <c r="U60" s="286">
        <v>0.96</v>
      </c>
      <c r="V60" s="286">
        <v>0.96</v>
      </c>
      <c r="W60" s="286">
        <v>0.96</v>
      </c>
      <c r="X60" s="286">
        <v>0.96</v>
      </c>
      <c r="Y60" s="286">
        <v>0.96</v>
      </c>
      <c r="Z60" s="286">
        <v>0.96</v>
      </c>
      <c r="AA60" s="286">
        <v>0.96</v>
      </c>
      <c r="AB60" s="286">
        <v>0.96</v>
      </c>
      <c r="AC60" s="286">
        <v>0.96</v>
      </c>
      <c r="AD60" s="286">
        <v>0.96</v>
      </c>
      <c r="AE60" s="286">
        <v>0.96</v>
      </c>
      <c r="AF60" s="283">
        <v>0</v>
      </c>
      <c r="AG60" s="208"/>
      <c r="AH60" s="208"/>
      <c r="AI60" s="208"/>
      <c r="AJ60" s="208"/>
      <c r="AK60" s="208"/>
      <c r="AL60" s="208"/>
      <c r="AM60" s="208"/>
      <c r="AN60" s="208"/>
      <c r="AO60" s="208"/>
      <c r="AP60" s="208"/>
      <c r="AQ60" s="208"/>
      <c r="AR60" s="208"/>
      <c r="AS60" s="208"/>
      <c r="AT60" s="208"/>
      <c r="AU60" s="208"/>
      <c r="AV60" s="208"/>
      <c r="AW60" s="208"/>
      <c r="AX60" s="208"/>
      <c r="AY60" s="208"/>
      <c r="AZ60" s="208"/>
      <c r="BA60" s="208"/>
    </row>
    <row r="61" spans="1:53" ht="15" customHeight="1" x14ac:dyDescent="0.75">
      <c r="A61" s="207"/>
      <c r="B61" s="208"/>
      <c r="C61" s="208"/>
      <c r="D61" s="208"/>
      <c r="E61" s="208"/>
      <c r="F61" s="208"/>
      <c r="G61" s="208"/>
      <c r="H61" s="208"/>
      <c r="I61" s="208"/>
      <c r="J61" s="208"/>
      <c r="K61" s="208"/>
      <c r="L61" s="208"/>
      <c r="M61" s="208"/>
      <c r="N61" s="208"/>
      <c r="O61" s="208"/>
      <c r="P61" s="208"/>
      <c r="Q61" s="208"/>
      <c r="R61" s="208"/>
      <c r="S61" s="208"/>
      <c r="T61" s="208"/>
      <c r="U61" s="208"/>
      <c r="V61" s="208"/>
      <c r="W61" s="208"/>
      <c r="X61" s="208"/>
      <c r="Y61" s="208"/>
      <c r="Z61" s="208"/>
      <c r="AA61" s="208"/>
      <c r="AB61" s="208"/>
      <c r="AC61" s="208"/>
      <c r="AD61" s="208"/>
      <c r="AE61" s="208"/>
      <c r="AF61" s="208"/>
      <c r="AG61" s="208"/>
      <c r="AH61" s="208"/>
      <c r="AI61" s="208"/>
      <c r="AJ61" s="208"/>
      <c r="AK61" s="208"/>
      <c r="AL61" s="208"/>
      <c r="AM61" s="208"/>
      <c r="AN61" s="208"/>
      <c r="AO61" s="208"/>
      <c r="AP61" s="208"/>
      <c r="AQ61" s="208"/>
      <c r="AR61" s="208"/>
      <c r="AS61" s="208"/>
      <c r="AT61" s="208"/>
      <c r="AU61" s="208"/>
      <c r="AV61" s="208"/>
      <c r="AW61" s="208"/>
      <c r="AX61" s="208"/>
      <c r="AY61" s="208"/>
      <c r="AZ61" s="208"/>
      <c r="BA61" s="208"/>
    </row>
    <row r="62" spans="1:53" ht="14.75" x14ac:dyDescent="0.75">
      <c r="A62" s="207"/>
      <c r="B62" s="280" t="s">
        <v>421</v>
      </c>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208"/>
      <c r="AZ62" s="208"/>
      <c r="BA62" s="208"/>
    </row>
    <row r="63" spans="1:53" ht="15" customHeight="1" x14ac:dyDescent="0.75">
      <c r="A63" s="207"/>
      <c r="B63" s="281" t="s">
        <v>417</v>
      </c>
      <c r="C63" s="282">
        <v>20.414086999999999</v>
      </c>
      <c r="D63" s="282">
        <v>20.306387000000001</v>
      </c>
      <c r="E63" s="282">
        <v>20.561385999999999</v>
      </c>
      <c r="F63" s="282">
        <v>20.682283000000002</v>
      </c>
      <c r="G63" s="282">
        <v>21.026534999999999</v>
      </c>
      <c r="H63" s="282">
        <v>21.446421000000001</v>
      </c>
      <c r="I63" s="282">
        <v>21.618556999999999</v>
      </c>
      <c r="J63" s="282">
        <v>21.391855</v>
      </c>
      <c r="K63" s="282">
        <v>21.480253000000001</v>
      </c>
      <c r="L63" s="282">
        <v>21.504978000000001</v>
      </c>
      <c r="M63" s="282">
        <v>21.517519</v>
      </c>
      <c r="N63" s="282">
        <v>21.584536</v>
      </c>
      <c r="O63" s="282">
        <v>21.490144999999998</v>
      </c>
      <c r="P63" s="282">
        <v>21.426874000000002</v>
      </c>
      <c r="Q63" s="282">
        <v>21.444807000000001</v>
      </c>
      <c r="R63" s="282">
        <v>21.408159000000001</v>
      </c>
      <c r="S63" s="282">
        <v>21.737587000000001</v>
      </c>
      <c r="T63" s="282">
        <v>21.762626999999998</v>
      </c>
      <c r="U63" s="282">
        <v>21.825102000000001</v>
      </c>
      <c r="V63" s="282">
        <v>21.77272</v>
      </c>
      <c r="W63" s="282">
        <v>21.752516</v>
      </c>
      <c r="X63" s="282">
        <v>21.840578000000001</v>
      </c>
      <c r="Y63" s="282">
        <v>21.903272999999999</v>
      </c>
      <c r="Z63" s="282">
        <v>21.967976</v>
      </c>
      <c r="AA63" s="282">
        <v>22.008548999999999</v>
      </c>
      <c r="AB63" s="282">
        <v>22.019365000000001</v>
      </c>
      <c r="AC63" s="282">
        <v>21.979196999999999</v>
      </c>
      <c r="AD63" s="282">
        <v>22.007912000000001</v>
      </c>
      <c r="AE63" s="282">
        <v>21.978470000000002</v>
      </c>
      <c r="AF63" s="283">
        <v>2.6410000000000001E-3</v>
      </c>
      <c r="AG63" s="208"/>
      <c r="AH63" s="208"/>
      <c r="AI63" s="208"/>
      <c r="AJ63" s="208"/>
      <c r="AK63" s="208"/>
      <c r="AL63" s="208"/>
      <c r="AM63" s="208"/>
      <c r="AN63" s="208"/>
      <c r="AO63" s="208"/>
      <c r="AP63" s="208"/>
      <c r="AQ63" s="208"/>
      <c r="AR63" s="208"/>
      <c r="AS63" s="208"/>
      <c r="AT63" s="208"/>
      <c r="AU63" s="208"/>
      <c r="AV63" s="208"/>
      <c r="AW63" s="208"/>
      <c r="AX63" s="208"/>
      <c r="AY63" s="208"/>
      <c r="AZ63" s="208"/>
      <c r="BA63" s="208"/>
    </row>
    <row r="64" spans="1:53" ht="15" customHeight="1" x14ac:dyDescent="0.75">
      <c r="A64" s="207"/>
      <c r="B64" s="281" t="s">
        <v>422</v>
      </c>
      <c r="C64" s="282">
        <v>25.150552999999999</v>
      </c>
      <c r="D64" s="282">
        <v>25.162579999999998</v>
      </c>
      <c r="E64" s="282">
        <v>25.277228999999998</v>
      </c>
      <c r="F64" s="282">
        <v>25.196438000000001</v>
      </c>
      <c r="G64" s="282">
        <v>25.173244</v>
      </c>
      <c r="H64" s="282">
        <v>25.253005999999999</v>
      </c>
      <c r="I64" s="282">
        <v>25.375315000000001</v>
      </c>
      <c r="J64" s="282">
        <v>25.881294</v>
      </c>
      <c r="K64" s="282">
        <v>25.949392</v>
      </c>
      <c r="L64" s="282">
        <v>25.919322999999999</v>
      </c>
      <c r="M64" s="282">
        <v>25.917715000000001</v>
      </c>
      <c r="N64" s="282">
        <v>26.122444000000002</v>
      </c>
      <c r="O64" s="282">
        <v>26.104872</v>
      </c>
      <c r="P64" s="282">
        <v>26.092715999999999</v>
      </c>
      <c r="Q64" s="282">
        <v>26.109541</v>
      </c>
      <c r="R64" s="282">
        <v>26.115759000000001</v>
      </c>
      <c r="S64" s="282">
        <v>26.111366</v>
      </c>
      <c r="T64" s="282">
        <v>26.064837000000001</v>
      </c>
      <c r="U64" s="282">
        <v>26.097258</v>
      </c>
      <c r="V64" s="282">
        <v>26.119198000000001</v>
      </c>
      <c r="W64" s="282">
        <v>26.115304999999999</v>
      </c>
      <c r="X64" s="282">
        <v>26.109867000000001</v>
      </c>
      <c r="Y64" s="282">
        <v>26.134989000000001</v>
      </c>
      <c r="Z64" s="282">
        <v>26.120363000000001</v>
      </c>
      <c r="AA64" s="282">
        <v>26.130583000000001</v>
      </c>
      <c r="AB64" s="282">
        <v>26.147618999999999</v>
      </c>
      <c r="AC64" s="282">
        <v>26.167905999999999</v>
      </c>
      <c r="AD64" s="282">
        <v>26.162901000000002</v>
      </c>
      <c r="AE64" s="282">
        <v>26.183288999999998</v>
      </c>
      <c r="AF64" s="283">
        <v>1.438E-3</v>
      </c>
      <c r="AG64" s="208"/>
      <c r="AH64" s="208"/>
      <c r="AI64" s="208"/>
      <c r="AJ64" s="208"/>
      <c r="AK64" s="208"/>
      <c r="AL64" s="208"/>
      <c r="AM64" s="208"/>
      <c r="AN64" s="208"/>
      <c r="AO64" s="208"/>
      <c r="AP64" s="208"/>
      <c r="AQ64" s="208"/>
      <c r="AR64" s="208"/>
      <c r="AS64" s="208"/>
      <c r="AT64" s="208"/>
      <c r="AU64" s="208"/>
      <c r="AV64" s="208"/>
      <c r="AW64" s="208"/>
      <c r="AX64" s="208"/>
      <c r="AY64" s="208"/>
      <c r="AZ64" s="208"/>
      <c r="BA64" s="208"/>
    </row>
    <row r="65" spans="1:53" ht="15" customHeight="1" x14ac:dyDescent="0.75">
      <c r="A65" s="201"/>
      <c r="B65" s="281" t="s">
        <v>423</v>
      </c>
      <c r="C65" s="282">
        <v>17.359545000000001</v>
      </c>
      <c r="D65" s="282">
        <v>17.333266999999999</v>
      </c>
      <c r="E65" s="282">
        <v>17.469742</v>
      </c>
      <c r="F65" s="282">
        <v>17.421644000000001</v>
      </c>
      <c r="G65" s="282">
        <v>17.439485999999999</v>
      </c>
      <c r="H65" s="282">
        <v>17.491636</v>
      </c>
      <c r="I65" s="282">
        <v>17.459488</v>
      </c>
      <c r="J65" s="282">
        <v>17.634378000000002</v>
      </c>
      <c r="K65" s="282">
        <v>17.574055000000001</v>
      </c>
      <c r="L65" s="282">
        <v>17.584854</v>
      </c>
      <c r="M65" s="282">
        <v>17.592421000000002</v>
      </c>
      <c r="N65" s="282">
        <v>17.594152000000001</v>
      </c>
      <c r="O65" s="282">
        <v>17.563728000000001</v>
      </c>
      <c r="P65" s="282">
        <v>17.529620999999999</v>
      </c>
      <c r="Q65" s="282">
        <v>17.516928</v>
      </c>
      <c r="R65" s="282">
        <v>17.304117000000002</v>
      </c>
      <c r="S65" s="282">
        <v>17.516290999999999</v>
      </c>
      <c r="T65" s="282">
        <v>17.500505</v>
      </c>
      <c r="U65" s="282">
        <v>17.477858000000001</v>
      </c>
      <c r="V65" s="282">
        <v>17.479234999999999</v>
      </c>
      <c r="W65" s="282">
        <v>17.471019999999999</v>
      </c>
      <c r="X65" s="282">
        <v>17.484034999999999</v>
      </c>
      <c r="Y65" s="282">
        <v>17.490487999999999</v>
      </c>
      <c r="Z65" s="282">
        <v>17.495975000000001</v>
      </c>
      <c r="AA65" s="282">
        <v>17.492516999999999</v>
      </c>
      <c r="AB65" s="282">
        <v>17.48987</v>
      </c>
      <c r="AC65" s="282">
        <v>17.478798000000001</v>
      </c>
      <c r="AD65" s="282">
        <v>17.460386</v>
      </c>
      <c r="AE65" s="282">
        <v>17.475587999999998</v>
      </c>
      <c r="AF65" s="283">
        <v>2.3800000000000001E-4</v>
      </c>
      <c r="AG65" s="208"/>
      <c r="AH65" s="208"/>
      <c r="AI65" s="208"/>
      <c r="AJ65" s="208"/>
      <c r="AK65" s="208"/>
      <c r="AL65" s="208"/>
      <c r="AM65" s="208"/>
      <c r="AN65" s="208"/>
      <c r="AO65" s="208"/>
      <c r="AP65" s="208"/>
      <c r="AQ65" s="208"/>
      <c r="AR65" s="208"/>
      <c r="AS65" s="208"/>
      <c r="AT65" s="208"/>
      <c r="AU65" s="208"/>
      <c r="AV65" s="208"/>
      <c r="AW65" s="208"/>
      <c r="AX65" s="208"/>
      <c r="AY65" s="208"/>
      <c r="AZ65" s="208"/>
      <c r="BA65" s="208"/>
    </row>
    <row r="66" spans="1:53" ht="15" customHeight="1" x14ac:dyDescent="0.75">
      <c r="A66" s="201"/>
      <c r="B66" s="281" t="s">
        <v>414</v>
      </c>
      <c r="C66" s="282">
        <v>19.658428000000001</v>
      </c>
      <c r="D66" s="282">
        <v>19.547889999999999</v>
      </c>
      <c r="E66" s="282">
        <v>19.530923999999999</v>
      </c>
      <c r="F66" s="282">
        <v>19.656338000000002</v>
      </c>
      <c r="G66" s="282">
        <v>20.110068999999999</v>
      </c>
      <c r="H66" s="282">
        <v>20.518450000000001</v>
      </c>
      <c r="I66" s="282">
        <v>20.575665999999998</v>
      </c>
      <c r="J66" s="282">
        <v>20.0931</v>
      </c>
      <c r="K66" s="282">
        <v>19.986597</v>
      </c>
      <c r="L66" s="282">
        <v>20.045501999999999</v>
      </c>
      <c r="M66" s="282">
        <v>20.072807000000001</v>
      </c>
      <c r="N66" s="282">
        <v>20.139336</v>
      </c>
      <c r="O66" s="282">
        <v>20.012087000000001</v>
      </c>
      <c r="P66" s="282">
        <v>19.954886999999999</v>
      </c>
      <c r="Q66" s="282">
        <v>19.927517000000002</v>
      </c>
      <c r="R66" s="282">
        <v>20.046503000000001</v>
      </c>
      <c r="S66" s="282">
        <v>20.413609999999998</v>
      </c>
      <c r="T66" s="282">
        <v>20.439775000000001</v>
      </c>
      <c r="U66" s="282">
        <v>20.443366999999999</v>
      </c>
      <c r="V66" s="282">
        <v>20.372391</v>
      </c>
      <c r="W66" s="282">
        <v>20.360711999999999</v>
      </c>
      <c r="X66" s="282">
        <v>20.399227</v>
      </c>
      <c r="Y66" s="282">
        <v>20.438106999999999</v>
      </c>
      <c r="Z66" s="282">
        <v>20.498695000000001</v>
      </c>
      <c r="AA66" s="282">
        <v>20.521355</v>
      </c>
      <c r="AB66" s="282">
        <v>20.524982000000001</v>
      </c>
      <c r="AC66" s="282">
        <v>20.513655</v>
      </c>
      <c r="AD66" s="282">
        <v>20.569064999999998</v>
      </c>
      <c r="AE66" s="282">
        <v>20.506568999999999</v>
      </c>
      <c r="AF66" s="283">
        <v>1.5100000000000001E-3</v>
      </c>
      <c r="AG66" s="208"/>
      <c r="AH66" s="208"/>
      <c r="AI66" s="208"/>
      <c r="AJ66" s="208"/>
      <c r="AK66" s="208"/>
      <c r="AL66" s="208"/>
      <c r="AM66" s="208"/>
      <c r="AN66" s="208"/>
      <c r="AO66" s="208"/>
      <c r="AP66" s="208"/>
      <c r="AQ66" s="208"/>
      <c r="AR66" s="208"/>
      <c r="AS66" s="208"/>
      <c r="AT66" s="208"/>
      <c r="AU66" s="208"/>
      <c r="AV66" s="208"/>
      <c r="AW66" s="208"/>
      <c r="AX66" s="208"/>
      <c r="AY66" s="208"/>
      <c r="AZ66" s="208"/>
      <c r="BA66" s="208"/>
    </row>
    <row r="67" spans="1:53" ht="15" customHeight="1" x14ac:dyDescent="0.75">
      <c r="A67" s="201"/>
      <c r="B67" s="281" t="s">
        <v>424</v>
      </c>
      <c r="C67" s="282">
        <v>18.006001000000001</v>
      </c>
      <c r="D67" s="282">
        <v>18.076194999999998</v>
      </c>
      <c r="E67" s="282">
        <v>18.050530999999999</v>
      </c>
      <c r="F67" s="282">
        <v>17.893633000000001</v>
      </c>
      <c r="G67" s="282">
        <v>17.823392999999999</v>
      </c>
      <c r="H67" s="282">
        <v>17.884933</v>
      </c>
      <c r="I67" s="282">
        <v>17.960042999999999</v>
      </c>
      <c r="J67" s="282">
        <v>18.007738</v>
      </c>
      <c r="K67" s="282">
        <v>18.045808999999998</v>
      </c>
      <c r="L67" s="282">
        <v>18.149768999999999</v>
      </c>
      <c r="M67" s="282">
        <v>18.107817000000001</v>
      </c>
      <c r="N67" s="282">
        <v>18.119067999999999</v>
      </c>
      <c r="O67" s="282">
        <v>18.106013999999998</v>
      </c>
      <c r="P67" s="282">
        <v>18.099829</v>
      </c>
      <c r="Q67" s="282">
        <v>18.068781000000001</v>
      </c>
      <c r="R67" s="282">
        <v>17.983764999999998</v>
      </c>
      <c r="S67" s="282">
        <v>17.923839999999998</v>
      </c>
      <c r="T67" s="282">
        <v>17.901513999999999</v>
      </c>
      <c r="U67" s="282">
        <v>17.883970000000001</v>
      </c>
      <c r="V67" s="282">
        <v>17.863047000000002</v>
      </c>
      <c r="W67" s="282">
        <v>17.841540999999999</v>
      </c>
      <c r="X67" s="282">
        <v>17.809853</v>
      </c>
      <c r="Y67" s="282">
        <v>17.789932</v>
      </c>
      <c r="Z67" s="282">
        <v>17.759554000000001</v>
      </c>
      <c r="AA67" s="282">
        <v>17.740721000000001</v>
      </c>
      <c r="AB67" s="282">
        <v>17.717068000000001</v>
      </c>
      <c r="AC67" s="282">
        <v>17.692871</v>
      </c>
      <c r="AD67" s="282">
        <v>17.692043000000002</v>
      </c>
      <c r="AE67" s="282">
        <v>17.690735</v>
      </c>
      <c r="AF67" s="283">
        <v>-6.3100000000000005E-4</v>
      </c>
      <c r="AG67" s="208"/>
      <c r="AH67" s="208"/>
      <c r="AI67" s="208"/>
      <c r="AJ67" s="208"/>
      <c r="AK67" s="208"/>
      <c r="AL67" s="208"/>
      <c r="AM67" s="208"/>
      <c r="AN67" s="208"/>
      <c r="AO67" s="208"/>
      <c r="AP67" s="208"/>
      <c r="AQ67" s="208"/>
      <c r="AR67" s="208"/>
      <c r="AS67" s="208"/>
      <c r="AT67" s="208"/>
      <c r="AU67" s="208"/>
      <c r="AV67" s="208"/>
      <c r="AW67" s="208"/>
      <c r="AX67" s="208"/>
      <c r="AY67" s="208"/>
      <c r="AZ67" s="208"/>
      <c r="BA67" s="208"/>
    </row>
    <row r="68" spans="1:53" ht="15" customHeight="1" x14ac:dyDescent="0.75">
      <c r="A68" s="201"/>
      <c r="B68" s="281" t="s">
        <v>425</v>
      </c>
      <c r="C68" s="282">
        <v>18.783617</v>
      </c>
      <c r="D68" s="282">
        <v>18.841715000000001</v>
      </c>
      <c r="E68" s="282">
        <v>19.240131000000002</v>
      </c>
      <c r="F68" s="282">
        <v>19.234219</v>
      </c>
      <c r="G68" s="282">
        <v>19.213201999999999</v>
      </c>
      <c r="H68" s="282">
        <v>19.209591</v>
      </c>
      <c r="I68" s="282">
        <v>19.205172000000001</v>
      </c>
      <c r="J68" s="282">
        <v>19.192945000000002</v>
      </c>
      <c r="K68" s="282">
        <v>19.182034999999999</v>
      </c>
      <c r="L68" s="282">
        <v>19.171402</v>
      </c>
      <c r="M68" s="282">
        <v>19.160554999999999</v>
      </c>
      <c r="N68" s="282">
        <v>19.138552000000001</v>
      </c>
      <c r="O68" s="282">
        <v>19.129539000000001</v>
      </c>
      <c r="P68" s="282">
        <v>19.110558999999999</v>
      </c>
      <c r="Q68" s="282">
        <v>19.098140999999998</v>
      </c>
      <c r="R68" s="282">
        <v>19.083539999999999</v>
      </c>
      <c r="S68" s="282">
        <v>19.066293999999999</v>
      </c>
      <c r="T68" s="282">
        <v>19.059636999999999</v>
      </c>
      <c r="U68" s="282">
        <v>19.057034999999999</v>
      </c>
      <c r="V68" s="282">
        <v>19.053011000000001</v>
      </c>
      <c r="W68" s="282">
        <v>19.047277000000001</v>
      </c>
      <c r="X68" s="282">
        <v>19.039465</v>
      </c>
      <c r="Y68" s="282">
        <v>19.03443</v>
      </c>
      <c r="Z68" s="282">
        <v>19.027761000000002</v>
      </c>
      <c r="AA68" s="282">
        <v>19.017918000000002</v>
      </c>
      <c r="AB68" s="282">
        <v>19.012091000000002</v>
      </c>
      <c r="AC68" s="282">
        <v>19.021602999999999</v>
      </c>
      <c r="AD68" s="282">
        <v>19.003336000000001</v>
      </c>
      <c r="AE68" s="282">
        <v>18.998145999999998</v>
      </c>
      <c r="AF68" s="283">
        <v>4.06E-4</v>
      </c>
      <c r="AG68" s="208"/>
      <c r="AH68" s="208"/>
      <c r="AI68" s="208"/>
      <c r="AJ68" s="208"/>
      <c r="AK68" s="208"/>
      <c r="AL68" s="208"/>
      <c r="AM68" s="208"/>
      <c r="AN68" s="208"/>
      <c r="AO68" s="208"/>
      <c r="AP68" s="208"/>
      <c r="AQ68" s="208"/>
      <c r="AR68" s="208"/>
      <c r="AS68" s="208"/>
      <c r="AT68" s="208"/>
      <c r="AU68" s="208"/>
      <c r="AV68" s="208"/>
      <c r="AW68" s="208"/>
      <c r="AX68" s="208"/>
      <c r="AY68" s="208"/>
      <c r="AZ68" s="208"/>
      <c r="BA68" s="208"/>
    </row>
    <row r="69" spans="1:53" ht="15" customHeight="1" x14ac:dyDescent="0.75">
      <c r="A69" s="201"/>
      <c r="B69" s="281" t="s">
        <v>426</v>
      </c>
      <c r="C69" s="282">
        <v>28.414657999999999</v>
      </c>
      <c r="D69" s="282">
        <v>28.420496</v>
      </c>
      <c r="E69" s="282">
        <v>28.564053999999999</v>
      </c>
      <c r="F69" s="282">
        <v>28.563306999999998</v>
      </c>
      <c r="G69" s="282">
        <v>28.564709000000001</v>
      </c>
      <c r="H69" s="282">
        <v>28.561665000000001</v>
      </c>
      <c r="I69" s="282">
        <v>28.424852000000001</v>
      </c>
      <c r="J69" s="282">
        <v>28.42708</v>
      </c>
      <c r="K69" s="282">
        <v>28.424327999999999</v>
      </c>
      <c r="L69" s="282">
        <v>28.424634999999999</v>
      </c>
      <c r="M69" s="282">
        <v>28.425567999999998</v>
      </c>
      <c r="N69" s="282">
        <v>28.425659</v>
      </c>
      <c r="O69" s="282">
        <v>28.423475</v>
      </c>
      <c r="P69" s="282">
        <v>28.424204</v>
      </c>
      <c r="Q69" s="282">
        <v>28.424821999999999</v>
      </c>
      <c r="R69" s="282">
        <v>28.423915999999998</v>
      </c>
      <c r="S69" s="282">
        <v>28.423408999999999</v>
      </c>
      <c r="T69" s="282">
        <v>28.418621000000002</v>
      </c>
      <c r="U69" s="282">
        <v>28.418154000000001</v>
      </c>
      <c r="V69" s="282">
        <v>28.416595000000001</v>
      </c>
      <c r="W69" s="282">
        <v>28.418688</v>
      </c>
      <c r="X69" s="282">
        <v>28.417397000000001</v>
      </c>
      <c r="Y69" s="282">
        <v>28.418078999999999</v>
      </c>
      <c r="Z69" s="282">
        <v>28.415937</v>
      </c>
      <c r="AA69" s="282">
        <v>28.41695</v>
      </c>
      <c r="AB69" s="282">
        <v>28.417501000000001</v>
      </c>
      <c r="AC69" s="282">
        <v>28.414228000000001</v>
      </c>
      <c r="AD69" s="282">
        <v>28.414781999999999</v>
      </c>
      <c r="AE69" s="282">
        <v>28.414515000000002</v>
      </c>
      <c r="AF69" s="283">
        <v>0</v>
      </c>
      <c r="AG69" s="208"/>
      <c r="AH69" s="208"/>
      <c r="AI69" s="208"/>
      <c r="AJ69" s="208"/>
      <c r="AK69" s="208"/>
      <c r="AL69" s="208"/>
      <c r="AM69" s="208"/>
      <c r="AN69" s="208"/>
      <c r="AO69" s="208"/>
      <c r="AP69" s="208"/>
      <c r="AQ69" s="208"/>
      <c r="AR69" s="208"/>
      <c r="AS69" s="208"/>
      <c r="AT69" s="208"/>
      <c r="AU69" s="208"/>
      <c r="AV69" s="208"/>
      <c r="AW69" s="208"/>
      <c r="AX69" s="208"/>
      <c r="AY69" s="208"/>
      <c r="AZ69" s="208"/>
      <c r="BA69" s="208"/>
    </row>
    <row r="70" spans="1:53" ht="14.75" x14ac:dyDescent="0.75">
      <c r="A70" s="201"/>
      <c r="B70" s="281" t="s">
        <v>427</v>
      </c>
      <c r="C70" s="282">
        <v>19.261752999999999</v>
      </c>
      <c r="D70" s="282">
        <v>19.094007000000001</v>
      </c>
      <c r="E70" s="282">
        <v>19.073429000000001</v>
      </c>
      <c r="F70" s="282">
        <v>19.172198999999999</v>
      </c>
      <c r="G70" s="282">
        <v>19.601582000000001</v>
      </c>
      <c r="H70" s="282">
        <v>19.981221999999999</v>
      </c>
      <c r="I70" s="282">
        <v>19.951308999999998</v>
      </c>
      <c r="J70" s="282">
        <v>19.245697</v>
      </c>
      <c r="K70" s="282">
        <v>19.029951000000001</v>
      </c>
      <c r="L70" s="282">
        <v>19.089005</v>
      </c>
      <c r="M70" s="282">
        <v>19.111488000000001</v>
      </c>
      <c r="N70" s="282">
        <v>19.224411</v>
      </c>
      <c r="O70" s="282">
        <v>19.066448000000001</v>
      </c>
      <c r="P70" s="282">
        <v>19.004940000000001</v>
      </c>
      <c r="Q70" s="282">
        <v>18.968260000000001</v>
      </c>
      <c r="R70" s="282">
        <v>19.093116999999999</v>
      </c>
      <c r="S70" s="282">
        <v>19.521412000000002</v>
      </c>
      <c r="T70" s="282">
        <v>19.550014000000001</v>
      </c>
      <c r="U70" s="282">
        <v>19.53932</v>
      </c>
      <c r="V70" s="282">
        <v>19.461977000000001</v>
      </c>
      <c r="W70" s="282">
        <v>19.446017999999999</v>
      </c>
      <c r="X70" s="282">
        <v>19.485047999999999</v>
      </c>
      <c r="Y70" s="282">
        <v>19.506826</v>
      </c>
      <c r="Z70" s="282">
        <v>19.564098000000001</v>
      </c>
      <c r="AA70" s="282">
        <v>19.57564</v>
      </c>
      <c r="AB70" s="282">
        <v>19.575510000000001</v>
      </c>
      <c r="AC70" s="282">
        <v>19.545100999999999</v>
      </c>
      <c r="AD70" s="282">
        <v>19.618680999999999</v>
      </c>
      <c r="AE70" s="282">
        <v>19.498875000000002</v>
      </c>
      <c r="AF70" s="283">
        <v>4.37E-4</v>
      </c>
      <c r="AG70" s="208"/>
      <c r="AH70" s="208"/>
      <c r="AI70" s="208"/>
      <c r="AJ70" s="208"/>
      <c r="AK70" s="208"/>
      <c r="AL70" s="208"/>
      <c r="AM70" s="208"/>
      <c r="AN70" s="208"/>
      <c r="AO70" s="208"/>
      <c r="AP70" s="208"/>
      <c r="AQ70" s="208"/>
      <c r="AR70" s="208"/>
      <c r="AS70" s="208"/>
      <c r="AT70" s="208"/>
      <c r="AU70" s="208"/>
      <c r="AV70" s="208"/>
      <c r="AW70" s="208"/>
      <c r="AX70" s="208"/>
      <c r="AY70" s="208"/>
      <c r="AZ70" s="208"/>
      <c r="BA70" s="208"/>
    </row>
    <row r="71" spans="1:53" ht="15" customHeight="1" x14ac:dyDescent="0.75">
      <c r="A71" s="201"/>
      <c r="B71" s="281" t="s">
        <v>418</v>
      </c>
      <c r="C71" s="282">
        <v>23.859665</v>
      </c>
      <c r="D71" s="282">
        <v>23.823354999999999</v>
      </c>
      <c r="E71" s="282">
        <v>24.306349000000001</v>
      </c>
      <c r="F71" s="282">
        <v>24.259813000000001</v>
      </c>
      <c r="G71" s="282">
        <v>24.157302999999999</v>
      </c>
      <c r="H71" s="282">
        <v>24.166778999999998</v>
      </c>
      <c r="I71" s="282">
        <v>24.341519999999999</v>
      </c>
      <c r="J71" s="282">
        <v>24.347010000000001</v>
      </c>
      <c r="K71" s="282">
        <v>24.354690999999999</v>
      </c>
      <c r="L71" s="282">
        <v>24.360081000000001</v>
      </c>
      <c r="M71" s="282">
        <v>24.36758</v>
      </c>
      <c r="N71" s="282">
        <v>24.405735</v>
      </c>
      <c r="O71" s="282">
        <v>24.413681</v>
      </c>
      <c r="P71" s="282">
        <v>24.419716000000001</v>
      </c>
      <c r="Q71" s="282">
        <v>24.427009999999999</v>
      </c>
      <c r="R71" s="282">
        <v>24.434260999999999</v>
      </c>
      <c r="S71" s="282">
        <v>24.420539999999999</v>
      </c>
      <c r="T71" s="282">
        <v>24.426120999999998</v>
      </c>
      <c r="U71" s="282">
        <v>24.427451999999999</v>
      </c>
      <c r="V71" s="282">
        <v>24.428066000000001</v>
      </c>
      <c r="W71" s="282">
        <v>24.430658000000001</v>
      </c>
      <c r="X71" s="282">
        <v>24.436260000000001</v>
      </c>
      <c r="Y71" s="282">
        <v>24.411711</v>
      </c>
      <c r="Z71" s="282">
        <v>24.416954</v>
      </c>
      <c r="AA71" s="282">
        <v>24.419678000000001</v>
      </c>
      <c r="AB71" s="282">
        <v>24.413703999999999</v>
      </c>
      <c r="AC71" s="282">
        <v>24.385359000000001</v>
      </c>
      <c r="AD71" s="282">
        <v>24.329633999999999</v>
      </c>
      <c r="AE71" s="282">
        <v>24.333667999999999</v>
      </c>
      <c r="AF71" s="283">
        <v>7.0299999999999996E-4</v>
      </c>
      <c r="AG71" s="208"/>
      <c r="AH71" s="208"/>
      <c r="AI71" s="208"/>
      <c r="AJ71" s="208"/>
      <c r="AK71" s="208"/>
      <c r="AL71" s="208"/>
      <c r="AM71" s="208"/>
      <c r="AN71" s="208"/>
      <c r="AO71" s="208"/>
      <c r="AP71" s="208"/>
      <c r="AQ71" s="208"/>
      <c r="AR71" s="208"/>
      <c r="AS71" s="208"/>
      <c r="AT71" s="208"/>
      <c r="AU71" s="208"/>
      <c r="AV71" s="208"/>
      <c r="AW71" s="208"/>
      <c r="AX71" s="208"/>
      <c r="AY71" s="208"/>
      <c r="AZ71" s="208"/>
      <c r="BA71" s="208"/>
    </row>
    <row r="72" spans="1:53" ht="15" customHeight="1" x14ac:dyDescent="0.75">
      <c r="A72" s="201"/>
      <c r="B72" s="281" t="s">
        <v>419</v>
      </c>
      <c r="C72" s="282">
        <v>25.334827000000001</v>
      </c>
      <c r="D72" s="282">
        <v>25.104583999999999</v>
      </c>
      <c r="E72" s="282">
        <v>25.440268</v>
      </c>
      <c r="F72" s="282">
        <v>25.260694999999998</v>
      </c>
      <c r="G72" s="282">
        <v>24.183857</v>
      </c>
      <c r="H72" s="282">
        <v>24.143476</v>
      </c>
      <c r="I72" s="282">
        <v>24.205839000000001</v>
      </c>
      <c r="J72" s="282">
        <v>24.216169000000001</v>
      </c>
      <c r="K72" s="282">
        <v>24.542210000000001</v>
      </c>
      <c r="L72" s="282">
        <v>24.411135000000002</v>
      </c>
      <c r="M72" s="282">
        <v>24.344087999999999</v>
      </c>
      <c r="N72" s="282">
        <v>24.484596</v>
      </c>
      <c r="O72" s="282">
        <v>24.493072999999999</v>
      </c>
      <c r="P72" s="282">
        <v>24.428740999999999</v>
      </c>
      <c r="Q72" s="282">
        <v>24.565546000000001</v>
      </c>
      <c r="R72" s="282">
        <v>24.314209000000002</v>
      </c>
      <c r="S72" s="282">
        <v>24.333238999999999</v>
      </c>
      <c r="T72" s="282">
        <v>24.333513</v>
      </c>
      <c r="U72" s="282">
        <v>24.421448000000002</v>
      </c>
      <c r="V72" s="282">
        <v>24.449455</v>
      </c>
      <c r="W72" s="282">
        <v>24.400551</v>
      </c>
      <c r="X72" s="282">
        <v>24.57086</v>
      </c>
      <c r="Y72" s="282">
        <v>24.596798</v>
      </c>
      <c r="Z72" s="282">
        <v>24.589790000000001</v>
      </c>
      <c r="AA72" s="282">
        <v>24.643401999999998</v>
      </c>
      <c r="AB72" s="282">
        <v>24.656141000000002</v>
      </c>
      <c r="AC72" s="282">
        <v>24.537496999999998</v>
      </c>
      <c r="AD72" s="282">
        <v>24.472774999999999</v>
      </c>
      <c r="AE72" s="282">
        <v>24.429749000000001</v>
      </c>
      <c r="AF72" s="283">
        <v>-1.2979999999999999E-3</v>
      </c>
      <c r="AG72" s="208"/>
      <c r="AH72" s="208"/>
      <c r="AI72" s="208"/>
      <c r="AJ72" s="208"/>
      <c r="AK72" s="208"/>
      <c r="AL72" s="208"/>
      <c r="AM72" s="208"/>
      <c r="AN72" s="208"/>
      <c r="AO72" s="208"/>
      <c r="AP72" s="208"/>
      <c r="AQ72" s="208"/>
      <c r="AR72" s="208"/>
      <c r="AS72" s="208"/>
      <c r="AT72" s="208"/>
      <c r="AU72" s="208"/>
      <c r="AV72" s="208"/>
      <c r="AW72" s="208"/>
      <c r="AX72" s="208"/>
      <c r="AY72" s="208"/>
      <c r="AZ72" s="208"/>
      <c r="BA72" s="208"/>
    </row>
    <row r="73" spans="1:53" ht="15" customHeight="1" x14ac:dyDescent="0.75">
      <c r="A73" s="201"/>
      <c r="B73" s="281" t="s">
        <v>428</v>
      </c>
      <c r="C73" s="282" t="s">
        <v>252</v>
      </c>
      <c r="D73" s="282" t="s">
        <v>252</v>
      </c>
      <c r="E73" s="282" t="s">
        <v>252</v>
      </c>
      <c r="F73" s="282" t="s">
        <v>252</v>
      </c>
      <c r="G73" s="282" t="s">
        <v>252</v>
      </c>
      <c r="H73" s="282" t="s">
        <v>252</v>
      </c>
      <c r="I73" s="282" t="s">
        <v>252</v>
      </c>
      <c r="J73" s="282" t="s">
        <v>252</v>
      </c>
      <c r="K73" s="282" t="s">
        <v>252</v>
      </c>
      <c r="L73" s="282" t="s">
        <v>252</v>
      </c>
      <c r="M73" s="282" t="s">
        <v>252</v>
      </c>
      <c r="N73" s="282" t="s">
        <v>252</v>
      </c>
      <c r="O73" s="282" t="s">
        <v>252</v>
      </c>
      <c r="P73" s="282" t="s">
        <v>252</v>
      </c>
      <c r="Q73" s="282" t="s">
        <v>252</v>
      </c>
      <c r="R73" s="282" t="s">
        <v>252</v>
      </c>
      <c r="S73" s="282" t="s">
        <v>252</v>
      </c>
      <c r="T73" s="282" t="s">
        <v>252</v>
      </c>
      <c r="U73" s="282" t="s">
        <v>252</v>
      </c>
      <c r="V73" s="282" t="s">
        <v>252</v>
      </c>
      <c r="W73" s="282" t="s">
        <v>252</v>
      </c>
      <c r="X73" s="282" t="s">
        <v>252</v>
      </c>
      <c r="Y73" s="282" t="s">
        <v>252</v>
      </c>
      <c r="Z73" s="282" t="s">
        <v>252</v>
      </c>
      <c r="AA73" s="282" t="s">
        <v>252</v>
      </c>
      <c r="AB73" s="282" t="s">
        <v>252</v>
      </c>
      <c r="AC73" s="282" t="s">
        <v>252</v>
      </c>
      <c r="AD73" s="282" t="s">
        <v>252</v>
      </c>
      <c r="AE73" s="282" t="s">
        <v>252</v>
      </c>
      <c r="AF73" s="283" t="s">
        <v>252</v>
      </c>
      <c r="AG73" s="208" t="s">
        <v>252</v>
      </c>
      <c r="AH73" s="208" t="s">
        <v>252</v>
      </c>
      <c r="AI73" s="208" t="s">
        <v>252</v>
      </c>
      <c r="AJ73" s="208" t="s">
        <v>252</v>
      </c>
      <c r="AK73" s="208" t="s">
        <v>252</v>
      </c>
      <c r="AL73" s="208" t="s">
        <v>252</v>
      </c>
      <c r="AM73" s="208" t="s">
        <v>252</v>
      </c>
      <c r="AN73" s="208" t="s">
        <v>252</v>
      </c>
      <c r="AO73" s="208" t="s">
        <v>252</v>
      </c>
      <c r="AP73" s="208" t="s">
        <v>252</v>
      </c>
      <c r="AQ73" s="208" t="s">
        <v>252</v>
      </c>
      <c r="AR73" s="208" t="s">
        <v>252</v>
      </c>
      <c r="AS73" s="208" t="s">
        <v>252</v>
      </c>
      <c r="AT73" s="208" t="s">
        <v>252</v>
      </c>
      <c r="AU73" s="208" t="s">
        <v>252</v>
      </c>
      <c r="AV73" s="208" t="s">
        <v>252</v>
      </c>
      <c r="AW73" s="208" t="s">
        <v>252</v>
      </c>
      <c r="AX73" s="208" t="s">
        <v>252</v>
      </c>
      <c r="AY73" s="208" t="s">
        <v>252</v>
      </c>
      <c r="AZ73" s="208" t="s">
        <v>252</v>
      </c>
      <c r="BA73" s="208" t="s">
        <v>252</v>
      </c>
    </row>
    <row r="74" spans="1:53" ht="15" customHeight="1" x14ac:dyDescent="0.75">
      <c r="A74" s="201"/>
      <c r="B74" s="281" t="s">
        <v>429</v>
      </c>
      <c r="C74" s="282">
        <v>12.525999000000001</v>
      </c>
      <c r="D74" s="282">
        <v>12.526001000000001</v>
      </c>
      <c r="E74" s="282">
        <v>12.525999000000001</v>
      </c>
      <c r="F74" s="282">
        <v>12.526</v>
      </c>
      <c r="G74" s="282">
        <v>12.526001000000001</v>
      </c>
      <c r="H74" s="282">
        <v>12.526</v>
      </c>
      <c r="I74" s="282">
        <v>12.526</v>
      </c>
      <c r="J74" s="282">
        <v>12.526001000000001</v>
      </c>
      <c r="K74" s="282">
        <v>12.526001000000001</v>
      </c>
      <c r="L74" s="282">
        <v>12.526</v>
      </c>
      <c r="M74" s="282">
        <v>12.526</v>
      </c>
      <c r="N74" s="282">
        <v>12.525999000000001</v>
      </c>
      <c r="O74" s="282">
        <v>12.526</v>
      </c>
      <c r="P74" s="282">
        <v>12.526</v>
      </c>
      <c r="Q74" s="282">
        <v>12.526</v>
      </c>
      <c r="R74" s="282">
        <v>12.526</v>
      </c>
      <c r="S74" s="282">
        <v>12.526</v>
      </c>
      <c r="T74" s="282">
        <v>12.526</v>
      </c>
      <c r="U74" s="282">
        <v>12.526</v>
      </c>
      <c r="V74" s="282">
        <v>12.526</v>
      </c>
      <c r="W74" s="282">
        <v>12.525999000000001</v>
      </c>
      <c r="X74" s="282">
        <v>12.526</v>
      </c>
      <c r="Y74" s="282">
        <v>12.525999000000001</v>
      </c>
      <c r="Z74" s="282">
        <v>12.526</v>
      </c>
      <c r="AA74" s="282">
        <v>12.526001000000001</v>
      </c>
      <c r="AB74" s="282">
        <v>12.526001000000001</v>
      </c>
      <c r="AC74" s="282">
        <v>12.525999000000001</v>
      </c>
      <c r="AD74" s="282">
        <v>12.526001000000001</v>
      </c>
      <c r="AE74" s="282">
        <v>12.526</v>
      </c>
      <c r="AF74" s="283">
        <v>0</v>
      </c>
      <c r="AG74" s="208"/>
      <c r="AH74" s="208"/>
      <c r="AI74" s="208"/>
      <c r="AJ74" s="208"/>
      <c r="AK74" s="208"/>
      <c r="AL74" s="208"/>
      <c r="AM74" s="208"/>
      <c r="AN74" s="208"/>
      <c r="AO74" s="208"/>
      <c r="AP74" s="208"/>
      <c r="AQ74" s="208"/>
      <c r="AR74" s="208"/>
      <c r="AS74" s="208"/>
      <c r="AT74" s="208"/>
      <c r="AU74" s="208"/>
      <c r="AV74" s="208"/>
      <c r="AW74" s="208"/>
      <c r="AX74" s="208"/>
      <c r="AY74" s="208"/>
      <c r="AZ74" s="208"/>
      <c r="BA74" s="208"/>
    </row>
    <row r="75" spans="1:53" ht="15" customHeight="1" x14ac:dyDescent="0.75">
      <c r="B75" s="208"/>
      <c r="C75" s="208"/>
      <c r="D75" s="208"/>
      <c r="E75" s="208"/>
      <c r="F75" s="208"/>
      <c r="G75" s="208"/>
      <c r="H75" s="208"/>
      <c r="I75" s="208"/>
      <c r="J75" s="208"/>
      <c r="K75" s="208"/>
      <c r="L75" s="208"/>
      <c r="M75" s="208"/>
      <c r="N75" s="208"/>
      <c r="O75" s="208"/>
      <c r="P75" s="208"/>
      <c r="Q75" s="208"/>
      <c r="R75" s="208"/>
      <c r="S75" s="208"/>
      <c r="T75" s="208"/>
      <c r="U75" s="208"/>
      <c r="V75" s="208"/>
      <c r="W75" s="208"/>
      <c r="X75" s="208"/>
      <c r="Y75" s="208"/>
      <c r="Z75" s="208"/>
      <c r="AA75" s="208"/>
      <c r="AB75" s="208"/>
      <c r="AC75" s="208"/>
      <c r="AD75" s="208"/>
      <c r="AE75" s="208"/>
      <c r="AF75" s="208"/>
      <c r="AG75" s="208"/>
      <c r="AH75" s="208"/>
      <c r="AI75" s="208"/>
      <c r="AJ75" s="208"/>
      <c r="AK75" s="208"/>
      <c r="AL75" s="208"/>
      <c r="AM75" s="208"/>
      <c r="AN75" s="208"/>
      <c r="AO75" s="208"/>
      <c r="AP75" s="208"/>
      <c r="AQ75" s="208"/>
      <c r="AR75" s="208"/>
      <c r="AS75" s="208"/>
      <c r="AT75" s="208"/>
      <c r="AU75" s="208"/>
      <c r="AV75" s="208"/>
      <c r="AW75" s="208"/>
      <c r="AX75" s="208"/>
      <c r="AY75" s="208"/>
      <c r="AZ75" s="208"/>
      <c r="BA75" s="208"/>
    </row>
    <row r="76" spans="1:53" ht="15" customHeight="1" x14ac:dyDescent="0.75">
      <c r="B76" s="280" t="s">
        <v>430</v>
      </c>
      <c r="C76" s="208"/>
      <c r="D76" s="208"/>
      <c r="E76" s="208"/>
      <c r="F76" s="208"/>
      <c r="G76" s="208"/>
      <c r="H76" s="208"/>
      <c r="I76" s="208"/>
      <c r="J76" s="208"/>
      <c r="K76" s="208"/>
      <c r="L76" s="208"/>
      <c r="M76" s="208"/>
      <c r="N76" s="208"/>
      <c r="O76" s="208"/>
      <c r="P76" s="208"/>
      <c r="Q76" s="208"/>
      <c r="R76" s="208"/>
      <c r="S76" s="208"/>
      <c r="T76" s="208"/>
      <c r="U76" s="208"/>
      <c r="V76" s="208"/>
      <c r="W76" s="208"/>
      <c r="X76" s="208"/>
      <c r="Y76" s="208"/>
      <c r="Z76" s="208"/>
      <c r="AA76" s="208"/>
      <c r="AB76" s="208"/>
      <c r="AC76" s="208"/>
      <c r="AD76" s="208"/>
      <c r="AE76" s="208"/>
      <c r="AF76" s="208"/>
      <c r="AG76" s="208"/>
      <c r="AH76" s="208"/>
      <c r="AI76" s="208"/>
      <c r="AJ76" s="208"/>
      <c r="AK76" s="208"/>
      <c r="AL76" s="208"/>
      <c r="AM76" s="208"/>
      <c r="AN76" s="208"/>
      <c r="AO76" s="208"/>
      <c r="AP76" s="208"/>
      <c r="AQ76" s="208"/>
      <c r="AR76" s="208"/>
      <c r="AS76" s="208"/>
      <c r="AT76" s="208"/>
      <c r="AU76" s="208"/>
      <c r="AV76" s="208"/>
      <c r="AW76" s="208"/>
      <c r="AX76" s="208"/>
      <c r="AY76" s="208"/>
      <c r="AZ76" s="208"/>
      <c r="BA76" s="208"/>
    </row>
    <row r="77" spans="1:53" ht="15" customHeight="1" x14ac:dyDescent="0.75">
      <c r="B77" s="280" t="s">
        <v>431</v>
      </c>
      <c r="C77" s="208"/>
      <c r="D77" s="208"/>
      <c r="E77" s="208"/>
      <c r="F77" s="208"/>
      <c r="G77" s="208"/>
      <c r="H77" s="208"/>
      <c r="I77" s="208"/>
      <c r="J77" s="208"/>
      <c r="K77" s="208"/>
      <c r="L77" s="208"/>
      <c r="M77" s="208"/>
      <c r="N77" s="208"/>
      <c r="O77" s="208"/>
      <c r="P77" s="208"/>
      <c r="Q77" s="208"/>
      <c r="R77" s="208"/>
      <c r="S77" s="208"/>
      <c r="T77" s="208"/>
      <c r="U77" s="208"/>
      <c r="V77" s="208"/>
      <c r="W77" s="208"/>
      <c r="X77" s="208"/>
      <c r="Y77" s="208"/>
      <c r="Z77" s="208"/>
      <c r="AA77" s="208"/>
      <c r="AB77" s="208"/>
      <c r="AC77" s="208"/>
      <c r="AD77" s="208"/>
      <c r="AE77" s="208"/>
      <c r="AF77" s="208"/>
      <c r="AG77" s="208"/>
      <c r="AH77" s="208"/>
      <c r="AI77" s="208"/>
      <c r="AJ77" s="208"/>
      <c r="AK77" s="208"/>
      <c r="AL77" s="208"/>
      <c r="AM77" s="208"/>
      <c r="AN77" s="208"/>
      <c r="AO77" s="208"/>
      <c r="AP77" s="208"/>
      <c r="AQ77" s="208"/>
      <c r="AR77" s="208"/>
      <c r="AS77" s="208"/>
      <c r="AT77" s="208"/>
      <c r="AU77" s="208"/>
      <c r="AV77" s="208"/>
      <c r="AW77" s="208"/>
      <c r="AX77" s="208"/>
      <c r="AY77" s="208"/>
      <c r="AZ77" s="208"/>
      <c r="BA77" s="208"/>
    </row>
    <row r="78" spans="1:53" ht="14.75" x14ac:dyDescent="0.75">
      <c r="A78" s="201"/>
      <c r="B78" s="281" t="s">
        <v>432</v>
      </c>
      <c r="C78" s="285">
        <v>3412</v>
      </c>
      <c r="D78" s="285">
        <v>3412</v>
      </c>
      <c r="E78" s="285">
        <v>3412</v>
      </c>
      <c r="F78" s="285">
        <v>3412</v>
      </c>
      <c r="G78" s="285">
        <v>3412</v>
      </c>
      <c r="H78" s="285">
        <v>3412</v>
      </c>
      <c r="I78" s="285">
        <v>3412</v>
      </c>
      <c r="J78" s="285">
        <v>3412</v>
      </c>
      <c r="K78" s="285">
        <v>3412</v>
      </c>
      <c r="L78" s="285">
        <v>3412</v>
      </c>
      <c r="M78" s="285">
        <v>3412</v>
      </c>
      <c r="N78" s="285">
        <v>3412</v>
      </c>
      <c r="O78" s="285">
        <v>3412</v>
      </c>
      <c r="P78" s="285">
        <v>3412</v>
      </c>
      <c r="Q78" s="285">
        <v>3412</v>
      </c>
      <c r="R78" s="285">
        <v>3412</v>
      </c>
      <c r="S78" s="285">
        <v>3412</v>
      </c>
      <c r="T78" s="285">
        <v>3412</v>
      </c>
      <c r="U78" s="285">
        <v>3412</v>
      </c>
      <c r="V78" s="285">
        <v>3412</v>
      </c>
      <c r="W78" s="285">
        <v>3412</v>
      </c>
      <c r="X78" s="285">
        <v>3412</v>
      </c>
      <c r="Y78" s="285">
        <v>3412</v>
      </c>
      <c r="Z78" s="285">
        <v>3412</v>
      </c>
      <c r="AA78" s="285">
        <v>3412</v>
      </c>
      <c r="AB78" s="285">
        <v>3412</v>
      </c>
      <c r="AC78" s="285">
        <v>3412</v>
      </c>
      <c r="AD78" s="285">
        <v>3412</v>
      </c>
      <c r="AE78" s="285">
        <v>3412</v>
      </c>
      <c r="AF78" s="283">
        <v>0</v>
      </c>
      <c r="AG78" s="208"/>
      <c r="AH78" s="208"/>
      <c r="AI78" s="208"/>
      <c r="AJ78" s="208"/>
      <c r="AK78" s="208"/>
      <c r="AL78" s="208"/>
      <c r="AM78" s="208"/>
      <c r="AN78" s="208"/>
      <c r="AO78" s="208"/>
      <c r="AP78" s="208"/>
      <c r="AQ78" s="208"/>
      <c r="AR78" s="208"/>
      <c r="AS78" s="208"/>
      <c r="AT78" s="208"/>
      <c r="AU78" s="208"/>
      <c r="AV78" s="208"/>
      <c r="AW78" s="208"/>
      <c r="AX78" s="208"/>
      <c r="AY78" s="208"/>
      <c r="AZ78" s="208"/>
      <c r="BA78" s="208"/>
    </row>
    <row r="79" spans="1:53" ht="15" customHeight="1" thickBot="1" x14ac:dyDescent="0.9">
      <c r="A79" s="201"/>
      <c r="B79" s="281" t="s">
        <v>433</v>
      </c>
      <c r="C79" s="285">
        <v>8704.7636719999991</v>
      </c>
      <c r="D79" s="285">
        <v>8578.2412110000005</v>
      </c>
      <c r="E79" s="285">
        <v>8637.2558590000008</v>
      </c>
      <c r="F79" s="285">
        <v>8588.453125</v>
      </c>
      <c r="G79" s="285">
        <v>8512.0644530000009</v>
      </c>
      <c r="H79" s="285">
        <v>8435.9892579999996</v>
      </c>
      <c r="I79" s="285">
        <v>8346.515625</v>
      </c>
      <c r="J79" s="285">
        <v>8291.6826170000004</v>
      </c>
      <c r="K79" s="285">
        <v>8261.0888670000004</v>
      </c>
      <c r="L79" s="285">
        <v>8271.4091800000006</v>
      </c>
      <c r="M79" s="285">
        <v>8287.5830079999996</v>
      </c>
      <c r="N79" s="285">
        <v>8311.3779300000006</v>
      </c>
      <c r="O79" s="285">
        <v>8325.2792969999991</v>
      </c>
      <c r="P79" s="285">
        <v>8337.6533199999994</v>
      </c>
      <c r="Q79" s="285">
        <v>8327.5019530000009</v>
      </c>
      <c r="R79" s="285">
        <v>8296.8251949999994</v>
      </c>
      <c r="S79" s="285">
        <v>8242.8730469999991</v>
      </c>
      <c r="T79" s="285">
        <v>8227.1269530000009</v>
      </c>
      <c r="U79" s="285">
        <v>8192.4570309999999</v>
      </c>
      <c r="V79" s="285">
        <v>8198.7402340000008</v>
      </c>
      <c r="W79" s="285">
        <v>8188.8388670000004</v>
      </c>
      <c r="X79" s="285">
        <v>8173.1420900000003</v>
      </c>
      <c r="Y79" s="285">
        <v>8166.9145509999998</v>
      </c>
      <c r="Z79" s="285">
        <v>8150.8017579999996</v>
      </c>
      <c r="AA79" s="285">
        <v>8133.8295900000003</v>
      </c>
      <c r="AB79" s="285">
        <v>8130.3310549999997</v>
      </c>
      <c r="AC79" s="285">
        <v>8101.1708980000003</v>
      </c>
      <c r="AD79" s="285">
        <v>8098.4907229999999</v>
      </c>
      <c r="AE79" s="285">
        <v>8065.7133789999998</v>
      </c>
      <c r="AF79" s="283">
        <v>-2.7190000000000001E-3</v>
      </c>
      <c r="AG79" s="208"/>
      <c r="AH79" s="208"/>
      <c r="AI79" s="208"/>
      <c r="AJ79" s="208"/>
      <c r="AK79" s="208"/>
      <c r="AL79" s="208"/>
      <c r="AM79" s="208"/>
      <c r="AN79" s="208"/>
      <c r="AO79" s="208"/>
      <c r="AP79" s="208"/>
      <c r="AQ79" s="208"/>
      <c r="AR79" s="208"/>
      <c r="AS79" s="208"/>
      <c r="AT79" s="208"/>
      <c r="AU79" s="208"/>
      <c r="AV79" s="208"/>
      <c r="AW79" s="208"/>
      <c r="AX79" s="208"/>
      <c r="AY79" s="208"/>
      <c r="AZ79" s="208"/>
      <c r="BA79" s="208"/>
    </row>
    <row r="80" spans="1:53" ht="15" customHeight="1" x14ac:dyDescent="0.75">
      <c r="B80" s="297" t="s">
        <v>434</v>
      </c>
      <c r="C80" s="295"/>
      <c r="D80" s="295"/>
      <c r="E80" s="295"/>
      <c r="F80" s="295"/>
      <c r="G80" s="295"/>
      <c r="H80" s="295"/>
      <c r="I80" s="295"/>
      <c r="J80" s="295"/>
      <c r="K80" s="295"/>
      <c r="L80" s="295"/>
      <c r="M80" s="295"/>
      <c r="N80" s="295"/>
      <c r="O80" s="295"/>
      <c r="P80" s="295"/>
      <c r="Q80" s="295"/>
      <c r="R80" s="295"/>
      <c r="S80" s="295"/>
      <c r="T80" s="295"/>
      <c r="U80" s="295"/>
      <c r="V80" s="295"/>
      <c r="W80" s="295"/>
      <c r="X80" s="295"/>
      <c r="Y80" s="295"/>
      <c r="Z80" s="295"/>
      <c r="AA80" s="295"/>
      <c r="AB80" s="295"/>
      <c r="AC80" s="295"/>
      <c r="AD80" s="295"/>
      <c r="AE80" s="295"/>
      <c r="AF80" s="295"/>
      <c r="AG80" s="295"/>
      <c r="AH80" s="284"/>
      <c r="AI80" s="208"/>
      <c r="AJ80" s="208"/>
      <c r="AK80" s="208"/>
      <c r="AL80" s="208"/>
      <c r="AM80" s="208"/>
      <c r="AN80" s="208"/>
      <c r="AO80" s="208"/>
      <c r="AP80" s="208"/>
      <c r="AQ80" s="208"/>
      <c r="AR80" s="208"/>
      <c r="AS80" s="208"/>
      <c r="AT80" s="208"/>
      <c r="AU80" s="208"/>
      <c r="AV80" s="208"/>
      <c r="AW80" s="208"/>
      <c r="AX80" s="208"/>
      <c r="AY80" s="208"/>
      <c r="AZ80" s="208"/>
      <c r="BA80" s="208"/>
    </row>
    <row r="81" spans="2:53" ht="15" customHeight="1" x14ac:dyDescent="0.75">
      <c r="B81" s="208" t="s">
        <v>435</v>
      </c>
      <c r="C81" s="208"/>
      <c r="D81" s="208"/>
      <c r="E81" s="208"/>
      <c r="F81" s="208"/>
      <c r="G81" s="208"/>
      <c r="H81" s="208"/>
      <c r="I81" s="208"/>
      <c r="J81" s="208"/>
      <c r="K81" s="208"/>
      <c r="L81" s="208"/>
      <c r="M81" s="208"/>
      <c r="N81" s="208"/>
      <c r="O81" s="208"/>
      <c r="P81" s="208"/>
      <c r="Q81" s="208"/>
      <c r="R81" s="208"/>
      <c r="S81" s="208"/>
      <c r="T81" s="208"/>
      <c r="U81" s="208"/>
      <c r="V81" s="208"/>
      <c r="W81" s="208"/>
      <c r="X81" s="208"/>
      <c r="Y81" s="208"/>
      <c r="Z81" s="208"/>
      <c r="AA81" s="208"/>
      <c r="AB81" s="208"/>
      <c r="AC81" s="208"/>
      <c r="AD81" s="208"/>
      <c r="AE81" s="208"/>
      <c r="AF81" s="208"/>
      <c r="AG81" s="208"/>
      <c r="AH81" s="208"/>
      <c r="AI81" s="208"/>
      <c r="AJ81" s="208"/>
      <c r="AK81" s="208"/>
      <c r="AL81" s="208"/>
      <c r="AM81" s="208"/>
      <c r="AN81" s="208"/>
      <c r="AO81" s="208"/>
      <c r="AP81" s="208"/>
      <c r="AQ81" s="208"/>
      <c r="AR81" s="208"/>
      <c r="AS81" s="208"/>
      <c r="AT81" s="208"/>
      <c r="AU81" s="208"/>
      <c r="AV81" s="208"/>
      <c r="AW81" s="208"/>
      <c r="AX81" s="208"/>
      <c r="AY81" s="208"/>
      <c r="AZ81" s="208"/>
      <c r="BA81" s="208"/>
    </row>
    <row r="82" spans="2:53" ht="15" customHeight="1" x14ac:dyDescent="0.75">
      <c r="B82" s="208" t="s">
        <v>436</v>
      </c>
      <c r="C82" s="208"/>
      <c r="D82" s="208"/>
      <c r="E82" s="208"/>
      <c r="F82" s="208"/>
      <c r="G82" s="208"/>
      <c r="H82" s="208"/>
      <c r="I82" s="208"/>
      <c r="J82" s="208"/>
      <c r="K82" s="208"/>
      <c r="L82" s="208"/>
      <c r="M82" s="208"/>
      <c r="N82" s="208"/>
      <c r="O82" s="208"/>
      <c r="P82" s="208"/>
      <c r="Q82" s="208"/>
      <c r="R82" s="208"/>
      <c r="S82" s="208"/>
      <c r="T82" s="208"/>
      <c r="U82" s="208"/>
      <c r="V82" s="208"/>
      <c r="W82" s="208"/>
      <c r="X82" s="208"/>
      <c r="Y82" s="208"/>
      <c r="Z82" s="208"/>
      <c r="AA82" s="208"/>
      <c r="AB82" s="208"/>
      <c r="AC82" s="208"/>
      <c r="AD82" s="208"/>
      <c r="AE82" s="208"/>
      <c r="AF82" s="208"/>
      <c r="AG82" s="208"/>
      <c r="AH82" s="208"/>
      <c r="AI82" s="208"/>
      <c r="AJ82" s="208"/>
      <c r="AK82" s="208"/>
      <c r="AL82" s="208"/>
      <c r="AM82" s="208"/>
      <c r="AN82" s="208"/>
      <c r="AO82" s="208"/>
      <c r="AP82" s="208"/>
      <c r="AQ82" s="208"/>
      <c r="AR82" s="208"/>
      <c r="AS82" s="208"/>
      <c r="AT82" s="208"/>
      <c r="AU82" s="208"/>
      <c r="AV82" s="208"/>
      <c r="AW82" s="208"/>
      <c r="AX82" s="208"/>
      <c r="AY82" s="208"/>
      <c r="AZ82" s="208"/>
      <c r="BA82" s="208"/>
    </row>
    <row r="83" spans="2:53" ht="15" customHeight="1" x14ac:dyDescent="0.75">
      <c r="B83" s="208" t="s">
        <v>437</v>
      </c>
      <c r="C83" s="208"/>
      <c r="D83" s="208"/>
      <c r="E83" s="208"/>
      <c r="F83" s="208"/>
      <c r="G83" s="208"/>
      <c r="H83" s="208"/>
      <c r="I83" s="208"/>
      <c r="J83" s="208"/>
      <c r="K83" s="208"/>
      <c r="L83" s="208"/>
      <c r="M83" s="208"/>
      <c r="N83" s="208"/>
      <c r="O83" s="208"/>
      <c r="P83" s="208"/>
      <c r="Q83" s="208"/>
      <c r="R83" s="208"/>
      <c r="S83" s="208"/>
      <c r="T83" s="208"/>
      <c r="U83" s="208"/>
      <c r="V83" s="208"/>
      <c r="W83" s="208"/>
      <c r="X83" s="208"/>
      <c r="Y83" s="208"/>
      <c r="Z83" s="208"/>
      <c r="AA83" s="208"/>
      <c r="AB83" s="208"/>
      <c r="AC83" s="208"/>
      <c r="AD83" s="208"/>
      <c r="AE83" s="208"/>
      <c r="AF83" s="208"/>
      <c r="AG83" s="208"/>
      <c r="AH83" s="208"/>
      <c r="AI83" s="208"/>
      <c r="AJ83" s="208"/>
      <c r="AK83" s="208"/>
      <c r="AL83" s="208"/>
      <c r="AM83" s="208"/>
      <c r="AN83" s="208"/>
      <c r="AO83" s="208"/>
      <c r="AP83" s="208"/>
      <c r="AQ83" s="208"/>
      <c r="AR83" s="208"/>
      <c r="AS83" s="208"/>
      <c r="AT83" s="208"/>
      <c r="AU83" s="208"/>
      <c r="AV83" s="208"/>
      <c r="AW83" s="208"/>
      <c r="AX83" s="208"/>
      <c r="AY83" s="208"/>
      <c r="AZ83" s="208"/>
      <c r="BA83" s="208"/>
    </row>
    <row r="84" spans="2:53" ht="14.75" x14ac:dyDescent="0.75">
      <c r="B84" s="208" t="s">
        <v>438</v>
      </c>
      <c r="C84" s="208"/>
      <c r="D84" s="208"/>
      <c r="E84" s="208"/>
      <c r="F84" s="208"/>
      <c r="G84" s="208"/>
      <c r="H84" s="208"/>
      <c r="I84" s="208"/>
      <c r="J84" s="208"/>
      <c r="K84" s="208"/>
      <c r="L84" s="208"/>
      <c r="M84" s="208"/>
      <c r="N84" s="208"/>
      <c r="O84" s="208"/>
      <c r="P84" s="208"/>
      <c r="Q84" s="208"/>
      <c r="R84" s="208"/>
      <c r="S84" s="208"/>
      <c r="T84" s="208"/>
      <c r="U84" s="208"/>
      <c r="V84" s="208"/>
      <c r="W84" s="208"/>
      <c r="X84" s="208"/>
      <c r="Y84" s="208"/>
      <c r="Z84" s="208"/>
      <c r="AA84" s="208"/>
      <c r="AB84" s="208"/>
      <c r="AC84" s="208"/>
      <c r="AD84" s="208"/>
      <c r="AE84" s="208"/>
      <c r="AF84" s="208"/>
      <c r="AG84" s="208"/>
      <c r="AH84" s="208"/>
      <c r="AI84" s="208"/>
      <c r="AJ84" s="208"/>
      <c r="AK84" s="208"/>
      <c r="AL84" s="208"/>
      <c r="AM84" s="208"/>
      <c r="AN84" s="208"/>
      <c r="AO84" s="208"/>
      <c r="AP84" s="208"/>
      <c r="AQ84" s="208"/>
      <c r="AR84" s="208"/>
      <c r="AS84" s="208"/>
      <c r="AT84" s="208"/>
      <c r="AU84" s="208"/>
      <c r="AV84" s="208"/>
      <c r="AW84" s="208"/>
      <c r="AX84" s="208"/>
      <c r="AY84" s="208"/>
      <c r="AZ84" s="208"/>
      <c r="BA84" s="208"/>
    </row>
    <row r="85" spans="2:53" ht="15" customHeight="1" x14ac:dyDescent="0.75">
      <c r="B85" s="208" t="s">
        <v>316</v>
      </c>
      <c r="C85" s="208"/>
      <c r="D85" s="208"/>
      <c r="E85" s="208"/>
      <c r="F85" s="208"/>
      <c r="G85" s="208"/>
      <c r="H85" s="208"/>
      <c r="I85" s="208"/>
      <c r="J85" s="208"/>
      <c r="K85" s="208"/>
      <c r="L85" s="208"/>
      <c r="M85" s="208"/>
      <c r="N85" s="208"/>
      <c r="O85" s="208"/>
      <c r="P85" s="208"/>
      <c r="Q85" s="208"/>
      <c r="R85" s="208"/>
      <c r="S85" s="208"/>
      <c r="T85" s="208"/>
      <c r="U85" s="208"/>
      <c r="V85" s="208"/>
      <c r="W85" s="208"/>
      <c r="X85" s="208"/>
      <c r="Y85" s="208"/>
      <c r="Z85" s="208"/>
      <c r="AA85" s="208"/>
      <c r="AB85" s="208"/>
      <c r="AC85" s="208"/>
      <c r="AD85" s="208"/>
      <c r="AE85" s="208"/>
      <c r="AF85" s="208"/>
      <c r="AG85" s="208"/>
      <c r="AH85" s="208"/>
      <c r="AI85" s="208"/>
      <c r="AJ85" s="208"/>
      <c r="AK85" s="208"/>
      <c r="AL85" s="208"/>
      <c r="AM85" s="208"/>
      <c r="AN85" s="208"/>
      <c r="AO85" s="208"/>
      <c r="AP85" s="208"/>
      <c r="AQ85" s="208"/>
      <c r="AR85" s="208"/>
      <c r="AS85" s="208"/>
      <c r="AT85" s="208"/>
      <c r="AU85" s="208"/>
      <c r="AV85" s="208"/>
      <c r="AW85" s="208"/>
      <c r="AX85" s="208"/>
      <c r="AY85" s="208"/>
      <c r="AZ85" s="208"/>
      <c r="BA85" s="208"/>
    </row>
    <row r="86" spans="2:53" ht="15" customHeight="1" x14ac:dyDescent="0.75">
      <c r="B86" s="208" t="s">
        <v>439</v>
      </c>
      <c r="C86" s="208"/>
      <c r="D86" s="208"/>
      <c r="E86" s="208"/>
      <c r="F86" s="208"/>
      <c r="G86" s="208"/>
      <c r="H86" s="208"/>
      <c r="I86" s="208"/>
      <c r="J86" s="208"/>
      <c r="K86" s="208"/>
      <c r="L86" s="208"/>
      <c r="M86" s="208"/>
      <c r="N86" s="208"/>
      <c r="O86" s="208"/>
      <c r="P86" s="208"/>
      <c r="Q86" s="208"/>
      <c r="R86" s="208"/>
      <c r="S86" s="208"/>
      <c r="T86" s="208"/>
      <c r="U86" s="208"/>
      <c r="V86" s="208"/>
      <c r="W86" s="208"/>
      <c r="X86" s="208"/>
      <c r="Y86" s="208"/>
      <c r="Z86" s="208"/>
      <c r="AA86" s="208"/>
      <c r="AB86" s="208"/>
      <c r="AC86" s="208"/>
      <c r="AD86" s="208"/>
      <c r="AE86" s="208"/>
      <c r="AF86" s="208"/>
      <c r="AG86" s="208"/>
      <c r="AH86" s="208"/>
      <c r="AI86" s="208"/>
      <c r="AJ86" s="208"/>
      <c r="AK86" s="208"/>
      <c r="AL86" s="208"/>
      <c r="AM86" s="208"/>
      <c r="AN86" s="208"/>
      <c r="AO86" s="208"/>
      <c r="AP86" s="208"/>
      <c r="AQ86" s="208"/>
      <c r="AR86" s="208"/>
      <c r="AS86" s="208"/>
      <c r="AT86" s="208"/>
      <c r="AU86" s="208"/>
      <c r="AV86" s="208"/>
      <c r="AW86" s="208"/>
      <c r="AX86" s="208"/>
      <c r="AY86" s="208"/>
      <c r="AZ86" s="208"/>
      <c r="BA86" s="208"/>
    </row>
    <row r="87" spans="2:53" ht="15" customHeight="1" x14ac:dyDescent="0.75">
      <c r="B87" s="208" t="s">
        <v>440</v>
      </c>
      <c r="C87" s="208"/>
      <c r="D87" s="208"/>
      <c r="E87" s="208"/>
      <c r="F87" s="208"/>
      <c r="G87" s="208"/>
      <c r="H87" s="208"/>
      <c r="I87" s="208"/>
      <c r="J87" s="208"/>
      <c r="K87" s="208"/>
      <c r="L87" s="208"/>
      <c r="M87" s="208"/>
      <c r="N87" s="208"/>
      <c r="O87" s="208"/>
      <c r="P87" s="208"/>
      <c r="Q87" s="208"/>
      <c r="R87" s="208"/>
      <c r="S87" s="208"/>
      <c r="T87" s="208"/>
      <c r="U87" s="208"/>
      <c r="V87" s="208"/>
      <c r="W87" s="208"/>
      <c r="X87" s="208"/>
      <c r="Y87" s="208"/>
      <c r="Z87" s="208"/>
      <c r="AA87" s="208"/>
      <c r="AB87" s="208"/>
      <c r="AC87" s="208"/>
      <c r="AD87" s="208"/>
      <c r="AE87" s="208"/>
      <c r="AF87" s="208"/>
      <c r="AG87" s="208"/>
      <c r="AH87" s="208"/>
      <c r="AI87" s="208"/>
      <c r="AJ87" s="208"/>
      <c r="AK87" s="208"/>
      <c r="AL87" s="208"/>
      <c r="AM87" s="208"/>
      <c r="AN87" s="208"/>
      <c r="AO87" s="208"/>
      <c r="AP87" s="208"/>
      <c r="AQ87" s="208"/>
      <c r="AR87" s="208"/>
      <c r="AS87" s="208"/>
      <c r="AT87" s="208"/>
      <c r="AU87" s="208"/>
      <c r="AV87" s="208"/>
      <c r="AW87" s="208"/>
      <c r="AX87" s="208"/>
      <c r="AY87" s="208"/>
      <c r="AZ87" s="208"/>
      <c r="BA87" s="208"/>
    </row>
    <row r="88" spans="2:53" ht="15" customHeight="1" x14ac:dyDescent="0.75">
      <c r="B88" s="298"/>
      <c r="C88" s="298"/>
      <c r="D88" s="298"/>
      <c r="E88" s="298"/>
      <c r="F88" s="298"/>
      <c r="G88" s="298"/>
      <c r="H88" s="298"/>
      <c r="I88" s="298"/>
      <c r="J88" s="298"/>
      <c r="K88" s="298"/>
      <c r="L88" s="298"/>
      <c r="M88" s="298"/>
      <c r="N88" s="298"/>
      <c r="O88" s="298"/>
      <c r="P88" s="298"/>
      <c r="Q88" s="298"/>
      <c r="R88" s="298"/>
      <c r="S88" s="298"/>
      <c r="T88" s="298"/>
      <c r="U88" s="298"/>
      <c r="V88" s="298"/>
      <c r="W88" s="298"/>
      <c r="X88" s="298"/>
      <c r="Y88" s="298"/>
      <c r="Z88" s="298"/>
      <c r="AA88" s="298"/>
      <c r="AB88" s="298"/>
      <c r="AC88" s="298"/>
      <c r="AD88" s="298"/>
      <c r="AE88" s="298"/>
      <c r="AF88" s="298"/>
      <c r="AG88" s="208"/>
      <c r="AH88" s="208"/>
      <c r="AI88" s="208"/>
      <c r="AJ88" s="208"/>
      <c r="AK88" s="208"/>
      <c r="AL88" s="208"/>
      <c r="AM88" s="208"/>
      <c r="AN88" s="208"/>
      <c r="AO88" s="208"/>
      <c r="AP88" s="208"/>
      <c r="AQ88" s="208"/>
      <c r="AR88" s="208"/>
      <c r="AS88" s="208"/>
      <c r="AT88" s="208"/>
      <c r="AU88" s="208"/>
      <c r="AV88" s="208"/>
      <c r="AW88" s="208"/>
      <c r="AX88" s="208"/>
      <c r="AY88" s="208"/>
      <c r="AZ88" s="208"/>
      <c r="BA88" s="208"/>
    </row>
    <row r="89" spans="2:53" ht="15" customHeight="1" x14ac:dyDescent="0.75">
      <c r="B89" s="208"/>
      <c r="C89" s="208"/>
      <c r="D89" s="208"/>
      <c r="E89" s="208"/>
      <c r="F89" s="208"/>
      <c r="G89" s="208"/>
      <c r="H89" s="208"/>
      <c r="I89" s="208"/>
      <c r="J89" s="208"/>
      <c r="K89" s="208"/>
      <c r="L89" s="208"/>
      <c r="M89" s="208"/>
      <c r="N89" s="208"/>
      <c r="O89" s="208"/>
      <c r="P89" s="208"/>
      <c r="Q89" s="208"/>
      <c r="R89" s="208"/>
      <c r="S89" s="208"/>
      <c r="T89" s="208"/>
      <c r="U89" s="208"/>
      <c r="V89" s="208"/>
      <c r="W89" s="208"/>
      <c r="X89" s="208"/>
      <c r="Y89" s="208"/>
      <c r="Z89" s="208"/>
      <c r="AA89" s="208"/>
      <c r="AB89" s="208"/>
      <c r="AC89" s="208"/>
      <c r="AD89" s="208"/>
      <c r="AE89" s="208"/>
      <c r="AF89" s="208"/>
      <c r="AG89" s="208"/>
      <c r="AH89" s="208"/>
      <c r="AI89" s="208"/>
      <c r="AJ89" s="208"/>
      <c r="AK89" s="208"/>
      <c r="AL89" s="208"/>
      <c r="AM89" s="208"/>
      <c r="AN89" s="208"/>
      <c r="AO89" s="208"/>
      <c r="AP89" s="208"/>
      <c r="AQ89" s="208"/>
      <c r="AR89" s="208"/>
      <c r="AS89" s="208"/>
      <c r="AT89" s="208"/>
      <c r="AU89" s="208"/>
      <c r="AV89" s="208"/>
      <c r="AW89" s="208"/>
      <c r="AX89" s="208"/>
      <c r="AY89" s="208"/>
      <c r="AZ89" s="208"/>
      <c r="BA89" s="208"/>
    </row>
    <row r="90" spans="2:53" ht="15" customHeight="1" x14ac:dyDescent="0.75">
      <c r="B90" s="208"/>
      <c r="C90" s="208"/>
      <c r="D90" s="208"/>
      <c r="E90" s="208"/>
      <c r="F90" s="208"/>
      <c r="G90" s="208"/>
      <c r="H90" s="208"/>
      <c r="I90" s="208"/>
      <c r="J90" s="208"/>
      <c r="K90" s="208"/>
      <c r="L90" s="208"/>
      <c r="M90" s="208"/>
      <c r="N90" s="208"/>
      <c r="O90" s="208"/>
      <c r="P90" s="208"/>
      <c r="Q90" s="208"/>
      <c r="R90" s="208"/>
      <c r="S90" s="208"/>
      <c r="T90" s="208"/>
      <c r="U90" s="208"/>
      <c r="V90" s="208"/>
      <c r="W90" s="208"/>
      <c r="X90" s="208"/>
      <c r="Y90" s="208"/>
      <c r="Z90" s="208"/>
      <c r="AA90" s="208"/>
      <c r="AB90" s="208"/>
      <c r="AC90" s="208"/>
      <c r="AD90" s="208"/>
      <c r="AE90" s="208"/>
      <c r="AF90" s="208"/>
      <c r="AG90" s="208"/>
      <c r="AH90" s="208"/>
      <c r="AI90" s="208"/>
      <c r="AJ90" s="208"/>
      <c r="AK90" s="208"/>
      <c r="AL90" s="208"/>
      <c r="AM90" s="208"/>
      <c r="AN90" s="208"/>
      <c r="AO90" s="208"/>
      <c r="AP90" s="208"/>
      <c r="AQ90" s="208"/>
      <c r="AR90" s="208"/>
      <c r="AS90" s="208"/>
      <c r="AT90" s="208"/>
      <c r="AU90" s="208"/>
      <c r="AV90" s="208"/>
      <c r="AW90" s="208"/>
      <c r="AX90" s="208"/>
      <c r="AY90" s="208"/>
      <c r="AZ90" s="208"/>
      <c r="BA90" s="208"/>
    </row>
    <row r="91" spans="2:53" ht="15" customHeight="1" x14ac:dyDescent="0.75">
      <c r="B91" s="208"/>
      <c r="C91" s="208"/>
      <c r="D91" s="208"/>
      <c r="E91" s="208"/>
      <c r="F91" s="208"/>
      <c r="G91" s="208"/>
      <c r="H91" s="208"/>
      <c r="I91" s="208"/>
      <c r="J91" s="208"/>
      <c r="K91" s="208"/>
      <c r="L91" s="208"/>
      <c r="M91" s="208"/>
      <c r="N91" s="208"/>
      <c r="O91" s="208"/>
      <c r="P91" s="208"/>
      <c r="Q91" s="208"/>
      <c r="R91" s="208"/>
      <c r="S91" s="208"/>
      <c r="T91" s="208"/>
      <c r="U91" s="208"/>
      <c r="V91" s="208"/>
      <c r="W91" s="208"/>
      <c r="X91" s="208"/>
      <c r="Y91" s="208"/>
      <c r="Z91" s="208"/>
      <c r="AA91" s="208"/>
      <c r="AB91" s="208"/>
      <c r="AC91" s="208"/>
      <c r="AD91" s="208"/>
      <c r="AE91" s="208"/>
      <c r="AF91" s="208"/>
      <c r="AG91" s="208"/>
      <c r="AH91" s="208"/>
      <c r="AI91" s="208"/>
      <c r="AJ91" s="208"/>
      <c r="AK91" s="208"/>
      <c r="AL91" s="208"/>
      <c r="AM91" s="208"/>
      <c r="AN91" s="208"/>
      <c r="AO91" s="208"/>
      <c r="AP91" s="208"/>
      <c r="AQ91" s="208"/>
      <c r="AR91" s="208"/>
      <c r="AS91" s="208"/>
      <c r="AT91" s="208"/>
      <c r="AU91" s="208"/>
      <c r="AV91" s="208"/>
      <c r="AW91" s="208"/>
      <c r="AX91" s="208"/>
      <c r="AY91" s="208"/>
      <c r="AZ91" s="208"/>
      <c r="BA91" s="208"/>
    </row>
    <row r="92" spans="2:53" ht="15" customHeight="1" x14ac:dyDescent="0.75">
      <c r="B92" s="208"/>
      <c r="C92" s="208"/>
      <c r="D92" s="208"/>
      <c r="E92" s="208"/>
      <c r="F92" s="208"/>
      <c r="G92" s="208"/>
      <c r="H92" s="208"/>
      <c r="I92" s="208"/>
      <c r="J92" s="208"/>
      <c r="K92" s="208"/>
      <c r="L92" s="208"/>
      <c r="M92" s="208"/>
      <c r="N92" s="208"/>
      <c r="O92" s="208"/>
      <c r="P92" s="208"/>
      <c r="Q92" s="208"/>
      <c r="R92" s="208"/>
      <c r="S92" s="208"/>
      <c r="T92" s="208"/>
      <c r="U92" s="208"/>
      <c r="V92" s="208"/>
      <c r="W92" s="208"/>
      <c r="X92" s="208"/>
      <c r="Y92" s="208"/>
      <c r="Z92" s="208"/>
      <c r="AA92" s="208"/>
      <c r="AB92" s="208"/>
      <c r="AC92" s="208"/>
      <c r="AD92" s="208"/>
      <c r="AE92" s="208"/>
      <c r="AF92" s="208"/>
      <c r="AG92" s="208"/>
      <c r="AH92" s="208"/>
      <c r="AI92" s="208"/>
      <c r="AJ92" s="208"/>
      <c r="AK92" s="208"/>
      <c r="AL92" s="208"/>
      <c r="AM92" s="208"/>
      <c r="AN92" s="208"/>
      <c r="AO92" s="208"/>
      <c r="AP92" s="208"/>
      <c r="AQ92" s="208"/>
      <c r="AR92" s="208"/>
      <c r="AS92" s="208"/>
      <c r="AT92" s="208"/>
      <c r="AU92" s="208"/>
      <c r="AV92" s="208"/>
      <c r="AW92" s="208"/>
      <c r="AX92" s="208"/>
      <c r="AY92" s="208"/>
      <c r="AZ92" s="208"/>
      <c r="BA92" s="208"/>
    </row>
    <row r="93" spans="2:53" ht="15" customHeight="1" x14ac:dyDescent="0.75">
      <c r="B93" s="208"/>
      <c r="C93" s="208"/>
      <c r="D93" s="208"/>
      <c r="E93" s="208"/>
      <c r="F93" s="208"/>
      <c r="G93" s="208"/>
      <c r="H93" s="208"/>
      <c r="I93" s="208"/>
      <c r="J93" s="208"/>
      <c r="K93" s="208"/>
      <c r="L93" s="208"/>
      <c r="M93" s="208"/>
      <c r="N93" s="208"/>
      <c r="O93" s="208"/>
      <c r="P93" s="208"/>
      <c r="Q93" s="208"/>
      <c r="R93" s="208"/>
      <c r="S93" s="208"/>
      <c r="T93" s="208"/>
      <c r="U93" s="208"/>
      <c r="V93" s="208"/>
      <c r="W93" s="208"/>
      <c r="X93" s="208"/>
      <c r="Y93" s="208"/>
      <c r="Z93" s="208"/>
      <c r="AA93" s="208"/>
      <c r="AB93" s="208"/>
      <c r="AC93" s="208"/>
      <c r="AD93" s="208"/>
      <c r="AE93" s="208"/>
      <c r="AF93" s="208"/>
      <c r="AG93" s="208"/>
      <c r="AH93" s="208"/>
      <c r="AI93" s="208"/>
      <c r="AJ93" s="208"/>
      <c r="AK93" s="208"/>
      <c r="AL93" s="208"/>
      <c r="AM93" s="208"/>
      <c r="AN93" s="208"/>
      <c r="AO93" s="208"/>
      <c r="AP93" s="208"/>
      <c r="AQ93" s="208"/>
      <c r="AR93" s="208"/>
      <c r="AS93" s="208"/>
      <c r="AT93" s="208"/>
      <c r="AU93" s="208"/>
      <c r="AV93" s="208"/>
      <c r="AW93" s="208"/>
      <c r="AX93" s="208"/>
      <c r="AY93" s="208"/>
      <c r="AZ93" s="208"/>
      <c r="BA93" s="208"/>
    </row>
    <row r="94" spans="2:53" ht="15" customHeight="1" x14ac:dyDescent="0.75">
      <c r="B94" s="208"/>
      <c r="C94" s="208"/>
      <c r="D94" s="208"/>
      <c r="E94" s="208"/>
      <c r="F94" s="208"/>
      <c r="G94" s="208"/>
      <c r="H94" s="208"/>
      <c r="I94" s="208"/>
      <c r="J94" s="208"/>
      <c r="K94" s="208"/>
      <c r="L94" s="208"/>
      <c r="M94" s="208"/>
      <c r="N94" s="208"/>
      <c r="O94" s="208"/>
      <c r="P94" s="208"/>
      <c r="Q94" s="208"/>
      <c r="R94" s="208"/>
      <c r="S94" s="208"/>
      <c r="T94" s="208"/>
      <c r="U94" s="208"/>
      <c r="V94" s="208"/>
      <c r="W94" s="208"/>
      <c r="X94" s="208"/>
      <c r="Y94" s="208"/>
      <c r="Z94" s="208"/>
      <c r="AA94" s="208"/>
      <c r="AB94" s="208"/>
      <c r="AC94" s="208"/>
      <c r="AD94" s="208"/>
      <c r="AE94" s="208"/>
      <c r="AF94" s="208"/>
      <c r="AG94" s="208"/>
      <c r="AH94" s="208"/>
      <c r="AI94" s="208"/>
      <c r="AJ94" s="208"/>
      <c r="AK94" s="208"/>
      <c r="AL94" s="208"/>
      <c r="AM94" s="208"/>
      <c r="AN94" s="208"/>
      <c r="AO94" s="208"/>
      <c r="AP94" s="208"/>
      <c r="AQ94" s="208"/>
      <c r="AR94" s="208"/>
      <c r="AS94" s="208"/>
      <c r="AT94" s="208"/>
      <c r="AU94" s="208"/>
      <c r="AV94" s="208"/>
      <c r="AW94" s="208"/>
      <c r="AX94" s="208"/>
      <c r="AY94" s="208"/>
      <c r="AZ94" s="208"/>
      <c r="BA94" s="208"/>
    </row>
    <row r="95" spans="2:53" ht="15" customHeight="1" x14ac:dyDescent="0.75">
      <c r="B95" s="208"/>
      <c r="C95" s="208"/>
      <c r="D95" s="208"/>
      <c r="E95" s="208"/>
      <c r="F95" s="208"/>
      <c r="G95" s="208"/>
      <c r="H95" s="208"/>
      <c r="I95" s="208"/>
      <c r="J95" s="208"/>
      <c r="K95" s="208"/>
      <c r="L95" s="208"/>
      <c r="M95" s="208"/>
      <c r="N95" s="208"/>
      <c r="O95" s="208"/>
      <c r="P95" s="208"/>
      <c r="Q95" s="208"/>
      <c r="R95" s="208"/>
      <c r="S95" s="208"/>
      <c r="T95" s="208"/>
      <c r="U95" s="208"/>
      <c r="V95" s="208"/>
      <c r="W95" s="208"/>
      <c r="X95" s="208"/>
      <c r="Y95" s="208"/>
      <c r="Z95" s="208"/>
      <c r="AA95" s="208"/>
      <c r="AB95" s="208"/>
      <c r="AC95" s="208"/>
      <c r="AD95" s="208"/>
      <c r="AE95" s="208"/>
      <c r="AF95" s="208"/>
      <c r="AG95" s="208"/>
      <c r="AH95" s="208"/>
      <c r="AI95" s="208"/>
      <c r="AJ95" s="208"/>
      <c r="AK95" s="208"/>
      <c r="AL95" s="208"/>
      <c r="AM95" s="208"/>
      <c r="AN95" s="208"/>
      <c r="AO95" s="208"/>
      <c r="AP95" s="208"/>
      <c r="AQ95" s="208"/>
      <c r="AR95" s="208"/>
      <c r="AS95" s="208"/>
      <c r="AT95" s="208"/>
      <c r="AU95" s="208"/>
      <c r="AV95" s="208"/>
      <c r="AW95" s="208"/>
      <c r="AX95" s="208"/>
      <c r="AY95" s="208"/>
      <c r="AZ95" s="208"/>
      <c r="BA95" s="208"/>
    </row>
    <row r="96" spans="2:53" ht="15" customHeight="1" x14ac:dyDescent="0.75">
      <c r="B96" s="208"/>
      <c r="C96" s="208"/>
      <c r="D96" s="208"/>
      <c r="E96" s="208"/>
      <c r="F96" s="208"/>
      <c r="G96" s="208"/>
      <c r="H96" s="208"/>
      <c r="I96" s="208"/>
      <c r="J96" s="208"/>
      <c r="K96" s="208"/>
      <c r="L96" s="208"/>
      <c r="M96" s="208"/>
      <c r="N96" s="208"/>
      <c r="O96" s="208"/>
      <c r="P96" s="208"/>
      <c r="Q96" s="208"/>
      <c r="R96" s="208"/>
      <c r="S96" s="208"/>
      <c r="T96" s="208"/>
      <c r="U96" s="208"/>
      <c r="V96" s="208"/>
      <c r="W96" s="208"/>
      <c r="X96" s="208"/>
      <c r="Y96" s="208"/>
      <c r="Z96" s="208"/>
      <c r="AA96" s="208"/>
      <c r="AB96" s="208"/>
      <c r="AC96" s="208"/>
      <c r="AD96" s="208"/>
      <c r="AE96" s="208"/>
      <c r="AF96" s="208"/>
      <c r="AG96" s="208"/>
      <c r="AH96" s="208"/>
      <c r="AI96" s="208"/>
      <c r="AJ96" s="208"/>
      <c r="AK96" s="208"/>
      <c r="AL96" s="208"/>
      <c r="AM96" s="208"/>
      <c r="AN96" s="208"/>
      <c r="AO96" s="208"/>
      <c r="AP96" s="208"/>
      <c r="AQ96" s="208"/>
      <c r="AR96" s="208"/>
      <c r="AS96" s="208"/>
      <c r="AT96" s="208"/>
      <c r="AU96" s="208"/>
      <c r="AV96" s="208"/>
      <c r="AW96" s="208"/>
      <c r="AX96" s="208"/>
      <c r="AY96" s="208"/>
      <c r="AZ96" s="208"/>
      <c r="BA96" s="208"/>
    </row>
    <row r="97" spans="2:53" ht="15" customHeight="1" x14ac:dyDescent="0.75">
      <c r="B97" s="208"/>
      <c r="C97" s="208"/>
      <c r="D97" s="208"/>
      <c r="E97" s="208"/>
      <c r="F97" s="208"/>
      <c r="G97" s="208"/>
      <c r="H97" s="208"/>
      <c r="I97" s="208"/>
      <c r="J97" s="208"/>
      <c r="K97" s="208"/>
      <c r="L97" s="208"/>
      <c r="M97" s="208"/>
      <c r="N97" s="208"/>
      <c r="O97" s="208"/>
      <c r="P97" s="208"/>
      <c r="Q97" s="208"/>
      <c r="R97" s="208"/>
      <c r="S97" s="208"/>
      <c r="T97" s="208"/>
      <c r="U97" s="208"/>
      <c r="V97" s="208"/>
      <c r="W97" s="208"/>
      <c r="X97" s="208"/>
      <c r="Y97" s="208"/>
      <c r="Z97" s="208"/>
      <c r="AA97" s="208"/>
      <c r="AB97" s="208"/>
      <c r="AC97" s="208"/>
      <c r="AD97" s="208"/>
      <c r="AE97" s="208"/>
      <c r="AF97" s="208"/>
      <c r="AG97" s="208"/>
      <c r="AH97" s="208"/>
      <c r="AI97" s="208"/>
      <c r="AJ97" s="208"/>
      <c r="AK97" s="208"/>
      <c r="AL97" s="208"/>
      <c r="AM97" s="208"/>
      <c r="AN97" s="208"/>
      <c r="AO97" s="208"/>
      <c r="AP97" s="208"/>
      <c r="AQ97" s="208"/>
      <c r="AR97" s="208"/>
      <c r="AS97" s="208"/>
      <c r="AT97" s="208"/>
      <c r="AU97" s="208"/>
      <c r="AV97" s="208"/>
      <c r="AW97" s="208"/>
      <c r="AX97" s="208"/>
      <c r="AY97" s="208"/>
      <c r="AZ97" s="208"/>
      <c r="BA97" s="208"/>
    </row>
    <row r="98" spans="2:53" ht="15" customHeight="1" x14ac:dyDescent="0.75">
      <c r="B98" s="208"/>
      <c r="C98" s="208"/>
      <c r="D98" s="208"/>
      <c r="E98" s="208"/>
      <c r="F98" s="208"/>
      <c r="G98" s="208"/>
      <c r="H98" s="208"/>
      <c r="I98" s="208"/>
      <c r="J98" s="208"/>
      <c r="K98" s="208"/>
      <c r="L98" s="208"/>
      <c r="M98" s="208"/>
      <c r="N98" s="208"/>
      <c r="O98" s="208"/>
      <c r="P98" s="208"/>
      <c r="Q98" s="208"/>
      <c r="R98" s="208"/>
      <c r="S98" s="208"/>
      <c r="T98" s="208"/>
      <c r="U98" s="208"/>
      <c r="V98" s="208"/>
      <c r="W98" s="208"/>
      <c r="X98" s="208"/>
      <c r="Y98" s="208"/>
      <c r="Z98" s="208"/>
      <c r="AA98" s="208"/>
      <c r="AB98" s="208"/>
      <c r="AC98" s="208"/>
      <c r="AD98" s="208"/>
      <c r="AE98" s="208"/>
      <c r="AF98" s="208"/>
      <c r="AG98" s="208"/>
      <c r="AH98" s="208"/>
      <c r="AI98" s="208"/>
      <c r="AJ98" s="208"/>
      <c r="AK98" s="208"/>
      <c r="AL98" s="208"/>
      <c r="AM98" s="208"/>
      <c r="AN98" s="208"/>
      <c r="AO98" s="208"/>
      <c r="AP98" s="208"/>
      <c r="AQ98" s="208"/>
      <c r="AR98" s="208"/>
      <c r="AS98" s="208"/>
      <c r="AT98" s="208"/>
      <c r="AU98" s="208"/>
      <c r="AV98" s="208"/>
      <c r="AW98" s="208"/>
      <c r="AX98" s="208"/>
      <c r="AY98" s="208"/>
      <c r="AZ98" s="208"/>
      <c r="BA98" s="208"/>
    </row>
    <row r="99" spans="2:53" ht="15" customHeight="1" x14ac:dyDescent="0.75">
      <c r="B99" s="208"/>
      <c r="C99" s="208"/>
      <c r="D99" s="208"/>
      <c r="E99" s="208"/>
      <c r="F99" s="208"/>
      <c r="G99" s="208"/>
      <c r="H99" s="208"/>
      <c r="I99" s="208"/>
      <c r="J99" s="208"/>
      <c r="K99" s="208"/>
      <c r="L99" s="208"/>
      <c r="M99" s="208"/>
      <c r="N99" s="208"/>
      <c r="O99" s="208"/>
      <c r="P99" s="208"/>
      <c r="Q99" s="208"/>
      <c r="R99" s="208"/>
      <c r="S99" s="208"/>
      <c r="T99" s="208"/>
      <c r="U99" s="208"/>
      <c r="V99" s="208"/>
      <c r="W99" s="208"/>
      <c r="X99" s="208"/>
      <c r="Y99" s="208"/>
      <c r="Z99" s="208"/>
      <c r="AA99" s="208"/>
      <c r="AB99" s="208"/>
      <c r="AC99" s="208"/>
      <c r="AD99" s="208"/>
      <c r="AE99" s="208"/>
      <c r="AF99" s="208"/>
      <c r="AG99" s="208"/>
      <c r="AH99" s="208"/>
      <c r="AI99" s="208"/>
      <c r="AJ99" s="208"/>
      <c r="AK99" s="208"/>
      <c r="AL99" s="208"/>
      <c r="AM99" s="208"/>
      <c r="AN99" s="208"/>
      <c r="AO99" s="208"/>
      <c r="AP99" s="208"/>
      <c r="AQ99" s="208"/>
      <c r="AR99" s="208"/>
      <c r="AS99" s="208"/>
      <c r="AT99" s="208"/>
      <c r="AU99" s="208"/>
      <c r="AV99" s="208"/>
      <c r="AW99" s="208"/>
      <c r="AX99" s="208"/>
      <c r="AY99" s="208"/>
      <c r="AZ99" s="208"/>
      <c r="BA99" s="208"/>
    </row>
    <row r="100" spans="2:53" ht="15" customHeight="1" x14ac:dyDescent="0.75">
      <c r="B100" s="208"/>
      <c r="C100" s="208"/>
      <c r="D100" s="208"/>
      <c r="E100" s="208"/>
      <c r="F100" s="208"/>
      <c r="G100" s="208"/>
      <c r="H100" s="208"/>
      <c r="I100" s="208"/>
      <c r="J100" s="208"/>
      <c r="K100" s="208"/>
      <c r="L100" s="208"/>
      <c r="M100" s="208"/>
      <c r="N100" s="208"/>
      <c r="O100" s="208"/>
      <c r="P100" s="208"/>
      <c r="Q100" s="208"/>
      <c r="R100" s="208"/>
      <c r="S100" s="208"/>
      <c r="T100" s="208"/>
      <c r="U100" s="208"/>
      <c r="V100" s="208"/>
      <c r="W100" s="208"/>
      <c r="X100" s="208"/>
      <c r="Y100" s="208"/>
      <c r="Z100" s="208"/>
      <c r="AA100" s="208"/>
      <c r="AB100" s="208"/>
      <c r="AC100" s="208"/>
      <c r="AD100" s="208"/>
      <c r="AE100" s="208"/>
      <c r="AF100" s="208"/>
      <c r="AG100" s="208"/>
      <c r="AH100" s="208"/>
      <c r="AI100" s="208"/>
      <c r="AJ100" s="208"/>
      <c r="AK100" s="208"/>
      <c r="AL100" s="208"/>
      <c r="AM100" s="208"/>
      <c r="AN100" s="208"/>
      <c r="AO100" s="208"/>
      <c r="AP100" s="208"/>
      <c r="AQ100" s="208"/>
      <c r="AR100" s="208"/>
      <c r="AS100" s="208"/>
      <c r="AT100" s="208"/>
      <c r="AU100" s="208"/>
      <c r="AV100" s="208"/>
      <c r="AW100" s="208"/>
      <c r="AX100" s="208"/>
      <c r="AY100" s="208"/>
      <c r="AZ100" s="208"/>
      <c r="BA100" s="208"/>
    </row>
    <row r="101" spans="2:53" ht="15" customHeight="1" x14ac:dyDescent="0.75">
      <c r="B101" s="208"/>
      <c r="C101" s="208"/>
      <c r="D101" s="208"/>
      <c r="E101" s="208"/>
      <c r="F101" s="208"/>
      <c r="G101" s="208"/>
      <c r="H101" s="208"/>
      <c r="I101" s="208"/>
      <c r="J101" s="208"/>
      <c r="K101" s="208"/>
      <c r="L101" s="208"/>
      <c r="M101" s="208"/>
      <c r="N101" s="208"/>
      <c r="O101" s="208"/>
      <c r="P101" s="208"/>
      <c r="Q101" s="208"/>
      <c r="R101" s="208"/>
      <c r="S101" s="208"/>
      <c r="T101" s="208"/>
      <c r="U101" s="208"/>
      <c r="V101" s="208"/>
      <c r="W101" s="208"/>
      <c r="X101" s="208"/>
      <c r="Y101" s="208"/>
      <c r="Z101" s="208"/>
      <c r="AA101" s="208"/>
      <c r="AB101" s="208"/>
      <c r="AC101" s="208"/>
      <c r="AD101" s="208"/>
      <c r="AE101" s="208"/>
      <c r="AF101" s="208"/>
      <c r="AG101" s="208"/>
      <c r="AH101" s="208"/>
      <c r="AI101" s="208"/>
      <c r="AJ101" s="208"/>
      <c r="AK101" s="208"/>
      <c r="AL101" s="208"/>
      <c r="AM101" s="208"/>
      <c r="AN101" s="208"/>
      <c r="AO101" s="208"/>
      <c r="AP101" s="208"/>
      <c r="AQ101" s="208"/>
      <c r="AR101" s="208"/>
      <c r="AS101" s="208"/>
      <c r="AT101" s="208"/>
      <c r="AU101" s="208"/>
      <c r="AV101" s="208"/>
      <c r="AW101" s="208"/>
      <c r="AX101" s="208"/>
      <c r="AY101" s="208"/>
      <c r="AZ101" s="208"/>
      <c r="BA101" s="208"/>
    </row>
    <row r="102" spans="2:53" ht="15" customHeight="1" x14ac:dyDescent="0.75">
      <c r="B102" s="208"/>
      <c r="C102" s="208"/>
      <c r="D102" s="208"/>
      <c r="E102" s="208"/>
      <c r="F102" s="208"/>
      <c r="G102" s="208"/>
      <c r="H102" s="208"/>
      <c r="I102" s="208"/>
      <c r="J102" s="208"/>
      <c r="K102" s="208"/>
      <c r="L102" s="208"/>
      <c r="M102" s="208"/>
      <c r="N102" s="208"/>
      <c r="O102" s="208"/>
      <c r="P102" s="208"/>
      <c r="Q102" s="208"/>
      <c r="R102" s="208"/>
      <c r="S102" s="208"/>
      <c r="T102" s="208"/>
      <c r="U102" s="208"/>
      <c r="V102" s="208"/>
      <c r="W102" s="208"/>
      <c r="X102" s="208"/>
      <c r="Y102" s="208"/>
      <c r="Z102" s="208"/>
      <c r="AA102" s="208"/>
      <c r="AB102" s="208"/>
      <c r="AC102" s="208"/>
      <c r="AD102" s="208"/>
      <c r="AE102" s="208"/>
      <c r="AF102" s="208"/>
      <c r="AG102" s="208"/>
      <c r="AH102" s="208"/>
      <c r="AI102" s="208"/>
      <c r="AJ102" s="208"/>
      <c r="AK102" s="208"/>
      <c r="AL102" s="208"/>
      <c r="AM102" s="208"/>
      <c r="AN102" s="208"/>
      <c r="AO102" s="208"/>
      <c r="AP102" s="208"/>
      <c r="AQ102" s="208"/>
      <c r="AR102" s="208"/>
      <c r="AS102" s="208"/>
      <c r="AT102" s="208"/>
      <c r="AU102" s="208"/>
      <c r="AV102" s="208"/>
      <c r="AW102" s="208"/>
      <c r="AX102" s="208"/>
      <c r="AY102" s="208"/>
      <c r="AZ102" s="208"/>
      <c r="BA102" s="208"/>
    </row>
    <row r="103" spans="2:53" ht="15" customHeight="1" x14ac:dyDescent="0.75">
      <c r="B103" s="208"/>
      <c r="C103" s="208"/>
      <c r="D103" s="208"/>
      <c r="E103" s="208"/>
      <c r="F103" s="208"/>
      <c r="G103" s="208"/>
      <c r="H103" s="208"/>
      <c r="I103" s="208"/>
      <c r="J103" s="208"/>
      <c r="K103" s="208"/>
      <c r="L103" s="208"/>
      <c r="M103" s="208"/>
      <c r="N103" s="208"/>
      <c r="O103" s="208"/>
      <c r="P103" s="208"/>
      <c r="Q103" s="208"/>
      <c r="R103" s="208"/>
      <c r="S103" s="208"/>
      <c r="T103" s="208"/>
      <c r="U103" s="208"/>
      <c r="V103" s="208"/>
      <c r="W103" s="208"/>
      <c r="X103" s="208"/>
      <c r="Y103" s="208"/>
      <c r="Z103" s="208"/>
      <c r="AA103" s="208"/>
      <c r="AB103" s="208"/>
      <c r="AC103" s="208"/>
      <c r="AD103" s="208"/>
      <c r="AE103" s="208"/>
      <c r="AF103" s="208"/>
      <c r="AG103" s="208"/>
      <c r="AH103" s="208"/>
      <c r="AI103" s="208"/>
      <c r="AJ103" s="208"/>
      <c r="AK103" s="208"/>
      <c r="AL103" s="208"/>
      <c r="AM103" s="208"/>
      <c r="AN103" s="208"/>
      <c r="AO103" s="208"/>
      <c r="AP103" s="208"/>
      <c r="AQ103" s="208"/>
      <c r="AR103" s="208"/>
      <c r="AS103" s="208"/>
      <c r="AT103" s="208"/>
      <c r="AU103" s="208"/>
      <c r="AV103" s="208"/>
      <c r="AW103" s="208"/>
      <c r="AX103" s="208"/>
      <c r="AY103" s="208"/>
      <c r="AZ103" s="208"/>
      <c r="BA103" s="208"/>
    </row>
    <row r="104" spans="2:53" ht="15" customHeight="1" x14ac:dyDescent="0.75">
      <c r="B104" s="208"/>
      <c r="C104" s="208"/>
      <c r="D104" s="208"/>
      <c r="E104" s="208"/>
      <c r="F104" s="208"/>
      <c r="G104" s="208"/>
      <c r="H104" s="208"/>
      <c r="I104" s="208"/>
      <c r="J104" s="208"/>
      <c r="K104" s="208"/>
      <c r="L104" s="208"/>
      <c r="M104" s="208"/>
      <c r="N104" s="208"/>
      <c r="O104" s="208"/>
      <c r="P104" s="208"/>
      <c r="Q104" s="208"/>
      <c r="R104" s="208"/>
      <c r="S104" s="208"/>
      <c r="T104" s="208"/>
      <c r="U104" s="208"/>
      <c r="V104" s="208"/>
      <c r="W104" s="208"/>
      <c r="X104" s="208"/>
      <c r="Y104" s="208"/>
      <c r="Z104" s="208"/>
      <c r="AA104" s="208"/>
      <c r="AB104" s="208"/>
      <c r="AC104" s="208"/>
      <c r="AD104" s="208"/>
      <c r="AE104" s="208"/>
      <c r="AF104" s="208"/>
      <c r="AG104" s="208"/>
      <c r="AH104" s="208"/>
      <c r="AI104" s="208"/>
      <c r="AJ104" s="208"/>
      <c r="AK104" s="208"/>
      <c r="AL104" s="208"/>
      <c r="AM104" s="208"/>
      <c r="AN104" s="208"/>
      <c r="AO104" s="208"/>
      <c r="AP104" s="208"/>
      <c r="AQ104" s="208"/>
      <c r="AR104" s="208"/>
      <c r="AS104" s="208"/>
      <c r="AT104" s="208"/>
      <c r="AU104" s="208"/>
      <c r="AV104" s="208"/>
      <c r="AW104" s="208"/>
      <c r="AX104" s="208"/>
      <c r="AY104" s="208"/>
      <c r="AZ104" s="208"/>
      <c r="BA104" s="208"/>
    </row>
    <row r="105" spans="2:53" ht="15" customHeight="1" x14ac:dyDescent="0.75">
      <c r="B105" s="208"/>
      <c r="C105" s="208"/>
      <c r="D105" s="208"/>
      <c r="E105" s="208"/>
      <c r="F105" s="208"/>
      <c r="G105" s="208"/>
      <c r="H105" s="208"/>
      <c r="I105" s="208"/>
      <c r="J105" s="208"/>
      <c r="K105" s="208"/>
      <c r="L105" s="208"/>
      <c r="M105" s="208"/>
      <c r="N105" s="208"/>
      <c r="O105" s="208"/>
      <c r="P105" s="208"/>
      <c r="Q105" s="208"/>
      <c r="R105" s="208"/>
      <c r="S105" s="208"/>
      <c r="T105" s="208"/>
      <c r="U105" s="208"/>
      <c r="V105" s="208"/>
      <c r="W105" s="208"/>
      <c r="X105" s="208"/>
      <c r="Y105" s="208"/>
      <c r="Z105" s="208"/>
      <c r="AA105" s="208"/>
      <c r="AB105" s="208"/>
      <c r="AC105" s="208"/>
      <c r="AD105" s="208"/>
      <c r="AE105" s="208"/>
      <c r="AF105" s="208"/>
      <c r="AG105" s="208"/>
      <c r="AH105" s="208"/>
      <c r="AI105" s="208"/>
      <c r="AJ105" s="208"/>
      <c r="AK105" s="208"/>
      <c r="AL105" s="208"/>
      <c r="AM105" s="208"/>
      <c r="AN105" s="208"/>
      <c r="AO105" s="208"/>
      <c r="AP105" s="208"/>
      <c r="AQ105" s="208"/>
      <c r="AR105" s="208"/>
      <c r="AS105" s="208"/>
      <c r="AT105" s="208"/>
      <c r="AU105" s="208"/>
      <c r="AV105" s="208"/>
      <c r="AW105" s="208"/>
      <c r="AX105" s="208"/>
      <c r="AY105" s="208"/>
      <c r="AZ105" s="208"/>
      <c r="BA105" s="208"/>
    </row>
    <row r="106" spans="2:53" ht="15" customHeight="1" x14ac:dyDescent="0.75">
      <c r="B106" s="208"/>
      <c r="C106" s="208"/>
      <c r="D106" s="208"/>
      <c r="E106" s="208"/>
      <c r="F106" s="208"/>
      <c r="G106" s="208"/>
      <c r="H106" s="208"/>
      <c r="I106" s="208"/>
      <c r="J106" s="208"/>
      <c r="K106" s="208"/>
      <c r="L106" s="208"/>
      <c r="M106" s="208"/>
      <c r="N106" s="208"/>
      <c r="O106" s="208"/>
      <c r="P106" s="208"/>
      <c r="Q106" s="208"/>
      <c r="R106" s="208"/>
      <c r="S106" s="208"/>
      <c r="T106" s="208"/>
      <c r="U106" s="208"/>
      <c r="V106" s="208"/>
      <c r="W106" s="208"/>
      <c r="X106" s="208"/>
      <c r="Y106" s="208"/>
      <c r="Z106" s="208"/>
      <c r="AA106" s="208"/>
      <c r="AB106" s="208"/>
      <c r="AC106" s="208"/>
      <c r="AD106" s="208"/>
      <c r="AE106" s="208"/>
      <c r="AF106" s="208"/>
      <c r="AG106" s="208"/>
      <c r="AH106" s="208"/>
      <c r="AI106" s="208"/>
      <c r="AJ106" s="208"/>
      <c r="AK106" s="208"/>
      <c r="AL106" s="208"/>
      <c r="AM106" s="208"/>
      <c r="AN106" s="208"/>
      <c r="AO106" s="208"/>
      <c r="AP106" s="208"/>
      <c r="AQ106" s="208"/>
      <c r="AR106" s="208"/>
      <c r="AS106" s="208"/>
      <c r="AT106" s="208"/>
      <c r="AU106" s="208"/>
      <c r="AV106" s="208"/>
      <c r="AW106" s="208"/>
      <c r="AX106" s="208"/>
      <c r="AY106" s="208"/>
      <c r="AZ106" s="208"/>
      <c r="BA106" s="208"/>
    </row>
    <row r="107" spans="2:53" ht="15" customHeight="1" x14ac:dyDescent="0.75">
      <c r="B107" s="208"/>
      <c r="C107" s="208"/>
      <c r="D107" s="208"/>
      <c r="E107" s="208"/>
      <c r="F107" s="208"/>
      <c r="G107" s="208"/>
      <c r="H107" s="208"/>
      <c r="I107" s="208"/>
      <c r="J107" s="208"/>
      <c r="K107" s="208"/>
      <c r="L107" s="208"/>
      <c r="M107" s="208"/>
      <c r="N107" s="208"/>
      <c r="O107" s="208"/>
      <c r="P107" s="208"/>
      <c r="Q107" s="208"/>
      <c r="R107" s="208"/>
      <c r="S107" s="208"/>
      <c r="T107" s="208"/>
      <c r="U107" s="208"/>
      <c r="V107" s="208"/>
      <c r="W107" s="208"/>
      <c r="X107" s="208"/>
      <c r="Y107" s="208"/>
      <c r="Z107" s="208"/>
      <c r="AA107" s="208"/>
      <c r="AB107" s="208"/>
      <c r="AC107" s="208"/>
      <c r="AD107" s="208"/>
      <c r="AE107" s="208"/>
      <c r="AF107" s="208"/>
      <c r="AG107" s="208"/>
      <c r="AH107" s="208"/>
      <c r="AI107" s="208"/>
      <c r="AJ107" s="208"/>
      <c r="AK107" s="208"/>
      <c r="AL107" s="208"/>
      <c r="AM107" s="208"/>
      <c r="AN107" s="208"/>
      <c r="AO107" s="208"/>
      <c r="AP107" s="208"/>
      <c r="AQ107" s="208"/>
      <c r="AR107" s="208"/>
      <c r="AS107" s="208"/>
      <c r="AT107" s="208"/>
      <c r="AU107" s="208"/>
      <c r="AV107" s="208"/>
      <c r="AW107" s="208"/>
      <c r="AX107" s="208"/>
      <c r="AY107" s="208"/>
      <c r="AZ107" s="208"/>
      <c r="BA107" s="208"/>
    </row>
    <row r="108" spans="2:53" ht="15" customHeight="1" x14ac:dyDescent="0.75">
      <c r="B108" s="208"/>
      <c r="C108" s="208"/>
      <c r="D108" s="208"/>
      <c r="E108" s="208"/>
      <c r="F108" s="208"/>
      <c r="G108" s="208"/>
      <c r="H108" s="208"/>
      <c r="I108" s="208"/>
      <c r="J108" s="208"/>
      <c r="K108" s="208"/>
      <c r="L108" s="208"/>
      <c r="M108" s="208"/>
      <c r="N108" s="208"/>
      <c r="O108" s="208"/>
      <c r="P108" s="208"/>
      <c r="Q108" s="208"/>
      <c r="R108" s="208"/>
      <c r="S108" s="208"/>
      <c r="T108" s="208"/>
      <c r="U108" s="208"/>
      <c r="V108" s="208"/>
      <c r="W108" s="208"/>
      <c r="X108" s="208"/>
      <c r="Y108" s="208"/>
      <c r="Z108" s="208"/>
      <c r="AA108" s="208"/>
      <c r="AB108" s="208"/>
      <c r="AC108" s="208"/>
      <c r="AD108" s="208"/>
      <c r="AE108" s="208"/>
      <c r="AF108" s="208"/>
      <c r="AG108" s="208"/>
      <c r="AH108" s="208"/>
      <c r="AI108" s="208"/>
      <c r="AJ108" s="208"/>
      <c r="AK108" s="208"/>
      <c r="AL108" s="208"/>
      <c r="AM108" s="208"/>
      <c r="AN108" s="208"/>
      <c r="AO108" s="208"/>
      <c r="AP108" s="208"/>
      <c r="AQ108" s="208"/>
      <c r="AR108" s="208"/>
      <c r="AS108" s="208"/>
      <c r="AT108" s="208"/>
      <c r="AU108" s="208"/>
      <c r="AV108" s="208"/>
      <c r="AW108" s="208"/>
      <c r="AX108" s="208"/>
      <c r="AY108" s="208"/>
      <c r="AZ108" s="208"/>
      <c r="BA108" s="208"/>
    </row>
    <row r="109" spans="2:53" ht="15" customHeight="1" x14ac:dyDescent="0.75">
      <c r="B109" s="208"/>
      <c r="C109" s="208"/>
      <c r="D109" s="208"/>
      <c r="E109" s="208"/>
      <c r="F109" s="208"/>
      <c r="G109" s="208"/>
      <c r="H109" s="208"/>
      <c r="I109" s="208"/>
      <c r="J109" s="208"/>
      <c r="K109" s="208"/>
      <c r="L109" s="208"/>
      <c r="M109" s="208"/>
      <c r="N109" s="208"/>
      <c r="O109" s="208"/>
      <c r="P109" s="208"/>
      <c r="Q109" s="208"/>
      <c r="R109" s="208"/>
      <c r="S109" s="208"/>
      <c r="T109" s="208"/>
      <c r="U109" s="208"/>
      <c r="V109" s="208"/>
      <c r="W109" s="208"/>
      <c r="X109" s="208"/>
      <c r="Y109" s="208"/>
      <c r="Z109" s="208"/>
      <c r="AA109" s="208"/>
      <c r="AB109" s="208"/>
      <c r="AC109" s="208"/>
      <c r="AD109" s="208"/>
      <c r="AE109" s="208"/>
      <c r="AF109" s="208"/>
      <c r="AG109" s="208"/>
      <c r="AH109" s="208"/>
      <c r="AI109" s="208"/>
      <c r="AJ109" s="208"/>
      <c r="AK109" s="208"/>
      <c r="AL109" s="208"/>
      <c r="AM109" s="208"/>
      <c r="AN109" s="208"/>
      <c r="AO109" s="208"/>
      <c r="AP109" s="208"/>
      <c r="AQ109" s="208"/>
      <c r="AR109" s="208"/>
      <c r="AS109" s="208"/>
      <c r="AT109" s="208"/>
      <c r="AU109" s="208"/>
      <c r="AV109" s="208"/>
      <c r="AW109" s="208"/>
      <c r="AX109" s="208"/>
      <c r="AY109" s="208"/>
      <c r="AZ109" s="208"/>
      <c r="BA109" s="208"/>
    </row>
    <row r="110" spans="2:53" ht="15" customHeight="1" x14ac:dyDescent="0.75">
      <c r="B110" s="208"/>
      <c r="C110" s="208"/>
      <c r="D110" s="208"/>
      <c r="E110" s="208"/>
      <c r="F110" s="208"/>
      <c r="G110" s="208"/>
      <c r="H110" s="208"/>
      <c r="I110" s="208"/>
      <c r="J110" s="208"/>
      <c r="K110" s="208"/>
      <c r="L110" s="208"/>
      <c r="M110" s="208"/>
      <c r="N110" s="208"/>
      <c r="O110" s="208"/>
      <c r="P110" s="208"/>
      <c r="Q110" s="208"/>
      <c r="R110" s="208"/>
      <c r="S110" s="208"/>
      <c r="T110" s="208"/>
      <c r="U110" s="208"/>
      <c r="V110" s="208"/>
      <c r="W110" s="208"/>
      <c r="X110" s="208"/>
      <c r="Y110" s="208"/>
      <c r="Z110" s="208"/>
      <c r="AA110" s="208"/>
      <c r="AB110" s="208"/>
      <c r="AC110" s="208"/>
      <c r="AD110" s="208"/>
      <c r="AE110" s="208"/>
      <c r="AF110" s="208"/>
      <c r="AG110" s="208"/>
      <c r="AH110" s="208"/>
      <c r="AI110" s="208"/>
      <c r="AJ110" s="208"/>
      <c r="AK110" s="208"/>
      <c r="AL110" s="208"/>
      <c r="AM110" s="208"/>
      <c r="AN110" s="208"/>
      <c r="AO110" s="208"/>
      <c r="AP110" s="208"/>
      <c r="AQ110" s="208"/>
      <c r="AR110" s="208"/>
      <c r="AS110" s="208"/>
      <c r="AT110" s="208"/>
      <c r="AU110" s="208"/>
      <c r="AV110" s="208"/>
      <c r="AW110" s="208"/>
      <c r="AX110" s="208"/>
      <c r="AY110" s="208"/>
      <c r="AZ110" s="208"/>
      <c r="BA110" s="208"/>
    </row>
    <row r="111" spans="2:53" ht="15" customHeight="1" x14ac:dyDescent="0.75">
      <c r="B111" s="208"/>
      <c r="C111" s="208"/>
      <c r="D111" s="208"/>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c r="AA111" s="208"/>
      <c r="AB111" s="208"/>
      <c r="AC111" s="208"/>
      <c r="AD111" s="208"/>
      <c r="AE111" s="208"/>
      <c r="AF111" s="208"/>
      <c r="AG111" s="208"/>
      <c r="AH111" s="208"/>
      <c r="AI111" s="208"/>
      <c r="AJ111" s="208"/>
      <c r="AK111" s="208"/>
      <c r="AL111" s="208"/>
      <c r="AM111" s="208"/>
      <c r="AN111" s="208"/>
      <c r="AO111" s="208"/>
      <c r="AP111" s="208"/>
      <c r="AQ111" s="208"/>
      <c r="AR111" s="208"/>
      <c r="AS111" s="208"/>
      <c r="AT111" s="208"/>
      <c r="AU111" s="208"/>
      <c r="AV111" s="208"/>
      <c r="AW111" s="208"/>
      <c r="AX111" s="208"/>
      <c r="AY111" s="208"/>
      <c r="AZ111" s="208"/>
      <c r="BA111" s="208"/>
    </row>
    <row r="112" spans="2:53" ht="15" customHeight="1" x14ac:dyDescent="0.75">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c r="AI112" s="208"/>
      <c r="AJ112" s="208"/>
      <c r="AK112" s="208"/>
      <c r="AL112" s="208"/>
      <c r="AM112" s="208"/>
      <c r="AN112" s="208"/>
      <c r="AO112" s="208"/>
      <c r="AP112" s="208"/>
      <c r="AQ112" s="208"/>
      <c r="AR112" s="208"/>
      <c r="AS112" s="208"/>
      <c r="AT112" s="208"/>
      <c r="AU112" s="208"/>
      <c r="AV112" s="208"/>
      <c r="AW112" s="208"/>
      <c r="AX112" s="208"/>
      <c r="AY112" s="208"/>
      <c r="AZ112" s="208"/>
      <c r="BA112" s="208"/>
    </row>
    <row r="113" spans="2:53" ht="15" customHeight="1" x14ac:dyDescent="0.75">
      <c r="B113" s="208"/>
      <c r="C113" s="208"/>
      <c r="D113" s="208"/>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c r="AA113" s="208"/>
      <c r="AB113" s="208"/>
      <c r="AC113" s="208"/>
      <c r="AD113" s="208"/>
      <c r="AE113" s="208"/>
      <c r="AF113" s="208"/>
      <c r="AG113" s="208"/>
      <c r="AH113" s="208"/>
      <c r="AI113" s="208"/>
      <c r="AJ113" s="208"/>
      <c r="AK113" s="208"/>
      <c r="AL113" s="208"/>
      <c r="AM113" s="208"/>
      <c r="AN113" s="208"/>
      <c r="AO113" s="208"/>
      <c r="AP113" s="208"/>
      <c r="AQ113" s="208"/>
      <c r="AR113" s="208"/>
      <c r="AS113" s="208"/>
      <c r="AT113" s="208"/>
      <c r="AU113" s="208"/>
      <c r="AV113" s="208"/>
      <c r="AW113" s="208"/>
      <c r="AX113" s="208"/>
      <c r="AY113" s="208"/>
      <c r="AZ113" s="208"/>
      <c r="BA113" s="208"/>
    </row>
    <row r="114" spans="2:53" ht="15" customHeight="1" x14ac:dyDescent="0.75">
      <c r="B114" s="208"/>
      <c r="C114" s="208"/>
      <c r="D114" s="208"/>
      <c r="E114" s="208"/>
      <c r="F114" s="208"/>
      <c r="G114" s="208"/>
      <c r="H114" s="208"/>
      <c r="I114" s="208"/>
      <c r="J114" s="208"/>
      <c r="K114" s="208"/>
      <c r="L114" s="208"/>
      <c r="M114" s="208"/>
      <c r="N114" s="208"/>
      <c r="O114" s="208"/>
      <c r="P114" s="208"/>
      <c r="Q114" s="208"/>
      <c r="R114" s="208"/>
      <c r="S114" s="208"/>
      <c r="T114" s="208"/>
      <c r="U114" s="208"/>
      <c r="V114" s="208"/>
      <c r="W114" s="208"/>
      <c r="X114" s="208"/>
      <c r="Y114" s="208"/>
      <c r="Z114" s="208"/>
      <c r="AA114" s="208"/>
      <c r="AB114" s="208"/>
      <c r="AC114" s="208"/>
      <c r="AD114" s="208"/>
      <c r="AE114" s="208"/>
      <c r="AF114" s="208"/>
      <c r="AG114" s="208"/>
      <c r="AH114" s="208"/>
      <c r="AI114" s="208"/>
      <c r="AJ114" s="208"/>
      <c r="AK114" s="208"/>
      <c r="AL114" s="208"/>
      <c r="AM114" s="208"/>
      <c r="AN114" s="208"/>
      <c r="AO114" s="208"/>
      <c r="AP114" s="208"/>
      <c r="AQ114" s="208"/>
      <c r="AR114" s="208"/>
      <c r="AS114" s="208"/>
      <c r="AT114" s="208"/>
      <c r="AU114" s="208"/>
      <c r="AV114" s="208"/>
      <c r="AW114" s="208"/>
      <c r="AX114" s="208"/>
      <c r="AY114" s="208"/>
      <c r="AZ114" s="208"/>
      <c r="BA114" s="208"/>
    </row>
    <row r="115" spans="2:53" ht="15" customHeight="1" x14ac:dyDescent="0.75">
      <c r="B115" s="208"/>
      <c r="C115" s="208"/>
      <c r="D115" s="208"/>
      <c r="E115" s="208"/>
      <c r="F115" s="208"/>
      <c r="G115" s="208"/>
      <c r="H115" s="208"/>
      <c r="I115" s="208"/>
      <c r="J115" s="208"/>
      <c r="K115" s="208"/>
      <c r="L115" s="208"/>
      <c r="M115" s="208"/>
      <c r="N115" s="208"/>
      <c r="O115" s="208"/>
      <c r="P115" s="208"/>
      <c r="Q115" s="208"/>
      <c r="R115" s="208"/>
      <c r="S115" s="208"/>
      <c r="T115" s="208"/>
      <c r="U115" s="208"/>
      <c r="V115" s="208"/>
      <c r="W115" s="208"/>
      <c r="X115" s="208"/>
      <c r="Y115" s="208"/>
      <c r="Z115" s="208"/>
      <c r="AA115" s="208"/>
      <c r="AB115" s="208"/>
      <c r="AC115" s="208"/>
      <c r="AD115" s="208"/>
      <c r="AE115" s="208"/>
      <c r="AF115" s="208"/>
      <c r="AG115" s="208"/>
      <c r="AH115" s="208"/>
      <c r="AI115" s="208"/>
      <c r="AJ115" s="208"/>
      <c r="AK115" s="208"/>
      <c r="AL115" s="208"/>
      <c r="AM115" s="208"/>
      <c r="AN115" s="208"/>
      <c r="AO115" s="208"/>
      <c r="AP115" s="208"/>
      <c r="AQ115" s="208"/>
      <c r="AR115" s="208"/>
      <c r="AS115" s="208"/>
      <c r="AT115" s="208"/>
      <c r="AU115" s="208"/>
      <c r="AV115" s="208"/>
      <c r="AW115" s="208"/>
      <c r="AX115" s="208"/>
      <c r="AY115" s="208"/>
      <c r="AZ115" s="208"/>
      <c r="BA115" s="208"/>
    </row>
    <row r="116" spans="2:53" ht="15" customHeight="1" x14ac:dyDescent="0.75">
      <c r="B116" s="208"/>
      <c r="C116" s="208"/>
      <c r="D116" s="208"/>
      <c r="E116" s="208"/>
      <c r="F116" s="208"/>
      <c r="G116" s="208"/>
      <c r="H116" s="208"/>
      <c r="I116" s="208"/>
      <c r="J116" s="208"/>
      <c r="K116" s="208"/>
      <c r="L116" s="208"/>
      <c r="M116" s="208"/>
      <c r="N116" s="208"/>
      <c r="O116" s="208"/>
      <c r="P116" s="208"/>
      <c r="Q116" s="208"/>
      <c r="R116" s="208"/>
      <c r="S116" s="208"/>
      <c r="T116" s="208"/>
      <c r="U116" s="208"/>
      <c r="V116" s="208"/>
      <c r="W116" s="208"/>
      <c r="X116" s="208"/>
      <c r="Y116" s="208"/>
      <c r="Z116" s="208"/>
      <c r="AA116" s="208"/>
      <c r="AB116" s="208"/>
      <c r="AC116" s="208"/>
      <c r="AD116" s="208"/>
      <c r="AE116" s="208"/>
      <c r="AF116" s="208"/>
      <c r="AG116" s="208"/>
      <c r="AH116" s="208"/>
      <c r="AI116" s="208"/>
      <c r="AJ116" s="208"/>
      <c r="AK116" s="208"/>
      <c r="AL116" s="208"/>
      <c r="AM116" s="208"/>
      <c r="AN116" s="208"/>
      <c r="AO116" s="208"/>
      <c r="AP116" s="208"/>
      <c r="AQ116" s="208"/>
      <c r="AR116" s="208"/>
      <c r="AS116" s="208"/>
      <c r="AT116" s="208"/>
      <c r="AU116" s="208"/>
      <c r="AV116" s="208"/>
      <c r="AW116" s="208"/>
      <c r="AX116" s="208"/>
      <c r="AY116" s="208"/>
      <c r="AZ116" s="208"/>
      <c r="BA116" s="208"/>
    </row>
    <row r="117" spans="2:53" ht="15" customHeight="1" x14ac:dyDescent="0.75">
      <c r="B117" s="208"/>
      <c r="C117" s="208"/>
      <c r="D117" s="208"/>
      <c r="E117" s="208"/>
      <c r="F117" s="208"/>
      <c r="G117" s="208"/>
      <c r="H117" s="208"/>
      <c r="I117" s="208"/>
      <c r="J117" s="208"/>
      <c r="K117" s="208"/>
      <c r="L117" s="208"/>
      <c r="M117" s="208"/>
      <c r="N117" s="208"/>
      <c r="O117" s="208"/>
      <c r="P117" s="208"/>
      <c r="Q117" s="208"/>
      <c r="R117" s="208"/>
      <c r="S117" s="208"/>
      <c r="T117" s="208"/>
      <c r="U117" s="208"/>
      <c r="V117" s="208"/>
      <c r="W117" s="208"/>
      <c r="X117" s="208"/>
      <c r="Y117" s="208"/>
      <c r="Z117" s="208"/>
      <c r="AA117" s="208"/>
      <c r="AB117" s="208"/>
      <c r="AC117" s="208"/>
      <c r="AD117" s="208"/>
      <c r="AE117" s="208"/>
      <c r="AF117" s="208"/>
      <c r="AG117" s="208"/>
      <c r="AH117" s="208"/>
      <c r="AI117" s="208"/>
      <c r="AJ117" s="208"/>
      <c r="AK117" s="208"/>
      <c r="AL117" s="208"/>
      <c r="AM117" s="208"/>
      <c r="AN117" s="208"/>
      <c r="AO117" s="208"/>
      <c r="AP117" s="208"/>
      <c r="AQ117" s="208"/>
      <c r="AR117" s="208"/>
      <c r="AS117" s="208"/>
      <c r="AT117" s="208"/>
      <c r="AU117" s="208"/>
      <c r="AV117" s="208"/>
      <c r="AW117" s="208"/>
      <c r="AX117" s="208"/>
      <c r="AY117" s="208"/>
      <c r="AZ117" s="208"/>
      <c r="BA117" s="208"/>
    </row>
    <row r="118" spans="2:53" ht="15" customHeight="1" x14ac:dyDescent="0.75">
      <c r="B118" s="208"/>
      <c r="C118" s="208"/>
      <c r="D118" s="208"/>
      <c r="E118" s="208"/>
      <c r="F118" s="208"/>
      <c r="G118" s="208"/>
      <c r="H118" s="208"/>
      <c r="I118" s="208"/>
      <c r="J118" s="208"/>
      <c r="K118" s="208"/>
      <c r="L118" s="208"/>
      <c r="M118" s="208"/>
      <c r="N118" s="208"/>
      <c r="O118" s="208"/>
      <c r="P118" s="208"/>
      <c r="Q118" s="208"/>
      <c r="R118" s="208"/>
      <c r="S118" s="208"/>
      <c r="T118" s="208"/>
      <c r="U118" s="208"/>
      <c r="V118" s="208"/>
      <c r="W118" s="208"/>
      <c r="X118" s="208"/>
      <c r="Y118" s="208"/>
      <c r="Z118" s="208"/>
      <c r="AA118" s="208"/>
      <c r="AB118" s="208"/>
      <c r="AC118" s="208"/>
      <c r="AD118" s="208"/>
      <c r="AE118" s="208"/>
      <c r="AF118" s="208"/>
      <c r="AG118" s="208"/>
      <c r="AH118" s="208"/>
      <c r="AI118" s="208"/>
      <c r="AJ118" s="208"/>
      <c r="AK118" s="208"/>
      <c r="AL118" s="208"/>
      <c r="AM118" s="208"/>
      <c r="AN118" s="208"/>
      <c r="AO118" s="208"/>
      <c r="AP118" s="208"/>
      <c r="AQ118" s="208"/>
      <c r="AR118" s="208"/>
      <c r="AS118" s="208"/>
      <c r="AT118" s="208"/>
      <c r="AU118" s="208"/>
      <c r="AV118" s="208"/>
      <c r="AW118" s="208"/>
      <c r="AX118" s="208"/>
      <c r="AY118" s="208"/>
      <c r="AZ118" s="208"/>
      <c r="BA118" s="208"/>
    </row>
    <row r="119" spans="2:53" ht="15" customHeight="1" x14ac:dyDescent="0.75">
      <c r="B119" s="208"/>
      <c r="C119" s="208"/>
      <c r="D119" s="208"/>
      <c r="E119" s="208"/>
      <c r="F119" s="208"/>
      <c r="G119" s="208"/>
      <c r="H119" s="208"/>
      <c r="I119" s="208"/>
      <c r="J119" s="208"/>
      <c r="K119" s="208"/>
      <c r="L119" s="208"/>
      <c r="M119" s="208"/>
      <c r="N119" s="208"/>
      <c r="O119" s="208"/>
      <c r="P119" s="208"/>
      <c r="Q119" s="208"/>
      <c r="R119" s="208"/>
      <c r="S119" s="208"/>
      <c r="T119" s="208"/>
      <c r="U119" s="208"/>
      <c r="V119" s="208"/>
      <c r="W119" s="208"/>
      <c r="X119" s="208"/>
      <c r="Y119" s="208"/>
      <c r="Z119" s="208"/>
      <c r="AA119" s="208"/>
      <c r="AB119" s="208"/>
      <c r="AC119" s="208"/>
      <c r="AD119" s="208"/>
      <c r="AE119" s="208"/>
      <c r="AF119" s="208"/>
      <c r="AG119" s="208"/>
      <c r="AH119" s="208"/>
      <c r="AI119" s="208"/>
      <c r="AJ119" s="208"/>
      <c r="AK119" s="208"/>
      <c r="AL119" s="208"/>
      <c r="AM119" s="208"/>
      <c r="AN119" s="208"/>
      <c r="AO119" s="208"/>
      <c r="AP119" s="208"/>
      <c r="AQ119" s="208"/>
      <c r="AR119" s="208"/>
      <c r="AS119" s="208"/>
      <c r="AT119" s="208"/>
      <c r="AU119" s="208"/>
      <c r="AV119" s="208"/>
      <c r="AW119" s="208"/>
      <c r="AX119" s="208"/>
      <c r="AY119" s="208"/>
      <c r="AZ119" s="208"/>
      <c r="BA119" s="208"/>
    </row>
    <row r="120" spans="2:53" ht="15" customHeight="1" x14ac:dyDescent="0.75">
      <c r="B120" s="208"/>
      <c r="C120" s="208"/>
      <c r="D120" s="208"/>
      <c r="E120" s="208"/>
      <c r="F120" s="208"/>
      <c r="G120" s="208"/>
      <c r="H120" s="208"/>
      <c r="I120" s="208"/>
      <c r="J120" s="208"/>
      <c r="K120" s="208"/>
      <c r="L120" s="208"/>
      <c r="M120" s="208"/>
      <c r="N120" s="208"/>
      <c r="O120" s="208"/>
      <c r="P120" s="208"/>
      <c r="Q120" s="208"/>
      <c r="R120" s="208"/>
      <c r="S120" s="208"/>
      <c r="T120" s="208"/>
      <c r="U120" s="208"/>
      <c r="V120" s="208"/>
      <c r="W120" s="208"/>
      <c r="X120" s="208"/>
      <c r="Y120" s="208"/>
      <c r="Z120" s="208"/>
      <c r="AA120" s="208"/>
      <c r="AB120" s="208"/>
      <c r="AC120" s="208"/>
      <c r="AD120" s="208"/>
      <c r="AE120" s="208"/>
      <c r="AF120" s="208"/>
      <c r="AG120" s="208"/>
      <c r="AH120" s="208"/>
      <c r="AI120" s="208"/>
      <c r="AJ120" s="208"/>
      <c r="AK120" s="208"/>
      <c r="AL120" s="208"/>
      <c r="AM120" s="208"/>
      <c r="AN120" s="208"/>
      <c r="AO120" s="208"/>
      <c r="AP120" s="208"/>
      <c r="AQ120" s="208"/>
      <c r="AR120" s="208"/>
      <c r="AS120" s="208"/>
      <c r="AT120" s="208"/>
      <c r="AU120" s="208"/>
      <c r="AV120" s="208"/>
      <c r="AW120" s="208"/>
      <c r="AX120" s="208"/>
      <c r="AY120" s="208"/>
      <c r="AZ120" s="208"/>
      <c r="BA120" s="208"/>
    </row>
    <row r="121" spans="2:53" ht="15" customHeight="1" x14ac:dyDescent="0.75">
      <c r="B121" s="208"/>
      <c r="C121" s="208"/>
      <c r="D121" s="208"/>
      <c r="E121" s="208"/>
      <c r="F121" s="208"/>
      <c r="G121" s="208"/>
      <c r="H121" s="208"/>
      <c r="I121" s="208"/>
      <c r="J121" s="208"/>
      <c r="K121" s="208"/>
      <c r="L121" s="208"/>
      <c r="M121" s="208"/>
      <c r="N121" s="208"/>
      <c r="O121" s="208"/>
      <c r="P121" s="208"/>
      <c r="Q121" s="208"/>
      <c r="R121" s="208"/>
      <c r="S121" s="208"/>
      <c r="T121" s="208"/>
      <c r="U121" s="208"/>
      <c r="V121" s="208"/>
      <c r="W121" s="208"/>
      <c r="X121" s="208"/>
      <c r="Y121" s="208"/>
      <c r="Z121" s="208"/>
      <c r="AA121" s="208"/>
      <c r="AB121" s="208"/>
      <c r="AC121" s="208"/>
      <c r="AD121" s="208"/>
      <c r="AE121" s="208"/>
      <c r="AF121" s="208"/>
      <c r="AG121" s="208"/>
      <c r="AH121" s="208"/>
      <c r="AI121" s="208"/>
      <c r="AJ121" s="208"/>
      <c r="AK121" s="208"/>
      <c r="AL121" s="208"/>
      <c r="AM121" s="208"/>
      <c r="AN121" s="208"/>
      <c r="AO121" s="208"/>
      <c r="AP121" s="208"/>
      <c r="AQ121" s="208"/>
      <c r="AR121" s="208"/>
      <c r="AS121" s="208"/>
      <c r="AT121" s="208"/>
      <c r="AU121" s="208"/>
      <c r="AV121" s="208"/>
      <c r="AW121" s="208"/>
      <c r="AX121" s="208"/>
      <c r="AY121" s="208"/>
      <c r="AZ121" s="208"/>
      <c r="BA121" s="208"/>
    </row>
    <row r="122" spans="2:53" ht="15" customHeight="1" x14ac:dyDescent="0.75">
      <c r="B122" s="208"/>
      <c r="C122" s="208"/>
      <c r="D122" s="208"/>
      <c r="E122" s="208"/>
      <c r="F122" s="208"/>
      <c r="G122" s="208"/>
      <c r="H122" s="208"/>
      <c r="I122" s="208"/>
      <c r="J122" s="208"/>
      <c r="K122" s="208"/>
      <c r="L122" s="208"/>
      <c r="M122" s="208"/>
      <c r="N122" s="208"/>
      <c r="O122" s="208"/>
      <c r="P122" s="208"/>
      <c r="Q122" s="208"/>
      <c r="R122" s="208"/>
      <c r="S122" s="208"/>
      <c r="T122" s="208"/>
      <c r="U122" s="208"/>
      <c r="V122" s="208"/>
      <c r="W122" s="208"/>
      <c r="X122" s="208"/>
      <c r="Y122" s="208"/>
      <c r="Z122" s="208"/>
      <c r="AA122" s="208"/>
      <c r="AB122" s="208"/>
      <c r="AC122" s="208"/>
      <c r="AD122" s="208"/>
      <c r="AE122" s="208"/>
      <c r="AF122" s="208"/>
      <c r="AG122" s="208"/>
      <c r="AH122" s="208"/>
      <c r="AI122" s="208"/>
      <c r="AJ122" s="208"/>
      <c r="AK122" s="208"/>
      <c r="AL122" s="208"/>
      <c r="AM122" s="208"/>
      <c r="AN122" s="208"/>
      <c r="AO122" s="208"/>
      <c r="AP122" s="208"/>
      <c r="AQ122" s="208"/>
      <c r="AR122" s="208"/>
      <c r="AS122" s="208"/>
      <c r="AT122" s="208"/>
      <c r="AU122" s="208"/>
      <c r="AV122" s="208"/>
      <c r="AW122" s="208"/>
      <c r="AX122" s="208"/>
      <c r="AY122" s="208"/>
      <c r="AZ122" s="208"/>
      <c r="BA122" s="208"/>
    </row>
    <row r="123" spans="2:53" ht="15" customHeight="1" x14ac:dyDescent="0.75">
      <c r="B123" s="208"/>
      <c r="C123" s="208"/>
      <c r="D123" s="208"/>
      <c r="E123" s="208"/>
      <c r="F123" s="208"/>
      <c r="G123" s="208"/>
      <c r="H123" s="208"/>
      <c r="I123" s="208"/>
      <c r="J123" s="208"/>
      <c r="K123" s="208"/>
      <c r="L123" s="208"/>
      <c r="M123" s="208"/>
      <c r="N123" s="208"/>
      <c r="O123" s="208"/>
      <c r="P123" s="208"/>
      <c r="Q123" s="208"/>
      <c r="R123" s="208"/>
      <c r="S123" s="208"/>
      <c r="T123" s="208"/>
      <c r="U123" s="208"/>
      <c r="V123" s="208"/>
      <c r="W123" s="208"/>
      <c r="X123" s="208"/>
      <c r="Y123" s="208"/>
      <c r="Z123" s="208"/>
      <c r="AA123" s="208"/>
      <c r="AB123" s="208"/>
      <c r="AC123" s="208"/>
      <c r="AD123" s="208"/>
      <c r="AE123" s="208"/>
      <c r="AF123" s="208"/>
      <c r="AG123" s="208"/>
      <c r="AH123" s="208"/>
      <c r="AI123" s="208"/>
      <c r="AJ123" s="208"/>
      <c r="AK123" s="208"/>
      <c r="AL123" s="208"/>
      <c r="AM123" s="208"/>
      <c r="AN123" s="208"/>
      <c r="AO123" s="208"/>
      <c r="AP123" s="208"/>
      <c r="AQ123" s="208"/>
      <c r="AR123" s="208"/>
      <c r="AS123" s="208"/>
      <c r="AT123" s="208"/>
      <c r="AU123" s="208"/>
      <c r="AV123" s="208"/>
      <c r="AW123" s="208"/>
      <c r="AX123" s="208"/>
      <c r="AY123" s="208"/>
      <c r="AZ123" s="208"/>
      <c r="BA123" s="208"/>
    </row>
    <row r="124" spans="2:53" ht="15" customHeight="1" x14ac:dyDescent="0.75">
      <c r="B124" s="208"/>
      <c r="C124" s="208"/>
      <c r="D124" s="208"/>
      <c r="E124" s="208"/>
      <c r="F124" s="208"/>
      <c r="G124" s="208"/>
      <c r="H124" s="208"/>
      <c r="I124" s="208"/>
      <c r="J124" s="208"/>
      <c r="K124" s="208"/>
      <c r="L124" s="208"/>
      <c r="M124" s="208"/>
      <c r="N124" s="208"/>
      <c r="O124" s="208"/>
      <c r="P124" s="208"/>
      <c r="Q124" s="208"/>
      <c r="R124" s="208"/>
      <c r="S124" s="208"/>
      <c r="T124" s="208"/>
      <c r="U124" s="208"/>
      <c r="V124" s="208"/>
      <c r="W124" s="208"/>
      <c r="X124" s="208"/>
      <c r="Y124" s="208"/>
      <c r="Z124" s="208"/>
      <c r="AA124" s="208"/>
      <c r="AB124" s="208"/>
      <c r="AC124" s="208"/>
      <c r="AD124" s="208"/>
      <c r="AE124" s="208"/>
      <c r="AF124" s="208"/>
      <c r="AG124" s="208"/>
      <c r="AH124" s="208"/>
      <c r="AI124" s="208"/>
      <c r="AJ124" s="208"/>
      <c r="AK124" s="208"/>
      <c r="AL124" s="208"/>
      <c r="AM124" s="208"/>
      <c r="AN124" s="208"/>
      <c r="AO124" s="208"/>
      <c r="AP124" s="208"/>
      <c r="AQ124" s="208"/>
      <c r="AR124" s="208"/>
      <c r="AS124" s="208"/>
      <c r="AT124" s="208"/>
      <c r="AU124" s="208"/>
      <c r="AV124" s="208"/>
      <c r="AW124" s="208"/>
      <c r="AX124" s="208"/>
      <c r="AY124" s="208"/>
      <c r="AZ124" s="208"/>
      <c r="BA124" s="208"/>
    </row>
    <row r="125" spans="2:53" ht="15" customHeight="1" x14ac:dyDescent="0.75">
      <c r="B125" s="208"/>
      <c r="C125" s="208"/>
      <c r="D125" s="208"/>
      <c r="E125" s="208"/>
      <c r="F125" s="208"/>
      <c r="G125" s="208"/>
      <c r="H125" s="208"/>
      <c r="I125" s="208"/>
      <c r="J125" s="208"/>
      <c r="K125" s="208"/>
      <c r="L125" s="208"/>
      <c r="M125" s="208"/>
      <c r="N125" s="208"/>
      <c r="O125" s="208"/>
      <c r="P125" s="208"/>
      <c r="Q125" s="208"/>
      <c r="R125" s="208"/>
      <c r="S125" s="208"/>
      <c r="T125" s="208"/>
      <c r="U125" s="208"/>
      <c r="V125" s="208"/>
      <c r="W125" s="208"/>
      <c r="X125" s="208"/>
      <c r="Y125" s="208"/>
      <c r="Z125" s="208"/>
      <c r="AA125" s="208"/>
      <c r="AB125" s="208"/>
      <c r="AC125" s="208"/>
      <c r="AD125" s="208"/>
      <c r="AE125" s="208"/>
      <c r="AF125" s="208"/>
      <c r="AG125" s="208"/>
      <c r="AH125" s="208"/>
      <c r="AI125" s="208"/>
      <c r="AJ125" s="208"/>
      <c r="AK125" s="208"/>
      <c r="AL125" s="208"/>
      <c r="AM125" s="208"/>
      <c r="AN125" s="208"/>
      <c r="AO125" s="208"/>
      <c r="AP125" s="208"/>
      <c r="AQ125" s="208"/>
      <c r="AR125" s="208"/>
      <c r="AS125" s="208"/>
      <c r="AT125" s="208"/>
      <c r="AU125" s="208"/>
      <c r="AV125" s="208"/>
      <c r="AW125" s="208"/>
      <c r="AX125" s="208"/>
      <c r="AY125" s="208"/>
      <c r="AZ125" s="208"/>
      <c r="BA125" s="208"/>
    </row>
    <row r="126" spans="2:53" ht="15" customHeight="1" x14ac:dyDescent="0.75">
      <c r="B126" s="208"/>
      <c r="C126" s="208"/>
      <c r="D126" s="208"/>
      <c r="E126" s="208"/>
      <c r="F126" s="208"/>
      <c r="G126" s="208"/>
      <c r="H126" s="208"/>
      <c r="I126" s="208"/>
      <c r="J126" s="208"/>
      <c r="K126" s="208"/>
      <c r="L126" s="208"/>
      <c r="M126" s="208"/>
      <c r="N126" s="208"/>
      <c r="O126" s="208"/>
      <c r="P126" s="208"/>
      <c r="Q126" s="208"/>
      <c r="R126" s="208"/>
      <c r="S126" s="208"/>
      <c r="T126" s="208"/>
      <c r="U126" s="208"/>
      <c r="V126" s="208"/>
      <c r="W126" s="208"/>
      <c r="X126" s="208"/>
      <c r="Y126" s="208"/>
      <c r="Z126" s="208"/>
      <c r="AA126" s="208"/>
      <c r="AB126" s="208"/>
      <c r="AC126" s="208"/>
      <c r="AD126" s="208"/>
      <c r="AE126" s="208"/>
      <c r="AF126" s="208"/>
      <c r="AG126" s="208"/>
      <c r="AH126" s="208"/>
      <c r="AI126" s="208"/>
      <c r="AJ126" s="208"/>
      <c r="AK126" s="208"/>
      <c r="AL126" s="208"/>
      <c r="AM126" s="208"/>
      <c r="AN126" s="208"/>
      <c r="AO126" s="208"/>
      <c r="AP126" s="208"/>
      <c r="AQ126" s="208"/>
      <c r="AR126" s="208"/>
      <c r="AS126" s="208"/>
      <c r="AT126" s="208"/>
      <c r="AU126" s="208"/>
      <c r="AV126" s="208"/>
      <c r="AW126" s="208"/>
      <c r="AX126" s="208"/>
      <c r="AY126" s="208"/>
      <c r="AZ126" s="208"/>
      <c r="BA126" s="208"/>
    </row>
    <row r="127" spans="2:53" ht="15" customHeight="1" x14ac:dyDescent="0.75">
      <c r="B127" s="208"/>
      <c r="C127" s="208"/>
      <c r="D127" s="208"/>
      <c r="E127" s="208"/>
      <c r="F127" s="208"/>
      <c r="G127" s="208"/>
      <c r="H127" s="208"/>
      <c r="I127" s="208"/>
      <c r="J127" s="208"/>
      <c r="K127" s="208"/>
      <c r="L127" s="208"/>
      <c r="M127" s="208"/>
      <c r="N127" s="208"/>
      <c r="O127" s="208"/>
      <c r="P127" s="208"/>
      <c r="Q127" s="208"/>
      <c r="R127" s="208"/>
      <c r="S127" s="208"/>
      <c r="T127" s="208"/>
      <c r="U127" s="208"/>
      <c r="V127" s="208"/>
      <c r="W127" s="208"/>
      <c r="X127" s="208"/>
      <c r="Y127" s="208"/>
      <c r="Z127" s="208"/>
      <c r="AA127" s="208"/>
      <c r="AB127" s="208"/>
      <c r="AC127" s="208"/>
      <c r="AD127" s="208"/>
      <c r="AE127" s="208"/>
      <c r="AF127" s="208"/>
      <c r="AG127" s="208"/>
      <c r="AH127" s="208"/>
      <c r="AI127" s="208"/>
      <c r="AJ127" s="208"/>
      <c r="AK127" s="208"/>
      <c r="AL127" s="208"/>
      <c r="AM127" s="208"/>
      <c r="AN127" s="208"/>
      <c r="AO127" s="208"/>
      <c r="AP127" s="208"/>
      <c r="AQ127" s="208"/>
      <c r="AR127" s="208"/>
      <c r="AS127" s="208"/>
      <c r="AT127" s="208"/>
      <c r="AU127" s="208"/>
      <c r="AV127" s="208"/>
      <c r="AW127" s="208"/>
      <c r="AX127" s="208"/>
      <c r="AY127" s="208"/>
      <c r="AZ127" s="208"/>
      <c r="BA127" s="208"/>
    </row>
    <row r="128" spans="2:53" ht="15" customHeight="1" x14ac:dyDescent="0.75">
      <c r="B128" s="208"/>
      <c r="C128" s="208"/>
      <c r="D128" s="208"/>
      <c r="E128" s="208"/>
      <c r="F128" s="208"/>
      <c r="G128" s="208"/>
      <c r="H128" s="208"/>
      <c r="I128" s="208"/>
      <c r="J128" s="208"/>
      <c r="K128" s="208"/>
      <c r="L128" s="208"/>
      <c r="M128" s="208"/>
      <c r="N128" s="208"/>
      <c r="O128" s="208"/>
      <c r="P128" s="208"/>
      <c r="Q128" s="208"/>
      <c r="R128" s="208"/>
      <c r="S128" s="208"/>
      <c r="T128" s="208"/>
      <c r="U128" s="208"/>
      <c r="V128" s="208"/>
      <c r="W128" s="208"/>
      <c r="X128" s="208"/>
      <c r="Y128" s="208"/>
      <c r="Z128" s="208"/>
      <c r="AA128" s="208"/>
      <c r="AB128" s="208"/>
      <c r="AC128" s="208"/>
      <c r="AD128" s="208"/>
      <c r="AE128" s="208"/>
      <c r="AF128" s="208"/>
      <c r="AG128" s="208"/>
      <c r="AH128" s="208"/>
      <c r="AI128" s="208"/>
      <c r="AJ128" s="208"/>
      <c r="AK128" s="208"/>
      <c r="AL128" s="208"/>
      <c r="AM128" s="208"/>
      <c r="AN128" s="208"/>
      <c r="AO128" s="208"/>
      <c r="AP128" s="208"/>
      <c r="AQ128" s="208"/>
      <c r="AR128" s="208"/>
      <c r="AS128" s="208"/>
      <c r="AT128" s="208"/>
      <c r="AU128" s="208"/>
      <c r="AV128" s="208"/>
      <c r="AW128" s="208"/>
      <c r="AX128" s="208"/>
      <c r="AY128" s="208"/>
      <c r="AZ128" s="208"/>
      <c r="BA128" s="208"/>
    </row>
    <row r="129" spans="1:53" ht="15" customHeight="1" x14ac:dyDescent="0.75">
      <c r="A129" s="207"/>
      <c r="B129" s="208"/>
      <c r="C129" s="208"/>
      <c r="D129" s="208"/>
      <c r="E129" s="208"/>
      <c r="F129" s="208"/>
      <c r="G129" s="208"/>
      <c r="H129" s="208"/>
      <c r="I129" s="208"/>
      <c r="J129" s="208"/>
      <c r="K129" s="208"/>
      <c r="L129" s="208"/>
      <c r="M129" s="208"/>
      <c r="N129" s="208"/>
      <c r="O129" s="208"/>
      <c r="P129" s="208"/>
      <c r="Q129" s="208"/>
      <c r="R129" s="208"/>
      <c r="S129" s="208"/>
      <c r="T129" s="208"/>
      <c r="U129" s="208"/>
      <c r="V129" s="208"/>
      <c r="W129" s="208"/>
      <c r="X129" s="208"/>
      <c r="Y129" s="208"/>
      <c r="Z129" s="208"/>
      <c r="AA129" s="208"/>
      <c r="AB129" s="208"/>
      <c r="AC129" s="208"/>
      <c r="AD129" s="208"/>
      <c r="AE129" s="208"/>
      <c r="AF129" s="208"/>
      <c r="AG129" s="208"/>
      <c r="AH129" s="208"/>
      <c r="AI129" s="208"/>
      <c r="AJ129" s="208"/>
      <c r="AK129" s="208"/>
      <c r="AL129" s="208"/>
      <c r="AM129" s="208"/>
      <c r="AN129" s="208"/>
      <c r="AO129" s="208"/>
      <c r="AP129" s="208"/>
      <c r="AQ129" s="208"/>
      <c r="AR129" s="208"/>
      <c r="AS129" s="208"/>
      <c r="AT129" s="208"/>
      <c r="AU129" s="208"/>
      <c r="AV129" s="208"/>
      <c r="AW129" s="208"/>
      <c r="AX129" s="208"/>
      <c r="AY129" s="208"/>
      <c r="AZ129" s="208"/>
      <c r="BA129" s="208"/>
    </row>
    <row r="130" spans="1:53" ht="15" customHeight="1" x14ac:dyDescent="0.75">
      <c r="A130" s="207"/>
      <c r="B130" s="208"/>
      <c r="C130" s="208"/>
      <c r="D130" s="208"/>
      <c r="E130" s="208"/>
      <c r="F130" s="208"/>
      <c r="G130" s="208"/>
      <c r="H130" s="208"/>
      <c r="I130" s="208"/>
      <c r="J130" s="208"/>
      <c r="K130" s="208"/>
      <c r="L130" s="208"/>
      <c r="M130" s="208"/>
      <c r="N130" s="208"/>
      <c r="O130" s="208"/>
      <c r="P130" s="208"/>
      <c r="Q130" s="208"/>
      <c r="R130" s="208"/>
      <c r="S130" s="208"/>
      <c r="T130" s="208"/>
      <c r="U130" s="208"/>
      <c r="V130" s="208"/>
      <c r="W130" s="208"/>
      <c r="X130" s="208"/>
      <c r="Y130" s="208"/>
      <c r="Z130" s="208"/>
      <c r="AA130" s="208"/>
      <c r="AB130" s="208"/>
      <c r="AC130" s="208"/>
      <c r="AD130" s="208"/>
      <c r="AE130" s="208"/>
      <c r="AF130" s="208"/>
      <c r="AG130" s="208"/>
      <c r="AH130" s="208"/>
      <c r="AI130" s="208"/>
      <c r="AJ130" s="208"/>
      <c r="AK130" s="208"/>
      <c r="AL130" s="208"/>
      <c r="AM130" s="208"/>
      <c r="AN130" s="208"/>
      <c r="AO130" s="208"/>
      <c r="AP130" s="208"/>
      <c r="AQ130" s="208"/>
      <c r="AR130" s="208"/>
      <c r="AS130" s="208"/>
      <c r="AT130" s="208"/>
      <c r="AU130" s="208"/>
      <c r="AV130" s="208"/>
      <c r="AW130" s="208"/>
      <c r="AX130" s="208"/>
      <c r="AY130" s="208"/>
      <c r="AZ130" s="208"/>
      <c r="BA130" s="208"/>
    </row>
    <row r="131" spans="1:53" ht="15" customHeight="1" x14ac:dyDescent="0.75">
      <c r="A131" s="207"/>
      <c r="B131" s="208"/>
      <c r="C131" s="208"/>
      <c r="D131" s="208"/>
      <c r="E131" s="208"/>
      <c r="F131" s="208"/>
      <c r="G131" s="208"/>
      <c r="H131" s="208"/>
      <c r="I131" s="208"/>
      <c r="J131" s="208"/>
      <c r="K131" s="208"/>
      <c r="L131" s="208"/>
      <c r="M131" s="208"/>
      <c r="N131" s="208"/>
      <c r="O131" s="208"/>
      <c r="P131" s="208"/>
      <c r="Q131" s="208"/>
      <c r="R131" s="208"/>
      <c r="S131" s="208"/>
      <c r="T131" s="208"/>
      <c r="U131" s="208"/>
      <c r="V131" s="208"/>
      <c r="W131" s="208"/>
      <c r="X131" s="208"/>
      <c r="Y131" s="208"/>
      <c r="Z131" s="208"/>
      <c r="AA131" s="208"/>
      <c r="AB131" s="208"/>
      <c r="AC131" s="208"/>
      <c r="AD131" s="208"/>
      <c r="AE131" s="208"/>
      <c r="AF131" s="208"/>
      <c r="AG131" s="208"/>
      <c r="AH131" s="208"/>
      <c r="AI131" s="208"/>
      <c r="AJ131" s="208"/>
      <c r="AK131" s="208"/>
      <c r="AL131" s="208"/>
      <c r="AM131" s="208"/>
      <c r="AN131" s="208"/>
      <c r="AO131" s="208"/>
      <c r="AP131" s="208"/>
      <c r="AQ131" s="208"/>
      <c r="AR131" s="208"/>
      <c r="AS131" s="208"/>
      <c r="AT131" s="208"/>
      <c r="AU131" s="208"/>
      <c r="AV131" s="208"/>
      <c r="AW131" s="208"/>
      <c r="AX131" s="208"/>
      <c r="AY131" s="208"/>
      <c r="AZ131" s="208"/>
      <c r="BA131" s="208"/>
    </row>
    <row r="132" spans="1:53" ht="15" customHeight="1" x14ac:dyDescent="0.75">
      <c r="A132" s="207"/>
      <c r="B132" s="208"/>
      <c r="C132" s="208"/>
      <c r="D132" s="208"/>
      <c r="E132" s="208"/>
      <c r="F132" s="208"/>
      <c r="G132" s="208"/>
      <c r="H132" s="208"/>
      <c r="I132" s="208"/>
      <c r="J132" s="208"/>
      <c r="K132" s="208"/>
      <c r="L132" s="208"/>
      <c r="M132" s="208"/>
      <c r="N132" s="208"/>
      <c r="O132" s="208"/>
      <c r="P132" s="208"/>
      <c r="Q132" s="208"/>
      <c r="R132" s="208"/>
      <c r="S132" s="208"/>
      <c r="T132" s="208"/>
      <c r="U132" s="208"/>
      <c r="V132" s="208"/>
      <c r="W132" s="208"/>
      <c r="X132" s="208"/>
      <c r="Y132" s="208"/>
      <c r="Z132" s="208"/>
      <c r="AA132" s="208"/>
      <c r="AB132" s="208"/>
      <c r="AC132" s="208"/>
      <c r="AD132" s="208"/>
      <c r="AE132" s="208"/>
      <c r="AF132" s="208"/>
      <c r="AG132" s="208"/>
      <c r="AH132" s="208"/>
      <c r="AI132" s="208"/>
      <c r="AJ132" s="208"/>
      <c r="AK132" s="208"/>
      <c r="AL132" s="208"/>
      <c r="AM132" s="208"/>
      <c r="AN132" s="208"/>
      <c r="AO132" s="208"/>
      <c r="AP132" s="208"/>
      <c r="AQ132" s="208"/>
      <c r="AR132" s="208"/>
      <c r="AS132" s="208"/>
      <c r="AT132" s="208"/>
      <c r="AU132" s="208"/>
      <c r="AV132" s="208"/>
      <c r="AW132" s="208"/>
      <c r="AX132" s="208"/>
      <c r="AY132" s="208"/>
      <c r="AZ132" s="208"/>
      <c r="BA132" s="208"/>
    </row>
    <row r="133" spans="1:53" ht="15" customHeight="1" x14ac:dyDescent="0.75">
      <c r="A133" s="207"/>
      <c r="B133" s="208"/>
      <c r="C133" s="208"/>
      <c r="D133" s="208"/>
      <c r="E133" s="208"/>
      <c r="F133" s="208"/>
      <c r="G133" s="208"/>
      <c r="H133" s="208"/>
      <c r="I133" s="208"/>
      <c r="J133" s="208"/>
      <c r="K133" s="208"/>
      <c r="L133" s="208"/>
      <c r="M133" s="208"/>
      <c r="N133" s="208"/>
      <c r="O133" s="208"/>
      <c r="P133" s="208"/>
      <c r="Q133" s="208"/>
      <c r="R133" s="208"/>
      <c r="S133" s="208"/>
      <c r="T133" s="208"/>
      <c r="U133" s="208"/>
      <c r="V133" s="208"/>
      <c r="W133" s="208"/>
      <c r="X133" s="208"/>
      <c r="Y133" s="208"/>
      <c r="Z133" s="208"/>
      <c r="AA133" s="208"/>
      <c r="AB133" s="208"/>
      <c r="AC133" s="208"/>
      <c r="AD133" s="208"/>
      <c r="AE133" s="208"/>
      <c r="AF133" s="208"/>
      <c r="AG133" s="208"/>
      <c r="AH133" s="208"/>
      <c r="AI133" s="208"/>
      <c r="AJ133" s="208"/>
      <c r="AK133" s="208"/>
      <c r="AL133" s="208"/>
      <c r="AM133" s="208"/>
      <c r="AN133" s="208"/>
      <c r="AO133" s="208"/>
      <c r="AP133" s="208"/>
      <c r="AQ133" s="208"/>
      <c r="AR133" s="208"/>
      <c r="AS133" s="208"/>
      <c r="AT133" s="208"/>
      <c r="AU133" s="208"/>
      <c r="AV133" s="208"/>
      <c r="AW133" s="208"/>
      <c r="AX133" s="208"/>
      <c r="AY133" s="208"/>
      <c r="AZ133" s="208"/>
      <c r="BA133" s="208"/>
    </row>
    <row r="134" spans="1:53" ht="15" customHeight="1" x14ac:dyDescent="0.75">
      <c r="A134" s="207"/>
      <c r="B134" s="208"/>
      <c r="C134" s="208"/>
      <c r="D134" s="208"/>
      <c r="E134" s="208"/>
      <c r="F134" s="208"/>
      <c r="G134" s="208"/>
      <c r="H134" s="208"/>
      <c r="I134" s="208"/>
      <c r="J134" s="208"/>
      <c r="K134" s="208"/>
      <c r="L134" s="208"/>
      <c r="M134" s="208"/>
      <c r="N134" s="208"/>
      <c r="O134" s="208"/>
      <c r="P134" s="208"/>
      <c r="Q134" s="208"/>
      <c r="R134" s="208"/>
      <c r="S134" s="208"/>
      <c r="T134" s="208"/>
      <c r="U134" s="208"/>
      <c r="V134" s="208"/>
      <c r="W134" s="208"/>
      <c r="X134" s="208"/>
      <c r="Y134" s="208"/>
      <c r="Z134" s="208"/>
      <c r="AA134" s="208"/>
      <c r="AB134" s="208"/>
      <c r="AC134" s="208"/>
      <c r="AD134" s="208"/>
      <c r="AE134" s="208"/>
      <c r="AF134" s="208"/>
      <c r="AG134" s="208"/>
      <c r="AH134" s="208"/>
      <c r="AI134" s="208"/>
      <c r="AJ134" s="208"/>
      <c r="AK134" s="208"/>
      <c r="AL134" s="208"/>
      <c r="AM134" s="208"/>
      <c r="AN134" s="208"/>
      <c r="AO134" s="208"/>
      <c r="AP134" s="208"/>
      <c r="AQ134" s="208"/>
      <c r="AR134" s="208"/>
      <c r="AS134" s="208"/>
      <c r="AT134" s="208"/>
      <c r="AU134" s="208"/>
      <c r="AV134" s="208"/>
      <c r="AW134" s="208"/>
      <c r="AX134" s="208"/>
      <c r="AY134" s="208"/>
      <c r="AZ134" s="208"/>
      <c r="BA134" s="208"/>
    </row>
    <row r="135" spans="1:53" ht="15" customHeight="1" x14ac:dyDescent="0.75">
      <c r="A135" s="212" t="s">
        <v>441</v>
      </c>
      <c r="B135" s="208"/>
      <c r="C135" s="208"/>
      <c r="D135" s="208"/>
      <c r="E135" s="208"/>
      <c r="F135" s="208"/>
      <c r="G135" s="208"/>
      <c r="H135" s="208"/>
      <c r="I135" s="208"/>
      <c r="J135" s="208"/>
      <c r="K135" s="208"/>
      <c r="L135" s="208"/>
      <c r="M135" s="208"/>
      <c r="N135" s="208"/>
      <c r="O135" s="208"/>
      <c r="P135" s="208"/>
      <c r="Q135" s="208"/>
      <c r="R135" s="208"/>
      <c r="S135" s="208"/>
      <c r="T135" s="208"/>
      <c r="U135" s="208"/>
      <c r="V135" s="208"/>
      <c r="W135" s="208"/>
      <c r="X135" s="208"/>
      <c r="Y135" s="208"/>
      <c r="Z135" s="208"/>
      <c r="AA135" s="208"/>
      <c r="AB135" s="208"/>
      <c r="AC135" s="208"/>
      <c r="AD135" s="208"/>
      <c r="AE135" s="208"/>
      <c r="AF135" s="208"/>
      <c r="AG135" s="208"/>
      <c r="AH135" s="208"/>
      <c r="AI135" s="208"/>
      <c r="AJ135" s="208"/>
      <c r="AK135" s="208"/>
      <c r="AL135" s="208"/>
      <c r="AM135" s="208"/>
      <c r="AN135" s="208"/>
      <c r="AO135" s="208"/>
      <c r="AP135" s="208"/>
      <c r="AQ135" s="208"/>
      <c r="AR135" s="208"/>
      <c r="AS135" s="208"/>
      <c r="AT135" s="208"/>
      <c r="AU135" s="208"/>
      <c r="AV135" s="208"/>
      <c r="AW135" s="208"/>
      <c r="AX135" s="208"/>
      <c r="AY135" s="208"/>
      <c r="AZ135" s="208"/>
      <c r="BA135" s="208"/>
    </row>
    <row r="136" spans="1:53" ht="15" customHeight="1" x14ac:dyDescent="0.75">
      <c r="A136" s="207"/>
      <c r="B136" s="208"/>
      <c r="C136" s="208"/>
      <c r="D136" s="208"/>
      <c r="E136" s="208"/>
      <c r="F136" s="208"/>
      <c r="G136" s="208"/>
      <c r="H136" s="208"/>
      <c r="I136" s="208"/>
      <c r="J136" s="208"/>
      <c r="K136" s="208"/>
      <c r="L136" s="208"/>
      <c r="M136" s="208"/>
      <c r="N136" s="208"/>
      <c r="O136" s="208"/>
      <c r="P136" s="208"/>
      <c r="Q136" s="208"/>
      <c r="R136" s="208"/>
      <c r="S136" s="208"/>
      <c r="T136" s="208"/>
      <c r="U136" s="208"/>
      <c r="V136" s="208"/>
      <c r="W136" s="208"/>
      <c r="X136" s="208"/>
      <c r="Y136" s="208"/>
      <c r="Z136" s="208"/>
      <c r="AA136" s="208"/>
      <c r="AB136" s="208"/>
      <c r="AC136" s="208"/>
      <c r="AD136" s="208"/>
      <c r="AE136" s="208"/>
      <c r="AF136" s="208"/>
      <c r="AG136" s="208"/>
      <c r="AH136" s="208"/>
      <c r="AI136" s="208"/>
      <c r="AJ136" s="208"/>
      <c r="AK136" s="208"/>
      <c r="AL136" s="208"/>
      <c r="AM136" s="208"/>
      <c r="AN136" s="208"/>
      <c r="AO136" s="208"/>
      <c r="AP136" s="208"/>
      <c r="AQ136" s="208"/>
      <c r="AR136" s="208"/>
      <c r="AS136" s="208"/>
      <c r="AT136" s="208"/>
      <c r="AU136" s="208"/>
      <c r="AV136" s="208"/>
      <c r="AW136" s="208"/>
      <c r="AX136" s="208"/>
      <c r="AY136" s="208"/>
      <c r="AZ136" s="208"/>
      <c r="BA136" s="208"/>
    </row>
    <row r="137" spans="1:53" ht="15" customHeight="1" x14ac:dyDescent="0.75">
      <c r="A137" s="207"/>
      <c r="B137" s="208"/>
      <c r="C137" s="208"/>
      <c r="D137" s="208"/>
      <c r="E137" s="208"/>
      <c r="F137" s="208"/>
      <c r="G137" s="208"/>
      <c r="H137" s="208"/>
      <c r="I137" s="208"/>
      <c r="J137" s="208"/>
      <c r="K137" s="208"/>
      <c r="L137" s="208"/>
      <c r="M137" s="208"/>
      <c r="N137" s="208"/>
      <c r="O137" s="208"/>
      <c r="P137" s="208"/>
      <c r="Q137" s="208"/>
      <c r="R137" s="208"/>
      <c r="S137" s="208"/>
      <c r="T137" s="208"/>
      <c r="U137" s="208"/>
      <c r="V137" s="208"/>
      <c r="W137" s="208"/>
      <c r="X137" s="208"/>
      <c r="Y137" s="208"/>
      <c r="Z137" s="208"/>
      <c r="AA137" s="208"/>
      <c r="AB137" s="208"/>
      <c r="AC137" s="208"/>
      <c r="AD137" s="208"/>
      <c r="AE137" s="208"/>
      <c r="AF137" s="208"/>
      <c r="AG137" s="208"/>
      <c r="AH137" s="208"/>
      <c r="AI137" s="208"/>
      <c r="AJ137" s="208"/>
      <c r="AK137" s="208"/>
      <c r="AL137" s="208"/>
      <c r="AM137" s="208"/>
      <c r="AN137" s="208"/>
      <c r="AO137" s="208"/>
      <c r="AP137" s="208"/>
      <c r="AQ137" s="208"/>
      <c r="AR137" s="208"/>
      <c r="AS137" s="208"/>
      <c r="AT137" s="208"/>
      <c r="AU137" s="208"/>
      <c r="AV137" s="208"/>
      <c r="AW137" s="208"/>
      <c r="AX137" s="208"/>
      <c r="AY137" s="208"/>
      <c r="AZ137" s="208"/>
      <c r="BA137" s="208"/>
    </row>
    <row r="138" spans="1:53" ht="15" customHeight="1" x14ac:dyDescent="0.75">
      <c r="A138" s="207"/>
      <c r="B138" s="208"/>
      <c r="C138" s="208"/>
      <c r="D138" s="208"/>
      <c r="E138" s="208"/>
      <c r="F138" s="208"/>
      <c r="G138" s="208"/>
      <c r="H138" s="208"/>
      <c r="I138" s="208"/>
      <c r="J138" s="208"/>
      <c r="K138" s="208"/>
      <c r="L138" s="208"/>
      <c r="M138" s="208"/>
      <c r="N138" s="208"/>
      <c r="O138" s="208"/>
      <c r="P138" s="208"/>
      <c r="Q138" s="208"/>
      <c r="R138" s="208"/>
      <c r="S138" s="208"/>
      <c r="T138" s="208"/>
      <c r="U138" s="208"/>
      <c r="V138" s="208"/>
      <c r="W138" s="208"/>
      <c r="X138" s="208"/>
      <c r="Y138" s="208"/>
      <c r="Z138" s="208"/>
      <c r="AA138" s="208"/>
      <c r="AB138" s="208"/>
      <c r="AC138" s="208"/>
      <c r="AD138" s="208"/>
      <c r="AE138" s="208"/>
      <c r="AF138" s="208"/>
      <c r="AG138" s="208"/>
      <c r="AH138" s="208"/>
      <c r="AI138" s="208"/>
      <c r="AJ138" s="208"/>
      <c r="AK138" s="208"/>
      <c r="AL138" s="208"/>
      <c r="AM138" s="208"/>
      <c r="AN138" s="208"/>
      <c r="AO138" s="208"/>
      <c r="AP138" s="208"/>
      <c r="AQ138" s="208"/>
      <c r="AR138" s="208"/>
      <c r="AS138" s="208"/>
      <c r="AT138" s="208"/>
      <c r="AU138" s="208"/>
      <c r="AV138" s="208"/>
      <c r="AW138" s="208"/>
      <c r="AX138" s="208"/>
      <c r="AY138" s="208"/>
      <c r="AZ138" s="208"/>
      <c r="BA138" s="208"/>
    </row>
    <row r="139" spans="1:53" ht="15" customHeight="1" x14ac:dyDescent="0.75">
      <c r="A139" s="207"/>
      <c r="B139" s="208"/>
      <c r="C139" s="208"/>
      <c r="D139" s="208"/>
      <c r="E139" s="208"/>
      <c r="F139" s="208"/>
      <c r="G139" s="208"/>
      <c r="H139" s="208"/>
      <c r="I139" s="208"/>
      <c r="J139" s="208"/>
      <c r="K139" s="208"/>
      <c r="L139" s="208"/>
      <c r="M139" s="208"/>
      <c r="N139" s="208"/>
      <c r="O139" s="208"/>
      <c r="P139" s="208"/>
      <c r="Q139" s="208"/>
      <c r="R139" s="208"/>
      <c r="S139" s="208"/>
      <c r="T139" s="208"/>
      <c r="U139" s="208"/>
      <c r="V139" s="208"/>
      <c r="W139" s="208"/>
      <c r="X139" s="208"/>
      <c r="Y139" s="208"/>
      <c r="Z139" s="208"/>
      <c r="AA139" s="208"/>
      <c r="AB139" s="208"/>
      <c r="AC139" s="208"/>
      <c r="AD139" s="208"/>
      <c r="AE139" s="208"/>
      <c r="AF139" s="208"/>
      <c r="AG139" s="208"/>
      <c r="AH139" s="208"/>
      <c r="AI139" s="208"/>
      <c r="AJ139" s="208"/>
      <c r="AK139" s="208"/>
      <c r="AL139" s="208"/>
      <c r="AM139" s="208"/>
      <c r="AN139" s="208"/>
      <c r="AO139" s="208"/>
      <c r="AP139" s="208"/>
      <c r="AQ139" s="208"/>
      <c r="AR139" s="208"/>
      <c r="AS139" s="208"/>
      <c r="AT139" s="208"/>
      <c r="AU139" s="208"/>
      <c r="AV139" s="208"/>
      <c r="AW139" s="208"/>
      <c r="AX139" s="208"/>
      <c r="AY139" s="208"/>
      <c r="AZ139" s="208"/>
      <c r="BA139" s="208"/>
    </row>
    <row r="140" spans="1:53" ht="15" customHeight="1" x14ac:dyDescent="0.75">
      <c r="A140" s="207"/>
      <c r="B140" s="208"/>
      <c r="C140" s="208"/>
      <c r="D140" s="208"/>
      <c r="E140" s="208"/>
      <c r="F140" s="208"/>
      <c r="G140" s="208"/>
      <c r="H140" s="208"/>
      <c r="I140" s="208"/>
      <c r="J140" s="208"/>
      <c r="K140" s="208"/>
      <c r="L140" s="208"/>
      <c r="M140" s="208"/>
      <c r="N140" s="208"/>
      <c r="O140" s="208"/>
      <c r="P140" s="208"/>
      <c r="Q140" s="208"/>
      <c r="R140" s="208"/>
      <c r="S140" s="208"/>
      <c r="T140" s="208"/>
      <c r="U140" s="208"/>
      <c r="V140" s="208"/>
      <c r="W140" s="208"/>
      <c r="X140" s="208"/>
      <c r="Y140" s="208"/>
      <c r="Z140" s="208"/>
      <c r="AA140" s="208"/>
      <c r="AB140" s="208"/>
      <c r="AC140" s="208"/>
      <c r="AD140" s="208"/>
      <c r="AE140" s="208"/>
      <c r="AF140" s="208"/>
      <c r="AG140" s="208"/>
      <c r="AH140" s="208"/>
      <c r="AI140" s="208"/>
      <c r="AJ140" s="208"/>
      <c r="AK140" s="208"/>
      <c r="AL140" s="208"/>
      <c r="AM140" s="208"/>
      <c r="AN140" s="208"/>
      <c r="AO140" s="208"/>
      <c r="AP140" s="208"/>
      <c r="AQ140" s="208"/>
      <c r="AR140" s="208"/>
      <c r="AS140" s="208"/>
      <c r="AT140" s="208"/>
      <c r="AU140" s="208"/>
      <c r="AV140" s="208"/>
      <c r="AW140" s="208"/>
      <c r="AX140" s="208"/>
      <c r="AY140" s="208"/>
      <c r="AZ140" s="208"/>
      <c r="BA140" s="208"/>
    </row>
    <row r="141" spans="1:53" ht="15" customHeight="1" x14ac:dyDescent="0.75">
      <c r="A141" s="212" t="s">
        <v>442</v>
      </c>
      <c r="B141" s="208"/>
      <c r="C141" s="208"/>
      <c r="D141" s="208"/>
      <c r="E141" s="208"/>
      <c r="F141" s="208"/>
      <c r="G141" s="208"/>
      <c r="H141" s="208"/>
      <c r="I141" s="208"/>
      <c r="J141" s="208"/>
      <c r="K141" s="208"/>
      <c r="L141" s="208"/>
      <c r="M141" s="208"/>
      <c r="N141" s="208"/>
      <c r="O141" s="208"/>
      <c r="P141" s="208"/>
      <c r="Q141" s="208"/>
      <c r="R141" s="208"/>
      <c r="S141" s="208"/>
      <c r="T141" s="208"/>
      <c r="U141" s="208"/>
      <c r="V141" s="208"/>
      <c r="W141" s="208"/>
      <c r="X141" s="208"/>
      <c r="Y141" s="208"/>
      <c r="Z141" s="208"/>
      <c r="AA141" s="208"/>
      <c r="AB141" s="208"/>
      <c r="AC141" s="208"/>
      <c r="AD141" s="208"/>
      <c r="AE141" s="208"/>
      <c r="AF141" s="208"/>
      <c r="AG141" s="208"/>
      <c r="AH141" s="208"/>
      <c r="AI141" s="208"/>
      <c r="AJ141" s="208"/>
      <c r="AK141" s="208"/>
      <c r="AL141" s="208"/>
      <c r="AM141" s="208"/>
      <c r="AN141" s="208"/>
      <c r="AO141" s="208"/>
      <c r="AP141" s="208"/>
      <c r="AQ141" s="208"/>
      <c r="AR141" s="208"/>
      <c r="AS141" s="208"/>
      <c r="AT141" s="208"/>
      <c r="AU141" s="208"/>
      <c r="AV141" s="208"/>
      <c r="AW141" s="208"/>
      <c r="AX141" s="208"/>
      <c r="AY141" s="208"/>
      <c r="AZ141" s="208"/>
      <c r="BA141" s="208"/>
    </row>
    <row r="142" spans="1:53" ht="15" customHeight="1" x14ac:dyDescent="0.75">
      <c r="A142" s="212" t="s">
        <v>443</v>
      </c>
      <c r="B142" s="208"/>
      <c r="C142" s="208"/>
      <c r="D142" s="208"/>
      <c r="E142" s="208"/>
      <c r="F142" s="208"/>
      <c r="G142" s="208"/>
      <c r="H142" s="208"/>
      <c r="I142" s="208"/>
      <c r="J142" s="208"/>
      <c r="K142" s="208"/>
      <c r="L142" s="208"/>
      <c r="M142" s="208"/>
      <c r="N142" s="208"/>
      <c r="O142" s="208"/>
      <c r="P142" s="208"/>
      <c r="Q142" s="208"/>
      <c r="R142" s="208"/>
      <c r="S142" s="208"/>
      <c r="T142" s="208"/>
      <c r="U142" s="208"/>
      <c r="V142" s="208"/>
      <c r="W142" s="208"/>
      <c r="X142" s="208"/>
      <c r="Y142" s="208"/>
      <c r="Z142" s="208"/>
      <c r="AA142" s="208"/>
      <c r="AB142" s="208"/>
      <c r="AC142" s="208"/>
      <c r="AD142" s="208"/>
      <c r="AE142" s="208"/>
      <c r="AF142" s="208"/>
      <c r="AG142" s="208"/>
      <c r="AH142" s="208"/>
      <c r="AI142" s="208"/>
      <c r="AJ142" s="208"/>
      <c r="AK142" s="208"/>
      <c r="AL142" s="208"/>
      <c r="AM142" s="208"/>
      <c r="AN142" s="208"/>
      <c r="AO142" s="208"/>
      <c r="AP142" s="208"/>
      <c r="AQ142" s="208"/>
      <c r="AR142" s="208"/>
      <c r="AS142" s="208"/>
      <c r="AT142" s="208"/>
      <c r="AU142" s="208"/>
      <c r="AV142" s="208"/>
      <c r="AW142" s="208"/>
      <c r="AX142" s="208"/>
      <c r="AY142" s="208"/>
      <c r="AZ142" s="208"/>
      <c r="BA142" s="208"/>
    </row>
    <row r="143" spans="1:53" ht="15" customHeight="1" x14ac:dyDescent="0.75">
      <c r="A143" s="212" t="s">
        <v>444</v>
      </c>
      <c r="B143" s="208"/>
      <c r="C143" s="208"/>
      <c r="D143" s="208"/>
      <c r="E143" s="208"/>
      <c r="F143" s="208"/>
      <c r="G143" s="208"/>
      <c r="H143" s="208"/>
      <c r="I143" s="208"/>
      <c r="J143" s="208"/>
      <c r="K143" s="208"/>
      <c r="L143" s="208"/>
      <c r="M143" s="208"/>
      <c r="N143" s="208"/>
      <c r="O143" s="208"/>
      <c r="P143" s="208"/>
      <c r="Q143" s="208"/>
      <c r="R143" s="208"/>
      <c r="S143" s="208"/>
      <c r="T143" s="208"/>
      <c r="U143" s="208"/>
      <c r="V143" s="208"/>
      <c r="W143" s="208"/>
      <c r="X143" s="208"/>
      <c r="Y143" s="208"/>
      <c r="Z143" s="208"/>
      <c r="AA143" s="208"/>
      <c r="AB143" s="208"/>
      <c r="AC143" s="208"/>
      <c r="AD143" s="208"/>
      <c r="AE143" s="208"/>
      <c r="AF143" s="208"/>
      <c r="AG143" s="208"/>
      <c r="AH143" s="208"/>
      <c r="AI143" s="208"/>
      <c r="AJ143" s="208"/>
      <c r="AK143" s="208"/>
      <c r="AL143" s="208"/>
      <c r="AM143" s="208"/>
      <c r="AN143" s="208"/>
      <c r="AO143" s="208"/>
      <c r="AP143" s="208"/>
      <c r="AQ143" s="208"/>
      <c r="AR143" s="208"/>
      <c r="AS143" s="208"/>
      <c r="AT143" s="208"/>
      <c r="AU143" s="208"/>
      <c r="AV143" s="208"/>
      <c r="AW143" s="208"/>
      <c r="AX143" s="208"/>
      <c r="AY143" s="208"/>
      <c r="AZ143" s="208"/>
      <c r="BA143" s="208"/>
    </row>
    <row r="144" spans="1:53" ht="15" customHeight="1" x14ac:dyDescent="0.75">
      <c r="A144" s="212" t="s">
        <v>445</v>
      </c>
      <c r="B144" s="208"/>
      <c r="C144" s="208"/>
      <c r="D144" s="208"/>
      <c r="E144" s="208"/>
      <c r="F144" s="208"/>
      <c r="G144" s="208"/>
      <c r="H144" s="208"/>
      <c r="I144" s="208"/>
      <c r="J144" s="208"/>
      <c r="K144" s="208"/>
      <c r="L144" s="208"/>
      <c r="M144" s="208"/>
      <c r="N144" s="208"/>
      <c r="O144" s="208"/>
      <c r="P144" s="208"/>
      <c r="Q144" s="208"/>
      <c r="R144" s="208"/>
      <c r="S144" s="208"/>
      <c r="T144" s="208"/>
      <c r="U144" s="208"/>
      <c r="V144" s="208"/>
      <c r="W144" s="208"/>
      <c r="X144" s="208"/>
      <c r="Y144" s="208"/>
      <c r="Z144" s="208"/>
      <c r="AA144" s="208"/>
      <c r="AB144" s="208"/>
      <c r="AC144" s="208"/>
      <c r="AD144" s="208"/>
      <c r="AE144" s="208"/>
      <c r="AF144" s="208"/>
      <c r="AG144" s="208"/>
      <c r="AH144" s="208"/>
      <c r="AI144" s="208"/>
      <c r="AJ144" s="208"/>
      <c r="AK144" s="208"/>
      <c r="AL144" s="208"/>
      <c r="AM144" s="208"/>
      <c r="AN144" s="208"/>
      <c r="AO144" s="208"/>
      <c r="AP144" s="208"/>
      <c r="AQ144" s="208"/>
      <c r="AR144" s="208"/>
      <c r="AS144" s="208"/>
      <c r="AT144" s="208"/>
      <c r="AU144" s="208"/>
      <c r="AV144" s="208"/>
      <c r="AW144" s="208"/>
      <c r="AX144" s="208"/>
      <c r="AY144" s="208"/>
      <c r="AZ144" s="208"/>
      <c r="BA144" s="208"/>
    </row>
    <row r="145" spans="1:53" ht="15" customHeight="1" x14ac:dyDescent="0.75">
      <c r="A145" s="212" t="s">
        <v>446</v>
      </c>
      <c r="B145" s="208"/>
      <c r="C145" s="208"/>
      <c r="D145" s="208"/>
      <c r="E145" s="208"/>
      <c r="F145" s="208"/>
      <c r="G145" s="208"/>
      <c r="H145" s="208"/>
      <c r="I145" s="208"/>
      <c r="J145" s="208"/>
      <c r="K145" s="208"/>
      <c r="L145" s="208"/>
      <c r="M145" s="208"/>
      <c r="N145" s="208"/>
      <c r="O145" s="208"/>
      <c r="P145" s="208"/>
      <c r="Q145" s="208"/>
      <c r="R145" s="208"/>
      <c r="S145" s="208"/>
      <c r="T145" s="208"/>
      <c r="U145" s="208"/>
      <c r="V145" s="208"/>
      <c r="W145" s="208"/>
      <c r="X145" s="208"/>
      <c r="Y145" s="208"/>
      <c r="Z145" s="208"/>
      <c r="AA145" s="208"/>
      <c r="AB145" s="208"/>
      <c r="AC145" s="208"/>
      <c r="AD145" s="208"/>
      <c r="AE145" s="208"/>
      <c r="AF145" s="208"/>
      <c r="AG145" s="208"/>
      <c r="AH145" s="208"/>
      <c r="AI145" s="208"/>
      <c r="AJ145" s="208"/>
      <c r="AK145" s="208"/>
      <c r="AL145" s="208"/>
      <c r="AM145" s="208"/>
      <c r="AN145" s="208"/>
      <c r="AO145" s="208"/>
      <c r="AP145" s="208"/>
      <c r="AQ145" s="208"/>
      <c r="AR145" s="208"/>
      <c r="AS145" s="208"/>
      <c r="AT145" s="208"/>
      <c r="AU145" s="208"/>
      <c r="AV145" s="208"/>
      <c r="AW145" s="208"/>
      <c r="AX145" s="208"/>
      <c r="AY145" s="208"/>
      <c r="AZ145" s="208"/>
      <c r="BA145" s="208"/>
    </row>
    <row r="146" spans="1:53" ht="15" customHeight="1" x14ac:dyDescent="0.75">
      <c r="A146" s="212" t="s">
        <v>447</v>
      </c>
      <c r="B146" s="208"/>
      <c r="C146" s="208"/>
      <c r="D146" s="208"/>
      <c r="E146" s="208"/>
      <c r="F146" s="208"/>
      <c r="G146" s="208"/>
      <c r="H146" s="208"/>
      <c r="I146" s="208"/>
      <c r="J146" s="208"/>
      <c r="K146" s="208"/>
      <c r="L146" s="208"/>
      <c r="M146" s="208"/>
      <c r="N146" s="208"/>
      <c r="O146" s="208"/>
      <c r="P146" s="208"/>
      <c r="Q146" s="208"/>
      <c r="R146" s="208"/>
      <c r="S146" s="208"/>
      <c r="T146" s="208"/>
      <c r="U146" s="208"/>
      <c r="V146" s="208"/>
      <c r="W146" s="208"/>
      <c r="X146" s="208"/>
      <c r="Y146" s="208"/>
      <c r="Z146" s="208"/>
      <c r="AA146" s="208"/>
      <c r="AB146" s="208"/>
      <c r="AC146" s="208"/>
      <c r="AD146" s="208"/>
      <c r="AE146" s="208"/>
      <c r="AF146" s="208"/>
      <c r="AG146" s="208"/>
      <c r="AH146" s="208"/>
      <c r="AI146" s="208"/>
      <c r="AJ146" s="208"/>
      <c r="AK146" s="208"/>
      <c r="AL146" s="208"/>
      <c r="AM146" s="208"/>
      <c r="AN146" s="208"/>
      <c r="AO146" s="208"/>
      <c r="AP146" s="208"/>
      <c r="AQ146" s="208"/>
      <c r="AR146" s="208"/>
      <c r="AS146" s="208"/>
      <c r="AT146" s="208"/>
      <c r="AU146" s="208"/>
      <c r="AV146" s="208"/>
      <c r="AW146" s="208"/>
      <c r="AX146" s="208"/>
      <c r="AY146" s="208"/>
      <c r="AZ146" s="208"/>
      <c r="BA146" s="208"/>
    </row>
    <row r="147" spans="1:53" ht="15" customHeight="1" x14ac:dyDescent="0.75">
      <c r="A147" s="207"/>
      <c r="B147" s="208"/>
      <c r="C147" s="208"/>
      <c r="D147" s="208"/>
      <c r="E147" s="208"/>
      <c r="F147" s="208"/>
      <c r="G147" s="208"/>
      <c r="H147" s="208"/>
      <c r="I147" s="208"/>
      <c r="J147" s="208"/>
      <c r="K147" s="208"/>
      <c r="L147" s="208"/>
      <c r="M147" s="208"/>
      <c r="N147" s="208"/>
      <c r="O147" s="208"/>
      <c r="P147" s="208"/>
      <c r="Q147" s="208"/>
      <c r="R147" s="208"/>
      <c r="S147" s="208"/>
      <c r="T147" s="208"/>
      <c r="U147" s="208"/>
      <c r="V147" s="208"/>
      <c r="W147" s="208"/>
      <c r="X147" s="208"/>
      <c r="Y147" s="208"/>
      <c r="Z147" s="208"/>
      <c r="AA147" s="208"/>
      <c r="AB147" s="208"/>
      <c r="AC147" s="208"/>
      <c r="AD147" s="208"/>
      <c r="AE147" s="208"/>
      <c r="AF147" s="208"/>
      <c r="AG147" s="208"/>
      <c r="AH147" s="208"/>
      <c r="AI147" s="208"/>
      <c r="AJ147" s="208"/>
      <c r="AK147" s="208"/>
      <c r="AL147" s="208"/>
      <c r="AM147" s="208"/>
      <c r="AN147" s="208"/>
      <c r="AO147" s="208"/>
      <c r="AP147" s="208"/>
      <c r="AQ147" s="208"/>
      <c r="AR147" s="208"/>
      <c r="AS147" s="208"/>
      <c r="AT147" s="208"/>
      <c r="AU147" s="208"/>
      <c r="AV147" s="208"/>
      <c r="AW147" s="208"/>
      <c r="AX147" s="208"/>
      <c r="AY147" s="208"/>
      <c r="AZ147" s="208"/>
      <c r="BA147" s="208"/>
    </row>
    <row r="148" spans="1:53" ht="15" customHeight="1" x14ac:dyDescent="0.75">
      <c r="A148" s="207"/>
      <c r="B148" s="208"/>
      <c r="C148" s="208"/>
      <c r="D148" s="208"/>
      <c r="E148" s="208"/>
      <c r="F148" s="208"/>
      <c r="G148" s="208"/>
      <c r="H148" s="208"/>
      <c r="I148" s="208"/>
      <c r="J148" s="208"/>
      <c r="K148" s="208"/>
      <c r="L148" s="208"/>
      <c r="M148" s="208"/>
      <c r="N148" s="208"/>
      <c r="O148" s="208"/>
      <c r="P148" s="208"/>
      <c r="Q148" s="208"/>
      <c r="R148" s="208"/>
      <c r="S148" s="208"/>
      <c r="T148" s="208"/>
      <c r="U148" s="208"/>
      <c r="V148" s="208"/>
      <c r="W148" s="208"/>
      <c r="X148" s="208"/>
      <c r="Y148" s="208"/>
      <c r="Z148" s="208"/>
      <c r="AA148" s="208"/>
      <c r="AB148" s="208"/>
      <c r="AC148" s="208"/>
      <c r="AD148" s="208"/>
      <c r="AE148" s="208"/>
      <c r="AF148" s="208"/>
      <c r="AG148" s="208"/>
      <c r="AH148" s="208"/>
      <c r="AI148" s="208"/>
      <c r="AJ148" s="208"/>
      <c r="AK148" s="208"/>
      <c r="AL148" s="208"/>
      <c r="AM148" s="208"/>
      <c r="AN148" s="208"/>
      <c r="AO148" s="208"/>
      <c r="AP148" s="208"/>
      <c r="AQ148" s="208"/>
      <c r="AR148" s="208"/>
      <c r="AS148" s="208"/>
      <c r="AT148" s="208"/>
      <c r="AU148" s="208"/>
      <c r="AV148" s="208"/>
      <c r="AW148" s="208"/>
      <c r="AX148" s="208"/>
      <c r="AY148" s="208"/>
      <c r="AZ148" s="208"/>
      <c r="BA148" s="208"/>
    </row>
    <row r="149" spans="1:53" ht="15" customHeight="1" x14ac:dyDescent="0.75">
      <c r="A149" s="212" t="s">
        <v>448</v>
      </c>
      <c r="B149" s="208"/>
      <c r="C149" s="208"/>
      <c r="D149" s="208"/>
      <c r="E149" s="208"/>
      <c r="F149" s="208"/>
      <c r="G149" s="208"/>
      <c r="H149" s="208"/>
      <c r="I149" s="208"/>
      <c r="J149" s="208"/>
      <c r="K149" s="208"/>
      <c r="L149" s="208"/>
      <c r="M149" s="208"/>
      <c r="N149" s="208"/>
      <c r="O149" s="208"/>
      <c r="P149" s="208"/>
      <c r="Q149" s="208"/>
      <c r="R149" s="208"/>
      <c r="S149" s="208"/>
      <c r="T149" s="208"/>
      <c r="U149" s="208"/>
      <c r="V149" s="208"/>
      <c r="W149" s="208"/>
      <c r="X149" s="208"/>
      <c r="Y149" s="208"/>
      <c r="Z149" s="208"/>
      <c r="AA149" s="208"/>
      <c r="AB149" s="208"/>
      <c r="AC149" s="208"/>
      <c r="AD149" s="208"/>
      <c r="AE149" s="208"/>
      <c r="AF149" s="208"/>
      <c r="AG149" s="208"/>
      <c r="AH149" s="208"/>
      <c r="AI149" s="208"/>
      <c r="AJ149" s="208"/>
      <c r="AK149" s="208"/>
      <c r="AL149" s="208"/>
      <c r="AM149" s="208"/>
      <c r="AN149" s="208"/>
      <c r="AO149" s="208"/>
      <c r="AP149" s="208"/>
      <c r="AQ149" s="208"/>
      <c r="AR149" s="208"/>
      <c r="AS149" s="208"/>
      <c r="AT149" s="208"/>
      <c r="AU149" s="208"/>
      <c r="AV149" s="208"/>
      <c r="AW149" s="208"/>
      <c r="AX149" s="208"/>
      <c r="AY149" s="208"/>
      <c r="AZ149" s="208"/>
      <c r="BA149" s="208"/>
    </row>
    <row r="150" spans="1:53" ht="15" customHeight="1" x14ac:dyDescent="0.75">
      <c r="A150" s="212" t="s">
        <v>449</v>
      </c>
      <c r="B150" s="208"/>
      <c r="C150" s="208"/>
      <c r="D150" s="208"/>
      <c r="E150" s="208"/>
      <c r="F150" s="208"/>
      <c r="G150" s="208"/>
      <c r="H150" s="208"/>
      <c r="I150" s="208"/>
      <c r="J150" s="208"/>
      <c r="K150" s="208"/>
      <c r="L150" s="208"/>
      <c r="M150" s="208"/>
      <c r="N150" s="208"/>
      <c r="O150" s="208"/>
      <c r="P150" s="208"/>
      <c r="Q150" s="208"/>
      <c r="R150" s="208"/>
      <c r="S150" s="208"/>
      <c r="T150" s="208"/>
      <c r="U150" s="208"/>
      <c r="V150" s="208"/>
      <c r="W150" s="208"/>
      <c r="X150" s="208"/>
      <c r="Y150" s="208"/>
      <c r="Z150" s="208"/>
      <c r="AA150" s="208"/>
      <c r="AB150" s="208"/>
      <c r="AC150" s="208"/>
      <c r="AD150" s="208"/>
      <c r="AE150" s="208"/>
      <c r="AF150" s="208"/>
      <c r="AG150" s="208"/>
      <c r="AH150" s="208"/>
      <c r="AI150" s="208"/>
      <c r="AJ150" s="208"/>
      <c r="AK150" s="208"/>
      <c r="AL150" s="208"/>
      <c r="AM150" s="208"/>
      <c r="AN150" s="208"/>
      <c r="AO150" s="208"/>
      <c r="AP150" s="208"/>
      <c r="AQ150" s="208"/>
      <c r="AR150" s="208"/>
      <c r="AS150" s="208"/>
      <c r="AT150" s="208"/>
      <c r="AU150" s="208"/>
      <c r="AV150" s="208"/>
      <c r="AW150" s="208"/>
      <c r="AX150" s="208"/>
      <c r="AY150" s="208"/>
      <c r="AZ150" s="208"/>
      <c r="BA150" s="208"/>
    </row>
    <row r="151" spans="1:53" ht="15" customHeight="1" x14ac:dyDescent="0.75">
      <c r="A151" s="212" t="s">
        <v>450</v>
      </c>
      <c r="B151" s="208"/>
      <c r="C151" s="208"/>
      <c r="D151" s="208"/>
      <c r="E151" s="208"/>
      <c r="F151" s="208"/>
      <c r="G151" s="208"/>
      <c r="H151" s="208"/>
      <c r="I151" s="208"/>
      <c r="J151" s="208"/>
      <c r="K151" s="208"/>
      <c r="L151" s="208"/>
      <c r="M151" s="208"/>
      <c r="N151" s="208"/>
      <c r="O151" s="208"/>
      <c r="P151" s="208"/>
      <c r="Q151" s="208"/>
      <c r="R151" s="208"/>
      <c r="S151" s="208"/>
      <c r="T151" s="208"/>
      <c r="U151" s="208"/>
      <c r="V151" s="208"/>
      <c r="W151" s="208"/>
      <c r="X151" s="208"/>
      <c r="Y151" s="208"/>
      <c r="Z151" s="208"/>
      <c r="AA151" s="208"/>
      <c r="AB151" s="208"/>
      <c r="AC151" s="208"/>
      <c r="AD151" s="208"/>
      <c r="AE151" s="208"/>
      <c r="AF151" s="208"/>
      <c r="AG151" s="208"/>
      <c r="AH151" s="208"/>
      <c r="AI151" s="208"/>
      <c r="AJ151" s="208"/>
      <c r="AK151" s="208"/>
      <c r="AL151" s="208"/>
      <c r="AM151" s="208"/>
      <c r="AN151" s="208"/>
      <c r="AO151" s="208"/>
      <c r="AP151" s="208"/>
      <c r="AQ151" s="208"/>
      <c r="AR151" s="208"/>
      <c r="AS151" s="208"/>
      <c r="AT151" s="208"/>
      <c r="AU151" s="208"/>
      <c r="AV151" s="208"/>
      <c r="AW151" s="208"/>
      <c r="AX151" s="208"/>
      <c r="AY151" s="208"/>
      <c r="AZ151" s="208"/>
      <c r="BA151" s="208"/>
    </row>
    <row r="152" spans="1:53" ht="15" customHeight="1" x14ac:dyDescent="0.75">
      <c r="A152" s="212" t="s">
        <v>451</v>
      </c>
      <c r="B152" s="208"/>
      <c r="C152" s="208"/>
      <c r="D152" s="208"/>
      <c r="E152" s="208"/>
      <c r="F152" s="208"/>
      <c r="G152" s="208"/>
      <c r="H152" s="208"/>
      <c r="I152" s="208"/>
      <c r="J152" s="208"/>
      <c r="K152" s="208"/>
      <c r="L152" s="208"/>
      <c r="M152" s="208"/>
      <c r="N152" s="208"/>
      <c r="O152" s="208"/>
      <c r="P152" s="208"/>
      <c r="Q152" s="208"/>
      <c r="R152" s="208"/>
      <c r="S152" s="208"/>
      <c r="T152" s="208"/>
      <c r="U152" s="208"/>
      <c r="V152" s="208"/>
      <c r="W152" s="208"/>
      <c r="X152" s="208"/>
      <c r="Y152" s="208"/>
      <c r="Z152" s="208"/>
      <c r="AA152" s="208"/>
      <c r="AB152" s="208"/>
      <c r="AC152" s="208"/>
      <c r="AD152" s="208"/>
      <c r="AE152" s="208"/>
      <c r="AF152" s="208"/>
      <c r="AG152" s="208"/>
      <c r="AH152" s="208"/>
      <c r="AI152" s="208"/>
      <c r="AJ152" s="208"/>
      <c r="AK152" s="208"/>
      <c r="AL152" s="208"/>
      <c r="AM152" s="208"/>
      <c r="AN152" s="208"/>
      <c r="AO152" s="208"/>
      <c r="AP152" s="208"/>
      <c r="AQ152" s="208"/>
      <c r="AR152" s="208"/>
      <c r="AS152" s="208"/>
      <c r="AT152" s="208"/>
      <c r="AU152" s="208"/>
      <c r="AV152" s="208"/>
      <c r="AW152" s="208"/>
      <c r="AX152" s="208"/>
      <c r="AY152" s="208"/>
      <c r="AZ152" s="208"/>
      <c r="BA152" s="208"/>
    </row>
    <row r="153" spans="1:53" ht="15" customHeight="1" x14ac:dyDescent="0.75">
      <c r="A153" s="212" t="s">
        <v>452</v>
      </c>
      <c r="B153" s="208"/>
      <c r="C153" s="208"/>
      <c r="D153" s="208"/>
      <c r="E153" s="208"/>
      <c r="F153" s="208"/>
      <c r="G153" s="208"/>
      <c r="H153" s="208"/>
      <c r="I153" s="208"/>
      <c r="J153" s="208"/>
      <c r="K153" s="208"/>
      <c r="L153" s="208"/>
      <c r="M153" s="208"/>
      <c r="N153" s="208"/>
      <c r="O153" s="208"/>
      <c r="P153" s="208"/>
      <c r="Q153" s="208"/>
      <c r="R153" s="208"/>
      <c r="S153" s="208"/>
      <c r="T153" s="208"/>
      <c r="U153" s="208"/>
      <c r="V153" s="208"/>
      <c r="W153" s="208"/>
      <c r="X153" s="208"/>
      <c r="Y153" s="208"/>
      <c r="Z153" s="208"/>
      <c r="AA153" s="208"/>
      <c r="AB153" s="208"/>
      <c r="AC153" s="208"/>
      <c r="AD153" s="208"/>
      <c r="AE153" s="208"/>
      <c r="AF153" s="208"/>
      <c r="AG153" s="208"/>
      <c r="AH153" s="208"/>
      <c r="AI153" s="208"/>
      <c r="AJ153" s="208"/>
      <c r="AK153" s="208"/>
      <c r="AL153" s="208"/>
      <c r="AM153" s="208"/>
      <c r="AN153" s="208"/>
      <c r="AO153" s="208"/>
      <c r="AP153" s="208"/>
      <c r="AQ153" s="208"/>
      <c r="AR153" s="208"/>
      <c r="AS153" s="208"/>
      <c r="AT153" s="208"/>
      <c r="AU153" s="208"/>
      <c r="AV153" s="208"/>
      <c r="AW153" s="208"/>
      <c r="AX153" s="208"/>
      <c r="AY153" s="208"/>
      <c r="AZ153" s="208"/>
      <c r="BA153" s="208"/>
    </row>
    <row r="154" spans="1:53" ht="15" customHeight="1" x14ac:dyDescent="0.75">
      <c r="A154" s="212" t="s">
        <v>453</v>
      </c>
      <c r="B154" s="208"/>
      <c r="C154" s="208"/>
      <c r="D154" s="208"/>
      <c r="E154" s="208"/>
      <c r="F154" s="208"/>
      <c r="G154" s="208"/>
      <c r="H154" s="208"/>
      <c r="I154" s="208"/>
      <c r="J154" s="208"/>
      <c r="K154" s="208"/>
      <c r="L154" s="208"/>
      <c r="M154" s="208"/>
      <c r="N154" s="208"/>
      <c r="O154" s="208"/>
      <c r="P154" s="208"/>
      <c r="Q154" s="208"/>
      <c r="R154" s="208"/>
      <c r="S154" s="208"/>
      <c r="T154" s="208"/>
      <c r="U154" s="208"/>
      <c r="V154" s="208"/>
      <c r="W154" s="208"/>
      <c r="X154" s="208"/>
      <c r="Y154" s="208"/>
      <c r="Z154" s="208"/>
      <c r="AA154" s="208"/>
      <c r="AB154" s="208"/>
      <c r="AC154" s="208"/>
      <c r="AD154" s="208"/>
      <c r="AE154" s="208"/>
      <c r="AF154" s="208"/>
      <c r="AG154" s="208"/>
      <c r="AH154" s="208"/>
      <c r="AI154" s="208"/>
      <c r="AJ154" s="208"/>
      <c r="AK154" s="208"/>
      <c r="AL154" s="208"/>
      <c r="AM154" s="208"/>
      <c r="AN154" s="208"/>
      <c r="AO154" s="208"/>
      <c r="AP154" s="208"/>
      <c r="AQ154" s="208"/>
      <c r="AR154" s="208"/>
      <c r="AS154" s="208"/>
      <c r="AT154" s="208"/>
      <c r="AU154" s="208"/>
      <c r="AV154" s="208"/>
      <c r="AW154" s="208"/>
      <c r="AX154" s="208"/>
      <c r="AY154" s="208"/>
      <c r="AZ154" s="208"/>
      <c r="BA154" s="208"/>
    </row>
    <row r="155" spans="1:53" ht="15" customHeight="1" x14ac:dyDescent="0.75">
      <c r="A155" s="207"/>
      <c r="B155" s="208"/>
      <c r="C155" s="208"/>
      <c r="D155" s="208"/>
      <c r="E155" s="208"/>
      <c r="F155" s="208"/>
      <c r="G155" s="208"/>
      <c r="H155" s="208"/>
      <c r="I155" s="208"/>
      <c r="J155" s="208"/>
      <c r="K155" s="208"/>
      <c r="L155" s="208"/>
      <c r="M155" s="208"/>
      <c r="N155" s="208"/>
      <c r="O155" s="208"/>
      <c r="P155" s="208"/>
      <c r="Q155" s="208"/>
      <c r="R155" s="208"/>
      <c r="S155" s="208"/>
      <c r="T155" s="208"/>
      <c r="U155" s="208"/>
      <c r="V155" s="208"/>
      <c r="W155" s="208"/>
      <c r="X155" s="208"/>
      <c r="Y155" s="208"/>
      <c r="Z155" s="208"/>
      <c r="AA155" s="208"/>
      <c r="AB155" s="208"/>
      <c r="AC155" s="208"/>
      <c r="AD155" s="208"/>
      <c r="AE155" s="208"/>
      <c r="AF155" s="208"/>
      <c r="AG155" s="208"/>
      <c r="AH155" s="208"/>
      <c r="AI155" s="208"/>
      <c r="AJ155" s="208"/>
      <c r="AK155" s="208"/>
      <c r="AL155" s="208"/>
      <c r="AM155" s="208"/>
      <c r="AN155" s="208"/>
      <c r="AO155" s="208"/>
      <c r="AP155" s="208"/>
      <c r="AQ155" s="208"/>
      <c r="AR155" s="208"/>
      <c r="AS155" s="208"/>
      <c r="AT155" s="208"/>
      <c r="AU155" s="208"/>
      <c r="AV155" s="208"/>
      <c r="AW155" s="208"/>
      <c r="AX155" s="208"/>
      <c r="AY155" s="208"/>
      <c r="AZ155" s="208"/>
      <c r="BA155" s="208"/>
    </row>
    <row r="156" spans="1:53" ht="15" customHeight="1" x14ac:dyDescent="0.75">
      <c r="A156" s="207"/>
      <c r="B156" s="208"/>
      <c r="C156" s="208"/>
      <c r="D156" s="208"/>
      <c r="E156" s="208"/>
      <c r="F156" s="208"/>
      <c r="G156" s="208"/>
      <c r="H156" s="208"/>
      <c r="I156" s="208"/>
      <c r="J156" s="208"/>
      <c r="K156" s="208"/>
      <c r="L156" s="208"/>
      <c r="M156" s="208"/>
      <c r="N156" s="208"/>
      <c r="O156" s="208"/>
      <c r="P156" s="208"/>
      <c r="Q156" s="208"/>
      <c r="R156" s="208"/>
      <c r="S156" s="208"/>
      <c r="T156" s="208"/>
      <c r="U156" s="208"/>
      <c r="V156" s="208"/>
      <c r="W156" s="208"/>
      <c r="X156" s="208"/>
      <c r="Y156" s="208"/>
      <c r="Z156" s="208"/>
      <c r="AA156" s="208"/>
      <c r="AB156" s="208"/>
      <c r="AC156" s="208"/>
      <c r="AD156" s="208"/>
      <c r="AE156" s="208"/>
      <c r="AF156" s="208"/>
      <c r="AG156" s="208"/>
      <c r="AH156" s="208"/>
      <c r="AI156" s="208"/>
      <c r="AJ156" s="208"/>
      <c r="AK156" s="208"/>
      <c r="AL156" s="208"/>
      <c r="AM156" s="208"/>
      <c r="AN156" s="208"/>
      <c r="AO156" s="208"/>
      <c r="AP156" s="208"/>
      <c r="AQ156" s="208"/>
      <c r="AR156" s="208"/>
      <c r="AS156" s="208"/>
      <c r="AT156" s="208"/>
      <c r="AU156" s="208"/>
      <c r="AV156" s="208"/>
      <c r="AW156" s="208"/>
      <c r="AX156" s="208"/>
      <c r="AY156" s="208"/>
      <c r="AZ156" s="208"/>
      <c r="BA156" s="208"/>
    </row>
    <row r="157" spans="1:53" ht="15" customHeight="1" x14ac:dyDescent="0.75">
      <c r="A157" s="212" t="s">
        <v>454</v>
      </c>
      <c r="B157" s="208"/>
      <c r="C157" s="208"/>
      <c r="D157" s="208"/>
      <c r="E157" s="208"/>
      <c r="F157" s="208"/>
      <c r="G157" s="208"/>
      <c r="H157" s="208"/>
      <c r="I157" s="208"/>
      <c r="J157" s="208"/>
      <c r="K157" s="208"/>
      <c r="L157" s="208"/>
      <c r="M157" s="208"/>
      <c r="N157" s="208"/>
      <c r="O157" s="208"/>
      <c r="P157" s="208"/>
      <c r="Q157" s="208"/>
      <c r="R157" s="208"/>
      <c r="S157" s="208"/>
      <c r="T157" s="208"/>
      <c r="U157" s="208"/>
      <c r="V157" s="208"/>
      <c r="W157" s="208"/>
      <c r="X157" s="208"/>
      <c r="Y157" s="208"/>
      <c r="Z157" s="208"/>
      <c r="AA157" s="208"/>
      <c r="AB157" s="208"/>
      <c r="AC157" s="208"/>
      <c r="AD157" s="208"/>
      <c r="AE157" s="208"/>
      <c r="AF157" s="208"/>
      <c r="AG157" s="208"/>
      <c r="AH157" s="208"/>
      <c r="AI157" s="208"/>
      <c r="AJ157" s="208"/>
      <c r="AK157" s="208"/>
      <c r="AL157" s="208"/>
      <c r="AM157" s="208"/>
      <c r="AN157" s="208"/>
      <c r="AO157" s="208"/>
      <c r="AP157" s="208"/>
      <c r="AQ157" s="208"/>
      <c r="AR157" s="208"/>
      <c r="AS157" s="208"/>
      <c r="AT157" s="208"/>
      <c r="AU157" s="208"/>
      <c r="AV157" s="208"/>
      <c r="AW157" s="208"/>
      <c r="AX157" s="208"/>
      <c r="AY157" s="208"/>
      <c r="AZ157" s="208"/>
      <c r="BA157" s="208"/>
    </row>
    <row r="158" spans="1:53" ht="15" customHeight="1" x14ac:dyDescent="0.75">
      <c r="A158" s="212" t="s">
        <v>455</v>
      </c>
      <c r="B158" s="208"/>
      <c r="C158" s="208"/>
      <c r="D158" s="208"/>
      <c r="E158" s="208"/>
      <c r="F158" s="208"/>
      <c r="G158" s="208"/>
      <c r="H158" s="208"/>
      <c r="I158" s="208"/>
      <c r="J158" s="208"/>
      <c r="K158" s="208"/>
      <c r="L158" s="208"/>
      <c r="M158" s="208"/>
      <c r="N158" s="208"/>
      <c r="O158" s="208"/>
      <c r="P158" s="208"/>
      <c r="Q158" s="208"/>
      <c r="R158" s="208"/>
      <c r="S158" s="208"/>
      <c r="T158" s="208"/>
      <c r="U158" s="208"/>
      <c r="V158" s="208"/>
      <c r="W158" s="208"/>
      <c r="X158" s="208"/>
      <c r="Y158" s="208"/>
      <c r="Z158" s="208"/>
      <c r="AA158" s="208"/>
      <c r="AB158" s="208"/>
      <c r="AC158" s="208"/>
      <c r="AD158" s="208"/>
      <c r="AE158" s="208"/>
      <c r="AF158" s="208"/>
      <c r="AG158" s="208"/>
      <c r="AH158" s="208"/>
      <c r="AI158" s="208"/>
      <c r="AJ158" s="208"/>
      <c r="AK158" s="208"/>
      <c r="AL158" s="208"/>
      <c r="AM158" s="208"/>
      <c r="AN158" s="208"/>
      <c r="AO158" s="208"/>
      <c r="AP158" s="208"/>
      <c r="AQ158" s="208"/>
      <c r="AR158" s="208"/>
      <c r="AS158" s="208"/>
      <c r="AT158" s="208"/>
      <c r="AU158" s="208"/>
      <c r="AV158" s="208"/>
      <c r="AW158" s="208"/>
      <c r="AX158" s="208"/>
      <c r="AY158" s="208"/>
      <c r="AZ158" s="208"/>
      <c r="BA158" s="208"/>
    </row>
    <row r="159" spans="1:53" ht="15" customHeight="1" x14ac:dyDescent="0.75">
      <c r="A159" s="212" t="s">
        <v>456</v>
      </c>
      <c r="B159" s="208"/>
      <c r="C159" s="208"/>
      <c r="D159" s="208"/>
      <c r="E159" s="208"/>
      <c r="F159" s="208"/>
      <c r="G159" s="208"/>
      <c r="H159" s="208"/>
      <c r="I159" s="208"/>
      <c r="J159" s="208"/>
      <c r="K159" s="208"/>
      <c r="L159" s="208"/>
      <c r="M159" s="208"/>
      <c r="N159" s="208"/>
      <c r="O159" s="208"/>
      <c r="P159" s="208"/>
      <c r="Q159" s="208"/>
      <c r="R159" s="208"/>
      <c r="S159" s="208"/>
      <c r="T159" s="208"/>
      <c r="U159" s="208"/>
      <c r="V159" s="208"/>
      <c r="W159" s="208"/>
      <c r="X159" s="208"/>
      <c r="Y159" s="208"/>
      <c r="Z159" s="208"/>
      <c r="AA159" s="208"/>
      <c r="AB159" s="208"/>
      <c r="AC159" s="208"/>
      <c r="AD159" s="208"/>
      <c r="AE159" s="208"/>
      <c r="AF159" s="208" t="s">
        <v>209</v>
      </c>
      <c r="AG159" s="208"/>
      <c r="AH159" s="208"/>
      <c r="AI159" s="208"/>
      <c r="AJ159" s="208"/>
      <c r="AK159" s="208"/>
      <c r="AL159" s="208"/>
      <c r="AM159" s="208"/>
      <c r="AN159" s="208"/>
      <c r="AO159" s="208"/>
      <c r="AP159" s="208"/>
      <c r="AQ159" s="208"/>
      <c r="AR159" s="208"/>
      <c r="AS159" s="208"/>
      <c r="AT159" s="208"/>
      <c r="AU159" s="208"/>
      <c r="AV159" s="208"/>
      <c r="AW159" s="208"/>
      <c r="AX159" s="208"/>
      <c r="AY159" s="208"/>
      <c r="AZ159" s="208"/>
      <c r="BA159" s="208"/>
    </row>
    <row r="212" spans="2:32" ht="15" customHeight="1" x14ac:dyDescent="0.75">
      <c r="B212" s="207"/>
      <c r="C212" s="207"/>
      <c r="D212" s="207"/>
      <c r="E212" s="207"/>
      <c r="F212" s="207"/>
      <c r="G212" s="207"/>
      <c r="H212" s="207"/>
      <c r="I212" s="207"/>
      <c r="J212" s="207"/>
      <c r="K212" s="207"/>
      <c r="L212" s="207"/>
      <c r="M212" s="207"/>
      <c r="N212" s="207"/>
      <c r="O212" s="207"/>
      <c r="P212" s="207"/>
      <c r="Q212" s="207"/>
      <c r="R212" s="207"/>
      <c r="S212" s="207"/>
      <c r="T212" s="207"/>
      <c r="U212" s="207"/>
      <c r="V212" s="207"/>
      <c r="W212" s="207"/>
      <c r="X212" s="207"/>
      <c r="Y212" s="207"/>
      <c r="Z212" s="207"/>
      <c r="AA212" s="207"/>
      <c r="AB212" s="207"/>
      <c r="AC212" s="207"/>
      <c r="AD212" s="207"/>
      <c r="AE212" s="207"/>
      <c r="AF212" s="207"/>
    </row>
    <row r="213" spans="2:32" ht="15" customHeight="1" x14ac:dyDescent="0.75">
      <c r="B213" s="293"/>
      <c r="C213" s="293"/>
      <c r="D213" s="293"/>
      <c r="E213" s="293"/>
      <c r="F213" s="293"/>
      <c r="G213" s="293"/>
      <c r="H213" s="293"/>
      <c r="I213" s="293"/>
      <c r="J213" s="293"/>
      <c r="K213" s="293"/>
      <c r="L213" s="293"/>
      <c r="M213" s="293"/>
      <c r="N213" s="293"/>
      <c r="O213" s="293"/>
      <c r="P213" s="293"/>
      <c r="Q213" s="293"/>
      <c r="R213" s="293"/>
      <c r="S213" s="293"/>
      <c r="T213" s="293"/>
      <c r="U213" s="293"/>
      <c r="V213" s="293"/>
      <c r="W213" s="293"/>
      <c r="X213" s="293"/>
      <c r="Y213" s="293"/>
      <c r="Z213" s="293"/>
      <c r="AA213" s="293"/>
      <c r="AB213" s="293"/>
      <c r="AC213" s="293"/>
      <c r="AD213" s="293"/>
      <c r="AE213" s="293"/>
      <c r="AF213" s="293"/>
    </row>
    <row r="219" spans="2:32" ht="15" customHeight="1" x14ac:dyDescent="0.75">
      <c r="B219" s="207"/>
      <c r="C219" s="207"/>
      <c r="D219" s="207"/>
      <c r="E219" s="207"/>
      <c r="F219" s="207"/>
      <c r="G219" s="207"/>
      <c r="H219" s="207"/>
      <c r="I219" s="207"/>
      <c r="J219" s="207"/>
      <c r="K219" s="207"/>
      <c r="L219" s="207"/>
      <c r="M219" s="207"/>
      <c r="N219" s="207"/>
      <c r="O219" s="207"/>
      <c r="P219" s="207"/>
      <c r="Q219" s="207"/>
      <c r="R219" s="207"/>
      <c r="S219" s="207"/>
      <c r="T219" s="207"/>
      <c r="U219" s="207"/>
      <c r="V219" s="207"/>
      <c r="W219" s="207"/>
      <c r="X219" s="207"/>
      <c r="Y219" s="207"/>
      <c r="Z219" s="207"/>
      <c r="AA219" s="207"/>
      <c r="AB219" s="207"/>
      <c r="AC219" s="207"/>
      <c r="AD219" s="207"/>
      <c r="AE219" s="207"/>
      <c r="AF219" s="207"/>
    </row>
    <row r="220" spans="2:32" ht="15" customHeight="1" x14ac:dyDescent="0.75">
      <c r="B220" s="207"/>
      <c r="C220" s="207"/>
      <c r="D220" s="207"/>
      <c r="E220" s="207"/>
      <c r="F220" s="207"/>
      <c r="G220" s="207"/>
      <c r="H220" s="207"/>
      <c r="I220" s="207"/>
      <c r="J220" s="207"/>
      <c r="K220" s="207"/>
      <c r="L220" s="207"/>
      <c r="M220" s="207"/>
      <c r="N220" s="207"/>
      <c r="O220" s="207"/>
      <c r="P220" s="207"/>
      <c r="Q220" s="207"/>
      <c r="R220" s="207"/>
      <c r="S220" s="207"/>
      <c r="T220" s="207"/>
      <c r="U220" s="207"/>
      <c r="V220" s="207"/>
      <c r="W220" s="207"/>
      <c r="X220" s="207"/>
      <c r="Y220" s="207"/>
      <c r="Z220" s="207"/>
      <c r="AA220" s="207"/>
      <c r="AB220" s="207"/>
      <c r="AC220" s="207"/>
      <c r="AD220" s="207"/>
      <c r="AE220" s="207"/>
      <c r="AF220" s="207"/>
    </row>
    <row r="221" spans="2:32" ht="15" customHeight="1" x14ac:dyDescent="0.75">
      <c r="B221" s="207"/>
      <c r="C221" s="207"/>
      <c r="D221" s="207"/>
      <c r="E221" s="207"/>
      <c r="F221" s="207"/>
      <c r="G221" s="207"/>
      <c r="H221" s="207"/>
      <c r="I221" s="207"/>
      <c r="J221" s="207"/>
      <c r="K221" s="207"/>
      <c r="L221" s="207"/>
      <c r="M221" s="207"/>
      <c r="N221" s="207"/>
      <c r="O221" s="207"/>
      <c r="P221" s="207"/>
      <c r="Q221" s="207"/>
      <c r="R221" s="207"/>
      <c r="S221" s="207"/>
      <c r="T221" s="207"/>
      <c r="U221" s="207"/>
      <c r="V221" s="207"/>
      <c r="W221" s="207"/>
      <c r="X221" s="207"/>
      <c r="Y221" s="207"/>
      <c r="Z221" s="207"/>
      <c r="AA221" s="207"/>
      <c r="AB221" s="207"/>
      <c r="AC221" s="207"/>
      <c r="AD221" s="207"/>
      <c r="AE221" s="207"/>
      <c r="AF221" s="207"/>
    </row>
    <row r="222" spans="2:32" ht="15" customHeight="1" x14ac:dyDescent="0.75">
      <c r="B222" s="207"/>
      <c r="C222" s="207"/>
      <c r="D222" s="207"/>
      <c r="E222" s="207"/>
      <c r="F222" s="207"/>
      <c r="G222" s="207"/>
      <c r="H222" s="207"/>
      <c r="I222" s="207"/>
      <c r="J222" s="207"/>
      <c r="K222" s="207"/>
      <c r="L222" s="207"/>
      <c r="M222" s="207"/>
      <c r="N222" s="207"/>
      <c r="O222" s="207"/>
      <c r="P222" s="207"/>
      <c r="Q222" s="207"/>
      <c r="R222" s="207"/>
      <c r="S222" s="207"/>
      <c r="T222" s="207"/>
      <c r="U222" s="207"/>
      <c r="V222" s="207"/>
      <c r="W222" s="207"/>
      <c r="X222" s="207"/>
      <c r="Y222" s="207"/>
      <c r="Z222" s="207"/>
      <c r="AA222" s="207"/>
      <c r="AB222" s="207"/>
      <c r="AC222" s="207"/>
      <c r="AD222" s="207"/>
      <c r="AE222" s="207"/>
      <c r="AF222" s="207"/>
    </row>
    <row r="223" spans="2:32" ht="15" customHeight="1" x14ac:dyDescent="0.75">
      <c r="B223" s="207"/>
      <c r="C223" s="207"/>
      <c r="D223" s="207"/>
      <c r="E223" s="207"/>
      <c r="F223" s="207"/>
      <c r="G223" s="207"/>
      <c r="H223" s="207"/>
      <c r="I223" s="207"/>
      <c r="J223" s="207"/>
      <c r="K223" s="207"/>
      <c r="L223" s="207"/>
      <c r="M223" s="207"/>
      <c r="N223" s="207"/>
      <c r="O223" s="207"/>
      <c r="P223" s="207"/>
      <c r="Q223" s="207"/>
      <c r="R223" s="207"/>
      <c r="S223" s="207"/>
      <c r="T223" s="207"/>
      <c r="U223" s="207"/>
      <c r="V223" s="207"/>
      <c r="W223" s="207"/>
      <c r="X223" s="207"/>
      <c r="Y223" s="207"/>
      <c r="Z223" s="207"/>
      <c r="AA223" s="207"/>
      <c r="AB223" s="207"/>
      <c r="AC223" s="207"/>
      <c r="AD223" s="207"/>
      <c r="AE223" s="207"/>
      <c r="AF223" s="207"/>
    </row>
    <row r="224" spans="2:32" ht="15" customHeight="1" x14ac:dyDescent="0.75">
      <c r="B224" s="207"/>
      <c r="C224" s="207"/>
      <c r="D224" s="207"/>
      <c r="E224" s="207"/>
      <c r="F224" s="207"/>
      <c r="G224" s="207"/>
      <c r="H224" s="207"/>
      <c r="I224" s="207"/>
      <c r="J224" s="207"/>
      <c r="K224" s="207"/>
      <c r="L224" s="207"/>
      <c r="M224" s="207"/>
      <c r="N224" s="207"/>
      <c r="O224" s="207"/>
      <c r="P224" s="207"/>
      <c r="Q224" s="207"/>
      <c r="R224" s="207"/>
      <c r="S224" s="207"/>
      <c r="T224" s="207"/>
      <c r="U224" s="207"/>
      <c r="V224" s="207"/>
      <c r="W224" s="207"/>
      <c r="X224" s="207"/>
      <c r="Y224" s="207"/>
      <c r="Z224" s="207"/>
      <c r="AA224" s="207"/>
      <c r="AB224" s="207"/>
      <c r="AC224" s="207"/>
      <c r="AD224" s="207"/>
      <c r="AE224" s="207"/>
      <c r="AF224" s="207"/>
    </row>
    <row r="378" spans="2:32" ht="15" customHeight="1" x14ac:dyDescent="0.75">
      <c r="B378" s="207"/>
      <c r="C378" s="207"/>
      <c r="D378" s="207"/>
      <c r="E378" s="207"/>
      <c r="F378" s="207"/>
      <c r="G378" s="207"/>
      <c r="H378" s="207"/>
      <c r="I378" s="207"/>
      <c r="J378" s="207"/>
      <c r="K378" s="207"/>
      <c r="L378" s="207"/>
      <c r="M378" s="207"/>
      <c r="N378" s="207"/>
      <c r="O378" s="207"/>
      <c r="P378" s="207"/>
      <c r="Q378" s="207"/>
      <c r="R378" s="207"/>
      <c r="S378" s="207"/>
      <c r="T378" s="207"/>
      <c r="U378" s="207"/>
      <c r="V378" s="207"/>
      <c r="W378" s="207"/>
      <c r="X378" s="207"/>
      <c r="Y378" s="207"/>
      <c r="Z378" s="207"/>
      <c r="AA378" s="207"/>
      <c r="AB378" s="207"/>
      <c r="AC378" s="207"/>
      <c r="AD378" s="207"/>
      <c r="AE378" s="207"/>
      <c r="AF378" s="207"/>
    </row>
    <row r="379" spans="2:32" ht="15" customHeight="1" x14ac:dyDescent="0.75">
      <c r="B379" s="293"/>
      <c r="C379" s="293"/>
      <c r="D379" s="293"/>
      <c r="E379" s="293"/>
      <c r="F379" s="293"/>
      <c r="G379" s="293"/>
      <c r="H379" s="293"/>
      <c r="I379" s="293"/>
      <c r="J379" s="293"/>
      <c r="K379" s="293"/>
      <c r="L379" s="293"/>
      <c r="M379" s="293"/>
      <c r="N379" s="293"/>
      <c r="O379" s="293"/>
      <c r="P379" s="293"/>
      <c r="Q379" s="293"/>
      <c r="R379" s="293"/>
      <c r="S379" s="293"/>
      <c r="T379" s="293"/>
      <c r="U379" s="293"/>
      <c r="V379" s="293"/>
      <c r="W379" s="293"/>
      <c r="X379" s="293"/>
      <c r="Y379" s="293"/>
      <c r="Z379" s="293"/>
      <c r="AA379" s="293"/>
      <c r="AB379" s="293"/>
      <c r="AC379" s="293"/>
      <c r="AD379" s="293"/>
      <c r="AE379" s="293"/>
      <c r="AF379" s="293"/>
    </row>
    <row r="481" spans="2:32" ht="15" customHeight="1" x14ac:dyDescent="0.75">
      <c r="B481" s="207"/>
      <c r="C481" s="207"/>
      <c r="D481" s="207"/>
      <c r="E481" s="207"/>
      <c r="F481" s="207"/>
      <c r="G481" s="207"/>
      <c r="H481" s="207"/>
      <c r="I481" s="207"/>
      <c r="J481" s="207"/>
      <c r="K481" s="207"/>
      <c r="L481" s="207"/>
      <c r="M481" s="207"/>
      <c r="N481" s="207"/>
      <c r="O481" s="207"/>
      <c r="P481" s="207"/>
      <c r="Q481" s="207"/>
      <c r="R481" s="207"/>
      <c r="S481" s="207"/>
      <c r="T481" s="207"/>
      <c r="U481" s="207"/>
      <c r="V481" s="207"/>
      <c r="W481" s="207"/>
      <c r="X481" s="207"/>
      <c r="Y481" s="207"/>
      <c r="Z481" s="207"/>
      <c r="AA481" s="207"/>
      <c r="AB481" s="207"/>
      <c r="AC481" s="207"/>
      <c r="AD481" s="207"/>
      <c r="AE481" s="207"/>
      <c r="AF481" s="207"/>
    </row>
    <row r="495" spans="2:32" ht="15" customHeight="1" x14ac:dyDescent="0.75">
      <c r="B495" s="207"/>
      <c r="C495" s="207"/>
      <c r="D495" s="207"/>
      <c r="E495" s="207"/>
      <c r="F495" s="207"/>
      <c r="G495" s="207"/>
      <c r="H495" s="207"/>
      <c r="I495" s="207"/>
      <c r="J495" s="207"/>
      <c r="K495" s="207"/>
      <c r="L495" s="207"/>
      <c r="M495" s="207"/>
      <c r="N495" s="207"/>
      <c r="O495" s="207"/>
      <c r="P495" s="207"/>
      <c r="Q495" s="207"/>
      <c r="R495" s="207"/>
      <c r="S495" s="207"/>
      <c r="T495" s="207"/>
      <c r="U495" s="207"/>
      <c r="V495" s="207"/>
      <c r="W495" s="207"/>
      <c r="X495" s="207"/>
      <c r="Y495" s="207"/>
      <c r="Z495" s="207"/>
      <c r="AA495" s="207"/>
      <c r="AB495" s="207"/>
      <c r="AC495" s="207"/>
      <c r="AD495" s="207"/>
      <c r="AE495" s="207"/>
      <c r="AF495" s="207"/>
    </row>
    <row r="496" spans="2:32" ht="15" customHeight="1" x14ac:dyDescent="0.75">
      <c r="B496" s="293"/>
      <c r="C496" s="293"/>
      <c r="D496" s="293"/>
      <c r="E496" s="293"/>
      <c r="F496" s="293"/>
      <c r="G496" s="293"/>
      <c r="H496" s="293"/>
      <c r="I496" s="293"/>
      <c r="J496" s="293"/>
      <c r="K496" s="293"/>
      <c r="L496" s="293"/>
      <c r="M496" s="293"/>
      <c r="N496" s="293"/>
      <c r="O496" s="293"/>
      <c r="P496" s="293"/>
      <c r="Q496" s="293"/>
      <c r="R496" s="293"/>
      <c r="S496" s="293"/>
      <c r="T496" s="293"/>
      <c r="U496" s="293"/>
      <c r="V496" s="293"/>
      <c r="W496" s="293"/>
      <c r="X496" s="293"/>
      <c r="Y496" s="293"/>
      <c r="Z496" s="293"/>
      <c r="AA496" s="293"/>
      <c r="AB496" s="293"/>
      <c r="AC496" s="293"/>
      <c r="AD496" s="293"/>
      <c r="AE496" s="293"/>
      <c r="AF496" s="293"/>
    </row>
    <row r="647" spans="2:32" ht="15" customHeight="1" x14ac:dyDescent="0.75">
      <c r="B647" s="207"/>
      <c r="C647" s="207"/>
      <c r="D647" s="207"/>
      <c r="E647" s="207"/>
      <c r="F647" s="207"/>
      <c r="G647" s="207"/>
      <c r="H647" s="207"/>
      <c r="I647" s="207"/>
      <c r="J647" s="207"/>
      <c r="K647" s="207"/>
      <c r="L647" s="207"/>
      <c r="M647" s="207"/>
      <c r="N647" s="207"/>
      <c r="O647" s="207"/>
      <c r="P647" s="207"/>
      <c r="Q647" s="207"/>
      <c r="R647" s="207"/>
      <c r="S647" s="207"/>
      <c r="T647" s="207"/>
      <c r="U647" s="207"/>
      <c r="V647" s="207"/>
      <c r="W647" s="207"/>
      <c r="X647" s="207"/>
      <c r="Y647" s="207"/>
      <c r="Z647" s="207"/>
      <c r="AA647" s="207"/>
      <c r="AB647" s="207"/>
      <c r="AC647" s="207"/>
      <c r="AD647" s="207"/>
      <c r="AE647" s="207"/>
      <c r="AF647" s="207"/>
    </row>
    <row r="648" spans="2:32" ht="15" customHeight="1" x14ac:dyDescent="0.75">
      <c r="B648" s="293"/>
      <c r="C648" s="293"/>
      <c r="D648" s="293"/>
      <c r="E648" s="293"/>
      <c r="F648" s="293"/>
      <c r="G648" s="293"/>
      <c r="H648" s="293"/>
      <c r="I648" s="293"/>
      <c r="J648" s="293"/>
      <c r="K648" s="293"/>
      <c r="L648" s="293"/>
      <c r="M648" s="293"/>
      <c r="N648" s="293"/>
      <c r="O648" s="293"/>
      <c r="P648" s="293"/>
      <c r="Q648" s="293"/>
      <c r="R648" s="293"/>
      <c r="S648" s="293"/>
      <c r="T648" s="293"/>
      <c r="U648" s="293"/>
      <c r="V648" s="293"/>
      <c r="W648" s="293"/>
      <c r="X648" s="293"/>
      <c r="Y648" s="293"/>
      <c r="Z648" s="293"/>
      <c r="AA648" s="293"/>
      <c r="AB648" s="293"/>
      <c r="AC648" s="293"/>
      <c r="AD648" s="293"/>
      <c r="AE648" s="293"/>
      <c r="AF648" s="293"/>
    </row>
    <row r="747" spans="2:32" ht="15" customHeight="1" x14ac:dyDescent="0.75">
      <c r="B747" s="207"/>
      <c r="C747" s="207"/>
      <c r="D747" s="207"/>
      <c r="E747" s="207"/>
      <c r="F747" s="207"/>
      <c r="G747" s="207"/>
      <c r="H747" s="207"/>
      <c r="I747" s="207"/>
      <c r="J747" s="207"/>
      <c r="K747" s="207"/>
      <c r="L747" s="207"/>
      <c r="M747" s="207"/>
      <c r="N747" s="207"/>
      <c r="O747" s="207"/>
      <c r="P747" s="207"/>
      <c r="Q747" s="207"/>
      <c r="R747" s="207"/>
      <c r="S747" s="207"/>
      <c r="T747" s="207"/>
      <c r="U747" s="207"/>
      <c r="V747" s="207"/>
      <c r="W747" s="207"/>
      <c r="X747" s="207"/>
      <c r="Y747" s="207"/>
      <c r="Z747" s="207"/>
      <c r="AA747" s="207"/>
      <c r="AB747" s="207"/>
      <c r="AC747" s="207"/>
      <c r="AD747" s="207"/>
      <c r="AE747" s="207"/>
      <c r="AF747" s="207"/>
    </row>
    <row r="748" spans="2:32" ht="15" customHeight="1" x14ac:dyDescent="0.75">
      <c r="B748" s="293"/>
      <c r="C748" s="293"/>
      <c r="D748" s="293"/>
      <c r="E748" s="293"/>
      <c r="F748" s="293"/>
      <c r="G748" s="293"/>
      <c r="H748" s="293"/>
      <c r="I748" s="293"/>
      <c r="J748" s="293"/>
      <c r="K748" s="293"/>
      <c r="L748" s="293"/>
      <c r="M748" s="293"/>
      <c r="N748" s="293"/>
      <c r="O748" s="293"/>
      <c r="P748" s="293"/>
      <c r="Q748" s="293"/>
      <c r="R748" s="293"/>
      <c r="S748" s="293"/>
      <c r="T748" s="293"/>
      <c r="U748" s="293"/>
      <c r="V748" s="293"/>
      <c r="W748" s="293"/>
      <c r="X748" s="293"/>
      <c r="Y748" s="293"/>
      <c r="Z748" s="293"/>
      <c r="AA748" s="293"/>
      <c r="AB748" s="293"/>
      <c r="AC748" s="293"/>
      <c r="AD748" s="293"/>
      <c r="AE748" s="293"/>
      <c r="AF748" s="293"/>
    </row>
    <row r="833" spans="2:32" ht="15" customHeight="1" x14ac:dyDescent="0.75">
      <c r="B833" s="207"/>
      <c r="C833" s="207"/>
      <c r="D833" s="207"/>
      <c r="E833" s="207"/>
      <c r="F833" s="207"/>
      <c r="G833" s="207"/>
      <c r="H833" s="207"/>
      <c r="I833" s="207"/>
      <c r="J833" s="207"/>
      <c r="K833" s="207"/>
      <c r="L833" s="207"/>
      <c r="M833" s="207"/>
      <c r="N833" s="207"/>
      <c r="O833" s="207"/>
      <c r="P833" s="207"/>
      <c r="Q833" s="207"/>
      <c r="R833" s="207"/>
      <c r="S833" s="207"/>
      <c r="T833" s="207"/>
      <c r="U833" s="207"/>
      <c r="V833" s="207"/>
      <c r="W833" s="207"/>
      <c r="X833" s="207"/>
      <c r="Y833" s="207"/>
      <c r="Z833" s="207"/>
      <c r="AA833" s="207"/>
      <c r="AB833" s="207"/>
      <c r="AC833" s="207"/>
      <c r="AD833" s="207"/>
      <c r="AE833" s="207"/>
      <c r="AF833" s="207"/>
    </row>
    <row r="838" spans="2:32" ht="15" customHeight="1" x14ac:dyDescent="0.75">
      <c r="B838" s="207"/>
      <c r="C838" s="207"/>
      <c r="D838" s="207"/>
      <c r="E838" s="207"/>
      <c r="F838" s="207"/>
      <c r="G838" s="207"/>
      <c r="H838" s="207"/>
      <c r="I838" s="207"/>
      <c r="J838" s="207"/>
      <c r="K838" s="207"/>
      <c r="L838" s="207"/>
      <c r="M838" s="207"/>
      <c r="N838" s="207"/>
      <c r="O838" s="207"/>
      <c r="P838" s="207"/>
      <c r="Q838" s="207"/>
      <c r="R838" s="207"/>
      <c r="S838" s="207"/>
      <c r="T838" s="207"/>
      <c r="U838" s="207"/>
      <c r="V838" s="207"/>
      <c r="W838" s="207"/>
      <c r="X838" s="207"/>
      <c r="Y838" s="207"/>
      <c r="Z838" s="207"/>
      <c r="AA838" s="207"/>
      <c r="AB838" s="207"/>
      <c r="AC838" s="207"/>
      <c r="AD838" s="207"/>
      <c r="AE838" s="207"/>
      <c r="AF838" s="207"/>
    </row>
    <row r="839" spans="2:32" ht="15" customHeight="1" x14ac:dyDescent="0.75">
      <c r="B839" s="293"/>
      <c r="C839" s="293"/>
      <c r="D839" s="293"/>
      <c r="E839" s="293"/>
      <c r="F839" s="293"/>
      <c r="G839" s="293"/>
      <c r="H839" s="293"/>
      <c r="I839" s="293"/>
      <c r="J839" s="293"/>
      <c r="K839" s="293"/>
      <c r="L839" s="293"/>
      <c r="M839" s="293"/>
      <c r="N839" s="293"/>
      <c r="O839" s="293"/>
      <c r="P839" s="293"/>
      <c r="Q839" s="293"/>
      <c r="R839" s="293"/>
      <c r="S839" s="293"/>
      <c r="T839" s="293"/>
      <c r="U839" s="293"/>
      <c r="V839" s="293"/>
      <c r="W839" s="293"/>
      <c r="X839" s="293"/>
      <c r="Y839" s="293"/>
      <c r="Z839" s="293"/>
      <c r="AA839" s="293"/>
      <c r="AB839" s="293"/>
      <c r="AC839" s="293"/>
      <c r="AD839" s="293"/>
      <c r="AE839" s="293"/>
      <c r="AF839" s="293"/>
    </row>
    <row r="898" spans="2:32" ht="15" customHeight="1" x14ac:dyDescent="0.75">
      <c r="B898" s="207"/>
      <c r="C898" s="207"/>
      <c r="D898" s="207"/>
      <c r="E898" s="207"/>
      <c r="F898" s="207"/>
      <c r="G898" s="207"/>
      <c r="H898" s="207"/>
      <c r="I898" s="207"/>
      <c r="J898" s="207"/>
      <c r="K898" s="207"/>
      <c r="L898" s="207"/>
      <c r="M898" s="207"/>
      <c r="N898" s="207"/>
      <c r="O898" s="207"/>
      <c r="P898" s="207"/>
      <c r="Q898" s="207"/>
      <c r="R898" s="207"/>
      <c r="S898" s="207"/>
      <c r="T898" s="207"/>
      <c r="U898" s="207"/>
      <c r="V898" s="207"/>
      <c r="W898" s="207"/>
      <c r="X898" s="207"/>
      <c r="Y898" s="207"/>
      <c r="Z898" s="207"/>
      <c r="AA898" s="207"/>
      <c r="AB898" s="207"/>
      <c r="AC898" s="207"/>
      <c r="AD898" s="207"/>
      <c r="AE898" s="207"/>
      <c r="AF898" s="207"/>
    </row>
    <row r="904" spans="2:32" ht="15" customHeight="1" x14ac:dyDescent="0.75">
      <c r="B904" s="207"/>
      <c r="C904" s="207"/>
      <c r="D904" s="207"/>
      <c r="E904" s="207"/>
      <c r="F904" s="207"/>
      <c r="G904" s="207"/>
      <c r="H904" s="207"/>
      <c r="I904" s="207"/>
      <c r="J904" s="207"/>
      <c r="K904" s="207"/>
      <c r="L904" s="207"/>
      <c r="M904" s="207"/>
      <c r="N904" s="207"/>
      <c r="O904" s="207"/>
      <c r="P904" s="207"/>
      <c r="Q904" s="207"/>
      <c r="R904" s="207"/>
      <c r="S904" s="207"/>
      <c r="T904" s="207"/>
      <c r="U904" s="207"/>
      <c r="V904" s="207"/>
      <c r="W904" s="207"/>
      <c r="X904" s="207"/>
      <c r="Y904" s="207"/>
      <c r="Z904" s="207"/>
      <c r="AA904" s="207"/>
      <c r="AB904" s="207"/>
      <c r="AC904" s="207"/>
      <c r="AD904" s="207"/>
      <c r="AE904" s="207"/>
      <c r="AF904" s="207"/>
    </row>
    <row r="909" spans="2:32" ht="15" customHeight="1" x14ac:dyDescent="0.75">
      <c r="B909" s="207"/>
      <c r="C909" s="207"/>
      <c r="D909" s="207"/>
      <c r="E909" s="207"/>
      <c r="F909" s="207"/>
      <c r="G909" s="207"/>
      <c r="H909" s="207"/>
      <c r="I909" s="207"/>
      <c r="J909" s="207"/>
      <c r="K909" s="207"/>
      <c r="L909" s="207"/>
      <c r="M909" s="207"/>
      <c r="N909" s="207"/>
      <c r="O909" s="207"/>
      <c r="P909" s="207"/>
      <c r="Q909" s="207"/>
      <c r="R909" s="207"/>
      <c r="S909" s="207"/>
      <c r="T909" s="207"/>
      <c r="U909" s="207"/>
      <c r="V909" s="207"/>
      <c r="W909" s="207"/>
      <c r="X909" s="207"/>
      <c r="Y909" s="207"/>
      <c r="Z909" s="207"/>
      <c r="AA909" s="207"/>
      <c r="AB909" s="207"/>
      <c r="AC909" s="207"/>
      <c r="AD909" s="207"/>
      <c r="AE909" s="207"/>
      <c r="AF909" s="207"/>
    </row>
    <row r="910" spans="2:32" ht="15" customHeight="1" x14ac:dyDescent="0.75">
      <c r="B910" s="293"/>
      <c r="C910" s="293"/>
      <c r="D910" s="293"/>
      <c r="E910" s="293"/>
      <c r="F910" s="293"/>
      <c r="G910" s="293"/>
      <c r="H910" s="293"/>
      <c r="I910" s="293"/>
      <c r="J910" s="293"/>
      <c r="K910" s="293"/>
      <c r="L910" s="293"/>
      <c r="M910" s="293"/>
      <c r="N910" s="293"/>
      <c r="O910" s="293"/>
      <c r="P910" s="293"/>
      <c r="Q910" s="293"/>
      <c r="R910" s="293"/>
      <c r="S910" s="293"/>
      <c r="T910" s="293"/>
      <c r="U910" s="293"/>
      <c r="V910" s="293"/>
      <c r="W910" s="293"/>
      <c r="X910" s="293"/>
      <c r="Y910" s="293"/>
      <c r="Z910" s="293"/>
      <c r="AA910" s="293"/>
      <c r="AB910" s="293"/>
      <c r="AC910" s="293"/>
      <c r="AD910" s="293"/>
      <c r="AE910" s="293"/>
      <c r="AF910" s="293"/>
    </row>
    <row r="993" spans="2:32" ht="15" customHeight="1" x14ac:dyDescent="0.75">
      <c r="B993" s="207"/>
      <c r="C993" s="207"/>
      <c r="D993" s="207"/>
      <c r="E993" s="207"/>
      <c r="F993" s="207"/>
      <c r="G993" s="207"/>
      <c r="H993" s="207"/>
      <c r="I993" s="207"/>
      <c r="J993" s="207"/>
      <c r="K993" s="207"/>
      <c r="L993" s="207"/>
      <c r="M993" s="207"/>
      <c r="N993" s="207"/>
      <c r="O993" s="207"/>
      <c r="P993" s="207"/>
      <c r="Q993" s="207"/>
      <c r="R993" s="207"/>
      <c r="S993" s="207"/>
      <c r="T993" s="207"/>
      <c r="U993" s="207"/>
      <c r="V993" s="207"/>
      <c r="W993" s="207"/>
      <c r="X993" s="207"/>
      <c r="Y993" s="207"/>
      <c r="Z993" s="207"/>
      <c r="AA993" s="207"/>
      <c r="AB993" s="207"/>
      <c r="AC993" s="207"/>
      <c r="AD993" s="207"/>
      <c r="AE993" s="207"/>
      <c r="AF993" s="207"/>
    </row>
    <row r="997" spans="2:32" ht="15" customHeight="1" x14ac:dyDescent="0.75">
      <c r="B997" s="207"/>
      <c r="C997" s="207"/>
      <c r="D997" s="207"/>
      <c r="E997" s="207"/>
      <c r="F997" s="207"/>
      <c r="G997" s="207"/>
      <c r="H997" s="207"/>
      <c r="I997" s="207"/>
      <c r="J997" s="207"/>
      <c r="K997" s="207"/>
      <c r="L997" s="207"/>
      <c r="M997" s="207"/>
      <c r="N997" s="207"/>
      <c r="O997" s="207"/>
      <c r="P997" s="207"/>
      <c r="Q997" s="207"/>
      <c r="R997" s="207"/>
      <c r="S997" s="207"/>
      <c r="T997" s="207"/>
      <c r="U997" s="207"/>
      <c r="V997" s="207"/>
      <c r="W997" s="207"/>
      <c r="X997" s="207"/>
      <c r="Y997" s="207"/>
      <c r="Z997" s="207"/>
      <c r="AA997" s="207"/>
      <c r="AB997" s="207"/>
      <c r="AC997" s="207"/>
      <c r="AD997" s="207"/>
      <c r="AE997" s="207"/>
      <c r="AF997" s="207"/>
    </row>
    <row r="1000" spans="2:32" ht="15" customHeight="1" x14ac:dyDescent="0.75">
      <c r="B1000" s="207"/>
      <c r="C1000" s="207"/>
      <c r="D1000" s="207"/>
      <c r="E1000" s="207"/>
      <c r="F1000" s="207"/>
      <c r="G1000" s="207"/>
      <c r="H1000" s="207"/>
      <c r="I1000" s="207"/>
      <c r="J1000" s="207"/>
      <c r="K1000" s="207"/>
      <c r="L1000" s="207"/>
      <c r="M1000" s="207"/>
      <c r="N1000" s="207"/>
      <c r="O1000" s="207"/>
      <c r="P1000" s="207"/>
      <c r="Q1000" s="207"/>
      <c r="R1000" s="207"/>
      <c r="S1000" s="207"/>
      <c r="T1000" s="207"/>
      <c r="U1000" s="207"/>
      <c r="V1000" s="207"/>
      <c r="W1000" s="207"/>
      <c r="X1000" s="207"/>
      <c r="Y1000" s="207"/>
      <c r="Z1000" s="207"/>
      <c r="AA1000" s="207"/>
      <c r="AB1000" s="207"/>
      <c r="AC1000" s="207"/>
      <c r="AD1000" s="207"/>
      <c r="AE1000" s="207"/>
      <c r="AF1000" s="207"/>
    </row>
    <row r="1002" spans="2:32" ht="15" customHeight="1" x14ac:dyDescent="0.75">
      <c r="B1002" s="207"/>
      <c r="C1002" s="207"/>
      <c r="D1002" s="207"/>
      <c r="E1002" s="207"/>
      <c r="F1002" s="207"/>
      <c r="G1002" s="207"/>
      <c r="H1002" s="207"/>
      <c r="I1002" s="207"/>
      <c r="J1002" s="207"/>
      <c r="K1002" s="207"/>
      <c r="L1002" s="207"/>
      <c r="M1002" s="207"/>
      <c r="N1002" s="207"/>
      <c r="O1002" s="207"/>
      <c r="P1002" s="207"/>
      <c r="Q1002" s="207"/>
      <c r="R1002" s="207"/>
      <c r="S1002" s="207"/>
      <c r="T1002" s="207"/>
      <c r="U1002" s="207"/>
      <c r="V1002" s="207"/>
      <c r="W1002" s="207"/>
      <c r="X1002" s="207"/>
      <c r="Y1002" s="207"/>
      <c r="Z1002" s="207"/>
      <c r="AA1002" s="207"/>
      <c r="AB1002" s="207"/>
      <c r="AC1002" s="207"/>
      <c r="AD1002" s="207"/>
      <c r="AE1002" s="207"/>
      <c r="AF1002" s="207"/>
    </row>
    <row r="1004" spans="2:32" ht="15" customHeight="1" x14ac:dyDescent="0.75">
      <c r="B1004" s="207"/>
      <c r="C1004" s="207"/>
      <c r="D1004" s="207"/>
      <c r="E1004" s="207"/>
      <c r="F1004" s="207"/>
      <c r="G1004" s="207"/>
      <c r="H1004" s="207"/>
      <c r="I1004" s="207"/>
      <c r="J1004" s="207"/>
      <c r="K1004" s="207"/>
      <c r="L1004" s="207"/>
      <c r="M1004" s="207"/>
      <c r="N1004" s="207"/>
      <c r="O1004" s="207"/>
      <c r="P1004" s="207"/>
      <c r="Q1004" s="207"/>
      <c r="R1004" s="207"/>
      <c r="S1004" s="207"/>
      <c r="T1004" s="207"/>
      <c r="U1004" s="207"/>
      <c r="V1004" s="207"/>
      <c r="W1004" s="207"/>
      <c r="X1004" s="207"/>
      <c r="Y1004" s="207"/>
      <c r="Z1004" s="207"/>
      <c r="AA1004" s="207"/>
      <c r="AB1004" s="207"/>
      <c r="AC1004" s="207"/>
      <c r="AD1004" s="207"/>
      <c r="AE1004" s="207"/>
      <c r="AF1004" s="207"/>
    </row>
    <row r="1005" spans="2:32" ht="15" customHeight="1" x14ac:dyDescent="0.75">
      <c r="B1005" s="293"/>
      <c r="C1005" s="293"/>
      <c r="D1005" s="293"/>
      <c r="E1005" s="293"/>
      <c r="F1005" s="293"/>
      <c r="G1005" s="293"/>
      <c r="H1005" s="293"/>
      <c r="I1005" s="293"/>
      <c r="J1005" s="293"/>
      <c r="K1005" s="293"/>
      <c r="L1005" s="293"/>
      <c r="M1005" s="293"/>
      <c r="N1005" s="293"/>
      <c r="O1005" s="293"/>
      <c r="P1005" s="293"/>
      <c r="Q1005" s="293"/>
      <c r="R1005" s="293"/>
      <c r="S1005" s="293"/>
      <c r="T1005" s="293"/>
      <c r="U1005" s="293"/>
      <c r="V1005" s="293"/>
      <c r="W1005" s="293"/>
      <c r="X1005" s="293"/>
      <c r="Y1005" s="293"/>
      <c r="Z1005" s="293"/>
      <c r="AA1005" s="293"/>
      <c r="AB1005" s="293"/>
      <c r="AC1005" s="293"/>
      <c r="AD1005" s="293"/>
      <c r="AE1005" s="293"/>
      <c r="AF1005" s="293"/>
    </row>
    <row r="1154" spans="2:32" ht="15" customHeight="1" x14ac:dyDescent="0.75">
      <c r="B1154" s="207"/>
      <c r="C1154" s="207"/>
      <c r="D1154" s="207"/>
      <c r="E1154" s="207"/>
      <c r="F1154" s="207"/>
      <c r="G1154" s="207"/>
      <c r="H1154" s="207"/>
      <c r="I1154" s="207"/>
      <c r="J1154" s="207"/>
      <c r="K1154" s="207"/>
      <c r="L1154" s="207"/>
      <c r="M1154" s="207"/>
      <c r="N1154" s="207"/>
      <c r="O1154" s="207"/>
      <c r="P1154" s="207"/>
      <c r="Q1154" s="207"/>
      <c r="R1154" s="207"/>
      <c r="S1154" s="207"/>
      <c r="T1154" s="207"/>
      <c r="U1154" s="207"/>
      <c r="V1154" s="207"/>
      <c r="W1154" s="207"/>
      <c r="X1154" s="207"/>
      <c r="Y1154" s="207"/>
      <c r="Z1154" s="207"/>
      <c r="AA1154" s="207"/>
      <c r="AB1154" s="207"/>
      <c r="AC1154" s="207"/>
      <c r="AD1154" s="207"/>
      <c r="AE1154" s="207"/>
      <c r="AF1154" s="207"/>
    </row>
    <row r="1155" spans="2:32" ht="15" customHeight="1" x14ac:dyDescent="0.75">
      <c r="B1155" s="293"/>
      <c r="C1155" s="293"/>
      <c r="D1155" s="293"/>
      <c r="E1155" s="293"/>
      <c r="F1155" s="293"/>
      <c r="G1155" s="293"/>
      <c r="H1155" s="293"/>
      <c r="I1155" s="293"/>
      <c r="J1155" s="293"/>
      <c r="K1155" s="293"/>
      <c r="L1155" s="293"/>
      <c r="M1155" s="293"/>
      <c r="N1155" s="293"/>
      <c r="O1155" s="293"/>
      <c r="P1155" s="293"/>
      <c r="Q1155" s="293"/>
      <c r="R1155" s="293"/>
      <c r="S1155" s="293"/>
      <c r="T1155" s="293"/>
      <c r="U1155" s="293"/>
      <c r="V1155" s="293"/>
      <c r="W1155" s="293"/>
      <c r="X1155" s="293"/>
      <c r="Y1155" s="293"/>
      <c r="Z1155" s="293"/>
      <c r="AA1155" s="293"/>
      <c r="AB1155" s="293"/>
      <c r="AC1155" s="293"/>
      <c r="AD1155" s="293"/>
      <c r="AE1155" s="293"/>
      <c r="AF1155" s="293"/>
    </row>
    <row r="1313" spans="2:32" ht="15" customHeight="1" x14ac:dyDescent="0.75">
      <c r="B1313" s="207"/>
      <c r="C1313" s="207"/>
      <c r="D1313" s="207"/>
      <c r="E1313" s="207"/>
      <c r="F1313" s="207"/>
      <c r="G1313" s="207"/>
      <c r="H1313" s="207"/>
      <c r="I1313" s="207"/>
      <c r="J1313" s="207"/>
      <c r="K1313" s="207"/>
      <c r="L1313" s="207"/>
      <c r="M1313" s="207"/>
      <c r="N1313" s="207"/>
      <c r="O1313" s="207"/>
      <c r="P1313" s="207"/>
      <c r="Q1313" s="207"/>
      <c r="R1313" s="207"/>
      <c r="S1313" s="207"/>
      <c r="T1313" s="207"/>
      <c r="U1313" s="207"/>
      <c r="V1313" s="207"/>
      <c r="W1313" s="207"/>
      <c r="X1313" s="207"/>
      <c r="Y1313" s="207"/>
      <c r="Z1313" s="207"/>
      <c r="AA1313" s="207"/>
      <c r="AB1313" s="207"/>
      <c r="AC1313" s="207"/>
      <c r="AD1313" s="207"/>
      <c r="AE1313" s="207"/>
      <c r="AF1313" s="207"/>
    </row>
    <row r="1326" spans="2:32" ht="15" customHeight="1" x14ac:dyDescent="0.75">
      <c r="B1326" s="207"/>
      <c r="C1326" s="207"/>
      <c r="D1326" s="207"/>
      <c r="E1326" s="207"/>
      <c r="F1326" s="207"/>
      <c r="G1326" s="207"/>
      <c r="H1326" s="207"/>
      <c r="I1326" s="207"/>
      <c r="J1326" s="207"/>
      <c r="K1326" s="207"/>
      <c r="L1326" s="207"/>
      <c r="M1326" s="207"/>
      <c r="N1326" s="207"/>
      <c r="O1326" s="207"/>
      <c r="P1326" s="207"/>
      <c r="Q1326" s="207"/>
      <c r="R1326" s="207"/>
      <c r="S1326" s="207"/>
      <c r="T1326" s="207"/>
      <c r="U1326" s="207"/>
      <c r="V1326" s="207"/>
      <c r="W1326" s="207"/>
      <c r="X1326" s="207"/>
      <c r="Y1326" s="207"/>
      <c r="Z1326" s="207"/>
      <c r="AA1326" s="207"/>
      <c r="AB1326" s="207"/>
      <c r="AC1326" s="207"/>
      <c r="AD1326" s="207"/>
      <c r="AE1326" s="207"/>
      <c r="AF1326" s="207"/>
    </row>
    <row r="1327" spans="2:32" ht="15" customHeight="1" x14ac:dyDescent="0.75">
      <c r="B1327" s="293"/>
      <c r="C1327" s="293"/>
      <c r="D1327" s="293"/>
      <c r="E1327" s="293"/>
      <c r="F1327" s="293"/>
      <c r="G1327" s="293"/>
      <c r="H1327" s="293"/>
      <c r="I1327" s="293"/>
      <c r="J1327" s="293"/>
      <c r="K1327" s="293"/>
      <c r="L1327" s="293"/>
      <c r="M1327" s="293"/>
      <c r="N1327" s="293"/>
      <c r="O1327" s="293"/>
      <c r="P1327" s="293"/>
      <c r="Q1327" s="293"/>
      <c r="R1327" s="293"/>
      <c r="S1327" s="293"/>
      <c r="T1327" s="293"/>
      <c r="U1327" s="293"/>
      <c r="V1327" s="293"/>
      <c r="W1327" s="293"/>
      <c r="X1327" s="293"/>
      <c r="Y1327" s="293"/>
      <c r="Z1327" s="293"/>
      <c r="AA1327" s="293"/>
      <c r="AB1327" s="293"/>
      <c r="AC1327" s="293"/>
      <c r="AD1327" s="293"/>
      <c r="AE1327" s="293"/>
      <c r="AF1327" s="293"/>
    </row>
    <row r="1417" spans="2:32" ht="15" customHeight="1" x14ac:dyDescent="0.75">
      <c r="B1417" s="207"/>
      <c r="C1417" s="207"/>
      <c r="D1417" s="207"/>
      <c r="E1417" s="207"/>
      <c r="F1417" s="207"/>
      <c r="G1417" s="207"/>
      <c r="H1417" s="207"/>
      <c r="I1417" s="207"/>
      <c r="J1417" s="207"/>
      <c r="K1417" s="207"/>
      <c r="L1417" s="207"/>
      <c r="M1417" s="207"/>
      <c r="N1417" s="207"/>
      <c r="O1417" s="207"/>
      <c r="P1417" s="207"/>
      <c r="Q1417" s="207"/>
      <c r="R1417" s="207"/>
      <c r="S1417" s="207"/>
      <c r="T1417" s="207"/>
      <c r="U1417" s="207"/>
      <c r="V1417" s="207"/>
      <c r="W1417" s="207"/>
      <c r="X1417" s="207"/>
      <c r="Y1417" s="207"/>
      <c r="Z1417" s="207"/>
      <c r="AA1417" s="207"/>
      <c r="AB1417" s="207"/>
      <c r="AC1417" s="207"/>
      <c r="AD1417" s="207"/>
      <c r="AE1417" s="207"/>
      <c r="AF1417" s="207"/>
    </row>
    <row r="1421" spans="2:32" ht="15" customHeight="1" x14ac:dyDescent="0.75">
      <c r="B1421" s="207"/>
      <c r="C1421" s="207"/>
      <c r="D1421" s="207"/>
      <c r="E1421" s="207"/>
      <c r="F1421" s="207"/>
      <c r="G1421" s="207"/>
      <c r="H1421" s="207"/>
      <c r="I1421" s="207"/>
      <c r="J1421" s="207"/>
      <c r="K1421" s="207"/>
      <c r="L1421" s="207"/>
      <c r="M1421" s="207"/>
      <c r="N1421" s="207"/>
      <c r="O1421" s="207"/>
      <c r="P1421" s="207"/>
      <c r="Q1421" s="207"/>
      <c r="R1421" s="207"/>
      <c r="S1421" s="207"/>
      <c r="T1421" s="207"/>
      <c r="U1421" s="207"/>
      <c r="V1421" s="207"/>
      <c r="W1421" s="207"/>
      <c r="X1421" s="207"/>
      <c r="Y1421" s="207"/>
      <c r="Z1421" s="207"/>
      <c r="AA1421" s="207"/>
      <c r="AB1421" s="207"/>
      <c r="AC1421" s="207"/>
      <c r="AD1421" s="207"/>
      <c r="AE1421" s="207"/>
      <c r="AF1421" s="207"/>
    </row>
    <row r="1422" spans="2:32" ht="15" customHeight="1" x14ac:dyDescent="0.75">
      <c r="B1422" s="293"/>
      <c r="C1422" s="293"/>
      <c r="D1422" s="293"/>
      <c r="E1422" s="293"/>
      <c r="F1422" s="293"/>
      <c r="G1422" s="293"/>
      <c r="H1422" s="293"/>
      <c r="I1422" s="293"/>
      <c r="J1422" s="293"/>
      <c r="K1422" s="293"/>
      <c r="L1422" s="293"/>
      <c r="M1422" s="293"/>
      <c r="N1422" s="293"/>
      <c r="O1422" s="293"/>
      <c r="P1422" s="293"/>
      <c r="Q1422" s="293"/>
      <c r="R1422" s="293"/>
      <c r="S1422" s="293"/>
      <c r="T1422" s="293"/>
      <c r="U1422" s="293"/>
      <c r="V1422" s="293"/>
      <c r="W1422" s="293"/>
      <c r="X1422" s="293"/>
      <c r="Y1422" s="293"/>
      <c r="Z1422" s="293"/>
      <c r="AA1422" s="293"/>
      <c r="AB1422" s="293"/>
      <c r="AC1422" s="293"/>
      <c r="AD1422" s="293"/>
      <c r="AE1422" s="293"/>
      <c r="AF1422" s="293"/>
    </row>
    <row r="1539" spans="2:32" ht="15" customHeight="1" x14ac:dyDescent="0.75">
      <c r="B1539" s="207"/>
      <c r="C1539" s="207"/>
      <c r="D1539" s="207"/>
      <c r="E1539" s="207"/>
      <c r="F1539" s="207"/>
      <c r="G1539" s="207"/>
      <c r="H1539" s="207"/>
      <c r="I1539" s="207"/>
      <c r="J1539" s="207"/>
      <c r="K1539" s="207"/>
      <c r="L1539" s="207"/>
      <c r="M1539" s="207"/>
      <c r="N1539" s="207"/>
      <c r="O1539" s="207"/>
      <c r="P1539" s="207"/>
      <c r="Q1539" s="207"/>
      <c r="R1539" s="207"/>
      <c r="S1539" s="207"/>
      <c r="T1539" s="207"/>
      <c r="U1539" s="207"/>
      <c r="V1539" s="207"/>
      <c r="W1539" s="207"/>
      <c r="X1539" s="207"/>
      <c r="Y1539" s="207"/>
      <c r="Z1539" s="207"/>
      <c r="AA1539" s="207"/>
      <c r="AB1539" s="207"/>
      <c r="AC1539" s="207"/>
      <c r="AD1539" s="207"/>
      <c r="AE1539" s="207"/>
      <c r="AF1539" s="207"/>
    </row>
    <row r="1540" spans="2:32" ht="15" customHeight="1" x14ac:dyDescent="0.75">
      <c r="B1540" s="293"/>
      <c r="C1540" s="293"/>
      <c r="D1540" s="293"/>
      <c r="E1540" s="293"/>
      <c r="F1540" s="293"/>
      <c r="G1540" s="293"/>
      <c r="H1540" s="293"/>
      <c r="I1540" s="293"/>
      <c r="J1540" s="293"/>
      <c r="K1540" s="293"/>
      <c r="L1540" s="293"/>
      <c r="M1540" s="293"/>
      <c r="N1540" s="293"/>
      <c r="O1540" s="293"/>
      <c r="P1540" s="293"/>
      <c r="Q1540" s="293"/>
      <c r="R1540" s="293"/>
      <c r="S1540" s="293"/>
      <c r="T1540" s="293"/>
      <c r="U1540" s="293"/>
      <c r="V1540" s="293"/>
      <c r="W1540" s="293"/>
      <c r="X1540" s="293"/>
      <c r="Y1540" s="293"/>
      <c r="Z1540" s="293"/>
      <c r="AA1540" s="293"/>
      <c r="AB1540" s="293"/>
      <c r="AC1540" s="293"/>
      <c r="AD1540" s="293"/>
      <c r="AE1540" s="293"/>
      <c r="AF1540" s="293"/>
    </row>
    <row r="1544" spans="2:32" ht="15" customHeight="1" x14ac:dyDescent="0.75">
      <c r="B1544" s="207"/>
      <c r="C1544" s="207"/>
      <c r="D1544" s="207"/>
      <c r="E1544" s="207"/>
      <c r="F1544" s="207"/>
      <c r="G1544" s="207"/>
      <c r="H1544" s="207"/>
      <c r="I1544" s="207"/>
      <c r="J1544" s="207"/>
      <c r="K1544" s="207"/>
      <c r="L1544" s="207"/>
      <c r="M1544" s="207"/>
      <c r="N1544" s="207"/>
      <c r="O1544" s="207"/>
      <c r="P1544" s="207"/>
      <c r="Q1544" s="207"/>
      <c r="R1544" s="207"/>
      <c r="S1544" s="207"/>
      <c r="T1544" s="207"/>
      <c r="U1544" s="207"/>
      <c r="V1544" s="207"/>
      <c r="W1544" s="207"/>
      <c r="X1544" s="207"/>
      <c r="Y1544" s="207"/>
      <c r="Z1544" s="207"/>
      <c r="AA1544" s="207"/>
      <c r="AB1544" s="207"/>
      <c r="AC1544" s="207"/>
      <c r="AD1544" s="207"/>
      <c r="AE1544" s="207"/>
      <c r="AF1544" s="207"/>
    </row>
    <row r="1545" spans="2:32" ht="15" customHeight="1" x14ac:dyDescent="0.75">
      <c r="B1545" s="207"/>
      <c r="C1545" s="207"/>
      <c r="D1545" s="207"/>
      <c r="E1545" s="207"/>
      <c r="F1545" s="207"/>
      <c r="G1545" s="207"/>
      <c r="H1545" s="207"/>
      <c r="I1545" s="207"/>
      <c r="J1545" s="207"/>
      <c r="K1545" s="207"/>
      <c r="L1545" s="207"/>
      <c r="M1545" s="207"/>
      <c r="N1545" s="207"/>
      <c r="O1545" s="207"/>
      <c r="P1545" s="207"/>
      <c r="Q1545" s="207"/>
      <c r="R1545" s="207"/>
      <c r="S1545" s="207"/>
      <c r="T1545" s="207"/>
      <c r="U1545" s="207"/>
      <c r="V1545" s="207"/>
      <c r="W1545" s="207"/>
      <c r="X1545" s="207"/>
      <c r="Y1545" s="207"/>
      <c r="Z1545" s="207"/>
      <c r="AA1545" s="207"/>
      <c r="AB1545" s="207"/>
      <c r="AC1545" s="207"/>
      <c r="AD1545" s="207"/>
      <c r="AE1545" s="207"/>
      <c r="AF1545" s="207"/>
    </row>
    <row r="1546" spans="2:32" ht="15" customHeight="1" x14ac:dyDescent="0.75">
      <c r="B1546" s="207"/>
      <c r="C1546" s="207"/>
      <c r="D1546" s="207"/>
      <c r="E1546" s="207"/>
      <c r="F1546" s="207"/>
      <c r="G1546" s="207"/>
      <c r="H1546" s="207"/>
      <c r="I1546" s="207"/>
      <c r="J1546" s="207"/>
      <c r="K1546" s="207"/>
      <c r="L1546" s="207"/>
      <c r="M1546" s="207"/>
      <c r="N1546" s="207"/>
      <c r="O1546" s="207"/>
      <c r="P1546" s="207"/>
      <c r="Q1546" s="207"/>
      <c r="R1546" s="207"/>
      <c r="S1546" s="207"/>
      <c r="T1546" s="207"/>
      <c r="U1546" s="207"/>
      <c r="V1546" s="207"/>
      <c r="W1546" s="207"/>
      <c r="X1546" s="207"/>
      <c r="Y1546" s="207"/>
      <c r="Z1546" s="207"/>
      <c r="AA1546" s="207"/>
      <c r="AB1546" s="207"/>
      <c r="AC1546" s="207"/>
      <c r="AD1546" s="207"/>
      <c r="AE1546" s="207"/>
      <c r="AF1546" s="207"/>
    </row>
    <row r="1547" spans="2:32" ht="15" customHeight="1" x14ac:dyDescent="0.75">
      <c r="B1547" s="207"/>
      <c r="C1547" s="207"/>
      <c r="D1547" s="207"/>
      <c r="E1547" s="207"/>
      <c r="F1547" s="207"/>
      <c r="G1547" s="207"/>
      <c r="H1547" s="207"/>
      <c r="I1547" s="207"/>
      <c r="J1547" s="207"/>
      <c r="K1547" s="207"/>
      <c r="L1547" s="207"/>
      <c r="M1547" s="207"/>
      <c r="N1547" s="207"/>
      <c r="O1547" s="207"/>
      <c r="P1547" s="207"/>
      <c r="Q1547" s="207"/>
      <c r="R1547" s="207"/>
      <c r="S1547" s="207"/>
      <c r="T1547" s="207"/>
      <c r="U1547" s="207"/>
      <c r="V1547" s="207"/>
      <c r="W1547" s="207"/>
      <c r="X1547" s="207"/>
      <c r="Y1547" s="207"/>
      <c r="Z1547" s="207"/>
      <c r="AA1547" s="207"/>
      <c r="AB1547" s="207"/>
      <c r="AC1547" s="207"/>
      <c r="AD1547" s="207"/>
      <c r="AE1547" s="207"/>
      <c r="AF1547" s="207"/>
    </row>
    <row r="1548" spans="2:32" ht="15" customHeight="1" x14ac:dyDescent="0.75">
      <c r="B1548" s="207"/>
      <c r="C1548" s="207"/>
      <c r="D1548" s="207"/>
      <c r="E1548" s="207"/>
      <c r="F1548" s="207"/>
      <c r="G1548" s="207"/>
      <c r="H1548" s="207"/>
      <c r="I1548" s="207"/>
      <c r="J1548" s="207"/>
      <c r="K1548" s="207"/>
      <c r="L1548" s="207"/>
      <c r="M1548" s="207"/>
      <c r="N1548" s="207"/>
      <c r="O1548" s="207"/>
      <c r="P1548" s="207"/>
      <c r="Q1548" s="207"/>
      <c r="R1548" s="207"/>
      <c r="S1548" s="207"/>
      <c r="T1548" s="207"/>
      <c r="U1548" s="207"/>
      <c r="V1548" s="207"/>
      <c r="W1548" s="207"/>
      <c r="X1548" s="207"/>
      <c r="Y1548" s="207"/>
      <c r="Z1548" s="207"/>
      <c r="AA1548" s="207"/>
      <c r="AB1548" s="207"/>
      <c r="AC1548" s="207"/>
      <c r="AD1548" s="207"/>
      <c r="AE1548" s="207"/>
      <c r="AF1548" s="207"/>
    </row>
    <row r="1549" spans="2:32" ht="15" customHeight="1" x14ac:dyDescent="0.75">
      <c r="B1549" s="207"/>
      <c r="C1549" s="207"/>
      <c r="D1549" s="207"/>
      <c r="E1549" s="207"/>
      <c r="F1549" s="207"/>
      <c r="G1549" s="207"/>
      <c r="H1549" s="207"/>
      <c r="I1549" s="207"/>
      <c r="J1549" s="207"/>
      <c r="K1549" s="207"/>
      <c r="L1549" s="207"/>
      <c r="M1549" s="207"/>
      <c r="N1549" s="207"/>
      <c r="O1549" s="207"/>
      <c r="P1549" s="207"/>
      <c r="Q1549" s="207"/>
      <c r="R1549" s="207"/>
      <c r="S1549" s="207"/>
      <c r="T1549" s="207"/>
      <c r="U1549" s="207"/>
      <c r="V1549" s="207"/>
      <c r="W1549" s="207"/>
      <c r="X1549" s="207"/>
      <c r="Y1549" s="207"/>
      <c r="Z1549" s="207"/>
      <c r="AA1549" s="207"/>
      <c r="AB1549" s="207"/>
      <c r="AC1549" s="207"/>
      <c r="AD1549" s="207"/>
      <c r="AE1549" s="207"/>
      <c r="AF1549" s="207"/>
    </row>
    <row r="1550" spans="2:32" ht="15" customHeight="1" x14ac:dyDescent="0.75">
      <c r="B1550" s="207"/>
      <c r="C1550" s="207"/>
      <c r="D1550" s="207"/>
      <c r="E1550" s="207"/>
      <c r="F1550" s="207"/>
      <c r="G1550" s="207"/>
      <c r="H1550" s="207"/>
      <c r="I1550" s="207"/>
      <c r="J1550" s="207"/>
      <c r="K1550" s="207"/>
      <c r="L1550" s="207"/>
      <c r="M1550" s="207"/>
      <c r="N1550" s="207"/>
      <c r="O1550" s="207"/>
      <c r="P1550" s="207"/>
      <c r="Q1550" s="207"/>
      <c r="R1550" s="207"/>
      <c r="S1550" s="207"/>
      <c r="T1550" s="207"/>
      <c r="U1550" s="207"/>
      <c r="V1550" s="207"/>
      <c r="W1550" s="207"/>
      <c r="X1550" s="207"/>
      <c r="Y1550" s="207"/>
      <c r="Z1550" s="207"/>
      <c r="AA1550" s="207"/>
      <c r="AB1550" s="207"/>
      <c r="AC1550" s="207"/>
      <c r="AD1550" s="207"/>
      <c r="AE1550" s="207"/>
      <c r="AF1550" s="207"/>
    </row>
    <row r="1551" spans="2:32" ht="15" customHeight="1" x14ac:dyDescent="0.75">
      <c r="B1551" s="207"/>
      <c r="C1551" s="207"/>
      <c r="D1551" s="207"/>
      <c r="E1551" s="207"/>
      <c r="F1551" s="207"/>
      <c r="G1551" s="207"/>
      <c r="H1551" s="207"/>
      <c r="I1551" s="207"/>
      <c r="J1551" s="207"/>
      <c r="K1551" s="207"/>
      <c r="L1551" s="207"/>
      <c r="M1551" s="207"/>
      <c r="N1551" s="207"/>
      <c r="O1551" s="207"/>
      <c r="P1551" s="207"/>
      <c r="Q1551" s="207"/>
      <c r="R1551" s="207"/>
      <c r="S1551" s="207"/>
      <c r="T1551" s="207"/>
      <c r="U1551" s="207"/>
      <c r="V1551" s="207"/>
      <c r="W1551" s="207"/>
      <c r="X1551" s="207"/>
      <c r="Y1551" s="207"/>
      <c r="Z1551" s="207"/>
      <c r="AA1551" s="207"/>
      <c r="AB1551" s="207"/>
      <c r="AC1551" s="207"/>
      <c r="AD1551" s="207"/>
      <c r="AE1551" s="207"/>
      <c r="AF1551" s="207"/>
    </row>
    <row r="1552" spans="2:32" ht="15" customHeight="1" x14ac:dyDescent="0.75">
      <c r="B1552" s="207"/>
      <c r="C1552" s="207"/>
      <c r="D1552" s="207"/>
      <c r="E1552" s="207"/>
      <c r="F1552" s="207"/>
      <c r="G1552" s="207"/>
      <c r="H1552" s="207"/>
      <c r="I1552" s="207"/>
      <c r="J1552" s="207"/>
      <c r="K1552" s="207"/>
      <c r="L1552" s="207"/>
      <c r="M1552" s="207"/>
      <c r="N1552" s="207"/>
      <c r="O1552" s="207"/>
      <c r="P1552" s="207"/>
      <c r="Q1552" s="207"/>
      <c r="R1552" s="207"/>
      <c r="S1552" s="207"/>
      <c r="T1552" s="207"/>
      <c r="U1552" s="207"/>
      <c r="V1552" s="207"/>
      <c r="W1552" s="207"/>
      <c r="X1552" s="207"/>
      <c r="Y1552" s="207"/>
      <c r="Z1552" s="207"/>
      <c r="AA1552" s="207"/>
      <c r="AB1552" s="207"/>
      <c r="AC1552" s="207"/>
      <c r="AD1552" s="207"/>
      <c r="AE1552" s="207"/>
      <c r="AF1552" s="207"/>
    </row>
    <row r="1636" spans="2:32" ht="15" customHeight="1" x14ac:dyDescent="0.75">
      <c r="B1636" s="207"/>
      <c r="C1636" s="207"/>
      <c r="D1636" s="207"/>
      <c r="E1636" s="207"/>
      <c r="F1636" s="207"/>
      <c r="G1636" s="207"/>
      <c r="H1636" s="207"/>
      <c r="I1636" s="207"/>
      <c r="J1636" s="207"/>
      <c r="K1636" s="207"/>
      <c r="L1636" s="207"/>
      <c r="M1636" s="207"/>
      <c r="N1636" s="207"/>
      <c r="O1636" s="207"/>
      <c r="P1636" s="207"/>
      <c r="Q1636" s="207"/>
      <c r="R1636" s="207"/>
      <c r="S1636" s="207"/>
      <c r="T1636" s="207"/>
      <c r="U1636" s="207"/>
      <c r="V1636" s="207"/>
      <c r="W1636" s="207"/>
      <c r="X1636" s="207"/>
      <c r="Y1636" s="207"/>
      <c r="Z1636" s="207"/>
      <c r="AA1636" s="207"/>
      <c r="AB1636" s="207"/>
      <c r="AC1636" s="207"/>
      <c r="AD1636" s="207"/>
      <c r="AE1636" s="207"/>
      <c r="AF1636" s="207"/>
    </row>
    <row r="1639" spans="2:32" ht="15" customHeight="1" x14ac:dyDescent="0.75">
      <c r="B1639" s="207"/>
      <c r="C1639" s="207"/>
      <c r="D1639" s="207"/>
      <c r="E1639" s="207"/>
      <c r="F1639" s="207"/>
      <c r="G1639" s="207"/>
      <c r="H1639" s="207"/>
      <c r="I1639" s="207"/>
      <c r="J1639" s="207"/>
      <c r="K1639" s="207"/>
      <c r="L1639" s="207"/>
      <c r="M1639" s="207"/>
      <c r="N1639" s="207"/>
      <c r="O1639" s="207"/>
      <c r="P1639" s="207"/>
      <c r="Q1639" s="207"/>
      <c r="R1639" s="207"/>
      <c r="S1639" s="207"/>
      <c r="T1639" s="207"/>
      <c r="U1639" s="207"/>
      <c r="V1639" s="207"/>
      <c r="W1639" s="207"/>
      <c r="X1639" s="207"/>
      <c r="Y1639" s="207"/>
      <c r="Z1639" s="207"/>
      <c r="AA1639" s="207"/>
      <c r="AB1639" s="207"/>
      <c r="AC1639" s="207"/>
      <c r="AD1639" s="207"/>
      <c r="AE1639" s="207"/>
      <c r="AF1639" s="207"/>
    </row>
    <row r="1640" spans="2:32" ht="15" customHeight="1" x14ac:dyDescent="0.75">
      <c r="B1640" s="293"/>
      <c r="C1640" s="293"/>
      <c r="D1640" s="293"/>
      <c r="E1640" s="293"/>
      <c r="F1640" s="293"/>
      <c r="G1640" s="293"/>
      <c r="H1640" s="293"/>
      <c r="I1640" s="293"/>
      <c r="J1640" s="293"/>
      <c r="K1640" s="293"/>
      <c r="L1640" s="293"/>
      <c r="M1640" s="293"/>
      <c r="N1640" s="293"/>
      <c r="O1640" s="293"/>
      <c r="P1640" s="293"/>
      <c r="Q1640" s="293"/>
      <c r="R1640" s="293"/>
      <c r="S1640" s="293"/>
      <c r="T1640" s="293"/>
      <c r="U1640" s="293"/>
      <c r="V1640" s="293"/>
      <c r="W1640" s="293"/>
      <c r="X1640" s="293"/>
      <c r="Y1640" s="293"/>
      <c r="Z1640" s="293"/>
      <c r="AA1640" s="293"/>
      <c r="AB1640" s="293"/>
      <c r="AC1640" s="293"/>
      <c r="AD1640" s="293"/>
      <c r="AE1640" s="293"/>
      <c r="AF1640" s="293"/>
    </row>
    <row r="1644" spans="2:32" ht="15" customHeight="1" x14ac:dyDescent="0.75">
      <c r="B1644" s="207"/>
      <c r="C1644" s="207"/>
      <c r="D1644" s="207"/>
      <c r="E1644" s="207"/>
      <c r="F1644" s="207"/>
      <c r="G1644" s="207"/>
      <c r="H1644" s="207"/>
      <c r="I1644" s="207"/>
      <c r="J1644" s="207"/>
      <c r="K1644" s="207"/>
      <c r="L1644" s="207"/>
      <c r="M1644" s="207"/>
      <c r="N1644" s="207"/>
      <c r="O1644" s="207"/>
      <c r="P1644" s="207"/>
      <c r="Q1644" s="207"/>
      <c r="R1644" s="207"/>
      <c r="S1644" s="207"/>
      <c r="T1644" s="207"/>
      <c r="U1644" s="207"/>
      <c r="V1644" s="207"/>
      <c r="W1644" s="207"/>
      <c r="X1644" s="207"/>
      <c r="Y1644" s="207"/>
      <c r="Z1644" s="207"/>
      <c r="AA1644" s="207"/>
      <c r="AB1644" s="207"/>
      <c r="AC1644" s="207"/>
      <c r="AD1644" s="207"/>
      <c r="AE1644" s="207"/>
      <c r="AF1644" s="207"/>
    </row>
    <row r="1645" spans="2:32" ht="15" customHeight="1" x14ac:dyDescent="0.75">
      <c r="B1645" s="207"/>
      <c r="C1645" s="207"/>
      <c r="D1645" s="207"/>
      <c r="E1645" s="207"/>
      <c r="F1645" s="207"/>
      <c r="G1645" s="207"/>
      <c r="H1645" s="207"/>
      <c r="I1645" s="207"/>
      <c r="J1645" s="207"/>
      <c r="K1645" s="207"/>
      <c r="L1645" s="207"/>
      <c r="M1645" s="207"/>
      <c r="N1645" s="207"/>
      <c r="O1645" s="207"/>
      <c r="P1645" s="207"/>
      <c r="Q1645" s="207"/>
      <c r="R1645" s="207"/>
      <c r="S1645" s="207"/>
      <c r="T1645" s="207"/>
      <c r="U1645" s="207"/>
      <c r="V1645" s="207"/>
      <c r="W1645" s="207"/>
      <c r="X1645" s="207"/>
      <c r="Y1645" s="207"/>
      <c r="Z1645" s="207"/>
      <c r="AA1645" s="207"/>
      <c r="AB1645" s="207"/>
      <c r="AC1645" s="207"/>
      <c r="AD1645" s="207"/>
      <c r="AE1645" s="207"/>
      <c r="AF1645" s="207"/>
    </row>
    <row r="1646" spans="2:32" ht="15" customHeight="1" x14ac:dyDescent="0.75">
      <c r="B1646" s="207"/>
      <c r="C1646" s="207"/>
      <c r="D1646" s="207"/>
      <c r="E1646" s="207"/>
      <c r="F1646" s="207"/>
      <c r="G1646" s="207"/>
      <c r="H1646" s="207"/>
      <c r="I1646" s="207"/>
      <c r="J1646" s="207"/>
      <c r="K1646" s="207"/>
      <c r="L1646" s="207"/>
      <c r="M1646" s="207"/>
      <c r="N1646" s="207"/>
      <c r="O1646" s="207"/>
      <c r="P1646" s="207"/>
      <c r="Q1646" s="207"/>
      <c r="R1646" s="207"/>
      <c r="S1646" s="207"/>
      <c r="T1646" s="207"/>
      <c r="U1646" s="207"/>
      <c r="V1646" s="207"/>
      <c r="W1646" s="207"/>
      <c r="X1646" s="207"/>
      <c r="Y1646" s="207"/>
      <c r="Z1646" s="207"/>
      <c r="AA1646" s="207"/>
      <c r="AB1646" s="207"/>
      <c r="AC1646" s="207"/>
      <c r="AD1646" s="207"/>
      <c r="AE1646" s="207"/>
      <c r="AF1646" s="207"/>
    </row>
    <row r="1647" spans="2:32" ht="15" customHeight="1" x14ac:dyDescent="0.75">
      <c r="B1647" s="207"/>
      <c r="C1647" s="207"/>
      <c r="D1647" s="207"/>
      <c r="E1647" s="207"/>
      <c r="F1647" s="207"/>
      <c r="G1647" s="207"/>
      <c r="H1647" s="207"/>
      <c r="I1647" s="207"/>
      <c r="J1647" s="207"/>
      <c r="K1647" s="207"/>
      <c r="L1647" s="207"/>
      <c r="M1647" s="207"/>
      <c r="N1647" s="207"/>
      <c r="O1647" s="207"/>
      <c r="P1647" s="207"/>
      <c r="Q1647" s="207"/>
      <c r="R1647" s="207"/>
      <c r="S1647" s="207"/>
      <c r="T1647" s="207"/>
      <c r="U1647" s="207"/>
      <c r="V1647" s="207"/>
      <c r="W1647" s="207"/>
      <c r="X1647" s="207"/>
      <c r="Y1647" s="207"/>
      <c r="Z1647" s="207"/>
      <c r="AA1647" s="207"/>
      <c r="AB1647" s="207"/>
      <c r="AC1647" s="207"/>
      <c r="AD1647" s="207"/>
      <c r="AE1647" s="207"/>
      <c r="AF1647" s="207"/>
    </row>
    <row r="1648" spans="2:32" ht="15" customHeight="1" x14ac:dyDescent="0.75">
      <c r="B1648" s="207"/>
      <c r="C1648" s="207"/>
      <c r="D1648" s="207"/>
      <c r="E1648" s="207"/>
      <c r="F1648" s="207"/>
      <c r="G1648" s="207"/>
      <c r="H1648" s="207"/>
      <c r="I1648" s="207"/>
      <c r="J1648" s="207"/>
      <c r="K1648" s="207"/>
      <c r="L1648" s="207"/>
      <c r="M1648" s="207"/>
      <c r="N1648" s="207"/>
      <c r="O1648" s="207"/>
      <c r="P1648" s="207"/>
      <c r="Q1648" s="207"/>
      <c r="R1648" s="207"/>
      <c r="S1648" s="207"/>
      <c r="T1648" s="207"/>
      <c r="U1648" s="207"/>
      <c r="V1648" s="207"/>
      <c r="W1648" s="207"/>
      <c r="X1648" s="207"/>
      <c r="Y1648" s="207"/>
      <c r="Z1648" s="207"/>
      <c r="AA1648" s="207"/>
      <c r="AB1648" s="207"/>
      <c r="AC1648" s="207"/>
      <c r="AD1648" s="207"/>
      <c r="AE1648" s="207"/>
      <c r="AF1648" s="207"/>
    </row>
    <row r="1730" spans="2:32" ht="15" customHeight="1" x14ac:dyDescent="0.75">
      <c r="B1730" s="207"/>
      <c r="C1730" s="207"/>
      <c r="D1730" s="207"/>
      <c r="E1730" s="207"/>
      <c r="F1730" s="207"/>
      <c r="G1730" s="207"/>
      <c r="H1730" s="207"/>
      <c r="I1730" s="207"/>
      <c r="J1730" s="207"/>
      <c r="K1730" s="207"/>
      <c r="L1730" s="207"/>
      <c r="M1730" s="207"/>
      <c r="N1730" s="207"/>
      <c r="O1730" s="207"/>
      <c r="P1730" s="207"/>
      <c r="Q1730" s="207"/>
      <c r="R1730" s="207"/>
      <c r="S1730" s="207"/>
      <c r="T1730" s="207"/>
      <c r="U1730" s="207"/>
      <c r="V1730" s="207"/>
      <c r="W1730" s="207"/>
      <c r="X1730" s="207"/>
      <c r="Y1730" s="207"/>
      <c r="Z1730" s="207"/>
      <c r="AA1730" s="207"/>
      <c r="AB1730" s="207"/>
      <c r="AC1730" s="207"/>
      <c r="AD1730" s="207"/>
      <c r="AE1730" s="207"/>
      <c r="AF1730" s="207"/>
    </row>
    <row r="1736" spans="2:32" ht="15" customHeight="1" x14ac:dyDescent="0.75">
      <c r="B1736" s="207"/>
      <c r="C1736" s="207"/>
      <c r="D1736" s="207"/>
      <c r="E1736" s="207"/>
      <c r="F1736" s="207"/>
      <c r="G1736" s="207"/>
      <c r="H1736" s="207"/>
      <c r="I1736" s="207"/>
      <c r="J1736" s="207"/>
      <c r="K1736" s="207"/>
      <c r="L1736" s="207"/>
      <c r="M1736" s="207"/>
      <c r="N1736" s="207"/>
      <c r="O1736" s="207"/>
      <c r="P1736" s="207"/>
      <c r="Q1736" s="207"/>
      <c r="R1736" s="207"/>
      <c r="S1736" s="207"/>
      <c r="T1736" s="207"/>
      <c r="U1736" s="207"/>
      <c r="V1736" s="207"/>
      <c r="W1736" s="207"/>
      <c r="X1736" s="207"/>
      <c r="Y1736" s="207"/>
      <c r="Z1736" s="207"/>
      <c r="AA1736" s="207"/>
      <c r="AB1736" s="207"/>
      <c r="AC1736" s="207"/>
      <c r="AD1736" s="207"/>
      <c r="AE1736" s="207"/>
      <c r="AF1736" s="207"/>
    </row>
    <row r="1739" spans="2:32" ht="15" customHeight="1" x14ac:dyDescent="0.75">
      <c r="B1739" s="207"/>
      <c r="C1739" s="207"/>
      <c r="D1739" s="207"/>
      <c r="E1739" s="207"/>
      <c r="F1739" s="207"/>
      <c r="G1739" s="207"/>
      <c r="H1739" s="207"/>
      <c r="I1739" s="207"/>
      <c r="J1739" s="207"/>
      <c r="K1739" s="207"/>
      <c r="L1739" s="207"/>
      <c r="M1739" s="207"/>
      <c r="N1739" s="207"/>
      <c r="O1739" s="207"/>
      <c r="P1739" s="207"/>
      <c r="Q1739" s="207"/>
      <c r="R1739" s="207"/>
      <c r="S1739" s="207"/>
      <c r="T1739" s="207"/>
      <c r="U1739" s="207"/>
      <c r="V1739" s="207"/>
      <c r="W1739" s="207"/>
      <c r="X1739" s="207"/>
      <c r="Y1739" s="207"/>
      <c r="Z1739" s="207"/>
      <c r="AA1739" s="207"/>
      <c r="AB1739" s="207"/>
      <c r="AC1739" s="207"/>
      <c r="AD1739" s="207"/>
      <c r="AE1739" s="207"/>
      <c r="AF1739" s="207"/>
    </row>
    <row r="1740" spans="2:32" ht="15" customHeight="1" x14ac:dyDescent="0.75">
      <c r="B1740" s="293"/>
      <c r="C1740" s="293"/>
      <c r="D1740" s="293"/>
      <c r="E1740" s="293"/>
      <c r="F1740" s="293"/>
      <c r="G1740" s="293"/>
      <c r="H1740" s="293"/>
      <c r="I1740" s="293"/>
      <c r="J1740" s="293"/>
      <c r="K1740" s="293"/>
      <c r="L1740" s="293"/>
      <c r="M1740" s="293"/>
      <c r="N1740" s="293"/>
      <c r="O1740" s="293"/>
      <c r="P1740" s="293"/>
      <c r="Q1740" s="293"/>
      <c r="R1740" s="293"/>
      <c r="S1740" s="293"/>
      <c r="T1740" s="293"/>
      <c r="U1740" s="293"/>
      <c r="V1740" s="293"/>
      <c r="W1740" s="293"/>
      <c r="X1740" s="293"/>
      <c r="Y1740" s="293"/>
      <c r="Z1740" s="293"/>
      <c r="AA1740" s="293"/>
      <c r="AB1740" s="293"/>
      <c r="AC1740" s="293"/>
      <c r="AD1740" s="293"/>
      <c r="AE1740" s="293"/>
      <c r="AF1740" s="293"/>
    </row>
    <row r="1744" spans="2:32" ht="15" customHeight="1" x14ac:dyDescent="0.75">
      <c r="B1744" s="207"/>
      <c r="C1744" s="207"/>
      <c r="D1744" s="207"/>
      <c r="E1744" s="207"/>
      <c r="F1744" s="207"/>
      <c r="G1744" s="207"/>
      <c r="H1744" s="207"/>
      <c r="I1744" s="207"/>
      <c r="J1744" s="207"/>
      <c r="K1744" s="207"/>
      <c r="L1744" s="207"/>
      <c r="M1744" s="207"/>
      <c r="N1744" s="207"/>
      <c r="O1744" s="207"/>
      <c r="P1744" s="207"/>
      <c r="Q1744" s="207"/>
      <c r="R1744" s="207"/>
      <c r="S1744" s="207"/>
      <c r="T1744" s="207"/>
      <c r="U1744" s="207"/>
      <c r="V1744" s="207"/>
      <c r="W1744" s="207"/>
      <c r="X1744" s="207"/>
      <c r="Y1744" s="207"/>
      <c r="Z1744" s="207"/>
      <c r="AA1744" s="207"/>
      <c r="AB1744" s="207"/>
      <c r="AC1744" s="207"/>
      <c r="AD1744" s="207"/>
      <c r="AE1744" s="207"/>
      <c r="AF1744" s="207"/>
    </row>
    <row r="1830" spans="2:32" ht="15" customHeight="1" x14ac:dyDescent="0.75">
      <c r="B1830" s="207"/>
      <c r="C1830" s="207"/>
      <c r="D1830" s="207"/>
      <c r="E1830" s="207"/>
      <c r="F1830" s="207"/>
      <c r="G1830" s="207"/>
      <c r="H1830" s="207"/>
      <c r="I1830" s="207"/>
      <c r="J1830" s="207"/>
      <c r="K1830" s="207"/>
      <c r="L1830" s="207"/>
      <c r="M1830" s="207"/>
      <c r="N1830" s="207"/>
      <c r="O1830" s="207"/>
      <c r="P1830" s="207"/>
      <c r="Q1830" s="207"/>
      <c r="R1830" s="207"/>
      <c r="S1830" s="207"/>
      <c r="T1830" s="207"/>
      <c r="U1830" s="207"/>
      <c r="V1830" s="207"/>
      <c r="W1830" s="207"/>
      <c r="X1830" s="207"/>
      <c r="Y1830" s="207"/>
      <c r="Z1830" s="207"/>
      <c r="AA1830" s="207"/>
      <c r="AB1830" s="207"/>
      <c r="AC1830" s="207"/>
      <c r="AD1830" s="207"/>
      <c r="AE1830" s="207"/>
      <c r="AF1830" s="207"/>
    </row>
    <row r="1836" spans="2:32" ht="15" customHeight="1" x14ac:dyDescent="0.75">
      <c r="B1836" s="207"/>
      <c r="C1836" s="207"/>
      <c r="D1836" s="207"/>
      <c r="E1836" s="207"/>
      <c r="F1836" s="207"/>
      <c r="G1836" s="207"/>
      <c r="H1836" s="207"/>
      <c r="I1836" s="207"/>
      <c r="J1836" s="207"/>
      <c r="K1836" s="207"/>
      <c r="L1836" s="207"/>
      <c r="M1836" s="207"/>
      <c r="N1836" s="207"/>
      <c r="O1836" s="207"/>
      <c r="P1836" s="207"/>
      <c r="Q1836" s="207"/>
      <c r="R1836" s="207"/>
      <c r="S1836" s="207"/>
      <c r="T1836" s="207"/>
      <c r="U1836" s="207"/>
      <c r="V1836" s="207"/>
      <c r="W1836" s="207"/>
      <c r="X1836" s="207"/>
      <c r="Y1836" s="207"/>
      <c r="Z1836" s="207"/>
      <c r="AA1836" s="207"/>
      <c r="AB1836" s="207"/>
      <c r="AC1836" s="207"/>
      <c r="AD1836" s="207"/>
      <c r="AE1836" s="207"/>
      <c r="AF1836" s="207"/>
    </row>
    <row r="1839" spans="2:32" ht="15" customHeight="1" x14ac:dyDescent="0.75">
      <c r="B1839" s="207"/>
      <c r="C1839" s="207"/>
      <c r="D1839" s="207"/>
      <c r="E1839" s="207"/>
      <c r="F1839" s="207"/>
      <c r="G1839" s="207"/>
      <c r="H1839" s="207"/>
      <c r="I1839" s="207"/>
      <c r="J1839" s="207"/>
      <c r="K1839" s="207"/>
      <c r="L1839" s="207"/>
      <c r="M1839" s="207"/>
      <c r="N1839" s="207"/>
      <c r="O1839" s="207"/>
      <c r="P1839" s="207"/>
      <c r="Q1839" s="207"/>
      <c r="R1839" s="207"/>
      <c r="S1839" s="207"/>
      <c r="T1839" s="207"/>
      <c r="U1839" s="207"/>
      <c r="V1839" s="207"/>
      <c r="W1839" s="207"/>
      <c r="X1839" s="207"/>
      <c r="Y1839" s="207"/>
      <c r="Z1839" s="207"/>
      <c r="AA1839" s="207"/>
      <c r="AB1839" s="207"/>
      <c r="AC1839" s="207"/>
      <c r="AD1839" s="207"/>
      <c r="AE1839" s="207"/>
      <c r="AF1839" s="207"/>
    </row>
    <row r="1840" spans="2:32" ht="15" customHeight="1" x14ac:dyDescent="0.75">
      <c r="B1840" s="293"/>
      <c r="C1840" s="293"/>
      <c r="D1840" s="293"/>
      <c r="E1840" s="293"/>
      <c r="F1840" s="293"/>
      <c r="G1840" s="293"/>
      <c r="H1840" s="293"/>
      <c r="I1840" s="293"/>
      <c r="J1840" s="293"/>
      <c r="K1840" s="293"/>
      <c r="L1840" s="293"/>
      <c r="M1840" s="293"/>
      <c r="N1840" s="293"/>
      <c r="O1840" s="293"/>
      <c r="P1840" s="293"/>
      <c r="Q1840" s="293"/>
      <c r="R1840" s="293"/>
      <c r="S1840" s="293"/>
      <c r="T1840" s="293"/>
      <c r="U1840" s="293"/>
      <c r="V1840" s="293"/>
      <c r="W1840" s="293"/>
      <c r="X1840" s="293"/>
      <c r="Y1840" s="293"/>
      <c r="Z1840" s="293"/>
      <c r="AA1840" s="293"/>
      <c r="AB1840" s="293"/>
      <c r="AC1840" s="293"/>
      <c r="AD1840" s="293"/>
      <c r="AE1840" s="293"/>
      <c r="AF1840" s="293"/>
    </row>
    <row r="1939" spans="2:32" ht="15" customHeight="1" x14ac:dyDescent="0.75">
      <c r="B1939" s="207"/>
      <c r="C1939" s="207"/>
      <c r="D1939" s="207"/>
      <c r="E1939" s="207"/>
      <c r="F1939" s="207"/>
      <c r="G1939" s="207"/>
      <c r="H1939" s="207"/>
      <c r="I1939" s="207"/>
      <c r="J1939" s="207"/>
      <c r="K1939" s="207"/>
      <c r="L1939" s="207"/>
      <c r="M1939" s="207"/>
      <c r="N1939" s="207"/>
      <c r="O1939" s="207"/>
      <c r="P1939" s="207"/>
      <c r="Q1939" s="207"/>
      <c r="R1939" s="207"/>
      <c r="S1939" s="207"/>
      <c r="T1939" s="207"/>
      <c r="U1939" s="207"/>
      <c r="V1939" s="207"/>
      <c r="W1939" s="207"/>
      <c r="X1939" s="207"/>
      <c r="Y1939" s="207"/>
      <c r="Z1939" s="207"/>
      <c r="AA1939" s="207"/>
      <c r="AB1939" s="207"/>
      <c r="AC1939" s="207"/>
      <c r="AD1939" s="207"/>
      <c r="AE1939" s="207"/>
      <c r="AF1939" s="207"/>
    </row>
    <row r="1940" spans="2:32" ht="15" customHeight="1" x14ac:dyDescent="0.75">
      <c r="B1940" s="293"/>
      <c r="C1940" s="293"/>
      <c r="D1940" s="293"/>
      <c r="E1940" s="293"/>
      <c r="F1940" s="293"/>
      <c r="G1940" s="293"/>
      <c r="H1940" s="293"/>
      <c r="I1940" s="293"/>
      <c r="J1940" s="293"/>
      <c r="K1940" s="293"/>
      <c r="L1940" s="293"/>
      <c r="M1940" s="293"/>
      <c r="N1940" s="293"/>
      <c r="O1940" s="293"/>
      <c r="P1940" s="293"/>
      <c r="Q1940" s="293"/>
      <c r="R1940" s="293"/>
      <c r="S1940" s="293"/>
      <c r="T1940" s="293"/>
      <c r="U1940" s="293"/>
      <c r="V1940" s="293"/>
      <c r="W1940" s="293"/>
      <c r="X1940" s="293"/>
      <c r="Y1940" s="293"/>
      <c r="Z1940" s="293"/>
      <c r="AA1940" s="293"/>
      <c r="AB1940" s="293"/>
      <c r="AC1940" s="293"/>
      <c r="AD1940" s="293"/>
      <c r="AE1940" s="293"/>
      <c r="AF1940" s="293"/>
    </row>
    <row r="1944" spans="2:32" ht="15" customHeight="1" x14ac:dyDescent="0.75">
      <c r="B1944" s="207"/>
      <c r="C1944" s="207"/>
      <c r="D1944" s="207"/>
      <c r="E1944" s="207"/>
      <c r="F1944" s="207"/>
      <c r="G1944" s="207"/>
      <c r="H1944" s="207"/>
      <c r="I1944" s="207"/>
      <c r="J1944" s="207"/>
      <c r="K1944" s="207"/>
      <c r="L1944" s="207"/>
      <c r="M1944" s="207"/>
      <c r="N1944" s="207"/>
      <c r="O1944" s="207"/>
      <c r="P1944" s="207"/>
      <c r="Q1944" s="207"/>
      <c r="R1944" s="207"/>
      <c r="S1944" s="207"/>
      <c r="T1944" s="207"/>
      <c r="U1944" s="207"/>
      <c r="V1944" s="207"/>
      <c r="W1944" s="207"/>
      <c r="X1944" s="207"/>
      <c r="Y1944" s="207"/>
      <c r="Z1944" s="207"/>
      <c r="AA1944" s="207"/>
      <c r="AB1944" s="207"/>
      <c r="AC1944" s="207"/>
      <c r="AD1944" s="207"/>
      <c r="AE1944" s="207"/>
      <c r="AF1944" s="207"/>
    </row>
    <row r="1945" spans="2:32" ht="15" customHeight="1" x14ac:dyDescent="0.75">
      <c r="B1945" s="207"/>
      <c r="C1945" s="207"/>
      <c r="D1945" s="207"/>
      <c r="E1945" s="207"/>
      <c r="F1945" s="207"/>
      <c r="G1945" s="207"/>
      <c r="H1945" s="207"/>
      <c r="I1945" s="207"/>
      <c r="J1945" s="207"/>
      <c r="K1945" s="207"/>
      <c r="L1945" s="207"/>
      <c r="M1945" s="207"/>
      <c r="N1945" s="207"/>
      <c r="O1945" s="207"/>
      <c r="P1945" s="207"/>
      <c r="Q1945" s="207"/>
      <c r="R1945" s="207"/>
      <c r="S1945" s="207"/>
      <c r="T1945" s="207"/>
      <c r="U1945" s="207"/>
      <c r="V1945" s="207"/>
      <c r="W1945" s="207"/>
      <c r="X1945" s="207"/>
      <c r="Y1945" s="207"/>
      <c r="Z1945" s="207"/>
      <c r="AA1945" s="207"/>
      <c r="AB1945" s="207"/>
      <c r="AC1945" s="207"/>
      <c r="AD1945" s="207"/>
      <c r="AE1945" s="207"/>
      <c r="AF1945" s="207"/>
    </row>
    <row r="1946" spans="2:32" ht="15" customHeight="1" x14ac:dyDescent="0.75">
      <c r="B1946" s="207"/>
      <c r="C1946" s="207"/>
      <c r="D1946" s="207"/>
      <c r="E1946" s="207"/>
      <c r="F1946" s="207"/>
      <c r="G1946" s="207"/>
      <c r="H1946" s="207"/>
      <c r="I1946" s="207"/>
      <c r="J1946" s="207"/>
      <c r="K1946" s="207"/>
      <c r="L1946" s="207"/>
      <c r="M1946" s="207"/>
      <c r="N1946" s="207"/>
      <c r="O1946" s="207"/>
      <c r="P1946" s="207"/>
      <c r="Q1946" s="207"/>
      <c r="R1946" s="207"/>
      <c r="S1946" s="207"/>
      <c r="T1946" s="207"/>
      <c r="U1946" s="207"/>
      <c r="V1946" s="207"/>
      <c r="W1946" s="207"/>
      <c r="X1946" s="207"/>
      <c r="Y1946" s="207"/>
      <c r="Z1946" s="207"/>
      <c r="AA1946" s="207"/>
      <c r="AB1946" s="207"/>
      <c r="AC1946" s="207"/>
      <c r="AD1946" s="207"/>
      <c r="AE1946" s="207"/>
      <c r="AF1946" s="207"/>
    </row>
    <row r="1947" spans="2:32" ht="15" customHeight="1" x14ac:dyDescent="0.75">
      <c r="B1947" s="207"/>
      <c r="C1947" s="207"/>
      <c r="D1947" s="207"/>
      <c r="E1947" s="207"/>
      <c r="F1947" s="207"/>
      <c r="G1947" s="207"/>
      <c r="H1947" s="207"/>
      <c r="I1947" s="207"/>
      <c r="J1947" s="207"/>
      <c r="K1947" s="207"/>
      <c r="L1947" s="207"/>
      <c r="M1947" s="207"/>
      <c r="N1947" s="207"/>
      <c r="O1947" s="207"/>
      <c r="P1947" s="207"/>
      <c r="Q1947" s="207"/>
      <c r="R1947" s="207"/>
      <c r="S1947" s="207"/>
      <c r="T1947" s="207"/>
      <c r="U1947" s="207"/>
      <c r="V1947" s="207"/>
      <c r="W1947" s="207"/>
      <c r="X1947" s="207"/>
      <c r="Y1947" s="207"/>
      <c r="Z1947" s="207"/>
      <c r="AA1947" s="207"/>
      <c r="AB1947" s="207"/>
      <c r="AC1947" s="207"/>
      <c r="AD1947" s="207"/>
      <c r="AE1947" s="207"/>
      <c r="AF1947" s="207"/>
    </row>
    <row r="1948" spans="2:32" ht="15" customHeight="1" x14ac:dyDescent="0.75">
      <c r="B1948" s="207"/>
      <c r="C1948" s="207"/>
      <c r="D1948" s="207"/>
      <c r="E1948" s="207"/>
      <c r="F1948" s="207"/>
      <c r="G1948" s="207"/>
      <c r="H1948" s="207"/>
      <c r="I1948" s="207"/>
      <c r="J1948" s="207"/>
      <c r="K1948" s="207"/>
      <c r="L1948" s="207"/>
      <c r="M1948" s="207"/>
      <c r="N1948" s="207"/>
      <c r="O1948" s="207"/>
      <c r="P1948" s="207"/>
      <c r="Q1948" s="207"/>
      <c r="R1948" s="207"/>
      <c r="S1948" s="207"/>
      <c r="T1948" s="207"/>
      <c r="U1948" s="207"/>
      <c r="V1948" s="207"/>
      <c r="W1948" s="207"/>
      <c r="X1948" s="207"/>
      <c r="Y1948" s="207"/>
      <c r="Z1948" s="207"/>
      <c r="AA1948" s="207"/>
      <c r="AB1948" s="207"/>
      <c r="AC1948" s="207"/>
      <c r="AD1948" s="207"/>
      <c r="AE1948" s="207"/>
      <c r="AF1948" s="207"/>
    </row>
    <row r="1949" spans="2:32" ht="15" customHeight="1" x14ac:dyDescent="0.75">
      <c r="B1949" s="207"/>
      <c r="C1949" s="207"/>
      <c r="D1949" s="207"/>
      <c r="E1949" s="207"/>
      <c r="F1949" s="207"/>
      <c r="G1949" s="207"/>
      <c r="H1949" s="207"/>
      <c r="I1949" s="207"/>
      <c r="J1949" s="207"/>
      <c r="K1949" s="207"/>
      <c r="L1949" s="207"/>
      <c r="M1949" s="207"/>
      <c r="N1949" s="207"/>
      <c r="O1949" s="207"/>
      <c r="P1949" s="207"/>
      <c r="Q1949" s="207"/>
      <c r="R1949" s="207"/>
      <c r="S1949" s="207"/>
      <c r="T1949" s="207"/>
      <c r="U1949" s="207"/>
      <c r="V1949" s="207"/>
      <c r="W1949" s="207"/>
      <c r="X1949" s="207"/>
      <c r="Y1949" s="207"/>
      <c r="Z1949" s="207"/>
      <c r="AA1949" s="207"/>
      <c r="AB1949" s="207"/>
      <c r="AC1949" s="207"/>
      <c r="AD1949" s="207"/>
      <c r="AE1949" s="207"/>
      <c r="AF1949" s="207"/>
    </row>
    <row r="1950" spans="2:32" ht="15" customHeight="1" x14ac:dyDescent="0.75">
      <c r="B1950" s="207"/>
      <c r="C1950" s="207"/>
      <c r="D1950" s="207"/>
      <c r="E1950" s="207"/>
      <c r="F1950" s="207"/>
      <c r="G1950" s="207"/>
      <c r="H1950" s="207"/>
      <c r="I1950" s="207"/>
      <c r="J1950" s="207"/>
      <c r="K1950" s="207"/>
      <c r="L1950" s="207"/>
      <c r="M1950" s="207"/>
      <c r="N1950" s="207"/>
      <c r="O1950" s="207"/>
      <c r="P1950" s="207"/>
      <c r="Q1950" s="207"/>
      <c r="R1950" s="207"/>
      <c r="S1950" s="207"/>
      <c r="T1950" s="207"/>
      <c r="U1950" s="207"/>
      <c r="V1950" s="207"/>
      <c r="W1950" s="207"/>
      <c r="X1950" s="207"/>
      <c r="Y1950" s="207"/>
      <c r="Z1950" s="207"/>
      <c r="AA1950" s="207"/>
      <c r="AB1950" s="207"/>
      <c r="AC1950" s="207"/>
      <c r="AD1950" s="207"/>
      <c r="AE1950" s="207"/>
      <c r="AF1950" s="207"/>
    </row>
    <row r="1951" spans="2:32" ht="15" customHeight="1" x14ac:dyDescent="0.75">
      <c r="B1951" s="207"/>
      <c r="C1951" s="207"/>
      <c r="D1951" s="207"/>
      <c r="E1951" s="207"/>
      <c r="F1951" s="207"/>
      <c r="G1951" s="207"/>
      <c r="H1951" s="207"/>
      <c r="I1951" s="207"/>
      <c r="J1951" s="207"/>
      <c r="K1951" s="207"/>
      <c r="L1951" s="207"/>
      <c r="M1951" s="207"/>
      <c r="N1951" s="207"/>
      <c r="O1951" s="207"/>
      <c r="P1951" s="207"/>
      <c r="Q1951" s="207"/>
      <c r="R1951" s="207"/>
      <c r="S1951" s="207"/>
      <c r="T1951" s="207"/>
      <c r="U1951" s="207"/>
      <c r="V1951" s="207"/>
      <c r="W1951" s="207"/>
      <c r="X1951" s="207"/>
      <c r="Y1951" s="207"/>
      <c r="Z1951" s="207"/>
      <c r="AA1951" s="207"/>
      <c r="AB1951" s="207"/>
      <c r="AC1951" s="207"/>
      <c r="AD1951" s="207"/>
      <c r="AE1951" s="207"/>
      <c r="AF1951" s="207"/>
    </row>
    <row r="1952" spans="2:32" ht="15" customHeight="1" x14ac:dyDescent="0.75">
      <c r="B1952" s="207"/>
      <c r="C1952" s="207"/>
      <c r="D1952" s="207"/>
      <c r="E1952" s="207"/>
      <c r="F1952" s="207"/>
      <c r="G1952" s="207"/>
      <c r="H1952" s="207"/>
      <c r="I1952" s="207"/>
      <c r="J1952" s="207"/>
      <c r="K1952" s="207"/>
      <c r="L1952" s="207"/>
      <c r="M1952" s="207"/>
      <c r="N1952" s="207"/>
      <c r="O1952" s="207"/>
      <c r="P1952" s="207"/>
      <c r="Q1952" s="207"/>
      <c r="R1952" s="207"/>
      <c r="S1952" s="207"/>
      <c r="T1952" s="207"/>
      <c r="U1952" s="207"/>
      <c r="V1952" s="207"/>
      <c r="W1952" s="207"/>
      <c r="X1952" s="207"/>
      <c r="Y1952" s="207"/>
      <c r="Z1952" s="207"/>
      <c r="AA1952" s="207"/>
      <c r="AB1952" s="207"/>
      <c r="AC1952" s="207"/>
      <c r="AD1952" s="207"/>
      <c r="AE1952" s="207"/>
      <c r="AF1952" s="207"/>
    </row>
    <row r="2036" spans="2:32" ht="15" customHeight="1" x14ac:dyDescent="0.75">
      <c r="B2036" s="207"/>
      <c r="C2036" s="207"/>
      <c r="D2036" s="207"/>
      <c r="E2036" s="207"/>
      <c r="F2036" s="207"/>
      <c r="G2036" s="207"/>
      <c r="H2036" s="207"/>
      <c r="I2036" s="207"/>
      <c r="J2036" s="207"/>
      <c r="K2036" s="207"/>
      <c r="L2036" s="207"/>
      <c r="M2036" s="207"/>
      <c r="N2036" s="207"/>
      <c r="O2036" s="207"/>
      <c r="P2036" s="207"/>
      <c r="Q2036" s="207"/>
      <c r="R2036" s="207"/>
      <c r="S2036" s="207"/>
      <c r="T2036" s="207"/>
      <c r="U2036" s="207"/>
      <c r="V2036" s="207"/>
      <c r="W2036" s="207"/>
      <c r="X2036" s="207"/>
      <c r="Y2036" s="207"/>
      <c r="Z2036" s="207"/>
      <c r="AA2036" s="207"/>
      <c r="AB2036" s="207"/>
      <c r="AC2036" s="207"/>
      <c r="AD2036" s="207"/>
      <c r="AE2036" s="207"/>
      <c r="AF2036" s="207"/>
    </row>
    <row r="2039" spans="2:32" ht="15" customHeight="1" x14ac:dyDescent="0.75">
      <c r="B2039" s="207"/>
      <c r="C2039" s="207"/>
      <c r="D2039" s="207"/>
      <c r="E2039" s="207"/>
      <c r="F2039" s="207"/>
      <c r="G2039" s="207"/>
      <c r="H2039" s="207"/>
      <c r="I2039" s="207"/>
      <c r="J2039" s="207"/>
      <c r="K2039" s="207"/>
      <c r="L2039" s="207"/>
      <c r="M2039" s="207"/>
      <c r="N2039" s="207"/>
      <c r="O2039" s="207"/>
      <c r="P2039" s="207"/>
      <c r="Q2039" s="207"/>
      <c r="R2039" s="207"/>
      <c r="S2039" s="207"/>
      <c r="T2039" s="207"/>
      <c r="U2039" s="207"/>
      <c r="V2039" s="207"/>
      <c r="W2039" s="207"/>
      <c r="X2039" s="207"/>
      <c r="Y2039" s="207"/>
      <c r="Z2039" s="207"/>
      <c r="AA2039" s="207"/>
      <c r="AB2039" s="207"/>
      <c r="AC2039" s="207"/>
      <c r="AD2039" s="207"/>
      <c r="AE2039" s="207"/>
      <c r="AF2039" s="207"/>
    </row>
    <row r="2040" spans="2:32" ht="15" customHeight="1" x14ac:dyDescent="0.75">
      <c r="B2040" s="293"/>
      <c r="C2040" s="293"/>
      <c r="D2040" s="293"/>
      <c r="E2040" s="293"/>
      <c r="F2040" s="293"/>
      <c r="G2040" s="293"/>
      <c r="H2040" s="293"/>
      <c r="I2040" s="293"/>
      <c r="J2040" s="293"/>
      <c r="K2040" s="293"/>
      <c r="L2040" s="293"/>
      <c r="M2040" s="293"/>
      <c r="N2040" s="293"/>
      <c r="O2040" s="293"/>
      <c r="P2040" s="293"/>
      <c r="Q2040" s="293"/>
      <c r="R2040" s="293"/>
      <c r="S2040" s="293"/>
      <c r="T2040" s="293"/>
      <c r="U2040" s="293"/>
      <c r="V2040" s="293"/>
      <c r="W2040" s="293"/>
      <c r="X2040" s="293"/>
      <c r="Y2040" s="293"/>
      <c r="Z2040" s="293"/>
      <c r="AA2040" s="293"/>
      <c r="AB2040" s="293"/>
      <c r="AC2040" s="293"/>
      <c r="AD2040" s="293"/>
      <c r="AE2040" s="293"/>
      <c r="AF2040" s="293"/>
    </row>
    <row r="2044" spans="2:32" ht="15" customHeight="1" x14ac:dyDescent="0.75">
      <c r="B2044" s="207"/>
      <c r="C2044" s="207"/>
      <c r="D2044" s="207"/>
      <c r="E2044" s="207"/>
      <c r="F2044" s="207"/>
      <c r="G2044" s="207"/>
      <c r="H2044" s="207"/>
      <c r="I2044" s="207"/>
      <c r="J2044" s="207"/>
      <c r="K2044" s="207"/>
      <c r="L2044" s="207"/>
      <c r="M2044" s="207"/>
      <c r="N2044" s="207"/>
      <c r="O2044" s="207"/>
      <c r="P2044" s="207"/>
      <c r="Q2044" s="207"/>
      <c r="R2044" s="207"/>
      <c r="S2044" s="207"/>
      <c r="T2044" s="207"/>
      <c r="U2044" s="207"/>
      <c r="V2044" s="207"/>
      <c r="W2044" s="207"/>
      <c r="X2044" s="207"/>
      <c r="Y2044" s="207"/>
      <c r="Z2044" s="207"/>
      <c r="AA2044" s="207"/>
      <c r="AB2044" s="207"/>
      <c r="AC2044" s="207"/>
      <c r="AD2044" s="207"/>
      <c r="AE2044" s="207"/>
      <c r="AF2044" s="207"/>
    </row>
    <row r="2045" spans="2:32" ht="15" customHeight="1" x14ac:dyDescent="0.75">
      <c r="B2045" s="207"/>
      <c r="C2045" s="207"/>
      <c r="D2045" s="207"/>
      <c r="E2045" s="207"/>
      <c r="F2045" s="207"/>
      <c r="G2045" s="207"/>
      <c r="H2045" s="207"/>
      <c r="I2045" s="207"/>
      <c r="J2045" s="207"/>
      <c r="K2045" s="207"/>
      <c r="L2045" s="207"/>
      <c r="M2045" s="207"/>
      <c r="N2045" s="207"/>
      <c r="O2045" s="207"/>
      <c r="P2045" s="207"/>
      <c r="Q2045" s="207"/>
      <c r="R2045" s="207"/>
      <c r="S2045" s="207"/>
      <c r="T2045" s="207"/>
      <c r="U2045" s="207"/>
      <c r="V2045" s="207"/>
      <c r="W2045" s="207"/>
      <c r="X2045" s="207"/>
      <c r="Y2045" s="207"/>
      <c r="Z2045" s="207"/>
      <c r="AA2045" s="207"/>
      <c r="AB2045" s="207"/>
      <c r="AC2045" s="207"/>
      <c r="AD2045" s="207"/>
      <c r="AE2045" s="207"/>
      <c r="AF2045" s="207"/>
    </row>
    <row r="2046" spans="2:32" ht="15" customHeight="1" x14ac:dyDescent="0.75">
      <c r="B2046" s="207"/>
      <c r="C2046" s="207"/>
      <c r="D2046" s="207"/>
      <c r="E2046" s="207"/>
      <c r="F2046" s="207"/>
      <c r="G2046" s="207"/>
      <c r="H2046" s="207"/>
      <c r="I2046" s="207"/>
      <c r="J2046" s="207"/>
      <c r="K2046" s="207"/>
      <c r="L2046" s="207"/>
      <c r="M2046" s="207"/>
      <c r="N2046" s="207"/>
      <c r="O2046" s="207"/>
      <c r="P2046" s="207"/>
      <c r="Q2046" s="207"/>
      <c r="R2046" s="207"/>
      <c r="S2046" s="207"/>
      <c r="T2046" s="207"/>
      <c r="U2046" s="207"/>
      <c r="V2046" s="207"/>
      <c r="W2046" s="207"/>
      <c r="X2046" s="207"/>
      <c r="Y2046" s="207"/>
      <c r="Z2046" s="207"/>
      <c r="AA2046" s="207"/>
      <c r="AB2046" s="207"/>
      <c r="AC2046" s="207"/>
      <c r="AD2046" s="207"/>
      <c r="AE2046" s="207"/>
      <c r="AF2046" s="207"/>
    </row>
    <row r="2047" spans="2:32" ht="15" customHeight="1" x14ac:dyDescent="0.75">
      <c r="B2047" s="207"/>
      <c r="C2047" s="207"/>
      <c r="D2047" s="207"/>
      <c r="E2047" s="207"/>
      <c r="F2047" s="207"/>
      <c r="G2047" s="207"/>
      <c r="H2047" s="207"/>
      <c r="I2047" s="207"/>
      <c r="J2047" s="207"/>
      <c r="K2047" s="207"/>
      <c r="L2047" s="207"/>
      <c r="M2047" s="207"/>
      <c r="N2047" s="207"/>
      <c r="O2047" s="207"/>
      <c r="P2047" s="207"/>
      <c r="Q2047" s="207"/>
      <c r="R2047" s="207"/>
      <c r="S2047" s="207"/>
      <c r="T2047" s="207"/>
      <c r="U2047" s="207"/>
      <c r="V2047" s="207"/>
      <c r="W2047" s="207"/>
      <c r="X2047" s="207"/>
      <c r="Y2047" s="207"/>
      <c r="Z2047" s="207"/>
      <c r="AA2047" s="207"/>
      <c r="AB2047" s="207"/>
      <c r="AC2047" s="207"/>
      <c r="AD2047" s="207"/>
      <c r="AE2047" s="207"/>
      <c r="AF2047" s="207"/>
    </row>
    <row r="2048" spans="2:32" ht="15" customHeight="1" x14ac:dyDescent="0.75">
      <c r="B2048" s="207"/>
      <c r="C2048" s="207"/>
      <c r="D2048" s="207"/>
      <c r="E2048" s="207"/>
      <c r="F2048" s="207"/>
      <c r="G2048" s="207"/>
      <c r="H2048" s="207"/>
      <c r="I2048" s="207"/>
      <c r="J2048" s="207"/>
      <c r="K2048" s="207"/>
      <c r="L2048" s="207"/>
      <c r="M2048" s="207"/>
      <c r="N2048" s="207"/>
      <c r="O2048" s="207"/>
      <c r="P2048" s="207"/>
      <c r="Q2048" s="207"/>
      <c r="R2048" s="207"/>
      <c r="S2048" s="207"/>
      <c r="T2048" s="207"/>
      <c r="U2048" s="207"/>
      <c r="V2048" s="207"/>
      <c r="W2048" s="207"/>
      <c r="X2048" s="207"/>
      <c r="Y2048" s="207"/>
      <c r="Z2048" s="207"/>
      <c r="AA2048" s="207"/>
      <c r="AB2048" s="207"/>
      <c r="AC2048" s="207"/>
      <c r="AD2048" s="207"/>
      <c r="AE2048" s="207"/>
      <c r="AF2048" s="207"/>
    </row>
    <row r="2130" spans="2:32" ht="15" customHeight="1" x14ac:dyDescent="0.75">
      <c r="B2130" s="207"/>
      <c r="C2130" s="207"/>
      <c r="D2130" s="207"/>
      <c r="E2130" s="207"/>
      <c r="F2130" s="207"/>
      <c r="G2130" s="207"/>
      <c r="H2130" s="207"/>
      <c r="I2130" s="207"/>
      <c r="J2130" s="207"/>
      <c r="K2130" s="207"/>
      <c r="L2130" s="207"/>
      <c r="M2130" s="207"/>
      <c r="N2130" s="207"/>
      <c r="O2130" s="207"/>
      <c r="P2130" s="207"/>
      <c r="Q2130" s="207"/>
      <c r="R2130" s="207"/>
      <c r="S2130" s="207"/>
      <c r="T2130" s="207"/>
      <c r="U2130" s="207"/>
      <c r="V2130" s="207"/>
      <c r="W2130" s="207"/>
      <c r="X2130" s="207"/>
      <c r="Y2130" s="207"/>
      <c r="Z2130" s="207"/>
      <c r="AA2130" s="207"/>
      <c r="AB2130" s="207"/>
      <c r="AC2130" s="207"/>
      <c r="AD2130" s="207"/>
      <c r="AE2130" s="207"/>
      <c r="AF2130" s="207"/>
    </row>
    <row r="2136" spans="2:32" ht="15" customHeight="1" x14ac:dyDescent="0.75">
      <c r="B2136" s="207"/>
      <c r="C2136" s="207"/>
      <c r="D2136" s="207"/>
      <c r="E2136" s="207"/>
      <c r="F2136" s="207"/>
      <c r="G2136" s="207"/>
      <c r="H2136" s="207"/>
      <c r="I2136" s="207"/>
      <c r="J2136" s="207"/>
      <c r="K2136" s="207"/>
      <c r="L2136" s="207"/>
      <c r="M2136" s="207"/>
      <c r="N2136" s="207"/>
      <c r="O2136" s="207"/>
      <c r="P2136" s="207"/>
      <c r="Q2136" s="207"/>
      <c r="R2136" s="207"/>
      <c r="S2136" s="207"/>
      <c r="T2136" s="207"/>
      <c r="U2136" s="207"/>
      <c r="V2136" s="207"/>
      <c r="W2136" s="207"/>
      <c r="X2136" s="207"/>
      <c r="Y2136" s="207"/>
      <c r="Z2136" s="207"/>
      <c r="AA2136" s="207"/>
      <c r="AB2136" s="207"/>
      <c r="AC2136" s="207"/>
      <c r="AD2136" s="207"/>
      <c r="AE2136" s="207"/>
      <c r="AF2136" s="207"/>
    </row>
    <row r="2139" spans="2:32" ht="15" customHeight="1" x14ac:dyDescent="0.75">
      <c r="B2139" s="207"/>
      <c r="C2139" s="207"/>
      <c r="D2139" s="207"/>
      <c r="E2139" s="207"/>
      <c r="F2139" s="207"/>
      <c r="G2139" s="207"/>
      <c r="H2139" s="207"/>
      <c r="I2139" s="207"/>
      <c r="J2139" s="207"/>
      <c r="K2139" s="207"/>
      <c r="L2139" s="207"/>
      <c r="M2139" s="207"/>
      <c r="N2139" s="207"/>
      <c r="O2139" s="207"/>
      <c r="P2139" s="207"/>
      <c r="Q2139" s="207"/>
      <c r="R2139" s="207"/>
      <c r="S2139" s="207"/>
      <c r="T2139" s="207"/>
      <c r="U2139" s="207"/>
      <c r="V2139" s="207"/>
      <c r="W2139" s="207"/>
      <c r="X2139" s="207"/>
      <c r="Y2139" s="207"/>
      <c r="Z2139" s="207"/>
      <c r="AA2139" s="207"/>
      <c r="AB2139" s="207"/>
      <c r="AC2139" s="207"/>
      <c r="AD2139" s="207"/>
      <c r="AE2139" s="207"/>
      <c r="AF2139" s="207"/>
    </row>
    <row r="2140" spans="2:32" ht="15" customHeight="1" x14ac:dyDescent="0.75">
      <c r="B2140" s="293"/>
      <c r="C2140" s="293"/>
      <c r="D2140" s="293"/>
      <c r="E2140" s="293"/>
      <c r="F2140" s="293"/>
      <c r="G2140" s="293"/>
      <c r="H2140" s="293"/>
      <c r="I2140" s="293"/>
      <c r="J2140" s="293"/>
      <c r="K2140" s="293"/>
      <c r="L2140" s="293"/>
      <c r="M2140" s="293"/>
      <c r="N2140" s="293"/>
      <c r="O2140" s="293"/>
      <c r="P2140" s="293"/>
      <c r="Q2140" s="293"/>
      <c r="R2140" s="293"/>
      <c r="S2140" s="293"/>
      <c r="T2140" s="293"/>
      <c r="U2140" s="293"/>
      <c r="V2140" s="293"/>
      <c r="W2140" s="293"/>
      <c r="X2140" s="293"/>
      <c r="Y2140" s="293"/>
      <c r="Z2140" s="293"/>
      <c r="AA2140" s="293"/>
      <c r="AB2140" s="293"/>
      <c r="AC2140" s="293"/>
      <c r="AD2140" s="293"/>
      <c r="AE2140" s="293"/>
      <c r="AF2140" s="293"/>
    </row>
    <row r="2144" spans="2:32" ht="15" customHeight="1" x14ac:dyDescent="0.75">
      <c r="B2144" s="207"/>
      <c r="C2144" s="207"/>
      <c r="D2144" s="207"/>
      <c r="E2144" s="207"/>
      <c r="F2144" s="207"/>
      <c r="G2144" s="207"/>
      <c r="H2144" s="207"/>
      <c r="I2144" s="207"/>
      <c r="J2144" s="207"/>
      <c r="K2144" s="207"/>
      <c r="L2144" s="207"/>
      <c r="M2144" s="207"/>
      <c r="N2144" s="207"/>
      <c r="O2144" s="207"/>
      <c r="P2144" s="207"/>
      <c r="Q2144" s="207"/>
      <c r="R2144" s="207"/>
      <c r="S2144" s="207"/>
      <c r="T2144" s="207"/>
      <c r="U2144" s="207"/>
      <c r="V2144" s="207"/>
      <c r="W2144" s="207"/>
      <c r="X2144" s="207"/>
      <c r="Y2144" s="207"/>
      <c r="Z2144" s="207"/>
      <c r="AA2144" s="207"/>
      <c r="AB2144" s="207"/>
      <c r="AC2144" s="207"/>
      <c r="AD2144" s="207"/>
      <c r="AE2144" s="207"/>
      <c r="AF2144" s="207"/>
    </row>
    <row r="2230" spans="2:32" ht="15" customHeight="1" x14ac:dyDescent="0.75">
      <c r="B2230" s="207"/>
      <c r="C2230" s="207"/>
      <c r="D2230" s="207"/>
      <c r="E2230" s="207"/>
      <c r="F2230" s="207"/>
      <c r="G2230" s="207"/>
      <c r="H2230" s="207"/>
      <c r="I2230" s="207"/>
      <c r="J2230" s="207"/>
      <c r="K2230" s="207"/>
      <c r="L2230" s="207"/>
      <c r="M2230" s="207"/>
      <c r="N2230" s="207"/>
      <c r="O2230" s="207"/>
      <c r="P2230" s="207"/>
      <c r="Q2230" s="207"/>
      <c r="R2230" s="207"/>
      <c r="S2230" s="207"/>
      <c r="T2230" s="207"/>
      <c r="U2230" s="207"/>
      <c r="V2230" s="207"/>
      <c r="W2230" s="207"/>
      <c r="X2230" s="207"/>
      <c r="Y2230" s="207"/>
      <c r="Z2230" s="207"/>
      <c r="AA2230" s="207"/>
      <c r="AB2230" s="207"/>
      <c r="AC2230" s="207"/>
      <c r="AD2230" s="207"/>
      <c r="AE2230" s="207"/>
      <c r="AF2230" s="207"/>
    </row>
    <row r="2236" spans="2:32" ht="15" customHeight="1" x14ac:dyDescent="0.75">
      <c r="B2236" s="207"/>
      <c r="C2236" s="207"/>
      <c r="D2236" s="207"/>
      <c r="E2236" s="207"/>
      <c r="F2236" s="207"/>
      <c r="G2236" s="207"/>
      <c r="H2236" s="207"/>
      <c r="I2236" s="207"/>
      <c r="J2236" s="207"/>
      <c r="K2236" s="207"/>
      <c r="L2236" s="207"/>
      <c r="M2236" s="207"/>
      <c r="N2236" s="207"/>
      <c r="O2236" s="207"/>
      <c r="P2236" s="207"/>
      <c r="Q2236" s="207"/>
      <c r="R2236" s="207"/>
      <c r="S2236" s="207"/>
      <c r="T2236" s="207"/>
      <c r="U2236" s="207"/>
      <c r="V2236" s="207"/>
      <c r="W2236" s="207"/>
      <c r="X2236" s="207"/>
      <c r="Y2236" s="207"/>
      <c r="Z2236" s="207"/>
      <c r="AA2236" s="207"/>
      <c r="AB2236" s="207"/>
      <c r="AC2236" s="207"/>
      <c r="AD2236" s="207"/>
      <c r="AE2236" s="207"/>
      <c r="AF2236" s="207"/>
    </row>
    <row r="2239" spans="2:32" ht="15" customHeight="1" x14ac:dyDescent="0.75">
      <c r="B2239" s="207"/>
      <c r="C2239" s="207"/>
      <c r="D2239" s="207"/>
      <c r="E2239" s="207"/>
      <c r="F2239" s="207"/>
      <c r="G2239" s="207"/>
      <c r="H2239" s="207"/>
      <c r="I2239" s="207"/>
      <c r="J2239" s="207"/>
      <c r="K2239" s="207"/>
      <c r="L2239" s="207"/>
      <c r="M2239" s="207"/>
      <c r="N2239" s="207"/>
      <c r="O2239" s="207"/>
      <c r="P2239" s="207"/>
      <c r="Q2239" s="207"/>
      <c r="R2239" s="207"/>
      <c r="S2239" s="207"/>
      <c r="T2239" s="207"/>
      <c r="U2239" s="207"/>
      <c r="V2239" s="207"/>
      <c r="W2239" s="207"/>
      <c r="X2239" s="207"/>
      <c r="Y2239" s="207"/>
      <c r="Z2239" s="207"/>
      <c r="AA2239" s="207"/>
      <c r="AB2239" s="207"/>
      <c r="AC2239" s="207"/>
      <c r="AD2239" s="207"/>
      <c r="AE2239" s="207"/>
      <c r="AF2239" s="207"/>
    </row>
    <row r="2240" spans="2:32" ht="15" customHeight="1" x14ac:dyDescent="0.75">
      <c r="B2240" s="293"/>
      <c r="C2240" s="293"/>
      <c r="D2240" s="293"/>
      <c r="E2240" s="293"/>
      <c r="F2240" s="293"/>
      <c r="G2240" s="293"/>
      <c r="H2240" s="293"/>
      <c r="I2240" s="293"/>
      <c r="J2240" s="293"/>
      <c r="K2240" s="293"/>
      <c r="L2240" s="293"/>
      <c r="M2240" s="293"/>
      <c r="N2240" s="293"/>
      <c r="O2240" s="293"/>
      <c r="P2240" s="293"/>
      <c r="Q2240" s="293"/>
      <c r="R2240" s="293"/>
      <c r="S2240" s="293"/>
      <c r="T2240" s="293"/>
      <c r="U2240" s="293"/>
      <c r="V2240" s="293"/>
      <c r="W2240" s="293"/>
      <c r="X2240" s="293"/>
      <c r="Y2240" s="293"/>
      <c r="Z2240" s="293"/>
      <c r="AA2240" s="293"/>
      <c r="AB2240" s="293"/>
      <c r="AC2240" s="293"/>
      <c r="AD2240" s="293"/>
      <c r="AE2240" s="293"/>
      <c r="AF2240" s="293"/>
    </row>
    <row r="2339" spans="2:32" ht="15" customHeight="1" x14ac:dyDescent="0.75">
      <c r="B2339" s="207"/>
      <c r="C2339" s="207"/>
      <c r="D2339" s="207"/>
      <c r="E2339" s="207"/>
      <c r="F2339" s="207"/>
      <c r="G2339" s="207"/>
      <c r="H2339" s="207"/>
      <c r="I2339" s="207"/>
      <c r="J2339" s="207"/>
      <c r="K2339" s="207"/>
      <c r="L2339" s="207"/>
      <c r="M2339" s="207"/>
      <c r="N2339" s="207"/>
      <c r="O2339" s="207"/>
      <c r="P2339" s="207"/>
      <c r="Q2339" s="207"/>
      <c r="R2339" s="207"/>
      <c r="S2339" s="207"/>
      <c r="T2339" s="207"/>
      <c r="U2339" s="207"/>
      <c r="V2339" s="207"/>
      <c r="W2339" s="207"/>
      <c r="X2339" s="207"/>
      <c r="Y2339" s="207"/>
      <c r="Z2339" s="207"/>
      <c r="AA2339" s="207"/>
      <c r="AB2339" s="207"/>
      <c r="AC2339" s="207"/>
      <c r="AD2339" s="207"/>
      <c r="AE2339" s="207"/>
      <c r="AF2339" s="207"/>
    </row>
    <row r="2340" spans="2:32" ht="15" customHeight="1" x14ac:dyDescent="0.75">
      <c r="B2340" s="293"/>
      <c r="C2340" s="293"/>
      <c r="D2340" s="293"/>
      <c r="E2340" s="293"/>
      <c r="F2340" s="293"/>
      <c r="G2340" s="293"/>
      <c r="H2340" s="293"/>
      <c r="I2340" s="293"/>
      <c r="J2340" s="293"/>
      <c r="K2340" s="293"/>
      <c r="L2340" s="293"/>
      <c r="M2340" s="293"/>
      <c r="N2340" s="293"/>
      <c r="O2340" s="293"/>
      <c r="P2340" s="293"/>
      <c r="Q2340" s="293"/>
      <c r="R2340" s="293"/>
      <c r="S2340" s="293"/>
      <c r="T2340" s="293"/>
      <c r="U2340" s="293"/>
      <c r="V2340" s="293"/>
      <c r="W2340" s="293"/>
      <c r="X2340" s="293"/>
      <c r="Y2340" s="293"/>
      <c r="Z2340" s="293"/>
      <c r="AA2340" s="293"/>
      <c r="AB2340" s="293"/>
      <c r="AC2340" s="293"/>
      <c r="AD2340" s="293"/>
      <c r="AE2340" s="293"/>
      <c r="AF2340" s="293"/>
    </row>
    <row r="2440" spans="2:34" ht="15" customHeight="1" x14ac:dyDescent="0.75">
      <c r="B2440" s="296"/>
      <c r="C2440" s="296"/>
      <c r="D2440" s="296"/>
      <c r="E2440" s="296"/>
      <c r="F2440" s="296"/>
      <c r="G2440" s="296"/>
      <c r="H2440" s="296"/>
      <c r="I2440" s="296"/>
      <c r="J2440" s="296"/>
      <c r="K2440" s="296"/>
      <c r="L2440" s="296"/>
      <c r="M2440" s="296"/>
      <c r="N2440" s="296"/>
      <c r="O2440" s="296"/>
      <c r="P2440" s="296"/>
      <c r="Q2440" s="296"/>
      <c r="R2440" s="296"/>
      <c r="S2440" s="296"/>
      <c r="T2440" s="296"/>
      <c r="U2440" s="296"/>
      <c r="V2440" s="296"/>
      <c r="W2440" s="296"/>
      <c r="X2440" s="296"/>
      <c r="Y2440" s="296"/>
      <c r="Z2440" s="296"/>
      <c r="AA2440" s="296"/>
      <c r="AB2440" s="296"/>
      <c r="AC2440" s="296"/>
      <c r="AD2440" s="296"/>
      <c r="AE2440" s="296"/>
      <c r="AF2440" s="296"/>
      <c r="AG2440" s="296"/>
      <c r="AH2440" s="296"/>
    </row>
    <row r="2540" spans="2:34" ht="15" customHeight="1" x14ac:dyDescent="0.75">
      <c r="B2540" s="296"/>
      <c r="C2540" s="296"/>
      <c r="D2540" s="296"/>
      <c r="E2540" s="296"/>
      <c r="F2540" s="296"/>
      <c r="G2540" s="296"/>
      <c r="H2540" s="296"/>
      <c r="I2540" s="296"/>
      <c r="J2540" s="296"/>
      <c r="K2540" s="296"/>
      <c r="L2540" s="296"/>
      <c r="M2540" s="296"/>
      <c r="N2540" s="296"/>
      <c r="O2540" s="296"/>
      <c r="P2540" s="296"/>
      <c r="Q2540" s="296"/>
      <c r="R2540" s="296"/>
      <c r="S2540" s="296"/>
      <c r="T2540" s="296"/>
      <c r="U2540" s="296"/>
      <c r="V2540" s="296"/>
      <c r="W2540" s="296"/>
      <c r="X2540" s="296"/>
      <c r="Y2540" s="296"/>
      <c r="Z2540" s="296"/>
      <c r="AA2540" s="296"/>
      <c r="AB2540" s="296"/>
      <c r="AC2540" s="296"/>
      <c r="AD2540" s="296"/>
      <c r="AE2540" s="296"/>
      <c r="AF2540" s="296"/>
      <c r="AG2540" s="296"/>
      <c r="AH2540" s="296"/>
    </row>
  </sheetData>
  <mergeCells count="24">
    <mergeCell ref="B80:AG80"/>
    <mergeCell ref="B88:AF88"/>
    <mergeCell ref="B213:AF213"/>
    <mergeCell ref="B379:AF379"/>
    <mergeCell ref="B496:AF496"/>
    <mergeCell ref="B648:AF648"/>
    <mergeCell ref="B748:AF748"/>
    <mergeCell ref="B839:AF839"/>
    <mergeCell ref="B910:AF910"/>
    <mergeCell ref="B1005:AF1005"/>
    <mergeCell ref="B1422:AF1422"/>
    <mergeCell ref="B1155:AF1155"/>
    <mergeCell ref="B1327:AF1327"/>
    <mergeCell ref="B2540:AH2540"/>
    <mergeCell ref="B2440:AH2440"/>
    <mergeCell ref="B2140:AF2140"/>
    <mergeCell ref="B2240:AF2240"/>
    <mergeCell ref="B2340:AF2340"/>
    <mergeCell ref="B2040:AF2040"/>
    <mergeCell ref="B1540:AF1540"/>
    <mergeCell ref="B1640:AF1640"/>
    <mergeCell ref="B1740:AF1740"/>
    <mergeCell ref="B1840:AF1840"/>
    <mergeCell ref="B1940:AF1940"/>
  </mergeCells>
  <pageMargins left="0.75" right="0.75" top="1" bottom="1"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4DF60-FD5A-4C54-9EDD-339542AD61AC}">
  <dimension ref="A1:AJ43"/>
  <sheetViews>
    <sheetView workbookViewId="0">
      <selection sqref="A1:XFD1048576"/>
    </sheetView>
  </sheetViews>
  <sheetFormatPr defaultColWidth="8.86328125" defaultRowHeight="14.75" x14ac:dyDescent="0.75"/>
  <sheetData>
    <row r="1" spans="1:35" x14ac:dyDescent="0.75">
      <c r="A1" t="s">
        <v>457</v>
      </c>
    </row>
    <row r="2" spans="1:35" x14ac:dyDescent="0.75">
      <c r="A2" t="s">
        <v>458</v>
      </c>
    </row>
    <row r="3" spans="1:35" x14ac:dyDescent="0.75">
      <c r="A3" t="s">
        <v>459</v>
      </c>
    </row>
    <row r="4" spans="1:35" x14ac:dyDescent="0.75">
      <c r="A4" t="s">
        <v>460</v>
      </c>
    </row>
    <row r="5" spans="1:35" x14ac:dyDescent="0.75">
      <c r="B5" t="s">
        <v>461</v>
      </c>
      <c r="C5" t="s">
        <v>462</v>
      </c>
      <c r="D5" t="s">
        <v>463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464</v>
      </c>
    </row>
    <row r="8" spans="1:35" x14ac:dyDescent="0.75">
      <c r="A8" t="s">
        <v>169</v>
      </c>
    </row>
    <row r="9" spans="1:35" x14ac:dyDescent="0.75">
      <c r="A9" t="s">
        <v>465</v>
      </c>
    </row>
    <row r="10" spans="1:35" x14ac:dyDescent="0.75">
      <c r="A10" t="s">
        <v>466</v>
      </c>
      <c r="B10" t="s">
        <v>467</v>
      </c>
      <c r="C10" t="s">
        <v>468</v>
      </c>
      <c r="D10" t="s">
        <v>469</v>
      </c>
      <c r="F10">
        <v>11.391961</v>
      </c>
      <c r="G10">
        <v>11.911623000000001</v>
      </c>
      <c r="H10">
        <v>12.286136000000001</v>
      </c>
      <c r="I10">
        <v>12.405836000000001</v>
      </c>
      <c r="J10">
        <v>12.564268</v>
      </c>
      <c r="K10">
        <v>12.638444</v>
      </c>
      <c r="L10">
        <v>12.756741999999999</v>
      </c>
      <c r="M10">
        <v>12.72641</v>
      </c>
      <c r="N10">
        <v>12.711926999999999</v>
      </c>
      <c r="O10">
        <v>12.640687</v>
      </c>
      <c r="P10">
        <v>12.643459</v>
      </c>
      <c r="Q10">
        <v>12.650594</v>
      </c>
      <c r="R10">
        <v>12.649630999999999</v>
      </c>
      <c r="S10">
        <v>12.664894</v>
      </c>
      <c r="T10">
        <v>12.608809000000001</v>
      </c>
      <c r="U10">
        <v>12.553323000000001</v>
      </c>
      <c r="V10">
        <v>12.463748000000001</v>
      </c>
      <c r="W10">
        <v>12.381916</v>
      </c>
      <c r="X10">
        <v>12.31338</v>
      </c>
      <c r="Y10">
        <v>12.207516</v>
      </c>
      <c r="Z10">
        <v>12.241076</v>
      </c>
      <c r="AA10">
        <v>12.313478999999999</v>
      </c>
      <c r="AB10">
        <v>12.393143</v>
      </c>
      <c r="AC10">
        <v>12.397959999999999</v>
      </c>
      <c r="AD10">
        <v>12.389208</v>
      </c>
      <c r="AE10">
        <v>12.286963</v>
      </c>
      <c r="AF10">
        <v>12.299671999999999</v>
      </c>
      <c r="AG10">
        <v>12.441811</v>
      </c>
      <c r="AH10">
        <v>12.510002</v>
      </c>
      <c r="AI10" s="98">
        <v>3.0000000000000001E-3</v>
      </c>
    </row>
    <row r="11" spans="1:35" x14ac:dyDescent="0.75">
      <c r="A11" t="s">
        <v>470</v>
      </c>
      <c r="B11" t="s">
        <v>471</v>
      </c>
      <c r="C11" t="s">
        <v>472</v>
      </c>
      <c r="D11" t="s">
        <v>469</v>
      </c>
      <c r="F11">
        <v>9.5885540000000002</v>
      </c>
      <c r="G11">
        <v>10.055934000000001</v>
      </c>
      <c r="H11">
        <v>10.358483</v>
      </c>
      <c r="I11">
        <v>10.399044</v>
      </c>
      <c r="J11">
        <v>10.477204</v>
      </c>
      <c r="K11">
        <v>10.4938</v>
      </c>
      <c r="L11">
        <v>10.500588</v>
      </c>
      <c r="M11">
        <v>10.464238</v>
      </c>
      <c r="N11">
        <v>10.505914000000001</v>
      </c>
      <c r="O11">
        <v>10.499349</v>
      </c>
      <c r="P11">
        <v>10.566034999999999</v>
      </c>
      <c r="Q11">
        <v>10.619910000000001</v>
      </c>
      <c r="R11">
        <v>10.638350000000001</v>
      </c>
      <c r="S11">
        <v>10.668874000000001</v>
      </c>
      <c r="T11">
        <v>10.704992000000001</v>
      </c>
      <c r="U11">
        <v>10.735191</v>
      </c>
      <c r="V11">
        <v>10.759776</v>
      </c>
      <c r="W11">
        <v>10.788214</v>
      </c>
      <c r="X11">
        <v>10.798835</v>
      </c>
      <c r="Y11">
        <v>10.850989</v>
      </c>
      <c r="Z11">
        <v>10.894672999999999</v>
      </c>
      <c r="AA11">
        <v>10.890307999999999</v>
      </c>
      <c r="AB11">
        <v>10.938000000000001</v>
      </c>
      <c r="AC11">
        <v>10.994806000000001</v>
      </c>
      <c r="AD11">
        <v>11.054777</v>
      </c>
      <c r="AE11">
        <v>11.106519</v>
      </c>
      <c r="AF11">
        <v>11.092962999999999</v>
      </c>
      <c r="AG11">
        <v>11.133082</v>
      </c>
      <c r="AH11">
        <v>11.17417</v>
      </c>
      <c r="AI11" s="98">
        <v>5.0000000000000001E-3</v>
      </c>
    </row>
    <row r="12" spans="1:35" x14ac:dyDescent="0.75">
      <c r="A12" t="s">
        <v>473</v>
      </c>
      <c r="B12" t="s">
        <v>474</v>
      </c>
      <c r="C12" t="s">
        <v>475</v>
      </c>
      <c r="D12" t="s">
        <v>469</v>
      </c>
      <c r="F12">
        <v>0.17188800000000001</v>
      </c>
      <c r="G12">
        <v>0.22576399999999999</v>
      </c>
      <c r="H12">
        <v>0.242261</v>
      </c>
      <c r="I12">
        <v>0.25711800000000001</v>
      </c>
      <c r="J12">
        <v>0.26454800000000001</v>
      </c>
      <c r="K12">
        <v>0.26898100000000003</v>
      </c>
      <c r="L12">
        <v>0.27247700000000002</v>
      </c>
      <c r="M12">
        <v>0.27371699999999999</v>
      </c>
      <c r="N12">
        <v>0.27545199999999997</v>
      </c>
      <c r="O12">
        <v>0.27702199999999999</v>
      </c>
      <c r="P12">
        <v>0.279275</v>
      </c>
      <c r="Q12">
        <v>0.27875299999999997</v>
      </c>
      <c r="R12">
        <v>0.278364</v>
      </c>
      <c r="S12">
        <v>0.27689000000000002</v>
      </c>
      <c r="T12">
        <v>0.275561</v>
      </c>
      <c r="U12">
        <v>0.27396799999999999</v>
      </c>
      <c r="V12">
        <v>0.271229</v>
      </c>
      <c r="W12">
        <v>0.26994099999999999</v>
      </c>
      <c r="X12">
        <v>0.26982600000000001</v>
      </c>
      <c r="Y12">
        <v>0.26937499999999998</v>
      </c>
      <c r="Z12">
        <v>0.271509</v>
      </c>
      <c r="AA12">
        <v>0.27307199999999998</v>
      </c>
      <c r="AB12">
        <v>0.28427999999999998</v>
      </c>
      <c r="AC12">
        <v>0.28966599999999998</v>
      </c>
      <c r="AD12">
        <v>0.29224800000000001</v>
      </c>
      <c r="AE12">
        <v>0.29572799999999999</v>
      </c>
      <c r="AF12">
        <v>0.29759000000000002</v>
      </c>
      <c r="AG12">
        <v>0.29797699999999999</v>
      </c>
      <c r="AH12">
        <v>0.29855100000000001</v>
      </c>
      <c r="AI12" s="98">
        <v>0.02</v>
      </c>
    </row>
    <row r="13" spans="1:35" x14ac:dyDescent="0.75">
      <c r="A13" t="s">
        <v>476</v>
      </c>
      <c r="B13" t="s">
        <v>477</v>
      </c>
      <c r="C13" t="s">
        <v>478</v>
      </c>
      <c r="D13" t="s">
        <v>469</v>
      </c>
      <c r="F13">
        <v>1.383148</v>
      </c>
      <c r="G13">
        <v>1.3939710000000001</v>
      </c>
      <c r="H13">
        <v>1.4910829999999999</v>
      </c>
      <c r="I13">
        <v>1.4972380000000001</v>
      </c>
      <c r="J13">
        <v>1.510162</v>
      </c>
      <c r="K13">
        <v>1.5066600000000001</v>
      </c>
      <c r="L13">
        <v>1.4981640000000001</v>
      </c>
      <c r="M13">
        <v>1.486872</v>
      </c>
      <c r="N13">
        <v>1.483546</v>
      </c>
      <c r="O13">
        <v>1.477908</v>
      </c>
      <c r="P13">
        <v>1.475312</v>
      </c>
      <c r="Q13">
        <v>1.480861</v>
      </c>
      <c r="R13">
        <v>1.4801340000000001</v>
      </c>
      <c r="S13">
        <v>1.489117</v>
      </c>
      <c r="T13">
        <v>1.508624</v>
      </c>
      <c r="U13">
        <v>1.520391</v>
      </c>
      <c r="V13">
        <v>1.5281750000000001</v>
      </c>
      <c r="W13">
        <v>1.5370550000000001</v>
      </c>
      <c r="X13">
        <v>1.546359</v>
      </c>
      <c r="Y13">
        <v>1.552486</v>
      </c>
      <c r="Z13">
        <v>1.5626739999999999</v>
      </c>
      <c r="AA13">
        <v>1.57283</v>
      </c>
      <c r="AB13">
        <v>1.578892</v>
      </c>
      <c r="AC13">
        <v>1.5883229999999999</v>
      </c>
      <c r="AD13">
        <v>1.60924</v>
      </c>
      <c r="AE13">
        <v>1.6261810000000001</v>
      </c>
      <c r="AF13">
        <v>1.64815</v>
      </c>
      <c r="AG13">
        <v>1.6753830000000001</v>
      </c>
      <c r="AH13">
        <v>1.6977990000000001</v>
      </c>
      <c r="AI13" s="98">
        <v>7.0000000000000001E-3</v>
      </c>
    </row>
    <row r="14" spans="1:35" x14ac:dyDescent="0.75">
      <c r="A14" t="s">
        <v>479</v>
      </c>
      <c r="B14" t="s">
        <v>480</v>
      </c>
      <c r="C14" t="s">
        <v>481</v>
      </c>
      <c r="D14" t="s">
        <v>469</v>
      </c>
      <c r="F14">
        <v>0.52672200000000002</v>
      </c>
      <c r="G14">
        <v>0.51117100000000004</v>
      </c>
      <c r="H14">
        <v>0.41799599999999998</v>
      </c>
      <c r="I14">
        <v>0.43217699999999998</v>
      </c>
      <c r="J14">
        <v>0.439193</v>
      </c>
      <c r="K14">
        <v>0.44259599999999999</v>
      </c>
      <c r="L14">
        <v>0.44938600000000001</v>
      </c>
      <c r="M14">
        <v>0.45603500000000002</v>
      </c>
      <c r="N14">
        <v>0.474379</v>
      </c>
      <c r="O14">
        <v>0.48058200000000001</v>
      </c>
      <c r="P14">
        <v>0.48591699999999999</v>
      </c>
      <c r="Q14">
        <v>0.49399599999999999</v>
      </c>
      <c r="R14">
        <v>0.50722100000000003</v>
      </c>
      <c r="S14">
        <v>0.52530699999999997</v>
      </c>
      <c r="T14">
        <v>0.53810599999999997</v>
      </c>
      <c r="U14">
        <v>0.54498899999999995</v>
      </c>
      <c r="V14">
        <v>0.55918699999999999</v>
      </c>
      <c r="W14">
        <v>0.57356200000000002</v>
      </c>
      <c r="X14">
        <v>0.593468</v>
      </c>
      <c r="Y14">
        <v>0.60889099999999996</v>
      </c>
      <c r="Z14">
        <v>0.61158699999999999</v>
      </c>
      <c r="AA14">
        <v>0.609151</v>
      </c>
      <c r="AB14">
        <v>0.59970599999999996</v>
      </c>
      <c r="AC14">
        <v>0.59114599999999995</v>
      </c>
      <c r="AD14">
        <v>0.57980799999999999</v>
      </c>
      <c r="AE14">
        <v>0.56974899999999995</v>
      </c>
      <c r="AF14">
        <v>0.55709399999999998</v>
      </c>
      <c r="AG14">
        <v>0.54962100000000003</v>
      </c>
      <c r="AH14">
        <v>0.53740699999999997</v>
      </c>
      <c r="AI14" s="98">
        <v>1E-3</v>
      </c>
    </row>
    <row r="15" spans="1:35" x14ac:dyDescent="0.75">
      <c r="A15" t="s">
        <v>482</v>
      </c>
      <c r="B15" t="s">
        <v>483</v>
      </c>
      <c r="C15" t="s">
        <v>484</v>
      </c>
      <c r="D15" t="s">
        <v>469</v>
      </c>
      <c r="F15">
        <v>5.3044130000000003</v>
      </c>
      <c r="G15">
        <v>5.6627210000000003</v>
      </c>
      <c r="H15">
        <v>5.683052</v>
      </c>
      <c r="I15">
        <v>5.6803299999999997</v>
      </c>
      <c r="J15">
        <v>5.6571629999999997</v>
      </c>
      <c r="K15">
        <v>5.6255199999999999</v>
      </c>
      <c r="L15">
        <v>5.596425</v>
      </c>
      <c r="M15">
        <v>5.5502320000000003</v>
      </c>
      <c r="N15">
        <v>5.5339359999999997</v>
      </c>
      <c r="O15">
        <v>5.5129479999999997</v>
      </c>
      <c r="P15">
        <v>5.4842019999999998</v>
      </c>
      <c r="Q15">
        <v>5.4770469999999998</v>
      </c>
      <c r="R15">
        <v>5.4611499999999999</v>
      </c>
      <c r="S15">
        <v>5.4234520000000002</v>
      </c>
      <c r="T15">
        <v>5.4030230000000001</v>
      </c>
      <c r="U15">
        <v>5.4030680000000002</v>
      </c>
      <c r="V15">
        <v>5.4030189999999996</v>
      </c>
      <c r="W15">
        <v>5.3940190000000001</v>
      </c>
      <c r="X15">
        <v>5.3706870000000002</v>
      </c>
      <c r="Y15">
        <v>5.3890719999999996</v>
      </c>
      <c r="Z15">
        <v>5.4129009999999997</v>
      </c>
      <c r="AA15">
        <v>5.4207580000000002</v>
      </c>
      <c r="AB15">
        <v>5.4398350000000004</v>
      </c>
      <c r="AC15">
        <v>5.4736710000000004</v>
      </c>
      <c r="AD15">
        <v>5.4990670000000001</v>
      </c>
      <c r="AE15">
        <v>5.5072679999999998</v>
      </c>
      <c r="AF15">
        <v>5.4959340000000001</v>
      </c>
      <c r="AG15">
        <v>5.510453</v>
      </c>
      <c r="AH15">
        <v>5.5125590000000004</v>
      </c>
      <c r="AI15" s="98">
        <v>1E-3</v>
      </c>
    </row>
    <row r="16" spans="1:35" x14ac:dyDescent="0.75">
      <c r="A16" t="s">
        <v>485</v>
      </c>
      <c r="B16" t="s">
        <v>486</v>
      </c>
      <c r="C16" t="s">
        <v>487</v>
      </c>
      <c r="D16" t="s">
        <v>469</v>
      </c>
      <c r="F16">
        <v>0.79108800000000001</v>
      </c>
      <c r="G16">
        <v>0.82060500000000003</v>
      </c>
      <c r="H16">
        <v>0.901864</v>
      </c>
      <c r="I16">
        <v>0.91389799999999999</v>
      </c>
      <c r="J16">
        <v>0.94774199999999997</v>
      </c>
      <c r="K16">
        <v>0.95677999999999996</v>
      </c>
      <c r="L16">
        <v>0.95888899999999999</v>
      </c>
      <c r="M16">
        <v>0.96229399999999998</v>
      </c>
      <c r="N16">
        <v>0.96433500000000005</v>
      </c>
      <c r="O16">
        <v>0.96512699999999996</v>
      </c>
      <c r="P16">
        <v>1.0055400000000001</v>
      </c>
      <c r="Q16">
        <v>1.0246599999999999</v>
      </c>
      <c r="R16">
        <v>1.0344530000000001</v>
      </c>
      <c r="S16">
        <v>1.0449820000000001</v>
      </c>
      <c r="T16">
        <v>1.0544480000000001</v>
      </c>
      <c r="U16">
        <v>1.0661940000000001</v>
      </c>
      <c r="V16">
        <v>1.0766880000000001</v>
      </c>
      <c r="W16">
        <v>1.093658</v>
      </c>
      <c r="X16">
        <v>1.1022970000000001</v>
      </c>
      <c r="Y16">
        <v>1.1076900000000001</v>
      </c>
      <c r="Z16">
        <v>1.1064160000000001</v>
      </c>
      <c r="AA16">
        <v>1.109191</v>
      </c>
      <c r="AB16">
        <v>1.14141</v>
      </c>
      <c r="AC16">
        <v>1.152717</v>
      </c>
      <c r="AD16">
        <v>1.1558200000000001</v>
      </c>
      <c r="AE16">
        <v>1.1608830000000001</v>
      </c>
      <c r="AF16">
        <v>1.1644909999999999</v>
      </c>
      <c r="AG16">
        <v>1.169268</v>
      </c>
      <c r="AH16">
        <v>1.175559</v>
      </c>
      <c r="AI16" s="98">
        <v>1.4E-2</v>
      </c>
    </row>
    <row r="17" spans="1:36" x14ac:dyDescent="0.75">
      <c r="A17" t="s">
        <v>488</v>
      </c>
      <c r="B17" t="s">
        <v>489</v>
      </c>
      <c r="C17" t="s">
        <v>490</v>
      </c>
      <c r="D17" t="s">
        <v>469</v>
      </c>
      <c r="F17">
        <v>1.1107400000000001</v>
      </c>
      <c r="G17">
        <v>1.1749799999999999</v>
      </c>
      <c r="H17">
        <v>1.346333</v>
      </c>
      <c r="I17">
        <v>1.3446689999999999</v>
      </c>
      <c r="J17">
        <v>1.383713</v>
      </c>
      <c r="K17">
        <v>1.41899</v>
      </c>
      <c r="L17">
        <v>1.4511179999999999</v>
      </c>
      <c r="M17">
        <v>1.462647</v>
      </c>
      <c r="N17">
        <v>1.503288</v>
      </c>
      <c r="O17">
        <v>1.516634</v>
      </c>
      <c r="P17">
        <v>1.567483</v>
      </c>
      <c r="Q17">
        <v>1.601777</v>
      </c>
      <c r="R17">
        <v>1.6215310000000001</v>
      </c>
      <c r="S17">
        <v>1.6656820000000001</v>
      </c>
      <c r="T17">
        <v>1.6944129999999999</v>
      </c>
      <c r="U17">
        <v>1.707527</v>
      </c>
      <c r="V17">
        <v>1.7144219999999999</v>
      </c>
      <c r="W17">
        <v>1.7225600000000001</v>
      </c>
      <c r="X17">
        <v>1.728105</v>
      </c>
      <c r="Y17">
        <v>1.7445600000000001</v>
      </c>
      <c r="Z17">
        <v>1.7608250000000001</v>
      </c>
      <c r="AA17">
        <v>1.745668</v>
      </c>
      <c r="AB17">
        <v>1.7411620000000001</v>
      </c>
      <c r="AC17">
        <v>1.752758</v>
      </c>
      <c r="AD17">
        <v>1.775987</v>
      </c>
      <c r="AE17">
        <v>1.807755</v>
      </c>
      <c r="AF17">
        <v>1.7942469999999999</v>
      </c>
      <c r="AG17">
        <v>1.799285</v>
      </c>
      <c r="AH17">
        <v>1.824435</v>
      </c>
      <c r="AI17" s="98">
        <v>1.7999999999999999E-2</v>
      </c>
    </row>
    <row r="18" spans="1:36" x14ac:dyDescent="0.75">
      <c r="A18" t="s">
        <v>491</v>
      </c>
      <c r="B18" t="s">
        <v>492</v>
      </c>
      <c r="C18" t="s">
        <v>493</v>
      </c>
      <c r="D18" t="s">
        <v>469</v>
      </c>
      <c r="F18">
        <v>0.30055300000000001</v>
      </c>
      <c r="G18">
        <v>0.26672299999999999</v>
      </c>
      <c r="H18">
        <v>0.275893</v>
      </c>
      <c r="I18">
        <v>0.27361600000000003</v>
      </c>
      <c r="J18">
        <v>0.27468300000000001</v>
      </c>
      <c r="K18">
        <v>0.27427400000000002</v>
      </c>
      <c r="L18">
        <v>0.27412999999999998</v>
      </c>
      <c r="M18">
        <v>0.27244099999999999</v>
      </c>
      <c r="N18">
        <v>0.27097900000000003</v>
      </c>
      <c r="O18">
        <v>0.26912799999999998</v>
      </c>
      <c r="P18">
        <v>0.26830599999999999</v>
      </c>
      <c r="Q18">
        <v>0.26281599999999999</v>
      </c>
      <c r="R18">
        <v>0.255498</v>
      </c>
      <c r="S18">
        <v>0.24344299999999999</v>
      </c>
      <c r="T18">
        <v>0.23081699999999999</v>
      </c>
      <c r="U18">
        <v>0.219053</v>
      </c>
      <c r="V18">
        <v>0.20705599999999999</v>
      </c>
      <c r="W18">
        <v>0.19741900000000001</v>
      </c>
      <c r="X18">
        <v>0.18809200000000001</v>
      </c>
      <c r="Y18">
        <v>0.17891599999999999</v>
      </c>
      <c r="Z18">
        <v>0.16876099999999999</v>
      </c>
      <c r="AA18">
        <v>0.159638</v>
      </c>
      <c r="AB18">
        <v>0.15271599999999999</v>
      </c>
      <c r="AC18">
        <v>0.14652599999999999</v>
      </c>
      <c r="AD18">
        <v>0.14260700000000001</v>
      </c>
      <c r="AE18">
        <v>0.13895399999999999</v>
      </c>
      <c r="AF18">
        <v>0.135458</v>
      </c>
      <c r="AG18">
        <v>0.13109499999999999</v>
      </c>
      <c r="AH18">
        <v>0.12786</v>
      </c>
      <c r="AI18" s="98">
        <v>-0.03</v>
      </c>
    </row>
    <row r="19" spans="1:36" x14ac:dyDescent="0.75">
      <c r="A19" t="s">
        <v>494</v>
      </c>
      <c r="B19" t="s">
        <v>495</v>
      </c>
      <c r="C19" t="s">
        <v>496</v>
      </c>
      <c r="D19" t="s">
        <v>469</v>
      </c>
      <c r="F19">
        <v>1.803407</v>
      </c>
      <c r="G19">
        <v>1.855688</v>
      </c>
      <c r="H19">
        <v>1.9276530000000001</v>
      </c>
      <c r="I19">
        <v>2.006793</v>
      </c>
      <c r="J19">
        <v>2.0870639999999998</v>
      </c>
      <c r="K19">
        <v>2.144644</v>
      </c>
      <c r="L19">
        <v>2.2561529999999999</v>
      </c>
      <c r="M19">
        <v>2.2621720000000001</v>
      </c>
      <c r="N19">
        <v>2.206013</v>
      </c>
      <c r="O19">
        <v>2.1413380000000002</v>
      </c>
      <c r="P19">
        <v>2.0774240000000002</v>
      </c>
      <c r="Q19">
        <v>2.0306829999999998</v>
      </c>
      <c r="R19">
        <v>2.0112809999999999</v>
      </c>
      <c r="S19">
        <v>1.996021</v>
      </c>
      <c r="T19">
        <v>1.903816</v>
      </c>
      <c r="U19">
        <v>1.8181309999999999</v>
      </c>
      <c r="V19">
        <v>1.7039709999999999</v>
      </c>
      <c r="W19">
        <v>1.593702</v>
      </c>
      <c r="X19">
        <v>1.514545</v>
      </c>
      <c r="Y19">
        <v>1.3565259999999999</v>
      </c>
      <c r="Z19">
        <v>1.3464020000000001</v>
      </c>
      <c r="AA19">
        <v>1.4231720000000001</v>
      </c>
      <c r="AB19">
        <v>1.4551430000000001</v>
      </c>
      <c r="AC19">
        <v>1.403154</v>
      </c>
      <c r="AD19">
        <v>1.3344309999999999</v>
      </c>
      <c r="AE19">
        <v>1.180445</v>
      </c>
      <c r="AF19">
        <v>1.206709</v>
      </c>
      <c r="AG19">
        <v>1.3087279999999999</v>
      </c>
      <c r="AH19">
        <v>1.3358319999999999</v>
      </c>
      <c r="AI19" s="98">
        <v>-1.0999999999999999E-2</v>
      </c>
    </row>
    <row r="20" spans="1:36" x14ac:dyDescent="0.75">
      <c r="A20" t="s">
        <v>497</v>
      </c>
      <c r="B20" t="s">
        <v>498</v>
      </c>
      <c r="C20" t="s">
        <v>499</v>
      </c>
      <c r="D20" t="s">
        <v>469</v>
      </c>
      <c r="F20">
        <v>1.769407</v>
      </c>
      <c r="G20">
        <v>1.822009</v>
      </c>
      <c r="H20">
        <v>1.906318</v>
      </c>
      <c r="I20">
        <v>1.9873620000000001</v>
      </c>
      <c r="J20">
        <v>2.0692119999999998</v>
      </c>
      <c r="K20">
        <v>2.1281219999999998</v>
      </c>
      <c r="L20">
        <v>2.121645</v>
      </c>
      <c r="M20">
        <v>2.1076549999999998</v>
      </c>
      <c r="N20">
        <v>2.019549</v>
      </c>
      <c r="O20">
        <v>1.944442</v>
      </c>
      <c r="P20">
        <v>1.8774139999999999</v>
      </c>
      <c r="Q20">
        <v>1.8275060000000001</v>
      </c>
      <c r="R20">
        <v>1.8038860000000001</v>
      </c>
      <c r="S20">
        <v>1.7932889999999999</v>
      </c>
      <c r="T20">
        <v>1.7003440000000001</v>
      </c>
      <c r="U20">
        <v>1.623243</v>
      </c>
      <c r="V20">
        <v>1.5266059999999999</v>
      </c>
      <c r="W20">
        <v>1.4028970000000001</v>
      </c>
      <c r="X20">
        <v>1.327631</v>
      </c>
      <c r="Y20">
        <v>1.157386</v>
      </c>
      <c r="Z20">
        <v>1.1489990000000001</v>
      </c>
      <c r="AA20">
        <v>1.2343280000000001</v>
      </c>
      <c r="AB20">
        <v>1.257517</v>
      </c>
      <c r="AC20">
        <v>1.1857709999999999</v>
      </c>
      <c r="AD20">
        <v>1.123478</v>
      </c>
      <c r="AE20">
        <v>0.98335300000000003</v>
      </c>
      <c r="AF20">
        <v>0.91574800000000001</v>
      </c>
      <c r="AG20">
        <v>1.012054</v>
      </c>
      <c r="AH20">
        <v>1.0609869999999999</v>
      </c>
      <c r="AI20" s="98">
        <v>-1.7999999999999999E-2</v>
      </c>
    </row>
    <row r="21" spans="1:36" x14ac:dyDescent="0.75">
      <c r="A21" t="s">
        <v>500</v>
      </c>
      <c r="B21" t="s">
        <v>501</v>
      </c>
      <c r="C21" t="s">
        <v>502</v>
      </c>
      <c r="D21" t="s">
        <v>503</v>
      </c>
      <c r="E21" t="s">
        <v>469</v>
      </c>
      <c r="G21">
        <v>9.6970000000000008E-3</v>
      </c>
      <c r="H21">
        <v>8.3529999999999993E-3</v>
      </c>
      <c r="I21">
        <v>7.345E-3</v>
      </c>
      <c r="J21">
        <v>6.561E-3</v>
      </c>
      <c r="K21">
        <v>5.934E-3</v>
      </c>
      <c r="L21">
        <v>5.4209999999999996E-3</v>
      </c>
      <c r="M21">
        <v>4.993E-3</v>
      </c>
      <c r="N21">
        <v>4.6309999999999997E-3</v>
      </c>
      <c r="O21">
        <v>4.3210000000000002E-3</v>
      </c>
      <c r="P21">
        <v>4.052E-3</v>
      </c>
      <c r="Q21">
        <v>3.8170000000000001E-3</v>
      </c>
      <c r="R21">
        <v>3.6099999999999999E-3</v>
      </c>
      <c r="S21">
        <v>3.4250000000000001E-3</v>
      </c>
      <c r="T21">
        <v>3.2599999999999999E-3</v>
      </c>
      <c r="U21">
        <v>3.1120000000000002E-3</v>
      </c>
      <c r="V21">
        <v>2.977E-3</v>
      </c>
      <c r="W21">
        <v>2.8549999999999999E-3</v>
      </c>
      <c r="X21">
        <v>2.7439999999999999E-3</v>
      </c>
      <c r="Y21">
        <v>2.6410000000000001E-3</v>
      </c>
      <c r="Z21">
        <v>2.5469999999999998E-3</v>
      </c>
      <c r="AA21">
        <v>2.4599999999999999E-3</v>
      </c>
      <c r="AB21">
        <v>2.3800000000000002E-3</v>
      </c>
      <c r="AC21">
        <v>2.3050000000000002E-3</v>
      </c>
      <c r="AD21">
        <v>2.2360000000000001E-3</v>
      </c>
      <c r="AE21">
        <v>2.1710000000000002E-3</v>
      </c>
      <c r="AF21">
        <v>2.1099999999999999E-3</v>
      </c>
      <c r="AG21">
        <v>2.0530000000000001E-3</v>
      </c>
      <c r="AH21">
        <v>2E-3</v>
      </c>
      <c r="AI21">
        <v>1.9499999999999999E-3</v>
      </c>
      <c r="AJ21" s="98">
        <v>-5.6000000000000001E-2</v>
      </c>
    </row>
    <row r="22" spans="1:36" x14ac:dyDescent="0.75">
      <c r="A22" t="s">
        <v>504</v>
      </c>
      <c r="B22" t="s">
        <v>501</v>
      </c>
      <c r="C22" t="s">
        <v>505</v>
      </c>
      <c r="D22" t="s">
        <v>506</v>
      </c>
      <c r="E22" t="s">
        <v>469</v>
      </c>
      <c r="G22">
        <v>8.5136000000000003E-2</v>
      </c>
      <c r="H22">
        <v>7.9364000000000004E-2</v>
      </c>
      <c r="I22">
        <v>7.2545999999999999E-2</v>
      </c>
      <c r="J22">
        <v>6.4921000000000006E-2</v>
      </c>
      <c r="K22">
        <v>5.8893000000000001E-2</v>
      </c>
      <c r="L22">
        <v>5.3895999999999999E-2</v>
      </c>
      <c r="M22">
        <v>4.9768E-2</v>
      </c>
      <c r="N22">
        <v>4.6399999999999997E-2</v>
      </c>
      <c r="O22">
        <v>4.3549999999999998E-2</v>
      </c>
      <c r="P22">
        <v>4.1002999999999998E-2</v>
      </c>
      <c r="Q22">
        <v>3.8834E-2</v>
      </c>
      <c r="R22">
        <v>3.687E-2</v>
      </c>
      <c r="S22">
        <v>3.5071999999999999E-2</v>
      </c>
      <c r="T22">
        <v>3.8408999999999999E-2</v>
      </c>
      <c r="U22">
        <v>4.3032000000000001E-2</v>
      </c>
      <c r="V22">
        <v>4.1974999999999998E-2</v>
      </c>
      <c r="W22">
        <v>5.1547000000000003E-2</v>
      </c>
      <c r="X22">
        <v>5.5216000000000001E-2</v>
      </c>
      <c r="Y22">
        <v>5.4595999999999999E-2</v>
      </c>
      <c r="Z22">
        <v>5.3893999999999997E-2</v>
      </c>
      <c r="AA22">
        <v>5.5669999999999997E-2</v>
      </c>
      <c r="AB22">
        <v>5.7558999999999999E-2</v>
      </c>
      <c r="AC22">
        <v>5.6937000000000001E-2</v>
      </c>
      <c r="AD22">
        <v>6.5226000000000006E-2</v>
      </c>
      <c r="AE22">
        <v>6.9947999999999996E-2</v>
      </c>
      <c r="AF22">
        <v>6.9535E-2</v>
      </c>
      <c r="AG22">
        <v>7.2605000000000003E-2</v>
      </c>
      <c r="AH22">
        <v>7.1707000000000007E-2</v>
      </c>
      <c r="AI22">
        <v>7.2537000000000004E-2</v>
      </c>
      <c r="AJ22" s="98">
        <v>-6.0000000000000001E-3</v>
      </c>
    </row>
    <row r="23" spans="1:36" x14ac:dyDescent="0.75">
      <c r="A23" t="s">
        <v>507</v>
      </c>
      <c r="B23" t="s">
        <v>508</v>
      </c>
      <c r="C23" t="s">
        <v>509</v>
      </c>
      <c r="D23" t="s">
        <v>469</v>
      </c>
      <c r="F23">
        <v>1.674574</v>
      </c>
      <c r="G23">
        <v>1.7342919999999999</v>
      </c>
      <c r="H23">
        <v>1.826427</v>
      </c>
      <c r="I23">
        <v>1.9158809999999999</v>
      </c>
      <c r="J23">
        <v>2.0043850000000001</v>
      </c>
      <c r="K23">
        <v>2.0688049999999998</v>
      </c>
      <c r="L23">
        <v>2.0668839999999999</v>
      </c>
      <c r="M23">
        <v>2.0566239999999998</v>
      </c>
      <c r="N23">
        <v>1.971678</v>
      </c>
      <c r="O23">
        <v>1.8993869999999999</v>
      </c>
      <c r="P23">
        <v>1.834762</v>
      </c>
      <c r="Q23">
        <v>1.787026</v>
      </c>
      <c r="R23">
        <v>1.7653890000000001</v>
      </c>
      <c r="S23">
        <v>1.75162</v>
      </c>
      <c r="T23">
        <v>1.654201</v>
      </c>
      <c r="U23">
        <v>1.5782910000000001</v>
      </c>
      <c r="V23">
        <v>1.4722040000000001</v>
      </c>
      <c r="W23">
        <v>1.344937</v>
      </c>
      <c r="X23">
        <v>1.2703930000000001</v>
      </c>
      <c r="Y23">
        <v>1.1009439999999999</v>
      </c>
      <c r="Z23">
        <v>1.0908690000000001</v>
      </c>
      <c r="AA23">
        <v>1.1743889999999999</v>
      </c>
      <c r="AB23">
        <v>1.1982740000000001</v>
      </c>
      <c r="AC23">
        <v>1.118309</v>
      </c>
      <c r="AD23">
        <v>1.0513589999999999</v>
      </c>
      <c r="AE23">
        <v>0.91170799999999996</v>
      </c>
      <c r="AF23">
        <v>0.84109</v>
      </c>
      <c r="AG23">
        <v>0.93834700000000004</v>
      </c>
      <c r="AH23">
        <v>0.98650000000000004</v>
      </c>
      <c r="AI23" s="98">
        <v>-1.9E-2</v>
      </c>
    </row>
    <row r="24" spans="1:36" x14ac:dyDescent="0.75">
      <c r="A24" t="s">
        <v>510</v>
      </c>
      <c r="B24" t="s">
        <v>511</v>
      </c>
      <c r="C24" t="s">
        <v>512</v>
      </c>
      <c r="D24" t="s">
        <v>469</v>
      </c>
      <c r="F24">
        <v>3.4000000000000002E-2</v>
      </c>
      <c r="G24">
        <v>3.3680000000000002E-2</v>
      </c>
      <c r="H24">
        <v>2.1335E-2</v>
      </c>
      <c r="I24">
        <v>1.9429999999999999E-2</v>
      </c>
      <c r="J24">
        <v>1.7852E-2</v>
      </c>
      <c r="K24">
        <v>1.6522999999999999E-2</v>
      </c>
      <c r="L24">
        <v>0.13450799999999999</v>
      </c>
      <c r="M24">
        <v>0.15451799999999999</v>
      </c>
      <c r="N24">
        <v>0.18646399999999999</v>
      </c>
      <c r="O24">
        <v>0.19689599999999999</v>
      </c>
      <c r="P24">
        <v>0.20000999999999999</v>
      </c>
      <c r="Q24">
        <v>0.203177</v>
      </c>
      <c r="R24">
        <v>0.207395</v>
      </c>
      <c r="S24">
        <v>0.202732</v>
      </c>
      <c r="T24">
        <v>0.20347199999999999</v>
      </c>
      <c r="U24">
        <v>0.19488800000000001</v>
      </c>
      <c r="V24">
        <v>0.17736499999999999</v>
      </c>
      <c r="W24">
        <v>0.190805</v>
      </c>
      <c r="X24">
        <v>0.186914</v>
      </c>
      <c r="Y24">
        <v>0.19914000000000001</v>
      </c>
      <c r="Z24">
        <v>0.197403</v>
      </c>
      <c r="AA24">
        <v>0.18884400000000001</v>
      </c>
      <c r="AB24">
        <v>0.197626</v>
      </c>
      <c r="AC24">
        <v>0.21738299999999999</v>
      </c>
      <c r="AD24">
        <v>0.210953</v>
      </c>
      <c r="AE24">
        <v>0.19709199999999999</v>
      </c>
      <c r="AF24">
        <v>0.29096100000000003</v>
      </c>
      <c r="AG24">
        <v>0.29667399999999999</v>
      </c>
      <c r="AH24">
        <v>0.27484500000000001</v>
      </c>
      <c r="AI24" s="98">
        <v>7.6999999999999999E-2</v>
      </c>
    </row>
    <row r="25" spans="1:36" x14ac:dyDescent="0.75">
      <c r="A25" t="s">
        <v>513</v>
      </c>
      <c r="B25" t="s">
        <v>514</v>
      </c>
      <c r="C25" t="s">
        <v>515</v>
      </c>
      <c r="D25" t="s">
        <v>469</v>
      </c>
      <c r="F25">
        <v>2.2984999999999998E-2</v>
      </c>
      <c r="G25">
        <v>2.0434000000000001E-2</v>
      </c>
      <c r="H25">
        <v>1.8411E-2</v>
      </c>
      <c r="I25">
        <v>1.6767000000000001E-2</v>
      </c>
      <c r="J25">
        <v>1.5405E-2</v>
      </c>
      <c r="K25">
        <v>1.4258E-2</v>
      </c>
      <c r="L25">
        <v>1.3278999999999999E-2</v>
      </c>
      <c r="M25">
        <v>1.2433E-2</v>
      </c>
      <c r="N25">
        <v>1.1696E-2</v>
      </c>
      <c r="O25">
        <v>1.1047E-2</v>
      </c>
      <c r="P25">
        <v>1.0470999999999999E-2</v>
      </c>
      <c r="Q25">
        <v>9.9570000000000006E-3</v>
      </c>
      <c r="R25">
        <v>9.495E-3</v>
      </c>
      <c r="S25">
        <v>9.0779999999999993E-3</v>
      </c>
      <c r="T25">
        <v>8.6999999999999994E-3</v>
      </c>
      <c r="U25">
        <v>8.3549999999999996E-3</v>
      </c>
      <c r="V25">
        <v>8.0389999999999993E-3</v>
      </c>
      <c r="W25">
        <v>7.7479999999999997E-3</v>
      </c>
      <c r="X25">
        <v>7.4809999999999998E-3</v>
      </c>
      <c r="Y25">
        <v>7.2329999999999998E-3</v>
      </c>
      <c r="Z25">
        <v>7.0029999999999997E-3</v>
      </c>
      <c r="AA25">
        <v>6.7889999999999999E-3</v>
      </c>
      <c r="AB25">
        <v>6.5900000000000004E-3</v>
      </c>
      <c r="AC25">
        <v>6.404E-3</v>
      </c>
      <c r="AD25">
        <v>6.2290000000000002E-3</v>
      </c>
      <c r="AE25">
        <v>6.0650000000000001E-3</v>
      </c>
      <c r="AF25">
        <v>5.9109999999999996E-3</v>
      </c>
      <c r="AG25">
        <v>5.7660000000000003E-3</v>
      </c>
      <c r="AH25">
        <v>5.6290000000000003E-3</v>
      </c>
      <c r="AI25" s="98">
        <v>-4.9000000000000002E-2</v>
      </c>
    </row>
    <row r="26" spans="1:36" x14ac:dyDescent="0.75">
      <c r="A26" t="s">
        <v>516</v>
      </c>
      <c r="B26" t="s">
        <v>517</v>
      </c>
      <c r="C26" t="s">
        <v>518</v>
      </c>
      <c r="D26" t="s">
        <v>469</v>
      </c>
      <c r="F26">
        <v>1.1015E-2</v>
      </c>
      <c r="G26">
        <v>1.3245E-2</v>
      </c>
      <c r="H26">
        <v>2.9239999999999999E-3</v>
      </c>
      <c r="I26">
        <v>2.663E-3</v>
      </c>
      <c r="J26">
        <v>2.447E-3</v>
      </c>
      <c r="K26">
        <v>2.264E-3</v>
      </c>
      <c r="L26">
        <v>0.121229</v>
      </c>
      <c r="M26">
        <v>0.14208399999999999</v>
      </c>
      <c r="N26">
        <v>0.17476800000000001</v>
      </c>
      <c r="O26">
        <v>0.18584899999999999</v>
      </c>
      <c r="P26">
        <v>0.18953900000000001</v>
      </c>
      <c r="Q26">
        <v>0.19322</v>
      </c>
      <c r="R26">
        <v>0.19789999999999999</v>
      </c>
      <c r="S26">
        <v>0.19365399999999999</v>
      </c>
      <c r="T26">
        <v>0.194773</v>
      </c>
      <c r="U26">
        <v>0.18653400000000001</v>
      </c>
      <c r="V26">
        <v>0.16932700000000001</v>
      </c>
      <c r="W26">
        <v>0.183057</v>
      </c>
      <c r="X26">
        <v>0.17943400000000001</v>
      </c>
      <c r="Y26">
        <v>0.19190699999999999</v>
      </c>
      <c r="Z26">
        <v>0.19040000000000001</v>
      </c>
      <c r="AA26">
        <v>0.18205499999999999</v>
      </c>
      <c r="AB26">
        <v>0.19103600000000001</v>
      </c>
      <c r="AC26">
        <v>0.210979</v>
      </c>
      <c r="AD26">
        <v>0.20472299999999999</v>
      </c>
      <c r="AE26">
        <v>0.191027</v>
      </c>
      <c r="AF26">
        <v>0.285049</v>
      </c>
      <c r="AG26">
        <v>0.290908</v>
      </c>
      <c r="AH26">
        <v>0.26921600000000001</v>
      </c>
      <c r="AI26" s="98">
        <v>0.121</v>
      </c>
    </row>
    <row r="27" spans="1:36" x14ac:dyDescent="0.75">
      <c r="A27" t="s">
        <v>519</v>
      </c>
      <c r="B27" t="s">
        <v>520</v>
      </c>
      <c r="C27" t="s">
        <v>521</v>
      </c>
      <c r="D27" t="s">
        <v>469</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t="s">
        <v>522</v>
      </c>
    </row>
    <row r="28" spans="1:36" x14ac:dyDescent="0.75">
      <c r="A28" t="s">
        <v>513</v>
      </c>
      <c r="B28" t="s">
        <v>523</v>
      </c>
      <c r="C28" t="s">
        <v>524</v>
      </c>
      <c r="D28" t="s">
        <v>469</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t="s">
        <v>522</v>
      </c>
    </row>
    <row r="29" spans="1:36" x14ac:dyDescent="0.75">
      <c r="A29" t="s">
        <v>516</v>
      </c>
      <c r="B29" t="s">
        <v>525</v>
      </c>
      <c r="C29" t="s">
        <v>526</v>
      </c>
      <c r="D29" t="s">
        <v>469</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t="s">
        <v>522</v>
      </c>
    </row>
    <row r="30" spans="1:36" x14ac:dyDescent="0.75">
      <c r="A30" t="s">
        <v>527</v>
      </c>
    </row>
    <row r="31" spans="1:36" x14ac:dyDescent="0.75">
      <c r="A31" t="s">
        <v>528</v>
      </c>
      <c r="B31" t="s">
        <v>529</v>
      </c>
      <c r="C31" t="s">
        <v>530</v>
      </c>
      <c r="D31" t="s">
        <v>531</v>
      </c>
      <c r="F31">
        <v>93.569550000000007</v>
      </c>
      <c r="G31">
        <v>90.688018999999997</v>
      </c>
      <c r="H31">
        <v>89.880752999999999</v>
      </c>
      <c r="I31">
        <v>84.382957000000005</v>
      </c>
      <c r="J31">
        <v>85.041725</v>
      </c>
      <c r="K31">
        <v>85.383301000000003</v>
      </c>
      <c r="L31">
        <v>86.061263999999994</v>
      </c>
      <c r="M31">
        <v>86.621978999999996</v>
      </c>
      <c r="N31">
        <v>87.183043999999995</v>
      </c>
      <c r="O31">
        <v>87.737740000000002</v>
      </c>
      <c r="P31">
        <v>88.503822</v>
      </c>
      <c r="Q31">
        <v>88.924880999999999</v>
      </c>
      <c r="R31">
        <v>89.668982999999997</v>
      </c>
      <c r="S31">
        <v>90.255950999999996</v>
      </c>
      <c r="T31">
        <v>90.907584999999997</v>
      </c>
      <c r="U31">
        <v>91.408783</v>
      </c>
      <c r="V31">
        <v>91.902000000000001</v>
      </c>
      <c r="W31">
        <v>92.410072</v>
      </c>
      <c r="X31">
        <v>92.865814</v>
      </c>
      <c r="Y31">
        <v>93.327019000000007</v>
      </c>
      <c r="Z31">
        <v>93.728690999999998</v>
      </c>
      <c r="AA31">
        <v>94.147246999999993</v>
      </c>
      <c r="AB31">
        <v>94.595359999999999</v>
      </c>
      <c r="AC31">
        <v>94.925362000000007</v>
      </c>
      <c r="AD31">
        <v>95.628647000000001</v>
      </c>
      <c r="AE31">
        <v>95.99221</v>
      </c>
      <c r="AF31">
        <v>96.606430000000003</v>
      </c>
      <c r="AG31">
        <v>97.285224999999997</v>
      </c>
      <c r="AH31">
        <v>97.564826999999994</v>
      </c>
      <c r="AI31" s="98">
        <v>1E-3</v>
      </c>
    </row>
    <row r="32" spans="1:36" x14ac:dyDescent="0.75">
      <c r="A32" t="s">
        <v>470</v>
      </c>
    </row>
    <row r="33" spans="1:35" x14ac:dyDescent="0.75">
      <c r="A33" t="s">
        <v>473</v>
      </c>
      <c r="B33" t="s">
        <v>532</v>
      </c>
      <c r="C33" t="s">
        <v>533</v>
      </c>
      <c r="D33" t="s">
        <v>531</v>
      </c>
      <c r="F33">
        <v>88.857887000000005</v>
      </c>
      <c r="G33">
        <v>99.212326000000004</v>
      </c>
      <c r="H33">
        <v>94.988663000000003</v>
      </c>
      <c r="I33">
        <v>89.303764000000001</v>
      </c>
      <c r="J33">
        <v>89.548919999999995</v>
      </c>
      <c r="K33">
        <v>89.768142999999995</v>
      </c>
      <c r="L33">
        <v>90.547218000000001</v>
      </c>
      <c r="M33">
        <v>91.051865000000006</v>
      </c>
      <c r="N33">
        <v>91.577278000000007</v>
      </c>
      <c r="O33">
        <v>92.153046000000003</v>
      </c>
      <c r="P33">
        <v>92.960587000000004</v>
      </c>
      <c r="Q33">
        <v>93.412353999999993</v>
      </c>
      <c r="R33">
        <v>94.127028999999993</v>
      </c>
      <c r="S33">
        <v>94.470359999999999</v>
      </c>
      <c r="T33">
        <v>95.220528000000002</v>
      </c>
      <c r="U33">
        <v>95.801322999999996</v>
      </c>
      <c r="V33">
        <v>96.284996000000007</v>
      </c>
      <c r="W33">
        <v>96.854927000000004</v>
      </c>
      <c r="X33">
        <v>97.344397999999998</v>
      </c>
      <c r="Y33">
        <v>97.794792000000001</v>
      </c>
      <c r="Z33">
        <v>98.245575000000002</v>
      </c>
      <c r="AA33">
        <v>98.603347999999997</v>
      </c>
      <c r="AB33">
        <v>99.192466999999994</v>
      </c>
      <c r="AC33">
        <v>99.519240999999994</v>
      </c>
      <c r="AD33">
        <v>100.305092</v>
      </c>
      <c r="AE33">
        <v>100.732124</v>
      </c>
      <c r="AF33">
        <v>101.418869</v>
      </c>
      <c r="AG33">
        <v>102.114525</v>
      </c>
      <c r="AH33">
        <v>102.35509500000001</v>
      </c>
      <c r="AI33" s="98">
        <v>5.0000000000000001E-3</v>
      </c>
    </row>
    <row r="34" spans="1:35" x14ac:dyDescent="0.75">
      <c r="A34" t="s">
        <v>476</v>
      </c>
      <c r="B34" t="s">
        <v>534</v>
      </c>
      <c r="C34" t="s">
        <v>535</v>
      </c>
      <c r="D34" t="s">
        <v>531</v>
      </c>
      <c r="F34">
        <v>95.68544</v>
      </c>
      <c r="G34">
        <v>95.794312000000005</v>
      </c>
      <c r="H34">
        <v>95.883910999999998</v>
      </c>
      <c r="I34">
        <v>90.399497999999994</v>
      </c>
      <c r="J34">
        <v>91.131546</v>
      </c>
      <c r="K34">
        <v>91.528312999999997</v>
      </c>
      <c r="L34">
        <v>92.118324000000001</v>
      </c>
      <c r="M34">
        <v>92.703568000000004</v>
      </c>
      <c r="N34">
        <v>93.309517</v>
      </c>
      <c r="O34">
        <v>93.948668999999995</v>
      </c>
      <c r="P34">
        <v>94.753540000000001</v>
      </c>
      <c r="Q34">
        <v>95.190856999999994</v>
      </c>
      <c r="R34">
        <v>95.845398000000003</v>
      </c>
      <c r="S34">
        <v>96.49588</v>
      </c>
      <c r="T34">
        <v>97.171149999999997</v>
      </c>
      <c r="U34">
        <v>97.714309999999998</v>
      </c>
      <c r="V34">
        <v>98.333259999999996</v>
      </c>
      <c r="W34">
        <v>98.926674000000006</v>
      </c>
      <c r="X34">
        <v>99.474213000000006</v>
      </c>
      <c r="Y34">
        <v>100.062691</v>
      </c>
      <c r="Z34">
        <v>100.453789</v>
      </c>
      <c r="AA34">
        <v>100.804619</v>
      </c>
      <c r="AB34">
        <v>101.212402</v>
      </c>
      <c r="AC34">
        <v>101.616806</v>
      </c>
      <c r="AD34">
        <v>102.36889600000001</v>
      </c>
      <c r="AE34">
        <v>102.921783</v>
      </c>
      <c r="AF34">
        <v>103.49346199999999</v>
      </c>
      <c r="AG34">
        <v>104.019524</v>
      </c>
      <c r="AH34">
        <v>104.26900500000001</v>
      </c>
      <c r="AI34" s="98">
        <v>3.0000000000000001E-3</v>
      </c>
    </row>
    <row r="35" spans="1:35" x14ac:dyDescent="0.75">
      <c r="A35" t="s">
        <v>479</v>
      </c>
      <c r="B35" t="s">
        <v>536</v>
      </c>
      <c r="C35" t="s">
        <v>537</v>
      </c>
      <c r="D35" t="s">
        <v>531</v>
      </c>
      <c r="F35">
        <v>98.130981000000006</v>
      </c>
      <c r="G35">
        <v>94.383713</v>
      </c>
      <c r="H35">
        <v>90.740181000000007</v>
      </c>
      <c r="I35">
        <v>84.768531999999993</v>
      </c>
      <c r="J35">
        <v>84.886436000000003</v>
      </c>
      <c r="K35">
        <v>85.133735999999999</v>
      </c>
      <c r="L35">
        <v>85.873610999999997</v>
      </c>
      <c r="M35">
        <v>86.350455999999994</v>
      </c>
      <c r="N35">
        <v>86.822616999999994</v>
      </c>
      <c r="O35">
        <v>87.440726999999995</v>
      </c>
      <c r="P35">
        <v>88.191131999999996</v>
      </c>
      <c r="Q35">
        <v>88.665749000000005</v>
      </c>
      <c r="R35">
        <v>89.437965000000005</v>
      </c>
      <c r="S35">
        <v>89.868660000000006</v>
      </c>
      <c r="T35">
        <v>90.594016999999994</v>
      </c>
      <c r="U35">
        <v>91.177993999999998</v>
      </c>
      <c r="V35">
        <v>91.598381000000003</v>
      </c>
      <c r="W35">
        <v>92.125457999999995</v>
      </c>
      <c r="X35">
        <v>92.554053999999994</v>
      </c>
      <c r="Y35">
        <v>93.055801000000002</v>
      </c>
      <c r="Z35">
        <v>93.488913999999994</v>
      </c>
      <c r="AA35">
        <v>93.914230000000003</v>
      </c>
      <c r="AB35">
        <v>94.329200999999998</v>
      </c>
      <c r="AC35">
        <v>94.675751000000005</v>
      </c>
      <c r="AD35">
        <v>95.389281999999994</v>
      </c>
      <c r="AE35">
        <v>95.815421999999998</v>
      </c>
      <c r="AF35">
        <v>96.491089000000002</v>
      </c>
      <c r="AG35">
        <v>97.212631000000002</v>
      </c>
      <c r="AH35">
        <v>97.388603000000003</v>
      </c>
      <c r="AI35" s="98">
        <v>0</v>
      </c>
    </row>
    <row r="36" spans="1:35" x14ac:dyDescent="0.75">
      <c r="A36" t="s">
        <v>482</v>
      </c>
      <c r="B36" t="s">
        <v>538</v>
      </c>
      <c r="C36" t="s">
        <v>539</v>
      </c>
      <c r="D36" t="s">
        <v>531</v>
      </c>
      <c r="F36">
        <v>93.609229999999997</v>
      </c>
      <c r="G36">
        <v>86.461112999999997</v>
      </c>
      <c r="H36">
        <v>86.292457999999996</v>
      </c>
      <c r="I36">
        <v>80.893378999999996</v>
      </c>
      <c r="J36">
        <v>81.731491000000005</v>
      </c>
      <c r="K36">
        <v>82.064789000000005</v>
      </c>
      <c r="L36">
        <v>82.691490000000002</v>
      </c>
      <c r="M36">
        <v>83.278709000000006</v>
      </c>
      <c r="N36">
        <v>83.977737000000005</v>
      </c>
      <c r="O36">
        <v>84.534981000000002</v>
      </c>
      <c r="P36">
        <v>85.362258999999995</v>
      </c>
      <c r="Q36">
        <v>85.825187999999997</v>
      </c>
      <c r="R36">
        <v>86.492241000000007</v>
      </c>
      <c r="S36">
        <v>87.179732999999999</v>
      </c>
      <c r="T36">
        <v>87.881134000000003</v>
      </c>
      <c r="U36">
        <v>88.412880000000001</v>
      </c>
      <c r="V36">
        <v>89.023674</v>
      </c>
      <c r="W36">
        <v>89.591353999999995</v>
      </c>
      <c r="X36">
        <v>90.093422000000004</v>
      </c>
      <c r="Y36">
        <v>90.656464</v>
      </c>
      <c r="Z36">
        <v>91.054466000000005</v>
      </c>
      <c r="AA36">
        <v>91.388396999999998</v>
      </c>
      <c r="AB36">
        <v>91.799225000000007</v>
      </c>
      <c r="AC36">
        <v>92.156897999999998</v>
      </c>
      <c r="AD36">
        <v>92.970673000000005</v>
      </c>
      <c r="AE36">
        <v>93.360680000000002</v>
      </c>
      <c r="AF36">
        <v>93.968765000000005</v>
      </c>
      <c r="AG36">
        <v>94.543152000000006</v>
      </c>
      <c r="AH36">
        <v>94.848754999999997</v>
      </c>
      <c r="AI36" s="98">
        <v>0</v>
      </c>
    </row>
    <row r="37" spans="1:35" x14ac:dyDescent="0.75">
      <c r="A37" t="s">
        <v>485</v>
      </c>
      <c r="B37" t="s">
        <v>540</v>
      </c>
      <c r="C37" t="s">
        <v>541</v>
      </c>
      <c r="D37" t="s">
        <v>531</v>
      </c>
      <c r="F37">
        <v>87.180954</v>
      </c>
      <c r="G37">
        <v>92.036902999999995</v>
      </c>
      <c r="H37">
        <v>88.479484999999997</v>
      </c>
      <c r="I37">
        <v>82.607307000000006</v>
      </c>
      <c r="J37">
        <v>82.661804000000004</v>
      </c>
      <c r="K37">
        <v>82.822685000000007</v>
      </c>
      <c r="L37">
        <v>83.559486000000007</v>
      </c>
      <c r="M37">
        <v>84.041297999999998</v>
      </c>
      <c r="N37">
        <v>84.512459000000007</v>
      </c>
      <c r="O37">
        <v>85.110909000000007</v>
      </c>
      <c r="P37">
        <v>85.915985000000006</v>
      </c>
      <c r="Q37">
        <v>86.400413999999998</v>
      </c>
      <c r="R37">
        <v>87.534592000000004</v>
      </c>
      <c r="S37">
        <v>87.931038000000001</v>
      </c>
      <c r="T37">
        <v>88.644226000000003</v>
      </c>
      <c r="U37">
        <v>89.200996000000004</v>
      </c>
      <c r="V37">
        <v>89.598731999999998</v>
      </c>
      <c r="W37">
        <v>90.137314000000003</v>
      </c>
      <c r="X37">
        <v>90.580910000000003</v>
      </c>
      <c r="Y37">
        <v>91.091369999999998</v>
      </c>
      <c r="Z37">
        <v>91.540481999999997</v>
      </c>
      <c r="AA37">
        <v>91.967644000000007</v>
      </c>
      <c r="AB37">
        <v>92.417900000000003</v>
      </c>
      <c r="AC37">
        <v>92.766388000000006</v>
      </c>
      <c r="AD37">
        <v>93.501014999999995</v>
      </c>
      <c r="AE37">
        <v>93.951087999999999</v>
      </c>
      <c r="AF37">
        <v>94.641334999999998</v>
      </c>
      <c r="AG37">
        <v>95.371825999999999</v>
      </c>
      <c r="AH37">
        <v>95.549521999999996</v>
      </c>
      <c r="AI37" s="98">
        <v>3.0000000000000001E-3</v>
      </c>
    </row>
    <row r="38" spans="1:35" x14ac:dyDescent="0.75">
      <c r="A38" t="s">
        <v>488</v>
      </c>
      <c r="B38" t="s">
        <v>542</v>
      </c>
      <c r="C38" t="s">
        <v>543</v>
      </c>
      <c r="D38" t="s">
        <v>531</v>
      </c>
      <c r="F38">
        <v>87.180954</v>
      </c>
      <c r="G38">
        <v>92.036902999999995</v>
      </c>
      <c r="H38">
        <v>88.479484999999997</v>
      </c>
      <c r="I38">
        <v>82.607307000000006</v>
      </c>
      <c r="J38">
        <v>82.661804000000004</v>
      </c>
      <c r="K38">
        <v>82.822685000000007</v>
      </c>
      <c r="L38">
        <v>83.559486000000007</v>
      </c>
      <c r="M38">
        <v>84.041297999999998</v>
      </c>
      <c r="N38">
        <v>84.512459000000007</v>
      </c>
      <c r="O38">
        <v>85.110909000000007</v>
      </c>
      <c r="P38">
        <v>85.915985000000006</v>
      </c>
      <c r="Q38">
        <v>86.400413999999998</v>
      </c>
      <c r="R38">
        <v>87.534592000000004</v>
      </c>
      <c r="S38">
        <v>87.931038000000001</v>
      </c>
      <c r="T38">
        <v>88.644226000000003</v>
      </c>
      <c r="U38">
        <v>89.200996000000004</v>
      </c>
      <c r="V38">
        <v>89.598731999999998</v>
      </c>
      <c r="W38">
        <v>90.137314000000003</v>
      </c>
      <c r="X38">
        <v>90.580910000000003</v>
      </c>
      <c r="Y38">
        <v>91.091369999999998</v>
      </c>
      <c r="Z38">
        <v>91.540481999999997</v>
      </c>
      <c r="AA38">
        <v>91.967644000000007</v>
      </c>
      <c r="AB38">
        <v>92.417900000000003</v>
      </c>
      <c r="AC38">
        <v>92.766388000000006</v>
      </c>
      <c r="AD38">
        <v>93.501014999999995</v>
      </c>
      <c r="AE38">
        <v>93.951087999999999</v>
      </c>
      <c r="AF38">
        <v>94.641334999999998</v>
      </c>
      <c r="AG38">
        <v>95.371825999999999</v>
      </c>
      <c r="AH38">
        <v>95.549521999999996</v>
      </c>
      <c r="AI38" s="98">
        <v>3.0000000000000001E-3</v>
      </c>
    </row>
    <row r="39" spans="1:35" x14ac:dyDescent="0.75">
      <c r="A39" t="s">
        <v>491</v>
      </c>
      <c r="B39" t="s">
        <v>544</v>
      </c>
      <c r="C39" t="s">
        <v>545</v>
      </c>
      <c r="D39" t="s">
        <v>531</v>
      </c>
      <c r="F39">
        <v>100.237137</v>
      </c>
      <c r="G39">
        <v>94.045676999999998</v>
      </c>
      <c r="H39">
        <v>95.098320000000001</v>
      </c>
      <c r="I39">
        <v>89.280617000000007</v>
      </c>
      <c r="J39">
        <v>89.667525999999995</v>
      </c>
      <c r="K39">
        <v>90.015343000000001</v>
      </c>
      <c r="L39">
        <v>90.526176000000007</v>
      </c>
      <c r="M39">
        <v>90.989204000000001</v>
      </c>
      <c r="N39">
        <v>91.176765000000003</v>
      </c>
      <c r="O39">
        <v>91.685019999999994</v>
      </c>
      <c r="P39">
        <v>92.435164999999998</v>
      </c>
      <c r="Q39">
        <v>92.69014</v>
      </c>
      <c r="R39">
        <v>93.147789000000003</v>
      </c>
      <c r="S39">
        <v>93.708275</v>
      </c>
      <c r="T39">
        <v>94.256103999999993</v>
      </c>
      <c r="U39">
        <v>94.817665000000005</v>
      </c>
      <c r="V39">
        <v>95.323363999999998</v>
      </c>
      <c r="W39">
        <v>96.041556999999997</v>
      </c>
      <c r="X39">
        <v>96.441490000000002</v>
      </c>
      <c r="Y39">
        <v>97.234436000000002</v>
      </c>
      <c r="Z39">
        <v>97.643051</v>
      </c>
      <c r="AA39">
        <v>98.205544000000003</v>
      </c>
      <c r="AB39">
        <v>99.080916999999999</v>
      </c>
      <c r="AC39">
        <v>99.543685999999994</v>
      </c>
      <c r="AD39">
        <v>99.042709000000002</v>
      </c>
      <c r="AE39">
        <v>99.467788999999996</v>
      </c>
      <c r="AF39">
        <v>99.620307999999994</v>
      </c>
      <c r="AG39">
        <v>100.30740400000001</v>
      </c>
      <c r="AH39">
        <v>100.51384</v>
      </c>
      <c r="AI39" s="98">
        <v>0</v>
      </c>
    </row>
    <row r="40" spans="1:35" x14ac:dyDescent="0.75">
      <c r="A40" t="s">
        <v>494</v>
      </c>
    </row>
    <row r="41" spans="1:35" x14ac:dyDescent="0.75">
      <c r="A41" t="s">
        <v>497</v>
      </c>
      <c r="B41" t="s">
        <v>546</v>
      </c>
      <c r="C41" t="s">
        <v>547</v>
      </c>
      <c r="D41" t="s">
        <v>531</v>
      </c>
      <c r="F41">
        <v>97.072922000000005</v>
      </c>
      <c r="G41">
        <v>95.794312000000005</v>
      </c>
      <c r="H41">
        <v>95.883910999999998</v>
      </c>
      <c r="I41">
        <v>90.399497999999994</v>
      </c>
      <c r="J41">
        <v>91.131546</v>
      </c>
      <c r="K41">
        <v>91.528312999999997</v>
      </c>
      <c r="L41">
        <v>92.118324000000001</v>
      </c>
      <c r="M41">
        <v>92.703568000000004</v>
      </c>
      <c r="N41">
        <v>93.309517</v>
      </c>
      <c r="O41">
        <v>93.948668999999995</v>
      </c>
      <c r="P41">
        <v>94.753540000000001</v>
      </c>
      <c r="Q41">
        <v>95.190856999999994</v>
      </c>
      <c r="R41">
        <v>95.845398000000003</v>
      </c>
      <c r="S41">
        <v>96.49588</v>
      </c>
      <c r="T41">
        <v>97.171149999999997</v>
      </c>
      <c r="U41">
        <v>97.714309999999998</v>
      </c>
      <c r="V41">
        <v>98.333259999999996</v>
      </c>
      <c r="W41">
        <v>98.926674000000006</v>
      </c>
      <c r="X41">
        <v>99.474213000000006</v>
      </c>
      <c r="Y41">
        <v>100.062691</v>
      </c>
      <c r="Z41">
        <v>100.453789</v>
      </c>
      <c r="AA41">
        <v>100.804619</v>
      </c>
      <c r="AB41">
        <v>101.212402</v>
      </c>
      <c r="AC41">
        <v>101.616806</v>
      </c>
      <c r="AD41">
        <v>102.36889600000001</v>
      </c>
      <c r="AE41">
        <v>102.921783</v>
      </c>
      <c r="AF41">
        <v>103.49346199999999</v>
      </c>
      <c r="AG41">
        <v>104.019524</v>
      </c>
      <c r="AH41">
        <v>104.26900500000001</v>
      </c>
      <c r="AI41" s="98">
        <v>3.0000000000000001E-3</v>
      </c>
    </row>
    <row r="42" spans="1:35" x14ac:dyDescent="0.75">
      <c r="A42" t="s">
        <v>510</v>
      </c>
      <c r="B42" t="s">
        <v>548</v>
      </c>
      <c r="C42" t="s">
        <v>549</v>
      </c>
      <c r="D42" t="s">
        <v>531</v>
      </c>
      <c r="F42">
        <v>70.551292000000004</v>
      </c>
      <c r="G42">
        <v>94.045676999999998</v>
      </c>
      <c r="H42">
        <v>95.098320000000001</v>
      </c>
      <c r="I42">
        <v>89.280617000000007</v>
      </c>
      <c r="J42">
        <v>89.667525999999995</v>
      </c>
      <c r="K42">
        <v>90.015343000000001</v>
      </c>
      <c r="L42">
        <v>90.526176000000007</v>
      </c>
      <c r="M42">
        <v>90.989204000000001</v>
      </c>
      <c r="N42">
        <v>91.176765000000003</v>
      </c>
      <c r="O42">
        <v>91.685019999999994</v>
      </c>
      <c r="P42">
        <v>92.435164999999998</v>
      </c>
      <c r="Q42">
        <v>92.69014</v>
      </c>
      <c r="R42">
        <v>93.147789000000003</v>
      </c>
      <c r="S42">
        <v>93.708275</v>
      </c>
      <c r="T42">
        <v>94.256103999999993</v>
      </c>
      <c r="U42">
        <v>94.817665000000005</v>
      </c>
      <c r="V42">
        <v>95.323363999999998</v>
      </c>
      <c r="W42">
        <v>96.041556999999997</v>
      </c>
      <c r="X42">
        <v>96.441490000000002</v>
      </c>
      <c r="Y42">
        <v>97.234436000000002</v>
      </c>
      <c r="Z42">
        <v>97.643051</v>
      </c>
      <c r="AA42">
        <v>98.205544000000003</v>
      </c>
      <c r="AB42">
        <v>99.080916999999999</v>
      </c>
      <c r="AC42">
        <v>99.543685999999994</v>
      </c>
      <c r="AD42">
        <v>99.042709000000002</v>
      </c>
      <c r="AE42">
        <v>99.467788999999996</v>
      </c>
      <c r="AF42">
        <v>99.620307999999994</v>
      </c>
      <c r="AG42">
        <v>100.30740400000001</v>
      </c>
      <c r="AH42">
        <v>100.51384</v>
      </c>
      <c r="AI42" s="98">
        <v>1.2999999999999999E-2</v>
      </c>
    </row>
    <row r="43" spans="1:35" x14ac:dyDescent="0.75">
      <c r="A43" t="s">
        <v>519</v>
      </c>
      <c r="B43" t="s">
        <v>550</v>
      </c>
      <c r="C43" t="s">
        <v>551</v>
      </c>
      <c r="D43" t="s">
        <v>531</v>
      </c>
      <c r="F43">
        <v>0</v>
      </c>
      <c r="G43">
        <v>95.169678000000005</v>
      </c>
      <c r="H43">
        <v>93.930976999999999</v>
      </c>
      <c r="I43">
        <v>88.551704000000001</v>
      </c>
      <c r="J43">
        <v>89.145034999999993</v>
      </c>
      <c r="K43">
        <v>89.565460000000002</v>
      </c>
      <c r="L43">
        <v>90.069564999999997</v>
      </c>
      <c r="M43">
        <v>90.752196999999995</v>
      </c>
      <c r="N43">
        <v>91.383826999999997</v>
      </c>
      <c r="O43">
        <v>91.704680999999994</v>
      </c>
      <c r="P43">
        <v>92.557143999999994</v>
      </c>
      <c r="Q43">
        <v>92.936286999999993</v>
      </c>
      <c r="R43">
        <v>93.634665999999996</v>
      </c>
      <c r="S43">
        <v>94.611748000000006</v>
      </c>
      <c r="T43">
        <v>95.246398999999997</v>
      </c>
      <c r="U43">
        <v>95.927978999999993</v>
      </c>
      <c r="V43">
        <v>96.400688000000002</v>
      </c>
      <c r="W43">
        <v>96.986427000000006</v>
      </c>
      <c r="X43">
        <v>97.520163999999994</v>
      </c>
      <c r="Y43">
        <v>97.897841999999997</v>
      </c>
      <c r="Z43">
        <v>98.306685999999999</v>
      </c>
      <c r="AA43">
        <v>98.543892</v>
      </c>
      <c r="AB43">
        <v>99.086692999999997</v>
      </c>
      <c r="AC43">
        <v>99.283600000000007</v>
      </c>
      <c r="AD43">
        <v>100.08094</v>
      </c>
      <c r="AE43">
        <v>100.541389</v>
      </c>
      <c r="AF43">
        <v>101.20822099999999</v>
      </c>
      <c r="AG43">
        <v>101.781921</v>
      </c>
      <c r="AH43">
        <v>102.010139</v>
      </c>
      <c r="AI43" t="s">
        <v>522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7CBA82-667D-4FB2-AF39-F06177D59FC6}">
  <dimension ref="A1:AG2344"/>
  <sheetViews>
    <sheetView workbookViewId="0">
      <pane xSplit="2" ySplit="1" topLeftCell="C4" activePane="bottomRight" state="frozen"/>
      <selection pane="topRight" activeCell="C1" sqref="C1"/>
      <selection pane="bottomLeft" activeCell="A2" sqref="A2"/>
      <selection pane="bottomRight" activeCell="C17" sqref="C17"/>
    </sheetView>
  </sheetViews>
  <sheetFormatPr defaultColWidth="9.1328125" defaultRowHeight="15" customHeight="1" x14ac:dyDescent="0.65"/>
  <cols>
    <col min="1" max="1" width="22.40625" style="207" hidden="1" customWidth="1"/>
    <col min="2" max="2" width="49" style="207" customWidth="1"/>
    <col min="3" max="3" width="18" style="207" bestFit="1" customWidth="1"/>
    <col min="4" max="31" width="9.1328125" style="207"/>
    <col min="32" max="32" width="9.1328125" style="271"/>
    <col min="33" max="16384" width="9.1328125" style="207"/>
  </cols>
  <sheetData>
    <row r="1" spans="1:32" ht="15" customHeight="1" thickBot="1" x14ac:dyDescent="0.8">
      <c r="B1" s="222" t="s">
        <v>197</v>
      </c>
      <c r="C1" s="219">
        <v>2022</v>
      </c>
      <c r="D1" s="219">
        <v>2023</v>
      </c>
      <c r="E1" s="219">
        <v>2024</v>
      </c>
      <c r="F1" s="219">
        <v>2025</v>
      </c>
      <c r="G1" s="219">
        <v>2026</v>
      </c>
      <c r="H1" s="219">
        <v>2027</v>
      </c>
      <c r="I1" s="219">
        <v>2028</v>
      </c>
      <c r="J1" s="219">
        <v>2029</v>
      </c>
      <c r="K1" s="219">
        <v>2030</v>
      </c>
      <c r="L1" s="219">
        <v>2031</v>
      </c>
      <c r="M1" s="219">
        <v>2032</v>
      </c>
      <c r="N1" s="219">
        <v>2033</v>
      </c>
      <c r="O1" s="219">
        <v>2034</v>
      </c>
      <c r="P1" s="219">
        <v>2035</v>
      </c>
      <c r="Q1" s="219">
        <v>2036</v>
      </c>
      <c r="R1" s="219">
        <v>2037</v>
      </c>
      <c r="S1" s="219">
        <v>2038</v>
      </c>
      <c r="T1" s="219">
        <v>2039</v>
      </c>
      <c r="U1" s="219">
        <v>2040</v>
      </c>
      <c r="V1" s="219">
        <v>2041</v>
      </c>
      <c r="W1" s="219">
        <v>2042</v>
      </c>
      <c r="X1" s="219">
        <v>2043</v>
      </c>
      <c r="Y1" s="219">
        <v>2044</v>
      </c>
      <c r="Z1" s="219">
        <v>2045</v>
      </c>
      <c r="AA1" s="219">
        <v>2046</v>
      </c>
      <c r="AB1" s="219">
        <v>2047</v>
      </c>
      <c r="AC1" s="219">
        <v>2048</v>
      </c>
      <c r="AD1" s="219">
        <v>2049</v>
      </c>
      <c r="AE1" s="219">
        <v>2050</v>
      </c>
    </row>
    <row r="2" spans="1:32" ht="15" customHeight="1" thickTop="1" x14ac:dyDescent="0.65"/>
    <row r="3" spans="1:32" ht="15" customHeight="1" x14ac:dyDescent="0.7">
      <c r="C3" s="236" t="s">
        <v>198</v>
      </c>
      <c r="D3" s="236" t="s">
        <v>199</v>
      </c>
      <c r="E3" s="224"/>
      <c r="F3" s="224"/>
      <c r="G3" s="224"/>
    </row>
    <row r="4" spans="1:32" ht="15" customHeight="1" x14ac:dyDescent="0.7">
      <c r="C4" s="236" t="s">
        <v>200</v>
      </c>
      <c r="D4" s="236" t="s">
        <v>201</v>
      </c>
      <c r="E4" s="224"/>
      <c r="F4" s="224"/>
      <c r="G4" s="236" t="s">
        <v>202</v>
      </c>
    </row>
    <row r="5" spans="1:32" ht="15" customHeight="1" x14ac:dyDescent="0.7">
      <c r="C5" s="236" t="s">
        <v>203</v>
      </c>
      <c r="D5" s="236" t="s">
        <v>204</v>
      </c>
      <c r="E5" s="224"/>
      <c r="F5" s="224"/>
      <c r="G5" s="224"/>
    </row>
    <row r="6" spans="1:32" ht="15" customHeight="1" x14ac:dyDescent="0.7">
      <c r="C6" s="236" t="s">
        <v>205</v>
      </c>
      <c r="D6" s="224"/>
      <c r="E6" s="236" t="s">
        <v>206</v>
      </c>
      <c r="F6" s="224"/>
      <c r="G6" s="224"/>
    </row>
    <row r="7" spans="1:32" ht="12" customHeight="1" x14ac:dyDescent="0.65"/>
    <row r="8" spans="1:32" ht="12" customHeight="1" x14ac:dyDescent="0.65"/>
    <row r="9" spans="1:32" ht="12" customHeight="1" x14ac:dyDescent="0.65"/>
    <row r="10" spans="1:32" ht="15" customHeight="1" x14ac:dyDescent="0.8">
      <c r="A10" s="212" t="s">
        <v>552</v>
      </c>
      <c r="B10" s="223" t="s">
        <v>553</v>
      </c>
      <c r="AF10" s="255" t="s">
        <v>209</v>
      </c>
    </row>
    <row r="11" spans="1:32" ht="15" customHeight="1" x14ac:dyDescent="0.75">
      <c r="B11" s="222"/>
      <c r="C11" s="234"/>
      <c r="AF11" s="255" t="s">
        <v>211</v>
      </c>
    </row>
    <row r="12" spans="1:32" ht="15" customHeight="1" x14ac:dyDescent="0.65">
      <c r="B12" s="222"/>
      <c r="C12" s="235"/>
      <c r="D12" s="221"/>
      <c r="E12" s="221"/>
      <c r="F12" s="221"/>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55" t="s">
        <v>212</v>
      </c>
    </row>
    <row r="13" spans="1:32" ht="15" customHeight="1" thickBot="1" x14ac:dyDescent="0.8">
      <c r="B13" s="219" t="s">
        <v>554</v>
      </c>
      <c r="C13" s="219">
        <v>2022</v>
      </c>
      <c r="D13" s="219">
        <v>2023</v>
      </c>
      <c r="E13" s="219">
        <v>2024</v>
      </c>
      <c r="F13" s="219">
        <v>2025</v>
      </c>
      <c r="G13" s="219">
        <v>2026</v>
      </c>
      <c r="H13" s="219">
        <v>2027</v>
      </c>
      <c r="I13" s="219">
        <v>2028</v>
      </c>
      <c r="J13" s="219">
        <v>2029</v>
      </c>
      <c r="K13" s="219">
        <v>2030</v>
      </c>
      <c r="L13" s="219">
        <v>2031</v>
      </c>
      <c r="M13" s="219">
        <v>2032</v>
      </c>
      <c r="N13" s="219">
        <v>2033</v>
      </c>
      <c r="O13" s="219">
        <v>2034</v>
      </c>
      <c r="P13" s="219">
        <v>2035</v>
      </c>
      <c r="Q13" s="219">
        <v>2036</v>
      </c>
      <c r="R13" s="219">
        <v>2037</v>
      </c>
      <c r="S13" s="219">
        <v>2038</v>
      </c>
      <c r="T13" s="219">
        <v>2039</v>
      </c>
      <c r="U13" s="219">
        <v>2040</v>
      </c>
      <c r="V13" s="219">
        <v>2041</v>
      </c>
      <c r="W13" s="219">
        <v>2042</v>
      </c>
      <c r="X13" s="219">
        <v>2043</v>
      </c>
      <c r="Y13" s="219">
        <v>2044</v>
      </c>
      <c r="Z13" s="219">
        <v>2045</v>
      </c>
      <c r="AA13" s="219">
        <v>2046</v>
      </c>
      <c r="AB13" s="219">
        <v>2047</v>
      </c>
      <c r="AC13" s="219">
        <v>2048</v>
      </c>
      <c r="AD13" s="219">
        <v>2049</v>
      </c>
      <c r="AE13" s="219">
        <v>2050</v>
      </c>
      <c r="AF13" s="253" t="s">
        <v>214</v>
      </c>
    </row>
    <row r="14" spans="1:32" ht="15" customHeight="1" thickTop="1" x14ac:dyDescent="0.75">
      <c r="C14" s="234"/>
      <c r="AF14" s="273"/>
    </row>
    <row r="15" spans="1:32" ht="15" customHeight="1" x14ac:dyDescent="0.65">
      <c r="B15" s="215" t="s">
        <v>555</v>
      </c>
      <c r="C15" s="233"/>
      <c r="D15" s="233"/>
      <c r="E15" s="233"/>
      <c r="F15" s="233"/>
      <c r="G15" s="233"/>
      <c r="H15" s="233"/>
      <c r="I15" s="233"/>
      <c r="J15" s="233"/>
      <c r="K15" s="233"/>
      <c r="L15" s="233"/>
      <c r="M15" s="233"/>
      <c r="N15" s="233"/>
      <c r="O15" s="233"/>
      <c r="P15" s="233"/>
      <c r="Q15" s="233"/>
      <c r="R15" s="233"/>
      <c r="S15" s="233"/>
      <c r="T15" s="233"/>
      <c r="U15" s="233"/>
      <c r="V15" s="233"/>
      <c r="W15" s="233"/>
      <c r="X15" s="233"/>
      <c r="Y15" s="233"/>
      <c r="Z15" s="233"/>
      <c r="AA15" s="233"/>
      <c r="AB15" s="233"/>
      <c r="AC15" s="233"/>
      <c r="AD15" s="233"/>
      <c r="AE15" s="233"/>
    </row>
    <row r="16" spans="1:32" ht="15" customHeight="1" x14ac:dyDescent="0.65">
      <c r="B16" s="215" t="s">
        <v>465</v>
      </c>
      <c r="C16" s="232">
        <f>C17*10^6*'AEO 2023 Table 71'!C48*10^6*365</f>
        <v>2.3679764567032736E+16</v>
      </c>
      <c r="D16" s="232">
        <f>D17*10^6*'AEO 2023 Table 71'!D48*10^6*365</f>
        <v>2.4728737027147004E+16</v>
      </c>
      <c r="E16" s="232">
        <f>E17*10^6*'AEO 2023 Table 71'!E48*10^6*365</f>
        <v>2.5492429439569244E+16</v>
      </c>
      <c r="F16" s="232">
        <f>F17*10^6*'AEO 2023 Table 71'!F48*10^6*365</f>
        <v>2.5746445353594464E+16</v>
      </c>
      <c r="G16" s="232">
        <f>G17*10^6*'AEO 2023 Table 71'!G48*10^6*365</f>
        <v>2.6072596439582016E+16</v>
      </c>
      <c r="H16" s="232">
        <f>H17*10^6*'AEO 2023 Table 71'!H48*10^6*365</f>
        <v>2.622797963220162E+16</v>
      </c>
      <c r="I16" s="232">
        <f>I17*10^6*'AEO 2023 Table 71'!I48*10^6*365</f>
        <v>2.6499031297775448E+16</v>
      </c>
      <c r="J16" s="232">
        <f>J17*10^6*'AEO 2023 Table 71'!J48*10^6*365</f>
        <v>2.64392801821044E+16</v>
      </c>
      <c r="K16" s="232">
        <f>K17*10^6*'AEO 2023 Table 71'!K48*10^6*365</f>
        <v>2.6410309768301236E+16</v>
      </c>
      <c r="L16" s="232">
        <f>L17*10^6*'AEO 2023 Table 71'!L48*10^6*365</f>
        <v>2.6258005991900128E+16</v>
      </c>
      <c r="M16" s="232">
        <f>M17*10^6*'AEO 2023 Table 71'!M48*10^6*365</f>
        <v>2.6257801756969192E+16</v>
      </c>
      <c r="N16" s="232">
        <f>N17*10^6*'AEO 2023 Table 71'!N48*10^6*365</f>
        <v>2.626863939301932E+16</v>
      </c>
      <c r="O16" s="232">
        <f>O17*10^6*'AEO 2023 Table 71'!O48*10^6*365</f>
        <v>2.6261140763466016E+16</v>
      </c>
      <c r="P16" s="232">
        <f>P17*10^6*'AEO 2023 Table 71'!P48*10^6*365</f>
        <v>2.628605512753396E+16</v>
      </c>
      <c r="Q16" s="232">
        <f>Q17*10^6*'AEO 2023 Table 71'!Q48*10^6*365</f>
        <v>2.61602803002198E+16</v>
      </c>
      <c r="R16" s="232">
        <f>R17*10^6*'AEO 2023 Table 71'!R48*10^6*365</f>
        <v>2.603781057630702E+16</v>
      </c>
      <c r="S16" s="232">
        <f>S17*10^6*'AEO 2023 Table 71'!S48*10^6*365</f>
        <v>2.584180308811662E+16</v>
      </c>
      <c r="T16" s="232">
        <f>T17*10^6*'AEO 2023 Table 71'!T48*10^6*365</f>
        <v>2.566552423108112E+16</v>
      </c>
      <c r="U16" s="232">
        <f>U17*10^6*'AEO 2023 Table 71'!U48*10^6*365</f>
        <v>2.5512319634829304E+16</v>
      </c>
      <c r="V16" s="232">
        <f>V17*10^6*'AEO 2023 Table 71'!V48*10^6*365</f>
        <v>2.5276162080968096E+16</v>
      </c>
      <c r="W16" s="232">
        <f>W17*10^6*'AEO 2023 Table 71'!W48*10^6*365</f>
        <v>2.5337942148612596E+16</v>
      </c>
      <c r="X16" s="232">
        <f>X17*10^6*'AEO 2023 Table 71'!X48*10^6*365</f>
        <v>2.5487297576225464E+16</v>
      </c>
      <c r="Y16" s="232">
        <f>Y17*10^6*'AEO 2023 Table 71'!Y48*10^6*365</f>
        <v>2.5654163923969844E+16</v>
      </c>
      <c r="Z16" s="232">
        <f>Z17*10^6*'AEO 2023 Table 71'!Z48*10^6*365</f>
        <v>2.5661587534294596E+16</v>
      </c>
      <c r="AA16" s="232">
        <f>AA17*10^6*'AEO 2023 Table 71'!AA48*10^6*365</f>
        <v>2.5636684826588156E+16</v>
      </c>
      <c r="AB16" s="232">
        <f>AB17*10^6*'AEO 2023 Table 71'!AB48*10^6*365</f>
        <v>2.5407737862494128E+16</v>
      </c>
      <c r="AC16" s="232">
        <f>AC17*10^6*'AEO 2023 Table 71'!AC48*10^6*365</f>
        <v>2.544917895163028E+16</v>
      </c>
      <c r="AD16" s="232">
        <f>AD17*10^6*'AEO 2023 Table 71'!AD48*10^6*365</f>
        <v>2.5748759222087368E+16</v>
      </c>
      <c r="AE16" s="232">
        <f>AE17*10^6*'AEO 2023 Table 71'!AE48*10^6*365</f>
        <v>2.58842299661656E+16</v>
      </c>
    </row>
    <row r="17" spans="1:32" ht="15" customHeight="1" x14ac:dyDescent="0.65">
      <c r="A17" s="212" t="s">
        <v>556</v>
      </c>
      <c r="B17" s="215" t="s">
        <v>557</v>
      </c>
      <c r="C17" s="217">
        <f>'AEO 2023 Table 58 Raw'!F10</f>
        <v>11.391961</v>
      </c>
      <c r="D17" s="217">
        <f>'AEO 2023 Table 58 Raw'!G10</f>
        <v>11.911623000000001</v>
      </c>
      <c r="E17" s="217">
        <f>'AEO 2023 Table 58 Raw'!H10</f>
        <v>12.286136000000001</v>
      </c>
      <c r="F17" s="217">
        <f>'AEO 2023 Table 58 Raw'!I10</f>
        <v>12.405836000000001</v>
      </c>
      <c r="G17" s="217">
        <f>'AEO 2023 Table 58 Raw'!J10</f>
        <v>12.564268</v>
      </c>
      <c r="H17" s="217">
        <f>'AEO 2023 Table 58 Raw'!K10</f>
        <v>12.638444</v>
      </c>
      <c r="I17" s="217">
        <f>'AEO 2023 Table 58 Raw'!L10</f>
        <v>12.756741999999999</v>
      </c>
      <c r="J17" s="217">
        <f>'AEO 2023 Table 58 Raw'!M10</f>
        <v>12.72641</v>
      </c>
      <c r="K17" s="217">
        <f>'AEO 2023 Table 58 Raw'!N10</f>
        <v>12.711926999999999</v>
      </c>
      <c r="L17" s="217">
        <f>'AEO 2023 Table 58 Raw'!O10</f>
        <v>12.640687</v>
      </c>
      <c r="M17" s="217">
        <f>'AEO 2023 Table 58 Raw'!P10</f>
        <v>12.643459</v>
      </c>
      <c r="N17" s="217">
        <f>'AEO 2023 Table 58 Raw'!Q10</f>
        <v>12.650594</v>
      </c>
      <c r="O17" s="217">
        <f>'AEO 2023 Table 58 Raw'!R10</f>
        <v>12.649630999999999</v>
      </c>
      <c r="P17" s="217">
        <f>'AEO 2023 Table 58 Raw'!S10</f>
        <v>12.664894</v>
      </c>
      <c r="Q17" s="217">
        <f>'AEO 2023 Table 58 Raw'!T10</f>
        <v>12.608809000000001</v>
      </c>
      <c r="R17" s="217">
        <f>'AEO 2023 Table 58 Raw'!U10</f>
        <v>12.553323000000001</v>
      </c>
      <c r="S17" s="217">
        <f>'AEO 2023 Table 58 Raw'!V10</f>
        <v>12.463748000000001</v>
      </c>
      <c r="T17" s="217">
        <f>'AEO 2023 Table 58 Raw'!W10</f>
        <v>12.381916</v>
      </c>
      <c r="U17" s="217">
        <f>'AEO 2023 Table 58 Raw'!X10</f>
        <v>12.31338</v>
      </c>
      <c r="V17" s="217">
        <f>'AEO 2023 Table 58 Raw'!Y10</f>
        <v>12.207516</v>
      </c>
      <c r="W17" s="217">
        <f>'AEO 2023 Table 58 Raw'!Z10</f>
        <v>12.241076</v>
      </c>
      <c r="X17" s="217">
        <f>'AEO 2023 Table 58 Raw'!AA10</f>
        <v>12.313478999999999</v>
      </c>
      <c r="Y17" s="217">
        <f>'AEO 2023 Table 58 Raw'!AB10</f>
        <v>12.393143</v>
      </c>
      <c r="Z17" s="217">
        <f>'AEO 2023 Table 58 Raw'!AC10</f>
        <v>12.397959999999999</v>
      </c>
      <c r="AA17" s="217">
        <f>'AEO 2023 Table 58 Raw'!AD10</f>
        <v>12.389208</v>
      </c>
      <c r="AB17" s="217">
        <f>'AEO 2023 Table 58 Raw'!AE10</f>
        <v>12.286963</v>
      </c>
      <c r="AC17" s="217">
        <f>'AEO 2023 Table 58 Raw'!AF10</f>
        <v>12.299671999999999</v>
      </c>
      <c r="AD17" s="217">
        <f>'AEO 2023 Table 58 Raw'!AG10</f>
        <v>12.441811</v>
      </c>
      <c r="AE17" s="217">
        <f>'AEO 2023 Table 58 Raw'!AH10</f>
        <v>12.510002</v>
      </c>
      <c r="AF17" s="252">
        <f>'AEO 2023 Table 58 Raw'!AI10</f>
        <v>3.0000000000000001E-3</v>
      </c>
    </row>
    <row r="18" spans="1:32" ht="15" customHeight="1" x14ac:dyDescent="0.65">
      <c r="C18" s="217"/>
      <c r="D18" s="217"/>
      <c r="E18" s="217"/>
      <c r="F18" s="217"/>
      <c r="G18" s="217"/>
      <c r="H18" s="217"/>
      <c r="I18" s="217"/>
      <c r="J18" s="217"/>
      <c r="K18" s="217"/>
      <c r="L18" s="217"/>
      <c r="M18" s="217"/>
      <c r="N18" s="217"/>
      <c r="O18" s="217"/>
      <c r="P18" s="217"/>
      <c r="Q18" s="217"/>
      <c r="R18" s="217"/>
      <c r="S18" s="217"/>
      <c r="T18" s="217"/>
      <c r="U18" s="217"/>
      <c r="V18" s="217"/>
      <c r="W18" s="217"/>
      <c r="X18" s="217"/>
      <c r="Y18" s="217"/>
      <c r="Z18" s="217"/>
      <c r="AA18" s="217"/>
      <c r="AB18" s="217"/>
      <c r="AC18" s="217"/>
      <c r="AD18" s="217"/>
      <c r="AE18" s="217"/>
      <c r="AF18" s="252"/>
    </row>
    <row r="19" spans="1:32" ht="15" customHeight="1" x14ac:dyDescent="0.65">
      <c r="A19" s="212" t="s">
        <v>558</v>
      </c>
      <c r="B19" s="215" t="s">
        <v>559</v>
      </c>
      <c r="C19" s="217">
        <f>'AEO 2023 Table 58 Raw'!F11</f>
        <v>9.5885540000000002</v>
      </c>
      <c r="D19" s="217">
        <f>'AEO 2023 Table 58 Raw'!G11</f>
        <v>10.055934000000001</v>
      </c>
      <c r="E19" s="217">
        <f>'AEO 2023 Table 58 Raw'!H11</f>
        <v>10.358483</v>
      </c>
      <c r="F19" s="217">
        <f>'AEO 2023 Table 58 Raw'!I11</f>
        <v>10.399044</v>
      </c>
      <c r="G19" s="217">
        <f>'AEO 2023 Table 58 Raw'!J11</f>
        <v>10.477204</v>
      </c>
      <c r="H19" s="217">
        <f>'AEO 2023 Table 58 Raw'!K11</f>
        <v>10.4938</v>
      </c>
      <c r="I19" s="217">
        <f>'AEO 2023 Table 58 Raw'!L11</f>
        <v>10.500588</v>
      </c>
      <c r="J19" s="217">
        <f>'AEO 2023 Table 58 Raw'!M11</f>
        <v>10.464238</v>
      </c>
      <c r="K19" s="217">
        <f>'AEO 2023 Table 58 Raw'!N11</f>
        <v>10.505914000000001</v>
      </c>
      <c r="L19" s="217">
        <f>'AEO 2023 Table 58 Raw'!O11</f>
        <v>10.499349</v>
      </c>
      <c r="M19" s="217">
        <f>'AEO 2023 Table 58 Raw'!P11</f>
        <v>10.566034999999999</v>
      </c>
      <c r="N19" s="217">
        <f>'AEO 2023 Table 58 Raw'!Q11</f>
        <v>10.619910000000001</v>
      </c>
      <c r="O19" s="217">
        <f>'AEO 2023 Table 58 Raw'!R11</f>
        <v>10.638350000000001</v>
      </c>
      <c r="P19" s="217">
        <f>'AEO 2023 Table 58 Raw'!S11</f>
        <v>10.668874000000001</v>
      </c>
      <c r="Q19" s="217">
        <f>'AEO 2023 Table 58 Raw'!T11</f>
        <v>10.704992000000001</v>
      </c>
      <c r="R19" s="217">
        <f>'AEO 2023 Table 58 Raw'!U11</f>
        <v>10.735191</v>
      </c>
      <c r="S19" s="217">
        <f>'AEO 2023 Table 58 Raw'!V11</f>
        <v>10.759776</v>
      </c>
      <c r="T19" s="217">
        <f>'AEO 2023 Table 58 Raw'!W11</f>
        <v>10.788214</v>
      </c>
      <c r="U19" s="217">
        <f>'AEO 2023 Table 58 Raw'!X11</f>
        <v>10.798835</v>
      </c>
      <c r="V19" s="217">
        <f>'AEO 2023 Table 58 Raw'!Y11</f>
        <v>10.850989</v>
      </c>
      <c r="W19" s="217">
        <f>'AEO 2023 Table 58 Raw'!Z11</f>
        <v>10.894672999999999</v>
      </c>
      <c r="X19" s="217">
        <f>'AEO 2023 Table 58 Raw'!AA11</f>
        <v>10.890307999999999</v>
      </c>
      <c r="Y19" s="217">
        <f>'AEO 2023 Table 58 Raw'!AB11</f>
        <v>10.938000000000001</v>
      </c>
      <c r="Z19" s="217">
        <f>'AEO 2023 Table 58 Raw'!AC11</f>
        <v>10.994806000000001</v>
      </c>
      <c r="AA19" s="217">
        <f>'AEO 2023 Table 58 Raw'!AD11</f>
        <v>11.054777</v>
      </c>
      <c r="AB19" s="217">
        <f>'AEO 2023 Table 58 Raw'!AE11</f>
        <v>11.106519</v>
      </c>
      <c r="AC19" s="217">
        <f>'AEO 2023 Table 58 Raw'!AF11</f>
        <v>11.092962999999999</v>
      </c>
      <c r="AD19" s="217">
        <f>'AEO 2023 Table 58 Raw'!AG11</f>
        <v>11.133082</v>
      </c>
      <c r="AE19" s="217">
        <f>'AEO 2023 Table 58 Raw'!AH11</f>
        <v>11.17417</v>
      </c>
      <c r="AF19" s="252">
        <f>'AEO 2023 Table 58 Raw'!AI11</f>
        <v>5.0000000000000001E-3</v>
      </c>
    </row>
    <row r="20" spans="1:32" ht="15" customHeight="1" x14ac:dyDescent="0.75">
      <c r="A20" s="212" t="s">
        <v>560</v>
      </c>
      <c r="B20" s="211" t="s">
        <v>561</v>
      </c>
      <c r="C20" s="217">
        <f>'AEO 2023 Table 58 Raw'!F12</f>
        <v>0.17188800000000001</v>
      </c>
      <c r="D20" s="217">
        <f>'AEO 2023 Table 58 Raw'!G12</f>
        <v>0.22576399999999999</v>
      </c>
      <c r="E20" s="217">
        <f>'AEO 2023 Table 58 Raw'!H12</f>
        <v>0.242261</v>
      </c>
      <c r="F20" s="217">
        <f>'AEO 2023 Table 58 Raw'!I12</f>
        <v>0.25711800000000001</v>
      </c>
      <c r="G20" s="217">
        <f>'AEO 2023 Table 58 Raw'!J12</f>
        <v>0.26454800000000001</v>
      </c>
      <c r="H20" s="217">
        <f>'AEO 2023 Table 58 Raw'!K12</f>
        <v>0.26898100000000003</v>
      </c>
      <c r="I20" s="217">
        <f>'AEO 2023 Table 58 Raw'!L12</f>
        <v>0.27247700000000002</v>
      </c>
      <c r="J20" s="217">
        <f>'AEO 2023 Table 58 Raw'!M12</f>
        <v>0.27371699999999999</v>
      </c>
      <c r="K20" s="217">
        <f>'AEO 2023 Table 58 Raw'!N12</f>
        <v>0.27545199999999997</v>
      </c>
      <c r="L20" s="217">
        <f>'AEO 2023 Table 58 Raw'!O12</f>
        <v>0.27702199999999999</v>
      </c>
      <c r="M20" s="217">
        <f>'AEO 2023 Table 58 Raw'!P12</f>
        <v>0.279275</v>
      </c>
      <c r="N20" s="217">
        <f>'AEO 2023 Table 58 Raw'!Q12</f>
        <v>0.27875299999999997</v>
      </c>
      <c r="O20" s="217">
        <f>'AEO 2023 Table 58 Raw'!R12</f>
        <v>0.278364</v>
      </c>
      <c r="P20" s="217">
        <f>'AEO 2023 Table 58 Raw'!S12</f>
        <v>0.27689000000000002</v>
      </c>
      <c r="Q20" s="217">
        <f>'AEO 2023 Table 58 Raw'!T12</f>
        <v>0.275561</v>
      </c>
      <c r="R20" s="217">
        <f>'AEO 2023 Table 58 Raw'!U12</f>
        <v>0.27396799999999999</v>
      </c>
      <c r="S20" s="217">
        <f>'AEO 2023 Table 58 Raw'!V12</f>
        <v>0.271229</v>
      </c>
      <c r="T20" s="217">
        <f>'AEO 2023 Table 58 Raw'!W12</f>
        <v>0.26994099999999999</v>
      </c>
      <c r="U20" s="217">
        <f>'AEO 2023 Table 58 Raw'!X12</f>
        <v>0.26982600000000001</v>
      </c>
      <c r="V20" s="217">
        <f>'AEO 2023 Table 58 Raw'!Y12</f>
        <v>0.26937499999999998</v>
      </c>
      <c r="W20" s="217">
        <f>'AEO 2023 Table 58 Raw'!Z12</f>
        <v>0.271509</v>
      </c>
      <c r="X20" s="217">
        <f>'AEO 2023 Table 58 Raw'!AA12</f>
        <v>0.27307199999999998</v>
      </c>
      <c r="Y20" s="217">
        <f>'AEO 2023 Table 58 Raw'!AB12</f>
        <v>0.28427999999999998</v>
      </c>
      <c r="Z20" s="217">
        <f>'AEO 2023 Table 58 Raw'!AC12</f>
        <v>0.28966599999999998</v>
      </c>
      <c r="AA20" s="217">
        <f>'AEO 2023 Table 58 Raw'!AD12</f>
        <v>0.29224800000000001</v>
      </c>
      <c r="AB20" s="217">
        <f>'AEO 2023 Table 58 Raw'!AE12</f>
        <v>0.29572799999999999</v>
      </c>
      <c r="AC20" s="217">
        <f>'AEO 2023 Table 58 Raw'!AF12</f>
        <v>0.29759000000000002</v>
      </c>
      <c r="AD20" s="217">
        <f>'AEO 2023 Table 58 Raw'!AG12</f>
        <v>0.29797699999999999</v>
      </c>
      <c r="AE20" s="217">
        <f>'AEO 2023 Table 58 Raw'!AH12</f>
        <v>0.29855100000000001</v>
      </c>
      <c r="AF20" s="252">
        <f>'AEO 2023 Table 58 Raw'!AI12</f>
        <v>0.02</v>
      </c>
    </row>
    <row r="21" spans="1:32" ht="15" customHeight="1" x14ac:dyDescent="0.75">
      <c r="A21" s="212" t="s">
        <v>562</v>
      </c>
      <c r="B21" s="211" t="s">
        <v>563</v>
      </c>
      <c r="C21" s="217">
        <f>'AEO 2023 Table 58 Raw'!F13</f>
        <v>1.383148</v>
      </c>
      <c r="D21" s="217">
        <f>'AEO 2023 Table 58 Raw'!G13</f>
        <v>1.3939710000000001</v>
      </c>
      <c r="E21" s="217">
        <f>'AEO 2023 Table 58 Raw'!H13</f>
        <v>1.4910829999999999</v>
      </c>
      <c r="F21" s="217">
        <f>'AEO 2023 Table 58 Raw'!I13</f>
        <v>1.4972380000000001</v>
      </c>
      <c r="G21" s="217">
        <f>'AEO 2023 Table 58 Raw'!J13</f>
        <v>1.510162</v>
      </c>
      <c r="H21" s="217">
        <f>'AEO 2023 Table 58 Raw'!K13</f>
        <v>1.5066600000000001</v>
      </c>
      <c r="I21" s="217">
        <f>'AEO 2023 Table 58 Raw'!L13</f>
        <v>1.4981640000000001</v>
      </c>
      <c r="J21" s="217">
        <f>'AEO 2023 Table 58 Raw'!M13</f>
        <v>1.486872</v>
      </c>
      <c r="K21" s="217">
        <f>'AEO 2023 Table 58 Raw'!N13</f>
        <v>1.483546</v>
      </c>
      <c r="L21" s="217">
        <f>'AEO 2023 Table 58 Raw'!O13</f>
        <v>1.477908</v>
      </c>
      <c r="M21" s="217">
        <f>'AEO 2023 Table 58 Raw'!P13</f>
        <v>1.475312</v>
      </c>
      <c r="N21" s="217">
        <f>'AEO 2023 Table 58 Raw'!Q13</f>
        <v>1.480861</v>
      </c>
      <c r="O21" s="217">
        <f>'AEO 2023 Table 58 Raw'!R13</f>
        <v>1.4801340000000001</v>
      </c>
      <c r="P21" s="217">
        <f>'AEO 2023 Table 58 Raw'!S13</f>
        <v>1.489117</v>
      </c>
      <c r="Q21" s="217">
        <f>'AEO 2023 Table 58 Raw'!T13</f>
        <v>1.508624</v>
      </c>
      <c r="R21" s="217">
        <f>'AEO 2023 Table 58 Raw'!U13</f>
        <v>1.520391</v>
      </c>
      <c r="S21" s="217">
        <f>'AEO 2023 Table 58 Raw'!V13</f>
        <v>1.5281750000000001</v>
      </c>
      <c r="T21" s="217">
        <f>'AEO 2023 Table 58 Raw'!W13</f>
        <v>1.5370550000000001</v>
      </c>
      <c r="U21" s="217">
        <f>'AEO 2023 Table 58 Raw'!X13</f>
        <v>1.546359</v>
      </c>
      <c r="V21" s="217">
        <f>'AEO 2023 Table 58 Raw'!Y13</f>
        <v>1.552486</v>
      </c>
      <c r="W21" s="217">
        <f>'AEO 2023 Table 58 Raw'!Z13</f>
        <v>1.5626739999999999</v>
      </c>
      <c r="X21" s="217">
        <f>'AEO 2023 Table 58 Raw'!AA13</f>
        <v>1.57283</v>
      </c>
      <c r="Y21" s="217">
        <f>'AEO 2023 Table 58 Raw'!AB13</f>
        <v>1.578892</v>
      </c>
      <c r="Z21" s="217">
        <f>'AEO 2023 Table 58 Raw'!AC13</f>
        <v>1.5883229999999999</v>
      </c>
      <c r="AA21" s="217">
        <f>'AEO 2023 Table 58 Raw'!AD13</f>
        <v>1.60924</v>
      </c>
      <c r="AB21" s="217">
        <f>'AEO 2023 Table 58 Raw'!AE13</f>
        <v>1.6261810000000001</v>
      </c>
      <c r="AC21" s="217">
        <f>'AEO 2023 Table 58 Raw'!AF13</f>
        <v>1.64815</v>
      </c>
      <c r="AD21" s="217">
        <f>'AEO 2023 Table 58 Raw'!AG13</f>
        <v>1.6753830000000001</v>
      </c>
      <c r="AE21" s="217">
        <f>'AEO 2023 Table 58 Raw'!AH13</f>
        <v>1.6977990000000001</v>
      </c>
      <c r="AF21" s="252">
        <f>'AEO 2023 Table 58 Raw'!AI13</f>
        <v>7.0000000000000001E-3</v>
      </c>
    </row>
    <row r="22" spans="1:32" ht="15" customHeight="1" x14ac:dyDescent="0.75">
      <c r="A22" s="212" t="s">
        <v>564</v>
      </c>
      <c r="B22" s="211" t="s">
        <v>565</v>
      </c>
      <c r="C22" s="217">
        <f>'AEO 2023 Table 58 Raw'!F14</f>
        <v>0.52672200000000002</v>
      </c>
      <c r="D22" s="217">
        <f>'AEO 2023 Table 58 Raw'!G14</f>
        <v>0.51117100000000004</v>
      </c>
      <c r="E22" s="217">
        <f>'AEO 2023 Table 58 Raw'!H14</f>
        <v>0.41799599999999998</v>
      </c>
      <c r="F22" s="217">
        <f>'AEO 2023 Table 58 Raw'!I14</f>
        <v>0.43217699999999998</v>
      </c>
      <c r="G22" s="217">
        <f>'AEO 2023 Table 58 Raw'!J14</f>
        <v>0.439193</v>
      </c>
      <c r="H22" s="217">
        <f>'AEO 2023 Table 58 Raw'!K14</f>
        <v>0.44259599999999999</v>
      </c>
      <c r="I22" s="217">
        <f>'AEO 2023 Table 58 Raw'!L14</f>
        <v>0.44938600000000001</v>
      </c>
      <c r="J22" s="217">
        <f>'AEO 2023 Table 58 Raw'!M14</f>
        <v>0.45603500000000002</v>
      </c>
      <c r="K22" s="217">
        <f>'AEO 2023 Table 58 Raw'!N14</f>
        <v>0.474379</v>
      </c>
      <c r="L22" s="217">
        <f>'AEO 2023 Table 58 Raw'!O14</f>
        <v>0.48058200000000001</v>
      </c>
      <c r="M22" s="217">
        <f>'AEO 2023 Table 58 Raw'!P14</f>
        <v>0.48591699999999999</v>
      </c>
      <c r="N22" s="217">
        <f>'AEO 2023 Table 58 Raw'!Q14</f>
        <v>0.49399599999999999</v>
      </c>
      <c r="O22" s="217">
        <f>'AEO 2023 Table 58 Raw'!R14</f>
        <v>0.50722100000000003</v>
      </c>
      <c r="P22" s="217">
        <f>'AEO 2023 Table 58 Raw'!S14</f>
        <v>0.52530699999999997</v>
      </c>
      <c r="Q22" s="217">
        <f>'AEO 2023 Table 58 Raw'!T14</f>
        <v>0.53810599999999997</v>
      </c>
      <c r="R22" s="217">
        <f>'AEO 2023 Table 58 Raw'!U14</f>
        <v>0.54498899999999995</v>
      </c>
      <c r="S22" s="217">
        <f>'AEO 2023 Table 58 Raw'!V14</f>
        <v>0.55918699999999999</v>
      </c>
      <c r="T22" s="217">
        <f>'AEO 2023 Table 58 Raw'!W14</f>
        <v>0.57356200000000002</v>
      </c>
      <c r="U22" s="217">
        <f>'AEO 2023 Table 58 Raw'!X14</f>
        <v>0.593468</v>
      </c>
      <c r="V22" s="217">
        <f>'AEO 2023 Table 58 Raw'!Y14</f>
        <v>0.60889099999999996</v>
      </c>
      <c r="W22" s="217">
        <f>'AEO 2023 Table 58 Raw'!Z14</f>
        <v>0.61158699999999999</v>
      </c>
      <c r="X22" s="217">
        <f>'AEO 2023 Table 58 Raw'!AA14</f>
        <v>0.609151</v>
      </c>
      <c r="Y22" s="217">
        <f>'AEO 2023 Table 58 Raw'!AB14</f>
        <v>0.59970599999999996</v>
      </c>
      <c r="Z22" s="217">
        <f>'AEO 2023 Table 58 Raw'!AC14</f>
        <v>0.59114599999999995</v>
      </c>
      <c r="AA22" s="217">
        <f>'AEO 2023 Table 58 Raw'!AD14</f>
        <v>0.57980799999999999</v>
      </c>
      <c r="AB22" s="217">
        <f>'AEO 2023 Table 58 Raw'!AE14</f>
        <v>0.56974899999999995</v>
      </c>
      <c r="AC22" s="217">
        <f>'AEO 2023 Table 58 Raw'!AF14</f>
        <v>0.55709399999999998</v>
      </c>
      <c r="AD22" s="217">
        <f>'AEO 2023 Table 58 Raw'!AG14</f>
        <v>0.54962100000000003</v>
      </c>
      <c r="AE22" s="217">
        <f>'AEO 2023 Table 58 Raw'!AH14</f>
        <v>0.53740699999999997</v>
      </c>
      <c r="AF22" s="252">
        <f>'AEO 2023 Table 58 Raw'!AI14</f>
        <v>1E-3</v>
      </c>
    </row>
    <row r="23" spans="1:32" ht="15" customHeight="1" x14ac:dyDescent="0.75">
      <c r="A23" s="212" t="s">
        <v>566</v>
      </c>
      <c r="B23" s="211" t="s">
        <v>567</v>
      </c>
      <c r="C23" s="217">
        <f>'AEO 2023 Table 58 Raw'!F15</f>
        <v>5.3044130000000003</v>
      </c>
      <c r="D23" s="217">
        <f>'AEO 2023 Table 58 Raw'!G15</f>
        <v>5.6627210000000003</v>
      </c>
      <c r="E23" s="217">
        <f>'AEO 2023 Table 58 Raw'!H15</f>
        <v>5.683052</v>
      </c>
      <c r="F23" s="217">
        <f>'AEO 2023 Table 58 Raw'!I15</f>
        <v>5.6803299999999997</v>
      </c>
      <c r="G23" s="217">
        <f>'AEO 2023 Table 58 Raw'!J15</f>
        <v>5.6571629999999997</v>
      </c>
      <c r="H23" s="217">
        <f>'AEO 2023 Table 58 Raw'!K15</f>
        <v>5.6255199999999999</v>
      </c>
      <c r="I23" s="217">
        <f>'AEO 2023 Table 58 Raw'!L15</f>
        <v>5.596425</v>
      </c>
      <c r="J23" s="217">
        <f>'AEO 2023 Table 58 Raw'!M15</f>
        <v>5.5502320000000003</v>
      </c>
      <c r="K23" s="217">
        <f>'AEO 2023 Table 58 Raw'!N15</f>
        <v>5.5339359999999997</v>
      </c>
      <c r="L23" s="217">
        <f>'AEO 2023 Table 58 Raw'!O15</f>
        <v>5.5129479999999997</v>
      </c>
      <c r="M23" s="217">
        <f>'AEO 2023 Table 58 Raw'!P15</f>
        <v>5.4842019999999998</v>
      </c>
      <c r="N23" s="217">
        <f>'AEO 2023 Table 58 Raw'!Q15</f>
        <v>5.4770469999999998</v>
      </c>
      <c r="O23" s="217">
        <f>'AEO 2023 Table 58 Raw'!R15</f>
        <v>5.4611499999999999</v>
      </c>
      <c r="P23" s="217">
        <f>'AEO 2023 Table 58 Raw'!S15</f>
        <v>5.4234520000000002</v>
      </c>
      <c r="Q23" s="217">
        <f>'AEO 2023 Table 58 Raw'!T15</f>
        <v>5.4030230000000001</v>
      </c>
      <c r="R23" s="217">
        <f>'AEO 2023 Table 58 Raw'!U15</f>
        <v>5.4030680000000002</v>
      </c>
      <c r="S23" s="217">
        <f>'AEO 2023 Table 58 Raw'!V15</f>
        <v>5.4030189999999996</v>
      </c>
      <c r="T23" s="217">
        <f>'AEO 2023 Table 58 Raw'!W15</f>
        <v>5.3940190000000001</v>
      </c>
      <c r="U23" s="217">
        <f>'AEO 2023 Table 58 Raw'!X15</f>
        <v>5.3706870000000002</v>
      </c>
      <c r="V23" s="217">
        <f>'AEO 2023 Table 58 Raw'!Y15</f>
        <v>5.3890719999999996</v>
      </c>
      <c r="W23" s="217">
        <f>'AEO 2023 Table 58 Raw'!Z15</f>
        <v>5.4129009999999997</v>
      </c>
      <c r="X23" s="217">
        <f>'AEO 2023 Table 58 Raw'!AA15</f>
        <v>5.4207580000000002</v>
      </c>
      <c r="Y23" s="217">
        <f>'AEO 2023 Table 58 Raw'!AB15</f>
        <v>5.4398350000000004</v>
      </c>
      <c r="Z23" s="217">
        <f>'AEO 2023 Table 58 Raw'!AC15</f>
        <v>5.4736710000000004</v>
      </c>
      <c r="AA23" s="217">
        <f>'AEO 2023 Table 58 Raw'!AD15</f>
        <v>5.4990670000000001</v>
      </c>
      <c r="AB23" s="217">
        <f>'AEO 2023 Table 58 Raw'!AE15</f>
        <v>5.5072679999999998</v>
      </c>
      <c r="AC23" s="217">
        <f>'AEO 2023 Table 58 Raw'!AF15</f>
        <v>5.4959340000000001</v>
      </c>
      <c r="AD23" s="217">
        <f>'AEO 2023 Table 58 Raw'!AG15</f>
        <v>5.510453</v>
      </c>
      <c r="AE23" s="217">
        <f>'AEO 2023 Table 58 Raw'!AH15</f>
        <v>5.5125590000000004</v>
      </c>
      <c r="AF23" s="252">
        <f>'AEO 2023 Table 58 Raw'!AI15</f>
        <v>1E-3</v>
      </c>
    </row>
    <row r="24" spans="1:32" ht="15" customHeight="1" x14ac:dyDescent="0.75">
      <c r="A24" s="212" t="s">
        <v>568</v>
      </c>
      <c r="B24" s="211" t="s">
        <v>569</v>
      </c>
      <c r="C24" s="217">
        <f>'AEO 2023 Table 58 Raw'!F16</f>
        <v>0.79108800000000001</v>
      </c>
      <c r="D24" s="217">
        <f>'AEO 2023 Table 58 Raw'!G16</f>
        <v>0.82060500000000003</v>
      </c>
      <c r="E24" s="217">
        <f>'AEO 2023 Table 58 Raw'!H16</f>
        <v>0.901864</v>
      </c>
      <c r="F24" s="217">
        <f>'AEO 2023 Table 58 Raw'!I16</f>
        <v>0.91389799999999999</v>
      </c>
      <c r="G24" s="217">
        <f>'AEO 2023 Table 58 Raw'!J16</f>
        <v>0.94774199999999997</v>
      </c>
      <c r="H24" s="217">
        <f>'AEO 2023 Table 58 Raw'!K16</f>
        <v>0.95677999999999996</v>
      </c>
      <c r="I24" s="217">
        <f>'AEO 2023 Table 58 Raw'!L16</f>
        <v>0.95888899999999999</v>
      </c>
      <c r="J24" s="217">
        <f>'AEO 2023 Table 58 Raw'!M16</f>
        <v>0.96229399999999998</v>
      </c>
      <c r="K24" s="217">
        <f>'AEO 2023 Table 58 Raw'!N16</f>
        <v>0.96433500000000005</v>
      </c>
      <c r="L24" s="217">
        <f>'AEO 2023 Table 58 Raw'!O16</f>
        <v>0.96512699999999996</v>
      </c>
      <c r="M24" s="217">
        <f>'AEO 2023 Table 58 Raw'!P16</f>
        <v>1.0055400000000001</v>
      </c>
      <c r="N24" s="217">
        <f>'AEO 2023 Table 58 Raw'!Q16</f>
        <v>1.0246599999999999</v>
      </c>
      <c r="O24" s="217">
        <f>'AEO 2023 Table 58 Raw'!R16</f>
        <v>1.0344530000000001</v>
      </c>
      <c r="P24" s="217">
        <f>'AEO 2023 Table 58 Raw'!S16</f>
        <v>1.0449820000000001</v>
      </c>
      <c r="Q24" s="217">
        <f>'AEO 2023 Table 58 Raw'!T16</f>
        <v>1.0544480000000001</v>
      </c>
      <c r="R24" s="217">
        <f>'AEO 2023 Table 58 Raw'!U16</f>
        <v>1.0661940000000001</v>
      </c>
      <c r="S24" s="217">
        <f>'AEO 2023 Table 58 Raw'!V16</f>
        <v>1.0766880000000001</v>
      </c>
      <c r="T24" s="217">
        <f>'AEO 2023 Table 58 Raw'!W16</f>
        <v>1.093658</v>
      </c>
      <c r="U24" s="217">
        <f>'AEO 2023 Table 58 Raw'!X16</f>
        <v>1.1022970000000001</v>
      </c>
      <c r="V24" s="217">
        <f>'AEO 2023 Table 58 Raw'!Y16</f>
        <v>1.1076900000000001</v>
      </c>
      <c r="W24" s="217">
        <f>'AEO 2023 Table 58 Raw'!Z16</f>
        <v>1.1064160000000001</v>
      </c>
      <c r="X24" s="217">
        <f>'AEO 2023 Table 58 Raw'!AA16</f>
        <v>1.109191</v>
      </c>
      <c r="Y24" s="217">
        <f>'AEO 2023 Table 58 Raw'!AB16</f>
        <v>1.14141</v>
      </c>
      <c r="Z24" s="217">
        <f>'AEO 2023 Table 58 Raw'!AC16</f>
        <v>1.152717</v>
      </c>
      <c r="AA24" s="217">
        <f>'AEO 2023 Table 58 Raw'!AD16</f>
        <v>1.1558200000000001</v>
      </c>
      <c r="AB24" s="217">
        <f>'AEO 2023 Table 58 Raw'!AE16</f>
        <v>1.1608830000000001</v>
      </c>
      <c r="AC24" s="217">
        <f>'AEO 2023 Table 58 Raw'!AF16</f>
        <v>1.1644909999999999</v>
      </c>
      <c r="AD24" s="217">
        <f>'AEO 2023 Table 58 Raw'!AG16</f>
        <v>1.169268</v>
      </c>
      <c r="AE24" s="217">
        <f>'AEO 2023 Table 58 Raw'!AH16</f>
        <v>1.175559</v>
      </c>
      <c r="AF24" s="252">
        <f>'AEO 2023 Table 58 Raw'!AI16</f>
        <v>1.4E-2</v>
      </c>
    </row>
    <row r="25" spans="1:32" ht="15" customHeight="1" x14ac:dyDescent="0.75">
      <c r="A25" s="212" t="s">
        <v>570</v>
      </c>
      <c r="B25" s="211" t="s">
        <v>571</v>
      </c>
      <c r="C25" s="217">
        <f>'AEO 2023 Table 58 Raw'!F17</f>
        <v>1.1107400000000001</v>
      </c>
      <c r="D25" s="217">
        <f>'AEO 2023 Table 58 Raw'!G17</f>
        <v>1.1749799999999999</v>
      </c>
      <c r="E25" s="217">
        <f>'AEO 2023 Table 58 Raw'!H17</f>
        <v>1.346333</v>
      </c>
      <c r="F25" s="217">
        <f>'AEO 2023 Table 58 Raw'!I17</f>
        <v>1.3446689999999999</v>
      </c>
      <c r="G25" s="217">
        <f>'AEO 2023 Table 58 Raw'!J17</f>
        <v>1.383713</v>
      </c>
      <c r="H25" s="217">
        <f>'AEO 2023 Table 58 Raw'!K17</f>
        <v>1.41899</v>
      </c>
      <c r="I25" s="217">
        <f>'AEO 2023 Table 58 Raw'!L17</f>
        <v>1.4511179999999999</v>
      </c>
      <c r="J25" s="217">
        <f>'AEO 2023 Table 58 Raw'!M17</f>
        <v>1.462647</v>
      </c>
      <c r="K25" s="217">
        <f>'AEO 2023 Table 58 Raw'!N17</f>
        <v>1.503288</v>
      </c>
      <c r="L25" s="217">
        <f>'AEO 2023 Table 58 Raw'!O17</f>
        <v>1.516634</v>
      </c>
      <c r="M25" s="217">
        <f>'AEO 2023 Table 58 Raw'!P17</f>
        <v>1.567483</v>
      </c>
      <c r="N25" s="217">
        <f>'AEO 2023 Table 58 Raw'!Q17</f>
        <v>1.601777</v>
      </c>
      <c r="O25" s="217">
        <f>'AEO 2023 Table 58 Raw'!R17</f>
        <v>1.6215310000000001</v>
      </c>
      <c r="P25" s="217">
        <f>'AEO 2023 Table 58 Raw'!S17</f>
        <v>1.6656820000000001</v>
      </c>
      <c r="Q25" s="217">
        <f>'AEO 2023 Table 58 Raw'!T17</f>
        <v>1.6944129999999999</v>
      </c>
      <c r="R25" s="217">
        <f>'AEO 2023 Table 58 Raw'!U17</f>
        <v>1.707527</v>
      </c>
      <c r="S25" s="217">
        <f>'AEO 2023 Table 58 Raw'!V17</f>
        <v>1.7144219999999999</v>
      </c>
      <c r="T25" s="217">
        <f>'AEO 2023 Table 58 Raw'!W17</f>
        <v>1.7225600000000001</v>
      </c>
      <c r="U25" s="217">
        <f>'AEO 2023 Table 58 Raw'!X17</f>
        <v>1.728105</v>
      </c>
      <c r="V25" s="217">
        <f>'AEO 2023 Table 58 Raw'!Y17</f>
        <v>1.7445600000000001</v>
      </c>
      <c r="W25" s="217">
        <f>'AEO 2023 Table 58 Raw'!Z17</f>
        <v>1.7608250000000001</v>
      </c>
      <c r="X25" s="217">
        <f>'AEO 2023 Table 58 Raw'!AA17</f>
        <v>1.745668</v>
      </c>
      <c r="Y25" s="217">
        <f>'AEO 2023 Table 58 Raw'!AB17</f>
        <v>1.7411620000000001</v>
      </c>
      <c r="Z25" s="217">
        <f>'AEO 2023 Table 58 Raw'!AC17</f>
        <v>1.752758</v>
      </c>
      <c r="AA25" s="217">
        <f>'AEO 2023 Table 58 Raw'!AD17</f>
        <v>1.775987</v>
      </c>
      <c r="AB25" s="217">
        <f>'AEO 2023 Table 58 Raw'!AE17</f>
        <v>1.807755</v>
      </c>
      <c r="AC25" s="217">
        <f>'AEO 2023 Table 58 Raw'!AF17</f>
        <v>1.7942469999999999</v>
      </c>
      <c r="AD25" s="217">
        <f>'AEO 2023 Table 58 Raw'!AG17</f>
        <v>1.799285</v>
      </c>
      <c r="AE25" s="217">
        <f>'AEO 2023 Table 58 Raw'!AH17</f>
        <v>1.824435</v>
      </c>
      <c r="AF25" s="252">
        <f>'AEO 2023 Table 58 Raw'!AI17</f>
        <v>1.7999999999999999E-2</v>
      </c>
    </row>
    <row r="26" spans="1:32" ht="15" customHeight="1" x14ac:dyDescent="0.75">
      <c r="A26" s="212" t="s">
        <v>572</v>
      </c>
      <c r="B26" s="211" t="s">
        <v>573</v>
      </c>
      <c r="C26" s="217">
        <f>'AEO 2023 Table 58 Raw'!F18</f>
        <v>0.30055300000000001</v>
      </c>
      <c r="D26" s="217">
        <f>'AEO 2023 Table 58 Raw'!G18</f>
        <v>0.26672299999999999</v>
      </c>
      <c r="E26" s="217">
        <f>'AEO 2023 Table 58 Raw'!H18</f>
        <v>0.275893</v>
      </c>
      <c r="F26" s="217">
        <f>'AEO 2023 Table 58 Raw'!I18</f>
        <v>0.27361600000000003</v>
      </c>
      <c r="G26" s="217">
        <f>'AEO 2023 Table 58 Raw'!J18</f>
        <v>0.27468300000000001</v>
      </c>
      <c r="H26" s="217">
        <f>'AEO 2023 Table 58 Raw'!K18</f>
        <v>0.27427400000000002</v>
      </c>
      <c r="I26" s="217">
        <f>'AEO 2023 Table 58 Raw'!L18</f>
        <v>0.27412999999999998</v>
      </c>
      <c r="J26" s="217">
        <f>'AEO 2023 Table 58 Raw'!M18</f>
        <v>0.27244099999999999</v>
      </c>
      <c r="K26" s="217">
        <f>'AEO 2023 Table 58 Raw'!N18</f>
        <v>0.27097900000000003</v>
      </c>
      <c r="L26" s="217">
        <f>'AEO 2023 Table 58 Raw'!O18</f>
        <v>0.26912799999999998</v>
      </c>
      <c r="M26" s="217">
        <f>'AEO 2023 Table 58 Raw'!P18</f>
        <v>0.26830599999999999</v>
      </c>
      <c r="N26" s="217">
        <f>'AEO 2023 Table 58 Raw'!Q18</f>
        <v>0.26281599999999999</v>
      </c>
      <c r="O26" s="217">
        <f>'AEO 2023 Table 58 Raw'!R18</f>
        <v>0.255498</v>
      </c>
      <c r="P26" s="217">
        <f>'AEO 2023 Table 58 Raw'!S18</f>
        <v>0.24344299999999999</v>
      </c>
      <c r="Q26" s="217">
        <f>'AEO 2023 Table 58 Raw'!T18</f>
        <v>0.23081699999999999</v>
      </c>
      <c r="R26" s="217">
        <f>'AEO 2023 Table 58 Raw'!U18</f>
        <v>0.219053</v>
      </c>
      <c r="S26" s="217">
        <f>'AEO 2023 Table 58 Raw'!V18</f>
        <v>0.20705599999999999</v>
      </c>
      <c r="T26" s="217">
        <f>'AEO 2023 Table 58 Raw'!W18</f>
        <v>0.19741900000000001</v>
      </c>
      <c r="U26" s="217">
        <f>'AEO 2023 Table 58 Raw'!X18</f>
        <v>0.18809200000000001</v>
      </c>
      <c r="V26" s="217">
        <f>'AEO 2023 Table 58 Raw'!Y18</f>
        <v>0.17891599999999999</v>
      </c>
      <c r="W26" s="217">
        <f>'AEO 2023 Table 58 Raw'!Z18</f>
        <v>0.16876099999999999</v>
      </c>
      <c r="X26" s="217">
        <f>'AEO 2023 Table 58 Raw'!AA18</f>
        <v>0.159638</v>
      </c>
      <c r="Y26" s="217">
        <f>'AEO 2023 Table 58 Raw'!AB18</f>
        <v>0.15271599999999999</v>
      </c>
      <c r="Z26" s="217">
        <f>'AEO 2023 Table 58 Raw'!AC18</f>
        <v>0.14652599999999999</v>
      </c>
      <c r="AA26" s="217">
        <f>'AEO 2023 Table 58 Raw'!AD18</f>
        <v>0.14260700000000001</v>
      </c>
      <c r="AB26" s="217">
        <f>'AEO 2023 Table 58 Raw'!AE18</f>
        <v>0.13895399999999999</v>
      </c>
      <c r="AC26" s="217">
        <f>'AEO 2023 Table 58 Raw'!AF18</f>
        <v>0.135458</v>
      </c>
      <c r="AD26" s="217">
        <f>'AEO 2023 Table 58 Raw'!AG18</f>
        <v>0.13109499999999999</v>
      </c>
      <c r="AE26" s="217">
        <f>'AEO 2023 Table 58 Raw'!AH18</f>
        <v>0.12786</v>
      </c>
      <c r="AF26" s="252">
        <f>'AEO 2023 Table 58 Raw'!AI18</f>
        <v>-0.03</v>
      </c>
    </row>
    <row r="27" spans="1:32" ht="15" customHeight="1" x14ac:dyDescent="0.65">
      <c r="C27" s="217"/>
      <c r="D27" s="217"/>
      <c r="E27" s="217"/>
      <c r="F27" s="217"/>
      <c r="G27" s="217"/>
      <c r="H27" s="217"/>
      <c r="I27" s="217"/>
      <c r="J27" s="217"/>
      <c r="K27" s="217"/>
      <c r="L27" s="217"/>
      <c r="M27" s="217"/>
      <c r="N27" s="217"/>
      <c r="O27" s="217"/>
      <c r="P27" s="217"/>
      <c r="Q27" s="217"/>
      <c r="R27" s="217"/>
      <c r="S27" s="217"/>
      <c r="T27" s="217"/>
      <c r="U27" s="217"/>
      <c r="V27" s="217"/>
      <c r="W27" s="217"/>
      <c r="X27" s="217"/>
      <c r="Y27" s="217"/>
      <c r="Z27" s="217"/>
      <c r="AA27" s="217"/>
      <c r="AB27" s="217"/>
      <c r="AC27" s="217"/>
      <c r="AD27" s="217"/>
      <c r="AE27" s="217"/>
      <c r="AF27" s="252"/>
    </row>
    <row r="28" spans="1:32" ht="15" customHeight="1" x14ac:dyDescent="0.65">
      <c r="A28" s="212" t="s">
        <v>574</v>
      </c>
      <c r="B28" s="215" t="s">
        <v>575</v>
      </c>
      <c r="C28" s="217">
        <f>'AEO 2023 Table 58 Raw'!F19</f>
        <v>1.803407</v>
      </c>
      <c r="D28" s="217">
        <f>'AEO 2023 Table 58 Raw'!G19</f>
        <v>1.855688</v>
      </c>
      <c r="E28" s="217">
        <f>'AEO 2023 Table 58 Raw'!H19</f>
        <v>1.9276530000000001</v>
      </c>
      <c r="F28" s="217">
        <f>'AEO 2023 Table 58 Raw'!I19</f>
        <v>2.006793</v>
      </c>
      <c r="G28" s="217">
        <f>'AEO 2023 Table 58 Raw'!J19</f>
        <v>2.0870639999999998</v>
      </c>
      <c r="H28" s="217">
        <f>'AEO 2023 Table 58 Raw'!K19</f>
        <v>2.144644</v>
      </c>
      <c r="I28" s="217">
        <f>'AEO 2023 Table 58 Raw'!L19</f>
        <v>2.2561529999999999</v>
      </c>
      <c r="J28" s="217">
        <f>'AEO 2023 Table 58 Raw'!M19</f>
        <v>2.2621720000000001</v>
      </c>
      <c r="K28" s="217">
        <f>'AEO 2023 Table 58 Raw'!N19</f>
        <v>2.206013</v>
      </c>
      <c r="L28" s="217">
        <f>'AEO 2023 Table 58 Raw'!O19</f>
        <v>2.1413380000000002</v>
      </c>
      <c r="M28" s="217">
        <f>'AEO 2023 Table 58 Raw'!P19</f>
        <v>2.0774240000000002</v>
      </c>
      <c r="N28" s="217">
        <f>'AEO 2023 Table 58 Raw'!Q19</f>
        <v>2.0306829999999998</v>
      </c>
      <c r="O28" s="217">
        <f>'AEO 2023 Table 58 Raw'!R19</f>
        <v>2.0112809999999999</v>
      </c>
      <c r="P28" s="217">
        <f>'AEO 2023 Table 58 Raw'!S19</f>
        <v>1.996021</v>
      </c>
      <c r="Q28" s="217">
        <f>'AEO 2023 Table 58 Raw'!T19</f>
        <v>1.903816</v>
      </c>
      <c r="R28" s="217">
        <f>'AEO 2023 Table 58 Raw'!U19</f>
        <v>1.8181309999999999</v>
      </c>
      <c r="S28" s="217">
        <f>'AEO 2023 Table 58 Raw'!V19</f>
        <v>1.7039709999999999</v>
      </c>
      <c r="T28" s="217">
        <f>'AEO 2023 Table 58 Raw'!W19</f>
        <v>1.593702</v>
      </c>
      <c r="U28" s="217">
        <f>'AEO 2023 Table 58 Raw'!X19</f>
        <v>1.514545</v>
      </c>
      <c r="V28" s="217">
        <f>'AEO 2023 Table 58 Raw'!Y19</f>
        <v>1.3565259999999999</v>
      </c>
      <c r="W28" s="217">
        <f>'AEO 2023 Table 58 Raw'!Z19</f>
        <v>1.3464020000000001</v>
      </c>
      <c r="X28" s="217">
        <f>'AEO 2023 Table 58 Raw'!AA19</f>
        <v>1.4231720000000001</v>
      </c>
      <c r="Y28" s="217">
        <f>'AEO 2023 Table 58 Raw'!AB19</f>
        <v>1.4551430000000001</v>
      </c>
      <c r="Z28" s="217">
        <f>'AEO 2023 Table 58 Raw'!AC19</f>
        <v>1.403154</v>
      </c>
      <c r="AA28" s="217">
        <f>'AEO 2023 Table 58 Raw'!AD19</f>
        <v>1.3344309999999999</v>
      </c>
      <c r="AB28" s="217">
        <f>'AEO 2023 Table 58 Raw'!AE19</f>
        <v>1.180445</v>
      </c>
      <c r="AC28" s="217">
        <f>'AEO 2023 Table 58 Raw'!AF19</f>
        <v>1.206709</v>
      </c>
      <c r="AD28" s="217">
        <f>'AEO 2023 Table 58 Raw'!AG19</f>
        <v>1.3087279999999999</v>
      </c>
      <c r="AE28" s="217">
        <f>'AEO 2023 Table 58 Raw'!AH19</f>
        <v>1.3358319999999999</v>
      </c>
      <c r="AF28" s="252">
        <f>'AEO 2023 Table 58 Raw'!AI19</f>
        <v>-1.0999999999999999E-2</v>
      </c>
    </row>
    <row r="29" spans="1:32" ht="15" customHeight="1" x14ac:dyDescent="0.75">
      <c r="A29" s="212" t="s">
        <v>576</v>
      </c>
      <c r="B29" s="211" t="s">
        <v>577</v>
      </c>
      <c r="C29" s="217">
        <f>'AEO 2023 Table 58 Raw'!F20</f>
        <v>1.769407</v>
      </c>
      <c r="D29" s="217">
        <f>'AEO 2023 Table 58 Raw'!G20</f>
        <v>1.822009</v>
      </c>
      <c r="E29" s="217">
        <f>'AEO 2023 Table 58 Raw'!H20</f>
        <v>1.906318</v>
      </c>
      <c r="F29" s="217">
        <f>'AEO 2023 Table 58 Raw'!I20</f>
        <v>1.9873620000000001</v>
      </c>
      <c r="G29" s="217">
        <f>'AEO 2023 Table 58 Raw'!J20</f>
        <v>2.0692119999999998</v>
      </c>
      <c r="H29" s="217">
        <f>'AEO 2023 Table 58 Raw'!K20</f>
        <v>2.1281219999999998</v>
      </c>
      <c r="I29" s="217">
        <f>'AEO 2023 Table 58 Raw'!L20</f>
        <v>2.121645</v>
      </c>
      <c r="J29" s="217">
        <f>'AEO 2023 Table 58 Raw'!M20</f>
        <v>2.1076549999999998</v>
      </c>
      <c r="K29" s="217">
        <f>'AEO 2023 Table 58 Raw'!N20</f>
        <v>2.019549</v>
      </c>
      <c r="L29" s="217">
        <f>'AEO 2023 Table 58 Raw'!O20</f>
        <v>1.944442</v>
      </c>
      <c r="M29" s="217">
        <f>'AEO 2023 Table 58 Raw'!P20</f>
        <v>1.8774139999999999</v>
      </c>
      <c r="N29" s="217">
        <f>'AEO 2023 Table 58 Raw'!Q20</f>
        <v>1.8275060000000001</v>
      </c>
      <c r="O29" s="217">
        <f>'AEO 2023 Table 58 Raw'!R20</f>
        <v>1.8038860000000001</v>
      </c>
      <c r="P29" s="217">
        <f>'AEO 2023 Table 58 Raw'!S20</f>
        <v>1.7932889999999999</v>
      </c>
      <c r="Q29" s="217">
        <f>'AEO 2023 Table 58 Raw'!T20</f>
        <v>1.7003440000000001</v>
      </c>
      <c r="R29" s="217">
        <f>'AEO 2023 Table 58 Raw'!U20</f>
        <v>1.623243</v>
      </c>
      <c r="S29" s="217">
        <f>'AEO 2023 Table 58 Raw'!V20</f>
        <v>1.5266059999999999</v>
      </c>
      <c r="T29" s="217">
        <f>'AEO 2023 Table 58 Raw'!W20</f>
        <v>1.4028970000000001</v>
      </c>
      <c r="U29" s="217">
        <f>'AEO 2023 Table 58 Raw'!X20</f>
        <v>1.327631</v>
      </c>
      <c r="V29" s="217">
        <f>'AEO 2023 Table 58 Raw'!Y20</f>
        <v>1.157386</v>
      </c>
      <c r="W29" s="217">
        <f>'AEO 2023 Table 58 Raw'!Z20</f>
        <v>1.1489990000000001</v>
      </c>
      <c r="X29" s="217">
        <f>'AEO 2023 Table 58 Raw'!AA20</f>
        <v>1.2343280000000001</v>
      </c>
      <c r="Y29" s="217">
        <f>'AEO 2023 Table 58 Raw'!AB20</f>
        <v>1.257517</v>
      </c>
      <c r="Z29" s="217">
        <f>'AEO 2023 Table 58 Raw'!AC20</f>
        <v>1.1857709999999999</v>
      </c>
      <c r="AA29" s="217">
        <f>'AEO 2023 Table 58 Raw'!AD20</f>
        <v>1.123478</v>
      </c>
      <c r="AB29" s="217">
        <f>'AEO 2023 Table 58 Raw'!AE20</f>
        <v>0.98335300000000003</v>
      </c>
      <c r="AC29" s="217">
        <f>'AEO 2023 Table 58 Raw'!AF20</f>
        <v>0.91574800000000001</v>
      </c>
      <c r="AD29" s="217">
        <f>'AEO 2023 Table 58 Raw'!AG20</f>
        <v>1.012054</v>
      </c>
      <c r="AE29" s="217">
        <f>'AEO 2023 Table 58 Raw'!AH20</f>
        <v>1.0609869999999999</v>
      </c>
      <c r="AF29" s="252">
        <f>'AEO 2023 Table 58 Raw'!AI20</f>
        <v>-1.7999999999999999E-2</v>
      </c>
    </row>
    <row r="30" spans="1:32" ht="15" customHeight="1" x14ac:dyDescent="0.75">
      <c r="A30" s="212" t="s">
        <v>578</v>
      </c>
      <c r="B30" s="211" t="s">
        <v>579</v>
      </c>
      <c r="C30" s="217">
        <f>'AEO 2023 Table 58 Raw'!F21</f>
        <v>0</v>
      </c>
      <c r="D30" s="217">
        <f>'AEO 2023 Table 58 Raw'!G21</f>
        <v>9.6970000000000008E-3</v>
      </c>
      <c r="E30" s="217">
        <f>'AEO 2023 Table 58 Raw'!H21</f>
        <v>8.3529999999999993E-3</v>
      </c>
      <c r="F30" s="217">
        <f>'AEO 2023 Table 58 Raw'!I21</f>
        <v>7.345E-3</v>
      </c>
      <c r="G30" s="217">
        <f>'AEO 2023 Table 58 Raw'!J21</f>
        <v>6.561E-3</v>
      </c>
      <c r="H30" s="217">
        <f>'AEO 2023 Table 58 Raw'!K21</f>
        <v>5.934E-3</v>
      </c>
      <c r="I30" s="217">
        <f>'AEO 2023 Table 58 Raw'!L21</f>
        <v>5.4209999999999996E-3</v>
      </c>
      <c r="J30" s="217">
        <f>'AEO 2023 Table 58 Raw'!M21</f>
        <v>4.993E-3</v>
      </c>
      <c r="K30" s="217">
        <f>'AEO 2023 Table 58 Raw'!N21</f>
        <v>4.6309999999999997E-3</v>
      </c>
      <c r="L30" s="217">
        <f>'AEO 2023 Table 58 Raw'!O21</f>
        <v>4.3210000000000002E-3</v>
      </c>
      <c r="M30" s="217">
        <f>'AEO 2023 Table 58 Raw'!P21</f>
        <v>4.052E-3</v>
      </c>
      <c r="N30" s="217">
        <f>'AEO 2023 Table 58 Raw'!Q21</f>
        <v>3.8170000000000001E-3</v>
      </c>
      <c r="O30" s="217">
        <f>'AEO 2023 Table 58 Raw'!R21</f>
        <v>3.6099999999999999E-3</v>
      </c>
      <c r="P30" s="217">
        <f>'AEO 2023 Table 58 Raw'!S21</f>
        <v>3.4250000000000001E-3</v>
      </c>
      <c r="Q30" s="217">
        <f>'AEO 2023 Table 58 Raw'!T21</f>
        <v>3.2599999999999999E-3</v>
      </c>
      <c r="R30" s="217">
        <f>'AEO 2023 Table 58 Raw'!U21</f>
        <v>3.1120000000000002E-3</v>
      </c>
      <c r="S30" s="217">
        <f>'AEO 2023 Table 58 Raw'!V21</f>
        <v>2.977E-3</v>
      </c>
      <c r="T30" s="217">
        <f>'AEO 2023 Table 58 Raw'!W21</f>
        <v>2.8549999999999999E-3</v>
      </c>
      <c r="U30" s="217">
        <f>'AEO 2023 Table 58 Raw'!X21</f>
        <v>2.7439999999999999E-3</v>
      </c>
      <c r="V30" s="217">
        <f>'AEO 2023 Table 58 Raw'!Y21</f>
        <v>2.6410000000000001E-3</v>
      </c>
      <c r="W30" s="217">
        <f>'AEO 2023 Table 58 Raw'!Z21</f>
        <v>2.5469999999999998E-3</v>
      </c>
      <c r="X30" s="217">
        <f>'AEO 2023 Table 58 Raw'!AA21</f>
        <v>2.4599999999999999E-3</v>
      </c>
      <c r="Y30" s="217">
        <f>'AEO 2023 Table 58 Raw'!AB21</f>
        <v>2.3800000000000002E-3</v>
      </c>
      <c r="Z30" s="217">
        <f>'AEO 2023 Table 58 Raw'!AC21</f>
        <v>2.3050000000000002E-3</v>
      </c>
      <c r="AA30" s="217">
        <f>'AEO 2023 Table 58 Raw'!AD21</f>
        <v>2.2360000000000001E-3</v>
      </c>
      <c r="AB30" s="217">
        <f>'AEO 2023 Table 58 Raw'!AE21</f>
        <v>2.1710000000000002E-3</v>
      </c>
      <c r="AC30" s="217">
        <f>'AEO 2023 Table 58 Raw'!AF21</f>
        <v>2.1099999999999999E-3</v>
      </c>
      <c r="AD30" s="217">
        <f>'AEO 2023 Table 58 Raw'!AG21</f>
        <v>2.0530000000000001E-3</v>
      </c>
      <c r="AE30" s="217">
        <f>'AEO 2023 Table 58 Raw'!AH21</f>
        <v>2E-3</v>
      </c>
      <c r="AF30" s="252">
        <f>'AEO 2023 Table 58 Raw'!AI21</f>
        <v>1.9499999999999999E-3</v>
      </c>
    </row>
    <row r="31" spans="1:32" ht="15" customHeight="1" x14ac:dyDescent="0.75">
      <c r="A31" s="212" t="s">
        <v>580</v>
      </c>
      <c r="B31" s="211" t="s">
        <v>581</v>
      </c>
      <c r="C31" s="217">
        <f>'AEO 2023 Table 58 Raw'!F22</f>
        <v>0</v>
      </c>
      <c r="D31" s="217">
        <f>'AEO 2023 Table 58 Raw'!G22</f>
        <v>8.5136000000000003E-2</v>
      </c>
      <c r="E31" s="217">
        <f>'AEO 2023 Table 58 Raw'!H22</f>
        <v>7.9364000000000004E-2</v>
      </c>
      <c r="F31" s="217">
        <f>'AEO 2023 Table 58 Raw'!I22</f>
        <v>7.2545999999999999E-2</v>
      </c>
      <c r="G31" s="217">
        <f>'AEO 2023 Table 58 Raw'!J22</f>
        <v>6.4921000000000006E-2</v>
      </c>
      <c r="H31" s="217">
        <f>'AEO 2023 Table 58 Raw'!K22</f>
        <v>5.8893000000000001E-2</v>
      </c>
      <c r="I31" s="217">
        <f>'AEO 2023 Table 58 Raw'!L22</f>
        <v>5.3895999999999999E-2</v>
      </c>
      <c r="J31" s="217">
        <f>'AEO 2023 Table 58 Raw'!M22</f>
        <v>4.9768E-2</v>
      </c>
      <c r="K31" s="217">
        <f>'AEO 2023 Table 58 Raw'!N22</f>
        <v>4.6399999999999997E-2</v>
      </c>
      <c r="L31" s="217">
        <f>'AEO 2023 Table 58 Raw'!O22</f>
        <v>4.3549999999999998E-2</v>
      </c>
      <c r="M31" s="217">
        <f>'AEO 2023 Table 58 Raw'!P22</f>
        <v>4.1002999999999998E-2</v>
      </c>
      <c r="N31" s="217">
        <f>'AEO 2023 Table 58 Raw'!Q22</f>
        <v>3.8834E-2</v>
      </c>
      <c r="O31" s="217">
        <f>'AEO 2023 Table 58 Raw'!R22</f>
        <v>3.687E-2</v>
      </c>
      <c r="P31" s="217">
        <f>'AEO 2023 Table 58 Raw'!S22</f>
        <v>3.5071999999999999E-2</v>
      </c>
      <c r="Q31" s="217">
        <f>'AEO 2023 Table 58 Raw'!T22</f>
        <v>3.8408999999999999E-2</v>
      </c>
      <c r="R31" s="217">
        <f>'AEO 2023 Table 58 Raw'!U22</f>
        <v>4.3032000000000001E-2</v>
      </c>
      <c r="S31" s="217">
        <f>'AEO 2023 Table 58 Raw'!V22</f>
        <v>4.1974999999999998E-2</v>
      </c>
      <c r="T31" s="217">
        <f>'AEO 2023 Table 58 Raw'!W22</f>
        <v>5.1547000000000003E-2</v>
      </c>
      <c r="U31" s="217">
        <f>'AEO 2023 Table 58 Raw'!X22</f>
        <v>5.5216000000000001E-2</v>
      </c>
      <c r="V31" s="217">
        <f>'AEO 2023 Table 58 Raw'!Y22</f>
        <v>5.4595999999999999E-2</v>
      </c>
      <c r="W31" s="217">
        <f>'AEO 2023 Table 58 Raw'!Z22</f>
        <v>5.3893999999999997E-2</v>
      </c>
      <c r="X31" s="217">
        <f>'AEO 2023 Table 58 Raw'!AA22</f>
        <v>5.5669999999999997E-2</v>
      </c>
      <c r="Y31" s="217">
        <f>'AEO 2023 Table 58 Raw'!AB22</f>
        <v>5.7558999999999999E-2</v>
      </c>
      <c r="Z31" s="217">
        <f>'AEO 2023 Table 58 Raw'!AC22</f>
        <v>5.6937000000000001E-2</v>
      </c>
      <c r="AA31" s="217">
        <f>'AEO 2023 Table 58 Raw'!AD22</f>
        <v>6.5226000000000006E-2</v>
      </c>
      <c r="AB31" s="217">
        <f>'AEO 2023 Table 58 Raw'!AE22</f>
        <v>6.9947999999999996E-2</v>
      </c>
      <c r="AC31" s="217">
        <f>'AEO 2023 Table 58 Raw'!AF22</f>
        <v>6.9535E-2</v>
      </c>
      <c r="AD31" s="217">
        <f>'AEO 2023 Table 58 Raw'!AG22</f>
        <v>7.2605000000000003E-2</v>
      </c>
      <c r="AE31" s="217">
        <f>'AEO 2023 Table 58 Raw'!AH22</f>
        <v>7.1707000000000007E-2</v>
      </c>
      <c r="AF31" s="252">
        <f>'AEO 2023 Table 58 Raw'!AI22</f>
        <v>7.2537000000000004E-2</v>
      </c>
    </row>
    <row r="32" spans="1:32" ht="12" customHeight="1" x14ac:dyDescent="0.75">
      <c r="A32" s="212" t="s">
        <v>582</v>
      </c>
      <c r="B32" s="211" t="s">
        <v>583</v>
      </c>
      <c r="C32" s="217">
        <f>'AEO 2023 Table 58 Raw'!F23</f>
        <v>1.674574</v>
      </c>
      <c r="D32" s="217">
        <f>'AEO 2023 Table 58 Raw'!G23</f>
        <v>1.7342919999999999</v>
      </c>
      <c r="E32" s="217">
        <f>'AEO 2023 Table 58 Raw'!H23</f>
        <v>1.826427</v>
      </c>
      <c r="F32" s="217">
        <f>'AEO 2023 Table 58 Raw'!I23</f>
        <v>1.9158809999999999</v>
      </c>
      <c r="G32" s="217">
        <f>'AEO 2023 Table 58 Raw'!J23</f>
        <v>2.0043850000000001</v>
      </c>
      <c r="H32" s="217">
        <f>'AEO 2023 Table 58 Raw'!K23</f>
        <v>2.0688049999999998</v>
      </c>
      <c r="I32" s="217">
        <f>'AEO 2023 Table 58 Raw'!L23</f>
        <v>2.0668839999999999</v>
      </c>
      <c r="J32" s="217">
        <f>'AEO 2023 Table 58 Raw'!M23</f>
        <v>2.0566239999999998</v>
      </c>
      <c r="K32" s="217">
        <f>'AEO 2023 Table 58 Raw'!N23</f>
        <v>1.971678</v>
      </c>
      <c r="L32" s="217">
        <f>'AEO 2023 Table 58 Raw'!O23</f>
        <v>1.8993869999999999</v>
      </c>
      <c r="M32" s="217">
        <f>'AEO 2023 Table 58 Raw'!P23</f>
        <v>1.834762</v>
      </c>
      <c r="N32" s="217">
        <f>'AEO 2023 Table 58 Raw'!Q23</f>
        <v>1.787026</v>
      </c>
      <c r="O32" s="217">
        <f>'AEO 2023 Table 58 Raw'!R23</f>
        <v>1.7653890000000001</v>
      </c>
      <c r="P32" s="217">
        <f>'AEO 2023 Table 58 Raw'!S23</f>
        <v>1.75162</v>
      </c>
      <c r="Q32" s="217">
        <f>'AEO 2023 Table 58 Raw'!T23</f>
        <v>1.654201</v>
      </c>
      <c r="R32" s="217">
        <f>'AEO 2023 Table 58 Raw'!U23</f>
        <v>1.5782910000000001</v>
      </c>
      <c r="S32" s="217">
        <f>'AEO 2023 Table 58 Raw'!V23</f>
        <v>1.4722040000000001</v>
      </c>
      <c r="T32" s="217">
        <f>'AEO 2023 Table 58 Raw'!W23</f>
        <v>1.344937</v>
      </c>
      <c r="U32" s="217">
        <f>'AEO 2023 Table 58 Raw'!X23</f>
        <v>1.2703930000000001</v>
      </c>
      <c r="V32" s="217">
        <f>'AEO 2023 Table 58 Raw'!Y23</f>
        <v>1.1009439999999999</v>
      </c>
      <c r="W32" s="217">
        <f>'AEO 2023 Table 58 Raw'!Z23</f>
        <v>1.0908690000000001</v>
      </c>
      <c r="X32" s="217">
        <f>'AEO 2023 Table 58 Raw'!AA23</f>
        <v>1.1743889999999999</v>
      </c>
      <c r="Y32" s="217">
        <f>'AEO 2023 Table 58 Raw'!AB23</f>
        <v>1.1982740000000001</v>
      </c>
      <c r="Z32" s="217">
        <f>'AEO 2023 Table 58 Raw'!AC23</f>
        <v>1.118309</v>
      </c>
      <c r="AA32" s="217">
        <f>'AEO 2023 Table 58 Raw'!AD23</f>
        <v>1.0513589999999999</v>
      </c>
      <c r="AB32" s="217">
        <f>'AEO 2023 Table 58 Raw'!AE23</f>
        <v>0.91170799999999996</v>
      </c>
      <c r="AC32" s="217">
        <f>'AEO 2023 Table 58 Raw'!AF23</f>
        <v>0.84109</v>
      </c>
      <c r="AD32" s="217">
        <f>'AEO 2023 Table 58 Raw'!AG23</f>
        <v>0.93834700000000004</v>
      </c>
      <c r="AE32" s="217">
        <f>'AEO 2023 Table 58 Raw'!AH23</f>
        <v>0.98650000000000004</v>
      </c>
      <c r="AF32" s="252">
        <f>'AEO 2023 Table 58 Raw'!AI23</f>
        <v>-1.9E-2</v>
      </c>
    </row>
    <row r="33" spans="1:32" ht="12" customHeight="1" x14ac:dyDescent="0.75">
      <c r="A33" s="212" t="s">
        <v>584</v>
      </c>
      <c r="B33" s="211" t="s">
        <v>585</v>
      </c>
      <c r="C33" s="217">
        <f>'AEO 2023 Table 58 Raw'!F24</f>
        <v>3.4000000000000002E-2</v>
      </c>
      <c r="D33" s="217">
        <f>'AEO 2023 Table 58 Raw'!G24</f>
        <v>3.3680000000000002E-2</v>
      </c>
      <c r="E33" s="217">
        <f>'AEO 2023 Table 58 Raw'!H24</f>
        <v>2.1335E-2</v>
      </c>
      <c r="F33" s="217">
        <f>'AEO 2023 Table 58 Raw'!I24</f>
        <v>1.9429999999999999E-2</v>
      </c>
      <c r="G33" s="217">
        <f>'AEO 2023 Table 58 Raw'!J24</f>
        <v>1.7852E-2</v>
      </c>
      <c r="H33" s="217">
        <f>'AEO 2023 Table 58 Raw'!K24</f>
        <v>1.6522999999999999E-2</v>
      </c>
      <c r="I33" s="217">
        <f>'AEO 2023 Table 58 Raw'!L24</f>
        <v>0.13450799999999999</v>
      </c>
      <c r="J33" s="217">
        <f>'AEO 2023 Table 58 Raw'!M24</f>
        <v>0.15451799999999999</v>
      </c>
      <c r="K33" s="217">
        <f>'AEO 2023 Table 58 Raw'!N24</f>
        <v>0.18646399999999999</v>
      </c>
      <c r="L33" s="217">
        <f>'AEO 2023 Table 58 Raw'!O24</f>
        <v>0.19689599999999999</v>
      </c>
      <c r="M33" s="217">
        <f>'AEO 2023 Table 58 Raw'!P24</f>
        <v>0.20000999999999999</v>
      </c>
      <c r="N33" s="217">
        <f>'AEO 2023 Table 58 Raw'!Q24</f>
        <v>0.203177</v>
      </c>
      <c r="O33" s="217">
        <f>'AEO 2023 Table 58 Raw'!R24</f>
        <v>0.207395</v>
      </c>
      <c r="P33" s="217">
        <f>'AEO 2023 Table 58 Raw'!S24</f>
        <v>0.202732</v>
      </c>
      <c r="Q33" s="217">
        <f>'AEO 2023 Table 58 Raw'!T24</f>
        <v>0.20347199999999999</v>
      </c>
      <c r="R33" s="217">
        <f>'AEO 2023 Table 58 Raw'!U24</f>
        <v>0.19488800000000001</v>
      </c>
      <c r="S33" s="217">
        <f>'AEO 2023 Table 58 Raw'!V24</f>
        <v>0.17736499999999999</v>
      </c>
      <c r="T33" s="217">
        <f>'AEO 2023 Table 58 Raw'!W24</f>
        <v>0.190805</v>
      </c>
      <c r="U33" s="217">
        <f>'AEO 2023 Table 58 Raw'!X24</f>
        <v>0.186914</v>
      </c>
      <c r="V33" s="217">
        <f>'AEO 2023 Table 58 Raw'!Y24</f>
        <v>0.19914000000000001</v>
      </c>
      <c r="W33" s="217">
        <f>'AEO 2023 Table 58 Raw'!Z24</f>
        <v>0.197403</v>
      </c>
      <c r="X33" s="217">
        <f>'AEO 2023 Table 58 Raw'!AA24</f>
        <v>0.18884400000000001</v>
      </c>
      <c r="Y33" s="217">
        <f>'AEO 2023 Table 58 Raw'!AB24</f>
        <v>0.197626</v>
      </c>
      <c r="Z33" s="217">
        <f>'AEO 2023 Table 58 Raw'!AC24</f>
        <v>0.21738299999999999</v>
      </c>
      <c r="AA33" s="217">
        <f>'AEO 2023 Table 58 Raw'!AD24</f>
        <v>0.210953</v>
      </c>
      <c r="AB33" s="217">
        <f>'AEO 2023 Table 58 Raw'!AE24</f>
        <v>0.19709199999999999</v>
      </c>
      <c r="AC33" s="217">
        <f>'AEO 2023 Table 58 Raw'!AF24</f>
        <v>0.29096100000000003</v>
      </c>
      <c r="AD33" s="217">
        <f>'AEO 2023 Table 58 Raw'!AG24</f>
        <v>0.29667399999999999</v>
      </c>
      <c r="AE33" s="217">
        <f>'AEO 2023 Table 58 Raw'!AH24</f>
        <v>0.27484500000000001</v>
      </c>
      <c r="AF33" s="252">
        <f>'AEO 2023 Table 58 Raw'!AI24</f>
        <v>7.6999999999999999E-2</v>
      </c>
    </row>
    <row r="34" spans="1:32" ht="12" customHeight="1" x14ac:dyDescent="0.75">
      <c r="A34" s="212" t="s">
        <v>586</v>
      </c>
      <c r="B34" s="211" t="s">
        <v>587</v>
      </c>
      <c r="C34" s="217">
        <f>'AEO 2023 Table 58 Raw'!F25</f>
        <v>2.2984999999999998E-2</v>
      </c>
      <c r="D34" s="217">
        <f>'AEO 2023 Table 58 Raw'!G25</f>
        <v>2.0434000000000001E-2</v>
      </c>
      <c r="E34" s="217">
        <f>'AEO 2023 Table 58 Raw'!H25</f>
        <v>1.8411E-2</v>
      </c>
      <c r="F34" s="217">
        <f>'AEO 2023 Table 58 Raw'!I25</f>
        <v>1.6767000000000001E-2</v>
      </c>
      <c r="G34" s="217">
        <f>'AEO 2023 Table 58 Raw'!J25</f>
        <v>1.5405E-2</v>
      </c>
      <c r="H34" s="217">
        <f>'AEO 2023 Table 58 Raw'!K25</f>
        <v>1.4258E-2</v>
      </c>
      <c r="I34" s="217">
        <f>'AEO 2023 Table 58 Raw'!L25</f>
        <v>1.3278999999999999E-2</v>
      </c>
      <c r="J34" s="217">
        <f>'AEO 2023 Table 58 Raw'!M25</f>
        <v>1.2433E-2</v>
      </c>
      <c r="K34" s="217">
        <f>'AEO 2023 Table 58 Raw'!N25</f>
        <v>1.1696E-2</v>
      </c>
      <c r="L34" s="217">
        <f>'AEO 2023 Table 58 Raw'!O25</f>
        <v>1.1047E-2</v>
      </c>
      <c r="M34" s="217">
        <f>'AEO 2023 Table 58 Raw'!P25</f>
        <v>1.0470999999999999E-2</v>
      </c>
      <c r="N34" s="217">
        <f>'AEO 2023 Table 58 Raw'!Q25</f>
        <v>9.9570000000000006E-3</v>
      </c>
      <c r="O34" s="217">
        <f>'AEO 2023 Table 58 Raw'!R25</f>
        <v>9.495E-3</v>
      </c>
      <c r="P34" s="217">
        <f>'AEO 2023 Table 58 Raw'!S25</f>
        <v>9.0779999999999993E-3</v>
      </c>
      <c r="Q34" s="217">
        <f>'AEO 2023 Table 58 Raw'!T25</f>
        <v>8.6999999999999994E-3</v>
      </c>
      <c r="R34" s="217">
        <f>'AEO 2023 Table 58 Raw'!U25</f>
        <v>8.3549999999999996E-3</v>
      </c>
      <c r="S34" s="217">
        <f>'AEO 2023 Table 58 Raw'!V25</f>
        <v>8.0389999999999993E-3</v>
      </c>
      <c r="T34" s="217">
        <f>'AEO 2023 Table 58 Raw'!W25</f>
        <v>7.7479999999999997E-3</v>
      </c>
      <c r="U34" s="217">
        <f>'AEO 2023 Table 58 Raw'!X25</f>
        <v>7.4809999999999998E-3</v>
      </c>
      <c r="V34" s="217">
        <f>'AEO 2023 Table 58 Raw'!Y25</f>
        <v>7.2329999999999998E-3</v>
      </c>
      <c r="W34" s="217">
        <f>'AEO 2023 Table 58 Raw'!Z25</f>
        <v>7.0029999999999997E-3</v>
      </c>
      <c r="X34" s="217">
        <f>'AEO 2023 Table 58 Raw'!AA25</f>
        <v>6.7889999999999999E-3</v>
      </c>
      <c r="Y34" s="217">
        <f>'AEO 2023 Table 58 Raw'!AB25</f>
        <v>6.5900000000000004E-3</v>
      </c>
      <c r="Z34" s="217">
        <f>'AEO 2023 Table 58 Raw'!AC25</f>
        <v>6.404E-3</v>
      </c>
      <c r="AA34" s="217">
        <f>'AEO 2023 Table 58 Raw'!AD25</f>
        <v>6.2290000000000002E-3</v>
      </c>
      <c r="AB34" s="217">
        <f>'AEO 2023 Table 58 Raw'!AE25</f>
        <v>6.0650000000000001E-3</v>
      </c>
      <c r="AC34" s="217">
        <f>'AEO 2023 Table 58 Raw'!AF25</f>
        <v>5.9109999999999996E-3</v>
      </c>
      <c r="AD34" s="217">
        <f>'AEO 2023 Table 58 Raw'!AG25</f>
        <v>5.7660000000000003E-3</v>
      </c>
      <c r="AE34" s="217">
        <f>'AEO 2023 Table 58 Raw'!AH25</f>
        <v>5.6290000000000003E-3</v>
      </c>
      <c r="AF34" s="252">
        <f>'AEO 2023 Table 58 Raw'!AI25</f>
        <v>-4.9000000000000002E-2</v>
      </c>
    </row>
    <row r="35" spans="1:32" ht="12" customHeight="1" x14ac:dyDescent="0.75">
      <c r="A35" s="212" t="s">
        <v>588</v>
      </c>
      <c r="B35" s="211" t="s">
        <v>589</v>
      </c>
      <c r="C35" s="217">
        <f>'AEO 2023 Table 58 Raw'!F26</f>
        <v>1.1015E-2</v>
      </c>
      <c r="D35" s="217">
        <f>'AEO 2023 Table 58 Raw'!G26</f>
        <v>1.3245E-2</v>
      </c>
      <c r="E35" s="217">
        <f>'AEO 2023 Table 58 Raw'!H26</f>
        <v>2.9239999999999999E-3</v>
      </c>
      <c r="F35" s="217">
        <f>'AEO 2023 Table 58 Raw'!I26</f>
        <v>2.663E-3</v>
      </c>
      <c r="G35" s="217">
        <f>'AEO 2023 Table 58 Raw'!J26</f>
        <v>2.447E-3</v>
      </c>
      <c r="H35" s="217">
        <f>'AEO 2023 Table 58 Raw'!K26</f>
        <v>2.264E-3</v>
      </c>
      <c r="I35" s="217">
        <f>'AEO 2023 Table 58 Raw'!L26</f>
        <v>0.121229</v>
      </c>
      <c r="J35" s="217">
        <f>'AEO 2023 Table 58 Raw'!M26</f>
        <v>0.14208399999999999</v>
      </c>
      <c r="K35" s="217">
        <f>'AEO 2023 Table 58 Raw'!N26</f>
        <v>0.17476800000000001</v>
      </c>
      <c r="L35" s="217">
        <f>'AEO 2023 Table 58 Raw'!O26</f>
        <v>0.18584899999999999</v>
      </c>
      <c r="M35" s="217">
        <f>'AEO 2023 Table 58 Raw'!P26</f>
        <v>0.18953900000000001</v>
      </c>
      <c r="N35" s="217">
        <f>'AEO 2023 Table 58 Raw'!Q26</f>
        <v>0.19322</v>
      </c>
      <c r="O35" s="217">
        <f>'AEO 2023 Table 58 Raw'!R26</f>
        <v>0.19789999999999999</v>
      </c>
      <c r="P35" s="217">
        <f>'AEO 2023 Table 58 Raw'!S26</f>
        <v>0.19365399999999999</v>
      </c>
      <c r="Q35" s="217">
        <f>'AEO 2023 Table 58 Raw'!T26</f>
        <v>0.194773</v>
      </c>
      <c r="R35" s="217">
        <f>'AEO 2023 Table 58 Raw'!U26</f>
        <v>0.18653400000000001</v>
      </c>
      <c r="S35" s="217">
        <f>'AEO 2023 Table 58 Raw'!V26</f>
        <v>0.16932700000000001</v>
      </c>
      <c r="T35" s="217">
        <f>'AEO 2023 Table 58 Raw'!W26</f>
        <v>0.183057</v>
      </c>
      <c r="U35" s="217">
        <f>'AEO 2023 Table 58 Raw'!X26</f>
        <v>0.17943400000000001</v>
      </c>
      <c r="V35" s="217">
        <f>'AEO 2023 Table 58 Raw'!Y26</f>
        <v>0.19190699999999999</v>
      </c>
      <c r="W35" s="217">
        <f>'AEO 2023 Table 58 Raw'!Z26</f>
        <v>0.19040000000000001</v>
      </c>
      <c r="X35" s="217">
        <f>'AEO 2023 Table 58 Raw'!AA26</f>
        <v>0.18205499999999999</v>
      </c>
      <c r="Y35" s="217">
        <f>'AEO 2023 Table 58 Raw'!AB26</f>
        <v>0.19103600000000001</v>
      </c>
      <c r="Z35" s="217">
        <f>'AEO 2023 Table 58 Raw'!AC26</f>
        <v>0.210979</v>
      </c>
      <c r="AA35" s="217">
        <f>'AEO 2023 Table 58 Raw'!AD26</f>
        <v>0.20472299999999999</v>
      </c>
      <c r="AB35" s="217">
        <f>'AEO 2023 Table 58 Raw'!AE26</f>
        <v>0.191027</v>
      </c>
      <c r="AC35" s="217">
        <f>'AEO 2023 Table 58 Raw'!AF26</f>
        <v>0.285049</v>
      </c>
      <c r="AD35" s="217">
        <f>'AEO 2023 Table 58 Raw'!AG26</f>
        <v>0.290908</v>
      </c>
      <c r="AE35" s="217">
        <f>'AEO 2023 Table 58 Raw'!AH26</f>
        <v>0.26921600000000001</v>
      </c>
      <c r="AF35" s="252">
        <f>'AEO 2023 Table 58 Raw'!AI26</f>
        <v>0.121</v>
      </c>
    </row>
    <row r="36" spans="1:32" ht="12" customHeight="1" x14ac:dyDescent="0.75">
      <c r="A36" s="212" t="s">
        <v>590</v>
      </c>
      <c r="B36" s="211" t="s">
        <v>591</v>
      </c>
      <c r="C36" s="217">
        <f>'AEO 2023 Table 58 Raw'!F27</f>
        <v>0</v>
      </c>
      <c r="D36" s="217">
        <f>'AEO 2023 Table 58 Raw'!G27</f>
        <v>0</v>
      </c>
      <c r="E36" s="217">
        <f>'AEO 2023 Table 58 Raw'!H27</f>
        <v>0</v>
      </c>
      <c r="F36" s="217">
        <f>'AEO 2023 Table 58 Raw'!I27</f>
        <v>0</v>
      </c>
      <c r="G36" s="217">
        <f>'AEO 2023 Table 58 Raw'!J27</f>
        <v>0</v>
      </c>
      <c r="H36" s="217">
        <f>'AEO 2023 Table 58 Raw'!K27</f>
        <v>0</v>
      </c>
      <c r="I36" s="217">
        <f>'AEO 2023 Table 58 Raw'!L27</f>
        <v>0</v>
      </c>
      <c r="J36" s="217">
        <f>'AEO 2023 Table 58 Raw'!M27</f>
        <v>0</v>
      </c>
      <c r="K36" s="217">
        <f>'AEO 2023 Table 58 Raw'!N27</f>
        <v>0</v>
      </c>
      <c r="L36" s="217">
        <f>'AEO 2023 Table 58 Raw'!O27</f>
        <v>0</v>
      </c>
      <c r="M36" s="217">
        <f>'AEO 2023 Table 58 Raw'!P27</f>
        <v>0</v>
      </c>
      <c r="N36" s="217">
        <f>'AEO 2023 Table 58 Raw'!Q27</f>
        <v>0</v>
      </c>
      <c r="O36" s="217">
        <f>'AEO 2023 Table 58 Raw'!R27</f>
        <v>0</v>
      </c>
      <c r="P36" s="217">
        <f>'AEO 2023 Table 58 Raw'!S27</f>
        <v>0</v>
      </c>
      <c r="Q36" s="217">
        <f>'AEO 2023 Table 58 Raw'!T27</f>
        <v>0</v>
      </c>
      <c r="R36" s="217">
        <f>'AEO 2023 Table 58 Raw'!U27</f>
        <v>0</v>
      </c>
      <c r="S36" s="217">
        <f>'AEO 2023 Table 58 Raw'!V27</f>
        <v>0</v>
      </c>
      <c r="T36" s="217">
        <f>'AEO 2023 Table 58 Raw'!W27</f>
        <v>0</v>
      </c>
      <c r="U36" s="217">
        <f>'AEO 2023 Table 58 Raw'!X27</f>
        <v>0</v>
      </c>
      <c r="V36" s="217">
        <f>'AEO 2023 Table 58 Raw'!Y27</f>
        <v>0</v>
      </c>
      <c r="W36" s="217">
        <f>'AEO 2023 Table 58 Raw'!Z27</f>
        <v>0</v>
      </c>
      <c r="X36" s="217">
        <f>'AEO 2023 Table 58 Raw'!AA27</f>
        <v>0</v>
      </c>
      <c r="Y36" s="217">
        <f>'AEO 2023 Table 58 Raw'!AB27</f>
        <v>0</v>
      </c>
      <c r="Z36" s="217">
        <f>'AEO 2023 Table 58 Raw'!AC27</f>
        <v>0</v>
      </c>
      <c r="AA36" s="217">
        <f>'AEO 2023 Table 58 Raw'!AD27</f>
        <v>0</v>
      </c>
      <c r="AB36" s="217">
        <f>'AEO 2023 Table 58 Raw'!AE27</f>
        <v>0</v>
      </c>
      <c r="AC36" s="217">
        <f>'AEO 2023 Table 58 Raw'!AF27</f>
        <v>0</v>
      </c>
      <c r="AD36" s="217">
        <f>'AEO 2023 Table 58 Raw'!AG27</f>
        <v>0</v>
      </c>
      <c r="AE36" s="217">
        <f>'AEO 2023 Table 58 Raw'!AH27</f>
        <v>0</v>
      </c>
      <c r="AF36" s="252" t="str">
        <f>'AEO 2023 Table 58 Raw'!AI27</f>
        <v>- -</v>
      </c>
    </row>
    <row r="37" spans="1:32" ht="12" customHeight="1" x14ac:dyDescent="0.75">
      <c r="A37" s="212" t="s">
        <v>592</v>
      </c>
      <c r="B37" s="211" t="s">
        <v>587</v>
      </c>
      <c r="C37" s="217">
        <f>'AEO 2023 Table 58 Raw'!F28</f>
        <v>0</v>
      </c>
      <c r="D37" s="217">
        <f>'AEO 2023 Table 58 Raw'!G28</f>
        <v>0</v>
      </c>
      <c r="E37" s="217">
        <f>'AEO 2023 Table 58 Raw'!H28</f>
        <v>0</v>
      </c>
      <c r="F37" s="217">
        <f>'AEO 2023 Table 58 Raw'!I28</f>
        <v>0</v>
      </c>
      <c r="G37" s="217">
        <f>'AEO 2023 Table 58 Raw'!J28</f>
        <v>0</v>
      </c>
      <c r="H37" s="217">
        <f>'AEO 2023 Table 58 Raw'!K28</f>
        <v>0</v>
      </c>
      <c r="I37" s="217">
        <f>'AEO 2023 Table 58 Raw'!L28</f>
        <v>0</v>
      </c>
      <c r="J37" s="217">
        <f>'AEO 2023 Table 58 Raw'!M28</f>
        <v>0</v>
      </c>
      <c r="K37" s="217">
        <f>'AEO 2023 Table 58 Raw'!N28</f>
        <v>0</v>
      </c>
      <c r="L37" s="217">
        <f>'AEO 2023 Table 58 Raw'!O28</f>
        <v>0</v>
      </c>
      <c r="M37" s="217">
        <f>'AEO 2023 Table 58 Raw'!P28</f>
        <v>0</v>
      </c>
      <c r="N37" s="217">
        <f>'AEO 2023 Table 58 Raw'!Q28</f>
        <v>0</v>
      </c>
      <c r="O37" s="217">
        <f>'AEO 2023 Table 58 Raw'!R28</f>
        <v>0</v>
      </c>
      <c r="P37" s="217">
        <f>'AEO 2023 Table 58 Raw'!S28</f>
        <v>0</v>
      </c>
      <c r="Q37" s="217">
        <f>'AEO 2023 Table 58 Raw'!T28</f>
        <v>0</v>
      </c>
      <c r="R37" s="217">
        <f>'AEO 2023 Table 58 Raw'!U28</f>
        <v>0</v>
      </c>
      <c r="S37" s="217">
        <f>'AEO 2023 Table 58 Raw'!V28</f>
        <v>0</v>
      </c>
      <c r="T37" s="217">
        <f>'AEO 2023 Table 58 Raw'!W28</f>
        <v>0</v>
      </c>
      <c r="U37" s="217">
        <f>'AEO 2023 Table 58 Raw'!X28</f>
        <v>0</v>
      </c>
      <c r="V37" s="217">
        <f>'AEO 2023 Table 58 Raw'!Y28</f>
        <v>0</v>
      </c>
      <c r="W37" s="217">
        <f>'AEO 2023 Table 58 Raw'!Z28</f>
        <v>0</v>
      </c>
      <c r="X37" s="217">
        <f>'AEO 2023 Table 58 Raw'!AA28</f>
        <v>0</v>
      </c>
      <c r="Y37" s="217">
        <f>'AEO 2023 Table 58 Raw'!AB28</f>
        <v>0</v>
      </c>
      <c r="Z37" s="217">
        <f>'AEO 2023 Table 58 Raw'!AC28</f>
        <v>0</v>
      </c>
      <c r="AA37" s="217">
        <f>'AEO 2023 Table 58 Raw'!AD28</f>
        <v>0</v>
      </c>
      <c r="AB37" s="217">
        <f>'AEO 2023 Table 58 Raw'!AE28</f>
        <v>0</v>
      </c>
      <c r="AC37" s="217">
        <f>'AEO 2023 Table 58 Raw'!AF28</f>
        <v>0</v>
      </c>
      <c r="AD37" s="217">
        <f>'AEO 2023 Table 58 Raw'!AG28</f>
        <v>0</v>
      </c>
      <c r="AE37" s="217">
        <f>'AEO 2023 Table 58 Raw'!AH28</f>
        <v>0</v>
      </c>
      <c r="AF37" s="252" t="str">
        <f>'AEO 2023 Table 58 Raw'!AI28</f>
        <v>- -</v>
      </c>
    </row>
    <row r="38" spans="1:32" ht="12" customHeight="1" x14ac:dyDescent="0.75">
      <c r="A38" s="212" t="s">
        <v>593</v>
      </c>
      <c r="B38" s="211" t="s">
        <v>589</v>
      </c>
      <c r="C38" s="217">
        <f>'AEO 2023 Table 58 Raw'!F29</f>
        <v>0</v>
      </c>
      <c r="D38" s="217">
        <f>'AEO 2023 Table 58 Raw'!G29</f>
        <v>0</v>
      </c>
      <c r="E38" s="217">
        <f>'AEO 2023 Table 58 Raw'!H29</f>
        <v>0</v>
      </c>
      <c r="F38" s="217">
        <f>'AEO 2023 Table 58 Raw'!I29</f>
        <v>0</v>
      </c>
      <c r="G38" s="217">
        <f>'AEO 2023 Table 58 Raw'!J29</f>
        <v>0</v>
      </c>
      <c r="H38" s="217">
        <f>'AEO 2023 Table 58 Raw'!K29</f>
        <v>0</v>
      </c>
      <c r="I38" s="217">
        <f>'AEO 2023 Table 58 Raw'!L29</f>
        <v>0</v>
      </c>
      <c r="J38" s="217">
        <f>'AEO 2023 Table 58 Raw'!M29</f>
        <v>0</v>
      </c>
      <c r="K38" s="217">
        <f>'AEO 2023 Table 58 Raw'!N29</f>
        <v>0</v>
      </c>
      <c r="L38" s="217">
        <f>'AEO 2023 Table 58 Raw'!O29</f>
        <v>0</v>
      </c>
      <c r="M38" s="217">
        <f>'AEO 2023 Table 58 Raw'!P29</f>
        <v>0</v>
      </c>
      <c r="N38" s="217">
        <f>'AEO 2023 Table 58 Raw'!Q29</f>
        <v>0</v>
      </c>
      <c r="O38" s="217">
        <f>'AEO 2023 Table 58 Raw'!R29</f>
        <v>0</v>
      </c>
      <c r="P38" s="217">
        <f>'AEO 2023 Table 58 Raw'!S29</f>
        <v>0</v>
      </c>
      <c r="Q38" s="217">
        <f>'AEO 2023 Table 58 Raw'!T29</f>
        <v>0</v>
      </c>
      <c r="R38" s="217">
        <f>'AEO 2023 Table 58 Raw'!U29</f>
        <v>0</v>
      </c>
      <c r="S38" s="217">
        <f>'AEO 2023 Table 58 Raw'!V29</f>
        <v>0</v>
      </c>
      <c r="T38" s="217">
        <f>'AEO 2023 Table 58 Raw'!W29</f>
        <v>0</v>
      </c>
      <c r="U38" s="217">
        <f>'AEO 2023 Table 58 Raw'!X29</f>
        <v>0</v>
      </c>
      <c r="V38" s="217">
        <f>'AEO 2023 Table 58 Raw'!Y29</f>
        <v>0</v>
      </c>
      <c r="W38" s="217">
        <f>'AEO 2023 Table 58 Raw'!Z29</f>
        <v>0</v>
      </c>
      <c r="X38" s="217">
        <f>'AEO 2023 Table 58 Raw'!AA29</f>
        <v>0</v>
      </c>
      <c r="Y38" s="217">
        <f>'AEO 2023 Table 58 Raw'!AB29</f>
        <v>0</v>
      </c>
      <c r="Z38" s="217">
        <f>'AEO 2023 Table 58 Raw'!AC29</f>
        <v>0</v>
      </c>
      <c r="AA38" s="217">
        <f>'AEO 2023 Table 58 Raw'!AD29</f>
        <v>0</v>
      </c>
      <c r="AB38" s="217">
        <f>'AEO 2023 Table 58 Raw'!AE29</f>
        <v>0</v>
      </c>
      <c r="AC38" s="217">
        <f>'AEO 2023 Table 58 Raw'!AF29</f>
        <v>0</v>
      </c>
      <c r="AD38" s="217">
        <f>'AEO 2023 Table 58 Raw'!AG29</f>
        <v>0</v>
      </c>
      <c r="AE38" s="217">
        <f>'AEO 2023 Table 58 Raw'!AH29</f>
        <v>0</v>
      </c>
      <c r="AF38" s="252" t="str">
        <f>'AEO 2023 Table 58 Raw'!AI29</f>
        <v>- -</v>
      </c>
    </row>
    <row r="39" spans="1:32" ht="12" customHeight="1" x14ac:dyDescent="0.65">
      <c r="C39" s="217"/>
      <c r="D39" s="217"/>
      <c r="E39" s="217"/>
      <c r="F39" s="217"/>
      <c r="G39" s="217"/>
      <c r="H39" s="217"/>
      <c r="I39" s="217"/>
      <c r="J39" s="217"/>
      <c r="K39" s="217"/>
      <c r="L39" s="217"/>
      <c r="M39" s="217"/>
      <c r="N39" s="217"/>
      <c r="O39" s="217"/>
      <c r="P39" s="217"/>
      <c r="Q39" s="217"/>
      <c r="R39" s="217"/>
      <c r="S39" s="217"/>
      <c r="T39" s="217"/>
      <c r="U39" s="217"/>
      <c r="V39" s="217"/>
      <c r="W39" s="217"/>
      <c r="X39" s="217"/>
      <c r="Y39" s="217"/>
      <c r="Z39" s="217"/>
      <c r="AA39" s="217"/>
      <c r="AB39" s="217"/>
      <c r="AC39" s="217"/>
      <c r="AD39" s="217"/>
      <c r="AE39" s="217"/>
      <c r="AF39" s="252"/>
    </row>
    <row r="40" spans="1:32" ht="12" customHeight="1" x14ac:dyDescent="0.65">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52"/>
    </row>
    <row r="41" spans="1:32" ht="12" customHeight="1" x14ac:dyDescent="0.65">
      <c r="B41" s="215" t="s">
        <v>594</v>
      </c>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52"/>
    </row>
    <row r="42" spans="1:32" ht="12" customHeight="1" x14ac:dyDescent="0.65">
      <c r="C42" s="217"/>
      <c r="D42" s="217"/>
      <c r="E42" s="217"/>
      <c r="F42" s="217"/>
      <c r="G42" s="217"/>
      <c r="H42" s="217"/>
      <c r="I42" s="217"/>
      <c r="J42" s="217"/>
      <c r="K42" s="217"/>
      <c r="L42" s="217"/>
      <c r="M42" s="217"/>
      <c r="N42" s="217"/>
      <c r="O42" s="217"/>
      <c r="P42" s="217"/>
      <c r="Q42" s="217"/>
      <c r="R42" s="217"/>
      <c r="S42" s="217"/>
      <c r="T42" s="217"/>
      <c r="U42" s="217"/>
      <c r="V42" s="217"/>
      <c r="W42" s="217"/>
      <c r="X42" s="217"/>
      <c r="Y42" s="217"/>
      <c r="Z42" s="217"/>
      <c r="AA42" s="217"/>
      <c r="AB42" s="217"/>
      <c r="AC42" s="217"/>
      <c r="AD42" s="217"/>
      <c r="AE42" s="217"/>
      <c r="AF42" s="252"/>
    </row>
    <row r="43" spans="1:32" ht="12" customHeight="1" x14ac:dyDescent="0.65">
      <c r="A43" s="212" t="s">
        <v>595</v>
      </c>
      <c r="B43" s="215" t="s">
        <v>596</v>
      </c>
      <c r="C43" s="217">
        <f>'AEO 2023 Table 58 Raw'!F31</f>
        <v>93.569550000000007</v>
      </c>
      <c r="D43" s="217">
        <f>'AEO 2023 Table 58 Raw'!G31</f>
        <v>90.688018999999997</v>
      </c>
      <c r="E43" s="217">
        <f>'AEO 2023 Table 58 Raw'!H31</f>
        <v>89.880752999999999</v>
      </c>
      <c r="F43" s="217">
        <f>'AEO 2023 Table 58 Raw'!I31</f>
        <v>84.382957000000005</v>
      </c>
      <c r="G43" s="217">
        <f>'AEO 2023 Table 58 Raw'!J31</f>
        <v>85.041725</v>
      </c>
      <c r="H43" s="217">
        <f>'AEO 2023 Table 58 Raw'!K31</f>
        <v>85.383301000000003</v>
      </c>
      <c r="I43" s="217">
        <f>'AEO 2023 Table 58 Raw'!L31</f>
        <v>86.061263999999994</v>
      </c>
      <c r="J43" s="217">
        <f>'AEO 2023 Table 58 Raw'!M31</f>
        <v>86.621978999999996</v>
      </c>
      <c r="K43" s="217">
        <f>'AEO 2023 Table 58 Raw'!N31</f>
        <v>87.183043999999995</v>
      </c>
      <c r="L43" s="217">
        <f>'AEO 2023 Table 58 Raw'!O31</f>
        <v>87.737740000000002</v>
      </c>
      <c r="M43" s="217">
        <f>'AEO 2023 Table 58 Raw'!P31</f>
        <v>88.503822</v>
      </c>
      <c r="N43" s="217">
        <f>'AEO 2023 Table 58 Raw'!Q31</f>
        <v>88.924880999999999</v>
      </c>
      <c r="O43" s="217">
        <f>'AEO 2023 Table 58 Raw'!R31</f>
        <v>89.668982999999997</v>
      </c>
      <c r="P43" s="217">
        <f>'AEO 2023 Table 58 Raw'!S31</f>
        <v>90.255950999999996</v>
      </c>
      <c r="Q43" s="217">
        <f>'AEO 2023 Table 58 Raw'!T31</f>
        <v>90.907584999999997</v>
      </c>
      <c r="R43" s="217">
        <f>'AEO 2023 Table 58 Raw'!U31</f>
        <v>91.408783</v>
      </c>
      <c r="S43" s="217">
        <f>'AEO 2023 Table 58 Raw'!V31</f>
        <v>91.902000000000001</v>
      </c>
      <c r="T43" s="217">
        <f>'AEO 2023 Table 58 Raw'!W31</f>
        <v>92.410072</v>
      </c>
      <c r="U43" s="217">
        <f>'AEO 2023 Table 58 Raw'!X31</f>
        <v>92.865814</v>
      </c>
      <c r="V43" s="217">
        <f>'AEO 2023 Table 58 Raw'!Y31</f>
        <v>93.327019000000007</v>
      </c>
      <c r="W43" s="217">
        <f>'AEO 2023 Table 58 Raw'!Z31</f>
        <v>93.728690999999998</v>
      </c>
      <c r="X43" s="217">
        <f>'AEO 2023 Table 58 Raw'!AA31</f>
        <v>94.147246999999993</v>
      </c>
      <c r="Y43" s="217">
        <f>'AEO 2023 Table 58 Raw'!AB31</f>
        <v>94.595359999999999</v>
      </c>
      <c r="Z43" s="217">
        <f>'AEO 2023 Table 58 Raw'!AC31</f>
        <v>94.925362000000007</v>
      </c>
      <c r="AA43" s="217">
        <f>'AEO 2023 Table 58 Raw'!AD31</f>
        <v>95.628647000000001</v>
      </c>
      <c r="AB43" s="217">
        <f>'AEO 2023 Table 58 Raw'!AE31</f>
        <v>95.99221</v>
      </c>
      <c r="AC43" s="217">
        <f>'AEO 2023 Table 58 Raw'!AF31</f>
        <v>96.606430000000003</v>
      </c>
      <c r="AD43" s="217">
        <f>'AEO 2023 Table 58 Raw'!AG31</f>
        <v>97.285224999999997</v>
      </c>
      <c r="AE43" s="217">
        <f>'AEO 2023 Table 58 Raw'!AH31</f>
        <v>97.564826999999994</v>
      </c>
      <c r="AF43" s="252">
        <f>'AEO 2023 Table 58 Raw'!AI31</f>
        <v>1E-3</v>
      </c>
    </row>
    <row r="44" spans="1:32" ht="12" customHeight="1" x14ac:dyDescent="0.65">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52"/>
    </row>
    <row r="45" spans="1:32" ht="12" customHeight="1" x14ac:dyDescent="0.65">
      <c r="B45" s="215" t="s">
        <v>559</v>
      </c>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52"/>
    </row>
    <row r="46" spans="1:32" ht="12" customHeight="1" x14ac:dyDescent="0.75">
      <c r="A46" s="212" t="s">
        <v>597</v>
      </c>
      <c r="B46" s="211" t="s">
        <v>561</v>
      </c>
      <c r="C46" s="217">
        <f>'AEO 2023 Table 58 Raw'!F33</f>
        <v>88.857887000000005</v>
      </c>
      <c r="D46" s="217">
        <f>'AEO 2023 Table 58 Raw'!G33</f>
        <v>99.212326000000004</v>
      </c>
      <c r="E46" s="217">
        <f>'AEO 2023 Table 58 Raw'!H33</f>
        <v>94.988663000000003</v>
      </c>
      <c r="F46" s="217">
        <f>'AEO 2023 Table 58 Raw'!I33</f>
        <v>89.303764000000001</v>
      </c>
      <c r="G46" s="217">
        <f>'AEO 2023 Table 58 Raw'!J33</f>
        <v>89.548919999999995</v>
      </c>
      <c r="H46" s="217">
        <f>'AEO 2023 Table 58 Raw'!K33</f>
        <v>89.768142999999995</v>
      </c>
      <c r="I46" s="217">
        <f>'AEO 2023 Table 58 Raw'!L33</f>
        <v>90.547218000000001</v>
      </c>
      <c r="J46" s="217">
        <f>'AEO 2023 Table 58 Raw'!M33</f>
        <v>91.051865000000006</v>
      </c>
      <c r="K46" s="217">
        <f>'AEO 2023 Table 58 Raw'!N33</f>
        <v>91.577278000000007</v>
      </c>
      <c r="L46" s="217">
        <f>'AEO 2023 Table 58 Raw'!O33</f>
        <v>92.153046000000003</v>
      </c>
      <c r="M46" s="217">
        <f>'AEO 2023 Table 58 Raw'!P33</f>
        <v>92.960587000000004</v>
      </c>
      <c r="N46" s="217">
        <f>'AEO 2023 Table 58 Raw'!Q33</f>
        <v>93.412353999999993</v>
      </c>
      <c r="O46" s="217">
        <f>'AEO 2023 Table 58 Raw'!R33</f>
        <v>94.127028999999993</v>
      </c>
      <c r="P46" s="217">
        <f>'AEO 2023 Table 58 Raw'!S33</f>
        <v>94.470359999999999</v>
      </c>
      <c r="Q46" s="217">
        <f>'AEO 2023 Table 58 Raw'!T33</f>
        <v>95.220528000000002</v>
      </c>
      <c r="R46" s="217">
        <f>'AEO 2023 Table 58 Raw'!U33</f>
        <v>95.801322999999996</v>
      </c>
      <c r="S46" s="217">
        <f>'AEO 2023 Table 58 Raw'!V33</f>
        <v>96.284996000000007</v>
      </c>
      <c r="T46" s="217">
        <f>'AEO 2023 Table 58 Raw'!W33</f>
        <v>96.854927000000004</v>
      </c>
      <c r="U46" s="217">
        <f>'AEO 2023 Table 58 Raw'!X33</f>
        <v>97.344397999999998</v>
      </c>
      <c r="V46" s="217">
        <f>'AEO 2023 Table 58 Raw'!Y33</f>
        <v>97.794792000000001</v>
      </c>
      <c r="W46" s="217">
        <f>'AEO 2023 Table 58 Raw'!Z33</f>
        <v>98.245575000000002</v>
      </c>
      <c r="X46" s="217">
        <f>'AEO 2023 Table 58 Raw'!AA33</f>
        <v>98.603347999999997</v>
      </c>
      <c r="Y46" s="217">
        <f>'AEO 2023 Table 58 Raw'!AB33</f>
        <v>99.192466999999994</v>
      </c>
      <c r="Z46" s="217">
        <f>'AEO 2023 Table 58 Raw'!AC33</f>
        <v>99.519240999999994</v>
      </c>
      <c r="AA46" s="217">
        <f>'AEO 2023 Table 58 Raw'!AD33</f>
        <v>100.305092</v>
      </c>
      <c r="AB46" s="217">
        <f>'AEO 2023 Table 58 Raw'!AE33</f>
        <v>100.732124</v>
      </c>
      <c r="AC46" s="217">
        <f>'AEO 2023 Table 58 Raw'!AF33</f>
        <v>101.418869</v>
      </c>
      <c r="AD46" s="217">
        <f>'AEO 2023 Table 58 Raw'!AG33</f>
        <v>102.114525</v>
      </c>
      <c r="AE46" s="217">
        <f>'AEO 2023 Table 58 Raw'!AH33</f>
        <v>102.35509500000001</v>
      </c>
      <c r="AF46" s="252">
        <f>'AEO 2023 Table 58 Raw'!AI33</f>
        <v>5.0000000000000001E-3</v>
      </c>
    </row>
    <row r="47" spans="1:32" ht="12" customHeight="1" x14ac:dyDescent="0.75">
      <c r="A47" s="212" t="s">
        <v>598</v>
      </c>
      <c r="B47" s="211" t="s">
        <v>563</v>
      </c>
      <c r="C47" s="217">
        <f>'AEO 2023 Table 58 Raw'!F34</f>
        <v>95.68544</v>
      </c>
      <c r="D47" s="217">
        <f>'AEO 2023 Table 58 Raw'!G34</f>
        <v>95.794312000000005</v>
      </c>
      <c r="E47" s="217">
        <f>'AEO 2023 Table 58 Raw'!H34</f>
        <v>95.883910999999998</v>
      </c>
      <c r="F47" s="217">
        <f>'AEO 2023 Table 58 Raw'!I34</f>
        <v>90.399497999999994</v>
      </c>
      <c r="G47" s="217">
        <f>'AEO 2023 Table 58 Raw'!J34</f>
        <v>91.131546</v>
      </c>
      <c r="H47" s="217">
        <f>'AEO 2023 Table 58 Raw'!K34</f>
        <v>91.528312999999997</v>
      </c>
      <c r="I47" s="217">
        <f>'AEO 2023 Table 58 Raw'!L34</f>
        <v>92.118324000000001</v>
      </c>
      <c r="J47" s="217">
        <f>'AEO 2023 Table 58 Raw'!M34</f>
        <v>92.703568000000004</v>
      </c>
      <c r="K47" s="217">
        <f>'AEO 2023 Table 58 Raw'!N34</f>
        <v>93.309517</v>
      </c>
      <c r="L47" s="217">
        <f>'AEO 2023 Table 58 Raw'!O34</f>
        <v>93.948668999999995</v>
      </c>
      <c r="M47" s="217">
        <f>'AEO 2023 Table 58 Raw'!P34</f>
        <v>94.753540000000001</v>
      </c>
      <c r="N47" s="217">
        <f>'AEO 2023 Table 58 Raw'!Q34</f>
        <v>95.190856999999994</v>
      </c>
      <c r="O47" s="217">
        <f>'AEO 2023 Table 58 Raw'!R34</f>
        <v>95.845398000000003</v>
      </c>
      <c r="P47" s="217">
        <f>'AEO 2023 Table 58 Raw'!S34</f>
        <v>96.49588</v>
      </c>
      <c r="Q47" s="217">
        <f>'AEO 2023 Table 58 Raw'!T34</f>
        <v>97.171149999999997</v>
      </c>
      <c r="R47" s="217">
        <f>'AEO 2023 Table 58 Raw'!U34</f>
        <v>97.714309999999998</v>
      </c>
      <c r="S47" s="217">
        <f>'AEO 2023 Table 58 Raw'!V34</f>
        <v>98.333259999999996</v>
      </c>
      <c r="T47" s="217">
        <f>'AEO 2023 Table 58 Raw'!W34</f>
        <v>98.926674000000006</v>
      </c>
      <c r="U47" s="217">
        <f>'AEO 2023 Table 58 Raw'!X34</f>
        <v>99.474213000000006</v>
      </c>
      <c r="V47" s="217">
        <f>'AEO 2023 Table 58 Raw'!Y34</f>
        <v>100.062691</v>
      </c>
      <c r="W47" s="217">
        <f>'AEO 2023 Table 58 Raw'!Z34</f>
        <v>100.453789</v>
      </c>
      <c r="X47" s="217">
        <f>'AEO 2023 Table 58 Raw'!AA34</f>
        <v>100.804619</v>
      </c>
      <c r="Y47" s="217">
        <f>'AEO 2023 Table 58 Raw'!AB34</f>
        <v>101.212402</v>
      </c>
      <c r="Z47" s="217">
        <f>'AEO 2023 Table 58 Raw'!AC34</f>
        <v>101.616806</v>
      </c>
      <c r="AA47" s="217">
        <f>'AEO 2023 Table 58 Raw'!AD34</f>
        <v>102.36889600000001</v>
      </c>
      <c r="AB47" s="217">
        <f>'AEO 2023 Table 58 Raw'!AE34</f>
        <v>102.921783</v>
      </c>
      <c r="AC47" s="217">
        <f>'AEO 2023 Table 58 Raw'!AF34</f>
        <v>103.49346199999999</v>
      </c>
      <c r="AD47" s="217">
        <f>'AEO 2023 Table 58 Raw'!AG34</f>
        <v>104.019524</v>
      </c>
      <c r="AE47" s="217">
        <f>'AEO 2023 Table 58 Raw'!AH34</f>
        <v>104.26900500000001</v>
      </c>
      <c r="AF47" s="252">
        <f>'AEO 2023 Table 58 Raw'!AI34</f>
        <v>3.0000000000000001E-3</v>
      </c>
    </row>
    <row r="48" spans="1:32" ht="12" customHeight="1" x14ac:dyDescent="0.75">
      <c r="A48" s="212" t="s">
        <v>599</v>
      </c>
      <c r="B48" s="211" t="s">
        <v>565</v>
      </c>
      <c r="C48" s="217">
        <f>'AEO 2023 Table 58 Raw'!F35</f>
        <v>98.130981000000006</v>
      </c>
      <c r="D48" s="217">
        <f>'AEO 2023 Table 58 Raw'!G35</f>
        <v>94.383713</v>
      </c>
      <c r="E48" s="217">
        <f>'AEO 2023 Table 58 Raw'!H35</f>
        <v>90.740181000000007</v>
      </c>
      <c r="F48" s="217">
        <f>'AEO 2023 Table 58 Raw'!I35</f>
        <v>84.768531999999993</v>
      </c>
      <c r="G48" s="217">
        <f>'AEO 2023 Table 58 Raw'!J35</f>
        <v>84.886436000000003</v>
      </c>
      <c r="H48" s="217">
        <f>'AEO 2023 Table 58 Raw'!K35</f>
        <v>85.133735999999999</v>
      </c>
      <c r="I48" s="217">
        <f>'AEO 2023 Table 58 Raw'!L35</f>
        <v>85.873610999999997</v>
      </c>
      <c r="J48" s="217">
        <f>'AEO 2023 Table 58 Raw'!M35</f>
        <v>86.350455999999994</v>
      </c>
      <c r="K48" s="217">
        <f>'AEO 2023 Table 58 Raw'!N35</f>
        <v>86.822616999999994</v>
      </c>
      <c r="L48" s="217">
        <f>'AEO 2023 Table 58 Raw'!O35</f>
        <v>87.440726999999995</v>
      </c>
      <c r="M48" s="217">
        <f>'AEO 2023 Table 58 Raw'!P35</f>
        <v>88.191131999999996</v>
      </c>
      <c r="N48" s="217">
        <f>'AEO 2023 Table 58 Raw'!Q35</f>
        <v>88.665749000000005</v>
      </c>
      <c r="O48" s="217">
        <f>'AEO 2023 Table 58 Raw'!R35</f>
        <v>89.437965000000005</v>
      </c>
      <c r="P48" s="217">
        <f>'AEO 2023 Table 58 Raw'!S35</f>
        <v>89.868660000000006</v>
      </c>
      <c r="Q48" s="217">
        <f>'AEO 2023 Table 58 Raw'!T35</f>
        <v>90.594016999999994</v>
      </c>
      <c r="R48" s="217">
        <f>'AEO 2023 Table 58 Raw'!U35</f>
        <v>91.177993999999998</v>
      </c>
      <c r="S48" s="217">
        <f>'AEO 2023 Table 58 Raw'!V35</f>
        <v>91.598381000000003</v>
      </c>
      <c r="T48" s="217">
        <f>'AEO 2023 Table 58 Raw'!W35</f>
        <v>92.125457999999995</v>
      </c>
      <c r="U48" s="217">
        <f>'AEO 2023 Table 58 Raw'!X35</f>
        <v>92.554053999999994</v>
      </c>
      <c r="V48" s="217">
        <f>'AEO 2023 Table 58 Raw'!Y35</f>
        <v>93.055801000000002</v>
      </c>
      <c r="W48" s="217">
        <f>'AEO 2023 Table 58 Raw'!Z35</f>
        <v>93.488913999999994</v>
      </c>
      <c r="X48" s="217">
        <f>'AEO 2023 Table 58 Raw'!AA35</f>
        <v>93.914230000000003</v>
      </c>
      <c r="Y48" s="217">
        <f>'AEO 2023 Table 58 Raw'!AB35</f>
        <v>94.329200999999998</v>
      </c>
      <c r="Z48" s="217">
        <f>'AEO 2023 Table 58 Raw'!AC35</f>
        <v>94.675751000000005</v>
      </c>
      <c r="AA48" s="217">
        <f>'AEO 2023 Table 58 Raw'!AD35</f>
        <v>95.389281999999994</v>
      </c>
      <c r="AB48" s="217">
        <f>'AEO 2023 Table 58 Raw'!AE35</f>
        <v>95.815421999999998</v>
      </c>
      <c r="AC48" s="217">
        <f>'AEO 2023 Table 58 Raw'!AF35</f>
        <v>96.491089000000002</v>
      </c>
      <c r="AD48" s="217">
        <f>'AEO 2023 Table 58 Raw'!AG35</f>
        <v>97.212631000000002</v>
      </c>
      <c r="AE48" s="217">
        <f>'AEO 2023 Table 58 Raw'!AH35</f>
        <v>97.388603000000003</v>
      </c>
      <c r="AF48" s="252">
        <f>'AEO 2023 Table 58 Raw'!AI35</f>
        <v>0</v>
      </c>
    </row>
    <row r="49" spans="1:32" ht="12" customHeight="1" x14ac:dyDescent="0.75">
      <c r="A49" s="212" t="s">
        <v>600</v>
      </c>
      <c r="B49" s="211" t="s">
        <v>567</v>
      </c>
      <c r="C49" s="217">
        <f>'AEO 2023 Table 58 Raw'!F36</f>
        <v>93.609229999999997</v>
      </c>
      <c r="D49" s="217">
        <f>'AEO 2023 Table 58 Raw'!G36</f>
        <v>86.461112999999997</v>
      </c>
      <c r="E49" s="217">
        <f>'AEO 2023 Table 58 Raw'!H36</f>
        <v>86.292457999999996</v>
      </c>
      <c r="F49" s="217">
        <f>'AEO 2023 Table 58 Raw'!I36</f>
        <v>80.893378999999996</v>
      </c>
      <c r="G49" s="217">
        <f>'AEO 2023 Table 58 Raw'!J36</f>
        <v>81.731491000000005</v>
      </c>
      <c r="H49" s="217">
        <f>'AEO 2023 Table 58 Raw'!K36</f>
        <v>82.064789000000005</v>
      </c>
      <c r="I49" s="217">
        <f>'AEO 2023 Table 58 Raw'!L36</f>
        <v>82.691490000000002</v>
      </c>
      <c r="J49" s="217">
        <f>'AEO 2023 Table 58 Raw'!M36</f>
        <v>83.278709000000006</v>
      </c>
      <c r="K49" s="217">
        <f>'AEO 2023 Table 58 Raw'!N36</f>
        <v>83.977737000000005</v>
      </c>
      <c r="L49" s="217">
        <f>'AEO 2023 Table 58 Raw'!O36</f>
        <v>84.534981000000002</v>
      </c>
      <c r="M49" s="217">
        <f>'AEO 2023 Table 58 Raw'!P36</f>
        <v>85.362258999999995</v>
      </c>
      <c r="N49" s="217">
        <f>'AEO 2023 Table 58 Raw'!Q36</f>
        <v>85.825187999999997</v>
      </c>
      <c r="O49" s="217">
        <f>'AEO 2023 Table 58 Raw'!R36</f>
        <v>86.492241000000007</v>
      </c>
      <c r="P49" s="217">
        <f>'AEO 2023 Table 58 Raw'!S36</f>
        <v>87.179732999999999</v>
      </c>
      <c r="Q49" s="217">
        <f>'AEO 2023 Table 58 Raw'!T36</f>
        <v>87.881134000000003</v>
      </c>
      <c r="R49" s="217">
        <f>'AEO 2023 Table 58 Raw'!U36</f>
        <v>88.412880000000001</v>
      </c>
      <c r="S49" s="217">
        <f>'AEO 2023 Table 58 Raw'!V36</f>
        <v>89.023674</v>
      </c>
      <c r="T49" s="217">
        <f>'AEO 2023 Table 58 Raw'!W36</f>
        <v>89.591353999999995</v>
      </c>
      <c r="U49" s="217">
        <f>'AEO 2023 Table 58 Raw'!X36</f>
        <v>90.093422000000004</v>
      </c>
      <c r="V49" s="217">
        <f>'AEO 2023 Table 58 Raw'!Y36</f>
        <v>90.656464</v>
      </c>
      <c r="W49" s="217">
        <f>'AEO 2023 Table 58 Raw'!Z36</f>
        <v>91.054466000000005</v>
      </c>
      <c r="X49" s="217">
        <f>'AEO 2023 Table 58 Raw'!AA36</f>
        <v>91.388396999999998</v>
      </c>
      <c r="Y49" s="217">
        <f>'AEO 2023 Table 58 Raw'!AB36</f>
        <v>91.799225000000007</v>
      </c>
      <c r="Z49" s="217">
        <f>'AEO 2023 Table 58 Raw'!AC36</f>
        <v>92.156897999999998</v>
      </c>
      <c r="AA49" s="217">
        <f>'AEO 2023 Table 58 Raw'!AD36</f>
        <v>92.970673000000005</v>
      </c>
      <c r="AB49" s="217">
        <f>'AEO 2023 Table 58 Raw'!AE36</f>
        <v>93.360680000000002</v>
      </c>
      <c r="AC49" s="217">
        <f>'AEO 2023 Table 58 Raw'!AF36</f>
        <v>93.968765000000005</v>
      </c>
      <c r="AD49" s="217">
        <f>'AEO 2023 Table 58 Raw'!AG36</f>
        <v>94.543152000000006</v>
      </c>
      <c r="AE49" s="217">
        <f>'AEO 2023 Table 58 Raw'!AH36</f>
        <v>94.848754999999997</v>
      </c>
      <c r="AF49" s="252">
        <f>'AEO 2023 Table 58 Raw'!AI36</f>
        <v>0</v>
      </c>
    </row>
    <row r="50" spans="1:32" ht="15" customHeight="1" x14ac:dyDescent="0.75">
      <c r="A50" s="212" t="s">
        <v>601</v>
      </c>
      <c r="B50" s="211" t="s">
        <v>569</v>
      </c>
      <c r="C50" s="217">
        <f>'AEO 2023 Table 58 Raw'!F37</f>
        <v>87.180954</v>
      </c>
      <c r="D50" s="217">
        <f>'AEO 2023 Table 58 Raw'!G37</f>
        <v>92.036902999999995</v>
      </c>
      <c r="E50" s="217">
        <f>'AEO 2023 Table 58 Raw'!H37</f>
        <v>88.479484999999997</v>
      </c>
      <c r="F50" s="217">
        <f>'AEO 2023 Table 58 Raw'!I37</f>
        <v>82.607307000000006</v>
      </c>
      <c r="G50" s="217">
        <f>'AEO 2023 Table 58 Raw'!J37</f>
        <v>82.661804000000004</v>
      </c>
      <c r="H50" s="217">
        <f>'AEO 2023 Table 58 Raw'!K37</f>
        <v>82.822685000000007</v>
      </c>
      <c r="I50" s="217">
        <f>'AEO 2023 Table 58 Raw'!L37</f>
        <v>83.559486000000007</v>
      </c>
      <c r="J50" s="217">
        <f>'AEO 2023 Table 58 Raw'!M37</f>
        <v>84.041297999999998</v>
      </c>
      <c r="K50" s="217">
        <f>'AEO 2023 Table 58 Raw'!N37</f>
        <v>84.512459000000007</v>
      </c>
      <c r="L50" s="217">
        <f>'AEO 2023 Table 58 Raw'!O37</f>
        <v>85.110909000000007</v>
      </c>
      <c r="M50" s="217">
        <f>'AEO 2023 Table 58 Raw'!P37</f>
        <v>85.915985000000006</v>
      </c>
      <c r="N50" s="217">
        <f>'AEO 2023 Table 58 Raw'!Q37</f>
        <v>86.400413999999998</v>
      </c>
      <c r="O50" s="217">
        <f>'AEO 2023 Table 58 Raw'!R37</f>
        <v>87.534592000000004</v>
      </c>
      <c r="P50" s="217">
        <f>'AEO 2023 Table 58 Raw'!S37</f>
        <v>87.931038000000001</v>
      </c>
      <c r="Q50" s="217">
        <f>'AEO 2023 Table 58 Raw'!T37</f>
        <v>88.644226000000003</v>
      </c>
      <c r="R50" s="217">
        <f>'AEO 2023 Table 58 Raw'!U37</f>
        <v>89.200996000000004</v>
      </c>
      <c r="S50" s="217">
        <f>'AEO 2023 Table 58 Raw'!V37</f>
        <v>89.598731999999998</v>
      </c>
      <c r="T50" s="217">
        <f>'AEO 2023 Table 58 Raw'!W37</f>
        <v>90.137314000000003</v>
      </c>
      <c r="U50" s="217">
        <f>'AEO 2023 Table 58 Raw'!X37</f>
        <v>90.580910000000003</v>
      </c>
      <c r="V50" s="217">
        <f>'AEO 2023 Table 58 Raw'!Y37</f>
        <v>91.091369999999998</v>
      </c>
      <c r="W50" s="217">
        <f>'AEO 2023 Table 58 Raw'!Z37</f>
        <v>91.540481999999997</v>
      </c>
      <c r="X50" s="217">
        <f>'AEO 2023 Table 58 Raw'!AA37</f>
        <v>91.967644000000007</v>
      </c>
      <c r="Y50" s="217">
        <f>'AEO 2023 Table 58 Raw'!AB37</f>
        <v>92.417900000000003</v>
      </c>
      <c r="Z50" s="217">
        <f>'AEO 2023 Table 58 Raw'!AC37</f>
        <v>92.766388000000006</v>
      </c>
      <c r="AA50" s="217">
        <f>'AEO 2023 Table 58 Raw'!AD37</f>
        <v>93.501014999999995</v>
      </c>
      <c r="AB50" s="217">
        <f>'AEO 2023 Table 58 Raw'!AE37</f>
        <v>93.951087999999999</v>
      </c>
      <c r="AC50" s="217">
        <f>'AEO 2023 Table 58 Raw'!AF37</f>
        <v>94.641334999999998</v>
      </c>
      <c r="AD50" s="217">
        <f>'AEO 2023 Table 58 Raw'!AG37</f>
        <v>95.371825999999999</v>
      </c>
      <c r="AE50" s="217">
        <f>'AEO 2023 Table 58 Raw'!AH37</f>
        <v>95.549521999999996</v>
      </c>
      <c r="AF50" s="252">
        <f>'AEO 2023 Table 58 Raw'!AI37</f>
        <v>3.0000000000000001E-3</v>
      </c>
    </row>
    <row r="51" spans="1:32" ht="15" customHeight="1" x14ac:dyDescent="0.75">
      <c r="A51" s="212" t="s">
        <v>602</v>
      </c>
      <c r="B51" s="211" t="s">
        <v>571</v>
      </c>
      <c r="C51" s="217">
        <f>'AEO 2023 Table 58 Raw'!F38</f>
        <v>87.180954</v>
      </c>
      <c r="D51" s="217">
        <f>'AEO 2023 Table 58 Raw'!G38</f>
        <v>92.036902999999995</v>
      </c>
      <c r="E51" s="217">
        <f>'AEO 2023 Table 58 Raw'!H38</f>
        <v>88.479484999999997</v>
      </c>
      <c r="F51" s="217">
        <f>'AEO 2023 Table 58 Raw'!I38</f>
        <v>82.607307000000006</v>
      </c>
      <c r="G51" s="217">
        <f>'AEO 2023 Table 58 Raw'!J38</f>
        <v>82.661804000000004</v>
      </c>
      <c r="H51" s="217">
        <f>'AEO 2023 Table 58 Raw'!K38</f>
        <v>82.822685000000007</v>
      </c>
      <c r="I51" s="217">
        <f>'AEO 2023 Table 58 Raw'!L38</f>
        <v>83.559486000000007</v>
      </c>
      <c r="J51" s="217">
        <f>'AEO 2023 Table 58 Raw'!M38</f>
        <v>84.041297999999998</v>
      </c>
      <c r="K51" s="217">
        <f>'AEO 2023 Table 58 Raw'!N38</f>
        <v>84.512459000000007</v>
      </c>
      <c r="L51" s="217">
        <f>'AEO 2023 Table 58 Raw'!O38</f>
        <v>85.110909000000007</v>
      </c>
      <c r="M51" s="217">
        <f>'AEO 2023 Table 58 Raw'!P38</f>
        <v>85.915985000000006</v>
      </c>
      <c r="N51" s="217">
        <f>'AEO 2023 Table 58 Raw'!Q38</f>
        <v>86.400413999999998</v>
      </c>
      <c r="O51" s="217">
        <f>'AEO 2023 Table 58 Raw'!R38</f>
        <v>87.534592000000004</v>
      </c>
      <c r="P51" s="217">
        <f>'AEO 2023 Table 58 Raw'!S38</f>
        <v>87.931038000000001</v>
      </c>
      <c r="Q51" s="217">
        <f>'AEO 2023 Table 58 Raw'!T38</f>
        <v>88.644226000000003</v>
      </c>
      <c r="R51" s="217">
        <f>'AEO 2023 Table 58 Raw'!U38</f>
        <v>89.200996000000004</v>
      </c>
      <c r="S51" s="217">
        <f>'AEO 2023 Table 58 Raw'!V38</f>
        <v>89.598731999999998</v>
      </c>
      <c r="T51" s="217">
        <f>'AEO 2023 Table 58 Raw'!W38</f>
        <v>90.137314000000003</v>
      </c>
      <c r="U51" s="217">
        <f>'AEO 2023 Table 58 Raw'!X38</f>
        <v>90.580910000000003</v>
      </c>
      <c r="V51" s="217">
        <f>'AEO 2023 Table 58 Raw'!Y38</f>
        <v>91.091369999999998</v>
      </c>
      <c r="W51" s="217">
        <f>'AEO 2023 Table 58 Raw'!Z38</f>
        <v>91.540481999999997</v>
      </c>
      <c r="X51" s="217">
        <f>'AEO 2023 Table 58 Raw'!AA38</f>
        <v>91.967644000000007</v>
      </c>
      <c r="Y51" s="217">
        <f>'AEO 2023 Table 58 Raw'!AB38</f>
        <v>92.417900000000003</v>
      </c>
      <c r="Z51" s="217">
        <f>'AEO 2023 Table 58 Raw'!AC38</f>
        <v>92.766388000000006</v>
      </c>
      <c r="AA51" s="217">
        <f>'AEO 2023 Table 58 Raw'!AD38</f>
        <v>93.501014999999995</v>
      </c>
      <c r="AB51" s="217">
        <f>'AEO 2023 Table 58 Raw'!AE38</f>
        <v>93.951087999999999</v>
      </c>
      <c r="AC51" s="217">
        <f>'AEO 2023 Table 58 Raw'!AF38</f>
        <v>94.641334999999998</v>
      </c>
      <c r="AD51" s="217">
        <f>'AEO 2023 Table 58 Raw'!AG38</f>
        <v>95.371825999999999</v>
      </c>
      <c r="AE51" s="217">
        <f>'AEO 2023 Table 58 Raw'!AH38</f>
        <v>95.549521999999996</v>
      </c>
      <c r="AF51" s="252">
        <f>'AEO 2023 Table 58 Raw'!AI38</f>
        <v>3.0000000000000001E-3</v>
      </c>
    </row>
    <row r="52" spans="1:32" ht="15" customHeight="1" x14ac:dyDescent="0.75">
      <c r="A52" s="212" t="s">
        <v>603</v>
      </c>
      <c r="B52" s="211" t="s">
        <v>573</v>
      </c>
      <c r="C52" s="217">
        <f>'AEO 2023 Table 58 Raw'!F39</f>
        <v>100.237137</v>
      </c>
      <c r="D52" s="217">
        <f>'AEO 2023 Table 58 Raw'!G39</f>
        <v>94.045676999999998</v>
      </c>
      <c r="E52" s="217">
        <f>'AEO 2023 Table 58 Raw'!H39</f>
        <v>95.098320000000001</v>
      </c>
      <c r="F52" s="217">
        <f>'AEO 2023 Table 58 Raw'!I39</f>
        <v>89.280617000000007</v>
      </c>
      <c r="G52" s="217">
        <f>'AEO 2023 Table 58 Raw'!J39</f>
        <v>89.667525999999995</v>
      </c>
      <c r="H52" s="217">
        <f>'AEO 2023 Table 58 Raw'!K39</f>
        <v>90.015343000000001</v>
      </c>
      <c r="I52" s="217">
        <f>'AEO 2023 Table 58 Raw'!L39</f>
        <v>90.526176000000007</v>
      </c>
      <c r="J52" s="217">
        <f>'AEO 2023 Table 58 Raw'!M39</f>
        <v>90.989204000000001</v>
      </c>
      <c r="K52" s="217">
        <f>'AEO 2023 Table 58 Raw'!N39</f>
        <v>91.176765000000003</v>
      </c>
      <c r="L52" s="217">
        <f>'AEO 2023 Table 58 Raw'!O39</f>
        <v>91.685019999999994</v>
      </c>
      <c r="M52" s="217">
        <f>'AEO 2023 Table 58 Raw'!P39</f>
        <v>92.435164999999998</v>
      </c>
      <c r="N52" s="217">
        <f>'AEO 2023 Table 58 Raw'!Q39</f>
        <v>92.69014</v>
      </c>
      <c r="O52" s="217">
        <f>'AEO 2023 Table 58 Raw'!R39</f>
        <v>93.147789000000003</v>
      </c>
      <c r="P52" s="217">
        <f>'AEO 2023 Table 58 Raw'!S39</f>
        <v>93.708275</v>
      </c>
      <c r="Q52" s="217">
        <f>'AEO 2023 Table 58 Raw'!T39</f>
        <v>94.256103999999993</v>
      </c>
      <c r="R52" s="217">
        <f>'AEO 2023 Table 58 Raw'!U39</f>
        <v>94.817665000000005</v>
      </c>
      <c r="S52" s="217">
        <f>'AEO 2023 Table 58 Raw'!V39</f>
        <v>95.323363999999998</v>
      </c>
      <c r="T52" s="217">
        <f>'AEO 2023 Table 58 Raw'!W39</f>
        <v>96.041556999999997</v>
      </c>
      <c r="U52" s="217">
        <f>'AEO 2023 Table 58 Raw'!X39</f>
        <v>96.441490000000002</v>
      </c>
      <c r="V52" s="217">
        <f>'AEO 2023 Table 58 Raw'!Y39</f>
        <v>97.234436000000002</v>
      </c>
      <c r="W52" s="217">
        <f>'AEO 2023 Table 58 Raw'!Z39</f>
        <v>97.643051</v>
      </c>
      <c r="X52" s="217">
        <f>'AEO 2023 Table 58 Raw'!AA39</f>
        <v>98.205544000000003</v>
      </c>
      <c r="Y52" s="217">
        <f>'AEO 2023 Table 58 Raw'!AB39</f>
        <v>99.080916999999999</v>
      </c>
      <c r="Z52" s="217">
        <f>'AEO 2023 Table 58 Raw'!AC39</f>
        <v>99.543685999999994</v>
      </c>
      <c r="AA52" s="217">
        <f>'AEO 2023 Table 58 Raw'!AD39</f>
        <v>99.042709000000002</v>
      </c>
      <c r="AB52" s="217">
        <f>'AEO 2023 Table 58 Raw'!AE39</f>
        <v>99.467788999999996</v>
      </c>
      <c r="AC52" s="217">
        <f>'AEO 2023 Table 58 Raw'!AF39</f>
        <v>99.620307999999994</v>
      </c>
      <c r="AD52" s="217">
        <f>'AEO 2023 Table 58 Raw'!AG39</f>
        <v>100.30740400000001</v>
      </c>
      <c r="AE52" s="217">
        <f>'AEO 2023 Table 58 Raw'!AH39</f>
        <v>100.51384</v>
      </c>
      <c r="AF52" s="252">
        <f>'AEO 2023 Table 58 Raw'!AI39</f>
        <v>0</v>
      </c>
    </row>
    <row r="53" spans="1:32" ht="15" customHeight="1" x14ac:dyDescent="0.65">
      <c r="C53" s="217"/>
      <c r="D53" s="217"/>
      <c r="E53" s="217"/>
      <c r="F53" s="217"/>
      <c r="G53" s="217"/>
      <c r="H53" s="217"/>
      <c r="I53" s="217"/>
      <c r="J53" s="217"/>
      <c r="K53" s="217"/>
      <c r="L53" s="217"/>
      <c r="M53" s="217"/>
      <c r="N53" s="217"/>
      <c r="O53" s="217"/>
      <c r="P53" s="217"/>
      <c r="Q53" s="217"/>
      <c r="R53" s="217"/>
      <c r="S53" s="217"/>
      <c r="T53" s="217"/>
      <c r="U53" s="217"/>
      <c r="V53" s="217"/>
      <c r="W53" s="217"/>
      <c r="X53" s="217"/>
      <c r="Y53" s="217"/>
      <c r="Z53" s="217"/>
      <c r="AA53" s="217"/>
      <c r="AB53" s="217"/>
      <c r="AC53" s="217"/>
      <c r="AD53" s="217"/>
      <c r="AE53" s="217"/>
      <c r="AF53" s="252"/>
    </row>
    <row r="54" spans="1:32" ht="15" customHeight="1" x14ac:dyDescent="0.65">
      <c r="B54" s="215" t="s">
        <v>575</v>
      </c>
      <c r="C54" s="217"/>
      <c r="D54" s="217"/>
      <c r="E54" s="217"/>
      <c r="F54" s="217"/>
      <c r="G54" s="217"/>
      <c r="H54" s="217"/>
      <c r="I54" s="217"/>
      <c r="J54" s="217"/>
      <c r="K54" s="217"/>
      <c r="L54" s="217"/>
      <c r="M54" s="217"/>
      <c r="N54" s="217"/>
      <c r="O54" s="217"/>
      <c r="P54" s="217"/>
      <c r="Q54" s="217"/>
      <c r="R54" s="217"/>
      <c r="S54" s="217"/>
      <c r="T54" s="217"/>
      <c r="U54" s="217"/>
      <c r="V54" s="217"/>
      <c r="W54" s="217"/>
      <c r="X54" s="217"/>
      <c r="Y54" s="217"/>
      <c r="Z54" s="217"/>
      <c r="AA54" s="217"/>
      <c r="AB54" s="217"/>
      <c r="AC54" s="217"/>
      <c r="AD54" s="217"/>
      <c r="AE54" s="217"/>
      <c r="AF54" s="252"/>
    </row>
    <row r="55" spans="1:32" ht="15" customHeight="1" x14ac:dyDescent="0.75">
      <c r="A55" s="212" t="s">
        <v>604</v>
      </c>
      <c r="B55" s="211" t="s">
        <v>577</v>
      </c>
      <c r="C55" s="217">
        <f>'AEO 2023 Table 58 Raw'!F41</f>
        <v>97.072922000000005</v>
      </c>
      <c r="D55" s="217">
        <f>'AEO 2023 Table 58 Raw'!G41</f>
        <v>95.794312000000005</v>
      </c>
      <c r="E55" s="217">
        <f>'AEO 2023 Table 58 Raw'!H41</f>
        <v>95.883910999999998</v>
      </c>
      <c r="F55" s="217">
        <f>'AEO 2023 Table 58 Raw'!I41</f>
        <v>90.399497999999994</v>
      </c>
      <c r="G55" s="217">
        <f>'AEO 2023 Table 58 Raw'!J41</f>
        <v>91.131546</v>
      </c>
      <c r="H55" s="217">
        <f>'AEO 2023 Table 58 Raw'!K41</f>
        <v>91.528312999999997</v>
      </c>
      <c r="I55" s="217">
        <f>'AEO 2023 Table 58 Raw'!L41</f>
        <v>92.118324000000001</v>
      </c>
      <c r="J55" s="217">
        <f>'AEO 2023 Table 58 Raw'!M41</f>
        <v>92.703568000000004</v>
      </c>
      <c r="K55" s="217">
        <f>'AEO 2023 Table 58 Raw'!N41</f>
        <v>93.309517</v>
      </c>
      <c r="L55" s="217">
        <f>'AEO 2023 Table 58 Raw'!O41</f>
        <v>93.948668999999995</v>
      </c>
      <c r="M55" s="217">
        <f>'AEO 2023 Table 58 Raw'!P41</f>
        <v>94.753540000000001</v>
      </c>
      <c r="N55" s="217">
        <f>'AEO 2023 Table 58 Raw'!Q41</f>
        <v>95.190856999999994</v>
      </c>
      <c r="O55" s="217">
        <f>'AEO 2023 Table 58 Raw'!R41</f>
        <v>95.845398000000003</v>
      </c>
      <c r="P55" s="217">
        <f>'AEO 2023 Table 58 Raw'!S41</f>
        <v>96.49588</v>
      </c>
      <c r="Q55" s="217">
        <f>'AEO 2023 Table 58 Raw'!T41</f>
        <v>97.171149999999997</v>
      </c>
      <c r="R55" s="217">
        <f>'AEO 2023 Table 58 Raw'!U41</f>
        <v>97.714309999999998</v>
      </c>
      <c r="S55" s="217">
        <f>'AEO 2023 Table 58 Raw'!V41</f>
        <v>98.333259999999996</v>
      </c>
      <c r="T55" s="217">
        <f>'AEO 2023 Table 58 Raw'!W41</f>
        <v>98.926674000000006</v>
      </c>
      <c r="U55" s="217">
        <f>'AEO 2023 Table 58 Raw'!X41</f>
        <v>99.474213000000006</v>
      </c>
      <c r="V55" s="217">
        <f>'AEO 2023 Table 58 Raw'!Y41</f>
        <v>100.062691</v>
      </c>
      <c r="W55" s="217">
        <f>'AEO 2023 Table 58 Raw'!Z41</f>
        <v>100.453789</v>
      </c>
      <c r="X55" s="217">
        <f>'AEO 2023 Table 58 Raw'!AA41</f>
        <v>100.804619</v>
      </c>
      <c r="Y55" s="217">
        <f>'AEO 2023 Table 58 Raw'!AB41</f>
        <v>101.212402</v>
      </c>
      <c r="Z55" s="217">
        <f>'AEO 2023 Table 58 Raw'!AC41</f>
        <v>101.616806</v>
      </c>
      <c r="AA55" s="217">
        <f>'AEO 2023 Table 58 Raw'!AD41</f>
        <v>102.36889600000001</v>
      </c>
      <c r="AB55" s="217">
        <f>'AEO 2023 Table 58 Raw'!AE41</f>
        <v>102.921783</v>
      </c>
      <c r="AC55" s="217">
        <f>'AEO 2023 Table 58 Raw'!AF41</f>
        <v>103.49346199999999</v>
      </c>
      <c r="AD55" s="217">
        <f>'AEO 2023 Table 58 Raw'!AG41</f>
        <v>104.019524</v>
      </c>
      <c r="AE55" s="217">
        <f>'AEO 2023 Table 58 Raw'!AH41</f>
        <v>104.26900500000001</v>
      </c>
      <c r="AF55" s="252">
        <f>'AEO 2023 Table 58 Raw'!AI41</f>
        <v>3.0000000000000001E-3</v>
      </c>
    </row>
    <row r="56" spans="1:32" ht="15" customHeight="1" x14ac:dyDescent="0.75">
      <c r="A56" s="212" t="s">
        <v>605</v>
      </c>
      <c r="B56" s="211" t="s">
        <v>585</v>
      </c>
      <c r="C56" s="217">
        <f>'AEO 2023 Table 58 Raw'!F42</f>
        <v>70.551292000000004</v>
      </c>
      <c r="D56" s="217">
        <f>'AEO 2023 Table 58 Raw'!G42</f>
        <v>94.045676999999998</v>
      </c>
      <c r="E56" s="217">
        <f>'AEO 2023 Table 58 Raw'!H42</f>
        <v>95.098320000000001</v>
      </c>
      <c r="F56" s="217">
        <f>'AEO 2023 Table 58 Raw'!I42</f>
        <v>89.280617000000007</v>
      </c>
      <c r="G56" s="217">
        <f>'AEO 2023 Table 58 Raw'!J42</f>
        <v>89.667525999999995</v>
      </c>
      <c r="H56" s="217">
        <f>'AEO 2023 Table 58 Raw'!K42</f>
        <v>90.015343000000001</v>
      </c>
      <c r="I56" s="217">
        <f>'AEO 2023 Table 58 Raw'!L42</f>
        <v>90.526176000000007</v>
      </c>
      <c r="J56" s="217">
        <f>'AEO 2023 Table 58 Raw'!M42</f>
        <v>90.989204000000001</v>
      </c>
      <c r="K56" s="217">
        <f>'AEO 2023 Table 58 Raw'!N42</f>
        <v>91.176765000000003</v>
      </c>
      <c r="L56" s="217">
        <f>'AEO 2023 Table 58 Raw'!O42</f>
        <v>91.685019999999994</v>
      </c>
      <c r="M56" s="217">
        <f>'AEO 2023 Table 58 Raw'!P42</f>
        <v>92.435164999999998</v>
      </c>
      <c r="N56" s="217">
        <f>'AEO 2023 Table 58 Raw'!Q42</f>
        <v>92.69014</v>
      </c>
      <c r="O56" s="217">
        <f>'AEO 2023 Table 58 Raw'!R42</f>
        <v>93.147789000000003</v>
      </c>
      <c r="P56" s="217">
        <f>'AEO 2023 Table 58 Raw'!S42</f>
        <v>93.708275</v>
      </c>
      <c r="Q56" s="217">
        <f>'AEO 2023 Table 58 Raw'!T42</f>
        <v>94.256103999999993</v>
      </c>
      <c r="R56" s="217">
        <f>'AEO 2023 Table 58 Raw'!U42</f>
        <v>94.817665000000005</v>
      </c>
      <c r="S56" s="217">
        <f>'AEO 2023 Table 58 Raw'!V42</f>
        <v>95.323363999999998</v>
      </c>
      <c r="T56" s="217">
        <f>'AEO 2023 Table 58 Raw'!W42</f>
        <v>96.041556999999997</v>
      </c>
      <c r="U56" s="217">
        <f>'AEO 2023 Table 58 Raw'!X42</f>
        <v>96.441490000000002</v>
      </c>
      <c r="V56" s="217">
        <f>'AEO 2023 Table 58 Raw'!Y42</f>
        <v>97.234436000000002</v>
      </c>
      <c r="W56" s="217">
        <f>'AEO 2023 Table 58 Raw'!Z42</f>
        <v>97.643051</v>
      </c>
      <c r="X56" s="217">
        <f>'AEO 2023 Table 58 Raw'!AA42</f>
        <v>98.205544000000003</v>
      </c>
      <c r="Y56" s="217">
        <f>'AEO 2023 Table 58 Raw'!AB42</f>
        <v>99.080916999999999</v>
      </c>
      <c r="Z56" s="217">
        <f>'AEO 2023 Table 58 Raw'!AC42</f>
        <v>99.543685999999994</v>
      </c>
      <c r="AA56" s="217">
        <f>'AEO 2023 Table 58 Raw'!AD42</f>
        <v>99.042709000000002</v>
      </c>
      <c r="AB56" s="217">
        <f>'AEO 2023 Table 58 Raw'!AE42</f>
        <v>99.467788999999996</v>
      </c>
      <c r="AC56" s="217">
        <f>'AEO 2023 Table 58 Raw'!AF42</f>
        <v>99.620307999999994</v>
      </c>
      <c r="AD56" s="217">
        <f>'AEO 2023 Table 58 Raw'!AG42</f>
        <v>100.30740400000001</v>
      </c>
      <c r="AE56" s="217">
        <f>'AEO 2023 Table 58 Raw'!AH42</f>
        <v>100.51384</v>
      </c>
      <c r="AF56" s="252">
        <f>'AEO 2023 Table 58 Raw'!AI42</f>
        <v>1.2999999999999999E-2</v>
      </c>
    </row>
    <row r="57" spans="1:32" ht="15" customHeight="1" x14ac:dyDescent="0.75">
      <c r="A57" s="212" t="s">
        <v>606</v>
      </c>
      <c r="B57" s="211" t="s">
        <v>591</v>
      </c>
      <c r="C57" s="217">
        <f>'AEO 2023 Table 58 Raw'!F43</f>
        <v>0</v>
      </c>
      <c r="D57" s="217">
        <f>'AEO 2023 Table 58 Raw'!G43</f>
        <v>95.169678000000005</v>
      </c>
      <c r="E57" s="217">
        <f>'AEO 2023 Table 58 Raw'!H43</f>
        <v>93.930976999999999</v>
      </c>
      <c r="F57" s="217">
        <f>'AEO 2023 Table 58 Raw'!I43</f>
        <v>88.551704000000001</v>
      </c>
      <c r="G57" s="217">
        <f>'AEO 2023 Table 58 Raw'!J43</f>
        <v>89.145034999999993</v>
      </c>
      <c r="H57" s="217">
        <f>'AEO 2023 Table 58 Raw'!K43</f>
        <v>89.565460000000002</v>
      </c>
      <c r="I57" s="217">
        <f>'AEO 2023 Table 58 Raw'!L43</f>
        <v>90.069564999999997</v>
      </c>
      <c r="J57" s="217">
        <f>'AEO 2023 Table 58 Raw'!M43</f>
        <v>90.752196999999995</v>
      </c>
      <c r="K57" s="217">
        <f>'AEO 2023 Table 58 Raw'!N43</f>
        <v>91.383826999999997</v>
      </c>
      <c r="L57" s="217">
        <f>'AEO 2023 Table 58 Raw'!O43</f>
        <v>91.704680999999994</v>
      </c>
      <c r="M57" s="217">
        <f>'AEO 2023 Table 58 Raw'!P43</f>
        <v>92.557143999999994</v>
      </c>
      <c r="N57" s="217">
        <f>'AEO 2023 Table 58 Raw'!Q43</f>
        <v>92.936286999999993</v>
      </c>
      <c r="O57" s="217">
        <f>'AEO 2023 Table 58 Raw'!R43</f>
        <v>93.634665999999996</v>
      </c>
      <c r="P57" s="217">
        <f>'AEO 2023 Table 58 Raw'!S43</f>
        <v>94.611748000000006</v>
      </c>
      <c r="Q57" s="217">
        <f>'AEO 2023 Table 58 Raw'!T43</f>
        <v>95.246398999999997</v>
      </c>
      <c r="R57" s="217">
        <f>'AEO 2023 Table 58 Raw'!U43</f>
        <v>95.927978999999993</v>
      </c>
      <c r="S57" s="217">
        <f>'AEO 2023 Table 58 Raw'!V43</f>
        <v>96.400688000000002</v>
      </c>
      <c r="T57" s="217">
        <f>'AEO 2023 Table 58 Raw'!W43</f>
        <v>96.986427000000006</v>
      </c>
      <c r="U57" s="217">
        <f>'AEO 2023 Table 58 Raw'!X43</f>
        <v>97.520163999999994</v>
      </c>
      <c r="V57" s="217">
        <f>'AEO 2023 Table 58 Raw'!Y43</f>
        <v>97.897841999999997</v>
      </c>
      <c r="W57" s="217">
        <f>'AEO 2023 Table 58 Raw'!Z43</f>
        <v>98.306685999999999</v>
      </c>
      <c r="X57" s="217">
        <f>'AEO 2023 Table 58 Raw'!AA43</f>
        <v>98.543892</v>
      </c>
      <c r="Y57" s="217">
        <f>'AEO 2023 Table 58 Raw'!AB43</f>
        <v>99.086692999999997</v>
      </c>
      <c r="Z57" s="217">
        <f>'AEO 2023 Table 58 Raw'!AC43</f>
        <v>99.283600000000007</v>
      </c>
      <c r="AA57" s="217">
        <f>'AEO 2023 Table 58 Raw'!AD43</f>
        <v>100.08094</v>
      </c>
      <c r="AB57" s="217">
        <f>'AEO 2023 Table 58 Raw'!AE43</f>
        <v>100.541389</v>
      </c>
      <c r="AC57" s="217">
        <f>'AEO 2023 Table 58 Raw'!AF43</f>
        <v>101.20822099999999</v>
      </c>
      <c r="AD57" s="217">
        <f>'AEO 2023 Table 58 Raw'!AG43</f>
        <v>101.781921</v>
      </c>
      <c r="AE57" s="217">
        <f>'AEO 2023 Table 58 Raw'!AH43</f>
        <v>102.010139</v>
      </c>
      <c r="AF57" s="252" t="str">
        <f>'AEO 2023 Table 58 Raw'!AI43</f>
        <v>- -</v>
      </c>
    </row>
    <row r="58" spans="1:32" ht="15" customHeight="1" x14ac:dyDescent="0.75">
      <c r="A58" s="212"/>
      <c r="B58" s="211"/>
      <c r="C58" s="217"/>
      <c r="D58" s="213"/>
      <c r="E58" s="213"/>
      <c r="F58" s="213"/>
      <c r="G58" s="213"/>
      <c r="H58" s="213"/>
      <c r="I58" s="213"/>
      <c r="J58" s="213"/>
      <c r="K58" s="213"/>
      <c r="L58" s="213"/>
      <c r="M58" s="213"/>
      <c r="N58" s="213"/>
      <c r="O58" s="213"/>
      <c r="P58" s="213"/>
      <c r="Q58" s="213"/>
      <c r="R58" s="213"/>
      <c r="S58" s="213"/>
      <c r="T58" s="213"/>
      <c r="U58" s="213"/>
      <c r="V58" s="213"/>
      <c r="W58" s="213"/>
      <c r="X58" s="213"/>
      <c r="Y58" s="213"/>
      <c r="Z58" s="213"/>
      <c r="AA58" s="213"/>
      <c r="AB58" s="213"/>
      <c r="AC58" s="213"/>
      <c r="AD58" s="213"/>
      <c r="AE58" s="213"/>
      <c r="AF58" s="256"/>
    </row>
    <row r="59" spans="1:32" ht="15" customHeight="1" x14ac:dyDescent="0.65">
      <c r="B59" s="247" t="s">
        <v>607</v>
      </c>
      <c r="C59" s="248"/>
      <c r="D59" s="249"/>
      <c r="E59" s="249"/>
      <c r="F59" s="249"/>
      <c r="G59" s="249"/>
      <c r="H59" s="249"/>
      <c r="I59" s="249"/>
      <c r="J59" s="249"/>
      <c r="K59" s="249"/>
      <c r="L59" s="249"/>
      <c r="M59" s="249"/>
      <c r="N59" s="249"/>
      <c r="O59" s="249"/>
      <c r="P59" s="249"/>
      <c r="Q59" s="249"/>
      <c r="R59" s="249"/>
      <c r="S59" s="249"/>
      <c r="T59" s="249"/>
      <c r="U59" s="249"/>
      <c r="V59" s="249"/>
      <c r="W59" s="249"/>
      <c r="X59" s="249"/>
      <c r="Y59" s="249"/>
      <c r="Z59" s="249"/>
      <c r="AA59" s="249"/>
      <c r="AB59" s="249"/>
      <c r="AC59" s="249"/>
      <c r="AD59" s="249"/>
      <c r="AE59" s="249"/>
      <c r="AF59" s="272"/>
    </row>
    <row r="60" spans="1:32" ht="15" customHeight="1" x14ac:dyDescent="0.75">
      <c r="A60" s="212"/>
      <c r="B60" s="250" t="s">
        <v>608</v>
      </c>
      <c r="C60" s="248">
        <f>'AEO 2023 Table 58 Raw'!F45</f>
        <v>0</v>
      </c>
      <c r="D60" s="251">
        <v>1.284764</v>
      </c>
      <c r="E60" s="251">
        <v>1.4580550000000001</v>
      </c>
      <c r="F60" s="251">
        <v>1.5908169999999999</v>
      </c>
      <c r="G60" s="251">
        <v>1.6137649999999999</v>
      </c>
      <c r="H60" s="251">
        <v>1.6009679999999999</v>
      </c>
      <c r="I60" s="251">
        <v>1.599423</v>
      </c>
      <c r="J60" s="251">
        <v>1.578719</v>
      </c>
      <c r="K60" s="251">
        <v>1.5497179999999999</v>
      </c>
      <c r="L60" s="251">
        <v>1.5040849999999999</v>
      </c>
      <c r="M60" s="251">
        <v>1.4916259999999999</v>
      </c>
      <c r="N60" s="251">
        <v>1.4868920000000001</v>
      </c>
      <c r="O60" s="251">
        <v>1.487927</v>
      </c>
      <c r="P60" s="251">
        <v>1.4872069999999999</v>
      </c>
      <c r="Q60" s="251">
        <v>1.48733</v>
      </c>
      <c r="R60" s="251">
        <v>1.483563</v>
      </c>
      <c r="S60" s="251">
        <v>1.4794579999999999</v>
      </c>
      <c r="T60" s="251">
        <v>1.514265</v>
      </c>
      <c r="U60" s="251">
        <v>1.5341340000000001</v>
      </c>
      <c r="V60" s="251">
        <v>1.5550079999999999</v>
      </c>
      <c r="W60" s="251">
        <v>1.5617829999999999</v>
      </c>
      <c r="X60" s="251">
        <v>1.5509059999999999</v>
      </c>
      <c r="Y60" s="251">
        <v>1.5359940000000001</v>
      </c>
      <c r="Z60" s="251">
        <v>1.5211079999999999</v>
      </c>
      <c r="AA60" s="251">
        <v>1.5134639999999999</v>
      </c>
      <c r="AB60" s="251">
        <v>1.494211</v>
      </c>
      <c r="AC60" s="251">
        <v>1.477779</v>
      </c>
      <c r="AD60" s="251">
        <v>1.485681</v>
      </c>
      <c r="AE60" s="251">
        <v>1.486883</v>
      </c>
      <c r="AF60" s="257">
        <v>9.94328569616032E-3</v>
      </c>
    </row>
    <row r="61" spans="1:32" ht="15" customHeight="1" x14ac:dyDescent="0.75">
      <c r="B61" s="250" t="s">
        <v>609</v>
      </c>
      <c r="C61" s="248">
        <f>'AEO 2023 Table 58 Raw'!F46</f>
        <v>0</v>
      </c>
      <c r="D61" s="251">
        <v>1.0280320000000001</v>
      </c>
      <c r="E61" s="251">
        <v>1.0314650000000001</v>
      </c>
      <c r="F61" s="251">
        <v>1.140107</v>
      </c>
      <c r="G61" s="251">
        <v>1.1831989999999999</v>
      </c>
      <c r="H61" s="251">
        <v>1.1913959999999999</v>
      </c>
      <c r="I61" s="251">
        <v>1.1917629999999999</v>
      </c>
      <c r="J61" s="251">
        <v>1.183924</v>
      </c>
      <c r="K61" s="251">
        <v>1.1745890000000001</v>
      </c>
      <c r="L61" s="251">
        <v>1.1603030000000001</v>
      </c>
      <c r="M61" s="251">
        <v>1.1514230000000001</v>
      </c>
      <c r="N61" s="251">
        <v>1.1402289999999999</v>
      </c>
      <c r="O61" s="251">
        <v>1.099218</v>
      </c>
      <c r="P61" s="251">
        <v>1.0804069999999999</v>
      </c>
      <c r="Q61" s="251">
        <v>1.0648770000000001</v>
      </c>
      <c r="R61" s="251">
        <v>1.0541480000000001</v>
      </c>
      <c r="S61" s="251">
        <v>1.0433939999999999</v>
      </c>
      <c r="T61" s="251">
        <v>1.0376399999999999</v>
      </c>
      <c r="U61" s="251">
        <v>1.0224880000000001</v>
      </c>
      <c r="V61" s="251">
        <v>1.0169570000000001</v>
      </c>
      <c r="W61" s="251">
        <v>1.0066440000000001</v>
      </c>
      <c r="X61" s="251">
        <v>0.99712800000000001</v>
      </c>
      <c r="Y61" s="251">
        <v>0.98489099999999996</v>
      </c>
      <c r="Z61" s="251">
        <v>0.97634900000000002</v>
      </c>
      <c r="AA61" s="251">
        <v>0.96655400000000002</v>
      </c>
      <c r="AB61" s="251">
        <v>0.95903799999999995</v>
      </c>
      <c r="AC61" s="251">
        <v>0.950075</v>
      </c>
      <c r="AD61" s="251">
        <v>0.94272999999999996</v>
      </c>
      <c r="AE61" s="251">
        <v>0.93457800000000002</v>
      </c>
      <c r="AF61" s="257">
        <v>-2.6385793604141168E-3</v>
      </c>
    </row>
    <row r="62" spans="1:32" ht="12" customHeight="1" x14ac:dyDescent="0.75">
      <c r="A62" s="212"/>
      <c r="B62" s="250" t="s">
        <v>610</v>
      </c>
      <c r="C62" s="248">
        <f>'AEO 2023 Table 58 Raw'!F47</f>
        <v>0</v>
      </c>
      <c r="D62" s="251">
        <v>9.0939999999999993E-2</v>
      </c>
      <c r="E62" s="251">
        <v>9.1294E-2</v>
      </c>
      <c r="F62" s="251">
        <v>8.8376999999999997E-2</v>
      </c>
      <c r="G62" s="251">
        <v>8.4127999999999994E-2</v>
      </c>
      <c r="H62" s="251">
        <v>8.0047999999999994E-2</v>
      </c>
      <c r="I62" s="251">
        <v>8.1989999999999993E-2</v>
      </c>
      <c r="J62" s="251">
        <v>8.2497000000000001E-2</v>
      </c>
      <c r="K62" s="251">
        <v>8.2003000000000006E-2</v>
      </c>
      <c r="L62" s="251">
        <v>8.3749000000000004E-2</v>
      </c>
      <c r="M62" s="251">
        <v>8.4531999999999996E-2</v>
      </c>
      <c r="N62" s="251">
        <v>8.4376999999999994E-2</v>
      </c>
      <c r="O62" s="251">
        <v>8.3419999999999994E-2</v>
      </c>
      <c r="P62" s="251">
        <v>8.2951999999999998E-2</v>
      </c>
      <c r="Q62" s="251">
        <v>8.1757999999999997E-2</v>
      </c>
      <c r="R62" s="251">
        <v>8.5082000000000005E-2</v>
      </c>
      <c r="S62" s="251">
        <v>8.6193000000000006E-2</v>
      </c>
      <c r="T62" s="251">
        <v>8.6421999999999999E-2</v>
      </c>
      <c r="U62" s="251">
        <v>8.7248000000000006E-2</v>
      </c>
      <c r="V62" s="251">
        <v>8.7848999999999997E-2</v>
      </c>
      <c r="W62" s="251">
        <v>8.7977E-2</v>
      </c>
      <c r="X62" s="251">
        <v>8.7927000000000005E-2</v>
      </c>
      <c r="Y62" s="251">
        <v>8.7832999999999994E-2</v>
      </c>
      <c r="Z62" s="251">
        <v>8.8201000000000002E-2</v>
      </c>
      <c r="AA62" s="251">
        <v>9.0679999999999997E-2</v>
      </c>
      <c r="AB62" s="251">
        <v>9.1795000000000002E-2</v>
      </c>
      <c r="AC62" s="251">
        <v>9.2543E-2</v>
      </c>
      <c r="AD62" s="251">
        <v>9.3478000000000006E-2</v>
      </c>
      <c r="AE62" s="251">
        <v>9.4021999999999994E-2</v>
      </c>
      <c r="AF62" s="257">
        <v>-1.0746697513037699E-3</v>
      </c>
    </row>
    <row r="63" spans="1:32" ht="15" customHeight="1" x14ac:dyDescent="0.75">
      <c r="B63" s="250" t="s">
        <v>611</v>
      </c>
      <c r="C63" s="248">
        <f>'AEO 2023 Table 58 Raw'!F48</f>
        <v>0</v>
      </c>
      <c r="D63" s="251">
        <v>0.108209</v>
      </c>
      <c r="E63" s="251">
        <v>0.119158</v>
      </c>
      <c r="F63" s="251">
        <v>0.13134199999999999</v>
      </c>
      <c r="G63" s="251">
        <v>0.13572500000000001</v>
      </c>
      <c r="H63" s="251">
        <v>0.13825599999999999</v>
      </c>
      <c r="I63" s="251">
        <v>0.14230999999999999</v>
      </c>
      <c r="J63" s="251">
        <v>0.16400000000000001</v>
      </c>
      <c r="K63" s="251">
        <v>0.17142399999999999</v>
      </c>
      <c r="L63" s="251">
        <v>0.17405799999999999</v>
      </c>
      <c r="M63" s="251">
        <v>0.17841499999999999</v>
      </c>
      <c r="N63" s="251">
        <v>0.18232400000000001</v>
      </c>
      <c r="O63" s="251">
        <v>0.18602099999999999</v>
      </c>
      <c r="P63" s="251">
        <v>0.187887</v>
      </c>
      <c r="Q63" s="251">
        <v>0.20077700000000001</v>
      </c>
      <c r="R63" s="251">
        <v>0.21138999999999999</v>
      </c>
      <c r="S63" s="251">
        <v>0.21752199999999999</v>
      </c>
      <c r="T63" s="251">
        <v>0.22464200000000001</v>
      </c>
      <c r="U63" s="251">
        <v>0.23003499999999999</v>
      </c>
      <c r="V63" s="251">
        <v>0.23413600000000001</v>
      </c>
      <c r="W63" s="251">
        <v>0.23627000000000001</v>
      </c>
      <c r="X63" s="251">
        <v>0.23932300000000001</v>
      </c>
      <c r="Y63" s="251">
        <v>0.245171</v>
      </c>
      <c r="Z63" s="251">
        <v>0.25260899999999997</v>
      </c>
      <c r="AA63" s="251">
        <v>0.259579</v>
      </c>
      <c r="AB63" s="251">
        <v>0.26474500000000001</v>
      </c>
      <c r="AC63" s="251">
        <v>0.26828600000000002</v>
      </c>
      <c r="AD63" s="251">
        <v>0.27250600000000003</v>
      </c>
      <c r="AE63" s="251">
        <v>0.27456599999999998</v>
      </c>
      <c r="AF63" s="257">
        <v>3.4735126759146251E-2</v>
      </c>
    </row>
    <row r="64" spans="1:32" ht="15" customHeight="1" x14ac:dyDescent="0.75">
      <c r="A64" s="212"/>
      <c r="B64" s="250" t="s">
        <v>612</v>
      </c>
      <c r="C64" s="248">
        <f>'AEO 2023 Table 58 Raw'!F49</f>
        <v>0</v>
      </c>
      <c r="D64" s="251">
        <v>0.93689800000000001</v>
      </c>
      <c r="E64" s="251">
        <v>0.91462600000000005</v>
      </c>
      <c r="F64" s="251">
        <v>0.90052699999999997</v>
      </c>
      <c r="G64" s="251">
        <v>0.84066099999999999</v>
      </c>
      <c r="H64" s="251">
        <v>0.81380799999999998</v>
      </c>
      <c r="I64" s="251">
        <v>0.78795000000000004</v>
      </c>
      <c r="J64" s="251">
        <v>0.77431499999999998</v>
      </c>
      <c r="K64" s="251">
        <v>0.76019899999999996</v>
      </c>
      <c r="L64" s="251">
        <v>0.74055400000000005</v>
      </c>
      <c r="M64" s="251">
        <v>0.71574199999999999</v>
      </c>
      <c r="N64" s="251">
        <v>0.68988099999999997</v>
      </c>
      <c r="O64" s="251">
        <v>0.66662299999999997</v>
      </c>
      <c r="P64" s="251">
        <v>0.64348099999999997</v>
      </c>
      <c r="Q64" s="251">
        <v>0.62117500000000003</v>
      </c>
      <c r="R64" s="251">
        <v>0.59982100000000005</v>
      </c>
      <c r="S64" s="251">
        <v>0.57878399999999997</v>
      </c>
      <c r="T64" s="251">
        <v>0.55893000000000004</v>
      </c>
      <c r="U64" s="251">
        <v>0.54042000000000001</v>
      </c>
      <c r="V64" s="251">
        <v>0.52385899999999996</v>
      </c>
      <c r="W64" s="251">
        <v>0.50435700000000006</v>
      </c>
      <c r="X64" s="251">
        <v>0.48875299999999999</v>
      </c>
      <c r="Y64" s="251">
        <v>0.471661</v>
      </c>
      <c r="Z64" s="251">
        <v>0.45653899999999997</v>
      </c>
      <c r="AA64" s="251">
        <v>0.44107600000000002</v>
      </c>
      <c r="AB64" s="251">
        <v>0.42733900000000002</v>
      </c>
      <c r="AC64" s="251">
        <v>0.41376099999999999</v>
      </c>
      <c r="AD64" s="251">
        <v>0.402283</v>
      </c>
      <c r="AE64" s="251">
        <v>0.390766</v>
      </c>
      <c r="AF64" s="257">
        <v>-2.8691932153612432E-2</v>
      </c>
    </row>
    <row r="65" spans="1:33" ht="15" customHeight="1" x14ac:dyDescent="0.75">
      <c r="B65" s="250" t="s">
        <v>613</v>
      </c>
      <c r="C65" s="248">
        <f>'AEO 2023 Table 58 Raw'!F50</f>
        <v>0</v>
      </c>
      <c r="D65" s="251">
        <v>0.57191999999999998</v>
      </c>
      <c r="E65" s="251">
        <v>0.58917799999999998</v>
      </c>
      <c r="F65" s="251">
        <v>0.63555499999999998</v>
      </c>
      <c r="G65" s="251">
        <v>0.64706399999999997</v>
      </c>
      <c r="H65" s="251">
        <v>0.65484100000000001</v>
      </c>
      <c r="I65" s="251">
        <v>0.65867799999999999</v>
      </c>
      <c r="J65" s="251">
        <v>0.65889500000000001</v>
      </c>
      <c r="K65" s="251">
        <v>0.65491699999999997</v>
      </c>
      <c r="L65" s="251">
        <v>0.65032900000000005</v>
      </c>
      <c r="M65" s="251">
        <v>0.64883800000000003</v>
      </c>
      <c r="N65" s="251">
        <v>0.64614700000000003</v>
      </c>
      <c r="O65" s="251">
        <v>0.64855200000000002</v>
      </c>
      <c r="P65" s="251">
        <v>0.64564699999999997</v>
      </c>
      <c r="Q65" s="251">
        <v>0.64165000000000005</v>
      </c>
      <c r="R65" s="251">
        <v>0.63980800000000004</v>
      </c>
      <c r="S65" s="251">
        <v>0.63741599999999998</v>
      </c>
      <c r="T65" s="251">
        <v>0.635988</v>
      </c>
      <c r="U65" s="251">
        <v>0.63754599999999995</v>
      </c>
      <c r="V65" s="251">
        <v>0.634853</v>
      </c>
      <c r="W65" s="251">
        <v>0.63371299999999997</v>
      </c>
      <c r="X65" s="251">
        <v>0.63036199999999998</v>
      </c>
      <c r="Y65" s="251">
        <v>0.62960499999999997</v>
      </c>
      <c r="Z65" s="251">
        <v>0.62827999999999995</v>
      </c>
      <c r="AA65" s="251">
        <v>0.63241999999999998</v>
      </c>
      <c r="AB65" s="251">
        <v>0.63028799999999996</v>
      </c>
      <c r="AC65" s="251">
        <v>0.62731599999999998</v>
      </c>
      <c r="AD65" s="251">
        <v>0.62464600000000003</v>
      </c>
      <c r="AE65" s="251">
        <v>0.62132399999999999</v>
      </c>
      <c r="AF65" s="257">
        <v>1.1970317533106961E-2</v>
      </c>
    </row>
    <row r="66" spans="1:33" ht="15" customHeight="1" x14ac:dyDescent="0.75">
      <c r="A66" s="212"/>
      <c r="B66" s="250" t="s">
        <v>614</v>
      </c>
      <c r="C66" s="248">
        <f>'AEO 2023 Table 58 Raw'!F51</f>
        <v>0</v>
      </c>
      <c r="D66" s="251">
        <v>0.66259900000000005</v>
      </c>
      <c r="E66" s="251">
        <v>0.714036</v>
      </c>
      <c r="F66" s="251">
        <v>0.74614199999999997</v>
      </c>
      <c r="G66" s="251">
        <v>0.81572699999999998</v>
      </c>
      <c r="H66" s="251">
        <v>0.85282999999999998</v>
      </c>
      <c r="I66" s="251">
        <v>0.87607599999999997</v>
      </c>
      <c r="J66" s="251">
        <v>0.88318099999999999</v>
      </c>
      <c r="K66" s="251">
        <v>0.88894300000000004</v>
      </c>
      <c r="L66" s="251">
        <v>0.89415800000000001</v>
      </c>
      <c r="M66" s="251">
        <v>0.91067900000000002</v>
      </c>
      <c r="N66" s="251">
        <v>0.91531499999999999</v>
      </c>
      <c r="O66" s="251">
        <v>0.92198199999999997</v>
      </c>
      <c r="P66" s="251">
        <v>0.92446300000000003</v>
      </c>
      <c r="Q66" s="251">
        <v>0.92510300000000001</v>
      </c>
      <c r="R66" s="251">
        <v>0.92275200000000002</v>
      </c>
      <c r="S66" s="251">
        <v>0.919678</v>
      </c>
      <c r="T66" s="251">
        <v>0.93414399999999997</v>
      </c>
      <c r="U66" s="251">
        <v>0.93334399999999995</v>
      </c>
      <c r="V66" s="251">
        <v>0.92922000000000005</v>
      </c>
      <c r="W66" s="251">
        <v>0.92518400000000001</v>
      </c>
      <c r="X66" s="251">
        <v>0.92080200000000001</v>
      </c>
      <c r="Y66" s="251">
        <v>0.90487600000000001</v>
      </c>
      <c r="Z66" s="251">
        <v>0.91307799999999995</v>
      </c>
      <c r="AA66" s="251">
        <v>0.91250799999999999</v>
      </c>
      <c r="AB66" s="251">
        <v>0.911659</v>
      </c>
      <c r="AC66" s="251">
        <v>0.91034599999999999</v>
      </c>
      <c r="AD66" s="251">
        <v>0.90981999999999996</v>
      </c>
      <c r="AE66" s="251">
        <v>0.90815400000000002</v>
      </c>
      <c r="AF66" s="257">
        <v>1.712588640701318E-2</v>
      </c>
    </row>
    <row r="67" spans="1:33" ht="15" customHeight="1" x14ac:dyDescent="0.75">
      <c r="B67" s="250" t="s">
        <v>615</v>
      </c>
      <c r="C67" s="248">
        <f>'AEO 2023 Table 58 Raw'!F52</f>
        <v>0</v>
      </c>
      <c r="D67" s="251">
        <v>2.4514999999999999E-2</v>
      </c>
      <c r="E67" s="251">
        <v>2.3675000000000002E-2</v>
      </c>
      <c r="F67" s="251">
        <v>2.2865E-2</v>
      </c>
      <c r="G67" s="251">
        <v>2.2082999999999998E-2</v>
      </c>
      <c r="H67" s="251">
        <v>2.1328E-2</v>
      </c>
      <c r="I67" s="251">
        <v>2.0598999999999999E-2</v>
      </c>
      <c r="J67" s="251">
        <v>1.9896E-2</v>
      </c>
      <c r="K67" s="251">
        <v>1.9217000000000001E-2</v>
      </c>
      <c r="L67" s="251">
        <v>1.8561999999999999E-2</v>
      </c>
      <c r="M67" s="251">
        <v>1.7929E-2</v>
      </c>
      <c r="N67" s="251">
        <v>1.7319000000000001E-2</v>
      </c>
      <c r="O67" s="251">
        <v>1.6729000000000001E-2</v>
      </c>
      <c r="P67" s="251">
        <v>1.6160999999999998E-2</v>
      </c>
      <c r="Q67" s="251">
        <v>1.5306E-2</v>
      </c>
      <c r="R67" s="251">
        <v>1.4787E-2</v>
      </c>
      <c r="S67" s="251">
        <v>1.4285000000000001E-2</v>
      </c>
      <c r="T67" s="251">
        <v>1.3801000000000001E-2</v>
      </c>
      <c r="U67" s="251">
        <v>1.3334E-2</v>
      </c>
      <c r="V67" s="251">
        <v>1.2883E-2</v>
      </c>
      <c r="W67" s="251">
        <v>1.2447E-2</v>
      </c>
      <c r="X67" s="251">
        <v>1.201E-2</v>
      </c>
      <c r="Y67" s="251">
        <v>1.1605000000000001E-2</v>
      </c>
      <c r="Z67" s="251">
        <v>1.1213000000000001E-2</v>
      </c>
      <c r="AA67" s="251">
        <v>1.0834999999999999E-2</v>
      </c>
      <c r="AB67" s="251">
        <v>1.047E-2</v>
      </c>
      <c r="AC67" s="251">
        <v>1.0106E-2</v>
      </c>
      <c r="AD67" s="251">
        <v>9.7660000000000004E-3</v>
      </c>
      <c r="AE67" s="251">
        <v>9.4380000000000002E-3</v>
      </c>
      <c r="AF67" s="257">
        <v>-3.4339723966695601E-2</v>
      </c>
    </row>
    <row r="68" spans="1:33" ht="15" customHeight="1" x14ac:dyDescent="0.75">
      <c r="A68" s="212"/>
      <c r="B68" s="250" t="s">
        <v>616</v>
      </c>
      <c r="C68" s="248">
        <f>'AEO 2023 Table 58 Raw'!F53</f>
        <v>0</v>
      </c>
      <c r="D68" s="251">
        <v>2.9532660000000002</v>
      </c>
      <c r="E68" s="251">
        <v>2.965916</v>
      </c>
      <c r="F68" s="251">
        <v>2.9557959999999999</v>
      </c>
      <c r="G68" s="251">
        <v>2.9667849999999998</v>
      </c>
      <c r="H68" s="251">
        <v>2.8972009999999999</v>
      </c>
      <c r="I68" s="251">
        <v>2.8384860000000001</v>
      </c>
      <c r="J68" s="251">
        <v>2.7772760000000001</v>
      </c>
      <c r="K68" s="251">
        <v>2.7183890000000002</v>
      </c>
      <c r="L68" s="251">
        <v>2.6596289999999998</v>
      </c>
      <c r="M68" s="251">
        <v>2.630852</v>
      </c>
      <c r="N68" s="251">
        <v>2.5908549999999999</v>
      </c>
      <c r="O68" s="251">
        <v>2.566443</v>
      </c>
      <c r="P68" s="251">
        <v>2.5687519999999999</v>
      </c>
      <c r="Q68" s="251">
        <v>2.5559699999999999</v>
      </c>
      <c r="R68" s="251">
        <v>2.5856520000000001</v>
      </c>
      <c r="S68" s="251">
        <v>2.59788</v>
      </c>
      <c r="T68" s="251">
        <v>2.623691</v>
      </c>
      <c r="U68" s="251">
        <v>2.628755</v>
      </c>
      <c r="V68" s="251">
        <v>2.6226189999999998</v>
      </c>
      <c r="W68" s="251">
        <v>2.6181760000000001</v>
      </c>
      <c r="X68" s="251">
        <v>2.610916</v>
      </c>
      <c r="Y68" s="251">
        <v>2.6086330000000002</v>
      </c>
      <c r="Z68" s="251">
        <v>2.6322230000000002</v>
      </c>
      <c r="AA68" s="251">
        <v>2.6362909999999999</v>
      </c>
      <c r="AB68" s="251">
        <v>2.6419679999999999</v>
      </c>
      <c r="AC68" s="251">
        <v>2.6491899999999999</v>
      </c>
      <c r="AD68" s="251">
        <v>2.6548240000000001</v>
      </c>
      <c r="AE68" s="251">
        <v>2.6649790000000002</v>
      </c>
      <c r="AF68" s="257">
        <v>1.5354898062709399E-3</v>
      </c>
    </row>
    <row r="69" spans="1:33" ht="15" customHeight="1" x14ac:dyDescent="0.75">
      <c r="B69" s="250" t="s">
        <v>617</v>
      </c>
      <c r="C69" s="248">
        <f>'AEO 2023 Table 58 Raw'!F54</f>
        <v>0</v>
      </c>
      <c r="D69" s="251">
        <v>8.5125000000000006E-2</v>
      </c>
      <c r="E69" s="251">
        <v>8.4968000000000002E-2</v>
      </c>
      <c r="F69" s="251">
        <v>8.0169000000000004E-2</v>
      </c>
      <c r="G69" s="251">
        <v>7.5577000000000005E-2</v>
      </c>
      <c r="H69" s="251">
        <v>7.0812E-2</v>
      </c>
      <c r="I69" s="251">
        <v>6.9669999999999996E-2</v>
      </c>
      <c r="J69" s="251">
        <v>6.7444000000000004E-2</v>
      </c>
      <c r="K69" s="251">
        <v>6.3023999999999997E-2</v>
      </c>
      <c r="L69" s="251">
        <v>5.9395999999999997E-2</v>
      </c>
      <c r="M69" s="251">
        <v>5.6011999999999999E-2</v>
      </c>
      <c r="N69" s="251">
        <v>5.3795999999999997E-2</v>
      </c>
      <c r="O69" s="251">
        <v>5.2447000000000001E-2</v>
      </c>
      <c r="P69" s="251">
        <v>5.0970000000000001E-2</v>
      </c>
      <c r="Q69" s="251">
        <v>5.0594E-2</v>
      </c>
      <c r="R69" s="251">
        <v>5.4174E-2</v>
      </c>
      <c r="S69" s="251">
        <v>5.4212000000000003E-2</v>
      </c>
      <c r="T69" s="251">
        <v>6.7061999999999997E-2</v>
      </c>
      <c r="U69" s="251">
        <v>7.1486999999999995E-2</v>
      </c>
      <c r="V69" s="251">
        <v>7.3588000000000001E-2</v>
      </c>
      <c r="W69" s="251">
        <v>7.4077000000000004E-2</v>
      </c>
      <c r="X69" s="251">
        <v>7.4184E-2</v>
      </c>
      <c r="Y69" s="251">
        <v>7.4565000000000006E-2</v>
      </c>
      <c r="Z69" s="251">
        <v>7.5391E-2</v>
      </c>
      <c r="AA69" s="251">
        <v>7.8283000000000005E-2</v>
      </c>
      <c r="AB69" s="251">
        <v>8.0937999999999996E-2</v>
      </c>
      <c r="AC69" s="251">
        <v>8.2483000000000001E-2</v>
      </c>
      <c r="AD69" s="251">
        <v>8.4103999999999998E-2</v>
      </c>
      <c r="AE69" s="251">
        <v>8.5531999999999997E-2</v>
      </c>
      <c r="AF69" s="257">
        <v>1.230076423969173E-2</v>
      </c>
    </row>
    <row r="70" spans="1:33" ht="12" customHeight="1" x14ac:dyDescent="0.75">
      <c r="A70" s="212"/>
      <c r="B70" s="250" t="s">
        <v>618</v>
      </c>
      <c r="C70" s="248">
        <f>'AEO 2023 Table 58 Raw'!F55</f>
        <v>0</v>
      </c>
      <c r="D70" s="251">
        <v>0.880444</v>
      </c>
      <c r="E70" s="251">
        <v>0.90887499999999999</v>
      </c>
      <c r="F70" s="251">
        <v>0.97579000000000005</v>
      </c>
      <c r="G70" s="251">
        <v>0.98759399999999997</v>
      </c>
      <c r="H70" s="251">
        <v>0.99220299999999995</v>
      </c>
      <c r="I70" s="251">
        <v>0.99519999999999997</v>
      </c>
      <c r="J70" s="251">
        <v>0.99718099999999998</v>
      </c>
      <c r="K70" s="251">
        <v>0.99511799999999995</v>
      </c>
      <c r="L70" s="251">
        <v>0.99204499999999995</v>
      </c>
      <c r="M70" s="251">
        <v>0.99677300000000002</v>
      </c>
      <c r="N70" s="251">
        <v>1.056262</v>
      </c>
      <c r="O70" s="251">
        <v>1.0919620000000001</v>
      </c>
      <c r="P70" s="251">
        <v>1.128754</v>
      </c>
      <c r="Q70" s="251">
        <v>1.155376</v>
      </c>
      <c r="R70" s="251">
        <v>1.186167</v>
      </c>
      <c r="S70" s="251">
        <v>1.2150099999999999</v>
      </c>
      <c r="T70" s="251">
        <v>1.241271</v>
      </c>
      <c r="U70" s="251">
        <v>1.3296760000000001</v>
      </c>
      <c r="V70" s="251">
        <v>1.38167</v>
      </c>
      <c r="W70" s="251">
        <v>1.4153960000000001</v>
      </c>
      <c r="X70" s="251">
        <v>1.442509</v>
      </c>
      <c r="Y70" s="251">
        <v>1.4783599999999999</v>
      </c>
      <c r="Z70" s="251">
        <v>1.5060770000000001</v>
      </c>
      <c r="AA70" s="251">
        <v>1.531763</v>
      </c>
      <c r="AB70" s="251">
        <v>1.5538110000000001</v>
      </c>
      <c r="AC70" s="251">
        <v>1.5875680000000001</v>
      </c>
      <c r="AD70" s="251">
        <v>1.617103</v>
      </c>
      <c r="AE70" s="251">
        <v>1.668501</v>
      </c>
      <c r="AF70" s="257">
        <v>3.3873338912561612E-2</v>
      </c>
    </row>
    <row r="71" spans="1:33" ht="15" customHeight="1" x14ac:dyDescent="0.75">
      <c r="B71" s="250" t="s">
        <v>619</v>
      </c>
      <c r="C71" s="248">
        <f>'AEO 2023 Table 58 Raw'!F56</f>
        <v>0</v>
      </c>
      <c r="D71" s="251">
        <v>8.6267139999999998</v>
      </c>
      <c r="E71" s="251">
        <v>8.9012469999999997</v>
      </c>
      <c r="F71" s="251">
        <v>9.2674869999999991</v>
      </c>
      <c r="G71" s="251">
        <v>9.3723089999999996</v>
      </c>
      <c r="H71" s="251">
        <v>9.3136899999999994</v>
      </c>
      <c r="I71" s="251">
        <v>9.2621450000000003</v>
      </c>
      <c r="J71" s="251">
        <v>9.1873269999999998</v>
      </c>
      <c r="K71" s="251">
        <v>9.0775419999999993</v>
      </c>
      <c r="L71" s="251">
        <v>8.9368680000000005</v>
      </c>
      <c r="M71" s="251">
        <v>8.8828200000000006</v>
      </c>
      <c r="N71" s="251">
        <v>8.8633939999999996</v>
      </c>
      <c r="O71" s="251">
        <v>8.8213259999999991</v>
      </c>
      <c r="P71" s="251">
        <v>8.8166810000000009</v>
      </c>
      <c r="Q71" s="251">
        <v>8.7999159999999996</v>
      </c>
      <c r="R71" s="251">
        <v>8.8373419999999996</v>
      </c>
      <c r="S71" s="251">
        <v>8.8438309999999998</v>
      </c>
      <c r="T71" s="251">
        <v>8.937856</v>
      </c>
      <c r="U71" s="251">
        <v>9.0284659999999999</v>
      </c>
      <c r="V71" s="251">
        <v>9.0726399999999998</v>
      </c>
      <c r="W71" s="251">
        <v>9.0760260000000006</v>
      </c>
      <c r="X71" s="251">
        <v>9.0548210000000005</v>
      </c>
      <c r="Y71" s="251">
        <v>9.0331939999999999</v>
      </c>
      <c r="Z71" s="251">
        <v>9.0610680000000006</v>
      </c>
      <c r="AA71" s="251">
        <v>9.0734530000000007</v>
      </c>
      <c r="AB71" s="251">
        <v>9.0662629999999993</v>
      </c>
      <c r="AC71" s="251">
        <v>9.0694520000000001</v>
      </c>
      <c r="AD71" s="251">
        <v>9.0969420000000003</v>
      </c>
      <c r="AE71" s="251">
        <v>9.1387420000000006</v>
      </c>
      <c r="AF71" s="257">
        <v>6.8470039657695381E-3</v>
      </c>
    </row>
    <row r="72" spans="1:33" ht="15" customHeight="1" x14ac:dyDescent="0.75">
      <c r="A72" s="212"/>
      <c r="B72" s="211"/>
      <c r="C72" s="213"/>
      <c r="D72" s="213"/>
      <c r="E72" s="213"/>
      <c r="F72" s="213"/>
      <c r="G72" s="213"/>
      <c r="H72" s="213"/>
      <c r="I72" s="213"/>
      <c r="J72" s="213"/>
      <c r="K72" s="213"/>
      <c r="L72" s="213"/>
      <c r="M72" s="213"/>
      <c r="N72" s="213"/>
      <c r="O72" s="213"/>
      <c r="P72" s="213"/>
      <c r="Q72" s="213"/>
      <c r="R72" s="213"/>
      <c r="S72" s="213"/>
      <c r="T72" s="213"/>
      <c r="U72" s="213"/>
      <c r="V72" s="213"/>
      <c r="W72" s="213"/>
      <c r="X72" s="213"/>
      <c r="Y72" s="213"/>
      <c r="Z72" s="213"/>
      <c r="AA72" s="213"/>
      <c r="AB72" s="213"/>
      <c r="AC72" s="213"/>
      <c r="AD72" s="213"/>
      <c r="AE72" s="213"/>
      <c r="AF72" s="256"/>
    </row>
    <row r="74" spans="1:33" ht="15" customHeight="1" x14ac:dyDescent="0.65">
      <c r="B74" s="294" t="s">
        <v>620</v>
      </c>
      <c r="C74" s="295"/>
      <c r="D74" s="295"/>
      <c r="E74" s="295"/>
      <c r="F74" s="295"/>
      <c r="G74" s="295"/>
      <c r="H74" s="295"/>
      <c r="I74" s="295"/>
      <c r="J74" s="295"/>
      <c r="K74" s="295"/>
      <c r="L74" s="295"/>
      <c r="M74" s="295"/>
      <c r="N74" s="295"/>
      <c r="O74" s="295"/>
      <c r="P74" s="295"/>
      <c r="Q74" s="295"/>
      <c r="R74" s="295"/>
      <c r="S74" s="295"/>
      <c r="T74" s="295"/>
      <c r="U74" s="295"/>
      <c r="V74" s="295"/>
      <c r="W74" s="295"/>
      <c r="X74" s="295"/>
      <c r="Y74" s="295"/>
      <c r="Z74" s="295"/>
      <c r="AA74" s="295"/>
      <c r="AB74" s="295"/>
      <c r="AC74" s="295"/>
      <c r="AD74" s="295"/>
      <c r="AE74" s="295"/>
      <c r="AF74" s="295"/>
      <c r="AG74" s="230"/>
    </row>
    <row r="75" spans="1:33" ht="15" customHeight="1" x14ac:dyDescent="0.65">
      <c r="B75" s="208" t="s">
        <v>621</v>
      </c>
    </row>
    <row r="76" spans="1:33" ht="15" customHeight="1" x14ac:dyDescent="0.65">
      <c r="B76" s="208" t="s">
        <v>316</v>
      </c>
    </row>
    <row r="77" spans="1:33" ht="15" customHeight="1" x14ac:dyDescent="0.65">
      <c r="B77" s="208" t="s">
        <v>622</v>
      </c>
    </row>
    <row r="78" spans="1:33" ht="12" customHeight="1" x14ac:dyDescent="0.65">
      <c r="B78" s="208" t="s">
        <v>623</v>
      </c>
    </row>
    <row r="79" spans="1:33" ht="15" customHeight="1" x14ac:dyDescent="0.65">
      <c r="B79" s="208" t="s">
        <v>318</v>
      </c>
    </row>
    <row r="80" spans="1:33" ht="15" customHeight="1" x14ac:dyDescent="0.65">
      <c r="B80" s="208" t="s">
        <v>319</v>
      </c>
    </row>
    <row r="84" spans="2:32" ht="12" customHeight="1" x14ac:dyDescent="0.65"/>
    <row r="88" spans="2:32" ht="15" customHeight="1" x14ac:dyDescent="0.65">
      <c r="B88" s="293"/>
      <c r="C88" s="293"/>
      <c r="D88" s="293"/>
      <c r="E88" s="293"/>
      <c r="F88" s="293"/>
      <c r="G88" s="293"/>
      <c r="H88" s="293"/>
      <c r="I88" s="293"/>
      <c r="J88" s="293"/>
      <c r="K88" s="293"/>
      <c r="L88" s="293"/>
      <c r="M88" s="293"/>
      <c r="N88" s="293"/>
      <c r="O88" s="293"/>
      <c r="P88" s="293"/>
      <c r="Q88" s="293"/>
      <c r="R88" s="293"/>
      <c r="S88" s="293"/>
      <c r="T88" s="293"/>
      <c r="U88" s="293"/>
      <c r="V88" s="293"/>
      <c r="W88" s="293"/>
      <c r="X88" s="293"/>
      <c r="Y88" s="293"/>
      <c r="Z88" s="293"/>
      <c r="AA88" s="293"/>
      <c r="AB88" s="293"/>
      <c r="AC88" s="293"/>
      <c r="AD88" s="293"/>
      <c r="AE88" s="293"/>
      <c r="AF88" s="293"/>
    </row>
    <row r="93" spans="2:32" ht="12" customHeight="1" x14ac:dyDescent="0.65"/>
    <row r="94" spans="2:32" ht="12" customHeight="1" x14ac:dyDescent="0.65"/>
    <row r="95" spans="2:32" ht="12" customHeight="1" x14ac:dyDescent="0.65"/>
    <row r="96" spans="2:32" ht="12" customHeight="1" x14ac:dyDescent="0.65"/>
    <row r="97" ht="12" customHeight="1" x14ac:dyDescent="0.65"/>
    <row r="98" ht="12" customHeight="1" x14ac:dyDescent="0.65"/>
    <row r="99" ht="12" customHeight="1" x14ac:dyDescent="0.65"/>
    <row r="100" ht="12" customHeight="1" x14ac:dyDescent="0.65"/>
    <row r="101" ht="12" customHeight="1" x14ac:dyDescent="0.65"/>
    <row r="102" ht="12" customHeight="1" x14ac:dyDescent="0.65"/>
    <row r="103" ht="12" customHeight="1" x14ac:dyDescent="0.65"/>
    <row r="104" ht="12" customHeight="1" x14ac:dyDescent="0.65"/>
    <row r="105" ht="12" customHeight="1" x14ac:dyDescent="0.65"/>
    <row r="106" ht="12" customHeight="1" x14ac:dyDescent="0.65"/>
    <row r="107" ht="12" customHeight="1" x14ac:dyDescent="0.65"/>
    <row r="108" ht="12" customHeight="1" x14ac:dyDescent="0.65"/>
    <row r="109" ht="12" customHeight="1" x14ac:dyDescent="0.65"/>
    <row r="110" ht="12" customHeight="1" x14ac:dyDescent="0.65"/>
    <row r="111" ht="12" customHeight="1" x14ac:dyDescent="0.65"/>
    <row r="112" ht="12" customHeight="1" x14ac:dyDescent="0.65"/>
    <row r="113" ht="12" customHeight="1" x14ac:dyDescent="0.65"/>
    <row r="114" ht="12" customHeight="1" x14ac:dyDescent="0.65"/>
    <row r="115" ht="12" customHeight="1" x14ac:dyDescent="0.65"/>
    <row r="116" ht="12" customHeight="1" x14ac:dyDescent="0.65"/>
    <row r="117" ht="12" customHeight="1" x14ac:dyDescent="0.65"/>
    <row r="118" ht="12" customHeight="1" x14ac:dyDescent="0.65"/>
    <row r="119" ht="12" customHeight="1" x14ac:dyDescent="0.65"/>
    <row r="120" ht="12" customHeight="1" x14ac:dyDescent="0.65"/>
    <row r="121" ht="12" customHeight="1" x14ac:dyDescent="0.65"/>
    <row r="122" ht="12" customHeight="1" x14ac:dyDescent="0.65"/>
    <row r="123" ht="12" customHeight="1" x14ac:dyDescent="0.65"/>
    <row r="124" ht="12" customHeight="1" x14ac:dyDescent="0.65"/>
    <row r="125" ht="12" customHeight="1" x14ac:dyDescent="0.65"/>
    <row r="126" ht="12" customHeight="1" x14ac:dyDescent="0.65"/>
    <row r="127" ht="12" customHeight="1" x14ac:dyDescent="0.65"/>
    <row r="128" ht="12" customHeight="1" x14ac:dyDescent="0.65"/>
    <row r="129" ht="12" customHeight="1" x14ac:dyDescent="0.65"/>
    <row r="130" ht="12" customHeight="1" x14ac:dyDescent="0.65"/>
    <row r="131" ht="12" customHeight="1" x14ac:dyDescent="0.65"/>
    <row r="132" ht="12" customHeight="1" x14ac:dyDescent="0.65"/>
    <row r="133" ht="12" customHeight="1" x14ac:dyDescent="0.65"/>
    <row r="134" ht="12" customHeight="1" x14ac:dyDescent="0.65"/>
    <row r="135" ht="12" customHeight="1" x14ac:dyDescent="0.65"/>
    <row r="136" ht="12" customHeight="1" x14ac:dyDescent="0.65"/>
    <row r="137" ht="12" customHeight="1" x14ac:dyDescent="0.65"/>
    <row r="138" ht="12" customHeight="1" x14ac:dyDescent="0.65"/>
    <row r="139" ht="12" customHeight="1" x14ac:dyDescent="0.65"/>
    <row r="140" ht="12" customHeight="1" x14ac:dyDescent="0.65"/>
    <row r="141" ht="12" customHeight="1" x14ac:dyDescent="0.65"/>
    <row r="142" ht="12" customHeight="1" x14ac:dyDescent="0.65"/>
    <row r="143" ht="12" customHeight="1" x14ac:dyDescent="0.65"/>
    <row r="144" ht="12" customHeight="1" x14ac:dyDescent="0.65"/>
    <row r="145" ht="12" customHeight="1" x14ac:dyDescent="0.65"/>
    <row r="146" ht="12" customHeight="1" x14ac:dyDescent="0.65"/>
    <row r="147" ht="12" customHeight="1" x14ac:dyDescent="0.65"/>
    <row r="148" ht="12" customHeight="1" x14ac:dyDescent="0.65"/>
    <row r="149" ht="12" customHeight="1" x14ac:dyDescent="0.65"/>
    <row r="158" ht="12" customHeight="1" x14ac:dyDescent="0.65"/>
    <row r="167" ht="12" customHeight="1" x14ac:dyDescent="0.65"/>
    <row r="179" ht="12" customHeight="1" x14ac:dyDescent="0.65"/>
    <row r="180" ht="12" customHeight="1" x14ac:dyDescent="0.65"/>
    <row r="182" ht="12" customHeight="1" x14ac:dyDescent="0.65"/>
    <row r="184" ht="12" customHeight="1" x14ac:dyDescent="0.65"/>
    <row r="193" ht="12" customHeight="1" x14ac:dyDescent="0.65"/>
    <row r="214" spans="2:32" ht="15" customHeight="1" x14ac:dyDescent="0.65">
      <c r="B214" s="293"/>
      <c r="C214" s="293"/>
      <c r="D214" s="293"/>
      <c r="E214" s="293"/>
      <c r="F214" s="293"/>
      <c r="G214" s="293"/>
      <c r="H214" s="293"/>
      <c r="I214" s="293"/>
      <c r="J214" s="293"/>
      <c r="K214" s="293"/>
      <c r="L214" s="293"/>
      <c r="M214" s="293"/>
      <c r="N214" s="293"/>
      <c r="O214" s="293"/>
      <c r="P214" s="293"/>
      <c r="Q214" s="293"/>
      <c r="R214" s="293"/>
      <c r="S214" s="293"/>
      <c r="T214" s="293"/>
      <c r="U214" s="293"/>
      <c r="V214" s="293"/>
      <c r="W214" s="293"/>
      <c r="X214" s="293"/>
      <c r="Y214" s="293"/>
      <c r="Z214" s="293"/>
      <c r="AA214" s="293"/>
      <c r="AB214" s="293"/>
      <c r="AC214" s="293"/>
      <c r="AD214" s="293"/>
      <c r="AE214" s="293"/>
      <c r="AF214" s="293"/>
    </row>
    <row r="221" spans="2:32" ht="12" customHeight="1" x14ac:dyDescent="0.65"/>
    <row r="222" spans="2:32" ht="12" customHeight="1" x14ac:dyDescent="0.65"/>
    <row r="223" spans="2:32" ht="12" customHeight="1" x14ac:dyDescent="0.65"/>
    <row r="224" spans="2:32" ht="12" customHeight="1" x14ac:dyDescent="0.65"/>
    <row r="225" ht="12" customHeight="1" x14ac:dyDescent="0.65"/>
    <row r="226" ht="12" customHeight="1" x14ac:dyDescent="0.65"/>
    <row r="227" ht="12" customHeight="1" x14ac:dyDescent="0.65"/>
    <row r="228" ht="12" customHeight="1" x14ac:dyDescent="0.65"/>
    <row r="229" ht="12" customHeight="1" x14ac:dyDescent="0.65"/>
    <row r="230" ht="12" customHeight="1" x14ac:dyDescent="0.65"/>
    <row r="231" ht="12" customHeight="1" x14ac:dyDescent="0.65"/>
    <row r="232" ht="12" customHeight="1" x14ac:dyDescent="0.65"/>
    <row r="233" ht="12" customHeight="1" x14ac:dyDescent="0.65"/>
    <row r="234" ht="12" customHeight="1" x14ac:dyDescent="0.65"/>
    <row r="235" ht="12" customHeight="1" x14ac:dyDescent="0.65"/>
    <row r="236" ht="12" customHeight="1" x14ac:dyDescent="0.65"/>
    <row r="237" ht="12" customHeight="1" x14ac:dyDescent="0.65"/>
    <row r="238" ht="12" customHeight="1" x14ac:dyDescent="0.65"/>
    <row r="239" ht="12" customHeight="1" x14ac:dyDescent="0.65"/>
    <row r="240" ht="12" customHeight="1" x14ac:dyDescent="0.65"/>
    <row r="241" ht="12" customHeight="1" x14ac:dyDescent="0.65"/>
    <row r="242" ht="12" customHeight="1" x14ac:dyDescent="0.65"/>
    <row r="243" ht="12" customHeight="1" x14ac:dyDescent="0.65"/>
    <row r="244" ht="12" customHeight="1" x14ac:dyDescent="0.65"/>
    <row r="245" ht="12" customHeight="1" x14ac:dyDescent="0.65"/>
    <row r="246" ht="12" customHeight="1" x14ac:dyDescent="0.65"/>
    <row r="247" ht="12" customHeight="1" x14ac:dyDescent="0.65"/>
    <row r="248" ht="12" customHeight="1" x14ac:dyDescent="0.65"/>
    <row r="249" ht="12" customHeight="1" x14ac:dyDescent="0.65"/>
    <row r="250" ht="12" customHeight="1" x14ac:dyDescent="0.65"/>
    <row r="251" ht="12" customHeight="1" x14ac:dyDescent="0.65"/>
    <row r="252" ht="12" customHeight="1" x14ac:dyDescent="0.65"/>
    <row r="253" ht="12" customHeight="1" x14ac:dyDescent="0.65"/>
    <row r="254" ht="12" customHeight="1" x14ac:dyDescent="0.65"/>
    <row r="255" ht="12" customHeight="1" x14ac:dyDescent="0.65"/>
    <row r="256" ht="12" customHeight="1" x14ac:dyDescent="0.65"/>
    <row r="257" ht="12" customHeight="1" x14ac:dyDescent="0.65"/>
    <row r="258" ht="12" customHeight="1" x14ac:dyDescent="0.65"/>
    <row r="259" ht="12" customHeight="1" x14ac:dyDescent="0.65"/>
    <row r="260" ht="12" customHeight="1" x14ac:dyDescent="0.65"/>
    <row r="261" ht="12" customHeight="1" x14ac:dyDescent="0.65"/>
    <row r="262" ht="12" customHeight="1" x14ac:dyDescent="0.65"/>
    <row r="263" ht="12" customHeight="1" x14ac:dyDescent="0.65"/>
    <row r="264" ht="12" customHeight="1" x14ac:dyDescent="0.65"/>
    <row r="265" ht="12" customHeight="1" x14ac:dyDescent="0.65"/>
    <row r="266" ht="12" customHeight="1" x14ac:dyDescent="0.65"/>
    <row r="267" ht="12" customHeight="1" x14ac:dyDescent="0.65"/>
    <row r="268" ht="12" customHeight="1" x14ac:dyDescent="0.65"/>
    <row r="269" ht="12" customHeight="1" x14ac:dyDescent="0.65"/>
    <row r="270" ht="12" customHeight="1" x14ac:dyDescent="0.65"/>
    <row r="271" ht="12" customHeight="1" x14ac:dyDescent="0.65"/>
    <row r="272" ht="12" customHeight="1" x14ac:dyDescent="0.65"/>
    <row r="273" ht="12" customHeight="1" x14ac:dyDescent="0.65"/>
    <row r="274" ht="12" customHeight="1" x14ac:dyDescent="0.65"/>
    <row r="275" ht="12" customHeight="1" x14ac:dyDescent="0.65"/>
    <row r="276" ht="12" customHeight="1" x14ac:dyDescent="0.65"/>
    <row r="277" ht="12" customHeight="1" x14ac:dyDescent="0.65"/>
    <row r="278" ht="12" customHeight="1" x14ac:dyDescent="0.65"/>
    <row r="279" ht="12" customHeight="1" x14ac:dyDescent="0.65"/>
    <row r="280" ht="12" customHeight="1" x14ac:dyDescent="0.65"/>
    <row r="281" ht="12" customHeight="1" x14ac:dyDescent="0.65"/>
    <row r="282" ht="12" customHeight="1" x14ac:dyDescent="0.65"/>
    <row r="283" ht="12" customHeight="1" x14ac:dyDescent="0.65"/>
    <row r="284" ht="12" customHeight="1" x14ac:dyDescent="0.65"/>
    <row r="285" ht="12" customHeight="1" x14ac:dyDescent="0.65"/>
    <row r="286" ht="12" customHeight="1" x14ac:dyDescent="0.65"/>
    <row r="287" ht="12" customHeight="1" x14ac:dyDescent="0.65"/>
    <row r="288" ht="12" customHeight="1" x14ac:dyDescent="0.65"/>
    <row r="289" ht="12" customHeight="1" x14ac:dyDescent="0.65"/>
    <row r="290" ht="12" customHeight="1" x14ac:dyDescent="0.65"/>
    <row r="291" ht="12" customHeight="1" x14ac:dyDescent="0.65"/>
    <row r="292" ht="12" customHeight="1" x14ac:dyDescent="0.65"/>
    <row r="293" ht="12" customHeight="1" x14ac:dyDescent="0.65"/>
    <row r="294" ht="12" customHeight="1" x14ac:dyDescent="0.65"/>
    <row r="295" ht="12" customHeight="1" x14ac:dyDescent="0.65"/>
    <row r="296" ht="12" customHeight="1" x14ac:dyDescent="0.65"/>
    <row r="297" ht="12" customHeight="1" x14ac:dyDescent="0.65"/>
    <row r="298" ht="12" customHeight="1" x14ac:dyDescent="0.65"/>
    <row r="299" ht="12" customHeight="1" x14ac:dyDescent="0.65"/>
    <row r="300" ht="12" customHeight="1" x14ac:dyDescent="0.65"/>
    <row r="301" ht="12" customHeight="1" x14ac:dyDescent="0.65"/>
    <row r="302" ht="12" customHeight="1" x14ac:dyDescent="0.65"/>
    <row r="303" ht="12" customHeight="1" x14ac:dyDescent="0.65"/>
    <row r="304" ht="12" customHeight="1" x14ac:dyDescent="0.65"/>
    <row r="305" ht="12" customHeight="1" x14ac:dyDescent="0.65"/>
    <row r="306" ht="12" customHeight="1" x14ac:dyDescent="0.65"/>
    <row r="307" ht="12" customHeight="1" x14ac:dyDescent="0.65"/>
    <row r="308" ht="12" customHeight="1" x14ac:dyDescent="0.65"/>
    <row r="309" ht="12" customHeight="1" x14ac:dyDescent="0.65"/>
    <row r="310" ht="12" customHeight="1" x14ac:dyDescent="0.65"/>
    <row r="311" ht="12" customHeight="1" x14ac:dyDescent="0.65"/>
    <row r="312" ht="12" customHeight="1" x14ac:dyDescent="0.65"/>
    <row r="313" ht="12" customHeight="1" x14ac:dyDescent="0.65"/>
    <row r="314" ht="12" customHeight="1" x14ac:dyDescent="0.65"/>
    <row r="322" ht="12" customHeight="1" x14ac:dyDescent="0.65"/>
    <row r="331" ht="12" customHeight="1" x14ac:dyDescent="0.65"/>
    <row r="343" ht="12" customHeight="1" x14ac:dyDescent="0.65"/>
    <row r="344" ht="12" customHeight="1" x14ac:dyDescent="0.65"/>
    <row r="349" ht="12" customHeight="1" x14ac:dyDescent="0.65"/>
    <row r="352" ht="12" customHeight="1" x14ac:dyDescent="0.65"/>
    <row r="361" ht="12" customHeight="1" x14ac:dyDescent="0.65"/>
    <row r="383" spans="2:32" ht="15" customHeight="1" x14ac:dyDescent="0.65">
      <c r="B383" s="293"/>
      <c r="C383" s="293"/>
      <c r="D383" s="293"/>
      <c r="E383" s="293"/>
      <c r="F383" s="293"/>
      <c r="G383" s="293"/>
      <c r="H383" s="293"/>
      <c r="I383" s="293"/>
      <c r="J383" s="293"/>
      <c r="K383" s="293"/>
      <c r="L383" s="293"/>
      <c r="M383" s="293"/>
      <c r="N383" s="293"/>
      <c r="O383" s="293"/>
      <c r="P383" s="293"/>
      <c r="Q383" s="293"/>
      <c r="R383" s="293"/>
      <c r="S383" s="293"/>
      <c r="T383" s="293"/>
      <c r="U383" s="293"/>
      <c r="V383" s="293"/>
      <c r="W383" s="293"/>
      <c r="X383" s="293"/>
      <c r="Y383" s="293"/>
      <c r="Z383" s="293"/>
      <c r="AA383" s="293"/>
      <c r="AB383" s="293"/>
      <c r="AC383" s="293"/>
      <c r="AD383" s="293"/>
      <c r="AE383" s="293"/>
      <c r="AF383" s="293"/>
    </row>
    <row r="389" ht="12" customHeight="1" x14ac:dyDescent="0.65"/>
    <row r="390" ht="12" customHeight="1" x14ac:dyDescent="0.65"/>
    <row r="391" ht="12" customHeight="1" x14ac:dyDescent="0.65"/>
    <row r="392" ht="12" customHeight="1" x14ac:dyDescent="0.65"/>
    <row r="393" ht="12" customHeight="1" x14ac:dyDescent="0.65"/>
    <row r="394" ht="12" customHeight="1" x14ac:dyDescent="0.65"/>
    <row r="395" ht="12" customHeight="1" x14ac:dyDescent="0.65"/>
    <row r="396" ht="12" customHeight="1" x14ac:dyDescent="0.65"/>
    <row r="397" ht="12" customHeight="1" x14ac:dyDescent="0.65"/>
    <row r="398" ht="12" customHeight="1" x14ac:dyDescent="0.65"/>
    <row r="399" ht="12" customHeight="1" x14ac:dyDescent="0.65"/>
    <row r="400" ht="12" customHeight="1" x14ac:dyDescent="0.65"/>
    <row r="401" ht="12" customHeight="1" x14ac:dyDescent="0.65"/>
    <row r="402" ht="12" customHeight="1" x14ac:dyDescent="0.65"/>
    <row r="403" ht="12" customHeight="1" x14ac:dyDescent="0.65"/>
    <row r="404" ht="12" customHeight="1" x14ac:dyDescent="0.65"/>
    <row r="405" ht="12" customHeight="1" x14ac:dyDescent="0.65"/>
    <row r="406" ht="12" customHeight="1" x14ac:dyDescent="0.65"/>
    <row r="407" ht="12" customHeight="1" x14ac:dyDescent="0.65"/>
    <row r="408" ht="12" customHeight="1" x14ac:dyDescent="0.65"/>
    <row r="409" ht="12" customHeight="1" x14ac:dyDescent="0.65"/>
    <row r="410" ht="12" customHeight="1" x14ac:dyDescent="0.65"/>
    <row r="411" ht="12" customHeight="1" x14ac:dyDescent="0.65"/>
    <row r="412" ht="12" customHeight="1" x14ac:dyDescent="0.65"/>
    <row r="413" ht="12" customHeight="1" x14ac:dyDescent="0.65"/>
    <row r="414" ht="12" customHeight="1" x14ac:dyDescent="0.65"/>
    <row r="415" ht="12" customHeight="1" x14ac:dyDescent="0.65"/>
    <row r="416" ht="12" customHeight="1" x14ac:dyDescent="0.65"/>
    <row r="417" ht="12" customHeight="1" x14ac:dyDescent="0.65"/>
    <row r="418" ht="12" customHeight="1" x14ac:dyDescent="0.65"/>
    <row r="419" ht="12" customHeight="1" x14ac:dyDescent="0.65"/>
    <row r="420" ht="12" customHeight="1" x14ac:dyDescent="0.65"/>
    <row r="421" ht="12" customHeight="1" x14ac:dyDescent="0.65"/>
    <row r="422" ht="12" customHeight="1" x14ac:dyDescent="0.65"/>
    <row r="423" ht="12" customHeight="1" x14ac:dyDescent="0.65"/>
    <row r="424" ht="12" customHeight="1" x14ac:dyDescent="0.65"/>
    <row r="425" ht="12" customHeight="1" x14ac:dyDescent="0.65"/>
    <row r="426" ht="12" customHeight="1" x14ac:dyDescent="0.65"/>
    <row r="427" ht="12" customHeight="1" x14ac:dyDescent="0.65"/>
    <row r="428" ht="12" customHeight="1" x14ac:dyDescent="0.65"/>
    <row r="429" ht="12" customHeight="1" x14ac:dyDescent="0.65"/>
    <row r="430" ht="12" customHeight="1" x14ac:dyDescent="0.65"/>
    <row r="431" ht="12" customHeight="1" x14ac:dyDescent="0.65"/>
    <row r="432" ht="12" customHeight="1" x14ac:dyDescent="0.65"/>
    <row r="433" ht="12" customHeight="1" x14ac:dyDescent="0.65"/>
    <row r="434" ht="12" customHeight="1" x14ac:dyDescent="0.65"/>
    <row r="435" ht="12" customHeight="1" x14ac:dyDescent="0.65"/>
    <row r="436" ht="12" customHeight="1" x14ac:dyDescent="0.65"/>
    <row r="437" ht="12" customHeight="1" x14ac:dyDescent="0.65"/>
    <row r="438" ht="12" customHeight="1" x14ac:dyDescent="0.65"/>
    <row r="439" ht="12" customHeight="1" x14ac:dyDescent="0.65"/>
    <row r="440" ht="12" customHeight="1" x14ac:dyDescent="0.65"/>
    <row r="441" ht="12" customHeight="1" x14ac:dyDescent="0.65"/>
    <row r="442" ht="12" customHeight="1" x14ac:dyDescent="0.65"/>
    <row r="443" ht="12" customHeight="1" x14ac:dyDescent="0.65"/>
    <row r="444" ht="12" customHeight="1" x14ac:dyDescent="0.65"/>
    <row r="445" ht="12" customHeight="1" x14ac:dyDescent="0.65"/>
    <row r="446" ht="12" customHeight="1" x14ac:dyDescent="0.65"/>
    <row r="447" ht="12" customHeight="1" x14ac:dyDescent="0.65"/>
    <row r="448" ht="12" customHeight="1" x14ac:dyDescent="0.65"/>
    <row r="449" ht="12" customHeight="1" x14ac:dyDescent="0.65"/>
    <row r="450" ht="12" customHeight="1" x14ac:dyDescent="0.65"/>
    <row r="451" ht="12" customHeight="1" x14ac:dyDescent="0.65"/>
    <row r="452" ht="12" customHeight="1" x14ac:dyDescent="0.65"/>
    <row r="453" ht="12" customHeight="1" x14ac:dyDescent="0.65"/>
    <row r="454" ht="12" customHeight="1" x14ac:dyDescent="0.65"/>
    <row r="455" ht="12" customHeight="1" x14ac:dyDescent="0.65"/>
    <row r="456" ht="12" customHeight="1" x14ac:dyDescent="0.65"/>
    <row r="457" ht="12" customHeight="1" x14ac:dyDescent="0.65"/>
    <row r="458" ht="12" customHeight="1" x14ac:dyDescent="0.65"/>
    <row r="459" ht="12" customHeight="1" x14ac:dyDescent="0.65"/>
    <row r="460" ht="12" customHeight="1" x14ac:dyDescent="0.65"/>
    <row r="461" ht="12" customHeight="1" x14ac:dyDescent="0.65"/>
    <row r="462" ht="12" customHeight="1" x14ac:dyDescent="0.65"/>
    <row r="463" ht="12" customHeight="1" x14ac:dyDescent="0.65"/>
    <row r="464" ht="12" customHeight="1" x14ac:dyDescent="0.65"/>
    <row r="465" ht="12" customHeight="1" x14ac:dyDescent="0.65"/>
    <row r="466" ht="12" customHeight="1" x14ac:dyDescent="0.65"/>
    <row r="467" ht="12" customHeight="1" x14ac:dyDescent="0.65"/>
    <row r="468" ht="12" customHeight="1" x14ac:dyDescent="0.65"/>
    <row r="469" ht="12" customHeight="1" x14ac:dyDescent="0.65"/>
    <row r="470" ht="12" customHeight="1" x14ac:dyDescent="0.65"/>
    <row r="471" ht="12" customHeight="1" x14ac:dyDescent="0.65"/>
    <row r="472" ht="12" customHeight="1" x14ac:dyDescent="0.65"/>
    <row r="473" ht="12" customHeight="1" x14ac:dyDescent="0.65"/>
    <row r="474" ht="12" customHeight="1" x14ac:dyDescent="0.65"/>
    <row r="475" ht="12" customHeight="1" x14ac:dyDescent="0.65"/>
    <row r="476" ht="12" customHeight="1" x14ac:dyDescent="0.65"/>
    <row r="477" ht="12" customHeight="1" x14ac:dyDescent="0.65"/>
    <row r="478" ht="12" customHeight="1" x14ac:dyDescent="0.65"/>
    <row r="479" ht="12" customHeight="1" x14ac:dyDescent="0.65"/>
    <row r="480" ht="12" customHeight="1" x14ac:dyDescent="0.65"/>
    <row r="500" spans="2:32" ht="15" customHeight="1" x14ac:dyDescent="0.65">
      <c r="B500" s="293"/>
      <c r="C500" s="293"/>
      <c r="D500" s="293"/>
      <c r="E500" s="293"/>
      <c r="F500" s="293"/>
      <c r="G500" s="293"/>
      <c r="H500" s="293"/>
      <c r="I500" s="293"/>
      <c r="J500" s="293"/>
      <c r="K500" s="293"/>
      <c r="L500" s="293"/>
      <c r="M500" s="293"/>
      <c r="N500" s="293"/>
      <c r="O500" s="293"/>
      <c r="P500" s="293"/>
      <c r="Q500" s="293"/>
      <c r="R500" s="293"/>
      <c r="S500" s="293"/>
      <c r="T500" s="293"/>
      <c r="U500" s="293"/>
      <c r="V500" s="293"/>
      <c r="W500" s="293"/>
      <c r="X500" s="293"/>
      <c r="Y500" s="293"/>
      <c r="Z500" s="293"/>
      <c r="AA500" s="293"/>
      <c r="AB500" s="293"/>
      <c r="AC500" s="293"/>
      <c r="AD500" s="293"/>
      <c r="AE500" s="293"/>
      <c r="AF500" s="293"/>
    </row>
    <row r="504" spans="2:32" ht="12" customHeight="1" x14ac:dyDescent="0.65"/>
    <row r="505" spans="2:32" ht="12" customHeight="1" x14ac:dyDescent="0.65"/>
    <row r="506" spans="2:32" ht="12" customHeight="1" x14ac:dyDescent="0.65"/>
    <row r="507" spans="2:32" ht="12" customHeight="1" x14ac:dyDescent="0.65"/>
    <row r="508" spans="2:32" ht="12" customHeight="1" x14ac:dyDescent="0.65"/>
    <row r="509" spans="2:32" ht="12" customHeight="1" x14ac:dyDescent="0.65"/>
    <row r="510" spans="2:32" ht="12" customHeight="1" x14ac:dyDescent="0.65"/>
    <row r="511" spans="2:32" ht="12" customHeight="1" x14ac:dyDescent="0.65"/>
    <row r="512" spans="2:32" ht="12" customHeight="1" x14ac:dyDescent="0.65"/>
    <row r="513" ht="12" customHeight="1" x14ac:dyDescent="0.65"/>
    <row r="514" ht="12" customHeight="1" x14ac:dyDescent="0.65"/>
    <row r="515" ht="12" customHeight="1" x14ac:dyDescent="0.65"/>
    <row r="516" ht="12" customHeight="1" x14ac:dyDescent="0.65"/>
    <row r="517" ht="12" customHeight="1" x14ac:dyDescent="0.65"/>
    <row r="518" ht="12" customHeight="1" x14ac:dyDescent="0.65"/>
    <row r="519" ht="12" customHeight="1" x14ac:dyDescent="0.65"/>
    <row r="520" ht="12" customHeight="1" x14ac:dyDescent="0.65"/>
    <row r="521" ht="12" customHeight="1" x14ac:dyDescent="0.65"/>
    <row r="522" ht="12" customHeight="1" x14ac:dyDescent="0.65"/>
    <row r="523" ht="12" customHeight="1" x14ac:dyDescent="0.65"/>
    <row r="524" ht="12" customHeight="1" x14ac:dyDescent="0.65"/>
    <row r="525" ht="12" customHeight="1" x14ac:dyDescent="0.65"/>
    <row r="526" ht="12" customHeight="1" x14ac:dyDescent="0.65"/>
    <row r="527" ht="12" customHeight="1" x14ac:dyDescent="0.65"/>
    <row r="528" ht="12" customHeight="1" x14ac:dyDescent="0.65"/>
    <row r="529" ht="12" customHeight="1" x14ac:dyDescent="0.65"/>
    <row r="530" ht="12" customHeight="1" x14ac:dyDescent="0.65"/>
    <row r="531" ht="12" customHeight="1" x14ac:dyDescent="0.65"/>
    <row r="532" ht="12" customHeight="1" x14ac:dyDescent="0.65"/>
    <row r="533" ht="12" customHeight="1" x14ac:dyDescent="0.65"/>
    <row r="534" ht="12" customHeight="1" x14ac:dyDescent="0.65"/>
    <row r="535" ht="12" customHeight="1" x14ac:dyDescent="0.65"/>
    <row r="536" ht="12" customHeight="1" x14ac:dyDescent="0.65"/>
    <row r="537" ht="12" customHeight="1" x14ac:dyDescent="0.65"/>
    <row r="538" ht="12" customHeight="1" x14ac:dyDescent="0.65"/>
    <row r="539" ht="12" customHeight="1" x14ac:dyDescent="0.65"/>
    <row r="540" ht="12" customHeight="1" x14ac:dyDescent="0.65"/>
    <row r="541" ht="12" customHeight="1" x14ac:dyDescent="0.65"/>
    <row r="542" ht="12" customHeight="1" x14ac:dyDescent="0.65"/>
    <row r="543" ht="12" customHeight="1" x14ac:dyDescent="0.65"/>
    <row r="544" ht="12" customHeight="1" x14ac:dyDescent="0.65"/>
    <row r="545" ht="12" customHeight="1" x14ac:dyDescent="0.65"/>
    <row r="546" ht="12" customHeight="1" x14ac:dyDescent="0.65"/>
    <row r="547" ht="12" customHeight="1" x14ac:dyDescent="0.65"/>
    <row r="548" ht="12" customHeight="1" x14ac:dyDescent="0.65"/>
    <row r="549" ht="12" customHeight="1" x14ac:dyDescent="0.65"/>
    <row r="550" ht="12" customHeight="1" x14ac:dyDescent="0.65"/>
    <row r="551" ht="12" customHeight="1" x14ac:dyDescent="0.65"/>
    <row r="552" ht="12" customHeight="1" x14ac:dyDescent="0.65"/>
    <row r="553" ht="12" customHeight="1" x14ac:dyDescent="0.65"/>
    <row r="554" ht="12" customHeight="1" x14ac:dyDescent="0.65"/>
    <row r="555" ht="12" customHeight="1" x14ac:dyDescent="0.65"/>
    <row r="556" ht="12" customHeight="1" x14ac:dyDescent="0.65"/>
    <row r="557" ht="12" customHeight="1" x14ac:dyDescent="0.65"/>
    <row r="558" ht="12" customHeight="1" x14ac:dyDescent="0.65"/>
    <row r="559" ht="12" customHeight="1" x14ac:dyDescent="0.65"/>
    <row r="560" ht="12" customHeight="1" x14ac:dyDescent="0.65"/>
    <row r="561" ht="12" customHeight="1" x14ac:dyDescent="0.65"/>
    <row r="562" ht="12" customHeight="1" x14ac:dyDescent="0.65"/>
    <row r="563" ht="12" customHeight="1" x14ac:dyDescent="0.65"/>
    <row r="564" ht="12" customHeight="1" x14ac:dyDescent="0.65"/>
    <row r="565" ht="12" customHeight="1" x14ac:dyDescent="0.65"/>
    <row r="566" ht="12" customHeight="1" x14ac:dyDescent="0.65"/>
    <row r="567" ht="12" customHeight="1" x14ac:dyDescent="0.65"/>
    <row r="568" ht="12" customHeight="1" x14ac:dyDescent="0.65"/>
    <row r="569" ht="12" customHeight="1" x14ac:dyDescent="0.65"/>
    <row r="570" ht="12" customHeight="1" x14ac:dyDescent="0.65"/>
    <row r="571" ht="12" customHeight="1" x14ac:dyDescent="0.65"/>
    <row r="572" ht="12" customHeight="1" x14ac:dyDescent="0.65"/>
    <row r="573" ht="12" customHeight="1" x14ac:dyDescent="0.65"/>
    <row r="574" ht="12" customHeight="1" x14ac:dyDescent="0.65"/>
    <row r="575" ht="12" customHeight="1" x14ac:dyDescent="0.65"/>
    <row r="576" ht="12" customHeight="1" x14ac:dyDescent="0.65"/>
    <row r="577" ht="12" customHeight="1" x14ac:dyDescent="0.65"/>
    <row r="578" ht="12" customHeight="1" x14ac:dyDescent="0.65"/>
    <row r="579" ht="12" customHeight="1" x14ac:dyDescent="0.65"/>
    <row r="580" ht="12" customHeight="1" x14ac:dyDescent="0.65"/>
    <row r="596" ht="12" customHeight="1" x14ac:dyDescent="0.65"/>
    <row r="607" ht="12" customHeight="1" x14ac:dyDescent="0.65"/>
    <row r="618" ht="12" customHeight="1" x14ac:dyDescent="0.65"/>
    <row r="629" ht="12" customHeight="1" x14ac:dyDescent="0.65"/>
    <row r="640" ht="12" customHeight="1" x14ac:dyDescent="0.65"/>
    <row r="652" spans="2:32" ht="15" customHeight="1" x14ac:dyDescent="0.65">
      <c r="B652" s="293"/>
      <c r="C652" s="293"/>
      <c r="D652" s="293"/>
      <c r="E652" s="293"/>
      <c r="F652" s="293"/>
      <c r="G652" s="293"/>
      <c r="H652" s="293"/>
      <c r="I652" s="293"/>
      <c r="J652" s="293"/>
      <c r="K652" s="293"/>
      <c r="L652" s="293"/>
      <c r="M652" s="293"/>
      <c r="N652" s="293"/>
      <c r="O652" s="293"/>
      <c r="P652" s="293"/>
      <c r="Q652" s="293"/>
      <c r="R652" s="293"/>
      <c r="S652" s="293"/>
      <c r="T652" s="293"/>
      <c r="U652" s="293"/>
      <c r="V652" s="293"/>
      <c r="W652" s="293"/>
      <c r="X652" s="293"/>
      <c r="Y652" s="293"/>
      <c r="Z652" s="293"/>
      <c r="AA652" s="293"/>
      <c r="AB652" s="293"/>
      <c r="AC652" s="293"/>
      <c r="AD652" s="293"/>
      <c r="AE652" s="293"/>
      <c r="AF652" s="293"/>
    </row>
    <row r="663" ht="12" customHeight="1" x14ac:dyDescent="0.65"/>
    <row r="664" ht="12" customHeight="1" x14ac:dyDescent="0.65"/>
    <row r="665" ht="12" customHeight="1" x14ac:dyDescent="0.65"/>
    <row r="666" ht="12" customHeight="1" x14ac:dyDescent="0.65"/>
    <row r="667" ht="12" customHeight="1" x14ac:dyDescent="0.65"/>
    <row r="668" ht="12" customHeight="1" x14ac:dyDescent="0.65"/>
    <row r="669" ht="12" customHeight="1" x14ac:dyDescent="0.65"/>
    <row r="670" ht="12" customHeight="1" x14ac:dyDescent="0.65"/>
    <row r="671" ht="12" customHeight="1" x14ac:dyDescent="0.65"/>
    <row r="672" ht="12" customHeight="1" x14ac:dyDescent="0.65"/>
    <row r="673" ht="12" customHeight="1" x14ac:dyDescent="0.65"/>
    <row r="674" ht="12" customHeight="1" x14ac:dyDescent="0.65"/>
    <row r="675" ht="12" customHeight="1" x14ac:dyDescent="0.65"/>
    <row r="676" ht="12" customHeight="1" x14ac:dyDescent="0.65"/>
    <row r="677" ht="12" customHeight="1" x14ac:dyDescent="0.65"/>
    <row r="678" ht="12" customHeight="1" x14ac:dyDescent="0.65"/>
    <row r="679" ht="12" customHeight="1" x14ac:dyDescent="0.65"/>
    <row r="680" ht="12" customHeight="1" x14ac:dyDescent="0.65"/>
    <row r="696" ht="12" customHeight="1" x14ac:dyDescent="0.65"/>
    <row r="707" ht="12" customHeight="1" x14ac:dyDescent="0.65"/>
    <row r="718" ht="12" customHeight="1" x14ac:dyDescent="0.65"/>
    <row r="729" ht="12" customHeight="1" x14ac:dyDescent="0.65"/>
    <row r="740" spans="2:32" ht="12" customHeight="1" x14ac:dyDescent="0.65"/>
    <row r="752" spans="2:32" ht="15" customHeight="1" x14ac:dyDescent="0.65">
      <c r="B752" s="293"/>
      <c r="C752" s="293"/>
      <c r="D752" s="293"/>
      <c r="E752" s="293"/>
      <c r="F752" s="293"/>
      <c r="G752" s="293"/>
      <c r="H752" s="293"/>
      <c r="I752" s="293"/>
      <c r="J752" s="293"/>
      <c r="K752" s="293"/>
      <c r="L752" s="293"/>
      <c r="M752" s="293"/>
      <c r="N752" s="293"/>
      <c r="O752" s="293"/>
      <c r="P752" s="293"/>
      <c r="Q752" s="293"/>
      <c r="R752" s="293"/>
      <c r="S752" s="293"/>
      <c r="T752" s="293"/>
      <c r="U752" s="293"/>
      <c r="V752" s="293"/>
      <c r="W752" s="293"/>
      <c r="X752" s="293"/>
      <c r="Y752" s="293"/>
      <c r="Z752" s="293"/>
      <c r="AA752" s="293"/>
      <c r="AB752" s="293"/>
      <c r="AC752" s="293"/>
      <c r="AD752" s="293"/>
      <c r="AE752" s="293"/>
      <c r="AF752" s="293"/>
    </row>
    <row r="762" ht="12" customHeight="1" x14ac:dyDescent="0.65"/>
    <row r="763" ht="12" customHeight="1" x14ac:dyDescent="0.65"/>
    <row r="764" ht="12" customHeight="1" x14ac:dyDescent="0.65"/>
    <row r="765" ht="12" customHeight="1" x14ac:dyDescent="0.65"/>
    <row r="766" ht="12" customHeight="1" x14ac:dyDescent="0.65"/>
    <row r="767" ht="12" customHeight="1" x14ac:dyDescent="0.65"/>
    <row r="768" ht="12" customHeight="1" x14ac:dyDescent="0.65"/>
    <row r="769" ht="12" customHeight="1" x14ac:dyDescent="0.65"/>
    <row r="770" ht="12" customHeight="1" x14ac:dyDescent="0.65"/>
    <row r="771" ht="12" customHeight="1" x14ac:dyDescent="0.65"/>
    <row r="772" ht="12" customHeight="1" x14ac:dyDescent="0.65"/>
    <row r="773" ht="12" customHeight="1" x14ac:dyDescent="0.65"/>
    <row r="774" ht="12" customHeight="1" x14ac:dyDescent="0.65"/>
    <row r="775" ht="12" customHeight="1" x14ac:dyDescent="0.65"/>
    <row r="776" ht="12" customHeight="1" x14ac:dyDescent="0.65"/>
    <row r="777" ht="12" customHeight="1" x14ac:dyDescent="0.65"/>
    <row r="778" ht="12" customHeight="1" x14ac:dyDescent="0.65"/>
    <row r="779" ht="12" customHeight="1" x14ac:dyDescent="0.65"/>
    <row r="780" ht="12" customHeight="1" x14ac:dyDescent="0.65"/>
    <row r="789" ht="12" customHeight="1" x14ac:dyDescent="0.65"/>
    <row r="794" ht="12" customHeight="1" x14ac:dyDescent="0.65"/>
    <row r="801" ht="12" customHeight="1" x14ac:dyDescent="0.65"/>
    <row r="806" ht="12" customHeight="1" x14ac:dyDescent="0.65"/>
    <row r="810" ht="12" customHeight="1" x14ac:dyDescent="0.65"/>
    <row r="816" ht="12" customHeight="1" x14ac:dyDescent="0.65"/>
    <row r="823" ht="12" customHeight="1" x14ac:dyDescent="0.65"/>
    <row r="828" ht="12" customHeight="1" x14ac:dyDescent="0.65"/>
    <row r="832" ht="12" customHeight="1" x14ac:dyDescent="0.65"/>
    <row r="837" spans="2:32" ht="12" customHeight="1" x14ac:dyDescent="0.65"/>
    <row r="843" spans="2:32" ht="15" customHeight="1" x14ac:dyDescent="0.65">
      <c r="B843" s="293"/>
      <c r="C843" s="293"/>
      <c r="D843" s="293"/>
      <c r="E843" s="293"/>
      <c r="F843" s="293"/>
      <c r="G843" s="293"/>
      <c r="H843" s="293"/>
      <c r="I843" s="293"/>
      <c r="J843" s="293"/>
      <c r="K843" s="293"/>
      <c r="L843" s="293"/>
      <c r="M843" s="293"/>
      <c r="N843" s="293"/>
      <c r="O843" s="293"/>
      <c r="P843" s="293"/>
      <c r="Q843" s="293"/>
      <c r="R843" s="293"/>
      <c r="S843" s="293"/>
      <c r="T843" s="293"/>
      <c r="U843" s="293"/>
      <c r="V843" s="293"/>
      <c r="W843" s="293"/>
      <c r="X843" s="293"/>
      <c r="Y843" s="293"/>
      <c r="Z843" s="293"/>
      <c r="AA843" s="293"/>
      <c r="AB843" s="293"/>
      <c r="AC843" s="293"/>
      <c r="AD843" s="293"/>
      <c r="AE843" s="293"/>
      <c r="AF843" s="293"/>
    </row>
    <row r="852" ht="12" customHeight="1" x14ac:dyDescent="0.65"/>
    <row r="853" ht="12" customHeight="1" x14ac:dyDescent="0.65"/>
    <row r="854" ht="12" customHeight="1" x14ac:dyDescent="0.65"/>
    <row r="855" ht="12" customHeight="1" x14ac:dyDescent="0.65"/>
    <row r="856" ht="12" customHeight="1" x14ac:dyDescent="0.65"/>
    <row r="857" ht="12" customHeight="1" x14ac:dyDescent="0.65"/>
    <row r="858" ht="12" customHeight="1" x14ac:dyDescent="0.65"/>
    <row r="859" ht="12" customHeight="1" x14ac:dyDescent="0.65"/>
    <row r="860" ht="12" customHeight="1" x14ac:dyDescent="0.65"/>
    <row r="861" ht="12" customHeight="1" x14ac:dyDescent="0.65"/>
    <row r="862" ht="12" customHeight="1" x14ac:dyDescent="0.65"/>
    <row r="863" ht="12" customHeight="1" x14ac:dyDescent="0.65"/>
    <row r="864" ht="12" customHeight="1" x14ac:dyDescent="0.65"/>
    <row r="865" ht="12" customHeight="1" x14ac:dyDescent="0.65"/>
    <row r="866" ht="12" customHeight="1" x14ac:dyDescent="0.65"/>
    <row r="867" ht="12" customHeight="1" x14ac:dyDescent="0.65"/>
    <row r="868" ht="12" customHeight="1" x14ac:dyDescent="0.65"/>
    <row r="869" ht="12" customHeight="1" x14ac:dyDescent="0.65"/>
    <row r="870" ht="12" customHeight="1" x14ac:dyDescent="0.65"/>
    <row r="871" ht="12" customHeight="1" x14ac:dyDescent="0.65"/>
    <row r="872" ht="12" customHeight="1" x14ac:dyDescent="0.65"/>
    <row r="873" ht="12" customHeight="1" x14ac:dyDescent="0.65"/>
    <row r="874" ht="12" customHeight="1" x14ac:dyDescent="0.65"/>
    <row r="875" ht="12" customHeight="1" x14ac:dyDescent="0.65"/>
    <row r="876" ht="12" customHeight="1" x14ac:dyDescent="0.65"/>
    <row r="877" ht="12" customHeight="1" x14ac:dyDescent="0.65"/>
    <row r="878" ht="12" customHeight="1" x14ac:dyDescent="0.65"/>
    <row r="879" ht="12" customHeight="1" x14ac:dyDescent="0.65"/>
    <row r="880" ht="12" customHeight="1" x14ac:dyDescent="0.65"/>
    <row r="887" ht="12" customHeight="1" x14ac:dyDescent="0.65"/>
    <row r="893" ht="12" customHeight="1" x14ac:dyDescent="0.65"/>
    <row r="896" ht="12" customHeight="1" x14ac:dyDescent="0.65"/>
    <row r="898" ht="12" customHeight="1" x14ac:dyDescent="0.65"/>
    <row r="899" ht="12" customHeight="1" x14ac:dyDescent="0.65"/>
    <row r="902" ht="12" customHeight="1" x14ac:dyDescent="0.65"/>
    <row r="908" ht="12" customHeight="1" x14ac:dyDescent="0.65"/>
    <row r="911" ht="12" customHeight="1" x14ac:dyDescent="0.65"/>
    <row r="914" spans="2:32" ht="15" customHeight="1" x14ac:dyDescent="0.65">
      <c r="B914" s="293"/>
      <c r="C914" s="293"/>
      <c r="D914" s="293"/>
      <c r="E914" s="293"/>
      <c r="F914" s="293"/>
      <c r="G914" s="293"/>
      <c r="H914" s="293"/>
      <c r="I914" s="293"/>
      <c r="J914" s="293"/>
      <c r="K914" s="293"/>
      <c r="L914" s="293"/>
      <c r="M914" s="293"/>
      <c r="N914" s="293"/>
      <c r="O914" s="293"/>
      <c r="P914" s="293"/>
      <c r="Q914" s="293"/>
      <c r="R914" s="293"/>
      <c r="S914" s="293"/>
      <c r="T914" s="293"/>
      <c r="U914" s="293"/>
      <c r="V914" s="293"/>
      <c r="W914" s="293"/>
      <c r="X914" s="293"/>
      <c r="Y914" s="293"/>
      <c r="Z914" s="293"/>
      <c r="AA914" s="293"/>
      <c r="AB914" s="293"/>
      <c r="AC914" s="293"/>
      <c r="AD914" s="293"/>
      <c r="AE914" s="293"/>
      <c r="AF914" s="293"/>
    </row>
    <row r="923" spans="2:32" ht="12" customHeight="1" x14ac:dyDescent="0.65"/>
    <row r="924" spans="2:32" ht="12" customHeight="1" x14ac:dyDescent="0.65"/>
    <row r="925" spans="2:32" ht="12" customHeight="1" x14ac:dyDescent="0.65"/>
    <row r="926" spans="2:32" ht="12" customHeight="1" x14ac:dyDescent="0.65"/>
    <row r="927" spans="2:32" ht="12" customHeight="1" x14ac:dyDescent="0.65"/>
    <row r="928" spans="2:32" ht="12" customHeight="1" x14ac:dyDescent="0.65"/>
    <row r="929" ht="12" customHeight="1" x14ac:dyDescent="0.65"/>
    <row r="930" ht="12" customHeight="1" x14ac:dyDescent="0.65"/>
    <row r="940" ht="12" customHeight="1" x14ac:dyDescent="0.65"/>
    <row r="945" ht="12" customHeight="1" x14ac:dyDescent="0.65"/>
    <row r="950" ht="12" customHeight="1" x14ac:dyDescent="0.65"/>
    <row r="955" ht="12" customHeight="1" x14ac:dyDescent="0.65"/>
    <row r="957" ht="12" customHeight="1" x14ac:dyDescent="0.65"/>
    <row r="961" ht="12" customHeight="1" x14ac:dyDescent="0.65"/>
    <row r="963" ht="12" customHeight="1" x14ac:dyDescent="0.65"/>
    <row r="968" ht="12" customHeight="1" x14ac:dyDescent="0.65"/>
    <row r="972" ht="12" customHeight="1" x14ac:dyDescent="0.65"/>
    <row r="976" ht="12" customHeight="1" x14ac:dyDescent="0.65"/>
    <row r="977" ht="12" customHeight="1" x14ac:dyDescent="0.65"/>
    <row r="982" ht="12" customHeight="1" x14ac:dyDescent="0.65"/>
    <row r="987" ht="12" customHeight="1" x14ac:dyDescent="0.65"/>
    <row r="990" ht="12" customHeight="1" x14ac:dyDescent="0.65"/>
    <row r="992" ht="12" customHeight="1" x14ac:dyDescent="0.65"/>
    <row r="997" ht="12" customHeight="1" x14ac:dyDescent="0.65"/>
    <row r="1001" ht="12" customHeight="1" x14ac:dyDescent="0.65"/>
    <row r="1004" ht="12" customHeight="1" x14ac:dyDescent="0.65"/>
    <row r="1006" ht="12" customHeight="1" x14ac:dyDescent="0.65"/>
    <row r="1009" spans="2:32" ht="15" customHeight="1" x14ac:dyDescent="0.65">
      <c r="B1009" s="293"/>
      <c r="C1009" s="293"/>
      <c r="D1009" s="293"/>
      <c r="E1009" s="293"/>
      <c r="F1009" s="293"/>
      <c r="G1009" s="293"/>
      <c r="H1009" s="293"/>
      <c r="I1009" s="293"/>
      <c r="J1009" s="293"/>
      <c r="K1009" s="293"/>
      <c r="L1009" s="293"/>
      <c r="M1009" s="293"/>
      <c r="N1009" s="293"/>
      <c r="O1009" s="293"/>
      <c r="P1009" s="293"/>
      <c r="Q1009" s="293"/>
      <c r="R1009" s="293"/>
      <c r="S1009" s="293"/>
      <c r="T1009" s="293"/>
      <c r="U1009" s="293"/>
      <c r="V1009" s="293"/>
      <c r="W1009" s="293"/>
      <c r="X1009" s="293"/>
      <c r="Y1009" s="293"/>
      <c r="Z1009" s="293"/>
      <c r="AA1009" s="293"/>
      <c r="AB1009" s="293"/>
      <c r="AC1009" s="293"/>
      <c r="AD1009" s="293"/>
      <c r="AE1009" s="293"/>
      <c r="AF1009" s="293"/>
    </row>
    <row r="1032" ht="12" customHeight="1" x14ac:dyDescent="0.65"/>
    <row r="1033" ht="12" customHeight="1" x14ac:dyDescent="0.65"/>
    <row r="1034" ht="12" customHeight="1" x14ac:dyDescent="0.65"/>
    <row r="1035" ht="12" customHeight="1" x14ac:dyDescent="0.65"/>
    <row r="1036" ht="12" customHeight="1" x14ac:dyDescent="0.65"/>
    <row r="1037" ht="12" customHeight="1" x14ac:dyDescent="0.65"/>
    <row r="1038" ht="12" customHeight="1" x14ac:dyDescent="0.65"/>
    <row r="1039" ht="12" customHeight="1" x14ac:dyDescent="0.65"/>
    <row r="1040" ht="12" customHeight="1" x14ac:dyDescent="0.65"/>
    <row r="1041" ht="12" customHeight="1" x14ac:dyDescent="0.65"/>
    <row r="1042" ht="12" customHeight="1" x14ac:dyDescent="0.65"/>
    <row r="1043" ht="12" customHeight="1" x14ac:dyDescent="0.65"/>
    <row r="1044" ht="12" customHeight="1" x14ac:dyDescent="0.65"/>
    <row r="1045" ht="12" customHeight="1" x14ac:dyDescent="0.65"/>
    <row r="1046" ht="12" customHeight="1" x14ac:dyDescent="0.65"/>
    <row r="1047" ht="12" customHeight="1" x14ac:dyDescent="0.65"/>
    <row r="1048" ht="12" customHeight="1" x14ac:dyDescent="0.65"/>
    <row r="1049" ht="12" customHeight="1" x14ac:dyDescent="0.65"/>
    <row r="1050" ht="12" customHeight="1" x14ac:dyDescent="0.65"/>
    <row r="1051" ht="12" customHeight="1" x14ac:dyDescent="0.65"/>
    <row r="1052" ht="12" customHeight="1" x14ac:dyDescent="0.65"/>
    <row r="1053" ht="12" customHeight="1" x14ac:dyDescent="0.65"/>
    <row r="1054" ht="12" customHeight="1" x14ac:dyDescent="0.65"/>
    <row r="1055" ht="12" customHeight="1" x14ac:dyDescent="0.65"/>
    <row r="1056" ht="12" customHeight="1" x14ac:dyDescent="0.65"/>
    <row r="1057" ht="12" customHeight="1" x14ac:dyDescent="0.65"/>
    <row r="1058" ht="12" customHeight="1" x14ac:dyDescent="0.65"/>
    <row r="1059" ht="12" customHeight="1" x14ac:dyDescent="0.65"/>
    <row r="1060" ht="12" customHeight="1" x14ac:dyDescent="0.65"/>
    <row r="1061" ht="12" customHeight="1" x14ac:dyDescent="0.65"/>
    <row r="1062" ht="12" customHeight="1" x14ac:dyDescent="0.65"/>
    <row r="1063" ht="12" customHeight="1" x14ac:dyDescent="0.65"/>
    <row r="1064" ht="12" customHeight="1" x14ac:dyDescent="0.65"/>
    <row r="1065" ht="12" customHeight="1" x14ac:dyDescent="0.65"/>
    <row r="1066" ht="12" customHeight="1" x14ac:dyDescent="0.65"/>
    <row r="1067" ht="12" customHeight="1" x14ac:dyDescent="0.65"/>
    <row r="1068" ht="12" customHeight="1" x14ac:dyDescent="0.65"/>
    <row r="1069" ht="12" customHeight="1" x14ac:dyDescent="0.65"/>
    <row r="1070" ht="12" customHeight="1" x14ac:dyDescent="0.65"/>
    <row r="1071" ht="12" customHeight="1" x14ac:dyDescent="0.65"/>
    <row r="1072" ht="12" customHeight="1" x14ac:dyDescent="0.65"/>
    <row r="1073" ht="12" customHeight="1" x14ac:dyDescent="0.65"/>
    <row r="1074" ht="12" customHeight="1" x14ac:dyDescent="0.65"/>
    <row r="1075" ht="12" customHeight="1" x14ac:dyDescent="0.65"/>
    <row r="1076" ht="12" customHeight="1" x14ac:dyDescent="0.65"/>
    <row r="1077" ht="12" customHeight="1" x14ac:dyDescent="0.65"/>
    <row r="1078" ht="12" customHeight="1" x14ac:dyDescent="0.65"/>
    <row r="1079" ht="12" customHeight="1" x14ac:dyDescent="0.65"/>
    <row r="1080" ht="12" customHeight="1" x14ac:dyDescent="0.65"/>
    <row r="1090" ht="12" customHeight="1" x14ac:dyDescent="0.65"/>
    <row r="1095" ht="12" customHeight="1" x14ac:dyDescent="0.65"/>
    <row r="1100" ht="12" customHeight="1" x14ac:dyDescent="0.65"/>
    <row r="1105" ht="12" customHeight="1" x14ac:dyDescent="0.65"/>
    <row r="1107" ht="12" customHeight="1" x14ac:dyDescent="0.65"/>
    <row r="1111" ht="12" customHeight="1" x14ac:dyDescent="0.65"/>
    <row r="1113" ht="12" customHeight="1" x14ac:dyDescent="0.65"/>
    <row r="1118" ht="12" customHeight="1" x14ac:dyDescent="0.65"/>
    <row r="1122" ht="12" customHeight="1" x14ac:dyDescent="0.65"/>
    <row r="1126" ht="12" customHeight="1" x14ac:dyDescent="0.65"/>
    <row r="1127" ht="12" customHeight="1" x14ac:dyDescent="0.65"/>
    <row r="1132" ht="12" customHeight="1" x14ac:dyDescent="0.65"/>
    <row r="1137" ht="12" customHeight="1" x14ac:dyDescent="0.65"/>
    <row r="1140" ht="12" customHeight="1" x14ac:dyDescent="0.65"/>
    <row r="1142" ht="12" customHeight="1" x14ac:dyDescent="0.65"/>
    <row r="1147" ht="12" customHeight="1" x14ac:dyDescent="0.65"/>
    <row r="1151" ht="12" customHeight="1" x14ac:dyDescent="0.65"/>
    <row r="1154" spans="2:32" ht="12" customHeight="1" x14ac:dyDescent="0.65"/>
    <row r="1156" spans="2:32" ht="12" customHeight="1" x14ac:dyDescent="0.65"/>
    <row r="1159" spans="2:32" ht="15" customHeight="1" x14ac:dyDescent="0.65">
      <c r="B1159" s="293"/>
      <c r="C1159" s="293"/>
      <c r="D1159" s="293"/>
      <c r="E1159" s="293"/>
      <c r="F1159" s="293"/>
      <c r="G1159" s="293"/>
      <c r="H1159" s="293"/>
      <c r="I1159" s="293"/>
      <c r="J1159" s="293"/>
      <c r="K1159" s="293"/>
      <c r="L1159" s="293"/>
      <c r="M1159" s="293"/>
      <c r="N1159" s="293"/>
      <c r="O1159" s="293"/>
      <c r="P1159" s="293"/>
      <c r="Q1159" s="293"/>
      <c r="R1159" s="293"/>
      <c r="S1159" s="293"/>
      <c r="T1159" s="293"/>
      <c r="U1159" s="293"/>
      <c r="V1159" s="293"/>
      <c r="W1159" s="293"/>
      <c r="X1159" s="293"/>
      <c r="Y1159" s="293"/>
      <c r="Z1159" s="293"/>
      <c r="AA1159" s="293"/>
      <c r="AB1159" s="293"/>
      <c r="AC1159" s="293"/>
      <c r="AD1159" s="293"/>
      <c r="AE1159" s="293"/>
      <c r="AF1159" s="293"/>
    </row>
    <row r="1180" ht="12" customHeight="1" x14ac:dyDescent="0.65"/>
    <row r="1181" ht="12" customHeight="1" x14ac:dyDescent="0.65"/>
    <row r="1182" ht="12" customHeight="1" x14ac:dyDescent="0.65"/>
    <row r="1183" ht="12" customHeight="1" x14ac:dyDescent="0.65"/>
    <row r="1184" ht="12" customHeight="1" x14ac:dyDescent="0.65"/>
    <row r="1185" ht="12" customHeight="1" x14ac:dyDescent="0.65"/>
    <row r="1186" ht="12" customHeight="1" x14ac:dyDescent="0.65"/>
    <row r="1187" ht="12" customHeight="1" x14ac:dyDescent="0.65"/>
    <row r="1188" ht="12" customHeight="1" x14ac:dyDescent="0.65"/>
    <row r="1189" ht="12" customHeight="1" x14ac:dyDescent="0.65"/>
    <row r="1190" ht="12" customHeight="1" x14ac:dyDescent="0.65"/>
    <row r="1191" ht="12" customHeight="1" x14ac:dyDescent="0.65"/>
    <row r="1192" ht="12" customHeight="1" x14ac:dyDescent="0.65"/>
    <row r="1193" ht="12" customHeight="1" x14ac:dyDescent="0.65"/>
    <row r="1194" ht="12" customHeight="1" x14ac:dyDescent="0.65"/>
    <row r="1195" ht="12" customHeight="1" x14ac:dyDescent="0.65"/>
    <row r="1196" ht="12" customHeight="1" x14ac:dyDescent="0.65"/>
    <row r="1197" ht="12" customHeight="1" x14ac:dyDescent="0.65"/>
    <row r="1198" ht="12" customHeight="1" x14ac:dyDescent="0.65"/>
    <row r="1199" ht="12" customHeight="1" x14ac:dyDescent="0.65"/>
    <row r="1200" ht="12" customHeight="1" x14ac:dyDescent="0.65"/>
    <row r="1201" ht="12" customHeight="1" x14ac:dyDescent="0.65"/>
    <row r="1202" ht="12" customHeight="1" x14ac:dyDescent="0.65"/>
    <row r="1203" ht="12" customHeight="1" x14ac:dyDescent="0.65"/>
    <row r="1204" ht="12" customHeight="1" x14ac:dyDescent="0.65"/>
    <row r="1205" ht="12" customHeight="1" x14ac:dyDescent="0.65"/>
    <row r="1269" ht="12" customHeight="1" x14ac:dyDescent="0.65"/>
    <row r="1304" ht="12" customHeight="1" x14ac:dyDescent="0.65"/>
    <row r="1317" ht="12" customHeight="1" x14ac:dyDescent="0.65"/>
    <row r="1331" spans="2:32" ht="15" customHeight="1" x14ac:dyDescent="0.65">
      <c r="B1331" s="293"/>
      <c r="C1331" s="293"/>
      <c r="D1331" s="293"/>
      <c r="E1331" s="293"/>
      <c r="F1331" s="293"/>
      <c r="G1331" s="293"/>
      <c r="H1331" s="293"/>
      <c r="I1331" s="293"/>
      <c r="J1331" s="293"/>
      <c r="K1331" s="293"/>
      <c r="L1331" s="293"/>
      <c r="M1331" s="293"/>
      <c r="N1331" s="293"/>
      <c r="O1331" s="293"/>
      <c r="P1331" s="293"/>
      <c r="Q1331" s="293"/>
      <c r="R1331" s="293"/>
      <c r="S1331" s="293"/>
      <c r="T1331" s="293"/>
      <c r="U1331" s="293"/>
      <c r="V1331" s="293"/>
      <c r="W1331" s="293"/>
      <c r="X1331" s="293"/>
      <c r="Y1331" s="293"/>
      <c r="Z1331" s="293"/>
      <c r="AA1331" s="293"/>
      <c r="AB1331" s="293"/>
      <c r="AC1331" s="293"/>
      <c r="AD1331" s="293"/>
      <c r="AE1331" s="293"/>
      <c r="AF1331" s="293"/>
    </row>
    <row r="1335" spans="2:32" ht="12" customHeight="1" x14ac:dyDescent="0.65"/>
    <row r="1336" spans="2:32" ht="12" customHeight="1" x14ac:dyDescent="0.65"/>
    <row r="1337" spans="2:32" ht="12" customHeight="1" x14ac:dyDescent="0.65"/>
    <row r="1338" spans="2:32" ht="12" customHeight="1" x14ac:dyDescent="0.65"/>
    <row r="1339" spans="2:32" ht="12" customHeight="1" x14ac:dyDescent="0.65"/>
    <row r="1340" spans="2:32" ht="12" customHeight="1" x14ac:dyDescent="0.65"/>
    <row r="1341" spans="2:32" ht="12" customHeight="1" x14ac:dyDescent="0.65"/>
    <row r="1342" spans="2:32" ht="12" customHeight="1" x14ac:dyDescent="0.65"/>
    <row r="1343" spans="2:32" ht="12" customHeight="1" x14ac:dyDescent="0.65"/>
    <row r="1344" spans="2:32" ht="12" customHeight="1" x14ac:dyDescent="0.65"/>
    <row r="1345" ht="12" customHeight="1" x14ac:dyDescent="0.65"/>
    <row r="1346" ht="12" customHeight="1" x14ac:dyDescent="0.65"/>
    <row r="1347" ht="12" customHeight="1" x14ac:dyDescent="0.65"/>
    <row r="1348" ht="12" customHeight="1" x14ac:dyDescent="0.65"/>
    <row r="1349" ht="12" customHeight="1" x14ac:dyDescent="0.65"/>
    <row r="1350" ht="12" customHeight="1" x14ac:dyDescent="0.65"/>
    <row r="1351" ht="12" customHeight="1" x14ac:dyDescent="0.65"/>
    <row r="1352" ht="12" customHeight="1" x14ac:dyDescent="0.65"/>
    <row r="1353" ht="12" customHeight="1" x14ac:dyDescent="0.65"/>
    <row r="1354" ht="12" customHeight="1" x14ac:dyDescent="0.65"/>
    <row r="1355" ht="12" customHeight="1" x14ac:dyDescent="0.65"/>
    <row r="1398" ht="12" customHeight="1" x14ac:dyDescent="0.65"/>
    <row r="1407" ht="12" customHeight="1" x14ac:dyDescent="0.65"/>
    <row r="1421" ht="12" customHeight="1" x14ac:dyDescent="0.65"/>
    <row r="1426" spans="2:32" ht="15" customHeight="1" x14ac:dyDescent="0.65">
      <c r="B1426" s="293"/>
      <c r="C1426" s="293"/>
      <c r="D1426" s="293"/>
      <c r="E1426" s="293"/>
      <c r="F1426" s="293"/>
      <c r="G1426" s="293"/>
      <c r="H1426" s="293"/>
      <c r="I1426" s="293"/>
      <c r="J1426" s="293"/>
      <c r="K1426" s="293"/>
      <c r="L1426" s="293"/>
      <c r="M1426" s="293"/>
      <c r="N1426" s="293"/>
      <c r="O1426" s="293"/>
      <c r="P1426" s="293"/>
      <c r="Q1426" s="293"/>
      <c r="R1426" s="293"/>
      <c r="S1426" s="293"/>
      <c r="T1426" s="293"/>
      <c r="U1426" s="293"/>
      <c r="V1426" s="293"/>
      <c r="W1426" s="293"/>
      <c r="X1426" s="293"/>
      <c r="Y1426" s="293"/>
      <c r="Z1426" s="293"/>
      <c r="AA1426" s="293"/>
      <c r="AB1426" s="293"/>
      <c r="AC1426" s="293"/>
      <c r="AD1426" s="293"/>
      <c r="AE1426" s="293"/>
      <c r="AF1426" s="293"/>
    </row>
    <row r="1432" spans="2:32" ht="12" customHeight="1" x14ac:dyDescent="0.65"/>
    <row r="1433" spans="2:32" ht="12" customHeight="1" x14ac:dyDescent="0.65"/>
    <row r="1434" spans="2:32" ht="12" customHeight="1" x14ac:dyDescent="0.65"/>
    <row r="1435" spans="2:32" ht="12" customHeight="1" x14ac:dyDescent="0.65"/>
    <row r="1436" spans="2:32" ht="12" customHeight="1" x14ac:dyDescent="0.65"/>
    <row r="1437" spans="2:32" ht="12" customHeight="1" x14ac:dyDescent="0.65"/>
    <row r="1438" spans="2:32" ht="12" customHeight="1" x14ac:dyDescent="0.65"/>
    <row r="1439" spans="2:32" ht="12" customHeight="1" x14ac:dyDescent="0.65"/>
    <row r="1440" spans="2:32" ht="12" customHeight="1" x14ac:dyDescent="0.65"/>
    <row r="1441" ht="12" customHeight="1" x14ac:dyDescent="0.65"/>
    <row r="1442" ht="12" customHeight="1" x14ac:dyDescent="0.65"/>
    <row r="1443" ht="12" customHeight="1" x14ac:dyDescent="0.65"/>
    <row r="1444" ht="12" customHeight="1" x14ac:dyDescent="0.65"/>
    <row r="1445" ht="12" customHeight="1" x14ac:dyDescent="0.65"/>
    <row r="1446" ht="12" customHeight="1" x14ac:dyDescent="0.65"/>
    <row r="1447" ht="12" customHeight="1" x14ac:dyDescent="0.65"/>
    <row r="1448" ht="12" customHeight="1" x14ac:dyDescent="0.65"/>
    <row r="1449" ht="12" customHeight="1" x14ac:dyDescent="0.65"/>
    <row r="1450" ht="12" customHeight="1" x14ac:dyDescent="0.65"/>
    <row r="1451" ht="12" customHeight="1" x14ac:dyDescent="0.65"/>
    <row r="1452" ht="12" customHeight="1" x14ac:dyDescent="0.65"/>
    <row r="1453" ht="12" customHeight="1" x14ac:dyDescent="0.65"/>
    <row r="1454" ht="12" customHeight="1" x14ac:dyDescent="0.65"/>
    <row r="1455" ht="12" customHeight="1" x14ac:dyDescent="0.65"/>
    <row r="1456" ht="12" customHeight="1" x14ac:dyDescent="0.65"/>
    <row r="1457" ht="12" customHeight="1" x14ac:dyDescent="0.65"/>
    <row r="1458" ht="12" customHeight="1" x14ac:dyDescent="0.65"/>
    <row r="1459" ht="12" customHeight="1" x14ac:dyDescent="0.65"/>
    <row r="1460" ht="12" customHeight="1" x14ac:dyDescent="0.65"/>
    <row r="1461" ht="12" customHeight="1" x14ac:dyDescent="0.65"/>
    <row r="1462" ht="12" customHeight="1" x14ac:dyDescent="0.65"/>
    <row r="1463" ht="12" customHeight="1" x14ac:dyDescent="0.65"/>
    <row r="1464" ht="12" customHeight="1" x14ac:dyDescent="0.65"/>
    <row r="1465" ht="12" customHeight="1" x14ac:dyDescent="0.65"/>
    <row r="1466" ht="12" customHeight="1" x14ac:dyDescent="0.65"/>
    <row r="1467" ht="12" customHeight="1" x14ac:dyDescent="0.65"/>
    <row r="1468" ht="12" customHeight="1" x14ac:dyDescent="0.65"/>
    <row r="1469" ht="12" customHeight="1" x14ac:dyDescent="0.65"/>
    <row r="1470" ht="12" customHeight="1" x14ac:dyDescent="0.65"/>
    <row r="1471" ht="12" customHeight="1" x14ac:dyDescent="0.65"/>
    <row r="1472" ht="12" customHeight="1" x14ac:dyDescent="0.65"/>
    <row r="1473" ht="12" customHeight="1" x14ac:dyDescent="0.65"/>
    <row r="1474" ht="12" customHeight="1" x14ac:dyDescent="0.65"/>
    <row r="1475" ht="12" customHeight="1" x14ac:dyDescent="0.65"/>
    <row r="1476" ht="12" customHeight="1" x14ac:dyDescent="0.65"/>
    <row r="1477" ht="12" customHeight="1" x14ac:dyDescent="0.65"/>
    <row r="1478" ht="12" customHeight="1" x14ac:dyDescent="0.65"/>
    <row r="1479" ht="12" customHeight="1" x14ac:dyDescent="0.65"/>
    <row r="1480" ht="12" customHeight="1" x14ac:dyDescent="0.65"/>
    <row r="1481" ht="12" customHeight="1" x14ac:dyDescent="0.65"/>
    <row r="1482" ht="12" customHeight="1" x14ac:dyDescent="0.65"/>
    <row r="1483" ht="12" customHeight="1" x14ac:dyDescent="0.65"/>
    <row r="1484" ht="12" customHeight="1" x14ac:dyDescent="0.65"/>
    <row r="1485" ht="12" customHeight="1" x14ac:dyDescent="0.65"/>
    <row r="1486" ht="12" customHeight="1" x14ac:dyDescent="0.65"/>
    <row r="1487" ht="12" customHeight="1" x14ac:dyDescent="0.65"/>
    <row r="1488" ht="12" customHeight="1" x14ac:dyDescent="0.65"/>
    <row r="1489" ht="12" customHeight="1" x14ac:dyDescent="0.65"/>
    <row r="1490" ht="12" customHeight="1" x14ac:dyDescent="0.65"/>
    <row r="1491" ht="12" customHeight="1" x14ac:dyDescent="0.65"/>
    <row r="1492" ht="12" customHeight="1" x14ac:dyDescent="0.65"/>
    <row r="1493" ht="12" customHeight="1" x14ac:dyDescent="0.65"/>
    <row r="1494" ht="12" customHeight="1" x14ac:dyDescent="0.65"/>
    <row r="1495" ht="12" customHeight="1" x14ac:dyDescent="0.65"/>
    <row r="1496" ht="12" customHeight="1" x14ac:dyDescent="0.65"/>
    <row r="1497" ht="12" customHeight="1" x14ac:dyDescent="0.65"/>
    <row r="1498" ht="12" customHeight="1" x14ac:dyDescent="0.65"/>
    <row r="1499" ht="12" customHeight="1" x14ac:dyDescent="0.65"/>
    <row r="1500" ht="12" customHeight="1" x14ac:dyDescent="0.65"/>
    <row r="1501" ht="12" customHeight="1" x14ac:dyDescent="0.65"/>
    <row r="1502" ht="12" customHeight="1" x14ac:dyDescent="0.65"/>
    <row r="1503" ht="12" customHeight="1" x14ac:dyDescent="0.65"/>
    <row r="1504" ht="12" customHeight="1" x14ac:dyDescent="0.65"/>
    <row r="1505" ht="12" customHeight="1" x14ac:dyDescent="0.65"/>
    <row r="1518" ht="12" customHeight="1" x14ac:dyDescent="0.65"/>
    <row r="1526" ht="12" customHeight="1" x14ac:dyDescent="0.65"/>
    <row r="1534" ht="12" customHeight="1" x14ac:dyDescent="0.65"/>
    <row r="1540" spans="2:32" ht="12" customHeight="1" x14ac:dyDescent="0.65"/>
    <row r="1544" spans="2:32" ht="15" customHeight="1" x14ac:dyDescent="0.65">
      <c r="B1544" s="293"/>
      <c r="C1544" s="293"/>
      <c r="D1544" s="293"/>
      <c r="E1544" s="293"/>
      <c r="F1544" s="293"/>
      <c r="G1544" s="293"/>
      <c r="H1544" s="293"/>
      <c r="I1544" s="293"/>
      <c r="J1544" s="293"/>
      <c r="K1544" s="293"/>
      <c r="L1544" s="293"/>
      <c r="M1544" s="293"/>
      <c r="N1544" s="293"/>
      <c r="O1544" s="293"/>
      <c r="P1544" s="293"/>
      <c r="Q1544" s="293"/>
      <c r="R1544" s="293"/>
      <c r="S1544" s="293"/>
      <c r="T1544" s="293"/>
      <c r="U1544" s="293"/>
      <c r="V1544" s="293"/>
      <c r="W1544" s="293"/>
      <c r="X1544" s="293"/>
      <c r="Y1544" s="293"/>
      <c r="Z1544" s="293"/>
      <c r="AA1544" s="293"/>
      <c r="AB1544" s="293"/>
      <c r="AC1544" s="293"/>
      <c r="AD1544" s="293"/>
      <c r="AE1544" s="293"/>
      <c r="AF1544" s="293"/>
    </row>
    <row r="1549" spans="2:32" ht="12" customHeight="1" x14ac:dyDescent="0.65"/>
    <row r="1550" spans="2:32" ht="12" customHeight="1" x14ac:dyDescent="0.65"/>
    <row r="1551" spans="2:32" ht="12" customHeight="1" x14ac:dyDescent="0.65"/>
    <row r="1552" spans="2:32" ht="12" customHeight="1" x14ac:dyDescent="0.65"/>
    <row r="1553" ht="12" customHeight="1" x14ac:dyDescent="0.65"/>
    <row r="1554" ht="12" customHeight="1" x14ac:dyDescent="0.65"/>
    <row r="1555" ht="12" customHeight="1" x14ac:dyDescent="0.65"/>
    <row r="1556" ht="12" customHeight="1" x14ac:dyDescent="0.65"/>
    <row r="1557" ht="12" customHeight="1" x14ac:dyDescent="0.65"/>
    <row r="1558" ht="12" customHeight="1" x14ac:dyDescent="0.65"/>
    <row r="1559" ht="12" customHeight="1" x14ac:dyDescent="0.65"/>
    <row r="1560" ht="12" customHeight="1" x14ac:dyDescent="0.65"/>
    <row r="1561" ht="12" customHeight="1" x14ac:dyDescent="0.65"/>
    <row r="1562" ht="12" customHeight="1" x14ac:dyDescent="0.65"/>
    <row r="1563" ht="12" customHeight="1" x14ac:dyDescent="0.65"/>
    <row r="1564" ht="12" customHeight="1" x14ac:dyDescent="0.65"/>
    <row r="1565" ht="12" customHeight="1" x14ac:dyDescent="0.65"/>
    <row r="1566" ht="12" customHeight="1" x14ac:dyDescent="0.65"/>
    <row r="1567" ht="12" customHeight="1" x14ac:dyDescent="0.65"/>
    <row r="1568" ht="12" customHeight="1" x14ac:dyDescent="0.65"/>
    <row r="1569" ht="12" customHeight="1" x14ac:dyDescent="0.65"/>
    <row r="1570" ht="12" customHeight="1" x14ac:dyDescent="0.65"/>
    <row r="1571" ht="12" customHeight="1" x14ac:dyDescent="0.65"/>
    <row r="1572" ht="12" customHeight="1" x14ac:dyDescent="0.65"/>
    <row r="1573" ht="12" customHeight="1" x14ac:dyDescent="0.65"/>
    <row r="1574" ht="12" customHeight="1" x14ac:dyDescent="0.65"/>
    <row r="1575" ht="12" customHeight="1" x14ac:dyDescent="0.65"/>
    <row r="1576" ht="12" customHeight="1" x14ac:dyDescent="0.65"/>
    <row r="1577" ht="12" customHeight="1" x14ac:dyDescent="0.65"/>
    <row r="1578" ht="12" customHeight="1" x14ac:dyDescent="0.65"/>
    <row r="1579" ht="12" customHeight="1" x14ac:dyDescent="0.65"/>
    <row r="1580" ht="12" customHeight="1" x14ac:dyDescent="0.65"/>
    <row r="1581" ht="12" customHeight="1" x14ac:dyDescent="0.65"/>
    <row r="1582" ht="12" customHeight="1" x14ac:dyDescent="0.65"/>
    <row r="1583" ht="12" customHeight="1" x14ac:dyDescent="0.65"/>
    <row r="1584" ht="12" customHeight="1" x14ac:dyDescent="0.65"/>
    <row r="1585" ht="12" customHeight="1" x14ac:dyDescent="0.65"/>
    <row r="1586" ht="12" customHeight="1" x14ac:dyDescent="0.65"/>
    <row r="1587" ht="12" customHeight="1" x14ac:dyDescent="0.65"/>
    <row r="1588" ht="12" customHeight="1" x14ac:dyDescent="0.65"/>
    <row r="1589" ht="12" customHeight="1" x14ac:dyDescent="0.65"/>
    <row r="1590" ht="12" customHeight="1" x14ac:dyDescent="0.65"/>
    <row r="1591" ht="12" customHeight="1" x14ac:dyDescent="0.65"/>
    <row r="1592" ht="12" customHeight="1" x14ac:dyDescent="0.65"/>
    <row r="1593" ht="12" customHeight="1" x14ac:dyDescent="0.65"/>
    <row r="1594" ht="12" customHeight="1" x14ac:dyDescent="0.65"/>
    <row r="1595" ht="12" customHeight="1" x14ac:dyDescent="0.65"/>
    <row r="1596" ht="12" customHeight="1" x14ac:dyDescent="0.65"/>
    <row r="1597" ht="12" customHeight="1" x14ac:dyDescent="0.65"/>
    <row r="1598" ht="12" customHeight="1" x14ac:dyDescent="0.65"/>
    <row r="1599" ht="12" customHeight="1" x14ac:dyDescent="0.65"/>
    <row r="1600" ht="12" customHeight="1" x14ac:dyDescent="0.65"/>
    <row r="1601" ht="12" customHeight="1" x14ac:dyDescent="0.65"/>
    <row r="1602" ht="12" customHeight="1" x14ac:dyDescent="0.65"/>
    <row r="1603" ht="12" customHeight="1" x14ac:dyDescent="0.65"/>
    <row r="1604" ht="12" customHeight="1" x14ac:dyDescent="0.65"/>
    <row r="1605" ht="12" customHeight="1" x14ac:dyDescent="0.65"/>
    <row r="1618" ht="12" customHeight="1" x14ac:dyDescent="0.65"/>
    <row r="1626" ht="12" customHeight="1" x14ac:dyDescent="0.65"/>
    <row r="1634" spans="2:32" ht="12" customHeight="1" x14ac:dyDescent="0.65"/>
    <row r="1640" spans="2:32" ht="12" customHeight="1" x14ac:dyDescent="0.65"/>
    <row r="1644" spans="2:32" ht="15" customHeight="1" x14ac:dyDescent="0.65">
      <c r="B1644" s="293"/>
      <c r="C1644" s="293"/>
      <c r="D1644" s="293"/>
      <c r="E1644" s="293"/>
      <c r="F1644" s="293"/>
      <c r="G1644" s="293"/>
      <c r="H1644" s="293"/>
      <c r="I1644" s="293"/>
      <c r="J1644" s="293"/>
      <c r="K1644" s="293"/>
      <c r="L1644" s="293"/>
      <c r="M1644" s="293"/>
      <c r="N1644" s="293"/>
      <c r="O1644" s="293"/>
      <c r="P1644" s="293"/>
      <c r="Q1644" s="293"/>
      <c r="R1644" s="293"/>
      <c r="S1644" s="293"/>
      <c r="T1644" s="293"/>
      <c r="U1644" s="293"/>
      <c r="V1644" s="293"/>
      <c r="W1644" s="293"/>
      <c r="X1644" s="293"/>
      <c r="Y1644" s="293"/>
      <c r="Z1644" s="293"/>
      <c r="AA1644" s="293"/>
      <c r="AB1644" s="293"/>
      <c r="AC1644" s="293"/>
      <c r="AD1644" s="293"/>
      <c r="AE1644" s="293"/>
      <c r="AF1644" s="293"/>
    </row>
    <row r="1649" ht="12" customHeight="1" x14ac:dyDescent="0.65"/>
    <row r="1650" ht="12" customHeight="1" x14ac:dyDescent="0.65"/>
    <row r="1651" ht="12" customHeight="1" x14ac:dyDescent="0.65"/>
    <row r="1652" ht="12" customHeight="1" x14ac:dyDescent="0.65"/>
    <row r="1653" ht="12" customHeight="1" x14ac:dyDescent="0.65"/>
    <row r="1654" ht="12" customHeight="1" x14ac:dyDescent="0.65"/>
    <row r="1655" ht="12" customHeight="1" x14ac:dyDescent="0.65"/>
    <row r="1656" ht="12" customHeight="1" x14ac:dyDescent="0.65"/>
    <row r="1657" ht="12" customHeight="1" x14ac:dyDescent="0.65"/>
    <row r="1658" ht="12" customHeight="1" x14ac:dyDescent="0.65"/>
    <row r="1659" ht="12" customHeight="1" x14ac:dyDescent="0.65"/>
    <row r="1660" ht="12" customHeight="1" x14ac:dyDescent="0.65"/>
    <row r="1661" ht="12" customHeight="1" x14ac:dyDescent="0.65"/>
    <row r="1662" ht="12" customHeight="1" x14ac:dyDescent="0.65"/>
    <row r="1663" ht="12" customHeight="1" x14ac:dyDescent="0.65"/>
    <row r="1664" ht="12" customHeight="1" x14ac:dyDescent="0.65"/>
    <row r="1665" ht="12" customHeight="1" x14ac:dyDescent="0.65"/>
    <row r="1666" ht="12" customHeight="1" x14ac:dyDescent="0.65"/>
    <row r="1667" ht="12" customHeight="1" x14ac:dyDescent="0.65"/>
    <row r="1668" ht="12" customHeight="1" x14ac:dyDescent="0.65"/>
    <row r="1669" ht="12" customHeight="1" x14ac:dyDescent="0.65"/>
    <row r="1670" ht="12" customHeight="1" x14ac:dyDescent="0.65"/>
    <row r="1671" ht="12" customHeight="1" x14ac:dyDescent="0.65"/>
    <row r="1672" ht="12" customHeight="1" x14ac:dyDescent="0.65"/>
    <row r="1673" ht="12" customHeight="1" x14ac:dyDescent="0.65"/>
    <row r="1674" ht="12" customHeight="1" x14ac:dyDescent="0.65"/>
    <row r="1675" ht="12" customHeight="1" x14ac:dyDescent="0.65"/>
    <row r="1676" ht="12" customHeight="1" x14ac:dyDescent="0.65"/>
    <row r="1677" ht="12" customHeight="1" x14ac:dyDescent="0.65"/>
    <row r="1678" ht="12" customHeight="1" x14ac:dyDescent="0.65"/>
    <row r="1679" ht="12" customHeight="1" x14ac:dyDescent="0.65"/>
    <row r="1680" ht="12" customHeight="1" x14ac:dyDescent="0.65"/>
    <row r="1681" ht="12" customHeight="1" x14ac:dyDescent="0.65"/>
    <row r="1682" ht="12" customHeight="1" x14ac:dyDescent="0.65"/>
    <row r="1683" ht="12" customHeight="1" x14ac:dyDescent="0.65"/>
    <row r="1684" ht="12" customHeight="1" x14ac:dyDescent="0.65"/>
    <row r="1685" ht="12" customHeight="1" x14ac:dyDescent="0.65"/>
    <row r="1686" ht="12" customHeight="1" x14ac:dyDescent="0.65"/>
    <row r="1687" ht="12" customHeight="1" x14ac:dyDescent="0.65"/>
    <row r="1688" ht="12" customHeight="1" x14ac:dyDescent="0.65"/>
    <row r="1689" ht="12" customHeight="1" x14ac:dyDescent="0.65"/>
    <row r="1690" ht="12" customHeight="1" x14ac:dyDescent="0.65"/>
    <row r="1691" ht="12" customHeight="1" x14ac:dyDescent="0.65"/>
    <row r="1692" ht="12" customHeight="1" x14ac:dyDescent="0.65"/>
    <row r="1693" ht="12" customHeight="1" x14ac:dyDescent="0.65"/>
    <row r="1694" ht="12" customHeight="1" x14ac:dyDescent="0.65"/>
    <row r="1695" ht="12" customHeight="1" x14ac:dyDescent="0.65"/>
    <row r="1696" ht="12" customHeight="1" x14ac:dyDescent="0.65"/>
    <row r="1697" ht="12" customHeight="1" x14ac:dyDescent="0.65"/>
    <row r="1698" ht="12" customHeight="1" x14ac:dyDescent="0.65"/>
    <row r="1699" ht="12" customHeight="1" x14ac:dyDescent="0.65"/>
    <row r="1700" ht="12" customHeight="1" x14ac:dyDescent="0.65"/>
    <row r="1701" ht="12" customHeight="1" x14ac:dyDescent="0.65"/>
    <row r="1702" ht="12" customHeight="1" x14ac:dyDescent="0.65"/>
    <row r="1703" ht="12" customHeight="1" x14ac:dyDescent="0.65"/>
    <row r="1704" ht="12" customHeight="1" x14ac:dyDescent="0.65"/>
    <row r="1705" ht="12" customHeight="1" x14ac:dyDescent="0.65"/>
    <row r="1718" ht="12" customHeight="1" x14ac:dyDescent="0.65"/>
    <row r="1726" ht="12" customHeight="1" x14ac:dyDescent="0.65"/>
    <row r="1734" spans="2:32" ht="12" customHeight="1" x14ac:dyDescent="0.65"/>
    <row r="1740" spans="2:32" ht="12" customHeight="1" x14ac:dyDescent="0.65"/>
    <row r="1744" spans="2:32" ht="15" customHeight="1" x14ac:dyDescent="0.65">
      <c r="B1744" s="293"/>
      <c r="C1744" s="293"/>
      <c r="D1744" s="293"/>
      <c r="E1744" s="293"/>
      <c r="F1744" s="293"/>
      <c r="G1744" s="293"/>
      <c r="H1744" s="293"/>
      <c r="I1744" s="293"/>
      <c r="J1744" s="293"/>
      <c r="K1744" s="293"/>
      <c r="L1744" s="293"/>
      <c r="M1744" s="293"/>
      <c r="N1744" s="293"/>
      <c r="O1744" s="293"/>
      <c r="P1744" s="293"/>
      <c r="Q1744" s="293"/>
      <c r="R1744" s="293"/>
      <c r="S1744" s="293"/>
      <c r="T1744" s="293"/>
      <c r="U1744" s="293"/>
      <c r="V1744" s="293"/>
      <c r="W1744" s="293"/>
      <c r="X1744" s="293"/>
      <c r="Y1744" s="293"/>
      <c r="Z1744" s="293"/>
      <c r="AA1744" s="293"/>
      <c r="AB1744" s="293"/>
      <c r="AC1744" s="293"/>
      <c r="AD1744" s="293"/>
      <c r="AE1744" s="293"/>
      <c r="AF1744" s="293"/>
    </row>
    <row r="1749" ht="12" customHeight="1" x14ac:dyDescent="0.65"/>
    <row r="1750" ht="12" customHeight="1" x14ac:dyDescent="0.65"/>
    <row r="1751" ht="12" customHeight="1" x14ac:dyDescent="0.65"/>
    <row r="1752" ht="12" customHeight="1" x14ac:dyDescent="0.65"/>
    <row r="1753" ht="12" customHeight="1" x14ac:dyDescent="0.65"/>
    <row r="1754" ht="12" customHeight="1" x14ac:dyDescent="0.65"/>
    <row r="1755" ht="12" customHeight="1" x14ac:dyDescent="0.65"/>
    <row r="1756" ht="12" customHeight="1" x14ac:dyDescent="0.65"/>
    <row r="1757" ht="12" customHeight="1" x14ac:dyDescent="0.65"/>
    <row r="1758" ht="12" customHeight="1" x14ac:dyDescent="0.65"/>
    <row r="1759" ht="12" customHeight="1" x14ac:dyDescent="0.65"/>
    <row r="1760" ht="12" customHeight="1" x14ac:dyDescent="0.65"/>
    <row r="1761" ht="12" customHeight="1" x14ac:dyDescent="0.65"/>
    <row r="1762" ht="12" customHeight="1" x14ac:dyDescent="0.65"/>
    <row r="1763" ht="12" customHeight="1" x14ac:dyDescent="0.65"/>
    <row r="1764" ht="12" customHeight="1" x14ac:dyDescent="0.65"/>
    <row r="1765" ht="12" customHeight="1" x14ac:dyDescent="0.65"/>
    <row r="1766" ht="12" customHeight="1" x14ac:dyDescent="0.65"/>
    <row r="1767" ht="12" customHeight="1" x14ac:dyDescent="0.65"/>
    <row r="1768" ht="12" customHeight="1" x14ac:dyDescent="0.65"/>
    <row r="1769" ht="12" customHeight="1" x14ac:dyDescent="0.65"/>
    <row r="1770" ht="12" customHeight="1" x14ac:dyDescent="0.65"/>
    <row r="1771" ht="12" customHeight="1" x14ac:dyDescent="0.65"/>
    <row r="1772" ht="12" customHeight="1" x14ac:dyDescent="0.65"/>
    <row r="1773" ht="12" customHeight="1" x14ac:dyDescent="0.65"/>
    <row r="1774" ht="12" customHeight="1" x14ac:dyDescent="0.65"/>
    <row r="1775" ht="12" customHeight="1" x14ac:dyDescent="0.65"/>
    <row r="1776" ht="12" customHeight="1" x14ac:dyDescent="0.65"/>
    <row r="1777" ht="12" customHeight="1" x14ac:dyDescent="0.65"/>
    <row r="1778" ht="12" customHeight="1" x14ac:dyDescent="0.65"/>
    <row r="1779" ht="12" customHeight="1" x14ac:dyDescent="0.65"/>
    <row r="1780" ht="12" customHeight="1" x14ac:dyDescent="0.65"/>
    <row r="1781" ht="12" customHeight="1" x14ac:dyDescent="0.65"/>
    <row r="1782" ht="12" customHeight="1" x14ac:dyDescent="0.65"/>
    <row r="1783" ht="12" customHeight="1" x14ac:dyDescent="0.65"/>
    <row r="1784" ht="12" customHeight="1" x14ac:dyDescent="0.65"/>
    <row r="1785" ht="12" customHeight="1" x14ac:dyDescent="0.65"/>
    <row r="1786" ht="12" customHeight="1" x14ac:dyDescent="0.65"/>
    <row r="1787" ht="12" customHeight="1" x14ac:dyDescent="0.65"/>
    <row r="1788" ht="12" customHeight="1" x14ac:dyDescent="0.65"/>
    <row r="1789" ht="12" customHeight="1" x14ac:dyDescent="0.65"/>
    <row r="1790" ht="12" customHeight="1" x14ac:dyDescent="0.65"/>
    <row r="1791" ht="12" customHeight="1" x14ac:dyDescent="0.65"/>
    <row r="1792" ht="12" customHeight="1" x14ac:dyDescent="0.65"/>
    <row r="1793" ht="12" customHeight="1" x14ac:dyDescent="0.65"/>
    <row r="1794" ht="12" customHeight="1" x14ac:dyDescent="0.65"/>
    <row r="1795" ht="12" customHeight="1" x14ac:dyDescent="0.65"/>
    <row r="1796" ht="12" customHeight="1" x14ac:dyDescent="0.65"/>
    <row r="1797" ht="12" customHeight="1" x14ac:dyDescent="0.65"/>
    <row r="1798" ht="12" customHeight="1" x14ac:dyDescent="0.65"/>
    <row r="1799" ht="12" customHeight="1" x14ac:dyDescent="0.65"/>
    <row r="1800" ht="12" customHeight="1" x14ac:dyDescent="0.65"/>
    <row r="1801" ht="12" customHeight="1" x14ac:dyDescent="0.65"/>
    <row r="1802" ht="12" customHeight="1" x14ac:dyDescent="0.65"/>
    <row r="1803" ht="12" customHeight="1" x14ac:dyDescent="0.65"/>
    <row r="1804" ht="12" customHeight="1" x14ac:dyDescent="0.65"/>
    <row r="1805" ht="12" customHeight="1" x14ac:dyDescent="0.65"/>
    <row r="1818" ht="12" customHeight="1" x14ac:dyDescent="0.65"/>
    <row r="1826" ht="12" customHeight="1" x14ac:dyDescent="0.65"/>
    <row r="1834" ht="12" customHeight="1" x14ac:dyDescent="0.65"/>
    <row r="1840" ht="12" customHeight="1" x14ac:dyDescent="0.65"/>
    <row r="1844" spans="2:32" ht="15" customHeight="1" x14ac:dyDescent="0.65">
      <c r="B1844" s="293"/>
      <c r="C1844" s="293"/>
      <c r="D1844" s="293"/>
      <c r="E1844" s="293"/>
      <c r="F1844" s="293"/>
      <c r="G1844" s="293"/>
      <c r="H1844" s="293"/>
      <c r="I1844" s="293"/>
      <c r="J1844" s="293"/>
      <c r="K1844" s="293"/>
      <c r="L1844" s="293"/>
      <c r="M1844" s="293"/>
      <c r="N1844" s="293"/>
      <c r="O1844" s="293"/>
      <c r="P1844" s="293"/>
      <c r="Q1844" s="293"/>
      <c r="R1844" s="293"/>
      <c r="S1844" s="293"/>
      <c r="T1844" s="293"/>
      <c r="U1844" s="293"/>
      <c r="V1844" s="293"/>
      <c r="W1844" s="293"/>
      <c r="X1844" s="293"/>
      <c r="Y1844" s="293"/>
      <c r="Z1844" s="293"/>
      <c r="AA1844" s="293"/>
      <c r="AB1844" s="293"/>
      <c r="AC1844" s="293"/>
      <c r="AD1844" s="293"/>
      <c r="AE1844" s="293"/>
      <c r="AF1844" s="293"/>
    </row>
    <row r="1849" spans="2:32" ht="12" customHeight="1" x14ac:dyDescent="0.65"/>
    <row r="1850" spans="2:32" ht="12" customHeight="1" x14ac:dyDescent="0.65"/>
    <row r="1851" spans="2:32" ht="12" customHeight="1" x14ac:dyDescent="0.65"/>
    <row r="1852" spans="2:32" ht="12" customHeight="1" x14ac:dyDescent="0.65"/>
    <row r="1853" spans="2:32" ht="12" customHeight="1" x14ac:dyDescent="0.65"/>
    <row r="1854" spans="2:32" ht="12" customHeight="1" x14ac:dyDescent="0.65"/>
    <row r="1855" spans="2:32" ht="12" customHeight="1" x14ac:dyDescent="0.65"/>
    <row r="1856" spans="2:32" ht="12" customHeight="1" x14ac:dyDescent="0.65"/>
    <row r="1857" ht="12" customHeight="1" x14ac:dyDescent="0.65"/>
    <row r="1858" ht="12" customHeight="1" x14ac:dyDescent="0.65"/>
    <row r="1859" ht="12" customHeight="1" x14ac:dyDescent="0.65"/>
    <row r="1860" ht="12" customHeight="1" x14ac:dyDescent="0.65"/>
    <row r="1861" ht="12" customHeight="1" x14ac:dyDescent="0.65"/>
    <row r="1862" ht="12" customHeight="1" x14ac:dyDescent="0.65"/>
    <row r="1863" ht="12" customHeight="1" x14ac:dyDescent="0.65"/>
    <row r="1864" ht="12" customHeight="1" x14ac:dyDescent="0.65"/>
    <row r="1865" ht="12" customHeight="1" x14ac:dyDescent="0.65"/>
    <row r="1866" ht="12" customHeight="1" x14ac:dyDescent="0.65"/>
    <row r="1867" ht="12" customHeight="1" x14ac:dyDescent="0.65"/>
    <row r="1868" ht="12" customHeight="1" x14ac:dyDescent="0.65"/>
    <row r="1869" ht="12" customHeight="1" x14ac:dyDescent="0.65"/>
    <row r="1870" ht="12" customHeight="1" x14ac:dyDescent="0.65"/>
    <row r="1871" ht="12" customHeight="1" x14ac:dyDescent="0.65"/>
    <row r="1872" ht="12" customHeight="1" x14ac:dyDescent="0.65"/>
    <row r="1873" ht="12" customHeight="1" x14ac:dyDescent="0.65"/>
    <row r="1874" ht="12" customHeight="1" x14ac:dyDescent="0.65"/>
    <row r="1875" ht="12" customHeight="1" x14ac:dyDescent="0.65"/>
    <row r="1876" ht="12" customHeight="1" x14ac:dyDescent="0.65"/>
    <row r="1877" ht="12" customHeight="1" x14ac:dyDescent="0.65"/>
    <row r="1878" ht="12" customHeight="1" x14ac:dyDescent="0.65"/>
    <row r="1879" ht="12" customHeight="1" x14ac:dyDescent="0.65"/>
    <row r="1880" ht="12" customHeight="1" x14ac:dyDescent="0.65"/>
    <row r="1881" ht="12" customHeight="1" x14ac:dyDescent="0.65"/>
    <row r="1882" ht="12" customHeight="1" x14ac:dyDescent="0.65"/>
    <row r="1883" ht="12" customHeight="1" x14ac:dyDescent="0.65"/>
    <row r="1884" ht="12" customHeight="1" x14ac:dyDescent="0.65"/>
    <row r="1885" ht="12" customHeight="1" x14ac:dyDescent="0.65"/>
    <row r="1886" ht="12" customHeight="1" x14ac:dyDescent="0.65"/>
    <row r="1887" ht="12" customHeight="1" x14ac:dyDescent="0.65"/>
    <row r="1888" ht="12" customHeight="1" x14ac:dyDescent="0.65"/>
    <row r="1889" ht="12" customHeight="1" x14ac:dyDescent="0.65"/>
    <row r="1890" ht="12" customHeight="1" x14ac:dyDescent="0.65"/>
    <row r="1891" ht="12" customHeight="1" x14ac:dyDescent="0.65"/>
    <row r="1892" ht="12" customHeight="1" x14ac:dyDescent="0.65"/>
    <row r="1893" ht="12" customHeight="1" x14ac:dyDescent="0.65"/>
    <row r="1894" ht="12" customHeight="1" x14ac:dyDescent="0.65"/>
    <row r="1895" ht="12" customHeight="1" x14ac:dyDescent="0.65"/>
    <row r="1896" ht="12" customHeight="1" x14ac:dyDescent="0.65"/>
    <row r="1897" ht="12" customHeight="1" x14ac:dyDescent="0.65"/>
    <row r="1898" ht="12" customHeight="1" x14ac:dyDescent="0.65"/>
    <row r="1899" ht="12" customHeight="1" x14ac:dyDescent="0.65"/>
    <row r="1900" ht="12" customHeight="1" x14ac:dyDescent="0.65"/>
    <row r="1901" ht="12" customHeight="1" x14ac:dyDescent="0.65"/>
    <row r="1902" ht="12" customHeight="1" x14ac:dyDescent="0.65"/>
    <row r="1903" ht="12" customHeight="1" x14ac:dyDescent="0.65"/>
    <row r="1904" ht="12" customHeight="1" x14ac:dyDescent="0.65"/>
    <row r="1905" ht="12" customHeight="1" x14ac:dyDescent="0.65"/>
    <row r="1918" ht="12" customHeight="1" x14ac:dyDescent="0.65"/>
    <row r="1926" ht="12" customHeight="1" x14ac:dyDescent="0.65"/>
    <row r="1934" ht="12" customHeight="1" x14ac:dyDescent="0.65"/>
    <row r="1940" spans="2:32" ht="12" customHeight="1" x14ac:dyDescent="0.65"/>
    <row r="1944" spans="2:32" ht="15" customHeight="1" x14ac:dyDescent="0.65">
      <c r="B1944" s="293"/>
      <c r="C1944" s="293"/>
      <c r="D1944" s="293"/>
      <c r="E1944" s="293"/>
      <c r="F1944" s="293"/>
      <c r="G1944" s="293"/>
      <c r="H1944" s="293"/>
      <c r="I1944" s="293"/>
      <c r="J1944" s="293"/>
      <c r="K1944" s="293"/>
      <c r="L1944" s="293"/>
      <c r="M1944" s="293"/>
      <c r="N1944" s="293"/>
      <c r="O1944" s="293"/>
      <c r="P1944" s="293"/>
      <c r="Q1944" s="293"/>
      <c r="R1944" s="293"/>
      <c r="S1944" s="293"/>
      <c r="T1944" s="293"/>
      <c r="U1944" s="293"/>
      <c r="V1944" s="293"/>
      <c r="W1944" s="293"/>
      <c r="X1944" s="293"/>
      <c r="Y1944" s="293"/>
      <c r="Z1944" s="293"/>
      <c r="AA1944" s="293"/>
      <c r="AB1944" s="293"/>
      <c r="AC1944" s="293"/>
      <c r="AD1944" s="293"/>
      <c r="AE1944" s="293"/>
      <c r="AF1944" s="293"/>
    </row>
    <row r="1949" spans="2:32" ht="12" customHeight="1" x14ac:dyDescent="0.65"/>
    <row r="1950" spans="2:32" ht="12" customHeight="1" x14ac:dyDescent="0.65"/>
    <row r="1951" spans="2:32" ht="12" customHeight="1" x14ac:dyDescent="0.65"/>
    <row r="1952" spans="2:32" ht="12" customHeight="1" x14ac:dyDescent="0.65"/>
    <row r="1953" ht="12" customHeight="1" x14ac:dyDescent="0.65"/>
    <row r="1954" ht="12" customHeight="1" x14ac:dyDescent="0.65"/>
    <row r="1955" ht="12" customHeight="1" x14ac:dyDescent="0.65"/>
    <row r="1956" ht="12" customHeight="1" x14ac:dyDescent="0.65"/>
    <row r="1957" ht="12" customHeight="1" x14ac:dyDescent="0.65"/>
    <row r="1958" ht="12" customHeight="1" x14ac:dyDescent="0.65"/>
    <row r="1959" ht="12" customHeight="1" x14ac:dyDescent="0.65"/>
    <row r="1960" ht="12" customHeight="1" x14ac:dyDescent="0.65"/>
    <row r="1961" ht="12" customHeight="1" x14ac:dyDescent="0.65"/>
    <row r="1962" ht="12" customHeight="1" x14ac:dyDescent="0.65"/>
    <row r="1963" ht="12" customHeight="1" x14ac:dyDescent="0.65"/>
    <row r="1964" ht="12" customHeight="1" x14ac:dyDescent="0.65"/>
    <row r="1965" ht="12" customHeight="1" x14ac:dyDescent="0.65"/>
    <row r="1966" ht="12" customHeight="1" x14ac:dyDescent="0.65"/>
    <row r="1967" ht="12" customHeight="1" x14ac:dyDescent="0.65"/>
    <row r="1968" ht="12" customHeight="1" x14ac:dyDescent="0.65"/>
    <row r="1969" ht="12" customHeight="1" x14ac:dyDescent="0.65"/>
    <row r="1970" ht="12" customHeight="1" x14ac:dyDescent="0.65"/>
    <row r="1971" ht="12" customHeight="1" x14ac:dyDescent="0.65"/>
    <row r="1972" ht="12" customHeight="1" x14ac:dyDescent="0.65"/>
    <row r="1973" ht="12" customHeight="1" x14ac:dyDescent="0.65"/>
    <row r="1974" ht="12" customHeight="1" x14ac:dyDescent="0.65"/>
    <row r="1975" ht="12" customHeight="1" x14ac:dyDescent="0.65"/>
    <row r="1976" ht="12" customHeight="1" x14ac:dyDescent="0.65"/>
    <row r="1977" ht="12" customHeight="1" x14ac:dyDescent="0.65"/>
    <row r="1978" ht="12" customHeight="1" x14ac:dyDescent="0.65"/>
    <row r="1979" ht="12" customHeight="1" x14ac:dyDescent="0.65"/>
    <row r="1980" ht="12" customHeight="1" x14ac:dyDescent="0.65"/>
    <row r="1981" ht="12" customHeight="1" x14ac:dyDescent="0.65"/>
    <row r="1982" ht="12" customHeight="1" x14ac:dyDescent="0.65"/>
    <row r="1983" ht="12" customHeight="1" x14ac:dyDescent="0.65"/>
    <row r="1984" ht="12" customHeight="1" x14ac:dyDescent="0.65"/>
    <row r="1985" ht="12" customHeight="1" x14ac:dyDescent="0.65"/>
    <row r="1986" ht="12" customHeight="1" x14ac:dyDescent="0.65"/>
    <row r="1987" ht="12" customHeight="1" x14ac:dyDescent="0.65"/>
    <row r="1988" ht="12" customHeight="1" x14ac:dyDescent="0.65"/>
    <row r="1989" ht="12" customHeight="1" x14ac:dyDescent="0.65"/>
    <row r="1990" ht="12" customHeight="1" x14ac:dyDescent="0.65"/>
    <row r="1991" ht="12" customHeight="1" x14ac:dyDescent="0.65"/>
    <row r="1992" ht="12" customHeight="1" x14ac:dyDescent="0.65"/>
    <row r="1993" ht="12" customHeight="1" x14ac:dyDescent="0.65"/>
    <row r="1994" ht="12" customHeight="1" x14ac:dyDescent="0.65"/>
    <row r="1995" ht="12" customHeight="1" x14ac:dyDescent="0.65"/>
    <row r="1996" ht="12" customHeight="1" x14ac:dyDescent="0.65"/>
    <row r="1997" ht="12" customHeight="1" x14ac:dyDescent="0.65"/>
    <row r="1998" ht="12" customHeight="1" x14ac:dyDescent="0.65"/>
    <row r="1999" ht="12" customHeight="1" x14ac:dyDescent="0.65"/>
    <row r="2000" ht="12" customHeight="1" x14ac:dyDescent="0.65"/>
    <row r="2001" ht="12" customHeight="1" x14ac:dyDescent="0.65"/>
    <row r="2002" ht="12" customHeight="1" x14ac:dyDescent="0.65"/>
    <row r="2003" ht="12" customHeight="1" x14ac:dyDescent="0.65"/>
    <row r="2004" ht="12" customHeight="1" x14ac:dyDescent="0.65"/>
    <row r="2005" ht="12" customHeight="1" x14ac:dyDescent="0.65"/>
    <row r="2018" ht="12" customHeight="1" x14ac:dyDescent="0.65"/>
    <row r="2026" ht="12" customHeight="1" x14ac:dyDescent="0.65"/>
    <row r="2034" spans="2:32" ht="12" customHeight="1" x14ac:dyDescent="0.65"/>
    <row r="2040" spans="2:32" ht="12" customHeight="1" x14ac:dyDescent="0.65"/>
    <row r="2044" spans="2:32" ht="15" customHeight="1" x14ac:dyDescent="0.65">
      <c r="B2044" s="293"/>
      <c r="C2044" s="293"/>
      <c r="D2044" s="293"/>
      <c r="E2044" s="293"/>
      <c r="F2044" s="293"/>
      <c r="G2044" s="293"/>
      <c r="H2044" s="293"/>
      <c r="I2044" s="293"/>
      <c r="J2044" s="293"/>
      <c r="K2044" s="293"/>
      <c r="L2044" s="293"/>
      <c r="M2044" s="293"/>
      <c r="N2044" s="293"/>
      <c r="O2044" s="293"/>
      <c r="P2044" s="293"/>
      <c r="Q2044" s="293"/>
      <c r="R2044" s="293"/>
      <c r="S2044" s="293"/>
      <c r="T2044" s="293"/>
      <c r="U2044" s="293"/>
      <c r="V2044" s="293"/>
      <c r="W2044" s="293"/>
      <c r="X2044" s="293"/>
      <c r="Y2044" s="293"/>
      <c r="Z2044" s="293"/>
      <c r="AA2044" s="293"/>
      <c r="AB2044" s="293"/>
      <c r="AC2044" s="293"/>
      <c r="AD2044" s="293"/>
      <c r="AE2044" s="293"/>
      <c r="AF2044" s="293"/>
    </row>
    <row r="2049" ht="12" customHeight="1" x14ac:dyDescent="0.65"/>
    <row r="2050" ht="12" customHeight="1" x14ac:dyDescent="0.65"/>
    <row r="2051" ht="12" customHeight="1" x14ac:dyDescent="0.65"/>
    <row r="2052" ht="12" customHeight="1" x14ac:dyDescent="0.65"/>
    <row r="2053" ht="12" customHeight="1" x14ac:dyDescent="0.65"/>
    <row r="2054" ht="12" customHeight="1" x14ac:dyDescent="0.65"/>
    <row r="2055" ht="12" customHeight="1" x14ac:dyDescent="0.65"/>
    <row r="2056" ht="12" customHeight="1" x14ac:dyDescent="0.65"/>
    <row r="2057" ht="12" customHeight="1" x14ac:dyDescent="0.65"/>
    <row r="2058" ht="12" customHeight="1" x14ac:dyDescent="0.65"/>
    <row r="2059" ht="12" customHeight="1" x14ac:dyDescent="0.65"/>
    <row r="2060" ht="12" customHeight="1" x14ac:dyDescent="0.65"/>
    <row r="2061" ht="12" customHeight="1" x14ac:dyDescent="0.65"/>
    <row r="2062" ht="12" customHeight="1" x14ac:dyDescent="0.65"/>
    <row r="2063" ht="12" customHeight="1" x14ac:dyDescent="0.65"/>
    <row r="2064" ht="12" customHeight="1" x14ac:dyDescent="0.65"/>
    <row r="2065" ht="12" customHeight="1" x14ac:dyDescent="0.65"/>
    <row r="2066" ht="12" customHeight="1" x14ac:dyDescent="0.65"/>
    <row r="2067" ht="12" customHeight="1" x14ac:dyDescent="0.65"/>
    <row r="2068" ht="12" customHeight="1" x14ac:dyDescent="0.65"/>
    <row r="2069" ht="12" customHeight="1" x14ac:dyDescent="0.65"/>
    <row r="2070" ht="12" customHeight="1" x14ac:dyDescent="0.65"/>
    <row r="2071" ht="12" customHeight="1" x14ac:dyDescent="0.65"/>
    <row r="2072" ht="12" customHeight="1" x14ac:dyDescent="0.65"/>
    <row r="2073" ht="12" customHeight="1" x14ac:dyDescent="0.65"/>
    <row r="2074" ht="12" customHeight="1" x14ac:dyDescent="0.65"/>
    <row r="2075" ht="12" customHeight="1" x14ac:dyDescent="0.65"/>
    <row r="2076" ht="12" customHeight="1" x14ac:dyDescent="0.65"/>
    <row r="2077" ht="12" customHeight="1" x14ac:dyDescent="0.65"/>
    <row r="2078" ht="12" customHeight="1" x14ac:dyDescent="0.65"/>
    <row r="2079" ht="12" customHeight="1" x14ac:dyDescent="0.65"/>
    <row r="2080" ht="12" customHeight="1" x14ac:dyDescent="0.65"/>
    <row r="2081" ht="12" customHeight="1" x14ac:dyDescent="0.65"/>
    <row r="2082" ht="12" customHeight="1" x14ac:dyDescent="0.65"/>
    <row r="2083" ht="12" customHeight="1" x14ac:dyDescent="0.65"/>
    <row r="2084" ht="12" customHeight="1" x14ac:dyDescent="0.65"/>
    <row r="2085" ht="12" customHeight="1" x14ac:dyDescent="0.65"/>
    <row r="2086" ht="12" customHeight="1" x14ac:dyDescent="0.65"/>
    <row r="2087" ht="12" customHeight="1" x14ac:dyDescent="0.65"/>
    <row r="2088" ht="12" customHeight="1" x14ac:dyDescent="0.65"/>
    <row r="2089" ht="12" customHeight="1" x14ac:dyDescent="0.65"/>
    <row r="2090" ht="12" customHeight="1" x14ac:dyDescent="0.65"/>
    <row r="2091" ht="12" customHeight="1" x14ac:dyDescent="0.65"/>
    <row r="2092" ht="12" customHeight="1" x14ac:dyDescent="0.65"/>
    <row r="2093" ht="12" customHeight="1" x14ac:dyDescent="0.65"/>
    <row r="2094" ht="12" customHeight="1" x14ac:dyDescent="0.65"/>
    <row r="2095" ht="12" customHeight="1" x14ac:dyDescent="0.65"/>
    <row r="2096" ht="12" customHeight="1" x14ac:dyDescent="0.65"/>
    <row r="2097" ht="12" customHeight="1" x14ac:dyDescent="0.65"/>
    <row r="2098" ht="12" customHeight="1" x14ac:dyDescent="0.65"/>
    <row r="2099" ht="12" customHeight="1" x14ac:dyDescent="0.65"/>
    <row r="2100" ht="12" customHeight="1" x14ac:dyDescent="0.65"/>
    <row r="2101" ht="12" customHeight="1" x14ac:dyDescent="0.65"/>
    <row r="2102" ht="12" customHeight="1" x14ac:dyDescent="0.65"/>
    <row r="2103" ht="12" customHeight="1" x14ac:dyDescent="0.65"/>
    <row r="2104" ht="12" customHeight="1" x14ac:dyDescent="0.65"/>
    <row r="2105" ht="12" customHeight="1" x14ac:dyDescent="0.65"/>
    <row r="2118" ht="12" customHeight="1" x14ac:dyDescent="0.65"/>
    <row r="2126" ht="12" customHeight="1" x14ac:dyDescent="0.65"/>
    <row r="2134" spans="2:32" ht="12" customHeight="1" x14ac:dyDescent="0.65"/>
    <row r="2140" spans="2:32" ht="12" customHeight="1" x14ac:dyDescent="0.65"/>
    <row r="2144" spans="2:32" ht="15" customHeight="1" x14ac:dyDescent="0.65">
      <c r="B2144" s="293"/>
      <c r="C2144" s="293"/>
      <c r="D2144" s="293"/>
      <c r="E2144" s="293"/>
      <c r="F2144" s="293"/>
      <c r="G2144" s="293"/>
      <c r="H2144" s="293"/>
      <c r="I2144" s="293"/>
      <c r="J2144" s="293"/>
      <c r="K2144" s="293"/>
      <c r="L2144" s="293"/>
      <c r="M2144" s="293"/>
      <c r="N2144" s="293"/>
      <c r="O2144" s="293"/>
      <c r="P2144" s="293"/>
      <c r="Q2144" s="293"/>
      <c r="R2144" s="293"/>
      <c r="S2144" s="293"/>
      <c r="T2144" s="293"/>
      <c r="U2144" s="293"/>
      <c r="V2144" s="293"/>
      <c r="W2144" s="293"/>
      <c r="X2144" s="293"/>
      <c r="Y2144" s="293"/>
      <c r="Z2144" s="293"/>
      <c r="AA2144" s="293"/>
      <c r="AB2144" s="293"/>
      <c r="AC2144" s="293"/>
      <c r="AD2144" s="293"/>
      <c r="AE2144" s="293"/>
      <c r="AF2144" s="293"/>
    </row>
    <row r="2149" ht="12" customHeight="1" x14ac:dyDescent="0.65"/>
    <row r="2150" ht="12" customHeight="1" x14ac:dyDescent="0.65"/>
    <row r="2151" ht="12" customHeight="1" x14ac:dyDescent="0.65"/>
    <row r="2152" ht="12" customHeight="1" x14ac:dyDescent="0.65"/>
    <row r="2153" ht="12" customHeight="1" x14ac:dyDescent="0.65"/>
    <row r="2154" ht="12" customHeight="1" x14ac:dyDescent="0.65"/>
    <row r="2155" ht="12" customHeight="1" x14ac:dyDescent="0.65"/>
    <row r="2156" ht="12" customHeight="1" x14ac:dyDescent="0.65"/>
    <row r="2157" ht="12" customHeight="1" x14ac:dyDescent="0.65"/>
    <row r="2158" ht="12" customHeight="1" x14ac:dyDescent="0.65"/>
    <row r="2159" ht="12" customHeight="1" x14ac:dyDescent="0.65"/>
    <row r="2160" ht="12" customHeight="1" x14ac:dyDescent="0.65"/>
    <row r="2161" ht="12" customHeight="1" x14ac:dyDescent="0.65"/>
    <row r="2162" ht="12" customHeight="1" x14ac:dyDescent="0.65"/>
    <row r="2163" ht="12" customHeight="1" x14ac:dyDescent="0.65"/>
    <row r="2164" ht="12" customHeight="1" x14ac:dyDescent="0.65"/>
    <row r="2165" ht="12" customHeight="1" x14ac:dyDescent="0.65"/>
    <row r="2166" ht="12" customHeight="1" x14ac:dyDescent="0.65"/>
    <row r="2167" ht="12" customHeight="1" x14ac:dyDescent="0.65"/>
    <row r="2168" ht="12" customHeight="1" x14ac:dyDescent="0.65"/>
    <row r="2169" ht="12" customHeight="1" x14ac:dyDescent="0.65"/>
    <row r="2170" ht="12" customHeight="1" x14ac:dyDescent="0.65"/>
    <row r="2171" ht="12" customHeight="1" x14ac:dyDescent="0.65"/>
    <row r="2172" ht="12" customHeight="1" x14ac:dyDescent="0.65"/>
    <row r="2173" ht="12" customHeight="1" x14ac:dyDescent="0.65"/>
    <row r="2174" ht="12" customHeight="1" x14ac:dyDescent="0.65"/>
    <row r="2175" ht="12" customHeight="1" x14ac:dyDescent="0.65"/>
    <row r="2176" ht="12" customHeight="1" x14ac:dyDescent="0.65"/>
    <row r="2177" ht="12" customHeight="1" x14ac:dyDescent="0.65"/>
    <row r="2178" ht="12" customHeight="1" x14ac:dyDescent="0.65"/>
    <row r="2179" ht="12" customHeight="1" x14ac:dyDescent="0.65"/>
    <row r="2180" ht="12" customHeight="1" x14ac:dyDescent="0.65"/>
    <row r="2181" ht="12" customHeight="1" x14ac:dyDescent="0.65"/>
    <row r="2182" ht="12" customHeight="1" x14ac:dyDescent="0.65"/>
    <row r="2183" ht="12" customHeight="1" x14ac:dyDescent="0.65"/>
    <row r="2184" ht="12" customHeight="1" x14ac:dyDescent="0.65"/>
    <row r="2185" ht="12" customHeight="1" x14ac:dyDescent="0.65"/>
    <row r="2186" ht="12" customHeight="1" x14ac:dyDescent="0.65"/>
    <row r="2187" ht="12" customHeight="1" x14ac:dyDescent="0.65"/>
    <row r="2188" ht="12" customHeight="1" x14ac:dyDescent="0.65"/>
    <row r="2189" ht="12" customHeight="1" x14ac:dyDescent="0.65"/>
    <row r="2190" ht="12" customHeight="1" x14ac:dyDescent="0.65"/>
    <row r="2191" ht="12" customHeight="1" x14ac:dyDescent="0.65"/>
    <row r="2192" ht="12" customHeight="1" x14ac:dyDescent="0.65"/>
    <row r="2193" ht="12" customHeight="1" x14ac:dyDescent="0.65"/>
    <row r="2194" ht="12" customHeight="1" x14ac:dyDescent="0.65"/>
    <row r="2195" ht="12" customHeight="1" x14ac:dyDescent="0.65"/>
    <row r="2196" ht="12" customHeight="1" x14ac:dyDescent="0.65"/>
    <row r="2197" ht="12" customHeight="1" x14ac:dyDescent="0.65"/>
    <row r="2198" ht="12" customHeight="1" x14ac:dyDescent="0.65"/>
    <row r="2199" ht="12" customHeight="1" x14ac:dyDescent="0.65"/>
    <row r="2200" ht="12" customHeight="1" x14ac:dyDescent="0.65"/>
    <row r="2201" ht="12" customHeight="1" x14ac:dyDescent="0.65"/>
    <row r="2202" ht="12" customHeight="1" x14ac:dyDescent="0.65"/>
    <row r="2203" ht="12" customHeight="1" x14ac:dyDescent="0.65"/>
    <row r="2204" ht="12" customHeight="1" x14ac:dyDescent="0.65"/>
    <row r="2205" ht="12" customHeight="1" x14ac:dyDescent="0.65"/>
    <row r="2218" ht="12" customHeight="1" x14ac:dyDescent="0.65"/>
    <row r="2226" ht="12" customHeight="1" x14ac:dyDescent="0.65"/>
    <row r="2234" ht="12" customHeight="1" x14ac:dyDescent="0.65"/>
    <row r="2240" ht="12" customHeight="1" x14ac:dyDescent="0.65"/>
    <row r="2244" spans="2:32" ht="15" customHeight="1" x14ac:dyDescent="0.65">
      <c r="B2244" s="293"/>
      <c r="C2244" s="293"/>
      <c r="D2244" s="293"/>
      <c r="E2244" s="293"/>
      <c r="F2244" s="293"/>
      <c r="G2244" s="293"/>
      <c r="H2244" s="293"/>
      <c r="I2244" s="293"/>
      <c r="J2244" s="293"/>
      <c r="K2244" s="293"/>
      <c r="L2244" s="293"/>
      <c r="M2244" s="293"/>
      <c r="N2244" s="293"/>
      <c r="O2244" s="293"/>
      <c r="P2244" s="293"/>
      <c r="Q2244" s="293"/>
      <c r="R2244" s="293"/>
      <c r="S2244" s="293"/>
      <c r="T2244" s="293"/>
      <c r="U2244" s="293"/>
      <c r="V2244" s="293"/>
      <c r="W2244" s="293"/>
      <c r="X2244" s="293"/>
      <c r="Y2244" s="293"/>
      <c r="Z2244" s="293"/>
      <c r="AA2244" s="293"/>
      <c r="AB2244" s="293"/>
      <c r="AC2244" s="293"/>
      <c r="AD2244" s="293"/>
      <c r="AE2244" s="293"/>
      <c r="AF2244" s="293"/>
    </row>
    <row r="2249" spans="2:32" ht="12" customHeight="1" x14ac:dyDescent="0.65"/>
    <row r="2250" spans="2:32" ht="12" customHeight="1" x14ac:dyDescent="0.65"/>
    <row r="2251" spans="2:32" ht="12" customHeight="1" x14ac:dyDescent="0.65"/>
    <row r="2252" spans="2:32" ht="12" customHeight="1" x14ac:dyDescent="0.65"/>
    <row r="2253" spans="2:32" ht="12" customHeight="1" x14ac:dyDescent="0.65"/>
    <row r="2254" spans="2:32" ht="12" customHeight="1" x14ac:dyDescent="0.65"/>
    <row r="2255" spans="2:32" ht="12" customHeight="1" x14ac:dyDescent="0.65"/>
    <row r="2256" spans="2:32" ht="12" customHeight="1" x14ac:dyDescent="0.65"/>
    <row r="2257" ht="12" customHeight="1" x14ac:dyDescent="0.65"/>
    <row r="2258" ht="12" customHeight="1" x14ac:dyDescent="0.65"/>
    <row r="2259" ht="12" customHeight="1" x14ac:dyDescent="0.65"/>
    <row r="2260" ht="12" customHeight="1" x14ac:dyDescent="0.65"/>
    <row r="2261" ht="12" customHeight="1" x14ac:dyDescent="0.65"/>
    <row r="2262" ht="12" customHeight="1" x14ac:dyDescent="0.65"/>
    <row r="2263" ht="12" customHeight="1" x14ac:dyDescent="0.65"/>
    <row r="2264" ht="12" customHeight="1" x14ac:dyDescent="0.65"/>
    <row r="2265" ht="12" customHeight="1" x14ac:dyDescent="0.65"/>
    <row r="2266" ht="12" customHeight="1" x14ac:dyDescent="0.65"/>
    <row r="2267" ht="12" customHeight="1" x14ac:dyDescent="0.65"/>
    <row r="2268" ht="12" customHeight="1" x14ac:dyDescent="0.65"/>
    <row r="2269" ht="12" customHeight="1" x14ac:dyDescent="0.65"/>
    <row r="2270" ht="12" customHeight="1" x14ac:dyDescent="0.65"/>
    <row r="2271" ht="12" customHeight="1" x14ac:dyDescent="0.65"/>
    <row r="2272" ht="12" customHeight="1" x14ac:dyDescent="0.65"/>
    <row r="2273" ht="12" customHeight="1" x14ac:dyDescent="0.65"/>
    <row r="2274" ht="12" customHeight="1" x14ac:dyDescent="0.65"/>
    <row r="2275" ht="12" customHeight="1" x14ac:dyDescent="0.65"/>
    <row r="2276" ht="12" customHeight="1" x14ac:dyDescent="0.65"/>
    <row r="2277" ht="12" customHeight="1" x14ac:dyDescent="0.65"/>
    <row r="2278" ht="12" customHeight="1" x14ac:dyDescent="0.65"/>
    <row r="2279" ht="12" customHeight="1" x14ac:dyDescent="0.65"/>
    <row r="2280" ht="12" customHeight="1" x14ac:dyDescent="0.65"/>
    <row r="2281" ht="12" customHeight="1" x14ac:dyDescent="0.65"/>
    <row r="2282" ht="12" customHeight="1" x14ac:dyDescent="0.65"/>
    <row r="2283" ht="12" customHeight="1" x14ac:dyDescent="0.65"/>
    <row r="2284" ht="12" customHeight="1" x14ac:dyDescent="0.65"/>
    <row r="2285" ht="12" customHeight="1" x14ac:dyDescent="0.65"/>
    <row r="2286" ht="12" customHeight="1" x14ac:dyDescent="0.65"/>
    <row r="2287" ht="12" customHeight="1" x14ac:dyDescent="0.65"/>
    <row r="2288" ht="12" customHeight="1" x14ac:dyDescent="0.65"/>
    <row r="2289" ht="12" customHeight="1" x14ac:dyDescent="0.65"/>
    <row r="2290" ht="12" customHeight="1" x14ac:dyDescent="0.65"/>
    <row r="2291" ht="12" customHeight="1" x14ac:dyDescent="0.65"/>
    <row r="2292" ht="12" customHeight="1" x14ac:dyDescent="0.65"/>
    <row r="2293" ht="12" customHeight="1" x14ac:dyDescent="0.65"/>
    <row r="2294" ht="12" customHeight="1" x14ac:dyDescent="0.65"/>
    <row r="2295" ht="12" customHeight="1" x14ac:dyDescent="0.65"/>
    <row r="2296" ht="12" customHeight="1" x14ac:dyDescent="0.65"/>
    <row r="2297" ht="12" customHeight="1" x14ac:dyDescent="0.65"/>
    <row r="2298" ht="12" customHeight="1" x14ac:dyDescent="0.65"/>
    <row r="2299" ht="12" customHeight="1" x14ac:dyDescent="0.65"/>
    <row r="2300" ht="12" customHeight="1" x14ac:dyDescent="0.65"/>
    <row r="2301" ht="12" customHeight="1" x14ac:dyDescent="0.65"/>
    <row r="2302" ht="12" customHeight="1" x14ac:dyDescent="0.65"/>
    <row r="2303" ht="12" customHeight="1" x14ac:dyDescent="0.65"/>
    <row r="2304" ht="12" customHeight="1" x14ac:dyDescent="0.65"/>
    <row r="2305" ht="12" customHeight="1" x14ac:dyDescent="0.65"/>
    <row r="2318" ht="12" customHeight="1" x14ac:dyDescent="0.65"/>
    <row r="2326" ht="12" customHeight="1" x14ac:dyDescent="0.65"/>
    <row r="2334" ht="12" customHeight="1" x14ac:dyDescent="0.65"/>
    <row r="2340" spans="2:32" ht="12" customHeight="1" x14ac:dyDescent="0.65"/>
    <row r="2344" spans="2:32" ht="15" customHeight="1" x14ac:dyDescent="0.65">
      <c r="B2344" s="293"/>
      <c r="C2344" s="293"/>
      <c r="D2344" s="293"/>
      <c r="E2344" s="293"/>
      <c r="F2344" s="293"/>
      <c r="G2344" s="293"/>
      <c r="H2344" s="293"/>
      <c r="I2344" s="293"/>
      <c r="J2344" s="293"/>
      <c r="K2344" s="293"/>
      <c r="L2344" s="293"/>
      <c r="M2344" s="293"/>
      <c r="N2344" s="293"/>
      <c r="O2344" s="293"/>
      <c r="P2344" s="293"/>
      <c r="Q2344" s="293"/>
      <c r="R2344" s="293"/>
      <c r="S2344" s="293"/>
      <c r="T2344" s="293"/>
      <c r="U2344" s="293"/>
      <c r="V2344" s="293"/>
      <c r="W2344" s="293"/>
      <c r="X2344" s="293"/>
      <c r="Y2344" s="293"/>
      <c r="Z2344" s="293"/>
      <c r="AA2344" s="293"/>
      <c r="AB2344" s="293"/>
      <c r="AC2344" s="293"/>
      <c r="AD2344" s="293"/>
      <c r="AE2344" s="293"/>
      <c r="AF2344" s="293"/>
    </row>
  </sheetData>
  <mergeCells count="22">
    <mergeCell ref="B74:AF74"/>
    <mergeCell ref="B1426:AF1426"/>
    <mergeCell ref="B88:AF88"/>
    <mergeCell ref="B214:AF214"/>
    <mergeCell ref="B383:AF383"/>
    <mergeCell ref="B500:AF500"/>
    <mergeCell ref="B652:AF652"/>
    <mergeCell ref="B752:AF752"/>
    <mergeCell ref="B843:AF843"/>
    <mergeCell ref="B914:AF914"/>
    <mergeCell ref="B1009:AF1009"/>
    <mergeCell ref="B1159:AF1159"/>
    <mergeCell ref="B1331:AF1331"/>
    <mergeCell ref="B2144:AF2144"/>
    <mergeCell ref="B2244:AF2244"/>
    <mergeCell ref="B2344:AF2344"/>
    <mergeCell ref="B1544:AF1544"/>
    <mergeCell ref="B1644:AF1644"/>
    <mergeCell ref="B1744:AF1744"/>
    <mergeCell ref="B1844:AF1844"/>
    <mergeCell ref="B1944:AF1944"/>
    <mergeCell ref="B2044:AF2044"/>
  </mergeCells>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89CA3-629F-4433-A841-694178524AFD}">
  <dimension ref="A1:AJ46"/>
  <sheetViews>
    <sheetView topLeftCell="A2" workbookViewId="0">
      <selection activeCell="S31" sqref="S31"/>
    </sheetView>
  </sheetViews>
  <sheetFormatPr defaultColWidth="8.86328125" defaultRowHeight="14.75" x14ac:dyDescent="0.75"/>
  <sheetData>
    <row r="1" spans="1:35" x14ac:dyDescent="0.75">
      <c r="A1" t="s">
        <v>624</v>
      </c>
    </row>
    <row r="2" spans="1:35" x14ac:dyDescent="0.75">
      <c r="A2" t="s">
        <v>625</v>
      </c>
    </row>
    <row r="3" spans="1:35" x14ac:dyDescent="0.75">
      <c r="A3" t="s">
        <v>626</v>
      </c>
    </row>
    <row r="4" spans="1:35" x14ac:dyDescent="0.75">
      <c r="A4" t="s">
        <v>460</v>
      </c>
    </row>
    <row r="5" spans="1:35" x14ac:dyDescent="0.75">
      <c r="B5" t="s">
        <v>461</v>
      </c>
      <c r="C5" t="s">
        <v>462</v>
      </c>
      <c r="D5" t="s">
        <v>463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464</v>
      </c>
    </row>
    <row r="8" spans="1:35" x14ac:dyDescent="0.75">
      <c r="A8" t="s">
        <v>627</v>
      </c>
    </row>
    <row r="9" spans="1:35" x14ac:dyDescent="0.75">
      <c r="A9" t="s">
        <v>466</v>
      </c>
      <c r="B9" t="s">
        <v>628</v>
      </c>
      <c r="C9" t="s">
        <v>629</v>
      </c>
      <c r="D9" t="s">
        <v>630</v>
      </c>
      <c r="F9">
        <v>36.11721</v>
      </c>
      <c r="G9">
        <v>36.160473000000003</v>
      </c>
      <c r="H9">
        <v>35.236457999999999</v>
      </c>
      <c r="I9">
        <v>35.385081999999997</v>
      </c>
      <c r="J9">
        <v>35.842360999999997</v>
      </c>
      <c r="K9">
        <v>35.789593000000004</v>
      </c>
      <c r="L9">
        <v>36.084969000000001</v>
      </c>
      <c r="M9">
        <v>36.326552999999997</v>
      </c>
      <c r="N9">
        <v>36.675776999999997</v>
      </c>
      <c r="O9">
        <v>37.108832999999997</v>
      </c>
      <c r="P9">
        <v>37.608638999999997</v>
      </c>
      <c r="Q9">
        <v>38.184341000000003</v>
      </c>
      <c r="R9">
        <v>38.686110999999997</v>
      </c>
      <c r="S9">
        <v>39.140957</v>
      </c>
      <c r="T9">
        <v>39.498707000000003</v>
      </c>
      <c r="U9">
        <v>39.853999999999999</v>
      </c>
      <c r="V9">
        <v>40.120361000000003</v>
      </c>
      <c r="W9">
        <v>40.358707000000003</v>
      </c>
      <c r="X9">
        <v>40.500950000000003</v>
      </c>
      <c r="Y9">
        <v>40.620883999999997</v>
      </c>
      <c r="Z9">
        <v>40.794955999999999</v>
      </c>
      <c r="AA9">
        <v>40.906959999999998</v>
      </c>
      <c r="AB9">
        <v>40.974735000000003</v>
      </c>
      <c r="AC9">
        <v>41.124125999999997</v>
      </c>
      <c r="AD9">
        <v>40.952205999999997</v>
      </c>
      <c r="AE9">
        <v>41.157238</v>
      </c>
      <c r="AF9">
        <v>41.220950999999999</v>
      </c>
      <c r="AG9">
        <v>41.302062999999997</v>
      </c>
      <c r="AH9">
        <v>41.677504999999996</v>
      </c>
      <c r="AI9" s="98">
        <v>5.0000000000000001E-3</v>
      </c>
    </row>
    <row r="10" spans="1:35" x14ac:dyDescent="0.75">
      <c r="A10" t="s">
        <v>470</v>
      </c>
      <c r="B10" t="s">
        <v>631</v>
      </c>
      <c r="C10" t="s">
        <v>632</v>
      </c>
      <c r="D10" t="s">
        <v>630</v>
      </c>
      <c r="F10">
        <v>35.046551000000001</v>
      </c>
      <c r="G10">
        <v>35.336418000000002</v>
      </c>
      <c r="H10">
        <v>34.441242000000003</v>
      </c>
      <c r="I10">
        <v>34.503323000000002</v>
      </c>
      <c r="J10">
        <v>34.879745</v>
      </c>
      <c r="K10">
        <v>34.711131999999999</v>
      </c>
      <c r="L10">
        <v>34.854388999999998</v>
      </c>
      <c r="M10">
        <v>35.019587999999999</v>
      </c>
      <c r="N10">
        <v>35.347614</v>
      </c>
      <c r="O10">
        <v>35.780498999999999</v>
      </c>
      <c r="P10">
        <v>36.265155999999998</v>
      </c>
      <c r="Q10">
        <v>36.855311999999998</v>
      </c>
      <c r="R10">
        <v>37.366810000000001</v>
      </c>
      <c r="S10">
        <v>37.837581999999998</v>
      </c>
      <c r="T10">
        <v>38.213298999999999</v>
      </c>
      <c r="U10">
        <v>38.579849000000003</v>
      </c>
      <c r="V10">
        <v>38.861893000000002</v>
      </c>
      <c r="W10">
        <v>39.162666000000002</v>
      </c>
      <c r="X10">
        <v>39.335422999999999</v>
      </c>
      <c r="Y10">
        <v>39.544559</v>
      </c>
      <c r="Z10">
        <v>39.670769</v>
      </c>
      <c r="AA10">
        <v>39.661568000000003</v>
      </c>
      <c r="AB10">
        <v>39.646687</v>
      </c>
      <c r="AC10">
        <v>39.801341999999998</v>
      </c>
      <c r="AD10">
        <v>39.645775</v>
      </c>
      <c r="AE10">
        <v>39.963863000000003</v>
      </c>
      <c r="AF10">
        <v>39.982841000000001</v>
      </c>
      <c r="AG10">
        <v>39.924835000000002</v>
      </c>
      <c r="AH10">
        <v>40.241112000000001</v>
      </c>
      <c r="AI10" s="98">
        <v>5.0000000000000001E-3</v>
      </c>
    </row>
    <row r="11" spans="1:35" x14ac:dyDescent="0.75">
      <c r="A11" t="s">
        <v>473</v>
      </c>
      <c r="B11" t="s">
        <v>633</v>
      </c>
      <c r="C11" t="s">
        <v>634</v>
      </c>
      <c r="D11" t="s">
        <v>630</v>
      </c>
      <c r="F11">
        <v>15.131968000000001</v>
      </c>
      <c r="G11">
        <v>13.514215</v>
      </c>
      <c r="H11">
        <v>12.409003999999999</v>
      </c>
      <c r="I11">
        <v>12.356494</v>
      </c>
      <c r="J11">
        <v>12.315032</v>
      </c>
      <c r="K11">
        <v>12.338302000000001</v>
      </c>
      <c r="L11">
        <v>12.570937000000001</v>
      </c>
      <c r="M11">
        <v>12.812768999999999</v>
      </c>
      <c r="N11">
        <v>13.143781000000001</v>
      </c>
      <c r="O11">
        <v>13.462552000000001</v>
      </c>
      <c r="P11">
        <v>13.766328</v>
      </c>
      <c r="Q11">
        <v>14.026498999999999</v>
      </c>
      <c r="R11">
        <v>14.216332</v>
      </c>
      <c r="S11">
        <v>14.421331</v>
      </c>
      <c r="T11">
        <v>14.398187999999999</v>
      </c>
      <c r="U11">
        <v>14.399077999999999</v>
      </c>
      <c r="V11">
        <v>14.592781</v>
      </c>
      <c r="W11">
        <v>14.478137</v>
      </c>
      <c r="X11">
        <v>14.673952999999999</v>
      </c>
      <c r="Y11">
        <v>14.809990000000001</v>
      </c>
      <c r="Z11">
        <v>14.946555999999999</v>
      </c>
      <c r="AA11">
        <v>14.964318</v>
      </c>
      <c r="AB11">
        <v>15.028558</v>
      </c>
      <c r="AC11">
        <v>15.185708999999999</v>
      </c>
      <c r="AD11">
        <v>15.102778000000001</v>
      </c>
      <c r="AE11">
        <v>15.243244000000001</v>
      </c>
      <c r="AF11">
        <v>15.234793</v>
      </c>
      <c r="AG11">
        <v>15.235981000000001</v>
      </c>
      <c r="AH11">
        <v>15.51906</v>
      </c>
      <c r="AI11" s="98">
        <v>1E-3</v>
      </c>
    </row>
    <row r="12" spans="1:35" x14ac:dyDescent="0.75">
      <c r="A12" t="s">
        <v>476</v>
      </c>
      <c r="B12" t="s">
        <v>635</v>
      </c>
      <c r="C12" t="s">
        <v>636</v>
      </c>
      <c r="D12" t="s">
        <v>630</v>
      </c>
      <c r="F12">
        <v>7.2286619999999999</v>
      </c>
      <c r="G12">
        <v>8.5563400000000005</v>
      </c>
      <c r="H12">
        <v>9.3733869999999992</v>
      </c>
      <c r="I12">
        <v>9.4303489999999996</v>
      </c>
      <c r="J12">
        <v>9.4719440000000006</v>
      </c>
      <c r="K12">
        <v>9.2772819999999996</v>
      </c>
      <c r="L12">
        <v>9.1850959999999997</v>
      </c>
      <c r="M12">
        <v>9.1667780000000008</v>
      </c>
      <c r="N12">
        <v>9.1780740000000005</v>
      </c>
      <c r="O12">
        <v>9.3368199999999995</v>
      </c>
      <c r="P12">
        <v>9.5347799999999996</v>
      </c>
      <c r="Q12">
        <v>9.8192369999999993</v>
      </c>
      <c r="R12">
        <v>10.124262999999999</v>
      </c>
      <c r="S12">
        <v>10.378657</v>
      </c>
      <c r="T12">
        <v>10.682347999999999</v>
      </c>
      <c r="U12">
        <v>10.900270000000001</v>
      </c>
      <c r="V12">
        <v>11.017419</v>
      </c>
      <c r="W12">
        <v>11.257377999999999</v>
      </c>
      <c r="X12">
        <v>11.210609</v>
      </c>
      <c r="Y12">
        <v>11.234081</v>
      </c>
      <c r="Z12">
        <v>11.199199999999999</v>
      </c>
      <c r="AA12">
        <v>11.143196</v>
      </c>
      <c r="AB12">
        <v>10.985035999999999</v>
      </c>
      <c r="AC12">
        <v>10.95787</v>
      </c>
      <c r="AD12">
        <v>10.843297</v>
      </c>
      <c r="AE12">
        <v>10.943599000000001</v>
      </c>
      <c r="AF12">
        <v>10.983874999999999</v>
      </c>
      <c r="AG12">
        <v>10.947718999999999</v>
      </c>
      <c r="AH12">
        <v>10.954504</v>
      </c>
      <c r="AI12" s="98">
        <v>1.4999999999999999E-2</v>
      </c>
    </row>
    <row r="13" spans="1:35" x14ac:dyDescent="0.75">
      <c r="A13" t="s">
        <v>479</v>
      </c>
      <c r="B13" t="s">
        <v>637</v>
      </c>
      <c r="C13" t="s">
        <v>638</v>
      </c>
      <c r="D13" t="s">
        <v>630</v>
      </c>
      <c r="F13">
        <v>2.765047</v>
      </c>
      <c r="G13">
        <v>2.8520099999999999</v>
      </c>
      <c r="H13">
        <v>2.5916299999999999</v>
      </c>
      <c r="I13">
        <v>2.5846640000000001</v>
      </c>
      <c r="J13">
        <v>2.6066729999999998</v>
      </c>
      <c r="K13">
        <v>2.5580370000000001</v>
      </c>
      <c r="L13">
        <v>2.5117409999999998</v>
      </c>
      <c r="M13">
        <v>2.4558680000000002</v>
      </c>
      <c r="N13">
        <v>2.4240409999999999</v>
      </c>
      <c r="O13">
        <v>2.370743</v>
      </c>
      <c r="P13">
        <v>2.3427530000000001</v>
      </c>
      <c r="Q13">
        <v>2.3159380000000001</v>
      </c>
      <c r="R13">
        <v>2.2911609999999998</v>
      </c>
      <c r="S13">
        <v>2.262149</v>
      </c>
      <c r="T13">
        <v>2.2564839999999999</v>
      </c>
      <c r="U13">
        <v>2.2384390000000001</v>
      </c>
      <c r="V13">
        <v>2.1964229999999998</v>
      </c>
      <c r="W13">
        <v>2.2079390000000001</v>
      </c>
      <c r="X13">
        <v>2.190404</v>
      </c>
      <c r="Y13">
        <v>2.186232</v>
      </c>
      <c r="Z13">
        <v>2.1957789999999999</v>
      </c>
      <c r="AA13">
        <v>2.1949329999999998</v>
      </c>
      <c r="AB13">
        <v>2.184463</v>
      </c>
      <c r="AC13">
        <v>2.1750759999999998</v>
      </c>
      <c r="AD13">
        <v>2.1522320000000001</v>
      </c>
      <c r="AE13">
        <v>2.1924160000000001</v>
      </c>
      <c r="AF13">
        <v>2.1777799999999998</v>
      </c>
      <c r="AG13">
        <v>2.151856</v>
      </c>
      <c r="AH13">
        <v>2.1329410000000002</v>
      </c>
      <c r="AI13" s="98">
        <v>-8.9999999999999993E-3</v>
      </c>
    </row>
    <row r="14" spans="1:35" x14ac:dyDescent="0.75">
      <c r="A14" t="s">
        <v>482</v>
      </c>
      <c r="B14" t="s">
        <v>639</v>
      </c>
      <c r="C14" t="s">
        <v>640</v>
      </c>
      <c r="D14" t="s">
        <v>630</v>
      </c>
      <c r="F14">
        <v>4.9147590000000001</v>
      </c>
      <c r="G14">
        <v>6.044238</v>
      </c>
      <c r="H14">
        <v>5.8083309999999999</v>
      </c>
      <c r="I14">
        <v>5.7644859999999998</v>
      </c>
      <c r="J14">
        <v>6.0372459999999997</v>
      </c>
      <c r="K14">
        <v>6.0447620000000004</v>
      </c>
      <c r="L14">
        <v>6.0454559999999997</v>
      </c>
      <c r="M14">
        <v>6.0230579999999998</v>
      </c>
      <c r="N14">
        <v>6.0371350000000001</v>
      </c>
      <c r="O14">
        <v>6.0711459999999997</v>
      </c>
      <c r="P14">
        <v>6.139278</v>
      </c>
      <c r="Q14">
        <v>6.2320440000000001</v>
      </c>
      <c r="R14">
        <v>6.3443699999999996</v>
      </c>
      <c r="S14">
        <v>6.4301389999999996</v>
      </c>
      <c r="T14">
        <v>6.4663519999999997</v>
      </c>
      <c r="U14">
        <v>6.6165900000000004</v>
      </c>
      <c r="V14">
        <v>6.6031839999999997</v>
      </c>
      <c r="W14">
        <v>6.7659159999999998</v>
      </c>
      <c r="X14">
        <v>6.7559199999999997</v>
      </c>
      <c r="Y14">
        <v>6.815601</v>
      </c>
      <c r="Z14">
        <v>6.8641690000000004</v>
      </c>
      <c r="AA14">
        <v>6.9378120000000001</v>
      </c>
      <c r="AB14">
        <v>7.0285299999999999</v>
      </c>
      <c r="AC14">
        <v>7.1206069999999997</v>
      </c>
      <c r="AD14">
        <v>7.2255140000000004</v>
      </c>
      <c r="AE14">
        <v>7.2802439999999997</v>
      </c>
      <c r="AF14">
        <v>7.3185330000000004</v>
      </c>
      <c r="AG14">
        <v>7.3635650000000004</v>
      </c>
      <c r="AH14">
        <v>7.4240089999999999</v>
      </c>
      <c r="AI14" s="98">
        <v>1.4999999999999999E-2</v>
      </c>
    </row>
    <row r="15" spans="1:35" x14ac:dyDescent="0.75">
      <c r="A15" t="s">
        <v>485</v>
      </c>
      <c r="B15" t="s">
        <v>641</v>
      </c>
      <c r="C15" t="s">
        <v>642</v>
      </c>
      <c r="D15" t="s">
        <v>630</v>
      </c>
      <c r="F15">
        <v>4.0809680000000004</v>
      </c>
      <c r="G15">
        <v>3.4298959999999998</v>
      </c>
      <c r="H15">
        <v>3.3649249999999999</v>
      </c>
      <c r="I15">
        <v>3.4911530000000002</v>
      </c>
      <c r="J15">
        <v>3.5706099999999998</v>
      </c>
      <c r="K15">
        <v>3.6165069999999999</v>
      </c>
      <c r="L15">
        <v>3.6659310000000001</v>
      </c>
      <c r="M15">
        <v>3.6911269999999998</v>
      </c>
      <c r="N15">
        <v>3.6992050000000001</v>
      </c>
      <c r="O15">
        <v>3.6791390000000002</v>
      </c>
      <c r="P15">
        <v>3.6153949999999999</v>
      </c>
      <c r="Q15">
        <v>3.5917379999999999</v>
      </c>
      <c r="R15">
        <v>3.5256259999999999</v>
      </c>
      <c r="S15">
        <v>3.4782839999999999</v>
      </c>
      <c r="T15">
        <v>3.5425270000000002</v>
      </c>
      <c r="U15">
        <v>3.5633370000000002</v>
      </c>
      <c r="V15">
        <v>3.5968460000000002</v>
      </c>
      <c r="W15">
        <v>3.5992929999999999</v>
      </c>
      <c r="X15">
        <v>3.652844</v>
      </c>
      <c r="Y15">
        <v>3.6483539999999999</v>
      </c>
      <c r="Z15">
        <v>3.6183130000000001</v>
      </c>
      <c r="AA15">
        <v>3.590814</v>
      </c>
      <c r="AB15">
        <v>3.5982479999999999</v>
      </c>
      <c r="AC15">
        <v>3.5431509999999999</v>
      </c>
      <c r="AD15">
        <v>3.5027900000000001</v>
      </c>
      <c r="AE15">
        <v>3.481233</v>
      </c>
      <c r="AF15">
        <v>3.4508709999999998</v>
      </c>
      <c r="AG15">
        <v>3.4092220000000002</v>
      </c>
      <c r="AH15">
        <v>3.3890660000000001</v>
      </c>
      <c r="AI15" s="98">
        <v>-7.0000000000000001E-3</v>
      </c>
    </row>
    <row r="16" spans="1:35" x14ac:dyDescent="0.75">
      <c r="A16" t="s">
        <v>488</v>
      </c>
      <c r="B16" t="s">
        <v>643</v>
      </c>
      <c r="C16" t="s">
        <v>644</v>
      </c>
      <c r="D16" t="s">
        <v>630</v>
      </c>
      <c r="F16">
        <v>0.75800800000000002</v>
      </c>
      <c r="G16">
        <v>0.81315800000000005</v>
      </c>
      <c r="H16">
        <v>0.78812199999999999</v>
      </c>
      <c r="I16">
        <v>0.77618299999999996</v>
      </c>
      <c r="J16">
        <v>0.78711500000000001</v>
      </c>
      <c r="K16">
        <v>0.79225199999999996</v>
      </c>
      <c r="L16">
        <v>0.79710899999999996</v>
      </c>
      <c r="M16">
        <v>0.79716399999999998</v>
      </c>
      <c r="N16">
        <v>0.79778800000000005</v>
      </c>
      <c r="O16">
        <v>0.79563799999999996</v>
      </c>
      <c r="P16">
        <v>0.80580600000000002</v>
      </c>
      <c r="Q16">
        <v>0.81167699999999998</v>
      </c>
      <c r="R16">
        <v>0.81084500000000004</v>
      </c>
      <c r="S16">
        <v>0.81581400000000004</v>
      </c>
      <c r="T16">
        <v>0.81935999999999998</v>
      </c>
      <c r="U16">
        <v>0.81682399999999999</v>
      </c>
      <c r="V16">
        <v>0.81228299999999998</v>
      </c>
      <c r="W16">
        <v>0.808585</v>
      </c>
      <c r="X16">
        <v>0.805369</v>
      </c>
      <c r="Y16">
        <v>0.80545900000000004</v>
      </c>
      <c r="Z16">
        <v>0.80577399999999999</v>
      </c>
      <c r="AA16">
        <v>0.79252100000000003</v>
      </c>
      <c r="AB16">
        <v>0.785659</v>
      </c>
      <c r="AC16">
        <v>0.78407199999999999</v>
      </c>
      <c r="AD16">
        <v>0.78545100000000001</v>
      </c>
      <c r="AE16">
        <v>0.79039300000000001</v>
      </c>
      <c r="AF16">
        <v>0.78535299999999997</v>
      </c>
      <c r="AG16">
        <v>0.785941</v>
      </c>
      <c r="AH16">
        <v>0.79201600000000005</v>
      </c>
      <c r="AI16" s="98">
        <v>2E-3</v>
      </c>
    </row>
    <row r="17" spans="1:36" x14ac:dyDescent="0.75">
      <c r="A17" t="s">
        <v>491</v>
      </c>
      <c r="B17" t="s">
        <v>645</v>
      </c>
      <c r="C17" t="s">
        <v>646</v>
      </c>
      <c r="D17" t="s">
        <v>630</v>
      </c>
      <c r="F17">
        <v>0.16714100000000001</v>
      </c>
      <c r="G17">
        <v>0.126558</v>
      </c>
      <c r="H17">
        <v>0.105848</v>
      </c>
      <c r="I17">
        <v>9.9992999999999999E-2</v>
      </c>
      <c r="J17">
        <v>9.1124999999999998E-2</v>
      </c>
      <c r="K17">
        <v>8.3989999999999995E-2</v>
      </c>
      <c r="L17">
        <v>7.8120999999999996E-2</v>
      </c>
      <c r="M17">
        <v>7.2828000000000004E-2</v>
      </c>
      <c r="N17">
        <v>6.7596000000000003E-2</v>
      </c>
      <c r="O17">
        <v>6.4461000000000004E-2</v>
      </c>
      <c r="P17">
        <v>6.0816000000000002E-2</v>
      </c>
      <c r="Q17">
        <v>5.8180999999999997E-2</v>
      </c>
      <c r="R17">
        <v>5.4211000000000002E-2</v>
      </c>
      <c r="S17">
        <v>5.1208999999999998E-2</v>
      </c>
      <c r="T17">
        <v>4.8042000000000001E-2</v>
      </c>
      <c r="U17">
        <v>4.5319999999999999E-2</v>
      </c>
      <c r="V17">
        <v>4.2956000000000001E-2</v>
      </c>
      <c r="W17">
        <v>4.5420000000000002E-2</v>
      </c>
      <c r="X17">
        <v>4.6322000000000002E-2</v>
      </c>
      <c r="Y17">
        <v>4.4842E-2</v>
      </c>
      <c r="Z17">
        <v>4.0979000000000002E-2</v>
      </c>
      <c r="AA17">
        <v>3.7976999999999997E-2</v>
      </c>
      <c r="AB17">
        <v>3.6194999999999998E-2</v>
      </c>
      <c r="AC17">
        <v>3.4856999999999999E-2</v>
      </c>
      <c r="AD17">
        <v>3.3711999999999999E-2</v>
      </c>
      <c r="AE17">
        <v>3.2732999999999998E-2</v>
      </c>
      <c r="AF17">
        <v>3.1639E-2</v>
      </c>
      <c r="AG17">
        <v>3.0550999999999998E-2</v>
      </c>
      <c r="AH17">
        <v>2.9517999999999999E-2</v>
      </c>
      <c r="AI17" s="98">
        <v>-0.06</v>
      </c>
    </row>
    <row r="18" spans="1:36" x14ac:dyDescent="0.75">
      <c r="A18" t="s">
        <v>494</v>
      </c>
      <c r="B18" t="s">
        <v>647</v>
      </c>
      <c r="C18" t="s">
        <v>648</v>
      </c>
      <c r="D18" t="s">
        <v>630</v>
      </c>
      <c r="F18">
        <v>1.0706560000000001</v>
      </c>
      <c r="G18">
        <v>0.82405700000000004</v>
      </c>
      <c r="H18">
        <v>0.79521600000000003</v>
      </c>
      <c r="I18">
        <v>0.88176200000000005</v>
      </c>
      <c r="J18">
        <v>0.96261099999999999</v>
      </c>
      <c r="K18">
        <v>1.0784549999999999</v>
      </c>
      <c r="L18">
        <v>1.2305779999999999</v>
      </c>
      <c r="M18">
        <v>1.306956</v>
      </c>
      <c r="N18">
        <v>1.3281579999999999</v>
      </c>
      <c r="O18">
        <v>1.328338</v>
      </c>
      <c r="P18">
        <v>1.3434820000000001</v>
      </c>
      <c r="Q18">
        <v>1.3290299999999999</v>
      </c>
      <c r="R18">
        <v>1.3193049999999999</v>
      </c>
      <c r="S18">
        <v>1.3033729999999999</v>
      </c>
      <c r="T18">
        <v>1.2854049999999999</v>
      </c>
      <c r="U18">
        <v>1.2741439999999999</v>
      </c>
      <c r="V18">
        <v>1.2584709999999999</v>
      </c>
      <c r="W18">
        <v>1.196043</v>
      </c>
      <c r="X18">
        <v>1.1655279999999999</v>
      </c>
      <c r="Y18">
        <v>1.076319</v>
      </c>
      <c r="Z18">
        <v>1.124182</v>
      </c>
      <c r="AA18">
        <v>1.2453890000000001</v>
      </c>
      <c r="AB18">
        <v>1.3280449999999999</v>
      </c>
      <c r="AC18">
        <v>1.322789</v>
      </c>
      <c r="AD18">
        <v>1.3064309999999999</v>
      </c>
      <c r="AE18">
        <v>1.193373</v>
      </c>
      <c r="AF18">
        <v>1.2381059999999999</v>
      </c>
      <c r="AG18">
        <v>1.37723</v>
      </c>
      <c r="AH18">
        <v>1.4363900000000001</v>
      </c>
      <c r="AI18" s="98">
        <v>1.0999999999999999E-2</v>
      </c>
    </row>
    <row r="19" spans="1:36" x14ac:dyDescent="0.75">
      <c r="A19" t="s">
        <v>497</v>
      </c>
      <c r="B19" t="s">
        <v>649</v>
      </c>
      <c r="C19" t="s">
        <v>650</v>
      </c>
      <c r="D19" t="s">
        <v>630</v>
      </c>
      <c r="F19">
        <v>1.06135</v>
      </c>
      <c r="G19">
        <v>0.82008899999999996</v>
      </c>
      <c r="H19">
        <v>0.79153499999999999</v>
      </c>
      <c r="I19">
        <v>0.878328</v>
      </c>
      <c r="J19">
        <v>0.95938999999999997</v>
      </c>
      <c r="K19">
        <v>1.07542</v>
      </c>
      <c r="L19">
        <v>1.1036159999999999</v>
      </c>
      <c r="M19">
        <v>1.115855</v>
      </c>
      <c r="N19">
        <v>1.111558</v>
      </c>
      <c r="O19">
        <v>1.098036</v>
      </c>
      <c r="P19">
        <v>1.1078079999999999</v>
      </c>
      <c r="Q19">
        <v>1.090719</v>
      </c>
      <c r="R19">
        <v>1.0843119999999999</v>
      </c>
      <c r="S19">
        <v>1.083777</v>
      </c>
      <c r="T19">
        <v>1.0567200000000001</v>
      </c>
      <c r="U19">
        <v>1.054063</v>
      </c>
      <c r="V19">
        <v>1.059612</v>
      </c>
      <c r="W19">
        <v>0.98557799999999995</v>
      </c>
      <c r="X19">
        <v>0.95047099999999995</v>
      </c>
      <c r="Y19">
        <v>0.84499899999999994</v>
      </c>
      <c r="Z19">
        <v>0.89997099999999997</v>
      </c>
      <c r="AA19">
        <v>1.036117</v>
      </c>
      <c r="AB19">
        <v>1.1083609999999999</v>
      </c>
      <c r="AC19">
        <v>1.0920719999999999</v>
      </c>
      <c r="AD19">
        <v>1.09266</v>
      </c>
      <c r="AE19">
        <v>0.99212900000000004</v>
      </c>
      <c r="AF19">
        <v>0.96922399999999997</v>
      </c>
      <c r="AG19">
        <v>1.108598</v>
      </c>
      <c r="AH19">
        <v>1.187927</v>
      </c>
      <c r="AI19" s="98">
        <v>4.0000000000000001E-3</v>
      </c>
    </row>
    <row r="20" spans="1:36" x14ac:dyDescent="0.75">
      <c r="A20" t="s">
        <v>500</v>
      </c>
      <c r="B20" t="s">
        <v>501</v>
      </c>
      <c r="C20" t="s">
        <v>651</v>
      </c>
      <c r="D20" t="s">
        <v>652</v>
      </c>
      <c r="E20" t="s">
        <v>630</v>
      </c>
      <c r="G20">
        <v>6.8781999999999996E-2</v>
      </c>
      <c r="H20">
        <v>4.1140000000000003E-2</v>
      </c>
      <c r="I20">
        <v>3.2001000000000002E-2</v>
      </c>
      <c r="J20">
        <v>2.9929999999999998E-2</v>
      </c>
      <c r="K20">
        <v>2.6897999999999998E-2</v>
      </c>
      <c r="L20">
        <v>2.5100999999999998E-2</v>
      </c>
      <c r="M20">
        <v>2.3498999999999999E-2</v>
      </c>
      <c r="N20">
        <v>2.1878000000000002E-2</v>
      </c>
      <c r="O20">
        <v>2.0369000000000002E-2</v>
      </c>
      <c r="P20">
        <v>1.9035E-2</v>
      </c>
      <c r="Q20">
        <v>1.7819999999999999E-2</v>
      </c>
      <c r="R20">
        <v>1.6830000000000001E-2</v>
      </c>
      <c r="S20">
        <v>1.5731999999999999E-2</v>
      </c>
      <c r="T20">
        <v>1.4827999999999999E-2</v>
      </c>
      <c r="U20">
        <v>1.3899E-2</v>
      </c>
      <c r="V20">
        <v>1.3306E-2</v>
      </c>
      <c r="W20">
        <v>1.2813E-2</v>
      </c>
      <c r="X20">
        <v>1.196E-2</v>
      </c>
      <c r="Y20">
        <v>1.1762E-2</v>
      </c>
      <c r="Z20">
        <v>1.1226E-2</v>
      </c>
      <c r="AA20">
        <v>1.0688E-2</v>
      </c>
      <c r="AB20">
        <v>1.0236E-2</v>
      </c>
      <c r="AC20">
        <v>9.9080000000000001E-3</v>
      </c>
      <c r="AD20">
        <v>9.6349999999999995E-3</v>
      </c>
      <c r="AE20">
        <v>9.3279999999999995E-3</v>
      </c>
      <c r="AF20">
        <v>9.0050000000000009E-3</v>
      </c>
      <c r="AG20">
        <v>8.7530000000000004E-3</v>
      </c>
      <c r="AH20">
        <v>8.4700000000000001E-3</v>
      </c>
      <c r="AI20">
        <v>8.3029999999999996E-3</v>
      </c>
      <c r="AJ20" s="98">
        <v>-7.2999999999999995E-2</v>
      </c>
    </row>
    <row r="21" spans="1:36" x14ac:dyDescent="0.75">
      <c r="A21" t="s">
        <v>504</v>
      </c>
      <c r="B21" t="s">
        <v>501</v>
      </c>
      <c r="C21" t="s">
        <v>653</v>
      </c>
      <c r="D21" t="s">
        <v>654</v>
      </c>
      <c r="E21" t="s">
        <v>630</v>
      </c>
      <c r="G21">
        <v>0.11572</v>
      </c>
      <c r="H21">
        <v>9.2628000000000002E-2</v>
      </c>
      <c r="I21">
        <v>7.1988999999999997E-2</v>
      </c>
      <c r="J21">
        <v>6.8005999999999997E-2</v>
      </c>
      <c r="K21">
        <v>6.1443999999999999E-2</v>
      </c>
      <c r="L21">
        <v>5.7699E-2</v>
      </c>
      <c r="M21">
        <v>5.4343000000000002E-2</v>
      </c>
      <c r="N21">
        <v>5.0840000000000003E-2</v>
      </c>
      <c r="O21">
        <v>4.7669999999999997E-2</v>
      </c>
      <c r="P21">
        <v>4.4852999999999997E-2</v>
      </c>
      <c r="Q21">
        <v>4.2416000000000002E-2</v>
      </c>
      <c r="R21">
        <v>4.0592000000000003E-2</v>
      </c>
      <c r="S21">
        <v>3.8177000000000003E-2</v>
      </c>
      <c r="T21">
        <v>4.6588999999999998E-2</v>
      </c>
      <c r="U21">
        <v>5.7213E-2</v>
      </c>
      <c r="V21">
        <v>5.6627999999999998E-2</v>
      </c>
      <c r="W21">
        <v>7.8799999999999995E-2</v>
      </c>
      <c r="X21">
        <v>8.5582000000000005E-2</v>
      </c>
      <c r="Y21">
        <v>8.7631000000000001E-2</v>
      </c>
      <c r="Z21">
        <v>8.6255999999999999E-2</v>
      </c>
      <c r="AA21">
        <v>8.9688000000000004E-2</v>
      </c>
      <c r="AB21">
        <v>9.3800999999999995E-2</v>
      </c>
      <c r="AC21">
        <v>9.3534999999999993E-2</v>
      </c>
      <c r="AD21">
        <v>0.112123</v>
      </c>
      <c r="AE21">
        <v>0.122999</v>
      </c>
      <c r="AF21">
        <v>0.12216200000000001</v>
      </c>
      <c r="AG21">
        <v>0.12929599999999999</v>
      </c>
      <c r="AH21">
        <v>0.12904199999999999</v>
      </c>
      <c r="AI21">
        <v>0.13311799999999999</v>
      </c>
      <c r="AJ21" s="98">
        <v>5.0000000000000001E-3</v>
      </c>
    </row>
    <row r="22" spans="1:36" x14ac:dyDescent="0.75">
      <c r="A22" t="s">
        <v>507</v>
      </c>
      <c r="B22" t="s">
        <v>655</v>
      </c>
      <c r="C22" t="s">
        <v>656</v>
      </c>
      <c r="D22" t="s">
        <v>630</v>
      </c>
      <c r="F22">
        <v>0.60306099999999996</v>
      </c>
      <c r="G22">
        <v>0.68852400000000002</v>
      </c>
      <c r="H22">
        <v>0.68940999999999997</v>
      </c>
      <c r="I22">
        <v>0.78200999999999998</v>
      </c>
      <c r="J22">
        <v>0.872479</v>
      </c>
      <c r="K22">
        <v>0.99390400000000001</v>
      </c>
      <c r="L22">
        <v>1.02694</v>
      </c>
      <c r="M22">
        <v>1.0442039999999999</v>
      </c>
      <c r="N22">
        <v>1.0445040000000001</v>
      </c>
      <c r="O22">
        <v>1.0350649999999999</v>
      </c>
      <c r="P22">
        <v>1.0484279999999999</v>
      </c>
      <c r="Q22">
        <v>1.0341009999999999</v>
      </c>
      <c r="R22">
        <v>1.0311619999999999</v>
      </c>
      <c r="S22">
        <v>1.023077</v>
      </c>
      <c r="T22">
        <v>0.98629</v>
      </c>
      <c r="U22">
        <v>0.98477899999999996</v>
      </c>
      <c r="V22">
        <v>0.96861900000000001</v>
      </c>
      <c r="W22">
        <v>0.88863000000000003</v>
      </c>
      <c r="X22">
        <v>0.85164899999999999</v>
      </c>
      <c r="Y22">
        <v>0.74806499999999998</v>
      </c>
      <c r="Z22">
        <v>0.80012399999999995</v>
      </c>
      <c r="AA22">
        <v>0.93259000000000003</v>
      </c>
      <c r="AB22">
        <v>1.0054099999999999</v>
      </c>
      <c r="AC22">
        <v>0.97079000000000004</v>
      </c>
      <c r="AD22">
        <v>0.96079400000000004</v>
      </c>
      <c r="AE22">
        <v>0.86140899999999998</v>
      </c>
      <c r="AF22">
        <v>0.83160999999999996</v>
      </c>
      <c r="AG22">
        <v>0.97150899999999996</v>
      </c>
      <c r="AH22">
        <v>1.0469170000000001</v>
      </c>
      <c r="AI22" s="98">
        <v>0.02</v>
      </c>
    </row>
    <row r="23" spans="1:36" x14ac:dyDescent="0.75">
      <c r="A23" t="s">
        <v>510</v>
      </c>
      <c r="B23" t="s">
        <v>657</v>
      </c>
      <c r="C23" t="s">
        <v>658</v>
      </c>
      <c r="D23" t="s">
        <v>630</v>
      </c>
      <c r="F23">
        <v>9.306E-3</v>
      </c>
      <c r="G23">
        <v>3.967E-3</v>
      </c>
      <c r="H23">
        <v>3.6800000000000001E-3</v>
      </c>
      <c r="I23">
        <v>3.434E-3</v>
      </c>
      <c r="J23">
        <v>3.2209999999999999E-3</v>
      </c>
      <c r="K23">
        <v>3.0339999999999998E-3</v>
      </c>
      <c r="L23">
        <v>0.12696199999999999</v>
      </c>
      <c r="M23">
        <v>0.19110099999999999</v>
      </c>
      <c r="N23">
        <v>0.21659999999999999</v>
      </c>
      <c r="O23">
        <v>0.23030200000000001</v>
      </c>
      <c r="P23">
        <v>0.23567399999999999</v>
      </c>
      <c r="Q23">
        <v>0.238311</v>
      </c>
      <c r="R23">
        <v>0.23499400000000001</v>
      </c>
      <c r="S23">
        <v>0.21959600000000001</v>
      </c>
      <c r="T23">
        <v>0.228685</v>
      </c>
      <c r="U23">
        <v>0.220081</v>
      </c>
      <c r="V23">
        <v>0.19885900000000001</v>
      </c>
      <c r="W23">
        <v>0.21046500000000001</v>
      </c>
      <c r="X23">
        <v>0.215057</v>
      </c>
      <c r="Y23">
        <v>0.23132</v>
      </c>
      <c r="Z23">
        <v>0.22421099999999999</v>
      </c>
      <c r="AA23">
        <v>0.20927200000000001</v>
      </c>
      <c r="AB23">
        <v>0.21968399999999999</v>
      </c>
      <c r="AC23">
        <v>0.230716</v>
      </c>
      <c r="AD23">
        <v>0.21377199999999999</v>
      </c>
      <c r="AE23">
        <v>0.20124400000000001</v>
      </c>
      <c r="AF23">
        <v>0.26888200000000001</v>
      </c>
      <c r="AG23">
        <v>0.26863199999999998</v>
      </c>
      <c r="AH23">
        <v>0.24846299999999999</v>
      </c>
      <c r="AI23" s="98">
        <v>0.124</v>
      </c>
    </row>
    <row r="24" spans="1:36" x14ac:dyDescent="0.75">
      <c r="A24" t="s">
        <v>513</v>
      </c>
      <c r="B24" t="s">
        <v>659</v>
      </c>
      <c r="C24" t="s">
        <v>660</v>
      </c>
      <c r="D24" t="s">
        <v>630</v>
      </c>
      <c r="F24">
        <v>3.2290000000000001E-3</v>
      </c>
      <c r="G24">
        <v>3.0379999999999999E-3</v>
      </c>
      <c r="H24">
        <v>2.8189999999999999E-3</v>
      </c>
      <c r="I24">
        <v>2.63E-3</v>
      </c>
      <c r="J24">
        <v>2.467E-3</v>
      </c>
      <c r="K24">
        <v>2.3240000000000001E-3</v>
      </c>
      <c r="L24">
        <v>2.1979999999999999E-3</v>
      </c>
      <c r="M24">
        <v>2.0860000000000002E-3</v>
      </c>
      <c r="N24">
        <v>1.9849999999999998E-3</v>
      </c>
      <c r="O24">
        <v>1.895E-3</v>
      </c>
      <c r="P24">
        <v>1.8140000000000001E-3</v>
      </c>
      <c r="Q24">
        <v>1.7390000000000001E-3</v>
      </c>
      <c r="R24">
        <v>1.6720000000000001E-3</v>
      </c>
      <c r="S24">
        <v>1.609E-3</v>
      </c>
      <c r="T24">
        <v>1.552E-3</v>
      </c>
      <c r="U24">
        <v>1.5E-3</v>
      </c>
      <c r="V24">
        <v>1.451E-3</v>
      </c>
      <c r="W24">
        <v>1.405E-3</v>
      </c>
      <c r="X24">
        <v>1.3630000000000001E-3</v>
      </c>
      <c r="Y24">
        <v>1.3240000000000001E-3</v>
      </c>
      <c r="Z24">
        <v>1.2869999999999999E-3</v>
      </c>
      <c r="AA24">
        <v>1.2520000000000001E-3</v>
      </c>
      <c r="AB24">
        <v>1.2199999999999999E-3</v>
      </c>
      <c r="AC24">
        <v>1.189E-3</v>
      </c>
      <c r="AD24">
        <v>1.16E-3</v>
      </c>
      <c r="AE24">
        <v>1.1329999999999999E-3</v>
      </c>
      <c r="AF24">
        <v>1.1069999999999999E-3</v>
      </c>
      <c r="AG24">
        <v>1.083E-3</v>
      </c>
      <c r="AH24">
        <v>1.06E-3</v>
      </c>
      <c r="AI24" s="98">
        <v>-3.9E-2</v>
      </c>
    </row>
    <row r="25" spans="1:36" x14ac:dyDescent="0.75">
      <c r="A25" t="s">
        <v>516</v>
      </c>
      <c r="B25" t="s">
        <v>661</v>
      </c>
      <c r="C25" t="s">
        <v>662</v>
      </c>
      <c r="D25" t="s">
        <v>630</v>
      </c>
      <c r="F25">
        <v>6.0769999999999999E-3</v>
      </c>
      <c r="G25">
        <v>9.2900000000000003E-4</v>
      </c>
      <c r="H25">
        <v>8.6200000000000003E-4</v>
      </c>
      <c r="I25">
        <v>8.0400000000000003E-4</v>
      </c>
      <c r="J25">
        <v>7.54E-4</v>
      </c>
      <c r="K25">
        <v>7.1100000000000004E-4</v>
      </c>
      <c r="L25">
        <v>0.124764</v>
      </c>
      <c r="M25">
        <v>0.18901499999999999</v>
      </c>
      <c r="N25">
        <v>0.214615</v>
      </c>
      <c r="O25">
        <v>0.228407</v>
      </c>
      <c r="P25">
        <v>0.23386000000000001</v>
      </c>
      <c r="Q25">
        <v>0.236571</v>
      </c>
      <c r="R25">
        <v>0.233322</v>
      </c>
      <c r="S25">
        <v>0.21798699999999999</v>
      </c>
      <c r="T25">
        <v>0.227133</v>
      </c>
      <c r="U25">
        <v>0.218582</v>
      </c>
      <c r="V25">
        <v>0.197408</v>
      </c>
      <c r="W25">
        <v>0.20906</v>
      </c>
      <c r="X25">
        <v>0.213694</v>
      </c>
      <c r="Y25">
        <v>0.22999600000000001</v>
      </c>
      <c r="Z25">
        <v>0.22292400000000001</v>
      </c>
      <c r="AA25">
        <v>0.20801900000000001</v>
      </c>
      <c r="AB25">
        <v>0.21846499999999999</v>
      </c>
      <c r="AC25">
        <v>0.22952700000000001</v>
      </c>
      <c r="AD25">
        <v>0.21261099999999999</v>
      </c>
      <c r="AE25">
        <v>0.20011100000000001</v>
      </c>
      <c r="AF25">
        <v>0.26777400000000001</v>
      </c>
      <c r="AG25">
        <v>0.26754899999999998</v>
      </c>
      <c r="AH25">
        <v>0.24740300000000001</v>
      </c>
      <c r="AI25" s="98">
        <v>0.14199999999999999</v>
      </c>
    </row>
    <row r="26" spans="1:36" x14ac:dyDescent="0.75">
      <c r="A26" t="s">
        <v>519</v>
      </c>
      <c r="B26" t="s">
        <v>663</v>
      </c>
      <c r="C26" t="s">
        <v>664</v>
      </c>
      <c r="D26" t="s">
        <v>630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t="s">
        <v>522</v>
      </c>
    </row>
    <row r="27" spans="1:36" x14ac:dyDescent="0.75">
      <c r="A27" t="s">
        <v>513</v>
      </c>
      <c r="B27" t="s">
        <v>665</v>
      </c>
      <c r="C27" t="s">
        <v>666</v>
      </c>
      <c r="D27" t="s">
        <v>630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t="s">
        <v>522</v>
      </c>
    </row>
    <row r="28" spans="1:36" x14ac:dyDescent="0.75">
      <c r="A28" t="s">
        <v>516</v>
      </c>
      <c r="B28" t="s">
        <v>667</v>
      </c>
      <c r="C28" t="s">
        <v>668</v>
      </c>
      <c r="D28" t="s">
        <v>630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t="s">
        <v>522</v>
      </c>
    </row>
    <row r="29" spans="1:36" x14ac:dyDescent="0.75">
      <c r="A29" t="s">
        <v>669</v>
      </c>
    </row>
    <row r="30" spans="1:36" x14ac:dyDescent="0.75">
      <c r="A30" t="s">
        <v>670</v>
      </c>
    </row>
    <row r="31" spans="1:36" x14ac:dyDescent="0.75">
      <c r="A31" t="s">
        <v>671</v>
      </c>
      <c r="B31" t="s">
        <v>672</v>
      </c>
      <c r="C31" t="s">
        <v>673</v>
      </c>
      <c r="D31" t="s">
        <v>674</v>
      </c>
      <c r="F31">
        <v>6.5239969999999996</v>
      </c>
      <c r="G31">
        <v>5.2663760000000002</v>
      </c>
      <c r="H31">
        <v>4.072381</v>
      </c>
      <c r="I31">
        <v>3.4895139999999998</v>
      </c>
      <c r="J31">
        <v>3.0655079999999999</v>
      </c>
      <c r="K31">
        <v>2.8530009999999999</v>
      </c>
      <c r="L31">
        <v>2.7999040000000002</v>
      </c>
      <c r="M31">
        <v>2.825097</v>
      </c>
      <c r="N31">
        <v>2.91248</v>
      </c>
      <c r="O31">
        <v>3.043758</v>
      </c>
      <c r="P31">
        <v>3.2080039999999999</v>
      </c>
      <c r="Q31">
        <v>3.4169179999999999</v>
      </c>
      <c r="R31">
        <v>3.5694300000000001</v>
      </c>
      <c r="S31">
        <v>3.6818240000000002</v>
      </c>
      <c r="T31">
        <v>3.6941549999999999</v>
      </c>
      <c r="U31">
        <v>3.7375959999999999</v>
      </c>
      <c r="V31">
        <v>3.8665609999999999</v>
      </c>
      <c r="W31">
        <v>3.78878</v>
      </c>
      <c r="X31">
        <v>3.9380649999999999</v>
      </c>
      <c r="Y31">
        <v>4.0221549999999997</v>
      </c>
      <c r="Z31">
        <v>4.0147370000000002</v>
      </c>
      <c r="AA31">
        <v>3.9506160000000001</v>
      </c>
      <c r="AB31">
        <v>3.9137680000000001</v>
      </c>
      <c r="AC31">
        <v>3.9107059999999998</v>
      </c>
      <c r="AD31">
        <v>3.9070830000000001</v>
      </c>
      <c r="AE31">
        <v>3.8707060000000002</v>
      </c>
      <c r="AF31">
        <v>3.849094</v>
      </c>
      <c r="AG31">
        <v>3.7838949999999998</v>
      </c>
      <c r="AH31">
        <v>3.7710149999999998</v>
      </c>
      <c r="AI31" s="98">
        <v>-1.9E-2</v>
      </c>
    </row>
    <row r="32" spans="1:36" x14ac:dyDescent="0.75">
      <c r="A32" t="s">
        <v>675</v>
      </c>
      <c r="B32" t="s">
        <v>676</v>
      </c>
      <c r="C32" t="s">
        <v>677</v>
      </c>
      <c r="D32" t="s">
        <v>674</v>
      </c>
      <c r="F32">
        <v>5.108581</v>
      </c>
      <c r="G32">
        <v>4.4967220000000001</v>
      </c>
      <c r="H32">
        <v>3.4699879999999999</v>
      </c>
      <c r="I32">
        <v>2.892442</v>
      </c>
      <c r="J32">
        <v>2.4597579999999999</v>
      </c>
      <c r="K32">
        <v>2.2255189999999998</v>
      </c>
      <c r="L32">
        <v>2.1330260000000001</v>
      </c>
      <c r="M32">
        <v>2.1154679999999999</v>
      </c>
      <c r="N32">
        <v>2.1566519999999998</v>
      </c>
      <c r="O32">
        <v>2.2405629999999999</v>
      </c>
      <c r="P32">
        <v>2.33826</v>
      </c>
      <c r="Q32">
        <v>2.4639769999999999</v>
      </c>
      <c r="R32">
        <v>2.575345</v>
      </c>
      <c r="S32">
        <v>2.6765279999999998</v>
      </c>
      <c r="T32">
        <v>2.713635</v>
      </c>
      <c r="U32">
        <v>2.761968</v>
      </c>
      <c r="V32">
        <v>2.8671609999999998</v>
      </c>
      <c r="W32">
        <v>2.848468</v>
      </c>
      <c r="X32">
        <v>2.9408919999999998</v>
      </c>
      <c r="Y32">
        <v>2.988464</v>
      </c>
      <c r="Z32">
        <v>2.962466</v>
      </c>
      <c r="AA32">
        <v>2.906876</v>
      </c>
      <c r="AB32">
        <v>2.867534</v>
      </c>
      <c r="AC32">
        <v>2.843702</v>
      </c>
      <c r="AD32">
        <v>2.8171309999999998</v>
      </c>
      <c r="AE32">
        <v>2.7773189999999999</v>
      </c>
      <c r="AF32">
        <v>2.7427380000000001</v>
      </c>
      <c r="AG32">
        <v>2.6932330000000002</v>
      </c>
      <c r="AH32">
        <v>2.6760290000000002</v>
      </c>
      <c r="AI32" s="98">
        <v>-2.3E-2</v>
      </c>
    </row>
    <row r="33" spans="1:35" x14ac:dyDescent="0.75">
      <c r="A33" t="s">
        <v>678</v>
      </c>
    </row>
    <row r="34" spans="1:35" x14ac:dyDescent="0.75">
      <c r="A34" t="s">
        <v>675</v>
      </c>
      <c r="B34" t="s">
        <v>676</v>
      </c>
      <c r="C34" t="s">
        <v>679</v>
      </c>
      <c r="D34" t="s">
        <v>680</v>
      </c>
      <c r="F34">
        <v>5.2975979999999998</v>
      </c>
      <c r="G34">
        <v>4.6631</v>
      </c>
      <c r="H34">
        <v>3.5983779999999999</v>
      </c>
      <c r="I34">
        <v>2.9994619999999999</v>
      </c>
      <c r="J34">
        <v>2.5507680000000001</v>
      </c>
      <c r="K34">
        <v>2.3078630000000002</v>
      </c>
      <c r="L34">
        <v>2.211948</v>
      </c>
      <c r="M34">
        <v>2.19374</v>
      </c>
      <c r="N34">
        <v>2.2364480000000002</v>
      </c>
      <c r="O34">
        <v>2.323464</v>
      </c>
      <c r="P34">
        <v>2.424776</v>
      </c>
      <c r="Q34">
        <v>2.5551439999999999</v>
      </c>
      <c r="R34">
        <v>2.6706319999999999</v>
      </c>
      <c r="S34">
        <v>2.7755589999999999</v>
      </c>
      <c r="T34">
        <v>2.8140399999999999</v>
      </c>
      <c r="U34">
        <v>2.8641610000000002</v>
      </c>
      <c r="V34">
        <v>2.9732460000000001</v>
      </c>
      <c r="W34">
        <v>2.9538609999999998</v>
      </c>
      <c r="X34">
        <v>3.0497040000000002</v>
      </c>
      <c r="Y34">
        <v>3.099037</v>
      </c>
      <c r="Z34">
        <v>3.0720770000000002</v>
      </c>
      <c r="AA34">
        <v>3.0144299999999999</v>
      </c>
      <c r="AB34">
        <v>2.973633</v>
      </c>
      <c r="AC34">
        <v>2.9489179999999999</v>
      </c>
      <c r="AD34">
        <v>2.9213650000000002</v>
      </c>
      <c r="AE34">
        <v>2.88008</v>
      </c>
      <c r="AF34">
        <v>2.8442189999999998</v>
      </c>
      <c r="AG34">
        <v>2.7928829999999998</v>
      </c>
      <c r="AH34">
        <v>2.775042</v>
      </c>
      <c r="AI34" s="98">
        <v>-2.3E-2</v>
      </c>
    </row>
    <row r="35" spans="1:35" x14ac:dyDescent="0.75">
      <c r="A35" t="s">
        <v>681</v>
      </c>
    </row>
    <row r="36" spans="1:35" x14ac:dyDescent="0.75">
      <c r="A36" t="s">
        <v>473</v>
      </c>
      <c r="B36" t="s">
        <v>682</v>
      </c>
      <c r="C36" t="s">
        <v>683</v>
      </c>
      <c r="D36" t="s">
        <v>680</v>
      </c>
      <c r="F36">
        <v>4.4959629999999997</v>
      </c>
      <c r="G36">
        <v>4.4082569999999999</v>
      </c>
      <c r="H36">
        <v>3.4397419999999999</v>
      </c>
      <c r="I36">
        <v>2.8283160000000001</v>
      </c>
      <c r="J36">
        <v>2.3670089999999999</v>
      </c>
      <c r="K36">
        <v>2.1059209999999999</v>
      </c>
      <c r="L36">
        <v>1.9708650000000001</v>
      </c>
      <c r="M36">
        <v>1.9037379999999999</v>
      </c>
      <c r="N36">
        <v>1.88818</v>
      </c>
      <c r="O36">
        <v>1.908919</v>
      </c>
      <c r="P36">
        <v>1.9521790000000001</v>
      </c>
      <c r="Q36">
        <v>2.013541</v>
      </c>
      <c r="R36">
        <v>2.0847609999999999</v>
      </c>
      <c r="S36">
        <v>2.159367</v>
      </c>
      <c r="T36">
        <v>2.213028</v>
      </c>
      <c r="U36">
        <v>2.2716859999999999</v>
      </c>
      <c r="V36">
        <v>2.3547530000000001</v>
      </c>
      <c r="W36">
        <v>2.391489</v>
      </c>
      <c r="X36">
        <v>2.4335049999999998</v>
      </c>
      <c r="Y36">
        <v>2.4477760000000002</v>
      </c>
      <c r="Z36">
        <v>2.4048090000000002</v>
      </c>
      <c r="AA36">
        <v>2.3516710000000001</v>
      </c>
      <c r="AB36">
        <v>2.3198470000000002</v>
      </c>
      <c r="AC36">
        <v>2.281933</v>
      </c>
      <c r="AD36">
        <v>2.246254</v>
      </c>
      <c r="AE36">
        <v>2.1983990000000002</v>
      </c>
      <c r="AF36">
        <v>2.1485880000000002</v>
      </c>
      <c r="AG36">
        <v>2.104743</v>
      </c>
      <c r="AH36">
        <v>2.0810490000000001</v>
      </c>
      <c r="AI36" s="98">
        <v>-2.7E-2</v>
      </c>
    </row>
    <row r="37" spans="1:35" x14ac:dyDescent="0.75">
      <c r="A37" t="s">
        <v>476</v>
      </c>
      <c r="B37" t="s">
        <v>684</v>
      </c>
      <c r="C37" t="s">
        <v>685</v>
      </c>
      <c r="D37" t="s">
        <v>680</v>
      </c>
      <c r="F37">
        <v>6.3429729999999998</v>
      </c>
      <c r="G37">
        <v>5.0638860000000001</v>
      </c>
      <c r="H37">
        <v>3.8424939999999999</v>
      </c>
      <c r="I37">
        <v>3.246102</v>
      </c>
      <c r="J37">
        <v>2.8130739999999999</v>
      </c>
      <c r="K37">
        <v>2.5968300000000002</v>
      </c>
      <c r="L37">
        <v>2.544311</v>
      </c>
      <c r="M37">
        <v>2.5725560000000001</v>
      </c>
      <c r="N37">
        <v>2.6718120000000001</v>
      </c>
      <c r="O37">
        <v>2.8189120000000001</v>
      </c>
      <c r="P37">
        <v>2.9821749999999998</v>
      </c>
      <c r="Q37">
        <v>3.184034</v>
      </c>
      <c r="R37">
        <v>3.3399139999999998</v>
      </c>
      <c r="S37">
        <v>3.467139</v>
      </c>
      <c r="T37">
        <v>3.4780950000000002</v>
      </c>
      <c r="U37">
        <v>3.5141309999999999</v>
      </c>
      <c r="V37">
        <v>3.6485919999999998</v>
      </c>
      <c r="W37">
        <v>3.5646909999999998</v>
      </c>
      <c r="X37">
        <v>3.7171240000000001</v>
      </c>
      <c r="Y37">
        <v>3.8010280000000001</v>
      </c>
      <c r="Z37">
        <v>3.7923230000000001</v>
      </c>
      <c r="AA37">
        <v>3.7256070000000001</v>
      </c>
      <c r="AB37">
        <v>3.6872379999999998</v>
      </c>
      <c r="AC37">
        <v>3.6837900000000001</v>
      </c>
      <c r="AD37">
        <v>3.6789170000000002</v>
      </c>
      <c r="AE37">
        <v>3.6394250000000001</v>
      </c>
      <c r="AF37">
        <v>3.6158779999999999</v>
      </c>
      <c r="AG37">
        <v>3.5478489999999998</v>
      </c>
      <c r="AH37">
        <v>3.5338590000000001</v>
      </c>
      <c r="AI37" s="98">
        <v>-2.1000000000000001E-2</v>
      </c>
    </row>
    <row r="38" spans="1:35" x14ac:dyDescent="0.75">
      <c r="A38" t="s">
        <v>479</v>
      </c>
      <c r="B38" t="s">
        <v>686</v>
      </c>
      <c r="C38" t="s">
        <v>687</v>
      </c>
      <c r="D38" t="s">
        <v>680</v>
      </c>
      <c r="F38">
        <v>5.8915139999999999</v>
      </c>
      <c r="G38">
        <v>4.6853030000000002</v>
      </c>
      <c r="H38">
        <v>3.5877150000000002</v>
      </c>
      <c r="I38">
        <v>3.0053209999999999</v>
      </c>
      <c r="J38">
        <v>2.5560939999999999</v>
      </c>
      <c r="K38">
        <v>2.317663</v>
      </c>
      <c r="L38">
        <v>2.240961</v>
      </c>
      <c r="M38">
        <v>2.2630059999999999</v>
      </c>
      <c r="N38">
        <v>2.3608470000000001</v>
      </c>
      <c r="O38">
        <v>2.4953669999999999</v>
      </c>
      <c r="P38">
        <v>2.6261060000000001</v>
      </c>
      <c r="Q38">
        <v>2.7932009999999998</v>
      </c>
      <c r="R38">
        <v>2.928839</v>
      </c>
      <c r="S38">
        <v>3.0490930000000001</v>
      </c>
      <c r="T38">
        <v>3.0638510000000001</v>
      </c>
      <c r="U38">
        <v>3.0951689999999998</v>
      </c>
      <c r="V38">
        <v>3.2267220000000001</v>
      </c>
      <c r="W38">
        <v>3.154944</v>
      </c>
      <c r="X38">
        <v>3.295776</v>
      </c>
      <c r="Y38">
        <v>3.3773249999999999</v>
      </c>
      <c r="Z38">
        <v>3.3681040000000002</v>
      </c>
      <c r="AA38">
        <v>3.3123320000000001</v>
      </c>
      <c r="AB38">
        <v>3.2647430000000002</v>
      </c>
      <c r="AC38">
        <v>3.2453669999999999</v>
      </c>
      <c r="AD38">
        <v>3.2254160000000001</v>
      </c>
      <c r="AE38">
        <v>3.1873019999999999</v>
      </c>
      <c r="AF38">
        <v>3.1660509999999999</v>
      </c>
      <c r="AG38">
        <v>3.1209479999999998</v>
      </c>
      <c r="AH38">
        <v>3.1151680000000002</v>
      </c>
      <c r="AI38" s="98">
        <v>-2.3E-2</v>
      </c>
    </row>
    <row r="39" spans="1:35" x14ac:dyDescent="0.75">
      <c r="A39" t="s">
        <v>482</v>
      </c>
      <c r="B39" t="s">
        <v>688</v>
      </c>
      <c r="C39" t="s">
        <v>689</v>
      </c>
      <c r="D39" t="s">
        <v>680</v>
      </c>
      <c r="F39">
        <v>6.0054930000000004</v>
      </c>
      <c r="G39">
        <v>4.6929999999999996</v>
      </c>
      <c r="H39">
        <v>3.5293540000000001</v>
      </c>
      <c r="I39">
        <v>2.9567860000000001</v>
      </c>
      <c r="J39">
        <v>2.5199959999999999</v>
      </c>
      <c r="K39">
        <v>2.2933050000000001</v>
      </c>
      <c r="L39">
        <v>2.226445</v>
      </c>
      <c r="M39">
        <v>2.2486039999999998</v>
      </c>
      <c r="N39">
        <v>2.354171</v>
      </c>
      <c r="O39">
        <v>2.520651</v>
      </c>
      <c r="P39">
        <v>2.6787049999999999</v>
      </c>
      <c r="Q39">
        <v>2.8540019999999999</v>
      </c>
      <c r="R39">
        <v>2.9957069999999999</v>
      </c>
      <c r="S39">
        <v>3.12826</v>
      </c>
      <c r="T39">
        <v>3.145562</v>
      </c>
      <c r="U39">
        <v>3.1655769999999999</v>
      </c>
      <c r="V39">
        <v>3.2987120000000001</v>
      </c>
      <c r="W39">
        <v>3.2221449999999998</v>
      </c>
      <c r="X39">
        <v>3.3748459999999998</v>
      </c>
      <c r="Y39">
        <v>3.4584280000000001</v>
      </c>
      <c r="Z39">
        <v>3.4513050000000001</v>
      </c>
      <c r="AA39">
        <v>3.3975749999999998</v>
      </c>
      <c r="AB39">
        <v>3.355302</v>
      </c>
      <c r="AC39">
        <v>3.335531</v>
      </c>
      <c r="AD39">
        <v>3.3156349999999999</v>
      </c>
      <c r="AE39">
        <v>3.2825989999999998</v>
      </c>
      <c r="AF39">
        <v>3.2647089999999999</v>
      </c>
      <c r="AG39">
        <v>3.2152989999999999</v>
      </c>
      <c r="AH39">
        <v>3.2084280000000001</v>
      </c>
      <c r="AI39" s="98">
        <v>-2.1999999999999999E-2</v>
      </c>
    </row>
    <row r="40" spans="1:35" x14ac:dyDescent="0.75">
      <c r="A40" t="s">
        <v>485</v>
      </c>
      <c r="B40" t="s">
        <v>690</v>
      </c>
      <c r="C40" t="s">
        <v>691</v>
      </c>
      <c r="D40" t="s">
        <v>680</v>
      </c>
      <c r="F40">
        <v>5.7428319999999999</v>
      </c>
      <c r="G40">
        <v>4.6267870000000002</v>
      </c>
      <c r="H40">
        <v>3.5419700000000001</v>
      </c>
      <c r="I40">
        <v>2.9589439999999998</v>
      </c>
      <c r="J40">
        <v>2.5114649999999998</v>
      </c>
      <c r="K40">
        <v>2.2631420000000002</v>
      </c>
      <c r="L40">
        <v>2.1761529999999998</v>
      </c>
      <c r="M40">
        <v>2.1840290000000002</v>
      </c>
      <c r="N40">
        <v>2.271296</v>
      </c>
      <c r="O40">
        <v>2.41635</v>
      </c>
      <c r="P40">
        <v>2.5546199999999999</v>
      </c>
      <c r="Q40">
        <v>2.7211599999999998</v>
      </c>
      <c r="R40">
        <v>2.8684379999999998</v>
      </c>
      <c r="S40">
        <v>3.0044749999999998</v>
      </c>
      <c r="T40">
        <v>3.0244900000000001</v>
      </c>
      <c r="U40">
        <v>3.0543170000000002</v>
      </c>
      <c r="V40">
        <v>3.1895280000000001</v>
      </c>
      <c r="W40">
        <v>3.1231789999999999</v>
      </c>
      <c r="X40">
        <v>3.2636590000000001</v>
      </c>
      <c r="Y40">
        <v>3.350009</v>
      </c>
      <c r="Z40">
        <v>3.3515619999999999</v>
      </c>
      <c r="AA40">
        <v>3.3052579999999998</v>
      </c>
      <c r="AB40">
        <v>3.2570139999999999</v>
      </c>
      <c r="AC40">
        <v>3.2445439999999999</v>
      </c>
      <c r="AD40">
        <v>3.2170939999999999</v>
      </c>
      <c r="AE40">
        <v>3.1892580000000001</v>
      </c>
      <c r="AF40">
        <v>3.1694640000000001</v>
      </c>
      <c r="AG40">
        <v>3.1349830000000001</v>
      </c>
      <c r="AH40">
        <v>3.1337890000000002</v>
      </c>
      <c r="AI40" s="98">
        <v>-2.1000000000000001E-2</v>
      </c>
    </row>
    <row r="41" spans="1:35" x14ac:dyDescent="0.75">
      <c r="A41" t="s">
        <v>488</v>
      </c>
      <c r="B41" t="s">
        <v>692</v>
      </c>
      <c r="C41" t="s">
        <v>693</v>
      </c>
      <c r="D41" t="s">
        <v>680</v>
      </c>
      <c r="F41">
        <v>6.9591979999999998</v>
      </c>
      <c r="G41">
        <v>5.6467239999999999</v>
      </c>
      <c r="H41">
        <v>4.4294690000000001</v>
      </c>
      <c r="I41">
        <v>3.9095849999999999</v>
      </c>
      <c r="J41">
        <v>3.500575</v>
      </c>
      <c r="K41">
        <v>3.2276199999999999</v>
      </c>
      <c r="L41">
        <v>3.1106769999999999</v>
      </c>
      <c r="M41">
        <v>3.0860889999999999</v>
      </c>
      <c r="N41">
        <v>3.0940530000000002</v>
      </c>
      <c r="O41">
        <v>3.1933029999999998</v>
      </c>
      <c r="P41">
        <v>3.2778230000000002</v>
      </c>
      <c r="Q41">
        <v>3.4708130000000001</v>
      </c>
      <c r="R41">
        <v>3.6365530000000001</v>
      </c>
      <c r="S41">
        <v>3.7934290000000002</v>
      </c>
      <c r="T41">
        <v>3.8334000000000001</v>
      </c>
      <c r="U41">
        <v>3.8918490000000001</v>
      </c>
      <c r="V41">
        <v>4.0668040000000003</v>
      </c>
      <c r="W41">
        <v>3.995746</v>
      </c>
      <c r="X41">
        <v>4.1380369999999997</v>
      </c>
      <c r="Y41">
        <v>4.2252549999999998</v>
      </c>
      <c r="Z41">
        <v>4.2448370000000004</v>
      </c>
      <c r="AA41">
        <v>4.2194149999999997</v>
      </c>
      <c r="AB41">
        <v>4.1595459999999997</v>
      </c>
      <c r="AC41">
        <v>4.1602589999999999</v>
      </c>
      <c r="AD41">
        <v>4.0740990000000004</v>
      </c>
      <c r="AE41">
        <v>4.0680959999999997</v>
      </c>
      <c r="AF41">
        <v>4.0162409999999999</v>
      </c>
      <c r="AG41">
        <v>4.016356</v>
      </c>
      <c r="AH41">
        <v>4.0476710000000002</v>
      </c>
      <c r="AI41" s="98">
        <v>-1.9E-2</v>
      </c>
    </row>
    <row r="42" spans="1:35" x14ac:dyDescent="0.75">
      <c r="A42" t="s">
        <v>491</v>
      </c>
      <c r="B42" t="s">
        <v>694</v>
      </c>
      <c r="C42" t="s">
        <v>695</v>
      </c>
      <c r="D42" t="s">
        <v>680</v>
      </c>
      <c r="F42">
        <v>4.8680899999999996</v>
      </c>
      <c r="G42">
        <v>4.0415279999999996</v>
      </c>
      <c r="H42">
        <v>3.3707829999999999</v>
      </c>
      <c r="I42">
        <v>2.8559860000000001</v>
      </c>
      <c r="J42">
        <v>2.4666619999999999</v>
      </c>
      <c r="K42">
        <v>2.2481239999999998</v>
      </c>
      <c r="L42">
        <v>2.1878920000000002</v>
      </c>
      <c r="M42">
        <v>2.198744</v>
      </c>
      <c r="N42">
        <v>2.2463129999999998</v>
      </c>
      <c r="O42">
        <v>2.339305</v>
      </c>
      <c r="P42">
        <v>2.420661</v>
      </c>
      <c r="Q42">
        <v>2.5568789999999999</v>
      </c>
      <c r="R42">
        <v>2.6638519999999999</v>
      </c>
      <c r="S42">
        <v>2.7634240000000001</v>
      </c>
      <c r="T42">
        <v>2.790686</v>
      </c>
      <c r="U42">
        <v>2.8370479999999998</v>
      </c>
      <c r="V42">
        <v>2.9367529999999999</v>
      </c>
      <c r="W42">
        <v>2.894342</v>
      </c>
      <c r="X42">
        <v>2.9898069999999999</v>
      </c>
      <c r="Y42">
        <v>3.0607899999999999</v>
      </c>
      <c r="Z42">
        <v>3.0476000000000001</v>
      </c>
      <c r="AA42">
        <v>2.9894099999999999</v>
      </c>
      <c r="AB42">
        <v>2.9198719999999998</v>
      </c>
      <c r="AC42">
        <v>2.8737279999999998</v>
      </c>
      <c r="AD42">
        <v>2.8330199999999999</v>
      </c>
      <c r="AE42">
        <v>2.7897940000000001</v>
      </c>
      <c r="AF42">
        <v>2.7444069999999998</v>
      </c>
      <c r="AG42">
        <v>2.7021459999999999</v>
      </c>
      <c r="AH42">
        <v>2.6863000000000001</v>
      </c>
      <c r="AI42" s="98">
        <v>-2.1000000000000001E-2</v>
      </c>
    </row>
    <row r="43" spans="1:35" x14ac:dyDescent="0.75">
      <c r="A43" t="s">
        <v>696</v>
      </c>
    </row>
    <row r="44" spans="1:35" x14ac:dyDescent="0.75">
      <c r="A44" t="s">
        <v>497</v>
      </c>
      <c r="B44" t="s">
        <v>697</v>
      </c>
      <c r="C44" t="s">
        <v>698</v>
      </c>
      <c r="D44" t="s">
        <v>680</v>
      </c>
      <c r="F44">
        <v>6.4264919999999996</v>
      </c>
      <c r="G44">
        <v>5.1109070000000001</v>
      </c>
      <c r="H44">
        <v>3.8791600000000002</v>
      </c>
      <c r="I44">
        <v>3.2782439999999999</v>
      </c>
      <c r="J44">
        <v>2.8389440000000001</v>
      </c>
      <c r="K44">
        <v>2.6161099999999999</v>
      </c>
      <c r="L44">
        <v>2.5613450000000002</v>
      </c>
      <c r="M44">
        <v>2.5883780000000001</v>
      </c>
      <c r="N44">
        <v>2.681772</v>
      </c>
      <c r="O44">
        <v>2.8220939999999999</v>
      </c>
      <c r="P44">
        <v>2.988642</v>
      </c>
      <c r="Q44">
        <v>3.1979950000000001</v>
      </c>
      <c r="R44">
        <v>3.3554940000000002</v>
      </c>
      <c r="S44">
        <v>3.4771990000000002</v>
      </c>
      <c r="T44">
        <v>3.489903</v>
      </c>
      <c r="U44">
        <v>3.5308799999999998</v>
      </c>
      <c r="V44">
        <v>3.6615030000000002</v>
      </c>
      <c r="W44">
        <v>3.5801370000000001</v>
      </c>
      <c r="X44">
        <v>3.7352129999999999</v>
      </c>
      <c r="Y44">
        <v>3.8213919999999999</v>
      </c>
      <c r="Z44">
        <v>3.811334</v>
      </c>
      <c r="AA44">
        <v>3.7473779999999999</v>
      </c>
      <c r="AB44">
        <v>3.707001</v>
      </c>
      <c r="AC44">
        <v>3.7038259999999998</v>
      </c>
      <c r="AD44">
        <v>3.6993559999999999</v>
      </c>
      <c r="AE44">
        <v>3.6609560000000001</v>
      </c>
      <c r="AF44">
        <v>3.6383130000000001</v>
      </c>
      <c r="AG44">
        <v>3.5636570000000001</v>
      </c>
      <c r="AH44">
        <v>3.547059</v>
      </c>
      <c r="AI44" s="98">
        <v>-2.1000000000000001E-2</v>
      </c>
    </row>
    <row r="45" spans="1:35" x14ac:dyDescent="0.75">
      <c r="A45" t="s">
        <v>510</v>
      </c>
      <c r="B45" t="s">
        <v>699</v>
      </c>
      <c r="C45" t="s">
        <v>698</v>
      </c>
      <c r="D45" t="s">
        <v>680</v>
      </c>
      <c r="F45">
        <v>6.0059880000000003</v>
      </c>
      <c r="G45">
        <v>6.0059880000000003</v>
      </c>
      <c r="H45">
        <v>6.0059880000000003</v>
      </c>
      <c r="I45">
        <v>6.0059880000000003</v>
      </c>
      <c r="J45">
        <v>6.0059880000000003</v>
      </c>
      <c r="K45">
        <v>6.0059880000000003</v>
      </c>
      <c r="L45">
        <v>3.1150419999999999</v>
      </c>
      <c r="M45">
        <v>3.0880589999999999</v>
      </c>
      <c r="N45">
        <v>3.0940530000000002</v>
      </c>
      <c r="O45">
        <v>3.1933029999999998</v>
      </c>
      <c r="P45">
        <v>3.2778230000000002</v>
      </c>
      <c r="Q45">
        <v>3.4708130000000001</v>
      </c>
      <c r="R45">
        <v>3.6365530000000001</v>
      </c>
      <c r="S45">
        <v>3.7934290000000002</v>
      </c>
      <c r="T45">
        <v>3.8334000000000001</v>
      </c>
      <c r="U45">
        <v>3.8918499999999998</v>
      </c>
      <c r="V45">
        <v>4.0668040000000003</v>
      </c>
      <c r="W45">
        <v>3.995746</v>
      </c>
      <c r="X45">
        <v>4.1380369999999997</v>
      </c>
      <c r="Y45">
        <v>4.2252559999999999</v>
      </c>
      <c r="Z45">
        <v>4.2448370000000004</v>
      </c>
      <c r="AA45">
        <v>4.2194149999999997</v>
      </c>
      <c r="AB45">
        <v>4.1595459999999997</v>
      </c>
      <c r="AC45">
        <v>4.1602589999999999</v>
      </c>
      <c r="AD45">
        <v>4.0740990000000004</v>
      </c>
      <c r="AE45">
        <v>4.0680959999999997</v>
      </c>
      <c r="AF45">
        <v>4.0162409999999999</v>
      </c>
      <c r="AG45">
        <v>4.016356</v>
      </c>
      <c r="AH45">
        <v>4.0476710000000002</v>
      </c>
      <c r="AI45" s="98">
        <v>-1.4E-2</v>
      </c>
    </row>
    <row r="46" spans="1:35" x14ac:dyDescent="0.75">
      <c r="A46" t="s">
        <v>519</v>
      </c>
      <c r="B46" t="s">
        <v>700</v>
      </c>
      <c r="C46" t="s">
        <v>698</v>
      </c>
      <c r="D46" t="s">
        <v>680</v>
      </c>
      <c r="F46" t="s">
        <v>522</v>
      </c>
      <c r="G46" t="s">
        <v>522</v>
      </c>
      <c r="H46" t="s">
        <v>522</v>
      </c>
      <c r="I46" t="s">
        <v>522</v>
      </c>
      <c r="J46" t="s">
        <v>522</v>
      </c>
      <c r="K46" t="s">
        <v>522</v>
      </c>
      <c r="L46" t="s">
        <v>522</v>
      </c>
      <c r="M46" t="s">
        <v>522</v>
      </c>
      <c r="N46" t="s">
        <v>522</v>
      </c>
      <c r="O46" t="s">
        <v>522</v>
      </c>
      <c r="P46" t="s">
        <v>522</v>
      </c>
      <c r="Q46" t="s">
        <v>522</v>
      </c>
      <c r="R46" t="s">
        <v>522</v>
      </c>
      <c r="S46" t="s">
        <v>522</v>
      </c>
      <c r="T46" t="s">
        <v>522</v>
      </c>
      <c r="U46" t="s">
        <v>522</v>
      </c>
      <c r="V46" t="s">
        <v>522</v>
      </c>
      <c r="W46" t="s">
        <v>522</v>
      </c>
      <c r="X46" t="s">
        <v>522</v>
      </c>
      <c r="Y46" t="s">
        <v>522</v>
      </c>
      <c r="Z46" t="s">
        <v>522</v>
      </c>
      <c r="AA46" t="s">
        <v>522</v>
      </c>
      <c r="AB46" t="s">
        <v>522</v>
      </c>
      <c r="AC46" t="s">
        <v>522</v>
      </c>
      <c r="AD46" t="s">
        <v>522</v>
      </c>
      <c r="AE46" t="s">
        <v>522</v>
      </c>
      <c r="AF46" t="s">
        <v>522</v>
      </c>
      <c r="AG46" t="s">
        <v>522</v>
      </c>
      <c r="AH46" t="s">
        <v>522</v>
      </c>
      <c r="AI46" t="s">
        <v>522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7CDFC-D3C5-4BCF-BF0D-D90E7B514465}">
  <dimension ref="A1:AG2344"/>
  <sheetViews>
    <sheetView workbookViewId="0">
      <pane xSplit="2" ySplit="1" topLeftCell="C11" activePane="bottomRight" state="frozen"/>
      <selection pane="topRight" activeCell="C1" sqref="C1"/>
      <selection pane="bottomLeft" activeCell="A2" sqref="A2"/>
      <selection pane="bottomRight" activeCell="C16" sqref="C16"/>
    </sheetView>
  </sheetViews>
  <sheetFormatPr defaultColWidth="9.1328125" defaultRowHeight="15" customHeight="1" x14ac:dyDescent="0.65"/>
  <cols>
    <col min="1" max="1" width="22.40625" style="207" hidden="1" customWidth="1"/>
    <col min="2" max="2" width="49" style="207" customWidth="1"/>
    <col min="3" max="31" width="9.1328125" style="207"/>
    <col min="32" max="32" width="9.1328125" style="271"/>
    <col min="33" max="16384" width="9.1328125" style="207"/>
  </cols>
  <sheetData>
    <row r="1" spans="1:32" ht="15" customHeight="1" thickBot="1" x14ac:dyDescent="0.8">
      <c r="B1" s="222" t="s">
        <v>197</v>
      </c>
      <c r="C1" s="219">
        <v>2022</v>
      </c>
      <c r="D1" s="219">
        <v>2023</v>
      </c>
      <c r="E1" s="219">
        <v>2024</v>
      </c>
      <c r="F1" s="219">
        <v>2025</v>
      </c>
      <c r="G1" s="219">
        <v>2026</v>
      </c>
      <c r="H1" s="219">
        <v>2027</v>
      </c>
      <c r="I1" s="219">
        <v>2028</v>
      </c>
      <c r="J1" s="219">
        <v>2029</v>
      </c>
      <c r="K1" s="219">
        <v>2030</v>
      </c>
      <c r="L1" s="219">
        <v>2031</v>
      </c>
      <c r="M1" s="219">
        <v>2032</v>
      </c>
      <c r="N1" s="219">
        <v>2033</v>
      </c>
      <c r="O1" s="219">
        <v>2034</v>
      </c>
      <c r="P1" s="219">
        <v>2035</v>
      </c>
      <c r="Q1" s="219">
        <v>2036</v>
      </c>
      <c r="R1" s="219">
        <v>2037</v>
      </c>
      <c r="S1" s="219">
        <v>2038</v>
      </c>
      <c r="T1" s="219">
        <v>2039</v>
      </c>
      <c r="U1" s="219">
        <v>2040</v>
      </c>
      <c r="V1" s="219">
        <v>2041</v>
      </c>
      <c r="W1" s="219">
        <v>2042</v>
      </c>
      <c r="X1" s="219">
        <v>2043</v>
      </c>
      <c r="Y1" s="219">
        <v>2044</v>
      </c>
      <c r="Z1" s="219">
        <v>2045</v>
      </c>
      <c r="AA1" s="219">
        <v>2046</v>
      </c>
      <c r="AB1" s="219">
        <v>2047</v>
      </c>
      <c r="AC1" s="219">
        <v>2048</v>
      </c>
      <c r="AD1" s="219">
        <v>2049</v>
      </c>
      <c r="AE1" s="219">
        <v>2050</v>
      </c>
    </row>
    <row r="2" spans="1:32" ht="15" customHeight="1" thickTop="1" x14ac:dyDescent="0.65"/>
    <row r="3" spans="1:32" ht="15" customHeight="1" x14ac:dyDescent="0.7">
      <c r="C3" s="236" t="s">
        <v>198</v>
      </c>
      <c r="D3" s="236" t="s">
        <v>199</v>
      </c>
      <c r="E3" s="224"/>
      <c r="F3" s="224"/>
      <c r="G3" s="224"/>
    </row>
    <row r="4" spans="1:32" ht="15" customHeight="1" x14ac:dyDescent="0.7">
      <c r="C4" s="236" t="s">
        <v>200</v>
      </c>
      <c r="D4" s="236" t="s">
        <v>201</v>
      </c>
      <c r="E4" s="224"/>
      <c r="F4" s="224"/>
      <c r="G4" s="236" t="s">
        <v>202</v>
      </c>
    </row>
    <row r="5" spans="1:32" ht="15" customHeight="1" x14ac:dyDescent="0.7">
      <c r="C5" s="236" t="s">
        <v>203</v>
      </c>
      <c r="D5" s="236" t="s">
        <v>204</v>
      </c>
      <c r="E5" s="224"/>
      <c r="F5" s="224"/>
      <c r="G5" s="224"/>
    </row>
    <row r="6" spans="1:32" ht="15" customHeight="1" x14ac:dyDescent="0.7">
      <c r="C6" s="236" t="s">
        <v>205</v>
      </c>
      <c r="D6" s="224"/>
      <c r="E6" s="236" t="s">
        <v>206</v>
      </c>
      <c r="F6" s="224"/>
      <c r="G6" s="224"/>
    </row>
    <row r="7" spans="1:32" ht="12" customHeight="1" x14ac:dyDescent="0.65"/>
    <row r="8" spans="1:32" ht="12" customHeight="1" x14ac:dyDescent="0.65"/>
    <row r="9" spans="1:32" ht="12" customHeight="1" x14ac:dyDescent="0.65"/>
    <row r="10" spans="1:32" ht="15" customHeight="1" x14ac:dyDescent="0.8">
      <c r="A10" s="212" t="s">
        <v>701</v>
      </c>
      <c r="B10" s="223" t="s">
        <v>702</v>
      </c>
      <c r="AF10" s="255" t="s">
        <v>209</v>
      </c>
    </row>
    <row r="11" spans="1:32" ht="15" customHeight="1" x14ac:dyDescent="0.65">
      <c r="B11" s="222"/>
      <c r="AF11" s="255" t="s">
        <v>211</v>
      </c>
    </row>
    <row r="12" spans="1:32" ht="15" customHeight="1" x14ac:dyDescent="0.65">
      <c r="B12" s="222"/>
      <c r="C12" s="221"/>
      <c r="D12" s="221"/>
      <c r="E12" s="221"/>
      <c r="F12" s="221"/>
      <c r="G12" s="221"/>
      <c r="H12" s="221"/>
      <c r="I12" s="221"/>
      <c r="J12" s="221"/>
      <c r="K12" s="221"/>
      <c r="L12" s="221"/>
      <c r="M12" s="221"/>
      <c r="N12" s="221"/>
      <c r="O12" s="221"/>
      <c r="P12" s="221"/>
      <c r="Q12" s="221"/>
      <c r="R12" s="221"/>
      <c r="S12" s="221"/>
      <c r="T12" s="221"/>
      <c r="U12" s="221"/>
      <c r="V12" s="221"/>
      <c r="W12" s="221"/>
      <c r="X12" s="221"/>
      <c r="Y12" s="221"/>
      <c r="Z12" s="221"/>
      <c r="AA12" s="221"/>
      <c r="AB12" s="221"/>
      <c r="AC12" s="221"/>
      <c r="AD12" s="221"/>
      <c r="AE12" s="221"/>
      <c r="AF12" s="255" t="s">
        <v>212</v>
      </c>
    </row>
    <row r="13" spans="1:32" ht="15" customHeight="1" thickBot="1" x14ac:dyDescent="0.8">
      <c r="B13" s="219" t="s">
        <v>554</v>
      </c>
      <c r="C13" s="219">
        <v>2022</v>
      </c>
      <c r="D13" s="219">
        <v>2023</v>
      </c>
      <c r="E13" s="219">
        <v>2024</v>
      </c>
      <c r="F13" s="219">
        <v>2025</v>
      </c>
      <c r="G13" s="219">
        <v>2026</v>
      </c>
      <c r="H13" s="219">
        <v>2027</v>
      </c>
      <c r="I13" s="219">
        <v>2028</v>
      </c>
      <c r="J13" s="219">
        <v>2029</v>
      </c>
      <c r="K13" s="219">
        <v>2030</v>
      </c>
      <c r="L13" s="219">
        <v>2031</v>
      </c>
      <c r="M13" s="219">
        <v>2032</v>
      </c>
      <c r="N13" s="219">
        <v>2033</v>
      </c>
      <c r="O13" s="219">
        <v>2034</v>
      </c>
      <c r="P13" s="219">
        <v>2035</v>
      </c>
      <c r="Q13" s="219">
        <v>2036</v>
      </c>
      <c r="R13" s="219">
        <v>2037</v>
      </c>
      <c r="S13" s="219">
        <v>2038</v>
      </c>
      <c r="T13" s="219">
        <v>2039</v>
      </c>
      <c r="U13" s="219">
        <v>2040</v>
      </c>
      <c r="V13" s="219">
        <v>2041</v>
      </c>
      <c r="W13" s="219">
        <v>2042</v>
      </c>
      <c r="X13" s="219">
        <v>2043</v>
      </c>
      <c r="Y13" s="219">
        <v>2044</v>
      </c>
      <c r="Z13" s="219">
        <v>2045</v>
      </c>
      <c r="AA13" s="219">
        <v>2046</v>
      </c>
      <c r="AB13" s="219">
        <v>2047</v>
      </c>
      <c r="AC13" s="219">
        <v>2048</v>
      </c>
      <c r="AD13" s="219">
        <v>2049</v>
      </c>
      <c r="AE13" s="219">
        <v>2050</v>
      </c>
      <c r="AF13" s="253" t="s">
        <v>214</v>
      </c>
    </row>
    <row r="14" spans="1:32" ht="15" customHeight="1" thickTop="1" x14ac:dyDescent="0.65">
      <c r="AF14" s="273"/>
    </row>
    <row r="15" spans="1:32" ht="15" customHeight="1" x14ac:dyDescent="0.65">
      <c r="B15" s="215" t="s">
        <v>703</v>
      </c>
    </row>
    <row r="16" spans="1:32" ht="15" customHeight="1" x14ac:dyDescent="0.65">
      <c r="A16" s="212" t="s">
        <v>704</v>
      </c>
      <c r="B16" s="237" t="s">
        <v>557</v>
      </c>
      <c r="C16" s="238">
        <f>'AEO 2023 Table 59 Raw'!F9</f>
        <v>36.11721</v>
      </c>
      <c r="D16" s="238">
        <f>'AEO 2023 Table 59 Raw'!G9</f>
        <v>36.160473000000003</v>
      </c>
      <c r="E16" s="238">
        <f>'AEO 2023 Table 59 Raw'!H9</f>
        <v>35.236457999999999</v>
      </c>
      <c r="F16" s="238">
        <f>'AEO 2023 Table 59 Raw'!I9</f>
        <v>35.385081999999997</v>
      </c>
      <c r="G16" s="238">
        <f>'AEO 2023 Table 59 Raw'!J9</f>
        <v>35.842360999999997</v>
      </c>
      <c r="H16" s="238">
        <f>'AEO 2023 Table 59 Raw'!K9</f>
        <v>35.789593000000004</v>
      </c>
      <c r="I16" s="238">
        <f>'AEO 2023 Table 59 Raw'!L9</f>
        <v>36.084969000000001</v>
      </c>
      <c r="J16" s="238">
        <f>'AEO 2023 Table 59 Raw'!M9</f>
        <v>36.326552999999997</v>
      </c>
      <c r="K16" s="238">
        <f>'AEO 2023 Table 59 Raw'!N9</f>
        <v>36.675776999999997</v>
      </c>
      <c r="L16" s="238">
        <f>'AEO 2023 Table 59 Raw'!O9</f>
        <v>37.108832999999997</v>
      </c>
      <c r="M16" s="238">
        <f>'AEO 2023 Table 59 Raw'!P9</f>
        <v>37.608638999999997</v>
      </c>
      <c r="N16" s="238">
        <f>'AEO 2023 Table 59 Raw'!Q9</f>
        <v>38.184341000000003</v>
      </c>
      <c r="O16" s="238">
        <f>'AEO 2023 Table 59 Raw'!R9</f>
        <v>38.686110999999997</v>
      </c>
      <c r="P16" s="238">
        <f>'AEO 2023 Table 59 Raw'!S9</f>
        <v>39.140957</v>
      </c>
      <c r="Q16" s="238">
        <f>'AEO 2023 Table 59 Raw'!T9</f>
        <v>39.498707000000003</v>
      </c>
      <c r="R16" s="238">
        <f>'AEO 2023 Table 59 Raw'!U9</f>
        <v>39.853999999999999</v>
      </c>
      <c r="S16" s="238">
        <f>'AEO 2023 Table 59 Raw'!V9</f>
        <v>40.120361000000003</v>
      </c>
      <c r="T16" s="238">
        <f>'AEO 2023 Table 59 Raw'!W9</f>
        <v>40.358707000000003</v>
      </c>
      <c r="U16" s="238">
        <f>'AEO 2023 Table 59 Raw'!X9</f>
        <v>40.500950000000003</v>
      </c>
      <c r="V16" s="238">
        <f>'AEO 2023 Table 59 Raw'!Y9</f>
        <v>40.620883999999997</v>
      </c>
      <c r="W16" s="238">
        <f>'AEO 2023 Table 59 Raw'!Z9</f>
        <v>40.794955999999999</v>
      </c>
      <c r="X16" s="238">
        <f>'AEO 2023 Table 59 Raw'!AA9</f>
        <v>40.906959999999998</v>
      </c>
      <c r="Y16" s="238">
        <f>'AEO 2023 Table 59 Raw'!AB9</f>
        <v>40.974735000000003</v>
      </c>
      <c r="Z16" s="238">
        <f>'AEO 2023 Table 59 Raw'!AC9</f>
        <v>41.124125999999997</v>
      </c>
      <c r="AA16" s="238">
        <f>'AEO 2023 Table 59 Raw'!AD9</f>
        <v>40.952205999999997</v>
      </c>
      <c r="AB16" s="238">
        <f>'AEO 2023 Table 59 Raw'!AE9</f>
        <v>41.157238</v>
      </c>
      <c r="AC16" s="238">
        <f>'AEO 2023 Table 59 Raw'!AF9</f>
        <v>41.220950999999999</v>
      </c>
      <c r="AD16" s="238">
        <f>'AEO 2023 Table 59 Raw'!AG9</f>
        <v>41.302062999999997</v>
      </c>
      <c r="AE16" s="238">
        <f>'AEO 2023 Table 59 Raw'!AH9</f>
        <v>41.677504999999996</v>
      </c>
      <c r="AF16" s="254">
        <f>'AEO 2023 Table 59 Raw'!AI9</f>
        <v>5.0000000000000001E-3</v>
      </c>
    </row>
    <row r="17" spans="1:32" ht="15" customHeight="1" x14ac:dyDescent="0.65">
      <c r="C17" s="217"/>
      <c r="D17" s="217"/>
      <c r="E17" s="217"/>
      <c r="F17" s="217"/>
      <c r="G17" s="217"/>
      <c r="H17" s="217"/>
      <c r="I17" s="217"/>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52"/>
    </row>
    <row r="18" spans="1:32" ht="15" customHeight="1" x14ac:dyDescent="0.65">
      <c r="A18" s="212" t="s">
        <v>705</v>
      </c>
      <c r="B18" s="215" t="s">
        <v>559</v>
      </c>
      <c r="C18" s="217">
        <f>'AEO 2023 Table 59 Raw'!F10</f>
        <v>35.046551000000001</v>
      </c>
      <c r="D18" s="217">
        <f>'AEO 2023 Table 59 Raw'!G10</f>
        <v>35.336418000000002</v>
      </c>
      <c r="E18" s="217">
        <f>'AEO 2023 Table 59 Raw'!H10</f>
        <v>34.441242000000003</v>
      </c>
      <c r="F18" s="217">
        <f>'AEO 2023 Table 59 Raw'!I10</f>
        <v>34.503323000000002</v>
      </c>
      <c r="G18" s="217">
        <f>'AEO 2023 Table 59 Raw'!J10</f>
        <v>34.879745</v>
      </c>
      <c r="H18" s="217">
        <f>'AEO 2023 Table 59 Raw'!K10</f>
        <v>34.711131999999999</v>
      </c>
      <c r="I18" s="217">
        <f>'AEO 2023 Table 59 Raw'!L10</f>
        <v>34.854388999999998</v>
      </c>
      <c r="J18" s="217">
        <f>'AEO 2023 Table 59 Raw'!M10</f>
        <v>35.019587999999999</v>
      </c>
      <c r="K18" s="217">
        <f>'AEO 2023 Table 59 Raw'!N10</f>
        <v>35.347614</v>
      </c>
      <c r="L18" s="217">
        <f>'AEO 2023 Table 59 Raw'!O10</f>
        <v>35.780498999999999</v>
      </c>
      <c r="M18" s="217">
        <f>'AEO 2023 Table 59 Raw'!P10</f>
        <v>36.265155999999998</v>
      </c>
      <c r="N18" s="217">
        <f>'AEO 2023 Table 59 Raw'!Q10</f>
        <v>36.855311999999998</v>
      </c>
      <c r="O18" s="217">
        <f>'AEO 2023 Table 59 Raw'!R10</f>
        <v>37.366810000000001</v>
      </c>
      <c r="P18" s="217">
        <f>'AEO 2023 Table 59 Raw'!S10</f>
        <v>37.837581999999998</v>
      </c>
      <c r="Q18" s="217">
        <f>'AEO 2023 Table 59 Raw'!T10</f>
        <v>38.213298999999999</v>
      </c>
      <c r="R18" s="217">
        <f>'AEO 2023 Table 59 Raw'!U10</f>
        <v>38.579849000000003</v>
      </c>
      <c r="S18" s="217">
        <f>'AEO 2023 Table 59 Raw'!V10</f>
        <v>38.861893000000002</v>
      </c>
      <c r="T18" s="217">
        <f>'AEO 2023 Table 59 Raw'!W10</f>
        <v>39.162666000000002</v>
      </c>
      <c r="U18" s="217">
        <f>'AEO 2023 Table 59 Raw'!X10</f>
        <v>39.335422999999999</v>
      </c>
      <c r="V18" s="217">
        <f>'AEO 2023 Table 59 Raw'!Y10</f>
        <v>39.544559</v>
      </c>
      <c r="W18" s="217">
        <f>'AEO 2023 Table 59 Raw'!Z10</f>
        <v>39.670769</v>
      </c>
      <c r="X18" s="217">
        <f>'AEO 2023 Table 59 Raw'!AA10</f>
        <v>39.661568000000003</v>
      </c>
      <c r="Y18" s="217">
        <f>'AEO 2023 Table 59 Raw'!AB10</f>
        <v>39.646687</v>
      </c>
      <c r="Z18" s="217">
        <f>'AEO 2023 Table 59 Raw'!AC10</f>
        <v>39.801341999999998</v>
      </c>
      <c r="AA18" s="217">
        <f>'AEO 2023 Table 59 Raw'!AD10</f>
        <v>39.645775</v>
      </c>
      <c r="AB18" s="217">
        <f>'AEO 2023 Table 59 Raw'!AE10</f>
        <v>39.963863000000003</v>
      </c>
      <c r="AC18" s="217">
        <f>'AEO 2023 Table 59 Raw'!AF10</f>
        <v>39.982841000000001</v>
      </c>
      <c r="AD18" s="217">
        <f>'AEO 2023 Table 59 Raw'!AG10</f>
        <v>39.924835000000002</v>
      </c>
      <c r="AE18" s="217">
        <f>'AEO 2023 Table 59 Raw'!AH10</f>
        <v>40.241112000000001</v>
      </c>
      <c r="AF18" s="252">
        <f>'AEO 2023 Table 59 Raw'!AI10</f>
        <v>5.0000000000000001E-3</v>
      </c>
    </row>
    <row r="19" spans="1:32" ht="15" customHeight="1" x14ac:dyDescent="0.75">
      <c r="A19" s="212" t="s">
        <v>706</v>
      </c>
      <c r="B19" s="211" t="s">
        <v>561</v>
      </c>
      <c r="C19" s="217">
        <f>'AEO 2023 Table 59 Raw'!F11</f>
        <v>15.131968000000001</v>
      </c>
      <c r="D19" s="217">
        <f>'AEO 2023 Table 59 Raw'!G11</f>
        <v>13.514215</v>
      </c>
      <c r="E19" s="217">
        <f>'AEO 2023 Table 59 Raw'!H11</f>
        <v>12.409003999999999</v>
      </c>
      <c r="F19" s="217">
        <f>'AEO 2023 Table 59 Raw'!I11</f>
        <v>12.356494</v>
      </c>
      <c r="G19" s="217">
        <f>'AEO 2023 Table 59 Raw'!J11</f>
        <v>12.315032</v>
      </c>
      <c r="H19" s="217">
        <f>'AEO 2023 Table 59 Raw'!K11</f>
        <v>12.338302000000001</v>
      </c>
      <c r="I19" s="217">
        <f>'AEO 2023 Table 59 Raw'!L11</f>
        <v>12.570937000000001</v>
      </c>
      <c r="J19" s="217">
        <f>'AEO 2023 Table 59 Raw'!M11</f>
        <v>12.812768999999999</v>
      </c>
      <c r="K19" s="217">
        <f>'AEO 2023 Table 59 Raw'!N11</f>
        <v>13.143781000000001</v>
      </c>
      <c r="L19" s="217">
        <f>'AEO 2023 Table 59 Raw'!O11</f>
        <v>13.462552000000001</v>
      </c>
      <c r="M19" s="217">
        <f>'AEO 2023 Table 59 Raw'!P11</f>
        <v>13.766328</v>
      </c>
      <c r="N19" s="217">
        <f>'AEO 2023 Table 59 Raw'!Q11</f>
        <v>14.026498999999999</v>
      </c>
      <c r="O19" s="217">
        <f>'AEO 2023 Table 59 Raw'!R11</f>
        <v>14.216332</v>
      </c>
      <c r="P19" s="217">
        <f>'AEO 2023 Table 59 Raw'!S11</f>
        <v>14.421331</v>
      </c>
      <c r="Q19" s="217">
        <f>'AEO 2023 Table 59 Raw'!T11</f>
        <v>14.398187999999999</v>
      </c>
      <c r="R19" s="217">
        <f>'AEO 2023 Table 59 Raw'!U11</f>
        <v>14.399077999999999</v>
      </c>
      <c r="S19" s="217">
        <f>'AEO 2023 Table 59 Raw'!V11</f>
        <v>14.592781</v>
      </c>
      <c r="T19" s="217">
        <f>'AEO 2023 Table 59 Raw'!W11</f>
        <v>14.478137</v>
      </c>
      <c r="U19" s="217">
        <f>'AEO 2023 Table 59 Raw'!X11</f>
        <v>14.673952999999999</v>
      </c>
      <c r="V19" s="217">
        <f>'AEO 2023 Table 59 Raw'!Y11</f>
        <v>14.809990000000001</v>
      </c>
      <c r="W19" s="217">
        <f>'AEO 2023 Table 59 Raw'!Z11</f>
        <v>14.946555999999999</v>
      </c>
      <c r="X19" s="217">
        <f>'AEO 2023 Table 59 Raw'!AA11</f>
        <v>14.964318</v>
      </c>
      <c r="Y19" s="217">
        <f>'AEO 2023 Table 59 Raw'!AB11</f>
        <v>15.028558</v>
      </c>
      <c r="Z19" s="217">
        <f>'AEO 2023 Table 59 Raw'!AC11</f>
        <v>15.185708999999999</v>
      </c>
      <c r="AA19" s="217">
        <f>'AEO 2023 Table 59 Raw'!AD11</f>
        <v>15.102778000000001</v>
      </c>
      <c r="AB19" s="217">
        <f>'AEO 2023 Table 59 Raw'!AE11</f>
        <v>15.243244000000001</v>
      </c>
      <c r="AC19" s="217">
        <f>'AEO 2023 Table 59 Raw'!AF11</f>
        <v>15.234793</v>
      </c>
      <c r="AD19" s="217">
        <f>'AEO 2023 Table 59 Raw'!AG11</f>
        <v>15.235981000000001</v>
      </c>
      <c r="AE19" s="217">
        <f>'AEO 2023 Table 59 Raw'!AH11</f>
        <v>15.51906</v>
      </c>
      <c r="AF19" s="252">
        <f>'AEO 2023 Table 59 Raw'!AI11</f>
        <v>1E-3</v>
      </c>
    </row>
    <row r="20" spans="1:32" ht="15" customHeight="1" x14ac:dyDescent="0.75">
      <c r="A20" s="212" t="s">
        <v>707</v>
      </c>
      <c r="B20" s="211" t="s">
        <v>563</v>
      </c>
      <c r="C20" s="217">
        <f>'AEO 2023 Table 59 Raw'!F12</f>
        <v>7.2286619999999999</v>
      </c>
      <c r="D20" s="217">
        <f>'AEO 2023 Table 59 Raw'!G12</f>
        <v>8.5563400000000005</v>
      </c>
      <c r="E20" s="217">
        <f>'AEO 2023 Table 59 Raw'!H12</f>
        <v>9.3733869999999992</v>
      </c>
      <c r="F20" s="217">
        <f>'AEO 2023 Table 59 Raw'!I12</f>
        <v>9.4303489999999996</v>
      </c>
      <c r="G20" s="217">
        <f>'AEO 2023 Table 59 Raw'!J12</f>
        <v>9.4719440000000006</v>
      </c>
      <c r="H20" s="217">
        <f>'AEO 2023 Table 59 Raw'!K12</f>
        <v>9.2772819999999996</v>
      </c>
      <c r="I20" s="217">
        <f>'AEO 2023 Table 59 Raw'!L12</f>
        <v>9.1850959999999997</v>
      </c>
      <c r="J20" s="217">
        <f>'AEO 2023 Table 59 Raw'!M12</f>
        <v>9.1667780000000008</v>
      </c>
      <c r="K20" s="217">
        <f>'AEO 2023 Table 59 Raw'!N12</f>
        <v>9.1780740000000005</v>
      </c>
      <c r="L20" s="217">
        <f>'AEO 2023 Table 59 Raw'!O12</f>
        <v>9.3368199999999995</v>
      </c>
      <c r="M20" s="217">
        <f>'AEO 2023 Table 59 Raw'!P12</f>
        <v>9.5347799999999996</v>
      </c>
      <c r="N20" s="217">
        <f>'AEO 2023 Table 59 Raw'!Q12</f>
        <v>9.8192369999999993</v>
      </c>
      <c r="O20" s="217">
        <f>'AEO 2023 Table 59 Raw'!R12</f>
        <v>10.124262999999999</v>
      </c>
      <c r="P20" s="217">
        <f>'AEO 2023 Table 59 Raw'!S12</f>
        <v>10.378657</v>
      </c>
      <c r="Q20" s="217">
        <f>'AEO 2023 Table 59 Raw'!T12</f>
        <v>10.682347999999999</v>
      </c>
      <c r="R20" s="217">
        <f>'AEO 2023 Table 59 Raw'!U12</f>
        <v>10.900270000000001</v>
      </c>
      <c r="S20" s="217">
        <f>'AEO 2023 Table 59 Raw'!V12</f>
        <v>11.017419</v>
      </c>
      <c r="T20" s="217">
        <f>'AEO 2023 Table 59 Raw'!W12</f>
        <v>11.257377999999999</v>
      </c>
      <c r="U20" s="217">
        <f>'AEO 2023 Table 59 Raw'!X12</f>
        <v>11.210609</v>
      </c>
      <c r="V20" s="217">
        <f>'AEO 2023 Table 59 Raw'!Y12</f>
        <v>11.234081</v>
      </c>
      <c r="W20" s="217">
        <f>'AEO 2023 Table 59 Raw'!Z12</f>
        <v>11.199199999999999</v>
      </c>
      <c r="X20" s="217">
        <f>'AEO 2023 Table 59 Raw'!AA12</f>
        <v>11.143196</v>
      </c>
      <c r="Y20" s="217">
        <f>'AEO 2023 Table 59 Raw'!AB12</f>
        <v>10.985035999999999</v>
      </c>
      <c r="Z20" s="217">
        <f>'AEO 2023 Table 59 Raw'!AC12</f>
        <v>10.95787</v>
      </c>
      <c r="AA20" s="217">
        <f>'AEO 2023 Table 59 Raw'!AD12</f>
        <v>10.843297</v>
      </c>
      <c r="AB20" s="217">
        <f>'AEO 2023 Table 59 Raw'!AE12</f>
        <v>10.943599000000001</v>
      </c>
      <c r="AC20" s="217">
        <f>'AEO 2023 Table 59 Raw'!AF12</f>
        <v>10.983874999999999</v>
      </c>
      <c r="AD20" s="217">
        <f>'AEO 2023 Table 59 Raw'!AG12</f>
        <v>10.947718999999999</v>
      </c>
      <c r="AE20" s="217">
        <f>'AEO 2023 Table 59 Raw'!AH12</f>
        <v>10.954504</v>
      </c>
      <c r="AF20" s="252">
        <f>'AEO 2023 Table 59 Raw'!AI12</f>
        <v>1.4999999999999999E-2</v>
      </c>
    </row>
    <row r="21" spans="1:32" ht="15" customHeight="1" x14ac:dyDescent="0.75">
      <c r="A21" s="212" t="s">
        <v>708</v>
      </c>
      <c r="B21" s="211" t="s">
        <v>565</v>
      </c>
      <c r="C21" s="217">
        <f>'AEO 2023 Table 59 Raw'!F13</f>
        <v>2.765047</v>
      </c>
      <c r="D21" s="217">
        <f>'AEO 2023 Table 59 Raw'!G13</f>
        <v>2.8520099999999999</v>
      </c>
      <c r="E21" s="217">
        <f>'AEO 2023 Table 59 Raw'!H13</f>
        <v>2.5916299999999999</v>
      </c>
      <c r="F21" s="217">
        <f>'AEO 2023 Table 59 Raw'!I13</f>
        <v>2.5846640000000001</v>
      </c>
      <c r="G21" s="217">
        <f>'AEO 2023 Table 59 Raw'!J13</f>
        <v>2.6066729999999998</v>
      </c>
      <c r="H21" s="217">
        <f>'AEO 2023 Table 59 Raw'!K13</f>
        <v>2.5580370000000001</v>
      </c>
      <c r="I21" s="217">
        <f>'AEO 2023 Table 59 Raw'!L13</f>
        <v>2.5117409999999998</v>
      </c>
      <c r="J21" s="217">
        <f>'AEO 2023 Table 59 Raw'!M13</f>
        <v>2.4558680000000002</v>
      </c>
      <c r="K21" s="217">
        <f>'AEO 2023 Table 59 Raw'!N13</f>
        <v>2.4240409999999999</v>
      </c>
      <c r="L21" s="217">
        <f>'AEO 2023 Table 59 Raw'!O13</f>
        <v>2.370743</v>
      </c>
      <c r="M21" s="217">
        <f>'AEO 2023 Table 59 Raw'!P13</f>
        <v>2.3427530000000001</v>
      </c>
      <c r="N21" s="217">
        <f>'AEO 2023 Table 59 Raw'!Q13</f>
        <v>2.3159380000000001</v>
      </c>
      <c r="O21" s="217">
        <f>'AEO 2023 Table 59 Raw'!R13</f>
        <v>2.2911609999999998</v>
      </c>
      <c r="P21" s="217">
        <f>'AEO 2023 Table 59 Raw'!S13</f>
        <v>2.262149</v>
      </c>
      <c r="Q21" s="217">
        <f>'AEO 2023 Table 59 Raw'!T13</f>
        <v>2.2564839999999999</v>
      </c>
      <c r="R21" s="217">
        <f>'AEO 2023 Table 59 Raw'!U13</f>
        <v>2.2384390000000001</v>
      </c>
      <c r="S21" s="217">
        <f>'AEO 2023 Table 59 Raw'!V13</f>
        <v>2.1964229999999998</v>
      </c>
      <c r="T21" s="217">
        <f>'AEO 2023 Table 59 Raw'!W13</f>
        <v>2.2079390000000001</v>
      </c>
      <c r="U21" s="217">
        <f>'AEO 2023 Table 59 Raw'!X13</f>
        <v>2.190404</v>
      </c>
      <c r="V21" s="217">
        <f>'AEO 2023 Table 59 Raw'!Y13</f>
        <v>2.186232</v>
      </c>
      <c r="W21" s="217">
        <f>'AEO 2023 Table 59 Raw'!Z13</f>
        <v>2.1957789999999999</v>
      </c>
      <c r="X21" s="217">
        <f>'AEO 2023 Table 59 Raw'!AA13</f>
        <v>2.1949329999999998</v>
      </c>
      <c r="Y21" s="217">
        <f>'AEO 2023 Table 59 Raw'!AB13</f>
        <v>2.184463</v>
      </c>
      <c r="Z21" s="217">
        <f>'AEO 2023 Table 59 Raw'!AC13</f>
        <v>2.1750759999999998</v>
      </c>
      <c r="AA21" s="217">
        <f>'AEO 2023 Table 59 Raw'!AD13</f>
        <v>2.1522320000000001</v>
      </c>
      <c r="AB21" s="217">
        <f>'AEO 2023 Table 59 Raw'!AE13</f>
        <v>2.1924160000000001</v>
      </c>
      <c r="AC21" s="217">
        <f>'AEO 2023 Table 59 Raw'!AF13</f>
        <v>2.1777799999999998</v>
      </c>
      <c r="AD21" s="217">
        <f>'AEO 2023 Table 59 Raw'!AG13</f>
        <v>2.151856</v>
      </c>
      <c r="AE21" s="217">
        <f>'AEO 2023 Table 59 Raw'!AH13</f>
        <v>2.1329410000000002</v>
      </c>
      <c r="AF21" s="252">
        <f>'AEO 2023 Table 59 Raw'!AI13</f>
        <v>-8.9999999999999993E-3</v>
      </c>
    </row>
    <row r="22" spans="1:32" ht="15" customHeight="1" x14ac:dyDescent="0.75">
      <c r="A22" s="212" t="s">
        <v>709</v>
      </c>
      <c r="B22" s="211" t="s">
        <v>567</v>
      </c>
      <c r="C22" s="217">
        <f>'AEO 2023 Table 59 Raw'!F14</f>
        <v>4.9147590000000001</v>
      </c>
      <c r="D22" s="217">
        <f>'AEO 2023 Table 59 Raw'!G14</f>
        <v>6.044238</v>
      </c>
      <c r="E22" s="217">
        <f>'AEO 2023 Table 59 Raw'!H14</f>
        <v>5.8083309999999999</v>
      </c>
      <c r="F22" s="217">
        <f>'AEO 2023 Table 59 Raw'!I14</f>
        <v>5.7644859999999998</v>
      </c>
      <c r="G22" s="217">
        <f>'AEO 2023 Table 59 Raw'!J14</f>
        <v>6.0372459999999997</v>
      </c>
      <c r="H22" s="217">
        <f>'AEO 2023 Table 59 Raw'!K14</f>
        <v>6.0447620000000004</v>
      </c>
      <c r="I22" s="217">
        <f>'AEO 2023 Table 59 Raw'!L14</f>
        <v>6.0454559999999997</v>
      </c>
      <c r="J22" s="217">
        <f>'AEO 2023 Table 59 Raw'!M14</f>
        <v>6.0230579999999998</v>
      </c>
      <c r="K22" s="217">
        <f>'AEO 2023 Table 59 Raw'!N14</f>
        <v>6.0371350000000001</v>
      </c>
      <c r="L22" s="217">
        <f>'AEO 2023 Table 59 Raw'!O14</f>
        <v>6.0711459999999997</v>
      </c>
      <c r="M22" s="217">
        <f>'AEO 2023 Table 59 Raw'!P14</f>
        <v>6.139278</v>
      </c>
      <c r="N22" s="217">
        <f>'AEO 2023 Table 59 Raw'!Q14</f>
        <v>6.2320440000000001</v>
      </c>
      <c r="O22" s="217">
        <f>'AEO 2023 Table 59 Raw'!R14</f>
        <v>6.3443699999999996</v>
      </c>
      <c r="P22" s="217">
        <f>'AEO 2023 Table 59 Raw'!S14</f>
        <v>6.4301389999999996</v>
      </c>
      <c r="Q22" s="217">
        <f>'AEO 2023 Table 59 Raw'!T14</f>
        <v>6.4663519999999997</v>
      </c>
      <c r="R22" s="217">
        <f>'AEO 2023 Table 59 Raw'!U14</f>
        <v>6.6165900000000004</v>
      </c>
      <c r="S22" s="217">
        <f>'AEO 2023 Table 59 Raw'!V14</f>
        <v>6.6031839999999997</v>
      </c>
      <c r="T22" s="217">
        <f>'AEO 2023 Table 59 Raw'!W14</f>
        <v>6.7659159999999998</v>
      </c>
      <c r="U22" s="217">
        <f>'AEO 2023 Table 59 Raw'!X14</f>
        <v>6.7559199999999997</v>
      </c>
      <c r="V22" s="217">
        <f>'AEO 2023 Table 59 Raw'!Y14</f>
        <v>6.815601</v>
      </c>
      <c r="W22" s="217">
        <f>'AEO 2023 Table 59 Raw'!Z14</f>
        <v>6.8641690000000004</v>
      </c>
      <c r="X22" s="217">
        <f>'AEO 2023 Table 59 Raw'!AA14</f>
        <v>6.9378120000000001</v>
      </c>
      <c r="Y22" s="217">
        <f>'AEO 2023 Table 59 Raw'!AB14</f>
        <v>7.0285299999999999</v>
      </c>
      <c r="Z22" s="217">
        <f>'AEO 2023 Table 59 Raw'!AC14</f>
        <v>7.1206069999999997</v>
      </c>
      <c r="AA22" s="217">
        <f>'AEO 2023 Table 59 Raw'!AD14</f>
        <v>7.2255140000000004</v>
      </c>
      <c r="AB22" s="217">
        <f>'AEO 2023 Table 59 Raw'!AE14</f>
        <v>7.2802439999999997</v>
      </c>
      <c r="AC22" s="217">
        <f>'AEO 2023 Table 59 Raw'!AF14</f>
        <v>7.3185330000000004</v>
      </c>
      <c r="AD22" s="217">
        <f>'AEO 2023 Table 59 Raw'!AG14</f>
        <v>7.3635650000000004</v>
      </c>
      <c r="AE22" s="217">
        <f>'AEO 2023 Table 59 Raw'!AH14</f>
        <v>7.4240089999999999</v>
      </c>
      <c r="AF22" s="252">
        <f>'AEO 2023 Table 59 Raw'!AI14</f>
        <v>1.4999999999999999E-2</v>
      </c>
    </row>
    <row r="23" spans="1:32" ht="15" customHeight="1" x14ac:dyDescent="0.75">
      <c r="A23" s="212" t="s">
        <v>710</v>
      </c>
      <c r="B23" s="211" t="s">
        <v>569</v>
      </c>
      <c r="C23" s="217">
        <f>'AEO 2023 Table 59 Raw'!F15</f>
        <v>4.0809680000000004</v>
      </c>
      <c r="D23" s="217">
        <f>'AEO 2023 Table 59 Raw'!G15</f>
        <v>3.4298959999999998</v>
      </c>
      <c r="E23" s="217">
        <f>'AEO 2023 Table 59 Raw'!H15</f>
        <v>3.3649249999999999</v>
      </c>
      <c r="F23" s="217">
        <f>'AEO 2023 Table 59 Raw'!I15</f>
        <v>3.4911530000000002</v>
      </c>
      <c r="G23" s="217">
        <f>'AEO 2023 Table 59 Raw'!J15</f>
        <v>3.5706099999999998</v>
      </c>
      <c r="H23" s="217">
        <f>'AEO 2023 Table 59 Raw'!K15</f>
        <v>3.6165069999999999</v>
      </c>
      <c r="I23" s="217">
        <f>'AEO 2023 Table 59 Raw'!L15</f>
        <v>3.6659310000000001</v>
      </c>
      <c r="J23" s="217">
        <f>'AEO 2023 Table 59 Raw'!M15</f>
        <v>3.6911269999999998</v>
      </c>
      <c r="K23" s="217">
        <f>'AEO 2023 Table 59 Raw'!N15</f>
        <v>3.6992050000000001</v>
      </c>
      <c r="L23" s="217">
        <f>'AEO 2023 Table 59 Raw'!O15</f>
        <v>3.6791390000000002</v>
      </c>
      <c r="M23" s="217">
        <f>'AEO 2023 Table 59 Raw'!P15</f>
        <v>3.6153949999999999</v>
      </c>
      <c r="N23" s="217">
        <f>'AEO 2023 Table 59 Raw'!Q15</f>
        <v>3.5917379999999999</v>
      </c>
      <c r="O23" s="217">
        <f>'AEO 2023 Table 59 Raw'!R15</f>
        <v>3.5256259999999999</v>
      </c>
      <c r="P23" s="217">
        <f>'AEO 2023 Table 59 Raw'!S15</f>
        <v>3.4782839999999999</v>
      </c>
      <c r="Q23" s="217">
        <f>'AEO 2023 Table 59 Raw'!T15</f>
        <v>3.5425270000000002</v>
      </c>
      <c r="R23" s="217">
        <f>'AEO 2023 Table 59 Raw'!U15</f>
        <v>3.5633370000000002</v>
      </c>
      <c r="S23" s="217">
        <f>'AEO 2023 Table 59 Raw'!V15</f>
        <v>3.5968460000000002</v>
      </c>
      <c r="T23" s="217">
        <f>'AEO 2023 Table 59 Raw'!W15</f>
        <v>3.5992929999999999</v>
      </c>
      <c r="U23" s="217">
        <f>'AEO 2023 Table 59 Raw'!X15</f>
        <v>3.652844</v>
      </c>
      <c r="V23" s="217">
        <f>'AEO 2023 Table 59 Raw'!Y15</f>
        <v>3.6483539999999999</v>
      </c>
      <c r="W23" s="217">
        <f>'AEO 2023 Table 59 Raw'!Z15</f>
        <v>3.6183130000000001</v>
      </c>
      <c r="X23" s="217">
        <f>'AEO 2023 Table 59 Raw'!AA15</f>
        <v>3.590814</v>
      </c>
      <c r="Y23" s="217">
        <f>'AEO 2023 Table 59 Raw'!AB15</f>
        <v>3.5982479999999999</v>
      </c>
      <c r="Z23" s="217">
        <f>'AEO 2023 Table 59 Raw'!AC15</f>
        <v>3.5431509999999999</v>
      </c>
      <c r="AA23" s="217">
        <f>'AEO 2023 Table 59 Raw'!AD15</f>
        <v>3.5027900000000001</v>
      </c>
      <c r="AB23" s="217">
        <f>'AEO 2023 Table 59 Raw'!AE15</f>
        <v>3.481233</v>
      </c>
      <c r="AC23" s="217">
        <f>'AEO 2023 Table 59 Raw'!AF15</f>
        <v>3.4508709999999998</v>
      </c>
      <c r="AD23" s="217">
        <f>'AEO 2023 Table 59 Raw'!AG15</f>
        <v>3.4092220000000002</v>
      </c>
      <c r="AE23" s="217">
        <f>'AEO 2023 Table 59 Raw'!AH15</f>
        <v>3.3890660000000001</v>
      </c>
      <c r="AF23" s="252">
        <f>'AEO 2023 Table 59 Raw'!AI15</f>
        <v>-7.0000000000000001E-3</v>
      </c>
    </row>
    <row r="24" spans="1:32" ht="15" customHeight="1" x14ac:dyDescent="0.75">
      <c r="A24" s="212" t="s">
        <v>711</v>
      </c>
      <c r="B24" s="211" t="s">
        <v>571</v>
      </c>
      <c r="C24" s="217">
        <f>'AEO 2023 Table 59 Raw'!F16</f>
        <v>0.75800800000000002</v>
      </c>
      <c r="D24" s="217">
        <f>'AEO 2023 Table 59 Raw'!G16</f>
        <v>0.81315800000000005</v>
      </c>
      <c r="E24" s="217">
        <f>'AEO 2023 Table 59 Raw'!H16</f>
        <v>0.78812199999999999</v>
      </c>
      <c r="F24" s="217">
        <f>'AEO 2023 Table 59 Raw'!I16</f>
        <v>0.77618299999999996</v>
      </c>
      <c r="G24" s="217">
        <f>'AEO 2023 Table 59 Raw'!J16</f>
        <v>0.78711500000000001</v>
      </c>
      <c r="H24" s="217">
        <f>'AEO 2023 Table 59 Raw'!K16</f>
        <v>0.79225199999999996</v>
      </c>
      <c r="I24" s="217">
        <f>'AEO 2023 Table 59 Raw'!L16</f>
        <v>0.79710899999999996</v>
      </c>
      <c r="J24" s="217">
        <f>'AEO 2023 Table 59 Raw'!M16</f>
        <v>0.79716399999999998</v>
      </c>
      <c r="K24" s="217">
        <f>'AEO 2023 Table 59 Raw'!N16</f>
        <v>0.79778800000000005</v>
      </c>
      <c r="L24" s="217">
        <f>'AEO 2023 Table 59 Raw'!O16</f>
        <v>0.79563799999999996</v>
      </c>
      <c r="M24" s="217">
        <f>'AEO 2023 Table 59 Raw'!P16</f>
        <v>0.80580600000000002</v>
      </c>
      <c r="N24" s="217">
        <f>'AEO 2023 Table 59 Raw'!Q16</f>
        <v>0.81167699999999998</v>
      </c>
      <c r="O24" s="217">
        <f>'AEO 2023 Table 59 Raw'!R16</f>
        <v>0.81084500000000004</v>
      </c>
      <c r="P24" s="217">
        <f>'AEO 2023 Table 59 Raw'!S16</f>
        <v>0.81581400000000004</v>
      </c>
      <c r="Q24" s="217">
        <f>'AEO 2023 Table 59 Raw'!T16</f>
        <v>0.81935999999999998</v>
      </c>
      <c r="R24" s="217">
        <f>'AEO 2023 Table 59 Raw'!U16</f>
        <v>0.81682399999999999</v>
      </c>
      <c r="S24" s="217">
        <f>'AEO 2023 Table 59 Raw'!V16</f>
        <v>0.81228299999999998</v>
      </c>
      <c r="T24" s="217">
        <f>'AEO 2023 Table 59 Raw'!W16</f>
        <v>0.808585</v>
      </c>
      <c r="U24" s="217">
        <f>'AEO 2023 Table 59 Raw'!X16</f>
        <v>0.805369</v>
      </c>
      <c r="V24" s="217">
        <f>'AEO 2023 Table 59 Raw'!Y16</f>
        <v>0.80545900000000004</v>
      </c>
      <c r="W24" s="217">
        <f>'AEO 2023 Table 59 Raw'!Z16</f>
        <v>0.80577399999999999</v>
      </c>
      <c r="X24" s="217">
        <f>'AEO 2023 Table 59 Raw'!AA16</f>
        <v>0.79252100000000003</v>
      </c>
      <c r="Y24" s="217">
        <f>'AEO 2023 Table 59 Raw'!AB16</f>
        <v>0.785659</v>
      </c>
      <c r="Z24" s="217">
        <f>'AEO 2023 Table 59 Raw'!AC16</f>
        <v>0.78407199999999999</v>
      </c>
      <c r="AA24" s="217">
        <f>'AEO 2023 Table 59 Raw'!AD16</f>
        <v>0.78545100000000001</v>
      </c>
      <c r="AB24" s="217">
        <f>'AEO 2023 Table 59 Raw'!AE16</f>
        <v>0.79039300000000001</v>
      </c>
      <c r="AC24" s="217">
        <f>'AEO 2023 Table 59 Raw'!AF16</f>
        <v>0.78535299999999997</v>
      </c>
      <c r="AD24" s="217">
        <f>'AEO 2023 Table 59 Raw'!AG16</f>
        <v>0.785941</v>
      </c>
      <c r="AE24" s="217">
        <f>'AEO 2023 Table 59 Raw'!AH16</f>
        <v>0.79201600000000005</v>
      </c>
      <c r="AF24" s="252">
        <f>'AEO 2023 Table 59 Raw'!AI16</f>
        <v>2E-3</v>
      </c>
    </row>
    <row r="25" spans="1:32" ht="15" customHeight="1" x14ac:dyDescent="0.75">
      <c r="A25" s="212" t="s">
        <v>712</v>
      </c>
      <c r="B25" s="211" t="s">
        <v>573</v>
      </c>
      <c r="C25" s="217">
        <f>'AEO 2023 Table 59 Raw'!F17</f>
        <v>0.16714100000000001</v>
      </c>
      <c r="D25" s="217">
        <f>'AEO 2023 Table 59 Raw'!G17</f>
        <v>0.126558</v>
      </c>
      <c r="E25" s="217">
        <f>'AEO 2023 Table 59 Raw'!H17</f>
        <v>0.105848</v>
      </c>
      <c r="F25" s="217">
        <f>'AEO 2023 Table 59 Raw'!I17</f>
        <v>9.9992999999999999E-2</v>
      </c>
      <c r="G25" s="217">
        <f>'AEO 2023 Table 59 Raw'!J17</f>
        <v>9.1124999999999998E-2</v>
      </c>
      <c r="H25" s="217">
        <f>'AEO 2023 Table 59 Raw'!K17</f>
        <v>8.3989999999999995E-2</v>
      </c>
      <c r="I25" s="217">
        <f>'AEO 2023 Table 59 Raw'!L17</f>
        <v>7.8120999999999996E-2</v>
      </c>
      <c r="J25" s="217">
        <f>'AEO 2023 Table 59 Raw'!M17</f>
        <v>7.2828000000000004E-2</v>
      </c>
      <c r="K25" s="217">
        <f>'AEO 2023 Table 59 Raw'!N17</f>
        <v>6.7596000000000003E-2</v>
      </c>
      <c r="L25" s="217">
        <f>'AEO 2023 Table 59 Raw'!O17</f>
        <v>6.4461000000000004E-2</v>
      </c>
      <c r="M25" s="217">
        <f>'AEO 2023 Table 59 Raw'!P17</f>
        <v>6.0816000000000002E-2</v>
      </c>
      <c r="N25" s="217">
        <f>'AEO 2023 Table 59 Raw'!Q17</f>
        <v>5.8180999999999997E-2</v>
      </c>
      <c r="O25" s="217">
        <f>'AEO 2023 Table 59 Raw'!R17</f>
        <v>5.4211000000000002E-2</v>
      </c>
      <c r="P25" s="217">
        <f>'AEO 2023 Table 59 Raw'!S17</f>
        <v>5.1208999999999998E-2</v>
      </c>
      <c r="Q25" s="217">
        <f>'AEO 2023 Table 59 Raw'!T17</f>
        <v>4.8042000000000001E-2</v>
      </c>
      <c r="R25" s="217">
        <f>'AEO 2023 Table 59 Raw'!U17</f>
        <v>4.5319999999999999E-2</v>
      </c>
      <c r="S25" s="217">
        <f>'AEO 2023 Table 59 Raw'!V17</f>
        <v>4.2956000000000001E-2</v>
      </c>
      <c r="T25" s="217">
        <f>'AEO 2023 Table 59 Raw'!W17</f>
        <v>4.5420000000000002E-2</v>
      </c>
      <c r="U25" s="217">
        <f>'AEO 2023 Table 59 Raw'!X17</f>
        <v>4.6322000000000002E-2</v>
      </c>
      <c r="V25" s="217">
        <f>'AEO 2023 Table 59 Raw'!Y17</f>
        <v>4.4842E-2</v>
      </c>
      <c r="W25" s="217">
        <f>'AEO 2023 Table 59 Raw'!Z17</f>
        <v>4.0979000000000002E-2</v>
      </c>
      <c r="X25" s="217">
        <f>'AEO 2023 Table 59 Raw'!AA17</f>
        <v>3.7976999999999997E-2</v>
      </c>
      <c r="Y25" s="217">
        <f>'AEO 2023 Table 59 Raw'!AB17</f>
        <v>3.6194999999999998E-2</v>
      </c>
      <c r="Z25" s="217">
        <f>'AEO 2023 Table 59 Raw'!AC17</f>
        <v>3.4856999999999999E-2</v>
      </c>
      <c r="AA25" s="217">
        <f>'AEO 2023 Table 59 Raw'!AD17</f>
        <v>3.3711999999999999E-2</v>
      </c>
      <c r="AB25" s="217">
        <f>'AEO 2023 Table 59 Raw'!AE17</f>
        <v>3.2732999999999998E-2</v>
      </c>
      <c r="AC25" s="217">
        <f>'AEO 2023 Table 59 Raw'!AF17</f>
        <v>3.1639E-2</v>
      </c>
      <c r="AD25" s="217">
        <f>'AEO 2023 Table 59 Raw'!AG17</f>
        <v>3.0550999999999998E-2</v>
      </c>
      <c r="AE25" s="217">
        <f>'AEO 2023 Table 59 Raw'!AH17</f>
        <v>2.9517999999999999E-2</v>
      </c>
      <c r="AF25" s="252">
        <f>'AEO 2023 Table 59 Raw'!AI17</f>
        <v>-0.06</v>
      </c>
    </row>
    <row r="26" spans="1:32" ht="15" customHeight="1" x14ac:dyDescent="0.65">
      <c r="C26" s="217"/>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52"/>
    </row>
    <row r="27" spans="1:32" ht="15" customHeight="1" x14ac:dyDescent="0.65">
      <c r="A27" s="212" t="s">
        <v>713</v>
      </c>
      <c r="B27" s="215" t="s">
        <v>575</v>
      </c>
      <c r="C27" s="217">
        <f>'AEO 2023 Table 59 Raw'!F18</f>
        <v>1.0706560000000001</v>
      </c>
      <c r="D27" s="217">
        <f>'AEO 2023 Table 59 Raw'!G18</f>
        <v>0.82405700000000004</v>
      </c>
      <c r="E27" s="217">
        <f>'AEO 2023 Table 59 Raw'!H18</f>
        <v>0.79521600000000003</v>
      </c>
      <c r="F27" s="217">
        <f>'AEO 2023 Table 59 Raw'!I18</f>
        <v>0.88176200000000005</v>
      </c>
      <c r="G27" s="217">
        <f>'AEO 2023 Table 59 Raw'!J18</f>
        <v>0.96261099999999999</v>
      </c>
      <c r="H27" s="217">
        <f>'AEO 2023 Table 59 Raw'!K18</f>
        <v>1.0784549999999999</v>
      </c>
      <c r="I27" s="217">
        <f>'AEO 2023 Table 59 Raw'!L18</f>
        <v>1.2305779999999999</v>
      </c>
      <c r="J27" s="217">
        <f>'AEO 2023 Table 59 Raw'!M18</f>
        <v>1.306956</v>
      </c>
      <c r="K27" s="217">
        <f>'AEO 2023 Table 59 Raw'!N18</f>
        <v>1.3281579999999999</v>
      </c>
      <c r="L27" s="217">
        <f>'AEO 2023 Table 59 Raw'!O18</f>
        <v>1.328338</v>
      </c>
      <c r="M27" s="217">
        <f>'AEO 2023 Table 59 Raw'!P18</f>
        <v>1.3434820000000001</v>
      </c>
      <c r="N27" s="217">
        <f>'AEO 2023 Table 59 Raw'!Q18</f>
        <v>1.3290299999999999</v>
      </c>
      <c r="O27" s="217">
        <f>'AEO 2023 Table 59 Raw'!R18</f>
        <v>1.3193049999999999</v>
      </c>
      <c r="P27" s="217">
        <f>'AEO 2023 Table 59 Raw'!S18</f>
        <v>1.3033729999999999</v>
      </c>
      <c r="Q27" s="217">
        <f>'AEO 2023 Table 59 Raw'!T18</f>
        <v>1.2854049999999999</v>
      </c>
      <c r="R27" s="217">
        <f>'AEO 2023 Table 59 Raw'!U18</f>
        <v>1.2741439999999999</v>
      </c>
      <c r="S27" s="217">
        <f>'AEO 2023 Table 59 Raw'!V18</f>
        <v>1.2584709999999999</v>
      </c>
      <c r="T27" s="217">
        <f>'AEO 2023 Table 59 Raw'!W18</f>
        <v>1.196043</v>
      </c>
      <c r="U27" s="217">
        <f>'AEO 2023 Table 59 Raw'!X18</f>
        <v>1.1655279999999999</v>
      </c>
      <c r="V27" s="217">
        <f>'AEO 2023 Table 59 Raw'!Y18</f>
        <v>1.076319</v>
      </c>
      <c r="W27" s="217">
        <f>'AEO 2023 Table 59 Raw'!Z18</f>
        <v>1.124182</v>
      </c>
      <c r="X27" s="217">
        <f>'AEO 2023 Table 59 Raw'!AA18</f>
        <v>1.2453890000000001</v>
      </c>
      <c r="Y27" s="217">
        <f>'AEO 2023 Table 59 Raw'!AB18</f>
        <v>1.3280449999999999</v>
      </c>
      <c r="Z27" s="217">
        <f>'AEO 2023 Table 59 Raw'!AC18</f>
        <v>1.322789</v>
      </c>
      <c r="AA27" s="217">
        <f>'AEO 2023 Table 59 Raw'!AD18</f>
        <v>1.3064309999999999</v>
      </c>
      <c r="AB27" s="217">
        <f>'AEO 2023 Table 59 Raw'!AE18</f>
        <v>1.193373</v>
      </c>
      <c r="AC27" s="217">
        <f>'AEO 2023 Table 59 Raw'!AF18</f>
        <v>1.2381059999999999</v>
      </c>
      <c r="AD27" s="217">
        <f>'AEO 2023 Table 59 Raw'!AG18</f>
        <v>1.37723</v>
      </c>
      <c r="AE27" s="217">
        <f>'AEO 2023 Table 59 Raw'!AH18</f>
        <v>1.4363900000000001</v>
      </c>
      <c r="AF27" s="252">
        <f>'AEO 2023 Table 59 Raw'!AI18</f>
        <v>1.0999999999999999E-2</v>
      </c>
    </row>
    <row r="28" spans="1:32" ht="15" customHeight="1" x14ac:dyDescent="0.75">
      <c r="A28" s="212" t="s">
        <v>714</v>
      </c>
      <c r="B28" s="211" t="s">
        <v>577</v>
      </c>
      <c r="C28" s="217">
        <f>'AEO 2023 Table 59 Raw'!F19</f>
        <v>1.06135</v>
      </c>
      <c r="D28" s="217">
        <f>'AEO 2023 Table 59 Raw'!G19</f>
        <v>0.82008899999999996</v>
      </c>
      <c r="E28" s="217">
        <f>'AEO 2023 Table 59 Raw'!H19</f>
        <v>0.79153499999999999</v>
      </c>
      <c r="F28" s="217">
        <f>'AEO 2023 Table 59 Raw'!I19</f>
        <v>0.878328</v>
      </c>
      <c r="G28" s="217">
        <f>'AEO 2023 Table 59 Raw'!J19</f>
        <v>0.95938999999999997</v>
      </c>
      <c r="H28" s="217">
        <f>'AEO 2023 Table 59 Raw'!K19</f>
        <v>1.07542</v>
      </c>
      <c r="I28" s="217">
        <f>'AEO 2023 Table 59 Raw'!L19</f>
        <v>1.1036159999999999</v>
      </c>
      <c r="J28" s="217">
        <f>'AEO 2023 Table 59 Raw'!M19</f>
        <v>1.115855</v>
      </c>
      <c r="K28" s="217">
        <f>'AEO 2023 Table 59 Raw'!N19</f>
        <v>1.111558</v>
      </c>
      <c r="L28" s="217">
        <f>'AEO 2023 Table 59 Raw'!O19</f>
        <v>1.098036</v>
      </c>
      <c r="M28" s="217">
        <f>'AEO 2023 Table 59 Raw'!P19</f>
        <v>1.1078079999999999</v>
      </c>
      <c r="N28" s="217">
        <f>'AEO 2023 Table 59 Raw'!Q19</f>
        <v>1.090719</v>
      </c>
      <c r="O28" s="217">
        <f>'AEO 2023 Table 59 Raw'!R19</f>
        <v>1.0843119999999999</v>
      </c>
      <c r="P28" s="217">
        <f>'AEO 2023 Table 59 Raw'!S19</f>
        <v>1.083777</v>
      </c>
      <c r="Q28" s="217">
        <f>'AEO 2023 Table 59 Raw'!T19</f>
        <v>1.0567200000000001</v>
      </c>
      <c r="R28" s="217">
        <f>'AEO 2023 Table 59 Raw'!U19</f>
        <v>1.054063</v>
      </c>
      <c r="S28" s="217">
        <f>'AEO 2023 Table 59 Raw'!V19</f>
        <v>1.059612</v>
      </c>
      <c r="T28" s="217">
        <f>'AEO 2023 Table 59 Raw'!W19</f>
        <v>0.98557799999999995</v>
      </c>
      <c r="U28" s="217">
        <f>'AEO 2023 Table 59 Raw'!X19</f>
        <v>0.95047099999999995</v>
      </c>
      <c r="V28" s="217">
        <f>'AEO 2023 Table 59 Raw'!Y19</f>
        <v>0.84499899999999994</v>
      </c>
      <c r="W28" s="217">
        <f>'AEO 2023 Table 59 Raw'!Z19</f>
        <v>0.89997099999999997</v>
      </c>
      <c r="X28" s="217">
        <f>'AEO 2023 Table 59 Raw'!AA19</f>
        <v>1.036117</v>
      </c>
      <c r="Y28" s="217">
        <f>'AEO 2023 Table 59 Raw'!AB19</f>
        <v>1.1083609999999999</v>
      </c>
      <c r="Z28" s="217">
        <f>'AEO 2023 Table 59 Raw'!AC19</f>
        <v>1.0920719999999999</v>
      </c>
      <c r="AA28" s="217">
        <f>'AEO 2023 Table 59 Raw'!AD19</f>
        <v>1.09266</v>
      </c>
      <c r="AB28" s="217">
        <f>'AEO 2023 Table 59 Raw'!AE19</f>
        <v>0.99212900000000004</v>
      </c>
      <c r="AC28" s="217">
        <f>'AEO 2023 Table 59 Raw'!AF19</f>
        <v>0.96922399999999997</v>
      </c>
      <c r="AD28" s="217">
        <f>'AEO 2023 Table 59 Raw'!AG19</f>
        <v>1.108598</v>
      </c>
      <c r="AE28" s="217">
        <f>'AEO 2023 Table 59 Raw'!AH19</f>
        <v>1.187927</v>
      </c>
      <c r="AF28" s="252">
        <f>'AEO 2023 Table 59 Raw'!AI19</f>
        <v>4.0000000000000001E-3</v>
      </c>
    </row>
    <row r="29" spans="1:32" ht="15" customHeight="1" x14ac:dyDescent="0.75">
      <c r="A29" s="212" t="s">
        <v>715</v>
      </c>
      <c r="B29" s="211" t="s">
        <v>579</v>
      </c>
      <c r="C29" s="217">
        <f>'AEO 2023 Table 59 Raw'!F20</f>
        <v>0</v>
      </c>
      <c r="D29" s="217">
        <f>'AEO 2023 Table 59 Raw'!G20</f>
        <v>6.8781999999999996E-2</v>
      </c>
      <c r="E29" s="217">
        <f>'AEO 2023 Table 59 Raw'!H20</f>
        <v>4.1140000000000003E-2</v>
      </c>
      <c r="F29" s="217">
        <f>'AEO 2023 Table 59 Raw'!I20</f>
        <v>3.2001000000000002E-2</v>
      </c>
      <c r="G29" s="217">
        <f>'AEO 2023 Table 59 Raw'!J20</f>
        <v>2.9929999999999998E-2</v>
      </c>
      <c r="H29" s="217">
        <f>'AEO 2023 Table 59 Raw'!K20</f>
        <v>2.6897999999999998E-2</v>
      </c>
      <c r="I29" s="217">
        <f>'AEO 2023 Table 59 Raw'!L20</f>
        <v>2.5100999999999998E-2</v>
      </c>
      <c r="J29" s="217">
        <f>'AEO 2023 Table 59 Raw'!M20</f>
        <v>2.3498999999999999E-2</v>
      </c>
      <c r="K29" s="217">
        <f>'AEO 2023 Table 59 Raw'!N20</f>
        <v>2.1878000000000002E-2</v>
      </c>
      <c r="L29" s="217">
        <f>'AEO 2023 Table 59 Raw'!O20</f>
        <v>2.0369000000000002E-2</v>
      </c>
      <c r="M29" s="217">
        <f>'AEO 2023 Table 59 Raw'!P20</f>
        <v>1.9035E-2</v>
      </c>
      <c r="N29" s="217">
        <f>'AEO 2023 Table 59 Raw'!Q20</f>
        <v>1.7819999999999999E-2</v>
      </c>
      <c r="O29" s="217">
        <f>'AEO 2023 Table 59 Raw'!R20</f>
        <v>1.6830000000000001E-2</v>
      </c>
      <c r="P29" s="217">
        <f>'AEO 2023 Table 59 Raw'!S20</f>
        <v>1.5731999999999999E-2</v>
      </c>
      <c r="Q29" s="217">
        <f>'AEO 2023 Table 59 Raw'!T20</f>
        <v>1.4827999999999999E-2</v>
      </c>
      <c r="R29" s="217">
        <f>'AEO 2023 Table 59 Raw'!U20</f>
        <v>1.3899E-2</v>
      </c>
      <c r="S29" s="217">
        <f>'AEO 2023 Table 59 Raw'!V20</f>
        <v>1.3306E-2</v>
      </c>
      <c r="T29" s="217">
        <f>'AEO 2023 Table 59 Raw'!W20</f>
        <v>1.2813E-2</v>
      </c>
      <c r="U29" s="217">
        <f>'AEO 2023 Table 59 Raw'!X20</f>
        <v>1.196E-2</v>
      </c>
      <c r="V29" s="217">
        <f>'AEO 2023 Table 59 Raw'!Y20</f>
        <v>1.1762E-2</v>
      </c>
      <c r="W29" s="217">
        <f>'AEO 2023 Table 59 Raw'!Z20</f>
        <v>1.1226E-2</v>
      </c>
      <c r="X29" s="217">
        <f>'AEO 2023 Table 59 Raw'!AA20</f>
        <v>1.0688E-2</v>
      </c>
      <c r="Y29" s="217">
        <f>'AEO 2023 Table 59 Raw'!AB20</f>
        <v>1.0236E-2</v>
      </c>
      <c r="Z29" s="217">
        <f>'AEO 2023 Table 59 Raw'!AC20</f>
        <v>9.9080000000000001E-3</v>
      </c>
      <c r="AA29" s="217">
        <f>'AEO 2023 Table 59 Raw'!AD20</f>
        <v>9.6349999999999995E-3</v>
      </c>
      <c r="AB29" s="217">
        <f>'AEO 2023 Table 59 Raw'!AE20</f>
        <v>9.3279999999999995E-3</v>
      </c>
      <c r="AC29" s="217">
        <f>'AEO 2023 Table 59 Raw'!AF20</f>
        <v>9.0050000000000009E-3</v>
      </c>
      <c r="AD29" s="217">
        <f>'AEO 2023 Table 59 Raw'!AG20</f>
        <v>8.7530000000000004E-3</v>
      </c>
      <c r="AE29" s="217">
        <f>'AEO 2023 Table 59 Raw'!AH20</f>
        <v>8.4700000000000001E-3</v>
      </c>
      <c r="AF29" s="252">
        <f>'AEO 2023 Table 59 Raw'!AI20</f>
        <v>8.3029999999999996E-3</v>
      </c>
    </row>
    <row r="30" spans="1:32" ht="15" customHeight="1" x14ac:dyDescent="0.75">
      <c r="A30" s="212" t="s">
        <v>716</v>
      </c>
      <c r="B30" s="211" t="s">
        <v>581</v>
      </c>
      <c r="C30" s="217">
        <f>'AEO 2023 Table 59 Raw'!F21</f>
        <v>0</v>
      </c>
      <c r="D30" s="217">
        <f>'AEO 2023 Table 59 Raw'!G21</f>
        <v>0.11572</v>
      </c>
      <c r="E30" s="217">
        <f>'AEO 2023 Table 59 Raw'!H21</f>
        <v>9.2628000000000002E-2</v>
      </c>
      <c r="F30" s="217">
        <f>'AEO 2023 Table 59 Raw'!I21</f>
        <v>7.1988999999999997E-2</v>
      </c>
      <c r="G30" s="217">
        <f>'AEO 2023 Table 59 Raw'!J21</f>
        <v>6.8005999999999997E-2</v>
      </c>
      <c r="H30" s="217">
        <f>'AEO 2023 Table 59 Raw'!K21</f>
        <v>6.1443999999999999E-2</v>
      </c>
      <c r="I30" s="217">
        <f>'AEO 2023 Table 59 Raw'!L21</f>
        <v>5.7699E-2</v>
      </c>
      <c r="J30" s="217">
        <f>'AEO 2023 Table 59 Raw'!M21</f>
        <v>5.4343000000000002E-2</v>
      </c>
      <c r="K30" s="217">
        <f>'AEO 2023 Table 59 Raw'!N21</f>
        <v>5.0840000000000003E-2</v>
      </c>
      <c r="L30" s="217">
        <f>'AEO 2023 Table 59 Raw'!O21</f>
        <v>4.7669999999999997E-2</v>
      </c>
      <c r="M30" s="217">
        <f>'AEO 2023 Table 59 Raw'!P21</f>
        <v>4.4852999999999997E-2</v>
      </c>
      <c r="N30" s="217">
        <f>'AEO 2023 Table 59 Raw'!Q21</f>
        <v>4.2416000000000002E-2</v>
      </c>
      <c r="O30" s="217">
        <f>'AEO 2023 Table 59 Raw'!R21</f>
        <v>4.0592000000000003E-2</v>
      </c>
      <c r="P30" s="217">
        <f>'AEO 2023 Table 59 Raw'!S21</f>
        <v>3.8177000000000003E-2</v>
      </c>
      <c r="Q30" s="217">
        <f>'AEO 2023 Table 59 Raw'!T21</f>
        <v>4.6588999999999998E-2</v>
      </c>
      <c r="R30" s="217">
        <f>'AEO 2023 Table 59 Raw'!U21</f>
        <v>5.7213E-2</v>
      </c>
      <c r="S30" s="217">
        <f>'AEO 2023 Table 59 Raw'!V21</f>
        <v>5.6627999999999998E-2</v>
      </c>
      <c r="T30" s="217">
        <f>'AEO 2023 Table 59 Raw'!W21</f>
        <v>7.8799999999999995E-2</v>
      </c>
      <c r="U30" s="217">
        <f>'AEO 2023 Table 59 Raw'!X21</f>
        <v>8.5582000000000005E-2</v>
      </c>
      <c r="V30" s="217">
        <f>'AEO 2023 Table 59 Raw'!Y21</f>
        <v>8.7631000000000001E-2</v>
      </c>
      <c r="W30" s="217">
        <f>'AEO 2023 Table 59 Raw'!Z21</f>
        <v>8.6255999999999999E-2</v>
      </c>
      <c r="X30" s="217">
        <f>'AEO 2023 Table 59 Raw'!AA21</f>
        <v>8.9688000000000004E-2</v>
      </c>
      <c r="Y30" s="217">
        <f>'AEO 2023 Table 59 Raw'!AB21</f>
        <v>9.3800999999999995E-2</v>
      </c>
      <c r="Z30" s="217">
        <f>'AEO 2023 Table 59 Raw'!AC21</f>
        <v>9.3534999999999993E-2</v>
      </c>
      <c r="AA30" s="217">
        <f>'AEO 2023 Table 59 Raw'!AD21</f>
        <v>0.112123</v>
      </c>
      <c r="AB30" s="217">
        <f>'AEO 2023 Table 59 Raw'!AE21</f>
        <v>0.122999</v>
      </c>
      <c r="AC30" s="217">
        <f>'AEO 2023 Table 59 Raw'!AF21</f>
        <v>0.12216200000000001</v>
      </c>
      <c r="AD30" s="217">
        <f>'AEO 2023 Table 59 Raw'!AG21</f>
        <v>0.12929599999999999</v>
      </c>
      <c r="AE30" s="217">
        <f>'AEO 2023 Table 59 Raw'!AH21</f>
        <v>0.12904199999999999</v>
      </c>
      <c r="AF30" s="252">
        <f>'AEO 2023 Table 59 Raw'!AI21</f>
        <v>0.13311799999999999</v>
      </c>
    </row>
    <row r="31" spans="1:32" ht="15" customHeight="1" x14ac:dyDescent="0.75">
      <c r="A31" s="212" t="s">
        <v>717</v>
      </c>
      <c r="B31" s="211" t="s">
        <v>583</v>
      </c>
      <c r="C31" s="217">
        <f>'AEO 2023 Table 59 Raw'!F22</f>
        <v>0.60306099999999996</v>
      </c>
      <c r="D31" s="217">
        <f>'AEO 2023 Table 59 Raw'!G22</f>
        <v>0.68852400000000002</v>
      </c>
      <c r="E31" s="217">
        <f>'AEO 2023 Table 59 Raw'!H22</f>
        <v>0.68940999999999997</v>
      </c>
      <c r="F31" s="217">
        <f>'AEO 2023 Table 59 Raw'!I22</f>
        <v>0.78200999999999998</v>
      </c>
      <c r="G31" s="217">
        <f>'AEO 2023 Table 59 Raw'!J22</f>
        <v>0.872479</v>
      </c>
      <c r="H31" s="217">
        <f>'AEO 2023 Table 59 Raw'!K22</f>
        <v>0.99390400000000001</v>
      </c>
      <c r="I31" s="217">
        <f>'AEO 2023 Table 59 Raw'!L22</f>
        <v>1.02694</v>
      </c>
      <c r="J31" s="217">
        <f>'AEO 2023 Table 59 Raw'!M22</f>
        <v>1.0442039999999999</v>
      </c>
      <c r="K31" s="217">
        <f>'AEO 2023 Table 59 Raw'!N22</f>
        <v>1.0445040000000001</v>
      </c>
      <c r="L31" s="217">
        <f>'AEO 2023 Table 59 Raw'!O22</f>
        <v>1.0350649999999999</v>
      </c>
      <c r="M31" s="217">
        <f>'AEO 2023 Table 59 Raw'!P22</f>
        <v>1.0484279999999999</v>
      </c>
      <c r="N31" s="217">
        <f>'AEO 2023 Table 59 Raw'!Q22</f>
        <v>1.0341009999999999</v>
      </c>
      <c r="O31" s="217">
        <f>'AEO 2023 Table 59 Raw'!R22</f>
        <v>1.0311619999999999</v>
      </c>
      <c r="P31" s="217">
        <f>'AEO 2023 Table 59 Raw'!S22</f>
        <v>1.023077</v>
      </c>
      <c r="Q31" s="217">
        <f>'AEO 2023 Table 59 Raw'!T22</f>
        <v>0.98629</v>
      </c>
      <c r="R31" s="217">
        <f>'AEO 2023 Table 59 Raw'!U22</f>
        <v>0.98477899999999996</v>
      </c>
      <c r="S31" s="217">
        <f>'AEO 2023 Table 59 Raw'!V22</f>
        <v>0.96861900000000001</v>
      </c>
      <c r="T31" s="217">
        <f>'AEO 2023 Table 59 Raw'!W22</f>
        <v>0.88863000000000003</v>
      </c>
      <c r="U31" s="217">
        <f>'AEO 2023 Table 59 Raw'!X22</f>
        <v>0.85164899999999999</v>
      </c>
      <c r="V31" s="217">
        <f>'AEO 2023 Table 59 Raw'!Y22</f>
        <v>0.74806499999999998</v>
      </c>
      <c r="W31" s="217">
        <f>'AEO 2023 Table 59 Raw'!Z22</f>
        <v>0.80012399999999995</v>
      </c>
      <c r="X31" s="217">
        <f>'AEO 2023 Table 59 Raw'!AA22</f>
        <v>0.93259000000000003</v>
      </c>
      <c r="Y31" s="217">
        <f>'AEO 2023 Table 59 Raw'!AB22</f>
        <v>1.0054099999999999</v>
      </c>
      <c r="Z31" s="217">
        <f>'AEO 2023 Table 59 Raw'!AC22</f>
        <v>0.97079000000000004</v>
      </c>
      <c r="AA31" s="217">
        <f>'AEO 2023 Table 59 Raw'!AD22</f>
        <v>0.96079400000000004</v>
      </c>
      <c r="AB31" s="217">
        <f>'AEO 2023 Table 59 Raw'!AE22</f>
        <v>0.86140899999999998</v>
      </c>
      <c r="AC31" s="217">
        <f>'AEO 2023 Table 59 Raw'!AF22</f>
        <v>0.83160999999999996</v>
      </c>
      <c r="AD31" s="217">
        <f>'AEO 2023 Table 59 Raw'!AG22</f>
        <v>0.97150899999999996</v>
      </c>
      <c r="AE31" s="217">
        <f>'AEO 2023 Table 59 Raw'!AH22</f>
        <v>1.0469170000000001</v>
      </c>
      <c r="AF31" s="252">
        <f>'AEO 2023 Table 59 Raw'!AI22</f>
        <v>0.02</v>
      </c>
    </row>
    <row r="32" spans="1:32" ht="12" customHeight="1" x14ac:dyDescent="0.75">
      <c r="A32" s="212" t="s">
        <v>718</v>
      </c>
      <c r="B32" s="211" t="s">
        <v>585</v>
      </c>
      <c r="C32" s="217">
        <f>'AEO 2023 Table 59 Raw'!F23</f>
        <v>9.306E-3</v>
      </c>
      <c r="D32" s="217">
        <f>'AEO 2023 Table 59 Raw'!G23</f>
        <v>3.967E-3</v>
      </c>
      <c r="E32" s="217">
        <f>'AEO 2023 Table 59 Raw'!H23</f>
        <v>3.6800000000000001E-3</v>
      </c>
      <c r="F32" s="217">
        <f>'AEO 2023 Table 59 Raw'!I23</f>
        <v>3.434E-3</v>
      </c>
      <c r="G32" s="217">
        <f>'AEO 2023 Table 59 Raw'!J23</f>
        <v>3.2209999999999999E-3</v>
      </c>
      <c r="H32" s="217">
        <f>'AEO 2023 Table 59 Raw'!K23</f>
        <v>3.0339999999999998E-3</v>
      </c>
      <c r="I32" s="217">
        <f>'AEO 2023 Table 59 Raw'!L23</f>
        <v>0.12696199999999999</v>
      </c>
      <c r="J32" s="217">
        <f>'AEO 2023 Table 59 Raw'!M23</f>
        <v>0.19110099999999999</v>
      </c>
      <c r="K32" s="217">
        <f>'AEO 2023 Table 59 Raw'!N23</f>
        <v>0.21659999999999999</v>
      </c>
      <c r="L32" s="217">
        <f>'AEO 2023 Table 59 Raw'!O23</f>
        <v>0.23030200000000001</v>
      </c>
      <c r="M32" s="217">
        <f>'AEO 2023 Table 59 Raw'!P23</f>
        <v>0.23567399999999999</v>
      </c>
      <c r="N32" s="217">
        <f>'AEO 2023 Table 59 Raw'!Q23</f>
        <v>0.238311</v>
      </c>
      <c r="O32" s="217">
        <f>'AEO 2023 Table 59 Raw'!R23</f>
        <v>0.23499400000000001</v>
      </c>
      <c r="P32" s="217">
        <f>'AEO 2023 Table 59 Raw'!S23</f>
        <v>0.21959600000000001</v>
      </c>
      <c r="Q32" s="217">
        <f>'AEO 2023 Table 59 Raw'!T23</f>
        <v>0.228685</v>
      </c>
      <c r="R32" s="217">
        <f>'AEO 2023 Table 59 Raw'!U23</f>
        <v>0.220081</v>
      </c>
      <c r="S32" s="217">
        <f>'AEO 2023 Table 59 Raw'!V23</f>
        <v>0.19885900000000001</v>
      </c>
      <c r="T32" s="217">
        <f>'AEO 2023 Table 59 Raw'!W23</f>
        <v>0.21046500000000001</v>
      </c>
      <c r="U32" s="217">
        <f>'AEO 2023 Table 59 Raw'!X23</f>
        <v>0.215057</v>
      </c>
      <c r="V32" s="217">
        <f>'AEO 2023 Table 59 Raw'!Y23</f>
        <v>0.23132</v>
      </c>
      <c r="W32" s="217">
        <f>'AEO 2023 Table 59 Raw'!Z23</f>
        <v>0.22421099999999999</v>
      </c>
      <c r="X32" s="217">
        <f>'AEO 2023 Table 59 Raw'!AA23</f>
        <v>0.20927200000000001</v>
      </c>
      <c r="Y32" s="217">
        <f>'AEO 2023 Table 59 Raw'!AB23</f>
        <v>0.21968399999999999</v>
      </c>
      <c r="Z32" s="217">
        <f>'AEO 2023 Table 59 Raw'!AC23</f>
        <v>0.230716</v>
      </c>
      <c r="AA32" s="217">
        <f>'AEO 2023 Table 59 Raw'!AD23</f>
        <v>0.21377199999999999</v>
      </c>
      <c r="AB32" s="217">
        <f>'AEO 2023 Table 59 Raw'!AE23</f>
        <v>0.20124400000000001</v>
      </c>
      <c r="AC32" s="217">
        <f>'AEO 2023 Table 59 Raw'!AF23</f>
        <v>0.26888200000000001</v>
      </c>
      <c r="AD32" s="217">
        <f>'AEO 2023 Table 59 Raw'!AG23</f>
        <v>0.26863199999999998</v>
      </c>
      <c r="AE32" s="217">
        <f>'AEO 2023 Table 59 Raw'!AH23</f>
        <v>0.24846299999999999</v>
      </c>
      <c r="AF32" s="252">
        <f>'AEO 2023 Table 59 Raw'!AI23</f>
        <v>0.124</v>
      </c>
    </row>
    <row r="33" spans="1:32" ht="12" customHeight="1" x14ac:dyDescent="0.75">
      <c r="A33" s="212" t="s">
        <v>719</v>
      </c>
      <c r="B33" s="211" t="s">
        <v>587</v>
      </c>
      <c r="C33" s="217">
        <f>'AEO 2023 Table 59 Raw'!F24</f>
        <v>3.2290000000000001E-3</v>
      </c>
      <c r="D33" s="217">
        <f>'AEO 2023 Table 59 Raw'!G24</f>
        <v>3.0379999999999999E-3</v>
      </c>
      <c r="E33" s="217">
        <f>'AEO 2023 Table 59 Raw'!H24</f>
        <v>2.8189999999999999E-3</v>
      </c>
      <c r="F33" s="217">
        <f>'AEO 2023 Table 59 Raw'!I24</f>
        <v>2.63E-3</v>
      </c>
      <c r="G33" s="217">
        <f>'AEO 2023 Table 59 Raw'!J24</f>
        <v>2.467E-3</v>
      </c>
      <c r="H33" s="217">
        <f>'AEO 2023 Table 59 Raw'!K24</f>
        <v>2.3240000000000001E-3</v>
      </c>
      <c r="I33" s="217">
        <f>'AEO 2023 Table 59 Raw'!L24</f>
        <v>2.1979999999999999E-3</v>
      </c>
      <c r="J33" s="217">
        <f>'AEO 2023 Table 59 Raw'!M24</f>
        <v>2.0860000000000002E-3</v>
      </c>
      <c r="K33" s="217">
        <f>'AEO 2023 Table 59 Raw'!N24</f>
        <v>1.9849999999999998E-3</v>
      </c>
      <c r="L33" s="217">
        <f>'AEO 2023 Table 59 Raw'!O24</f>
        <v>1.895E-3</v>
      </c>
      <c r="M33" s="217">
        <f>'AEO 2023 Table 59 Raw'!P24</f>
        <v>1.8140000000000001E-3</v>
      </c>
      <c r="N33" s="217">
        <f>'AEO 2023 Table 59 Raw'!Q24</f>
        <v>1.7390000000000001E-3</v>
      </c>
      <c r="O33" s="217">
        <f>'AEO 2023 Table 59 Raw'!R24</f>
        <v>1.6720000000000001E-3</v>
      </c>
      <c r="P33" s="217">
        <f>'AEO 2023 Table 59 Raw'!S24</f>
        <v>1.609E-3</v>
      </c>
      <c r="Q33" s="217">
        <f>'AEO 2023 Table 59 Raw'!T24</f>
        <v>1.552E-3</v>
      </c>
      <c r="R33" s="217">
        <f>'AEO 2023 Table 59 Raw'!U24</f>
        <v>1.5E-3</v>
      </c>
      <c r="S33" s="217">
        <f>'AEO 2023 Table 59 Raw'!V24</f>
        <v>1.451E-3</v>
      </c>
      <c r="T33" s="217">
        <f>'AEO 2023 Table 59 Raw'!W24</f>
        <v>1.405E-3</v>
      </c>
      <c r="U33" s="217">
        <f>'AEO 2023 Table 59 Raw'!X24</f>
        <v>1.3630000000000001E-3</v>
      </c>
      <c r="V33" s="217">
        <f>'AEO 2023 Table 59 Raw'!Y24</f>
        <v>1.3240000000000001E-3</v>
      </c>
      <c r="W33" s="217">
        <f>'AEO 2023 Table 59 Raw'!Z24</f>
        <v>1.2869999999999999E-3</v>
      </c>
      <c r="X33" s="217">
        <f>'AEO 2023 Table 59 Raw'!AA24</f>
        <v>1.2520000000000001E-3</v>
      </c>
      <c r="Y33" s="217">
        <f>'AEO 2023 Table 59 Raw'!AB24</f>
        <v>1.2199999999999999E-3</v>
      </c>
      <c r="Z33" s="217">
        <f>'AEO 2023 Table 59 Raw'!AC24</f>
        <v>1.189E-3</v>
      </c>
      <c r="AA33" s="217">
        <f>'AEO 2023 Table 59 Raw'!AD24</f>
        <v>1.16E-3</v>
      </c>
      <c r="AB33" s="217">
        <f>'AEO 2023 Table 59 Raw'!AE24</f>
        <v>1.1329999999999999E-3</v>
      </c>
      <c r="AC33" s="217">
        <f>'AEO 2023 Table 59 Raw'!AF24</f>
        <v>1.1069999999999999E-3</v>
      </c>
      <c r="AD33" s="217">
        <f>'AEO 2023 Table 59 Raw'!AG24</f>
        <v>1.083E-3</v>
      </c>
      <c r="AE33" s="217">
        <f>'AEO 2023 Table 59 Raw'!AH24</f>
        <v>1.06E-3</v>
      </c>
      <c r="AF33" s="252">
        <f>'AEO 2023 Table 59 Raw'!AI24</f>
        <v>-3.9E-2</v>
      </c>
    </row>
    <row r="34" spans="1:32" ht="12" customHeight="1" x14ac:dyDescent="0.75">
      <c r="A34" s="212" t="s">
        <v>720</v>
      </c>
      <c r="B34" s="211" t="s">
        <v>589</v>
      </c>
      <c r="C34" s="217">
        <f>'AEO 2023 Table 59 Raw'!F25</f>
        <v>6.0769999999999999E-3</v>
      </c>
      <c r="D34" s="217">
        <f>'AEO 2023 Table 59 Raw'!G25</f>
        <v>9.2900000000000003E-4</v>
      </c>
      <c r="E34" s="217">
        <f>'AEO 2023 Table 59 Raw'!H25</f>
        <v>8.6200000000000003E-4</v>
      </c>
      <c r="F34" s="217">
        <f>'AEO 2023 Table 59 Raw'!I25</f>
        <v>8.0400000000000003E-4</v>
      </c>
      <c r="G34" s="217">
        <f>'AEO 2023 Table 59 Raw'!J25</f>
        <v>7.54E-4</v>
      </c>
      <c r="H34" s="217">
        <f>'AEO 2023 Table 59 Raw'!K25</f>
        <v>7.1100000000000004E-4</v>
      </c>
      <c r="I34" s="217">
        <f>'AEO 2023 Table 59 Raw'!L25</f>
        <v>0.124764</v>
      </c>
      <c r="J34" s="217">
        <f>'AEO 2023 Table 59 Raw'!M25</f>
        <v>0.18901499999999999</v>
      </c>
      <c r="K34" s="217">
        <f>'AEO 2023 Table 59 Raw'!N25</f>
        <v>0.214615</v>
      </c>
      <c r="L34" s="217">
        <f>'AEO 2023 Table 59 Raw'!O25</f>
        <v>0.228407</v>
      </c>
      <c r="M34" s="217">
        <f>'AEO 2023 Table 59 Raw'!P25</f>
        <v>0.23386000000000001</v>
      </c>
      <c r="N34" s="217">
        <f>'AEO 2023 Table 59 Raw'!Q25</f>
        <v>0.236571</v>
      </c>
      <c r="O34" s="217">
        <f>'AEO 2023 Table 59 Raw'!R25</f>
        <v>0.233322</v>
      </c>
      <c r="P34" s="217">
        <f>'AEO 2023 Table 59 Raw'!S25</f>
        <v>0.21798699999999999</v>
      </c>
      <c r="Q34" s="217">
        <f>'AEO 2023 Table 59 Raw'!T25</f>
        <v>0.227133</v>
      </c>
      <c r="R34" s="217">
        <f>'AEO 2023 Table 59 Raw'!U25</f>
        <v>0.218582</v>
      </c>
      <c r="S34" s="217">
        <f>'AEO 2023 Table 59 Raw'!V25</f>
        <v>0.197408</v>
      </c>
      <c r="T34" s="217">
        <f>'AEO 2023 Table 59 Raw'!W25</f>
        <v>0.20906</v>
      </c>
      <c r="U34" s="217">
        <f>'AEO 2023 Table 59 Raw'!X25</f>
        <v>0.213694</v>
      </c>
      <c r="V34" s="217">
        <f>'AEO 2023 Table 59 Raw'!Y25</f>
        <v>0.22999600000000001</v>
      </c>
      <c r="W34" s="217">
        <f>'AEO 2023 Table 59 Raw'!Z25</f>
        <v>0.22292400000000001</v>
      </c>
      <c r="X34" s="217">
        <f>'AEO 2023 Table 59 Raw'!AA25</f>
        <v>0.20801900000000001</v>
      </c>
      <c r="Y34" s="217">
        <f>'AEO 2023 Table 59 Raw'!AB25</f>
        <v>0.21846499999999999</v>
      </c>
      <c r="Z34" s="217">
        <f>'AEO 2023 Table 59 Raw'!AC25</f>
        <v>0.22952700000000001</v>
      </c>
      <c r="AA34" s="217">
        <f>'AEO 2023 Table 59 Raw'!AD25</f>
        <v>0.21261099999999999</v>
      </c>
      <c r="AB34" s="217">
        <f>'AEO 2023 Table 59 Raw'!AE25</f>
        <v>0.20011100000000001</v>
      </c>
      <c r="AC34" s="217">
        <f>'AEO 2023 Table 59 Raw'!AF25</f>
        <v>0.26777400000000001</v>
      </c>
      <c r="AD34" s="217">
        <f>'AEO 2023 Table 59 Raw'!AG25</f>
        <v>0.26754899999999998</v>
      </c>
      <c r="AE34" s="217">
        <f>'AEO 2023 Table 59 Raw'!AH25</f>
        <v>0.24740300000000001</v>
      </c>
      <c r="AF34" s="252">
        <f>'AEO 2023 Table 59 Raw'!AI25</f>
        <v>0.14199999999999999</v>
      </c>
    </row>
    <row r="35" spans="1:32" ht="12" customHeight="1" x14ac:dyDescent="0.75">
      <c r="A35" s="212" t="s">
        <v>721</v>
      </c>
      <c r="B35" s="211" t="s">
        <v>591</v>
      </c>
      <c r="C35" s="217">
        <f>'AEO 2023 Table 59 Raw'!F26</f>
        <v>0</v>
      </c>
      <c r="D35" s="217">
        <f>'AEO 2023 Table 59 Raw'!G26</f>
        <v>0</v>
      </c>
      <c r="E35" s="217">
        <f>'AEO 2023 Table 59 Raw'!H26</f>
        <v>0</v>
      </c>
      <c r="F35" s="217">
        <f>'AEO 2023 Table 59 Raw'!I26</f>
        <v>0</v>
      </c>
      <c r="G35" s="217">
        <f>'AEO 2023 Table 59 Raw'!J26</f>
        <v>0</v>
      </c>
      <c r="H35" s="217">
        <f>'AEO 2023 Table 59 Raw'!K26</f>
        <v>0</v>
      </c>
      <c r="I35" s="217">
        <f>'AEO 2023 Table 59 Raw'!L26</f>
        <v>0</v>
      </c>
      <c r="J35" s="217">
        <f>'AEO 2023 Table 59 Raw'!M26</f>
        <v>0</v>
      </c>
      <c r="K35" s="217">
        <f>'AEO 2023 Table 59 Raw'!N26</f>
        <v>0</v>
      </c>
      <c r="L35" s="217">
        <f>'AEO 2023 Table 59 Raw'!O26</f>
        <v>0</v>
      </c>
      <c r="M35" s="217">
        <f>'AEO 2023 Table 59 Raw'!P26</f>
        <v>0</v>
      </c>
      <c r="N35" s="217">
        <f>'AEO 2023 Table 59 Raw'!Q26</f>
        <v>0</v>
      </c>
      <c r="O35" s="217">
        <f>'AEO 2023 Table 59 Raw'!R26</f>
        <v>0</v>
      </c>
      <c r="P35" s="217">
        <f>'AEO 2023 Table 59 Raw'!S26</f>
        <v>0</v>
      </c>
      <c r="Q35" s="217">
        <f>'AEO 2023 Table 59 Raw'!T26</f>
        <v>0</v>
      </c>
      <c r="R35" s="217">
        <f>'AEO 2023 Table 59 Raw'!U26</f>
        <v>0</v>
      </c>
      <c r="S35" s="217">
        <f>'AEO 2023 Table 59 Raw'!V26</f>
        <v>0</v>
      </c>
      <c r="T35" s="217">
        <f>'AEO 2023 Table 59 Raw'!W26</f>
        <v>0</v>
      </c>
      <c r="U35" s="217">
        <f>'AEO 2023 Table 59 Raw'!X26</f>
        <v>0</v>
      </c>
      <c r="V35" s="217">
        <f>'AEO 2023 Table 59 Raw'!Y26</f>
        <v>0</v>
      </c>
      <c r="W35" s="217">
        <f>'AEO 2023 Table 59 Raw'!Z26</f>
        <v>0</v>
      </c>
      <c r="X35" s="217">
        <f>'AEO 2023 Table 59 Raw'!AA26</f>
        <v>0</v>
      </c>
      <c r="Y35" s="217">
        <f>'AEO 2023 Table 59 Raw'!AB26</f>
        <v>0</v>
      </c>
      <c r="Z35" s="217">
        <f>'AEO 2023 Table 59 Raw'!AC26</f>
        <v>0</v>
      </c>
      <c r="AA35" s="217">
        <f>'AEO 2023 Table 59 Raw'!AD26</f>
        <v>0</v>
      </c>
      <c r="AB35" s="217">
        <f>'AEO 2023 Table 59 Raw'!AE26</f>
        <v>0</v>
      </c>
      <c r="AC35" s="217">
        <f>'AEO 2023 Table 59 Raw'!AF26</f>
        <v>0</v>
      </c>
      <c r="AD35" s="217">
        <f>'AEO 2023 Table 59 Raw'!AG26</f>
        <v>0</v>
      </c>
      <c r="AE35" s="217">
        <f>'AEO 2023 Table 59 Raw'!AH26</f>
        <v>0</v>
      </c>
      <c r="AF35" s="252" t="str">
        <f>'AEO 2023 Table 59 Raw'!AI26</f>
        <v>- -</v>
      </c>
    </row>
    <row r="36" spans="1:32" ht="12" customHeight="1" x14ac:dyDescent="0.75">
      <c r="A36" s="212" t="s">
        <v>722</v>
      </c>
      <c r="B36" s="211" t="s">
        <v>587</v>
      </c>
      <c r="C36" s="217">
        <f>'AEO 2023 Table 59 Raw'!F27</f>
        <v>0</v>
      </c>
      <c r="D36" s="217">
        <f>'AEO 2023 Table 59 Raw'!G27</f>
        <v>0</v>
      </c>
      <c r="E36" s="217">
        <f>'AEO 2023 Table 59 Raw'!H27</f>
        <v>0</v>
      </c>
      <c r="F36" s="217">
        <f>'AEO 2023 Table 59 Raw'!I27</f>
        <v>0</v>
      </c>
      <c r="G36" s="217">
        <f>'AEO 2023 Table 59 Raw'!J27</f>
        <v>0</v>
      </c>
      <c r="H36" s="217">
        <f>'AEO 2023 Table 59 Raw'!K27</f>
        <v>0</v>
      </c>
      <c r="I36" s="217">
        <f>'AEO 2023 Table 59 Raw'!L27</f>
        <v>0</v>
      </c>
      <c r="J36" s="217">
        <f>'AEO 2023 Table 59 Raw'!M27</f>
        <v>0</v>
      </c>
      <c r="K36" s="217">
        <f>'AEO 2023 Table 59 Raw'!N27</f>
        <v>0</v>
      </c>
      <c r="L36" s="217">
        <f>'AEO 2023 Table 59 Raw'!O27</f>
        <v>0</v>
      </c>
      <c r="M36" s="217">
        <f>'AEO 2023 Table 59 Raw'!P27</f>
        <v>0</v>
      </c>
      <c r="N36" s="217">
        <f>'AEO 2023 Table 59 Raw'!Q27</f>
        <v>0</v>
      </c>
      <c r="O36" s="217">
        <f>'AEO 2023 Table 59 Raw'!R27</f>
        <v>0</v>
      </c>
      <c r="P36" s="217">
        <f>'AEO 2023 Table 59 Raw'!S27</f>
        <v>0</v>
      </c>
      <c r="Q36" s="217">
        <f>'AEO 2023 Table 59 Raw'!T27</f>
        <v>0</v>
      </c>
      <c r="R36" s="217">
        <f>'AEO 2023 Table 59 Raw'!U27</f>
        <v>0</v>
      </c>
      <c r="S36" s="217">
        <f>'AEO 2023 Table 59 Raw'!V27</f>
        <v>0</v>
      </c>
      <c r="T36" s="217">
        <f>'AEO 2023 Table 59 Raw'!W27</f>
        <v>0</v>
      </c>
      <c r="U36" s="217">
        <f>'AEO 2023 Table 59 Raw'!X27</f>
        <v>0</v>
      </c>
      <c r="V36" s="217">
        <f>'AEO 2023 Table 59 Raw'!Y27</f>
        <v>0</v>
      </c>
      <c r="W36" s="217">
        <f>'AEO 2023 Table 59 Raw'!Z27</f>
        <v>0</v>
      </c>
      <c r="X36" s="217">
        <f>'AEO 2023 Table 59 Raw'!AA27</f>
        <v>0</v>
      </c>
      <c r="Y36" s="217">
        <f>'AEO 2023 Table 59 Raw'!AB27</f>
        <v>0</v>
      </c>
      <c r="Z36" s="217">
        <f>'AEO 2023 Table 59 Raw'!AC27</f>
        <v>0</v>
      </c>
      <c r="AA36" s="217">
        <f>'AEO 2023 Table 59 Raw'!AD27</f>
        <v>0</v>
      </c>
      <c r="AB36" s="217">
        <f>'AEO 2023 Table 59 Raw'!AE27</f>
        <v>0</v>
      </c>
      <c r="AC36" s="217">
        <f>'AEO 2023 Table 59 Raw'!AF27</f>
        <v>0</v>
      </c>
      <c r="AD36" s="217">
        <f>'AEO 2023 Table 59 Raw'!AG27</f>
        <v>0</v>
      </c>
      <c r="AE36" s="217">
        <f>'AEO 2023 Table 59 Raw'!AH27</f>
        <v>0</v>
      </c>
      <c r="AF36" s="252" t="str">
        <f>'AEO 2023 Table 59 Raw'!AI27</f>
        <v>- -</v>
      </c>
    </row>
    <row r="37" spans="1:32" ht="12" customHeight="1" x14ac:dyDescent="0.75">
      <c r="A37" s="212" t="s">
        <v>723</v>
      </c>
      <c r="B37" s="211" t="s">
        <v>589</v>
      </c>
      <c r="C37" s="217">
        <f>'AEO 2023 Table 59 Raw'!F28</f>
        <v>0</v>
      </c>
      <c r="D37" s="217">
        <f>'AEO 2023 Table 59 Raw'!G28</f>
        <v>0</v>
      </c>
      <c r="E37" s="217">
        <f>'AEO 2023 Table 59 Raw'!H28</f>
        <v>0</v>
      </c>
      <c r="F37" s="217">
        <f>'AEO 2023 Table 59 Raw'!I28</f>
        <v>0</v>
      </c>
      <c r="G37" s="217">
        <f>'AEO 2023 Table 59 Raw'!J28</f>
        <v>0</v>
      </c>
      <c r="H37" s="217">
        <f>'AEO 2023 Table 59 Raw'!K28</f>
        <v>0</v>
      </c>
      <c r="I37" s="217">
        <f>'AEO 2023 Table 59 Raw'!L28</f>
        <v>0</v>
      </c>
      <c r="J37" s="217">
        <f>'AEO 2023 Table 59 Raw'!M28</f>
        <v>0</v>
      </c>
      <c r="K37" s="217">
        <f>'AEO 2023 Table 59 Raw'!N28</f>
        <v>0</v>
      </c>
      <c r="L37" s="217">
        <f>'AEO 2023 Table 59 Raw'!O28</f>
        <v>0</v>
      </c>
      <c r="M37" s="217">
        <f>'AEO 2023 Table 59 Raw'!P28</f>
        <v>0</v>
      </c>
      <c r="N37" s="217">
        <f>'AEO 2023 Table 59 Raw'!Q28</f>
        <v>0</v>
      </c>
      <c r="O37" s="217">
        <f>'AEO 2023 Table 59 Raw'!R28</f>
        <v>0</v>
      </c>
      <c r="P37" s="217">
        <f>'AEO 2023 Table 59 Raw'!S28</f>
        <v>0</v>
      </c>
      <c r="Q37" s="217">
        <f>'AEO 2023 Table 59 Raw'!T28</f>
        <v>0</v>
      </c>
      <c r="R37" s="217">
        <f>'AEO 2023 Table 59 Raw'!U28</f>
        <v>0</v>
      </c>
      <c r="S37" s="217">
        <f>'AEO 2023 Table 59 Raw'!V28</f>
        <v>0</v>
      </c>
      <c r="T37" s="217">
        <f>'AEO 2023 Table 59 Raw'!W28</f>
        <v>0</v>
      </c>
      <c r="U37" s="217">
        <f>'AEO 2023 Table 59 Raw'!X28</f>
        <v>0</v>
      </c>
      <c r="V37" s="217">
        <f>'AEO 2023 Table 59 Raw'!Y28</f>
        <v>0</v>
      </c>
      <c r="W37" s="217">
        <f>'AEO 2023 Table 59 Raw'!Z28</f>
        <v>0</v>
      </c>
      <c r="X37" s="217">
        <f>'AEO 2023 Table 59 Raw'!AA28</f>
        <v>0</v>
      </c>
      <c r="Y37" s="217">
        <f>'AEO 2023 Table 59 Raw'!AB28</f>
        <v>0</v>
      </c>
      <c r="Z37" s="217">
        <f>'AEO 2023 Table 59 Raw'!AC28</f>
        <v>0</v>
      </c>
      <c r="AA37" s="217">
        <f>'AEO 2023 Table 59 Raw'!AD28</f>
        <v>0</v>
      </c>
      <c r="AB37" s="217">
        <f>'AEO 2023 Table 59 Raw'!AE28</f>
        <v>0</v>
      </c>
      <c r="AC37" s="217">
        <f>'AEO 2023 Table 59 Raw'!AF28</f>
        <v>0</v>
      </c>
      <c r="AD37" s="217">
        <f>'AEO 2023 Table 59 Raw'!AG28</f>
        <v>0</v>
      </c>
      <c r="AE37" s="217">
        <f>'AEO 2023 Table 59 Raw'!AH28</f>
        <v>0</v>
      </c>
      <c r="AF37" s="252" t="str">
        <f>'AEO 2023 Table 59 Raw'!AI28</f>
        <v>- -</v>
      </c>
    </row>
    <row r="38" spans="1:32" ht="12" customHeight="1" x14ac:dyDescent="0.65">
      <c r="C38" s="217"/>
      <c r="D38" s="217"/>
      <c r="E38" s="217"/>
      <c r="F38" s="217"/>
      <c r="G38" s="217"/>
      <c r="H38" s="217"/>
      <c r="I38" s="217"/>
      <c r="J38" s="217"/>
      <c r="K38" s="217"/>
      <c r="L38" s="217"/>
      <c r="M38" s="217"/>
      <c r="N38" s="217"/>
      <c r="O38" s="217"/>
      <c r="P38" s="217"/>
      <c r="Q38" s="217"/>
      <c r="R38" s="217"/>
      <c r="S38" s="217"/>
      <c r="T38" s="217"/>
      <c r="U38" s="217"/>
      <c r="V38" s="217"/>
      <c r="W38" s="217"/>
      <c r="X38" s="217"/>
      <c r="Y38" s="217"/>
      <c r="Z38" s="217"/>
      <c r="AA38" s="217"/>
      <c r="AB38" s="217"/>
      <c r="AC38" s="217"/>
      <c r="AD38" s="217"/>
      <c r="AE38" s="217"/>
      <c r="AF38" s="252"/>
    </row>
    <row r="39" spans="1:32" ht="12" customHeight="1" x14ac:dyDescent="0.65">
      <c r="C39" s="217"/>
      <c r="D39" s="217"/>
      <c r="E39" s="217"/>
      <c r="F39" s="217"/>
      <c r="G39" s="217"/>
      <c r="H39" s="217"/>
      <c r="I39" s="217"/>
      <c r="J39" s="217"/>
      <c r="K39" s="217"/>
      <c r="L39" s="217"/>
      <c r="M39" s="217"/>
      <c r="N39" s="217"/>
      <c r="O39" s="217"/>
      <c r="P39" s="217"/>
      <c r="Q39" s="217"/>
      <c r="R39" s="217"/>
      <c r="S39" s="217"/>
      <c r="T39" s="217"/>
      <c r="U39" s="217"/>
      <c r="V39" s="217"/>
      <c r="W39" s="217"/>
      <c r="X39" s="217"/>
      <c r="Y39" s="217"/>
      <c r="Z39" s="217"/>
      <c r="AA39" s="217"/>
      <c r="AB39" s="217"/>
      <c r="AC39" s="217"/>
      <c r="AD39" s="217"/>
      <c r="AE39" s="217"/>
      <c r="AF39" s="252"/>
    </row>
    <row r="40" spans="1:32" ht="12" customHeight="1" x14ac:dyDescent="0.65">
      <c r="B40" s="215" t="s">
        <v>669</v>
      </c>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52"/>
    </row>
    <row r="41" spans="1:32" ht="12" customHeight="1" x14ac:dyDescent="0.65">
      <c r="B41" s="215" t="s">
        <v>724</v>
      </c>
      <c r="C41" s="217"/>
      <c r="D41" s="217"/>
      <c r="E41" s="217"/>
      <c r="F41" s="217"/>
      <c r="G41" s="217"/>
      <c r="H41" s="217"/>
      <c r="I41" s="217"/>
      <c r="J41" s="217"/>
      <c r="K41" s="217"/>
      <c r="L41" s="217"/>
      <c r="M41" s="217"/>
      <c r="N41" s="217"/>
      <c r="O41" s="217"/>
      <c r="P41" s="217"/>
      <c r="Q41" s="217"/>
      <c r="R41" s="217"/>
      <c r="S41" s="217"/>
      <c r="T41" s="217"/>
      <c r="U41" s="217"/>
      <c r="V41" s="217"/>
      <c r="W41" s="217"/>
      <c r="X41" s="217"/>
      <c r="Y41" s="217"/>
      <c r="Z41" s="217"/>
      <c r="AA41" s="217"/>
      <c r="AB41" s="217"/>
      <c r="AC41" s="217"/>
      <c r="AD41" s="217"/>
      <c r="AE41" s="217"/>
      <c r="AF41" s="252"/>
    </row>
    <row r="42" spans="1:32" ht="12" customHeight="1" x14ac:dyDescent="0.75">
      <c r="A42" s="212" t="s">
        <v>725</v>
      </c>
      <c r="B42" s="211" t="s">
        <v>726</v>
      </c>
      <c r="C42" s="217">
        <f>'AEO 2023 Table 59 Raw'!F31</f>
        <v>6.5239969999999996</v>
      </c>
      <c r="D42" s="217">
        <f>'AEO 2023 Table 59 Raw'!G31</f>
        <v>5.2663760000000002</v>
      </c>
      <c r="E42" s="217">
        <f>'AEO 2023 Table 59 Raw'!H31</f>
        <v>4.072381</v>
      </c>
      <c r="F42" s="217">
        <f>'AEO 2023 Table 59 Raw'!I31</f>
        <v>3.4895139999999998</v>
      </c>
      <c r="G42" s="217">
        <f>'AEO 2023 Table 59 Raw'!J31</f>
        <v>3.0655079999999999</v>
      </c>
      <c r="H42" s="217">
        <f>'AEO 2023 Table 59 Raw'!K31</f>
        <v>2.8530009999999999</v>
      </c>
      <c r="I42" s="217">
        <f>'AEO 2023 Table 59 Raw'!L31</f>
        <v>2.7999040000000002</v>
      </c>
      <c r="J42" s="217">
        <f>'AEO 2023 Table 59 Raw'!M31</f>
        <v>2.825097</v>
      </c>
      <c r="K42" s="217">
        <f>'AEO 2023 Table 59 Raw'!N31</f>
        <v>2.91248</v>
      </c>
      <c r="L42" s="217">
        <f>'AEO 2023 Table 59 Raw'!O31</f>
        <v>3.043758</v>
      </c>
      <c r="M42" s="217">
        <f>'AEO 2023 Table 59 Raw'!P31</f>
        <v>3.2080039999999999</v>
      </c>
      <c r="N42" s="217">
        <f>'AEO 2023 Table 59 Raw'!Q31</f>
        <v>3.4169179999999999</v>
      </c>
      <c r="O42" s="217">
        <f>'AEO 2023 Table 59 Raw'!R31</f>
        <v>3.5694300000000001</v>
      </c>
      <c r="P42" s="217">
        <f>'AEO 2023 Table 59 Raw'!S31</f>
        <v>3.6818240000000002</v>
      </c>
      <c r="Q42" s="217">
        <f>'AEO 2023 Table 59 Raw'!T31</f>
        <v>3.6941549999999999</v>
      </c>
      <c r="R42" s="217">
        <f>'AEO 2023 Table 59 Raw'!U31</f>
        <v>3.7375959999999999</v>
      </c>
      <c r="S42" s="217">
        <f>'AEO 2023 Table 59 Raw'!V31</f>
        <v>3.8665609999999999</v>
      </c>
      <c r="T42" s="217">
        <f>'AEO 2023 Table 59 Raw'!W31</f>
        <v>3.78878</v>
      </c>
      <c r="U42" s="217">
        <f>'AEO 2023 Table 59 Raw'!X31</f>
        <v>3.9380649999999999</v>
      </c>
      <c r="V42" s="217">
        <f>'AEO 2023 Table 59 Raw'!Y31</f>
        <v>4.0221549999999997</v>
      </c>
      <c r="W42" s="217">
        <f>'AEO 2023 Table 59 Raw'!Z31</f>
        <v>4.0147370000000002</v>
      </c>
      <c r="X42" s="217">
        <f>'AEO 2023 Table 59 Raw'!AA31</f>
        <v>3.9506160000000001</v>
      </c>
      <c r="Y42" s="217">
        <f>'AEO 2023 Table 59 Raw'!AB31</f>
        <v>3.9137680000000001</v>
      </c>
      <c r="Z42" s="217">
        <f>'AEO 2023 Table 59 Raw'!AC31</f>
        <v>3.9107059999999998</v>
      </c>
      <c r="AA42" s="217">
        <f>'AEO 2023 Table 59 Raw'!AD31</f>
        <v>3.9070830000000001</v>
      </c>
      <c r="AB42" s="217">
        <f>'AEO 2023 Table 59 Raw'!AE31</f>
        <v>3.8707060000000002</v>
      </c>
      <c r="AC42" s="217">
        <f>'AEO 2023 Table 59 Raw'!AF31</f>
        <v>3.849094</v>
      </c>
      <c r="AD42" s="217">
        <f>'AEO 2023 Table 59 Raw'!AG31</f>
        <v>3.7838949999999998</v>
      </c>
      <c r="AE42" s="217">
        <f>'AEO 2023 Table 59 Raw'!AH31</f>
        <v>3.7710149999999998</v>
      </c>
      <c r="AF42" s="252">
        <f>'AEO 2023 Table 59 Raw'!AI31</f>
        <v>-1.9E-2</v>
      </c>
    </row>
    <row r="43" spans="1:32" ht="12" customHeight="1" x14ac:dyDescent="0.75">
      <c r="A43" s="212" t="s">
        <v>727</v>
      </c>
      <c r="B43" s="211" t="s">
        <v>728</v>
      </c>
      <c r="C43" s="217">
        <f>'AEO 2023 Table 59 Raw'!F32</f>
        <v>5.108581</v>
      </c>
      <c r="D43" s="217">
        <f>'AEO 2023 Table 59 Raw'!G32</f>
        <v>4.4967220000000001</v>
      </c>
      <c r="E43" s="217">
        <f>'AEO 2023 Table 59 Raw'!H32</f>
        <v>3.4699879999999999</v>
      </c>
      <c r="F43" s="217">
        <f>'AEO 2023 Table 59 Raw'!I32</f>
        <v>2.892442</v>
      </c>
      <c r="G43" s="217">
        <f>'AEO 2023 Table 59 Raw'!J32</f>
        <v>2.4597579999999999</v>
      </c>
      <c r="H43" s="217">
        <f>'AEO 2023 Table 59 Raw'!K32</f>
        <v>2.2255189999999998</v>
      </c>
      <c r="I43" s="217">
        <f>'AEO 2023 Table 59 Raw'!L32</f>
        <v>2.1330260000000001</v>
      </c>
      <c r="J43" s="217">
        <f>'AEO 2023 Table 59 Raw'!M32</f>
        <v>2.1154679999999999</v>
      </c>
      <c r="K43" s="217">
        <f>'AEO 2023 Table 59 Raw'!N32</f>
        <v>2.1566519999999998</v>
      </c>
      <c r="L43" s="217">
        <f>'AEO 2023 Table 59 Raw'!O32</f>
        <v>2.2405629999999999</v>
      </c>
      <c r="M43" s="217">
        <f>'AEO 2023 Table 59 Raw'!P32</f>
        <v>2.33826</v>
      </c>
      <c r="N43" s="217">
        <f>'AEO 2023 Table 59 Raw'!Q32</f>
        <v>2.4639769999999999</v>
      </c>
      <c r="O43" s="217">
        <f>'AEO 2023 Table 59 Raw'!R32</f>
        <v>2.575345</v>
      </c>
      <c r="P43" s="217">
        <f>'AEO 2023 Table 59 Raw'!S32</f>
        <v>2.6765279999999998</v>
      </c>
      <c r="Q43" s="217">
        <f>'AEO 2023 Table 59 Raw'!T32</f>
        <v>2.713635</v>
      </c>
      <c r="R43" s="217">
        <f>'AEO 2023 Table 59 Raw'!U32</f>
        <v>2.761968</v>
      </c>
      <c r="S43" s="217">
        <f>'AEO 2023 Table 59 Raw'!V32</f>
        <v>2.8671609999999998</v>
      </c>
      <c r="T43" s="217">
        <f>'AEO 2023 Table 59 Raw'!W32</f>
        <v>2.848468</v>
      </c>
      <c r="U43" s="217">
        <f>'AEO 2023 Table 59 Raw'!X32</f>
        <v>2.9408919999999998</v>
      </c>
      <c r="V43" s="217">
        <f>'AEO 2023 Table 59 Raw'!Y32</f>
        <v>2.988464</v>
      </c>
      <c r="W43" s="217">
        <f>'AEO 2023 Table 59 Raw'!Z32</f>
        <v>2.962466</v>
      </c>
      <c r="X43" s="217">
        <f>'AEO 2023 Table 59 Raw'!AA32</f>
        <v>2.906876</v>
      </c>
      <c r="Y43" s="217">
        <f>'AEO 2023 Table 59 Raw'!AB32</f>
        <v>2.867534</v>
      </c>
      <c r="Z43" s="217">
        <f>'AEO 2023 Table 59 Raw'!AC32</f>
        <v>2.843702</v>
      </c>
      <c r="AA43" s="217">
        <f>'AEO 2023 Table 59 Raw'!AD32</f>
        <v>2.8171309999999998</v>
      </c>
      <c r="AB43" s="217">
        <f>'AEO 2023 Table 59 Raw'!AE32</f>
        <v>2.7773189999999999</v>
      </c>
      <c r="AC43" s="217">
        <f>'AEO 2023 Table 59 Raw'!AF32</f>
        <v>2.7427380000000001</v>
      </c>
      <c r="AD43" s="217">
        <f>'AEO 2023 Table 59 Raw'!AG32</f>
        <v>2.6932330000000002</v>
      </c>
      <c r="AE43" s="217">
        <f>'AEO 2023 Table 59 Raw'!AH32</f>
        <v>2.6760290000000002</v>
      </c>
      <c r="AF43" s="252">
        <f>'AEO 2023 Table 59 Raw'!AI32</f>
        <v>-2.3E-2</v>
      </c>
    </row>
    <row r="44" spans="1:32" ht="12" customHeight="1" x14ac:dyDescent="0.65">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52"/>
    </row>
    <row r="45" spans="1:32" ht="12" customHeight="1" x14ac:dyDescent="0.65">
      <c r="B45" s="215" t="s">
        <v>729</v>
      </c>
      <c r="C45" s="217"/>
      <c r="D45" s="217"/>
      <c r="E45" s="217"/>
      <c r="F45" s="217"/>
      <c r="G45" s="217"/>
      <c r="H45" s="217"/>
      <c r="I45" s="217"/>
      <c r="J45" s="217"/>
      <c r="K45" s="217"/>
      <c r="L45" s="217"/>
      <c r="M45" s="217"/>
      <c r="N45" s="217"/>
      <c r="O45" s="217"/>
      <c r="P45" s="217"/>
      <c r="Q45" s="217"/>
      <c r="R45" s="217"/>
      <c r="S45" s="217"/>
      <c r="T45" s="217"/>
      <c r="U45" s="217"/>
      <c r="V45" s="217"/>
      <c r="W45" s="217"/>
      <c r="X45" s="217"/>
      <c r="Y45" s="217"/>
      <c r="Z45" s="217"/>
      <c r="AA45" s="217"/>
      <c r="AB45" s="217"/>
      <c r="AC45" s="217"/>
      <c r="AD45" s="217"/>
      <c r="AE45" s="217"/>
      <c r="AF45" s="252"/>
    </row>
    <row r="46" spans="1:32" ht="12" customHeight="1" x14ac:dyDescent="0.75">
      <c r="A46" s="212" t="s">
        <v>730</v>
      </c>
      <c r="B46" s="211" t="s">
        <v>728</v>
      </c>
      <c r="C46" s="217">
        <f>'AEO 2023 Table 59 Raw'!F34</f>
        <v>5.2975979999999998</v>
      </c>
      <c r="D46" s="217">
        <f>'AEO 2023 Table 59 Raw'!G34</f>
        <v>4.6631</v>
      </c>
      <c r="E46" s="217">
        <f>'AEO 2023 Table 59 Raw'!H34</f>
        <v>3.5983779999999999</v>
      </c>
      <c r="F46" s="217">
        <f>'AEO 2023 Table 59 Raw'!I34</f>
        <v>2.9994619999999999</v>
      </c>
      <c r="G46" s="217">
        <f>'AEO 2023 Table 59 Raw'!J34</f>
        <v>2.5507680000000001</v>
      </c>
      <c r="H46" s="217">
        <f>'AEO 2023 Table 59 Raw'!K34</f>
        <v>2.3078630000000002</v>
      </c>
      <c r="I46" s="217">
        <f>'AEO 2023 Table 59 Raw'!L34</f>
        <v>2.211948</v>
      </c>
      <c r="J46" s="217">
        <f>'AEO 2023 Table 59 Raw'!M34</f>
        <v>2.19374</v>
      </c>
      <c r="K46" s="217">
        <f>'AEO 2023 Table 59 Raw'!N34</f>
        <v>2.2364480000000002</v>
      </c>
      <c r="L46" s="217">
        <f>'AEO 2023 Table 59 Raw'!O34</f>
        <v>2.323464</v>
      </c>
      <c r="M46" s="217">
        <f>'AEO 2023 Table 59 Raw'!P34</f>
        <v>2.424776</v>
      </c>
      <c r="N46" s="217">
        <f>'AEO 2023 Table 59 Raw'!Q34</f>
        <v>2.5551439999999999</v>
      </c>
      <c r="O46" s="217">
        <f>'AEO 2023 Table 59 Raw'!R34</f>
        <v>2.6706319999999999</v>
      </c>
      <c r="P46" s="217">
        <f>'AEO 2023 Table 59 Raw'!S34</f>
        <v>2.7755589999999999</v>
      </c>
      <c r="Q46" s="217">
        <f>'AEO 2023 Table 59 Raw'!T34</f>
        <v>2.8140399999999999</v>
      </c>
      <c r="R46" s="217">
        <f>'AEO 2023 Table 59 Raw'!U34</f>
        <v>2.8641610000000002</v>
      </c>
      <c r="S46" s="217">
        <f>'AEO 2023 Table 59 Raw'!V34</f>
        <v>2.9732460000000001</v>
      </c>
      <c r="T46" s="217">
        <f>'AEO 2023 Table 59 Raw'!W34</f>
        <v>2.9538609999999998</v>
      </c>
      <c r="U46" s="217">
        <f>'AEO 2023 Table 59 Raw'!X34</f>
        <v>3.0497040000000002</v>
      </c>
      <c r="V46" s="217">
        <f>'AEO 2023 Table 59 Raw'!Y34</f>
        <v>3.099037</v>
      </c>
      <c r="W46" s="217">
        <f>'AEO 2023 Table 59 Raw'!Z34</f>
        <v>3.0720770000000002</v>
      </c>
      <c r="X46" s="217">
        <f>'AEO 2023 Table 59 Raw'!AA34</f>
        <v>3.0144299999999999</v>
      </c>
      <c r="Y46" s="217">
        <f>'AEO 2023 Table 59 Raw'!AB34</f>
        <v>2.973633</v>
      </c>
      <c r="Z46" s="217">
        <f>'AEO 2023 Table 59 Raw'!AC34</f>
        <v>2.9489179999999999</v>
      </c>
      <c r="AA46" s="217">
        <f>'AEO 2023 Table 59 Raw'!AD34</f>
        <v>2.9213650000000002</v>
      </c>
      <c r="AB46" s="217">
        <f>'AEO 2023 Table 59 Raw'!AE34</f>
        <v>2.88008</v>
      </c>
      <c r="AC46" s="217">
        <f>'AEO 2023 Table 59 Raw'!AF34</f>
        <v>2.8442189999999998</v>
      </c>
      <c r="AD46" s="217">
        <f>'AEO 2023 Table 59 Raw'!AG34</f>
        <v>2.7928829999999998</v>
      </c>
      <c r="AE46" s="217">
        <f>'AEO 2023 Table 59 Raw'!AH34</f>
        <v>2.775042</v>
      </c>
      <c r="AF46" s="252">
        <f>'AEO 2023 Table 59 Raw'!AI34</f>
        <v>-2.3E-2</v>
      </c>
    </row>
    <row r="47" spans="1:32" ht="12" customHeight="1" x14ac:dyDescent="0.65">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c r="AA47" s="217"/>
      <c r="AB47" s="217"/>
      <c r="AC47" s="217"/>
      <c r="AD47" s="217"/>
      <c r="AE47" s="217"/>
      <c r="AF47" s="252"/>
    </row>
    <row r="48" spans="1:32" ht="12" customHeight="1" x14ac:dyDescent="0.65">
      <c r="B48" s="215" t="s">
        <v>731</v>
      </c>
      <c r="C48" s="217"/>
      <c r="D48" s="217"/>
      <c r="E48" s="217"/>
      <c r="F48" s="217"/>
      <c r="G48" s="217"/>
      <c r="H48" s="217"/>
      <c r="I48" s="217"/>
      <c r="J48" s="217"/>
      <c r="K48" s="217"/>
      <c r="L48" s="217"/>
      <c r="M48" s="217"/>
      <c r="N48" s="217"/>
      <c r="O48" s="217"/>
      <c r="P48" s="217"/>
      <c r="Q48" s="217"/>
      <c r="R48" s="217"/>
      <c r="S48" s="217"/>
      <c r="T48" s="217"/>
      <c r="U48" s="217"/>
      <c r="V48" s="217"/>
      <c r="W48" s="217"/>
      <c r="X48" s="217"/>
      <c r="Y48" s="217"/>
      <c r="Z48" s="217"/>
      <c r="AA48" s="217"/>
      <c r="AB48" s="217"/>
      <c r="AC48" s="217"/>
      <c r="AD48" s="217"/>
      <c r="AE48" s="217"/>
      <c r="AF48" s="252"/>
    </row>
    <row r="49" spans="1:32" ht="12" customHeight="1" x14ac:dyDescent="0.75">
      <c r="A49" s="212" t="s">
        <v>732</v>
      </c>
      <c r="B49" s="211" t="s">
        <v>733</v>
      </c>
      <c r="C49" s="217">
        <f>'AEO 2023 Table 59 Raw'!F36</f>
        <v>4.4959629999999997</v>
      </c>
      <c r="D49" s="217">
        <f>'AEO 2023 Table 59 Raw'!G36</f>
        <v>4.4082569999999999</v>
      </c>
      <c r="E49" s="217">
        <f>'AEO 2023 Table 59 Raw'!H36</f>
        <v>3.4397419999999999</v>
      </c>
      <c r="F49" s="217">
        <f>'AEO 2023 Table 59 Raw'!I36</f>
        <v>2.8283160000000001</v>
      </c>
      <c r="G49" s="217">
        <f>'AEO 2023 Table 59 Raw'!J36</f>
        <v>2.3670089999999999</v>
      </c>
      <c r="H49" s="217">
        <f>'AEO 2023 Table 59 Raw'!K36</f>
        <v>2.1059209999999999</v>
      </c>
      <c r="I49" s="217">
        <f>'AEO 2023 Table 59 Raw'!L36</f>
        <v>1.9708650000000001</v>
      </c>
      <c r="J49" s="217">
        <f>'AEO 2023 Table 59 Raw'!M36</f>
        <v>1.9037379999999999</v>
      </c>
      <c r="K49" s="217">
        <f>'AEO 2023 Table 59 Raw'!N36</f>
        <v>1.88818</v>
      </c>
      <c r="L49" s="217">
        <f>'AEO 2023 Table 59 Raw'!O36</f>
        <v>1.908919</v>
      </c>
      <c r="M49" s="217">
        <f>'AEO 2023 Table 59 Raw'!P36</f>
        <v>1.9521790000000001</v>
      </c>
      <c r="N49" s="217">
        <f>'AEO 2023 Table 59 Raw'!Q36</f>
        <v>2.013541</v>
      </c>
      <c r="O49" s="217">
        <f>'AEO 2023 Table 59 Raw'!R36</f>
        <v>2.0847609999999999</v>
      </c>
      <c r="P49" s="217">
        <f>'AEO 2023 Table 59 Raw'!S36</f>
        <v>2.159367</v>
      </c>
      <c r="Q49" s="217">
        <f>'AEO 2023 Table 59 Raw'!T36</f>
        <v>2.213028</v>
      </c>
      <c r="R49" s="217">
        <f>'AEO 2023 Table 59 Raw'!U36</f>
        <v>2.2716859999999999</v>
      </c>
      <c r="S49" s="217">
        <f>'AEO 2023 Table 59 Raw'!V36</f>
        <v>2.3547530000000001</v>
      </c>
      <c r="T49" s="217">
        <f>'AEO 2023 Table 59 Raw'!W36</f>
        <v>2.391489</v>
      </c>
      <c r="U49" s="217">
        <f>'AEO 2023 Table 59 Raw'!X36</f>
        <v>2.4335049999999998</v>
      </c>
      <c r="V49" s="217">
        <f>'AEO 2023 Table 59 Raw'!Y36</f>
        <v>2.4477760000000002</v>
      </c>
      <c r="W49" s="217">
        <f>'AEO 2023 Table 59 Raw'!Z36</f>
        <v>2.4048090000000002</v>
      </c>
      <c r="X49" s="217">
        <f>'AEO 2023 Table 59 Raw'!AA36</f>
        <v>2.3516710000000001</v>
      </c>
      <c r="Y49" s="217">
        <f>'AEO 2023 Table 59 Raw'!AB36</f>
        <v>2.3198470000000002</v>
      </c>
      <c r="Z49" s="217">
        <f>'AEO 2023 Table 59 Raw'!AC36</f>
        <v>2.281933</v>
      </c>
      <c r="AA49" s="217">
        <f>'AEO 2023 Table 59 Raw'!AD36</f>
        <v>2.246254</v>
      </c>
      <c r="AB49" s="217">
        <f>'AEO 2023 Table 59 Raw'!AE36</f>
        <v>2.1983990000000002</v>
      </c>
      <c r="AC49" s="217">
        <f>'AEO 2023 Table 59 Raw'!AF36</f>
        <v>2.1485880000000002</v>
      </c>
      <c r="AD49" s="217">
        <f>'AEO 2023 Table 59 Raw'!AG36</f>
        <v>2.104743</v>
      </c>
      <c r="AE49" s="217">
        <f>'AEO 2023 Table 59 Raw'!AH36</f>
        <v>2.0810490000000001</v>
      </c>
      <c r="AF49" s="252">
        <f>'AEO 2023 Table 59 Raw'!AI36</f>
        <v>-2.7E-2</v>
      </c>
    </row>
    <row r="50" spans="1:32" ht="15" customHeight="1" x14ac:dyDescent="0.75">
      <c r="A50" s="212" t="s">
        <v>734</v>
      </c>
      <c r="B50" s="211" t="s">
        <v>735</v>
      </c>
      <c r="C50" s="217">
        <f>'AEO 2023 Table 59 Raw'!F37</f>
        <v>6.3429729999999998</v>
      </c>
      <c r="D50" s="217">
        <f>'AEO 2023 Table 59 Raw'!G37</f>
        <v>5.0638860000000001</v>
      </c>
      <c r="E50" s="217">
        <f>'AEO 2023 Table 59 Raw'!H37</f>
        <v>3.8424939999999999</v>
      </c>
      <c r="F50" s="217">
        <f>'AEO 2023 Table 59 Raw'!I37</f>
        <v>3.246102</v>
      </c>
      <c r="G50" s="217">
        <f>'AEO 2023 Table 59 Raw'!J37</f>
        <v>2.8130739999999999</v>
      </c>
      <c r="H50" s="217">
        <f>'AEO 2023 Table 59 Raw'!K37</f>
        <v>2.5968300000000002</v>
      </c>
      <c r="I50" s="217">
        <f>'AEO 2023 Table 59 Raw'!L37</f>
        <v>2.544311</v>
      </c>
      <c r="J50" s="217">
        <f>'AEO 2023 Table 59 Raw'!M37</f>
        <v>2.5725560000000001</v>
      </c>
      <c r="K50" s="217">
        <f>'AEO 2023 Table 59 Raw'!N37</f>
        <v>2.6718120000000001</v>
      </c>
      <c r="L50" s="217">
        <f>'AEO 2023 Table 59 Raw'!O37</f>
        <v>2.8189120000000001</v>
      </c>
      <c r="M50" s="217">
        <f>'AEO 2023 Table 59 Raw'!P37</f>
        <v>2.9821749999999998</v>
      </c>
      <c r="N50" s="217">
        <f>'AEO 2023 Table 59 Raw'!Q37</f>
        <v>3.184034</v>
      </c>
      <c r="O50" s="217">
        <f>'AEO 2023 Table 59 Raw'!R37</f>
        <v>3.3399139999999998</v>
      </c>
      <c r="P50" s="217">
        <f>'AEO 2023 Table 59 Raw'!S37</f>
        <v>3.467139</v>
      </c>
      <c r="Q50" s="217">
        <f>'AEO 2023 Table 59 Raw'!T37</f>
        <v>3.4780950000000002</v>
      </c>
      <c r="R50" s="217">
        <f>'AEO 2023 Table 59 Raw'!U37</f>
        <v>3.5141309999999999</v>
      </c>
      <c r="S50" s="217">
        <f>'AEO 2023 Table 59 Raw'!V37</f>
        <v>3.6485919999999998</v>
      </c>
      <c r="T50" s="217">
        <f>'AEO 2023 Table 59 Raw'!W37</f>
        <v>3.5646909999999998</v>
      </c>
      <c r="U50" s="217">
        <f>'AEO 2023 Table 59 Raw'!X37</f>
        <v>3.7171240000000001</v>
      </c>
      <c r="V50" s="217">
        <f>'AEO 2023 Table 59 Raw'!Y37</f>
        <v>3.8010280000000001</v>
      </c>
      <c r="W50" s="217">
        <f>'AEO 2023 Table 59 Raw'!Z37</f>
        <v>3.7923230000000001</v>
      </c>
      <c r="X50" s="217">
        <f>'AEO 2023 Table 59 Raw'!AA37</f>
        <v>3.7256070000000001</v>
      </c>
      <c r="Y50" s="217">
        <f>'AEO 2023 Table 59 Raw'!AB37</f>
        <v>3.6872379999999998</v>
      </c>
      <c r="Z50" s="217">
        <f>'AEO 2023 Table 59 Raw'!AC37</f>
        <v>3.6837900000000001</v>
      </c>
      <c r="AA50" s="217">
        <f>'AEO 2023 Table 59 Raw'!AD37</f>
        <v>3.6789170000000002</v>
      </c>
      <c r="AB50" s="217">
        <f>'AEO 2023 Table 59 Raw'!AE37</f>
        <v>3.6394250000000001</v>
      </c>
      <c r="AC50" s="217">
        <f>'AEO 2023 Table 59 Raw'!AF37</f>
        <v>3.6158779999999999</v>
      </c>
      <c r="AD50" s="217">
        <f>'AEO 2023 Table 59 Raw'!AG37</f>
        <v>3.5478489999999998</v>
      </c>
      <c r="AE50" s="217">
        <f>'AEO 2023 Table 59 Raw'!AH37</f>
        <v>3.5338590000000001</v>
      </c>
      <c r="AF50" s="252">
        <f>'AEO 2023 Table 59 Raw'!AI37</f>
        <v>-2.1000000000000001E-2</v>
      </c>
    </row>
    <row r="51" spans="1:32" ht="15" customHeight="1" x14ac:dyDescent="0.75">
      <c r="A51" s="212" t="s">
        <v>736</v>
      </c>
      <c r="B51" s="211" t="s">
        <v>737</v>
      </c>
      <c r="C51" s="217">
        <f>'AEO 2023 Table 59 Raw'!F38</f>
        <v>5.8915139999999999</v>
      </c>
      <c r="D51" s="217">
        <f>'AEO 2023 Table 59 Raw'!G38</f>
        <v>4.6853030000000002</v>
      </c>
      <c r="E51" s="217">
        <f>'AEO 2023 Table 59 Raw'!H38</f>
        <v>3.5877150000000002</v>
      </c>
      <c r="F51" s="217">
        <f>'AEO 2023 Table 59 Raw'!I38</f>
        <v>3.0053209999999999</v>
      </c>
      <c r="G51" s="217">
        <f>'AEO 2023 Table 59 Raw'!J38</f>
        <v>2.5560939999999999</v>
      </c>
      <c r="H51" s="217">
        <f>'AEO 2023 Table 59 Raw'!K38</f>
        <v>2.317663</v>
      </c>
      <c r="I51" s="217">
        <f>'AEO 2023 Table 59 Raw'!L38</f>
        <v>2.240961</v>
      </c>
      <c r="J51" s="217">
        <f>'AEO 2023 Table 59 Raw'!M38</f>
        <v>2.2630059999999999</v>
      </c>
      <c r="K51" s="217">
        <f>'AEO 2023 Table 59 Raw'!N38</f>
        <v>2.3608470000000001</v>
      </c>
      <c r="L51" s="217">
        <f>'AEO 2023 Table 59 Raw'!O38</f>
        <v>2.4953669999999999</v>
      </c>
      <c r="M51" s="217">
        <f>'AEO 2023 Table 59 Raw'!P38</f>
        <v>2.6261060000000001</v>
      </c>
      <c r="N51" s="217">
        <f>'AEO 2023 Table 59 Raw'!Q38</f>
        <v>2.7932009999999998</v>
      </c>
      <c r="O51" s="217">
        <f>'AEO 2023 Table 59 Raw'!R38</f>
        <v>2.928839</v>
      </c>
      <c r="P51" s="217">
        <f>'AEO 2023 Table 59 Raw'!S38</f>
        <v>3.0490930000000001</v>
      </c>
      <c r="Q51" s="217">
        <f>'AEO 2023 Table 59 Raw'!T38</f>
        <v>3.0638510000000001</v>
      </c>
      <c r="R51" s="217">
        <f>'AEO 2023 Table 59 Raw'!U38</f>
        <v>3.0951689999999998</v>
      </c>
      <c r="S51" s="217">
        <f>'AEO 2023 Table 59 Raw'!V38</f>
        <v>3.2267220000000001</v>
      </c>
      <c r="T51" s="217">
        <f>'AEO 2023 Table 59 Raw'!W38</f>
        <v>3.154944</v>
      </c>
      <c r="U51" s="217">
        <f>'AEO 2023 Table 59 Raw'!X38</f>
        <v>3.295776</v>
      </c>
      <c r="V51" s="217">
        <f>'AEO 2023 Table 59 Raw'!Y38</f>
        <v>3.3773249999999999</v>
      </c>
      <c r="W51" s="217">
        <f>'AEO 2023 Table 59 Raw'!Z38</f>
        <v>3.3681040000000002</v>
      </c>
      <c r="X51" s="217">
        <f>'AEO 2023 Table 59 Raw'!AA38</f>
        <v>3.3123320000000001</v>
      </c>
      <c r="Y51" s="217">
        <f>'AEO 2023 Table 59 Raw'!AB38</f>
        <v>3.2647430000000002</v>
      </c>
      <c r="Z51" s="217">
        <f>'AEO 2023 Table 59 Raw'!AC38</f>
        <v>3.2453669999999999</v>
      </c>
      <c r="AA51" s="217">
        <f>'AEO 2023 Table 59 Raw'!AD38</f>
        <v>3.2254160000000001</v>
      </c>
      <c r="AB51" s="217">
        <f>'AEO 2023 Table 59 Raw'!AE38</f>
        <v>3.1873019999999999</v>
      </c>
      <c r="AC51" s="217">
        <f>'AEO 2023 Table 59 Raw'!AF38</f>
        <v>3.1660509999999999</v>
      </c>
      <c r="AD51" s="217">
        <f>'AEO 2023 Table 59 Raw'!AG38</f>
        <v>3.1209479999999998</v>
      </c>
      <c r="AE51" s="217">
        <f>'AEO 2023 Table 59 Raw'!AH38</f>
        <v>3.1151680000000002</v>
      </c>
      <c r="AF51" s="252">
        <f>'AEO 2023 Table 59 Raw'!AI38</f>
        <v>-2.3E-2</v>
      </c>
    </row>
    <row r="52" spans="1:32" ht="15" customHeight="1" x14ac:dyDescent="0.75">
      <c r="A52" s="212" t="s">
        <v>738</v>
      </c>
      <c r="B52" s="211" t="s">
        <v>739</v>
      </c>
      <c r="C52" s="217">
        <f>'AEO 2023 Table 59 Raw'!F39</f>
        <v>6.0054930000000004</v>
      </c>
      <c r="D52" s="217">
        <f>'AEO 2023 Table 59 Raw'!G39</f>
        <v>4.6929999999999996</v>
      </c>
      <c r="E52" s="217">
        <f>'AEO 2023 Table 59 Raw'!H39</f>
        <v>3.5293540000000001</v>
      </c>
      <c r="F52" s="217">
        <f>'AEO 2023 Table 59 Raw'!I39</f>
        <v>2.9567860000000001</v>
      </c>
      <c r="G52" s="217">
        <f>'AEO 2023 Table 59 Raw'!J39</f>
        <v>2.5199959999999999</v>
      </c>
      <c r="H52" s="217">
        <f>'AEO 2023 Table 59 Raw'!K39</f>
        <v>2.2933050000000001</v>
      </c>
      <c r="I52" s="217">
        <f>'AEO 2023 Table 59 Raw'!L39</f>
        <v>2.226445</v>
      </c>
      <c r="J52" s="217">
        <f>'AEO 2023 Table 59 Raw'!M39</f>
        <v>2.2486039999999998</v>
      </c>
      <c r="K52" s="217">
        <f>'AEO 2023 Table 59 Raw'!N39</f>
        <v>2.354171</v>
      </c>
      <c r="L52" s="217">
        <f>'AEO 2023 Table 59 Raw'!O39</f>
        <v>2.520651</v>
      </c>
      <c r="M52" s="217">
        <f>'AEO 2023 Table 59 Raw'!P39</f>
        <v>2.6787049999999999</v>
      </c>
      <c r="N52" s="217">
        <f>'AEO 2023 Table 59 Raw'!Q39</f>
        <v>2.8540019999999999</v>
      </c>
      <c r="O52" s="217">
        <f>'AEO 2023 Table 59 Raw'!R39</f>
        <v>2.9957069999999999</v>
      </c>
      <c r="P52" s="217">
        <f>'AEO 2023 Table 59 Raw'!S39</f>
        <v>3.12826</v>
      </c>
      <c r="Q52" s="217">
        <f>'AEO 2023 Table 59 Raw'!T39</f>
        <v>3.145562</v>
      </c>
      <c r="R52" s="217">
        <f>'AEO 2023 Table 59 Raw'!U39</f>
        <v>3.1655769999999999</v>
      </c>
      <c r="S52" s="217">
        <f>'AEO 2023 Table 59 Raw'!V39</f>
        <v>3.2987120000000001</v>
      </c>
      <c r="T52" s="217">
        <f>'AEO 2023 Table 59 Raw'!W39</f>
        <v>3.2221449999999998</v>
      </c>
      <c r="U52" s="217">
        <f>'AEO 2023 Table 59 Raw'!X39</f>
        <v>3.3748459999999998</v>
      </c>
      <c r="V52" s="217">
        <f>'AEO 2023 Table 59 Raw'!Y39</f>
        <v>3.4584280000000001</v>
      </c>
      <c r="W52" s="217">
        <f>'AEO 2023 Table 59 Raw'!Z39</f>
        <v>3.4513050000000001</v>
      </c>
      <c r="X52" s="217">
        <f>'AEO 2023 Table 59 Raw'!AA39</f>
        <v>3.3975749999999998</v>
      </c>
      <c r="Y52" s="217">
        <f>'AEO 2023 Table 59 Raw'!AB39</f>
        <v>3.355302</v>
      </c>
      <c r="Z52" s="217">
        <f>'AEO 2023 Table 59 Raw'!AC39</f>
        <v>3.335531</v>
      </c>
      <c r="AA52" s="217">
        <f>'AEO 2023 Table 59 Raw'!AD39</f>
        <v>3.3156349999999999</v>
      </c>
      <c r="AB52" s="217">
        <f>'AEO 2023 Table 59 Raw'!AE39</f>
        <v>3.2825989999999998</v>
      </c>
      <c r="AC52" s="217">
        <f>'AEO 2023 Table 59 Raw'!AF39</f>
        <v>3.2647089999999999</v>
      </c>
      <c r="AD52" s="217">
        <f>'AEO 2023 Table 59 Raw'!AG39</f>
        <v>3.2152989999999999</v>
      </c>
      <c r="AE52" s="217">
        <f>'AEO 2023 Table 59 Raw'!AH39</f>
        <v>3.2084280000000001</v>
      </c>
      <c r="AF52" s="252">
        <f>'AEO 2023 Table 59 Raw'!AI39</f>
        <v>-2.1999999999999999E-2</v>
      </c>
    </row>
    <row r="53" spans="1:32" ht="15" customHeight="1" x14ac:dyDescent="0.75">
      <c r="A53" s="212" t="s">
        <v>740</v>
      </c>
      <c r="B53" s="211" t="s">
        <v>741</v>
      </c>
      <c r="C53" s="217">
        <f>'AEO 2023 Table 59 Raw'!F40</f>
        <v>5.7428319999999999</v>
      </c>
      <c r="D53" s="217">
        <f>'AEO 2023 Table 59 Raw'!G40</f>
        <v>4.6267870000000002</v>
      </c>
      <c r="E53" s="217">
        <f>'AEO 2023 Table 59 Raw'!H40</f>
        <v>3.5419700000000001</v>
      </c>
      <c r="F53" s="217">
        <f>'AEO 2023 Table 59 Raw'!I40</f>
        <v>2.9589439999999998</v>
      </c>
      <c r="G53" s="217">
        <f>'AEO 2023 Table 59 Raw'!J40</f>
        <v>2.5114649999999998</v>
      </c>
      <c r="H53" s="217">
        <f>'AEO 2023 Table 59 Raw'!K40</f>
        <v>2.2631420000000002</v>
      </c>
      <c r="I53" s="217">
        <f>'AEO 2023 Table 59 Raw'!L40</f>
        <v>2.1761529999999998</v>
      </c>
      <c r="J53" s="217">
        <f>'AEO 2023 Table 59 Raw'!M40</f>
        <v>2.1840290000000002</v>
      </c>
      <c r="K53" s="217">
        <f>'AEO 2023 Table 59 Raw'!N40</f>
        <v>2.271296</v>
      </c>
      <c r="L53" s="217">
        <f>'AEO 2023 Table 59 Raw'!O40</f>
        <v>2.41635</v>
      </c>
      <c r="M53" s="217">
        <f>'AEO 2023 Table 59 Raw'!P40</f>
        <v>2.5546199999999999</v>
      </c>
      <c r="N53" s="217">
        <f>'AEO 2023 Table 59 Raw'!Q40</f>
        <v>2.7211599999999998</v>
      </c>
      <c r="O53" s="217">
        <f>'AEO 2023 Table 59 Raw'!R40</f>
        <v>2.8684379999999998</v>
      </c>
      <c r="P53" s="217">
        <f>'AEO 2023 Table 59 Raw'!S40</f>
        <v>3.0044749999999998</v>
      </c>
      <c r="Q53" s="217">
        <f>'AEO 2023 Table 59 Raw'!T40</f>
        <v>3.0244900000000001</v>
      </c>
      <c r="R53" s="217">
        <f>'AEO 2023 Table 59 Raw'!U40</f>
        <v>3.0543170000000002</v>
      </c>
      <c r="S53" s="217">
        <f>'AEO 2023 Table 59 Raw'!V40</f>
        <v>3.1895280000000001</v>
      </c>
      <c r="T53" s="217">
        <f>'AEO 2023 Table 59 Raw'!W40</f>
        <v>3.1231789999999999</v>
      </c>
      <c r="U53" s="217">
        <f>'AEO 2023 Table 59 Raw'!X40</f>
        <v>3.2636590000000001</v>
      </c>
      <c r="V53" s="217">
        <f>'AEO 2023 Table 59 Raw'!Y40</f>
        <v>3.350009</v>
      </c>
      <c r="W53" s="217">
        <f>'AEO 2023 Table 59 Raw'!Z40</f>
        <v>3.3515619999999999</v>
      </c>
      <c r="X53" s="217">
        <f>'AEO 2023 Table 59 Raw'!AA40</f>
        <v>3.3052579999999998</v>
      </c>
      <c r="Y53" s="217">
        <f>'AEO 2023 Table 59 Raw'!AB40</f>
        <v>3.2570139999999999</v>
      </c>
      <c r="Z53" s="217">
        <f>'AEO 2023 Table 59 Raw'!AC40</f>
        <v>3.2445439999999999</v>
      </c>
      <c r="AA53" s="217">
        <f>'AEO 2023 Table 59 Raw'!AD40</f>
        <v>3.2170939999999999</v>
      </c>
      <c r="AB53" s="217">
        <f>'AEO 2023 Table 59 Raw'!AE40</f>
        <v>3.1892580000000001</v>
      </c>
      <c r="AC53" s="217">
        <f>'AEO 2023 Table 59 Raw'!AF40</f>
        <v>3.1694640000000001</v>
      </c>
      <c r="AD53" s="217">
        <f>'AEO 2023 Table 59 Raw'!AG40</f>
        <v>3.1349830000000001</v>
      </c>
      <c r="AE53" s="217">
        <f>'AEO 2023 Table 59 Raw'!AH40</f>
        <v>3.1337890000000002</v>
      </c>
      <c r="AF53" s="252">
        <f>'AEO 2023 Table 59 Raw'!AI40</f>
        <v>-2.1000000000000001E-2</v>
      </c>
    </row>
    <row r="54" spans="1:32" ht="15" customHeight="1" x14ac:dyDescent="0.75">
      <c r="A54" s="212" t="s">
        <v>742</v>
      </c>
      <c r="B54" s="211" t="s">
        <v>743</v>
      </c>
      <c r="C54" s="217">
        <f>'AEO 2023 Table 59 Raw'!F41</f>
        <v>6.9591979999999998</v>
      </c>
      <c r="D54" s="217">
        <f>'AEO 2023 Table 59 Raw'!G41</f>
        <v>5.6467239999999999</v>
      </c>
      <c r="E54" s="217">
        <f>'AEO 2023 Table 59 Raw'!H41</f>
        <v>4.4294690000000001</v>
      </c>
      <c r="F54" s="217">
        <f>'AEO 2023 Table 59 Raw'!I41</f>
        <v>3.9095849999999999</v>
      </c>
      <c r="G54" s="217">
        <f>'AEO 2023 Table 59 Raw'!J41</f>
        <v>3.500575</v>
      </c>
      <c r="H54" s="217">
        <f>'AEO 2023 Table 59 Raw'!K41</f>
        <v>3.2276199999999999</v>
      </c>
      <c r="I54" s="217">
        <f>'AEO 2023 Table 59 Raw'!L41</f>
        <v>3.1106769999999999</v>
      </c>
      <c r="J54" s="217">
        <f>'AEO 2023 Table 59 Raw'!M41</f>
        <v>3.0860889999999999</v>
      </c>
      <c r="K54" s="217">
        <f>'AEO 2023 Table 59 Raw'!N41</f>
        <v>3.0940530000000002</v>
      </c>
      <c r="L54" s="217">
        <f>'AEO 2023 Table 59 Raw'!O41</f>
        <v>3.1933029999999998</v>
      </c>
      <c r="M54" s="217">
        <f>'AEO 2023 Table 59 Raw'!P41</f>
        <v>3.2778230000000002</v>
      </c>
      <c r="N54" s="217">
        <f>'AEO 2023 Table 59 Raw'!Q41</f>
        <v>3.4708130000000001</v>
      </c>
      <c r="O54" s="217">
        <f>'AEO 2023 Table 59 Raw'!R41</f>
        <v>3.6365530000000001</v>
      </c>
      <c r="P54" s="217">
        <f>'AEO 2023 Table 59 Raw'!S41</f>
        <v>3.7934290000000002</v>
      </c>
      <c r="Q54" s="217">
        <f>'AEO 2023 Table 59 Raw'!T41</f>
        <v>3.8334000000000001</v>
      </c>
      <c r="R54" s="217">
        <f>'AEO 2023 Table 59 Raw'!U41</f>
        <v>3.8918490000000001</v>
      </c>
      <c r="S54" s="217">
        <f>'AEO 2023 Table 59 Raw'!V41</f>
        <v>4.0668040000000003</v>
      </c>
      <c r="T54" s="217">
        <f>'AEO 2023 Table 59 Raw'!W41</f>
        <v>3.995746</v>
      </c>
      <c r="U54" s="217">
        <f>'AEO 2023 Table 59 Raw'!X41</f>
        <v>4.1380369999999997</v>
      </c>
      <c r="V54" s="217">
        <f>'AEO 2023 Table 59 Raw'!Y41</f>
        <v>4.2252549999999998</v>
      </c>
      <c r="W54" s="217">
        <f>'AEO 2023 Table 59 Raw'!Z41</f>
        <v>4.2448370000000004</v>
      </c>
      <c r="X54" s="217">
        <f>'AEO 2023 Table 59 Raw'!AA41</f>
        <v>4.2194149999999997</v>
      </c>
      <c r="Y54" s="217">
        <f>'AEO 2023 Table 59 Raw'!AB41</f>
        <v>4.1595459999999997</v>
      </c>
      <c r="Z54" s="217">
        <f>'AEO 2023 Table 59 Raw'!AC41</f>
        <v>4.1602589999999999</v>
      </c>
      <c r="AA54" s="217">
        <f>'AEO 2023 Table 59 Raw'!AD41</f>
        <v>4.0740990000000004</v>
      </c>
      <c r="AB54" s="217">
        <f>'AEO 2023 Table 59 Raw'!AE41</f>
        <v>4.0680959999999997</v>
      </c>
      <c r="AC54" s="217">
        <f>'AEO 2023 Table 59 Raw'!AF41</f>
        <v>4.0162409999999999</v>
      </c>
      <c r="AD54" s="217">
        <f>'AEO 2023 Table 59 Raw'!AG41</f>
        <v>4.016356</v>
      </c>
      <c r="AE54" s="217">
        <f>'AEO 2023 Table 59 Raw'!AH41</f>
        <v>4.0476710000000002</v>
      </c>
      <c r="AF54" s="252">
        <f>'AEO 2023 Table 59 Raw'!AI41</f>
        <v>-1.9E-2</v>
      </c>
    </row>
    <row r="55" spans="1:32" ht="15" customHeight="1" x14ac:dyDescent="0.75">
      <c r="A55" s="212" t="s">
        <v>744</v>
      </c>
      <c r="B55" s="211" t="s">
        <v>745</v>
      </c>
      <c r="C55" s="217">
        <f>'AEO 2023 Table 59 Raw'!F42</f>
        <v>4.8680899999999996</v>
      </c>
      <c r="D55" s="217">
        <f>'AEO 2023 Table 59 Raw'!G42</f>
        <v>4.0415279999999996</v>
      </c>
      <c r="E55" s="217">
        <f>'AEO 2023 Table 59 Raw'!H42</f>
        <v>3.3707829999999999</v>
      </c>
      <c r="F55" s="217">
        <f>'AEO 2023 Table 59 Raw'!I42</f>
        <v>2.8559860000000001</v>
      </c>
      <c r="G55" s="217">
        <f>'AEO 2023 Table 59 Raw'!J42</f>
        <v>2.4666619999999999</v>
      </c>
      <c r="H55" s="217">
        <f>'AEO 2023 Table 59 Raw'!K42</f>
        <v>2.2481239999999998</v>
      </c>
      <c r="I55" s="217">
        <f>'AEO 2023 Table 59 Raw'!L42</f>
        <v>2.1878920000000002</v>
      </c>
      <c r="J55" s="217">
        <f>'AEO 2023 Table 59 Raw'!M42</f>
        <v>2.198744</v>
      </c>
      <c r="K55" s="217">
        <f>'AEO 2023 Table 59 Raw'!N42</f>
        <v>2.2463129999999998</v>
      </c>
      <c r="L55" s="217">
        <f>'AEO 2023 Table 59 Raw'!O42</f>
        <v>2.339305</v>
      </c>
      <c r="M55" s="217">
        <f>'AEO 2023 Table 59 Raw'!P42</f>
        <v>2.420661</v>
      </c>
      <c r="N55" s="217">
        <f>'AEO 2023 Table 59 Raw'!Q42</f>
        <v>2.5568789999999999</v>
      </c>
      <c r="O55" s="217">
        <f>'AEO 2023 Table 59 Raw'!R42</f>
        <v>2.6638519999999999</v>
      </c>
      <c r="P55" s="217">
        <f>'AEO 2023 Table 59 Raw'!S42</f>
        <v>2.7634240000000001</v>
      </c>
      <c r="Q55" s="217">
        <f>'AEO 2023 Table 59 Raw'!T42</f>
        <v>2.790686</v>
      </c>
      <c r="R55" s="217">
        <f>'AEO 2023 Table 59 Raw'!U42</f>
        <v>2.8370479999999998</v>
      </c>
      <c r="S55" s="217">
        <f>'AEO 2023 Table 59 Raw'!V42</f>
        <v>2.9367529999999999</v>
      </c>
      <c r="T55" s="217">
        <f>'AEO 2023 Table 59 Raw'!W42</f>
        <v>2.894342</v>
      </c>
      <c r="U55" s="217">
        <f>'AEO 2023 Table 59 Raw'!X42</f>
        <v>2.9898069999999999</v>
      </c>
      <c r="V55" s="217">
        <f>'AEO 2023 Table 59 Raw'!Y42</f>
        <v>3.0607899999999999</v>
      </c>
      <c r="W55" s="217">
        <f>'AEO 2023 Table 59 Raw'!Z42</f>
        <v>3.0476000000000001</v>
      </c>
      <c r="X55" s="217">
        <f>'AEO 2023 Table 59 Raw'!AA42</f>
        <v>2.9894099999999999</v>
      </c>
      <c r="Y55" s="217">
        <f>'AEO 2023 Table 59 Raw'!AB42</f>
        <v>2.9198719999999998</v>
      </c>
      <c r="Z55" s="217">
        <f>'AEO 2023 Table 59 Raw'!AC42</f>
        <v>2.8737279999999998</v>
      </c>
      <c r="AA55" s="217">
        <f>'AEO 2023 Table 59 Raw'!AD42</f>
        <v>2.8330199999999999</v>
      </c>
      <c r="AB55" s="217">
        <f>'AEO 2023 Table 59 Raw'!AE42</f>
        <v>2.7897940000000001</v>
      </c>
      <c r="AC55" s="217">
        <f>'AEO 2023 Table 59 Raw'!AF42</f>
        <v>2.7444069999999998</v>
      </c>
      <c r="AD55" s="217">
        <f>'AEO 2023 Table 59 Raw'!AG42</f>
        <v>2.7021459999999999</v>
      </c>
      <c r="AE55" s="217">
        <f>'AEO 2023 Table 59 Raw'!AH42</f>
        <v>2.6863000000000001</v>
      </c>
      <c r="AF55" s="252">
        <f>'AEO 2023 Table 59 Raw'!AI42</f>
        <v>-2.1000000000000001E-2</v>
      </c>
    </row>
    <row r="56" spans="1:32" ht="15" customHeight="1" x14ac:dyDescent="0.65">
      <c r="C56" s="217"/>
      <c r="D56" s="217"/>
      <c r="E56" s="217"/>
      <c r="F56" s="217"/>
      <c r="G56" s="217"/>
      <c r="H56" s="217"/>
      <c r="I56" s="217"/>
      <c r="J56" s="217"/>
      <c r="K56" s="217"/>
      <c r="L56" s="217"/>
      <c r="M56" s="217"/>
      <c r="N56" s="217"/>
      <c r="O56" s="217"/>
      <c r="P56" s="217"/>
      <c r="Q56" s="217"/>
      <c r="R56" s="217"/>
      <c r="S56" s="217"/>
      <c r="T56" s="217"/>
      <c r="U56" s="217"/>
      <c r="V56" s="217"/>
      <c r="W56" s="217"/>
      <c r="X56" s="217"/>
      <c r="Y56" s="217"/>
      <c r="Z56" s="217"/>
      <c r="AA56" s="217"/>
      <c r="AB56" s="217"/>
      <c r="AC56" s="217"/>
      <c r="AD56" s="217"/>
      <c r="AE56" s="217"/>
      <c r="AF56" s="252"/>
    </row>
    <row r="57" spans="1:32" ht="15" customHeight="1" x14ac:dyDescent="0.65">
      <c r="B57" s="215" t="s">
        <v>746</v>
      </c>
      <c r="C57" s="217"/>
      <c r="D57" s="217"/>
      <c r="E57" s="217"/>
      <c r="F57" s="217"/>
      <c r="G57" s="217"/>
      <c r="H57" s="217"/>
      <c r="I57" s="217"/>
      <c r="J57" s="217"/>
      <c r="K57" s="217"/>
      <c r="L57" s="217"/>
      <c r="M57" s="217"/>
      <c r="N57" s="217"/>
      <c r="O57" s="217"/>
      <c r="P57" s="217"/>
      <c r="Q57" s="217"/>
      <c r="R57" s="217"/>
      <c r="S57" s="217"/>
      <c r="T57" s="217"/>
      <c r="U57" s="217"/>
      <c r="V57" s="217"/>
      <c r="W57" s="217"/>
      <c r="X57" s="217"/>
      <c r="Y57" s="217"/>
      <c r="Z57" s="217"/>
      <c r="AA57" s="217"/>
      <c r="AB57" s="217"/>
      <c r="AC57" s="217"/>
      <c r="AD57" s="217"/>
      <c r="AE57" s="217"/>
      <c r="AF57" s="252"/>
    </row>
    <row r="58" spans="1:32" ht="15" customHeight="1" x14ac:dyDescent="0.75">
      <c r="A58" s="212" t="s">
        <v>747</v>
      </c>
      <c r="B58" s="211" t="s">
        <v>748</v>
      </c>
      <c r="C58" s="217">
        <f>'AEO 2023 Table 59 Raw'!F44</f>
        <v>6.4264919999999996</v>
      </c>
      <c r="D58" s="217">
        <f>'AEO 2023 Table 59 Raw'!G44</f>
        <v>5.1109070000000001</v>
      </c>
      <c r="E58" s="217">
        <f>'AEO 2023 Table 59 Raw'!H44</f>
        <v>3.8791600000000002</v>
      </c>
      <c r="F58" s="217">
        <f>'AEO 2023 Table 59 Raw'!I44</f>
        <v>3.2782439999999999</v>
      </c>
      <c r="G58" s="217">
        <f>'AEO 2023 Table 59 Raw'!J44</f>
        <v>2.8389440000000001</v>
      </c>
      <c r="H58" s="217">
        <f>'AEO 2023 Table 59 Raw'!K44</f>
        <v>2.6161099999999999</v>
      </c>
      <c r="I58" s="217">
        <f>'AEO 2023 Table 59 Raw'!L44</f>
        <v>2.5613450000000002</v>
      </c>
      <c r="J58" s="217">
        <f>'AEO 2023 Table 59 Raw'!M44</f>
        <v>2.5883780000000001</v>
      </c>
      <c r="K58" s="217">
        <f>'AEO 2023 Table 59 Raw'!N44</f>
        <v>2.681772</v>
      </c>
      <c r="L58" s="217">
        <f>'AEO 2023 Table 59 Raw'!O44</f>
        <v>2.8220939999999999</v>
      </c>
      <c r="M58" s="217">
        <f>'AEO 2023 Table 59 Raw'!P44</f>
        <v>2.988642</v>
      </c>
      <c r="N58" s="217">
        <f>'AEO 2023 Table 59 Raw'!Q44</f>
        <v>3.1979950000000001</v>
      </c>
      <c r="O58" s="217">
        <f>'AEO 2023 Table 59 Raw'!R44</f>
        <v>3.3554940000000002</v>
      </c>
      <c r="P58" s="217">
        <f>'AEO 2023 Table 59 Raw'!S44</f>
        <v>3.4771990000000002</v>
      </c>
      <c r="Q58" s="217">
        <f>'AEO 2023 Table 59 Raw'!T44</f>
        <v>3.489903</v>
      </c>
      <c r="R58" s="217">
        <f>'AEO 2023 Table 59 Raw'!U44</f>
        <v>3.5308799999999998</v>
      </c>
      <c r="S58" s="217">
        <f>'AEO 2023 Table 59 Raw'!V44</f>
        <v>3.6615030000000002</v>
      </c>
      <c r="T58" s="217">
        <f>'AEO 2023 Table 59 Raw'!W44</f>
        <v>3.5801370000000001</v>
      </c>
      <c r="U58" s="217">
        <f>'AEO 2023 Table 59 Raw'!X44</f>
        <v>3.7352129999999999</v>
      </c>
      <c r="V58" s="217">
        <f>'AEO 2023 Table 59 Raw'!Y44</f>
        <v>3.8213919999999999</v>
      </c>
      <c r="W58" s="217">
        <f>'AEO 2023 Table 59 Raw'!Z44</f>
        <v>3.811334</v>
      </c>
      <c r="X58" s="217">
        <f>'AEO 2023 Table 59 Raw'!AA44</f>
        <v>3.7473779999999999</v>
      </c>
      <c r="Y58" s="217">
        <f>'AEO 2023 Table 59 Raw'!AB44</f>
        <v>3.707001</v>
      </c>
      <c r="Z58" s="217">
        <f>'AEO 2023 Table 59 Raw'!AC44</f>
        <v>3.7038259999999998</v>
      </c>
      <c r="AA58" s="217">
        <f>'AEO 2023 Table 59 Raw'!AD44</f>
        <v>3.6993559999999999</v>
      </c>
      <c r="AB58" s="217">
        <f>'AEO 2023 Table 59 Raw'!AE44</f>
        <v>3.6609560000000001</v>
      </c>
      <c r="AC58" s="217">
        <f>'AEO 2023 Table 59 Raw'!AF44</f>
        <v>3.6383130000000001</v>
      </c>
      <c r="AD58" s="217">
        <f>'AEO 2023 Table 59 Raw'!AG44</f>
        <v>3.5636570000000001</v>
      </c>
      <c r="AE58" s="217">
        <f>'AEO 2023 Table 59 Raw'!AH44</f>
        <v>3.547059</v>
      </c>
      <c r="AF58" s="252">
        <f>'AEO 2023 Table 59 Raw'!AI44</f>
        <v>-2.1000000000000001E-2</v>
      </c>
    </row>
    <row r="59" spans="1:32" ht="15" customHeight="1" x14ac:dyDescent="0.75">
      <c r="A59" s="212" t="s">
        <v>749</v>
      </c>
      <c r="B59" s="211" t="s">
        <v>750</v>
      </c>
      <c r="C59" s="217">
        <f>'AEO 2023 Table 59 Raw'!F45</f>
        <v>6.0059880000000003</v>
      </c>
      <c r="D59" s="217">
        <f>'AEO 2023 Table 59 Raw'!G45</f>
        <v>6.0059880000000003</v>
      </c>
      <c r="E59" s="217">
        <f>'AEO 2023 Table 59 Raw'!H45</f>
        <v>6.0059880000000003</v>
      </c>
      <c r="F59" s="217">
        <f>'AEO 2023 Table 59 Raw'!I45</f>
        <v>6.0059880000000003</v>
      </c>
      <c r="G59" s="217">
        <f>'AEO 2023 Table 59 Raw'!J45</f>
        <v>6.0059880000000003</v>
      </c>
      <c r="H59" s="217">
        <f>'AEO 2023 Table 59 Raw'!K45</f>
        <v>6.0059880000000003</v>
      </c>
      <c r="I59" s="217">
        <f>'AEO 2023 Table 59 Raw'!L45</f>
        <v>3.1150419999999999</v>
      </c>
      <c r="J59" s="217">
        <f>'AEO 2023 Table 59 Raw'!M45</f>
        <v>3.0880589999999999</v>
      </c>
      <c r="K59" s="217">
        <f>'AEO 2023 Table 59 Raw'!N45</f>
        <v>3.0940530000000002</v>
      </c>
      <c r="L59" s="217">
        <f>'AEO 2023 Table 59 Raw'!O45</f>
        <v>3.1933029999999998</v>
      </c>
      <c r="M59" s="217">
        <f>'AEO 2023 Table 59 Raw'!P45</f>
        <v>3.2778230000000002</v>
      </c>
      <c r="N59" s="217">
        <f>'AEO 2023 Table 59 Raw'!Q45</f>
        <v>3.4708130000000001</v>
      </c>
      <c r="O59" s="217">
        <f>'AEO 2023 Table 59 Raw'!R45</f>
        <v>3.6365530000000001</v>
      </c>
      <c r="P59" s="217">
        <f>'AEO 2023 Table 59 Raw'!S45</f>
        <v>3.7934290000000002</v>
      </c>
      <c r="Q59" s="217">
        <f>'AEO 2023 Table 59 Raw'!T45</f>
        <v>3.8334000000000001</v>
      </c>
      <c r="R59" s="217">
        <f>'AEO 2023 Table 59 Raw'!U45</f>
        <v>3.8918499999999998</v>
      </c>
      <c r="S59" s="217">
        <f>'AEO 2023 Table 59 Raw'!V45</f>
        <v>4.0668040000000003</v>
      </c>
      <c r="T59" s="217">
        <f>'AEO 2023 Table 59 Raw'!W45</f>
        <v>3.995746</v>
      </c>
      <c r="U59" s="217">
        <f>'AEO 2023 Table 59 Raw'!X45</f>
        <v>4.1380369999999997</v>
      </c>
      <c r="V59" s="217">
        <f>'AEO 2023 Table 59 Raw'!Y45</f>
        <v>4.2252559999999999</v>
      </c>
      <c r="W59" s="217">
        <f>'AEO 2023 Table 59 Raw'!Z45</f>
        <v>4.2448370000000004</v>
      </c>
      <c r="X59" s="217">
        <f>'AEO 2023 Table 59 Raw'!AA45</f>
        <v>4.2194149999999997</v>
      </c>
      <c r="Y59" s="217">
        <f>'AEO 2023 Table 59 Raw'!AB45</f>
        <v>4.1595459999999997</v>
      </c>
      <c r="Z59" s="217">
        <f>'AEO 2023 Table 59 Raw'!AC45</f>
        <v>4.1602589999999999</v>
      </c>
      <c r="AA59" s="217">
        <f>'AEO 2023 Table 59 Raw'!AD45</f>
        <v>4.0740990000000004</v>
      </c>
      <c r="AB59" s="217">
        <f>'AEO 2023 Table 59 Raw'!AE45</f>
        <v>4.0680959999999997</v>
      </c>
      <c r="AC59" s="217">
        <f>'AEO 2023 Table 59 Raw'!AF45</f>
        <v>4.0162409999999999</v>
      </c>
      <c r="AD59" s="217">
        <f>'AEO 2023 Table 59 Raw'!AG45</f>
        <v>4.016356</v>
      </c>
      <c r="AE59" s="217">
        <f>'AEO 2023 Table 59 Raw'!AH45</f>
        <v>4.0476710000000002</v>
      </c>
      <c r="AF59" s="252">
        <f>'AEO 2023 Table 59 Raw'!AI45</f>
        <v>-1.4E-2</v>
      </c>
    </row>
    <row r="60" spans="1:32" ht="15" customHeight="1" x14ac:dyDescent="0.75">
      <c r="A60" s="212" t="s">
        <v>751</v>
      </c>
      <c r="B60" s="211" t="s">
        <v>752</v>
      </c>
      <c r="C60" s="217" t="str">
        <f>'AEO 2023 Table 59 Raw'!F46</f>
        <v>- -</v>
      </c>
      <c r="D60" s="217" t="str">
        <f>'AEO 2023 Table 59 Raw'!G46</f>
        <v>- -</v>
      </c>
      <c r="E60" s="217" t="str">
        <f>'AEO 2023 Table 59 Raw'!H46</f>
        <v>- -</v>
      </c>
      <c r="F60" s="217" t="str">
        <f>'AEO 2023 Table 59 Raw'!I46</f>
        <v>- -</v>
      </c>
      <c r="G60" s="217" t="str">
        <f>'AEO 2023 Table 59 Raw'!J46</f>
        <v>- -</v>
      </c>
      <c r="H60" s="217" t="str">
        <f>'AEO 2023 Table 59 Raw'!K46</f>
        <v>- -</v>
      </c>
      <c r="I60" s="217" t="str">
        <f>'AEO 2023 Table 59 Raw'!L46</f>
        <v>- -</v>
      </c>
      <c r="J60" s="217" t="str">
        <f>'AEO 2023 Table 59 Raw'!M46</f>
        <v>- -</v>
      </c>
      <c r="K60" s="217" t="str">
        <f>'AEO 2023 Table 59 Raw'!N46</f>
        <v>- -</v>
      </c>
      <c r="L60" s="217" t="str">
        <f>'AEO 2023 Table 59 Raw'!O46</f>
        <v>- -</v>
      </c>
      <c r="M60" s="217" t="str">
        <f>'AEO 2023 Table 59 Raw'!P46</f>
        <v>- -</v>
      </c>
      <c r="N60" s="217" t="str">
        <f>'AEO 2023 Table 59 Raw'!Q46</f>
        <v>- -</v>
      </c>
      <c r="O60" s="217" t="str">
        <f>'AEO 2023 Table 59 Raw'!R46</f>
        <v>- -</v>
      </c>
      <c r="P60" s="217" t="str">
        <f>'AEO 2023 Table 59 Raw'!S46</f>
        <v>- -</v>
      </c>
      <c r="Q60" s="217" t="str">
        <f>'AEO 2023 Table 59 Raw'!T46</f>
        <v>- -</v>
      </c>
      <c r="R60" s="217" t="str">
        <f>'AEO 2023 Table 59 Raw'!U46</f>
        <v>- -</v>
      </c>
      <c r="S60" s="217" t="str">
        <f>'AEO 2023 Table 59 Raw'!V46</f>
        <v>- -</v>
      </c>
      <c r="T60" s="217" t="str">
        <f>'AEO 2023 Table 59 Raw'!W46</f>
        <v>- -</v>
      </c>
      <c r="U60" s="217" t="str">
        <f>'AEO 2023 Table 59 Raw'!X46</f>
        <v>- -</v>
      </c>
      <c r="V60" s="217" t="str">
        <f>'AEO 2023 Table 59 Raw'!Y46</f>
        <v>- -</v>
      </c>
      <c r="W60" s="217" t="str">
        <f>'AEO 2023 Table 59 Raw'!Z46</f>
        <v>- -</v>
      </c>
      <c r="X60" s="217" t="str">
        <f>'AEO 2023 Table 59 Raw'!AA46</f>
        <v>- -</v>
      </c>
      <c r="Y60" s="217" t="str">
        <f>'AEO 2023 Table 59 Raw'!AB46</f>
        <v>- -</v>
      </c>
      <c r="Z60" s="217" t="str">
        <f>'AEO 2023 Table 59 Raw'!AC46</f>
        <v>- -</v>
      </c>
      <c r="AA60" s="217" t="str">
        <f>'AEO 2023 Table 59 Raw'!AD46</f>
        <v>- -</v>
      </c>
      <c r="AB60" s="217" t="str">
        <f>'AEO 2023 Table 59 Raw'!AE46</f>
        <v>- -</v>
      </c>
      <c r="AC60" s="217" t="str">
        <f>'AEO 2023 Table 59 Raw'!AF46</f>
        <v>- -</v>
      </c>
      <c r="AD60" s="217" t="str">
        <f>'AEO 2023 Table 59 Raw'!AG46</f>
        <v>- -</v>
      </c>
      <c r="AE60" s="217" t="str">
        <f>'AEO 2023 Table 59 Raw'!AH46</f>
        <v>- -</v>
      </c>
      <c r="AF60" s="252" t="str">
        <f>'AEO 2023 Table 59 Raw'!AI46</f>
        <v>- -</v>
      </c>
    </row>
    <row r="61" spans="1:32" ht="15" customHeight="1" x14ac:dyDescent="0.75">
      <c r="A61" s="212"/>
      <c r="B61" s="211"/>
      <c r="C61" s="213"/>
      <c r="D61" s="213"/>
      <c r="E61" s="213"/>
      <c r="F61" s="213"/>
      <c r="G61" s="213"/>
      <c r="H61" s="213"/>
      <c r="I61" s="213"/>
      <c r="J61" s="213"/>
      <c r="K61" s="213"/>
      <c r="L61" s="213"/>
      <c r="M61" s="213"/>
      <c r="N61" s="213"/>
      <c r="O61" s="213"/>
      <c r="P61" s="213"/>
      <c r="Q61" s="213"/>
      <c r="R61" s="213"/>
      <c r="S61" s="213"/>
      <c r="T61" s="213"/>
      <c r="U61" s="213"/>
      <c r="V61" s="213"/>
      <c r="W61" s="213"/>
      <c r="X61" s="213"/>
      <c r="Y61" s="213"/>
      <c r="Z61" s="213"/>
      <c r="AA61" s="213"/>
      <c r="AB61" s="213"/>
      <c r="AC61" s="213"/>
      <c r="AD61" s="213"/>
      <c r="AE61" s="213"/>
      <c r="AF61" s="256"/>
    </row>
    <row r="62" spans="1:32" ht="12" customHeight="1" x14ac:dyDescent="0.65">
      <c r="B62" s="215" t="s">
        <v>753</v>
      </c>
    </row>
    <row r="63" spans="1:32" ht="15" customHeight="1" x14ac:dyDescent="0.75">
      <c r="A63" s="212"/>
      <c r="B63" s="231" t="s">
        <v>754</v>
      </c>
      <c r="C63" s="251">
        <v>0.60270900000000005</v>
      </c>
      <c r="D63" s="251">
        <v>0.51574900000000001</v>
      </c>
      <c r="E63" s="251">
        <v>0.45862000000000003</v>
      </c>
      <c r="F63" s="251">
        <v>0.421902</v>
      </c>
      <c r="G63" s="251">
        <v>0.38908700000000002</v>
      </c>
      <c r="H63" s="251">
        <v>0.35536800000000002</v>
      </c>
      <c r="I63" s="251">
        <v>0.31896999999999998</v>
      </c>
      <c r="J63" s="251">
        <v>0.27977400000000002</v>
      </c>
      <c r="K63" s="251">
        <v>0.247751</v>
      </c>
      <c r="L63" s="251">
        <v>0.21925800000000001</v>
      </c>
      <c r="M63" s="251">
        <v>0.19258900000000001</v>
      </c>
      <c r="N63" s="251">
        <v>0.17216999999999999</v>
      </c>
      <c r="O63" s="251">
        <v>0.15077599999999999</v>
      </c>
      <c r="P63" s="251">
        <v>0.13439899999999999</v>
      </c>
      <c r="Q63" s="251">
        <v>0.119792</v>
      </c>
      <c r="R63" s="251">
        <v>0.10663300000000001</v>
      </c>
      <c r="S63" s="251">
        <v>9.4436000000000006E-2</v>
      </c>
      <c r="T63" s="251">
        <v>8.3186999999999997E-2</v>
      </c>
      <c r="U63" s="251">
        <v>7.4681999999999998E-2</v>
      </c>
      <c r="V63" s="251">
        <v>6.5289E-2</v>
      </c>
      <c r="W63" s="251">
        <v>5.6792000000000002E-2</v>
      </c>
      <c r="X63" s="251">
        <v>5.1069000000000003E-2</v>
      </c>
      <c r="Y63" s="251">
        <v>4.2813999999999998E-2</v>
      </c>
      <c r="Z63" s="251">
        <v>3.8530000000000002E-2</v>
      </c>
      <c r="AA63" s="251">
        <v>5.0213000000000001E-2</v>
      </c>
      <c r="AB63" s="251">
        <v>5.2222999999999999E-2</v>
      </c>
      <c r="AC63" s="251">
        <v>5.3955999999999997E-2</v>
      </c>
      <c r="AD63" s="251">
        <v>5.7515999999999998E-2</v>
      </c>
      <c r="AE63" s="251">
        <v>6.4850000000000005E-2</v>
      </c>
      <c r="AF63" s="257">
        <v>-7.4114984866315403E-2</v>
      </c>
    </row>
    <row r="64" spans="1:32" ht="15" customHeight="1" x14ac:dyDescent="0.75">
      <c r="B64" s="231" t="s">
        <v>755</v>
      </c>
      <c r="C64" s="251">
        <v>5.0825810000000002</v>
      </c>
      <c r="D64" s="251">
        <v>5.6669479999999997</v>
      </c>
      <c r="E64" s="251">
        <v>5.7719959999999997</v>
      </c>
      <c r="F64" s="251">
        <v>5.665076</v>
      </c>
      <c r="G64" s="251">
        <v>5.552168</v>
      </c>
      <c r="H64" s="251">
        <v>5.5238139999999998</v>
      </c>
      <c r="I64" s="251">
        <v>5.5950860000000002</v>
      </c>
      <c r="J64" s="251">
        <v>5.6446639999999997</v>
      </c>
      <c r="K64" s="251">
        <v>5.674849</v>
      </c>
      <c r="L64" s="251">
        <v>5.7954239999999997</v>
      </c>
      <c r="M64" s="251">
        <v>5.8508740000000001</v>
      </c>
      <c r="N64" s="251">
        <v>5.7018120000000003</v>
      </c>
      <c r="O64" s="251">
        <v>5.6214139999999997</v>
      </c>
      <c r="P64" s="251">
        <v>5.5611860000000002</v>
      </c>
      <c r="Q64" s="251">
        <v>5.4897739999999997</v>
      </c>
      <c r="R64" s="251">
        <v>5.4060959999999998</v>
      </c>
      <c r="S64" s="251">
        <v>5.3081519999999998</v>
      </c>
      <c r="T64" s="251">
        <v>5.190531</v>
      </c>
      <c r="U64" s="251">
        <v>5.0929130000000002</v>
      </c>
      <c r="V64" s="251">
        <v>5.0052979999999998</v>
      </c>
      <c r="W64" s="251">
        <v>4.8650659999999997</v>
      </c>
      <c r="X64" s="251">
        <v>4.7396060000000002</v>
      </c>
      <c r="Y64" s="251">
        <v>4.5648220000000004</v>
      </c>
      <c r="Z64" s="251">
        <v>4.4257860000000004</v>
      </c>
      <c r="AA64" s="251">
        <v>4.3069179999999996</v>
      </c>
      <c r="AB64" s="251">
        <v>4.2168109999999999</v>
      </c>
      <c r="AC64" s="251">
        <v>4.1417780000000004</v>
      </c>
      <c r="AD64" s="251">
        <v>4.0672550000000003</v>
      </c>
      <c r="AE64" s="251">
        <v>4.0027629999999998</v>
      </c>
      <c r="AF64" s="257">
        <v>3.808142917060664E-3</v>
      </c>
    </row>
    <row r="65" spans="1:33" ht="15" customHeight="1" x14ac:dyDescent="0.75">
      <c r="A65" s="212"/>
      <c r="B65" s="231" t="s">
        <v>756</v>
      </c>
      <c r="C65" s="251">
        <v>0.38925700000000002</v>
      </c>
      <c r="D65" s="251">
        <v>0.37359599999999998</v>
      </c>
      <c r="E65" s="251">
        <v>0.36211900000000002</v>
      </c>
      <c r="F65" s="251">
        <v>0.355016</v>
      </c>
      <c r="G65" s="251">
        <v>0.34650500000000001</v>
      </c>
      <c r="H65" s="251">
        <v>0.33782499999999999</v>
      </c>
      <c r="I65" s="251">
        <v>0.32825100000000001</v>
      </c>
      <c r="J65" s="251">
        <v>0.317772</v>
      </c>
      <c r="K65" s="251">
        <v>0.30793799999999999</v>
      </c>
      <c r="L65" s="251">
        <v>0.29849900000000001</v>
      </c>
      <c r="M65" s="251">
        <v>0.28899599999999998</v>
      </c>
      <c r="N65" s="251">
        <v>0.28054600000000002</v>
      </c>
      <c r="O65" s="251">
        <v>0.27101799999999998</v>
      </c>
      <c r="P65" s="251">
        <v>0.26355600000000001</v>
      </c>
      <c r="Q65" s="251">
        <v>0.25573099999999999</v>
      </c>
      <c r="R65" s="251">
        <v>0.248114</v>
      </c>
      <c r="S65" s="251">
        <v>0.24066100000000001</v>
      </c>
      <c r="T65" s="251">
        <v>0.23333000000000001</v>
      </c>
      <c r="U65" s="251">
        <v>0.22650100000000001</v>
      </c>
      <c r="V65" s="251">
        <v>0.21954399999999999</v>
      </c>
      <c r="W65" s="251">
        <v>0.21273</v>
      </c>
      <c r="X65" s="251">
        <v>0.20653199999999999</v>
      </c>
      <c r="Y65" s="251">
        <v>0.19985900000000001</v>
      </c>
      <c r="Z65" s="251">
        <v>0.194017</v>
      </c>
      <c r="AA65" s="251">
        <v>0.18826799999999999</v>
      </c>
      <c r="AB65" s="251">
        <v>0.182612</v>
      </c>
      <c r="AC65" s="251">
        <v>0.177263</v>
      </c>
      <c r="AD65" s="251">
        <v>0.17169499999999999</v>
      </c>
      <c r="AE65" s="251">
        <v>0.166632</v>
      </c>
      <c r="AF65" s="257">
        <v>-2.923862275800471E-2</v>
      </c>
    </row>
    <row r="66" spans="1:33" ht="15" customHeight="1" x14ac:dyDescent="0.75">
      <c r="B66" s="231" t="s">
        <v>610</v>
      </c>
      <c r="C66" s="251">
        <v>0.94978899999999999</v>
      </c>
      <c r="D66" s="251">
        <v>0.839754</v>
      </c>
      <c r="E66" s="251">
        <v>0.830345</v>
      </c>
      <c r="F66" s="251">
        <v>0.82006800000000002</v>
      </c>
      <c r="G66" s="251">
        <v>0.81036900000000001</v>
      </c>
      <c r="H66" s="251">
        <v>0.80509799999999998</v>
      </c>
      <c r="I66" s="251">
        <v>0.81403000000000003</v>
      </c>
      <c r="J66" s="251">
        <v>0.79723699999999997</v>
      </c>
      <c r="K66" s="251">
        <v>0.78079600000000005</v>
      </c>
      <c r="L66" s="251">
        <v>0.77337299999999998</v>
      </c>
      <c r="M66" s="251">
        <v>0.77163199999999998</v>
      </c>
      <c r="N66" s="251">
        <v>0.76767099999999999</v>
      </c>
      <c r="O66" s="251">
        <v>0.74456100000000003</v>
      </c>
      <c r="P66" s="251">
        <v>0.726607</v>
      </c>
      <c r="Q66" s="251">
        <v>0.70906000000000002</v>
      </c>
      <c r="R66" s="251">
        <v>0.736259</v>
      </c>
      <c r="S66" s="251">
        <v>0.74299899999999997</v>
      </c>
      <c r="T66" s="251">
        <v>0.737676</v>
      </c>
      <c r="U66" s="251">
        <v>0.74998500000000001</v>
      </c>
      <c r="V66" s="251">
        <v>0.78769400000000001</v>
      </c>
      <c r="W66" s="251">
        <v>0.81886300000000001</v>
      </c>
      <c r="X66" s="251">
        <v>0.83313899999999996</v>
      </c>
      <c r="Y66" s="251">
        <v>0.82725400000000004</v>
      </c>
      <c r="Z66" s="251">
        <v>0.82588200000000001</v>
      </c>
      <c r="AA66" s="251">
        <v>0.87780000000000002</v>
      </c>
      <c r="AB66" s="251">
        <v>0.90115599999999996</v>
      </c>
      <c r="AC66" s="251">
        <v>0.91486800000000001</v>
      </c>
      <c r="AD66" s="251">
        <v>0.93078499999999997</v>
      </c>
      <c r="AE66" s="251">
        <v>0.96051699999999995</v>
      </c>
      <c r="AF66" s="257">
        <v>-1.6966053141018731E-3</v>
      </c>
    </row>
    <row r="67" spans="1:33" ht="15" customHeight="1" x14ac:dyDescent="0.75">
      <c r="A67" s="212"/>
      <c r="B67" s="231" t="s">
        <v>609</v>
      </c>
      <c r="C67" s="251">
        <v>1.504324</v>
      </c>
      <c r="D67" s="251">
        <v>1.5816110000000001</v>
      </c>
      <c r="E67" s="251">
        <v>1.6173219999999999</v>
      </c>
      <c r="F67" s="251">
        <v>1.736254</v>
      </c>
      <c r="G67" s="251">
        <v>1.799061</v>
      </c>
      <c r="H67" s="251">
        <v>1.851364</v>
      </c>
      <c r="I67" s="251">
        <v>1.920302</v>
      </c>
      <c r="J67" s="251">
        <v>1.983822</v>
      </c>
      <c r="K67" s="251">
        <v>2.0494430000000001</v>
      </c>
      <c r="L67" s="251">
        <v>2.092327</v>
      </c>
      <c r="M67" s="251">
        <v>2.1137130000000002</v>
      </c>
      <c r="N67" s="251">
        <v>2.0738439999999998</v>
      </c>
      <c r="O67" s="251">
        <v>1.9986790000000001</v>
      </c>
      <c r="P67" s="251">
        <v>1.969679</v>
      </c>
      <c r="Q67" s="251">
        <v>1.947011</v>
      </c>
      <c r="R67" s="251">
        <v>1.930375</v>
      </c>
      <c r="S67" s="251">
        <v>1.9135740000000001</v>
      </c>
      <c r="T67" s="251">
        <v>1.8968449999999999</v>
      </c>
      <c r="U67" s="251">
        <v>1.8801019999999999</v>
      </c>
      <c r="V67" s="251">
        <v>1.8581909999999999</v>
      </c>
      <c r="W67" s="251">
        <v>1.8258080000000001</v>
      </c>
      <c r="X67" s="251">
        <v>1.8004789999999999</v>
      </c>
      <c r="Y67" s="251">
        <v>1.756254</v>
      </c>
      <c r="Z67" s="251">
        <v>1.748397</v>
      </c>
      <c r="AA67" s="251">
        <v>1.730729</v>
      </c>
      <c r="AB67" s="251">
        <v>1.7146159999999999</v>
      </c>
      <c r="AC67" s="251">
        <v>1.676909</v>
      </c>
      <c r="AD67" s="251">
        <v>1.6414070000000001</v>
      </c>
      <c r="AE67" s="251">
        <v>1.6173660000000001</v>
      </c>
      <c r="AF67" s="257">
        <v>3.0652680901099849E-3</v>
      </c>
    </row>
    <row r="68" spans="1:33" ht="15" customHeight="1" x14ac:dyDescent="0.75">
      <c r="B68" s="231" t="s">
        <v>757</v>
      </c>
      <c r="C68" s="251">
        <v>4.0036000000000002E-2</v>
      </c>
      <c r="D68" s="251">
        <v>3.3991E-2</v>
      </c>
      <c r="E68" s="251">
        <v>3.5609000000000002E-2</v>
      </c>
      <c r="F68" s="251">
        <v>3.7323000000000002E-2</v>
      </c>
      <c r="G68" s="251">
        <v>3.7735999999999999E-2</v>
      </c>
      <c r="H68" s="251">
        <v>3.7662000000000001E-2</v>
      </c>
      <c r="I68" s="251">
        <v>3.7335E-2</v>
      </c>
      <c r="J68" s="251">
        <v>3.6817000000000003E-2</v>
      </c>
      <c r="K68" s="251">
        <v>3.6673999999999998E-2</v>
      </c>
      <c r="L68" s="251">
        <v>3.6711000000000001E-2</v>
      </c>
      <c r="M68" s="251">
        <v>3.6653999999999999E-2</v>
      </c>
      <c r="N68" s="251">
        <v>3.6949000000000003E-2</v>
      </c>
      <c r="O68" s="251">
        <v>3.7225000000000001E-2</v>
      </c>
      <c r="P68" s="251">
        <v>3.764E-2</v>
      </c>
      <c r="Q68" s="251">
        <v>3.7946000000000001E-2</v>
      </c>
      <c r="R68" s="251">
        <v>3.8247999999999997E-2</v>
      </c>
      <c r="S68" s="251">
        <v>3.8573999999999997E-2</v>
      </c>
      <c r="T68" s="251">
        <v>3.8949999999999999E-2</v>
      </c>
      <c r="U68" s="251">
        <v>3.9373999999999999E-2</v>
      </c>
      <c r="V68" s="251">
        <v>3.9858999999999999E-2</v>
      </c>
      <c r="W68" s="251">
        <v>4.0340000000000001E-2</v>
      </c>
      <c r="X68" s="251">
        <v>4.0858999999999999E-2</v>
      </c>
      <c r="Y68" s="251">
        <v>4.1307999999999997E-2</v>
      </c>
      <c r="Z68" s="251">
        <v>4.1718999999999999E-2</v>
      </c>
      <c r="AA68" s="251">
        <v>4.2127999999999999E-2</v>
      </c>
      <c r="AB68" s="251">
        <v>4.2575000000000002E-2</v>
      </c>
      <c r="AC68" s="251">
        <v>4.2997E-2</v>
      </c>
      <c r="AD68" s="251">
        <v>4.3485000000000003E-2</v>
      </c>
      <c r="AE68" s="251">
        <v>4.3992000000000003E-2</v>
      </c>
      <c r="AF68" s="257">
        <v>-1.064421282629258E-2</v>
      </c>
    </row>
    <row r="69" spans="1:33" ht="15" customHeight="1" x14ac:dyDescent="0.75">
      <c r="A69" s="212"/>
      <c r="B69" s="231" t="s">
        <v>758</v>
      </c>
      <c r="C69" s="251">
        <v>9.8828739999999993</v>
      </c>
      <c r="D69" s="251">
        <v>9.6821839999999995</v>
      </c>
      <c r="E69" s="251">
        <v>9.4663389999999996</v>
      </c>
      <c r="F69" s="251">
        <v>9.2109950000000005</v>
      </c>
      <c r="G69" s="251">
        <v>9.1687560000000001</v>
      </c>
      <c r="H69" s="251">
        <v>9.1871600000000004</v>
      </c>
      <c r="I69" s="251">
        <v>9.3475400000000004</v>
      </c>
      <c r="J69" s="251">
        <v>9.5647649999999995</v>
      </c>
      <c r="K69" s="251">
        <v>9.6692250000000008</v>
      </c>
      <c r="L69" s="251">
        <v>9.6028300000000009</v>
      </c>
      <c r="M69" s="251">
        <v>9.6601199999999992</v>
      </c>
      <c r="N69" s="251">
        <v>9.7337129999999998</v>
      </c>
      <c r="O69" s="251">
        <v>9.8514619999999997</v>
      </c>
      <c r="P69" s="251">
        <v>9.8213799999999996</v>
      </c>
      <c r="Q69" s="251">
        <v>9.9512060000000009</v>
      </c>
      <c r="R69" s="251">
        <v>10.028527</v>
      </c>
      <c r="S69" s="251">
        <v>10.108670999999999</v>
      </c>
      <c r="T69" s="251">
        <v>10.19431</v>
      </c>
      <c r="U69" s="251">
        <v>10.310494</v>
      </c>
      <c r="V69" s="251">
        <v>10.442214999999999</v>
      </c>
      <c r="W69" s="251">
        <v>10.561579999999999</v>
      </c>
      <c r="X69" s="251">
        <v>10.54293</v>
      </c>
      <c r="Y69" s="251">
        <v>10.506332</v>
      </c>
      <c r="Z69" s="251">
        <v>10.556562</v>
      </c>
      <c r="AA69" s="251">
        <v>10.617139999999999</v>
      </c>
      <c r="AB69" s="251">
        <v>10.603475</v>
      </c>
      <c r="AC69" s="251">
        <v>10.634814</v>
      </c>
      <c r="AD69" s="251">
        <v>10.655151999999999</v>
      </c>
      <c r="AE69" s="251">
        <v>10.70049</v>
      </c>
      <c r="AF69" s="257">
        <v>7.3624954849944579E-3</v>
      </c>
    </row>
    <row r="70" spans="1:33" ht="12" customHeight="1" x14ac:dyDescent="0.75">
      <c r="B70" s="231" t="s">
        <v>608</v>
      </c>
      <c r="C70" s="251">
        <v>0.72981300000000005</v>
      </c>
      <c r="D70" s="251">
        <v>0.73944200000000004</v>
      </c>
      <c r="E70" s="251">
        <v>0.75242699999999996</v>
      </c>
      <c r="F70" s="251">
        <v>0.80098999999999998</v>
      </c>
      <c r="G70" s="251">
        <v>0.81060399999999999</v>
      </c>
      <c r="H70" s="251">
        <v>0.81085700000000005</v>
      </c>
      <c r="I70" s="251">
        <v>0.81341699999999995</v>
      </c>
      <c r="J70" s="251">
        <v>0.80825800000000003</v>
      </c>
      <c r="K70" s="251">
        <v>0.79953399999999997</v>
      </c>
      <c r="L70" s="251">
        <v>0.78304099999999999</v>
      </c>
      <c r="M70" s="251">
        <v>0.77567900000000001</v>
      </c>
      <c r="N70" s="251">
        <v>0.76971100000000003</v>
      </c>
      <c r="O70" s="251">
        <v>0.76674299999999995</v>
      </c>
      <c r="P70" s="251">
        <v>0.76315500000000003</v>
      </c>
      <c r="Q70" s="251">
        <v>0.75802899999999995</v>
      </c>
      <c r="R70" s="251">
        <v>0.75159900000000002</v>
      </c>
      <c r="S70" s="251">
        <v>0.74606700000000004</v>
      </c>
      <c r="T70" s="251">
        <v>0.74887099999999995</v>
      </c>
      <c r="U70" s="251">
        <v>0.74761299999999997</v>
      </c>
      <c r="V70" s="251">
        <v>0.74961800000000001</v>
      </c>
      <c r="W70" s="251">
        <v>0.74849500000000002</v>
      </c>
      <c r="X70" s="251">
        <v>0.73975000000000002</v>
      </c>
      <c r="Y70" s="251">
        <v>0.72936000000000001</v>
      </c>
      <c r="Z70" s="251">
        <v>0.71838900000000006</v>
      </c>
      <c r="AA70" s="251">
        <v>0.71018000000000003</v>
      </c>
      <c r="AB70" s="251">
        <v>0.69701599999999997</v>
      </c>
      <c r="AC70" s="251">
        <v>0.68491400000000002</v>
      </c>
      <c r="AD70" s="251">
        <v>0.67521600000000004</v>
      </c>
      <c r="AE70" s="251">
        <v>0.66456999999999999</v>
      </c>
      <c r="AF70" s="257">
        <v>-7.9115525779849261E-4</v>
      </c>
    </row>
    <row r="71" spans="1:33" ht="15" customHeight="1" x14ac:dyDescent="0.75">
      <c r="A71" s="212"/>
      <c r="B71" s="231" t="s">
        <v>617</v>
      </c>
      <c r="C71" s="251">
        <v>2.9709210000000001</v>
      </c>
      <c r="D71" s="251">
        <v>3.0605869999999999</v>
      </c>
      <c r="E71" s="251">
        <v>2.8739469999999998</v>
      </c>
      <c r="F71" s="251">
        <v>2.714928</v>
      </c>
      <c r="G71" s="251">
        <v>2.6135790000000001</v>
      </c>
      <c r="H71" s="251">
        <v>2.5886930000000001</v>
      </c>
      <c r="I71" s="251">
        <v>2.5805419999999999</v>
      </c>
      <c r="J71" s="251">
        <v>2.5060259999999999</v>
      </c>
      <c r="K71" s="251">
        <v>2.3793739999999999</v>
      </c>
      <c r="L71" s="251">
        <v>2.6230720000000001</v>
      </c>
      <c r="M71" s="251">
        <v>2.7437649999999998</v>
      </c>
      <c r="N71" s="251">
        <v>2.8247840000000002</v>
      </c>
      <c r="O71" s="251">
        <v>3.0518879999999999</v>
      </c>
      <c r="P71" s="251">
        <v>3.0978089999999998</v>
      </c>
      <c r="Q71" s="251">
        <v>3.143046</v>
      </c>
      <c r="R71" s="251">
        <v>3.2899690000000001</v>
      </c>
      <c r="S71" s="251">
        <v>3.3473220000000001</v>
      </c>
      <c r="T71" s="251">
        <v>3.4521389999999998</v>
      </c>
      <c r="U71" s="251">
        <v>3.5716920000000001</v>
      </c>
      <c r="V71" s="251">
        <v>3.6567690000000002</v>
      </c>
      <c r="W71" s="251">
        <v>3.684707</v>
      </c>
      <c r="X71" s="251">
        <v>3.9083510000000001</v>
      </c>
      <c r="Y71" s="251">
        <v>4.1268729999999998</v>
      </c>
      <c r="Z71" s="251">
        <v>4.185009</v>
      </c>
      <c r="AA71" s="251">
        <v>4.231706</v>
      </c>
      <c r="AB71" s="251">
        <v>4.4837680000000004</v>
      </c>
      <c r="AC71" s="251">
        <v>4.6457829999999998</v>
      </c>
      <c r="AD71" s="251">
        <v>4.6962060000000001</v>
      </c>
      <c r="AE71" s="251">
        <v>4.776205</v>
      </c>
      <c r="AF71" s="257">
        <v>1.8585316542633731E-2</v>
      </c>
    </row>
    <row r="72" spans="1:33" ht="15" customHeight="1" x14ac:dyDescent="0.75">
      <c r="B72" s="231" t="s">
        <v>618</v>
      </c>
      <c r="C72" s="251">
        <v>5.0104110000000004</v>
      </c>
      <c r="D72" s="251">
        <v>5.3265099999999999</v>
      </c>
      <c r="E72" s="251">
        <v>6.0661339999999999</v>
      </c>
      <c r="F72" s="251">
        <v>6.6059760000000001</v>
      </c>
      <c r="G72" s="251">
        <v>7.0674479999999997</v>
      </c>
      <c r="H72" s="251">
        <v>7.4316139999999997</v>
      </c>
      <c r="I72" s="251">
        <v>7.7728479999999998</v>
      </c>
      <c r="J72" s="251">
        <v>8.0088849999999994</v>
      </c>
      <c r="K72" s="251">
        <v>8.1886469999999996</v>
      </c>
      <c r="L72" s="251">
        <v>8.2841550000000002</v>
      </c>
      <c r="M72" s="251">
        <v>8.4430890000000005</v>
      </c>
      <c r="N72" s="251">
        <v>8.5656219999999994</v>
      </c>
      <c r="O72" s="251">
        <v>8.5935790000000001</v>
      </c>
      <c r="P72" s="251">
        <v>8.5968689999999999</v>
      </c>
      <c r="Q72" s="251">
        <v>8.6543969999999995</v>
      </c>
      <c r="R72" s="251">
        <v>8.7266770000000005</v>
      </c>
      <c r="S72" s="251">
        <v>8.8379499999999993</v>
      </c>
      <c r="T72" s="251">
        <v>9.0022310000000001</v>
      </c>
      <c r="U72" s="251">
        <v>9.1599660000000007</v>
      </c>
      <c r="V72" s="251">
        <v>9.2439339999999994</v>
      </c>
      <c r="W72" s="251">
        <v>9.4339490000000001</v>
      </c>
      <c r="X72" s="251">
        <v>9.6287870000000009</v>
      </c>
      <c r="Y72" s="251">
        <v>9.9043880000000009</v>
      </c>
      <c r="Z72" s="251">
        <v>10.075343</v>
      </c>
      <c r="AA72" s="251">
        <v>10.232612</v>
      </c>
      <c r="AB72" s="251">
        <v>10.339174</v>
      </c>
      <c r="AC72" s="251">
        <v>10.486917</v>
      </c>
      <c r="AD72" s="251">
        <v>10.584052</v>
      </c>
      <c r="AE72" s="251">
        <v>10.671181000000001</v>
      </c>
      <c r="AF72" s="257">
        <v>2.2209820298216831E-2</v>
      </c>
    </row>
    <row r="73" spans="1:33" ht="15" customHeight="1" x14ac:dyDescent="0.75">
      <c r="A73" s="212"/>
      <c r="B73" s="231" t="s">
        <v>619</v>
      </c>
      <c r="C73" s="251">
        <v>27.162714000000001</v>
      </c>
      <c r="D73" s="251">
        <v>27.82037</v>
      </c>
      <c r="E73" s="251">
        <v>28.234859</v>
      </c>
      <c r="F73" s="251">
        <v>28.368525999999999</v>
      </c>
      <c r="G73" s="251">
        <v>28.595313999999998</v>
      </c>
      <c r="H73" s="251">
        <v>28.929455000000001</v>
      </c>
      <c r="I73" s="251">
        <v>29.528320000000001</v>
      </c>
      <c r="J73" s="251">
        <v>29.948021000000001</v>
      </c>
      <c r="K73" s="251">
        <v>30.134232000000001</v>
      </c>
      <c r="L73" s="251">
        <v>30.508690000000001</v>
      </c>
      <c r="M73" s="251">
        <v>30.877109999999998</v>
      </c>
      <c r="N73" s="251">
        <v>30.926821</v>
      </c>
      <c r="O73" s="251">
        <v>31.087344999999999</v>
      </c>
      <c r="P73" s="251">
        <v>30.972282</v>
      </c>
      <c r="Q73" s="251">
        <v>31.065989999999999</v>
      </c>
      <c r="R73" s="251">
        <v>31.262495000000001</v>
      </c>
      <c r="S73" s="251">
        <v>31.378406999999999</v>
      </c>
      <c r="T73" s="251">
        <v>31.578071999999999</v>
      </c>
      <c r="U73" s="251">
        <v>31.853321000000001</v>
      </c>
      <c r="V73" s="251">
        <v>32.068413</v>
      </c>
      <c r="W73" s="251">
        <v>32.248333000000002</v>
      </c>
      <c r="X73" s="251">
        <v>32.491501</v>
      </c>
      <c r="Y73" s="251">
        <v>32.699264999999997</v>
      </c>
      <c r="Z73" s="251">
        <v>32.809635</v>
      </c>
      <c r="AA73" s="251">
        <v>32.987693999999998</v>
      </c>
      <c r="AB73" s="251">
        <v>33.233424999999997</v>
      </c>
      <c r="AC73" s="251">
        <v>33.460197000000001</v>
      </c>
      <c r="AD73" s="251">
        <v>33.522773999999998</v>
      </c>
      <c r="AE73" s="251">
        <v>33.668564000000003</v>
      </c>
      <c r="AF73" s="257">
        <v>1.0448500888911029E-2</v>
      </c>
    </row>
    <row r="75" spans="1:33" ht="15" customHeight="1" x14ac:dyDescent="0.75">
      <c r="A75" s="212"/>
      <c r="B75" s="211"/>
      <c r="C75" s="213"/>
      <c r="D75" s="213"/>
      <c r="E75" s="213"/>
      <c r="F75" s="213"/>
      <c r="G75" s="213"/>
      <c r="H75" s="213"/>
      <c r="I75" s="213"/>
      <c r="J75" s="213"/>
      <c r="K75" s="213"/>
      <c r="L75" s="213"/>
      <c r="M75" s="213"/>
      <c r="N75" s="213"/>
      <c r="O75" s="213"/>
      <c r="P75" s="213"/>
      <c r="Q75" s="213"/>
      <c r="R75" s="213"/>
      <c r="S75" s="213"/>
      <c r="T75" s="213"/>
      <c r="U75" s="213"/>
      <c r="V75" s="213"/>
      <c r="W75" s="213"/>
      <c r="X75" s="213"/>
      <c r="Y75" s="213"/>
      <c r="Z75" s="213"/>
      <c r="AA75" s="213"/>
      <c r="AB75" s="213"/>
      <c r="AC75" s="213"/>
      <c r="AD75" s="213"/>
      <c r="AE75" s="213"/>
      <c r="AF75" s="256"/>
    </row>
    <row r="77" spans="1:33" ht="15" customHeight="1" thickBot="1" x14ac:dyDescent="0.8"/>
    <row r="78" spans="1:33" ht="12" customHeight="1" x14ac:dyDescent="0.65">
      <c r="B78" s="294" t="s">
        <v>759</v>
      </c>
      <c r="C78" s="295"/>
      <c r="D78" s="295"/>
      <c r="E78" s="295"/>
      <c r="F78" s="295"/>
      <c r="G78" s="295"/>
      <c r="H78" s="295"/>
      <c r="I78" s="295"/>
      <c r="J78" s="295"/>
      <c r="K78" s="295"/>
      <c r="L78" s="295"/>
      <c r="M78" s="295"/>
      <c r="N78" s="295"/>
      <c r="O78" s="295"/>
      <c r="P78" s="295"/>
      <c r="Q78" s="295"/>
      <c r="R78" s="295"/>
      <c r="S78" s="295"/>
      <c r="T78" s="295"/>
      <c r="U78" s="295"/>
      <c r="V78" s="295"/>
      <c r="W78" s="295"/>
      <c r="X78" s="295"/>
      <c r="Y78" s="295"/>
      <c r="Z78" s="295"/>
      <c r="AA78" s="295"/>
      <c r="AB78" s="295"/>
      <c r="AC78" s="295"/>
      <c r="AD78" s="295"/>
      <c r="AE78" s="295"/>
      <c r="AF78" s="295"/>
      <c r="AG78" s="230"/>
    </row>
    <row r="79" spans="1:33" ht="15" customHeight="1" x14ac:dyDescent="0.65">
      <c r="B79" s="208" t="s">
        <v>316</v>
      </c>
    </row>
    <row r="80" spans="1:33" ht="15" customHeight="1" x14ac:dyDescent="0.65">
      <c r="B80" s="208" t="s">
        <v>760</v>
      </c>
    </row>
    <row r="81" spans="2:32" ht="15" customHeight="1" x14ac:dyDescent="0.65">
      <c r="B81" s="208" t="s">
        <v>761</v>
      </c>
    </row>
    <row r="82" spans="2:32" ht="15" customHeight="1" x14ac:dyDescent="0.65">
      <c r="B82" s="208" t="s">
        <v>318</v>
      </c>
    </row>
    <row r="83" spans="2:32" ht="15" customHeight="1" x14ac:dyDescent="0.65">
      <c r="B83" s="208" t="s">
        <v>762</v>
      </c>
    </row>
    <row r="84" spans="2:32" ht="12" customHeight="1" x14ac:dyDescent="0.65"/>
    <row r="88" spans="2:32" ht="15" customHeight="1" x14ac:dyDescent="0.65">
      <c r="B88" s="293"/>
      <c r="C88" s="293"/>
      <c r="D88" s="293"/>
      <c r="E88" s="293"/>
      <c r="F88" s="293"/>
      <c r="G88" s="293"/>
      <c r="H88" s="293"/>
      <c r="I88" s="293"/>
      <c r="J88" s="293"/>
      <c r="K88" s="293"/>
      <c r="L88" s="293"/>
      <c r="M88" s="293"/>
      <c r="N88" s="293"/>
      <c r="O88" s="293"/>
      <c r="P88" s="293"/>
      <c r="Q88" s="293"/>
      <c r="R88" s="293"/>
      <c r="S88" s="293"/>
      <c r="T88" s="293"/>
      <c r="U88" s="293"/>
      <c r="V88" s="293"/>
      <c r="W88" s="293"/>
      <c r="X88" s="293"/>
      <c r="Y88" s="293"/>
      <c r="Z88" s="293"/>
      <c r="AA88" s="293"/>
      <c r="AB88" s="293"/>
      <c r="AC88" s="293"/>
      <c r="AD88" s="293"/>
      <c r="AE88" s="293"/>
      <c r="AF88" s="293"/>
    </row>
    <row r="93" spans="2:32" ht="12" customHeight="1" x14ac:dyDescent="0.65"/>
    <row r="94" spans="2:32" ht="12" customHeight="1" x14ac:dyDescent="0.65"/>
    <row r="95" spans="2:32" ht="12" customHeight="1" x14ac:dyDescent="0.65"/>
    <row r="96" spans="2:32" ht="12" customHeight="1" x14ac:dyDescent="0.65"/>
    <row r="97" ht="12" customHeight="1" x14ac:dyDescent="0.65"/>
    <row r="98" ht="12" customHeight="1" x14ac:dyDescent="0.65"/>
    <row r="99" ht="12" customHeight="1" x14ac:dyDescent="0.65"/>
    <row r="100" ht="12" customHeight="1" x14ac:dyDescent="0.65"/>
    <row r="101" ht="12" customHeight="1" x14ac:dyDescent="0.65"/>
    <row r="102" ht="12" customHeight="1" x14ac:dyDescent="0.65"/>
    <row r="103" ht="12" customHeight="1" x14ac:dyDescent="0.65"/>
    <row r="104" ht="12" customHeight="1" x14ac:dyDescent="0.65"/>
    <row r="105" ht="12" customHeight="1" x14ac:dyDescent="0.65"/>
    <row r="106" ht="12" customHeight="1" x14ac:dyDescent="0.65"/>
    <row r="107" ht="12" customHeight="1" x14ac:dyDescent="0.65"/>
    <row r="108" ht="12" customHeight="1" x14ac:dyDescent="0.65"/>
    <row r="109" ht="12" customHeight="1" x14ac:dyDescent="0.65"/>
    <row r="110" ht="12" customHeight="1" x14ac:dyDescent="0.65"/>
    <row r="111" ht="12" customHeight="1" x14ac:dyDescent="0.65"/>
    <row r="112" ht="12" customHeight="1" x14ac:dyDescent="0.65"/>
    <row r="113" ht="12" customHeight="1" x14ac:dyDescent="0.65"/>
    <row r="114" ht="12" customHeight="1" x14ac:dyDescent="0.65"/>
    <row r="115" ht="12" customHeight="1" x14ac:dyDescent="0.65"/>
    <row r="116" ht="12" customHeight="1" x14ac:dyDescent="0.65"/>
    <row r="117" ht="12" customHeight="1" x14ac:dyDescent="0.65"/>
    <row r="118" ht="12" customHeight="1" x14ac:dyDescent="0.65"/>
    <row r="119" ht="12" customHeight="1" x14ac:dyDescent="0.65"/>
    <row r="120" ht="12" customHeight="1" x14ac:dyDescent="0.65"/>
    <row r="121" ht="12" customHeight="1" x14ac:dyDescent="0.65"/>
    <row r="122" ht="12" customHeight="1" x14ac:dyDescent="0.65"/>
    <row r="123" ht="12" customHeight="1" x14ac:dyDescent="0.65"/>
    <row r="124" ht="12" customHeight="1" x14ac:dyDescent="0.65"/>
    <row r="125" ht="12" customHeight="1" x14ac:dyDescent="0.65"/>
    <row r="126" ht="12" customHeight="1" x14ac:dyDescent="0.65"/>
    <row r="127" ht="12" customHeight="1" x14ac:dyDescent="0.65"/>
    <row r="128" ht="12" customHeight="1" x14ac:dyDescent="0.65"/>
    <row r="129" ht="12" customHeight="1" x14ac:dyDescent="0.65"/>
    <row r="130" ht="12" customHeight="1" x14ac:dyDescent="0.65"/>
    <row r="131" ht="12" customHeight="1" x14ac:dyDescent="0.65"/>
    <row r="132" ht="12" customHeight="1" x14ac:dyDescent="0.65"/>
    <row r="133" ht="12" customHeight="1" x14ac:dyDescent="0.65"/>
    <row r="134" ht="12" customHeight="1" x14ac:dyDescent="0.65"/>
    <row r="135" ht="12" customHeight="1" x14ac:dyDescent="0.65"/>
    <row r="136" ht="12" customHeight="1" x14ac:dyDescent="0.65"/>
    <row r="137" ht="12" customHeight="1" x14ac:dyDescent="0.65"/>
    <row r="138" ht="12" customHeight="1" x14ac:dyDescent="0.65"/>
    <row r="139" ht="12" customHeight="1" x14ac:dyDescent="0.65"/>
    <row r="140" ht="12" customHeight="1" x14ac:dyDescent="0.65"/>
    <row r="141" ht="12" customHeight="1" x14ac:dyDescent="0.65"/>
    <row r="142" ht="12" customHeight="1" x14ac:dyDescent="0.65"/>
    <row r="143" ht="12" customHeight="1" x14ac:dyDescent="0.65"/>
    <row r="144" ht="12" customHeight="1" x14ac:dyDescent="0.65"/>
    <row r="145" ht="12" customHeight="1" x14ac:dyDescent="0.65"/>
    <row r="146" ht="12" customHeight="1" x14ac:dyDescent="0.65"/>
    <row r="147" ht="12" customHeight="1" x14ac:dyDescent="0.65"/>
    <row r="148" ht="12" customHeight="1" x14ac:dyDescent="0.65"/>
    <row r="149" ht="12" customHeight="1" x14ac:dyDescent="0.65"/>
    <row r="158" ht="12" customHeight="1" x14ac:dyDescent="0.65"/>
    <row r="167" ht="12" customHeight="1" x14ac:dyDescent="0.65"/>
    <row r="179" ht="12" customHeight="1" x14ac:dyDescent="0.65"/>
    <row r="180" ht="12" customHeight="1" x14ac:dyDescent="0.65"/>
    <row r="182" ht="12" customHeight="1" x14ac:dyDescent="0.65"/>
    <row r="184" ht="12" customHeight="1" x14ac:dyDescent="0.65"/>
    <row r="193" ht="12" customHeight="1" x14ac:dyDescent="0.65"/>
    <row r="214" spans="2:32" ht="15" customHeight="1" x14ac:dyDescent="0.65">
      <c r="B214" s="293"/>
      <c r="C214" s="293"/>
      <c r="D214" s="293"/>
      <c r="E214" s="293"/>
      <c r="F214" s="293"/>
      <c r="G214" s="293"/>
      <c r="H214" s="293"/>
      <c r="I214" s="293"/>
      <c r="J214" s="293"/>
      <c r="K214" s="293"/>
      <c r="L214" s="293"/>
      <c r="M214" s="293"/>
      <c r="N214" s="293"/>
      <c r="O214" s="293"/>
      <c r="P214" s="293"/>
      <c r="Q214" s="293"/>
      <c r="R214" s="293"/>
      <c r="S214" s="293"/>
      <c r="T214" s="293"/>
      <c r="U214" s="293"/>
      <c r="V214" s="293"/>
      <c r="W214" s="293"/>
      <c r="X214" s="293"/>
      <c r="Y214" s="293"/>
      <c r="Z214" s="293"/>
      <c r="AA214" s="293"/>
      <c r="AB214" s="293"/>
      <c r="AC214" s="293"/>
      <c r="AD214" s="293"/>
      <c r="AE214" s="293"/>
      <c r="AF214" s="293"/>
    </row>
    <row r="221" spans="2:32" ht="12" customHeight="1" x14ac:dyDescent="0.65"/>
    <row r="222" spans="2:32" ht="12" customHeight="1" x14ac:dyDescent="0.65"/>
    <row r="223" spans="2:32" ht="12" customHeight="1" x14ac:dyDescent="0.65"/>
    <row r="224" spans="2:32" ht="12" customHeight="1" x14ac:dyDescent="0.65"/>
    <row r="225" ht="12" customHeight="1" x14ac:dyDescent="0.65"/>
    <row r="226" ht="12" customHeight="1" x14ac:dyDescent="0.65"/>
    <row r="227" ht="12" customHeight="1" x14ac:dyDescent="0.65"/>
    <row r="228" ht="12" customHeight="1" x14ac:dyDescent="0.65"/>
    <row r="229" ht="12" customHeight="1" x14ac:dyDescent="0.65"/>
    <row r="230" ht="12" customHeight="1" x14ac:dyDescent="0.65"/>
    <row r="231" ht="12" customHeight="1" x14ac:dyDescent="0.65"/>
    <row r="232" ht="12" customHeight="1" x14ac:dyDescent="0.65"/>
    <row r="233" ht="12" customHeight="1" x14ac:dyDescent="0.65"/>
    <row r="234" ht="12" customHeight="1" x14ac:dyDescent="0.65"/>
    <row r="235" ht="12" customHeight="1" x14ac:dyDescent="0.65"/>
    <row r="236" ht="12" customHeight="1" x14ac:dyDescent="0.65"/>
    <row r="237" ht="12" customHeight="1" x14ac:dyDescent="0.65"/>
    <row r="238" ht="12" customHeight="1" x14ac:dyDescent="0.65"/>
    <row r="239" ht="12" customHeight="1" x14ac:dyDescent="0.65"/>
    <row r="240" ht="12" customHeight="1" x14ac:dyDescent="0.65"/>
    <row r="241" ht="12" customHeight="1" x14ac:dyDescent="0.65"/>
    <row r="242" ht="12" customHeight="1" x14ac:dyDescent="0.65"/>
    <row r="243" ht="12" customHeight="1" x14ac:dyDescent="0.65"/>
    <row r="244" ht="12" customHeight="1" x14ac:dyDescent="0.65"/>
    <row r="245" ht="12" customHeight="1" x14ac:dyDescent="0.65"/>
    <row r="246" ht="12" customHeight="1" x14ac:dyDescent="0.65"/>
    <row r="247" ht="12" customHeight="1" x14ac:dyDescent="0.65"/>
    <row r="248" ht="12" customHeight="1" x14ac:dyDescent="0.65"/>
    <row r="249" ht="12" customHeight="1" x14ac:dyDescent="0.65"/>
    <row r="250" ht="12" customHeight="1" x14ac:dyDescent="0.65"/>
    <row r="251" ht="12" customHeight="1" x14ac:dyDescent="0.65"/>
    <row r="252" ht="12" customHeight="1" x14ac:dyDescent="0.65"/>
    <row r="253" ht="12" customHeight="1" x14ac:dyDescent="0.65"/>
    <row r="254" ht="12" customHeight="1" x14ac:dyDescent="0.65"/>
    <row r="255" ht="12" customHeight="1" x14ac:dyDescent="0.65"/>
    <row r="256" ht="12" customHeight="1" x14ac:dyDescent="0.65"/>
    <row r="257" ht="12" customHeight="1" x14ac:dyDescent="0.65"/>
    <row r="258" ht="12" customHeight="1" x14ac:dyDescent="0.65"/>
    <row r="259" ht="12" customHeight="1" x14ac:dyDescent="0.65"/>
    <row r="260" ht="12" customHeight="1" x14ac:dyDescent="0.65"/>
    <row r="261" ht="12" customHeight="1" x14ac:dyDescent="0.65"/>
    <row r="262" ht="12" customHeight="1" x14ac:dyDescent="0.65"/>
    <row r="263" ht="12" customHeight="1" x14ac:dyDescent="0.65"/>
    <row r="264" ht="12" customHeight="1" x14ac:dyDescent="0.65"/>
    <row r="265" ht="12" customHeight="1" x14ac:dyDescent="0.65"/>
    <row r="266" ht="12" customHeight="1" x14ac:dyDescent="0.65"/>
    <row r="267" ht="12" customHeight="1" x14ac:dyDescent="0.65"/>
    <row r="268" ht="12" customHeight="1" x14ac:dyDescent="0.65"/>
    <row r="269" ht="12" customHeight="1" x14ac:dyDescent="0.65"/>
    <row r="270" ht="12" customHeight="1" x14ac:dyDescent="0.65"/>
    <row r="271" ht="12" customHeight="1" x14ac:dyDescent="0.65"/>
    <row r="272" ht="12" customHeight="1" x14ac:dyDescent="0.65"/>
    <row r="273" ht="12" customHeight="1" x14ac:dyDescent="0.65"/>
    <row r="274" ht="12" customHeight="1" x14ac:dyDescent="0.65"/>
    <row r="275" ht="12" customHeight="1" x14ac:dyDescent="0.65"/>
    <row r="276" ht="12" customHeight="1" x14ac:dyDescent="0.65"/>
    <row r="277" ht="12" customHeight="1" x14ac:dyDescent="0.65"/>
    <row r="278" ht="12" customHeight="1" x14ac:dyDescent="0.65"/>
    <row r="279" ht="12" customHeight="1" x14ac:dyDescent="0.65"/>
    <row r="280" ht="12" customHeight="1" x14ac:dyDescent="0.65"/>
    <row r="281" ht="12" customHeight="1" x14ac:dyDescent="0.65"/>
    <row r="282" ht="12" customHeight="1" x14ac:dyDescent="0.65"/>
    <row r="283" ht="12" customHeight="1" x14ac:dyDescent="0.65"/>
    <row r="284" ht="12" customHeight="1" x14ac:dyDescent="0.65"/>
    <row r="285" ht="12" customHeight="1" x14ac:dyDescent="0.65"/>
    <row r="286" ht="12" customHeight="1" x14ac:dyDescent="0.65"/>
    <row r="287" ht="12" customHeight="1" x14ac:dyDescent="0.65"/>
    <row r="288" ht="12" customHeight="1" x14ac:dyDescent="0.65"/>
    <row r="289" ht="12" customHeight="1" x14ac:dyDescent="0.65"/>
    <row r="290" ht="12" customHeight="1" x14ac:dyDescent="0.65"/>
    <row r="291" ht="12" customHeight="1" x14ac:dyDescent="0.65"/>
    <row r="292" ht="12" customHeight="1" x14ac:dyDescent="0.65"/>
    <row r="293" ht="12" customHeight="1" x14ac:dyDescent="0.65"/>
    <row r="294" ht="12" customHeight="1" x14ac:dyDescent="0.65"/>
    <row r="295" ht="12" customHeight="1" x14ac:dyDescent="0.65"/>
    <row r="296" ht="12" customHeight="1" x14ac:dyDescent="0.65"/>
    <row r="297" ht="12" customHeight="1" x14ac:dyDescent="0.65"/>
    <row r="298" ht="12" customHeight="1" x14ac:dyDescent="0.65"/>
    <row r="299" ht="12" customHeight="1" x14ac:dyDescent="0.65"/>
    <row r="300" ht="12" customHeight="1" x14ac:dyDescent="0.65"/>
    <row r="301" ht="12" customHeight="1" x14ac:dyDescent="0.65"/>
    <row r="302" ht="12" customHeight="1" x14ac:dyDescent="0.65"/>
    <row r="303" ht="12" customHeight="1" x14ac:dyDescent="0.65"/>
    <row r="304" ht="12" customHeight="1" x14ac:dyDescent="0.65"/>
    <row r="305" ht="12" customHeight="1" x14ac:dyDescent="0.65"/>
    <row r="306" ht="12" customHeight="1" x14ac:dyDescent="0.65"/>
    <row r="307" ht="12" customHeight="1" x14ac:dyDescent="0.65"/>
    <row r="308" ht="12" customHeight="1" x14ac:dyDescent="0.65"/>
    <row r="309" ht="12" customHeight="1" x14ac:dyDescent="0.65"/>
    <row r="310" ht="12" customHeight="1" x14ac:dyDescent="0.65"/>
    <row r="311" ht="12" customHeight="1" x14ac:dyDescent="0.65"/>
    <row r="312" ht="12" customHeight="1" x14ac:dyDescent="0.65"/>
    <row r="313" ht="12" customHeight="1" x14ac:dyDescent="0.65"/>
    <row r="314" ht="12" customHeight="1" x14ac:dyDescent="0.65"/>
    <row r="322" ht="12" customHeight="1" x14ac:dyDescent="0.65"/>
    <row r="331" ht="12" customHeight="1" x14ac:dyDescent="0.65"/>
    <row r="343" ht="12" customHeight="1" x14ac:dyDescent="0.65"/>
    <row r="344" ht="12" customHeight="1" x14ac:dyDescent="0.65"/>
    <row r="349" ht="12" customHeight="1" x14ac:dyDescent="0.65"/>
    <row r="352" ht="12" customHeight="1" x14ac:dyDescent="0.65"/>
    <row r="361" ht="12" customHeight="1" x14ac:dyDescent="0.65"/>
    <row r="383" spans="2:32" ht="15" customHeight="1" x14ac:dyDescent="0.65">
      <c r="B383" s="293"/>
      <c r="C383" s="293"/>
      <c r="D383" s="293"/>
      <c r="E383" s="293"/>
      <c r="F383" s="293"/>
      <c r="G383" s="293"/>
      <c r="H383" s="293"/>
      <c r="I383" s="293"/>
      <c r="J383" s="293"/>
      <c r="K383" s="293"/>
      <c r="L383" s="293"/>
      <c r="M383" s="293"/>
      <c r="N383" s="293"/>
      <c r="O383" s="293"/>
      <c r="P383" s="293"/>
      <c r="Q383" s="293"/>
      <c r="R383" s="293"/>
      <c r="S383" s="293"/>
      <c r="T383" s="293"/>
      <c r="U383" s="293"/>
      <c r="V383" s="293"/>
      <c r="W383" s="293"/>
      <c r="X383" s="293"/>
      <c r="Y383" s="293"/>
      <c r="Z383" s="293"/>
      <c r="AA383" s="293"/>
      <c r="AB383" s="293"/>
      <c r="AC383" s="293"/>
      <c r="AD383" s="293"/>
      <c r="AE383" s="293"/>
      <c r="AF383" s="293"/>
    </row>
    <row r="389" ht="12" customHeight="1" x14ac:dyDescent="0.65"/>
    <row r="390" ht="12" customHeight="1" x14ac:dyDescent="0.65"/>
    <row r="391" ht="12" customHeight="1" x14ac:dyDescent="0.65"/>
    <row r="392" ht="12" customHeight="1" x14ac:dyDescent="0.65"/>
    <row r="393" ht="12" customHeight="1" x14ac:dyDescent="0.65"/>
    <row r="394" ht="12" customHeight="1" x14ac:dyDescent="0.65"/>
    <row r="395" ht="12" customHeight="1" x14ac:dyDescent="0.65"/>
    <row r="396" ht="12" customHeight="1" x14ac:dyDescent="0.65"/>
    <row r="397" ht="12" customHeight="1" x14ac:dyDescent="0.65"/>
    <row r="398" ht="12" customHeight="1" x14ac:dyDescent="0.65"/>
    <row r="399" ht="12" customHeight="1" x14ac:dyDescent="0.65"/>
    <row r="400" ht="12" customHeight="1" x14ac:dyDescent="0.65"/>
    <row r="401" ht="12" customHeight="1" x14ac:dyDescent="0.65"/>
    <row r="402" ht="12" customHeight="1" x14ac:dyDescent="0.65"/>
    <row r="403" ht="12" customHeight="1" x14ac:dyDescent="0.65"/>
    <row r="404" ht="12" customHeight="1" x14ac:dyDescent="0.65"/>
    <row r="405" ht="12" customHeight="1" x14ac:dyDescent="0.65"/>
    <row r="406" ht="12" customHeight="1" x14ac:dyDescent="0.65"/>
    <row r="407" ht="12" customHeight="1" x14ac:dyDescent="0.65"/>
    <row r="408" ht="12" customHeight="1" x14ac:dyDescent="0.65"/>
    <row r="409" ht="12" customHeight="1" x14ac:dyDescent="0.65"/>
    <row r="410" ht="12" customHeight="1" x14ac:dyDescent="0.65"/>
    <row r="411" ht="12" customHeight="1" x14ac:dyDescent="0.65"/>
    <row r="412" ht="12" customHeight="1" x14ac:dyDescent="0.65"/>
    <row r="413" ht="12" customHeight="1" x14ac:dyDescent="0.65"/>
    <row r="414" ht="12" customHeight="1" x14ac:dyDescent="0.65"/>
    <row r="415" ht="12" customHeight="1" x14ac:dyDescent="0.65"/>
    <row r="416" ht="12" customHeight="1" x14ac:dyDescent="0.65"/>
    <row r="417" ht="12" customHeight="1" x14ac:dyDescent="0.65"/>
    <row r="418" ht="12" customHeight="1" x14ac:dyDescent="0.65"/>
    <row r="419" ht="12" customHeight="1" x14ac:dyDescent="0.65"/>
    <row r="420" ht="12" customHeight="1" x14ac:dyDescent="0.65"/>
    <row r="421" ht="12" customHeight="1" x14ac:dyDescent="0.65"/>
    <row r="422" ht="12" customHeight="1" x14ac:dyDescent="0.65"/>
    <row r="423" ht="12" customHeight="1" x14ac:dyDescent="0.65"/>
    <row r="424" ht="12" customHeight="1" x14ac:dyDescent="0.65"/>
    <row r="425" ht="12" customHeight="1" x14ac:dyDescent="0.65"/>
    <row r="426" ht="12" customHeight="1" x14ac:dyDescent="0.65"/>
    <row r="427" ht="12" customHeight="1" x14ac:dyDescent="0.65"/>
    <row r="428" ht="12" customHeight="1" x14ac:dyDescent="0.65"/>
    <row r="429" ht="12" customHeight="1" x14ac:dyDescent="0.65"/>
    <row r="430" ht="12" customHeight="1" x14ac:dyDescent="0.65"/>
    <row r="431" ht="12" customHeight="1" x14ac:dyDescent="0.65"/>
    <row r="432" ht="12" customHeight="1" x14ac:dyDescent="0.65"/>
    <row r="433" ht="12" customHeight="1" x14ac:dyDescent="0.65"/>
    <row r="434" ht="12" customHeight="1" x14ac:dyDescent="0.65"/>
    <row r="435" ht="12" customHeight="1" x14ac:dyDescent="0.65"/>
    <row r="436" ht="12" customHeight="1" x14ac:dyDescent="0.65"/>
    <row r="437" ht="12" customHeight="1" x14ac:dyDescent="0.65"/>
    <row r="438" ht="12" customHeight="1" x14ac:dyDescent="0.65"/>
    <row r="439" ht="12" customHeight="1" x14ac:dyDescent="0.65"/>
    <row r="440" ht="12" customHeight="1" x14ac:dyDescent="0.65"/>
    <row r="441" ht="12" customHeight="1" x14ac:dyDescent="0.65"/>
    <row r="442" ht="12" customHeight="1" x14ac:dyDescent="0.65"/>
    <row r="443" ht="12" customHeight="1" x14ac:dyDescent="0.65"/>
    <row r="444" ht="12" customHeight="1" x14ac:dyDescent="0.65"/>
    <row r="445" ht="12" customHeight="1" x14ac:dyDescent="0.65"/>
    <row r="446" ht="12" customHeight="1" x14ac:dyDescent="0.65"/>
    <row r="447" ht="12" customHeight="1" x14ac:dyDescent="0.65"/>
    <row r="448" ht="12" customHeight="1" x14ac:dyDescent="0.65"/>
    <row r="449" ht="12" customHeight="1" x14ac:dyDescent="0.65"/>
    <row r="450" ht="12" customHeight="1" x14ac:dyDescent="0.65"/>
    <row r="451" ht="12" customHeight="1" x14ac:dyDescent="0.65"/>
    <row r="452" ht="12" customHeight="1" x14ac:dyDescent="0.65"/>
    <row r="453" ht="12" customHeight="1" x14ac:dyDescent="0.65"/>
    <row r="454" ht="12" customHeight="1" x14ac:dyDescent="0.65"/>
    <row r="455" ht="12" customHeight="1" x14ac:dyDescent="0.65"/>
    <row r="456" ht="12" customHeight="1" x14ac:dyDescent="0.65"/>
    <row r="457" ht="12" customHeight="1" x14ac:dyDescent="0.65"/>
    <row r="458" ht="12" customHeight="1" x14ac:dyDescent="0.65"/>
    <row r="459" ht="12" customHeight="1" x14ac:dyDescent="0.65"/>
    <row r="460" ht="12" customHeight="1" x14ac:dyDescent="0.65"/>
    <row r="461" ht="12" customHeight="1" x14ac:dyDescent="0.65"/>
    <row r="462" ht="12" customHeight="1" x14ac:dyDescent="0.65"/>
    <row r="463" ht="12" customHeight="1" x14ac:dyDescent="0.65"/>
    <row r="464" ht="12" customHeight="1" x14ac:dyDescent="0.65"/>
    <row r="465" ht="12" customHeight="1" x14ac:dyDescent="0.65"/>
    <row r="466" ht="12" customHeight="1" x14ac:dyDescent="0.65"/>
    <row r="467" ht="12" customHeight="1" x14ac:dyDescent="0.65"/>
    <row r="468" ht="12" customHeight="1" x14ac:dyDescent="0.65"/>
    <row r="469" ht="12" customHeight="1" x14ac:dyDescent="0.65"/>
    <row r="470" ht="12" customHeight="1" x14ac:dyDescent="0.65"/>
    <row r="471" ht="12" customHeight="1" x14ac:dyDescent="0.65"/>
    <row r="472" ht="12" customHeight="1" x14ac:dyDescent="0.65"/>
    <row r="473" ht="12" customHeight="1" x14ac:dyDescent="0.65"/>
    <row r="474" ht="12" customHeight="1" x14ac:dyDescent="0.65"/>
    <row r="475" ht="12" customHeight="1" x14ac:dyDescent="0.65"/>
    <row r="476" ht="12" customHeight="1" x14ac:dyDescent="0.65"/>
    <row r="477" ht="12" customHeight="1" x14ac:dyDescent="0.65"/>
    <row r="478" ht="12" customHeight="1" x14ac:dyDescent="0.65"/>
    <row r="479" ht="12" customHeight="1" x14ac:dyDescent="0.65"/>
    <row r="480" ht="12" customHeight="1" x14ac:dyDescent="0.65"/>
    <row r="500" spans="2:32" ht="15" customHeight="1" x14ac:dyDescent="0.65">
      <c r="B500" s="293"/>
      <c r="C500" s="293"/>
      <c r="D500" s="293"/>
      <c r="E500" s="293"/>
      <c r="F500" s="293"/>
      <c r="G500" s="293"/>
      <c r="H500" s="293"/>
      <c r="I500" s="293"/>
      <c r="J500" s="293"/>
      <c r="K500" s="293"/>
      <c r="L500" s="293"/>
      <c r="M500" s="293"/>
      <c r="N500" s="293"/>
      <c r="O500" s="293"/>
      <c r="P500" s="293"/>
      <c r="Q500" s="293"/>
      <c r="R500" s="293"/>
      <c r="S500" s="293"/>
      <c r="T500" s="293"/>
      <c r="U500" s="293"/>
      <c r="V500" s="293"/>
      <c r="W500" s="293"/>
      <c r="X500" s="293"/>
      <c r="Y500" s="293"/>
      <c r="Z500" s="293"/>
      <c r="AA500" s="293"/>
      <c r="AB500" s="293"/>
      <c r="AC500" s="293"/>
      <c r="AD500" s="293"/>
      <c r="AE500" s="293"/>
      <c r="AF500" s="293"/>
    </row>
    <row r="504" spans="2:32" ht="12" customHeight="1" x14ac:dyDescent="0.65"/>
    <row r="505" spans="2:32" ht="12" customHeight="1" x14ac:dyDescent="0.65"/>
    <row r="506" spans="2:32" ht="12" customHeight="1" x14ac:dyDescent="0.65"/>
    <row r="507" spans="2:32" ht="12" customHeight="1" x14ac:dyDescent="0.65"/>
    <row r="508" spans="2:32" ht="12" customHeight="1" x14ac:dyDescent="0.65"/>
    <row r="509" spans="2:32" ht="12" customHeight="1" x14ac:dyDescent="0.65"/>
    <row r="510" spans="2:32" ht="12" customHeight="1" x14ac:dyDescent="0.65"/>
    <row r="511" spans="2:32" ht="12" customHeight="1" x14ac:dyDescent="0.65"/>
    <row r="512" spans="2:32" ht="12" customHeight="1" x14ac:dyDescent="0.65"/>
    <row r="513" ht="12" customHeight="1" x14ac:dyDescent="0.65"/>
    <row r="514" ht="12" customHeight="1" x14ac:dyDescent="0.65"/>
    <row r="515" ht="12" customHeight="1" x14ac:dyDescent="0.65"/>
    <row r="516" ht="12" customHeight="1" x14ac:dyDescent="0.65"/>
    <row r="517" ht="12" customHeight="1" x14ac:dyDescent="0.65"/>
    <row r="518" ht="12" customHeight="1" x14ac:dyDescent="0.65"/>
    <row r="519" ht="12" customHeight="1" x14ac:dyDescent="0.65"/>
    <row r="520" ht="12" customHeight="1" x14ac:dyDescent="0.65"/>
    <row r="521" ht="12" customHeight="1" x14ac:dyDescent="0.65"/>
    <row r="522" ht="12" customHeight="1" x14ac:dyDescent="0.65"/>
    <row r="523" ht="12" customHeight="1" x14ac:dyDescent="0.65"/>
    <row r="524" ht="12" customHeight="1" x14ac:dyDescent="0.65"/>
    <row r="525" ht="12" customHeight="1" x14ac:dyDescent="0.65"/>
    <row r="526" ht="12" customHeight="1" x14ac:dyDescent="0.65"/>
    <row r="527" ht="12" customHeight="1" x14ac:dyDescent="0.65"/>
    <row r="528" ht="12" customHeight="1" x14ac:dyDescent="0.65"/>
    <row r="529" ht="12" customHeight="1" x14ac:dyDescent="0.65"/>
    <row r="530" ht="12" customHeight="1" x14ac:dyDescent="0.65"/>
    <row r="531" ht="12" customHeight="1" x14ac:dyDescent="0.65"/>
    <row r="532" ht="12" customHeight="1" x14ac:dyDescent="0.65"/>
    <row r="533" ht="12" customHeight="1" x14ac:dyDescent="0.65"/>
    <row r="534" ht="12" customHeight="1" x14ac:dyDescent="0.65"/>
    <row r="535" ht="12" customHeight="1" x14ac:dyDescent="0.65"/>
    <row r="536" ht="12" customHeight="1" x14ac:dyDescent="0.65"/>
    <row r="537" ht="12" customHeight="1" x14ac:dyDescent="0.65"/>
    <row r="538" ht="12" customHeight="1" x14ac:dyDescent="0.65"/>
    <row r="539" ht="12" customHeight="1" x14ac:dyDescent="0.65"/>
    <row r="540" ht="12" customHeight="1" x14ac:dyDescent="0.65"/>
    <row r="541" ht="12" customHeight="1" x14ac:dyDescent="0.65"/>
    <row r="542" ht="12" customHeight="1" x14ac:dyDescent="0.65"/>
    <row r="543" ht="12" customHeight="1" x14ac:dyDescent="0.65"/>
    <row r="544" ht="12" customHeight="1" x14ac:dyDescent="0.65"/>
    <row r="545" ht="12" customHeight="1" x14ac:dyDescent="0.65"/>
    <row r="546" ht="12" customHeight="1" x14ac:dyDescent="0.65"/>
    <row r="547" ht="12" customHeight="1" x14ac:dyDescent="0.65"/>
    <row r="548" ht="12" customHeight="1" x14ac:dyDescent="0.65"/>
    <row r="549" ht="12" customHeight="1" x14ac:dyDescent="0.65"/>
    <row r="550" ht="12" customHeight="1" x14ac:dyDescent="0.65"/>
    <row r="551" ht="12" customHeight="1" x14ac:dyDescent="0.65"/>
    <row r="552" ht="12" customHeight="1" x14ac:dyDescent="0.65"/>
    <row r="553" ht="12" customHeight="1" x14ac:dyDescent="0.65"/>
    <row r="554" ht="12" customHeight="1" x14ac:dyDescent="0.65"/>
    <row r="555" ht="12" customHeight="1" x14ac:dyDescent="0.65"/>
    <row r="556" ht="12" customHeight="1" x14ac:dyDescent="0.65"/>
    <row r="557" ht="12" customHeight="1" x14ac:dyDescent="0.65"/>
    <row r="558" ht="12" customHeight="1" x14ac:dyDescent="0.65"/>
    <row r="559" ht="12" customHeight="1" x14ac:dyDescent="0.65"/>
    <row r="560" ht="12" customHeight="1" x14ac:dyDescent="0.65"/>
    <row r="561" ht="12" customHeight="1" x14ac:dyDescent="0.65"/>
    <row r="562" ht="12" customHeight="1" x14ac:dyDescent="0.65"/>
    <row r="563" ht="12" customHeight="1" x14ac:dyDescent="0.65"/>
    <row r="564" ht="12" customHeight="1" x14ac:dyDescent="0.65"/>
    <row r="565" ht="12" customHeight="1" x14ac:dyDescent="0.65"/>
    <row r="566" ht="12" customHeight="1" x14ac:dyDescent="0.65"/>
    <row r="567" ht="12" customHeight="1" x14ac:dyDescent="0.65"/>
    <row r="568" ht="12" customHeight="1" x14ac:dyDescent="0.65"/>
    <row r="569" ht="12" customHeight="1" x14ac:dyDescent="0.65"/>
    <row r="570" ht="12" customHeight="1" x14ac:dyDescent="0.65"/>
    <row r="571" ht="12" customHeight="1" x14ac:dyDescent="0.65"/>
    <row r="572" ht="12" customHeight="1" x14ac:dyDescent="0.65"/>
    <row r="573" ht="12" customHeight="1" x14ac:dyDescent="0.65"/>
    <row r="574" ht="12" customHeight="1" x14ac:dyDescent="0.65"/>
    <row r="575" ht="12" customHeight="1" x14ac:dyDescent="0.65"/>
    <row r="576" ht="12" customHeight="1" x14ac:dyDescent="0.65"/>
    <row r="577" ht="12" customHeight="1" x14ac:dyDescent="0.65"/>
    <row r="578" ht="12" customHeight="1" x14ac:dyDescent="0.65"/>
    <row r="579" ht="12" customHeight="1" x14ac:dyDescent="0.65"/>
    <row r="580" ht="12" customHeight="1" x14ac:dyDescent="0.65"/>
    <row r="596" ht="12" customHeight="1" x14ac:dyDescent="0.65"/>
    <row r="607" ht="12" customHeight="1" x14ac:dyDescent="0.65"/>
    <row r="618" ht="12" customHeight="1" x14ac:dyDescent="0.65"/>
    <row r="629" ht="12" customHeight="1" x14ac:dyDescent="0.65"/>
    <row r="640" ht="12" customHeight="1" x14ac:dyDescent="0.65"/>
    <row r="652" spans="2:32" ht="15" customHeight="1" x14ac:dyDescent="0.65">
      <c r="B652" s="293"/>
      <c r="C652" s="293"/>
      <c r="D652" s="293"/>
      <c r="E652" s="293"/>
      <c r="F652" s="293"/>
      <c r="G652" s="293"/>
      <c r="H652" s="293"/>
      <c r="I652" s="293"/>
      <c r="J652" s="293"/>
      <c r="K652" s="293"/>
      <c r="L652" s="293"/>
      <c r="M652" s="293"/>
      <c r="N652" s="293"/>
      <c r="O652" s="293"/>
      <c r="P652" s="293"/>
      <c r="Q652" s="293"/>
      <c r="R652" s="293"/>
      <c r="S652" s="293"/>
      <c r="T652" s="293"/>
      <c r="U652" s="293"/>
      <c r="V652" s="293"/>
      <c r="W652" s="293"/>
      <c r="X652" s="293"/>
      <c r="Y652" s="293"/>
      <c r="Z652" s="293"/>
      <c r="AA652" s="293"/>
      <c r="AB652" s="293"/>
      <c r="AC652" s="293"/>
      <c r="AD652" s="293"/>
      <c r="AE652" s="293"/>
      <c r="AF652" s="293"/>
    </row>
    <row r="663" ht="12" customHeight="1" x14ac:dyDescent="0.65"/>
    <row r="664" ht="12" customHeight="1" x14ac:dyDescent="0.65"/>
    <row r="665" ht="12" customHeight="1" x14ac:dyDescent="0.65"/>
    <row r="666" ht="12" customHeight="1" x14ac:dyDescent="0.65"/>
    <row r="667" ht="12" customHeight="1" x14ac:dyDescent="0.65"/>
    <row r="668" ht="12" customHeight="1" x14ac:dyDescent="0.65"/>
    <row r="669" ht="12" customHeight="1" x14ac:dyDescent="0.65"/>
    <row r="670" ht="12" customHeight="1" x14ac:dyDescent="0.65"/>
    <row r="671" ht="12" customHeight="1" x14ac:dyDescent="0.65"/>
    <row r="672" ht="12" customHeight="1" x14ac:dyDescent="0.65"/>
    <row r="673" ht="12" customHeight="1" x14ac:dyDescent="0.65"/>
    <row r="674" ht="12" customHeight="1" x14ac:dyDescent="0.65"/>
    <row r="675" ht="12" customHeight="1" x14ac:dyDescent="0.65"/>
    <row r="676" ht="12" customHeight="1" x14ac:dyDescent="0.65"/>
    <row r="677" ht="12" customHeight="1" x14ac:dyDescent="0.65"/>
    <row r="678" ht="12" customHeight="1" x14ac:dyDescent="0.65"/>
    <row r="679" ht="12" customHeight="1" x14ac:dyDescent="0.65"/>
    <row r="680" ht="12" customHeight="1" x14ac:dyDescent="0.65"/>
    <row r="696" ht="12" customHeight="1" x14ac:dyDescent="0.65"/>
    <row r="707" ht="12" customHeight="1" x14ac:dyDescent="0.65"/>
    <row r="718" ht="12" customHeight="1" x14ac:dyDescent="0.65"/>
    <row r="729" ht="12" customHeight="1" x14ac:dyDescent="0.65"/>
    <row r="740" spans="2:32" ht="12" customHeight="1" x14ac:dyDescent="0.65"/>
    <row r="752" spans="2:32" ht="15" customHeight="1" x14ac:dyDescent="0.65">
      <c r="B752" s="293"/>
      <c r="C752" s="293"/>
      <c r="D752" s="293"/>
      <c r="E752" s="293"/>
      <c r="F752" s="293"/>
      <c r="G752" s="293"/>
      <c r="H752" s="293"/>
      <c r="I752" s="293"/>
      <c r="J752" s="293"/>
      <c r="K752" s="293"/>
      <c r="L752" s="293"/>
      <c r="M752" s="293"/>
      <c r="N752" s="293"/>
      <c r="O752" s="293"/>
      <c r="P752" s="293"/>
      <c r="Q752" s="293"/>
      <c r="R752" s="293"/>
      <c r="S752" s="293"/>
      <c r="T752" s="293"/>
      <c r="U752" s="293"/>
      <c r="V752" s="293"/>
      <c r="W752" s="293"/>
      <c r="X752" s="293"/>
      <c r="Y752" s="293"/>
      <c r="Z752" s="293"/>
      <c r="AA752" s="293"/>
      <c r="AB752" s="293"/>
      <c r="AC752" s="293"/>
      <c r="AD752" s="293"/>
      <c r="AE752" s="293"/>
      <c r="AF752" s="293"/>
    </row>
    <row r="762" ht="12" customHeight="1" x14ac:dyDescent="0.65"/>
    <row r="763" ht="12" customHeight="1" x14ac:dyDescent="0.65"/>
    <row r="764" ht="12" customHeight="1" x14ac:dyDescent="0.65"/>
    <row r="765" ht="12" customHeight="1" x14ac:dyDescent="0.65"/>
    <row r="766" ht="12" customHeight="1" x14ac:dyDescent="0.65"/>
    <row r="767" ht="12" customHeight="1" x14ac:dyDescent="0.65"/>
    <row r="768" ht="12" customHeight="1" x14ac:dyDescent="0.65"/>
    <row r="769" ht="12" customHeight="1" x14ac:dyDescent="0.65"/>
    <row r="770" ht="12" customHeight="1" x14ac:dyDescent="0.65"/>
    <row r="771" ht="12" customHeight="1" x14ac:dyDescent="0.65"/>
    <row r="772" ht="12" customHeight="1" x14ac:dyDescent="0.65"/>
    <row r="773" ht="12" customHeight="1" x14ac:dyDescent="0.65"/>
    <row r="774" ht="12" customHeight="1" x14ac:dyDescent="0.65"/>
    <row r="775" ht="12" customHeight="1" x14ac:dyDescent="0.65"/>
    <row r="776" ht="12" customHeight="1" x14ac:dyDescent="0.65"/>
    <row r="777" ht="12" customHeight="1" x14ac:dyDescent="0.65"/>
    <row r="778" ht="12" customHeight="1" x14ac:dyDescent="0.65"/>
    <row r="779" ht="12" customHeight="1" x14ac:dyDescent="0.65"/>
    <row r="780" ht="12" customHeight="1" x14ac:dyDescent="0.65"/>
    <row r="789" ht="12" customHeight="1" x14ac:dyDescent="0.65"/>
    <row r="794" ht="12" customHeight="1" x14ac:dyDescent="0.65"/>
    <row r="801" ht="12" customHeight="1" x14ac:dyDescent="0.65"/>
    <row r="806" ht="12" customHeight="1" x14ac:dyDescent="0.65"/>
    <row r="810" ht="12" customHeight="1" x14ac:dyDescent="0.65"/>
    <row r="816" ht="12" customHeight="1" x14ac:dyDescent="0.65"/>
    <row r="823" ht="12" customHeight="1" x14ac:dyDescent="0.65"/>
    <row r="828" ht="12" customHeight="1" x14ac:dyDescent="0.65"/>
    <row r="832" ht="12" customHeight="1" x14ac:dyDescent="0.65"/>
    <row r="837" spans="2:32" ht="12" customHeight="1" x14ac:dyDescent="0.65"/>
    <row r="843" spans="2:32" ht="15" customHeight="1" x14ac:dyDescent="0.65">
      <c r="B843" s="293"/>
      <c r="C843" s="293"/>
      <c r="D843" s="293"/>
      <c r="E843" s="293"/>
      <c r="F843" s="293"/>
      <c r="G843" s="293"/>
      <c r="H843" s="293"/>
      <c r="I843" s="293"/>
      <c r="J843" s="293"/>
      <c r="K843" s="293"/>
      <c r="L843" s="293"/>
      <c r="M843" s="293"/>
      <c r="N843" s="293"/>
      <c r="O843" s="293"/>
      <c r="P843" s="293"/>
      <c r="Q843" s="293"/>
      <c r="R843" s="293"/>
      <c r="S843" s="293"/>
      <c r="T843" s="293"/>
      <c r="U843" s="293"/>
      <c r="V843" s="293"/>
      <c r="W843" s="293"/>
      <c r="X843" s="293"/>
      <c r="Y843" s="293"/>
      <c r="Z843" s="293"/>
      <c r="AA843" s="293"/>
      <c r="AB843" s="293"/>
      <c r="AC843" s="293"/>
      <c r="AD843" s="293"/>
      <c r="AE843" s="293"/>
      <c r="AF843" s="293"/>
    </row>
    <row r="852" ht="12" customHeight="1" x14ac:dyDescent="0.65"/>
    <row r="853" ht="12" customHeight="1" x14ac:dyDescent="0.65"/>
    <row r="854" ht="12" customHeight="1" x14ac:dyDescent="0.65"/>
    <row r="855" ht="12" customHeight="1" x14ac:dyDescent="0.65"/>
    <row r="856" ht="12" customHeight="1" x14ac:dyDescent="0.65"/>
    <row r="857" ht="12" customHeight="1" x14ac:dyDescent="0.65"/>
    <row r="858" ht="12" customHeight="1" x14ac:dyDescent="0.65"/>
    <row r="859" ht="12" customHeight="1" x14ac:dyDescent="0.65"/>
    <row r="860" ht="12" customHeight="1" x14ac:dyDescent="0.65"/>
    <row r="861" ht="12" customHeight="1" x14ac:dyDescent="0.65"/>
    <row r="862" ht="12" customHeight="1" x14ac:dyDescent="0.65"/>
    <row r="863" ht="12" customHeight="1" x14ac:dyDescent="0.65"/>
    <row r="864" ht="12" customHeight="1" x14ac:dyDescent="0.65"/>
    <row r="865" ht="12" customHeight="1" x14ac:dyDescent="0.65"/>
    <row r="866" ht="12" customHeight="1" x14ac:dyDescent="0.65"/>
    <row r="867" ht="12" customHeight="1" x14ac:dyDescent="0.65"/>
    <row r="868" ht="12" customHeight="1" x14ac:dyDescent="0.65"/>
    <row r="869" ht="12" customHeight="1" x14ac:dyDescent="0.65"/>
    <row r="870" ht="12" customHeight="1" x14ac:dyDescent="0.65"/>
    <row r="871" ht="12" customHeight="1" x14ac:dyDescent="0.65"/>
    <row r="872" ht="12" customHeight="1" x14ac:dyDescent="0.65"/>
    <row r="873" ht="12" customHeight="1" x14ac:dyDescent="0.65"/>
    <row r="874" ht="12" customHeight="1" x14ac:dyDescent="0.65"/>
    <row r="875" ht="12" customHeight="1" x14ac:dyDescent="0.65"/>
    <row r="876" ht="12" customHeight="1" x14ac:dyDescent="0.65"/>
    <row r="877" ht="12" customHeight="1" x14ac:dyDescent="0.65"/>
    <row r="878" ht="12" customHeight="1" x14ac:dyDescent="0.65"/>
    <row r="879" ht="12" customHeight="1" x14ac:dyDescent="0.65"/>
    <row r="880" ht="12" customHeight="1" x14ac:dyDescent="0.65"/>
    <row r="887" ht="12" customHeight="1" x14ac:dyDescent="0.65"/>
    <row r="893" ht="12" customHeight="1" x14ac:dyDescent="0.65"/>
    <row r="896" ht="12" customHeight="1" x14ac:dyDescent="0.65"/>
    <row r="898" ht="12" customHeight="1" x14ac:dyDescent="0.65"/>
    <row r="899" ht="12" customHeight="1" x14ac:dyDescent="0.65"/>
    <row r="902" ht="12" customHeight="1" x14ac:dyDescent="0.65"/>
    <row r="908" ht="12" customHeight="1" x14ac:dyDescent="0.65"/>
    <row r="911" ht="12" customHeight="1" x14ac:dyDescent="0.65"/>
    <row r="914" spans="2:32" ht="15" customHeight="1" x14ac:dyDescent="0.65">
      <c r="B914" s="293"/>
      <c r="C914" s="293"/>
      <c r="D914" s="293"/>
      <c r="E914" s="293"/>
      <c r="F914" s="293"/>
      <c r="G914" s="293"/>
      <c r="H914" s="293"/>
      <c r="I914" s="293"/>
      <c r="J914" s="293"/>
      <c r="K914" s="293"/>
      <c r="L914" s="293"/>
      <c r="M914" s="293"/>
      <c r="N914" s="293"/>
      <c r="O914" s="293"/>
      <c r="P914" s="293"/>
      <c r="Q914" s="293"/>
      <c r="R914" s="293"/>
      <c r="S914" s="293"/>
      <c r="T914" s="293"/>
      <c r="U914" s="293"/>
      <c r="V914" s="293"/>
      <c r="W914" s="293"/>
      <c r="X914" s="293"/>
      <c r="Y914" s="293"/>
      <c r="Z914" s="293"/>
      <c r="AA914" s="293"/>
      <c r="AB914" s="293"/>
      <c r="AC914" s="293"/>
      <c r="AD914" s="293"/>
      <c r="AE914" s="293"/>
      <c r="AF914" s="293"/>
    </row>
    <row r="923" spans="2:32" ht="12" customHeight="1" x14ac:dyDescent="0.65"/>
    <row r="924" spans="2:32" ht="12" customHeight="1" x14ac:dyDescent="0.65"/>
    <row r="925" spans="2:32" ht="12" customHeight="1" x14ac:dyDescent="0.65"/>
    <row r="926" spans="2:32" ht="12" customHeight="1" x14ac:dyDescent="0.65"/>
    <row r="927" spans="2:32" ht="12" customHeight="1" x14ac:dyDescent="0.65"/>
    <row r="928" spans="2:32" ht="12" customHeight="1" x14ac:dyDescent="0.65"/>
    <row r="929" ht="12" customHeight="1" x14ac:dyDescent="0.65"/>
    <row r="930" ht="12" customHeight="1" x14ac:dyDescent="0.65"/>
    <row r="940" ht="12" customHeight="1" x14ac:dyDescent="0.65"/>
    <row r="945" ht="12" customHeight="1" x14ac:dyDescent="0.65"/>
    <row r="950" ht="12" customHeight="1" x14ac:dyDescent="0.65"/>
    <row r="955" ht="12" customHeight="1" x14ac:dyDescent="0.65"/>
    <row r="957" ht="12" customHeight="1" x14ac:dyDescent="0.65"/>
    <row r="961" ht="12" customHeight="1" x14ac:dyDescent="0.65"/>
    <row r="963" ht="12" customHeight="1" x14ac:dyDescent="0.65"/>
    <row r="968" ht="12" customHeight="1" x14ac:dyDescent="0.65"/>
    <row r="972" ht="12" customHeight="1" x14ac:dyDescent="0.65"/>
    <row r="976" ht="12" customHeight="1" x14ac:dyDescent="0.65"/>
    <row r="977" ht="12" customHeight="1" x14ac:dyDescent="0.65"/>
    <row r="982" ht="12" customHeight="1" x14ac:dyDescent="0.65"/>
    <row r="987" ht="12" customHeight="1" x14ac:dyDescent="0.65"/>
    <row r="990" ht="12" customHeight="1" x14ac:dyDescent="0.65"/>
    <row r="992" ht="12" customHeight="1" x14ac:dyDescent="0.65"/>
    <row r="997" ht="12" customHeight="1" x14ac:dyDescent="0.65"/>
    <row r="1001" ht="12" customHeight="1" x14ac:dyDescent="0.65"/>
    <row r="1004" ht="12" customHeight="1" x14ac:dyDescent="0.65"/>
    <row r="1006" ht="12" customHeight="1" x14ac:dyDescent="0.65"/>
    <row r="1009" spans="2:32" ht="15" customHeight="1" x14ac:dyDescent="0.65">
      <c r="B1009" s="293"/>
      <c r="C1009" s="293"/>
      <c r="D1009" s="293"/>
      <c r="E1009" s="293"/>
      <c r="F1009" s="293"/>
      <c r="G1009" s="293"/>
      <c r="H1009" s="293"/>
      <c r="I1009" s="293"/>
      <c r="J1009" s="293"/>
      <c r="K1009" s="293"/>
      <c r="L1009" s="293"/>
      <c r="M1009" s="293"/>
      <c r="N1009" s="293"/>
      <c r="O1009" s="293"/>
      <c r="P1009" s="293"/>
      <c r="Q1009" s="293"/>
      <c r="R1009" s="293"/>
      <c r="S1009" s="293"/>
      <c r="T1009" s="293"/>
      <c r="U1009" s="293"/>
      <c r="V1009" s="293"/>
      <c r="W1009" s="293"/>
      <c r="X1009" s="293"/>
      <c r="Y1009" s="293"/>
      <c r="Z1009" s="293"/>
      <c r="AA1009" s="293"/>
      <c r="AB1009" s="293"/>
      <c r="AC1009" s="293"/>
      <c r="AD1009" s="293"/>
      <c r="AE1009" s="293"/>
      <c r="AF1009" s="293"/>
    </row>
    <row r="1032" ht="12" customHeight="1" x14ac:dyDescent="0.65"/>
    <row r="1033" ht="12" customHeight="1" x14ac:dyDescent="0.65"/>
    <row r="1034" ht="12" customHeight="1" x14ac:dyDescent="0.65"/>
    <row r="1035" ht="12" customHeight="1" x14ac:dyDescent="0.65"/>
    <row r="1036" ht="12" customHeight="1" x14ac:dyDescent="0.65"/>
    <row r="1037" ht="12" customHeight="1" x14ac:dyDescent="0.65"/>
    <row r="1038" ht="12" customHeight="1" x14ac:dyDescent="0.65"/>
    <row r="1039" ht="12" customHeight="1" x14ac:dyDescent="0.65"/>
    <row r="1040" ht="12" customHeight="1" x14ac:dyDescent="0.65"/>
    <row r="1041" ht="12" customHeight="1" x14ac:dyDescent="0.65"/>
    <row r="1042" ht="12" customHeight="1" x14ac:dyDescent="0.65"/>
    <row r="1043" ht="12" customHeight="1" x14ac:dyDescent="0.65"/>
    <row r="1044" ht="12" customHeight="1" x14ac:dyDescent="0.65"/>
    <row r="1045" ht="12" customHeight="1" x14ac:dyDescent="0.65"/>
    <row r="1046" ht="12" customHeight="1" x14ac:dyDescent="0.65"/>
    <row r="1047" ht="12" customHeight="1" x14ac:dyDescent="0.65"/>
    <row r="1048" ht="12" customHeight="1" x14ac:dyDescent="0.65"/>
    <row r="1049" ht="12" customHeight="1" x14ac:dyDescent="0.65"/>
    <row r="1050" ht="12" customHeight="1" x14ac:dyDescent="0.65"/>
    <row r="1051" ht="12" customHeight="1" x14ac:dyDescent="0.65"/>
    <row r="1052" ht="12" customHeight="1" x14ac:dyDescent="0.65"/>
    <row r="1053" ht="12" customHeight="1" x14ac:dyDescent="0.65"/>
    <row r="1054" ht="12" customHeight="1" x14ac:dyDescent="0.65"/>
    <row r="1055" ht="12" customHeight="1" x14ac:dyDescent="0.65"/>
    <row r="1056" ht="12" customHeight="1" x14ac:dyDescent="0.65"/>
    <row r="1057" ht="12" customHeight="1" x14ac:dyDescent="0.65"/>
    <row r="1058" ht="12" customHeight="1" x14ac:dyDescent="0.65"/>
    <row r="1059" ht="12" customHeight="1" x14ac:dyDescent="0.65"/>
    <row r="1060" ht="12" customHeight="1" x14ac:dyDescent="0.65"/>
    <row r="1061" ht="12" customHeight="1" x14ac:dyDescent="0.65"/>
    <row r="1062" ht="12" customHeight="1" x14ac:dyDescent="0.65"/>
    <row r="1063" ht="12" customHeight="1" x14ac:dyDescent="0.65"/>
    <row r="1064" ht="12" customHeight="1" x14ac:dyDescent="0.65"/>
    <row r="1065" ht="12" customHeight="1" x14ac:dyDescent="0.65"/>
    <row r="1066" ht="12" customHeight="1" x14ac:dyDescent="0.65"/>
    <row r="1067" ht="12" customHeight="1" x14ac:dyDescent="0.65"/>
    <row r="1068" ht="12" customHeight="1" x14ac:dyDescent="0.65"/>
    <row r="1069" ht="12" customHeight="1" x14ac:dyDescent="0.65"/>
    <row r="1070" ht="12" customHeight="1" x14ac:dyDescent="0.65"/>
    <row r="1071" ht="12" customHeight="1" x14ac:dyDescent="0.65"/>
    <row r="1072" ht="12" customHeight="1" x14ac:dyDescent="0.65"/>
    <row r="1073" ht="12" customHeight="1" x14ac:dyDescent="0.65"/>
    <row r="1074" ht="12" customHeight="1" x14ac:dyDescent="0.65"/>
    <row r="1075" ht="12" customHeight="1" x14ac:dyDescent="0.65"/>
    <row r="1076" ht="12" customHeight="1" x14ac:dyDescent="0.65"/>
    <row r="1077" ht="12" customHeight="1" x14ac:dyDescent="0.65"/>
    <row r="1078" ht="12" customHeight="1" x14ac:dyDescent="0.65"/>
    <row r="1079" ht="12" customHeight="1" x14ac:dyDescent="0.65"/>
    <row r="1080" ht="12" customHeight="1" x14ac:dyDescent="0.65"/>
    <row r="1090" ht="12" customHeight="1" x14ac:dyDescent="0.65"/>
    <row r="1095" ht="12" customHeight="1" x14ac:dyDescent="0.65"/>
    <row r="1100" ht="12" customHeight="1" x14ac:dyDescent="0.65"/>
    <row r="1105" ht="12" customHeight="1" x14ac:dyDescent="0.65"/>
    <row r="1107" ht="12" customHeight="1" x14ac:dyDescent="0.65"/>
    <row r="1111" ht="12" customHeight="1" x14ac:dyDescent="0.65"/>
    <row r="1113" ht="12" customHeight="1" x14ac:dyDescent="0.65"/>
    <row r="1118" ht="12" customHeight="1" x14ac:dyDescent="0.65"/>
    <row r="1122" ht="12" customHeight="1" x14ac:dyDescent="0.65"/>
    <row r="1126" ht="12" customHeight="1" x14ac:dyDescent="0.65"/>
    <row r="1127" ht="12" customHeight="1" x14ac:dyDescent="0.65"/>
    <row r="1132" ht="12" customHeight="1" x14ac:dyDescent="0.65"/>
    <row r="1137" ht="12" customHeight="1" x14ac:dyDescent="0.65"/>
    <row r="1140" ht="12" customHeight="1" x14ac:dyDescent="0.65"/>
    <row r="1142" ht="12" customHeight="1" x14ac:dyDescent="0.65"/>
    <row r="1147" ht="12" customHeight="1" x14ac:dyDescent="0.65"/>
    <row r="1151" ht="12" customHeight="1" x14ac:dyDescent="0.65"/>
    <row r="1154" spans="2:32" ht="12" customHeight="1" x14ac:dyDescent="0.65"/>
    <row r="1156" spans="2:32" ht="12" customHeight="1" x14ac:dyDescent="0.65"/>
    <row r="1159" spans="2:32" ht="15" customHeight="1" x14ac:dyDescent="0.65">
      <c r="B1159" s="293"/>
      <c r="C1159" s="293"/>
      <c r="D1159" s="293"/>
      <c r="E1159" s="293"/>
      <c r="F1159" s="293"/>
      <c r="G1159" s="293"/>
      <c r="H1159" s="293"/>
      <c r="I1159" s="293"/>
      <c r="J1159" s="293"/>
      <c r="K1159" s="293"/>
      <c r="L1159" s="293"/>
      <c r="M1159" s="293"/>
      <c r="N1159" s="293"/>
      <c r="O1159" s="293"/>
      <c r="P1159" s="293"/>
      <c r="Q1159" s="293"/>
      <c r="R1159" s="293"/>
      <c r="S1159" s="293"/>
      <c r="T1159" s="293"/>
      <c r="U1159" s="293"/>
      <c r="V1159" s="293"/>
      <c r="W1159" s="293"/>
      <c r="X1159" s="293"/>
      <c r="Y1159" s="293"/>
      <c r="Z1159" s="293"/>
      <c r="AA1159" s="293"/>
      <c r="AB1159" s="293"/>
      <c r="AC1159" s="293"/>
      <c r="AD1159" s="293"/>
      <c r="AE1159" s="293"/>
      <c r="AF1159" s="293"/>
    </row>
    <row r="1180" ht="12" customHeight="1" x14ac:dyDescent="0.65"/>
    <row r="1181" ht="12" customHeight="1" x14ac:dyDescent="0.65"/>
    <row r="1182" ht="12" customHeight="1" x14ac:dyDescent="0.65"/>
    <row r="1183" ht="12" customHeight="1" x14ac:dyDescent="0.65"/>
    <row r="1184" ht="12" customHeight="1" x14ac:dyDescent="0.65"/>
    <row r="1185" ht="12" customHeight="1" x14ac:dyDescent="0.65"/>
    <row r="1186" ht="12" customHeight="1" x14ac:dyDescent="0.65"/>
    <row r="1187" ht="12" customHeight="1" x14ac:dyDescent="0.65"/>
    <row r="1188" ht="12" customHeight="1" x14ac:dyDescent="0.65"/>
    <row r="1189" ht="12" customHeight="1" x14ac:dyDescent="0.65"/>
    <row r="1190" ht="12" customHeight="1" x14ac:dyDescent="0.65"/>
    <row r="1191" ht="12" customHeight="1" x14ac:dyDescent="0.65"/>
    <row r="1192" ht="12" customHeight="1" x14ac:dyDescent="0.65"/>
    <row r="1193" ht="12" customHeight="1" x14ac:dyDescent="0.65"/>
    <row r="1194" ht="12" customHeight="1" x14ac:dyDescent="0.65"/>
    <row r="1195" ht="12" customHeight="1" x14ac:dyDescent="0.65"/>
    <row r="1196" ht="12" customHeight="1" x14ac:dyDescent="0.65"/>
    <row r="1197" ht="12" customHeight="1" x14ac:dyDescent="0.65"/>
    <row r="1198" ht="12" customHeight="1" x14ac:dyDescent="0.65"/>
    <row r="1199" ht="12" customHeight="1" x14ac:dyDescent="0.65"/>
    <row r="1200" ht="12" customHeight="1" x14ac:dyDescent="0.65"/>
    <row r="1201" ht="12" customHeight="1" x14ac:dyDescent="0.65"/>
    <row r="1202" ht="12" customHeight="1" x14ac:dyDescent="0.65"/>
    <row r="1203" ht="12" customHeight="1" x14ac:dyDescent="0.65"/>
    <row r="1204" ht="12" customHeight="1" x14ac:dyDescent="0.65"/>
    <row r="1205" ht="12" customHeight="1" x14ac:dyDescent="0.65"/>
    <row r="1269" ht="12" customHeight="1" x14ac:dyDescent="0.65"/>
    <row r="1304" ht="12" customHeight="1" x14ac:dyDescent="0.65"/>
    <row r="1317" ht="12" customHeight="1" x14ac:dyDescent="0.65"/>
    <row r="1331" spans="2:32" ht="15" customHeight="1" x14ac:dyDescent="0.65">
      <c r="B1331" s="293"/>
      <c r="C1331" s="293"/>
      <c r="D1331" s="293"/>
      <c r="E1331" s="293"/>
      <c r="F1331" s="293"/>
      <c r="G1331" s="293"/>
      <c r="H1331" s="293"/>
      <c r="I1331" s="293"/>
      <c r="J1331" s="293"/>
      <c r="K1331" s="293"/>
      <c r="L1331" s="293"/>
      <c r="M1331" s="293"/>
      <c r="N1331" s="293"/>
      <c r="O1331" s="293"/>
      <c r="P1331" s="293"/>
      <c r="Q1331" s="293"/>
      <c r="R1331" s="293"/>
      <c r="S1331" s="293"/>
      <c r="T1331" s="293"/>
      <c r="U1331" s="293"/>
      <c r="V1331" s="293"/>
      <c r="W1331" s="293"/>
      <c r="X1331" s="293"/>
      <c r="Y1331" s="293"/>
      <c r="Z1331" s="293"/>
      <c r="AA1331" s="293"/>
      <c r="AB1331" s="293"/>
      <c r="AC1331" s="293"/>
      <c r="AD1331" s="293"/>
      <c r="AE1331" s="293"/>
      <c r="AF1331" s="293"/>
    </row>
    <row r="1335" spans="2:32" ht="12" customHeight="1" x14ac:dyDescent="0.65"/>
    <row r="1336" spans="2:32" ht="12" customHeight="1" x14ac:dyDescent="0.65"/>
    <row r="1337" spans="2:32" ht="12" customHeight="1" x14ac:dyDescent="0.65"/>
    <row r="1338" spans="2:32" ht="12" customHeight="1" x14ac:dyDescent="0.65"/>
    <row r="1339" spans="2:32" ht="12" customHeight="1" x14ac:dyDescent="0.65"/>
    <row r="1340" spans="2:32" ht="12" customHeight="1" x14ac:dyDescent="0.65"/>
    <row r="1341" spans="2:32" ht="12" customHeight="1" x14ac:dyDescent="0.65"/>
    <row r="1342" spans="2:32" ht="12" customHeight="1" x14ac:dyDescent="0.65"/>
    <row r="1343" spans="2:32" ht="12" customHeight="1" x14ac:dyDescent="0.65"/>
    <row r="1344" spans="2:32" ht="12" customHeight="1" x14ac:dyDescent="0.65"/>
    <row r="1345" ht="12" customHeight="1" x14ac:dyDescent="0.65"/>
    <row r="1346" ht="12" customHeight="1" x14ac:dyDescent="0.65"/>
    <row r="1347" ht="12" customHeight="1" x14ac:dyDescent="0.65"/>
    <row r="1348" ht="12" customHeight="1" x14ac:dyDescent="0.65"/>
    <row r="1349" ht="12" customHeight="1" x14ac:dyDescent="0.65"/>
    <row r="1350" ht="12" customHeight="1" x14ac:dyDescent="0.65"/>
    <row r="1351" ht="12" customHeight="1" x14ac:dyDescent="0.65"/>
    <row r="1352" ht="12" customHeight="1" x14ac:dyDescent="0.65"/>
    <row r="1353" ht="12" customHeight="1" x14ac:dyDescent="0.65"/>
    <row r="1354" ht="12" customHeight="1" x14ac:dyDescent="0.65"/>
    <row r="1355" ht="12" customHeight="1" x14ac:dyDescent="0.65"/>
    <row r="1398" ht="12" customHeight="1" x14ac:dyDescent="0.65"/>
    <row r="1407" ht="12" customHeight="1" x14ac:dyDescent="0.65"/>
    <row r="1421" ht="12" customHeight="1" x14ac:dyDescent="0.65"/>
    <row r="1426" spans="2:32" ht="15" customHeight="1" x14ac:dyDescent="0.65">
      <c r="B1426" s="293"/>
      <c r="C1426" s="293"/>
      <c r="D1426" s="293"/>
      <c r="E1426" s="293"/>
      <c r="F1426" s="293"/>
      <c r="G1426" s="293"/>
      <c r="H1426" s="293"/>
      <c r="I1426" s="293"/>
      <c r="J1426" s="293"/>
      <c r="K1426" s="293"/>
      <c r="L1426" s="293"/>
      <c r="M1426" s="293"/>
      <c r="N1426" s="293"/>
      <c r="O1426" s="293"/>
      <c r="P1426" s="293"/>
      <c r="Q1426" s="293"/>
      <c r="R1426" s="293"/>
      <c r="S1426" s="293"/>
      <c r="T1426" s="293"/>
      <c r="U1426" s="293"/>
      <c r="V1426" s="293"/>
      <c r="W1426" s="293"/>
      <c r="X1426" s="293"/>
      <c r="Y1426" s="293"/>
      <c r="Z1426" s="293"/>
      <c r="AA1426" s="293"/>
      <c r="AB1426" s="293"/>
      <c r="AC1426" s="293"/>
      <c r="AD1426" s="293"/>
      <c r="AE1426" s="293"/>
      <c r="AF1426" s="293"/>
    </row>
    <row r="1432" spans="2:32" ht="12" customHeight="1" x14ac:dyDescent="0.65"/>
    <row r="1433" spans="2:32" ht="12" customHeight="1" x14ac:dyDescent="0.65"/>
    <row r="1434" spans="2:32" ht="12" customHeight="1" x14ac:dyDescent="0.65"/>
    <row r="1435" spans="2:32" ht="12" customHeight="1" x14ac:dyDescent="0.65"/>
    <row r="1436" spans="2:32" ht="12" customHeight="1" x14ac:dyDescent="0.65"/>
    <row r="1437" spans="2:32" ht="12" customHeight="1" x14ac:dyDescent="0.65"/>
    <row r="1438" spans="2:32" ht="12" customHeight="1" x14ac:dyDescent="0.65"/>
    <row r="1439" spans="2:32" ht="12" customHeight="1" x14ac:dyDescent="0.65"/>
    <row r="1440" spans="2:32" ht="12" customHeight="1" x14ac:dyDescent="0.65"/>
    <row r="1441" ht="12" customHeight="1" x14ac:dyDescent="0.65"/>
    <row r="1442" ht="12" customHeight="1" x14ac:dyDescent="0.65"/>
    <row r="1443" ht="12" customHeight="1" x14ac:dyDescent="0.65"/>
    <row r="1444" ht="12" customHeight="1" x14ac:dyDescent="0.65"/>
    <row r="1445" ht="12" customHeight="1" x14ac:dyDescent="0.65"/>
    <row r="1446" ht="12" customHeight="1" x14ac:dyDescent="0.65"/>
    <row r="1447" ht="12" customHeight="1" x14ac:dyDescent="0.65"/>
    <row r="1448" ht="12" customHeight="1" x14ac:dyDescent="0.65"/>
    <row r="1449" ht="12" customHeight="1" x14ac:dyDescent="0.65"/>
    <row r="1450" ht="12" customHeight="1" x14ac:dyDescent="0.65"/>
    <row r="1451" ht="12" customHeight="1" x14ac:dyDescent="0.65"/>
    <row r="1452" ht="12" customHeight="1" x14ac:dyDescent="0.65"/>
    <row r="1453" ht="12" customHeight="1" x14ac:dyDescent="0.65"/>
    <row r="1454" ht="12" customHeight="1" x14ac:dyDescent="0.65"/>
    <row r="1455" ht="12" customHeight="1" x14ac:dyDescent="0.65"/>
    <row r="1456" ht="12" customHeight="1" x14ac:dyDescent="0.65"/>
    <row r="1457" ht="12" customHeight="1" x14ac:dyDescent="0.65"/>
    <row r="1458" ht="12" customHeight="1" x14ac:dyDescent="0.65"/>
    <row r="1459" ht="12" customHeight="1" x14ac:dyDescent="0.65"/>
    <row r="1460" ht="12" customHeight="1" x14ac:dyDescent="0.65"/>
    <row r="1461" ht="12" customHeight="1" x14ac:dyDescent="0.65"/>
    <row r="1462" ht="12" customHeight="1" x14ac:dyDescent="0.65"/>
    <row r="1463" ht="12" customHeight="1" x14ac:dyDescent="0.65"/>
    <row r="1464" ht="12" customHeight="1" x14ac:dyDescent="0.65"/>
    <row r="1465" ht="12" customHeight="1" x14ac:dyDescent="0.65"/>
    <row r="1466" ht="12" customHeight="1" x14ac:dyDescent="0.65"/>
    <row r="1467" ht="12" customHeight="1" x14ac:dyDescent="0.65"/>
    <row r="1468" ht="12" customHeight="1" x14ac:dyDescent="0.65"/>
    <row r="1469" ht="12" customHeight="1" x14ac:dyDescent="0.65"/>
    <row r="1470" ht="12" customHeight="1" x14ac:dyDescent="0.65"/>
    <row r="1471" ht="12" customHeight="1" x14ac:dyDescent="0.65"/>
    <row r="1472" ht="12" customHeight="1" x14ac:dyDescent="0.65"/>
    <row r="1473" ht="12" customHeight="1" x14ac:dyDescent="0.65"/>
    <row r="1474" ht="12" customHeight="1" x14ac:dyDescent="0.65"/>
    <row r="1475" ht="12" customHeight="1" x14ac:dyDescent="0.65"/>
    <row r="1476" ht="12" customHeight="1" x14ac:dyDescent="0.65"/>
    <row r="1477" ht="12" customHeight="1" x14ac:dyDescent="0.65"/>
    <row r="1478" ht="12" customHeight="1" x14ac:dyDescent="0.65"/>
    <row r="1479" ht="12" customHeight="1" x14ac:dyDescent="0.65"/>
    <row r="1480" ht="12" customHeight="1" x14ac:dyDescent="0.65"/>
    <row r="1481" ht="12" customHeight="1" x14ac:dyDescent="0.65"/>
    <row r="1482" ht="12" customHeight="1" x14ac:dyDescent="0.65"/>
    <row r="1483" ht="12" customHeight="1" x14ac:dyDescent="0.65"/>
    <row r="1484" ht="12" customHeight="1" x14ac:dyDescent="0.65"/>
    <row r="1485" ht="12" customHeight="1" x14ac:dyDescent="0.65"/>
    <row r="1486" ht="12" customHeight="1" x14ac:dyDescent="0.65"/>
    <row r="1487" ht="12" customHeight="1" x14ac:dyDescent="0.65"/>
    <row r="1488" ht="12" customHeight="1" x14ac:dyDescent="0.65"/>
    <row r="1489" ht="12" customHeight="1" x14ac:dyDescent="0.65"/>
    <row r="1490" ht="12" customHeight="1" x14ac:dyDescent="0.65"/>
    <row r="1491" ht="12" customHeight="1" x14ac:dyDescent="0.65"/>
    <row r="1492" ht="12" customHeight="1" x14ac:dyDescent="0.65"/>
    <row r="1493" ht="12" customHeight="1" x14ac:dyDescent="0.65"/>
    <row r="1494" ht="12" customHeight="1" x14ac:dyDescent="0.65"/>
    <row r="1495" ht="12" customHeight="1" x14ac:dyDescent="0.65"/>
    <row r="1496" ht="12" customHeight="1" x14ac:dyDescent="0.65"/>
    <row r="1497" ht="12" customHeight="1" x14ac:dyDescent="0.65"/>
    <row r="1498" ht="12" customHeight="1" x14ac:dyDescent="0.65"/>
    <row r="1499" ht="12" customHeight="1" x14ac:dyDescent="0.65"/>
    <row r="1500" ht="12" customHeight="1" x14ac:dyDescent="0.65"/>
    <row r="1501" ht="12" customHeight="1" x14ac:dyDescent="0.65"/>
    <row r="1502" ht="12" customHeight="1" x14ac:dyDescent="0.65"/>
    <row r="1503" ht="12" customHeight="1" x14ac:dyDescent="0.65"/>
    <row r="1504" ht="12" customHeight="1" x14ac:dyDescent="0.65"/>
    <row r="1505" ht="12" customHeight="1" x14ac:dyDescent="0.65"/>
    <row r="1518" ht="12" customHeight="1" x14ac:dyDescent="0.65"/>
    <row r="1526" ht="12" customHeight="1" x14ac:dyDescent="0.65"/>
    <row r="1534" ht="12" customHeight="1" x14ac:dyDescent="0.65"/>
    <row r="1540" spans="2:32" ht="12" customHeight="1" x14ac:dyDescent="0.65"/>
    <row r="1544" spans="2:32" ht="15" customHeight="1" x14ac:dyDescent="0.65">
      <c r="B1544" s="293"/>
      <c r="C1544" s="293"/>
      <c r="D1544" s="293"/>
      <c r="E1544" s="293"/>
      <c r="F1544" s="293"/>
      <c r="G1544" s="293"/>
      <c r="H1544" s="293"/>
      <c r="I1544" s="293"/>
      <c r="J1544" s="293"/>
      <c r="K1544" s="293"/>
      <c r="L1544" s="293"/>
      <c r="M1544" s="293"/>
      <c r="N1544" s="293"/>
      <c r="O1544" s="293"/>
      <c r="P1544" s="293"/>
      <c r="Q1544" s="293"/>
      <c r="R1544" s="293"/>
      <c r="S1544" s="293"/>
      <c r="T1544" s="293"/>
      <c r="U1544" s="293"/>
      <c r="V1544" s="293"/>
      <c r="W1544" s="293"/>
      <c r="X1544" s="293"/>
      <c r="Y1544" s="293"/>
      <c r="Z1544" s="293"/>
      <c r="AA1544" s="293"/>
      <c r="AB1544" s="293"/>
      <c r="AC1544" s="293"/>
      <c r="AD1544" s="293"/>
      <c r="AE1544" s="293"/>
      <c r="AF1544" s="293"/>
    </row>
    <row r="1549" spans="2:32" ht="12" customHeight="1" x14ac:dyDescent="0.65"/>
    <row r="1550" spans="2:32" ht="12" customHeight="1" x14ac:dyDescent="0.65"/>
    <row r="1551" spans="2:32" ht="12" customHeight="1" x14ac:dyDescent="0.65"/>
    <row r="1552" spans="2:32" ht="12" customHeight="1" x14ac:dyDescent="0.65"/>
    <row r="1553" ht="12" customHeight="1" x14ac:dyDescent="0.65"/>
    <row r="1554" ht="12" customHeight="1" x14ac:dyDescent="0.65"/>
    <row r="1555" ht="12" customHeight="1" x14ac:dyDescent="0.65"/>
    <row r="1556" ht="12" customHeight="1" x14ac:dyDescent="0.65"/>
    <row r="1557" ht="12" customHeight="1" x14ac:dyDescent="0.65"/>
    <row r="1558" ht="12" customHeight="1" x14ac:dyDescent="0.65"/>
    <row r="1559" ht="12" customHeight="1" x14ac:dyDescent="0.65"/>
    <row r="1560" ht="12" customHeight="1" x14ac:dyDescent="0.65"/>
    <row r="1561" ht="12" customHeight="1" x14ac:dyDescent="0.65"/>
    <row r="1562" ht="12" customHeight="1" x14ac:dyDescent="0.65"/>
    <row r="1563" ht="12" customHeight="1" x14ac:dyDescent="0.65"/>
    <row r="1564" ht="12" customHeight="1" x14ac:dyDescent="0.65"/>
    <row r="1565" ht="12" customHeight="1" x14ac:dyDescent="0.65"/>
    <row r="1566" ht="12" customHeight="1" x14ac:dyDescent="0.65"/>
    <row r="1567" ht="12" customHeight="1" x14ac:dyDescent="0.65"/>
    <row r="1568" ht="12" customHeight="1" x14ac:dyDescent="0.65"/>
    <row r="1569" ht="12" customHeight="1" x14ac:dyDescent="0.65"/>
    <row r="1570" ht="12" customHeight="1" x14ac:dyDescent="0.65"/>
    <row r="1571" ht="12" customHeight="1" x14ac:dyDescent="0.65"/>
    <row r="1572" ht="12" customHeight="1" x14ac:dyDescent="0.65"/>
    <row r="1573" ht="12" customHeight="1" x14ac:dyDescent="0.65"/>
    <row r="1574" ht="12" customHeight="1" x14ac:dyDescent="0.65"/>
    <row r="1575" ht="12" customHeight="1" x14ac:dyDescent="0.65"/>
    <row r="1576" ht="12" customHeight="1" x14ac:dyDescent="0.65"/>
    <row r="1577" ht="12" customHeight="1" x14ac:dyDescent="0.65"/>
    <row r="1578" ht="12" customHeight="1" x14ac:dyDescent="0.65"/>
    <row r="1579" ht="12" customHeight="1" x14ac:dyDescent="0.65"/>
    <row r="1580" ht="12" customHeight="1" x14ac:dyDescent="0.65"/>
    <row r="1581" ht="12" customHeight="1" x14ac:dyDescent="0.65"/>
    <row r="1582" ht="12" customHeight="1" x14ac:dyDescent="0.65"/>
    <row r="1583" ht="12" customHeight="1" x14ac:dyDescent="0.65"/>
    <row r="1584" ht="12" customHeight="1" x14ac:dyDescent="0.65"/>
    <row r="1585" ht="12" customHeight="1" x14ac:dyDescent="0.65"/>
    <row r="1586" ht="12" customHeight="1" x14ac:dyDescent="0.65"/>
    <row r="1587" ht="12" customHeight="1" x14ac:dyDescent="0.65"/>
    <row r="1588" ht="12" customHeight="1" x14ac:dyDescent="0.65"/>
    <row r="1589" ht="12" customHeight="1" x14ac:dyDescent="0.65"/>
    <row r="1590" ht="12" customHeight="1" x14ac:dyDescent="0.65"/>
    <row r="1591" ht="12" customHeight="1" x14ac:dyDescent="0.65"/>
    <row r="1592" ht="12" customHeight="1" x14ac:dyDescent="0.65"/>
    <row r="1593" ht="12" customHeight="1" x14ac:dyDescent="0.65"/>
    <row r="1594" ht="12" customHeight="1" x14ac:dyDescent="0.65"/>
    <row r="1595" ht="12" customHeight="1" x14ac:dyDescent="0.65"/>
    <row r="1596" ht="12" customHeight="1" x14ac:dyDescent="0.65"/>
    <row r="1597" ht="12" customHeight="1" x14ac:dyDescent="0.65"/>
    <row r="1598" ht="12" customHeight="1" x14ac:dyDescent="0.65"/>
    <row r="1599" ht="12" customHeight="1" x14ac:dyDescent="0.65"/>
    <row r="1600" ht="12" customHeight="1" x14ac:dyDescent="0.65"/>
    <row r="1601" ht="12" customHeight="1" x14ac:dyDescent="0.65"/>
    <row r="1602" ht="12" customHeight="1" x14ac:dyDescent="0.65"/>
    <row r="1603" ht="12" customHeight="1" x14ac:dyDescent="0.65"/>
    <row r="1604" ht="12" customHeight="1" x14ac:dyDescent="0.65"/>
    <row r="1605" ht="12" customHeight="1" x14ac:dyDescent="0.65"/>
    <row r="1618" ht="12" customHeight="1" x14ac:dyDescent="0.65"/>
    <row r="1626" ht="12" customHeight="1" x14ac:dyDescent="0.65"/>
    <row r="1634" spans="2:32" ht="12" customHeight="1" x14ac:dyDescent="0.65"/>
    <row r="1640" spans="2:32" ht="12" customHeight="1" x14ac:dyDescent="0.65"/>
    <row r="1644" spans="2:32" ht="15" customHeight="1" x14ac:dyDescent="0.65">
      <c r="B1644" s="293"/>
      <c r="C1644" s="293"/>
      <c r="D1644" s="293"/>
      <c r="E1644" s="293"/>
      <c r="F1644" s="293"/>
      <c r="G1644" s="293"/>
      <c r="H1644" s="293"/>
      <c r="I1644" s="293"/>
      <c r="J1644" s="293"/>
      <c r="K1644" s="293"/>
      <c r="L1644" s="293"/>
      <c r="M1644" s="293"/>
      <c r="N1644" s="293"/>
      <c r="O1644" s="293"/>
      <c r="P1644" s="293"/>
      <c r="Q1644" s="293"/>
      <c r="R1644" s="293"/>
      <c r="S1644" s="293"/>
      <c r="T1644" s="293"/>
      <c r="U1644" s="293"/>
      <c r="V1644" s="293"/>
      <c r="W1644" s="293"/>
      <c r="X1644" s="293"/>
      <c r="Y1644" s="293"/>
      <c r="Z1644" s="293"/>
      <c r="AA1644" s="293"/>
      <c r="AB1644" s="293"/>
      <c r="AC1644" s="293"/>
      <c r="AD1644" s="293"/>
      <c r="AE1644" s="293"/>
      <c r="AF1644" s="293"/>
    </row>
    <row r="1649" ht="12" customHeight="1" x14ac:dyDescent="0.65"/>
    <row r="1650" ht="12" customHeight="1" x14ac:dyDescent="0.65"/>
    <row r="1651" ht="12" customHeight="1" x14ac:dyDescent="0.65"/>
    <row r="1652" ht="12" customHeight="1" x14ac:dyDescent="0.65"/>
    <row r="1653" ht="12" customHeight="1" x14ac:dyDescent="0.65"/>
    <row r="1654" ht="12" customHeight="1" x14ac:dyDescent="0.65"/>
    <row r="1655" ht="12" customHeight="1" x14ac:dyDescent="0.65"/>
    <row r="1656" ht="12" customHeight="1" x14ac:dyDescent="0.65"/>
    <row r="1657" ht="12" customHeight="1" x14ac:dyDescent="0.65"/>
    <row r="1658" ht="12" customHeight="1" x14ac:dyDescent="0.65"/>
    <row r="1659" ht="12" customHeight="1" x14ac:dyDescent="0.65"/>
    <row r="1660" ht="12" customHeight="1" x14ac:dyDescent="0.65"/>
    <row r="1661" ht="12" customHeight="1" x14ac:dyDescent="0.65"/>
    <row r="1662" ht="12" customHeight="1" x14ac:dyDescent="0.65"/>
    <row r="1663" ht="12" customHeight="1" x14ac:dyDescent="0.65"/>
    <row r="1664" ht="12" customHeight="1" x14ac:dyDescent="0.65"/>
    <row r="1665" ht="12" customHeight="1" x14ac:dyDescent="0.65"/>
    <row r="1666" ht="12" customHeight="1" x14ac:dyDescent="0.65"/>
    <row r="1667" ht="12" customHeight="1" x14ac:dyDescent="0.65"/>
    <row r="1668" ht="12" customHeight="1" x14ac:dyDescent="0.65"/>
    <row r="1669" ht="12" customHeight="1" x14ac:dyDescent="0.65"/>
    <row r="1670" ht="12" customHeight="1" x14ac:dyDescent="0.65"/>
    <row r="1671" ht="12" customHeight="1" x14ac:dyDescent="0.65"/>
    <row r="1672" ht="12" customHeight="1" x14ac:dyDescent="0.65"/>
    <row r="1673" ht="12" customHeight="1" x14ac:dyDescent="0.65"/>
    <row r="1674" ht="12" customHeight="1" x14ac:dyDescent="0.65"/>
    <row r="1675" ht="12" customHeight="1" x14ac:dyDescent="0.65"/>
    <row r="1676" ht="12" customHeight="1" x14ac:dyDescent="0.65"/>
    <row r="1677" ht="12" customHeight="1" x14ac:dyDescent="0.65"/>
    <row r="1678" ht="12" customHeight="1" x14ac:dyDescent="0.65"/>
    <row r="1679" ht="12" customHeight="1" x14ac:dyDescent="0.65"/>
    <row r="1680" ht="12" customHeight="1" x14ac:dyDescent="0.65"/>
    <row r="1681" ht="12" customHeight="1" x14ac:dyDescent="0.65"/>
    <row r="1682" ht="12" customHeight="1" x14ac:dyDescent="0.65"/>
    <row r="1683" ht="12" customHeight="1" x14ac:dyDescent="0.65"/>
    <row r="1684" ht="12" customHeight="1" x14ac:dyDescent="0.65"/>
    <row r="1685" ht="12" customHeight="1" x14ac:dyDescent="0.65"/>
    <row r="1686" ht="12" customHeight="1" x14ac:dyDescent="0.65"/>
    <row r="1687" ht="12" customHeight="1" x14ac:dyDescent="0.65"/>
    <row r="1688" ht="12" customHeight="1" x14ac:dyDescent="0.65"/>
    <row r="1689" ht="12" customHeight="1" x14ac:dyDescent="0.65"/>
    <row r="1690" ht="12" customHeight="1" x14ac:dyDescent="0.65"/>
    <row r="1691" ht="12" customHeight="1" x14ac:dyDescent="0.65"/>
    <row r="1692" ht="12" customHeight="1" x14ac:dyDescent="0.65"/>
    <row r="1693" ht="12" customHeight="1" x14ac:dyDescent="0.65"/>
    <row r="1694" ht="12" customHeight="1" x14ac:dyDescent="0.65"/>
    <row r="1695" ht="12" customHeight="1" x14ac:dyDescent="0.65"/>
    <row r="1696" ht="12" customHeight="1" x14ac:dyDescent="0.65"/>
    <row r="1697" ht="12" customHeight="1" x14ac:dyDescent="0.65"/>
    <row r="1698" ht="12" customHeight="1" x14ac:dyDescent="0.65"/>
    <row r="1699" ht="12" customHeight="1" x14ac:dyDescent="0.65"/>
    <row r="1700" ht="12" customHeight="1" x14ac:dyDescent="0.65"/>
    <row r="1701" ht="12" customHeight="1" x14ac:dyDescent="0.65"/>
    <row r="1702" ht="12" customHeight="1" x14ac:dyDescent="0.65"/>
    <row r="1703" ht="12" customHeight="1" x14ac:dyDescent="0.65"/>
    <row r="1704" ht="12" customHeight="1" x14ac:dyDescent="0.65"/>
    <row r="1705" ht="12" customHeight="1" x14ac:dyDescent="0.65"/>
    <row r="1718" ht="12" customHeight="1" x14ac:dyDescent="0.65"/>
    <row r="1726" ht="12" customHeight="1" x14ac:dyDescent="0.65"/>
    <row r="1734" spans="2:32" ht="12" customHeight="1" x14ac:dyDescent="0.65"/>
    <row r="1740" spans="2:32" ht="12" customHeight="1" x14ac:dyDescent="0.65"/>
    <row r="1744" spans="2:32" ht="15" customHeight="1" x14ac:dyDescent="0.65">
      <c r="B1744" s="293"/>
      <c r="C1744" s="293"/>
      <c r="D1744" s="293"/>
      <c r="E1744" s="293"/>
      <c r="F1744" s="293"/>
      <c r="G1744" s="293"/>
      <c r="H1744" s="293"/>
      <c r="I1744" s="293"/>
      <c r="J1744" s="293"/>
      <c r="K1744" s="293"/>
      <c r="L1744" s="293"/>
      <c r="M1744" s="293"/>
      <c r="N1744" s="293"/>
      <c r="O1744" s="293"/>
      <c r="P1744" s="293"/>
      <c r="Q1744" s="293"/>
      <c r="R1744" s="293"/>
      <c r="S1744" s="293"/>
      <c r="T1744" s="293"/>
      <c r="U1744" s="293"/>
      <c r="V1744" s="293"/>
      <c r="W1744" s="293"/>
      <c r="X1744" s="293"/>
      <c r="Y1744" s="293"/>
      <c r="Z1744" s="293"/>
      <c r="AA1744" s="293"/>
      <c r="AB1744" s="293"/>
      <c r="AC1744" s="293"/>
      <c r="AD1744" s="293"/>
      <c r="AE1744" s="293"/>
      <c r="AF1744" s="293"/>
    </row>
    <row r="1749" ht="12" customHeight="1" x14ac:dyDescent="0.65"/>
    <row r="1750" ht="12" customHeight="1" x14ac:dyDescent="0.65"/>
    <row r="1751" ht="12" customHeight="1" x14ac:dyDescent="0.65"/>
    <row r="1752" ht="12" customHeight="1" x14ac:dyDescent="0.65"/>
    <row r="1753" ht="12" customHeight="1" x14ac:dyDescent="0.65"/>
    <row r="1754" ht="12" customHeight="1" x14ac:dyDescent="0.65"/>
    <row r="1755" ht="12" customHeight="1" x14ac:dyDescent="0.65"/>
    <row r="1756" ht="12" customHeight="1" x14ac:dyDescent="0.65"/>
    <row r="1757" ht="12" customHeight="1" x14ac:dyDescent="0.65"/>
    <row r="1758" ht="12" customHeight="1" x14ac:dyDescent="0.65"/>
    <row r="1759" ht="12" customHeight="1" x14ac:dyDescent="0.65"/>
    <row r="1760" ht="12" customHeight="1" x14ac:dyDescent="0.65"/>
    <row r="1761" ht="12" customHeight="1" x14ac:dyDescent="0.65"/>
    <row r="1762" ht="12" customHeight="1" x14ac:dyDescent="0.65"/>
    <row r="1763" ht="12" customHeight="1" x14ac:dyDescent="0.65"/>
    <row r="1764" ht="12" customHeight="1" x14ac:dyDescent="0.65"/>
    <row r="1765" ht="12" customHeight="1" x14ac:dyDescent="0.65"/>
    <row r="1766" ht="12" customHeight="1" x14ac:dyDescent="0.65"/>
    <row r="1767" ht="12" customHeight="1" x14ac:dyDescent="0.65"/>
    <row r="1768" ht="12" customHeight="1" x14ac:dyDescent="0.65"/>
    <row r="1769" ht="12" customHeight="1" x14ac:dyDescent="0.65"/>
    <row r="1770" ht="12" customHeight="1" x14ac:dyDescent="0.65"/>
    <row r="1771" ht="12" customHeight="1" x14ac:dyDescent="0.65"/>
    <row r="1772" ht="12" customHeight="1" x14ac:dyDescent="0.65"/>
    <row r="1773" ht="12" customHeight="1" x14ac:dyDescent="0.65"/>
    <row r="1774" ht="12" customHeight="1" x14ac:dyDescent="0.65"/>
    <row r="1775" ht="12" customHeight="1" x14ac:dyDescent="0.65"/>
    <row r="1776" ht="12" customHeight="1" x14ac:dyDescent="0.65"/>
    <row r="1777" ht="12" customHeight="1" x14ac:dyDescent="0.65"/>
    <row r="1778" ht="12" customHeight="1" x14ac:dyDescent="0.65"/>
    <row r="1779" ht="12" customHeight="1" x14ac:dyDescent="0.65"/>
    <row r="1780" ht="12" customHeight="1" x14ac:dyDescent="0.65"/>
    <row r="1781" ht="12" customHeight="1" x14ac:dyDescent="0.65"/>
    <row r="1782" ht="12" customHeight="1" x14ac:dyDescent="0.65"/>
    <row r="1783" ht="12" customHeight="1" x14ac:dyDescent="0.65"/>
    <row r="1784" ht="12" customHeight="1" x14ac:dyDescent="0.65"/>
    <row r="1785" ht="12" customHeight="1" x14ac:dyDescent="0.65"/>
    <row r="1786" ht="12" customHeight="1" x14ac:dyDescent="0.65"/>
    <row r="1787" ht="12" customHeight="1" x14ac:dyDescent="0.65"/>
    <row r="1788" ht="12" customHeight="1" x14ac:dyDescent="0.65"/>
    <row r="1789" ht="12" customHeight="1" x14ac:dyDescent="0.65"/>
    <row r="1790" ht="12" customHeight="1" x14ac:dyDescent="0.65"/>
    <row r="1791" ht="12" customHeight="1" x14ac:dyDescent="0.65"/>
    <row r="1792" ht="12" customHeight="1" x14ac:dyDescent="0.65"/>
    <row r="1793" ht="12" customHeight="1" x14ac:dyDescent="0.65"/>
    <row r="1794" ht="12" customHeight="1" x14ac:dyDescent="0.65"/>
    <row r="1795" ht="12" customHeight="1" x14ac:dyDescent="0.65"/>
    <row r="1796" ht="12" customHeight="1" x14ac:dyDescent="0.65"/>
    <row r="1797" ht="12" customHeight="1" x14ac:dyDescent="0.65"/>
    <row r="1798" ht="12" customHeight="1" x14ac:dyDescent="0.65"/>
    <row r="1799" ht="12" customHeight="1" x14ac:dyDescent="0.65"/>
    <row r="1800" ht="12" customHeight="1" x14ac:dyDescent="0.65"/>
    <row r="1801" ht="12" customHeight="1" x14ac:dyDescent="0.65"/>
    <row r="1802" ht="12" customHeight="1" x14ac:dyDescent="0.65"/>
    <row r="1803" ht="12" customHeight="1" x14ac:dyDescent="0.65"/>
    <row r="1804" ht="12" customHeight="1" x14ac:dyDescent="0.65"/>
    <row r="1805" ht="12" customHeight="1" x14ac:dyDescent="0.65"/>
    <row r="1818" ht="12" customHeight="1" x14ac:dyDescent="0.65"/>
    <row r="1826" ht="12" customHeight="1" x14ac:dyDescent="0.65"/>
    <row r="1834" ht="12" customHeight="1" x14ac:dyDescent="0.65"/>
    <row r="1840" ht="12" customHeight="1" x14ac:dyDescent="0.65"/>
    <row r="1844" spans="2:32" ht="15" customHeight="1" x14ac:dyDescent="0.65">
      <c r="B1844" s="293"/>
      <c r="C1844" s="293"/>
      <c r="D1844" s="293"/>
      <c r="E1844" s="293"/>
      <c r="F1844" s="293"/>
      <c r="G1844" s="293"/>
      <c r="H1844" s="293"/>
      <c r="I1844" s="293"/>
      <c r="J1844" s="293"/>
      <c r="K1844" s="293"/>
      <c r="L1844" s="293"/>
      <c r="M1844" s="293"/>
      <c r="N1844" s="293"/>
      <c r="O1844" s="293"/>
      <c r="P1844" s="293"/>
      <c r="Q1844" s="293"/>
      <c r="R1844" s="293"/>
      <c r="S1844" s="293"/>
      <c r="T1844" s="293"/>
      <c r="U1844" s="293"/>
      <c r="V1844" s="293"/>
      <c r="W1844" s="293"/>
      <c r="X1844" s="293"/>
      <c r="Y1844" s="293"/>
      <c r="Z1844" s="293"/>
      <c r="AA1844" s="293"/>
      <c r="AB1844" s="293"/>
      <c r="AC1844" s="293"/>
      <c r="AD1844" s="293"/>
      <c r="AE1844" s="293"/>
      <c r="AF1844" s="293"/>
    </row>
    <row r="1849" spans="2:32" ht="12" customHeight="1" x14ac:dyDescent="0.65"/>
    <row r="1850" spans="2:32" ht="12" customHeight="1" x14ac:dyDescent="0.65"/>
    <row r="1851" spans="2:32" ht="12" customHeight="1" x14ac:dyDescent="0.65"/>
    <row r="1852" spans="2:32" ht="12" customHeight="1" x14ac:dyDescent="0.65"/>
    <row r="1853" spans="2:32" ht="12" customHeight="1" x14ac:dyDescent="0.65"/>
    <row r="1854" spans="2:32" ht="12" customHeight="1" x14ac:dyDescent="0.65"/>
    <row r="1855" spans="2:32" ht="12" customHeight="1" x14ac:dyDescent="0.65"/>
    <row r="1856" spans="2:32" ht="12" customHeight="1" x14ac:dyDescent="0.65"/>
    <row r="1857" ht="12" customHeight="1" x14ac:dyDescent="0.65"/>
    <row r="1858" ht="12" customHeight="1" x14ac:dyDescent="0.65"/>
    <row r="1859" ht="12" customHeight="1" x14ac:dyDescent="0.65"/>
    <row r="1860" ht="12" customHeight="1" x14ac:dyDescent="0.65"/>
    <row r="1861" ht="12" customHeight="1" x14ac:dyDescent="0.65"/>
    <row r="1862" ht="12" customHeight="1" x14ac:dyDescent="0.65"/>
    <row r="1863" ht="12" customHeight="1" x14ac:dyDescent="0.65"/>
    <row r="1864" ht="12" customHeight="1" x14ac:dyDescent="0.65"/>
    <row r="1865" ht="12" customHeight="1" x14ac:dyDescent="0.65"/>
    <row r="1866" ht="12" customHeight="1" x14ac:dyDescent="0.65"/>
    <row r="1867" ht="12" customHeight="1" x14ac:dyDescent="0.65"/>
    <row r="1868" ht="12" customHeight="1" x14ac:dyDescent="0.65"/>
    <row r="1869" ht="12" customHeight="1" x14ac:dyDescent="0.65"/>
    <row r="1870" ht="12" customHeight="1" x14ac:dyDescent="0.65"/>
    <row r="1871" ht="12" customHeight="1" x14ac:dyDescent="0.65"/>
    <row r="1872" ht="12" customHeight="1" x14ac:dyDescent="0.65"/>
    <row r="1873" ht="12" customHeight="1" x14ac:dyDescent="0.65"/>
    <row r="1874" ht="12" customHeight="1" x14ac:dyDescent="0.65"/>
    <row r="1875" ht="12" customHeight="1" x14ac:dyDescent="0.65"/>
    <row r="1876" ht="12" customHeight="1" x14ac:dyDescent="0.65"/>
    <row r="1877" ht="12" customHeight="1" x14ac:dyDescent="0.65"/>
    <row r="1878" ht="12" customHeight="1" x14ac:dyDescent="0.65"/>
    <row r="1879" ht="12" customHeight="1" x14ac:dyDescent="0.65"/>
    <row r="1880" ht="12" customHeight="1" x14ac:dyDescent="0.65"/>
    <row r="1881" ht="12" customHeight="1" x14ac:dyDescent="0.65"/>
    <row r="1882" ht="12" customHeight="1" x14ac:dyDescent="0.65"/>
    <row r="1883" ht="12" customHeight="1" x14ac:dyDescent="0.65"/>
    <row r="1884" ht="12" customHeight="1" x14ac:dyDescent="0.65"/>
    <row r="1885" ht="12" customHeight="1" x14ac:dyDescent="0.65"/>
    <row r="1886" ht="12" customHeight="1" x14ac:dyDescent="0.65"/>
    <row r="1887" ht="12" customHeight="1" x14ac:dyDescent="0.65"/>
    <row r="1888" ht="12" customHeight="1" x14ac:dyDescent="0.65"/>
    <row r="1889" ht="12" customHeight="1" x14ac:dyDescent="0.65"/>
    <row r="1890" ht="12" customHeight="1" x14ac:dyDescent="0.65"/>
    <row r="1891" ht="12" customHeight="1" x14ac:dyDescent="0.65"/>
    <row r="1892" ht="12" customHeight="1" x14ac:dyDescent="0.65"/>
    <row r="1893" ht="12" customHeight="1" x14ac:dyDescent="0.65"/>
    <row r="1894" ht="12" customHeight="1" x14ac:dyDescent="0.65"/>
    <row r="1895" ht="12" customHeight="1" x14ac:dyDescent="0.65"/>
    <row r="1896" ht="12" customHeight="1" x14ac:dyDescent="0.65"/>
    <row r="1897" ht="12" customHeight="1" x14ac:dyDescent="0.65"/>
    <row r="1898" ht="12" customHeight="1" x14ac:dyDescent="0.65"/>
    <row r="1899" ht="12" customHeight="1" x14ac:dyDescent="0.65"/>
    <row r="1900" ht="12" customHeight="1" x14ac:dyDescent="0.65"/>
    <row r="1901" ht="12" customHeight="1" x14ac:dyDescent="0.65"/>
    <row r="1902" ht="12" customHeight="1" x14ac:dyDescent="0.65"/>
    <row r="1903" ht="12" customHeight="1" x14ac:dyDescent="0.65"/>
    <row r="1904" ht="12" customHeight="1" x14ac:dyDescent="0.65"/>
    <row r="1905" ht="12" customHeight="1" x14ac:dyDescent="0.65"/>
    <row r="1918" ht="12" customHeight="1" x14ac:dyDescent="0.65"/>
    <row r="1926" ht="12" customHeight="1" x14ac:dyDescent="0.65"/>
    <row r="1934" ht="12" customHeight="1" x14ac:dyDescent="0.65"/>
    <row r="1940" spans="2:32" ht="12" customHeight="1" x14ac:dyDescent="0.65"/>
    <row r="1944" spans="2:32" ht="15" customHeight="1" x14ac:dyDescent="0.65">
      <c r="B1944" s="293"/>
      <c r="C1944" s="293"/>
      <c r="D1944" s="293"/>
      <c r="E1944" s="293"/>
      <c r="F1944" s="293"/>
      <c r="G1944" s="293"/>
      <c r="H1944" s="293"/>
      <c r="I1944" s="293"/>
      <c r="J1944" s="293"/>
      <c r="K1944" s="293"/>
      <c r="L1944" s="293"/>
      <c r="M1944" s="293"/>
      <c r="N1944" s="293"/>
      <c r="O1944" s="293"/>
      <c r="P1944" s="293"/>
      <c r="Q1944" s="293"/>
      <c r="R1944" s="293"/>
      <c r="S1944" s="293"/>
      <c r="T1944" s="293"/>
      <c r="U1944" s="293"/>
      <c r="V1944" s="293"/>
      <c r="W1944" s="293"/>
      <c r="X1944" s="293"/>
      <c r="Y1944" s="293"/>
      <c r="Z1944" s="293"/>
      <c r="AA1944" s="293"/>
      <c r="AB1944" s="293"/>
      <c r="AC1944" s="293"/>
      <c r="AD1944" s="293"/>
      <c r="AE1944" s="293"/>
      <c r="AF1944" s="293"/>
    </row>
    <row r="1949" spans="2:32" ht="12" customHeight="1" x14ac:dyDescent="0.65"/>
    <row r="1950" spans="2:32" ht="12" customHeight="1" x14ac:dyDescent="0.65"/>
    <row r="1951" spans="2:32" ht="12" customHeight="1" x14ac:dyDescent="0.65"/>
    <row r="1952" spans="2:32" ht="12" customHeight="1" x14ac:dyDescent="0.65"/>
    <row r="1953" ht="12" customHeight="1" x14ac:dyDescent="0.65"/>
    <row r="1954" ht="12" customHeight="1" x14ac:dyDescent="0.65"/>
    <row r="1955" ht="12" customHeight="1" x14ac:dyDescent="0.65"/>
    <row r="1956" ht="12" customHeight="1" x14ac:dyDescent="0.65"/>
    <row r="1957" ht="12" customHeight="1" x14ac:dyDescent="0.65"/>
    <row r="1958" ht="12" customHeight="1" x14ac:dyDescent="0.65"/>
    <row r="1959" ht="12" customHeight="1" x14ac:dyDescent="0.65"/>
    <row r="1960" ht="12" customHeight="1" x14ac:dyDescent="0.65"/>
    <row r="1961" ht="12" customHeight="1" x14ac:dyDescent="0.65"/>
    <row r="1962" ht="12" customHeight="1" x14ac:dyDescent="0.65"/>
    <row r="1963" ht="12" customHeight="1" x14ac:dyDescent="0.65"/>
    <row r="1964" ht="12" customHeight="1" x14ac:dyDescent="0.65"/>
    <row r="1965" ht="12" customHeight="1" x14ac:dyDescent="0.65"/>
    <row r="1966" ht="12" customHeight="1" x14ac:dyDescent="0.65"/>
    <row r="1967" ht="12" customHeight="1" x14ac:dyDescent="0.65"/>
    <row r="1968" ht="12" customHeight="1" x14ac:dyDescent="0.65"/>
    <row r="1969" ht="12" customHeight="1" x14ac:dyDescent="0.65"/>
    <row r="1970" ht="12" customHeight="1" x14ac:dyDescent="0.65"/>
    <row r="1971" ht="12" customHeight="1" x14ac:dyDescent="0.65"/>
    <row r="1972" ht="12" customHeight="1" x14ac:dyDescent="0.65"/>
    <row r="1973" ht="12" customHeight="1" x14ac:dyDescent="0.65"/>
    <row r="1974" ht="12" customHeight="1" x14ac:dyDescent="0.65"/>
    <row r="1975" ht="12" customHeight="1" x14ac:dyDescent="0.65"/>
    <row r="1976" ht="12" customHeight="1" x14ac:dyDescent="0.65"/>
    <row r="1977" ht="12" customHeight="1" x14ac:dyDescent="0.65"/>
    <row r="1978" ht="12" customHeight="1" x14ac:dyDescent="0.65"/>
    <row r="1979" ht="12" customHeight="1" x14ac:dyDescent="0.65"/>
    <row r="1980" ht="12" customHeight="1" x14ac:dyDescent="0.65"/>
    <row r="1981" ht="12" customHeight="1" x14ac:dyDescent="0.65"/>
    <row r="1982" ht="12" customHeight="1" x14ac:dyDescent="0.65"/>
    <row r="1983" ht="12" customHeight="1" x14ac:dyDescent="0.65"/>
    <row r="1984" ht="12" customHeight="1" x14ac:dyDescent="0.65"/>
    <row r="1985" ht="12" customHeight="1" x14ac:dyDescent="0.65"/>
    <row r="1986" ht="12" customHeight="1" x14ac:dyDescent="0.65"/>
    <row r="1987" ht="12" customHeight="1" x14ac:dyDescent="0.65"/>
    <row r="1988" ht="12" customHeight="1" x14ac:dyDescent="0.65"/>
    <row r="1989" ht="12" customHeight="1" x14ac:dyDescent="0.65"/>
    <row r="1990" ht="12" customHeight="1" x14ac:dyDescent="0.65"/>
    <row r="1991" ht="12" customHeight="1" x14ac:dyDescent="0.65"/>
    <row r="1992" ht="12" customHeight="1" x14ac:dyDescent="0.65"/>
    <row r="1993" ht="12" customHeight="1" x14ac:dyDescent="0.65"/>
    <row r="1994" ht="12" customHeight="1" x14ac:dyDescent="0.65"/>
    <row r="1995" ht="12" customHeight="1" x14ac:dyDescent="0.65"/>
    <row r="1996" ht="12" customHeight="1" x14ac:dyDescent="0.65"/>
    <row r="1997" ht="12" customHeight="1" x14ac:dyDescent="0.65"/>
    <row r="1998" ht="12" customHeight="1" x14ac:dyDescent="0.65"/>
    <row r="1999" ht="12" customHeight="1" x14ac:dyDescent="0.65"/>
    <row r="2000" ht="12" customHeight="1" x14ac:dyDescent="0.65"/>
    <row r="2001" ht="12" customHeight="1" x14ac:dyDescent="0.65"/>
    <row r="2002" ht="12" customHeight="1" x14ac:dyDescent="0.65"/>
    <row r="2003" ht="12" customHeight="1" x14ac:dyDescent="0.65"/>
    <row r="2004" ht="12" customHeight="1" x14ac:dyDescent="0.65"/>
    <row r="2005" ht="12" customHeight="1" x14ac:dyDescent="0.65"/>
    <row r="2018" ht="12" customHeight="1" x14ac:dyDescent="0.65"/>
    <row r="2026" ht="12" customHeight="1" x14ac:dyDescent="0.65"/>
    <row r="2034" spans="2:32" ht="12" customHeight="1" x14ac:dyDescent="0.65"/>
    <row r="2040" spans="2:32" ht="12" customHeight="1" x14ac:dyDescent="0.65"/>
    <row r="2044" spans="2:32" ht="15" customHeight="1" x14ac:dyDescent="0.65">
      <c r="B2044" s="293"/>
      <c r="C2044" s="293"/>
      <c r="D2044" s="293"/>
      <c r="E2044" s="293"/>
      <c r="F2044" s="293"/>
      <c r="G2044" s="293"/>
      <c r="H2044" s="293"/>
      <c r="I2044" s="293"/>
      <c r="J2044" s="293"/>
      <c r="K2044" s="293"/>
      <c r="L2044" s="293"/>
      <c r="M2044" s="293"/>
      <c r="N2044" s="293"/>
      <c r="O2044" s="293"/>
      <c r="P2044" s="293"/>
      <c r="Q2044" s="293"/>
      <c r="R2044" s="293"/>
      <c r="S2044" s="293"/>
      <c r="T2044" s="293"/>
      <c r="U2044" s="293"/>
      <c r="V2044" s="293"/>
      <c r="W2044" s="293"/>
      <c r="X2044" s="293"/>
      <c r="Y2044" s="293"/>
      <c r="Z2044" s="293"/>
      <c r="AA2044" s="293"/>
      <c r="AB2044" s="293"/>
      <c r="AC2044" s="293"/>
      <c r="AD2044" s="293"/>
      <c r="AE2044" s="293"/>
      <c r="AF2044" s="293"/>
    </row>
    <row r="2049" ht="12" customHeight="1" x14ac:dyDescent="0.65"/>
    <row r="2050" ht="12" customHeight="1" x14ac:dyDescent="0.65"/>
    <row r="2051" ht="12" customHeight="1" x14ac:dyDescent="0.65"/>
    <row r="2052" ht="12" customHeight="1" x14ac:dyDescent="0.65"/>
    <row r="2053" ht="12" customHeight="1" x14ac:dyDescent="0.65"/>
    <row r="2054" ht="12" customHeight="1" x14ac:dyDescent="0.65"/>
    <row r="2055" ht="12" customHeight="1" x14ac:dyDescent="0.65"/>
    <row r="2056" ht="12" customHeight="1" x14ac:dyDescent="0.65"/>
    <row r="2057" ht="12" customHeight="1" x14ac:dyDescent="0.65"/>
    <row r="2058" ht="12" customHeight="1" x14ac:dyDescent="0.65"/>
    <row r="2059" ht="12" customHeight="1" x14ac:dyDescent="0.65"/>
    <row r="2060" ht="12" customHeight="1" x14ac:dyDescent="0.65"/>
    <row r="2061" ht="12" customHeight="1" x14ac:dyDescent="0.65"/>
    <row r="2062" ht="12" customHeight="1" x14ac:dyDescent="0.65"/>
    <row r="2063" ht="12" customHeight="1" x14ac:dyDescent="0.65"/>
    <row r="2064" ht="12" customHeight="1" x14ac:dyDescent="0.65"/>
    <row r="2065" ht="12" customHeight="1" x14ac:dyDescent="0.65"/>
    <row r="2066" ht="12" customHeight="1" x14ac:dyDescent="0.65"/>
    <row r="2067" ht="12" customHeight="1" x14ac:dyDescent="0.65"/>
    <row r="2068" ht="12" customHeight="1" x14ac:dyDescent="0.65"/>
    <row r="2069" ht="12" customHeight="1" x14ac:dyDescent="0.65"/>
    <row r="2070" ht="12" customHeight="1" x14ac:dyDescent="0.65"/>
    <row r="2071" ht="12" customHeight="1" x14ac:dyDescent="0.65"/>
    <row r="2072" ht="12" customHeight="1" x14ac:dyDescent="0.65"/>
    <row r="2073" ht="12" customHeight="1" x14ac:dyDescent="0.65"/>
    <row r="2074" ht="12" customHeight="1" x14ac:dyDescent="0.65"/>
    <row r="2075" ht="12" customHeight="1" x14ac:dyDescent="0.65"/>
    <row r="2076" ht="12" customHeight="1" x14ac:dyDescent="0.65"/>
    <row r="2077" ht="12" customHeight="1" x14ac:dyDescent="0.65"/>
    <row r="2078" ht="12" customHeight="1" x14ac:dyDescent="0.65"/>
    <row r="2079" ht="12" customHeight="1" x14ac:dyDescent="0.65"/>
    <row r="2080" ht="12" customHeight="1" x14ac:dyDescent="0.65"/>
    <row r="2081" ht="12" customHeight="1" x14ac:dyDescent="0.65"/>
    <row r="2082" ht="12" customHeight="1" x14ac:dyDescent="0.65"/>
    <row r="2083" ht="12" customHeight="1" x14ac:dyDescent="0.65"/>
    <row r="2084" ht="12" customHeight="1" x14ac:dyDescent="0.65"/>
    <row r="2085" ht="12" customHeight="1" x14ac:dyDescent="0.65"/>
    <row r="2086" ht="12" customHeight="1" x14ac:dyDescent="0.65"/>
    <row r="2087" ht="12" customHeight="1" x14ac:dyDescent="0.65"/>
    <row r="2088" ht="12" customHeight="1" x14ac:dyDescent="0.65"/>
    <row r="2089" ht="12" customHeight="1" x14ac:dyDescent="0.65"/>
    <row r="2090" ht="12" customHeight="1" x14ac:dyDescent="0.65"/>
    <row r="2091" ht="12" customHeight="1" x14ac:dyDescent="0.65"/>
    <row r="2092" ht="12" customHeight="1" x14ac:dyDescent="0.65"/>
    <row r="2093" ht="12" customHeight="1" x14ac:dyDescent="0.65"/>
    <row r="2094" ht="12" customHeight="1" x14ac:dyDescent="0.65"/>
    <row r="2095" ht="12" customHeight="1" x14ac:dyDescent="0.65"/>
    <row r="2096" ht="12" customHeight="1" x14ac:dyDescent="0.65"/>
    <row r="2097" ht="12" customHeight="1" x14ac:dyDescent="0.65"/>
    <row r="2098" ht="12" customHeight="1" x14ac:dyDescent="0.65"/>
    <row r="2099" ht="12" customHeight="1" x14ac:dyDescent="0.65"/>
    <row r="2100" ht="12" customHeight="1" x14ac:dyDescent="0.65"/>
    <row r="2101" ht="12" customHeight="1" x14ac:dyDescent="0.65"/>
    <row r="2102" ht="12" customHeight="1" x14ac:dyDescent="0.65"/>
    <row r="2103" ht="12" customHeight="1" x14ac:dyDescent="0.65"/>
    <row r="2104" ht="12" customHeight="1" x14ac:dyDescent="0.65"/>
    <row r="2105" ht="12" customHeight="1" x14ac:dyDescent="0.65"/>
    <row r="2118" ht="12" customHeight="1" x14ac:dyDescent="0.65"/>
    <row r="2126" ht="12" customHeight="1" x14ac:dyDescent="0.65"/>
    <row r="2134" spans="2:32" ht="12" customHeight="1" x14ac:dyDescent="0.65"/>
    <row r="2140" spans="2:32" ht="12" customHeight="1" x14ac:dyDescent="0.65"/>
    <row r="2144" spans="2:32" ht="15" customHeight="1" x14ac:dyDescent="0.65">
      <c r="B2144" s="293"/>
      <c r="C2144" s="293"/>
      <c r="D2144" s="293"/>
      <c r="E2144" s="293"/>
      <c r="F2144" s="293"/>
      <c r="G2144" s="293"/>
      <c r="H2144" s="293"/>
      <c r="I2144" s="293"/>
      <c r="J2144" s="293"/>
      <c r="K2144" s="293"/>
      <c r="L2144" s="293"/>
      <c r="M2144" s="293"/>
      <c r="N2144" s="293"/>
      <c r="O2144" s="293"/>
      <c r="P2144" s="293"/>
      <c r="Q2144" s="293"/>
      <c r="R2144" s="293"/>
      <c r="S2144" s="293"/>
      <c r="T2144" s="293"/>
      <c r="U2144" s="293"/>
      <c r="V2144" s="293"/>
      <c r="W2144" s="293"/>
      <c r="X2144" s="293"/>
      <c r="Y2144" s="293"/>
      <c r="Z2144" s="293"/>
      <c r="AA2144" s="293"/>
      <c r="AB2144" s="293"/>
      <c r="AC2144" s="293"/>
      <c r="AD2144" s="293"/>
      <c r="AE2144" s="293"/>
      <c r="AF2144" s="293"/>
    </row>
    <row r="2149" ht="12" customHeight="1" x14ac:dyDescent="0.65"/>
    <row r="2150" ht="12" customHeight="1" x14ac:dyDescent="0.65"/>
    <row r="2151" ht="12" customHeight="1" x14ac:dyDescent="0.65"/>
    <row r="2152" ht="12" customHeight="1" x14ac:dyDescent="0.65"/>
    <row r="2153" ht="12" customHeight="1" x14ac:dyDescent="0.65"/>
    <row r="2154" ht="12" customHeight="1" x14ac:dyDescent="0.65"/>
    <row r="2155" ht="12" customHeight="1" x14ac:dyDescent="0.65"/>
    <row r="2156" ht="12" customHeight="1" x14ac:dyDescent="0.65"/>
    <row r="2157" ht="12" customHeight="1" x14ac:dyDescent="0.65"/>
    <row r="2158" ht="12" customHeight="1" x14ac:dyDescent="0.65"/>
    <row r="2159" ht="12" customHeight="1" x14ac:dyDescent="0.65"/>
    <row r="2160" ht="12" customHeight="1" x14ac:dyDescent="0.65"/>
    <row r="2161" ht="12" customHeight="1" x14ac:dyDescent="0.65"/>
    <row r="2162" ht="12" customHeight="1" x14ac:dyDescent="0.65"/>
    <row r="2163" ht="12" customHeight="1" x14ac:dyDescent="0.65"/>
    <row r="2164" ht="12" customHeight="1" x14ac:dyDescent="0.65"/>
    <row r="2165" ht="12" customHeight="1" x14ac:dyDescent="0.65"/>
    <row r="2166" ht="12" customHeight="1" x14ac:dyDescent="0.65"/>
    <row r="2167" ht="12" customHeight="1" x14ac:dyDescent="0.65"/>
    <row r="2168" ht="12" customHeight="1" x14ac:dyDescent="0.65"/>
    <row r="2169" ht="12" customHeight="1" x14ac:dyDescent="0.65"/>
    <row r="2170" ht="12" customHeight="1" x14ac:dyDescent="0.65"/>
    <row r="2171" ht="12" customHeight="1" x14ac:dyDescent="0.65"/>
    <row r="2172" ht="12" customHeight="1" x14ac:dyDescent="0.65"/>
    <row r="2173" ht="12" customHeight="1" x14ac:dyDescent="0.65"/>
    <row r="2174" ht="12" customHeight="1" x14ac:dyDescent="0.65"/>
    <row r="2175" ht="12" customHeight="1" x14ac:dyDescent="0.65"/>
    <row r="2176" ht="12" customHeight="1" x14ac:dyDescent="0.65"/>
    <row r="2177" ht="12" customHeight="1" x14ac:dyDescent="0.65"/>
    <row r="2178" ht="12" customHeight="1" x14ac:dyDescent="0.65"/>
    <row r="2179" ht="12" customHeight="1" x14ac:dyDescent="0.65"/>
    <row r="2180" ht="12" customHeight="1" x14ac:dyDescent="0.65"/>
    <row r="2181" ht="12" customHeight="1" x14ac:dyDescent="0.65"/>
    <row r="2182" ht="12" customHeight="1" x14ac:dyDescent="0.65"/>
    <row r="2183" ht="12" customHeight="1" x14ac:dyDescent="0.65"/>
    <row r="2184" ht="12" customHeight="1" x14ac:dyDescent="0.65"/>
    <row r="2185" ht="12" customHeight="1" x14ac:dyDescent="0.65"/>
    <row r="2186" ht="12" customHeight="1" x14ac:dyDescent="0.65"/>
    <row r="2187" ht="12" customHeight="1" x14ac:dyDescent="0.65"/>
    <row r="2188" ht="12" customHeight="1" x14ac:dyDescent="0.65"/>
    <row r="2189" ht="12" customHeight="1" x14ac:dyDescent="0.65"/>
    <row r="2190" ht="12" customHeight="1" x14ac:dyDescent="0.65"/>
    <row r="2191" ht="12" customHeight="1" x14ac:dyDescent="0.65"/>
    <row r="2192" ht="12" customHeight="1" x14ac:dyDescent="0.65"/>
    <row r="2193" ht="12" customHeight="1" x14ac:dyDescent="0.65"/>
    <row r="2194" ht="12" customHeight="1" x14ac:dyDescent="0.65"/>
    <row r="2195" ht="12" customHeight="1" x14ac:dyDescent="0.65"/>
    <row r="2196" ht="12" customHeight="1" x14ac:dyDescent="0.65"/>
    <row r="2197" ht="12" customHeight="1" x14ac:dyDescent="0.65"/>
    <row r="2198" ht="12" customHeight="1" x14ac:dyDescent="0.65"/>
    <row r="2199" ht="12" customHeight="1" x14ac:dyDescent="0.65"/>
    <row r="2200" ht="12" customHeight="1" x14ac:dyDescent="0.65"/>
    <row r="2201" ht="12" customHeight="1" x14ac:dyDescent="0.65"/>
    <row r="2202" ht="12" customHeight="1" x14ac:dyDescent="0.65"/>
    <row r="2203" ht="12" customHeight="1" x14ac:dyDescent="0.65"/>
    <row r="2204" ht="12" customHeight="1" x14ac:dyDescent="0.65"/>
    <row r="2205" ht="12" customHeight="1" x14ac:dyDescent="0.65"/>
    <row r="2218" ht="12" customHeight="1" x14ac:dyDescent="0.65"/>
    <row r="2226" ht="12" customHeight="1" x14ac:dyDescent="0.65"/>
    <row r="2234" ht="12" customHeight="1" x14ac:dyDescent="0.65"/>
    <row r="2240" ht="12" customHeight="1" x14ac:dyDescent="0.65"/>
    <row r="2244" spans="2:32" ht="15" customHeight="1" x14ac:dyDescent="0.65">
      <c r="B2244" s="293"/>
      <c r="C2244" s="293"/>
      <c r="D2244" s="293"/>
      <c r="E2244" s="293"/>
      <c r="F2244" s="293"/>
      <c r="G2244" s="293"/>
      <c r="H2244" s="293"/>
      <c r="I2244" s="293"/>
      <c r="J2244" s="293"/>
      <c r="K2244" s="293"/>
      <c r="L2244" s="293"/>
      <c r="M2244" s="293"/>
      <c r="N2244" s="293"/>
      <c r="O2244" s="293"/>
      <c r="P2244" s="293"/>
      <c r="Q2244" s="293"/>
      <c r="R2244" s="293"/>
      <c r="S2244" s="293"/>
      <c r="T2244" s="293"/>
      <c r="U2244" s="293"/>
      <c r="V2244" s="293"/>
      <c r="W2244" s="293"/>
      <c r="X2244" s="293"/>
      <c r="Y2244" s="293"/>
      <c r="Z2244" s="293"/>
      <c r="AA2244" s="293"/>
      <c r="AB2244" s="293"/>
      <c r="AC2244" s="293"/>
      <c r="AD2244" s="293"/>
      <c r="AE2244" s="293"/>
      <c r="AF2244" s="293"/>
    </row>
    <row r="2249" spans="2:32" ht="12" customHeight="1" x14ac:dyDescent="0.65"/>
    <row r="2250" spans="2:32" ht="12" customHeight="1" x14ac:dyDescent="0.65"/>
    <row r="2251" spans="2:32" ht="12" customHeight="1" x14ac:dyDescent="0.65"/>
    <row r="2252" spans="2:32" ht="12" customHeight="1" x14ac:dyDescent="0.65"/>
    <row r="2253" spans="2:32" ht="12" customHeight="1" x14ac:dyDescent="0.65"/>
    <row r="2254" spans="2:32" ht="12" customHeight="1" x14ac:dyDescent="0.65"/>
    <row r="2255" spans="2:32" ht="12" customHeight="1" x14ac:dyDescent="0.65"/>
    <row r="2256" spans="2:32" ht="12" customHeight="1" x14ac:dyDescent="0.65"/>
    <row r="2257" ht="12" customHeight="1" x14ac:dyDescent="0.65"/>
    <row r="2258" ht="12" customHeight="1" x14ac:dyDescent="0.65"/>
    <row r="2259" ht="12" customHeight="1" x14ac:dyDescent="0.65"/>
    <row r="2260" ht="12" customHeight="1" x14ac:dyDescent="0.65"/>
    <row r="2261" ht="12" customHeight="1" x14ac:dyDescent="0.65"/>
    <row r="2262" ht="12" customHeight="1" x14ac:dyDescent="0.65"/>
    <row r="2263" ht="12" customHeight="1" x14ac:dyDescent="0.65"/>
    <row r="2264" ht="12" customHeight="1" x14ac:dyDescent="0.65"/>
    <row r="2265" ht="12" customHeight="1" x14ac:dyDescent="0.65"/>
    <row r="2266" ht="12" customHeight="1" x14ac:dyDescent="0.65"/>
    <row r="2267" ht="12" customHeight="1" x14ac:dyDescent="0.65"/>
    <row r="2268" ht="12" customHeight="1" x14ac:dyDescent="0.65"/>
    <row r="2269" ht="12" customHeight="1" x14ac:dyDescent="0.65"/>
    <row r="2270" ht="12" customHeight="1" x14ac:dyDescent="0.65"/>
    <row r="2271" ht="12" customHeight="1" x14ac:dyDescent="0.65"/>
    <row r="2272" ht="12" customHeight="1" x14ac:dyDescent="0.65"/>
    <row r="2273" ht="12" customHeight="1" x14ac:dyDescent="0.65"/>
    <row r="2274" ht="12" customHeight="1" x14ac:dyDescent="0.65"/>
    <row r="2275" ht="12" customHeight="1" x14ac:dyDescent="0.65"/>
    <row r="2276" ht="12" customHeight="1" x14ac:dyDescent="0.65"/>
    <row r="2277" ht="12" customHeight="1" x14ac:dyDescent="0.65"/>
    <row r="2278" ht="12" customHeight="1" x14ac:dyDescent="0.65"/>
    <row r="2279" ht="12" customHeight="1" x14ac:dyDescent="0.65"/>
    <row r="2280" ht="12" customHeight="1" x14ac:dyDescent="0.65"/>
    <row r="2281" ht="12" customHeight="1" x14ac:dyDescent="0.65"/>
    <row r="2282" ht="12" customHeight="1" x14ac:dyDescent="0.65"/>
    <row r="2283" ht="12" customHeight="1" x14ac:dyDescent="0.65"/>
    <row r="2284" ht="12" customHeight="1" x14ac:dyDescent="0.65"/>
    <row r="2285" ht="12" customHeight="1" x14ac:dyDescent="0.65"/>
    <row r="2286" ht="12" customHeight="1" x14ac:dyDescent="0.65"/>
    <row r="2287" ht="12" customHeight="1" x14ac:dyDescent="0.65"/>
    <row r="2288" ht="12" customHeight="1" x14ac:dyDescent="0.65"/>
    <row r="2289" ht="12" customHeight="1" x14ac:dyDescent="0.65"/>
    <row r="2290" ht="12" customHeight="1" x14ac:dyDescent="0.65"/>
    <row r="2291" ht="12" customHeight="1" x14ac:dyDescent="0.65"/>
    <row r="2292" ht="12" customHeight="1" x14ac:dyDescent="0.65"/>
    <row r="2293" ht="12" customHeight="1" x14ac:dyDescent="0.65"/>
    <row r="2294" ht="12" customHeight="1" x14ac:dyDescent="0.65"/>
    <row r="2295" ht="12" customHeight="1" x14ac:dyDescent="0.65"/>
    <row r="2296" ht="12" customHeight="1" x14ac:dyDescent="0.65"/>
    <row r="2297" ht="12" customHeight="1" x14ac:dyDescent="0.65"/>
    <row r="2298" ht="12" customHeight="1" x14ac:dyDescent="0.65"/>
    <row r="2299" ht="12" customHeight="1" x14ac:dyDescent="0.65"/>
    <row r="2300" ht="12" customHeight="1" x14ac:dyDescent="0.65"/>
    <row r="2301" ht="12" customHeight="1" x14ac:dyDescent="0.65"/>
    <row r="2302" ht="12" customHeight="1" x14ac:dyDescent="0.65"/>
    <row r="2303" ht="12" customHeight="1" x14ac:dyDescent="0.65"/>
    <row r="2304" ht="12" customHeight="1" x14ac:dyDescent="0.65"/>
    <row r="2305" ht="12" customHeight="1" x14ac:dyDescent="0.65"/>
    <row r="2318" ht="12" customHeight="1" x14ac:dyDescent="0.65"/>
    <row r="2326" ht="12" customHeight="1" x14ac:dyDescent="0.65"/>
    <row r="2334" ht="12" customHeight="1" x14ac:dyDescent="0.65"/>
    <row r="2340" spans="2:32" ht="12" customHeight="1" x14ac:dyDescent="0.65"/>
    <row r="2344" spans="2:32" ht="15" customHeight="1" x14ac:dyDescent="0.65">
      <c r="B2344" s="293"/>
      <c r="C2344" s="293"/>
      <c r="D2344" s="293"/>
      <c r="E2344" s="293"/>
      <c r="F2344" s="293"/>
      <c r="G2344" s="293"/>
      <c r="H2344" s="293"/>
      <c r="I2344" s="293"/>
      <c r="J2344" s="293"/>
      <c r="K2344" s="293"/>
      <c r="L2344" s="293"/>
      <c r="M2344" s="293"/>
      <c r="N2344" s="293"/>
      <c r="O2344" s="293"/>
      <c r="P2344" s="293"/>
      <c r="Q2344" s="293"/>
      <c r="R2344" s="293"/>
      <c r="S2344" s="293"/>
      <c r="T2344" s="293"/>
      <c r="U2344" s="293"/>
      <c r="V2344" s="293"/>
      <c r="W2344" s="293"/>
      <c r="X2344" s="293"/>
      <c r="Y2344" s="293"/>
      <c r="Z2344" s="293"/>
      <c r="AA2344" s="293"/>
      <c r="AB2344" s="293"/>
      <c r="AC2344" s="293"/>
      <c r="AD2344" s="293"/>
      <c r="AE2344" s="293"/>
      <c r="AF2344" s="293"/>
    </row>
  </sheetData>
  <mergeCells count="22">
    <mergeCell ref="B2244:AF2244"/>
    <mergeCell ref="B2344:AF2344"/>
    <mergeCell ref="B1544:AF1544"/>
    <mergeCell ref="B1644:AF1644"/>
    <mergeCell ref="B1744:AF1744"/>
    <mergeCell ref="B1844:AF1844"/>
    <mergeCell ref="B1944:AF1944"/>
    <mergeCell ref="B2044:AF2044"/>
    <mergeCell ref="B2144:AF2144"/>
    <mergeCell ref="B78:AF78"/>
    <mergeCell ref="B1426:AF1426"/>
    <mergeCell ref="B88:AF88"/>
    <mergeCell ref="B214:AF214"/>
    <mergeCell ref="B383:AF383"/>
    <mergeCell ref="B500:AF500"/>
    <mergeCell ref="B652:AF652"/>
    <mergeCell ref="B752:AF752"/>
    <mergeCell ref="B843:AF843"/>
    <mergeCell ref="B914:AF914"/>
    <mergeCell ref="B1009:AF1009"/>
    <mergeCell ref="B1159:AF1159"/>
    <mergeCell ref="B1331:AF1331"/>
  </mergeCells>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X163"/>
  <sheetViews>
    <sheetView topLeftCell="A96" zoomScale="80" zoomScaleNormal="80" workbookViewId="0">
      <selection activeCell="A126" sqref="A126"/>
    </sheetView>
  </sheetViews>
  <sheetFormatPr defaultColWidth="9.1328125" defaultRowHeight="14.75" x14ac:dyDescent="0.75"/>
  <cols>
    <col min="1" max="1" width="33.1328125" customWidth="1"/>
    <col min="2" max="2" width="13.40625" bestFit="1" customWidth="1"/>
    <col min="3" max="3" width="11.40625" customWidth="1"/>
    <col min="4" max="4" width="12.86328125" bestFit="1" customWidth="1"/>
    <col min="5" max="5" width="10.40625" bestFit="1" customWidth="1"/>
    <col min="6" max="6" width="15.26953125" customWidth="1"/>
    <col min="7" max="7" width="13.40625" customWidth="1"/>
    <col min="8" max="8" width="12.7265625" bestFit="1" customWidth="1"/>
    <col min="9" max="9" width="9.7265625" bestFit="1" customWidth="1"/>
    <col min="11" max="11" width="10.40625" customWidth="1"/>
    <col min="12" max="12" width="12.40625" bestFit="1" customWidth="1"/>
    <col min="15" max="15" width="12.86328125" bestFit="1" customWidth="1"/>
    <col min="19" max="19" width="10.40625" customWidth="1"/>
    <col min="23" max="23" width="10.7265625" customWidth="1"/>
  </cols>
  <sheetData>
    <row r="1" spans="1:23" ht="15.75" x14ac:dyDescent="0.75">
      <c r="A1" s="36" t="s">
        <v>763</v>
      </c>
    </row>
    <row r="2" spans="1:23" x14ac:dyDescent="0.75">
      <c r="A2" s="37" t="s">
        <v>764</v>
      </c>
    </row>
    <row r="3" spans="1:23" ht="12.75" customHeight="1" x14ac:dyDescent="0.75">
      <c r="A3" s="38" t="s">
        <v>765</v>
      </c>
      <c r="B3" s="39" t="s">
        <v>766</v>
      </c>
      <c r="C3" s="40"/>
      <c r="D3" s="40"/>
      <c r="E3" s="41" t="s">
        <v>767</v>
      </c>
      <c r="F3" s="41" t="s">
        <v>768</v>
      </c>
      <c r="G3" s="41" t="s">
        <v>769</v>
      </c>
      <c r="H3" s="41" t="s">
        <v>769</v>
      </c>
      <c r="I3" s="42"/>
    </row>
    <row r="4" spans="1:23" ht="26.75" x14ac:dyDescent="0.75">
      <c r="A4" s="43"/>
      <c r="B4" s="44" t="s">
        <v>770</v>
      </c>
      <c r="C4" s="45" t="s">
        <v>771</v>
      </c>
      <c r="D4" s="45" t="s">
        <v>772</v>
      </c>
      <c r="E4" s="45"/>
      <c r="F4" s="45" t="s">
        <v>773</v>
      </c>
      <c r="G4" s="45" t="s">
        <v>774</v>
      </c>
      <c r="H4" s="46" t="s">
        <v>775</v>
      </c>
      <c r="I4" s="47" t="s">
        <v>776</v>
      </c>
    </row>
    <row r="5" spans="1:23" x14ac:dyDescent="0.75">
      <c r="A5" s="48" t="s">
        <v>777</v>
      </c>
      <c r="B5" s="49">
        <v>1</v>
      </c>
      <c r="C5" s="50" t="s">
        <v>778</v>
      </c>
      <c r="D5" s="50"/>
      <c r="E5" s="51"/>
      <c r="F5" s="51"/>
      <c r="G5" s="51"/>
      <c r="H5" s="51"/>
      <c r="I5" s="52"/>
    </row>
    <row r="6" spans="1:23" x14ac:dyDescent="0.75">
      <c r="A6" s="53" t="s">
        <v>779</v>
      </c>
      <c r="B6" s="54" t="s">
        <v>780</v>
      </c>
      <c r="C6" s="55" t="s">
        <v>780</v>
      </c>
      <c r="D6" s="55" t="s">
        <v>780</v>
      </c>
      <c r="E6" s="55" t="s">
        <v>781</v>
      </c>
      <c r="F6" s="56"/>
      <c r="G6" s="56"/>
      <c r="H6" s="56"/>
      <c r="I6" s="57"/>
    </row>
    <row r="7" spans="1:23" x14ac:dyDescent="0.75">
      <c r="A7" s="58" t="s">
        <v>782</v>
      </c>
      <c r="B7" s="59">
        <v>129670</v>
      </c>
      <c r="C7" s="60">
        <v>129670</v>
      </c>
      <c r="D7" s="60">
        <v>138350</v>
      </c>
      <c r="E7" s="60">
        <v>3205</v>
      </c>
      <c r="F7" s="61">
        <v>0.85299999999999998</v>
      </c>
      <c r="G7" s="62">
        <v>16000</v>
      </c>
      <c r="H7" s="63">
        <v>1.6E-2</v>
      </c>
      <c r="I7" s="64">
        <v>0.93726057101554028</v>
      </c>
    </row>
    <row r="8" spans="1:23" x14ac:dyDescent="0.75">
      <c r="A8" s="58" t="s">
        <v>783</v>
      </c>
      <c r="B8" s="59">
        <v>135084.91292306196</v>
      </c>
      <c r="C8" s="65">
        <v>135084.91292306196</v>
      </c>
      <c r="D8" s="65">
        <v>144475.84269846199</v>
      </c>
      <c r="E8" s="65">
        <v>3266</v>
      </c>
      <c r="F8" s="66">
        <v>0.85562068501529054</v>
      </c>
      <c r="G8" s="62">
        <v>1800</v>
      </c>
      <c r="H8" s="63">
        <v>1.8E-3</v>
      </c>
      <c r="I8" s="64">
        <v>0.93500000000000005</v>
      </c>
    </row>
    <row r="9" spans="1:23" x14ac:dyDescent="0.75">
      <c r="A9" s="58" t="s">
        <v>784</v>
      </c>
      <c r="B9" s="59">
        <v>152370.90134048002</v>
      </c>
      <c r="C9" s="65">
        <v>152370.90134048002</v>
      </c>
      <c r="D9" s="65">
        <v>162963.53084543315</v>
      </c>
      <c r="E9" s="65">
        <v>3839.6821254480283</v>
      </c>
      <c r="F9" s="66">
        <v>0.83</v>
      </c>
      <c r="G9" s="62">
        <v>48000</v>
      </c>
      <c r="H9" s="63">
        <v>4.8000000000000001E-2</v>
      </c>
      <c r="I9" s="64">
        <v>0.93500000000000016</v>
      </c>
    </row>
    <row r="10" spans="1:23" x14ac:dyDescent="0.75">
      <c r="A10" s="58" t="s">
        <v>785</v>
      </c>
      <c r="B10" s="59">
        <v>152370.90134048002</v>
      </c>
      <c r="C10" s="67">
        <v>152370.90134048002</v>
      </c>
      <c r="D10" s="67">
        <v>162963.53084543315</v>
      </c>
      <c r="E10" s="67">
        <v>3839.6821254480283</v>
      </c>
      <c r="F10" s="68">
        <v>0.83</v>
      </c>
      <c r="G10" s="67">
        <v>48000</v>
      </c>
      <c r="H10" s="63">
        <v>4.8000000000000001E-2</v>
      </c>
      <c r="I10" s="64">
        <v>0.93500000000000016</v>
      </c>
    </row>
    <row r="11" spans="1:23" x14ac:dyDescent="0.75">
      <c r="A11" s="58" t="s">
        <v>786</v>
      </c>
      <c r="B11" s="59">
        <v>145194.18901496602</v>
      </c>
      <c r="C11" s="67">
        <v>145194.18901496602</v>
      </c>
      <c r="D11" s="67">
        <v>155287.90268980322</v>
      </c>
      <c r="E11" s="67">
        <v>3500.47748781362</v>
      </c>
      <c r="F11" s="68">
        <v>0.83245885654014951</v>
      </c>
      <c r="G11" s="67">
        <v>37227.389654331695</v>
      </c>
      <c r="H11" s="63">
        <v>3.7227389654331693E-2</v>
      </c>
      <c r="I11" s="64">
        <v>0.93500000000000005</v>
      </c>
      <c r="L11" s="67"/>
      <c r="M11" s="67"/>
      <c r="N11" s="67"/>
      <c r="O11" s="67"/>
      <c r="P11" s="68"/>
      <c r="Q11" s="67"/>
      <c r="R11" s="63"/>
      <c r="S11" s="69"/>
    </row>
    <row r="12" spans="1:23" x14ac:dyDescent="0.75">
      <c r="A12" s="58" t="s">
        <v>787</v>
      </c>
      <c r="B12" s="59">
        <v>128448.52692210001</v>
      </c>
      <c r="C12" s="65">
        <v>128448.52692210001</v>
      </c>
      <c r="D12" s="65">
        <v>137378.10365999999</v>
      </c>
      <c r="E12" s="65">
        <v>2709</v>
      </c>
      <c r="F12" s="66">
        <v>0.84059083544303792</v>
      </c>
      <c r="G12" s="62">
        <v>1600</v>
      </c>
      <c r="H12" s="63">
        <v>1.6000000000000001E-3</v>
      </c>
      <c r="I12" s="64">
        <v>0.93500000000000005</v>
      </c>
    </row>
    <row r="13" spans="1:23" x14ac:dyDescent="0.75">
      <c r="A13" t="s">
        <v>788</v>
      </c>
      <c r="B13" s="59">
        <v>125600.90733399388</v>
      </c>
      <c r="C13" s="70">
        <v>125600.90733399388</v>
      </c>
      <c r="D13" s="70">
        <v>134008.52571649614</v>
      </c>
      <c r="E13" s="71">
        <v>3087.2372132564833</v>
      </c>
      <c r="F13" s="72">
        <v>0.85299999999999998</v>
      </c>
      <c r="G13" s="72">
        <v>16000</v>
      </c>
      <c r="H13" s="63">
        <v>1.6E-2</v>
      </c>
      <c r="I13" s="64">
        <v>0.93726057101554028</v>
      </c>
    </row>
    <row r="14" spans="1:23" x14ac:dyDescent="0.75">
      <c r="A14" t="s">
        <v>789</v>
      </c>
      <c r="B14" s="59">
        <v>122492.60888766299</v>
      </c>
      <c r="C14" s="70">
        <v>122492.60888766299</v>
      </c>
      <c r="D14" s="70">
        <v>130692.16040416578</v>
      </c>
      <c r="E14" s="71">
        <v>2984.0426545960995</v>
      </c>
      <c r="F14" s="72">
        <v>0.85299999999999998</v>
      </c>
      <c r="G14" s="72">
        <v>16000</v>
      </c>
      <c r="H14" s="63">
        <v>1.6E-2</v>
      </c>
      <c r="I14" s="64">
        <v>0.93726057101554017</v>
      </c>
    </row>
    <row r="15" spans="1:23" x14ac:dyDescent="0.75">
      <c r="A15" s="58" t="s">
        <v>790</v>
      </c>
      <c r="B15" s="59">
        <v>116090</v>
      </c>
      <c r="C15" s="60">
        <v>116090</v>
      </c>
      <c r="D15" s="60">
        <v>124340</v>
      </c>
      <c r="E15" s="60">
        <v>2819</v>
      </c>
      <c r="F15" s="61">
        <v>0.86299999999999999</v>
      </c>
      <c r="G15" s="67">
        <v>10</v>
      </c>
      <c r="H15" s="63">
        <v>1.0000000000000001E-5</v>
      </c>
      <c r="I15" s="64">
        <v>0.93364967025896739</v>
      </c>
      <c r="P15" s="73"/>
      <c r="Q15" s="73"/>
      <c r="R15" s="73"/>
      <c r="S15" s="73"/>
      <c r="T15" s="73"/>
      <c r="U15" s="73"/>
      <c r="V15" s="28"/>
      <c r="W15" s="70"/>
    </row>
    <row r="16" spans="1:23" x14ac:dyDescent="0.75">
      <c r="A16" s="58" t="s">
        <v>791</v>
      </c>
      <c r="B16" s="59">
        <v>112193.52</v>
      </c>
      <c r="C16" s="67">
        <v>112193.52</v>
      </c>
      <c r="D16" s="67">
        <v>120438.62000000001</v>
      </c>
      <c r="E16" s="67">
        <v>2835.5620000000004</v>
      </c>
      <c r="F16" s="68">
        <v>0.82778546968819577</v>
      </c>
      <c r="G16" s="74">
        <v>9.0261788360871336</v>
      </c>
      <c r="H16" s="63">
        <v>9.0261788360871334E-6</v>
      </c>
      <c r="I16" s="64">
        <v>0.931541062160958</v>
      </c>
      <c r="S16" s="73"/>
      <c r="T16" s="73"/>
      <c r="U16" s="73"/>
      <c r="V16" s="28"/>
      <c r="W16" s="70"/>
    </row>
    <row r="17" spans="1:23" x14ac:dyDescent="0.75">
      <c r="A17" s="58" t="s">
        <v>792</v>
      </c>
      <c r="B17" s="59">
        <v>112193.52</v>
      </c>
      <c r="C17" s="67">
        <v>112193.52</v>
      </c>
      <c r="D17" s="67">
        <v>120438.62000000001</v>
      </c>
      <c r="E17" s="67">
        <v>2835.5620000000004</v>
      </c>
      <c r="F17" s="68">
        <v>0.82778546968819577</v>
      </c>
      <c r="G17" s="74">
        <v>9.0261788360871336</v>
      </c>
      <c r="H17" s="63">
        <v>9.0261788360871334E-6</v>
      </c>
      <c r="I17" s="64">
        <v>0.931541062160958</v>
      </c>
      <c r="P17" s="73"/>
      <c r="Q17" s="73"/>
      <c r="R17" s="73"/>
      <c r="S17" s="73"/>
      <c r="T17" s="73"/>
      <c r="U17" s="73"/>
      <c r="V17" s="28"/>
      <c r="W17" s="70"/>
    </row>
    <row r="18" spans="1:23" x14ac:dyDescent="0.75">
      <c r="A18" s="58" t="s">
        <v>793</v>
      </c>
      <c r="B18" s="59">
        <v>106150</v>
      </c>
      <c r="C18" s="67">
        <v>106150</v>
      </c>
      <c r="D18" s="67">
        <v>114387.5</v>
      </c>
      <c r="E18" s="67">
        <v>2861.25</v>
      </c>
      <c r="F18" s="68">
        <v>0.77774999999999994</v>
      </c>
      <c r="G18" s="74">
        <v>7.642500028014183</v>
      </c>
      <c r="H18" s="63">
        <v>7.6425000280141833E-6</v>
      </c>
      <c r="I18" s="64">
        <v>0.92798601245765489</v>
      </c>
      <c r="S18" s="73"/>
      <c r="T18" s="73"/>
      <c r="U18" s="73"/>
      <c r="V18" s="28"/>
      <c r="W18" s="70"/>
    </row>
    <row r="19" spans="1:23" x14ac:dyDescent="0.75">
      <c r="A19" s="58" t="s">
        <v>794</v>
      </c>
      <c r="B19" s="59">
        <v>100186</v>
      </c>
      <c r="C19" s="67">
        <v>100186</v>
      </c>
      <c r="D19" s="67">
        <v>108416</v>
      </c>
      <c r="E19" s="67">
        <v>2886.6</v>
      </c>
      <c r="F19" s="68">
        <v>0.72659999999999991</v>
      </c>
      <c r="G19" s="74">
        <v>6.2280000448226929</v>
      </c>
      <c r="H19" s="63">
        <v>6.2280000448226927E-6</v>
      </c>
      <c r="I19" s="64">
        <v>0.92408869539551353</v>
      </c>
      <c r="J19" s="73"/>
      <c r="K19" s="73"/>
      <c r="L19" s="73"/>
      <c r="M19" s="28"/>
      <c r="N19" s="70"/>
    </row>
    <row r="20" spans="1:23" x14ac:dyDescent="0.75">
      <c r="A20" s="58" t="s">
        <v>795</v>
      </c>
      <c r="B20" s="59">
        <v>128450</v>
      </c>
      <c r="C20" s="60">
        <v>128450</v>
      </c>
      <c r="D20" s="60">
        <v>137380</v>
      </c>
      <c r="E20" s="60">
        <v>3167</v>
      </c>
      <c r="F20" s="61">
        <v>0.86499999999999999</v>
      </c>
      <c r="G20" s="67">
        <v>200</v>
      </c>
      <c r="H20" s="63">
        <v>2.0000000000000001E-4</v>
      </c>
      <c r="I20" s="64">
        <v>0.93499781627602274</v>
      </c>
      <c r="W20" s="70"/>
    </row>
    <row r="21" spans="1:23" x14ac:dyDescent="0.75">
      <c r="A21" s="75" t="s">
        <v>796</v>
      </c>
      <c r="B21" s="59">
        <v>129487.84757606639</v>
      </c>
      <c r="C21" s="67">
        <v>129487.84757606639</v>
      </c>
      <c r="D21" s="67">
        <v>138490</v>
      </c>
      <c r="E21" s="67">
        <v>3206</v>
      </c>
      <c r="F21" s="76">
        <v>0.871</v>
      </c>
      <c r="G21" s="67">
        <v>11</v>
      </c>
      <c r="H21" s="63">
        <v>1.1E-5</v>
      </c>
      <c r="I21" s="64"/>
    </row>
    <row r="22" spans="1:23" x14ac:dyDescent="0.75">
      <c r="A22" s="58" t="s">
        <v>797</v>
      </c>
      <c r="B22" s="59">
        <v>128450</v>
      </c>
      <c r="C22" s="67">
        <v>128450</v>
      </c>
      <c r="D22" s="67">
        <v>137380</v>
      </c>
      <c r="E22" s="67">
        <v>3167</v>
      </c>
      <c r="F22" s="68">
        <v>0.86499999999999999</v>
      </c>
      <c r="G22" s="67">
        <v>11</v>
      </c>
      <c r="H22" s="63">
        <v>1.1E-5</v>
      </c>
      <c r="I22" s="64">
        <v>0.93499781627602274</v>
      </c>
    </row>
    <row r="23" spans="1:23" x14ac:dyDescent="0.75">
      <c r="A23" s="58" t="s">
        <v>798</v>
      </c>
      <c r="B23" s="59">
        <v>129487.84757606639</v>
      </c>
      <c r="C23" s="67">
        <v>129487.84757606639</v>
      </c>
      <c r="D23" s="60">
        <v>138490</v>
      </c>
      <c r="E23" s="60">
        <v>3206</v>
      </c>
      <c r="F23" s="61">
        <v>0.871</v>
      </c>
      <c r="G23" s="62">
        <v>11</v>
      </c>
      <c r="H23" s="63">
        <v>1.1E-5</v>
      </c>
      <c r="I23" s="64">
        <v>0.93499781627602274</v>
      </c>
    </row>
    <row r="24" spans="1:23" x14ac:dyDescent="0.75">
      <c r="A24" s="58" t="s">
        <v>799</v>
      </c>
      <c r="B24" s="59">
        <v>116920</v>
      </c>
      <c r="C24" s="60">
        <v>116920</v>
      </c>
      <c r="D24" s="60">
        <v>125080</v>
      </c>
      <c r="E24" s="60">
        <v>2745</v>
      </c>
      <c r="F24" s="61">
        <v>0.85</v>
      </c>
      <c r="G24" s="62">
        <v>1</v>
      </c>
      <c r="H24" s="63">
        <v>9.9999999999999995E-7</v>
      </c>
      <c r="I24" s="64">
        <v>0.93476175247841387</v>
      </c>
    </row>
    <row r="25" spans="1:23" x14ac:dyDescent="0.75">
      <c r="A25" s="58" t="s">
        <v>800</v>
      </c>
      <c r="B25" s="59">
        <v>118237.434842673</v>
      </c>
      <c r="C25" s="67">
        <v>118237.434842673</v>
      </c>
      <c r="D25" s="67">
        <v>126586.157141156</v>
      </c>
      <c r="E25" s="67">
        <v>2833.8569764657</v>
      </c>
      <c r="F25" s="68">
        <v>0.85315638757897505</v>
      </c>
      <c r="G25" s="67">
        <v>10</v>
      </c>
      <c r="H25" s="63">
        <v>1.0000000000000001E-5</v>
      </c>
      <c r="I25" s="64">
        <v>0.93404711473172097</v>
      </c>
    </row>
    <row r="26" spans="1:23" x14ac:dyDescent="0.75">
      <c r="A26" s="58" t="s">
        <v>801</v>
      </c>
      <c r="B26" s="59">
        <v>124307.03423937227</v>
      </c>
      <c r="C26" s="67">
        <v>124307.03423937227</v>
      </c>
      <c r="D26" s="67">
        <v>132948.69438683367</v>
      </c>
      <c r="E26" s="67">
        <v>3035.8996219999995</v>
      </c>
      <c r="F26" s="68">
        <v>0.86199999999999999</v>
      </c>
      <c r="G26" s="67">
        <v>700</v>
      </c>
      <c r="H26" s="63">
        <v>6.9999999999999999E-4</v>
      </c>
      <c r="I26" s="64">
        <v>0.93500003751584637</v>
      </c>
    </row>
    <row r="27" spans="1:23" x14ac:dyDescent="0.75">
      <c r="A27" s="58" t="s">
        <v>802</v>
      </c>
      <c r="B27" s="59">
        <v>123041.23110601204</v>
      </c>
      <c r="C27" s="60">
        <v>123041.23110601204</v>
      </c>
      <c r="D27" s="60">
        <v>131594.89429852215</v>
      </c>
      <c r="E27" s="77">
        <v>2998.0455119999997</v>
      </c>
      <c r="F27" s="61">
        <v>0.86</v>
      </c>
      <c r="G27" s="62">
        <v>11</v>
      </c>
      <c r="H27" s="63">
        <v>1.1E-5</v>
      </c>
      <c r="I27" s="64">
        <v>0.93500003751584626</v>
      </c>
    </row>
    <row r="28" spans="1:23" x14ac:dyDescent="0.75">
      <c r="A28" s="58" t="s">
        <v>803</v>
      </c>
      <c r="B28" s="59">
        <v>111520</v>
      </c>
      <c r="C28" s="67">
        <v>111520</v>
      </c>
      <c r="D28" s="60">
        <v>119740</v>
      </c>
      <c r="E28" s="60">
        <v>2651</v>
      </c>
      <c r="F28" s="61">
        <v>0.84199999999999997</v>
      </c>
      <c r="G28" s="62">
        <v>0</v>
      </c>
      <c r="H28" s="63">
        <v>0</v>
      </c>
      <c r="I28" s="64">
        <v>0.93135126106564226</v>
      </c>
    </row>
    <row r="29" spans="1:23" x14ac:dyDescent="0.75">
      <c r="A29" s="58" t="s">
        <v>804</v>
      </c>
      <c r="B29" s="59">
        <v>140352.52220119376</v>
      </c>
      <c r="C29" s="67">
        <v>140352.52220119376</v>
      </c>
      <c r="D29" s="67">
        <v>150110</v>
      </c>
      <c r="E29" s="67">
        <v>3752</v>
      </c>
      <c r="F29" s="68">
        <v>0.86799999999999999</v>
      </c>
      <c r="G29" s="62">
        <v>5000</v>
      </c>
      <c r="H29" s="63">
        <v>5.0000000000000001E-3</v>
      </c>
      <c r="I29" s="64">
        <v>0.93499781627602263</v>
      </c>
    </row>
    <row r="30" spans="1:23" x14ac:dyDescent="0.75">
      <c r="A30" s="58" t="s">
        <v>805</v>
      </c>
      <c r="B30" s="59">
        <v>140352.52220119376</v>
      </c>
      <c r="C30" s="60">
        <v>140352.52220119376</v>
      </c>
      <c r="D30" s="60">
        <v>150110</v>
      </c>
      <c r="E30" s="60">
        <v>3752</v>
      </c>
      <c r="F30" s="78">
        <v>0.86799999999999999</v>
      </c>
      <c r="G30" s="62">
        <v>27000</v>
      </c>
      <c r="H30" s="63">
        <v>2.7E-2</v>
      </c>
      <c r="I30" s="64">
        <v>0.93499781627602263</v>
      </c>
    </row>
    <row r="31" spans="1:23" x14ac:dyDescent="0.75">
      <c r="A31" s="58" t="s">
        <v>806</v>
      </c>
      <c r="B31" s="59">
        <v>57250</v>
      </c>
      <c r="C31" s="60">
        <v>57250</v>
      </c>
      <c r="D31" s="60">
        <v>65200</v>
      </c>
      <c r="E31" s="60">
        <v>3006</v>
      </c>
      <c r="F31" s="78">
        <v>0.375</v>
      </c>
      <c r="G31" s="67">
        <v>0</v>
      </c>
      <c r="H31" s="63">
        <v>0</v>
      </c>
      <c r="I31" s="64">
        <v>0.87806748466257667</v>
      </c>
    </row>
    <row r="32" spans="1:23" x14ac:dyDescent="0.75">
      <c r="A32" s="58" t="s">
        <v>807</v>
      </c>
      <c r="B32" s="59">
        <v>76330</v>
      </c>
      <c r="C32" s="79">
        <v>76330</v>
      </c>
      <c r="D32" s="77">
        <v>84530</v>
      </c>
      <c r="E32" s="79">
        <v>2988</v>
      </c>
      <c r="F32" s="80">
        <v>0.52200000000000002</v>
      </c>
      <c r="G32" s="70">
        <v>0.57000011205673218</v>
      </c>
      <c r="H32" s="63">
        <v>5.7000011205673218E-7</v>
      </c>
      <c r="I32" s="64">
        <v>0.90299302022950434</v>
      </c>
    </row>
    <row r="33" spans="1:9" x14ac:dyDescent="0.75">
      <c r="A33" s="58" t="s">
        <v>808</v>
      </c>
      <c r="B33" s="59">
        <v>99837</v>
      </c>
      <c r="C33" s="79">
        <v>99837</v>
      </c>
      <c r="D33" s="77">
        <v>108458</v>
      </c>
      <c r="E33" s="79">
        <v>3065</v>
      </c>
      <c r="F33" s="80">
        <v>0.64859999999999995</v>
      </c>
      <c r="G33" s="70">
        <v>0</v>
      </c>
      <c r="H33" s="63">
        <v>0</v>
      </c>
      <c r="I33" s="64">
        <v>0.92051300964428628</v>
      </c>
    </row>
    <row r="34" spans="1:9" x14ac:dyDescent="0.75">
      <c r="A34" s="58" t="s">
        <v>809</v>
      </c>
      <c r="B34" s="59">
        <v>83127</v>
      </c>
      <c r="C34" s="67">
        <v>83127</v>
      </c>
      <c r="D34" s="67">
        <v>89511</v>
      </c>
      <c r="E34" s="67">
        <v>2964</v>
      </c>
      <c r="F34" s="68">
        <v>0.61980000000000002</v>
      </c>
      <c r="G34" s="67">
        <v>0</v>
      </c>
      <c r="H34" s="63">
        <v>0</v>
      </c>
      <c r="I34" s="64">
        <v>0.92867915675168411</v>
      </c>
    </row>
    <row r="35" spans="1:9" x14ac:dyDescent="0.75">
      <c r="A35" s="58" t="s">
        <v>810</v>
      </c>
      <c r="B35" s="59">
        <v>116090</v>
      </c>
      <c r="C35" s="60">
        <v>116090</v>
      </c>
      <c r="D35" s="60">
        <v>124340</v>
      </c>
      <c r="E35" s="62">
        <v>2819</v>
      </c>
      <c r="F35" s="78">
        <v>0.86299999999999999</v>
      </c>
      <c r="G35" s="62">
        <v>10</v>
      </c>
      <c r="H35" s="63">
        <v>1.0000000000000001E-5</v>
      </c>
      <c r="I35" s="64">
        <v>0.93364967025896739</v>
      </c>
    </row>
    <row r="36" spans="1:9" x14ac:dyDescent="0.75">
      <c r="A36" s="58" t="s">
        <v>811</v>
      </c>
      <c r="B36" s="59">
        <v>84950</v>
      </c>
      <c r="C36" s="60">
        <v>84950</v>
      </c>
      <c r="D36" s="60">
        <v>91410</v>
      </c>
      <c r="E36" s="60">
        <v>1923</v>
      </c>
      <c r="F36" s="61">
        <v>0.82</v>
      </c>
      <c r="G36" s="62">
        <v>0</v>
      </c>
      <c r="H36" s="63">
        <v>0</v>
      </c>
      <c r="I36" s="64">
        <v>0.9293293950333662</v>
      </c>
    </row>
    <row r="37" spans="1:9" x14ac:dyDescent="0.75">
      <c r="A37" s="58" t="s">
        <v>812</v>
      </c>
      <c r="B37" s="59">
        <v>74720</v>
      </c>
      <c r="C37" s="60">
        <v>74720</v>
      </c>
      <c r="D37" s="60">
        <v>84820</v>
      </c>
      <c r="E37" s="60">
        <v>1621</v>
      </c>
      <c r="F37" s="81">
        <v>0.75</v>
      </c>
      <c r="G37" s="62">
        <v>0</v>
      </c>
      <c r="H37" s="63">
        <v>0</v>
      </c>
      <c r="I37" s="64">
        <v>0.88092431030417351</v>
      </c>
    </row>
    <row r="38" spans="1:9" x14ac:dyDescent="0.75">
      <c r="A38" s="58" t="s">
        <v>813</v>
      </c>
      <c r="B38" s="59">
        <v>68930</v>
      </c>
      <c r="C38" s="62">
        <v>68930</v>
      </c>
      <c r="D38" s="67">
        <v>75610</v>
      </c>
      <c r="E38" s="62">
        <v>2518</v>
      </c>
      <c r="F38" s="78">
        <v>0.52200000000000002</v>
      </c>
      <c r="G38" s="62">
        <v>0</v>
      </c>
      <c r="H38" s="63">
        <v>0</v>
      </c>
      <c r="I38" s="64">
        <v>0.91165189789710355</v>
      </c>
    </row>
    <row r="39" spans="1:9" x14ac:dyDescent="0.75">
      <c r="A39" s="58" t="s">
        <v>814</v>
      </c>
      <c r="B39" s="59">
        <v>72200</v>
      </c>
      <c r="C39" s="60">
        <v>72200</v>
      </c>
      <c r="D39" s="60">
        <v>79196.89540113158</v>
      </c>
      <c r="E39" s="60">
        <v>3255</v>
      </c>
      <c r="F39" s="61">
        <v>0.47399999999999998</v>
      </c>
      <c r="G39" s="62">
        <v>0</v>
      </c>
      <c r="H39" s="63">
        <v>0</v>
      </c>
      <c r="I39" s="64">
        <v>0.91165189789710355</v>
      </c>
    </row>
    <row r="40" spans="1:9" x14ac:dyDescent="0.75">
      <c r="A40" s="58" t="s">
        <v>815</v>
      </c>
      <c r="B40" s="59">
        <v>119550</v>
      </c>
      <c r="C40" s="60">
        <v>119550</v>
      </c>
      <c r="D40" s="60">
        <v>127960</v>
      </c>
      <c r="E40" s="60">
        <v>3361</v>
      </c>
      <c r="F40" s="61">
        <v>0.77600000000000002</v>
      </c>
      <c r="G40" s="62">
        <v>0</v>
      </c>
      <c r="H40" s="63">
        <v>0</v>
      </c>
      <c r="I40" s="64">
        <v>0.93427633635511098</v>
      </c>
    </row>
    <row r="41" spans="1:9" x14ac:dyDescent="0.75">
      <c r="A41" s="58" t="s">
        <v>816</v>
      </c>
      <c r="B41" s="59">
        <v>123670</v>
      </c>
      <c r="C41" s="62">
        <v>123670</v>
      </c>
      <c r="D41" s="62">
        <v>130030</v>
      </c>
      <c r="E41" s="62">
        <v>3017</v>
      </c>
      <c r="F41" s="78">
        <v>0.85299999999999998</v>
      </c>
      <c r="G41" s="67">
        <v>0</v>
      </c>
      <c r="H41" s="63">
        <v>0</v>
      </c>
      <c r="I41" s="64">
        <v>0.95108821041298164</v>
      </c>
    </row>
    <row r="42" spans="1:9" x14ac:dyDescent="0.75">
      <c r="A42" s="58" t="s">
        <v>817</v>
      </c>
      <c r="B42" s="59">
        <v>117059</v>
      </c>
      <c r="C42" s="77">
        <v>117059</v>
      </c>
      <c r="D42" s="77">
        <v>125293.76528649101</v>
      </c>
      <c r="E42" s="77">
        <v>2835</v>
      </c>
      <c r="F42" s="78">
        <v>0.871</v>
      </c>
      <c r="G42" s="67">
        <v>0</v>
      </c>
      <c r="H42" s="63">
        <v>0</v>
      </c>
      <c r="I42" s="64">
        <v>0.93427633635511098</v>
      </c>
    </row>
    <row r="43" spans="1:9" x14ac:dyDescent="0.75">
      <c r="A43" s="58" t="s">
        <v>818</v>
      </c>
      <c r="B43" s="59">
        <v>122887</v>
      </c>
      <c r="C43" s="77">
        <v>122887</v>
      </c>
      <c r="D43" s="77">
        <v>130817</v>
      </c>
      <c r="E43" s="77">
        <v>2948</v>
      </c>
      <c r="F43" s="78">
        <v>0.871</v>
      </c>
      <c r="G43" s="67">
        <v>0</v>
      </c>
      <c r="H43" s="63">
        <v>0</v>
      </c>
      <c r="I43" s="64">
        <v>0.93938096730547249</v>
      </c>
    </row>
    <row r="44" spans="1:9" x14ac:dyDescent="0.75">
      <c r="A44" s="58" t="s">
        <v>819</v>
      </c>
      <c r="B44" s="59">
        <v>123542.426446789</v>
      </c>
      <c r="C44" s="77">
        <v>123542.426446789</v>
      </c>
      <c r="D44" s="77">
        <v>133070.13702382601</v>
      </c>
      <c r="E44" s="77">
        <v>3003.2639480974099</v>
      </c>
      <c r="F44" s="78">
        <v>0.871</v>
      </c>
      <c r="G44" s="67">
        <v>0</v>
      </c>
      <c r="H44" s="63">
        <v>0</v>
      </c>
      <c r="I44" s="64">
        <v>0.92840083590406852</v>
      </c>
    </row>
    <row r="45" spans="1:9" x14ac:dyDescent="0.75">
      <c r="A45" t="s">
        <v>820</v>
      </c>
      <c r="B45" s="59">
        <v>115983</v>
      </c>
      <c r="C45" s="65">
        <v>115983</v>
      </c>
      <c r="D45" s="67">
        <v>124230</v>
      </c>
      <c r="E45" s="65">
        <v>2830</v>
      </c>
      <c r="F45" s="66">
        <v>0.84</v>
      </c>
      <c r="G45" s="62">
        <v>0</v>
      </c>
      <c r="H45" s="63">
        <v>0</v>
      </c>
      <c r="I45" s="64">
        <v>0.93361506882395562</v>
      </c>
    </row>
    <row r="46" spans="1:9" x14ac:dyDescent="0.75">
      <c r="A46" s="58" t="s">
        <v>821</v>
      </c>
      <c r="B46" s="59">
        <v>113309</v>
      </c>
      <c r="C46" s="67">
        <v>113309</v>
      </c>
      <c r="D46" s="67">
        <v>121365.86456635887</v>
      </c>
      <c r="E46" s="67">
        <v>2713</v>
      </c>
      <c r="F46" s="68">
        <v>0.83109999999999995</v>
      </c>
      <c r="G46" s="82">
        <v>10</v>
      </c>
      <c r="H46" s="63">
        <v>1.0000000000000001E-5</v>
      </c>
      <c r="I46" s="64">
        <v>0.93361506882395551</v>
      </c>
    </row>
    <row r="47" spans="1:9" x14ac:dyDescent="0.75">
      <c r="A47" s="58" t="s">
        <v>822</v>
      </c>
      <c r="B47" s="59">
        <v>112060.7</v>
      </c>
      <c r="C47" s="60">
        <v>112060.7</v>
      </c>
      <c r="D47" s="60">
        <v>120028.80388505213</v>
      </c>
      <c r="E47" s="60">
        <v>2819</v>
      </c>
      <c r="F47" s="78">
        <v>0.86430000000000007</v>
      </c>
      <c r="G47" s="62">
        <v>10</v>
      </c>
      <c r="H47" s="63">
        <v>1.0000000000000001E-5</v>
      </c>
      <c r="I47" s="64">
        <v>0.93361506882395551</v>
      </c>
    </row>
    <row r="48" spans="1:9" x14ac:dyDescent="0.75">
      <c r="A48" s="58" t="s">
        <v>823</v>
      </c>
      <c r="B48" s="59">
        <v>119776.6214942081</v>
      </c>
      <c r="C48" s="60">
        <v>119776.6214942081</v>
      </c>
      <c r="D48" s="60">
        <v>128103.33335647394</v>
      </c>
      <c r="E48" s="60">
        <v>2865.5561269999994</v>
      </c>
      <c r="F48" s="78">
        <v>0.84699999999999998</v>
      </c>
      <c r="G48" s="62">
        <v>0</v>
      </c>
      <c r="H48" s="63">
        <v>0</v>
      </c>
      <c r="I48" s="64">
        <v>0.93500003751584626</v>
      </c>
    </row>
    <row r="49" spans="1:9" x14ac:dyDescent="0.75">
      <c r="A49" s="58" t="s">
        <v>824</v>
      </c>
      <c r="B49" s="59">
        <v>30500</v>
      </c>
      <c r="C49" s="60">
        <v>30500</v>
      </c>
      <c r="D49" s="60">
        <v>36020</v>
      </c>
      <c r="E49" s="60">
        <v>268</v>
      </c>
      <c r="F49" s="78">
        <v>0</v>
      </c>
      <c r="G49" s="62">
        <v>0</v>
      </c>
      <c r="H49" s="63">
        <v>0</v>
      </c>
      <c r="I49" s="64">
        <v>0.84675180455302612</v>
      </c>
    </row>
    <row r="50" spans="1:9" x14ac:dyDescent="0.75">
      <c r="A50" s="58" t="s">
        <v>825</v>
      </c>
      <c r="B50" s="59">
        <v>93540</v>
      </c>
      <c r="C50" s="60">
        <v>93540</v>
      </c>
      <c r="D50" s="60">
        <v>101130</v>
      </c>
      <c r="E50" s="60">
        <v>2811</v>
      </c>
      <c r="F50" s="78">
        <v>0.68100000000000005</v>
      </c>
      <c r="G50" s="62">
        <v>0</v>
      </c>
      <c r="H50" s="63">
        <v>0</v>
      </c>
      <c r="I50" s="64">
        <v>0.92494808662118067</v>
      </c>
    </row>
    <row r="51" spans="1:9" x14ac:dyDescent="0.75">
      <c r="A51" s="58" t="s">
        <v>826</v>
      </c>
      <c r="B51" s="59">
        <v>96720</v>
      </c>
      <c r="C51" s="60">
        <v>96720</v>
      </c>
      <c r="D51" s="60">
        <v>104530</v>
      </c>
      <c r="E51" s="60">
        <v>2810</v>
      </c>
      <c r="F51" s="78">
        <v>0.70599999999999996</v>
      </c>
      <c r="G51" s="62">
        <v>0</v>
      </c>
      <c r="H51" s="63">
        <v>0</v>
      </c>
      <c r="I51" s="64">
        <v>0.92528460728977324</v>
      </c>
    </row>
    <row r="52" spans="1:9" x14ac:dyDescent="0.75">
      <c r="A52" s="58" t="s">
        <v>827</v>
      </c>
      <c r="B52" s="59">
        <v>100480</v>
      </c>
      <c r="C52" s="60">
        <v>100480</v>
      </c>
      <c r="D52" s="60">
        <v>108570</v>
      </c>
      <c r="E52" s="60">
        <v>2913</v>
      </c>
      <c r="F52" s="78">
        <v>0.70599999999999996</v>
      </c>
      <c r="G52" s="62">
        <v>0</v>
      </c>
      <c r="H52" s="63">
        <v>0</v>
      </c>
      <c r="I52" s="64">
        <v>0.92548586165607438</v>
      </c>
    </row>
    <row r="53" spans="1:9" x14ac:dyDescent="0.75">
      <c r="A53" s="58" t="s">
        <v>828</v>
      </c>
      <c r="B53" s="59">
        <v>94970</v>
      </c>
      <c r="C53" s="60">
        <v>94970</v>
      </c>
      <c r="D53" s="60">
        <v>103220</v>
      </c>
      <c r="E53" s="60">
        <v>2213</v>
      </c>
      <c r="F53" s="78">
        <v>0.82799999999999996</v>
      </c>
      <c r="G53" s="62">
        <v>0</v>
      </c>
      <c r="H53" s="63">
        <v>0</v>
      </c>
      <c r="I53" s="64">
        <v>0.92007362914163926</v>
      </c>
    </row>
    <row r="54" spans="1:9" x14ac:dyDescent="0.75">
      <c r="A54" s="58" t="s">
        <v>103</v>
      </c>
      <c r="B54" s="59">
        <v>90060</v>
      </c>
      <c r="C54" s="60">
        <v>90060</v>
      </c>
      <c r="D54" s="60">
        <v>98560</v>
      </c>
      <c r="E54" s="60">
        <v>2118</v>
      </c>
      <c r="F54" s="78">
        <v>0.82799999999999996</v>
      </c>
      <c r="G54" s="62">
        <v>0</v>
      </c>
      <c r="H54" s="63">
        <v>0</v>
      </c>
      <c r="I54" s="64">
        <v>0.91375811688311692</v>
      </c>
    </row>
    <row r="55" spans="1:9" x14ac:dyDescent="0.75">
      <c r="A55" s="58" t="s">
        <v>109</v>
      </c>
      <c r="B55" s="59">
        <v>95720</v>
      </c>
      <c r="C55" s="67">
        <v>95720</v>
      </c>
      <c r="D55" s="60">
        <v>103010</v>
      </c>
      <c r="E55" s="67">
        <v>2253</v>
      </c>
      <c r="F55" s="68">
        <v>0.85699999999999998</v>
      </c>
      <c r="G55" s="62">
        <v>0</v>
      </c>
      <c r="H55" s="63">
        <v>0</v>
      </c>
      <c r="I55" s="64">
        <v>0.92923017182797785</v>
      </c>
    </row>
    <row r="56" spans="1:9" x14ac:dyDescent="0.75">
      <c r="A56" s="58" t="s">
        <v>101</v>
      </c>
      <c r="B56" s="59">
        <v>84250</v>
      </c>
      <c r="C56" s="83">
        <v>84250</v>
      </c>
      <c r="D56" s="67">
        <v>91420</v>
      </c>
      <c r="E56" s="83">
        <v>1920</v>
      </c>
      <c r="F56" s="84">
        <v>0.81799999999999995</v>
      </c>
      <c r="G56" s="62">
        <v>0</v>
      </c>
      <c r="H56" s="63">
        <v>0</v>
      </c>
      <c r="I56" s="64">
        <v>0.92157077225989936</v>
      </c>
    </row>
    <row r="57" spans="1:9" x14ac:dyDescent="0.75">
      <c r="A57" s="58" t="s">
        <v>829</v>
      </c>
      <c r="B57" s="59">
        <v>83686.11202275462</v>
      </c>
      <c r="C57" s="62">
        <v>83686.11202275462</v>
      </c>
      <c r="D57" s="62">
        <v>90050</v>
      </c>
      <c r="E57" s="83">
        <v>2532</v>
      </c>
      <c r="F57" s="84"/>
      <c r="G57" s="62">
        <v>0</v>
      </c>
      <c r="H57" s="63">
        <v>0</v>
      </c>
      <c r="I57" s="64">
        <v>0.92932939503336609</v>
      </c>
    </row>
    <row r="58" spans="1:9" x14ac:dyDescent="0.75">
      <c r="A58" s="53" t="s">
        <v>830</v>
      </c>
      <c r="B58" s="85">
        <v>105124.8</v>
      </c>
      <c r="C58" s="86">
        <v>105124.8</v>
      </c>
      <c r="D58" s="86">
        <v>112166.3</v>
      </c>
      <c r="E58" s="86">
        <v>2478.6999999999998</v>
      </c>
      <c r="F58" s="87">
        <v>0.83625099999999997</v>
      </c>
      <c r="G58" s="88">
        <v>0</v>
      </c>
      <c r="H58" s="89">
        <v>0</v>
      </c>
      <c r="I58" s="90">
        <v>0.93722267739953979</v>
      </c>
    </row>
    <row r="59" spans="1:9" x14ac:dyDescent="0.75">
      <c r="A59" s="58" t="s">
        <v>831</v>
      </c>
      <c r="B59" s="59" t="s">
        <v>832</v>
      </c>
      <c r="C59" s="60" t="s">
        <v>832</v>
      </c>
      <c r="D59" s="60" t="s">
        <v>832</v>
      </c>
      <c r="E59" s="91" t="s">
        <v>833</v>
      </c>
      <c r="F59" s="61"/>
      <c r="G59" s="62"/>
      <c r="H59" s="63"/>
      <c r="I59" s="64" t="s">
        <v>776</v>
      </c>
    </row>
    <row r="60" spans="1:9" x14ac:dyDescent="0.75">
      <c r="A60" s="58" t="s">
        <v>834</v>
      </c>
      <c r="B60" s="59">
        <v>983</v>
      </c>
      <c r="C60" s="92">
        <v>983</v>
      </c>
      <c r="D60" s="92">
        <v>1089</v>
      </c>
      <c r="E60" s="93">
        <v>22</v>
      </c>
      <c r="F60" s="78">
        <v>0.72399999999999998</v>
      </c>
      <c r="G60" s="62">
        <v>6</v>
      </c>
      <c r="H60" s="63">
        <v>6.0000000000000002E-6</v>
      </c>
      <c r="I60" s="64">
        <v>0.90266299357208446</v>
      </c>
    </row>
    <row r="61" spans="1:9" x14ac:dyDescent="0.75">
      <c r="A61" s="58" t="s">
        <v>835</v>
      </c>
      <c r="B61" s="59">
        <v>962.18504920853229</v>
      </c>
      <c r="C61" s="92">
        <v>962.18504920853229</v>
      </c>
      <c r="D61" s="92">
        <v>1068.0254046214709</v>
      </c>
      <c r="E61" s="93">
        <v>20.303179298999996</v>
      </c>
      <c r="F61" s="78">
        <v>0.75</v>
      </c>
      <c r="G61" s="62">
        <v>0</v>
      </c>
      <c r="H61" s="63">
        <v>0</v>
      </c>
      <c r="I61" s="64">
        <v>0.9009009009009008</v>
      </c>
    </row>
    <row r="62" spans="1:9" x14ac:dyDescent="0.75">
      <c r="A62" s="58" t="s">
        <v>836</v>
      </c>
      <c r="B62" s="59">
        <v>290</v>
      </c>
      <c r="C62" s="67">
        <v>290</v>
      </c>
      <c r="D62" s="67">
        <v>343</v>
      </c>
      <c r="E62" s="94">
        <v>2.5499999999999998</v>
      </c>
      <c r="F62" s="81">
        <v>0</v>
      </c>
      <c r="G62" s="62">
        <v>0</v>
      </c>
      <c r="H62" s="63">
        <v>0</v>
      </c>
      <c r="I62" s="64">
        <v>0.84548104956268222</v>
      </c>
    </row>
    <row r="63" spans="1:9" x14ac:dyDescent="0.75">
      <c r="A63" s="58" t="s">
        <v>837</v>
      </c>
      <c r="B63" s="59"/>
      <c r="C63" s="65"/>
      <c r="D63" s="65"/>
      <c r="E63" s="95">
        <v>55.977829999999997</v>
      </c>
      <c r="F63" s="81">
        <v>0.27272727272727271</v>
      </c>
      <c r="G63" s="77">
        <v>0</v>
      </c>
      <c r="H63" s="63">
        <v>0</v>
      </c>
      <c r="I63" s="64"/>
    </row>
    <row r="64" spans="1:9" x14ac:dyDescent="0.75">
      <c r="A64" s="53" t="s">
        <v>838</v>
      </c>
      <c r="B64" s="85">
        <v>1159.2737122826286</v>
      </c>
      <c r="C64" s="96">
        <v>1159.2737122826286</v>
      </c>
      <c r="D64" s="86">
        <v>1279.7381453012381</v>
      </c>
      <c r="E64" s="88">
        <v>25.019852271678111</v>
      </c>
      <c r="F64" s="87">
        <v>0.76981385823883608</v>
      </c>
      <c r="G64" s="88">
        <v>6</v>
      </c>
      <c r="H64" s="89">
        <v>6.0000000000000002E-6</v>
      </c>
      <c r="I64" s="90">
        <v>0.90586790472651468</v>
      </c>
    </row>
    <row r="65" spans="1:12" x14ac:dyDescent="0.75">
      <c r="A65" s="58" t="s">
        <v>839</v>
      </c>
      <c r="B65" s="59" t="s">
        <v>840</v>
      </c>
      <c r="C65" s="67" t="s">
        <v>840</v>
      </c>
      <c r="D65" s="67" t="s">
        <v>840</v>
      </c>
      <c r="E65" s="67"/>
      <c r="F65" s="68"/>
      <c r="G65" s="67"/>
      <c r="H65" s="63"/>
      <c r="I65" s="64" t="s">
        <v>776</v>
      </c>
    </row>
    <row r="66" spans="1:12" x14ac:dyDescent="0.75">
      <c r="A66" s="75" t="s">
        <v>841</v>
      </c>
      <c r="B66" s="59">
        <v>19474169.219601419</v>
      </c>
      <c r="C66" s="67">
        <v>19474169.219601419</v>
      </c>
      <c r="D66" s="60">
        <v>20673610.116392747</v>
      </c>
      <c r="E66" s="83"/>
      <c r="F66" s="61">
        <v>0.58571109877499994</v>
      </c>
      <c r="G66" s="77">
        <v>10455.988337376644</v>
      </c>
      <c r="H66" s="63">
        <v>1.0455988337376645E-2</v>
      </c>
      <c r="I66" s="97"/>
      <c r="K66" s="98"/>
    </row>
    <row r="67" spans="1:12" x14ac:dyDescent="0.75">
      <c r="A67" s="75" t="s">
        <v>842</v>
      </c>
      <c r="B67" s="59">
        <v>22639319.979813498</v>
      </c>
      <c r="C67" s="67">
        <v>22639319.979813498</v>
      </c>
      <c r="D67" s="60">
        <v>23633492.9618803</v>
      </c>
      <c r="E67" s="83"/>
      <c r="F67" s="81">
        <v>0.61199999999999999</v>
      </c>
      <c r="G67" s="77">
        <v>15352.092718927001</v>
      </c>
      <c r="H67" s="63">
        <v>1.5352092718927001E-2</v>
      </c>
      <c r="I67" s="97">
        <v>0.95793372635732021</v>
      </c>
      <c r="K67" s="98"/>
    </row>
    <row r="68" spans="1:12" x14ac:dyDescent="0.75">
      <c r="A68" s="75" t="s">
        <v>843</v>
      </c>
      <c r="B68" s="59">
        <v>16085444.010446707</v>
      </c>
      <c r="C68" s="67">
        <v>16085444.010446707</v>
      </c>
      <c r="D68" s="77">
        <v>17449319.671483699</v>
      </c>
      <c r="E68" s="83"/>
      <c r="F68" s="81">
        <v>0.53700000000000003</v>
      </c>
      <c r="G68" s="77">
        <v>3568.253687975</v>
      </c>
      <c r="H68" s="63">
        <v>3.5682536879749998E-3</v>
      </c>
      <c r="I68" s="97">
        <v>0.92183788899999997</v>
      </c>
      <c r="K68" s="98"/>
    </row>
    <row r="69" spans="1:12" x14ac:dyDescent="0.75">
      <c r="A69" s="75" t="s">
        <v>844</v>
      </c>
      <c r="B69" s="59">
        <v>10805182.822031699</v>
      </c>
      <c r="C69" s="67">
        <v>10805182.822031699</v>
      </c>
      <c r="D69" s="77">
        <v>12992301.9717196</v>
      </c>
      <c r="E69" s="83"/>
      <c r="F69" s="66">
        <v>0.49099999999999999</v>
      </c>
      <c r="G69" s="77">
        <v>9064.2347162629994</v>
      </c>
      <c r="H69" s="63">
        <v>9.0642347162629994E-3</v>
      </c>
      <c r="I69" s="64">
        <v>0.83166038209020898</v>
      </c>
      <c r="K69" s="98"/>
    </row>
    <row r="70" spans="1:12" x14ac:dyDescent="0.75">
      <c r="A70" s="75" t="s">
        <v>845</v>
      </c>
      <c r="B70" s="59">
        <v>22639319.979813498</v>
      </c>
      <c r="C70" s="67">
        <v>22639319.979813498</v>
      </c>
      <c r="D70" s="65">
        <v>23633492.9618803</v>
      </c>
      <c r="E70" s="83"/>
      <c r="F70" s="66">
        <v>0.80642049800000004</v>
      </c>
      <c r="G70" s="77">
        <v>16142.739251388</v>
      </c>
      <c r="H70" s="63">
        <v>1.6142739251388E-2</v>
      </c>
      <c r="I70" s="64">
        <v>0.95793372635732021</v>
      </c>
      <c r="K70" s="98"/>
    </row>
    <row r="71" spans="1:12" x14ac:dyDescent="0.75">
      <c r="A71" s="58" t="s">
        <v>846</v>
      </c>
      <c r="B71" s="59">
        <v>9945646.340310514</v>
      </c>
      <c r="C71" s="67">
        <v>9945646.340310514</v>
      </c>
      <c r="D71" s="77">
        <v>11958783.362163</v>
      </c>
      <c r="E71" s="67"/>
      <c r="F71" s="81">
        <v>0.32642858499999999</v>
      </c>
      <c r="G71" s="99">
        <v>9064.2347162629994</v>
      </c>
      <c r="H71" s="63">
        <v>9.0642347162629994E-3</v>
      </c>
      <c r="I71" s="97">
        <v>0.83166038209020898</v>
      </c>
      <c r="K71" s="98"/>
      <c r="L71" s="98"/>
    </row>
    <row r="72" spans="1:12" x14ac:dyDescent="0.75">
      <c r="A72" s="58" t="s">
        <v>847</v>
      </c>
      <c r="B72" s="59">
        <v>26949428.734871496</v>
      </c>
      <c r="C72" s="67">
        <v>26949428.734871496</v>
      </c>
      <c r="D72" s="77">
        <v>28595925.1717753</v>
      </c>
      <c r="E72" s="67"/>
      <c r="F72" s="81">
        <v>0.86670000000000003</v>
      </c>
      <c r="G72" s="67">
        <v>45137.714412408997</v>
      </c>
      <c r="H72" s="63">
        <v>4.5137714412408998E-2</v>
      </c>
      <c r="I72" s="64">
        <v>0.94242199100000001</v>
      </c>
      <c r="K72" s="98"/>
    </row>
    <row r="73" spans="1:12" x14ac:dyDescent="0.75">
      <c r="A73" s="58" t="s">
        <v>848</v>
      </c>
      <c r="B73" s="59">
        <v>26664354.295994278</v>
      </c>
      <c r="C73" s="67">
        <v>26664354.295994278</v>
      </c>
      <c r="D73" s="60">
        <v>28293433.886979699</v>
      </c>
      <c r="E73" s="83"/>
      <c r="F73" s="81">
        <v>0.48798697000000002</v>
      </c>
      <c r="G73" s="62">
        <v>45137.714412408997</v>
      </c>
      <c r="H73" s="63">
        <v>4.5137714412408998E-2</v>
      </c>
      <c r="I73" s="64">
        <v>0.94242199100000001</v>
      </c>
    </row>
    <row r="74" spans="1:12" ht="12.65" customHeight="1" x14ac:dyDescent="0.75">
      <c r="A74" s="58" t="s">
        <v>849</v>
      </c>
      <c r="B74" s="59">
        <v>24599421.97472629</v>
      </c>
      <c r="C74" s="77">
        <v>24599421.97472629</v>
      </c>
      <c r="D74" s="77">
        <v>25679670</v>
      </c>
      <c r="E74" s="83"/>
      <c r="F74" s="81">
        <v>0.747</v>
      </c>
      <c r="G74" s="62">
        <v>11800</v>
      </c>
      <c r="H74" s="63">
        <v>1.18E-2</v>
      </c>
      <c r="I74" s="64">
        <v>0.95793372635732044</v>
      </c>
      <c r="K74" s="100"/>
    </row>
    <row r="75" spans="1:12" x14ac:dyDescent="0.75">
      <c r="A75" s="58" t="s">
        <v>850</v>
      </c>
      <c r="B75" s="59">
        <v>28385750.368920002</v>
      </c>
      <c r="C75" s="77">
        <v>28385750.368920002</v>
      </c>
      <c r="D75" s="77">
        <v>30120000</v>
      </c>
      <c r="E75" s="67"/>
      <c r="F75" s="81">
        <v>0.8641323406231759</v>
      </c>
      <c r="G75" s="77">
        <v>45137.714412408997</v>
      </c>
      <c r="H75" s="63">
        <v>4.5137714412408998E-2</v>
      </c>
      <c r="I75" s="64">
        <v>0.94242199100000001</v>
      </c>
      <c r="K75" s="100"/>
    </row>
    <row r="76" spans="1:12" x14ac:dyDescent="0.75">
      <c r="A76" s="58" t="s">
        <v>851</v>
      </c>
      <c r="B76" s="59">
        <v>15396000</v>
      </c>
      <c r="C76" s="77">
        <v>15396000</v>
      </c>
      <c r="D76" s="60">
        <v>16524000</v>
      </c>
      <c r="E76" s="83"/>
      <c r="F76" s="61">
        <v>0.48699999999999999</v>
      </c>
      <c r="G76" s="62">
        <v>500</v>
      </c>
      <c r="H76" s="63">
        <v>5.0000000000000001E-4</v>
      </c>
      <c r="I76" s="64">
        <v>0.93173565722585328</v>
      </c>
    </row>
    <row r="77" spans="1:12" x14ac:dyDescent="0.75">
      <c r="A77" s="58" t="s">
        <v>852</v>
      </c>
      <c r="B77" s="59">
        <v>15929000</v>
      </c>
      <c r="C77" s="99">
        <v>15929000</v>
      </c>
      <c r="D77" s="60">
        <v>17062000</v>
      </c>
      <c r="E77" s="83"/>
      <c r="F77" s="61">
        <v>0.501</v>
      </c>
      <c r="G77" s="62">
        <v>200</v>
      </c>
      <c r="H77" s="63">
        <v>2.0000000000000001E-4</v>
      </c>
      <c r="I77" s="64">
        <v>0.93359512366662756</v>
      </c>
      <c r="K77" s="101"/>
    </row>
    <row r="78" spans="1:12" x14ac:dyDescent="0.75">
      <c r="A78" s="58" t="s">
        <v>853</v>
      </c>
      <c r="B78" s="59">
        <v>14447000</v>
      </c>
      <c r="C78" s="62">
        <v>14447000</v>
      </c>
      <c r="D78" s="62">
        <v>15583000</v>
      </c>
      <c r="E78" s="67"/>
      <c r="F78" s="78">
        <v>0.46600000000000003</v>
      </c>
      <c r="G78" s="62">
        <v>1100</v>
      </c>
      <c r="H78" s="63">
        <v>1.1000000000000001E-3</v>
      </c>
      <c r="I78" s="64">
        <v>0.92710004492074694</v>
      </c>
      <c r="K78" s="100"/>
    </row>
    <row r="79" spans="1:12" x14ac:dyDescent="0.75">
      <c r="A79" s="58" t="s">
        <v>854</v>
      </c>
      <c r="B79" s="59">
        <v>15342000</v>
      </c>
      <c r="C79" s="62">
        <v>15342000</v>
      </c>
      <c r="D79" s="62">
        <v>16377000</v>
      </c>
      <c r="E79" s="67"/>
      <c r="F79" s="78">
        <v>0.47599999999999998</v>
      </c>
      <c r="G79" s="62">
        <v>800</v>
      </c>
      <c r="H79" s="63">
        <v>8.0000000000000004E-4</v>
      </c>
      <c r="I79" s="64">
        <v>0.93680161201685286</v>
      </c>
    </row>
    <row r="80" spans="1:12" x14ac:dyDescent="0.75">
      <c r="A80" s="58" t="s">
        <v>855</v>
      </c>
      <c r="B80" s="59">
        <v>14716000</v>
      </c>
      <c r="C80" s="62">
        <v>14716000</v>
      </c>
      <c r="D80" s="67">
        <v>15774000</v>
      </c>
      <c r="E80" s="67"/>
      <c r="F80" s="78">
        <v>0.46700000000000003</v>
      </c>
      <c r="G80" s="62">
        <v>1000</v>
      </c>
      <c r="H80" s="63">
        <v>1E-3</v>
      </c>
      <c r="I80" s="64">
        <v>0.93292760238366934</v>
      </c>
    </row>
    <row r="81" spans="1:14" x14ac:dyDescent="0.75">
      <c r="A81" s="58" t="s">
        <v>856</v>
      </c>
      <c r="B81" s="59">
        <v>17289000</v>
      </c>
      <c r="C81" s="77">
        <v>17289000</v>
      </c>
      <c r="D81" s="67">
        <v>17906000</v>
      </c>
      <c r="E81" s="67"/>
      <c r="F81" s="78">
        <v>0.503</v>
      </c>
      <c r="G81" s="67">
        <v>400</v>
      </c>
      <c r="H81" s="63">
        <v>4.0000000000000002E-4</v>
      </c>
      <c r="I81" s="64">
        <v>0.96554227633195577</v>
      </c>
    </row>
    <row r="82" spans="1:14" x14ac:dyDescent="0.75">
      <c r="A82" s="58" t="s">
        <v>857</v>
      </c>
      <c r="B82" s="59">
        <v>15929000</v>
      </c>
      <c r="C82" s="62">
        <v>15929000</v>
      </c>
      <c r="D82" s="77">
        <v>17062000</v>
      </c>
      <c r="E82" s="67"/>
      <c r="F82" s="78">
        <v>0.501</v>
      </c>
      <c r="G82" s="67">
        <v>200</v>
      </c>
      <c r="H82" s="63">
        <v>2.0000000000000001E-4</v>
      </c>
      <c r="I82" s="64">
        <v>0.93359512366662756</v>
      </c>
    </row>
    <row r="83" spans="1:14" x14ac:dyDescent="0.75">
      <c r="A83" s="75" t="s">
        <v>858</v>
      </c>
      <c r="B83" s="59">
        <v>14999999.999999998</v>
      </c>
      <c r="C83" s="62">
        <v>14999999.999999998</v>
      </c>
      <c r="D83" s="62"/>
      <c r="E83" s="67"/>
      <c r="F83" s="102">
        <v>0.47799999999999998</v>
      </c>
      <c r="G83" s="62">
        <v>400</v>
      </c>
      <c r="H83" s="103">
        <v>4.0000000000000002E-4</v>
      </c>
      <c r="I83" s="104"/>
    </row>
    <row r="84" spans="1:14" x14ac:dyDescent="0.75">
      <c r="A84" s="105" t="s">
        <v>859</v>
      </c>
      <c r="B84" s="67">
        <v>13454048.892850777</v>
      </c>
      <c r="C84" s="77">
        <v>13454048.892850777</v>
      </c>
      <c r="D84" s="77">
        <v>15774000</v>
      </c>
      <c r="E84" s="67"/>
      <c r="F84" s="106">
        <v>0.5</v>
      </c>
      <c r="G84" s="62"/>
      <c r="H84" s="103"/>
      <c r="I84" s="104">
        <v>0.85292563033160751</v>
      </c>
    </row>
    <row r="85" spans="1:14" x14ac:dyDescent="0.75">
      <c r="A85" s="105" t="s">
        <v>860</v>
      </c>
      <c r="B85" s="67">
        <v>12381771.311916806</v>
      </c>
      <c r="C85" s="77">
        <v>12381771.311916806</v>
      </c>
      <c r="D85" s="77">
        <v>14062678</v>
      </c>
      <c r="E85" s="67"/>
      <c r="F85" s="106">
        <v>0.46300000000000002</v>
      </c>
      <c r="G85" s="62"/>
      <c r="H85" s="103"/>
      <c r="I85" s="104">
        <v>0.88047037071579148</v>
      </c>
    </row>
    <row r="86" spans="1:14" x14ac:dyDescent="0.75">
      <c r="A86" s="105" t="s">
        <v>861</v>
      </c>
      <c r="B86" s="67">
        <v>18916910.5715716</v>
      </c>
      <c r="C86" s="67">
        <v>18916910.5715716</v>
      </c>
      <c r="D86" s="67">
        <v>18916910.5715716</v>
      </c>
      <c r="E86" s="67"/>
      <c r="F86" s="107">
        <v>0.51200000000000001</v>
      </c>
      <c r="G86" s="77">
        <v>0</v>
      </c>
      <c r="H86" s="103">
        <v>0</v>
      </c>
      <c r="I86" s="104">
        <v>1</v>
      </c>
    </row>
    <row r="87" spans="1:14" x14ac:dyDescent="0.75">
      <c r="A87" s="108" t="s">
        <v>862</v>
      </c>
      <c r="B87" s="67">
        <v>12781599.343864119</v>
      </c>
      <c r="C87" s="77">
        <v>12781599.343864119</v>
      </c>
      <c r="D87" s="77">
        <v>14131556.354955051</v>
      </c>
      <c r="E87" s="67"/>
      <c r="F87" s="106">
        <v>0.39339999999999997</v>
      </c>
      <c r="G87" s="62">
        <v>0</v>
      </c>
      <c r="H87" s="103">
        <v>0</v>
      </c>
      <c r="I87" s="104">
        <v>0.90447216306662592</v>
      </c>
    </row>
    <row r="88" spans="1:14" x14ac:dyDescent="0.75">
      <c r="A88" s="109" t="s">
        <v>863</v>
      </c>
      <c r="B88" s="110">
        <v>14409931.248165678</v>
      </c>
      <c r="C88" s="111">
        <v>14409931.248165678</v>
      </c>
      <c r="D88" s="111">
        <v>15305245.093897162</v>
      </c>
      <c r="E88" s="110"/>
      <c r="F88" s="112">
        <v>0.41985</v>
      </c>
      <c r="G88" s="111">
        <v>0</v>
      </c>
      <c r="H88" s="113">
        <v>0</v>
      </c>
      <c r="I88" s="114">
        <v>0.94150280898876404</v>
      </c>
    </row>
    <row r="89" spans="1:14" x14ac:dyDescent="0.75">
      <c r="A89" t="s">
        <v>864</v>
      </c>
      <c r="B89" s="67">
        <v>14409931.248165678</v>
      </c>
      <c r="C89" s="115">
        <v>14409931.248165678</v>
      </c>
      <c r="D89" s="115">
        <v>15305245.093897162</v>
      </c>
      <c r="E89" s="116"/>
      <c r="F89" s="117">
        <v>0.41985</v>
      </c>
      <c r="G89" s="70">
        <v>0</v>
      </c>
      <c r="H89" s="103">
        <v>0</v>
      </c>
      <c r="I89" s="118">
        <v>0.94150280898876404</v>
      </c>
    </row>
    <row r="90" spans="1:14" x14ac:dyDescent="0.75">
      <c r="A90" s="37" t="s">
        <v>865</v>
      </c>
      <c r="B90" s="119">
        <v>11209638.734587256</v>
      </c>
      <c r="C90" s="119">
        <v>11209638.734587256</v>
      </c>
      <c r="D90" s="119">
        <v>13583444.58426456</v>
      </c>
      <c r="E90" s="119"/>
      <c r="F90" s="119">
        <v>0.49161518093556933</v>
      </c>
      <c r="G90">
        <v>1765.2250661959399</v>
      </c>
      <c r="H90">
        <v>1.7652250661959398E-3</v>
      </c>
      <c r="I90">
        <v>0.8252427184466018</v>
      </c>
    </row>
    <row r="91" spans="1:14" x14ac:dyDescent="0.75">
      <c r="A91" t="s">
        <v>866</v>
      </c>
      <c r="B91" s="119">
        <v>14155275.214870876</v>
      </c>
      <c r="C91" s="119">
        <v>14155275.214870876</v>
      </c>
      <c r="D91" s="119">
        <v>16144032.889687445</v>
      </c>
      <c r="E91" s="119"/>
      <c r="F91" s="119">
        <v>0.50491510277033058</v>
      </c>
      <c r="G91">
        <v>1787.3100983020554</v>
      </c>
      <c r="H91">
        <v>1.7873100983020554E-3</v>
      </c>
      <c r="I91">
        <v>0.87681159420289856</v>
      </c>
    </row>
    <row r="92" spans="1:14" x14ac:dyDescent="0.75">
      <c r="A92" s="120" t="s">
        <v>867</v>
      </c>
      <c r="B92" s="121">
        <v>152370.90134048002</v>
      </c>
      <c r="C92" s="122">
        <v>152370.90134048002</v>
      </c>
      <c r="D92" s="122">
        <v>162963.53084543315</v>
      </c>
      <c r="E92" s="122">
        <v>3839.6821254480283</v>
      </c>
      <c r="F92" s="122">
        <v>0.83</v>
      </c>
      <c r="G92" s="123">
        <v>48000</v>
      </c>
      <c r="H92" s="123">
        <v>4.8000000000000001E-2</v>
      </c>
      <c r="I92" s="123">
        <v>0.93500000000000016</v>
      </c>
      <c r="J92" s="123"/>
      <c r="K92" s="123"/>
      <c r="L92" s="123"/>
      <c r="M92" s="123"/>
      <c r="N92" s="124"/>
    </row>
    <row r="93" spans="1:14" x14ac:dyDescent="0.75">
      <c r="A93" s="125" t="s">
        <v>140</v>
      </c>
      <c r="B93" s="126">
        <v>144230</v>
      </c>
      <c r="C93" s="127"/>
      <c r="D93" s="127"/>
      <c r="E93" s="127">
        <v>3785.4109999999991</v>
      </c>
      <c r="F93" s="127">
        <v>0.80800504236780391</v>
      </c>
      <c r="G93" s="127">
        <v>3510</v>
      </c>
      <c r="H93" s="127"/>
      <c r="I93" s="127"/>
      <c r="J93" s="127"/>
      <c r="K93" s="127"/>
      <c r="L93" s="127"/>
      <c r="M93" s="127"/>
      <c r="N93" s="128"/>
    </row>
    <row r="94" spans="1:14" x14ac:dyDescent="0.75">
      <c r="A94" s="129"/>
      <c r="B94" s="130"/>
      <c r="N94" s="131"/>
    </row>
    <row r="95" spans="1:14" x14ac:dyDescent="0.75">
      <c r="A95" s="129" t="s">
        <v>868</v>
      </c>
      <c r="B95" s="130"/>
      <c r="N95" s="131"/>
    </row>
    <row r="96" spans="1:14" x14ac:dyDescent="0.75">
      <c r="A96" s="125" t="s">
        <v>869</v>
      </c>
      <c r="B96" s="132"/>
      <c r="C96" s="133"/>
      <c r="D96" s="133"/>
      <c r="E96" s="133"/>
      <c r="F96" s="133"/>
      <c r="G96" s="133"/>
      <c r="H96" s="133"/>
      <c r="I96" s="133"/>
      <c r="J96" s="133"/>
      <c r="K96" s="133"/>
      <c r="L96" s="133"/>
      <c r="M96" s="133"/>
      <c r="N96" s="134"/>
    </row>
    <row r="97" spans="1:14" x14ac:dyDescent="0.75">
      <c r="A97" s="18" t="s">
        <v>870</v>
      </c>
      <c r="B97" s="70" t="s">
        <v>871</v>
      </c>
      <c r="C97" t="s">
        <v>871</v>
      </c>
      <c r="D97" t="s">
        <v>871</v>
      </c>
      <c r="E97" t="s">
        <v>872</v>
      </c>
      <c r="F97" t="s">
        <v>872</v>
      </c>
      <c r="G97" t="s">
        <v>873</v>
      </c>
      <c r="H97" t="s">
        <v>873</v>
      </c>
      <c r="I97" t="s">
        <v>874</v>
      </c>
      <c r="J97" t="s">
        <v>874</v>
      </c>
      <c r="K97" t="s">
        <v>875</v>
      </c>
      <c r="L97" t="s">
        <v>875</v>
      </c>
      <c r="M97" t="s">
        <v>876</v>
      </c>
      <c r="N97" t="s">
        <v>876</v>
      </c>
    </row>
    <row r="98" spans="1:14" x14ac:dyDescent="0.75">
      <c r="A98" s="3" t="s">
        <v>877</v>
      </c>
      <c r="B98" s="70">
        <v>100</v>
      </c>
      <c r="C98">
        <v>100</v>
      </c>
      <c r="D98">
        <v>20</v>
      </c>
      <c r="E98">
        <v>100</v>
      </c>
      <c r="F98">
        <v>20</v>
      </c>
      <c r="G98">
        <v>100</v>
      </c>
      <c r="H98">
        <v>20</v>
      </c>
      <c r="I98">
        <v>100</v>
      </c>
      <c r="J98">
        <v>20</v>
      </c>
      <c r="K98">
        <v>100</v>
      </c>
      <c r="L98">
        <v>20</v>
      </c>
      <c r="M98">
        <v>100</v>
      </c>
      <c r="N98">
        <v>20</v>
      </c>
    </row>
    <row r="99" spans="1:14" x14ac:dyDescent="0.75">
      <c r="A99" s="135" t="s">
        <v>878</v>
      </c>
      <c r="B99" s="136">
        <v>1</v>
      </c>
      <c r="C99" s="137">
        <v>1</v>
      </c>
      <c r="D99" s="137">
        <v>1</v>
      </c>
      <c r="E99" s="137">
        <v>1</v>
      </c>
      <c r="F99" s="137">
        <v>1</v>
      </c>
      <c r="G99" s="138">
        <v>1</v>
      </c>
      <c r="H99">
        <v>1</v>
      </c>
      <c r="I99">
        <v>1</v>
      </c>
      <c r="J99">
        <v>1</v>
      </c>
      <c r="K99">
        <v>1</v>
      </c>
      <c r="L99">
        <v>1</v>
      </c>
      <c r="M99">
        <v>1</v>
      </c>
      <c r="N99">
        <v>1</v>
      </c>
    </row>
    <row r="100" spans="1:14" x14ac:dyDescent="0.75">
      <c r="A100" s="125" t="s">
        <v>879</v>
      </c>
      <c r="B100" s="126">
        <v>30</v>
      </c>
      <c r="C100" s="139">
        <v>30</v>
      </c>
      <c r="D100" s="139">
        <v>85</v>
      </c>
      <c r="E100" s="139">
        <v>6</v>
      </c>
      <c r="F100" s="139">
        <v>68</v>
      </c>
      <c r="G100" s="140">
        <v>25</v>
      </c>
      <c r="H100">
        <v>72</v>
      </c>
      <c r="I100">
        <v>23</v>
      </c>
      <c r="J100">
        <v>62</v>
      </c>
      <c r="K100">
        <v>21</v>
      </c>
      <c r="L100">
        <v>56</v>
      </c>
      <c r="M100">
        <v>21</v>
      </c>
      <c r="N100">
        <v>63</v>
      </c>
    </row>
    <row r="101" spans="1:14" x14ac:dyDescent="0.75">
      <c r="A101" s="129" t="s">
        <v>880</v>
      </c>
      <c r="B101" s="130">
        <v>265</v>
      </c>
      <c r="C101">
        <v>265</v>
      </c>
      <c r="D101">
        <v>264</v>
      </c>
      <c r="E101" s="70">
        <v>234</v>
      </c>
      <c r="F101">
        <v>277</v>
      </c>
      <c r="G101" s="131">
        <v>298</v>
      </c>
      <c r="H101">
        <v>289</v>
      </c>
      <c r="I101">
        <v>296</v>
      </c>
      <c r="J101">
        <v>275</v>
      </c>
      <c r="K101">
        <v>310</v>
      </c>
      <c r="L101">
        <v>280</v>
      </c>
      <c r="M101">
        <v>290</v>
      </c>
      <c r="N101">
        <v>270</v>
      </c>
    </row>
    <row r="102" spans="1:14" x14ac:dyDescent="0.75">
      <c r="A102" s="129"/>
      <c r="B102" s="130"/>
      <c r="G102" s="131"/>
    </row>
    <row r="103" spans="1:14" x14ac:dyDescent="0.75">
      <c r="A103" s="129" t="s">
        <v>881</v>
      </c>
      <c r="B103" s="130"/>
      <c r="G103" s="131"/>
    </row>
    <row r="104" spans="1:14" x14ac:dyDescent="0.75">
      <c r="A104" s="129" t="s">
        <v>882</v>
      </c>
      <c r="B104" s="130" t="s">
        <v>883</v>
      </c>
      <c r="C104" t="s">
        <v>883</v>
      </c>
      <c r="D104" s="141" t="s">
        <v>884</v>
      </c>
      <c r="E104" s="141" t="s">
        <v>884</v>
      </c>
      <c r="F104" s="141" t="s">
        <v>885</v>
      </c>
      <c r="G104" s="142" t="s">
        <v>885</v>
      </c>
    </row>
    <row r="105" spans="1:14" x14ac:dyDescent="0.75">
      <c r="A105" s="125" t="s">
        <v>877</v>
      </c>
      <c r="B105" s="132">
        <v>100</v>
      </c>
      <c r="C105" s="133"/>
      <c r="D105" s="133">
        <v>100</v>
      </c>
      <c r="E105" s="133">
        <v>20</v>
      </c>
      <c r="F105" s="133">
        <v>100</v>
      </c>
      <c r="G105" s="134">
        <v>20</v>
      </c>
    </row>
    <row r="106" spans="1:14" x14ac:dyDescent="0.75">
      <c r="A106" t="s">
        <v>886</v>
      </c>
      <c r="B106">
        <v>0</v>
      </c>
      <c r="C106">
        <v>0</v>
      </c>
      <c r="D106">
        <v>4.5</v>
      </c>
      <c r="E106">
        <v>14</v>
      </c>
      <c r="F106">
        <v>0.66</v>
      </c>
      <c r="G106">
        <v>7.5</v>
      </c>
    </row>
    <row r="107" spans="1:14" x14ac:dyDescent="0.75">
      <c r="A107" s="37" t="s">
        <v>887</v>
      </c>
      <c r="B107">
        <v>0</v>
      </c>
      <c r="C107">
        <v>0</v>
      </c>
      <c r="D107">
        <v>2.65</v>
      </c>
      <c r="E107">
        <v>7.65</v>
      </c>
      <c r="F107">
        <v>0.42</v>
      </c>
      <c r="G107">
        <v>4.9000000000000004</v>
      </c>
    </row>
    <row r="108" spans="1:14" x14ac:dyDescent="0.75">
      <c r="A108" s="120" t="s">
        <v>888</v>
      </c>
      <c r="B108" s="143">
        <v>0</v>
      </c>
      <c r="C108">
        <v>0</v>
      </c>
      <c r="D108">
        <v>-11</v>
      </c>
      <c r="E108">
        <v>19</v>
      </c>
      <c r="F108">
        <v>-2.9</v>
      </c>
      <c r="G108">
        <v>-87</v>
      </c>
    </row>
    <row r="109" spans="1:14" x14ac:dyDescent="0.75">
      <c r="A109" s="129" t="s">
        <v>889</v>
      </c>
      <c r="B109" s="144">
        <v>0</v>
      </c>
      <c r="C109">
        <v>0</v>
      </c>
      <c r="D109">
        <v>900</v>
      </c>
      <c r="E109">
        <v>3200</v>
      </c>
      <c r="F109">
        <v>130</v>
      </c>
      <c r="G109">
        <v>920</v>
      </c>
    </row>
    <row r="110" spans="1:14" x14ac:dyDescent="0.75">
      <c r="A110" s="129" t="s">
        <v>890</v>
      </c>
      <c r="B110" s="144">
        <v>0</v>
      </c>
      <c r="C110">
        <v>0</v>
      </c>
      <c r="D110">
        <v>-69</v>
      </c>
      <c r="E110">
        <v>-240</v>
      </c>
      <c r="F110">
        <v>-10</v>
      </c>
      <c r="G110">
        <v>-71</v>
      </c>
    </row>
    <row r="111" spans="1:14" x14ac:dyDescent="0.75">
      <c r="A111" s="129"/>
      <c r="B111" s="144"/>
    </row>
    <row r="112" spans="1:14" x14ac:dyDescent="0.75">
      <c r="A112" s="125" t="s">
        <v>891</v>
      </c>
      <c r="B112" s="145"/>
    </row>
    <row r="113" spans="1:24" x14ac:dyDescent="0.75">
      <c r="A113" t="s">
        <v>892</v>
      </c>
      <c r="B113">
        <v>0.85</v>
      </c>
    </row>
    <row r="114" spans="1:24" x14ac:dyDescent="0.75">
      <c r="A114" s="37" t="s">
        <v>893</v>
      </c>
      <c r="B114">
        <v>0.42857142857142855</v>
      </c>
    </row>
    <row r="115" spans="1:24" x14ac:dyDescent="0.75">
      <c r="A115" t="s">
        <v>894</v>
      </c>
      <c r="B115">
        <v>0.75</v>
      </c>
    </row>
    <row r="116" spans="1:24" x14ac:dyDescent="0.75">
      <c r="A116" t="s">
        <v>895</v>
      </c>
      <c r="B116" s="146">
        <v>0.27272727272727271</v>
      </c>
      <c r="F116" s="147"/>
      <c r="J116" s="147"/>
      <c r="N116" s="147"/>
      <c r="R116" s="148"/>
      <c r="V116" s="148"/>
    </row>
    <row r="117" spans="1:24" x14ac:dyDescent="0.75">
      <c r="A117" t="s">
        <v>896</v>
      </c>
      <c r="B117" s="149">
        <v>0.5</v>
      </c>
      <c r="F117" s="150"/>
      <c r="J117" s="150"/>
      <c r="N117" s="150"/>
      <c r="R117" s="151"/>
      <c r="V117" s="151"/>
    </row>
    <row r="118" spans="1:24" x14ac:dyDescent="0.75">
      <c r="B118" s="152"/>
      <c r="C118" s="153"/>
      <c r="D118" s="154"/>
      <c r="F118" s="152"/>
      <c r="G118" s="153"/>
      <c r="H118" s="154"/>
      <c r="J118" s="152"/>
      <c r="K118" s="155"/>
      <c r="L118" s="154"/>
      <c r="N118" s="152"/>
      <c r="O118" s="155"/>
      <c r="P118" s="154"/>
      <c r="R118" s="152"/>
      <c r="S118" s="155"/>
      <c r="T118" s="154"/>
      <c r="V118" s="152"/>
      <c r="W118" s="155"/>
      <c r="X118" s="154"/>
    </row>
    <row r="119" spans="1:24" x14ac:dyDescent="0.75">
      <c r="A119" t="s">
        <v>897</v>
      </c>
      <c r="B119" s="156"/>
      <c r="C119" s="157"/>
      <c r="D119" s="158"/>
      <c r="F119" s="156"/>
      <c r="G119" s="157"/>
      <c r="H119" s="158"/>
      <c r="J119" s="156"/>
      <c r="K119" s="157"/>
      <c r="L119" s="158"/>
      <c r="N119" s="156"/>
      <c r="O119" s="157"/>
      <c r="P119" s="158"/>
      <c r="R119" s="156"/>
      <c r="S119" s="157"/>
      <c r="T119" s="158"/>
      <c r="V119" s="156"/>
      <c r="W119" s="157"/>
      <c r="X119" s="158"/>
    </row>
    <row r="120" spans="1:24" x14ac:dyDescent="0.75">
      <c r="B120" s="159"/>
      <c r="C120" s="151"/>
      <c r="D120" s="160"/>
      <c r="F120" s="159"/>
      <c r="G120" s="151"/>
      <c r="H120" s="160"/>
      <c r="J120" s="159"/>
      <c r="K120" s="151"/>
      <c r="L120" s="160"/>
      <c r="N120" s="159"/>
      <c r="O120" s="151"/>
      <c r="P120" s="160"/>
      <c r="R120" s="159"/>
      <c r="S120" s="151"/>
      <c r="T120" s="160"/>
      <c r="V120" s="159"/>
      <c r="W120" s="151"/>
      <c r="X120" s="160"/>
    </row>
    <row r="121" spans="1:24" x14ac:dyDescent="0.75">
      <c r="B121" s="159">
        <v>10</v>
      </c>
      <c r="C121" s="151"/>
      <c r="D121" s="160"/>
      <c r="F121" s="159">
        <v>200</v>
      </c>
      <c r="G121" s="151"/>
      <c r="H121" s="160"/>
      <c r="J121" s="159">
        <v>11</v>
      </c>
      <c r="K121" s="151"/>
      <c r="L121" s="160"/>
      <c r="N121" s="159">
        <v>11</v>
      </c>
      <c r="O121" s="151"/>
      <c r="P121" s="160"/>
      <c r="R121" s="159">
        <v>27000</v>
      </c>
      <c r="S121" s="151"/>
      <c r="T121" s="160"/>
      <c r="V121" s="159">
        <v>1000</v>
      </c>
      <c r="W121" s="151"/>
      <c r="X121" s="160"/>
    </row>
    <row r="122" spans="1:24" x14ac:dyDescent="0.75">
      <c r="B122" s="159">
        <v>10</v>
      </c>
      <c r="C122" s="151"/>
      <c r="D122" s="160"/>
      <c r="F122" s="159">
        <v>200</v>
      </c>
      <c r="G122" s="151"/>
      <c r="H122" s="160"/>
      <c r="J122" s="159">
        <v>11</v>
      </c>
      <c r="K122" s="151"/>
      <c r="L122" s="160"/>
      <c r="N122" s="159">
        <v>11</v>
      </c>
      <c r="O122" s="151"/>
      <c r="P122" s="160"/>
      <c r="R122" s="159">
        <v>27000</v>
      </c>
      <c r="S122" s="151"/>
      <c r="T122" s="160"/>
      <c r="V122" s="159">
        <v>1000</v>
      </c>
      <c r="W122" s="151"/>
      <c r="X122" s="160"/>
    </row>
    <row r="123" spans="1:24" x14ac:dyDescent="0.75">
      <c r="B123" s="159" t="s">
        <v>898</v>
      </c>
      <c r="C123" s="151" t="s">
        <v>899</v>
      </c>
      <c r="D123" s="160" t="s">
        <v>900</v>
      </c>
      <c r="F123" s="161" t="s">
        <v>898</v>
      </c>
      <c r="G123" s="162" t="s">
        <v>901</v>
      </c>
      <c r="H123" s="163" t="s">
        <v>900</v>
      </c>
      <c r="J123" s="161" t="s">
        <v>898</v>
      </c>
      <c r="K123" s="162" t="s">
        <v>902</v>
      </c>
      <c r="L123" s="163" t="s">
        <v>900</v>
      </c>
      <c r="N123" s="161" t="s">
        <v>898</v>
      </c>
      <c r="O123" s="162" t="s">
        <v>903</v>
      </c>
      <c r="P123" s="163" t="s">
        <v>900</v>
      </c>
      <c r="R123" s="161" t="s">
        <v>898</v>
      </c>
      <c r="S123" s="162" t="s">
        <v>904</v>
      </c>
      <c r="T123" s="163" t="s">
        <v>900</v>
      </c>
      <c r="V123" s="161" t="s">
        <v>898</v>
      </c>
      <c r="W123" s="162" t="s">
        <v>905</v>
      </c>
      <c r="X123" s="163" t="s">
        <v>900</v>
      </c>
    </row>
    <row r="124" spans="1:24" x14ac:dyDescent="0.75">
      <c r="B124" s="159">
        <v>1990</v>
      </c>
      <c r="C124" s="151">
        <v>500</v>
      </c>
      <c r="D124" s="160">
        <v>19.607843137254903</v>
      </c>
      <c r="F124" s="159">
        <v>1990</v>
      </c>
      <c r="G124" s="151">
        <v>600</v>
      </c>
      <c r="H124" s="160">
        <v>3</v>
      </c>
      <c r="J124" s="159">
        <v>1990</v>
      </c>
      <c r="K124" s="151">
        <v>350</v>
      </c>
      <c r="L124" s="160">
        <v>31.818181818181817</v>
      </c>
      <c r="N124" s="159">
        <v>1990</v>
      </c>
      <c r="O124" s="151">
        <v>2283</v>
      </c>
      <c r="P124" s="160">
        <v>14.006134969325153</v>
      </c>
      <c r="R124" s="159">
        <v>1990</v>
      </c>
      <c r="S124" s="151">
        <v>27000</v>
      </c>
      <c r="T124" s="160">
        <v>1</v>
      </c>
      <c r="V124" s="159">
        <v>1990</v>
      </c>
      <c r="W124" s="151">
        <v>2000</v>
      </c>
      <c r="X124" s="160">
        <v>1</v>
      </c>
    </row>
    <row r="125" spans="1:24" x14ac:dyDescent="0.75">
      <c r="B125" s="159">
        <v>1995</v>
      </c>
      <c r="C125" s="151">
        <v>340</v>
      </c>
      <c r="D125" s="160">
        <v>13.333333333333334</v>
      </c>
      <c r="F125" s="164">
        <v>1995</v>
      </c>
      <c r="G125" s="165">
        <v>350</v>
      </c>
      <c r="H125" s="166">
        <v>1.75</v>
      </c>
      <c r="J125" s="164">
        <v>1995</v>
      </c>
      <c r="K125" s="165">
        <v>200</v>
      </c>
      <c r="L125" s="166">
        <v>18.181818181818183</v>
      </c>
      <c r="N125" s="164">
        <v>1995</v>
      </c>
      <c r="O125" s="165">
        <v>2283</v>
      </c>
      <c r="P125" s="166">
        <v>14.006134969325153</v>
      </c>
      <c r="R125" s="164">
        <v>1995</v>
      </c>
      <c r="S125" s="165">
        <v>27000</v>
      </c>
      <c r="T125" s="166">
        <v>1</v>
      </c>
      <c r="V125" s="164">
        <v>1995</v>
      </c>
      <c r="W125" s="165">
        <v>2000</v>
      </c>
      <c r="X125" s="166">
        <v>1</v>
      </c>
    </row>
    <row r="126" spans="1:24" x14ac:dyDescent="0.75">
      <c r="B126" s="164">
        <v>2000</v>
      </c>
      <c r="C126" s="165">
        <v>200</v>
      </c>
      <c r="D126" s="166">
        <v>7.8431372549019605</v>
      </c>
      <c r="F126">
        <v>2000</v>
      </c>
      <c r="G126">
        <v>200</v>
      </c>
      <c r="H126">
        <v>1</v>
      </c>
      <c r="J126">
        <v>2000</v>
      </c>
      <c r="K126">
        <v>120</v>
      </c>
      <c r="L126">
        <v>10.909090909090908</v>
      </c>
      <c r="N126">
        <v>2000</v>
      </c>
      <c r="O126">
        <v>2283</v>
      </c>
      <c r="P126">
        <v>14.006134969325153</v>
      </c>
      <c r="R126">
        <v>2000</v>
      </c>
      <c r="S126">
        <v>27000</v>
      </c>
      <c r="T126">
        <v>1</v>
      </c>
      <c r="V126">
        <v>2000</v>
      </c>
      <c r="W126">
        <v>2000</v>
      </c>
      <c r="X126">
        <v>1</v>
      </c>
    </row>
    <row r="127" spans="1:24" x14ac:dyDescent="0.75">
      <c r="B127">
        <v>2005</v>
      </c>
      <c r="C127">
        <v>25.5</v>
      </c>
      <c r="D127">
        <v>1</v>
      </c>
      <c r="F127">
        <v>2005</v>
      </c>
      <c r="G127">
        <v>200</v>
      </c>
      <c r="H127">
        <v>1</v>
      </c>
      <c r="J127">
        <v>2005</v>
      </c>
      <c r="K127">
        <v>120</v>
      </c>
      <c r="L127">
        <v>10.909090909090908</v>
      </c>
      <c r="N127">
        <v>2005</v>
      </c>
      <c r="O127">
        <v>2283</v>
      </c>
      <c r="P127">
        <v>14.006134969325153</v>
      </c>
      <c r="R127">
        <v>2005</v>
      </c>
      <c r="S127">
        <v>27000</v>
      </c>
      <c r="T127">
        <v>1</v>
      </c>
      <c r="V127">
        <v>2005</v>
      </c>
      <c r="W127">
        <v>2000</v>
      </c>
      <c r="X127">
        <v>1</v>
      </c>
    </row>
    <row r="128" spans="1:24" x14ac:dyDescent="0.75">
      <c r="A128" s="37"/>
      <c r="B128">
        <v>2010</v>
      </c>
      <c r="C128">
        <v>25.5</v>
      </c>
      <c r="D128">
        <v>1</v>
      </c>
      <c r="F128">
        <v>2010</v>
      </c>
      <c r="G128">
        <v>200</v>
      </c>
      <c r="H128">
        <v>1</v>
      </c>
      <c r="J128">
        <v>2010</v>
      </c>
      <c r="K128">
        <v>11</v>
      </c>
      <c r="L128">
        <v>1</v>
      </c>
      <c r="N128">
        <v>2010</v>
      </c>
      <c r="O128">
        <v>163</v>
      </c>
      <c r="P128">
        <v>1</v>
      </c>
      <c r="R128">
        <v>2010</v>
      </c>
      <c r="S128">
        <v>27000</v>
      </c>
      <c r="T128">
        <v>1</v>
      </c>
      <c r="V128">
        <v>2010</v>
      </c>
      <c r="W128">
        <v>2000</v>
      </c>
      <c r="X128">
        <v>1</v>
      </c>
    </row>
    <row r="129" spans="1:24" x14ac:dyDescent="0.75">
      <c r="A129" s="167"/>
      <c r="B129" s="168">
        <v>2015</v>
      </c>
      <c r="C129" s="168">
        <v>25.5</v>
      </c>
      <c r="D129" s="168">
        <v>1</v>
      </c>
      <c r="E129" s="168"/>
      <c r="F129" s="169">
        <v>2015</v>
      </c>
      <c r="G129">
        <v>200</v>
      </c>
      <c r="H129">
        <v>1</v>
      </c>
      <c r="J129">
        <v>2015</v>
      </c>
      <c r="K129">
        <v>11</v>
      </c>
      <c r="L129">
        <v>1</v>
      </c>
      <c r="N129">
        <v>2015</v>
      </c>
      <c r="O129">
        <v>11</v>
      </c>
      <c r="P129">
        <v>6.7484662576687116E-2</v>
      </c>
      <c r="R129">
        <v>2015</v>
      </c>
      <c r="S129">
        <v>27000</v>
      </c>
      <c r="T129">
        <v>1</v>
      </c>
      <c r="V129">
        <v>2015</v>
      </c>
      <c r="W129">
        <v>1000</v>
      </c>
      <c r="X129">
        <v>0.5</v>
      </c>
    </row>
    <row r="130" spans="1:24" x14ac:dyDescent="0.75">
      <c r="A130" s="170"/>
      <c r="B130" s="171">
        <v>2017</v>
      </c>
      <c r="C130" s="171">
        <v>10</v>
      </c>
      <c r="D130" s="171">
        <v>0.39215686274509803</v>
      </c>
      <c r="E130" s="172"/>
      <c r="F130" s="173">
        <v>2020</v>
      </c>
      <c r="G130">
        <v>200</v>
      </c>
      <c r="H130">
        <v>1</v>
      </c>
      <c r="J130">
        <v>2020</v>
      </c>
      <c r="K130">
        <v>11</v>
      </c>
      <c r="L130">
        <v>1</v>
      </c>
      <c r="N130">
        <v>2020</v>
      </c>
      <c r="O130">
        <v>11</v>
      </c>
      <c r="P130">
        <v>6.7484662576687116E-2</v>
      </c>
      <c r="R130">
        <v>2020</v>
      </c>
      <c r="S130">
        <v>5000</v>
      </c>
      <c r="T130">
        <v>0.185</v>
      </c>
      <c r="V130">
        <v>2020</v>
      </c>
      <c r="W130">
        <v>1000</v>
      </c>
      <c r="X130">
        <v>0.5</v>
      </c>
    </row>
    <row r="131" spans="1:24" x14ac:dyDescent="0.75">
      <c r="A131" s="170"/>
      <c r="B131" s="174">
        <v>2020</v>
      </c>
      <c r="C131" s="171">
        <v>10</v>
      </c>
      <c r="D131" s="171">
        <v>0.39215686274509803</v>
      </c>
      <c r="E131" s="172"/>
      <c r="F131" s="175"/>
    </row>
    <row r="132" spans="1:24" x14ac:dyDescent="0.75">
      <c r="A132" s="170"/>
      <c r="B132" s="174"/>
      <c r="C132" s="174"/>
      <c r="D132" s="171"/>
      <c r="E132" s="174"/>
      <c r="F132" s="175"/>
    </row>
    <row r="133" spans="1:24" x14ac:dyDescent="0.75">
      <c r="A133" s="170" t="s">
        <v>906</v>
      </c>
      <c r="B133" s="174"/>
      <c r="C133" s="172"/>
      <c r="D133" s="171"/>
      <c r="E133" s="171"/>
      <c r="F133" s="173"/>
    </row>
    <row r="134" spans="1:24" x14ac:dyDescent="0.75">
      <c r="A134" s="176" t="s">
        <v>907</v>
      </c>
      <c r="B134" s="177" t="s">
        <v>908</v>
      </c>
      <c r="C134" s="177" t="s">
        <v>909</v>
      </c>
      <c r="D134" s="178" t="s">
        <v>910</v>
      </c>
      <c r="E134" s="177" t="s">
        <v>911</v>
      </c>
      <c r="F134" s="179" t="s">
        <v>912</v>
      </c>
    </row>
    <row r="135" spans="1:24" x14ac:dyDescent="0.75">
      <c r="A135" t="s">
        <v>913</v>
      </c>
      <c r="B135">
        <v>1</v>
      </c>
      <c r="C135">
        <v>1000</v>
      </c>
      <c r="D135">
        <v>1000000</v>
      </c>
      <c r="E135">
        <v>453.59237000000002</v>
      </c>
      <c r="F135">
        <v>907184.74</v>
      </c>
    </row>
    <row r="136" spans="1:24" x14ac:dyDescent="0.75">
      <c r="A136" s="167" t="s">
        <v>165</v>
      </c>
      <c r="B136" s="168">
        <v>1E-3</v>
      </c>
      <c r="C136" s="168">
        <v>1</v>
      </c>
      <c r="D136" s="168">
        <v>1000</v>
      </c>
      <c r="E136" s="168">
        <v>0.45359237000000002</v>
      </c>
      <c r="F136" s="169">
        <v>907.18474000000003</v>
      </c>
    </row>
    <row r="137" spans="1:24" x14ac:dyDescent="0.75">
      <c r="A137" s="170" t="s">
        <v>914</v>
      </c>
      <c r="B137" s="149">
        <v>9.9999999999999995E-7</v>
      </c>
      <c r="C137" s="180">
        <v>1E-3</v>
      </c>
      <c r="D137" s="181">
        <v>1</v>
      </c>
      <c r="E137" s="182">
        <v>4.5359237000000004E-4</v>
      </c>
      <c r="F137" s="183">
        <v>0.90718474000000004</v>
      </c>
    </row>
    <row r="138" spans="1:24" x14ac:dyDescent="0.75">
      <c r="A138" s="170" t="s">
        <v>915</v>
      </c>
      <c r="B138" s="171">
        <v>2.2046226218487759E-3</v>
      </c>
      <c r="C138" s="171">
        <v>2.2046226218487757</v>
      </c>
      <c r="D138" s="171">
        <v>2204.6226218487759</v>
      </c>
      <c r="E138" s="171">
        <v>1</v>
      </c>
      <c r="F138" s="173">
        <v>2000</v>
      </c>
    </row>
    <row r="139" spans="1:24" x14ac:dyDescent="0.75">
      <c r="A139" s="170" t="s">
        <v>916</v>
      </c>
      <c r="B139" s="171">
        <v>1.102311310924388E-6</v>
      </c>
      <c r="C139" s="172">
        <v>1.1023113109243879E-3</v>
      </c>
      <c r="D139" s="171">
        <v>1.1023113109243878</v>
      </c>
      <c r="E139" s="172">
        <v>5.0000000000000001E-4</v>
      </c>
      <c r="F139" s="175">
        <v>1</v>
      </c>
    </row>
    <row r="140" spans="1:24" x14ac:dyDescent="0.75">
      <c r="A140" s="170"/>
      <c r="B140" s="151"/>
      <c r="C140" s="174"/>
      <c r="D140" s="172"/>
      <c r="E140" s="171"/>
      <c r="F140" s="175"/>
    </row>
    <row r="141" spans="1:24" x14ac:dyDescent="0.75">
      <c r="A141" s="176" t="s">
        <v>917</v>
      </c>
      <c r="B141" s="165" t="s">
        <v>918</v>
      </c>
      <c r="C141" s="177" t="s">
        <v>919</v>
      </c>
      <c r="D141" s="178" t="s">
        <v>920</v>
      </c>
      <c r="E141" s="178" t="s">
        <v>921</v>
      </c>
      <c r="F141" s="179" t="s">
        <v>922</v>
      </c>
    </row>
    <row r="142" spans="1:24" x14ac:dyDescent="0.75">
      <c r="A142" t="s">
        <v>923</v>
      </c>
      <c r="B142">
        <v>1</v>
      </c>
      <c r="C142">
        <v>9.9999999999999995E-7</v>
      </c>
      <c r="D142">
        <v>1E-3</v>
      </c>
      <c r="E142">
        <v>3.7854109999999998E-3</v>
      </c>
      <c r="F142">
        <v>2.8316846999999999E-2</v>
      </c>
    </row>
    <row r="143" spans="1:24" x14ac:dyDescent="0.75">
      <c r="A143" s="167" t="s">
        <v>924</v>
      </c>
      <c r="B143" s="168">
        <v>1000000</v>
      </c>
      <c r="C143" s="168">
        <v>1</v>
      </c>
      <c r="D143" s="168">
        <v>1000.0000000000001</v>
      </c>
      <c r="E143" s="168">
        <v>3785.4110000000001</v>
      </c>
      <c r="F143" s="168">
        <v>28316.847000000002</v>
      </c>
      <c r="G143" s="168"/>
      <c r="H143" s="168"/>
      <c r="I143" s="169"/>
    </row>
    <row r="144" spans="1:24" x14ac:dyDescent="0.75">
      <c r="A144" s="170" t="s">
        <v>925</v>
      </c>
      <c r="B144" s="171">
        <v>1000</v>
      </c>
      <c r="C144" s="171">
        <v>1E-3</v>
      </c>
      <c r="D144" s="171">
        <v>1</v>
      </c>
      <c r="E144" s="171">
        <v>3.7854109999999999</v>
      </c>
      <c r="F144" s="171">
        <v>28.316846999999999</v>
      </c>
      <c r="G144" s="171"/>
      <c r="H144" s="171"/>
      <c r="I144" s="131"/>
    </row>
    <row r="145" spans="1:9" x14ac:dyDescent="0.75">
      <c r="A145" s="170" t="s">
        <v>926</v>
      </c>
      <c r="B145" s="172">
        <v>264.17210707106841</v>
      </c>
      <c r="C145" s="171">
        <v>2.6417210707106839E-4</v>
      </c>
      <c r="D145" s="171">
        <v>0.26417210707106842</v>
      </c>
      <c r="E145" s="151">
        <v>1</v>
      </c>
      <c r="F145" s="171">
        <v>7.4805211375990615</v>
      </c>
      <c r="G145" s="172"/>
      <c r="H145" s="171"/>
      <c r="I145" s="131"/>
    </row>
    <row r="146" spans="1:9" x14ac:dyDescent="0.75">
      <c r="A146" s="170" t="s">
        <v>927</v>
      </c>
      <c r="B146" s="174">
        <v>35.314666212661322</v>
      </c>
      <c r="C146" s="172">
        <v>3.5314666212661319E-5</v>
      </c>
      <c r="D146" s="171">
        <v>3.5314666212661321E-2</v>
      </c>
      <c r="E146" s="184">
        <v>0.13368052594273649</v>
      </c>
      <c r="F146" s="151">
        <v>1</v>
      </c>
      <c r="G146" s="174"/>
      <c r="H146" s="171"/>
      <c r="I146" s="131"/>
    </row>
    <row r="147" spans="1:9" x14ac:dyDescent="0.75">
      <c r="A147" s="170"/>
      <c r="B147" s="174"/>
      <c r="C147" s="172"/>
      <c r="D147" s="171"/>
      <c r="E147" s="171"/>
      <c r="F147" s="171"/>
      <c r="G147" s="172"/>
      <c r="H147" s="171"/>
      <c r="I147" s="131"/>
    </row>
    <row r="148" spans="1:9" x14ac:dyDescent="0.75">
      <c r="A148" s="170" t="s">
        <v>928</v>
      </c>
      <c r="B148" s="185" t="s">
        <v>929</v>
      </c>
      <c r="C148" s="174" t="s">
        <v>930</v>
      </c>
      <c r="D148" s="172" t="s">
        <v>931</v>
      </c>
      <c r="E148" s="172" t="s">
        <v>932</v>
      </c>
      <c r="F148" s="171" t="s">
        <v>933</v>
      </c>
      <c r="G148" s="174" t="s">
        <v>934</v>
      </c>
      <c r="H148" s="171" t="s">
        <v>935</v>
      </c>
      <c r="I148" s="131" t="s">
        <v>936</v>
      </c>
    </row>
    <row r="149" spans="1:9" x14ac:dyDescent="0.75">
      <c r="A149" s="170" t="s">
        <v>937</v>
      </c>
      <c r="B149" s="174">
        <v>1</v>
      </c>
      <c r="C149" s="172">
        <v>1000</v>
      </c>
      <c r="D149" s="171">
        <v>1000000</v>
      </c>
      <c r="E149" s="172">
        <v>3600</v>
      </c>
      <c r="F149" s="171">
        <v>3600000</v>
      </c>
      <c r="G149" s="171">
        <v>1055.05585</v>
      </c>
      <c r="H149" s="171">
        <v>1055055850</v>
      </c>
      <c r="I149" s="131">
        <v>2684519.5376862194</v>
      </c>
    </row>
    <row r="150" spans="1:9" x14ac:dyDescent="0.75">
      <c r="A150" s="170" t="s">
        <v>938</v>
      </c>
      <c r="B150" s="186">
        <v>1E-3</v>
      </c>
      <c r="C150" s="174">
        <v>1</v>
      </c>
      <c r="D150" s="174">
        <v>1000</v>
      </c>
      <c r="E150" s="187">
        <v>3.6</v>
      </c>
      <c r="F150" s="174">
        <v>3600</v>
      </c>
      <c r="G150" s="174">
        <v>1.05505585</v>
      </c>
      <c r="H150" s="171">
        <v>1055055.8500000001</v>
      </c>
      <c r="I150" s="131">
        <v>2684.5195376862198</v>
      </c>
    </row>
    <row r="151" spans="1:9" x14ac:dyDescent="0.75">
      <c r="A151" s="176" t="s">
        <v>939</v>
      </c>
      <c r="B151" s="133">
        <v>9.9999999999999995E-7</v>
      </c>
      <c r="C151" s="133">
        <v>1E-3</v>
      </c>
      <c r="D151" s="133">
        <v>1</v>
      </c>
      <c r="E151" s="133">
        <v>3.5999999999999999E-3</v>
      </c>
      <c r="F151" s="133">
        <v>3.6</v>
      </c>
      <c r="G151" s="133">
        <v>1.0550558499999999E-3</v>
      </c>
      <c r="H151" s="133">
        <v>1055.05585</v>
      </c>
      <c r="I151" s="134">
        <v>2.6845195376862194</v>
      </c>
    </row>
    <row r="152" spans="1:9" x14ac:dyDescent="0.75">
      <c r="A152" t="s">
        <v>940</v>
      </c>
      <c r="B152">
        <v>2.7777777777777778E-4</v>
      </c>
      <c r="C152">
        <v>0.27777777777777779</v>
      </c>
      <c r="D152">
        <v>277.77777777777777</v>
      </c>
      <c r="E152">
        <v>1</v>
      </c>
      <c r="F152">
        <v>1000</v>
      </c>
      <c r="G152">
        <v>0.29307106944444444</v>
      </c>
      <c r="H152">
        <v>293071.06944444444</v>
      </c>
      <c r="I152">
        <v>745.69987157950538</v>
      </c>
    </row>
    <row r="153" spans="1:9" x14ac:dyDescent="0.75">
      <c r="A153" t="s">
        <v>941</v>
      </c>
      <c r="B153">
        <v>2.7777777777777776E-7</v>
      </c>
      <c r="C153">
        <v>2.7777777777777778E-4</v>
      </c>
      <c r="D153">
        <v>0.27777777777777779</v>
      </c>
      <c r="E153">
        <v>1E-3</v>
      </c>
      <c r="F153">
        <v>1</v>
      </c>
      <c r="G153">
        <v>2.9307106944444444E-4</v>
      </c>
      <c r="H153">
        <v>293.07106944444445</v>
      </c>
      <c r="I153">
        <v>0.74569987157950535</v>
      </c>
    </row>
    <row r="154" spans="1:9" x14ac:dyDescent="0.75">
      <c r="A154" t="s">
        <v>942</v>
      </c>
      <c r="B154">
        <v>9.4781712266701337E-4</v>
      </c>
      <c r="C154">
        <v>0.94781712266701335</v>
      </c>
      <c r="D154">
        <v>947.81712266701334</v>
      </c>
      <c r="E154">
        <v>3.4121416416012482</v>
      </c>
      <c r="F154">
        <v>3412.141641601248</v>
      </c>
      <c r="G154">
        <v>1</v>
      </c>
      <c r="H154">
        <v>1000000</v>
      </c>
      <c r="I154">
        <v>2544.4335839531336</v>
      </c>
    </row>
    <row r="155" spans="1:9" x14ac:dyDescent="0.75">
      <c r="A155" t="s">
        <v>943</v>
      </c>
      <c r="B155">
        <v>9.4781712266701324E-10</v>
      </c>
      <c r="C155">
        <v>9.4781712266701326E-7</v>
      </c>
      <c r="D155">
        <v>9.4781712266701326E-4</v>
      </c>
      <c r="E155">
        <v>3.4121416416012478E-6</v>
      </c>
      <c r="F155">
        <v>3.4121416416012479E-3</v>
      </c>
      <c r="G155">
        <v>9.9999999999999995E-7</v>
      </c>
      <c r="H155">
        <v>1</v>
      </c>
      <c r="I155">
        <v>2.5444335839531337E-3</v>
      </c>
    </row>
    <row r="156" spans="1:9" x14ac:dyDescent="0.75">
      <c r="A156" t="s">
        <v>944</v>
      </c>
      <c r="B156">
        <v>3.72506136E-7</v>
      </c>
      <c r="C156">
        <v>3.7250613599999999E-4</v>
      </c>
      <c r="D156">
        <v>0.37250613599999999</v>
      </c>
      <c r="E156">
        <v>1.3410220896E-3</v>
      </c>
      <c r="F156">
        <v>1.3410220896</v>
      </c>
      <c r="G156">
        <v>3.9301477794769559E-4</v>
      </c>
      <c r="H156">
        <v>393.01477794769556</v>
      </c>
      <c r="I156">
        <v>1</v>
      </c>
    </row>
    <row r="158" spans="1:9" x14ac:dyDescent="0.75">
      <c r="A158" t="s">
        <v>945</v>
      </c>
      <c r="B158" t="s">
        <v>946</v>
      </c>
      <c r="C158" t="s">
        <v>947</v>
      </c>
      <c r="D158" t="s">
        <v>948</v>
      </c>
      <c r="E158" t="s">
        <v>949</v>
      </c>
      <c r="F158" t="s">
        <v>950</v>
      </c>
    </row>
    <row r="159" spans="1:9" x14ac:dyDescent="0.75">
      <c r="A159" t="s">
        <v>946</v>
      </c>
      <c r="B159">
        <v>1</v>
      </c>
      <c r="C159">
        <v>1000</v>
      </c>
      <c r="D159">
        <v>1000000</v>
      </c>
      <c r="E159">
        <v>304.8</v>
      </c>
      <c r="F159">
        <v>1609340</v>
      </c>
    </row>
    <row r="160" spans="1:9" x14ac:dyDescent="0.75">
      <c r="A160" t="s">
        <v>947</v>
      </c>
      <c r="B160">
        <v>1E-3</v>
      </c>
      <c r="C160">
        <v>1</v>
      </c>
      <c r="D160">
        <v>1000</v>
      </c>
      <c r="E160">
        <v>0.30480000000000002</v>
      </c>
      <c r="F160">
        <v>1609.34</v>
      </c>
    </row>
    <row r="161" spans="1:6" x14ac:dyDescent="0.75">
      <c r="A161" t="s">
        <v>948</v>
      </c>
      <c r="B161">
        <v>9.9999999999999995E-7</v>
      </c>
      <c r="C161">
        <v>1E-3</v>
      </c>
      <c r="D161">
        <v>1</v>
      </c>
      <c r="E161">
        <v>3.0480000000000004E-4</v>
      </c>
      <c r="F161">
        <v>1.60934</v>
      </c>
    </row>
    <row r="162" spans="1:6" x14ac:dyDescent="0.75">
      <c r="A162" t="s">
        <v>949</v>
      </c>
      <c r="B162">
        <v>3.2808398950131233E-3</v>
      </c>
      <c r="C162">
        <v>3.2808398950131235</v>
      </c>
      <c r="D162">
        <v>3280.8398950131236</v>
      </c>
      <c r="E162">
        <v>1</v>
      </c>
      <c r="F162">
        <v>5280</v>
      </c>
    </row>
    <row r="163" spans="1:6" x14ac:dyDescent="0.75">
      <c r="A163" t="s">
        <v>950</v>
      </c>
      <c r="B163">
        <v>6.2137273664980671E-7</v>
      </c>
      <c r="C163">
        <v>6.2137273664980672E-4</v>
      </c>
      <c r="D163">
        <v>0.62137273664980675</v>
      </c>
      <c r="E163">
        <v>1.8939393939393939E-4</v>
      </c>
      <c r="F163">
        <v>1</v>
      </c>
    </row>
  </sheetData>
  <dataValidations count="5">
    <dataValidation type="list" allowBlank="1" showInputMessage="1" showErrorMessage="1" sqref="B5" xr:uid="{00000000-0002-0000-0600-000000000000}">
      <formula1>"1,2"</formula1>
    </dataValidation>
    <dataValidation type="list" allowBlank="1" showInputMessage="1" showErrorMessage="1" sqref="B92" xr:uid="{00000000-0002-0000-0600-000001000000}">
      <formula1>"AR5/GWP,AR5/GTP,AR4/GWP,AR3/GWP,AR2/GWP,AR1/GWP"</formula1>
    </dataValidation>
    <dataValidation type="list" allowBlank="1" showInputMessage="1" showErrorMessage="1" sqref="B93" xr:uid="{00000000-0002-0000-0600-000002000000}">
      <formula1>$C$93:$D$93</formula1>
    </dataValidation>
    <dataValidation type="list" allowBlank="1" showInputMessage="1" showErrorMessage="1" sqref="B99" xr:uid="{00000000-0002-0000-0600-000003000000}">
      <formula1>"None, GWP, GTP"</formula1>
    </dataValidation>
    <dataValidation type="list" allowBlank="1" showInputMessage="1" showErrorMessage="1" sqref="B100" xr:uid="{00000000-0002-0000-0600-000004000000}">
      <formula1>$D$100:$E$100</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E1D80-FA39-404D-8F7E-8F9683B1E19B}">
  <dimension ref="A1:AA54"/>
  <sheetViews>
    <sheetView topLeftCell="S8" workbookViewId="0">
      <selection activeCell="W8" sqref="W8"/>
    </sheetView>
  </sheetViews>
  <sheetFormatPr defaultColWidth="10.86328125" defaultRowHeight="14.75" x14ac:dyDescent="0.75"/>
  <cols>
    <col min="1" max="1" width="30.86328125" style="287" customWidth="1"/>
    <col min="2" max="16384" width="10.86328125" style="287"/>
  </cols>
  <sheetData>
    <row r="1" spans="1:27" x14ac:dyDescent="0.75">
      <c r="A1" s="288" t="s">
        <v>951</v>
      </c>
    </row>
    <row r="2" spans="1:27" x14ac:dyDescent="0.75">
      <c r="A2" s="288" t="s">
        <v>952</v>
      </c>
    </row>
    <row r="3" spans="1:27" x14ac:dyDescent="0.75">
      <c r="A3" s="288" t="s">
        <v>953</v>
      </c>
    </row>
    <row r="4" spans="1:27" x14ac:dyDescent="0.75">
      <c r="A4" s="288" t="s">
        <v>954</v>
      </c>
    </row>
    <row r="6" spans="1:27" x14ac:dyDescent="0.75">
      <c r="A6" s="287" t="s">
        <v>955</v>
      </c>
    </row>
    <row r="8" spans="1:27" x14ac:dyDescent="0.75">
      <c r="A8" s="287" t="s">
        <v>956</v>
      </c>
      <c r="B8" s="288" t="s">
        <v>957</v>
      </c>
      <c r="C8" s="288" t="s">
        <v>958</v>
      </c>
      <c r="D8" s="288" t="s">
        <v>959</v>
      </c>
      <c r="E8" s="288" t="s">
        <v>960</v>
      </c>
      <c r="F8" s="288" t="s">
        <v>961</v>
      </c>
      <c r="G8" s="288" t="s">
        <v>962</v>
      </c>
      <c r="H8" s="288" t="s">
        <v>963</v>
      </c>
      <c r="I8" s="288" t="s">
        <v>964</v>
      </c>
      <c r="J8" s="288" t="s">
        <v>965</v>
      </c>
      <c r="K8" s="288" t="s">
        <v>966</v>
      </c>
      <c r="L8" s="288" t="s">
        <v>967</v>
      </c>
      <c r="M8" s="288" t="s">
        <v>968</v>
      </c>
      <c r="N8" s="288" t="s">
        <v>969</v>
      </c>
      <c r="O8" s="288" t="s">
        <v>970</v>
      </c>
      <c r="P8" s="288" t="s">
        <v>971</v>
      </c>
      <c r="Q8" s="288" t="s">
        <v>972</v>
      </c>
      <c r="R8" s="288" t="s">
        <v>973</v>
      </c>
      <c r="S8" s="288" t="s">
        <v>974</v>
      </c>
      <c r="T8" s="288" t="s">
        <v>975</v>
      </c>
      <c r="U8" s="288" t="s">
        <v>976</v>
      </c>
      <c r="V8" s="288" t="s">
        <v>977</v>
      </c>
      <c r="W8" s="288" t="s">
        <v>978</v>
      </c>
      <c r="X8" s="288" t="s">
        <v>979</v>
      </c>
      <c r="Y8" s="288" t="s">
        <v>980</v>
      </c>
      <c r="Z8" s="288" t="s">
        <v>981</v>
      </c>
      <c r="AA8" s="288" t="s">
        <v>982</v>
      </c>
    </row>
    <row r="9" spans="1:27" x14ac:dyDescent="0.75">
      <c r="A9" s="287" t="s">
        <v>983</v>
      </c>
    </row>
    <row r="11" spans="1:27" x14ac:dyDescent="0.75">
      <c r="A11" s="287" t="s">
        <v>984</v>
      </c>
      <c r="B11" s="287">
        <v>137.58600000000001</v>
      </c>
      <c r="C11" s="287">
        <v>3807.5610000000001</v>
      </c>
      <c r="D11" s="287">
        <v>563.00099999999998</v>
      </c>
      <c r="E11" s="287">
        <v>1657.9359999999999</v>
      </c>
      <c r="F11" s="287">
        <v>152.76900000000001</v>
      </c>
      <c r="G11" s="287">
        <v>315.29500000000002</v>
      </c>
      <c r="H11" s="287">
        <v>98.16</v>
      </c>
      <c r="I11" s="287">
        <v>196.655</v>
      </c>
      <c r="J11" s="287">
        <v>180.54300000000001</v>
      </c>
      <c r="K11" s="287">
        <v>112.61</v>
      </c>
      <c r="L11" s="287">
        <v>244.46799999999999</v>
      </c>
      <c r="M11" s="287">
        <v>2.403</v>
      </c>
      <c r="N11" s="287">
        <v>7468.9870000000001</v>
      </c>
      <c r="O11" s="287">
        <v>0</v>
      </c>
      <c r="P11" s="287">
        <v>0</v>
      </c>
      <c r="Q11" s="287">
        <v>0</v>
      </c>
      <c r="R11" s="287">
        <v>0</v>
      </c>
      <c r="S11" s="287">
        <v>0</v>
      </c>
      <c r="T11" s="287">
        <v>0</v>
      </c>
      <c r="U11" s="287">
        <v>0</v>
      </c>
      <c r="V11" s="287">
        <v>0</v>
      </c>
      <c r="W11" s="287">
        <v>0</v>
      </c>
      <c r="X11" s="287">
        <v>0</v>
      </c>
      <c r="Y11" s="287">
        <v>0</v>
      </c>
      <c r="Z11" s="287">
        <v>0</v>
      </c>
      <c r="AA11" s="287">
        <v>7468.9870000000001</v>
      </c>
    </row>
    <row r="12" spans="1:27" x14ac:dyDescent="0.75">
      <c r="A12" s="287" t="s">
        <v>985</v>
      </c>
      <c r="B12" s="287">
        <v>0</v>
      </c>
      <c r="C12" s="287">
        <v>0</v>
      </c>
      <c r="D12" s="287">
        <v>0</v>
      </c>
      <c r="E12" s="287">
        <v>1145.8309999999999</v>
      </c>
      <c r="F12" s="287">
        <v>0</v>
      </c>
      <c r="G12" s="287">
        <v>0</v>
      </c>
      <c r="H12" s="287">
        <v>0</v>
      </c>
      <c r="I12" s="287">
        <v>0</v>
      </c>
      <c r="J12" s="287">
        <v>0</v>
      </c>
      <c r="K12" s="287">
        <v>0</v>
      </c>
      <c r="L12" s="287">
        <v>0</v>
      </c>
      <c r="M12" s="287">
        <v>0</v>
      </c>
      <c r="N12" s="287">
        <v>1145.8309999999999</v>
      </c>
      <c r="O12" s="287">
        <v>0</v>
      </c>
      <c r="P12" s="287">
        <v>0</v>
      </c>
      <c r="Q12" s="287">
        <v>0</v>
      </c>
      <c r="R12" s="287">
        <v>0</v>
      </c>
      <c r="S12" s="287">
        <v>0</v>
      </c>
      <c r="T12" s="287">
        <v>0</v>
      </c>
      <c r="U12" s="287">
        <v>0</v>
      </c>
      <c r="V12" s="287">
        <v>0</v>
      </c>
      <c r="W12" s="287">
        <v>0</v>
      </c>
      <c r="X12" s="287">
        <v>0</v>
      </c>
      <c r="Y12" s="287">
        <v>0</v>
      </c>
      <c r="Z12" s="287">
        <v>0</v>
      </c>
      <c r="AA12" s="287">
        <v>1145.8309999999999</v>
      </c>
    </row>
    <row r="13" spans="1:27" x14ac:dyDescent="0.75">
      <c r="A13" s="287" t="s">
        <v>986</v>
      </c>
      <c r="B13" s="287">
        <v>80.387</v>
      </c>
      <c r="C13" s="287">
        <v>0</v>
      </c>
      <c r="D13" s="287">
        <v>0</v>
      </c>
      <c r="E13" s="287">
        <v>0</v>
      </c>
      <c r="F13" s="287">
        <v>0</v>
      </c>
      <c r="G13" s="287">
        <v>0</v>
      </c>
      <c r="H13" s="287">
        <v>0</v>
      </c>
      <c r="I13" s="287">
        <v>0</v>
      </c>
      <c r="J13" s="287">
        <v>0</v>
      </c>
      <c r="K13" s="287">
        <v>0</v>
      </c>
      <c r="L13" s="287">
        <v>0</v>
      </c>
      <c r="M13" s="287">
        <v>0</v>
      </c>
      <c r="N13" s="287">
        <v>80.387</v>
      </c>
      <c r="O13" s="287">
        <v>30.92</v>
      </c>
      <c r="P13" s="287">
        <v>123.583</v>
      </c>
      <c r="Q13" s="287">
        <v>288.81900000000002</v>
      </c>
      <c r="R13" s="287">
        <v>1123.4780000000001</v>
      </c>
      <c r="S13" s="287">
        <v>117.196</v>
      </c>
      <c r="T13" s="287">
        <v>588.08199999999999</v>
      </c>
      <c r="U13" s="287">
        <v>0</v>
      </c>
      <c r="V13" s="287">
        <v>0</v>
      </c>
      <c r="W13" s="287">
        <v>1960.98</v>
      </c>
      <c r="X13" s="287">
        <v>0</v>
      </c>
      <c r="Y13" s="287">
        <v>7.7279999999999998</v>
      </c>
      <c r="Z13" s="287">
        <v>4240.7849999999999</v>
      </c>
      <c r="AA13" s="287">
        <v>4321.1719999999996</v>
      </c>
    </row>
    <row r="14" spans="1:27" x14ac:dyDescent="0.75">
      <c r="A14" s="287" t="s">
        <v>987</v>
      </c>
      <c r="B14" s="287">
        <v>-4.2309999999999999</v>
      </c>
      <c r="C14" s="287">
        <v>12.978999999999999</v>
      </c>
      <c r="D14" s="287">
        <v>0</v>
      </c>
      <c r="E14" s="287">
        <v>4.13</v>
      </c>
      <c r="F14" s="287">
        <v>0</v>
      </c>
      <c r="G14" s="287">
        <v>0</v>
      </c>
      <c r="H14" s="287">
        <v>0</v>
      </c>
      <c r="I14" s="287">
        <v>0</v>
      </c>
      <c r="J14" s="287">
        <v>0</v>
      </c>
      <c r="K14" s="287">
        <v>0</v>
      </c>
      <c r="L14" s="287">
        <v>0</v>
      </c>
      <c r="M14" s="287">
        <v>0</v>
      </c>
      <c r="N14" s="287">
        <v>12.879</v>
      </c>
      <c r="O14" s="287">
        <v>0</v>
      </c>
      <c r="P14" s="287">
        <v>2.2639999999999998</v>
      </c>
      <c r="Q14" s="287">
        <v>0.217</v>
      </c>
      <c r="R14" s="287">
        <v>8.4000000000000005E-2</v>
      </c>
      <c r="S14" s="287">
        <v>1.0349999999999999</v>
      </c>
      <c r="T14" s="287">
        <v>1.2829999999999999</v>
      </c>
      <c r="U14" s="287">
        <v>0</v>
      </c>
      <c r="V14" s="287">
        <v>0.34699999999999998</v>
      </c>
      <c r="W14" s="287">
        <v>520.05200000000002</v>
      </c>
      <c r="X14" s="287">
        <v>0</v>
      </c>
      <c r="Y14" s="287">
        <v>0</v>
      </c>
      <c r="Z14" s="287">
        <v>525.28200000000004</v>
      </c>
      <c r="AA14" s="287">
        <v>538.16</v>
      </c>
    </row>
    <row r="15" spans="1:27" x14ac:dyDescent="0.75">
      <c r="A15" s="287" t="s">
        <v>988</v>
      </c>
      <c r="B15" s="287">
        <v>213.74199999999999</v>
      </c>
      <c r="C15" s="287">
        <v>3820.54</v>
      </c>
      <c r="D15" s="287">
        <v>563.00099999999998</v>
      </c>
      <c r="E15" s="287">
        <v>2807.8969999999999</v>
      </c>
      <c r="F15" s="287">
        <v>152.76900000000001</v>
      </c>
      <c r="G15" s="287">
        <v>315.29500000000002</v>
      </c>
      <c r="H15" s="287">
        <v>98.16</v>
      </c>
      <c r="I15" s="287">
        <v>196.655</v>
      </c>
      <c r="J15" s="287">
        <v>180.54300000000001</v>
      </c>
      <c r="K15" s="287">
        <v>112.61</v>
      </c>
      <c r="L15" s="287">
        <v>244.46799999999999</v>
      </c>
      <c r="M15" s="287">
        <v>2.403</v>
      </c>
      <c r="N15" s="287">
        <v>8708.0830000000005</v>
      </c>
      <c r="O15" s="287">
        <v>30.92</v>
      </c>
      <c r="P15" s="287">
        <v>125.846</v>
      </c>
      <c r="Q15" s="287">
        <v>289.036</v>
      </c>
      <c r="R15" s="287">
        <v>1123.5630000000001</v>
      </c>
      <c r="S15" s="287">
        <v>118.23099999999999</v>
      </c>
      <c r="T15" s="287">
        <v>589.36400000000003</v>
      </c>
      <c r="U15" s="287">
        <v>0</v>
      </c>
      <c r="V15" s="287">
        <v>0.34699999999999998</v>
      </c>
      <c r="W15" s="287">
        <v>2481.0320000000002</v>
      </c>
      <c r="X15" s="287">
        <v>0</v>
      </c>
      <c r="Y15" s="287">
        <v>7.7279999999999998</v>
      </c>
      <c r="Z15" s="287">
        <v>4766.067</v>
      </c>
      <c r="AA15" s="287">
        <v>13474.15</v>
      </c>
    </row>
    <row r="16" spans="1:27" x14ac:dyDescent="0.75">
      <c r="A16" s="287" t="s">
        <v>989</v>
      </c>
      <c r="B16" s="287">
        <v>-0.29599999999999999</v>
      </c>
      <c r="C16" s="287">
        <v>-2236.328</v>
      </c>
      <c r="D16" s="287">
        <v>0</v>
      </c>
      <c r="E16" s="287">
        <v>0</v>
      </c>
      <c r="F16" s="287">
        <v>0</v>
      </c>
      <c r="G16" s="287">
        <v>0</v>
      </c>
      <c r="H16" s="287">
        <v>0</v>
      </c>
      <c r="I16" s="287">
        <v>0</v>
      </c>
      <c r="J16" s="287">
        <v>0</v>
      </c>
      <c r="K16" s="287">
        <v>0</v>
      </c>
      <c r="L16" s="287">
        <v>0</v>
      </c>
      <c r="M16" s="287">
        <v>0</v>
      </c>
      <c r="N16" s="287">
        <v>-2236.6239999999998</v>
      </c>
      <c r="O16" s="287">
        <v>-0.153</v>
      </c>
      <c r="P16" s="287">
        <v>-0.13200000000000001</v>
      </c>
      <c r="Q16" s="287">
        <v>0</v>
      </c>
      <c r="R16" s="287">
        <v>-16.288</v>
      </c>
      <c r="S16" s="287">
        <v>0</v>
      </c>
      <c r="T16" s="287">
        <v>-3.14</v>
      </c>
      <c r="U16" s="287">
        <v>-424.17</v>
      </c>
      <c r="V16" s="287">
        <v>0</v>
      </c>
      <c r="W16" s="287">
        <v>-1.143</v>
      </c>
      <c r="X16" s="287">
        <v>0</v>
      </c>
      <c r="Y16" s="287">
        <v>-8.7159999999999993</v>
      </c>
      <c r="Z16" s="287">
        <v>-453.74200000000002</v>
      </c>
      <c r="AA16" s="287">
        <v>-2236.6239999999998</v>
      </c>
    </row>
    <row r="17" spans="1:27" x14ac:dyDescent="0.75">
      <c r="A17" s="287" t="s">
        <v>990</v>
      </c>
      <c r="B17" s="287">
        <v>0</v>
      </c>
      <c r="C17" s="287">
        <v>-8.0299999999999994</v>
      </c>
      <c r="D17" s="287">
        <v>0</v>
      </c>
      <c r="E17" s="287">
        <v>-297.35500000000002</v>
      </c>
      <c r="F17" s="287">
        <v>0</v>
      </c>
      <c r="G17" s="287">
        <v>0</v>
      </c>
      <c r="H17" s="287">
        <v>0</v>
      </c>
      <c r="I17" s="287">
        <v>0</v>
      </c>
      <c r="J17" s="287">
        <v>0</v>
      </c>
      <c r="K17" s="287">
        <v>-1.228</v>
      </c>
      <c r="L17" s="287">
        <v>0</v>
      </c>
      <c r="M17" s="287">
        <v>0</v>
      </c>
      <c r="N17" s="287">
        <v>-306.613</v>
      </c>
      <c r="O17" s="287">
        <v>0</v>
      </c>
      <c r="P17" s="287">
        <v>0</v>
      </c>
      <c r="Q17" s="287">
        <v>0</v>
      </c>
      <c r="R17" s="287">
        <v>0</v>
      </c>
      <c r="S17" s="287">
        <v>0</v>
      </c>
      <c r="T17" s="287">
        <v>0</v>
      </c>
      <c r="U17" s="287">
        <v>0</v>
      </c>
      <c r="V17" s="287">
        <v>0</v>
      </c>
      <c r="W17" s="287">
        <v>0</v>
      </c>
      <c r="X17" s="287">
        <v>0</v>
      </c>
      <c r="Y17" s="287">
        <v>0</v>
      </c>
      <c r="Z17" s="287">
        <v>0</v>
      </c>
      <c r="AA17" s="287">
        <v>-306.613</v>
      </c>
    </row>
    <row r="18" spans="1:27" x14ac:dyDescent="0.75">
      <c r="A18" s="287" t="s">
        <v>991</v>
      </c>
      <c r="B18" s="287">
        <v>0</v>
      </c>
      <c r="C18" s="287">
        <v>0</v>
      </c>
      <c r="D18" s="287">
        <v>0</v>
      </c>
      <c r="E18" s="287">
        <v>0</v>
      </c>
      <c r="F18" s="287">
        <v>0</v>
      </c>
      <c r="G18" s="287">
        <v>0</v>
      </c>
      <c r="H18" s="287">
        <v>0</v>
      </c>
      <c r="I18" s="287">
        <v>0</v>
      </c>
      <c r="J18" s="287">
        <v>0</v>
      </c>
      <c r="K18" s="287">
        <v>0</v>
      </c>
      <c r="L18" s="287">
        <v>0</v>
      </c>
      <c r="M18" s="287">
        <v>0</v>
      </c>
      <c r="N18" s="287">
        <v>0</v>
      </c>
      <c r="O18" s="287">
        <v>0</v>
      </c>
      <c r="P18" s="287">
        <v>0</v>
      </c>
      <c r="Q18" s="287">
        <v>0</v>
      </c>
      <c r="R18" s="287">
        <v>0</v>
      </c>
      <c r="S18" s="287">
        <v>0</v>
      </c>
      <c r="T18" s="287">
        <v>0</v>
      </c>
      <c r="U18" s="287">
        <v>0</v>
      </c>
      <c r="V18" s="287">
        <v>0</v>
      </c>
      <c r="W18" s="287">
        <v>0</v>
      </c>
      <c r="X18" s="287">
        <v>0</v>
      </c>
      <c r="Y18" s="287">
        <v>0</v>
      </c>
      <c r="Z18" s="287">
        <v>0</v>
      </c>
      <c r="AA18" s="287">
        <v>0</v>
      </c>
    </row>
    <row r="19" spans="1:27" x14ac:dyDescent="0.75">
      <c r="A19" s="287" t="s">
        <v>992</v>
      </c>
      <c r="B19" s="287">
        <v>213.446</v>
      </c>
      <c r="C19" s="287">
        <v>1576.182</v>
      </c>
      <c r="D19" s="287">
        <v>563.00099999999998</v>
      </c>
      <c r="E19" s="287">
        <v>2510.5419999999999</v>
      </c>
      <c r="F19" s="287">
        <v>152.76900000000001</v>
      </c>
      <c r="G19" s="287">
        <v>315.29500000000002</v>
      </c>
      <c r="H19" s="287">
        <v>98.16</v>
      </c>
      <c r="I19" s="287">
        <v>196.655</v>
      </c>
      <c r="J19" s="287">
        <v>180.54300000000001</v>
      </c>
      <c r="K19" s="287">
        <v>111.38200000000001</v>
      </c>
      <c r="L19" s="287">
        <v>244.46799999999999</v>
      </c>
      <c r="M19" s="287">
        <v>2.403</v>
      </c>
      <c r="N19" s="287">
        <v>6164.8459999999995</v>
      </c>
      <c r="O19" s="287">
        <v>30.766999999999999</v>
      </c>
      <c r="P19" s="287">
        <v>125.714</v>
      </c>
      <c r="Q19" s="287">
        <v>289.036</v>
      </c>
      <c r="R19" s="287">
        <v>1107.2750000000001</v>
      </c>
      <c r="S19" s="287">
        <v>118.23099999999999</v>
      </c>
      <c r="T19" s="287">
        <v>586.22400000000005</v>
      </c>
      <c r="U19" s="287">
        <v>-424.17</v>
      </c>
      <c r="V19" s="287">
        <v>0.34699999999999998</v>
      </c>
      <c r="W19" s="287">
        <v>2479.8890000000001</v>
      </c>
      <c r="X19" s="287">
        <v>0</v>
      </c>
      <c r="Y19" s="287">
        <v>-0.98799999999999999</v>
      </c>
      <c r="Z19" s="287">
        <v>4312.3249999999998</v>
      </c>
      <c r="AA19" s="287">
        <v>6164.8459999999995</v>
      </c>
    </row>
    <row r="20" spans="1:27" x14ac:dyDescent="0.75">
      <c r="A20" s="288" t="s">
        <v>993</v>
      </c>
      <c r="B20" s="287">
        <v>-129.977</v>
      </c>
      <c r="C20" s="287">
        <v>-1654.422</v>
      </c>
      <c r="D20" s="287">
        <v>-563.00099999999998</v>
      </c>
      <c r="E20" s="287">
        <v>-1251.616</v>
      </c>
      <c r="F20" s="287">
        <v>-152.76900000000001</v>
      </c>
      <c r="G20" s="287">
        <v>-314.85899999999998</v>
      </c>
      <c r="H20" s="287">
        <v>-98.16</v>
      </c>
      <c r="I20" s="287">
        <v>-134.07599999999999</v>
      </c>
      <c r="J20" s="287">
        <v>-180.54</v>
      </c>
      <c r="K20" s="287">
        <v>-24.172000000000001</v>
      </c>
      <c r="L20" s="287">
        <v>0</v>
      </c>
      <c r="M20" s="287">
        <v>-1.2589999999999999</v>
      </c>
      <c r="N20" s="287">
        <v>-4504.8490000000002</v>
      </c>
      <c r="O20" s="287">
        <v>12.725</v>
      </c>
      <c r="P20" s="287">
        <v>8.1010000000000009</v>
      </c>
      <c r="Q20" s="287">
        <v>140.19999999999999</v>
      </c>
      <c r="R20" s="287">
        <v>621.99099999999999</v>
      </c>
      <c r="S20" s="287">
        <v>71.078999999999994</v>
      </c>
      <c r="T20" s="287">
        <v>299.28500000000003</v>
      </c>
      <c r="U20" s="287">
        <v>447.78199999999998</v>
      </c>
      <c r="V20" s="287">
        <v>54.802</v>
      </c>
      <c r="W20" s="287">
        <v>-1137.6189999999999</v>
      </c>
      <c r="X20" s="287">
        <v>-31.937999999999999</v>
      </c>
      <c r="Y20" s="287">
        <v>1153.4590000000001</v>
      </c>
      <c r="Z20" s="287">
        <v>1639.867</v>
      </c>
      <c r="AA20" s="287">
        <v>-2864.9830000000002</v>
      </c>
    </row>
    <row r="21" spans="1:27" x14ac:dyDescent="0.75">
      <c r="A21" s="287" t="s">
        <v>994</v>
      </c>
      <c r="B21" s="287">
        <v>-18.670999999999999</v>
      </c>
      <c r="C21" s="287">
        <v>0</v>
      </c>
      <c r="D21" s="287">
        <v>0</v>
      </c>
      <c r="E21" s="287">
        <v>0</v>
      </c>
      <c r="F21" s="287">
        <v>0</v>
      </c>
      <c r="G21" s="287">
        <v>0</v>
      </c>
      <c r="H21" s="287">
        <v>0</v>
      </c>
      <c r="I21" s="287">
        <v>0</v>
      </c>
      <c r="J21" s="287">
        <v>0</v>
      </c>
      <c r="K21" s="287">
        <v>0</v>
      </c>
      <c r="L21" s="287">
        <v>0</v>
      </c>
      <c r="M21" s="287">
        <v>0</v>
      </c>
      <c r="N21" s="287">
        <v>-18.670999999999999</v>
      </c>
      <c r="O21" s="287">
        <v>12.725</v>
      </c>
      <c r="P21" s="287">
        <v>0</v>
      </c>
      <c r="Q21" s="287">
        <v>0</v>
      </c>
      <c r="R21" s="287">
        <v>0</v>
      </c>
      <c r="S21" s="287">
        <v>0</v>
      </c>
      <c r="T21" s="287">
        <v>0</v>
      </c>
      <c r="U21" s="287">
        <v>0</v>
      </c>
      <c r="V21" s="287">
        <v>0</v>
      </c>
      <c r="W21" s="287">
        <v>0</v>
      </c>
      <c r="Y21" s="287">
        <v>0</v>
      </c>
      <c r="Z21" s="287">
        <v>12.725</v>
      </c>
      <c r="AA21" s="287">
        <v>-5.9470000000000001</v>
      </c>
    </row>
    <row r="22" spans="1:27" x14ac:dyDescent="0.75">
      <c r="A22" s="287" t="s">
        <v>995</v>
      </c>
      <c r="B22" s="287">
        <v>0</v>
      </c>
      <c r="C22" s="287">
        <v>-1654.422</v>
      </c>
      <c r="D22" s="287">
        <v>-310.27800000000002</v>
      </c>
      <c r="E22" s="287">
        <v>0</v>
      </c>
      <c r="F22" s="287">
        <v>0</v>
      </c>
      <c r="G22" s="287">
        <v>0</v>
      </c>
      <c r="H22" s="287">
        <v>0</v>
      </c>
      <c r="I22" s="287">
        <v>0</v>
      </c>
      <c r="J22" s="287">
        <v>0</v>
      </c>
      <c r="K22" s="287">
        <v>0</v>
      </c>
      <c r="L22" s="287">
        <v>0</v>
      </c>
      <c r="M22" s="287">
        <v>0</v>
      </c>
      <c r="N22" s="287">
        <v>-1964.7</v>
      </c>
      <c r="O22" s="287">
        <v>0</v>
      </c>
      <c r="P22" s="287">
        <v>45.878999999999998</v>
      </c>
      <c r="Q22" s="287">
        <v>16.164999999999999</v>
      </c>
      <c r="R22" s="287">
        <v>555.09199999999998</v>
      </c>
      <c r="S22" s="287">
        <v>71.078999999999994</v>
      </c>
      <c r="T22" s="287">
        <v>359.20100000000002</v>
      </c>
      <c r="U22" s="287">
        <v>627.471</v>
      </c>
      <c r="V22" s="287">
        <v>14.227</v>
      </c>
      <c r="W22" s="287">
        <v>99.191999999999993</v>
      </c>
      <c r="Y22" s="287">
        <v>0</v>
      </c>
      <c r="Z22" s="287">
        <v>1788.3050000000001</v>
      </c>
      <c r="AA22" s="287">
        <v>-176.39500000000001</v>
      </c>
    </row>
    <row r="23" spans="1:27" x14ac:dyDescent="0.75">
      <c r="A23" s="287" t="s">
        <v>996</v>
      </c>
      <c r="B23" s="287">
        <v>0</v>
      </c>
      <c r="C23" s="287">
        <v>0</v>
      </c>
      <c r="D23" s="287">
        <v>-252.72300000000001</v>
      </c>
      <c r="E23" s="287">
        <v>-1251.616</v>
      </c>
      <c r="F23" s="287">
        <v>0</v>
      </c>
      <c r="G23" s="287">
        <v>0</v>
      </c>
      <c r="H23" s="287">
        <v>0</v>
      </c>
      <c r="I23" s="287">
        <v>0</v>
      </c>
      <c r="J23" s="287">
        <v>0</v>
      </c>
      <c r="K23" s="287">
        <v>0</v>
      </c>
      <c r="L23" s="287">
        <v>0</v>
      </c>
      <c r="M23" s="287">
        <v>0</v>
      </c>
      <c r="N23" s="287">
        <v>-1504.34</v>
      </c>
      <c r="O23" s="287">
        <v>0</v>
      </c>
      <c r="P23" s="287">
        <v>0</v>
      </c>
      <c r="Q23" s="287">
        <v>124.035</v>
      </c>
      <c r="R23" s="287">
        <v>66.899000000000001</v>
      </c>
      <c r="S23" s="287">
        <v>0</v>
      </c>
      <c r="T23" s="287">
        <v>0</v>
      </c>
      <c r="U23" s="287">
        <v>0</v>
      </c>
      <c r="V23" s="287">
        <v>40.575000000000003</v>
      </c>
      <c r="W23" s="287">
        <v>795.60699999999997</v>
      </c>
      <c r="Y23" s="287">
        <v>0</v>
      </c>
      <c r="Z23" s="287">
        <v>1027.116</v>
      </c>
      <c r="AA23" s="287">
        <v>-477.22399999999999</v>
      </c>
    </row>
    <row r="24" spans="1:27" x14ac:dyDescent="0.75">
      <c r="A24" s="287" t="s">
        <v>997</v>
      </c>
      <c r="B24" s="287">
        <v>-111.306</v>
      </c>
      <c r="C24" s="287">
        <v>0</v>
      </c>
      <c r="D24" s="287">
        <v>0</v>
      </c>
      <c r="E24" s="287">
        <v>0</v>
      </c>
      <c r="F24" s="287">
        <v>-152.76900000000001</v>
      </c>
      <c r="G24" s="287">
        <v>-299.935</v>
      </c>
      <c r="H24" s="287">
        <v>-98.16</v>
      </c>
      <c r="I24" s="287">
        <v>-1.4E-2</v>
      </c>
      <c r="J24" s="287">
        <v>-0.68700000000000006</v>
      </c>
      <c r="K24" s="287">
        <v>0</v>
      </c>
      <c r="L24" s="287">
        <v>0</v>
      </c>
      <c r="M24" s="287">
        <v>0</v>
      </c>
      <c r="N24" s="287">
        <v>-662.86900000000003</v>
      </c>
      <c r="O24" s="287">
        <v>0</v>
      </c>
      <c r="P24" s="287">
        <v>0</v>
      </c>
      <c r="Q24" s="287">
        <v>0</v>
      </c>
      <c r="R24" s="287">
        <v>0</v>
      </c>
      <c r="S24" s="287">
        <v>0</v>
      </c>
      <c r="T24" s="287">
        <v>-29.449000000000002</v>
      </c>
      <c r="U24" s="287">
        <v>-179.54300000000001</v>
      </c>
      <c r="V24" s="287">
        <v>0</v>
      </c>
      <c r="W24" s="287">
        <v>-409.839</v>
      </c>
      <c r="X24" s="287">
        <v>0</v>
      </c>
      <c r="Y24" s="287">
        <v>499.89299999999997</v>
      </c>
      <c r="Z24" s="287">
        <v>-118.93899999999999</v>
      </c>
      <c r="AA24" s="287">
        <v>-781.80899999999997</v>
      </c>
    </row>
    <row r="25" spans="1:27" x14ac:dyDescent="0.75">
      <c r="A25" s="287" t="s">
        <v>998</v>
      </c>
      <c r="B25" s="287">
        <v>0</v>
      </c>
      <c r="C25" s="287">
        <v>0</v>
      </c>
      <c r="D25" s="287">
        <v>0</v>
      </c>
      <c r="E25" s="287">
        <v>0</v>
      </c>
      <c r="F25" s="287">
        <v>0</v>
      </c>
      <c r="G25" s="287">
        <v>0</v>
      </c>
      <c r="H25" s="287">
        <v>0</v>
      </c>
      <c r="I25" s="287">
        <v>0</v>
      </c>
      <c r="J25" s="287">
        <v>-14.199</v>
      </c>
      <c r="K25" s="287">
        <v>0</v>
      </c>
      <c r="L25" s="287">
        <v>0</v>
      </c>
      <c r="M25" s="287">
        <v>0</v>
      </c>
      <c r="N25" s="287">
        <v>-14.199</v>
      </c>
      <c r="O25" s="287">
        <v>0</v>
      </c>
      <c r="P25" s="287">
        <v>0</v>
      </c>
      <c r="Q25" s="287">
        <v>0</v>
      </c>
      <c r="R25" s="287">
        <v>0</v>
      </c>
      <c r="S25" s="287">
        <v>0</v>
      </c>
      <c r="T25" s="287">
        <v>-2.5489999999999999</v>
      </c>
      <c r="U25" s="287">
        <v>0</v>
      </c>
      <c r="V25" s="287">
        <v>0</v>
      </c>
      <c r="W25" s="287">
        <v>-617.47699999999998</v>
      </c>
      <c r="X25" s="287">
        <v>0</v>
      </c>
      <c r="Y25" s="287">
        <v>344.24200000000002</v>
      </c>
      <c r="Z25" s="287">
        <v>-275.78399999999999</v>
      </c>
      <c r="AA25" s="287">
        <v>-289.98200000000003</v>
      </c>
    </row>
    <row r="26" spans="1:27" x14ac:dyDescent="0.75">
      <c r="A26" s="287" t="s">
        <v>999</v>
      </c>
      <c r="B26" s="287">
        <v>0</v>
      </c>
      <c r="C26" s="287">
        <v>0</v>
      </c>
      <c r="D26" s="287">
        <v>0</v>
      </c>
      <c r="E26" s="287">
        <v>0</v>
      </c>
      <c r="F26" s="287">
        <v>0</v>
      </c>
      <c r="G26" s="287">
        <v>-7.47</v>
      </c>
      <c r="H26" s="287">
        <v>0</v>
      </c>
      <c r="I26" s="287">
        <v>-12.654999999999999</v>
      </c>
      <c r="J26" s="287">
        <v>-109.148</v>
      </c>
      <c r="K26" s="287">
        <v>-15.621</v>
      </c>
      <c r="L26" s="287">
        <v>0</v>
      </c>
      <c r="M26" s="287">
        <v>-0.66500000000000004</v>
      </c>
      <c r="N26" s="287">
        <v>-145.55799999999999</v>
      </c>
      <c r="O26" s="287">
        <v>0</v>
      </c>
      <c r="P26" s="287">
        <v>-37.777000000000001</v>
      </c>
      <c r="Q26" s="287">
        <v>0</v>
      </c>
      <c r="R26" s="287">
        <v>0</v>
      </c>
      <c r="S26" s="287">
        <v>0</v>
      </c>
      <c r="T26" s="287">
        <v>-1.6160000000000001</v>
      </c>
      <c r="U26" s="287">
        <v>-0.14599999999999999</v>
      </c>
      <c r="V26" s="287">
        <v>0</v>
      </c>
      <c r="W26" s="287">
        <v>-125.932</v>
      </c>
      <c r="X26" s="287">
        <v>-31.937999999999999</v>
      </c>
      <c r="Y26" s="287">
        <v>117.348</v>
      </c>
      <c r="Z26" s="287">
        <v>-80.06</v>
      </c>
      <c r="AA26" s="287">
        <v>-225.619</v>
      </c>
    </row>
    <row r="27" spans="1:27" x14ac:dyDescent="0.75">
      <c r="A27" s="287" t="s">
        <v>1000</v>
      </c>
      <c r="B27" s="287">
        <v>0</v>
      </c>
      <c r="C27" s="287">
        <v>0</v>
      </c>
      <c r="D27" s="287">
        <v>0</v>
      </c>
      <c r="E27" s="287">
        <v>0</v>
      </c>
      <c r="F27" s="287">
        <v>0</v>
      </c>
      <c r="G27" s="287">
        <v>-7.4539999999999997</v>
      </c>
      <c r="H27" s="287">
        <v>0</v>
      </c>
      <c r="I27" s="287">
        <v>-121.407</v>
      </c>
      <c r="J27" s="287">
        <v>-56.506999999999998</v>
      </c>
      <c r="K27" s="287">
        <v>-8.5510000000000002</v>
      </c>
      <c r="L27" s="287">
        <v>0</v>
      </c>
      <c r="M27" s="287">
        <v>-0.59399999999999997</v>
      </c>
      <c r="N27" s="287">
        <v>-194.51300000000001</v>
      </c>
      <c r="O27" s="287">
        <v>0</v>
      </c>
      <c r="P27" s="287">
        <v>0</v>
      </c>
      <c r="Q27" s="287">
        <v>0</v>
      </c>
      <c r="R27" s="287">
        <v>0</v>
      </c>
      <c r="S27" s="287">
        <v>0</v>
      </c>
      <c r="T27" s="287">
        <v>-26.302</v>
      </c>
      <c r="U27" s="287">
        <v>0</v>
      </c>
      <c r="V27" s="287">
        <v>0</v>
      </c>
      <c r="W27" s="287">
        <v>-879.17</v>
      </c>
      <c r="X27" s="287">
        <v>0</v>
      </c>
      <c r="Y27" s="287">
        <v>191.976</v>
      </c>
      <c r="Z27" s="287">
        <v>-713.49599999999998</v>
      </c>
      <c r="AA27" s="287">
        <v>-908.00800000000004</v>
      </c>
    </row>
    <row r="28" spans="1:27" x14ac:dyDescent="0.75">
      <c r="A28" s="287" t="s">
        <v>1001</v>
      </c>
      <c r="B28" s="287">
        <v>0</v>
      </c>
      <c r="C28" s="287">
        <v>0</v>
      </c>
      <c r="D28" s="287">
        <v>0</v>
      </c>
      <c r="E28" s="287">
        <v>-717.851</v>
      </c>
      <c r="F28" s="287">
        <v>0</v>
      </c>
      <c r="G28" s="287">
        <v>0</v>
      </c>
      <c r="H28" s="287">
        <v>0</v>
      </c>
      <c r="I28" s="287">
        <v>0</v>
      </c>
      <c r="J28" s="287">
        <v>0</v>
      </c>
      <c r="K28" s="287">
        <v>0</v>
      </c>
      <c r="L28" s="287">
        <v>0</v>
      </c>
      <c r="M28" s="287">
        <v>0</v>
      </c>
      <c r="N28" s="287">
        <v>0</v>
      </c>
      <c r="O28" s="287">
        <v>-0.76300000000000001</v>
      </c>
      <c r="P28" s="287">
        <v>0</v>
      </c>
      <c r="Q28" s="287">
        <v>-2.8540000000000001</v>
      </c>
      <c r="R28" s="287">
        <v>-41.332999999999998</v>
      </c>
      <c r="S28" s="287">
        <v>0</v>
      </c>
      <c r="T28" s="287">
        <v>-23.533000000000001</v>
      </c>
      <c r="U28" s="287">
        <v>-24.55</v>
      </c>
      <c r="V28" s="287">
        <v>-10.736000000000001</v>
      </c>
      <c r="W28" s="287">
        <v>-864.97900000000004</v>
      </c>
      <c r="X28" s="287">
        <v>0</v>
      </c>
      <c r="Y28" s="287">
        <v>-12.37</v>
      </c>
      <c r="Z28" s="287">
        <v>-981.11800000000005</v>
      </c>
      <c r="AA28" s="287">
        <v>-981.11800000000005</v>
      </c>
    </row>
    <row r="29" spans="1:27" x14ac:dyDescent="0.75">
      <c r="A29" s="287" t="s">
        <v>1002</v>
      </c>
      <c r="B29" s="287">
        <v>0</v>
      </c>
      <c r="C29" s="287">
        <v>0</v>
      </c>
      <c r="D29" s="287">
        <v>0</v>
      </c>
      <c r="E29" s="287">
        <v>-7.0999999999999994E-2</v>
      </c>
      <c r="F29" s="287">
        <v>0</v>
      </c>
      <c r="G29" s="287">
        <v>0</v>
      </c>
      <c r="H29" s="287">
        <v>0</v>
      </c>
      <c r="I29" s="287">
        <v>0</v>
      </c>
      <c r="J29" s="287">
        <v>0</v>
      </c>
      <c r="K29" s="287">
        <v>0</v>
      </c>
      <c r="L29" s="287">
        <v>0</v>
      </c>
      <c r="M29" s="287">
        <v>0</v>
      </c>
      <c r="N29" s="287">
        <v>-7.0999999999999994E-2</v>
      </c>
      <c r="O29" s="287">
        <v>0</v>
      </c>
      <c r="P29" s="287">
        <v>0</v>
      </c>
      <c r="Q29" s="287">
        <v>0</v>
      </c>
      <c r="R29" s="287">
        <v>0</v>
      </c>
      <c r="S29" s="287">
        <v>0</v>
      </c>
      <c r="T29" s="287">
        <v>0</v>
      </c>
      <c r="U29" s="287">
        <v>0</v>
      </c>
      <c r="V29" s="287">
        <v>0</v>
      </c>
      <c r="W29" s="287">
        <v>52.792999999999999</v>
      </c>
      <c r="X29" s="287">
        <v>0</v>
      </c>
      <c r="Y29" s="287">
        <v>0</v>
      </c>
      <c r="Z29" s="287">
        <v>52.792999999999999</v>
      </c>
      <c r="AA29" s="287">
        <v>52.722000000000001</v>
      </c>
    </row>
    <row r="30" spans="1:27" x14ac:dyDescent="0.75">
      <c r="A30" s="287" t="s">
        <v>1003</v>
      </c>
      <c r="B30" s="287">
        <v>0</v>
      </c>
      <c r="C30" s="287">
        <v>0</v>
      </c>
      <c r="D30" s="287">
        <v>0</v>
      </c>
      <c r="E30" s="287">
        <v>-541.00400000000002</v>
      </c>
      <c r="F30" s="287">
        <v>0</v>
      </c>
      <c r="G30" s="287">
        <v>0</v>
      </c>
      <c r="H30" s="287">
        <v>0</v>
      </c>
      <c r="I30" s="287">
        <v>0</v>
      </c>
      <c r="J30" s="287">
        <v>0</v>
      </c>
      <c r="K30" s="287">
        <v>0</v>
      </c>
      <c r="L30" s="287">
        <v>0</v>
      </c>
      <c r="M30" s="287">
        <v>0</v>
      </c>
      <c r="N30" s="287">
        <v>-541.00400000000002</v>
      </c>
      <c r="O30" s="287">
        <v>0</v>
      </c>
      <c r="P30" s="287">
        <v>0</v>
      </c>
      <c r="Q30" s="287">
        <v>0</v>
      </c>
      <c r="R30" s="287">
        <v>0</v>
      </c>
      <c r="S30" s="287">
        <v>0</v>
      </c>
      <c r="T30" s="287">
        <v>0</v>
      </c>
      <c r="U30" s="287">
        <v>0</v>
      </c>
      <c r="V30" s="287">
        <v>0</v>
      </c>
      <c r="W30" s="287">
        <v>-216.32599999999999</v>
      </c>
      <c r="X30" s="287">
        <v>0</v>
      </c>
      <c r="Y30" s="287">
        <v>0</v>
      </c>
      <c r="Z30" s="287">
        <v>-216.32599999999999</v>
      </c>
      <c r="AA30" s="287">
        <v>-757.33</v>
      </c>
    </row>
    <row r="31" spans="1:27" x14ac:dyDescent="0.75">
      <c r="A31" s="287" t="s">
        <v>1004</v>
      </c>
      <c r="B31" s="287">
        <v>0</v>
      </c>
      <c r="C31" s="287">
        <v>86.125</v>
      </c>
      <c r="E31" s="287">
        <v>0</v>
      </c>
      <c r="J31" s="287">
        <v>3.0000000000000001E-3</v>
      </c>
      <c r="K31" s="287">
        <v>-24.957000000000001</v>
      </c>
      <c r="L31" s="287">
        <v>0</v>
      </c>
      <c r="M31" s="287">
        <v>0</v>
      </c>
      <c r="O31" s="287">
        <v>0</v>
      </c>
      <c r="P31" s="287">
        <v>0</v>
      </c>
      <c r="Q31" s="287">
        <v>-3.661</v>
      </c>
      <c r="R31" s="287">
        <v>0</v>
      </c>
      <c r="S31" s="287">
        <v>0</v>
      </c>
      <c r="T31" s="287">
        <v>59.749000000000002</v>
      </c>
      <c r="U31" s="287">
        <v>17.875</v>
      </c>
      <c r="V31" s="287">
        <v>-0.68300000000000005</v>
      </c>
      <c r="W31" s="287">
        <v>118.514</v>
      </c>
      <c r="X31" s="287">
        <v>31.937999999999999</v>
      </c>
      <c r="Y31" s="287">
        <v>285.52499999999998</v>
      </c>
      <c r="Z31" s="287">
        <v>-0.68300000000000005</v>
      </c>
    </row>
    <row r="32" spans="1:27" x14ac:dyDescent="0.75">
      <c r="A32" s="287" t="s">
        <v>1005</v>
      </c>
      <c r="B32" s="287">
        <v>0</v>
      </c>
      <c r="C32" s="287">
        <v>-7.8860000000000001</v>
      </c>
      <c r="D32" s="287">
        <v>0</v>
      </c>
      <c r="E32" s="287">
        <v>0</v>
      </c>
      <c r="F32" s="287">
        <v>0</v>
      </c>
      <c r="G32" s="287">
        <v>0</v>
      </c>
      <c r="H32" s="287">
        <v>0</v>
      </c>
      <c r="I32" s="287">
        <v>0</v>
      </c>
      <c r="J32" s="287">
        <v>0</v>
      </c>
      <c r="K32" s="287">
        <v>0</v>
      </c>
      <c r="L32" s="287">
        <v>0</v>
      </c>
      <c r="M32" s="287">
        <v>0</v>
      </c>
      <c r="N32" s="287">
        <v>0</v>
      </c>
      <c r="O32" s="287">
        <v>0</v>
      </c>
      <c r="P32" s="287">
        <v>0</v>
      </c>
      <c r="Q32" s="287">
        <v>0</v>
      </c>
      <c r="R32" s="287">
        <v>0</v>
      </c>
      <c r="S32" s="287">
        <v>0</v>
      </c>
      <c r="T32" s="287">
        <v>0</v>
      </c>
      <c r="U32" s="287">
        <v>0</v>
      </c>
      <c r="V32" s="287">
        <v>0</v>
      </c>
      <c r="W32" s="287">
        <v>0</v>
      </c>
      <c r="X32" s="287">
        <v>0</v>
      </c>
      <c r="Y32" s="287">
        <v>-84.503</v>
      </c>
      <c r="Z32" s="287">
        <v>-84.503</v>
      </c>
      <c r="AA32" s="287">
        <v>-84.503</v>
      </c>
    </row>
    <row r="33" spans="1:27" x14ac:dyDescent="0.75">
      <c r="A33" s="288" t="s">
        <v>1006</v>
      </c>
      <c r="B33" s="287">
        <v>83.468999999999994</v>
      </c>
      <c r="C33" s="287">
        <v>0</v>
      </c>
      <c r="D33" s="287">
        <v>0</v>
      </c>
      <c r="E33" s="287">
        <v>0</v>
      </c>
      <c r="F33" s="287">
        <v>0</v>
      </c>
      <c r="G33" s="287">
        <v>0</v>
      </c>
      <c r="H33" s="287">
        <v>0</v>
      </c>
      <c r="I33" s="287">
        <v>1.141</v>
      </c>
      <c r="J33" s="287">
        <v>0</v>
      </c>
      <c r="K33" s="287">
        <v>62.253</v>
      </c>
      <c r="L33" s="287">
        <v>244.46799999999999</v>
      </c>
      <c r="M33" s="287">
        <v>0</v>
      </c>
      <c r="N33" s="287">
        <v>450.25900000000001</v>
      </c>
      <c r="O33" s="287">
        <v>42.728000000000002</v>
      </c>
      <c r="P33" s="287">
        <v>133.816</v>
      </c>
      <c r="Q33" s="287">
        <v>422.721</v>
      </c>
      <c r="R33" s="287">
        <v>1687.933</v>
      </c>
      <c r="S33" s="287">
        <v>189.31</v>
      </c>
      <c r="T33" s="287">
        <v>921.72500000000002</v>
      </c>
      <c r="U33" s="287">
        <v>16.937000000000001</v>
      </c>
      <c r="V33" s="287">
        <v>43.73</v>
      </c>
      <c r="W33" s="287">
        <v>432.27300000000002</v>
      </c>
      <c r="X33" s="287">
        <v>0</v>
      </c>
      <c r="Y33" s="287">
        <v>1341.123</v>
      </c>
      <c r="Z33" s="287">
        <v>5232.2950000000001</v>
      </c>
      <c r="AA33" s="287">
        <v>5682.5540000000001</v>
      </c>
    </row>
    <row r="34" spans="1:27" x14ac:dyDescent="0.75">
      <c r="A34" s="288" t="s">
        <v>1007</v>
      </c>
      <c r="B34" s="287">
        <v>0</v>
      </c>
      <c r="C34" s="287">
        <v>0</v>
      </c>
      <c r="D34" s="287">
        <v>0</v>
      </c>
      <c r="E34" s="287">
        <v>0</v>
      </c>
      <c r="F34" s="287">
        <v>0</v>
      </c>
      <c r="G34" s="287">
        <v>0</v>
      </c>
      <c r="H34" s="287">
        <v>0</v>
      </c>
      <c r="I34" s="287">
        <v>0</v>
      </c>
      <c r="J34" s="287">
        <v>0</v>
      </c>
      <c r="K34" s="287">
        <v>0.113</v>
      </c>
      <c r="L34" s="287">
        <v>0</v>
      </c>
      <c r="M34" s="287">
        <v>0</v>
      </c>
      <c r="N34" s="287">
        <v>0.113</v>
      </c>
      <c r="O34" s="287">
        <v>0</v>
      </c>
      <c r="P34" s="287">
        <v>0</v>
      </c>
      <c r="Q34" s="287">
        <v>0.48899999999999999</v>
      </c>
      <c r="R34" s="287">
        <v>7.4340000000000002</v>
      </c>
      <c r="S34" s="287">
        <v>0</v>
      </c>
      <c r="T34" s="287">
        <v>0</v>
      </c>
      <c r="U34" s="287">
        <v>0</v>
      </c>
      <c r="V34" s="287">
        <v>43.73</v>
      </c>
      <c r="W34" s="287">
        <v>8.5519999999999996</v>
      </c>
      <c r="X34" s="287">
        <v>0</v>
      </c>
      <c r="Y34" s="287">
        <v>0</v>
      </c>
      <c r="Z34" s="287">
        <v>60.204000000000001</v>
      </c>
      <c r="AA34" s="287">
        <v>60.317</v>
      </c>
    </row>
    <row r="35" spans="1:27" x14ac:dyDescent="0.75">
      <c r="A35" s="287" t="s">
        <v>1008</v>
      </c>
      <c r="B35" s="287">
        <v>0</v>
      </c>
      <c r="C35" s="287">
        <v>0</v>
      </c>
      <c r="D35" s="287">
        <v>0</v>
      </c>
      <c r="E35" s="287">
        <v>0</v>
      </c>
      <c r="F35" s="287">
        <v>0</v>
      </c>
      <c r="G35" s="287">
        <v>0</v>
      </c>
      <c r="H35" s="287">
        <v>0</v>
      </c>
      <c r="I35" s="287">
        <v>0</v>
      </c>
      <c r="J35" s="287">
        <v>0</v>
      </c>
      <c r="K35" s="287">
        <v>0</v>
      </c>
      <c r="L35" s="287">
        <v>0</v>
      </c>
      <c r="M35" s="287">
        <v>0</v>
      </c>
      <c r="N35" s="287">
        <v>0</v>
      </c>
      <c r="O35" s="287">
        <v>0</v>
      </c>
      <c r="P35" s="287">
        <v>0</v>
      </c>
      <c r="Q35" s="287">
        <v>0</v>
      </c>
      <c r="R35" s="287">
        <v>7.4340000000000002</v>
      </c>
      <c r="S35" s="287">
        <v>0</v>
      </c>
      <c r="T35" s="287">
        <v>0</v>
      </c>
      <c r="U35" s="287">
        <v>0</v>
      </c>
      <c r="V35" s="287">
        <v>0</v>
      </c>
      <c r="W35" s="287">
        <v>8.5519999999999996</v>
      </c>
      <c r="X35" s="287">
        <v>0</v>
      </c>
      <c r="Y35" s="287">
        <v>0</v>
      </c>
      <c r="Z35" s="287">
        <v>15.986000000000001</v>
      </c>
      <c r="AA35" s="287">
        <v>15.986000000000001</v>
      </c>
    </row>
    <row r="36" spans="1:27" x14ac:dyDescent="0.75">
      <c r="A36" s="287" t="s">
        <v>1009</v>
      </c>
      <c r="B36" s="287">
        <v>0</v>
      </c>
      <c r="C36" s="287">
        <v>0</v>
      </c>
      <c r="D36" s="287">
        <v>0</v>
      </c>
      <c r="E36" s="287">
        <v>0</v>
      </c>
      <c r="F36" s="287">
        <v>0</v>
      </c>
      <c r="G36" s="287">
        <v>0</v>
      </c>
      <c r="H36" s="287">
        <v>0</v>
      </c>
      <c r="I36" s="287">
        <v>0</v>
      </c>
      <c r="J36" s="287">
        <v>0</v>
      </c>
      <c r="K36" s="287">
        <v>0.113</v>
      </c>
      <c r="L36" s="287">
        <v>0</v>
      </c>
      <c r="M36" s="287">
        <v>0</v>
      </c>
      <c r="N36" s="287">
        <v>0.113</v>
      </c>
      <c r="O36" s="287">
        <v>0</v>
      </c>
      <c r="P36" s="287">
        <v>0</v>
      </c>
      <c r="Q36" s="287">
        <v>0.48899999999999999</v>
      </c>
      <c r="R36" s="287">
        <v>0</v>
      </c>
      <c r="S36" s="287">
        <v>0</v>
      </c>
      <c r="T36" s="287">
        <v>0</v>
      </c>
      <c r="U36" s="287">
        <v>0</v>
      </c>
      <c r="V36" s="287">
        <v>43.73</v>
      </c>
      <c r="W36" s="287">
        <v>0</v>
      </c>
      <c r="X36" s="287">
        <v>0</v>
      </c>
      <c r="Y36" s="287">
        <v>0</v>
      </c>
      <c r="Z36" s="287">
        <v>44.218000000000004</v>
      </c>
      <c r="AA36" s="287">
        <v>44.331000000000003</v>
      </c>
    </row>
    <row r="37" spans="1:27" x14ac:dyDescent="0.75">
      <c r="A37" s="288" t="s">
        <v>1010</v>
      </c>
      <c r="B37" s="287">
        <v>83.468999999999994</v>
      </c>
      <c r="C37" s="287">
        <v>0</v>
      </c>
      <c r="D37" s="287">
        <v>0</v>
      </c>
      <c r="E37" s="287">
        <v>0</v>
      </c>
      <c r="F37" s="287">
        <v>0</v>
      </c>
      <c r="G37" s="287">
        <v>0</v>
      </c>
      <c r="H37" s="287">
        <v>0</v>
      </c>
      <c r="I37" s="287">
        <v>1.141</v>
      </c>
      <c r="J37" s="287">
        <v>0</v>
      </c>
      <c r="K37" s="287">
        <v>62.14</v>
      </c>
      <c r="L37" s="287">
        <v>244.46799999999999</v>
      </c>
      <c r="M37" s="287">
        <v>0</v>
      </c>
      <c r="N37" s="287">
        <v>450.14600000000002</v>
      </c>
      <c r="O37" s="287">
        <v>42.728000000000002</v>
      </c>
      <c r="P37" s="287">
        <v>133.816</v>
      </c>
      <c r="Q37" s="287">
        <v>422.23200000000003</v>
      </c>
      <c r="R37" s="287">
        <v>1680.499</v>
      </c>
      <c r="S37" s="287">
        <v>189.31</v>
      </c>
      <c r="T37" s="287">
        <v>921.72500000000002</v>
      </c>
      <c r="U37" s="287">
        <v>16.937000000000001</v>
      </c>
      <c r="V37" s="287">
        <v>0</v>
      </c>
      <c r="W37" s="287">
        <v>423.721</v>
      </c>
      <c r="X37" s="287">
        <v>0</v>
      </c>
      <c r="Y37" s="287">
        <v>1341.123</v>
      </c>
      <c r="Z37" s="287">
        <v>5172.0910000000003</v>
      </c>
      <c r="AA37" s="287">
        <v>5622.2370000000001</v>
      </c>
    </row>
    <row r="38" spans="1:27" x14ac:dyDescent="0.75">
      <c r="A38" s="287" t="s">
        <v>1011</v>
      </c>
      <c r="B38" s="287">
        <v>0</v>
      </c>
      <c r="C38" s="287">
        <v>0</v>
      </c>
      <c r="D38" s="287">
        <v>0</v>
      </c>
      <c r="E38" s="287">
        <v>0</v>
      </c>
      <c r="F38" s="287">
        <v>0</v>
      </c>
      <c r="G38" s="287">
        <v>0</v>
      </c>
      <c r="H38" s="287">
        <v>0</v>
      </c>
      <c r="J38" s="287">
        <v>0</v>
      </c>
      <c r="K38" s="287">
        <v>0</v>
      </c>
      <c r="L38" s="287">
        <v>244.46799999999999</v>
      </c>
      <c r="M38" s="287">
        <v>0</v>
      </c>
      <c r="N38" s="287">
        <v>244.46799999999999</v>
      </c>
      <c r="O38" s="287">
        <v>0</v>
      </c>
      <c r="P38" s="287">
        <v>0</v>
      </c>
      <c r="Q38" s="287">
        <v>310.20100000000002</v>
      </c>
      <c r="R38" s="287">
        <v>0</v>
      </c>
      <c r="S38" s="287">
        <v>0</v>
      </c>
      <c r="T38" s="287">
        <v>0</v>
      </c>
      <c r="U38" s="287">
        <v>0</v>
      </c>
      <c r="V38" s="287">
        <v>0</v>
      </c>
      <c r="W38" s="287">
        <v>37.197000000000003</v>
      </c>
      <c r="X38" s="287">
        <v>0</v>
      </c>
      <c r="Y38" s="287">
        <v>339.56200000000001</v>
      </c>
      <c r="Z38" s="287">
        <v>686.96</v>
      </c>
      <c r="AA38" s="287">
        <v>931.42899999999997</v>
      </c>
    </row>
    <row r="39" spans="1:27" x14ac:dyDescent="0.75">
      <c r="A39" s="287" t="s">
        <v>1012</v>
      </c>
      <c r="B39" s="287">
        <v>0</v>
      </c>
      <c r="C39" s="287">
        <v>0</v>
      </c>
      <c r="D39" s="287">
        <v>0</v>
      </c>
      <c r="E39" s="287">
        <v>0</v>
      </c>
      <c r="F39" s="287">
        <v>0</v>
      </c>
      <c r="G39" s="287">
        <v>0</v>
      </c>
      <c r="H39" s="287">
        <v>0</v>
      </c>
      <c r="I39" s="287">
        <v>0</v>
      </c>
      <c r="J39" s="287">
        <v>0</v>
      </c>
      <c r="K39" s="287">
        <v>0</v>
      </c>
      <c r="L39" s="287">
        <v>0</v>
      </c>
      <c r="M39" s="287">
        <v>0</v>
      </c>
      <c r="N39" s="287">
        <v>0</v>
      </c>
      <c r="O39" s="287">
        <v>0</v>
      </c>
      <c r="P39" s="287">
        <v>0</v>
      </c>
      <c r="Q39" s="287">
        <v>62.335000000000001</v>
      </c>
      <c r="R39" s="287">
        <v>1679.155</v>
      </c>
      <c r="S39" s="287">
        <v>189.31</v>
      </c>
      <c r="T39" s="287">
        <v>729.50199999999995</v>
      </c>
      <c r="U39" s="287">
        <v>3.9039999999999999</v>
      </c>
      <c r="V39" s="287">
        <v>0</v>
      </c>
      <c r="W39" s="287">
        <v>0.69099999999999995</v>
      </c>
      <c r="X39" s="287">
        <v>0</v>
      </c>
      <c r="Y39" s="287">
        <v>5.883</v>
      </c>
      <c r="Z39" s="287">
        <v>2670.7809999999999</v>
      </c>
      <c r="AA39" s="287">
        <v>2670.7809999999999</v>
      </c>
    </row>
    <row r="40" spans="1:27" x14ac:dyDescent="0.75">
      <c r="A40" s="287" t="s">
        <v>1013</v>
      </c>
      <c r="B40" s="287">
        <v>0</v>
      </c>
      <c r="C40" s="287">
        <v>0</v>
      </c>
      <c r="D40" s="287">
        <v>0</v>
      </c>
      <c r="E40" s="287">
        <v>0</v>
      </c>
      <c r="F40" s="287">
        <v>0</v>
      </c>
      <c r="G40" s="287">
        <v>0</v>
      </c>
      <c r="H40" s="287">
        <v>0</v>
      </c>
      <c r="I40" s="287">
        <v>0</v>
      </c>
      <c r="J40" s="287">
        <v>0</v>
      </c>
      <c r="K40" s="287">
        <v>0</v>
      </c>
      <c r="L40" s="287">
        <v>0</v>
      </c>
      <c r="M40" s="287">
        <v>0</v>
      </c>
      <c r="N40" s="287">
        <v>0</v>
      </c>
      <c r="O40" s="287">
        <v>0</v>
      </c>
      <c r="P40" s="287">
        <v>0</v>
      </c>
      <c r="Q40" s="287">
        <v>4.6790000000000003</v>
      </c>
      <c r="R40" s="287">
        <v>0</v>
      </c>
      <c r="S40" s="287">
        <v>0</v>
      </c>
      <c r="T40" s="287">
        <v>130.11500000000001</v>
      </c>
      <c r="U40" s="287">
        <v>0</v>
      </c>
      <c r="V40" s="287">
        <v>0</v>
      </c>
      <c r="W40" s="287">
        <v>0</v>
      </c>
      <c r="X40" s="287">
        <v>0</v>
      </c>
      <c r="Y40" s="287">
        <v>53.347999999999999</v>
      </c>
      <c r="Z40" s="287">
        <v>188.142</v>
      </c>
      <c r="AA40" s="287">
        <v>188.142</v>
      </c>
    </row>
    <row r="41" spans="1:27" x14ac:dyDescent="0.75">
      <c r="A41" s="287" t="s">
        <v>1014</v>
      </c>
      <c r="B41" s="287">
        <v>83.468999999999994</v>
      </c>
      <c r="C41" s="287">
        <v>0</v>
      </c>
      <c r="D41" s="287">
        <v>0</v>
      </c>
      <c r="E41" s="287">
        <v>0</v>
      </c>
      <c r="F41" s="287">
        <v>0</v>
      </c>
      <c r="G41" s="287">
        <v>0</v>
      </c>
      <c r="H41" s="287">
        <v>0</v>
      </c>
      <c r="I41" s="287">
        <v>1.141</v>
      </c>
      <c r="J41" s="287">
        <v>0</v>
      </c>
      <c r="K41" s="287">
        <v>62.14</v>
      </c>
      <c r="L41" s="287">
        <v>0</v>
      </c>
      <c r="M41" s="287">
        <v>0</v>
      </c>
      <c r="N41" s="287">
        <v>146.74799999999999</v>
      </c>
      <c r="O41" s="287">
        <v>42.728000000000002</v>
      </c>
      <c r="P41" s="287">
        <v>133.816</v>
      </c>
      <c r="Q41" s="287">
        <v>45.015999999999998</v>
      </c>
      <c r="R41" s="287">
        <v>1.3440000000000001</v>
      </c>
      <c r="S41" s="287">
        <v>0</v>
      </c>
      <c r="T41" s="287">
        <v>62.107999999999997</v>
      </c>
      <c r="U41" s="287">
        <v>13.032999999999999</v>
      </c>
      <c r="V41" s="287">
        <v>0</v>
      </c>
      <c r="W41" s="287">
        <v>385.83300000000003</v>
      </c>
      <c r="X41" s="287">
        <v>0</v>
      </c>
      <c r="Y41" s="287">
        <v>646.36300000000006</v>
      </c>
      <c r="Z41" s="287">
        <v>1330.241</v>
      </c>
      <c r="AA41" s="287">
        <v>146.74799999999999</v>
      </c>
    </row>
    <row r="42" spans="1:27" x14ac:dyDescent="0.75">
      <c r="A42" s="287" t="s">
        <v>1015</v>
      </c>
      <c r="O42" s="287">
        <v>12.725</v>
      </c>
      <c r="P42" s="287">
        <v>45.878999999999998</v>
      </c>
      <c r="Q42" s="287">
        <v>140.19999999999999</v>
      </c>
      <c r="R42" s="287">
        <v>621.99099999999999</v>
      </c>
      <c r="S42" s="287">
        <v>71.078999999999994</v>
      </c>
      <c r="T42" s="287">
        <v>359.20100000000002</v>
      </c>
      <c r="U42" s="287">
        <v>627.471</v>
      </c>
      <c r="V42" s="287">
        <v>54.802</v>
      </c>
      <c r="W42" s="287">
        <v>894.79899999999998</v>
      </c>
      <c r="X42" s="287">
        <v>31.937999999999999</v>
      </c>
      <c r="Y42" s="287">
        <v>1153.4590000000001</v>
      </c>
      <c r="Z42" s="287">
        <v>4013.5430000000001</v>
      </c>
      <c r="AA42" s="287">
        <v>4013.5430000000001</v>
      </c>
    </row>
    <row r="45" spans="1:27" x14ac:dyDescent="0.75">
      <c r="A45" s="288" t="s">
        <v>1016</v>
      </c>
    </row>
    <row r="46" spans="1:27" x14ac:dyDescent="0.75">
      <c r="A46" s="287" t="s">
        <v>1017</v>
      </c>
    </row>
    <row r="47" spans="1:27" x14ac:dyDescent="0.75">
      <c r="A47" s="287" t="s">
        <v>1018</v>
      </c>
    </row>
    <row r="48" spans="1:27" x14ac:dyDescent="0.75">
      <c r="A48" s="287" t="s">
        <v>1019</v>
      </c>
    </row>
    <row r="49" spans="1:1" x14ac:dyDescent="0.75">
      <c r="A49" s="287" t="s">
        <v>1020</v>
      </c>
    </row>
    <row r="50" spans="1:1" x14ac:dyDescent="0.75">
      <c r="A50" s="287" t="s">
        <v>1021</v>
      </c>
    </row>
    <row r="51" spans="1:1" x14ac:dyDescent="0.75">
      <c r="A51" s="287" t="s">
        <v>1022</v>
      </c>
    </row>
    <row r="52" spans="1:1" x14ac:dyDescent="0.75">
      <c r="A52" s="287" t="s">
        <v>1023</v>
      </c>
    </row>
    <row r="54" spans="1:1" x14ac:dyDescent="0.75">
      <c r="A54" s="287" t="s">
        <v>1024</v>
      </c>
    </row>
  </sheetData>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L50"/>
  <sheetViews>
    <sheetView workbookViewId="0">
      <selection activeCell="C4" sqref="C4"/>
    </sheetView>
  </sheetViews>
  <sheetFormatPr defaultColWidth="8.86328125" defaultRowHeight="14.75" x14ac:dyDescent="0.75"/>
  <cols>
    <col min="1" max="1" width="44.40625" customWidth="1"/>
    <col min="2" max="4" width="13.40625" style="18" customWidth="1"/>
    <col min="5" max="5" width="16.26953125" style="18" customWidth="1"/>
    <col min="6" max="6" width="22.40625" style="3" customWidth="1"/>
    <col min="8" max="8" width="16.40625" customWidth="1"/>
    <col min="9" max="9" width="8.86328125" customWidth="1"/>
    <col min="10" max="10" width="20.26953125" customWidth="1"/>
    <col min="11" max="11" width="17" customWidth="1"/>
  </cols>
  <sheetData>
    <row r="1" spans="1:7" x14ac:dyDescent="0.75">
      <c r="A1" s="32" t="s">
        <v>765</v>
      </c>
      <c r="B1" s="33" t="s">
        <v>169</v>
      </c>
      <c r="C1" s="33" t="s">
        <v>87</v>
      </c>
      <c r="D1" s="33" t="s">
        <v>92</v>
      </c>
      <c r="E1" s="34" t="s">
        <v>1025</v>
      </c>
      <c r="F1" s="35" t="s">
        <v>164</v>
      </c>
      <c r="G1" s="20" t="s">
        <v>1026</v>
      </c>
    </row>
    <row r="2" spans="1:7" x14ac:dyDescent="0.75">
      <c r="A2" s="31" t="s">
        <v>1027</v>
      </c>
      <c r="B2" s="29"/>
      <c r="C2" s="29"/>
      <c r="D2" s="29"/>
      <c r="E2" s="29"/>
      <c r="F2" s="30"/>
    </row>
    <row r="3" spans="1:7" x14ac:dyDescent="0.75">
      <c r="A3" t="s">
        <v>1028</v>
      </c>
      <c r="B3" s="21">
        <f>BALANCE!B11+BALANCE!O42+BALANCE!P42</f>
        <v>196.19</v>
      </c>
      <c r="C3" s="21">
        <f>BALANCE!B13+BALANCE!O13+BALANCE!P13</f>
        <v>234.89</v>
      </c>
      <c r="D3" s="21">
        <f>-(BALANCE!B16+BALANCE!O16+BALANCE!P16)</f>
        <v>0.58099999999999996</v>
      </c>
      <c r="E3" s="23">
        <f>B3+C3-D3</f>
        <v>430.49899999999997</v>
      </c>
      <c r="F3" t="s">
        <v>1029</v>
      </c>
    </row>
    <row r="4" spans="1:7" x14ac:dyDescent="0.75">
      <c r="A4" t="s">
        <v>1030</v>
      </c>
      <c r="B4" s="22">
        <f>BALANCE!E11+BALANCE!E12</f>
        <v>2803.7669999999998</v>
      </c>
      <c r="C4" s="22">
        <f>BALANCE!E13+BALANCE!W13</f>
        <v>1960.98</v>
      </c>
      <c r="D4" s="22">
        <f>-(BALANCE!E16+BALANCE!W16)</f>
        <v>1.143</v>
      </c>
      <c r="E4" s="23">
        <f>B4+C4-D4</f>
        <v>4763.6039999999994</v>
      </c>
      <c r="F4" s="3" t="s">
        <v>1029</v>
      </c>
    </row>
    <row r="5" spans="1:7" x14ac:dyDescent="0.75">
      <c r="A5" t="s">
        <v>1031</v>
      </c>
      <c r="B5" s="22">
        <f>BALANCE!F11</f>
        <v>152.76900000000001</v>
      </c>
      <c r="C5" s="18">
        <f>BALANCE!F13</f>
        <v>0</v>
      </c>
      <c r="D5" s="18">
        <f>-BALANCE!F16</f>
        <v>0</v>
      </c>
      <c r="E5" s="22">
        <f>B5+C5-D5</f>
        <v>152.76900000000001</v>
      </c>
      <c r="F5" s="3" t="s">
        <v>1029</v>
      </c>
    </row>
    <row r="6" spans="1:7" x14ac:dyDescent="0.75">
      <c r="A6" s="7" t="s">
        <v>1032</v>
      </c>
      <c r="B6" s="29"/>
      <c r="C6" s="29"/>
      <c r="D6" s="29"/>
      <c r="E6" s="29"/>
      <c r="F6" s="30"/>
    </row>
    <row r="7" spans="1:7" x14ac:dyDescent="0.75">
      <c r="A7" s="7" t="s">
        <v>1033</v>
      </c>
      <c r="B7" s="29"/>
      <c r="C7" s="29"/>
      <c r="D7" s="29"/>
      <c r="E7" s="29"/>
      <c r="F7" s="30"/>
    </row>
    <row r="8" spans="1:7" x14ac:dyDescent="0.75">
      <c r="A8" s="7" t="s">
        <v>1034</v>
      </c>
      <c r="B8" s="29"/>
      <c r="C8" s="29"/>
      <c r="D8" s="29"/>
      <c r="E8" s="29"/>
      <c r="F8" s="30"/>
    </row>
    <row r="9" spans="1:7" x14ac:dyDescent="0.75">
      <c r="A9" t="s">
        <v>1035</v>
      </c>
      <c r="B9" s="18">
        <f>BALANCE!K11+BALANCE!L11</f>
        <v>357.07799999999997</v>
      </c>
      <c r="C9" s="23">
        <f>BALANCE!K13+BALANCE!L13</f>
        <v>0</v>
      </c>
      <c r="D9" s="18">
        <f>-(BALANCE!K16+BALANCE!L16)</f>
        <v>0</v>
      </c>
      <c r="E9" s="23">
        <f t="shared" ref="E9:E14" si="0">B9+C9-D9</f>
        <v>357.07799999999997</v>
      </c>
      <c r="F9" s="3" t="s">
        <v>1029</v>
      </c>
    </row>
    <row r="10" spans="1:7" x14ac:dyDescent="0.75">
      <c r="A10" t="s">
        <v>1036</v>
      </c>
      <c r="B10" s="18">
        <f>BALANCE!R42</f>
        <v>621.99099999999999</v>
      </c>
      <c r="C10" s="18">
        <f>BALANCE!R13</f>
        <v>1123.4780000000001</v>
      </c>
      <c r="D10" s="18">
        <f>-BALANCE!R16</f>
        <v>16.288</v>
      </c>
      <c r="E10" s="18">
        <f t="shared" si="0"/>
        <v>1729.181</v>
      </c>
      <c r="F10" s="3" t="s">
        <v>1029</v>
      </c>
    </row>
    <row r="11" spans="1:7" x14ac:dyDescent="0.75">
      <c r="A11" t="s">
        <v>1037</v>
      </c>
      <c r="B11" s="18">
        <f>BALANCE!T42</f>
        <v>359.20100000000002</v>
      </c>
      <c r="C11" s="18">
        <f>BALANCE!T13</f>
        <v>588.08199999999999</v>
      </c>
      <c r="D11" s="18">
        <f>-BALANCE!T16</f>
        <v>3.14</v>
      </c>
      <c r="E11" s="18">
        <f t="shared" si="0"/>
        <v>944.14300000000003</v>
      </c>
      <c r="F11" s="3" t="s">
        <v>1029</v>
      </c>
    </row>
    <row r="12" spans="1:7" x14ac:dyDescent="0.75">
      <c r="A12" t="s">
        <v>1038</v>
      </c>
      <c r="B12" s="18">
        <v>0</v>
      </c>
      <c r="C12" s="18">
        <v>0</v>
      </c>
      <c r="D12" s="18">
        <v>0</v>
      </c>
      <c r="E12" s="18">
        <f t="shared" si="0"/>
        <v>0</v>
      </c>
      <c r="F12" s="3" t="s">
        <v>1029</v>
      </c>
    </row>
    <row r="13" spans="1:7" x14ac:dyDescent="0.75">
      <c r="A13" t="s">
        <v>1039</v>
      </c>
      <c r="B13" s="18">
        <v>0</v>
      </c>
      <c r="C13" s="18">
        <v>0</v>
      </c>
      <c r="D13" s="18">
        <v>0</v>
      </c>
      <c r="E13" s="18">
        <f t="shared" si="0"/>
        <v>0</v>
      </c>
      <c r="F13" s="3" t="s">
        <v>1029</v>
      </c>
    </row>
    <row r="14" spans="1:7" x14ac:dyDescent="0.75">
      <c r="A14" t="s">
        <v>1040</v>
      </c>
      <c r="B14" s="18">
        <f>BALANCE!S42</f>
        <v>71.078999999999994</v>
      </c>
      <c r="C14" s="18">
        <f>BALANCE!S13</f>
        <v>117.196</v>
      </c>
      <c r="D14" s="18">
        <f>BALANCE!S16</f>
        <v>0</v>
      </c>
      <c r="E14" s="18">
        <f t="shared" si="0"/>
        <v>188.27499999999998</v>
      </c>
      <c r="F14" s="3" t="s">
        <v>1029</v>
      </c>
    </row>
    <row r="15" spans="1:7" x14ac:dyDescent="0.75">
      <c r="A15" s="7" t="s">
        <v>1041</v>
      </c>
      <c r="B15" s="29"/>
      <c r="C15" s="29"/>
      <c r="D15" s="29"/>
      <c r="E15" s="29"/>
      <c r="F15" s="30"/>
    </row>
    <row r="16" spans="1:7" x14ac:dyDescent="0.75">
      <c r="A16" s="7" t="s">
        <v>1042</v>
      </c>
      <c r="B16" s="29"/>
      <c r="C16" s="29"/>
      <c r="D16" s="29"/>
      <c r="E16" s="29"/>
      <c r="F16" s="30"/>
    </row>
    <row r="17" spans="1:12" x14ac:dyDescent="0.75">
      <c r="A17" t="s">
        <v>1043</v>
      </c>
      <c r="B17" s="23">
        <v>0</v>
      </c>
      <c r="C17" s="18">
        <v>0</v>
      </c>
      <c r="D17" s="18">
        <v>0</v>
      </c>
      <c r="E17" s="23">
        <f t="shared" ref="E17:E22" si="1">B17+C17-D17</f>
        <v>0</v>
      </c>
      <c r="F17" t="s">
        <v>1029</v>
      </c>
    </row>
    <row r="18" spans="1:12" x14ac:dyDescent="0.75">
      <c r="A18" t="s">
        <v>1044</v>
      </c>
      <c r="B18" s="18">
        <f>BALANCE!C11</f>
        <v>3807.5610000000001</v>
      </c>
      <c r="C18" s="18">
        <f>BALANCE!C13</f>
        <v>0</v>
      </c>
      <c r="D18" s="18">
        <f>-BALANCE!C16</f>
        <v>2236.328</v>
      </c>
      <c r="E18" s="18">
        <f t="shared" si="1"/>
        <v>1571.2330000000002</v>
      </c>
      <c r="F18" s="3" t="s">
        <v>1029</v>
      </c>
    </row>
    <row r="19" spans="1:12" x14ac:dyDescent="0.75">
      <c r="A19" t="s">
        <v>1045</v>
      </c>
      <c r="B19" s="18">
        <f>BALANCE!$U$42</f>
        <v>627.471</v>
      </c>
      <c r="C19" s="18">
        <f>BALANCE!U13</f>
        <v>0</v>
      </c>
      <c r="D19" s="18">
        <f>-BALANCE!U16</f>
        <v>424.17</v>
      </c>
      <c r="E19" s="18">
        <f t="shared" si="1"/>
        <v>203.30099999999999</v>
      </c>
      <c r="F19" s="3" t="s">
        <v>1029</v>
      </c>
    </row>
    <row r="20" spans="1:12" x14ac:dyDescent="0.75">
      <c r="A20" t="s">
        <v>1046</v>
      </c>
      <c r="B20" s="18">
        <f>BALANCE!Q42</f>
        <v>140.19999999999999</v>
      </c>
      <c r="C20" s="18">
        <f>BALANCE!Q13</f>
        <v>288.81900000000002</v>
      </c>
      <c r="D20" s="18">
        <f>-BALANCE!Q16</f>
        <v>0</v>
      </c>
      <c r="E20" s="18">
        <f t="shared" si="1"/>
        <v>429.01900000000001</v>
      </c>
      <c r="F20" s="3" t="s">
        <v>1029</v>
      </c>
    </row>
    <row r="21" spans="1:12" x14ac:dyDescent="0.75">
      <c r="A21" t="s">
        <v>1047</v>
      </c>
      <c r="B21" s="18">
        <v>0</v>
      </c>
      <c r="C21" s="18">
        <v>0</v>
      </c>
      <c r="D21" s="18">
        <v>0</v>
      </c>
      <c r="E21" s="18">
        <f t="shared" si="1"/>
        <v>0</v>
      </c>
      <c r="F21" s="3" t="s">
        <v>1029</v>
      </c>
      <c r="I21" s="194"/>
    </row>
    <row r="22" spans="1:12" x14ac:dyDescent="0.75">
      <c r="A22" t="s">
        <v>1048</v>
      </c>
      <c r="B22" s="18">
        <v>0</v>
      </c>
      <c r="C22" s="18">
        <v>0</v>
      </c>
      <c r="D22" s="18">
        <v>0</v>
      </c>
      <c r="E22" s="18">
        <f t="shared" si="1"/>
        <v>0</v>
      </c>
      <c r="F22" s="3" t="s">
        <v>1029</v>
      </c>
    </row>
    <row r="24" spans="1:12" x14ac:dyDescent="0.75">
      <c r="A24" s="188" t="s">
        <v>1049</v>
      </c>
      <c r="B24" s="189"/>
      <c r="C24" s="189"/>
      <c r="D24" s="189"/>
      <c r="E24" s="189"/>
      <c r="F24" s="190"/>
    </row>
    <row r="25" spans="1:12" x14ac:dyDescent="0.75">
      <c r="A25" s="32" t="s">
        <v>765</v>
      </c>
      <c r="B25" s="33" t="s">
        <v>169</v>
      </c>
      <c r="C25" s="33" t="s">
        <v>87</v>
      </c>
      <c r="D25" s="33" t="s">
        <v>92</v>
      </c>
      <c r="E25" s="34" t="s">
        <v>1025</v>
      </c>
      <c r="F25" s="35" t="s">
        <v>164</v>
      </c>
      <c r="H25" s="195" t="s">
        <v>1050</v>
      </c>
      <c r="I25" s="6"/>
      <c r="J25" s="6"/>
    </row>
    <row r="26" spans="1:12" x14ac:dyDescent="0.75">
      <c r="A26" s="31" t="s">
        <v>1027</v>
      </c>
      <c r="B26" s="29"/>
      <c r="C26" s="29"/>
      <c r="D26" s="29"/>
      <c r="E26" s="29"/>
      <c r="F26" s="30"/>
      <c r="K26" t="s">
        <v>1051</v>
      </c>
      <c r="L26" t="s">
        <v>1052</v>
      </c>
    </row>
    <row r="27" spans="1:12" x14ac:dyDescent="0.75">
      <c r="A27" t="s">
        <v>1028</v>
      </c>
      <c r="B27" s="191">
        <f>B3*$H27</f>
        <v>185952240772800</v>
      </c>
      <c r="C27" s="191">
        <f>C3*$H27</f>
        <v>222632763316800</v>
      </c>
      <c r="D27" s="191">
        <f t="shared" ref="D27:E27" si="2">D3*$H27</f>
        <v>550681746720</v>
      </c>
      <c r="E27" s="191">
        <f t="shared" si="2"/>
        <v>408034322342879.94</v>
      </c>
      <c r="F27" t="s">
        <v>942</v>
      </c>
      <c r="H27" s="70">
        <f t="shared" ref="H27:H29" si="3">$K$27</f>
        <v>947817120000</v>
      </c>
      <c r="I27" t="s">
        <v>1053</v>
      </c>
      <c r="J27" t="s">
        <v>1029</v>
      </c>
      <c r="K27" s="79">
        <v>947817120000</v>
      </c>
      <c r="L27" t="s">
        <v>1054</v>
      </c>
    </row>
    <row r="28" spans="1:12" x14ac:dyDescent="0.75">
      <c r="A28" t="s">
        <v>1030</v>
      </c>
      <c r="B28" s="191">
        <f>B4*$H28</f>
        <v>2657458363091040</v>
      </c>
      <c r="C28" s="191">
        <f>C4*$H28</f>
        <v>1858650415977600</v>
      </c>
      <c r="D28" s="191">
        <f t="shared" ref="C28:E29" si="4">D4*$H28</f>
        <v>1083354968160</v>
      </c>
      <c r="E28" s="191">
        <f t="shared" si="4"/>
        <v>4515025424100479</v>
      </c>
      <c r="F28" t="s">
        <v>942</v>
      </c>
      <c r="H28" s="70">
        <f t="shared" si="3"/>
        <v>947817120000</v>
      </c>
      <c r="I28" t="s">
        <v>1053</v>
      </c>
      <c r="J28" t="s">
        <v>1029</v>
      </c>
    </row>
    <row r="29" spans="1:12" x14ac:dyDescent="0.75">
      <c r="A29" t="s">
        <v>1031</v>
      </c>
      <c r="B29" s="191">
        <f>B5*$H29</f>
        <v>144797073605280</v>
      </c>
      <c r="C29" s="191">
        <f t="shared" si="4"/>
        <v>0</v>
      </c>
      <c r="D29" s="191">
        <f t="shared" si="4"/>
        <v>0</v>
      </c>
      <c r="E29" s="191">
        <f t="shared" si="4"/>
        <v>144797073605280</v>
      </c>
      <c r="F29" t="s">
        <v>942</v>
      </c>
      <c r="H29" s="70">
        <f t="shared" si="3"/>
        <v>947817120000</v>
      </c>
      <c r="I29" t="s">
        <v>1053</v>
      </c>
      <c r="J29" t="s">
        <v>1029</v>
      </c>
    </row>
    <row r="30" spans="1:12" x14ac:dyDescent="0.75">
      <c r="A30" s="7" t="s">
        <v>1032</v>
      </c>
      <c r="B30" s="192"/>
      <c r="C30" s="192"/>
      <c r="D30" s="192"/>
      <c r="E30" s="192"/>
      <c r="F30" s="30"/>
      <c r="H30" s="70"/>
    </row>
    <row r="31" spans="1:12" x14ac:dyDescent="0.75">
      <c r="A31" s="7" t="s">
        <v>1033</v>
      </c>
      <c r="B31" s="192"/>
      <c r="C31" s="192"/>
      <c r="D31" s="192"/>
      <c r="E31" s="192"/>
      <c r="F31" s="30"/>
      <c r="H31" s="70"/>
    </row>
    <row r="32" spans="1:12" x14ac:dyDescent="0.75">
      <c r="A32" s="7" t="s">
        <v>1034</v>
      </c>
      <c r="B32" s="192"/>
      <c r="C32" s="192"/>
      <c r="D32" s="192"/>
      <c r="E32" s="192"/>
      <c r="F32" s="30"/>
      <c r="H32" s="70"/>
    </row>
    <row r="33" spans="1:10" x14ac:dyDescent="0.75">
      <c r="A33" t="s">
        <v>1035</v>
      </c>
      <c r="B33" s="191">
        <f>B9*$H33</f>
        <v>338444641575360</v>
      </c>
      <c r="C33" s="191">
        <f t="shared" ref="C33:E33" si="5">C9*$H33</f>
        <v>0</v>
      </c>
      <c r="D33" s="191">
        <f t="shared" si="5"/>
        <v>0</v>
      </c>
      <c r="E33" s="191">
        <f t="shared" si="5"/>
        <v>338444641575360</v>
      </c>
      <c r="F33" t="s">
        <v>942</v>
      </c>
      <c r="H33" s="70">
        <f t="shared" ref="H33:H38" si="6">$K$27</f>
        <v>947817120000</v>
      </c>
      <c r="I33" t="s">
        <v>1053</v>
      </c>
      <c r="J33" t="s">
        <v>1029</v>
      </c>
    </row>
    <row r="34" spans="1:10" x14ac:dyDescent="0.75">
      <c r="A34" t="s">
        <v>1036</v>
      </c>
      <c r="B34" s="191">
        <f t="shared" ref="B34:E38" si="7">B10*$H34</f>
        <v>589533718285920</v>
      </c>
      <c r="C34" s="191">
        <f t="shared" si="7"/>
        <v>1064851682343360</v>
      </c>
      <c r="D34" s="191">
        <f t="shared" si="7"/>
        <v>15438045250560</v>
      </c>
      <c r="E34" s="191">
        <f t="shared" si="7"/>
        <v>1638947355378720</v>
      </c>
      <c r="F34" t="s">
        <v>942</v>
      </c>
      <c r="H34" s="70">
        <f t="shared" si="6"/>
        <v>947817120000</v>
      </c>
      <c r="I34" t="s">
        <v>1053</v>
      </c>
      <c r="J34" t="s">
        <v>1029</v>
      </c>
    </row>
    <row r="35" spans="1:10" x14ac:dyDescent="0.75">
      <c r="A35" t="s">
        <v>1037</v>
      </c>
      <c r="B35" s="191">
        <f t="shared" si="7"/>
        <v>340456857321120</v>
      </c>
      <c r="C35" s="191">
        <f t="shared" si="7"/>
        <v>557394187563840</v>
      </c>
      <c r="D35" s="191">
        <f t="shared" si="7"/>
        <v>2976145756800</v>
      </c>
      <c r="E35" s="191">
        <f t="shared" si="7"/>
        <v>894874899128160</v>
      </c>
      <c r="F35" t="s">
        <v>942</v>
      </c>
      <c r="H35" s="70">
        <f t="shared" si="6"/>
        <v>947817120000</v>
      </c>
      <c r="I35" t="s">
        <v>1053</v>
      </c>
      <c r="J35" t="s">
        <v>1029</v>
      </c>
    </row>
    <row r="36" spans="1:10" x14ac:dyDescent="0.75">
      <c r="A36" t="s">
        <v>1038</v>
      </c>
      <c r="B36" s="191">
        <f t="shared" si="7"/>
        <v>0</v>
      </c>
      <c r="C36" s="191">
        <f t="shared" si="7"/>
        <v>0</v>
      </c>
      <c r="D36" s="191">
        <f t="shared" si="7"/>
        <v>0</v>
      </c>
      <c r="E36" s="191">
        <f t="shared" si="7"/>
        <v>0</v>
      </c>
      <c r="F36" t="s">
        <v>942</v>
      </c>
      <c r="H36" s="70">
        <f t="shared" si="6"/>
        <v>947817120000</v>
      </c>
      <c r="I36" t="s">
        <v>1053</v>
      </c>
      <c r="J36" t="s">
        <v>1029</v>
      </c>
    </row>
    <row r="37" spans="1:10" x14ac:dyDescent="0.75">
      <c r="A37" t="s">
        <v>1039</v>
      </c>
      <c r="B37" s="191">
        <f t="shared" si="7"/>
        <v>0</v>
      </c>
      <c r="C37" s="191">
        <f t="shared" si="7"/>
        <v>0</v>
      </c>
      <c r="D37" s="191">
        <f t="shared" si="7"/>
        <v>0</v>
      </c>
      <c r="E37" s="191">
        <f t="shared" si="7"/>
        <v>0</v>
      </c>
      <c r="F37" t="s">
        <v>942</v>
      </c>
      <c r="H37" s="70">
        <f t="shared" si="6"/>
        <v>947817120000</v>
      </c>
      <c r="I37" t="s">
        <v>1053</v>
      </c>
      <c r="J37" t="s">
        <v>1029</v>
      </c>
    </row>
    <row r="38" spans="1:10" x14ac:dyDescent="0.75">
      <c r="A38" t="s">
        <v>1040</v>
      </c>
      <c r="B38" s="191">
        <f t="shared" si="7"/>
        <v>67369893072479.992</v>
      </c>
      <c r="C38" s="191">
        <f t="shared" si="7"/>
        <v>111080375195520</v>
      </c>
      <c r="D38" s="191">
        <f t="shared" si="7"/>
        <v>0</v>
      </c>
      <c r="E38" s="191">
        <f t="shared" si="7"/>
        <v>178450268267999.97</v>
      </c>
      <c r="F38" t="s">
        <v>942</v>
      </c>
      <c r="H38" s="70">
        <f t="shared" si="6"/>
        <v>947817120000</v>
      </c>
      <c r="I38" t="s">
        <v>1053</v>
      </c>
      <c r="J38" t="s">
        <v>1029</v>
      </c>
    </row>
    <row r="39" spans="1:10" x14ac:dyDescent="0.75">
      <c r="A39" s="7" t="s">
        <v>1041</v>
      </c>
      <c r="B39" s="192"/>
      <c r="C39" s="192"/>
      <c r="D39" s="192"/>
      <c r="E39" s="192"/>
      <c r="F39" s="30"/>
      <c r="H39" s="70"/>
    </row>
    <row r="40" spans="1:10" x14ac:dyDescent="0.75">
      <c r="A40" s="7" t="s">
        <v>1042</v>
      </c>
      <c r="B40" s="192"/>
      <c r="C40" s="192"/>
      <c r="D40" s="192"/>
      <c r="E40" s="192"/>
      <c r="F40" s="30"/>
      <c r="H40" s="70"/>
    </row>
    <row r="41" spans="1:10" x14ac:dyDescent="0.75">
      <c r="A41" t="s">
        <v>1043</v>
      </c>
      <c r="B41" s="191">
        <f t="shared" ref="B41:E42" si="8">B17*$H41</f>
        <v>0</v>
      </c>
      <c r="C41" s="191">
        <f t="shared" si="8"/>
        <v>0</v>
      </c>
      <c r="D41" s="191">
        <f t="shared" si="8"/>
        <v>0</v>
      </c>
      <c r="E41" s="191">
        <f t="shared" si="8"/>
        <v>0</v>
      </c>
      <c r="F41" t="s">
        <v>942</v>
      </c>
      <c r="H41" s="70">
        <f t="shared" ref="H41:H46" si="9">$K$27</f>
        <v>947817120000</v>
      </c>
      <c r="I41" t="s">
        <v>1053</v>
      </c>
      <c r="J41" t="s">
        <v>1029</v>
      </c>
    </row>
    <row r="42" spans="1:10" x14ac:dyDescent="0.75">
      <c r="A42" t="s">
        <v>1044</v>
      </c>
      <c r="B42" s="191">
        <f>B18*$H42</f>
        <v>3608871501244320</v>
      </c>
      <c r="C42" s="191">
        <f t="shared" si="8"/>
        <v>0</v>
      </c>
      <c r="D42" s="191">
        <f t="shared" si="8"/>
        <v>2119629964335360</v>
      </c>
      <c r="E42" s="191">
        <f t="shared" si="8"/>
        <v>1489241536908960.3</v>
      </c>
      <c r="F42" t="s">
        <v>942</v>
      </c>
      <c r="H42" s="70">
        <f t="shared" si="9"/>
        <v>947817120000</v>
      </c>
      <c r="I42" t="s">
        <v>1053</v>
      </c>
      <c r="J42" t="s">
        <v>1029</v>
      </c>
    </row>
    <row r="43" spans="1:10" x14ac:dyDescent="0.75">
      <c r="A43" t="s">
        <v>1045</v>
      </c>
      <c r="B43" s="191">
        <f t="shared" ref="B43:E43" si="10">B19*$H43</f>
        <v>594727756103520</v>
      </c>
      <c r="C43" s="191">
        <f t="shared" si="10"/>
        <v>0</v>
      </c>
      <c r="D43" s="191">
        <f t="shared" si="10"/>
        <v>402035587790400</v>
      </c>
      <c r="E43" s="191">
        <f t="shared" si="10"/>
        <v>192692168313120</v>
      </c>
      <c r="F43" t="s">
        <v>942</v>
      </c>
      <c r="H43" s="70">
        <f t="shared" si="9"/>
        <v>947817120000</v>
      </c>
      <c r="I43" t="s">
        <v>1053</v>
      </c>
      <c r="J43" t="s">
        <v>1029</v>
      </c>
    </row>
    <row r="44" spans="1:10" x14ac:dyDescent="0.75">
      <c r="A44" t="s">
        <v>1046</v>
      </c>
      <c r="B44" s="191">
        <f t="shared" ref="B44:E44" si="11">B20*$H44</f>
        <v>132883960223999.98</v>
      </c>
      <c r="C44" s="191">
        <f t="shared" si="11"/>
        <v>273747592781280.03</v>
      </c>
      <c r="D44" s="191">
        <f t="shared" si="11"/>
        <v>0</v>
      </c>
      <c r="E44" s="191">
        <f t="shared" si="11"/>
        <v>406631553005280</v>
      </c>
      <c r="F44" t="s">
        <v>942</v>
      </c>
      <c r="H44" s="70">
        <f t="shared" si="9"/>
        <v>947817120000</v>
      </c>
      <c r="I44" t="s">
        <v>1053</v>
      </c>
      <c r="J44" t="s">
        <v>1029</v>
      </c>
    </row>
    <row r="45" spans="1:10" x14ac:dyDescent="0.75">
      <c r="A45" t="s">
        <v>1047</v>
      </c>
      <c r="B45" s="191">
        <f t="shared" ref="B45:E45" si="12">B21*$H45</f>
        <v>0</v>
      </c>
      <c r="C45" s="191">
        <f t="shared" si="12"/>
        <v>0</v>
      </c>
      <c r="D45" s="191">
        <f t="shared" si="12"/>
        <v>0</v>
      </c>
      <c r="E45" s="191">
        <f t="shared" si="12"/>
        <v>0</v>
      </c>
      <c r="F45" t="s">
        <v>942</v>
      </c>
      <c r="H45" s="70">
        <f t="shared" si="9"/>
        <v>947817120000</v>
      </c>
      <c r="I45" t="s">
        <v>1053</v>
      </c>
      <c r="J45" t="s">
        <v>1029</v>
      </c>
    </row>
    <row r="46" spans="1:10" x14ac:dyDescent="0.75">
      <c r="A46" t="s">
        <v>1048</v>
      </c>
      <c r="B46" s="191">
        <f t="shared" ref="B46:E46" si="13">B22*$H46</f>
        <v>0</v>
      </c>
      <c r="C46" s="191">
        <f t="shared" si="13"/>
        <v>0</v>
      </c>
      <c r="D46" s="191">
        <f t="shared" si="13"/>
        <v>0</v>
      </c>
      <c r="E46" s="191">
        <f t="shared" si="13"/>
        <v>0</v>
      </c>
      <c r="F46" t="s">
        <v>942</v>
      </c>
      <c r="H46" s="70">
        <f t="shared" si="9"/>
        <v>947817120000</v>
      </c>
      <c r="I46" t="s">
        <v>1053</v>
      </c>
      <c r="J46" t="s">
        <v>1029</v>
      </c>
    </row>
    <row r="49" spans="8:8" x14ac:dyDescent="0.75">
      <c r="H49" s="227"/>
    </row>
    <row r="50" spans="8:8" x14ac:dyDescent="0.75">
      <c r="H50" s="242"/>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G73"/>
  <sheetViews>
    <sheetView workbookViewId="0">
      <selection activeCell="C6" sqref="C6"/>
    </sheetView>
  </sheetViews>
  <sheetFormatPr defaultColWidth="8.86328125" defaultRowHeight="14.75" x14ac:dyDescent="0.75"/>
  <cols>
    <col min="1" max="1" width="38.86328125" customWidth="1"/>
  </cols>
  <sheetData>
    <row r="1" spans="1:33" x14ac:dyDescent="0.75">
      <c r="A1" s="196" t="s">
        <v>1055</v>
      </c>
      <c r="B1" s="197"/>
      <c r="C1" s="197"/>
      <c r="D1" s="197"/>
      <c r="E1" s="197"/>
      <c r="F1" s="197"/>
      <c r="G1" s="197"/>
      <c r="H1" s="197"/>
      <c r="I1" s="197"/>
      <c r="J1" s="197"/>
      <c r="K1" s="197"/>
      <c r="L1" s="197"/>
      <c r="M1" s="197"/>
      <c r="N1" s="197"/>
      <c r="O1" s="197"/>
      <c r="P1" s="197"/>
      <c r="Q1" s="197"/>
      <c r="R1" s="197"/>
      <c r="S1" s="197"/>
      <c r="T1" s="197"/>
      <c r="U1" s="197"/>
      <c r="V1" s="197"/>
      <c r="W1" s="197"/>
      <c r="X1" s="197"/>
      <c r="Y1" s="197"/>
      <c r="Z1" s="197"/>
      <c r="AA1" s="197"/>
      <c r="AB1" s="197"/>
      <c r="AC1" s="197"/>
      <c r="AD1" s="197"/>
      <c r="AE1" s="197"/>
      <c r="AF1" s="197"/>
      <c r="AG1" s="197"/>
    </row>
    <row r="2" spans="1:33" s="1" customFormat="1" x14ac:dyDescent="0.75">
      <c r="B2" s="1">
        <v>2021</v>
      </c>
      <c r="C2" s="1">
        <v>2022</v>
      </c>
      <c r="D2" s="1">
        <v>2023</v>
      </c>
      <c r="E2" s="1">
        <v>2024</v>
      </c>
      <c r="F2" s="1">
        <v>2025</v>
      </c>
      <c r="G2" s="1">
        <v>2026</v>
      </c>
      <c r="H2" s="1">
        <v>2027</v>
      </c>
      <c r="I2" s="1">
        <v>2028</v>
      </c>
      <c r="J2" s="1">
        <v>2029</v>
      </c>
      <c r="K2" s="1">
        <v>2030</v>
      </c>
      <c r="L2" s="1">
        <v>2031</v>
      </c>
      <c r="M2" s="1">
        <v>2032</v>
      </c>
      <c r="N2" s="1">
        <v>2033</v>
      </c>
      <c r="O2" s="1">
        <v>2034</v>
      </c>
      <c r="P2" s="1">
        <v>2035</v>
      </c>
      <c r="Q2" s="1">
        <v>2036</v>
      </c>
      <c r="R2" s="1">
        <v>2037</v>
      </c>
      <c r="S2" s="1">
        <v>2038</v>
      </c>
      <c r="T2" s="1">
        <v>2039</v>
      </c>
      <c r="U2" s="1">
        <v>2040</v>
      </c>
      <c r="V2" s="1">
        <v>2041</v>
      </c>
      <c r="W2" s="1">
        <v>2042</v>
      </c>
      <c r="X2" s="1">
        <v>2043</v>
      </c>
      <c r="Y2" s="1">
        <v>2044</v>
      </c>
      <c r="Z2" s="1">
        <v>2045</v>
      </c>
      <c r="AA2" s="1">
        <v>2046</v>
      </c>
      <c r="AB2" s="1">
        <v>2047</v>
      </c>
      <c r="AC2" s="1">
        <v>2048</v>
      </c>
      <c r="AD2" s="1">
        <v>2049</v>
      </c>
      <c r="AE2" s="1">
        <v>2050</v>
      </c>
    </row>
    <row r="3" spans="1:33" x14ac:dyDescent="0.75">
      <c r="A3" s="31" t="s">
        <v>1027</v>
      </c>
      <c r="B3" s="7">
        <v>0</v>
      </c>
      <c r="C3" s="7">
        <v>0</v>
      </c>
      <c r="D3" s="7">
        <v>0</v>
      </c>
      <c r="E3" s="7">
        <v>0</v>
      </c>
      <c r="F3" s="7">
        <v>0</v>
      </c>
      <c r="G3" s="7">
        <v>0</v>
      </c>
      <c r="H3" s="7">
        <v>0</v>
      </c>
      <c r="I3" s="7">
        <v>0</v>
      </c>
      <c r="J3" s="7">
        <v>0</v>
      </c>
      <c r="K3" s="7">
        <v>0</v>
      </c>
      <c r="L3" s="7">
        <v>0</v>
      </c>
      <c r="M3" s="7">
        <v>0</v>
      </c>
      <c r="N3" s="7">
        <v>0</v>
      </c>
      <c r="O3" s="7">
        <v>0</v>
      </c>
      <c r="P3" s="7">
        <v>0</v>
      </c>
      <c r="Q3" s="7">
        <v>0</v>
      </c>
      <c r="R3" s="7">
        <v>0</v>
      </c>
      <c r="S3" s="7">
        <v>0</v>
      </c>
      <c r="T3" s="7">
        <v>0</v>
      </c>
      <c r="U3" s="7">
        <v>0</v>
      </c>
      <c r="V3" s="7">
        <v>0</v>
      </c>
      <c r="W3" s="7">
        <v>0</v>
      </c>
      <c r="X3" s="7">
        <v>0</v>
      </c>
      <c r="Y3" s="7">
        <v>0</v>
      </c>
      <c r="Z3" s="7">
        <v>0</v>
      </c>
      <c r="AA3" s="7">
        <v>0</v>
      </c>
      <c r="AB3" s="7">
        <v>0</v>
      </c>
      <c r="AC3" s="7">
        <v>0</v>
      </c>
      <c r="AD3" s="7">
        <v>0</v>
      </c>
      <c r="AE3" s="7">
        <v>0</v>
      </c>
      <c r="AF3" s="7"/>
      <c r="AG3" s="7"/>
    </row>
    <row r="4" spans="1:33" x14ac:dyDescent="0.75">
      <c r="A4" t="s">
        <v>1028</v>
      </c>
      <c r="B4">
        <f>'AEO 2022 Table 1'!C$19/'AEO 2022 Table 1'!$C$19</f>
        <v>1</v>
      </c>
      <c r="C4">
        <f>'AEO 2023 Table 1'!C$19/'AEO 2022 Table 1'!$C$19</f>
        <v>0.90065567719059569</v>
      </c>
      <c r="D4">
        <f>'AEO 2023 Table 1'!D$19/'AEO 2022 Table 1'!$C$19</f>
        <v>0.84583450025660856</v>
      </c>
      <c r="E4">
        <f>'AEO 2023 Table 1'!E$19/'AEO 2022 Table 1'!$C$19</f>
        <v>0.92185464330039357</v>
      </c>
      <c r="F4">
        <f>'AEO 2023 Table 1'!F$19/'AEO 2022 Table 1'!$C$19</f>
        <v>0.8657017605377183</v>
      </c>
      <c r="G4">
        <f>'AEO 2023 Table 1'!G$19/'AEO 2022 Table 1'!$C$19</f>
        <v>0.79226504429571998</v>
      </c>
      <c r="H4">
        <f>'AEO 2023 Table 1'!H$19/'AEO 2022 Table 1'!$C$19</f>
        <v>0.71073641223843154</v>
      </c>
      <c r="I4">
        <f>'AEO 2023 Table 1'!I$19/'AEO 2022 Table 1'!$C$19</f>
        <v>0.63830672595477234</v>
      </c>
      <c r="J4">
        <f>'AEO 2023 Table 1'!J$19/'AEO 2022 Table 1'!$C$19</f>
        <v>0.57020607674054147</v>
      </c>
      <c r="K4">
        <f>'AEO 2023 Table 1'!K$19/'AEO 2022 Table 1'!$C$19</f>
        <v>0.54200732804898522</v>
      </c>
      <c r="L4">
        <f>'AEO 2023 Table 1'!L$19/'AEO 2022 Table 1'!$C$19</f>
        <v>0.53960098328660289</v>
      </c>
      <c r="M4">
        <f>'AEO 2023 Table 1'!M$19/'AEO 2022 Table 1'!$C$19</f>
        <v>0.54342421354718851</v>
      </c>
      <c r="N4">
        <f>'AEO 2023 Table 1'!N$19/'AEO 2022 Table 1'!$C$19</f>
        <v>0.54104506516359308</v>
      </c>
      <c r="O4">
        <f>'AEO 2023 Table 1'!O$19/'AEO 2022 Table 1'!$C$19</f>
        <v>0.53605666869722768</v>
      </c>
      <c r="P4">
        <f>'AEO 2023 Table 1'!P$19/'AEO 2022 Table 1'!$C$19</f>
        <v>0.54001504051420102</v>
      </c>
      <c r="Q4">
        <f>'AEO 2023 Table 1'!Q$19/'AEO 2022 Table 1'!$C$19</f>
        <v>0.53368561811181048</v>
      </c>
      <c r="R4">
        <f>'AEO 2023 Table 1'!R$19/'AEO 2022 Table 1'!$C$19</f>
        <v>0.51963173658504236</v>
      </c>
      <c r="S4">
        <f>'AEO 2023 Table 1'!S$19/'AEO 2022 Table 1'!$C$19</f>
        <v>0.51123172246737159</v>
      </c>
      <c r="T4">
        <f>'AEO 2023 Table 1'!T$19/'AEO 2022 Table 1'!$C$19</f>
        <v>0.4990927410267611</v>
      </c>
      <c r="U4">
        <f>'AEO 2023 Table 1'!U$19/'AEO 2022 Table 1'!$C$19</f>
        <v>0.49180823680528718</v>
      </c>
      <c r="V4">
        <f>'AEO 2023 Table 1'!V$19/'AEO 2022 Table 1'!$C$19</f>
        <v>0.49218104109877037</v>
      </c>
      <c r="W4">
        <f>'AEO 2023 Table 1'!W$19/'AEO 2022 Table 1'!$C$19</f>
        <v>0.49305827710329231</v>
      </c>
      <c r="X4">
        <f>'AEO 2023 Table 1'!X$19/'AEO 2022 Table 1'!$C$19</f>
        <v>0.48617117614712568</v>
      </c>
      <c r="Y4">
        <f>'AEO 2023 Table 1'!Y$19/'AEO 2022 Table 1'!$C$19</f>
        <v>0.47842188886795683</v>
      </c>
      <c r="Z4">
        <f>'AEO 2023 Table 1'!Z$19/'AEO 2022 Table 1'!$C$19</f>
        <v>0.47278574494166448</v>
      </c>
      <c r="AA4">
        <f>'AEO 2023 Table 1'!AA$19/'AEO 2022 Table 1'!$C$19</f>
        <v>0.46752339843504698</v>
      </c>
      <c r="AB4">
        <f>'AEO 2023 Table 1'!AB$19/'AEO 2022 Table 1'!$C$19</f>
        <v>0.46505907038193645</v>
      </c>
      <c r="AC4">
        <f>'AEO 2023 Table 1'!AC$19/'AEO 2022 Table 1'!$C$19</f>
        <v>0.46370459904516265</v>
      </c>
      <c r="AD4">
        <f>'AEO 2023 Table 1'!AD$19/'AEO 2022 Table 1'!$C$19</f>
        <v>0.46081399067286438</v>
      </c>
      <c r="AE4">
        <f>'AEO 2023 Table 1'!AE$19/'AEO 2022 Table 1'!$C$19</f>
        <v>0.45420977789267486</v>
      </c>
    </row>
    <row r="5" spans="1:33" x14ac:dyDescent="0.75">
      <c r="A5" t="s">
        <v>1030</v>
      </c>
      <c r="B5" s="226">
        <f>'AEO 2022 Table 1'!C$18/'AEO 2022 Table 1'!$C$18</f>
        <v>1</v>
      </c>
      <c r="C5" s="226">
        <f>'AEO 2023 Table 1'!C$18/'AEO 2022 Table 1'!$C$18</f>
        <v>1.0597346165070054</v>
      </c>
      <c r="D5" s="226">
        <f>'AEO 2023 Table 1'!D$18/'AEO 2022 Table 1'!$C$18</f>
        <v>1.0603385212983842</v>
      </c>
      <c r="E5" s="226">
        <f>'AEO 2023 Table 1'!E$18/'AEO 2022 Table 1'!$C$18</f>
        <v>1.0336358069889011</v>
      </c>
      <c r="F5" s="226">
        <f>'AEO 2023 Table 1'!F$18/'AEO 2022 Table 1'!$C$18</f>
        <v>1.0382408857920447</v>
      </c>
      <c r="G5" s="226">
        <f>'AEO 2023 Table 1'!G$18/'AEO 2022 Table 1'!$C$18</f>
        <v>1.0515507523419489</v>
      </c>
      <c r="H5" s="226">
        <f>'AEO 2023 Table 1'!H$18/'AEO 2022 Table 1'!$C$18</f>
        <v>1.0501757192272339</v>
      </c>
      <c r="I5" s="226">
        <f>'AEO 2023 Table 1'!I$18/'AEO 2022 Table 1'!$C$18</f>
        <v>1.0589427498874315</v>
      </c>
      <c r="J5" s="226">
        <f>'AEO 2023 Table 1'!J$18/'AEO 2022 Table 1'!$C$18</f>
        <v>1.0659718272487593</v>
      </c>
      <c r="K5" s="226">
        <f>'AEO 2023 Table 1'!K$18/'AEO 2022 Table 1'!$C$18</f>
        <v>1.076319116082249</v>
      </c>
      <c r="L5" s="226">
        <f>'AEO 2023 Table 1'!L$18/'AEO 2022 Table 1'!$C$18</f>
        <v>1.0888493347925245</v>
      </c>
      <c r="M5" s="226">
        <f>'AEO 2023 Table 1'!M$18/'AEO 2022 Table 1'!$C$18</f>
        <v>1.1035605496735861</v>
      </c>
      <c r="N5" s="226">
        <f>'AEO 2023 Table 1'!N$18/'AEO 2022 Table 1'!$C$18</f>
        <v>1.1203562155490308</v>
      </c>
      <c r="O5" s="226">
        <f>'AEO 2023 Table 1'!O$18/'AEO 2022 Table 1'!$C$18</f>
        <v>1.1347381399155116</v>
      </c>
      <c r="P5" s="226">
        <f>'AEO 2023 Table 1'!P$18/'AEO 2022 Table 1'!$C$18</f>
        <v>1.1478589236482351</v>
      </c>
      <c r="Q5" s="226">
        <f>'AEO 2023 Table 1'!Q$18/'AEO 2022 Table 1'!$C$18</f>
        <v>1.1583201890368566</v>
      </c>
      <c r="R5" s="226">
        <f>'AEO 2023 Table 1'!R$18/'AEO 2022 Table 1'!$C$18</f>
        <v>1.1688392974571455</v>
      </c>
      <c r="S5" s="226">
        <f>'AEO 2023 Table 1'!S$18/'AEO 2022 Table 1'!$C$18</f>
        <v>1.1767362164665602</v>
      </c>
      <c r="T5" s="226">
        <f>'AEO 2023 Table 1'!T$18/'AEO 2022 Table 1'!$C$18</f>
        <v>1.1837812118714863</v>
      </c>
      <c r="U5" s="226">
        <f>'AEO 2023 Table 1'!U$18/'AEO 2022 Table 1'!$C$18</f>
        <v>1.1877749873559449</v>
      </c>
      <c r="V5" s="226">
        <f>'AEO 2023 Table 1'!V$18/'AEO 2022 Table 1'!$C$18</f>
        <v>1.1912315849184048</v>
      </c>
      <c r="W5" s="226">
        <f>'AEO 2023 Table 1'!W$18/'AEO 2022 Table 1'!$C$18</f>
        <v>1.1963182686145757</v>
      </c>
      <c r="X5" s="226">
        <f>'AEO 2023 Table 1'!X$18/'AEO 2022 Table 1'!$C$18</f>
        <v>1.1995829528626654</v>
      </c>
      <c r="Y5" s="226">
        <f>'AEO 2023 Table 1'!Y$18/'AEO 2022 Table 1'!$C$18</f>
        <v>1.2018293587407727</v>
      </c>
      <c r="Z5" s="226">
        <f>'AEO 2023 Table 1'!Z$18/'AEO 2022 Table 1'!$C$18</f>
        <v>1.206225961617281</v>
      </c>
      <c r="AA5" s="226">
        <f>'AEO 2023 Table 1'!AA$18/'AEO 2022 Table 1'!$C$18</f>
        <v>1.2014269797443176</v>
      </c>
      <c r="AB5" s="226">
        <f>'AEO 2023 Table 1'!AB$18/'AEO 2022 Table 1'!$C$18</f>
        <v>1.2073655870449769</v>
      </c>
      <c r="AC5" s="226">
        <f>'AEO 2023 Table 1'!AC$18/'AEO 2022 Table 1'!$C$18</f>
        <v>1.2093491210059126</v>
      </c>
      <c r="AD5" s="226">
        <f>'AEO 2023 Table 1'!AD$18/'AEO 2022 Table 1'!$C$18</f>
        <v>1.21166544857201</v>
      </c>
      <c r="AE5" s="226">
        <f>'AEO 2023 Table 1'!AE$18/'AEO 2022 Table 1'!$C$18</f>
        <v>1.2224888214277718</v>
      </c>
    </row>
    <row r="6" spans="1:33" x14ac:dyDescent="0.75">
      <c r="A6" t="s">
        <v>1031</v>
      </c>
      <c r="B6">
        <f>'AEO 2022 Table 1'!C$20/'AEO 2022 Table 1'!$C$20</f>
        <v>1</v>
      </c>
      <c r="C6">
        <f>'AEO 2023 Table 1'!C$20/'AEO 2022 Table 1'!$C$20</f>
        <v>0.99304334977189201</v>
      </c>
      <c r="D6">
        <f>'AEO 2023 Table 1'!D$20/'AEO 2022 Table 1'!$C$20</f>
        <v>1.0081344390880602</v>
      </c>
      <c r="E6">
        <f>'AEO 2023 Table 1'!E$20/'AEO 2022 Table 1'!$C$20</f>
        <v>1.0154508905758421</v>
      </c>
      <c r="F6">
        <f>'AEO 2023 Table 1'!F$20/'AEO 2022 Table 1'!$C$20</f>
        <v>1.0062572418930815</v>
      </c>
      <c r="G6">
        <f>'AEO 2023 Table 1'!G$20/'AEO 2022 Table 1'!$C$20</f>
        <v>0.99651613379878468</v>
      </c>
      <c r="H6">
        <f>'AEO 2023 Table 1'!H$20/'AEO 2022 Table 1'!$C$20</f>
        <v>0.99649914113149007</v>
      </c>
      <c r="I6">
        <f>'AEO 2023 Table 1'!I$20/'AEO 2022 Table 1'!$C$20</f>
        <v>0.98477050664006938</v>
      </c>
      <c r="J6">
        <f>'AEO 2023 Table 1'!J$20/'AEO 2022 Table 1'!$C$20</f>
        <v>0.98475462219020704</v>
      </c>
      <c r="K6">
        <f>'AEO 2023 Table 1'!K$20/'AEO 2022 Table 1'!$C$20</f>
        <v>0.97507668248954893</v>
      </c>
      <c r="L6">
        <f>'AEO 2023 Table 1'!L$20/'AEO 2022 Table 1'!$C$20</f>
        <v>0.9750832086588721</v>
      </c>
      <c r="M6">
        <f>'AEO 2023 Table 1'!M$20/'AEO 2022 Table 1'!$C$20</f>
        <v>0.97509404456265436</v>
      </c>
      <c r="N6">
        <f>'AEO 2023 Table 1'!N$20/'AEO 2022 Table 1'!$C$20</f>
        <v>0.9201664788853795</v>
      </c>
      <c r="O6">
        <f>'AEO 2023 Table 1'!O$20/'AEO 2022 Table 1'!$C$20</f>
        <v>0.91159724915806262</v>
      </c>
      <c r="P6">
        <f>'AEO 2023 Table 1'!P$20/'AEO 2022 Table 1'!$C$20</f>
        <v>0.90060311655368996</v>
      </c>
      <c r="Q6">
        <f>'AEO 2023 Table 1'!Q$20/'AEO 2022 Table 1'!$C$20</f>
        <v>0.8799021074601503</v>
      </c>
      <c r="R6">
        <f>'AEO 2023 Table 1'!R$20/'AEO 2022 Table 1'!$C$20</f>
        <v>0.86584239916760553</v>
      </c>
      <c r="S6">
        <f>'AEO 2023 Table 1'!S$20/'AEO 2022 Table 1'!$C$20</f>
        <v>0.84190022349051552</v>
      </c>
      <c r="T6">
        <f>'AEO 2023 Table 1'!T$20/'AEO 2022 Table 1'!$C$20</f>
        <v>0.82922344741816123</v>
      </c>
      <c r="U6">
        <f>'AEO 2023 Table 1'!U$20/'AEO 2022 Table 1'!$C$20</f>
        <v>0.80452165025889188</v>
      </c>
      <c r="V6">
        <f>'AEO 2023 Table 1'!V$20/'AEO 2022 Table 1'!$C$20</f>
        <v>0.80473923028142569</v>
      </c>
      <c r="W6">
        <f>'AEO 2023 Table 1'!W$20/'AEO 2022 Table 1'!$C$20</f>
        <v>0.80512353545987936</v>
      </c>
      <c r="X6">
        <f>'AEO 2023 Table 1'!X$20/'AEO 2022 Table 1'!$C$20</f>
        <v>0.80545267603726078</v>
      </c>
      <c r="Y6">
        <f>'AEO 2023 Table 1'!Y$20/'AEO 2022 Table 1'!$C$20</f>
        <v>0.80581764897828501</v>
      </c>
      <c r="Z6">
        <f>'AEO 2023 Table 1'!Z$20/'AEO 2022 Table 1'!$C$20</f>
        <v>0.8058208504953116</v>
      </c>
      <c r="AA6">
        <f>'AEO 2023 Table 1'!AA$20/'AEO 2022 Table 1'!$C$20</f>
        <v>0.80550944139684644</v>
      </c>
      <c r="AB6">
        <f>'AEO 2023 Table 1'!AB$20/'AEO 2022 Table 1'!$C$20</f>
        <v>0.8052589842571557</v>
      </c>
      <c r="AC6">
        <f>'AEO 2023 Table 1'!AC$20/'AEO 2022 Table 1'!$C$20</f>
        <v>0.80415162877178725</v>
      </c>
      <c r="AD6">
        <f>'AEO 2023 Table 1'!AD$20/'AEO 2022 Table 1'!$C$20</f>
        <v>0.80430370083054736</v>
      </c>
      <c r="AE6">
        <f>'AEO 2023 Table 1'!AE$20/'AEO 2022 Table 1'!$C$20</f>
        <v>0.80379096556522167</v>
      </c>
    </row>
    <row r="7" spans="1:33" x14ac:dyDescent="0.75">
      <c r="A7" s="7" t="s">
        <v>1032</v>
      </c>
      <c r="B7" s="7">
        <v>0</v>
      </c>
      <c r="C7" s="7">
        <v>0</v>
      </c>
      <c r="D7" s="7">
        <v>0</v>
      </c>
      <c r="E7" s="7">
        <v>0</v>
      </c>
      <c r="F7" s="7">
        <v>0</v>
      </c>
      <c r="G7" s="7">
        <v>0</v>
      </c>
      <c r="H7" s="7">
        <v>0</v>
      </c>
      <c r="I7" s="7">
        <v>0</v>
      </c>
      <c r="J7" s="7">
        <v>0</v>
      </c>
      <c r="K7" s="7">
        <v>0</v>
      </c>
      <c r="L7" s="7">
        <v>0</v>
      </c>
      <c r="M7" s="7">
        <v>0</v>
      </c>
      <c r="N7" s="7">
        <v>0</v>
      </c>
      <c r="O7" s="7">
        <v>0</v>
      </c>
      <c r="P7" s="7">
        <v>0</v>
      </c>
      <c r="Q7" s="7">
        <v>0</v>
      </c>
      <c r="R7" s="7">
        <v>0</v>
      </c>
      <c r="S7" s="7">
        <v>0</v>
      </c>
      <c r="T7" s="7">
        <v>0</v>
      </c>
      <c r="U7" s="7">
        <v>0</v>
      </c>
      <c r="V7" s="7">
        <v>0</v>
      </c>
      <c r="W7" s="7">
        <v>0</v>
      </c>
      <c r="X7" s="7">
        <v>0</v>
      </c>
      <c r="Y7" s="7">
        <v>0</v>
      </c>
      <c r="Z7" s="7">
        <v>0</v>
      </c>
      <c r="AA7" s="7">
        <v>0</v>
      </c>
      <c r="AB7" s="7">
        <v>0</v>
      </c>
      <c r="AC7" s="7">
        <v>0</v>
      </c>
      <c r="AD7" s="7">
        <v>0</v>
      </c>
      <c r="AE7" s="7">
        <v>0</v>
      </c>
      <c r="AF7" s="7"/>
      <c r="AG7" s="7"/>
    </row>
    <row r="8" spans="1:33" x14ac:dyDescent="0.75">
      <c r="A8" s="7" t="s">
        <v>1033</v>
      </c>
      <c r="B8" s="7">
        <v>0</v>
      </c>
      <c r="C8" s="7">
        <v>0</v>
      </c>
      <c r="D8" s="7">
        <v>0</v>
      </c>
      <c r="E8" s="7">
        <v>0</v>
      </c>
      <c r="F8" s="7">
        <v>0</v>
      </c>
      <c r="G8" s="7">
        <v>0</v>
      </c>
      <c r="H8" s="7">
        <v>0</v>
      </c>
      <c r="I8" s="7">
        <v>0</v>
      </c>
      <c r="J8" s="7">
        <v>0</v>
      </c>
      <c r="K8" s="7">
        <v>0</v>
      </c>
      <c r="L8" s="7">
        <v>0</v>
      </c>
      <c r="M8" s="7">
        <v>0</v>
      </c>
      <c r="N8" s="7">
        <v>0</v>
      </c>
      <c r="O8" s="7">
        <v>0</v>
      </c>
      <c r="P8" s="7">
        <v>0</v>
      </c>
      <c r="Q8" s="7">
        <v>0</v>
      </c>
      <c r="R8" s="7">
        <v>0</v>
      </c>
      <c r="S8" s="7">
        <v>0</v>
      </c>
      <c r="T8" s="7">
        <v>0</v>
      </c>
      <c r="U8" s="7">
        <v>0</v>
      </c>
      <c r="V8" s="7">
        <v>0</v>
      </c>
      <c r="W8" s="7">
        <v>0</v>
      </c>
      <c r="X8" s="7">
        <v>0</v>
      </c>
      <c r="Y8" s="7">
        <v>0</v>
      </c>
      <c r="Z8" s="7">
        <v>0</v>
      </c>
      <c r="AA8" s="7">
        <v>0</v>
      </c>
      <c r="AB8" s="7">
        <v>0</v>
      </c>
      <c r="AC8" s="7">
        <v>0</v>
      </c>
      <c r="AD8" s="7">
        <v>0</v>
      </c>
      <c r="AE8" s="7">
        <v>0</v>
      </c>
      <c r="AF8" s="7"/>
      <c r="AG8" s="7"/>
    </row>
    <row r="9" spans="1:33" x14ac:dyDescent="0.75">
      <c r="A9" s="7" t="s">
        <v>1034</v>
      </c>
      <c r="B9" s="7">
        <v>0</v>
      </c>
      <c r="C9" s="7">
        <v>0</v>
      </c>
      <c r="D9" s="7">
        <v>0</v>
      </c>
      <c r="E9" s="7">
        <v>0</v>
      </c>
      <c r="F9" s="7">
        <v>0</v>
      </c>
      <c r="G9" s="7">
        <v>0</v>
      </c>
      <c r="H9" s="7">
        <v>0</v>
      </c>
      <c r="I9" s="7">
        <v>0</v>
      </c>
      <c r="J9" s="7">
        <v>0</v>
      </c>
      <c r="K9" s="7">
        <v>0</v>
      </c>
      <c r="L9" s="7">
        <v>0</v>
      </c>
      <c r="M9" s="7">
        <v>0</v>
      </c>
      <c r="N9" s="7">
        <v>0</v>
      </c>
      <c r="O9" s="7">
        <v>0</v>
      </c>
      <c r="P9" s="7">
        <v>0</v>
      </c>
      <c r="Q9" s="7">
        <v>0</v>
      </c>
      <c r="R9" s="7">
        <v>0</v>
      </c>
      <c r="S9" s="7">
        <v>0</v>
      </c>
      <c r="T9" s="7">
        <v>0</v>
      </c>
      <c r="U9" s="7">
        <v>0</v>
      </c>
      <c r="V9" s="7">
        <v>0</v>
      </c>
      <c r="W9" s="7">
        <v>0</v>
      </c>
      <c r="X9" s="7">
        <v>0</v>
      </c>
      <c r="Y9" s="7">
        <v>0</v>
      </c>
      <c r="Z9" s="7">
        <v>0</v>
      </c>
      <c r="AA9" s="7">
        <v>0</v>
      </c>
      <c r="AB9" s="7">
        <v>0</v>
      </c>
      <c r="AC9" s="7">
        <v>0</v>
      </c>
      <c r="AD9" s="7">
        <v>0</v>
      </c>
      <c r="AE9" s="7">
        <v>0</v>
      </c>
      <c r="AF9" s="7"/>
      <c r="AG9" s="7"/>
    </row>
    <row r="10" spans="1:33" x14ac:dyDescent="0.75">
      <c r="A10" t="s">
        <v>1035</v>
      </c>
      <c r="B10">
        <f>'AEO 2022 Table 1'!C$22/'AEO 2022 Table 1'!$C$22</f>
        <v>1</v>
      </c>
      <c r="C10">
        <f>'AEO 2023 Table 1'!C$22/'AEO 2022 Table 1'!$C$22</f>
        <v>1.0292723757176374</v>
      </c>
      <c r="D10">
        <f>'AEO 2023 Table 1'!D$22/'AEO 2022 Table 1'!$C$22</f>
        <v>1.0705249096505352</v>
      </c>
      <c r="E10">
        <f>'AEO 2023 Table 1'!E$22/'AEO 2022 Table 1'!$C$22</f>
        <v>1.0559486002480223</v>
      </c>
      <c r="F10">
        <f>'AEO 2023 Table 1'!F$22/'AEO 2022 Table 1'!$C$22</f>
        <v>1.0448720430359122</v>
      </c>
      <c r="G10">
        <f>'AEO 2023 Table 1'!G$22/'AEO 2022 Table 1'!$C$22</f>
        <v>1.0393223843324775</v>
      </c>
      <c r="H10">
        <f>'AEO 2023 Table 1'!H$22/'AEO 2022 Table 1'!$C$22</f>
        <v>1.0371248556216617</v>
      </c>
      <c r="I10">
        <f>'AEO 2023 Table 1'!I$22/'AEO 2022 Table 1'!$C$22</f>
        <v>1.0145807763566246</v>
      </c>
      <c r="J10">
        <f>'AEO 2023 Table 1'!J$22/'AEO 2022 Table 1'!$C$22</f>
        <v>1.0139987960495107</v>
      </c>
      <c r="K10">
        <f>'AEO 2023 Table 1'!K$22/'AEO 2022 Table 1'!$C$22</f>
        <v>1.0135806040598232</v>
      </c>
      <c r="L10">
        <f>'AEO 2023 Table 1'!L$22/'AEO 2022 Table 1'!$C$22</f>
        <v>1.0141932149094166</v>
      </c>
      <c r="M10">
        <f>'AEO 2023 Table 1'!M$22/'AEO 2022 Table 1'!$C$22</f>
        <v>1.0152778339101376</v>
      </c>
      <c r="N10">
        <f>'AEO 2023 Table 1'!N$22/'AEO 2022 Table 1'!$C$22</f>
        <v>1.0173909159170338</v>
      </c>
      <c r="O10">
        <f>'AEO 2023 Table 1'!O$22/'AEO 2022 Table 1'!$C$22</f>
        <v>1.0195363301632139</v>
      </c>
      <c r="P10">
        <f>'AEO 2023 Table 1'!P$22/'AEO 2022 Table 1'!$C$22</f>
        <v>1.0247345884765346</v>
      </c>
      <c r="Q10">
        <f>'AEO 2023 Table 1'!Q$22/'AEO 2022 Table 1'!$C$22</f>
        <v>1.0249658065298359</v>
      </c>
      <c r="R10">
        <f>'AEO 2023 Table 1'!R$22/'AEO 2022 Table 1'!$C$22</f>
        <v>1.0266794152118932</v>
      </c>
      <c r="S10">
        <f>'AEO 2023 Table 1'!S$22/'AEO 2022 Table 1'!$C$22</f>
        <v>1.0283392077325102</v>
      </c>
      <c r="T10">
        <f>'AEO 2023 Table 1'!T$22/'AEO 2022 Table 1'!$C$22</f>
        <v>1.0303942193359552</v>
      </c>
      <c r="U10">
        <f>'AEO 2023 Table 1'!U$22/'AEO 2022 Table 1'!$C$22</f>
        <v>1.0333500666852433</v>
      </c>
      <c r="V10">
        <f>'AEO 2023 Table 1'!V$22/'AEO 2022 Table 1'!$C$22</f>
        <v>1.0407530859207987</v>
      </c>
      <c r="W10">
        <f>'AEO 2023 Table 1'!W$22/'AEO 2022 Table 1'!$C$22</f>
        <v>1.0442417770819727</v>
      </c>
      <c r="X10">
        <f>'AEO 2023 Table 1'!X$22/'AEO 2022 Table 1'!$C$22</f>
        <v>1.0478049174783406</v>
      </c>
      <c r="Y10">
        <f>'AEO 2023 Table 1'!Y$22/'AEO 2022 Table 1'!$C$22</f>
        <v>1.047399913638887</v>
      </c>
      <c r="Z10">
        <f>'AEO 2023 Table 1'!Z$22/'AEO 2022 Table 1'!$C$22</f>
        <v>1.0491003341707097</v>
      </c>
      <c r="AA10">
        <f>'AEO 2023 Table 1'!AA$22/'AEO 2022 Table 1'!$C$22</f>
        <v>1.0573525001116737</v>
      </c>
      <c r="AB10">
        <f>'AEO 2023 Table 1'!AB$22/'AEO 2022 Table 1'!$C$22</f>
        <v>1.0676584013834793</v>
      </c>
      <c r="AC10">
        <f>'AEO 2023 Table 1'!AC$22/'AEO 2022 Table 1'!$C$22</f>
        <v>1.0860058836167013</v>
      </c>
      <c r="AD10">
        <f>'AEO 2023 Table 1'!AD$22/'AEO 2022 Table 1'!$C$22</f>
        <v>1.0964149502572751</v>
      </c>
      <c r="AE10">
        <f>'AEO 2023 Table 1'!AE$22/'AEO 2022 Table 1'!$C$22</f>
        <v>1.1037452219544412</v>
      </c>
    </row>
    <row r="11" spans="1:33" x14ac:dyDescent="0.75">
      <c r="A11" t="s">
        <v>1036</v>
      </c>
      <c r="B11">
        <f>'AEO 2022 Table 1'!C$16/'AEO 2022 Table 1'!$C$16</f>
        <v>1</v>
      </c>
      <c r="C11">
        <f>'AEO 2023 Table 1'!C$16/'AEO 2022 Table 1'!$C$16</f>
        <v>1.0609966467282199</v>
      </c>
      <c r="D11">
        <f>'AEO 2023 Table 1'!D$16/'AEO 2022 Table 1'!$C$16</f>
        <v>1.1034662586601662</v>
      </c>
      <c r="E11">
        <f>'AEO 2023 Table 1'!E$16/'AEO 2022 Table 1'!$C$16</f>
        <v>1.1342721101921345</v>
      </c>
      <c r="F11">
        <f>'AEO 2023 Table 1'!F$16/'AEO 2022 Table 1'!$C$16</f>
        <v>1.1517108754500347</v>
      </c>
      <c r="G11">
        <f>'AEO 2023 Table 1'!G$16/'AEO 2022 Table 1'!$C$16</f>
        <v>1.1677833810682008</v>
      </c>
      <c r="H11">
        <f>'AEO 2023 Table 1'!H$16/'AEO 2022 Table 1'!$C$16</f>
        <v>1.1770716249997248</v>
      </c>
      <c r="I11">
        <f>'AEO 2023 Table 1'!I$16/'AEO 2022 Table 1'!$C$16</f>
        <v>1.1929582285134732</v>
      </c>
      <c r="J11">
        <f>'AEO 2023 Table 1'!J$16/'AEO 2022 Table 1'!$C$16</f>
        <v>1.1913447898453953</v>
      </c>
      <c r="K11">
        <f>'AEO 2023 Table 1'!K$16/'AEO 2022 Table 1'!$C$16</f>
        <v>1.193503463678125</v>
      </c>
      <c r="L11">
        <f>'AEO 2023 Table 1'!L$16/'AEO 2022 Table 1'!$C$16</f>
        <v>1.1869049314848472</v>
      </c>
      <c r="M11">
        <f>'AEO 2023 Table 1'!M$16/'AEO 2022 Table 1'!$C$16</f>
        <v>1.1895570571662348</v>
      </c>
      <c r="N11">
        <f>'AEO 2023 Table 1'!N$16/'AEO 2022 Table 1'!$C$16</f>
        <v>1.192160506530588</v>
      </c>
      <c r="O11">
        <f>'AEO 2023 Table 1'!O$16/'AEO 2022 Table 1'!$C$16</f>
        <v>1.1877916344657149</v>
      </c>
      <c r="P11">
        <f>'AEO 2023 Table 1'!P$16/'AEO 2022 Table 1'!$C$16</f>
        <v>1.1847366345858954</v>
      </c>
      <c r="Q11">
        <f>'AEO 2023 Table 1'!Q$16/'AEO 2022 Table 1'!$C$16</f>
        <v>1.1791408863068384</v>
      </c>
      <c r="R11">
        <f>'AEO 2023 Table 1'!R$16/'AEO 2022 Table 1'!$C$16</f>
        <v>1.1774785987106731</v>
      </c>
      <c r="S11">
        <f>'AEO 2023 Table 1'!S$16/'AEO 2022 Table 1'!$C$16</f>
        <v>1.1728978897306217</v>
      </c>
      <c r="T11">
        <f>'AEO 2023 Table 1'!T$16/'AEO 2022 Table 1'!$C$16</f>
        <v>1.1681258845507367</v>
      </c>
      <c r="U11">
        <f>'AEO 2023 Table 1'!U$16/'AEO 2022 Table 1'!$C$16</f>
        <v>1.158962438410758</v>
      </c>
      <c r="V11">
        <f>'AEO 2023 Table 1'!V$16/'AEO 2022 Table 1'!$C$16</f>
        <v>1.1463744321258169</v>
      </c>
      <c r="W11">
        <f>'AEO 2023 Table 1'!W$16/'AEO 2022 Table 1'!$C$16</f>
        <v>1.1486616580405011</v>
      </c>
      <c r="X11">
        <f>'AEO 2023 Table 1'!X$16/'AEO 2022 Table 1'!$C$16</f>
        <v>1.1548637457970825</v>
      </c>
      <c r="Y11">
        <f>'AEO 2023 Table 1'!Y$16/'AEO 2022 Table 1'!$C$16</f>
        <v>1.1669458290847641</v>
      </c>
      <c r="Z11">
        <f>'AEO 2023 Table 1'!Z$16/'AEO 2022 Table 1'!$C$16</f>
        <v>1.1698269233283707</v>
      </c>
      <c r="AA11">
        <f>'AEO 2023 Table 1'!AA$16/'AEO 2022 Table 1'!$C$16</f>
        <v>1.1723620618683757</v>
      </c>
      <c r="AB11">
        <f>'AEO 2023 Table 1'!AB$16/'AEO 2022 Table 1'!$C$16</f>
        <v>1.1628999123006389</v>
      </c>
      <c r="AC11">
        <f>'AEO 2023 Table 1'!AC$16/'AEO 2022 Table 1'!$C$16</f>
        <v>1.166466315578661</v>
      </c>
      <c r="AD11">
        <f>'AEO 2023 Table 1'!AD$16/'AEO 2022 Table 1'!$C$16</f>
        <v>1.1789348750147097</v>
      </c>
      <c r="AE11">
        <f>'AEO 2023 Table 1'!AE$16/'AEO 2022 Table 1'!$C$16</f>
        <v>1.181989702283476</v>
      </c>
    </row>
    <row r="12" spans="1:33" x14ac:dyDescent="0.75">
      <c r="A12" t="s">
        <v>1037</v>
      </c>
      <c r="B12">
        <f>'AEO 2022 Table 1'!C$16/'AEO 2022 Table 1'!$C$16</f>
        <v>1</v>
      </c>
      <c r="C12">
        <f>'AEO 2023 Table 1'!C$16/'AEO 2022 Table 1'!$C$16</f>
        <v>1.0609966467282199</v>
      </c>
      <c r="D12">
        <f>'AEO 2023 Table 1'!D$16/'AEO 2022 Table 1'!$C$16</f>
        <v>1.1034662586601662</v>
      </c>
      <c r="E12">
        <f>'AEO 2023 Table 1'!E$16/'AEO 2022 Table 1'!$C$16</f>
        <v>1.1342721101921345</v>
      </c>
      <c r="F12">
        <f>'AEO 2023 Table 1'!F$16/'AEO 2022 Table 1'!$C$16</f>
        <v>1.1517108754500347</v>
      </c>
      <c r="G12">
        <f>'AEO 2023 Table 1'!G$16/'AEO 2022 Table 1'!$C$16</f>
        <v>1.1677833810682008</v>
      </c>
      <c r="H12">
        <f>'AEO 2023 Table 1'!H$16/'AEO 2022 Table 1'!$C$16</f>
        <v>1.1770716249997248</v>
      </c>
      <c r="I12">
        <f>'AEO 2023 Table 1'!I$16/'AEO 2022 Table 1'!$C$16</f>
        <v>1.1929582285134732</v>
      </c>
      <c r="J12">
        <f>'AEO 2023 Table 1'!J$16/'AEO 2022 Table 1'!$C$16</f>
        <v>1.1913447898453953</v>
      </c>
      <c r="K12">
        <f>'AEO 2023 Table 1'!K$16/'AEO 2022 Table 1'!$C$16</f>
        <v>1.193503463678125</v>
      </c>
      <c r="L12">
        <f>'AEO 2023 Table 1'!L$16/'AEO 2022 Table 1'!$C$16</f>
        <v>1.1869049314848472</v>
      </c>
      <c r="M12">
        <f>'AEO 2023 Table 1'!M$16/'AEO 2022 Table 1'!$C$16</f>
        <v>1.1895570571662348</v>
      </c>
      <c r="N12">
        <f>'AEO 2023 Table 1'!N$16/'AEO 2022 Table 1'!$C$16</f>
        <v>1.192160506530588</v>
      </c>
      <c r="O12">
        <f>'AEO 2023 Table 1'!O$16/'AEO 2022 Table 1'!$C$16</f>
        <v>1.1877916344657149</v>
      </c>
      <c r="P12">
        <f>'AEO 2023 Table 1'!P$16/'AEO 2022 Table 1'!$C$16</f>
        <v>1.1847366345858954</v>
      </c>
      <c r="Q12">
        <f>'AEO 2023 Table 1'!Q$16/'AEO 2022 Table 1'!$C$16</f>
        <v>1.1791408863068384</v>
      </c>
      <c r="R12">
        <f>'AEO 2023 Table 1'!R$16/'AEO 2022 Table 1'!$C$16</f>
        <v>1.1774785987106731</v>
      </c>
      <c r="S12">
        <f>'AEO 2023 Table 1'!S$16/'AEO 2022 Table 1'!$C$16</f>
        <v>1.1728978897306217</v>
      </c>
      <c r="T12">
        <f>'AEO 2023 Table 1'!T$16/'AEO 2022 Table 1'!$C$16</f>
        <v>1.1681258845507367</v>
      </c>
      <c r="U12">
        <f>'AEO 2023 Table 1'!U$16/'AEO 2022 Table 1'!$C$16</f>
        <v>1.158962438410758</v>
      </c>
      <c r="V12">
        <f>'AEO 2023 Table 1'!V$16/'AEO 2022 Table 1'!$C$16</f>
        <v>1.1463744321258169</v>
      </c>
      <c r="W12">
        <f>'AEO 2023 Table 1'!W$16/'AEO 2022 Table 1'!$C$16</f>
        <v>1.1486616580405011</v>
      </c>
      <c r="X12">
        <f>'AEO 2023 Table 1'!X$16/'AEO 2022 Table 1'!$C$16</f>
        <v>1.1548637457970825</v>
      </c>
      <c r="Y12">
        <f>'AEO 2023 Table 1'!Y$16/'AEO 2022 Table 1'!$C$16</f>
        <v>1.1669458290847641</v>
      </c>
      <c r="Z12">
        <f>'AEO 2023 Table 1'!Z$16/'AEO 2022 Table 1'!$C$16</f>
        <v>1.1698269233283707</v>
      </c>
      <c r="AA12">
        <f>'AEO 2023 Table 1'!AA$16/'AEO 2022 Table 1'!$C$16</f>
        <v>1.1723620618683757</v>
      </c>
      <c r="AB12">
        <f>'AEO 2023 Table 1'!AB$16/'AEO 2022 Table 1'!$C$16</f>
        <v>1.1628999123006389</v>
      </c>
      <c r="AC12">
        <f>'AEO 2023 Table 1'!AC$16/'AEO 2022 Table 1'!$C$16</f>
        <v>1.166466315578661</v>
      </c>
      <c r="AD12">
        <f>'AEO 2023 Table 1'!AD$16/'AEO 2022 Table 1'!$C$16</f>
        <v>1.1789348750147097</v>
      </c>
      <c r="AE12">
        <f>'AEO 2023 Table 1'!AE$16/'AEO 2022 Table 1'!$C$16</f>
        <v>1.181989702283476</v>
      </c>
    </row>
    <row r="13" spans="1:33" x14ac:dyDescent="0.75">
      <c r="A13" t="s">
        <v>1038</v>
      </c>
      <c r="B13">
        <f>'AEO 2022 Table 1'!C$22/'AEO 2022 Table 1'!$C$22</f>
        <v>1</v>
      </c>
      <c r="C13">
        <f>'AEO 2023 Table 1'!C$22/'AEO 2022 Table 1'!$C$22</f>
        <v>1.0292723757176374</v>
      </c>
      <c r="D13">
        <f>'AEO 2023 Table 1'!D$22/'AEO 2022 Table 1'!$C$22</f>
        <v>1.0705249096505352</v>
      </c>
      <c r="E13">
        <f>'AEO 2023 Table 1'!E$22/'AEO 2022 Table 1'!$C$22</f>
        <v>1.0559486002480223</v>
      </c>
      <c r="F13">
        <f>'AEO 2023 Table 1'!F$22/'AEO 2022 Table 1'!$C$22</f>
        <v>1.0448720430359122</v>
      </c>
      <c r="G13">
        <f>'AEO 2023 Table 1'!G$22/'AEO 2022 Table 1'!$C$22</f>
        <v>1.0393223843324775</v>
      </c>
      <c r="H13">
        <f>'AEO 2023 Table 1'!H$22/'AEO 2022 Table 1'!$C$22</f>
        <v>1.0371248556216617</v>
      </c>
      <c r="I13">
        <f>'AEO 2023 Table 1'!I$22/'AEO 2022 Table 1'!$C$22</f>
        <v>1.0145807763566246</v>
      </c>
      <c r="J13">
        <f>'AEO 2023 Table 1'!J$22/'AEO 2022 Table 1'!$C$22</f>
        <v>1.0139987960495107</v>
      </c>
      <c r="K13">
        <f>'AEO 2023 Table 1'!K$22/'AEO 2022 Table 1'!$C$22</f>
        <v>1.0135806040598232</v>
      </c>
      <c r="L13">
        <f>'AEO 2023 Table 1'!L$22/'AEO 2022 Table 1'!$C$22</f>
        <v>1.0141932149094166</v>
      </c>
      <c r="M13">
        <f>'AEO 2023 Table 1'!M$22/'AEO 2022 Table 1'!$C$22</f>
        <v>1.0152778339101376</v>
      </c>
      <c r="N13">
        <f>'AEO 2023 Table 1'!N$22/'AEO 2022 Table 1'!$C$22</f>
        <v>1.0173909159170338</v>
      </c>
      <c r="O13">
        <f>'AEO 2023 Table 1'!O$22/'AEO 2022 Table 1'!$C$22</f>
        <v>1.0195363301632139</v>
      </c>
      <c r="P13">
        <f>'AEO 2023 Table 1'!P$22/'AEO 2022 Table 1'!$C$22</f>
        <v>1.0247345884765346</v>
      </c>
      <c r="Q13">
        <f>'AEO 2023 Table 1'!Q$22/'AEO 2022 Table 1'!$C$22</f>
        <v>1.0249658065298359</v>
      </c>
      <c r="R13">
        <f>'AEO 2023 Table 1'!R$22/'AEO 2022 Table 1'!$C$22</f>
        <v>1.0266794152118932</v>
      </c>
      <c r="S13">
        <f>'AEO 2023 Table 1'!S$22/'AEO 2022 Table 1'!$C$22</f>
        <v>1.0283392077325102</v>
      </c>
      <c r="T13">
        <f>'AEO 2023 Table 1'!T$22/'AEO 2022 Table 1'!$C$22</f>
        <v>1.0303942193359552</v>
      </c>
      <c r="U13">
        <f>'AEO 2023 Table 1'!U$22/'AEO 2022 Table 1'!$C$22</f>
        <v>1.0333500666852433</v>
      </c>
      <c r="V13">
        <f>'AEO 2023 Table 1'!V$22/'AEO 2022 Table 1'!$C$22</f>
        <v>1.0407530859207987</v>
      </c>
      <c r="W13">
        <f>'AEO 2023 Table 1'!W$22/'AEO 2022 Table 1'!$C$22</f>
        <v>1.0442417770819727</v>
      </c>
      <c r="X13">
        <f>'AEO 2023 Table 1'!X$22/'AEO 2022 Table 1'!$C$22</f>
        <v>1.0478049174783406</v>
      </c>
      <c r="Y13">
        <f>'AEO 2023 Table 1'!Y$22/'AEO 2022 Table 1'!$C$22</f>
        <v>1.047399913638887</v>
      </c>
      <c r="Z13">
        <f>'AEO 2023 Table 1'!Z$22/'AEO 2022 Table 1'!$C$22</f>
        <v>1.0491003341707097</v>
      </c>
      <c r="AA13">
        <f>'AEO 2023 Table 1'!AA$22/'AEO 2022 Table 1'!$C$22</f>
        <v>1.0573525001116737</v>
      </c>
      <c r="AB13">
        <f>'AEO 2023 Table 1'!AB$22/'AEO 2022 Table 1'!$C$22</f>
        <v>1.0676584013834793</v>
      </c>
      <c r="AC13">
        <f>'AEO 2023 Table 1'!AC$22/'AEO 2022 Table 1'!$C$22</f>
        <v>1.0860058836167013</v>
      </c>
      <c r="AD13">
        <f>'AEO 2023 Table 1'!AD$22/'AEO 2022 Table 1'!$C$22</f>
        <v>1.0964149502572751</v>
      </c>
      <c r="AE13">
        <f>'AEO 2023 Table 1'!AE$22/'AEO 2022 Table 1'!$C$22</f>
        <v>1.1037452219544412</v>
      </c>
    </row>
    <row r="14" spans="1:33" x14ac:dyDescent="0.75">
      <c r="A14" t="s">
        <v>1039</v>
      </c>
      <c r="B14">
        <f>'AEO 2022 Table 1'!C$22/'AEO 2022 Table 1'!$C$22</f>
        <v>1</v>
      </c>
      <c r="C14">
        <f>'AEO 2023 Table 1'!C$22/'AEO 2022 Table 1'!$C$22</f>
        <v>1.0292723757176374</v>
      </c>
      <c r="D14">
        <f>'AEO 2023 Table 1'!D$22/'AEO 2022 Table 1'!$C$22</f>
        <v>1.0705249096505352</v>
      </c>
      <c r="E14">
        <f>'AEO 2023 Table 1'!E$22/'AEO 2022 Table 1'!$C$22</f>
        <v>1.0559486002480223</v>
      </c>
      <c r="F14">
        <f>'AEO 2023 Table 1'!F$22/'AEO 2022 Table 1'!$C$22</f>
        <v>1.0448720430359122</v>
      </c>
      <c r="G14">
        <f>'AEO 2023 Table 1'!G$22/'AEO 2022 Table 1'!$C$22</f>
        <v>1.0393223843324775</v>
      </c>
      <c r="H14">
        <f>'AEO 2023 Table 1'!H$22/'AEO 2022 Table 1'!$C$22</f>
        <v>1.0371248556216617</v>
      </c>
      <c r="I14">
        <f>'AEO 2023 Table 1'!I$22/'AEO 2022 Table 1'!$C$22</f>
        <v>1.0145807763566246</v>
      </c>
      <c r="J14">
        <f>'AEO 2023 Table 1'!J$22/'AEO 2022 Table 1'!$C$22</f>
        <v>1.0139987960495107</v>
      </c>
      <c r="K14">
        <f>'AEO 2023 Table 1'!K$22/'AEO 2022 Table 1'!$C$22</f>
        <v>1.0135806040598232</v>
      </c>
      <c r="L14">
        <f>'AEO 2023 Table 1'!L$22/'AEO 2022 Table 1'!$C$22</f>
        <v>1.0141932149094166</v>
      </c>
      <c r="M14">
        <f>'AEO 2023 Table 1'!M$22/'AEO 2022 Table 1'!$C$22</f>
        <v>1.0152778339101376</v>
      </c>
      <c r="N14">
        <f>'AEO 2023 Table 1'!N$22/'AEO 2022 Table 1'!$C$22</f>
        <v>1.0173909159170338</v>
      </c>
      <c r="O14">
        <f>'AEO 2023 Table 1'!O$22/'AEO 2022 Table 1'!$C$22</f>
        <v>1.0195363301632139</v>
      </c>
      <c r="P14">
        <f>'AEO 2023 Table 1'!P$22/'AEO 2022 Table 1'!$C$22</f>
        <v>1.0247345884765346</v>
      </c>
      <c r="Q14">
        <f>'AEO 2023 Table 1'!Q$22/'AEO 2022 Table 1'!$C$22</f>
        <v>1.0249658065298359</v>
      </c>
      <c r="R14">
        <f>'AEO 2023 Table 1'!R$22/'AEO 2022 Table 1'!$C$22</f>
        <v>1.0266794152118932</v>
      </c>
      <c r="S14">
        <f>'AEO 2023 Table 1'!S$22/'AEO 2022 Table 1'!$C$22</f>
        <v>1.0283392077325102</v>
      </c>
      <c r="T14">
        <f>'AEO 2023 Table 1'!T$22/'AEO 2022 Table 1'!$C$22</f>
        <v>1.0303942193359552</v>
      </c>
      <c r="U14">
        <f>'AEO 2023 Table 1'!U$22/'AEO 2022 Table 1'!$C$22</f>
        <v>1.0333500666852433</v>
      </c>
      <c r="V14">
        <f>'AEO 2023 Table 1'!V$22/'AEO 2022 Table 1'!$C$22</f>
        <v>1.0407530859207987</v>
      </c>
      <c r="W14">
        <f>'AEO 2023 Table 1'!W$22/'AEO 2022 Table 1'!$C$22</f>
        <v>1.0442417770819727</v>
      </c>
      <c r="X14">
        <f>'AEO 2023 Table 1'!X$22/'AEO 2022 Table 1'!$C$22</f>
        <v>1.0478049174783406</v>
      </c>
      <c r="Y14">
        <f>'AEO 2023 Table 1'!Y$22/'AEO 2022 Table 1'!$C$22</f>
        <v>1.047399913638887</v>
      </c>
      <c r="Z14">
        <f>'AEO 2023 Table 1'!Z$22/'AEO 2022 Table 1'!$C$22</f>
        <v>1.0491003341707097</v>
      </c>
      <c r="AA14">
        <f>'AEO 2023 Table 1'!AA$22/'AEO 2022 Table 1'!$C$22</f>
        <v>1.0573525001116737</v>
      </c>
      <c r="AB14">
        <f>'AEO 2023 Table 1'!AB$22/'AEO 2022 Table 1'!$C$22</f>
        <v>1.0676584013834793</v>
      </c>
      <c r="AC14">
        <f>'AEO 2023 Table 1'!AC$22/'AEO 2022 Table 1'!$C$22</f>
        <v>1.0860058836167013</v>
      </c>
      <c r="AD14">
        <f>'AEO 2023 Table 1'!AD$22/'AEO 2022 Table 1'!$C$22</f>
        <v>1.0964149502572751</v>
      </c>
      <c r="AE14">
        <f>'AEO 2023 Table 1'!AE$22/'AEO 2022 Table 1'!$C$22</f>
        <v>1.1037452219544412</v>
      </c>
    </row>
    <row r="15" spans="1:33" x14ac:dyDescent="0.75">
      <c r="A15" t="s">
        <v>1040</v>
      </c>
      <c r="B15">
        <f>'AEO 2022 Table 1'!C$16/'AEO 2022 Table 1'!$C$16</f>
        <v>1</v>
      </c>
      <c r="C15">
        <f>'AEO 2023 Table 1'!C$16/'AEO 2022 Table 1'!$C$16</f>
        <v>1.0609966467282199</v>
      </c>
      <c r="D15">
        <f>'AEO 2023 Table 1'!D$16/'AEO 2022 Table 1'!$C$16</f>
        <v>1.1034662586601662</v>
      </c>
      <c r="E15">
        <f>'AEO 2023 Table 1'!E$16/'AEO 2022 Table 1'!$C$16</f>
        <v>1.1342721101921345</v>
      </c>
      <c r="F15">
        <f>'AEO 2023 Table 1'!F$16/'AEO 2022 Table 1'!$C$16</f>
        <v>1.1517108754500347</v>
      </c>
      <c r="G15">
        <f>'AEO 2023 Table 1'!G$16/'AEO 2022 Table 1'!$C$16</f>
        <v>1.1677833810682008</v>
      </c>
      <c r="H15">
        <f>'AEO 2023 Table 1'!H$16/'AEO 2022 Table 1'!$C$16</f>
        <v>1.1770716249997248</v>
      </c>
      <c r="I15">
        <f>'AEO 2023 Table 1'!I$16/'AEO 2022 Table 1'!$C$16</f>
        <v>1.1929582285134732</v>
      </c>
      <c r="J15">
        <f>'AEO 2023 Table 1'!J$16/'AEO 2022 Table 1'!$C$16</f>
        <v>1.1913447898453953</v>
      </c>
      <c r="K15">
        <f>'AEO 2023 Table 1'!K$16/'AEO 2022 Table 1'!$C$16</f>
        <v>1.193503463678125</v>
      </c>
      <c r="L15">
        <f>'AEO 2023 Table 1'!L$16/'AEO 2022 Table 1'!$C$16</f>
        <v>1.1869049314848472</v>
      </c>
      <c r="M15">
        <f>'AEO 2023 Table 1'!M$16/'AEO 2022 Table 1'!$C$16</f>
        <v>1.1895570571662348</v>
      </c>
      <c r="N15">
        <f>'AEO 2023 Table 1'!N$16/'AEO 2022 Table 1'!$C$16</f>
        <v>1.192160506530588</v>
      </c>
      <c r="O15">
        <f>'AEO 2023 Table 1'!O$16/'AEO 2022 Table 1'!$C$16</f>
        <v>1.1877916344657149</v>
      </c>
      <c r="P15">
        <f>'AEO 2023 Table 1'!P$16/'AEO 2022 Table 1'!$C$16</f>
        <v>1.1847366345858954</v>
      </c>
      <c r="Q15">
        <f>'AEO 2023 Table 1'!Q$16/'AEO 2022 Table 1'!$C$16</f>
        <v>1.1791408863068384</v>
      </c>
      <c r="R15">
        <f>'AEO 2023 Table 1'!R$16/'AEO 2022 Table 1'!$C$16</f>
        <v>1.1774785987106731</v>
      </c>
      <c r="S15">
        <f>'AEO 2023 Table 1'!S$16/'AEO 2022 Table 1'!$C$16</f>
        <v>1.1728978897306217</v>
      </c>
      <c r="T15">
        <f>'AEO 2023 Table 1'!T$16/'AEO 2022 Table 1'!$C$16</f>
        <v>1.1681258845507367</v>
      </c>
      <c r="U15">
        <f>'AEO 2023 Table 1'!U$16/'AEO 2022 Table 1'!$C$16</f>
        <v>1.158962438410758</v>
      </c>
      <c r="V15">
        <f>'AEO 2023 Table 1'!V$16/'AEO 2022 Table 1'!$C$16</f>
        <v>1.1463744321258169</v>
      </c>
      <c r="W15">
        <f>'AEO 2023 Table 1'!W$16/'AEO 2022 Table 1'!$C$16</f>
        <v>1.1486616580405011</v>
      </c>
      <c r="X15">
        <f>'AEO 2023 Table 1'!X$16/'AEO 2022 Table 1'!$C$16</f>
        <v>1.1548637457970825</v>
      </c>
      <c r="Y15">
        <f>'AEO 2023 Table 1'!Y$16/'AEO 2022 Table 1'!$C$16</f>
        <v>1.1669458290847641</v>
      </c>
      <c r="Z15">
        <f>'AEO 2023 Table 1'!Z$16/'AEO 2022 Table 1'!$C$16</f>
        <v>1.1698269233283707</v>
      </c>
      <c r="AA15">
        <f>'AEO 2023 Table 1'!AA$16/'AEO 2022 Table 1'!$C$16</f>
        <v>1.1723620618683757</v>
      </c>
      <c r="AB15">
        <f>'AEO 2023 Table 1'!AB$16/'AEO 2022 Table 1'!$C$16</f>
        <v>1.1628999123006389</v>
      </c>
      <c r="AC15">
        <f>'AEO 2023 Table 1'!AC$16/'AEO 2022 Table 1'!$C$16</f>
        <v>1.166466315578661</v>
      </c>
      <c r="AD15">
        <f>'AEO 2023 Table 1'!AD$16/'AEO 2022 Table 1'!$C$16</f>
        <v>1.1789348750147097</v>
      </c>
      <c r="AE15">
        <f>'AEO 2023 Table 1'!AE$16/'AEO 2022 Table 1'!$C$16</f>
        <v>1.181989702283476</v>
      </c>
    </row>
    <row r="16" spans="1:33" x14ac:dyDescent="0.75">
      <c r="A16" s="7" t="s">
        <v>1041</v>
      </c>
      <c r="B16" s="7">
        <v>0</v>
      </c>
      <c r="C16" s="7">
        <v>0</v>
      </c>
      <c r="D16" s="7">
        <v>0</v>
      </c>
      <c r="E16" s="7">
        <v>0</v>
      </c>
      <c r="F16" s="7">
        <v>0</v>
      </c>
      <c r="G16" s="7">
        <v>0</v>
      </c>
      <c r="H16" s="7">
        <v>0</v>
      </c>
      <c r="I16" s="7">
        <v>0</v>
      </c>
      <c r="J16" s="7">
        <v>0</v>
      </c>
      <c r="K16" s="7">
        <v>0</v>
      </c>
      <c r="L16" s="7">
        <v>0</v>
      </c>
      <c r="M16" s="7">
        <v>0</v>
      </c>
      <c r="N16" s="7">
        <v>0</v>
      </c>
      <c r="O16" s="7">
        <v>0</v>
      </c>
      <c r="P16" s="7">
        <v>0</v>
      </c>
      <c r="Q16" s="7">
        <v>0</v>
      </c>
      <c r="R16" s="7">
        <v>0</v>
      </c>
      <c r="S16" s="7">
        <v>0</v>
      </c>
      <c r="T16" s="7">
        <v>0</v>
      </c>
      <c r="U16" s="7">
        <v>0</v>
      </c>
      <c r="V16" s="7">
        <v>0</v>
      </c>
      <c r="W16" s="7">
        <v>0</v>
      </c>
      <c r="X16" s="7">
        <v>0</v>
      </c>
      <c r="Y16" s="7">
        <v>0</v>
      </c>
      <c r="Z16" s="7">
        <v>0</v>
      </c>
      <c r="AA16" s="7">
        <v>0</v>
      </c>
      <c r="AB16" s="7">
        <v>0</v>
      </c>
      <c r="AC16" s="7">
        <v>0</v>
      </c>
      <c r="AD16" s="7">
        <v>0</v>
      </c>
      <c r="AE16" s="7">
        <v>0</v>
      </c>
      <c r="AF16" s="7"/>
      <c r="AG16" s="7"/>
    </row>
    <row r="17" spans="1:33" x14ac:dyDescent="0.75">
      <c r="A17" s="7" t="s">
        <v>1042</v>
      </c>
      <c r="B17" s="7">
        <v>0</v>
      </c>
      <c r="C17" s="7">
        <v>0</v>
      </c>
      <c r="D17" s="7">
        <v>0</v>
      </c>
      <c r="E17" s="7">
        <v>0</v>
      </c>
      <c r="F17" s="7">
        <v>0</v>
      </c>
      <c r="G17" s="7">
        <v>0</v>
      </c>
      <c r="H17" s="7">
        <v>0</v>
      </c>
      <c r="I17" s="7">
        <v>0</v>
      </c>
      <c r="J17" s="7">
        <v>0</v>
      </c>
      <c r="K17" s="7">
        <v>0</v>
      </c>
      <c r="L17" s="7">
        <v>0</v>
      </c>
      <c r="M17" s="7">
        <v>0</v>
      </c>
      <c r="N17" s="7">
        <v>0</v>
      </c>
      <c r="O17" s="7">
        <v>0</v>
      </c>
      <c r="P17" s="7">
        <v>0</v>
      </c>
      <c r="Q17" s="7">
        <v>0</v>
      </c>
      <c r="R17" s="7">
        <v>0</v>
      </c>
      <c r="S17" s="7">
        <v>0</v>
      </c>
      <c r="T17" s="7">
        <v>0</v>
      </c>
      <c r="U17" s="7">
        <v>0</v>
      </c>
      <c r="V17" s="7">
        <v>0</v>
      </c>
      <c r="W17" s="7">
        <v>0</v>
      </c>
      <c r="X17" s="7">
        <v>0</v>
      </c>
      <c r="Y17" s="7">
        <v>0</v>
      </c>
      <c r="Z17" s="7">
        <v>0</v>
      </c>
      <c r="AA17" s="7">
        <v>0</v>
      </c>
      <c r="AB17" s="7">
        <v>0</v>
      </c>
      <c r="AC17" s="7">
        <v>0</v>
      </c>
      <c r="AD17" s="7">
        <v>0</v>
      </c>
      <c r="AE17" s="7">
        <v>0</v>
      </c>
      <c r="AF17" s="7"/>
      <c r="AG17" s="7"/>
    </row>
    <row r="18" spans="1:33" x14ac:dyDescent="0.75">
      <c r="A18" t="s">
        <v>1043</v>
      </c>
      <c r="B18">
        <f>'AEO 2022 Table 1'!C$19/'AEO 2022 Table 1'!$C$19</f>
        <v>1</v>
      </c>
      <c r="C18">
        <f>'AEO 2023 Table 1'!C$19/'AEO 2022 Table 1'!$C$19</f>
        <v>0.90065567719059569</v>
      </c>
      <c r="D18">
        <f>'AEO 2023 Table 1'!D$19/'AEO 2022 Table 1'!$C$19</f>
        <v>0.84583450025660856</v>
      </c>
      <c r="E18">
        <f>'AEO 2023 Table 1'!E$19/'AEO 2022 Table 1'!$C$19</f>
        <v>0.92185464330039357</v>
      </c>
      <c r="F18">
        <f>'AEO 2023 Table 1'!F$19/'AEO 2022 Table 1'!$C$19</f>
        <v>0.8657017605377183</v>
      </c>
      <c r="G18">
        <f>'AEO 2023 Table 1'!G$19/'AEO 2022 Table 1'!$C$19</f>
        <v>0.79226504429571998</v>
      </c>
      <c r="H18">
        <f>'AEO 2023 Table 1'!H$19/'AEO 2022 Table 1'!$C$19</f>
        <v>0.71073641223843154</v>
      </c>
      <c r="I18">
        <f>'AEO 2023 Table 1'!I$19/'AEO 2022 Table 1'!$C$19</f>
        <v>0.63830672595477234</v>
      </c>
      <c r="J18">
        <f>'AEO 2023 Table 1'!J$19/'AEO 2022 Table 1'!$C$19</f>
        <v>0.57020607674054147</v>
      </c>
      <c r="K18">
        <f>'AEO 2023 Table 1'!K$19/'AEO 2022 Table 1'!$C$19</f>
        <v>0.54200732804898522</v>
      </c>
      <c r="L18">
        <f>'AEO 2023 Table 1'!L$19/'AEO 2022 Table 1'!$C$19</f>
        <v>0.53960098328660289</v>
      </c>
      <c r="M18">
        <f>'AEO 2023 Table 1'!M$19/'AEO 2022 Table 1'!$C$19</f>
        <v>0.54342421354718851</v>
      </c>
      <c r="N18">
        <f>'AEO 2023 Table 1'!N$19/'AEO 2022 Table 1'!$C$19</f>
        <v>0.54104506516359308</v>
      </c>
      <c r="O18">
        <f>'AEO 2023 Table 1'!O$19/'AEO 2022 Table 1'!$C$19</f>
        <v>0.53605666869722768</v>
      </c>
      <c r="P18">
        <f>'AEO 2023 Table 1'!P$19/'AEO 2022 Table 1'!$C$19</f>
        <v>0.54001504051420102</v>
      </c>
      <c r="Q18">
        <f>'AEO 2023 Table 1'!Q$19/'AEO 2022 Table 1'!$C$19</f>
        <v>0.53368561811181048</v>
      </c>
      <c r="R18">
        <f>'AEO 2023 Table 1'!R$19/'AEO 2022 Table 1'!$C$19</f>
        <v>0.51963173658504236</v>
      </c>
      <c r="S18">
        <f>'AEO 2023 Table 1'!S$19/'AEO 2022 Table 1'!$C$19</f>
        <v>0.51123172246737159</v>
      </c>
      <c r="T18">
        <f>'AEO 2023 Table 1'!T$19/'AEO 2022 Table 1'!$C$19</f>
        <v>0.4990927410267611</v>
      </c>
      <c r="U18">
        <f>'AEO 2023 Table 1'!U$19/'AEO 2022 Table 1'!$C$19</f>
        <v>0.49180823680528718</v>
      </c>
      <c r="V18">
        <f>'AEO 2023 Table 1'!V$19/'AEO 2022 Table 1'!$C$19</f>
        <v>0.49218104109877037</v>
      </c>
      <c r="W18">
        <f>'AEO 2023 Table 1'!W$19/'AEO 2022 Table 1'!$C$19</f>
        <v>0.49305827710329231</v>
      </c>
      <c r="X18">
        <f>'AEO 2023 Table 1'!X$19/'AEO 2022 Table 1'!$C$19</f>
        <v>0.48617117614712568</v>
      </c>
      <c r="Y18">
        <f>'AEO 2023 Table 1'!Y$19/'AEO 2022 Table 1'!$C$19</f>
        <v>0.47842188886795683</v>
      </c>
      <c r="Z18">
        <f>'AEO 2023 Table 1'!Z$19/'AEO 2022 Table 1'!$C$19</f>
        <v>0.47278574494166448</v>
      </c>
      <c r="AA18">
        <f>'AEO 2023 Table 1'!AA$19/'AEO 2022 Table 1'!$C$19</f>
        <v>0.46752339843504698</v>
      </c>
      <c r="AB18">
        <f>'AEO 2023 Table 1'!AB$19/'AEO 2022 Table 1'!$C$19</f>
        <v>0.46505907038193645</v>
      </c>
      <c r="AC18">
        <f>'AEO 2023 Table 1'!AC$19/'AEO 2022 Table 1'!$C$19</f>
        <v>0.46370459904516265</v>
      </c>
      <c r="AD18">
        <f>'AEO 2023 Table 1'!AD$19/'AEO 2022 Table 1'!$C$19</f>
        <v>0.46081399067286438</v>
      </c>
      <c r="AE18">
        <f>'AEO 2023 Table 1'!AE$19/'AEO 2022 Table 1'!$C$19</f>
        <v>0.45420977789267486</v>
      </c>
    </row>
    <row r="19" spans="1:33" x14ac:dyDescent="0.75">
      <c r="A19" t="s">
        <v>1044</v>
      </c>
      <c r="B19" s="226">
        <f>'AEO 2022 Table 1'!C$16/'AEO 2022 Table 1'!$C$16</f>
        <v>1</v>
      </c>
      <c r="C19" s="226">
        <f>'AEO 2023 Table 1'!C$16/'AEO 2022 Table 1'!$C$16</f>
        <v>1.0609966467282199</v>
      </c>
      <c r="D19" s="226">
        <f>'AEO 2023 Table 1'!D$16/'AEO 2022 Table 1'!$C$16</f>
        <v>1.1034662586601662</v>
      </c>
      <c r="E19" s="226">
        <f>'AEO 2023 Table 1'!E$16/'AEO 2022 Table 1'!$C$16</f>
        <v>1.1342721101921345</v>
      </c>
      <c r="F19" s="226">
        <f>'AEO 2023 Table 1'!F$16/'AEO 2022 Table 1'!$C$16</f>
        <v>1.1517108754500347</v>
      </c>
      <c r="G19" s="226">
        <f>'AEO 2023 Table 1'!G$16/'AEO 2022 Table 1'!$C$16</f>
        <v>1.1677833810682008</v>
      </c>
      <c r="H19" s="226">
        <f>'AEO 2023 Table 1'!H$16/'AEO 2022 Table 1'!$C$16</f>
        <v>1.1770716249997248</v>
      </c>
      <c r="I19" s="226">
        <f>'AEO 2023 Table 1'!I$16/'AEO 2022 Table 1'!$C$16</f>
        <v>1.1929582285134732</v>
      </c>
      <c r="J19" s="226">
        <f>'AEO 2023 Table 1'!J$16/'AEO 2022 Table 1'!$C$16</f>
        <v>1.1913447898453953</v>
      </c>
      <c r="K19" s="226">
        <f>'AEO 2023 Table 1'!K$16/'AEO 2022 Table 1'!$C$16</f>
        <v>1.193503463678125</v>
      </c>
      <c r="L19" s="226">
        <f>'AEO 2023 Table 1'!L$16/'AEO 2022 Table 1'!$C$16</f>
        <v>1.1869049314848472</v>
      </c>
      <c r="M19" s="226">
        <f>'AEO 2023 Table 1'!M$16/'AEO 2022 Table 1'!$C$16</f>
        <v>1.1895570571662348</v>
      </c>
      <c r="N19" s="226">
        <f>'AEO 2023 Table 1'!N$16/'AEO 2022 Table 1'!$C$16</f>
        <v>1.192160506530588</v>
      </c>
      <c r="O19" s="226">
        <f>'AEO 2023 Table 1'!O$16/'AEO 2022 Table 1'!$C$16</f>
        <v>1.1877916344657149</v>
      </c>
      <c r="P19" s="226">
        <f>'AEO 2023 Table 1'!P$16/'AEO 2022 Table 1'!$C$16</f>
        <v>1.1847366345858954</v>
      </c>
      <c r="Q19" s="226">
        <f>'AEO 2023 Table 1'!Q$16/'AEO 2022 Table 1'!$C$16</f>
        <v>1.1791408863068384</v>
      </c>
      <c r="R19" s="226">
        <f>'AEO 2023 Table 1'!R$16/'AEO 2022 Table 1'!$C$16</f>
        <v>1.1774785987106731</v>
      </c>
      <c r="S19" s="226">
        <f>'AEO 2023 Table 1'!S$16/'AEO 2022 Table 1'!$C$16</f>
        <v>1.1728978897306217</v>
      </c>
      <c r="T19" s="226">
        <f>'AEO 2023 Table 1'!T$16/'AEO 2022 Table 1'!$C$16</f>
        <v>1.1681258845507367</v>
      </c>
      <c r="U19" s="226">
        <f>'AEO 2023 Table 1'!U$16/'AEO 2022 Table 1'!$C$16</f>
        <v>1.158962438410758</v>
      </c>
      <c r="V19" s="226">
        <f>'AEO 2023 Table 1'!V$16/'AEO 2022 Table 1'!$C$16</f>
        <v>1.1463744321258169</v>
      </c>
      <c r="W19" s="226">
        <f>'AEO 2023 Table 1'!W$16/'AEO 2022 Table 1'!$C$16</f>
        <v>1.1486616580405011</v>
      </c>
      <c r="X19" s="226">
        <f>'AEO 2023 Table 1'!X$16/'AEO 2022 Table 1'!$C$16</f>
        <v>1.1548637457970825</v>
      </c>
      <c r="Y19" s="226">
        <f>'AEO 2023 Table 1'!Y$16/'AEO 2022 Table 1'!$C$16</f>
        <v>1.1669458290847641</v>
      </c>
      <c r="Z19" s="226">
        <f>'AEO 2023 Table 1'!Z$16/'AEO 2022 Table 1'!$C$16</f>
        <v>1.1698269233283707</v>
      </c>
      <c r="AA19" s="226">
        <f>'AEO 2023 Table 1'!AA$16/'AEO 2022 Table 1'!$C$16</f>
        <v>1.1723620618683757</v>
      </c>
      <c r="AB19" s="226">
        <f>'AEO 2023 Table 1'!AB$16/'AEO 2022 Table 1'!$C$16</f>
        <v>1.1628999123006389</v>
      </c>
      <c r="AC19" s="226">
        <f>'AEO 2023 Table 1'!AC$16/'AEO 2022 Table 1'!$C$16</f>
        <v>1.166466315578661</v>
      </c>
      <c r="AD19" s="226">
        <f>'AEO 2023 Table 1'!AD$16/'AEO 2022 Table 1'!$C$16</f>
        <v>1.1789348750147097</v>
      </c>
      <c r="AE19" s="226">
        <f>'AEO 2023 Table 1'!AE$16/'AEO 2022 Table 1'!$C$16</f>
        <v>1.181989702283476</v>
      </c>
    </row>
    <row r="20" spans="1:33" x14ac:dyDescent="0.75">
      <c r="A20" t="s">
        <v>1045</v>
      </c>
      <c r="B20">
        <f>'AEO 2022 Table 1'!C$16/'AEO 2022 Table 1'!$C$16</f>
        <v>1</v>
      </c>
      <c r="C20">
        <f>'AEO 2023 Table 1'!C$16/'AEO 2022 Table 1'!$C$16</f>
        <v>1.0609966467282199</v>
      </c>
      <c r="D20">
        <f>'AEO 2023 Table 1'!D$16/'AEO 2022 Table 1'!$C$16</f>
        <v>1.1034662586601662</v>
      </c>
      <c r="E20">
        <f>'AEO 2023 Table 1'!E$16/'AEO 2022 Table 1'!$C$16</f>
        <v>1.1342721101921345</v>
      </c>
      <c r="F20">
        <f>'AEO 2023 Table 1'!F$16/'AEO 2022 Table 1'!$C$16</f>
        <v>1.1517108754500347</v>
      </c>
      <c r="G20">
        <f>'AEO 2023 Table 1'!G$16/'AEO 2022 Table 1'!$C$16</f>
        <v>1.1677833810682008</v>
      </c>
      <c r="H20">
        <f>'AEO 2023 Table 1'!H$16/'AEO 2022 Table 1'!$C$16</f>
        <v>1.1770716249997248</v>
      </c>
      <c r="I20">
        <f>'AEO 2023 Table 1'!I$16/'AEO 2022 Table 1'!$C$16</f>
        <v>1.1929582285134732</v>
      </c>
      <c r="J20">
        <f>'AEO 2023 Table 1'!J$16/'AEO 2022 Table 1'!$C$16</f>
        <v>1.1913447898453953</v>
      </c>
      <c r="K20">
        <f>'AEO 2023 Table 1'!K$16/'AEO 2022 Table 1'!$C$16</f>
        <v>1.193503463678125</v>
      </c>
      <c r="L20">
        <f>'AEO 2023 Table 1'!L$16/'AEO 2022 Table 1'!$C$16</f>
        <v>1.1869049314848472</v>
      </c>
      <c r="M20">
        <f>'AEO 2023 Table 1'!M$16/'AEO 2022 Table 1'!$C$16</f>
        <v>1.1895570571662348</v>
      </c>
      <c r="N20">
        <f>'AEO 2023 Table 1'!N$16/'AEO 2022 Table 1'!$C$16</f>
        <v>1.192160506530588</v>
      </c>
      <c r="O20">
        <f>'AEO 2023 Table 1'!O$16/'AEO 2022 Table 1'!$C$16</f>
        <v>1.1877916344657149</v>
      </c>
      <c r="P20">
        <f>'AEO 2023 Table 1'!P$16/'AEO 2022 Table 1'!$C$16</f>
        <v>1.1847366345858954</v>
      </c>
      <c r="Q20">
        <f>'AEO 2023 Table 1'!Q$16/'AEO 2022 Table 1'!$C$16</f>
        <v>1.1791408863068384</v>
      </c>
      <c r="R20">
        <f>'AEO 2023 Table 1'!R$16/'AEO 2022 Table 1'!$C$16</f>
        <v>1.1774785987106731</v>
      </c>
      <c r="S20">
        <f>'AEO 2023 Table 1'!S$16/'AEO 2022 Table 1'!$C$16</f>
        <v>1.1728978897306217</v>
      </c>
      <c r="T20">
        <f>'AEO 2023 Table 1'!T$16/'AEO 2022 Table 1'!$C$16</f>
        <v>1.1681258845507367</v>
      </c>
      <c r="U20">
        <f>'AEO 2023 Table 1'!U$16/'AEO 2022 Table 1'!$C$16</f>
        <v>1.158962438410758</v>
      </c>
      <c r="V20">
        <f>'AEO 2023 Table 1'!V$16/'AEO 2022 Table 1'!$C$16</f>
        <v>1.1463744321258169</v>
      </c>
      <c r="W20">
        <f>'AEO 2023 Table 1'!W$16/'AEO 2022 Table 1'!$C$16</f>
        <v>1.1486616580405011</v>
      </c>
      <c r="X20">
        <f>'AEO 2023 Table 1'!X$16/'AEO 2022 Table 1'!$C$16</f>
        <v>1.1548637457970825</v>
      </c>
      <c r="Y20">
        <f>'AEO 2023 Table 1'!Y$16/'AEO 2022 Table 1'!$C$16</f>
        <v>1.1669458290847641</v>
      </c>
      <c r="Z20">
        <f>'AEO 2023 Table 1'!Z$16/'AEO 2022 Table 1'!$C$16</f>
        <v>1.1698269233283707</v>
      </c>
      <c r="AA20">
        <f>'AEO 2023 Table 1'!AA$16/'AEO 2022 Table 1'!$C$16</f>
        <v>1.1723620618683757</v>
      </c>
      <c r="AB20">
        <f>'AEO 2023 Table 1'!AB$16/'AEO 2022 Table 1'!$C$16</f>
        <v>1.1628999123006389</v>
      </c>
      <c r="AC20">
        <f>'AEO 2023 Table 1'!AC$16/'AEO 2022 Table 1'!$C$16</f>
        <v>1.166466315578661</v>
      </c>
      <c r="AD20">
        <f>'AEO 2023 Table 1'!AD$16/'AEO 2022 Table 1'!$C$16</f>
        <v>1.1789348750147097</v>
      </c>
      <c r="AE20">
        <f>'AEO 2023 Table 1'!AE$16/'AEO 2022 Table 1'!$C$16</f>
        <v>1.181989702283476</v>
      </c>
    </row>
    <row r="21" spans="1:33" x14ac:dyDescent="0.75">
      <c r="A21" t="s">
        <v>1046</v>
      </c>
      <c r="B21">
        <f>'AEO 2022 Table 1'!C$17/'AEO 2022 Table 1'!$C$17</f>
        <v>1</v>
      </c>
      <c r="C21">
        <f>'AEO 2023 Table 1'!C$17/'AEO 2022 Table 1'!$C$17</f>
        <v>1.108800258056597</v>
      </c>
      <c r="D21">
        <f>'AEO 2023 Table 1'!D$17/'AEO 2022 Table 1'!$C$17</f>
        <v>1.1660584209876517</v>
      </c>
      <c r="E21">
        <f>'AEO 2023 Table 1'!E$17/'AEO 2022 Table 1'!$C$17</f>
        <v>1.1892469757208421</v>
      </c>
      <c r="F21">
        <f>'AEO 2023 Table 1'!F$17/'AEO 2022 Table 1'!$C$17</f>
        <v>1.1862540615724753</v>
      </c>
      <c r="G21">
        <f>'AEO 2023 Table 1'!G$17/'AEO 2022 Table 1'!$C$17</f>
        <v>1.2092670578907441</v>
      </c>
      <c r="H21">
        <f>'AEO 2023 Table 1'!H$17/'AEO 2022 Table 1'!$C$17</f>
        <v>1.1903597020645242</v>
      </c>
      <c r="I21">
        <f>'AEO 2023 Table 1'!I$17/'AEO 2022 Table 1'!$C$17</f>
        <v>1.1744756619658403</v>
      </c>
      <c r="J21">
        <f>'AEO 2023 Table 1'!J$17/'AEO 2022 Table 1'!$C$17</f>
        <v>1.1598425112560777</v>
      </c>
      <c r="K21">
        <f>'AEO 2023 Table 1'!K$17/'AEO 2022 Table 1'!$C$17</f>
        <v>1.1502687256956858</v>
      </c>
      <c r="L21">
        <f>'AEO 2023 Table 1'!L$17/'AEO 2022 Table 1'!$C$17</f>
        <v>1.1476469106357712</v>
      </c>
      <c r="M21">
        <f>'AEO 2023 Table 1'!M$17/'AEO 2022 Table 1'!$C$17</f>
        <v>1.1579957223693536</v>
      </c>
      <c r="N21">
        <f>'AEO 2023 Table 1'!N$17/'AEO 2022 Table 1'!$C$17</f>
        <v>1.165806929990016</v>
      </c>
      <c r="O21">
        <f>'AEO 2023 Table 1'!O$17/'AEO 2022 Table 1'!$C$17</f>
        <v>1.1819087767075374</v>
      </c>
      <c r="P21">
        <f>'AEO 2023 Table 1'!P$17/'AEO 2022 Table 1'!$C$17</f>
        <v>1.1903340105891698</v>
      </c>
      <c r="Q21">
        <f>'AEO 2023 Table 1'!Q$17/'AEO 2022 Table 1'!$C$17</f>
        <v>1.2080362934908504</v>
      </c>
      <c r="R21">
        <f>'AEO 2023 Table 1'!R$17/'AEO 2022 Table 1'!$C$17</f>
        <v>1.2156596678805889</v>
      </c>
      <c r="S21">
        <f>'AEO 2023 Table 1'!S$17/'AEO 2022 Table 1'!$C$17</f>
        <v>1.215785270648988</v>
      </c>
      <c r="T21">
        <f>'AEO 2023 Table 1'!T$17/'AEO 2022 Table 1'!$C$17</f>
        <v>1.2339988139102211</v>
      </c>
      <c r="U21">
        <f>'AEO 2023 Table 1'!U$17/'AEO 2022 Table 1'!$C$17</f>
        <v>1.2321350401036792</v>
      </c>
      <c r="V21">
        <f>'AEO 2023 Table 1'!V$17/'AEO 2022 Table 1'!$C$17</f>
        <v>1.2404909070018548</v>
      </c>
      <c r="W21">
        <f>'AEO 2023 Table 1'!W$17/'AEO 2022 Table 1'!$C$17</f>
        <v>1.2621787941135119</v>
      </c>
      <c r="X21">
        <f>'AEO 2023 Table 1'!X$17/'AEO 2022 Table 1'!$C$17</f>
        <v>1.2798648057474684</v>
      </c>
      <c r="Y21">
        <f>'AEO 2023 Table 1'!Y$17/'AEO 2022 Table 1'!$C$17</f>
        <v>1.2891576978439856</v>
      </c>
      <c r="Z21">
        <f>'AEO 2023 Table 1'!Z$17/'AEO 2022 Table 1'!$C$17</f>
        <v>1.2959882047582039</v>
      </c>
      <c r="AA21">
        <f>'AEO 2023 Table 1'!AA$17/'AEO 2022 Table 1'!$C$17</f>
        <v>1.3050996864926354</v>
      </c>
      <c r="AB21">
        <f>'AEO 2023 Table 1'!AB$17/'AEO 2022 Table 1'!$C$17</f>
        <v>1.3124361727409164</v>
      </c>
      <c r="AC21">
        <f>'AEO 2023 Table 1'!AC$17/'AEO 2022 Table 1'!$C$17</f>
        <v>1.3182641411946392</v>
      </c>
      <c r="AD21">
        <f>'AEO 2023 Table 1'!AD$17/'AEO 2022 Table 1'!$C$17</f>
        <v>1.3249287953624032</v>
      </c>
      <c r="AE21">
        <f>'AEO 2023 Table 1'!AE$17/'AEO 2022 Table 1'!$C$17</f>
        <v>1.3288838552627917</v>
      </c>
    </row>
    <row r="22" spans="1:33" x14ac:dyDescent="0.75">
      <c r="A22" t="s">
        <v>1047</v>
      </c>
      <c r="B22">
        <f>'AEO 2022 Table 1'!C$24/'AEO 2022 Table 1'!$C$24</f>
        <v>1</v>
      </c>
      <c r="C22">
        <f>'AEO 2023 Table 1'!C$24/'AEO 2022 Table 1'!$C$24</f>
        <v>0.85543238206653982</v>
      </c>
      <c r="D22">
        <f>'AEO 2023 Table 1'!D$24/'AEO 2022 Table 1'!$C$24</f>
        <v>0.57838905199533552</v>
      </c>
      <c r="E22">
        <f>'AEO 2023 Table 1'!E$24/'AEO 2022 Table 1'!$C$24</f>
        <v>0.43526408246062004</v>
      </c>
      <c r="F22">
        <f>'AEO 2023 Table 1'!F$24/'AEO 2022 Table 1'!$C$24</f>
        <v>0.37676511171854199</v>
      </c>
      <c r="G22">
        <f>'AEO 2023 Table 1'!G$24/'AEO 2022 Table 1'!$C$24</f>
        <v>0.42646617697236938</v>
      </c>
      <c r="H22">
        <f>'AEO 2023 Table 1'!H$24/'AEO 2022 Table 1'!$C$24</f>
        <v>0.42293782832202836</v>
      </c>
      <c r="I22">
        <f>'AEO 2023 Table 1'!I$24/'AEO 2022 Table 1'!$C$24</f>
        <v>0.39417531880748558</v>
      </c>
      <c r="J22">
        <f>'AEO 2023 Table 1'!J$24/'AEO 2022 Table 1'!$C$24</f>
        <v>0.38826880317363899</v>
      </c>
      <c r="K22">
        <f>'AEO 2023 Table 1'!K$24/'AEO 2022 Table 1'!$C$24</f>
        <v>0.3921280516841209</v>
      </c>
      <c r="L22">
        <f>'AEO 2023 Table 1'!L$24/'AEO 2022 Table 1'!$C$24</f>
        <v>0.39254566043112593</v>
      </c>
      <c r="M22">
        <f>'AEO 2023 Table 1'!M$24/'AEO 2022 Table 1'!$C$24</f>
        <v>0.33412918030574024</v>
      </c>
      <c r="N22">
        <f>'AEO 2023 Table 1'!N$24/'AEO 2022 Table 1'!$C$24</f>
        <v>0.33208941232934752</v>
      </c>
      <c r="O22">
        <f>'AEO 2023 Table 1'!O$24/'AEO 2022 Table 1'!$C$24</f>
        <v>0.33516031301439458</v>
      </c>
      <c r="P22">
        <f>'AEO 2023 Table 1'!P$24/'AEO 2022 Table 1'!$C$24</f>
        <v>0.33261247783064674</v>
      </c>
      <c r="Q22">
        <f>'AEO 2023 Table 1'!Q$24/'AEO 2022 Table 1'!$C$24</f>
        <v>0.33101094125543218</v>
      </c>
      <c r="R22">
        <f>'AEO 2023 Table 1'!R$24/'AEO 2022 Table 1'!$C$24</f>
        <v>0.32993996932848885</v>
      </c>
      <c r="S22">
        <f>'AEO 2023 Table 1'!S$24/'AEO 2022 Table 1'!$C$24</f>
        <v>0.33035523459206512</v>
      </c>
      <c r="T22">
        <f>'AEO 2023 Table 1'!T$24/'AEO 2022 Table 1'!$C$24</f>
        <v>0.32997933985009203</v>
      </c>
      <c r="U22">
        <f>'AEO 2023 Table 1'!U$24/'AEO 2022 Table 1'!$C$24</f>
        <v>0.32838155284836346</v>
      </c>
      <c r="V22">
        <f>'AEO 2023 Table 1'!V$24/'AEO 2022 Table 1'!$C$24</f>
        <v>0.32936581588844266</v>
      </c>
      <c r="W22">
        <f>'AEO 2023 Table 1'!W$24/'AEO 2022 Table 1'!$C$24</f>
        <v>0.3282962500515566</v>
      </c>
      <c r="X22">
        <f>'AEO 2023 Table 1'!X$24/'AEO 2022 Table 1'!$C$24</f>
        <v>0.32805299647165137</v>
      </c>
      <c r="Y22">
        <f>'AEO 2023 Table 1'!Y$24/'AEO 2022 Table 1'!$C$24</f>
        <v>0.3284537321379693</v>
      </c>
      <c r="Z22">
        <f>'AEO 2023 Table 1'!Z$24/'AEO 2022 Table 1'!$C$24</f>
        <v>0.328389989388707</v>
      </c>
      <c r="AA22">
        <f>'AEO 2023 Table 1'!AA$24/'AEO 2022 Table 1'!$C$24</f>
        <v>0.31757668815172274</v>
      </c>
      <c r="AB22">
        <f>'AEO 2023 Table 1'!AB$24/'AEO 2022 Table 1'!$C$24</f>
        <v>0.31619262683869709</v>
      </c>
      <c r="AC22">
        <f>'AEO 2023 Table 1'!AC$24/'AEO 2022 Table 1'!$C$24</f>
        <v>0.31763199436064143</v>
      </c>
      <c r="AD22">
        <f>'AEO 2023 Table 1'!AD$24/'AEO 2022 Table 1'!$C$24</f>
        <v>0.31790383843837761</v>
      </c>
      <c r="AE22">
        <f>'AEO 2023 Table 1'!AE$24/'AEO 2022 Table 1'!$C$24</f>
        <v>0.31673256542068334</v>
      </c>
    </row>
    <row r="23" spans="1:33" x14ac:dyDescent="0.75">
      <c r="A23" t="s">
        <v>1048</v>
      </c>
      <c r="B23">
        <v>1</v>
      </c>
      <c r="C23">
        <v>1</v>
      </c>
      <c r="D23">
        <v>2</v>
      </c>
      <c r="E23">
        <v>3</v>
      </c>
      <c r="F23">
        <v>4</v>
      </c>
      <c r="G23">
        <v>5</v>
      </c>
      <c r="H23">
        <v>6</v>
      </c>
      <c r="I23">
        <v>7</v>
      </c>
      <c r="J23">
        <v>8</v>
      </c>
      <c r="K23">
        <v>9</v>
      </c>
      <c r="L23">
        <v>10</v>
      </c>
      <c r="M23">
        <v>11</v>
      </c>
      <c r="N23">
        <v>12</v>
      </c>
      <c r="O23">
        <v>13</v>
      </c>
      <c r="P23">
        <v>14</v>
      </c>
      <c r="Q23">
        <v>15</v>
      </c>
      <c r="R23">
        <v>16</v>
      </c>
      <c r="S23">
        <v>17</v>
      </c>
      <c r="T23">
        <v>18</v>
      </c>
      <c r="U23">
        <v>19</v>
      </c>
      <c r="V23">
        <v>20</v>
      </c>
      <c r="W23">
        <v>21</v>
      </c>
      <c r="X23">
        <v>22</v>
      </c>
      <c r="Y23">
        <v>23</v>
      </c>
      <c r="Z23">
        <v>24</v>
      </c>
      <c r="AA23">
        <v>25</v>
      </c>
      <c r="AB23">
        <v>26</v>
      </c>
      <c r="AC23">
        <v>27</v>
      </c>
      <c r="AD23">
        <v>28</v>
      </c>
      <c r="AE23">
        <v>29</v>
      </c>
    </row>
    <row r="26" spans="1:33" x14ac:dyDescent="0.75">
      <c r="A26" s="196" t="s">
        <v>1056</v>
      </c>
      <c r="B26" s="197"/>
      <c r="C26" s="197"/>
      <c r="D26" s="197"/>
      <c r="E26" s="197"/>
      <c r="F26" s="197"/>
      <c r="G26" s="197"/>
      <c r="H26" s="197"/>
      <c r="I26" s="197"/>
      <c r="J26" s="197"/>
      <c r="K26" s="197"/>
      <c r="L26" s="197"/>
      <c r="M26" s="197"/>
      <c r="N26" s="197"/>
      <c r="O26" s="197"/>
      <c r="P26" s="197"/>
      <c r="Q26" s="197"/>
      <c r="R26" s="197"/>
      <c r="S26" s="197"/>
      <c r="T26" s="197"/>
      <c r="U26" s="197"/>
      <c r="V26" s="197"/>
      <c r="W26" s="197"/>
      <c r="X26" s="197"/>
      <c r="Y26" s="197"/>
      <c r="Z26" s="197"/>
      <c r="AA26" s="197"/>
      <c r="AB26" s="197"/>
      <c r="AC26" s="197"/>
      <c r="AD26" s="197"/>
      <c r="AE26" s="197"/>
      <c r="AF26" s="197"/>
      <c r="AG26" s="197"/>
    </row>
    <row r="27" spans="1:33" s="1" customFormat="1" x14ac:dyDescent="0.75">
      <c r="B27" s="1">
        <f t="shared" ref="B27:AE27" si="0">B2</f>
        <v>2021</v>
      </c>
      <c r="C27" s="1">
        <f t="shared" si="0"/>
        <v>2022</v>
      </c>
      <c r="D27" s="1">
        <f t="shared" si="0"/>
        <v>2023</v>
      </c>
      <c r="E27" s="1">
        <f t="shared" si="0"/>
        <v>2024</v>
      </c>
      <c r="F27" s="1">
        <f t="shared" si="0"/>
        <v>2025</v>
      </c>
      <c r="G27" s="1">
        <f t="shared" si="0"/>
        <v>2026</v>
      </c>
      <c r="H27" s="1">
        <f t="shared" si="0"/>
        <v>2027</v>
      </c>
      <c r="I27" s="1">
        <f t="shared" si="0"/>
        <v>2028</v>
      </c>
      <c r="J27" s="1">
        <f t="shared" si="0"/>
        <v>2029</v>
      </c>
      <c r="K27" s="1">
        <f t="shared" si="0"/>
        <v>2030</v>
      </c>
      <c r="L27" s="1">
        <f t="shared" si="0"/>
        <v>2031</v>
      </c>
      <c r="M27" s="1">
        <f t="shared" si="0"/>
        <v>2032</v>
      </c>
      <c r="N27" s="1">
        <f t="shared" si="0"/>
        <v>2033</v>
      </c>
      <c r="O27" s="1">
        <f t="shared" si="0"/>
        <v>2034</v>
      </c>
      <c r="P27" s="1">
        <f t="shared" si="0"/>
        <v>2035</v>
      </c>
      <c r="Q27" s="1">
        <f t="shared" si="0"/>
        <v>2036</v>
      </c>
      <c r="R27" s="1">
        <f t="shared" si="0"/>
        <v>2037</v>
      </c>
      <c r="S27" s="1">
        <f t="shared" si="0"/>
        <v>2038</v>
      </c>
      <c r="T27" s="1">
        <f t="shared" si="0"/>
        <v>2039</v>
      </c>
      <c r="U27" s="1">
        <f t="shared" si="0"/>
        <v>2040</v>
      </c>
      <c r="V27" s="1">
        <f t="shared" si="0"/>
        <v>2041</v>
      </c>
      <c r="W27" s="1">
        <f t="shared" si="0"/>
        <v>2042</v>
      </c>
      <c r="X27" s="1">
        <f t="shared" si="0"/>
        <v>2043</v>
      </c>
      <c r="Y27" s="1">
        <f t="shared" si="0"/>
        <v>2044</v>
      </c>
      <c r="Z27" s="1">
        <f t="shared" si="0"/>
        <v>2045</v>
      </c>
      <c r="AA27" s="1">
        <f t="shared" si="0"/>
        <v>2046</v>
      </c>
      <c r="AB27" s="1">
        <f t="shared" si="0"/>
        <v>2047</v>
      </c>
      <c r="AC27" s="1">
        <f t="shared" si="0"/>
        <v>2048</v>
      </c>
      <c r="AD27" s="1">
        <f t="shared" si="0"/>
        <v>2049</v>
      </c>
      <c r="AE27" s="1">
        <f t="shared" si="0"/>
        <v>2050</v>
      </c>
    </row>
    <row r="28" spans="1:33" x14ac:dyDescent="0.75">
      <c r="A28" s="31" t="s">
        <v>1027</v>
      </c>
      <c r="B28" s="7">
        <v>0</v>
      </c>
      <c r="C28" s="7">
        <v>0</v>
      </c>
      <c r="D28" s="7">
        <v>0</v>
      </c>
      <c r="E28" s="7">
        <v>0</v>
      </c>
      <c r="F28" s="7">
        <v>0</v>
      </c>
      <c r="G28" s="7">
        <v>0</v>
      </c>
      <c r="H28" s="7">
        <v>0</v>
      </c>
      <c r="I28" s="7">
        <v>0</v>
      </c>
      <c r="J28" s="7">
        <v>0</v>
      </c>
      <c r="K28" s="7">
        <v>0</v>
      </c>
      <c r="L28" s="7">
        <v>0</v>
      </c>
      <c r="M28" s="7">
        <v>0</v>
      </c>
      <c r="N28" s="7">
        <v>0</v>
      </c>
      <c r="O28" s="7">
        <v>0</v>
      </c>
      <c r="P28" s="7">
        <v>0</v>
      </c>
      <c r="Q28" s="7">
        <v>0</v>
      </c>
      <c r="R28" s="7">
        <v>0</v>
      </c>
      <c r="S28" s="7">
        <v>0</v>
      </c>
      <c r="T28" s="7">
        <v>0</v>
      </c>
      <c r="U28" s="7">
        <v>0</v>
      </c>
      <c r="V28" s="7">
        <v>0</v>
      </c>
      <c r="W28" s="7">
        <v>0</v>
      </c>
      <c r="X28" s="7">
        <v>0</v>
      </c>
      <c r="Y28" s="7">
        <v>0</v>
      </c>
      <c r="Z28" s="7">
        <v>0</v>
      </c>
      <c r="AA28" s="7">
        <v>0</v>
      </c>
      <c r="AB28" s="7">
        <v>0</v>
      </c>
      <c r="AC28" s="7">
        <v>0</v>
      </c>
      <c r="AD28" s="7">
        <v>0</v>
      </c>
      <c r="AE28" s="7">
        <v>0</v>
      </c>
      <c r="AF28" s="7"/>
      <c r="AG28" s="7"/>
    </row>
    <row r="29" spans="1:33" x14ac:dyDescent="0.75">
      <c r="A29" t="s">
        <v>1028</v>
      </c>
      <c r="B29">
        <f>'AEO 2022 Table 1'!C$31/'AEO 2022 Table 1'!$C$31</f>
        <v>1</v>
      </c>
      <c r="C29">
        <f>'AEO 2023 Table 1'!C$31/'AEO 2022 Table 1'!$C$31</f>
        <v>0.87355538107635311</v>
      </c>
      <c r="D29">
        <f>'AEO 2023 Table 1'!D$31/'AEO 2022 Table 1'!$C$31</f>
        <v>1.1609329586622037</v>
      </c>
      <c r="E29">
        <f>'AEO 2023 Table 1'!E$31/'AEO 2022 Table 1'!$C$31</f>
        <v>0.50101932586746012</v>
      </c>
      <c r="F29">
        <f>'AEO 2023 Table 1'!F$31/'AEO 2022 Table 1'!$C$31</f>
        <v>0.45057302643359926</v>
      </c>
      <c r="G29">
        <f>'AEO 2023 Table 1'!G$31/'AEO 2022 Table 1'!$C$31</f>
        <v>0.48665578467429788</v>
      </c>
      <c r="H29">
        <f>'AEO 2023 Table 1'!H$31/'AEO 2022 Table 1'!$C$31</f>
        <v>0.53471562185765253</v>
      </c>
      <c r="I29">
        <f>'AEO 2023 Table 1'!I$31/'AEO 2022 Table 1'!$C$31</f>
        <v>0.61057275094012153</v>
      </c>
      <c r="J29">
        <f>'AEO 2023 Table 1'!J$31/'AEO 2022 Table 1'!$C$31</f>
        <v>0.58248963455790181</v>
      </c>
      <c r="K29">
        <f>'AEO 2023 Table 1'!K$31/'AEO 2022 Table 1'!$C$31</f>
        <v>0.60706365276802077</v>
      </c>
      <c r="L29">
        <f>'AEO 2023 Table 1'!L$31/'AEO 2022 Table 1'!$C$31</f>
        <v>0.57485846522583584</v>
      </c>
      <c r="M29">
        <f>'AEO 2023 Table 1'!M$31/'AEO 2022 Table 1'!$C$31</f>
        <v>0.58650495199526154</v>
      </c>
      <c r="N29">
        <f>'AEO 2023 Table 1'!N$31/'AEO 2022 Table 1'!$C$31</f>
        <v>0.58313704423047785</v>
      </c>
      <c r="O29">
        <f>'AEO 2023 Table 1'!O$31/'AEO 2022 Table 1'!$C$31</f>
        <v>0.58679422014683802</v>
      </c>
      <c r="P29">
        <f>'AEO 2023 Table 1'!P$31/'AEO 2022 Table 1'!$C$31</f>
        <v>0.57144923343939835</v>
      </c>
      <c r="Q29">
        <f>'AEO 2023 Table 1'!Q$31/'AEO 2022 Table 1'!$C$31</f>
        <v>0.5647788476107829</v>
      </c>
      <c r="R29">
        <f>'AEO 2023 Table 1'!R$31/'AEO 2022 Table 1'!$C$31</f>
        <v>0.5642760720139951</v>
      </c>
      <c r="S29">
        <f>'AEO 2023 Table 1'!S$31/'AEO 2022 Table 1'!$C$31</f>
        <v>0.57515117704588348</v>
      </c>
      <c r="T29">
        <f>'AEO 2023 Table 1'!T$31/'AEO 2022 Table 1'!$C$31</f>
        <v>0.58225546510186377</v>
      </c>
      <c r="U29">
        <f>'AEO 2023 Table 1'!U$31/'AEO 2022 Table 1'!$C$31</f>
        <v>0.58753805253660618</v>
      </c>
      <c r="V29">
        <f>'AEO 2023 Table 1'!V$31/'AEO 2022 Table 1'!$C$31</f>
        <v>0.57180048762345559</v>
      </c>
      <c r="W29">
        <f>'AEO 2023 Table 1'!W$31/'AEO 2022 Table 1'!$C$31</f>
        <v>0.57068818270727451</v>
      </c>
      <c r="X29">
        <f>'AEO 2023 Table 1'!X$31/'AEO 2022 Table 1'!$C$31</f>
        <v>0.5621857652520077</v>
      </c>
      <c r="Y29">
        <f>'AEO 2023 Table 1'!Y$31/'AEO 2022 Table 1'!$C$31</f>
        <v>0.55603192969406456</v>
      </c>
      <c r="Z29">
        <f>'AEO 2023 Table 1'!Z$31/'AEO 2022 Table 1'!$C$31</f>
        <v>0.54587999504111739</v>
      </c>
      <c r="AA29">
        <f>'AEO 2023 Table 1'!AA$31/'AEO 2022 Table 1'!$C$31</f>
        <v>0.53396490213094205</v>
      </c>
      <c r="AB29">
        <f>'AEO 2023 Table 1'!AB$31/'AEO 2022 Table 1'!$C$31</f>
        <v>0.53271829414438621</v>
      </c>
      <c r="AC29">
        <f>'AEO 2023 Table 1'!AC$31/'AEO 2022 Table 1'!$C$31</f>
        <v>0.54289089080816022</v>
      </c>
      <c r="AD29">
        <f>'AEO 2023 Table 1'!AD$31/'AEO 2022 Table 1'!$C$31</f>
        <v>0.54816314723748916</v>
      </c>
      <c r="AE29">
        <f>'AEO 2023 Table 1'!AE$31/'AEO 2022 Table 1'!$C$31</f>
        <v>0.54155474744135446</v>
      </c>
    </row>
    <row r="30" spans="1:33" x14ac:dyDescent="0.75">
      <c r="A30" t="s">
        <v>1030</v>
      </c>
      <c r="B30">
        <f>'AEO 2022 Table 1'!C$30/'AEO 2022 Table 1'!$C$30</f>
        <v>1</v>
      </c>
      <c r="C30">
        <f>'AEO 2023 Table 1'!C$30/'AEO 2022 Table 1'!$C$30</f>
        <v>1.0655234705418835</v>
      </c>
      <c r="D30">
        <f>'AEO 2023 Table 1'!D$30/'AEO 2022 Table 1'!$C$30</f>
        <v>1.0036404310481919</v>
      </c>
      <c r="E30">
        <f>'AEO 2023 Table 1'!E$30/'AEO 2022 Table 1'!$C$30</f>
        <v>0.87948876012000177</v>
      </c>
      <c r="F30">
        <f>'AEO 2023 Table 1'!F$30/'AEO 2022 Table 1'!$C$30</f>
        <v>0.84010799433226302</v>
      </c>
      <c r="G30">
        <f>'AEO 2023 Table 1'!G$30/'AEO 2022 Table 1'!$C$30</f>
        <v>0.80481507489381932</v>
      </c>
      <c r="H30">
        <f>'AEO 2023 Table 1'!H$30/'AEO 2022 Table 1'!$C$30</f>
        <v>0.78049240698353828</v>
      </c>
      <c r="I30">
        <f>'AEO 2023 Table 1'!I$30/'AEO 2022 Table 1'!$C$30</f>
        <v>0.74107233154474428</v>
      </c>
      <c r="J30">
        <f>'AEO 2023 Table 1'!J$30/'AEO 2022 Table 1'!$C$30</f>
        <v>0.72921296718180184</v>
      </c>
      <c r="K30">
        <f>'AEO 2023 Table 1'!K$30/'AEO 2022 Table 1'!$C$30</f>
        <v>0.74075999849908614</v>
      </c>
      <c r="L30">
        <f>'AEO 2023 Table 1'!L$30/'AEO 2022 Table 1'!$C$30</f>
        <v>0.73899999821319773</v>
      </c>
      <c r="M30">
        <f>'AEO 2023 Table 1'!M$30/'AEO 2022 Table 1'!$C$30</f>
        <v>0.75713246816364965</v>
      </c>
      <c r="N30">
        <f>'AEO 2023 Table 1'!N$30/'AEO 2022 Table 1'!$C$30</f>
        <v>0.76400165100534434</v>
      </c>
      <c r="O30">
        <f>'AEO 2023 Table 1'!O$30/'AEO 2022 Table 1'!$C$30</f>
        <v>0.76535962076907549</v>
      </c>
      <c r="P30">
        <f>'AEO 2023 Table 1'!P$30/'AEO 2022 Table 1'!$C$30</f>
        <v>0.7596397091800543</v>
      </c>
      <c r="Q30">
        <f>'AEO 2023 Table 1'!Q$30/'AEO 2022 Table 1'!$C$30</f>
        <v>0.74344699182895302</v>
      </c>
      <c r="R30">
        <f>'AEO 2023 Table 1'!R$30/'AEO 2022 Table 1'!$C$30</f>
        <v>0.7430778384694966</v>
      </c>
      <c r="S30">
        <f>'AEO 2023 Table 1'!S$30/'AEO 2022 Table 1'!$C$30</f>
        <v>0.76366823369230197</v>
      </c>
      <c r="T30">
        <f>'AEO 2023 Table 1'!T$30/'AEO 2022 Table 1'!$C$30</f>
        <v>0.7540520209627648</v>
      </c>
      <c r="U30">
        <f>'AEO 2023 Table 1'!U$30/'AEO 2022 Table 1'!$C$30</f>
        <v>0.79741342496055634</v>
      </c>
      <c r="V30">
        <f>'AEO 2023 Table 1'!V$30/'AEO 2022 Table 1'!$C$30</f>
        <v>0.80648430562181617</v>
      </c>
      <c r="W30">
        <f>'AEO 2023 Table 1'!W$30/'AEO 2022 Table 1'!$C$30</f>
        <v>0.81110426170221517</v>
      </c>
      <c r="X30">
        <f>'AEO 2023 Table 1'!X$30/'AEO 2022 Table 1'!$C$30</f>
        <v>0.82836227059691703</v>
      </c>
      <c r="Y30">
        <f>'AEO 2023 Table 1'!Y$30/'AEO 2022 Table 1'!$C$30</f>
        <v>0.85836554044516389</v>
      </c>
      <c r="Z30">
        <f>'AEO 2023 Table 1'!Z$30/'AEO 2022 Table 1'!$C$30</f>
        <v>0.88532517122033239</v>
      </c>
      <c r="AA30">
        <f>'AEO 2023 Table 1'!AA$30/'AEO 2022 Table 1'!$C$30</f>
        <v>0.89628112832992946</v>
      </c>
      <c r="AB30">
        <f>'AEO 2023 Table 1'!AB$30/'AEO 2022 Table 1'!$C$30</f>
        <v>0.90606958880318189</v>
      </c>
      <c r="AC30">
        <f>'AEO 2023 Table 1'!AC$30/'AEO 2022 Table 1'!$C$30</f>
        <v>0.92291270219901755</v>
      </c>
      <c r="AD30">
        <f>'AEO 2023 Table 1'!AD$30/'AEO 2022 Table 1'!$C$30</f>
        <v>0.928875976264118</v>
      </c>
      <c r="AE30">
        <f>'AEO 2023 Table 1'!AE$30/'AEO 2022 Table 1'!$C$30</f>
        <v>0.93885884082986248</v>
      </c>
    </row>
    <row r="31" spans="1:33" x14ac:dyDescent="0.75">
      <c r="A31" t="s">
        <v>1031</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c r="AC31">
        <v>1</v>
      </c>
      <c r="AD31">
        <v>1</v>
      </c>
      <c r="AE31">
        <v>1</v>
      </c>
    </row>
    <row r="32" spans="1:33" x14ac:dyDescent="0.75">
      <c r="A32" s="7" t="s">
        <v>1032</v>
      </c>
      <c r="B32" s="7">
        <v>0</v>
      </c>
      <c r="C32" s="7">
        <v>0</v>
      </c>
      <c r="D32" s="7">
        <v>0</v>
      </c>
      <c r="E32" s="7">
        <v>0</v>
      </c>
      <c r="F32" s="7">
        <v>0</v>
      </c>
      <c r="G32" s="7">
        <v>0</v>
      </c>
      <c r="H32" s="7">
        <v>0</v>
      </c>
      <c r="I32" s="7">
        <v>0</v>
      </c>
      <c r="J32" s="7">
        <v>0</v>
      </c>
      <c r="K32" s="7">
        <v>0</v>
      </c>
      <c r="L32" s="7">
        <v>0</v>
      </c>
      <c r="M32" s="7">
        <v>0</v>
      </c>
      <c r="N32" s="7">
        <v>0</v>
      </c>
      <c r="O32" s="7">
        <v>0</v>
      </c>
      <c r="P32" s="7">
        <v>0</v>
      </c>
      <c r="Q32" s="7">
        <v>0</v>
      </c>
      <c r="R32" s="7">
        <v>0</v>
      </c>
      <c r="S32" s="7">
        <v>0</v>
      </c>
      <c r="T32" s="7">
        <v>0</v>
      </c>
      <c r="U32" s="7">
        <v>0</v>
      </c>
      <c r="V32" s="7">
        <v>0</v>
      </c>
      <c r="W32" s="7">
        <v>0</v>
      </c>
      <c r="X32" s="7">
        <v>0</v>
      </c>
      <c r="Y32" s="7">
        <v>0</v>
      </c>
      <c r="Z32" s="7">
        <v>0</v>
      </c>
      <c r="AA32" s="7">
        <v>0</v>
      </c>
      <c r="AB32" s="7">
        <v>0</v>
      </c>
      <c r="AC32" s="7">
        <v>0</v>
      </c>
      <c r="AD32" s="7">
        <v>0</v>
      </c>
      <c r="AE32" s="7">
        <v>0</v>
      </c>
      <c r="AF32" s="7"/>
      <c r="AG32" s="7"/>
    </row>
    <row r="33" spans="1:33" x14ac:dyDescent="0.75">
      <c r="A33" s="7" t="s">
        <v>1033</v>
      </c>
      <c r="B33" s="7">
        <v>0</v>
      </c>
      <c r="C33" s="7">
        <v>0</v>
      </c>
      <c r="D33" s="7">
        <v>0</v>
      </c>
      <c r="E33" s="7">
        <v>0</v>
      </c>
      <c r="F33" s="7">
        <v>0</v>
      </c>
      <c r="G33" s="7">
        <v>0</v>
      </c>
      <c r="H33" s="7">
        <v>0</v>
      </c>
      <c r="I33" s="7">
        <v>0</v>
      </c>
      <c r="J33" s="7">
        <v>0</v>
      </c>
      <c r="K33" s="7">
        <v>0</v>
      </c>
      <c r="L33" s="7">
        <v>0</v>
      </c>
      <c r="M33" s="7">
        <v>0</v>
      </c>
      <c r="N33" s="7">
        <v>0</v>
      </c>
      <c r="O33" s="7">
        <v>0</v>
      </c>
      <c r="P33" s="7">
        <v>0</v>
      </c>
      <c r="Q33" s="7">
        <v>0</v>
      </c>
      <c r="R33" s="7">
        <v>0</v>
      </c>
      <c r="S33" s="7">
        <v>0</v>
      </c>
      <c r="T33" s="7">
        <v>0</v>
      </c>
      <c r="U33" s="7">
        <v>0</v>
      </c>
      <c r="V33" s="7">
        <v>0</v>
      </c>
      <c r="W33" s="7">
        <v>0</v>
      </c>
      <c r="X33" s="7">
        <v>0</v>
      </c>
      <c r="Y33" s="7">
        <v>0</v>
      </c>
      <c r="Z33" s="7">
        <v>0</v>
      </c>
      <c r="AA33" s="7">
        <v>0</v>
      </c>
      <c r="AB33" s="7">
        <v>0</v>
      </c>
      <c r="AC33" s="7">
        <v>0</v>
      </c>
      <c r="AD33" s="7">
        <v>0</v>
      </c>
      <c r="AE33" s="7">
        <v>0</v>
      </c>
      <c r="AF33" s="7"/>
      <c r="AG33" s="7"/>
    </row>
    <row r="34" spans="1:33" x14ac:dyDescent="0.75">
      <c r="A34" s="7" t="s">
        <v>1034</v>
      </c>
      <c r="B34" s="7">
        <v>0</v>
      </c>
      <c r="C34" s="7">
        <v>0</v>
      </c>
      <c r="D34" s="7">
        <v>0</v>
      </c>
      <c r="E34" s="7">
        <v>0</v>
      </c>
      <c r="F34" s="7">
        <v>0</v>
      </c>
      <c r="G34" s="7">
        <v>0</v>
      </c>
      <c r="H34" s="7">
        <v>0</v>
      </c>
      <c r="I34" s="7">
        <v>0</v>
      </c>
      <c r="J34" s="7">
        <v>0</v>
      </c>
      <c r="K34" s="7">
        <v>0</v>
      </c>
      <c r="L34" s="7">
        <v>0</v>
      </c>
      <c r="M34" s="7">
        <v>0</v>
      </c>
      <c r="N34" s="7">
        <v>0</v>
      </c>
      <c r="O34" s="7">
        <v>0</v>
      </c>
      <c r="P34" s="7">
        <v>0</v>
      </c>
      <c r="Q34" s="7">
        <v>0</v>
      </c>
      <c r="R34" s="7">
        <v>0</v>
      </c>
      <c r="S34" s="7">
        <v>0</v>
      </c>
      <c r="T34" s="7">
        <v>0</v>
      </c>
      <c r="U34" s="7">
        <v>0</v>
      </c>
      <c r="V34" s="7">
        <v>0</v>
      </c>
      <c r="W34" s="7">
        <v>0</v>
      </c>
      <c r="X34" s="7">
        <v>0</v>
      </c>
      <c r="Y34" s="7">
        <v>0</v>
      </c>
      <c r="Z34" s="7">
        <v>0</v>
      </c>
      <c r="AA34" s="7">
        <v>0</v>
      </c>
      <c r="AB34" s="7">
        <v>0</v>
      </c>
      <c r="AC34" s="7">
        <v>0</v>
      </c>
      <c r="AD34" s="7">
        <v>0</v>
      </c>
      <c r="AE34" s="7">
        <v>0</v>
      </c>
      <c r="AF34" s="7"/>
      <c r="AG34" s="7"/>
    </row>
    <row r="35" spans="1:33" x14ac:dyDescent="0.75">
      <c r="A35" t="s">
        <v>1035</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c r="AC35">
        <v>1</v>
      </c>
      <c r="AD35">
        <v>1</v>
      </c>
      <c r="AE35">
        <v>1</v>
      </c>
    </row>
    <row r="36" spans="1:33" x14ac:dyDescent="0.75">
      <c r="A36" t="s">
        <v>1036</v>
      </c>
      <c r="B36">
        <f>'AEO 2022 Table 1'!C$29/'AEO 2022 Table 1'!$C$29</f>
        <v>1</v>
      </c>
      <c r="C36">
        <f>'AEO 2023 Table 1'!C$29/'AEO 2022 Table 1'!$C$29</f>
        <v>1.0090954892785442</v>
      </c>
      <c r="D36">
        <f>'AEO 2023 Table 1'!D$29/'AEO 2022 Table 1'!$C$29</f>
        <v>1.0261617773163665</v>
      </c>
      <c r="E36">
        <f>'AEO 2023 Table 1'!E$29/'AEO 2022 Table 1'!$C$29</f>
        <v>0.8545631391588232</v>
      </c>
      <c r="F36">
        <f>'AEO 2023 Table 1'!F$29/'AEO 2022 Table 1'!$C$29</f>
        <v>0.85541259432854022</v>
      </c>
      <c r="G36">
        <f>'AEO 2023 Table 1'!G$29/'AEO 2022 Table 1'!$C$29</f>
        <v>0.85578982367125789</v>
      </c>
      <c r="H36">
        <f>'AEO 2023 Table 1'!H$29/'AEO 2022 Table 1'!$C$29</f>
        <v>0.84666804072295732</v>
      </c>
      <c r="I36">
        <f>'AEO 2023 Table 1'!I$29/'AEO 2022 Table 1'!$C$29</f>
        <v>0.82991791285938576</v>
      </c>
      <c r="J36">
        <f>'AEO 2023 Table 1'!J$29/'AEO 2022 Table 1'!$C$29</f>
        <v>0.8137818694120651</v>
      </c>
      <c r="K36">
        <f>'AEO 2023 Table 1'!K$29/'AEO 2022 Table 1'!$C$29</f>
        <v>0.80671162884195047</v>
      </c>
      <c r="L36">
        <f>'AEO 2023 Table 1'!L$29/'AEO 2022 Table 1'!$C$29</f>
        <v>0.80710879048270945</v>
      </c>
      <c r="M36">
        <f>'AEO 2023 Table 1'!M$29/'AEO 2022 Table 1'!$C$29</f>
        <v>0.79324863378940136</v>
      </c>
      <c r="N36">
        <f>'AEO 2023 Table 1'!N$29/'AEO 2022 Table 1'!$C$29</f>
        <v>0.78841059855418749</v>
      </c>
      <c r="O36">
        <f>'AEO 2023 Table 1'!O$29/'AEO 2022 Table 1'!$C$29</f>
        <v>0.78133972184690137</v>
      </c>
      <c r="P36">
        <f>'AEO 2023 Table 1'!P$29/'AEO 2022 Table 1'!$C$29</f>
        <v>0.78072500129347899</v>
      </c>
      <c r="Q36">
        <f>'AEO 2023 Table 1'!Q$29/'AEO 2022 Table 1'!$C$29</f>
        <v>0.7783216750594365</v>
      </c>
      <c r="R36">
        <f>'AEO 2023 Table 1'!R$29/'AEO 2022 Table 1'!$C$29</f>
        <v>0.78060477136805972</v>
      </c>
      <c r="S36">
        <f>'AEO 2023 Table 1'!S$29/'AEO 2022 Table 1'!$C$29</f>
        <v>0.78140375965550213</v>
      </c>
      <c r="T36">
        <f>'AEO 2023 Table 1'!T$29/'AEO 2022 Table 1'!$C$29</f>
        <v>0.78305771630148158</v>
      </c>
      <c r="U36">
        <f>'AEO 2023 Table 1'!U$29/'AEO 2022 Table 1'!$C$29</f>
        <v>0.78507999636977721</v>
      </c>
      <c r="V36">
        <f>'AEO 2023 Table 1'!V$29/'AEO 2022 Table 1'!$C$29</f>
        <v>0.78952426269581366</v>
      </c>
      <c r="W36">
        <f>'AEO 2023 Table 1'!W$29/'AEO 2022 Table 1'!$C$29</f>
        <v>0.78852913211381603</v>
      </c>
      <c r="X36">
        <f>'AEO 2023 Table 1'!X$29/'AEO 2022 Table 1'!$C$29</f>
        <v>0.78994708186915774</v>
      </c>
      <c r="Y36">
        <f>'AEO 2023 Table 1'!Y$29/'AEO 2022 Table 1'!$C$29</f>
        <v>0.78820067328758237</v>
      </c>
      <c r="Z36">
        <f>'AEO 2023 Table 1'!Z$29/'AEO 2022 Table 1'!$C$29</f>
        <v>0.79465046806973083</v>
      </c>
      <c r="AA36">
        <f>'AEO 2023 Table 1'!AA$29/'AEO 2022 Table 1'!$C$29</f>
        <v>0.78932706017263921</v>
      </c>
      <c r="AB36">
        <f>'AEO 2023 Table 1'!AB$29/'AEO 2022 Table 1'!$C$29</f>
        <v>0.79392569578563366</v>
      </c>
      <c r="AC36">
        <f>'AEO 2023 Table 1'!AC$29/'AEO 2022 Table 1'!$C$29</f>
        <v>0.80932933330279888</v>
      </c>
      <c r="AD36">
        <f>'AEO 2023 Table 1'!AD$29/'AEO 2022 Table 1'!$C$29</f>
        <v>0.81354904320728494</v>
      </c>
      <c r="AE36">
        <f>'AEO 2023 Table 1'!AE$29/'AEO 2022 Table 1'!$C$29</f>
        <v>0.79891279916470959</v>
      </c>
    </row>
    <row r="37" spans="1:33" x14ac:dyDescent="0.75">
      <c r="A37" t="s">
        <v>1037</v>
      </c>
      <c r="B37">
        <f>'AEO 2022 Table 1'!C$29/'AEO 2022 Table 1'!$C$29</f>
        <v>1</v>
      </c>
      <c r="C37">
        <f>'AEO 2023 Table 1'!C$29/'AEO 2022 Table 1'!$C$29</f>
        <v>1.0090954892785442</v>
      </c>
      <c r="D37">
        <f>'AEO 2023 Table 1'!D$29/'AEO 2022 Table 1'!$C$29</f>
        <v>1.0261617773163665</v>
      </c>
      <c r="E37">
        <f>'AEO 2023 Table 1'!E$29/'AEO 2022 Table 1'!$C$29</f>
        <v>0.8545631391588232</v>
      </c>
      <c r="F37">
        <f>'AEO 2023 Table 1'!F$29/'AEO 2022 Table 1'!$C$29</f>
        <v>0.85541259432854022</v>
      </c>
      <c r="G37">
        <f>'AEO 2023 Table 1'!G$29/'AEO 2022 Table 1'!$C$29</f>
        <v>0.85578982367125789</v>
      </c>
      <c r="H37">
        <f>'AEO 2023 Table 1'!H$29/'AEO 2022 Table 1'!$C$29</f>
        <v>0.84666804072295732</v>
      </c>
      <c r="I37">
        <f>'AEO 2023 Table 1'!I$29/'AEO 2022 Table 1'!$C$29</f>
        <v>0.82991791285938576</v>
      </c>
      <c r="J37">
        <f>'AEO 2023 Table 1'!J$29/'AEO 2022 Table 1'!$C$29</f>
        <v>0.8137818694120651</v>
      </c>
      <c r="K37">
        <f>'AEO 2023 Table 1'!K$29/'AEO 2022 Table 1'!$C$29</f>
        <v>0.80671162884195047</v>
      </c>
      <c r="L37">
        <f>'AEO 2023 Table 1'!L$29/'AEO 2022 Table 1'!$C$29</f>
        <v>0.80710879048270945</v>
      </c>
      <c r="M37">
        <f>'AEO 2023 Table 1'!M$29/'AEO 2022 Table 1'!$C$29</f>
        <v>0.79324863378940136</v>
      </c>
      <c r="N37">
        <f>'AEO 2023 Table 1'!N$29/'AEO 2022 Table 1'!$C$29</f>
        <v>0.78841059855418749</v>
      </c>
      <c r="O37">
        <f>'AEO 2023 Table 1'!O$29/'AEO 2022 Table 1'!$C$29</f>
        <v>0.78133972184690137</v>
      </c>
      <c r="P37">
        <f>'AEO 2023 Table 1'!P$29/'AEO 2022 Table 1'!$C$29</f>
        <v>0.78072500129347899</v>
      </c>
      <c r="Q37">
        <f>'AEO 2023 Table 1'!Q$29/'AEO 2022 Table 1'!$C$29</f>
        <v>0.7783216750594365</v>
      </c>
      <c r="R37">
        <f>'AEO 2023 Table 1'!R$29/'AEO 2022 Table 1'!$C$29</f>
        <v>0.78060477136805972</v>
      </c>
      <c r="S37">
        <f>'AEO 2023 Table 1'!S$29/'AEO 2022 Table 1'!$C$29</f>
        <v>0.78140375965550213</v>
      </c>
      <c r="T37">
        <f>'AEO 2023 Table 1'!T$29/'AEO 2022 Table 1'!$C$29</f>
        <v>0.78305771630148158</v>
      </c>
      <c r="U37">
        <f>'AEO 2023 Table 1'!U$29/'AEO 2022 Table 1'!$C$29</f>
        <v>0.78507999636977721</v>
      </c>
      <c r="V37">
        <f>'AEO 2023 Table 1'!V$29/'AEO 2022 Table 1'!$C$29</f>
        <v>0.78952426269581366</v>
      </c>
      <c r="W37">
        <f>'AEO 2023 Table 1'!W$29/'AEO 2022 Table 1'!$C$29</f>
        <v>0.78852913211381603</v>
      </c>
      <c r="X37">
        <f>'AEO 2023 Table 1'!X$29/'AEO 2022 Table 1'!$C$29</f>
        <v>0.78994708186915774</v>
      </c>
      <c r="Y37">
        <f>'AEO 2023 Table 1'!Y$29/'AEO 2022 Table 1'!$C$29</f>
        <v>0.78820067328758237</v>
      </c>
      <c r="Z37">
        <f>'AEO 2023 Table 1'!Z$29/'AEO 2022 Table 1'!$C$29</f>
        <v>0.79465046806973083</v>
      </c>
      <c r="AA37">
        <f>'AEO 2023 Table 1'!AA$29/'AEO 2022 Table 1'!$C$29</f>
        <v>0.78932706017263921</v>
      </c>
      <c r="AB37">
        <f>'AEO 2023 Table 1'!AB$29/'AEO 2022 Table 1'!$C$29</f>
        <v>0.79392569578563366</v>
      </c>
      <c r="AC37">
        <f>'AEO 2023 Table 1'!AC$29/'AEO 2022 Table 1'!$C$29</f>
        <v>0.80932933330279888</v>
      </c>
      <c r="AD37">
        <f>'AEO 2023 Table 1'!AD$29/'AEO 2022 Table 1'!$C$29</f>
        <v>0.81354904320728494</v>
      </c>
      <c r="AE37">
        <f>'AEO 2023 Table 1'!AE$29/'AEO 2022 Table 1'!$C$29</f>
        <v>0.79891279916470959</v>
      </c>
    </row>
    <row r="38" spans="1:33" x14ac:dyDescent="0.75">
      <c r="A38" t="s">
        <v>1038</v>
      </c>
      <c r="B38">
        <f>'AEO 2022 Table 1'!C$29/'AEO 2022 Table 1'!$C$29</f>
        <v>1</v>
      </c>
      <c r="C38">
        <f>'AEO 2023 Table 1'!C$29/'AEO 2022 Table 1'!$C$29</f>
        <v>1.0090954892785442</v>
      </c>
      <c r="D38">
        <f>'AEO 2023 Table 1'!D$29/'AEO 2022 Table 1'!$C$29</f>
        <v>1.0261617773163665</v>
      </c>
      <c r="E38">
        <f>'AEO 2023 Table 1'!E$29/'AEO 2022 Table 1'!$C$29</f>
        <v>0.8545631391588232</v>
      </c>
      <c r="F38">
        <f>'AEO 2023 Table 1'!F$29/'AEO 2022 Table 1'!$C$29</f>
        <v>0.85541259432854022</v>
      </c>
      <c r="G38">
        <f>'AEO 2023 Table 1'!G$29/'AEO 2022 Table 1'!$C$29</f>
        <v>0.85578982367125789</v>
      </c>
      <c r="H38">
        <f>'AEO 2023 Table 1'!H$29/'AEO 2022 Table 1'!$C$29</f>
        <v>0.84666804072295732</v>
      </c>
      <c r="I38">
        <f>'AEO 2023 Table 1'!I$29/'AEO 2022 Table 1'!$C$29</f>
        <v>0.82991791285938576</v>
      </c>
      <c r="J38">
        <f>'AEO 2023 Table 1'!J$29/'AEO 2022 Table 1'!$C$29</f>
        <v>0.8137818694120651</v>
      </c>
      <c r="K38">
        <f>'AEO 2023 Table 1'!K$29/'AEO 2022 Table 1'!$C$29</f>
        <v>0.80671162884195047</v>
      </c>
      <c r="L38">
        <f>'AEO 2023 Table 1'!L$29/'AEO 2022 Table 1'!$C$29</f>
        <v>0.80710879048270945</v>
      </c>
      <c r="M38">
        <f>'AEO 2023 Table 1'!M$29/'AEO 2022 Table 1'!$C$29</f>
        <v>0.79324863378940136</v>
      </c>
      <c r="N38">
        <f>'AEO 2023 Table 1'!N$29/'AEO 2022 Table 1'!$C$29</f>
        <v>0.78841059855418749</v>
      </c>
      <c r="O38">
        <f>'AEO 2023 Table 1'!O$29/'AEO 2022 Table 1'!$C$29</f>
        <v>0.78133972184690137</v>
      </c>
      <c r="P38">
        <f>'AEO 2023 Table 1'!P$29/'AEO 2022 Table 1'!$C$29</f>
        <v>0.78072500129347899</v>
      </c>
      <c r="Q38">
        <f>'AEO 2023 Table 1'!Q$29/'AEO 2022 Table 1'!$C$29</f>
        <v>0.7783216750594365</v>
      </c>
      <c r="R38">
        <f>'AEO 2023 Table 1'!R$29/'AEO 2022 Table 1'!$C$29</f>
        <v>0.78060477136805972</v>
      </c>
      <c r="S38">
        <f>'AEO 2023 Table 1'!S$29/'AEO 2022 Table 1'!$C$29</f>
        <v>0.78140375965550213</v>
      </c>
      <c r="T38">
        <f>'AEO 2023 Table 1'!T$29/'AEO 2022 Table 1'!$C$29</f>
        <v>0.78305771630148158</v>
      </c>
      <c r="U38">
        <f>'AEO 2023 Table 1'!U$29/'AEO 2022 Table 1'!$C$29</f>
        <v>0.78507999636977721</v>
      </c>
      <c r="V38">
        <f>'AEO 2023 Table 1'!V$29/'AEO 2022 Table 1'!$C$29</f>
        <v>0.78952426269581366</v>
      </c>
      <c r="W38">
        <f>'AEO 2023 Table 1'!W$29/'AEO 2022 Table 1'!$C$29</f>
        <v>0.78852913211381603</v>
      </c>
      <c r="X38">
        <f>'AEO 2023 Table 1'!X$29/'AEO 2022 Table 1'!$C$29</f>
        <v>0.78994708186915774</v>
      </c>
      <c r="Y38">
        <f>'AEO 2023 Table 1'!Y$29/'AEO 2022 Table 1'!$C$29</f>
        <v>0.78820067328758237</v>
      </c>
      <c r="Z38">
        <f>'AEO 2023 Table 1'!Z$29/'AEO 2022 Table 1'!$C$29</f>
        <v>0.79465046806973083</v>
      </c>
      <c r="AA38">
        <f>'AEO 2023 Table 1'!AA$29/'AEO 2022 Table 1'!$C$29</f>
        <v>0.78932706017263921</v>
      </c>
      <c r="AB38">
        <f>'AEO 2023 Table 1'!AB$29/'AEO 2022 Table 1'!$C$29</f>
        <v>0.79392569578563366</v>
      </c>
      <c r="AC38">
        <f>'AEO 2023 Table 1'!AC$29/'AEO 2022 Table 1'!$C$29</f>
        <v>0.80932933330279888</v>
      </c>
      <c r="AD38">
        <f>'AEO 2023 Table 1'!AD$29/'AEO 2022 Table 1'!$C$29</f>
        <v>0.81354904320728494</v>
      </c>
      <c r="AE38">
        <f>'AEO 2023 Table 1'!AE$29/'AEO 2022 Table 1'!$C$29</f>
        <v>0.79891279916470959</v>
      </c>
    </row>
    <row r="39" spans="1:33" x14ac:dyDescent="0.75">
      <c r="A39" t="s">
        <v>1039</v>
      </c>
      <c r="B39">
        <f>'AEO 2022 Table 1'!C$29/'AEO 2022 Table 1'!$C$29</f>
        <v>1</v>
      </c>
      <c r="C39">
        <f>'AEO 2023 Table 1'!C$29/'AEO 2022 Table 1'!$C$29</f>
        <v>1.0090954892785442</v>
      </c>
      <c r="D39">
        <f>'AEO 2023 Table 1'!D$29/'AEO 2022 Table 1'!$C$29</f>
        <v>1.0261617773163665</v>
      </c>
      <c r="E39">
        <f>'AEO 2023 Table 1'!E$29/'AEO 2022 Table 1'!$C$29</f>
        <v>0.8545631391588232</v>
      </c>
      <c r="F39">
        <f>'AEO 2023 Table 1'!F$29/'AEO 2022 Table 1'!$C$29</f>
        <v>0.85541259432854022</v>
      </c>
      <c r="G39">
        <f>'AEO 2023 Table 1'!G$29/'AEO 2022 Table 1'!$C$29</f>
        <v>0.85578982367125789</v>
      </c>
      <c r="H39">
        <f>'AEO 2023 Table 1'!H$29/'AEO 2022 Table 1'!$C$29</f>
        <v>0.84666804072295732</v>
      </c>
      <c r="I39">
        <f>'AEO 2023 Table 1'!I$29/'AEO 2022 Table 1'!$C$29</f>
        <v>0.82991791285938576</v>
      </c>
      <c r="J39">
        <f>'AEO 2023 Table 1'!J$29/'AEO 2022 Table 1'!$C$29</f>
        <v>0.8137818694120651</v>
      </c>
      <c r="K39">
        <f>'AEO 2023 Table 1'!K$29/'AEO 2022 Table 1'!$C$29</f>
        <v>0.80671162884195047</v>
      </c>
      <c r="L39">
        <f>'AEO 2023 Table 1'!L$29/'AEO 2022 Table 1'!$C$29</f>
        <v>0.80710879048270945</v>
      </c>
      <c r="M39">
        <f>'AEO 2023 Table 1'!M$29/'AEO 2022 Table 1'!$C$29</f>
        <v>0.79324863378940136</v>
      </c>
      <c r="N39">
        <f>'AEO 2023 Table 1'!N$29/'AEO 2022 Table 1'!$C$29</f>
        <v>0.78841059855418749</v>
      </c>
      <c r="O39">
        <f>'AEO 2023 Table 1'!O$29/'AEO 2022 Table 1'!$C$29</f>
        <v>0.78133972184690137</v>
      </c>
      <c r="P39">
        <f>'AEO 2023 Table 1'!P$29/'AEO 2022 Table 1'!$C$29</f>
        <v>0.78072500129347899</v>
      </c>
      <c r="Q39">
        <f>'AEO 2023 Table 1'!Q$29/'AEO 2022 Table 1'!$C$29</f>
        <v>0.7783216750594365</v>
      </c>
      <c r="R39">
        <f>'AEO 2023 Table 1'!R$29/'AEO 2022 Table 1'!$C$29</f>
        <v>0.78060477136805972</v>
      </c>
      <c r="S39">
        <f>'AEO 2023 Table 1'!S$29/'AEO 2022 Table 1'!$C$29</f>
        <v>0.78140375965550213</v>
      </c>
      <c r="T39">
        <f>'AEO 2023 Table 1'!T$29/'AEO 2022 Table 1'!$C$29</f>
        <v>0.78305771630148158</v>
      </c>
      <c r="U39">
        <f>'AEO 2023 Table 1'!U$29/'AEO 2022 Table 1'!$C$29</f>
        <v>0.78507999636977721</v>
      </c>
      <c r="V39">
        <f>'AEO 2023 Table 1'!V$29/'AEO 2022 Table 1'!$C$29</f>
        <v>0.78952426269581366</v>
      </c>
      <c r="W39">
        <f>'AEO 2023 Table 1'!W$29/'AEO 2022 Table 1'!$C$29</f>
        <v>0.78852913211381603</v>
      </c>
      <c r="X39">
        <f>'AEO 2023 Table 1'!X$29/'AEO 2022 Table 1'!$C$29</f>
        <v>0.78994708186915774</v>
      </c>
      <c r="Y39">
        <f>'AEO 2023 Table 1'!Y$29/'AEO 2022 Table 1'!$C$29</f>
        <v>0.78820067328758237</v>
      </c>
      <c r="Z39">
        <f>'AEO 2023 Table 1'!Z$29/'AEO 2022 Table 1'!$C$29</f>
        <v>0.79465046806973083</v>
      </c>
      <c r="AA39">
        <f>'AEO 2023 Table 1'!AA$29/'AEO 2022 Table 1'!$C$29</f>
        <v>0.78932706017263921</v>
      </c>
      <c r="AB39">
        <f>'AEO 2023 Table 1'!AB$29/'AEO 2022 Table 1'!$C$29</f>
        <v>0.79392569578563366</v>
      </c>
      <c r="AC39">
        <f>'AEO 2023 Table 1'!AC$29/'AEO 2022 Table 1'!$C$29</f>
        <v>0.80932933330279888</v>
      </c>
      <c r="AD39">
        <f>'AEO 2023 Table 1'!AD$29/'AEO 2022 Table 1'!$C$29</f>
        <v>0.81354904320728494</v>
      </c>
      <c r="AE39">
        <f>'AEO 2023 Table 1'!AE$29/'AEO 2022 Table 1'!$C$29</f>
        <v>0.79891279916470959</v>
      </c>
    </row>
    <row r="40" spans="1:33" x14ac:dyDescent="0.75">
      <c r="A40" t="s">
        <v>1040</v>
      </c>
      <c r="B40">
        <f>'AEO 2022 Table 1'!C$29/'AEO 2022 Table 1'!$C$29</f>
        <v>1</v>
      </c>
      <c r="C40">
        <f>'AEO 2023 Table 1'!C$29/'AEO 2022 Table 1'!$C$29</f>
        <v>1.0090954892785442</v>
      </c>
      <c r="D40">
        <f>'AEO 2023 Table 1'!D$29/'AEO 2022 Table 1'!$C$29</f>
        <v>1.0261617773163665</v>
      </c>
      <c r="E40">
        <f>'AEO 2023 Table 1'!E$29/'AEO 2022 Table 1'!$C$29</f>
        <v>0.8545631391588232</v>
      </c>
      <c r="F40">
        <f>'AEO 2023 Table 1'!F$29/'AEO 2022 Table 1'!$C$29</f>
        <v>0.85541259432854022</v>
      </c>
      <c r="G40">
        <f>'AEO 2023 Table 1'!G$29/'AEO 2022 Table 1'!$C$29</f>
        <v>0.85578982367125789</v>
      </c>
      <c r="H40">
        <f>'AEO 2023 Table 1'!H$29/'AEO 2022 Table 1'!$C$29</f>
        <v>0.84666804072295732</v>
      </c>
      <c r="I40">
        <f>'AEO 2023 Table 1'!I$29/'AEO 2022 Table 1'!$C$29</f>
        <v>0.82991791285938576</v>
      </c>
      <c r="J40">
        <f>'AEO 2023 Table 1'!J$29/'AEO 2022 Table 1'!$C$29</f>
        <v>0.8137818694120651</v>
      </c>
      <c r="K40">
        <f>'AEO 2023 Table 1'!K$29/'AEO 2022 Table 1'!$C$29</f>
        <v>0.80671162884195047</v>
      </c>
      <c r="L40">
        <f>'AEO 2023 Table 1'!L$29/'AEO 2022 Table 1'!$C$29</f>
        <v>0.80710879048270945</v>
      </c>
      <c r="M40">
        <f>'AEO 2023 Table 1'!M$29/'AEO 2022 Table 1'!$C$29</f>
        <v>0.79324863378940136</v>
      </c>
      <c r="N40">
        <f>'AEO 2023 Table 1'!N$29/'AEO 2022 Table 1'!$C$29</f>
        <v>0.78841059855418749</v>
      </c>
      <c r="O40">
        <f>'AEO 2023 Table 1'!O$29/'AEO 2022 Table 1'!$C$29</f>
        <v>0.78133972184690137</v>
      </c>
      <c r="P40">
        <f>'AEO 2023 Table 1'!P$29/'AEO 2022 Table 1'!$C$29</f>
        <v>0.78072500129347899</v>
      </c>
      <c r="Q40">
        <f>'AEO 2023 Table 1'!Q$29/'AEO 2022 Table 1'!$C$29</f>
        <v>0.7783216750594365</v>
      </c>
      <c r="R40">
        <f>'AEO 2023 Table 1'!R$29/'AEO 2022 Table 1'!$C$29</f>
        <v>0.78060477136805972</v>
      </c>
      <c r="S40">
        <f>'AEO 2023 Table 1'!S$29/'AEO 2022 Table 1'!$C$29</f>
        <v>0.78140375965550213</v>
      </c>
      <c r="T40">
        <f>'AEO 2023 Table 1'!T$29/'AEO 2022 Table 1'!$C$29</f>
        <v>0.78305771630148158</v>
      </c>
      <c r="U40">
        <f>'AEO 2023 Table 1'!U$29/'AEO 2022 Table 1'!$C$29</f>
        <v>0.78507999636977721</v>
      </c>
      <c r="V40">
        <f>'AEO 2023 Table 1'!V$29/'AEO 2022 Table 1'!$C$29</f>
        <v>0.78952426269581366</v>
      </c>
      <c r="W40">
        <f>'AEO 2023 Table 1'!W$29/'AEO 2022 Table 1'!$C$29</f>
        <v>0.78852913211381603</v>
      </c>
      <c r="X40">
        <f>'AEO 2023 Table 1'!X$29/'AEO 2022 Table 1'!$C$29</f>
        <v>0.78994708186915774</v>
      </c>
      <c r="Y40">
        <f>'AEO 2023 Table 1'!Y$29/'AEO 2022 Table 1'!$C$29</f>
        <v>0.78820067328758237</v>
      </c>
      <c r="Z40">
        <f>'AEO 2023 Table 1'!Z$29/'AEO 2022 Table 1'!$C$29</f>
        <v>0.79465046806973083</v>
      </c>
      <c r="AA40">
        <f>'AEO 2023 Table 1'!AA$29/'AEO 2022 Table 1'!$C$29</f>
        <v>0.78932706017263921</v>
      </c>
      <c r="AB40">
        <f>'AEO 2023 Table 1'!AB$29/'AEO 2022 Table 1'!$C$29</f>
        <v>0.79392569578563366</v>
      </c>
      <c r="AC40">
        <f>'AEO 2023 Table 1'!AC$29/'AEO 2022 Table 1'!$C$29</f>
        <v>0.80932933330279888</v>
      </c>
      <c r="AD40">
        <f>'AEO 2023 Table 1'!AD$29/'AEO 2022 Table 1'!$C$29</f>
        <v>0.81354904320728494</v>
      </c>
      <c r="AE40">
        <f>'AEO 2023 Table 1'!AE$29/'AEO 2022 Table 1'!$C$29</f>
        <v>0.79891279916470959</v>
      </c>
    </row>
    <row r="41" spans="1:33" x14ac:dyDescent="0.75">
      <c r="A41" s="7" t="s">
        <v>1041</v>
      </c>
      <c r="B41" s="7">
        <v>0</v>
      </c>
      <c r="C41" s="7">
        <v>0</v>
      </c>
      <c r="D41" s="7">
        <v>0</v>
      </c>
      <c r="E41" s="7">
        <v>0</v>
      </c>
      <c r="F41" s="7">
        <v>0</v>
      </c>
      <c r="G41" s="7">
        <v>0</v>
      </c>
      <c r="H41" s="7">
        <v>0</v>
      </c>
      <c r="I41" s="7">
        <v>0</v>
      </c>
      <c r="J41" s="7">
        <v>0</v>
      </c>
      <c r="K41" s="7">
        <v>0</v>
      </c>
      <c r="L41" s="7">
        <v>0</v>
      </c>
      <c r="M41" s="7">
        <v>0</v>
      </c>
      <c r="N41" s="7">
        <v>0</v>
      </c>
      <c r="O41" s="7">
        <v>0</v>
      </c>
      <c r="P41" s="7">
        <v>0</v>
      </c>
      <c r="Q41" s="7">
        <v>0</v>
      </c>
      <c r="R41" s="7">
        <v>0</v>
      </c>
      <c r="S41" s="7">
        <v>0</v>
      </c>
      <c r="T41" s="7">
        <v>0</v>
      </c>
      <c r="U41" s="7">
        <v>0</v>
      </c>
      <c r="V41" s="7">
        <v>0</v>
      </c>
      <c r="W41" s="7">
        <v>0</v>
      </c>
      <c r="X41" s="7">
        <v>0</v>
      </c>
      <c r="Y41" s="7">
        <v>0</v>
      </c>
      <c r="Z41" s="7">
        <v>0</v>
      </c>
      <c r="AA41" s="7">
        <v>0</v>
      </c>
      <c r="AB41" s="7">
        <v>0</v>
      </c>
      <c r="AC41" s="7">
        <v>0</v>
      </c>
      <c r="AD41" s="7">
        <v>0</v>
      </c>
      <c r="AE41" s="7">
        <v>0</v>
      </c>
      <c r="AF41" s="7"/>
      <c r="AG41" s="7"/>
    </row>
    <row r="42" spans="1:33" x14ac:dyDescent="0.75">
      <c r="A42" s="7" t="s">
        <v>1042</v>
      </c>
      <c r="B42" s="7">
        <v>0</v>
      </c>
      <c r="C42" s="7">
        <v>0</v>
      </c>
      <c r="D42" s="7">
        <v>0</v>
      </c>
      <c r="E42" s="7">
        <v>0</v>
      </c>
      <c r="F42" s="7">
        <v>0</v>
      </c>
      <c r="G42" s="7">
        <v>0</v>
      </c>
      <c r="H42" s="7">
        <v>0</v>
      </c>
      <c r="I42" s="7">
        <v>0</v>
      </c>
      <c r="J42" s="7">
        <v>0</v>
      </c>
      <c r="K42" s="7">
        <v>0</v>
      </c>
      <c r="L42" s="7">
        <v>0</v>
      </c>
      <c r="M42" s="7">
        <v>0</v>
      </c>
      <c r="N42" s="7">
        <v>0</v>
      </c>
      <c r="O42" s="7">
        <v>0</v>
      </c>
      <c r="P42" s="7">
        <v>0</v>
      </c>
      <c r="Q42" s="7">
        <v>0</v>
      </c>
      <c r="R42" s="7">
        <v>0</v>
      </c>
      <c r="S42" s="7">
        <v>0</v>
      </c>
      <c r="T42" s="7">
        <v>0</v>
      </c>
      <c r="U42" s="7">
        <v>0</v>
      </c>
      <c r="V42" s="7">
        <v>0</v>
      </c>
      <c r="W42" s="7">
        <v>0</v>
      </c>
      <c r="X42" s="7">
        <v>0</v>
      </c>
      <c r="Y42" s="7">
        <v>0</v>
      </c>
      <c r="Z42" s="7">
        <v>0</v>
      </c>
      <c r="AA42" s="7">
        <v>0</v>
      </c>
      <c r="AB42" s="7">
        <v>0</v>
      </c>
      <c r="AC42" s="7">
        <v>0</v>
      </c>
      <c r="AD42" s="7">
        <v>0</v>
      </c>
      <c r="AE42" s="7">
        <v>0</v>
      </c>
      <c r="AF42" s="7"/>
      <c r="AG42" s="7"/>
    </row>
    <row r="43" spans="1:33" x14ac:dyDescent="0.75">
      <c r="A43" t="s">
        <v>1043</v>
      </c>
      <c r="B43">
        <f>'AEO 2022 Table 1'!C$31/'AEO 2022 Table 1'!$C$31</f>
        <v>1</v>
      </c>
      <c r="C43">
        <f>'AEO 2023 Table 1'!C$31/'AEO 2022 Table 1'!$C$31</f>
        <v>0.87355538107635311</v>
      </c>
      <c r="D43">
        <f>'AEO 2023 Table 1'!D$31/'AEO 2022 Table 1'!$C$31</f>
        <v>1.1609329586622037</v>
      </c>
      <c r="E43">
        <f>'AEO 2023 Table 1'!E$31/'AEO 2022 Table 1'!$C$31</f>
        <v>0.50101932586746012</v>
      </c>
      <c r="F43">
        <f>'AEO 2023 Table 1'!F$31/'AEO 2022 Table 1'!$C$31</f>
        <v>0.45057302643359926</v>
      </c>
      <c r="G43">
        <f>'AEO 2023 Table 1'!G$31/'AEO 2022 Table 1'!$C$31</f>
        <v>0.48665578467429788</v>
      </c>
      <c r="H43">
        <f>'AEO 2023 Table 1'!H$31/'AEO 2022 Table 1'!$C$31</f>
        <v>0.53471562185765253</v>
      </c>
      <c r="I43">
        <f>'AEO 2023 Table 1'!I$31/'AEO 2022 Table 1'!$C$31</f>
        <v>0.61057275094012153</v>
      </c>
      <c r="J43">
        <f>'AEO 2023 Table 1'!J$31/'AEO 2022 Table 1'!$C$31</f>
        <v>0.58248963455790181</v>
      </c>
      <c r="K43">
        <f>'AEO 2023 Table 1'!K$31/'AEO 2022 Table 1'!$C$31</f>
        <v>0.60706365276802077</v>
      </c>
      <c r="L43">
        <f>'AEO 2023 Table 1'!L$31/'AEO 2022 Table 1'!$C$31</f>
        <v>0.57485846522583584</v>
      </c>
      <c r="M43">
        <f>'AEO 2023 Table 1'!M$31/'AEO 2022 Table 1'!$C$31</f>
        <v>0.58650495199526154</v>
      </c>
      <c r="N43">
        <f>'AEO 2023 Table 1'!N$31/'AEO 2022 Table 1'!$C$31</f>
        <v>0.58313704423047785</v>
      </c>
      <c r="O43">
        <f>'AEO 2023 Table 1'!O$31/'AEO 2022 Table 1'!$C$31</f>
        <v>0.58679422014683802</v>
      </c>
      <c r="P43">
        <f>'AEO 2023 Table 1'!P$31/'AEO 2022 Table 1'!$C$31</f>
        <v>0.57144923343939835</v>
      </c>
      <c r="Q43">
        <f>'AEO 2023 Table 1'!Q$31/'AEO 2022 Table 1'!$C$31</f>
        <v>0.5647788476107829</v>
      </c>
      <c r="R43">
        <f>'AEO 2023 Table 1'!R$31/'AEO 2022 Table 1'!$C$31</f>
        <v>0.5642760720139951</v>
      </c>
      <c r="S43">
        <f>'AEO 2023 Table 1'!S$31/'AEO 2022 Table 1'!$C$31</f>
        <v>0.57515117704588348</v>
      </c>
      <c r="T43">
        <f>'AEO 2023 Table 1'!T$31/'AEO 2022 Table 1'!$C$31</f>
        <v>0.58225546510186377</v>
      </c>
      <c r="U43">
        <f>'AEO 2023 Table 1'!U$31/'AEO 2022 Table 1'!$C$31</f>
        <v>0.58753805253660618</v>
      </c>
      <c r="V43">
        <f>'AEO 2023 Table 1'!V$31/'AEO 2022 Table 1'!$C$31</f>
        <v>0.57180048762345559</v>
      </c>
      <c r="W43">
        <f>'AEO 2023 Table 1'!W$31/'AEO 2022 Table 1'!$C$31</f>
        <v>0.57068818270727451</v>
      </c>
      <c r="X43">
        <f>'AEO 2023 Table 1'!X$31/'AEO 2022 Table 1'!$C$31</f>
        <v>0.5621857652520077</v>
      </c>
      <c r="Y43">
        <f>'AEO 2023 Table 1'!Y$31/'AEO 2022 Table 1'!$C$31</f>
        <v>0.55603192969406456</v>
      </c>
      <c r="Z43">
        <f>'AEO 2023 Table 1'!Z$31/'AEO 2022 Table 1'!$C$31</f>
        <v>0.54587999504111739</v>
      </c>
      <c r="AA43">
        <f>'AEO 2023 Table 1'!AA$31/'AEO 2022 Table 1'!$C$31</f>
        <v>0.53396490213094205</v>
      </c>
      <c r="AB43">
        <f>'AEO 2023 Table 1'!AB$31/'AEO 2022 Table 1'!$C$31</f>
        <v>0.53271829414438621</v>
      </c>
      <c r="AC43">
        <f>'AEO 2023 Table 1'!AC$31/'AEO 2022 Table 1'!$C$31</f>
        <v>0.54289089080816022</v>
      </c>
      <c r="AD43">
        <f>'AEO 2023 Table 1'!AD$31/'AEO 2022 Table 1'!$C$31</f>
        <v>0.54816314723748916</v>
      </c>
      <c r="AE43">
        <f>'AEO 2023 Table 1'!AE$31/'AEO 2022 Table 1'!$C$31</f>
        <v>0.54155474744135446</v>
      </c>
    </row>
    <row r="44" spans="1:33" x14ac:dyDescent="0.75">
      <c r="A44" t="s">
        <v>1044</v>
      </c>
      <c r="B44">
        <f>'AEO 2022 Table 1'!C$28/'AEO 2022 Table 1'!$C$28</f>
        <v>1</v>
      </c>
      <c r="C44">
        <f>'AEO 2023 Table 1'!C$28/'AEO 2022 Table 1'!$C$28</f>
        <v>0.99819386059896253</v>
      </c>
      <c r="D44">
        <f>'AEO 2023 Table 1'!D$28/'AEO 2022 Table 1'!$C$28</f>
        <v>1.0669634034929862</v>
      </c>
      <c r="E44">
        <f>'AEO 2023 Table 1'!E$28/'AEO 2022 Table 1'!$C$28</f>
        <v>1.1152382641913712</v>
      </c>
      <c r="F44">
        <f>'AEO 2023 Table 1'!F$28/'AEO 2022 Table 1'!$C$28</f>
        <v>1.1050685044162147</v>
      </c>
      <c r="G44">
        <f>'AEO 2023 Table 1'!G$28/'AEO 2022 Table 1'!$C$28</f>
        <v>1.0833587304764201</v>
      </c>
      <c r="H44">
        <f>'AEO 2023 Table 1'!H$28/'AEO 2022 Table 1'!$C$28</f>
        <v>1.1018862622430656</v>
      </c>
      <c r="I44">
        <f>'AEO 2023 Table 1'!I$28/'AEO 2022 Table 1'!$C$28</f>
        <v>1.0996716024849995</v>
      </c>
      <c r="J44">
        <f>'AEO 2023 Table 1'!J$28/'AEO 2022 Table 1'!$C$28</f>
        <v>1.1185342249156551</v>
      </c>
      <c r="K44">
        <f>'AEO 2023 Table 1'!K$28/'AEO 2022 Table 1'!$C$28</f>
        <v>1.1255654970840037</v>
      </c>
      <c r="L44">
        <f>'AEO 2023 Table 1'!L$28/'AEO 2022 Table 1'!$C$28</f>
        <v>1.1325938811621645</v>
      </c>
      <c r="M44">
        <f>'AEO 2023 Table 1'!M$28/'AEO 2022 Table 1'!$C$28</f>
        <v>1.1350250754820421</v>
      </c>
      <c r="N44">
        <f>'AEO 2023 Table 1'!N$28/'AEO 2022 Table 1'!$C$28</f>
        <v>1.121948958348902</v>
      </c>
      <c r="O44">
        <f>'AEO 2023 Table 1'!O$28/'AEO 2022 Table 1'!$C$28</f>
        <v>1.1342588651552858</v>
      </c>
      <c r="P44">
        <f>'AEO 2023 Table 1'!P$28/'AEO 2022 Table 1'!$C$28</f>
        <v>1.1445109355007872</v>
      </c>
      <c r="Q44">
        <f>'AEO 2023 Table 1'!Q$28/'AEO 2022 Table 1'!$C$28</f>
        <v>1.14395136802695</v>
      </c>
      <c r="R44">
        <f>'AEO 2023 Table 1'!R$28/'AEO 2022 Table 1'!$C$28</f>
        <v>1.1413120868090596</v>
      </c>
      <c r="S44">
        <f>'AEO 2023 Table 1'!S$28/'AEO 2022 Table 1'!$C$28</f>
        <v>1.1461498544799658</v>
      </c>
      <c r="T44">
        <f>'AEO 2023 Table 1'!T$28/'AEO 2022 Table 1'!$C$28</f>
        <v>1.1541269761847361</v>
      </c>
      <c r="U44">
        <f>'AEO 2023 Table 1'!U$28/'AEO 2022 Table 1'!$C$28</f>
        <v>1.158522505045674</v>
      </c>
      <c r="V44">
        <f>'AEO 2023 Table 1'!V$28/'AEO 2022 Table 1'!$C$28</f>
        <v>1.1834317052952341</v>
      </c>
      <c r="W44">
        <f>'AEO 2023 Table 1'!W$28/'AEO 2022 Table 1'!$C$28</f>
        <v>1.178909822488591</v>
      </c>
      <c r="X44">
        <f>'AEO 2023 Table 1'!X$28/'AEO 2022 Table 1'!$C$28</f>
        <v>1.1664534895096983</v>
      </c>
      <c r="Y44">
        <f>'AEO 2023 Table 1'!Y$28/'AEO 2022 Table 1'!$C$28</f>
        <v>1.1473475454807418</v>
      </c>
      <c r="Z44">
        <f>'AEO 2023 Table 1'!Z$28/'AEO 2022 Table 1'!$C$28</f>
        <v>1.1383677510651096</v>
      </c>
      <c r="AA44">
        <f>'AEO 2023 Table 1'!AA$28/'AEO 2022 Table 1'!$C$28</f>
        <v>1.1184624558744947</v>
      </c>
      <c r="AB44">
        <f>'AEO 2023 Table 1'!AB$28/'AEO 2022 Table 1'!$C$28</f>
        <v>1.1208156717593083</v>
      </c>
      <c r="AC44">
        <f>'AEO 2023 Table 1'!AC$28/'AEO 2022 Table 1'!$C$28</f>
        <v>1.1113932775224344</v>
      </c>
      <c r="AD44">
        <f>'AEO 2023 Table 1'!AD$28/'AEO 2022 Table 1'!$C$28</f>
        <v>1.0873380133390778</v>
      </c>
      <c r="AE44">
        <f>'AEO 2023 Table 1'!AE$28/'AEO 2022 Table 1'!$C$28</f>
        <v>1.0690971245235463</v>
      </c>
    </row>
    <row r="45" spans="1:33" x14ac:dyDescent="0.75">
      <c r="A45" t="s">
        <v>1045</v>
      </c>
      <c r="B45">
        <f>'AEO 2022 Table 1'!C$29/'AEO 2022 Table 1'!$C$29</f>
        <v>1</v>
      </c>
      <c r="C45">
        <f>'AEO 2023 Table 1'!C$29/'AEO 2022 Table 1'!$C$29</f>
        <v>1.0090954892785442</v>
      </c>
      <c r="D45">
        <f>'AEO 2023 Table 1'!D$29/'AEO 2022 Table 1'!$C$29</f>
        <v>1.0261617773163665</v>
      </c>
      <c r="E45">
        <f>'AEO 2023 Table 1'!E$29/'AEO 2022 Table 1'!$C$29</f>
        <v>0.8545631391588232</v>
      </c>
      <c r="F45">
        <f>'AEO 2023 Table 1'!F$29/'AEO 2022 Table 1'!$C$29</f>
        <v>0.85541259432854022</v>
      </c>
      <c r="G45">
        <f>'AEO 2023 Table 1'!G$29/'AEO 2022 Table 1'!$C$29</f>
        <v>0.85578982367125789</v>
      </c>
      <c r="H45">
        <f>'AEO 2023 Table 1'!H$29/'AEO 2022 Table 1'!$C$29</f>
        <v>0.84666804072295732</v>
      </c>
      <c r="I45">
        <f>'AEO 2023 Table 1'!I$29/'AEO 2022 Table 1'!$C$29</f>
        <v>0.82991791285938576</v>
      </c>
      <c r="J45">
        <f>'AEO 2023 Table 1'!J$29/'AEO 2022 Table 1'!$C$29</f>
        <v>0.8137818694120651</v>
      </c>
      <c r="K45">
        <f>'AEO 2023 Table 1'!K$29/'AEO 2022 Table 1'!$C$29</f>
        <v>0.80671162884195047</v>
      </c>
      <c r="L45">
        <f>'AEO 2023 Table 1'!L$29/'AEO 2022 Table 1'!$C$29</f>
        <v>0.80710879048270945</v>
      </c>
      <c r="M45">
        <f>'AEO 2023 Table 1'!M$29/'AEO 2022 Table 1'!$C$29</f>
        <v>0.79324863378940136</v>
      </c>
      <c r="N45">
        <f>'AEO 2023 Table 1'!N$29/'AEO 2022 Table 1'!$C$29</f>
        <v>0.78841059855418749</v>
      </c>
      <c r="O45">
        <f>'AEO 2023 Table 1'!O$29/'AEO 2022 Table 1'!$C$29</f>
        <v>0.78133972184690137</v>
      </c>
      <c r="P45">
        <f>'AEO 2023 Table 1'!P$29/'AEO 2022 Table 1'!$C$29</f>
        <v>0.78072500129347899</v>
      </c>
      <c r="Q45">
        <f>'AEO 2023 Table 1'!Q$29/'AEO 2022 Table 1'!$C$29</f>
        <v>0.7783216750594365</v>
      </c>
      <c r="R45">
        <f>'AEO 2023 Table 1'!R$29/'AEO 2022 Table 1'!$C$29</f>
        <v>0.78060477136805972</v>
      </c>
      <c r="S45">
        <f>'AEO 2023 Table 1'!S$29/'AEO 2022 Table 1'!$C$29</f>
        <v>0.78140375965550213</v>
      </c>
      <c r="T45">
        <f>'AEO 2023 Table 1'!T$29/'AEO 2022 Table 1'!$C$29</f>
        <v>0.78305771630148158</v>
      </c>
      <c r="U45">
        <f>'AEO 2023 Table 1'!U$29/'AEO 2022 Table 1'!$C$29</f>
        <v>0.78507999636977721</v>
      </c>
      <c r="V45">
        <f>'AEO 2023 Table 1'!V$29/'AEO 2022 Table 1'!$C$29</f>
        <v>0.78952426269581366</v>
      </c>
      <c r="W45">
        <f>'AEO 2023 Table 1'!W$29/'AEO 2022 Table 1'!$C$29</f>
        <v>0.78852913211381603</v>
      </c>
      <c r="X45">
        <f>'AEO 2023 Table 1'!X$29/'AEO 2022 Table 1'!$C$29</f>
        <v>0.78994708186915774</v>
      </c>
      <c r="Y45">
        <f>'AEO 2023 Table 1'!Y$29/'AEO 2022 Table 1'!$C$29</f>
        <v>0.78820067328758237</v>
      </c>
      <c r="Z45">
        <f>'AEO 2023 Table 1'!Z$29/'AEO 2022 Table 1'!$C$29</f>
        <v>0.79465046806973083</v>
      </c>
      <c r="AA45">
        <f>'AEO 2023 Table 1'!AA$29/'AEO 2022 Table 1'!$C$29</f>
        <v>0.78932706017263921</v>
      </c>
      <c r="AB45">
        <f>'AEO 2023 Table 1'!AB$29/'AEO 2022 Table 1'!$C$29</f>
        <v>0.79392569578563366</v>
      </c>
      <c r="AC45">
        <f>'AEO 2023 Table 1'!AC$29/'AEO 2022 Table 1'!$C$29</f>
        <v>0.80932933330279888</v>
      </c>
      <c r="AD45">
        <f>'AEO 2023 Table 1'!AD$29/'AEO 2022 Table 1'!$C$29</f>
        <v>0.81354904320728494</v>
      </c>
      <c r="AE45">
        <f>'AEO 2023 Table 1'!AE$29/'AEO 2022 Table 1'!$C$29</f>
        <v>0.79891279916470959</v>
      </c>
    </row>
    <row r="46" spans="1:33" x14ac:dyDescent="0.75">
      <c r="A46" t="s">
        <v>1046</v>
      </c>
      <c r="B46">
        <f>'AEO 2022 Table 1'!C$29/'AEO 2022 Table 1'!$C$29</f>
        <v>1</v>
      </c>
      <c r="C46">
        <f>'AEO 2023 Table 1'!C$29/'AEO 2022 Table 1'!$C$29</f>
        <v>1.0090954892785442</v>
      </c>
      <c r="D46">
        <f>'AEO 2023 Table 1'!D$29/'AEO 2022 Table 1'!$C$29</f>
        <v>1.0261617773163665</v>
      </c>
      <c r="E46">
        <f>'AEO 2023 Table 1'!E$29/'AEO 2022 Table 1'!$C$29</f>
        <v>0.8545631391588232</v>
      </c>
      <c r="F46">
        <f>'AEO 2023 Table 1'!F$29/'AEO 2022 Table 1'!$C$29</f>
        <v>0.85541259432854022</v>
      </c>
      <c r="G46">
        <f>'AEO 2023 Table 1'!G$29/'AEO 2022 Table 1'!$C$29</f>
        <v>0.85578982367125789</v>
      </c>
      <c r="H46">
        <f>'AEO 2023 Table 1'!H$29/'AEO 2022 Table 1'!$C$29</f>
        <v>0.84666804072295732</v>
      </c>
      <c r="I46">
        <f>'AEO 2023 Table 1'!I$29/'AEO 2022 Table 1'!$C$29</f>
        <v>0.82991791285938576</v>
      </c>
      <c r="J46">
        <f>'AEO 2023 Table 1'!J$29/'AEO 2022 Table 1'!$C$29</f>
        <v>0.8137818694120651</v>
      </c>
      <c r="K46">
        <f>'AEO 2023 Table 1'!K$29/'AEO 2022 Table 1'!$C$29</f>
        <v>0.80671162884195047</v>
      </c>
      <c r="L46">
        <f>'AEO 2023 Table 1'!L$29/'AEO 2022 Table 1'!$C$29</f>
        <v>0.80710879048270945</v>
      </c>
      <c r="M46">
        <f>'AEO 2023 Table 1'!M$29/'AEO 2022 Table 1'!$C$29</f>
        <v>0.79324863378940136</v>
      </c>
      <c r="N46">
        <f>'AEO 2023 Table 1'!N$29/'AEO 2022 Table 1'!$C$29</f>
        <v>0.78841059855418749</v>
      </c>
      <c r="O46">
        <f>'AEO 2023 Table 1'!O$29/'AEO 2022 Table 1'!$C$29</f>
        <v>0.78133972184690137</v>
      </c>
      <c r="P46">
        <f>'AEO 2023 Table 1'!P$29/'AEO 2022 Table 1'!$C$29</f>
        <v>0.78072500129347899</v>
      </c>
      <c r="Q46">
        <f>'AEO 2023 Table 1'!Q$29/'AEO 2022 Table 1'!$C$29</f>
        <v>0.7783216750594365</v>
      </c>
      <c r="R46">
        <f>'AEO 2023 Table 1'!R$29/'AEO 2022 Table 1'!$C$29</f>
        <v>0.78060477136805972</v>
      </c>
      <c r="S46">
        <f>'AEO 2023 Table 1'!S$29/'AEO 2022 Table 1'!$C$29</f>
        <v>0.78140375965550213</v>
      </c>
      <c r="T46">
        <f>'AEO 2023 Table 1'!T$29/'AEO 2022 Table 1'!$C$29</f>
        <v>0.78305771630148158</v>
      </c>
      <c r="U46">
        <f>'AEO 2023 Table 1'!U$29/'AEO 2022 Table 1'!$C$29</f>
        <v>0.78507999636977721</v>
      </c>
      <c r="V46">
        <f>'AEO 2023 Table 1'!V$29/'AEO 2022 Table 1'!$C$29</f>
        <v>0.78952426269581366</v>
      </c>
      <c r="W46">
        <f>'AEO 2023 Table 1'!W$29/'AEO 2022 Table 1'!$C$29</f>
        <v>0.78852913211381603</v>
      </c>
      <c r="X46">
        <f>'AEO 2023 Table 1'!X$29/'AEO 2022 Table 1'!$C$29</f>
        <v>0.78994708186915774</v>
      </c>
      <c r="Y46">
        <f>'AEO 2023 Table 1'!Y$29/'AEO 2022 Table 1'!$C$29</f>
        <v>0.78820067328758237</v>
      </c>
      <c r="Z46">
        <f>'AEO 2023 Table 1'!Z$29/'AEO 2022 Table 1'!$C$29</f>
        <v>0.79465046806973083</v>
      </c>
      <c r="AA46">
        <f>'AEO 2023 Table 1'!AA$29/'AEO 2022 Table 1'!$C$29</f>
        <v>0.78932706017263921</v>
      </c>
      <c r="AB46">
        <f>'AEO 2023 Table 1'!AB$29/'AEO 2022 Table 1'!$C$29</f>
        <v>0.79392569578563366</v>
      </c>
      <c r="AC46">
        <f>'AEO 2023 Table 1'!AC$29/'AEO 2022 Table 1'!$C$29</f>
        <v>0.80932933330279888</v>
      </c>
      <c r="AD46">
        <f>'AEO 2023 Table 1'!AD$29/'AEO 2022 Table 1'!$C$29</f>
        <v>0.81354904320728494</v>
      </c>
      <c r="AE46">
        <f>'AEO 2023 Table 1'!AE$29/'AEO 2022 Table 1'!$C$29</f>
        <v>0.79891279916470959</v>
      </c>
    </row>
    <row r="47" spans="1:33" x14ac:dyDescent="0.75">
      <c r="A47" t="s">
        <v>1047</v>
      </c>
      <c r="B47">
        <v>1</v>
      </c>
      <c r="C47">
        <v>1</v>
      </c>
      <c r="D47">
        <v>1</v>
      </c>
      <c r="E47">
        <v>1</v>
      </c>
      <c r="F47">
        <v>1</v>
      </c>
      <c r="G47">
        <v>1</v>
      </c>
      <c r="H47">
        <v>1</v>
      </c>
      <c r="I47">
        <v>1</v>
      </c>
      <c r="J47">
        <v>1</v>
      </c>
      <c r="K47">
        <v>1</v>
      </c>
      <c r="L47">
        <v>1</v>
      </c>
      <c r="M47">
        <v>1</v>
      </c>
      <c r="N47">
        <v>1</v>
      </c>
      <c r="O47">
        <v>1</v>
      </c>
      <c r="P47">
        <v>1</v>
      </c>
      <c r="Q47">
        <v>1</v>
      </c>
      <c r="R47">
        <v>1</v>
      </c>
      <c r="S47">
        <v>1</v>
      </c>
      <c r="T47">
        <v>1</v>
      </c>
      <c r="U47">
        <v>1</v>
      </c>
      <c r="V47">
        <v>1</v>
      </c>
      <c r="W47">
        <v>1</v>
      </c>
      <c r="X47">
        <v>1</v>
      </c>
      <c r="Y47">
        <v>1</v>
      </c>
      <c r="Z47">
        <v>1</v>
      </c>
      <c r="AA47">
        <v>1</v>
      </c>
      <c r="AB47">
        <v>1</v>
      </c>
      <c r="AC47">
        <v>1</v>
      </c>
      <c r="AD47">
        <v>1</v>
      </c>
      <c r="AE47">
        <v>1</v>
      </c>
    </row>
    <row r="48" spans="1:33" x14ac:dyDescent="0.75">
      <c r="A48" t="s">
        <v>1048</v>
      </c>
      <c r="B48">
        <v>1</v>
      </c>
      <c r="C48">
        <v>1</v>
      </c>
      <c r="D48">
        <v>1</v>
      </c>
      <c r="E48">
        <v>1</v>
      </c>
      <c r="F48">
        <v>1</v>
      </c>
      <c r="G48">
        <v>1</v>
      </c>
      <c r="H48">
        <v>1</v>
      </c>
      <c r="I48">
        <v>1</v>
      </c>
      <c r="J48">
        <v>1</v>
      </c>
      <c r="K48">
        <v>1</v>
      </c>
      <c r="L48">
        <v>1</v>
      </c>
      <c r="M48">
        <v>1</v>
      </c>
      <c r="N48">
        <v>1</v>
      </c>
      <c r="O48">
        <v>1</v>
      </c>
      <c r="P48">
        <v>1</v>
      </c>
      <c r="Q48">
        <v>1</v>
      </c>
      <c r="R48">
        <v>1</v>
      </c>
      <c r="S48">
        <v>1</v>
      </c>
      <c r="T48">
        <v>1</v>
      </c>
      <c r="U48">
        <v>1</v>
      </c>
      <c r="V48">
        <v>1</v>
      </c>
      <c r="W48">
        <v>1</v>
      </c>
      <c r="X48">
        <v>1</v>
      </c>
      <c r="Y48">
        <v>1</v>
      </c>
      <c r="Z48">
        <v>1</v>
      </c>
      <c r="AA48">
        <v>1</v>
      </c>
      <c r="AB48">
        <v>1</v>
      </c>
      <c r="AC48">
        <v>1</v>
      </c>
      <c r="AD48">
        <v>1</v>
      </c>
      <c r="AE48">
        <v>1</v>
      </c>
    </row>
    <row r="51" spans="1:33" x14ac:dyDescent="0.75">
      <c r="A51" s="196" t="s">
        <v>1057</v>
      </c>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c r="AE51" s="197"/>
      <c r="AF51" s="197"/>
      <c r="AG51" s="197"/>
    </row>
    <row r="52" spans="1:33" s="1" customFormat="1" x14ac:dyDescent="0.75">
      <c r="B52" s="1">
        <f t="shared" ref="B52:AE52" si="1">B2</f>
        <v>2021</v>
      </c>
      <c r="C52" s="1">
        <f t="shared" si="1"/>
        <v>2022</v>
      </c>
      <c r="D52" s="1">
        <f t="shared" si="1"/>
        <v>2023</v>
      </c>
      <c r="E52" s="1">
        <f t="shared" si="1"/>
        <v>2024</v>
      </c>
      <c r="F52" s="1">
        <f t="shared" si="1"/>
        <v>2025</v>
      </c>
      <c r="G52" s="1">
        <f t="shared" si="1"/>
        <v>2026</v>
      </c>
      <c r="H52" s="1">
        <f t="shared" si="1"/>
        <v>2027</v>
      </c>
      <c r="I52" s="1">
        <f t="shared" si="1"/>
        <v>2028</v>
      </c>
      <c r="J52" s="1">
        <f t="shared" si="1"/>
        <v>2029</v>
      </c>
      <c r="K52" s="1">
        <f t="shared" si="1"/>
        <v>2030</v>
      </c>
      <c r="L52" s="1">
        <f t="shared" si="1"/>
        <v>2031</v>
      </c>
      <c r="M52" s="1">
        <f t="shared" si="1"/>
        <v>2032</v>
      </c>
      <c r="N52" s="1">
        <f t="shared" si="1"/>
        <v>2033</v>
      </c>
      <c r="O52" s="1">
        <f t="shared" si="1"/>
        <v>2034</v>
      </c>
      <c r="P52" s="1">
        <f t="shared" si="1"/>
        <v>2035</v>
      </c>
      <c r="Q52" s="1">
        <f t="shared" si="1"/>
        <v>2036</v>
      </c>
      <c r="R52" s="1">
        <f t="shared" si="1"/>
        <v>2037</v>
      </c>
      <c r="S52" s="1">
        <f t="shared" si="1"/>
        <v>2038</v>
      </c>
      <c r="T52" s="1">
        <f t="shared" si="1"/>
        <v>2039</v>
      </c>
      <c r="U52" s="1">
        <f t="shared" si="1"/>
        <v>2040</v>
      </c>
      <c r="V52" s="1">
        <f t="shared" si="1"/>
        <v>2041</v>
      </c>
      <c r="W52" s="1">
        <f t="shared" si="1"/>
        <v>2042</v>
      </c>
      <c r="X52" s="1">
        <f t="shared" si="1"/>
        <v>2043</v>
      </c>
      <c r="Y52" s="1">
        <f t="shared" si="1"/>
        <v>2044</v>
      </c>
      <c r="Z52" s="1">
        <f t="shared" si="1"/>
        <v>2045</v>
      </c>
      <c r="AA52" s="1">
        <f t="shared" si="1"/>
        <v>2046</v>
      </c>
      <c r="AB52" s="1">
        <f t="shared" si="1"/>
        <v>2047</v>
      </c>
      <c r="AC52" s="1">
        <f t="shared" si="1"/>
        <v>2048</v>
      </c>
      <c r="AD52" s="1">
        <f t="shared" si="1"/>
        <v>2049</v>
      </c>
      <c r="AE52" s="1">
        <f t="shared" si="1"/>
        <v>2050</v>
      </c>
    </row>
    <row r="53" spans="1:33" x14ac:dyDescent="0.75">
      <c r="A53" s="31" t="s">
        <v>1027</v>
      </c>
      <c r="B53" s="7">
        <v>0</v>
      </c>
      <c r="C53" s="7">
        <v>0</v>
      </c>
      <c r="D53" s="7">
        <v>0</v>
      </c>
      <c r="E53" s="7">
        <v>0</v>
      </c>
      <c r="F53" s="7">
        <v>0</v>
      </c>
      <c r="G53" s="7">
        <v>0</v>
      </c>
      <c r="H53" s="7">
        <v>0</v>
      </c>
      <c r="I53" s="7">
        <v>0</v>
      </c>
      <c r="J53" s="7">
        <v>0</v>
      </c>
      <c r="K53" s="7">
        <v>0</v>
      </c>
      <c r="L53" s="7">
        <v>0</v>
      </c>
      <c r="M53" s="7">
        <v>0</v>
      </c>
      <c r="N53" s="7">
        <v>0</v>
      </c>
      <c r="O53" s="7">
        <v>0</v>
      </c>
      <c r="P53" s="7">
        <v>0</v>
      </c>
      <c r="Q53" s="7">
        <v>0</v>
      </c>
      <c r="R53" s="7">
        <v>0</v>
      </c>
      <c r="S53" s="7">
        <v>0</v>
      </c>
      <c r="T53" s="7">
        <v>0</v>
      </c>
      <c r="U53" s="7">
        <v>0</v>
      </c>
      <c r="V53" s="7">
        <v>0</v>
      </c>
      <c r="W53" s="7">
        <v>0</v>
      </c>
      <c r="X53" s="7">
        <v>0</v>
      </c>
      <c r="Y53" s="7">
        <v>0</v>
      </c>
      <c r="Z53" s="7">
        <v>0</v>
      </c>
      <c r="AA53" s="7">
        <v>0</v>
      </c>
      <c r="AB53" s="7">
        <v>0</v>
      </c>
      <c r="AC53" s="7">
        <v>0</v>
      </c>
      <c r="AD53" s="7">
        <v>0</v>
      </c>
      <c r="AE53" s="7">
        <v>0</v>
      </c>
      <c r="AF53" s="7"/>
      <c r="AG53" s="7"/>
    </row>
    <row r="54" spans="1:33" x14ac:dyDescent="0.75">
      <c r="A54" t="s">
        <v>1028</v>
      </c>
      <c r="B54">
        <f>'AEO 2022 Table 1'!C$37/'AEO 2022 Table 1'!$C$37</f>
        <v>1</v>
      </c>
      <c r="C54">
        <f>'AEO 2023 Table 1'!C$37/'AEO 2022 Table 1'!$C$37</f>
        <v>0.95614358575645064</v>
      </c>
      <c r="D54">
        <f>'AEO 2023 Table 1'!D$37/'AEO 2022 Table 1'!$C$37</f>
        <v>0.95125452705002522</v>
      </c>
      <c r="E54">
        <f>'AEO 2023 Table 1'!E$37/'AEO 2022 Table 1'!$C$37</f>
        <v>1.2336767700704581</v>
      </c>
      <c r="F54">
        <f>'AEO 2023 Table 1'!F$37/'AEO 2022 Table 1'!$C$37</f>
        <v>1.2052796686250415</v>
      </c>
      <c r="G54">
        <f>'AEO 2023 Table 1'!G$37/'AEO 2022 Table 1'!$C$37</f>
        <v>1.2639284032699047</v>
      </c>
      <c r="H54">
        <f>'AEO 2023 Table 1'!H$37/'AEO 2022 Table 1'!$C$37</f>
        <v>1.2473188281347423</v>
      </c>
      <c r="I54">
        <f>'AEO 2023 Table 1'!I$37/'AEO 2022 Table 1'!$C$37</f>
        <v>1.2526569861795447</v>
      </c>
      <c r="J54">
        <f>'AEO 2023 Table 1'!J$37/'AEO 2022 Table 1'!$C$37</f>
        <v>1.2464667819591648</v>
      </c>
      <c r="K54">
        <f>'AEO 2023 Table 1'!K$37/'AEO 2022 Table 1'!$C$37</f>
        <v>1.2470525637048744</v>
      </c>
      <c r="L54">
        <f>'AEO 2023 Table 1'!L$37/'AEO 2022 Table 1'!$C$37</f>
        <v>1.2596206885686911</v>
      </c>
      <c r="M54">
        <f>'AEO 2023 Table 1'!M$37/'AEO 2022 Table 1'!$C$37</f>
        <v>1.2830794723881569</v>
      </c>
      <c r="N54">
        <f>'AEO 2023 Table 1'!N$37/'AEO 2022 Table 1'!$C$37</f>
        <v>1.2510030402960151</v>
      </c>
      <c r="O54">
        <f>'AEO 2023 Table 1'!O$37/'AEO 2022 Table 1'!$C$37</f>
        <v>1.2401532085529461</v>
      </c>
      <c r="P54">
        <f>'AEO 2023 Table 1'!P$37/'AEO 2022 Table 1'!$C$37</f>
        <v>1.252060110082591</v>
      </c>
      <c r="Q54">
        <f>'AEO 2023 Table 1'!Q$37/'AEO 2022 Table 1'!$C$37</f>
        <v>1.235727449954491</v>
      </c>
      <c r="R54">
        <f>'AEO 2023 Table 1'!R$37/'AEO 2022 Table 1'!$C$37</f>
        <v>1.2101709462017158</v>
      </c>
      <c r="S54">
        <f>'AEO 2023 Table 1'!S$37/'AEO 2022 Table 1'!$C$37</f>
        <v>1.2295989303270303</v>
      </c>
      <c r="T54">
        <f>'AEO 2023 Table 1'!T$37/'AEO 2022 Table 1'!$C$37</f>
        <v>1.2037881440437312</v>
      </c>
      <c r="U54">
        <f>'AEO 2023 Table 1'!U$37/'AEO 2022 Table 1'!$C$37</f>
        <v>1.2083918560361482</v>
      </c>
      <c r="V54">
        <f>'AEO 2023 Table 1'!V$37/'AEO 2022 Table 1'!$C$37</f>
        <v>1.2018359819987496</v>
      </c>
      <c r="W54">
        <f>'AEO 2023 Table 1'!W$37/'AEO 2022 Table 1'!$C$37</f>
        <v>1.2085662592377115</v>
      </c>
      <c r="X54">
        <f>'AEO 2023 Table 1'!X$37/'AEO 2022 Table 1'!$C$37</f>
        <v>1.1940291089150215</v>
      </c>
      <c r="Y54">
        <f>'AEO 2023 Table 1'!Y$37/'AEO 2022 Table 1'!$C$37</f>
        <v>1.1958960663424454</v>
      </c>
      <c r="Z54">
        <f>'AEO 2023 Table 1'!Z$37/'AEO 2022 Table 1'!$C$37</f>
        <v>1.1999024584638585</v>
      </c>
      <c r="AA54">
        <f>'AEO 2023 Table 1'!AA$37/'AEO 2022 Table 1'!$C$37</f>
        <v>1.1931641932920003</v>
      </c>
      <c r="AB54">
        <f>'AEO 2023 Table 1'!AB$37/'AEO 2022 Table 1'!$C$37</f>
        <v>1.1903812862258305</v>
      </c>
      <c r="AC54">
        <f>'AEO 2023 Table 1'!AC$37/'AEO 2022 Table 1'!$C$37</f>
        <v>1.2006972577870141</v>
      </c>
      <c r="AD54">
        <f>'AEO 2023 Table 1'!AD$37/'AEO 2022 Table 1'!$C$37</f>
        <v>1.2016802173072767</v>
      </c>
      <c r="AE54">
        <f>'AEO 2023 Table 1'!AE$37/'AEO 2022 Table 1'!$C$37</f>
        <v>1.2088382927302266</v>
      </c>
    </row>
    <row r="55" spans="1:33" x14ac:dyDescent="0.75">
      <c r="A55" t="s">
        <v>1030</v>
      </c>
      <c r="B55">
        <f>'AEO 2022 Table 1'!C$36/'AEO 2022 Table 1'!$C$36</f>
        <v>1</v>
      </c>
      <c r="C55">
        <f>'AEO 2023 Table 1'!C$36/'AEO 2022 Table 1'!$C$36</f>
        <v>1.0510071557044158</v>
      </c>
      <c r="D55">
        <f>'AEO 2023 Table 1'!D$36/'AEO 2022 Table 1'!$C$36</f>
        <v>1.166852236054835</v>
      </c>
      <c r="E55">
        <f>'AEO 2023 Table 1'!E$36/'AEO 2022 Table 1'!$C$36</f>
        <v>1.1665488440559251</v>
      </c>
      <c r="F55">
        <f>'AEO 2023 Table 1'!F$36/'AEO 2022 Table 1'!$C$36</f>
        <v>1.2242924475657566</v>
      </c>
      <c r="G55">
        <f>'AEO 2023 Table 1'!G$36/'AEO 2022 Table 1'!$C$36</f>
        <v>1.2985563768710153</v>
      </c>
      <c r="H55">
        <f>'AEO 2023 Table 1'!H$36/'AEO 2022 Table 1'!$C$36</f>
        <v>1.3603953318162754</v>
      </c>
      <c r="I55">
        <f>'AEO 2023 Table 1'!I$36/'AEO 2022 Table 1'!$C$36</f>
        <v>1.4192692393994895</v>
      </c>
      <c r="J55">
        <f>'AEO 2023 Table 1'!J$36/'AEO 2022 Table 1'!$C$36</f>
        <v>1.4718001101962033</v>
      </c>
      <c r="K55">
        <f>'AEO 2023 Table 1'!K$36/'AEO 2022 Table 1'!$C$36</f>
        <v>1.5670478695596499</v>
      </c>
      <c r="L55">
        <f>'AEO 2023 Table 1'!L$36/'AEO 2022 Table 1'!$C$36</f>
        <v>1.6700309500956874</v>
      </c>
      <c r="M55">
        <f>'AEO 2023 Table 1'!M$36/'AEO 2022 Table 1'!$C$36</f>
        <v>1.7724354418245107</v>
      </c>
      <c r="N55">
        <f>'AEO 2023 Table 1'!N$36/'AEO 2022 Table 1'!$C$36</f>
        <v>1.8720309876892749</v>
      </c>
      <c r="O55">
        <f>'AEO 2023 Table 1'!O$36/'AEO 2022 Table 1'!$C$36</f>
        <v>1.9568177439383276</v>
      </c>
      <c r="P55">
        <f>'AEO 2023 Table 1'!P$36/'AEO 2022 Table 1'!$C$36</f>
        <v>2.0148199502119923</v>
      </c>
      <c r="Q55">
        <f>'AEO 2023 Table 1'!Q$36/'AEO 2022 Table 1'!$C$36</f>
        <v>2.0520528742059825</v>
      </c>
      <c r="R55">
        <f>'AEO 2023 Table 1'!R$36/'AEO 2022 Table 1'!$C$36</f>
        <v>2.0832903552476538</v>
      </c>
      <c r="S55">
        <f>'AEO 2023 Table 1'!S$36/'AEO 2022 Table 1'!$C$36</f>
        <v>2.1001803023699233</v>
      </c>
      <c r="T55">
        <f>'AEO 2023 Table 1'!T$36/'AEO 2022 Table 1'!$C$36</f>
        <v>2.1051871514516414</v>
      </c>
      <c r="U55">
        <f>'AEO 2023 Table 1'!U$36/'AEO 2022 Table 1'!$C$36</f>
        <v>2.1088156668926197</v>
      </c>
      <c r="V55">
        <f>'AEO 2023 Table 1'!V$36/'AEO 2022 Table 1'!$C$36</f>
        <v>2.1072570015119672</v>
      </c>
      <c r="W55">
        <f>'AEO 2023 Table 1'!W$36/'AEO 2022 Table 1'!$C$36</f>
        <v>2.1085661688257527</v>
      </c>
      <c r="X55">
        <f>'AEO 2023 Table 1'!X$36/'AEO 2022 Table 1'!$C$36</f>
        <v>2.1096168802256559</v>
      </c>
      <c r="Y55">
        <f>'AEO 2023 Table 1'!Y$36/'AEO 2022 Table 1'!$C$36</f>
        <v>2.1158590310957708</v>
      </c>
      <c r="Z55">
        <f>'AEO 2023 Table 1'!Z$36/'AEO 2022 Table 1'!$C$36</f>
        <v>2.1135694935086451</v>
      </c>
      <c r="AA55">
        <f>'AEO 2023 Table 1'!AA$36/'AEO 2022 Table 1'!$C$36</f>
        <v>2.1110118079108657</v>
      </c>
      <c r="AB55">
        <f>'AEO 2023 Table 1'!AB$36/'AEO 2022 Table 1'!$C$36</f>
        <v>2.1080336909031741</v>
      </c>
      <c r="AC55">
        <f>'AEO 2023 Table 1'!AC$36/'AEO 2022 Table 1'!$C$36</f>
        <v>2.1085774762719849</v>
      </c>
      <c r="AD55">
        <f>'AEO 2023 Table 1'!AD$36/'AEO 2022 Table 1'!$C$36</f>
        <v>2.1033911765500601</v>
      </c>
      <c r="AE55">
        <f>'AEO 2023 Table 1'!AE$36/'AEO 2022 Table 1'!$C$36</f>
        <v>2.1006264325212727</v>
      </c>
    </row>
    <row r="56" spans="1:33" x14ac:dyDescent="0.75">
      <c r="A56" t="s">
        <v>1031</v>
      </c>
      <c r="B56">
        <v>1</v>
      </c>
      <c r="C56">
        <v>1</v>
      </c>
      <c r="D56">
        <v>1</v>
      </c>
      <c r="E56">
        <v>1</v>
      </c>
      <c r="F56">
        <v>1</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row>
    <row r="57" spans="1:33" x14ac:dyDescent="0.75">
      <c r="A57" s="7" t="s">
        <v>1032</v>
      </c>
      <c r="B57" s="7">
        <v>0</v>
      </c>
      <c r="C57" s="7">
        <v>0</v>
      </c>
      <c r="D57" s="7">
        <v>0</v>
      </c>
      <c r="E57" s="7">
        <v>0</v>
      </c>
      <c r="F57" s="7">
        <v>0</v>
      </c>
      <c r="G57" s="7">
        <v>0</v>
      </c>
      <c r="H57" s="7">
        <v>0</v>
      </c>
      <c r="I57" s="7">
        <v>0</v>
      </c>
      <c r="J57" s="7">
        <v>0</v>
      </c>
      <c r="K57" s="7">
        <v>0</v>
      </c>
      <c r="L57" s="7">
        <v>0</v>
      </c>
      <c r="M57" s="7">
        <v>0</v>
      </c>
      <c r="N57" s="7">
        <v>0</v>
      </c>
      <c r="O57" s="7">
        <v>0</v>
      </c>
      <c r="P57" s="7">
        <v>0</v>
      </c>
      <c r="Q57" s="7">
        <v>0</v>
      </c>
      <c r="R57" s="7">
        <v>0</v>
      </c>
      <c r="S57" s="7">
        <v>0</v>
      </c>
      <c r="T57" s="7">
        <v>0</v>
      </c>
      <c r="U57" s="7">
        <v>0</v>
      </c>
      <c r="V57" s="7">
        <v>0</v>
      </c>
      <c r="W57" s="7">
        <v>0</v>
      </c>
      <c r="X57" s="7">
        <v>0</v>
      </c>
      <c r="Y57" s="7">
        <v>0</v>
      </c>
      <c r="Z57" s="7">
        <v>0</v>
      </c>
      <c r="AA57" s="7">
        <v>0</v>
      </c>
      <c r="AB57" s="7">
        <v>0</v>
      </c>
      <c r="AC57" s="7">
        <v>0</v>
      </c>
      <c r="AD57" s="7">
        <v>0</v>
      </c>
      <c r="AE57" s="7">
        <v>0</v>
      </c>
      <c r="AF57" s="7"/>
      <c r="AG57" s="7"/>
    </row>
    <row r="58" spans="1:33" x14ac:dyDescent="0.75">
      <c r="A58" s="7" t="s">
        <v>1033</v>
      </c>
      <c r="B58" s="7">
        <v>0</v>
      </c>
      <c r="C58" s="7">
        <v>0</v>
      </c>
      <c r="D58" s="7">
        <v>0</v>
      </c>
      <c r="E58" s="7">
        <v>0</v>
      </c>
      <c r="F58" s="7">
        <v>0</v>
      </c>
      <c r="G58" s="7">
        <v>0</v>
      </c>
      <c r="H58" s="7">
        <v>0</v>
      </c>
      <c r="I58" s="7">
        <v>0</v>
      </c>
      <c r="J58" s="7">
        <v>0</v>
      </c>
      <c r="K58" s="7">
        <v>0</v>
      </c>
      <c r="L58" s="7">
        <v>0</v>
      </c>
      <c r="M58" s="7">
        <v>0</v>
      </c>
      <c r="N58" s="7">
        <v>0</v>
      </c>
      <c r="O58" s="7">
        <v>0</v>
      </c>
      <c r="P58" s="7">
        <v>0</v>
      </c>
      <c r="Q58" s="7">
        <v>0</v>
      </c>
      <c r="R58" s="7">
        <v>0</v>
      </c>
      <c r="S58" s="7">
        <v>0</v>
      </c>
      <c r="T58" s="7">
        <v>0</v>
      </c>
      <c r="U58" s="7">
        <v>0</v>
      </c>
      <c r="V58" s="7">
        <v>0</v>
      </c>
      <c r="W58" s="7">
        <v>0</v>
      </c>
      <c r="X58" s="7">
        <v>0</v>
      </c>
      <c r="Y58" s="7">
        <v>0</v>
      </c>
      <c r="Z58" s="7">
        <v>0</v>
      </c>
      <c r="AA58" s="7">
        <v>0</v>
      </c>
      <c r="AB58" s="7">
        <v>0</v>
      </c>
      <c r="AC58" s="7">
        <v>0</v>
      </c>
      <c r="AD58" s="7">
        <v>0</v>
      </c>
      <c r="AE58" s="7">
        <v>0</v>
      </c>
      <c r="AF58" s="7"/>
      <c r="AG58" s="7"/>
    </row>
    <row r="59" spans="1:33" x14ac:dyDescent="0.75">
      <c r="A59" s="7" t="s">
        <v>1034</v>
      </c>
      <c r="B59" s="7">
        <v>0</v>
      </c>
      <c r="C59" s="7">
        <v>0</v>
      </c>
      <c r="D59" s="7">
        <v>0</v>
      </c>
      <c r="E59" s="7">
        <v>0</v>
      </c>
      <c r="F59" s="7">
        <v>0</v>
      </c>
      <c r="G59" s="7">
        <v>0</v>
      </c>
      <c r="H59" s="7">
        <v>0</v>
      </c>
      <c r="I59" s="7">
        <v>0</v>
      </c>
      <c r="J59" s="7">
        <v>0</v>
      </c>
      <c r="K59" s="7">
        <v>0</v>
      </c>
      <c r="L59" s="7">
        <v>0</v>
      </c>
      <c r="M59" s="7">
        <v>0</v>
      </c>
      <c r="N59" s="7">
        <v>0</v>
      </c>
      <c r="O59" s="7">
        <v>0</v>
      </c>
      <c r="P59" s="7">
        <v>0</v>
      </c>
      <c r="Q59" s="7">
        <v>0</v>
      </c>
      <c r="R59" s="7">
        <v>0</v>
      </c>
      <c r="S59" s="7">
        <v>0</v>
      </c>
      <c r="T59" s="7">
        <v>0</v>
      </c>
      <c r="U59" s="7">
        <v>0</v>
      </c>
      <c r="V59" s="7">
        <v>0</v>
      </c>
      <c r="W59" s="7">
        <v>0</v>
      </c>
      <c r="X59" s="7">
        <v>0</v>
      </c>
      <c r="Y59" s="7">
        <v>0</v>
      </c>
      <c r="Z59" s="7">
        <v>0</v>
      </c>
      <c r="AA59" s="7">
        <v>0</v>
      </c>
      <c r="AB59" s="7">
        <v>0</v>
      </c>
      <c r="AC59" s="7">
        <v>0</v>
      </c>
      <c r="AD59" s="7">
        <v>0</v>
      </c>
      <c r="AE59" s="7">
        <v>0</v>
      </c>
      <c r="AF59" s="7"/>
      <c r="AG59" s="7"/>
    </row>
    <row r="60" spans="1:33" x14ac:dyDescent="0.75">
      <c r="A60" t="s">
        <v>1035</v>
      </c>
      <c r="B60">
        <v>1</v>
      </c>
      <c r="C60">
        <v>1</v>
      </c>
      <c r="D60">
        <v>1</v>
      </c>
      <c r="E60">
        <v>1</v>
      </c>
      <c r="F60">
        <v>1</v>
      </c>
      <c r="G60">
        <v>1</v>
      </c>
      <c r="H60">
        <v>1</v>
      </c>
      <c r="I60">
        <v>1</v>
      </c>
      <c r="J60">
        <v>1</v>
      </c>
      <c r="K60">
        <v>1</v>
      </c>
      <c r="L60">
        <v>1</v>
      </c>
      <c r="M60">
        <v>1</v>
      </c>
      <c r="N60">
        <v>1</v>
      </c>
      <c r="O60">
        <v>1</v>
      </c>
      <c r="P60">
        <v>1</v>
      </c>
      <c r="Q60">
        <v>1</v>
      </c>
      <c r="R60">
        <v>1</v>
      </c>
      <c r="S60">
        <v>1</v>
      </c>
      <c r="T60">
        <v>1</v>
      </c>
      <c r="U60">
        <v>1</v>
      </c>
      <c r="V60">
        <v>1</v>
      </c>
      <c r="W60">
        <v>1</v>
      </c>
      <c r="X60">
        <v>1</v>
      </c>
      <c r="Y60">
        <v>1</v>
      </c>
      <c r="Z60">
        <v>1</v>
      </c>
      <c r="AA60">
        <v>1</v>
      </c>
      <c r="AB60">
        <v>1</v>
      </c>
      <c r="AC60">
        <v>1</v>
      </c>
      <c r="AD60">
        <v>1</v>
      </c>
      <c r="AE60">
        <v>1</v>
      </c>
    </row>
    <row r="61" spans="1:33" x14ac:dyDescent="0.75">
      <c r="A61" t="s">
        <v>1036</v>
      </c>
      <c r="B61">
        <f>'AEO 2022 Table 1'!C$35/'AEO 2022 Table 1'!$C$35</f>
        <v>1</v>
      </c>
      <c r="C61">
        <f>'AEO 2023 Table 1'!C$35/'AEO 2022 Table 1'!$C$35</f>
        <v>1.1077044433887</v>
      </c>
      <c r="D61">
        <f>'AEO 2023 Table 1'!D$35/'AEO 2022 Table 1'!$C$35</f>
        <v>1.1378415606689434</v>
      </c>
      <c r="E61">
        <f>'AEO 2023 Table 1'!E$35/'AEO 2022 Table 1'!$C$35</f>
        <v>1.2147860175632028</v>
      </c>
      <c r="F61">
        <f>'AEO 2023 Table 1'!F$35/'AEO 2022 Table 1'!$C$35</f>
        <v>1.2298353337695749</v>
      </c>
      <c r="G61">
        <f>'AEO 2023 Table 1'!G$35/'AEO 2022 Table 1'!$C$35</f>
        <v>1.2592310197593499</v>
      </c>
      <c r="H61">
        <f>'AEO 2023 Table 1'!H$35/'AEO 2022 Table 1'!$C$35</f>
        <v>1.2842058462338315</v>
      </c>
      <c r="I61">
        <f>'AEO 2023 Table 1'!I$35/'AEO 2022 Table 1'!$C$35</f>
        <v>1.2929817107240713</v>
      </c>
      <c r="J61">
        <f>'AEO 2023 Table 1'!J$35/'AEO 2022 Table 1'!$C$35</f>
        <v>1.3075575554938046</v>
      </c>
      <c r="K61">
        <f>'AEO 2023 Table 1'!K$35/'AEO 2022 Table 1'!$C$35</f>
        <v>1.3268244307197687</v>
      </c>
      <c r="L61">
        <f>'AEO 2023 Table 1'!L$35/'AEO 2022 Table 1'!$C$35</f>
        <v>1.3342790212652798</v>
      </c>
      <c r="M61">
        <f>'AEO 2023 Table 1'!M$35/'AEO 2022 Table 1'!$C$35</f>
        <v>1.3424690671901565</v>
      </c>
      <c r="N61">
        <f>'AEO 2023 Table 1'!N$35/'AEO 2022 Table 1'!$C$35</f>
        <v>1.3454974199003815</v>
      </c>
      <c r="O61">
        <f>'AEO 2023 Table 1'!O$35/'AEO 2022 Table 1'!$C$35</f>
        <v>1.3598797049095097</v>
      </c>
      <c r="P61">
        <f>'AEO 2023 Table 1'!P$35/'AEO 2022 Table 1'!$C$35</f>
        <v>1.3731912859264306</v>
      </c>
      <c r="Q61">
        <f>'AEO 2023 Table 1'!Q$35/'AEO 2022 Table 1'!$C$35</f>
        <v>1.3790374002396339</v>
      </c>
      <c r="R61">
        <f>'AEO 2023 Table 1'!R$35/'AEO 2022 Table 1'!$C$35</f>
        <v>1.3811566375938591</v>
      </c>
      <c r="S61">
        <f>'AEO 2023 Table 1'!S$35/'AEO 2022 Table 1'!$C$35</f>
        <v>1.3817305640961286</v>
      </c>
      <c r="T61">
        <f>'AEO 2023 Table 1'!T$35/'AEO 2022 Table 1'!$C$35</f>
        <v>1.3904628641944323</v>
      </c>
      <c r="U61">
        <f>'AEO 2023 Table 1'!U$35/'AEO 2022 Table 1'!$C$35</f>
        <v>1.3776772231136289</v>
      </c>
      <c r="V61">
        <f>'AEO 2023 Table 1'!V$35/'AEO 2022 Table 1'!$C$35</f>
        <v>1.3827777827577035</v>
      </c>
      <c r="W61">
        <f>'AEO 2023 Table 1'!W$35/'AEO 2022 Table 1'!$C$35</f>
        <v>1.3870183490350396</v>
      </c>
      <c r="X61">
        <f>'AEO 2023 Table 1'!X$35/'AEO 2022 Table 1'!$C$35</f>
        <v>1.3886189968238032</v>
      </c>
      <c r="Y61">
        <f>'AEO 2023 Table 1'!Y$35/'AEO 2022 Table 1'!$C$35</f>
        <v>1.3875101067596518</v>
      </c>
      <c r="Z61">
        <f>'AEO 2023 Table 1'!Z$35/'AEO 2022 Table 1'!$C$35</f>
        <v>1.3826019116939616</v>
      </c>
      <c r="AA61">
        <f>'AEO 2023 Table 1'!AA$35/'AEO 2022 Table 1'!$C$35</f>
        <v>1.3624602826008361</v>
      </c>
      <c r="AB61">
        <f>'AEO 2023 Table 1'!AB$35/'AEO 2022 Table 1'!$C$35</f>
        <v>1.3464271521496844</v>
      </c>
      <c r="AC61">
        <f>'AEO 2023 Table 1'!AC$35/'AEO 2022 Table 1'!$C$35</f>
        <v>1.3454135181085045</v>
      </c>
      <c r="AD61">
        <f>'AEO 2023 Table 1'!AD$35/'AEO 2022 Table 1'!$C$35</f>
        <v>1.3387617912195939</v>
      </c>
      <c r="AE61">
        <f>'AEO 2023 Table 1'!AE$35/'AEO 2022 Table 1'!$C$35</f>
        <v>1.3105941549613507</v>
      </c>
    </row>
    <row r="62" spans="1:33" x14ac:dyDescent="0.75">
      <c r="A62" t="s">
        <v>1037</v>
      </c>
      <c r="B62">
        <f>'AEO 2022 Table 1'!C$35/'AEO 2022 Table 1'!$C$35</f>
        <v>1</v>
      </c>
      <c r="C62">
        <f>'AEO 2023 Table 1'!C$35/'AEO 2022 Table 1'!$C$35</f>
        <v>1.1077044433887</v>
      </c>
      <c r="D62">
        <f>'AEO 2023 Table 1'!D$35/'AEO 2022 Table 1'!$C$35</f>
        <v>1.1378415606689434</v>
      </c>
      <c r="E62">
        <f>'AEO 2023 Table 1'!E$35/'AEO 2022 Table 1'!$C$35</f>
        <v>1.2147860175632028</v>
      </c>
      <c r="F62">
        <f>'AEO 2023 Table 1'!F$35/'AEO 2022 Table 1'!$C$35</f>
        <v>1.2298353337695749</v>
      </c>
      <c r="G62">
        <f>'AEO 2023 Table 1'!G$35/'AEO 2022 Table 1'!$C$35</f>
        <v>1.2592310197593499</v>
      </c>
      <c r="H62">
        <f>'AEO 2023 Table 1'!H$35/'AEO 2022 Table 1'!$C$35</f>
        <v>1.2842058462338315</v>
      </c>
      <c r="I62">
        <f>'AEO 2023 Table 1'!I$35/'AEO 2022 Table 1'!$C$35</f>
        <v>1.2929817107240713</v>
      </c>
      <c r="J62">
        <f>'AEO 2023 Table 1'!J$35/'AEO 2022 Table 1'!$C$35</f>
        <v>1.3075575554938046</v>
      </c>
      <c r="K62">
        <f>'AEO 2023 Table 1'!K$35/'AEO 2022 Table 1'!$C$35</f>
        <v>1.3268244307197687</v>
      </c>
      <c r="L62">
        <f>'AEO 2023 Table 1'!L$35/'AEO 2022 Table 1'!$C$35</f>
        <v>1.3342790212652798</v>
      </c>
      <c r="M62">
        <f>'AEO 2023 Table 1'!M$35/'AEO 2022 Table 1'!$C$35</f>
        <v>1.3424690671901565</v>
      </c>
      <c r="N62">
        <f>'AEO 2023 Table 1'!N$35/'AEO 2022 Table 1'!$C$35</f>
        <v>1.3454974199003815</v>
      </c>
      <c r="O62">
        <f>'AEO 2023 Table 1'!O$35/'AEO 2022 Table 1'!$C$35</f>
        <v>1.3598797049095097</v>
      </c>
      <c r="P62">
        <f>'AEO 2023 Table 1'!P$35/'AEO 2022 Table 1'!$C$35</f>
        <v>1.3731912859264306</v>
      </c>
      <c r="Q62">
        <f>'AEO 2023 Table 1'!Q$35/'AEO 2022 Table 1'!$C$35</f>
        <v>1.3790374002396339</v>
      </c>
      <c r="R62">
        <f>'AEO 2023 Table 1'!R$35/'AEO 2022 Table 1'!$C$35</f>
        <v>1.3811566375938591</v>
      </c>
      <c r="S62">
        <f>'AEO 2023 Table 1'!S$35/'AEO 2022 Table 1'!$C$35</f>
        <v>1.3817305640961286</v>
      </c>
      <c r="T62">
        <f>'AEO 2023 Table 1'!T$35/'AEO 2022 Table 1'!$C$35</f>
        <v>1.3904628641944323</v>
      </c>
      <c r="U62">
        <f>'AEO 2023 Table 1'!U$35/'AEO 2022 Table 1'!$C$35</f>
        <v>1.3776772231136289</v>
      </c>
      <c r="V62">
        <f>'AEO 2023 Table 1'!V$35/'AEO 2022 Table 1'!$C$35</f>
        <v>1.3827777827577035</v>
      </c>
      <c r="W62">
        <f>'AEO 2023 Table 1'!W$35/'AEO 2022 Table 1'!$C$35</f>
        <v>1.3870183490350396</v>
      </c>
      <c r="X62">
        <f>'AEO 2023 Table 1'!X$35/'AEO 2022 Table 1'!$C$35</f>
        <v>1.3886189968238032</v>
      </c>
      <c r="Y62">
        <f>'AEO 2023 Table 1'!Y$35/'AEO 2022 Table 1'!$C$35</f>
        <v>1.3875101067596518</v>
      </c>
      <c r="Z62">
        <f>'AEO 2023 Table 1'!Z$35/'AEO 2022 Table 1'!$C$35</f>
        <v>1.3826019116939616</v>
      </c>
      <c r="AA62">
        <f>'AEO 2023 Table 1'!AA$35/'AEO 2022 Table 1'!$C$35</f>
        <v>1.3624602826008361</v>
      </c>
      <c r="AB62">
        <f>'AEO 2023 Table 1'!AB$35/'AEO 2022 Table 1'!$C$35</f>
        <v>1.3464271521496844</v>
      </c>
      <c r="AC62">
        <f>'AEO 2023 Table 1'!AC$35/'AEO 2022 Table 1'!$C$35</f>
        <v>1.3454135181085045</v>
      </c>
      <c r="AD62">
        <f>'AEO 2023 Table 1'!AD$35/'AEO 2022 Table 1'!$C$35</f>
        <v>1.3387617912195939</v>
      </c>
      <c r="AE62">
        <f>'AEO 2023 Table 1'!AE$35/'AEO 2022 Table 1'!$C$35</f>
        <v>1.3105941549613507</v>
      </c>
    </row>
    <row r="63" spans="1:33" x14ac:dyDescent="0.75">
      <c r="A63" t="s">
        <v>1038</v>
      </c>
      <c r="B63">
        <f>'AEO 2022 Table 1'!C$35/'AEO 2022 Table 1'!$C$35</f>
        <v>1</v>
      </c>
      <c r="C63">
        <f>'AEO 2023 Table 1'!C$35/'AEO 2022 Table 1'!$C$35</f>
        <v>1.1077044433887</v>
      </c>
      <c r="D63">
        <f>'AEO 2023 Table 1'!D$35/'AEO 2022 Table 1'!$C$35</f>
        <v>1.1378415606689434</v>
      </c>
      <c r="E63">
        <f>'AEO 2023 Table 1'!E$35/'AEO 2022 Table 1'!$C$35</f>
        <v>1.2147860175632028</v>
      </c>
      <c r="F63">
        <f>'AEO 2023 Table 1'!F$35/'AEO 2022 Table 1'!$C$35</f>
        <v>1.2298353337695749</v>
      </c>
      <c r="G63">
        <f>'AEO 2023 Table 1'!G$35/'AEO 2022 Table 1'!$C$35</f>
        <v>1.2592310197593499</v>
      </c>
      <c r="H63">
        <f>'AEO 2023 Table 1'!H$35/'AEO 2022 Table 1'!$C$35</f>
        <v>1.2842058462338315</v>
      </c>
      <c r="I63">
        <f>'AEO 2023 Table 1'!I$35/'AEO 2022 Table 1'!$C$35</f>
        <v>1.2929817107240713</v>
      </c>
      <c r="J63">
        <f>'AEO 2023 Table 1'!J$35/'AEO 2022 Table 1'!$C$35</f>
        <v>1.3075575554938046</v>
      </c>
      <c r="K63">
        <f>'AEO 2023 Table 1'!K$35/'AEO 2022 Table 1'!$C$35</f>
        <v>1.3268244307197687</v>
      </c>
      <c r="L63">
        <f>'AEO 2023 Table 1'!L$35/'AEO 2022 Table 1'!$C$35</f>
        <v>1.3342790212652798</v>
      </c>
      <c r="M63">
        <f>'AEO 2023 Table 1'!M$35/'AEO 2022 Table 1'!$C$35</f>
        <v>1.3424690671901565</v>
      </c>
      <c r="N63">
        <f>'AEO 2023 Table 1'!N$35/'AEO 2022 Table 1'!$C$35</f>
        <v>1.3454974199003815</v>
      </c>
      <c r="O63">
        <f>'AEO 2023 Table 1'!O$35/'AEO 2022 Table 1'!$C$35</f>
        <v>1.3598797049095097</v>
      </c>
      <c r="P63">
        <f>'AEO 2023 Table 1'!P$35/'AEO 2022 Table 1'!$C$35</f>
        <v>1.3731912859264306</v>
      </c>
      <c r="Q63">
        <f>'AEO 2023 Table 1'!Q$35/'AEO 2022 Table 1'!$C$35</f>
        <v>1.3790374002396339</v>
      </c>
      <c r="R63">
        <f>'AEO 2023 Table 1'!R$35/'AEO 2022 Table 1'!$C$35</f>
        <v>1.3811566375938591</v>
      </c>
      <c r="S63">
        <f>'AEO 2023 Table 1'!S$35/'AEO 2022 Table 1'!$C$35</f>
        <v>1.3817305640961286</v>
      </c>
      <c r="T63">
        <f>'AEO 2023 Table 1'!T$35/'AEO 2022 Table 1'!$C$35</f>
        <v>1.3904628641944323</v>
      </c>
      <c r="U63">
        <f>'AEO 2023 Table 1'!U$35/'AEO 2022 Table 1'!$C$35</f>
        <v>1.3776772231136289</v>
      </c>
      <c r="V63">
        <f>'AEO 2023 Table 1'!V$35/'AEO 2022 Table 1'!$C$35</f>
        <v>1.3827777827577035</v>
      </c>
      <c r="W63">
        <f>'AEO 2023 Table 1'!W$35/'AEO 2022 Table 1'!$C$35</f>
        <v>1.3870183490350396</v>
      </c>
      <c r="X63">
        <f>'AEO 2023 Table 1'!X$35/'AEO 2022 Table 1'!$C$35</f>
        <v>1.3886189968238032</v>
      </c>
      <c r="Y63">
        <f>'AEO 2023 Table 1'!Y$35/'AEO 2022 Table 1'!$C$35</f>
        <v>1.3875101067596518</v>
      </c>
      <c r="Z63">
        <f>'AEO 2023 Table 1'!Z$35/'AEO 2022 Table 1'!$C$35</f>
        <v>1.3826019116939616</v>
      </c>
      <c r="AA63">
        <f>'AEO 2023 Table 1'!AA$35/'AEO 2022 Table 1'!$C$35</f>
        <v>1.3624602826008361</v>
      </c>
      <c r="AB63">
        <f>'AEO 2023 Table 1'!AB$35/'AEO 2022 Table 1'!$C$35</f>
        <v>1.3464271521496844</v>
      </c>
      <c r="AC63">
        <f>'AEO 2023 Table 1'!AC$35/'AEO 2022 Table 1'!$C$35</f>
        <v>1.3454135181085045</v>
      </c>
      <c r="AD63">
        <f>'AEO 2023 Table 1'!AD$35/'AEO 2022 Table 1'!$C$35</f>
        <v>1.3387617912195939</v>
      </c>
      <c r="AE63">
        <f>'AEO 2023 Table 1'!AE$35/'AEO 2022 Table 1'!$C$35</f>
        <v>1.3105941549613507</v>
      </c>
    </row>
    <row r="64" spans="1:33" x14ac:dyDescent="0.75">
      <c r="A64" t="s">
        <v>1039</v>
      </c>
      <c r="B64">
        <f>'AEO 2022 Table 1'!C$35/'AEO 2022 Table 1'!$C$35</f>
        <v>1</v>
      </c>
      <c r="C64">
        <f>'AEO 2023 Table 1'!C$35/'AEO 2022 Table 1'!$C$35</f>
        <v>1.1077044433887</v>
      </c>
      <c r="D64">
        <f>'AEO 2023 Table 1'!D$35/'AEO 2022 Table 1'!$C$35</f>
        <v>1.1378415606689434</v>
      </c>
      <c r="E64">
        <f>'AEO 2023 Table 1'!E$35/'AEO 2022 Table 1'!$C$35</f>
        <v>1.2147860175632028</v>
      </c>
      <c r="F64">
        <f>'AEO 2023 Table 1'!F$35/'AEO 2022 Table 1'!$C$35</f>
        <v>1.2298353337695749</v>
      </c>
      <c r="G64">
        <f>'AEO 2023 Table 1'!G$35/'AEO 2022 Table 1'!$C$35</f>
        <v>1.2592310197593499</v>
      </c>
      <c r="H64">
        <f>'AEO 2023 Table 1'!H$35/'AEO 2022 Table 1'!$C$35</f>
        <v>1.2842058462338315</v>
      </c>
      <c r="I64">
        <f>'AEO 2023 Table 1'!I$35/'AEO 2022 Table 1'!$C$35</f>
        <v>1.2929817107240713</v>
      </c>
      <c r="J64">
        <f>'AEO 2023 Table 1'!J$35/'AEO 2022 Table 1'!$C$35</f>
        <v>1.3075575554938046</v>
      </c>
      <c r="K64">
        <f>'AEO 2023 Table 1'!K$35/'AEO 2022 Table 1'!$C$35</f>
        <v>1.3268244307197687</v>
      </c>
      <c r="L64">
        <f>'AEO 2023 Table 1'!L$35/'AEO 2022 Table 1'!$C$35</f>
        <v>1.3342790212652798</v>
      </c>
      <c r="M64">
        <f>'AEO 2023 Table 1'!M$35/'AEO 2022 Table 1'!$C$35</f>
        <v>1.3424690671901565</v>
      </c>
      <c r="N64">
        <f>'AEO 2023 Table 1'!N$35/'AEO 2022 Table 1'!$C$35</f>
        <v>1.3454974199003815</v>
      </c>
      <c r="O64">
        <f>'AEO 2023 Table 1'!O$35/'AEO 2022 Table 1'!$C$35</f>
        <v>1.3598797049095097</v>
      </c>
      <c r="P64">
        <f>'AEO 2023 Table 1'!P$35/'AEO 2022 Table 1'!$C$35</f>
        <v>1.3731912859264306</v>
      </c>
      <c r="Q64">
        <f>'AEO 2023 Table 1'!Q$35/'AEO 2022 Table 1'!$C$35</f>
        <v>1.3790374002396339</v>
      </c>
      <c r="R64">
        <f>'AEO 2023 Table 1'!R$35/'AEO 2022 Table 1'!$C$35</f>
        <v>1.3811566375938591</v>
      </c>
      <c r="S64">
        <f>'AEO 2023 Table 1'!S$35/'AEO 2022 Table 1'!$C$35</f>
        <v>1.3817305640961286</v>
      </c>
      <c r="T64">
        <f>'AEO 2023 Table 1'!T$35/'AEO 2022 Table 1'!$C$35</f>
        <v>1.3904628641944323</v>
      </c>
      <c r="U64">
        <f>'AEO 2023 Table 1'!U$35/'AEO 2022 Table 1'!$C$35</f>
        <v>1.3776772231136289</v>
      </c>
      <c r="V64">
        <f>'AEO 2023 Table 1'!V$35/'AEO 2022 Table 1'!$C$35</f>
        <v>1.3827777827577035</v>
      </c>
      <c r="W64">
        <f>'AEO 2023 Table 1'!W$35/'AEO 2022 Table 1'!$C$35</f>
        <v>1.3870183490350396</v>
      </c>
      <c r="X64">
        <f>'AEO 2023 Table 1'!X$35/'AEO 2022 Table 1'!$C$35</f>
        <v>1.3886189968238032</v>
      </c>
      <c r="Y64">
        <f>'AEO 2023 Table 1'!Y$35/'AEO 2022 Table 1'!$C$35</f>
        <v>1.3875101067596518</v>
      </c>
      <c r="Z64">
        <f>'AEO 2023 Table 1'!Z$35/'AEO 2022 Table 1'!$C$35</f>
        <v>1.3826019116939616</v>
      </c>
      <c r="AA64">
        <f>'AEO 2023 Table 1'!AA$35/'AEO 2022 Table 1'!$C$35</f>
        <v>1.3624602826008361</v>
      </c>
      <c r="AB64">
        <f>'AEO 2023 Table 1'!AB$35/'AEO 2022 Table 1'!$C$35</f>
        <v>1.3464271521496844</v>
      </c>
      <c r="AC64">
        <f>'AEO 2023 Table 1'!AC$35/'AEO 2022 Table 1'!$C$35</f>
        <v>1.3454135181085045</v>
      </c>
      <c r="AD64">
        <f>'AEO 2023 Table 1'!AD$35/'AEO 2022 Table 1'!$C$35</f>
        <v>1.3387617912195939</v>
      </c>
      <c r="AE64">
        <f>'AEO 2023 Table 1'!AE$35/'AEO 2022 Table 1'!$C$35</f>
        <v>1.3105941549613507</v>
      </c>
    </row>
    <row r="65" spans="1:33" x14ac:dyDescent="0.75">
      <c r="A65" t="s">
        <v>1040</v>
      </c>
      <c r="B65">
        <f>'AEO 2022 Table 1'!C$35/'AEO 2022 Table 1'!$C$35</f>
        <v>1</v>
      </c>
      <c r="C65">
        <f>'AEO 2023 Table 1'!C$35/'AEO 2022 Table 1'!$C$35</f>
        <v>1.1077044433887</v>
      </c>
      <c r="D65">
        <f>'AEO 2023 Table 1'!D$35/'AEO 2022 Table 1'!$C$35</f>
        <v>1.1378415606689434</v>
      </c>
      <c r="E65">
        <f>'AEO 2023 Table 1'!E$35/'AEO 2022 Table 1'!$C$35</f>
        <v>1.2147860175632028</v>
      </c>
      <c r="F65">
        <f>'AEO 2023 Table 1'!F$35/'AEO 2022 Table 1'!$C$35</f>
        <v>1.2298353337695749</v>
      </c>
      <c r="G65">
        <f>'AEO 2023 Table 1'!G$35/'AEO 2022 Table 1'!$C$35</f>
        <v>1.2592310197593499</v>
      </c>
      <c r="H65">
        <f>'AEO 2023 Table 1'!H$35/'AEO 2022 Table 1'!$C$35</f>
        <v>1.2842058462338315</v>
      </c>
      <c r="I65">
        <f>'AEO 2023 Table 1'!I$35/'AEO 2022 Table 1'!$C$35</f>
        <v>1.2929817107240713</v>
      </c>
      <c r="J65">
        <f>'AEO 2023 Table 1'!J$35/'AEO 2022 Table 1'!$C$35</f>
        <v>1.3075575554938046</v>
      </c>
      <c r="K65">
        <f>'AEO 2023 Table 1'!K$35/'AEO 2022 Table 1'!$C$35</f>
        <v>1.3268244307197687</v>
      </c>
      <c r="L65">
        <f>'AEO 2023 Table 1'!L$35/'AEO 2022 Table 1'!$C$35</f>
        <v>1.3342790212652798</v>
      </c>
      <c r="M65">
        <f>'AEO 2023 Table 1'!M$35/'AEO 2022 Table 1'!$C$35</f>
        <v>1.3424690671901565</v>
      </c>
      <c r="N65">
        <f>'AEO 2023 Table 1'!N$35/'AEO 2022 Table 1'!$C$35</f>
        <v>1.3454974199003815</v>
      </c>
      <c r="O65">
        <f>'AEO 2023 Table 1'!O$35/'AEO 2022 Table 1'!$C$35</f>
        <v>1.3598797049095097</v>
      </c>
      <c r="P65">
        <f>'AEO 2023 Table 1'!P$35/'AEO 2022 Table 1'!$C$35</f>
        <v>1.3731912859264306</v>
      </c>
      <c r="Q65">
        <f>'AEO 2023 Table 1'!Q$35/'AEO 2022 Table 1'!$C$35</f>
        <v>1.3790374002396339</v>
      </c>
      <c r="R65">
        <f>'AEO 2023 Table 1'!R$35/'AEO 2022 Table 1'!$C$35</f>
        <v>1.3811566375938591</v>
      </c>
      <c r="S65">
        <f>'AEO 2023 Table 1'!S$35/'AEO 2022 Table 1'!$C$35</f>
        <v>1.3817305640961286</v>
      </c>
      <c r="T65">
        <f>'AEO 2023 Table 1'!T$35/'AEO 2022 Table 1'!$C$35</f>
        <v>1.3904628641944323</v>
      </c>
      <c r="U65">
        <f>'AEO 2023 Table 1'!U$35/'AEO 2022 Table 1'!$C$35</f>
        <v>1.3776772231136289</v>
      </c>
      <c r="V65">
        <f>'AEO 2023 Table 1'!V$35/'AEO 2022 Table 1'!$C$35</f>
        <v>1.3827777827577035</v>
      </c>
      <c r="W65">
        <f>'AEO 2023 Table 1'!W$35/'AEO 2022 Table 1'!$C$35</f>
        <v>1.3870183490350396</v>
      </c>
      <c r="X65">
        <f>'AEO 2023 Table 1'!X$35/'AEO 2022 Table 1'!$C$35</f>
        <v>1.3886189968238032</v>
      </c>
      <c r="Y65">
        <f>'AEO 2023 Table 1'!Y$35/'AEO 2022 Table 1'!$C$35</f>
        <v>1.3875101067596518</v>
      </c>
      <c r="Z65">
        <f>'AEO 2023 Table 1'!Z$35/'AEO 2022 Table 1'!$C$35</f>
        <v>1.3826019116939616</v>
      </c>
      <c r="AA65">
        <f>'AEO 2023 Table 1'!AA$35/'AEO 2022 Table 1'!$C$35</f>
        <v>1.3624602826008361</v>
      </c>
      <c r="AB65">
        <f>'AEO 2023 Table 1'!AB$35/'AEO 2022 Table 1'!$C$35</f>
        <v>1.3464271521496844</v>
      </c>
      <c r="AC65">
        <f>'AEO 2023 Table 1'!AC$35/'AEO 2022 Table 1'!$C$35</f>
        <v>1.3454135181085045</v>
      </c>
      <c r="AD65">
        <f>'AEO 2023 Table 1'!AD$35/'AEO 2022 Table 1'!$C$35</f>
        <v>1.3387617912195939</v>
      </c>
      <c r="AE65">
        <f>'AEO 2023 Table 1'!AE$35/'AEO 2022 Table 1'!$C$35</f>
        <v>1.3105941549613507</v>
      </c>
    </row>
    <row r="66" spans="1:33" x14ac:dyDescent="0.75">
      <c r="A66" s="7" t="s">
        <v>1041</v>
      </c>
      <c r="B66" s="7">
        <v>0</v>
      </c>
      <c r="C66" s="7">
        <v>0</v>
      </c>
      <c r="D66" s="7">
        <v>0</v>
      </c>
      <c r="E66" s="7">
        <v>0</v>
      </c>
      <c r="F66" s="7">
        <v>0</v>
      </c>
      <c r="G66" s="7">
        <v>0</v>
      </c>
      <c r="H66" s="7">
        <v>0</v>
      </c>
      <c r="I66" s="7">
        <v>0</v>
      </c>
      <c r="J66" s="7">
        <v>0</v>
      </c>
      <c r="K66" s="7">
        <v>0</v>
      </c>
      <c r="L66" s="7">
        <v>0</v>
      </c>
      <c r="M66" s="7">
        <v>0</v>
      </c>
      <c r="N66" s="7">
        <v>0</v>
      </c>
      <c r="O66" s="7">
        <v>0</v>
      </c>
      <c r="P66" s="7">
        <v>0</v>
      </c>
      <c r="Q66" s="7">
        <v>0</v>
      </c>
      <c r="R66" s="7">
        <v>0</v>
      </c>
      <c r="S66" s="7">
        <v>0</v>
      </c>
      <c r="T66" s="7">
        <v>0</v>
      </c>
      <c r="U66" s="7">
        <v>0</v>
      </c>
      <c r="V66" s="7">
        <v>0</v>
      </c>
      <c r="W66" s="7">
        <v>0</v>
      </c>
      <c r="X66" s="7">
        <v>0</v>
      </c>
      <c r="Y66" s="7">
        <v>0</v>
      </c>
      <c r="Z66" s="7">
        <v>0</v>
      </c>
      <c r="AA66" s="7">
        <v>0</v>
      </c>
      <c r="AB66" s="7">
        <v>0</v>
      </c>
      <c r="AC66" s="7">
        <v>0</v>
      </c>
      <c r="AD66" s="7">
        <v>0</v>
      </c>
      <c r="AE66" s="7">
        <v>0</v>
      </c>
      <c r="AF66" s="7"/>
      <c r="AG66" s="7"/>
    </row>
    <row r="67" spans="1:33" x14ac:dyDescent="0.75">
      <c r="A67" s="7" t="s">
        <v>1042</v>
      </c>
      <c r="B67" s="7">
        <v>0</v>
      </c>
      <c r="C67" s="7">
        <v>0</v>
      </c>
      <c r="D67" s="7">
        <v>0</v>
      </c>
      <c r="E67" s="7">
        <v>0</v>
      </c>
      <c r="F67" s="7">
        <v>0</v>
      </c>
      <c r="G67" s="7">
        <v>0</v>
      </c>
      <c r="H67" s="7">
        <v>0</v>
      </c>
      <c r="I67" s="7">
        <v>0</v>
      </c>
      <c r="J67" s="7">
        <v>0</v>
      </c>
      <c r="K67" s="7">
        <v>0</v>
      </c>
      <c r="L67" s="7">
        <v>0</v>
      </c>
      <c r="M67" s="7">
        <v>0</v>
      </c>
      <c r="N67" s="7">
        <v>0</v>
      </c>
      <c r="O67" s="7">
        <v>0</v>
      </c>
      <c r="P67" s="7">
        <v>0</v>
      </c>
      <c r="Q67" s="7">
        <v>0</v>
      </c>
      <c r="R67" s="7">
        <v>0</v>
      </c>
      <c r="S67" s="7">
        <v>0</v>
      </c>
      <c r="T67" s="7">
        <v>0</v>
      </c>
      <c r="U67" s="7">
        <v>0</v>
      </c>
      <c r="V67" s="7">
        <v>0</v>
      </c>
      <c r="W67" s="7">
        <v>0</v>
      </c>
      <c r="X67" s="7">
        <v>0</v>
      </c>
      <c r="Y67" s="7">
        <v>0</v>
      </c>
      <c r="Z67" s="7">
        <v>0</v>
      </c>
      <c r="AA67" s="7">
        <v>0</v>
      </c>
      <c r="AB67" s="7">
        <v>0</v>
      </c>
      <c r="AC67" s="7">
        <v>0</v>
      </c>
      <c r="AD67" s="7">
        <v>0</v>
      </c>
      <c r="AE67" s="7">
        <v>0</v>
      </c>
      <c r="AF67" s="7"/>
      <c r="AG67" s="7"/>
    </row>
    <row r="68" spans="1:33" x14ac:dyDescent="0.75">
      <c r="A68" t="s">
        <v>1043</v>
      </c>
      <c r="B68">
        <f>'AEO 2022 Table 1'!C$37/'AEO 2022 Table 1'!$C$37</f>
        <v>1</v>
      </c>
      <c r="C68">
        <f>'AEO 2023 Table 1'!C$37/'AEO 2022 Table 1'!$C$37</f>
        <v>0.95614358575645064</v>
      </c>
      <c r="D68">
        <f>'AEO 2023 Table 1'!D$37/'AEO 2022 Table 1'!$C$37</f>
        <v>0.95125452705002522</v>
      </c>
      <c r="E68">
        <f>'AEO 2023 Table 1'!E$37/'AEO 2022 Table 1'!$C$37</f>
        <v>1.2336767700704581</v>
      </c>
      <c r="F68">
        <f>'AEO 2023 Table 1'!F$37/'AEO 2022 Table 1'!$C$37</f>
        <v>1.2052796686250415</v>
      </c>
      <c r="G68">
        <f>'AEO 2023 Table 1'!G$37/'AEO 2022 Table 1'!$C$37</f>
        <v>1.2639284032699047</v>
      </c>
      <c r="H68">
        <f>'AEO 2023 Table 1'!H$37/'AEO 2022 Table 1'!$C$37</f>
        <v>1.2473188281347423</v>
      </c>
      <c r="I68">
        <f>'AEO 2023 Table 1'!I$37/'AEO 2022 Table 1'!$C$37</f>
        <v>1.2526569861795447</v>
      </c>
      <c r="J68">
        <f>'AEO 2023 Table 1'!J$37/'AEO 2022 Table 1'!$C$37</f>
        <v>1.2464667819591648</v>
      </c>
      <c r="K68">
        <f>'AEO 2023 Table 1'!K$37/'AEO 2022 Table 1'!$C$37</f>
        <v>1.2470525637048744</v>
      </c>
      <c r="L68">
        <f>'AEO 2023 Table 1'!L$37/'AEO 2022 Table 1'!$C$37</f>
        <v>1.2596206885686911</v>
      </c>
      <c r="M68">
        <f>'AEO 2023 Table 1'!M$37/'AEO 2022 Table 1'!$C$37</f>
        <v>1.2830794723881569</v>
      </c>
      <c r="N68">
        <f>'AEO 2023 Table 1'!N$37/'AEO 2022 Table 1'!$C$37</f>
        <v>1.2510030402960151</v>
      </c>
      <c r="O68">
        <f>'AEO 2023 Table 1'!O$37/'AEO 2022 Table 1'!$C$37</f>
        <v>1.2401532085529461</v>
      </c>
      <c r="P68">
        <f>'AEO 2023 Table 1'!P$37/'AEO 2022 Table 1'!$C$37</f>
        <v>1.252060110082591</v>
      </c>
      <c r="Q68">
        <f>'AEO 2023 Table 1'!Q$37/'AEO 2022 Table 1'!$C$37</f>
        <v>1.235727449954491</v>
      </c>
      <c r="R68">
        <f>'AEO 2023 Table 1'!R$37/'AEO 2022 Table 1'!$C$37</f>
        <v>1.2101709462017158</v>
      </c>
      <c r="S68">
        <f>'AEO 2023 Table 1'!S$37/'AEO 2022 Table 1'!$C$37</f>
        <v>1.2295989303270303</v>
      </c>
      <c r="T68">
        <f>'AEO 2023 Table 1'!T$37/'AEO 2022 Table 1'!$C$37</f>
        <v>1.2037881440437312</v>
      </c>
      <c r="U68">
        <f>'AEO 2023 Table 1'!U$37/'AEO 2022 Table 1'!$C$37</f>
        <v>1.2083918560361482</v>
      </c>
      <c r="V68">
        <f>'AEO 2023 Table 1'!V$37/'AEO 2022 Table 1'!$C$37</f>
        <v>1.2018359819987496</v>
      </c>
      <c r="W68">
        <f>'AEO 2023 Table 1'!W$37/'AEO 2022 Table 1'!$C$37</f>
        <v>1.2085662592377115</v>
      </c>
      <c r="X68">
        <f>'AEO 2023 Table 1'!X$37/'AEO 2022 Table 1'!$C$37</f>
        <v>1.1940291089150215</v>
      </c>
      <c r="Y68">
        <f>'AEO 2023 Table 1'!Y$37/'AEO 2022 Table 1'!$C$37</f>
        <v>1.1958960663424454</v>
      </c>
      <c r="Z68">
        <f>'AEO 2023 Table 1'!Z$37/'AEO 2022 Table 1'!$C$37</f>
        <v>1.1999024584638585</v>
      </c>
      <c r="AA68">
        <f>'AEO 2023 Table 1'!AA$37/'AEO 2022 Table 1'!$C$37</f>
        <v>1.1931641932920003</v>
      </c>
      <c r="AB68">
        <f>'AEO 2023 Table 1'!AB$37/'AEO 2022 Table 1'!$C$37</f>
        <v>1.1903812862258305</v>
      </c>
      <c r="AC68">
        <f>'AEO 2023 Table 1'!AC$37/'AEO 2022 Table 1'!$C$37</f>
        <v>1.2006972577870141</v>
      </c>
      <c r="AD68">
        <f>'AEO 2023 Table 1'!AD$37/'AEO 2022 Table 1'!$C$37</f>
        <v>1.2016802173072767</v>
      </c>
      <c r="AE68">
        <f>'AEO 2023 Table 1'!AE$37/'AEO 2022 Table 1'!$C$37</f>
        <v>1.2088382927302266</v>
      </c>
    </row>
    <row r="69" spans="1:33" x14ac:dyDescent="0.75">
      <c r="A69" t="s">
        <v>1044</v>
      </c>
      <c r="B69">
        <f>'AEO 2022 Table 1'!C$35/'AEO 2022 Table 1'!$C$35</f>
        <v>1</v>
      </c>
      <c r="C69">
        <f>'AEO 2023 Table 1'!C$35/'AEO 2022 Table 1'!$C$35</f>
        <v>1.1077044433887</v>
      </c>
      <c r="D69">
        <f>'AEO 2023 Table 1'!D$35/'AEO 2022 Table 1'!$C$35</f>
        <v>1.1378415606689434</v>
      </c>
      <c r="E69">
        <f>'AEO 2023 Table 1'!E$35/'AEO 2022 Table 1'!$C$35</f>
        <v>1.2147860175632028</v>
      </c>
      <c r="F69">
        <f>'AEO 2023 Table 1'!F$35/'AEO 2022 Table 1'!$C$35</f>
        <v>1.2298353337695749</v>
      </c>
      <c r="G69">
        <f>'AEO 2023 Table 1'!G$35/'AEO 2022 Table 1'!$C$35</f>
        <v>1.2592310197593499</v>
      </c>
      <c r="H69">
        <f>'AEO 2023 Table 1'!H$35/'AEO 2022 Table 1'!$C$35</f>
        <v>1.2842058462338315</v>
      </c>
      <c r="I69">
        <f>'AEO 2023 Table 1'!I$35/'AEO 2022 Table 1'!$C$35</f>
        <v>1.2929817107240713</v>
      </c>
      <c r="J69">
        <f>'AEO 2023 Table 1'!J$35/'AEO 2022 Table 1'!$C$35</f>
        <v>1.3075575554938046</v>
      </c>
      <c r="K69">
        <f>'AEO 2023 Table 1'!K$35/'AEO 2022 Table 1'!$C$35</f>
        <v>1.3268244307197687</v>
      </c>
      <c r="L69">
        <f>'AEO 2023 Table 1'!L$35/'AEO 2022 Table 1'!$C$35</f>
        <v>1.3342790212652798</v>
      </c>
      <c r="M69">
        <f>'AEO 2023 Table 1'!M$35/'AEO 2022 Table 1'!$C$35</f>
        <v>1.3424690671901565</v>
      </c>
      <c r="N69">
        <f>'AEO 2023 Table 1'!N$35/'AEO 2022 Table 1'!$C$35</f>
        <v>1.3454974199003815</v>
      </c>
      <c r="O69">
        <f>'AEO 2023 Table 1'!O$35/'AEO 2022 Table 1'!$C$35</f>
        <v>1.3598797049095097</v>
      </c>
      <c r="P69">
        <f>'AEO 2023 Table 1'!P$35/'AEO 2022 Table 1'!$C$35</f>
        <v>1.3731912859264306</v>
      </c>
      <c r="Q69">
        <f>'AEO 2023 Table 1'!Q$35/'AEO 2022 Table 1'!$C$35</f>
        <v>1.3790374002396339</v>
      </c>
      <c r="R69">
        <f>'AEO 2023 Table 1'!R$35/'AEO 2022 Table 1'!$C$35</f>
        <v>1.3811566375938591</v>
      </c>
      <c r="S69">
        <f>'AEO 2023 Table 1'!S$35/'AEO 2022 Table 1'!$C$35</f>
        <v>1.3817305640961286</v>
      </c>
      <c r="T69">
        <f>'AEO 2023 Table 1'!T$35/'AEO 2022 Table 1'!$C$35</f>
        <v>1.3904628641944323</v>
      </c>
      <c r="U69">
        <f>'AEO 2023 Table 1'!U$35/'AEO 2022 Table 1'!$C$35</f>
        <v>1.3776772231136289</v>
      </c>
      <c r="V69">
        <f>'AEO 2023 Table 1'!V$35/'AEO 2022 Table 1'!$C$35</f>
        <v>1.3827777827577035</v>
      </c>
      <c r="W69">
        <f>'AEO 2023 Table 1'!W$35/'AEO 2022 Table 1'!$C$35</f>
        <v>1.3870183490350396</v>
      </c>
      <c r="X69">
        <f>'AEO 2023 Table 1'!X$35/'AEO 2022 Table 1'!$C$35</f>
        <v>1.3886189968238032</v>
      </c>
      <c r="Y69">
        <f>'AEO 2023 Table 1'!Y$35/'AEO 2022 Table 1'!$C$35</f>
        <v>1.3875101067596518</v>
      </c>
      <c r="Z69">
        <f>'AEO 2023 Table 1'!Z$35/'AEO 2022 Table 1'!$C$35</f>
        <v>1.3826019116939616</v>
      </c>
      <c r="AA69">
        <f>'AEO 2023 Table 1'!AA$35/'AEO 2022 Table 1'!$C$35</f>
        <v>1.3624602826008361</v>
      </c>
      <c r="AB69">
        <f>'AEO 2023 Table 1'!AB$35/'AEO 2022 Table 1'!$C$35</f>
        <v>1.3464271521496844</v>
      </c>
      <c r="AC69">
        <f>'AEO 2023 Table 1'!AC$35/'AEO 2022 Table 1'!$C$35</f>
        <v>1.3454135181085045</v>
      </c>
      <c r="AD69">
        <f>'AEO 2023 Table 1'!AD$35/'AEO 2022 Table 1'!$C$35</f>
        <v>1.3387617912195939</v>
      </c>
      <c r="AE69">
        <f>'AEO 2023 Table 1'!AE$35/'AEO 2022 Table 1'!$C$35</f>
        <v>1.3105941549613507</v>
      </c>
    </row>
    <row r="70" spans="1:33" x14ac:dyDescent="0.75">
      <c r="A70" t="s">
        <v>1045</v>
      </c>
      <c r="B70">
        <f>'AEO 2022 Table 1'!C$35/'AEO 2022 Table 1'!$C$35</f>
        <v>1</v>
      </c>
      <c r="C70">
        <f>'AEO 2023 Table 1'!C$35/'AEO 2022 Table 1'!$C$35</f>
        <v>1.1077044433887</v>
      </c>
      <c r="D70">
        <f>'AEO 2023 Table 1'!D$35/'AEO 2022 Table 1'!$C$35</f>
        <v>1.1378415606689434</v>
      </c>
      <c r="E70">
        <f>'AEO 2023 Table 1'!E$35/'AEO 2022 Table 1'!$C$35</f>
        <v>1.2147860175632028</v>
      </c>
      <c r="F70">
        <f>'AEO 2023 Table 1'!F$35/'AEO 2022 Table 1'!$C$35</f>
        <v>1.2298353337695749</v>
      </c>
      <c r="G70">
        <f>'AEO 2023 Table 1'!G$35/'AEO 2022 Table 1'!$C$35</f>
        <v>1.2592310197593499</v>
      </c>
      <c r="H70">
        <f>'AEO 2023 Table 1'!H$35/'AEO 2022 Table 1'!$C$35</f>
        <v>1.2842058462338315</v>
      </c>
      <c r="I70">
        <f>'AEO 2023 Table 1'!I$35/'AEO 2022 Table 1'!$C$35</f>
        <v>1.2929817107240713</v>
      </c>
      <c r="J70">
        <f>'AEO 2023 Table 1'!J$35/'AEO 2022 Table 1'!$C$35</f>
        <v>1.3075575554938046</v>
      </c>
      <c r="K70">
        <f>'AEO 2023 Table 1'!K$35/'AEO 2022 Table 1'!$C$35</f>
        <v>1.3268244307197687</v>
      </c>
      <c r="L70">
        <f>'AEO 2023 Table 1'!L$35/'AEO 2022 Table 1'!$C$35</f>
        <v>1.3342790212652798</v>
      </c>
      <c r="M70">
        <f>'AEO 2023 Table 1'!M$35/'AEO 2022 Table 1'!$C$35</f>
        <v>1.3424690671901565</v>
      </c>
      <c r="N70">
        <f>'AEO 2023 Table 1'!N$35/'AEO 2022 Table 1'!$C$35</f>
        <v>1.3454974199003815</v>
      </c>
      <c r="O70">
        <f>'AEO 2023 Table 1'!O$35/'AEO 2022 Table 1'!$C$35</f>
        <v>1.3598797049095097</v>
      </c>
      <c r="P70">
        <f>'AEO 2023 Table 1'!P$35/'AEO 2022 Table 1'!$C$35</f>
        <v>1.3731912859264306</v>
      </c>
      <c r="Q70">
        <f>'AEO 2023 Table 1'!Q$35/'AEO 2022 Table 1'!$C$35</f>
        <v>1.3790374002396339</v>
      </c>
      <c r="R70">
        <f>'AEO 2023 Table 1'!R$35/'AEO 2022 Table 1'!$C$35</f>
        <v>1.3811566375938591</v>
      </c>
      <c r="S70">
        <f>'AEO 2023 Table 1'!S$35/'AEO 2022 Table 1'!$C$35</f>
        <v>1.3817305640961286</v>
      </c>
      <c r="T70">
        <f>'AEO 2023 Table 1'!T$35/'AEO 2022 Table 1'!$C$35</f>
        <v>1.3904628641944323</v>
      </c>
      <c r="U70">
        <f>'AEO 2023 Table 1'!U$35/'AEO 2022 Table 1'!$C$35</f>
        <v>1.3776772231136289</v>
      </c>
      <c r="V70">
        <f>'AEO 2023 Table 1'!V$35/'AEO 2022 Table 1'!$C$35</f>
        <v>1.3827777827577035</v>
      </c>
      <c r="W70">
        <f>'AEO 2023 Table 1'!W$35/'AEO 2022 Table 1'!$C$35</f>
        <v>1.3870183490350396</v>
      </c>
      <c r="X70">
        <f>'AEO 2023 Table 1'!X$35/'AEO 2022 Table 1'!$C$35</f>
        <v>1.3886189968238032</v>
      </c>
      <c r="Y70">
        <f>'AEO 2023 Table 1'!Y$35/'AEO 2022 Table 1'!$C$35</f>
        <v>1.3875101067596518</v>
      </c>
      <c r="Z70">
        <f>'AEO 2023 Table 1'!Z$35/'AEO 2022 Table 1'!$C$35</f>
        <v>1.3826019116939616</v>
      </c>
      <c r="AA70">
        <f>'AEO 2023 Table 1'!AA$35/'AEO 2022 Table 1'!$C$35</f>
        <v>1.3624602826008361</v>
      </c>
      <c r="AB70">
        <f>'AEO 2023 Table 1'!AB$35/'AEO 2022 Table 1'!$C$35</f>
        <v>1.3464271521496844</v>
      </c>
      <c r="AC70">
        <f>'AEO 2023 Table 1'!AC$35/'AEO 2022 Table 1'!$C$35</f>
        <v>1.3454135181085045</v>
      </c>
      <c r="AD70">
        <f>'AEO 2023 Table 1'!AD$35/'AEO 2022 Table 1'!$C$35</f>
        <v>1.3387617912195939</v>
      </c>
      <c r="AE70">
        <f>'AEO 2023 Table 1'!AE$35/'AEO 2022 Table 1'!$C$35</f>
        <v>1.3105941549613507</v>
      </c>
    </row>
    <row r="71" spans="1:33" x14ac:dyDescent="0.75">
      <c r="A71" t="s">
        <v>1046</v>
      </c>
      <c r="B71">
        <f>'AEO 2022 Table 1'!C$35/'AEO 2022 Table 1'!$C$35</f>
        <v>1</v>
      </c>
      <c r="C71">
        <f>'AEO 2023 Table 1'!C$35/'AEO 2022 Table 1'!$C$35</f>
        <v>1.1077044433887</v>
      </c>
      <c r="D71">
        <f>'AEO 2023 Table 1'!D$35/'AEO 2022 Table 1'!$C$35</f>
        <v>1.1378415606689434</v>
      </c>
      <c r="E71">
        <f>'AEO 2023 Table 1'!E$35/'AEO 2022 Table 1'!$C$35</f>
        <v>1.2147860175632028</v>
      </c>
      <c r="F71">
        <f>'AEO 2023 Table 1'!F$35/'AEO 2022 Table 1'!$C$35</f>
        <v>1.2298353337695749</v>
      </c>
      <c r="G71">
        <f>'AEO 2023 Table 1'!G$35/'AEO 2022 Table 1'!$C$35</f>
        <v>1.2592310197593499</v>
      </c>
      <c r="H71">
        <f>'AEO 2023 Table 1'!H$35/'AEO 2022 Table 1'!$C$35</f>
        <v>1.2842058462338315</v>
      </c>
      <c r="I71">
        <f>'AEO 2023 Table 1'!I$35/'AEO 2022 Table 1'!$C$35</f>
        <v>1.2929817107240713</v>
      </c>
      <c r="J71">
        <f>'AEO 2023 Table 1'!J$35/'AEO 2022 Table 1'!$C$35</f>
        <v>1.3075575554938046</v>
      </c>
      <c r="K71">
        <f>'AEO 2023 Table 1'!K$35/'AEO 2022 Table 1'!$C$35</f>
        <v>1.3268244307197687</v>
      </c>
      <c r="L71">
        <f>'AEO 2023 Table 1'!L$35/'AEO 2022 Table 1'!$C$35</f>
        <v>1.3342790212652798</v>
      </c>
      <c r="M71">
        <f>'AEO 2023 Table 1'!M$35/'AEO 2022 Table 1'!$C$35</f>
        <v>1.3424690671901565</v>
      </c>
      <c r="N71">
        <f>'AEO 2023 Table 1'!N$35/'AEO 2022 Table 1'!$C$35</f>
        <v>1.3454974199003815</v>
      </c>
      <c r="O71">
        <f>'AEO 2023 Table 1'!O$35/'AEO 2022 Table 1'!$C$35</f>
        <v>1.3598797049095097</v>
      </c>
      <c r="P71">
        <f>'AEO 2023 Table 1'!P$35/'AEO 2022 Table 1'!$C$35</f>
        <v>1.3731912859264306</v>
      </c>
      <c r="Q71">
        <f>'AEO 2023 Table 1'!Q$35/'AEO 2022 Table 1'!$C$35</f>
        <v>1.3790374002396339</v>
      </c>
      <c r="R71">
        <f>'AEO 2023 Table 1'!R$35/'AEO 2022 Table 1'!$C$35</f>
        <v>1.3811566375938591</v>
      </c>
      <c r="S71">
        <f>'AEO 2023 Table 1'!S$35/'AEO 2022 Table 1'!$C$35</f>
        <v>1.3817305640961286</v>
      </c>
      <c r="T71">
        <f>'AEO 2023 Table 1'!T$35/'AEO 2022 Table 1'!$C$35</f>
        <v>1.3904628641944323</v>
      </c>
      <c r="U71">
        <f>'AEO 2023 Table 1'!U$35/'AEO 2022 Table 1'!$C$35</f>
        <v>1.3776772231136289</v>
      </c>
      <c r="V71">
        <f>'AEO 2023 Table 1'!V$35/'AEO 2022 Table 1'!$C$35</f>
        <v>1.3827777827577035</v>
      </c>
      <c r="W71">
        <f>'AEO 2023 Table 1'!W$35/'AEO 2022 Table 1'!$C$35</f>
        <v>1.3870183490350396</v>
      </c>
      <c r="X71">
        <f>'AEO 2023 Table 1'!X$35/'AEO 2022 Table 1'!$C$35</f>
        <v>1.3886189968238032</v>
      </c>
      <c r="Y71">
        <f>'AEO 2023 Table 1'!Y$35/'AEO 2022 Table 1'!$C$35</f>
        <v>1.3875101067596518</v>
      </c>
      <c r="Z71">
        <f>'AEO 2023 Table 1'!Z$35/'AEO 2022 Table 1'!$C$35</f>
        <v>1.3826019116939616</v>
      </c>
      <c r="AA71">
        <f>'AEO 2023 Table 1'!AA$35/'AEO 2022 Table 1'!$C$35</f>
        <v>1.3624602826008361</v>
      </c>
      <c r="AB71">
        <f>'AEO 2023 Table 1'!AB$35/'AEO 2022 Table 1'!$C$35</f>
        <v>1.3464271521496844</v>
      </c>
      <c r="AC71">
        <f>'AEO 2023 Table 1'!AC$35/'AEO 2022 Table 1'!$C$35</f>
        <v>1.3454135181085045</v>
      </c>
      <c r="AD71">
        <f>'AEO 2023 Table 1'!AD$35/'AEO 2022 Table 1'!$C$35</f>
        <v>1.3387617912195939</v>
      </c>
      <c r="AE71">
        <f>'AEO 2023 Table 1'!AE$35/'AEO 2022 Table 1'!$C$35</f>
        <v>1.3105941549613507</v>
      </c>
    </row>
    <row r="72" spans="1:33" x14ac:dyDescent="0.75">
      <c r="A72" t="s">
        <v>1047</v>
      </c>
      <c r="B72">
        <v>1</v>
      </c>
      <c r="C72">
        <v>1</v>
      </c>
      <c r="D72">
        <v>1</v>
      </c>
      <c r="E72">
        <v>1</v>
      </c>
      <c r="F72">
        <v>1</v>
      </c>
      <c r="G72">
        <v>1</v>
      </c>
      <c r="H72">
        <v>1</v>
      </c>
      <c r="I72">
        <v>1</v>
      </c>
      <c r="J72">
        <v>1</v>
      </c>
      <c r="K72">
        <v>1</v>
      </c>
      <c r="L72">
        <v>1</v>
      </c>
      <c r="M72">
        <v>1</v>
      </c>
      <c r="N72">
        <v>1</v>
      </c>
      <c r="O72">
        <v>1</v>
      </c>
      <c r="P72">
        <v>1</v>
      </c>
      <c r="Q72">
        <v>1</v>
      </c>
      <c r="R72">
        <v>1</v>
      </c>
      <c r="S72">
        <v>1</v>
      </c>
      <c r="T72">
        <v>1</v>
      </c>
      <c r="U72">
        <v>1</v>
      </c>
      <c r="V72">
        <v>1</v>
      </c>
      <c r="W72">
        <v>1</v>
      </c>
      <c r="X72">
        <v>1</v>
      </c>
      <c r="Y72">
        <v>1</v>
      </c>
      <c r="Z72">
        <v>1</v>
      </c>
      <c r="AA72">
        <v>1</v>
      </c>
      <c r="AB72">
        <v>1</v>
      </c>
      <c r="AC72">
        <v>1</v>
      </c>
      <c r="AD72">
        <v>1</v>
      </c>
      <c r="AE72">
        <v>1</v>
      </c>
    </row>
    <row r="73" spans="1:33" x14ac:dyDescent="0.75">
      <c r="A73" t="s">
        <v>1048</v>
      </c>
      <c r="B73">
        <v>1</v>
      </c>
      <c r="C73">
        <v>1</v>
      </c>
      <c r="D73">
        <v>1</v>
      </c>
      <c r="E73">
        <v>1</v>
      </c>
      <c r="F73">
        <v>1</v>
      </c>
      <c r="G73">
        <v>1</v>
      </c>
      <c r="H73">
        <v>1</v>
      </c>
      <c r="I73">
        <v>1</v>
      </c>
      <c r="J73">
        <v>1</v>
      </c>
      <c r="K73">
        <v>1</v>
      </c>
      <c r="L73">
        <v>1</v>
      </c>
      <c r="M73">
        <v>1</v>
      </c>
      <c r="N73">
        <v>1</v>
      </c>
      <c r="O73">
        <v>1</v>
      </c>
      <c r="P73">
        <v>1</v>
      </c>
      <c r="Q73">
        <v>1</v>
      </c>
      <c r="R73">
        <v>1</v>
      </c>
      <c r="S73">
        <v>1</v>
      </c>
      <c r="T73">
        <v>1</v>
      </c>
      <c r="U73">
        <v>1</v>
      </c>
      <c r="V73">
        <v>1</v>
      </c>
      <c r="W73">
        <v>1</v>
      </c>
      <c r="X73">
        <v>1</v>
      </c>
      <c r="Y73">
        <v>1</v>
      </c>
      <c r="Z73">
        <v>1</v>
      </c>
      <c r="AA73">
        <v>1</v>
      </c>
      <c r="AB73">
        <v>1</v>
      </c>
      <c r="AC73">
        <v>1</v>
      </c>
      <c r="AD73">
        <v>1</v>
      </c>
      <c r="AE73">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094C6-63B5-463A-9907-BEF2A37240C4}">
  <dimension ref="A1:AI80"/>
  <sheetViews>
    <sheetView topLeftCell="A60" zoomScale="80" zoomScaleNormal="80" workbookViewId="0">
      <selection activeCell="D76" sqref="D76"/>
    </sheetView>
  </sheetViews>
  <sheetFormatPr defaultColWidth="8.86328125" defaultRowHeight="14.75" x14ac:dyDescent="0.75"/>
  <cols>
    <col min="3" max="3" width="12" bestFit="1" customWidth="1"/>
    <col min="4" max="4" width="11.86328125" bestFit="1" customWidth="1"/>
    <col min="5" max="5" width="23.86328125" bestFit="1" customWidth="1"/>
  </cols>
  <sheetData>
    <row r="1" spans="1:35" x14ac:dyDescent="0.75">
      <c r="A1" s="1" t="s">
        <v>1058</v>
      </c>
    </row>
    <row r="2" spans="1:35" ht="16" x14ac:dyDescent="0.8">
      <c r="B2" s="202" t="s">
        <v>1059</v>
      </c>
    </row>
    <row r="3" spans="1:35" x14ac:dyDescent="0.75">
      <c r="B3" s="199" t="s">
        <v>956</v>
      </c>
    </row>
    <row r="4" spans="1:35" x14ac:dyDescent="0.75">
      <c r="B4" s="199" t="s">
        <v>956</v>
      </c>
      <c r="C4" s="3" t="s">
        <v>956</v>
      </c>
      <c r="D4" s="3" t="s">
        <v>956</v>
      </c>
      <c r="E4" s="3" t="s">
        <v>956</v>
      </c>
      <c r="F4" s="3" t="s">
        <v>956</v>
      </c>
      <c r="G4" s="3" t="s">
        <v>956</v>
      </c>
      <c r="H4" s="3" t="s">
        <v>956</v>
      </c>
      <c r="I4" s="3" t="s">
        <v>956</v>
      </c>
      <c r="J4" s="3" t="s">
        <v>956</v>
      </c>
      <c r="K4" s="3" t="s">
        <v>956</v>
      </c>
      <c r="L4" s="3" t="s">
        <v>956</v>
      </c>
      <c r="M4" s="3" t="s">
        <v>956</v>
      </c>
      <c r="N4" s="3" t="s">
        <v>956</v>
      </c>
      <c r="O4" s="3" t="s">
        <v>956</v>
      </c>
      <c r="P4" s="3" t="s">
        <v>956</v>
      </c>
      <c r="Q4" s="3" t="s">
        <v>956</v>
      </c>
      <c r="R4" s="3" t="s">
        <v>956</v>
      </c>
      <c r="S4" s="3" t="s">
        <v>956</v>
      </c>
      <c r="T4" s="3" t="s">
        <v>956</v>
      </c>
      <c r="U4" s="3" t="s">
        <v>956</v>
      </c>
      <c r="V4" s="3" t="s">
        <v>956</v>
      </c>
      <c r="W4" s="3" t="s">
        <v>956</v>
      </c>
      <c r="X4" s="3" t="s">
        <v>956</v>
      </c>
      <c r="Y4" s="3" t="s">
        <v>956</v>
      </c>
      <c r="Z4" s="3" t="s">
        <v>956</v>
      </c>
      <c r="AA4" s="3" t="s">
        <v>956</v>
      </c>
      <c r="AB4" s="3" t="s">
        <v>956</v>
      </c>
      <c r="AC4" s="3" t="s">
        <v>956</v>
      </c>
      <c r="AD4" s="3" t="s">
        <v>956</v>
      </c>
      <c r="AE4" s="3" t="s">
        <v>956</v>
      </c>
      <c r="AF4" s="3" t="s">
        <v>956</v>
      </c>
      <c r="AG4" s="3" t="s">
        <v>956</v>
      </c>
      <c r="AH4" s="3" t="s">
        <v>956</v>
      </c>
      <c r="AI4" s="3" t="s">
        <v>1060</v>
      </c>
    </row>
    <row r="5" spans="1:35" ht="15.5" thickBot="1" x14ac:dyDescent="0.9">
      <c r="B5" s="200" t="s">
        <v>554</v>
      </c>
      <c r="C5" s="200">
        <v>2019</v>
      </c>
      <c r="D5" s="200">
        <v>2020</v>
      </c>
      <c r="E5" s="200">
        <v>2021</v>
      </c>
      <c r="F5" s="200">
        <v>2022</v>
      </c>
      <c r="G5" s="200">
        <v>2023</v>
      </c>
      <c r="H5" s="200">
        <v>2024</v>
      </c>
      <c r="I5" s="200">
        <v>2025</v>
      </c>
      <c r="J5" s="200">
        <v>2026</v>
      </c>
      <c r="K5" s="200">
        <v>2027</v>
      </c>
      <c r="L5" s="200">
        <v>2028</v>
      </c>
      <c r="M5" s="200">
        <v>2029</v>
      </c>
      <c r="N5" s="200">
        <v>2030</v>
      </c>
      <c r="O5" s="200">
        <v>2031</v>
      </c>
      <c r="P5" s="200">
        <v>2032</v>
      </c>
      <c r="Q5" s="200">
        <v>2033</v>
      </c>
      <c r="R5" s="200">
        <v>2034</v>
      </c>
      <c r="S5" s="200">
        <v>2035</v>
      </c>
      <c r="T5" s="200">
        <v>2036</v>
      </c>
      <c r="U5" s="200">
        <v>2037</v>
      </c>
      <c r="V5" s="200">
        <v>2038</v>
      </c>
      <c r="W5" s="200">
        <v>2039</v>
      </c>
      <c r="X5" s="200">
        <v>2040</v>
      </c>
      <c r="Y5" s="200">
        <v>2041</v>
      </c>
      <c r="Z5" s="200">
        <v>2042</v>
      </c>
      <c r="AA5" s="200">
        <v>2043</v>
      </c>
      <c r="AB5" s="200">
        <v>2044</v>
      </c>
      <c r="AC5" s="200">
        <v>2045</v>
      </c>
      <c r="AD5" s="200">
        <v>2046</v>
      </c>
      <c r="AE5" s="200">
        <v>2047</v>
      </c>
      <c r="AF5" s="200">
        <v>2048</v>
      </c>
      <c r="AG5" s="200">
        <v>2049</v>
      </c>
      <c r="AH5" s="200">
        <v>2050</v>
      </c>
      <c r="AI5" s="200">
        <v>2050</v>
      </c>
    </row>
    <row r="6" spans="1:35" ht="15.5" thickTop="1" x14ac:dyDescent="0.75"/>
    <row r="7" spans="1:35" ht="61.75" x14ac:dyDescent="0.75">
      <c r="B7" s="204" t="s">
        <v>703</v>
      </c>
    </row>
    <row r="8" spans="1:35" ht="25" x14ac:dyDescent="0.75">
      <c r="B8" s="204" t="s">
        <v>557</v>
      </c>
      <c r="C8" s="205">
        <v>33.481929999999998</v>
      </c>
      <c r="D8" s="205">
        <v>34.456200000000003</v>
      </c>
      <c r="E8" s="205">
        <v>35.702247999999997</v>
      </c>
      <c r="F8" s="205">
        <v>35.953856999999999</v>
      </c>
      <c r="G8" s="205">
        <v>36.198410000000003</v>
      </c>
      <c r="H8" s="205">
        <v>36.664684000000001</v>
      </c>
      <c r="I8" s="205">
        <v>37.589039</v>
      </c>
      <c r="J8" s="205">
        <v>38.234501000000002</v>
      </c>
      <c r="K8" s="205">
        <v>38.406120000000001</v>
      </c>
      <c r="L8" s="205">
        <v>38.933230999999999</v>
      </c>
      <c r="M8" s="205">
        <v>39.218322999999998</v>
      </c>
      <c r="N8" s="205">
        <v>39.172600000000003</v>
      </c>
      <c r="O8" s="205">
        <v>39.334068000000002</v>
      </c>
      <c r="P8" s="205">
        <v>39.626244</v>
      </c>
      <c r="Q8" s="205">
        <v>39.977119000000002</v>
      </c>
      <c r="R8" s="205">
        <v>40.476387000000003</v>
      </c>
      <c r="S8" s="205">
        <v>40.702357999999997</v>
      </c>
      <c r="T8" s="205">
        <v>40.948742000000003</v>
      </c>
      <c r="U8" s="205">
        <v>41.216800999999997</v>
      </c>
      <c r="V8" s="205">
        <v>41.467945</v>
      </c>
      <c r="W8" s="205">
        <v>41.696528999999998</v>
      </c>
      <c r="X8" s="205">
        <v>42.022109999999998</v>
      </c>
      <c r="Y8" s="205">
        <v>42.227421</v>
      </c>
      <c r="Z8" s="205">
        <v>42.447173999999997</v>
      </c>
      <c r="AA8" s="205">
        <v>42.678153999999999</v>
      </c>
      <c r="AB8" s="205">
        <v>42.884372999999997</v>
      </c>
      <c r="AC8" s="205">
        <v>43.042659999999998</v>
      </c>
      <c r="AD8" s="205">
        <v>43.254784000000001</v>
      </c>
      <c r="AE8" s="205">
        <v>43.615932000000001</v>
      </c>
      <c r="AF8" s="205">
        <v>44.061774999999997</v>
      </c>
      <c r="AG8" s="205">
        <v>44.417220999999998</v>
      </c>
      <c r="AH8" s="205">
        <v>44.650413999999998</v>
      </c>
      <c r="AI8" s="206">
        <v>9.3290000000000005E-3</v>
      </c>
    </row>
    <row r="10" spans="1:35" ht="16" x14ac:dyDescent="0.8">
      <c r="B10" s="202" t="s">
        <v>1061</v>
      </c>
    </row>
    <row r="11" spans="1:35" x14ac:dyDescent="0.75">
      <c r="B11" s="199" t="s">
        <v>956</v>
      </c>
    </row>
    <row r="12" spans="1:35" x14ac:dyDescent="0.75">
      <c r="B12" s="199" t="s">
        <v>956</v>
      </c>
      <c r="C12" s="3" t="s">
        <v>956</v>
      </c>
      <c r="D12" s="3" t="s">
        <v>956</v>
      </c>
      <c r="E12" s="3" t="s">
        <v>956</v>
      </c>
      <c r="F12" s="3" t="s">
        <v>956</v>
      </c>
      <c r="G12" s="3" t="s">
        <v>956</v>
      </c>
      <c r="H12" s="3" t="s">
        <v>956</v>
      </c>
      <c r="I12" s="3" t="s">
        <v>956</v>
      </c>
      <c r="J12" s="3" t="s">
        <v>956</v>
      </c>
      <c r="K12" s="3" t="s">
        <v>956</v>
      </c>
      <c r="L12" s="3" t="s">
        <v>956</v>
      </c>
      <c r="M12" s="3" t="s">
        <v>956</v>
      </c>
      <c r="N12" s="3" t="s">
        <v>956</v>
      </c>
      <c r="O12" s="3" t="s">
        <v>956</v>
      </c>
      <c r="P12" s="3" t="s">
        <v>956</v>
      </c>
      <c r="Q12" s="3" t="s">
        <v>956</v>
      </c>
      <c r="R12" s="3" t="s">
        <v>956</v>
      </c>
      <c r="S12" s="3" t="s">
        <v>956</v>
      </c>
      <c r="T12" s="3" t="s">
        <v>956</v>
      </c>
      <c r="U12" s="3" t="s">
        <v>956</v>
      </c>
      <c r="V12" s="3" t="s">
        <v>956</v>
      </c>
      <c r="W12" s="3" t="s">
        <v>956</v>
      </c>
      <c r="X12" s="3" t="s">
        <v>956</v>
      </c>
      <c r="Y12" s="3" t="s">
        <v>956</v>
      </c>
      <c r="Z12" s="3" t="s">
        <v>956</v>
      </c>
      <c r="AA12" s="3" t="s">
        <v>956</v>
      </c>
      <c r="AB12" s="3" t="s">
        <v>956</v>
      </c>
      <c r="AC12" s="3" t="s">
        <v>956</v>
      </c>
      <c r="AD12" s="3" t="s">
        <v>956</v>
      </c>
      <c r="AE12" s="3" t="s">
        <v>956</v>
      </c>
      <c r="AF12" s="3" t="s">
        <v>956</v>
      </c>
      <c r="AG12" s="3" t="s">
        <v>956</v>
      </c>
      <c r="AH12" s="3" t="s">
        <v>956</v>
      </c>
      <c r="AI12" s="3" t="s">
        <v>1060</v>
      </c>
    </row>
    <row r="13" spans="1:35" ht="15.5" thickBot="1" x14ac:dyDescent="0.9">
      <c r="B13" s="200" t="s">
        <v>554</v>
      </c>
      <c r="C13" s="200">
        <v>2019</v>
      </c>
      <c r="D13" s="200">
        <v>2020</v>
      </c>
      <c r="E13" s="200">
        <v>2021</v>
      </c>
      <c r="F13" s="200">
        <v>2022</v>
      </c>
      <c r="G13" s="200">
        <v>2023</v>
      </c>
      <c r="H13" s="200">
        <v>2024</v>
      </c>
      <c r="I13" s="200">
        <v>2025</v>
      </c>
      <c r="J13" s="200">
        <v>2026</v>
      </c>
      <c r="K13" s="200">
        <v>2027</v>
      </c>
      <c r="L13" s="200">
        <v>2028</v>
      </c>
      <c r="M13" s="200">
        <v>2029</v>
      </c>
      <c r="N13" s="200">
        <v>2030</v>
      </c>
      <c r="O13" s="200">
        <v>2031</v>
      </c>
      <c r="P13" s="200">
        <v>2032</v>
      </c>
      <c r="Q13" s="200">
        <v>2033</v>
      </c>
      <c r="R13" s="200">
        <v>2034</v>
      </c>
      <c r="S13" s="200">
        <v>2035</v>
      </c>
      <c r="T13" s="200">
        <v>2036</v>
      </c>
      <c r="U13" s="200">
        <v>2037</v>
      </c>
      <c r="V13" s="200">
        <v>2038</v>
      </c>
      <c r="W13" s="200">
        <v>2039</v>
      </c>
      <c r="X13" s="200">
        <v>2040</v>
      </c>
      <c r="Y13" s="200">
        <v>2041</v>
      </c>
      <c r="Z13" s="200">
        <v>2042</v>
      </c>
      <c r="AA13" s="200">
        <v>2043</v>
      </c>
      <c r="AB13" s="200">
        <v>2044</v>
      </c>
      <c r="AC13" s="200">
        <v>2045</v>
      </c>
      <c r="AD13" s="200">
        <v>2046</v>
      </c>
      <c r="AE13" s="200">
        <v>2047</v>
      </c>
      <c r="AF13" s="200">
        <v>2048</v>
      </c>
      <c r="AG13" s="200">
        <v>2049</v>
      </c>
      <c r="AH13" s="200">
        <v>2050</v>
      </c>
      <c r="AI13" s="200">
        <v>2050</v>
      </c>
    </row>
    <row r="14" spans="1:35" ht="15.5" thickTop="1" x14ac:dyDescent="0.75"/>
    <row r="15" spans="1:35" ht="25" x14ac:dyDescent="0.75">
      <c r="B15" s="204" t="s">
        <v>555</v>
      </c>
    </row>
    <row r="16" spans="1:35" ht="37.25" x14ac:dyDescent="0.75">
      <c r="B16" s="204" t="s">
        <v>465</v>
      </c>
    </row>
    <row r="17" spans="1:35" ht="25" x14ac:dyDescent="0.75">
      <c r="B17" s="204" t="s">
        <v>557</v>
      </c>
      <c r="C17" s="205">
        <v>11.781784</v>
      </c>
      <c r="D17" s="205">
        <v>12.683258</v>
      </c>
      <c r="E17" s="205">
        <v>13.176125000000001</v>
      </c>
      <c r="F17" s="205">
        <v>13.561418</v>
      </c>
      <c r="G17" s="205">
        <v>13.616714</v>
      </c>
      <c r="H17" s="205">
        <v>13.699555999999999</v>
      </c>
      <c r="I17" s="205">
        <v>13.691725</v>
      </c>
      <c r="J17" s="205">
        <v>13.733547</v>
      </c>
      <c r="K17" s="205">
        <v>13.688494</v>
      </c>
      <c r="L17" s="205">
        <v>13.582602</v>
      </c>
      <c r="M17" s="205">
        <v>13.614253</v>
      </c>
      <c r="N17" s="205">
        <v>13.744717</v>
      </c>
      <c r="O17" s="205">
        <v>13.801194000000001</v>
      </c>
      <c r="P17" s="205">
        <v>13.843477999999999</v>
      </c>
      <c r="Q17" s="205">
        <v>13.791525999999999</v>
      </c>
      <c r="R17" s="205">
        <v>13.673989000000001</v>
      </c>
      <c r="S17" s="205">
        <v>13.611382000000001</v>
      </c>
      <c r="T17" s="205">
        <v>13.519729999999999</v>
      </c>
      <c r="U17" s="205">
        <v>13.369337</v>
      </c>
      <c r="V17" s="205">
        <v>13.192415</v>
      </c>
      <c r="W17" s="205">
        <v>13.089347</v>
      </c>
      <c r="X17" s="205">
        <v>13.066312999999999</v>
      </c>
      <c r="Y17" s="205">
        <v>13.085129999999999</v>
      </c>
      <c r="Z17" s="205">
        <v>13.143737</v>
      </c>
      <c r="AA17" s="205">
        <v>13.138465999999999</v>
      </c>
      <c r="AB17" s="205">
        <v>13.017924000000001</v>
      </c>
      <c r="AC17" s="205">
        <v>12.827419000000001</v>
      </c>
      <c r="AD17" s="205">
        <v>12.595860999999999</v>
      </c>
      <c r="AE17" s="205">
        <v>12.357331</v>
      </c>
      <c r="AF17" s="205">
        <v>12.179990999999999</v>
      </c>
      <c r="AG17" s="205">
        <v>11.955242</v>
      </c>
      <c r="AH17" s="205">
        <v>11.484654000000001</v>
      </c>
      <c r="AI17" s="206">
        <v>-8.2399999999999997E-4</v>
      </c>
    </row>
    <row r="19" spans="1:35" x14ac:dyDescent="0.75">
      <c r="A19" s="1" t="s">
        <v>1062</v>
      </c>
    </row>
    <row r="20" spans="1:35" ht="16" x14ac:dyDescent="0.8">
      <c r="B20" s="223" t="s">
        <v>702</v>
      </c>
      <c r="AH20" s="203" t="s">
        <v>1063</v>
      </c>
    </row>
    <row r="21" spans="1:35" x14ac:dyDescent="0.75">
      <c r="B21" s="222"/>
      <c r="AH21" s="203" t="s">
        <v>1064</v>
      </c>
    </row>
    <row r="22" spans="1:35" x14ac:dyDescent="0.75">
      <c r="B22" s="222"/>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c r="AG22" s="3"/>
      <c r="AH22" s="203" t="s">
        <v>1065</v>
      </c>
    </row>
    <row r="23" spans="1:35" ht="15.5" thickBot="1" x14ac:dyDescent="0.9">
      <c r="B23" s="219" t="s">
        <v>554</v>
      </c>
      <c r="C23" s="219">
        <v>2020</v>
      </c>
      <c r="D23" s="219">
        <v>2021</v>
      </c>
      <c r="E23" s="219">
        <v>2022</v>
      </c>
      <c r="F23" s="219">
        <v>2023</v>
      </c>
      <c r="G23" s="219">
        <v>2024</v>
      </c>
      <c r="H23" s="219">
        <v>2025</v>
      </c>
      <c r="I23" s="219">
        <v>2026</v>
      </c>
      <c r="J23" s="219">
        <v>2027</v>
      </c>
      <c r="K23" s="219">
        <v>2028</v>
      </c>
      <c r="L23" s="219">
        <v>2029</v>
      </c>
      <c r="M23" s="219">
        <v>2030</v>
      </c>
      <c r="N23" s="219">
        <v>2031</v>
      </c>
      <c r="O23" s="219">
        <v>2032</v>
      </c>
      <c r="P23" s="219">
        <v>2033</v>
      </c>
      <c r="Q23" s="219">
        <v>2034</v>
      </c>
      <c r="R23" s="219">
        <v>2035</v>
      </c>
      <c r="S23" s="219">
        <v>2036</v>
      </c>
      <c r="T23" s="219">
        <v>2037</v>
      </c>
      <c r="U23" s="219">
        <v>2038</v>
      </c>
      <c r="V23" s="219">
        <v>2039</v>
      </c>
      <c r="W23" s="219">
        <v>2040</v>
      </c>
      <c r="X23" s="219">
        <v>2041</v>
      </c>
      <c r="Y23" s="219">
        <v>2042</v>
      </c>
      <c r="Z23" s="219">
        <v>2043</v>
      </c>
      <c r="AA23" s="219">
        <v>2044</v>
      </c>
      <c r="AB23" s="219">
        <v>2045</v>
      </c>
      <c r="AC23" s="219">
        <v>2046</v>
      </c>
      <c r="AD23" s="219">
        <v>2047</v>
      </c>
      <c r="AE23" s="219">
        <v>2048</v>
      </c>
      <c r="AF23" s="219">
        <v>2049</v>
      </c>
      <c r="AG23" s="219">
        <v>2050</v>
      </c>
      <c r="AH23" s="239" t="s">
        <v>1066</v>
      </c>
    </row>
    <row r="24" spans="1:35" ht="15.5" thickTop="1" x14ac:dyDescent="0.75"/>
    <row r="25" spans="1:35" ht="61.75" x14ac:dyDescent="0.75">
      <c r="B25" s="215" t="s">
        <v>703</v>
      </c>
    </row>
    <row r="26" spans="1:35" ht="25" x14ac:dyDescent="0.75">
      <c r="B26" s="215" t="s">
        <v>557</v>
      </c>
      <c r="C26" s="217">
        <v>33.560645999999998</v>
      </c>
      <c r="D26" s="217">
        <v>31.985188999999998</v>
      </c>
      <c r="E26" s="217">
        <v>32.454051999999997</v>
      </c>
      <c r="F26" s="217">
        <v>33.681125999999999</v>
      </c>
      <c r="G26" s="217">
        <v>34.625038000000004</v>
      </c>
      <c r="H26" s="217">
        <v>35.919364999999999</v>
      </c>
      <c r="I26" s="217">
        <v>36.538918000000002</v>
      </c>
      <c r="J26" s="217">
        <v>36.669884000000003</v>
      </c>
      <c r="K26" s="217">
        <v>36.849013999999997</v>
      </c>
      <c r="L26" s="217">
        <v>37.198405999999999</v>
      </c>
      <c r="M26" s="217">
        <v>37.538455999999996</v>
      </c>
      <c r="N26" s="217">
        <v>37.787768999999997</v>
      </c>
      <c r="O26" s="217">
        <v>37.944546000000003</v>
      </c>
      <c r="P26" s="217">
        <v>38.110557999999997</v>
      </c>
      <c r="Q26" s="217">
        <v>38.251246999999999</v>
      </c>
      <c r="R26" s="217">
        <v>38.255732999999999</v>
      </c>
      <c r="S26" s="217">
        <v>38.418925999999999</v>
      </c>
      <c r="T26" s="217">
        <v>38.630833000000003</v>
      </c>
      <c r="U26" s="217">
        <v>38.939323000000002</v>
      </c>
      <c r="V26" s="217">
        <v>39.238064000000001</v>
      </c>
      <c r="W26" s="217">
        <v>39.566822000000002</v>
      </c>
      <c r="X26" s="217">
        <v>39.754662000000003</v>
      </c>
      <c r="Y26" s="217">
        <v>40.130580999999999</v>
      </c>
      <c r="Z26" s="217">
        <v>40.541694999999997</v>
      </c>
      <c r="AA26" s="217">
        <v>40.907401999999998</v>
      </c>
      <c r="AB26" s="217">
        <v>41.163550999999998</v>
      </c>
      <c r="AC26" s="217">
        <v>41.430427999999999</v>
      </c>
      <c r="AD26" s="217">
        <v>41.693947000000001</v>
      </c>
      <c r="AE26" s="217">
        <v>42.022243000000003</v>
      </c>
      <c r="AF26" s="217">
        <v>42.290173000000003</v>
      </c>
      <c r="AG26" s="217">
        <v>42.628677000000003</v>
      </c>
      <c r="AH26" s="216">
        <v>8.0040000000000007E-3</v>
      </c>
    </row>
    <row r="28" spans="1:35" ht="16" x14ac:dyDescent="0.8">
      <c r="B28" s="223" t="s">
        <v>553</v>
      </c>
      <c r="AH28" s="203" t="s">
        <v>1063</v>
      </c>
    </row>
    <row r="29" spans="1:35" x14ac:dyDescent="0.75">
      <c r="B29" s="222"/>
      <c r="AH29" s="203" t="s">
        <v>1064</v>
      </c>
    </row>
    <row r="30" spans="1:35" x14ac:dyDescent="0.75">
      <c r="B30" s="222"/>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203" t="s">
        <v>1065</v>
      </c>
    </row>
    <row r="31" spans="1:35" ht="15.5" thickBot="1" x14ac:dyDescent="0.9">
      <c r="B31" s="219" t="s">
        <v>554</v>
      </c>
      <c r="C31" s="219">
        <v>2020</v>
      </c>
      <c r="D31" s="219">
        <v>2021</v>
      </c>
      <c r="E31" s="219">
        <v>2022</v>
      </c>
      <c r="F31" s="219">
        <v>2023</v>
      </c>
      <c r="G31" s="219">
        <v>2024</v>
      </c>
      <c r="H31" s="219">
        <v>2025</v>
      </c>
      <c r="I31" s="219">
        <v>2026</v>
      </c>
      <c r="J31" s="219">
        <v>2027</v>
      </c>
      <c r="K31" s="219">
        <v>2028</v>
      </c>
      <c r="L31" s="219">
        <v>2029</v>
      </c>
      <c r="M31" s="219">
        <v>2030</v>
      </c>
      <c r="N31" s="219">
        <v>2031</v>
      </c>
      <c r="O31" s="219">
        <v>2032</v>
      </c>
      <c r="P31" s="219">
        <v>2033</v>
      </c>
      <c r="Q31" s="219">
        <v>2034</v>
      </c>
      <c r="R31" s="219">
        <v>2035</v>
      </c>
      <c r="S31" s="219">
        <v>2036</v>
      </c>
      <c r="T31" s="219">
        <v>2037</v>
      </c>
      <c r="U31" s="219">
        <v>2038</v>
      </c>
      <c r="V31" s="219">
        <v>2039</v>
      </c>
      <c r="W31" s="219">
        <v>2040</v>
      </c>
      <c r="X31" s="219">
        <v>2041</v>
      </c>
      <c r="Y31" s="219">
        <v>2042</v>
      </c>
      <c r="Z31" s="219">
        <v>2043</v>
      </c>
      <c r="AA31" s="219">
        <v>2044</v>
      </c>
      <c r="AB31" s="219">
        <v>2045</v>
      </c>
      <c r="AC31" s="219">
        <v>2046</v>
      </c>
      <c r="AD31" s="219">
        <v>2047</v>
      </c>
      <c r="AE31" s="219">
        <v>2048</v>
      </c>
      <c r="AF31" s="219">
        <v>2049</v>
      </c>
      <c r="AG31" s="219">
        <v>2050</v>
      </c>
      <c r="AH31" s="239" t="s">
        <v>1066</v>
      </c>
    </row>
    <row r="32" spans="1:35" ht="15.5" thickTop="1" x14ac:dyDescent="0.75"/>
    <row r="33" spans="1:34" ht="25" x14ac:dyDescent="0.75">
      <c r="B33" s="215" t="s">
        <v>555</v>
      </c>
    </row>
    <row r="34" spans="1:34" ht="37.25" x14ac:dyDescent="0.75">
      <c r="B34" s="215" t="s">
        <v>465</v>
      </c>
    </row>
    <row r="35" spans="1:34" ht="25" x14ac:dyDescent="0.75">
      <c r="B35" s="215" t="s">
        <v>557</v>
      </c>
      <c r="C35" s="217">
        <v>11.01248</v>
      </c>
      <c r="D35" s="217">
        <v>10.680626999999999</v>
      </c>
      <c r="E35" s="217">
        <v>11.154636999999999</v>
      </c>
      <c r="F35" s="217">
        <v>11.775717</v>
      </c>
      <c r="G35" s="217">
        <v>12.173921</v>
      </c>
      <c r="H35" s="217">
        <v>12.657028</v>
      </c>
      <c r="I35" s="217">
        <v>12.897634999999999</v>
      </c>
      <c r="J35" s="217">
        <v>12.955515999999999</v>
      </c>
      <c r="K35" s="217">
        <v>13.089359999999999</v>
      </c>
      <c r="L35" s="217">
        <v>13.121302999999999</v>
      </c>
      <c r="M35" s="217">
        <v>13.200219000000001</v>
      </c>
      <c r="N35" s="217">
        <v>13.215973999999999</v>
      </c>
      <c r="O35" s="217">
        <v>13.138102999999999</v>
      </c>
      <c r="P35" s="217">
        <v>13.190071</v>
      </c>
      <c r="Q35" s="217">
        <v>13.192655999999999</v>
      </c>
      <c r="R35" s="217">
        <v>13.092833000000001</v>
      </c>
      <c r="S35" s="217">
        <v>12.925025</v>
      </c>
      <c r="T35" s="217">
        <v>12.841607</v>
      </c>
      <c r="U35" s="217">
        <v>12.767832</v>
      </c>
      <c r="V35" s="217">
        <v>12.728712</v>
      </c>
      <c r="W35" s="217">
        <v>12.618632</v>
      </c>
      <c r="X35" s="217">
        <v>12.521488</v>
      </c>
      <c r="Y35" s="217">
        <v>12.537490999999999</v>
      </c>
      <c r="Z35" s="217">
        <v>12.570111000000001</v>
      </c>
      <c r="AA35" s="217">
        <v>12.559974</v>
      </c>
      <c r="AB35" s="217">
        <v>12.464836</v>
      </c>
      <c r="AC35" s="217">
        <v>12.518502</v>
      </c>
      <c r="AD35" s="217">
        <v>12.589702000000001</v>
      </c>
      <c r="AE35" s="217">
        <v>12.547648000000001</v>
      </c>
      <c r="AF35" s="217">
        <v>12.500969</v>
      </c>
      <c r="AG35" s="217">
        <v>12.255751</v>
      </c>
      <c r="AH35" s="216">
        <v>3.5720000000000001E-3</v>
      </c>
    </row>
    <row r="36" spans="1:34" x14ac:dyDescent="0.75">
      <c r="B36" s="215"/>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c r="AA36" s="217"/>
      <c r="AB36" s="217"/>
      <c r="AC36" s="217"/>
      <c r="AD36" s="217"/>
      <c r="AE36" s="217"/>
      <c r="AF36" s="217"/>
      <c r="AG36" s="217"/>
      <c r="AH36" s="216"/>
    </row>
    <row r="37" spans="1:34" x14ac:dyDescent="0.75">
      <c r="A37" s="1" t="s">
        <v>1067</v>
      </c>
    </row>
    <row r="38" spans="1:34" ht="16" x14ac:dyDescent="0.8">
      <c r="B38" s="223" t="s">
        <v>702</v>
      </c>
      <c r="AH38" s="203" t="s">
        <v>1063</v>
      </c>
    </row>
    <row r="39" spans="1:34" x14ac:dyDescent="0.75">
      <c r="B39" s="222"/>
      <c r="AH39" s="203" t="s">
        <v>1064</v>
      </c>
    </row>
    <row r="40" spans="1:34" x14ac:dyDescent="0.75">
      <c r="B40" s="222"/>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203" t="s">
        <v>1065</v>
      </c>
    </row>
    <row r="41" spans="1:34" ht="15.5" thickBot="1" x14ac:dyDescent="0.9">
      <c r="B41" s="219" t="s">
        <v>554</v>
      </c>
      <c r="C41" s="219">
        <v>2021</v>
      </c>
      <c r="D41" s="219">
        <v>2022</v>
      </c>
      <c r="E41" s="219">
        <v>2023</v>
      </c>
      <c r="F41" s="219">
        <v>2024</v>
      </c>
      <c r="G41" s="219">
        <v>2025</v>
      </c>
      <c r="H41" s="219">
        <v>2026</v>
      </c>
      <c r="I41" s="219">
        <v>2027</v>
      </c>
      <c r="J41" s="219">
        <v>2028</v>
      </c>
      <c r="K41" s="219">
        <v>2029</v>
      </c>
      <c r="L41" s="219">
        <v>2030</v>
      </c>
      <c r="M41" s="219">
        <v>2031</v>
      </c>
      <c r="N41" s="219">
        <v>2032</v>
      </c>
      <c r="O41" s="219">
        <v>2033</v>
      </c>
      <c r="P41" s="219">
        <v>2034</v>
      </c>
      <c r="Q41" s="219">
        <v>2035</v>
      </c>
      <c r="R41" s="219">
        <v>2036</v>
      </c>
      <c r="S41" s="219">
        <v>2037</v>
      </c>
      <c r="T41" s="219">
        <v>2038</v>
      </c>
      <c r="U41" s="219">
        <v>2039</v>
      </c>
      <c r="V41" s="219">
        <v>2040</v>
      </c>
      <c r="W41" s="219">
        <v>2041</v>
      </c>
      <c r="X41" s="219">
        <v>2042</v>
      </c>
      <c r="Y41" s="219">
        <v>2043</v>
      </c>
      <c r="Z41" s="219">
        <v>2044</v>
      </c>
      <c r="AA41" s="219">
        <v>2045</v>
      </c>
      <c r="AB41" s="219">
        <v>2046</v>
      </c>
      <c r="AC41" s="219">
        <v>2047</v>
      </c>
      <c r="AD41" s="219">
        <v>2048</v>
      </c>
      <c r="AE41" s="219">
        <v>2049</v>
      </c>
      <c r="AF41" s="219">
        <v>2050</v>
      </c>
      <c r="AG41" s="239" t="s">
        <v>1066</v>
      </c>
    </row>
    <row r="42" spans="1:34" ht="15.5" thickTop="1" x14ac:dyDescent="0.75"/>
    <row r="43" spans="1:34" ht="61.75" x14ac:dyDescent="0.75">
      <c r="B43" s="215" t="s">
        <v>703</v>
      </c>
    </row>
    <row r="44" spans="1:34" ht="25" x14ac:dyDescent="0.75">
      <c r="B44" s="215" t="s">
        <v>557</v>
      </c>
      <c r="C44" s="217">
        <v>34.068829000000001</v>
      </c>
      <c r="D44" s="217">
        <v>35.364215999999999</v>
      </c>
      <c r="E44" s="217">
        <v>35.726497999999999</v>
      </c>
      <c r="F44" s="217">
        <v>36.081386999999999</v>
      </c>
      <c r="G44" s="217">
        <v>36.148895000000003</v>
      </c>
      <c r="H44" s="217">
        <v>36.233414000000003</v>
      </c>
      <c r="I44" s="217">
        <v>36.378056000000001</v>
      </c>
      <c r="J44" s="217">
        <v>36.912776999999998</v>
      </c>
      <c r="K44" s="217">
        <v>37.165882000000003</v>
      </c>
      <c r="L44" s="217">
        <v>37.267997999999999</v>
      </c>
      <c r="M44" s="217">
        <v>37.580272999999998</v>
      </c>
      <c r="N44" s="217">
        <v>37.988171000000001</v>
      </c>
      <c r="O44" s="217">
        <v>38.143799000000001</v>
      </c>
      <c r="P44" s="217">
        <v>38.245750000000001</v>
      </c>
      <c r="Q44" s="217">
        <v>38.245846</v>
      </c>
      <c r="R44" s="217">
        <v>38.359172999999998</v>
      </c>
      <c r="S44" s="217">
        <v>38.550719999999998</v>
      </c>
      <c r="T44" s="217">
        <v>38.805916000000003</v>
      </c>
      <c r="U44" s="217">
        <v>39.012611</v>
      </c>
      <c r="V44" s="217">
        <v>39.299736000000003</v>
      </c>
      <c r="W44" s="217">
        <v>39.618110999999999</v>
      </c>
      <c r="X44" s="217">
        <v>39.912632000000002</v>
      </c>
      <c r="Y44" s="217">
        <v>40.157822000000003</v>
      </c>
      <c r="Z44" s="217">
        <v>40.671782999999998</v>
      </c>
      <c r="AA44" s="217">
        <v>40.964801999999999</v>
      </c>
      <c r="AB44" s="217">
        <v>41.200966000000001</v>
      </c>
      <c r="AC44" s="217">
        <v>41.447510000000001</v>
      </c>
      <c r="AD44" s="217">
        <v>41.676231000000001</v>
      </c>
      <c r="AE44" s="217">
        <v>41.874366999999999</v>
      </c>
      <c r="AF44" s="217">
        <v>42.192718999999997</v>
      </c>
      <c r="AG44" s="216">
        <v>7.0000000000000001E-3</v>
      </c>
    </row>
    <row r="46" spans="1:34" ht="16" x14ac:dyDescent="0.8">
      <c r="B46" s="223" t="s">
        <v>553</v>
      </c>
      <c r="AG46" s="203" t="s">
        <v>1063</v>
      </c>
    </row>
    <row r="47" spans="1:34" x14ac:dyDescent="0.75">
      <c r="B47" s="222"/>
      <c r="AG47" s="203" t="s">
        <v>1064</v>
      </c>
    </row>
    <row r="48" spans="1:34" x14ac:dyDescent="0.75">
      <c r="B48" s="222"/>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c r="AG48" s="203" t="s">
        <v>1065</v>
      </c>
    </row>
    <row r="49" spans="1:34" ht="15.5" thickBot="1" x14ac:dyDescent="0.9">
      <c r="B49" s="219" t="s">
        <v>554</v>
      </c>
      <c r="C49" s="219">
        <v>2021</v>
      </c>
      <c r="D49" s="219">
        <v>2022</v>
      </c>
      <c r="E49" s="219">
        <v>2023</v>
      </c>
      <c r="F49" s="219">
        <v>2024</v>
      </c>
      <c r="G49" s="219">
        <v>2025</v>
      </c>
      <c r="H49" s="219">
        <v>2026</v>
      </c>
      <c r="I49" s="219">
        <v>2027</v>
      </c>
      <c r="J49" s="219">
        <v>2028</v>
      </c>
      <c r="K49" s="219">
        <v>2029</v>
      </c>
      <c r="L49" s="219">
        <v>2030</v>
      </c>
      <c r="M49" s="219">
        <v>2031</v>
      </c>
      <c r="N49" s="219">
        <v>2032</v>
      </c>
      <c r="O49" s="219">
        <v>2033</v>
      </c>
      <c r="P49" s="219">
        <v>2034</v>
      </c>
      <c r="Q49" s="219">
        <v>2035</v>
      </c>
      <c r="R49" s="219">
        <v>2036</v>
      </c>
      <c r="S49" s="219">
        <v>2037</v>
      </c>
      <c r="T49" s="219">
        <v>2038</v>
      </c>
      <c r="U49" s="219">
        <v>2039</v>
      </c>
      <c r="V49" s="219">
        <v>2040</v>
      </c>
      <c r="W49" s="219">
        <v>2041</v>
      </c>
      <c r="X49" s="219">
        <v>2042</v>
      </c>
      <c r="Y49" s="219">
        <v>2043</v>
      </c>
      <c r="Z49" s="219">
        <v>2044</v>
      </c>
      <c r="AA49" s="219">
        <v>2045</v>
      </c>
      <c r="AB49" s="219">
        <v>2046</v>
      </c>
      <c r="AC49" s="219">
        <v>2047</v>
      </c>
      <c r="AD49" s="219">
        <v>2048</v>
      </c>
      <c r="AE49" s="219">
        <v>2049</v>
      </c>
      <c r="AF49" s="219">
        <v>2050</v>
      </c>
      <c r="AG49" s="239" t="s">
        <v>1066</v>
      </c>
    </row>
    <row r="50" spans="1:34" ht="15.5" thickTop="1" x14ac:dyDescent="0.75"/>
    <row r="51" spans="1:34" ht="25" x14ac:dyDescent="0.75">
      <c r="B51" s="215" t="s">
        <v>555</v>
      </c>
    </row>
    <row r="52" spans="1:34" ht="37.25" x14ac:dyDescent="0.75">
      <c r="B52" s="215" t="s">
        <v>465</v>
      </c>
    </row>
    <row r="53" spans="1:34" ht="25" x14ac:dyDescent="0.75">
      <c r="B53" s="215" t="s">
        <v>557</v>
      </c>
      <c r="C53" s="217">
        <v>10.691084999999999</v>
      </c>
      <c r="D53" s="217">
        <v>11.476932</v>
      </c>
      <c r="E53" s="217">
        <v>11.883072</v>
      </c>
      <c r="F53" s="217">
        <v>12.199154999999999</v>
      </c>
      <c r="G53" s="217">
        <v>12.596322000000001</v>
      </c>
      <c r="H53" s="217">
        <v>12.763109999999999</v>
      </c>
      <c r="I53" s="217">
        <v>12.690884</v>
      </c>
      <c r="J53" s="217">
        <v>12.838817000000001</v>
      </c>
      <c r="K53" s="217">
        <v>12.789038</v>
      </c>
      <c r="L53" s="217">
        <v>12.685532</v>
      </c>
      <c r="M53" s="217">
        <v>12.569252000000001</v>
      </c>
      <c r="N53" s="217">
        <v>12.411530000000001</v>
      </c>
      <c r="O53" s="217">
        <v>12.446615</v>
      </c>
      <c r="P53" s="217">
        <v>12.333498000000001</v>
      </c>
      <c r="Q53" s="217">
        <v>12.255712000000001</v>
      </c>
      <c r="R53" s="217">
        <v>12.187633999999999</v>
      </c>
      <c r="S53" s="217">
        <v>12.089727</v>
      </c>
      <c r="T53" s="217">
        <v>12.063274</v>
      </c>
      <c r="U53" s="217">
        <v>12.101564</v>
      </c>
      <c r="V53" s="217">
        <v>12.203722000000001</v>
      </c>
      <c r="W53" s="217">
        <v>12.176411</v>
      </c>
      <c r="X53" s="217">
        <v>12.154647000000001</v>
      </c>
      <c r="Y53" s="217">
        <v>12.040544000000001</v>
      </c>
      <c r="Z53" s="217">
        <v>12.072183000000001</v>
      </c>
      <c r="AA53" s="217">
        <v>12.142882999999999</v>
      </c>
      <c r="AB53" s="217">
        <v>12.149234</v>
      </c>
      <c r="AC53" s="217">
        <v>12.029591999999999</v>
      </c>
      <c r="AD53" s="217">
        <v>11.920388000000001</v>
      </c>
      <c r="AE53" s="217">
        <v>12.049524</v>
      </c>
      <c r="AF53" s="217">
        <v>12.168195000000001</v>
      </c>
      <c r="AG53" s="216">
        <v>4.0000000000000001E-3</v>
      </c>
    </row>
    <row r="55" spans="1:34" x14ac:dyDescent="0.75">
      <c r="A55" s="1" t="s">
        <v>1068</v>
      </c>
    </row>
    <row r="56" spans="1:34" x14ac:dyDescent="0.75">
      <c r="B56" t="s">
        <v>1069</v>
      </c>
      <c r="C56">
        <f>'AEO 2023 Table 59'!C13</f>
        <v>2022</v>
      </c>
      <c r="D56">
        <f>'AEO 2023 Table 59'!D13</f>
        <v>2023</v>
      </c>
      <c r="E56">
        <f>'AEO 2023 Table 59'!E13</f>
        <v>2024</v>
      </c>
      <c r="F56">
        <f>'AEO 2023 Table 59'!F13</f>
        <v>2025</v>
      </c>
      <c r="G56">
        <f>'AEO 2023 Table 59'!G13</f>
        <v>2026</v>
      </c>
      <c r="H56">
        <f>'AEO 2023 Table 59'!H13</f>
        <v>2027</v>
      </c>
      <c r="I56">
        <f>'AEO 2023 Table 59'!I13</f>
        <v>2028</v>
      </c>
      <c r="J56">
        <f>'AEO 2023 Table 59'!J13</f>
        <v>2029</v>
      </c>
      <c r="K56">
        <f>'AEO 2023 Table 59'!K13</f>
        <v>2030</v>
      </c>
      <c r="L56">
        <f>'AEO 2023 Table 59'!L13</f>
        <v>2031</v>
      </c>
      <c r="M56">
        <f>'AEO 2023 Table 59'!M13</f>
        <v>2032</v>
      </c>
      <c r="N56">
        <f>'AEO 2023 Table 59'!N13</f>
        <v>2033</v>
      </c>
      <c r="O56">
        <f>'AEO 2023 Table 59'!O13</f>
        <v>2034</v>
      </c>
      <c r="P56">
        <f>'AEO 2023 Table 59'!P13</f>
        <v>2035</v>
      </c>
      <c r="Q56">
        <f>'AEO 2023 Table 59'!Q13</f>
        <v>2036</v>
      </c>
      <c r="R56">
        <f>'AEO 2023 Table 59'!R13</f>
        <v>2037</v>
      </c>
      <c r="S56">
        <f>'AEO 2023 Table 59'!S13</f>
        <v>2038</v>
      </c>
      <c r="T56">
        <f>'AEO 2023 Table 59'!T13</f>
        <v>2039</v>
      </c>
      <c r="U56">
        <f>'AEO 2023 Table 59'!U13</f>
        <v>2040</v>
      </c>
      <c r="V56">
        <f>'AEO 2023 Table 59'!V13</f>
        <v>2041</v>
      </c>
      <c r="W56">
        <f>'AEO 2023 Table 59'!W13</f>
        <v>2042</v>
      </c>
      <c r="X56">
        <f>'AEO 2023 Table 59'!X13</f>
        <v>2043</v>
      </c>
      <c r="Y56">
        <f>'AEO 2023 Table 59'!Y13</f>
        <v>2044</v>
      </c>
      <c r="Z56">
        <f>'AEO 2023 Table 59'!Z13</f>
        <v>2045</v>
      </c>
      <c r="AA56">
        <f>'AEO 2023 Table 59'!AA13</f>
        <v>2046</v>
      </c>
      <c r="AB56">
        <f>'AEO 2023 Table 59'!AB13</f>
        <v>2047</v>
      </c>
      <c r="AC56">
        <f>'AEO 2023 Table 59'!AC13</f>
        <v>2048</v>
      </c>
      <c r="AD56">
        <f>'AEO 2023 Table 59'!AD13</f>
        <v>2049</v>
      </c>
      <c r="AE56">
        <f>'AEO 2023 Table 59'!AE13</f>
        <v>2050</v>
      </c>
      <c r="AF56" t="str">
        <f>'AEO 2023 Table 59'!AF13</f>
        <v>2021–2050</v>
      </c>
    </row>
    <row r="57" spans="1:34" x14ac:dyDescent="0.75">
      <c r="C57" s="228">
        <f>'AEO 2023 Table 59'!C16</f>
        <v>36.11721</v>
      </c>
      <c r="D57" s="228">
        <f>'AEO 2023 Table 59'!D16</f>
        <v>36.160473000000003</v>
      </c>
      <c r="E57" s="228">
        <f>'AEO 2023 Table 59'!E16</f>
        <v>35.236457999999999</v>
      </c>
      <c r="F57" s="228">
        <f>'AEO 2023 Table 59'!F16</f>
        <v>35.385081999999997</v>
      </c>
      <c r="G57" s="228">
        <f>'AEO 2023 Table 59'!G16</f>
        <v>35.842360999999997</v>
      </c>
      <c r="H57" s="228">
        <f>'AEO 2023 Table 59'!H16</f>
        <v>35.789593000000004</v>
      </c>
      <c r="I57" s="228">
        <f>'AEO 2023 Table 59'!I16</f>
        <v>36.084969000000001</v>
      </c>
      <c r="J57" s="228">
        <f>'AEO 2023 Table 59'!J16</f>
        <v>36.326552999999997</v>
      </c>
      <c r="K57" s="228">
        <f>'AEO 2023 Table 59'!K16</f>
        <v>36.675776999999997</v>
      </c>
      <c r="L57" s="228">
        <f>'AEO 2023 Table 59'!L16</f>
        <v>37.108832999999997</v>
      </c>
      <c r="M57" s="228">
        <f>'AEO 2023 Table 59'!M16</f>
        <v>37.608638999999997</v>
      </c>
      <c r="N57" s="228">
        <f>'AEO 2023 Table 59'!N16</f>
        <v>38.184341000000003</v>
      </c>
      <c r="O57" s="228">
        <f>'AEO 2023 Table 59'!O16</f>
        <v>38.686110999999997</v>
      </c>
      <c r="P57" s="228">
        <f>'AEO 2023 Table 59'!P16</f>
        <v>39.140957</v>
      </c>
      <c r="Q57" s="228">
        <f>'AEO 2023 Table 59'!Q16</f>
        <v>39.498707000000003</v>
      </c>
      <c r="R57" s="228">
        <f>'AEO 2023 Table 59'!R16</f>
        <v>39.853999999999999</v>
      </c>
      <c r="S57" s="228">
        <f>'AEO 2023 Table 59'!S16</f>
        <v>40.120361000000003</v>
      </c>
      <c r="T57" s="228">
        <f>'AEO 2023 Table 59'!T16</f>
        <v>40.358707000000003</v>
      </c>
      <c r="U57" s="228">
        <f>'AEO 2023 Table 59'!U16</f>
        <v>40.500950000000003</v>
      </c>
      <c r="V57" s="228">
        <f>'AEO 2023 Table 59'!V16</f>
        <v>40.620883999999997</v>
      </c>
      <c r="W57" s="228">
        <f>'AEO 2023 Table 59'!W16</f>
        <v>40.794955999999999</v>
      </c>
      <c r="X57" s="228">
        <f>'AEO 2023 Table 59'!X16</f>
        <v>40.906959999999998</v>
      </c>
      <c r="Y57" s="228">
        <f>'AEO 2023 Table 59'!Y16</f>
        <v>40.974735000000003</v>
      </c>
      <c r="Z57" s="228">
        <f>'AEO 2023 Table 59'!Z16</f>
        <v>41.124125999999997</v>
      </c>
      <c r="AA57" s="228">
        <f>'AEO 2023 Table 59'!AA16</f>
        <v>40.952205999999997</v>
      </c>
      <c r="AB57" s="228">
        <f>'AEO 2023 Table 59'!AB16</f>
        <v>41.157238</v>
      </c>
      <c r="AC57" s="228">
        <f>'AEO 2023 Table 59'!AC16</f>
        <v>41.220950999999999</v>
      </c>
      <c r="AD57" s="228">
        <f>'AEO 2023 Table 59'!AD16</f>
        <v>41.302062999999997</v>
      </c>
      <c r="AE57" s="228">
        <f>'AEO 2023 Table 59'!AE16</f>
        <v>41.677504999999996</v>
      </c>
    </row>
    <row r="59" spans="1:34" x14ac:dyDescent="0.75">
      <c r="B59" t="s">
        <v>1070</v>
      </c>
      <c r="C59">
        <f>'AEO 2023 Table 58'!C13</f>
        <v>2022</v>
      </c>
      <c r="D59">
        <f>'AEO 2023 Table 58'!D13</f>
        <v>2023</v>
      </c>
      <c r="E59">
        <f>'AEO 2023 Table 58'!E13</f>
        <v>2024</v>
      </c>
      <c r="F59">
        <f>'AEO 2023 Table 58'!F13</f>
        <v>2025</v>
      </c>
      <c r="G59">
        <f>'AEO 2023 Table 58'!G13</f>
        <v>2026</v>
      </c>
      <c r="H59">
        <f>'AEO 2023 Table 58'!H13</f>
        <v>2027</v>
      </c>
      <c r="I59">
        <f>'AEO 2023 Table 58'!I13</f>
        <v>2028</v>
      </c>
      <c r="J59">
        <f>'AEO 2023 Table 58'!J13</f>
        <v>2029</v>
      </c>
      <c r="K59">
        <f>'AEO 2023 Table 58'!K13</f>
        <v>2030</v>
      </c>
      <c r="L59">
        <f>'AEO 2023 Table 58'!L13</f>
        <v>2031</v>
      </c>
      <c r="M59">
        <f>'AEO 2023 Table 58'!M13</f>
        <v>2032</v>
      </c>
      <c r="N59">
        <f>'AEO 2023 Table 58'!N13</f>
        <v>2033</v>
      </c>
      <c r="O59">
        <f>'AEO 2023 Table 58'!O13</f>
        <v>2034</v>
      </c>
      <c r="P59">
        <f>'AEO 2023 Table 58'!P13</f>
        <v>2035</v>
      </c>
      <c r="Q59">
        <f>'AEO 2023 Table 58'!Q13</f>
        <v>2036</v>
      </c>
      <c r="R59">
        <f>'AEO 2023 Table 58'!R13</f>
        <v>2037</v>
      </c>
      <c r="S59">
        <f>'AEO 2023 Table 58'!S13</f>
        <v>2038</v>
      </c>
      <c r="T59">
        <f>'AEO 2023 Table 58'!T13</f>
        <v>2039</v>
      </c>
      <c r="U59">
        <f>'AEO 2023 Table 58'!U13</f>
        <v>2040</v>
      </c>
      <c r="V59">
        <f>'AEO 2023 Table 58'!V13</f>
        <v>2041</v>
      </c>
      <c r="W59">
        <f>'AEO 2023 Table 58'!W13</f>
        <v>2042</v>
      </c>
      <c r="X59">
        <f>'AEO 2023 Table 58'!X13</f>
        <v>2043</v>
      </c>
      <c r="Y59">
        <f>'AEO 2023 Table 58'!Y13</f>
        <v>2044</v>
      </c>
      <c r="Z59">
        <f>'AEO 2023 Table 58'!Z13</f>
        <v>2045</v>
      </c>
      <c r="AA59">
        <f>'AEO 2023 Table 58'!AA13</f>
        <v>2046</v>
      </c>
      <c r="AB59">
        <f>'AEO 2023 Table 58'!AB13</f>
        <v>2047</v>
      </c>
      <c r="AC59">
        <f>'AEO 2023 Table 58'!AC13</f>
        <v>2048</v>
      </c>
      <c r="AD59">
        <f>'AEO 2023 Table 58'!AD13</f>
        <v>2049</v>
      </c>
      <c r="AE59">
        <f>'AEO 2023 Table 58'!AE13</f>
        <v>2050</v>
      </c>
      <c r="AF59" t="str">
        <f>'AEO 2023 Table 58'!AF13</f>
        <v>2021–2050</v>
      </c>
    </row>
    <row r="60" spans="1:34" x14ac:dyDescent="0.75">
      <c r="C60" s="228">
        <f>'AEO 2023 Table 58'!C17</f>
        <v>11.391961</v>
      </c>
      <c r="D60" s="228">
        <f>'AEO 2023 Table 58'!D17</f>
        <v>11.911623000000001</v>
      </c>
      <c r="E60" s="228">
        <f>'AEO 2023 Table 58'!E17</f>
        <v>12.286136000000001</v>
      </c>
      <c r="F60" s="228">
        <f>'AEO 2023 Table 58'!F17</f>
        <v>12.405836000000001</v>
      </c>
      <c r="G60" s="228">
        <f>'AEO 2023 Table 58'!G17</f>
        <v>12.564268</v>
      </c>
      <c r="H60" s="228">
        <f>'AEO 2023 Table 58'!H17</f>
        <v>12.638444</v>
      </c>
      <c r="I60" s="228">
        <f>'AEO 2023 Table 58'!I17</f>
        <v>12.756741999999999</v>
      </c>
      <c r="J60" s="228">
        <f>'AEO 2023 Table 58'!J17</f>
        <v>12.72641</v>
      </c>
      <c r="K60" s="228">
        <f>'AEO 2023 Table 58'!K17</f>
        <v>12.711926999999999</v>
      </c>
      <c r="L60" s="228">
        <f>'AEO 2023 Table 58'!L17</f>
        <v>12.640687</v>
      </c>
      <c r="M60" s="228">
        <f>'AEO 2023 Table 58'!M17</f>
        <v>12.643459</v>
      </c>
      <c r="N60" s="228">
        <f>'AEO 2023 Table 58'!N17</f>
        <v>12.650594</v>
      </c>
      <c r="O60" s="228">
        <f>'AEO 2023 Table 58'!O17</f>
        <v>12.649630999999999</v>
      </c>
      <c r="P60" s="228">
        <f>'AEO 2023 Table 58'!P17</f>
        <v>12.664894</v>
      </c>
      <c r="Q60" s="228">
        <f>'AEO 2023 Table 58'!Q17</f>
        <v>12.608809000000001</v>
      </c>
      <c r="R60" s="228">
        <f>'AEO 2023 Table 58'!R17</f>
        <v>12.553323000000001</v>
      </c>
      <c r="S60" s="228">
        <f>'AEO 2023 Table 58'!S17</f>
        <v>12.463748000000001</v>
      </c>
      <c r="T60" s="228">
        <f>'AEO 2023 Table 58'!T17</f>
        <v>12.381916</v>
      </c>
      <c r="U60" s="228">
        <f>'AEO 2023 Table 58'!U17</f>
        <v>12.31338</v>
      </c>
      <c r="V60" s="228">
        <f>'AEO 2023 Table 58'!V17</f>
        <v>12.207516</v>
      </c>
      <c r="W60" s="228">
        <f>'AEO 2023 Table 58'!W17</f>
        <v>12.241076</v>
      </c>
      <c r="X60" s="228">
        <f>'AEO 2023 Table 58'!X17</f>
        <v>12.313478999999999</v>
      </c>
      <c r="Y60" s="228">
        <f>'AEO 2023 Table 58'!Y17</f>
        <v>12.393143</v>
      </c>
      <c r="Z60" s="228">
        <f>'AEO 2023 Table 58'!Z17</f>
        <v>12.397959999999999</v>
      </c>
      <c r="AA60" s="228">
        <f>'AEO 2023 Table 58'!AA17</f>
        <v>12.389208</v>
      </c>
      <c r="AB60" s="228">
        <f>'AEO 2023 Table 58'!AB17</f>
        <v>12.286963</v>
      </c>
      <c r="AC60" s="228">
        <f>'AEO 2023 Table 58'!AC17</f>
        <v>12.299671999999999</v>
      </c>
      <c r="AD60" s="228">
        <f>'AEO 2023 Table 58'!AD17</f>
        <v>12.441811</v>
      </c>
      <c r="AE60" s="228">
        <f>'AEO 2023 Table 58'!AE17</f>
        <v>12.510002</v>
      </c>
      <c r="AF60" s="228">
        <f>'AEO 2023 Table 58'!AF17</f>
        <v>3.0000000000000001E-3</v>
      </c>
    </row>
    <row r="62" spans="1:34" x14ac:dyDescent="0.75">
      <c r="A62" s="1" t="s">
        <v>1071</v>
      </c>
    </row>
    <row r="63" spans="1:34" x14ac:dyDescent="0.75">
      <c r="C63">
        <v>2019</v>
      </c>
      <c r="D63">
        <v>2020</v>
      </c>
      <c r="E63">
        <v>2021</v>
      </c>
      <c r="F63" s="226">
        <v>2022</v>
      </c>
      <c r="G63">
        <v>2023</v>
      </c>
      <c r="H63">
        <v>2024</v>
      </c>
      <c r="I63">
        <v>2025</v>
      </c>
      <c r="J63">
        <v>2026</v>
      </c>
      <c r="K63">
        <v>2027</v>
      </c>
      <c r="L63">
        <v>2028</v>
      </c>
      <c r="M63">
        <v>2029</v>
      </c>
      <c r="N63">
        <v>2030</v>
      </c>
      <c r="O63">
        <v>2031</v>
      </c>
      <c r="P63">
        <v>2032</v>
      </c>
      <c r="Q63">
        <v>2033</v>
      </c>
      <c r="R63">
        <v>2034</v>
      </c>
      <c r="S63">
        <v>2035</v>
      </c>
      <c r="T63">
        <v>2036</v>
      </c>
      <c r="U63">
        <v>2037</v>
      </c>
      <c r="V63">
        <v>2038</v>
      </c>
      <c r="W63">
        <v>2039</v>
      </c>
      <c r="X63">
        <v>2040</v>
      </c>
      <c r="Y63">
        <v>2041</v>
      </c>
      <c r="Z63">
        <v>2042</v>
      </c>
      <c r="AA63">
        <v>2043</v>
      </c>
      <c r="AB63">
        <v>2044</v>
      </c>
      <c r="AC63">
        <v>2045</v>
      </c>
      <c r="AD63">
        <v>2046</v>
      </c>
      <c r="AE63">
        <v>2047</v>
      </c>
      <c r="AF63">
        <v>2048</v>
      </c>
      <c r="AG63">
        <v>2049</v>
      </c>
      <c r="AH63">
        <v>2050</v>
      </c>
    </row>
    <row r="64" spans="1:34" x14ac:dyDescent="0.75">
      <c r="B64" t="s">
        <v>1072</v>
      </c>
      <c r="C64" s="228">
        <f>C8</f>
        <v>33.481929999999998</v>
      </c>
      <c r="D64" s="228">
        <f>C26</f>
        <v>33.560645999999998</v>
      </c>
      <c r="E64" s="228">
        <f>C44</f>
        <v>34.068829000000001</v>
      </c>
      <c r="F64" s="240">
        <f t="shared" ref="F64:AH64" si="0">C57</f>
        <v>36.11721</v>
      </c>
      <c r="G64" s="240">
        <f t="shared" si="0"/>
        <v>36.160473000000003</v>
      </c>
      <c r="H64" s="240">
        <f t="shared" si="0"/>
        <v>35.236457999999999</v>
      </c>
      <c r="I64" s="240">
        <f t="shared" si="0"/>
        <v>35.385081999999997</v>
      </c>
      <c r="J64" s="240">
        <f t="shared" si="0"/>
        <v>35.842360999999997</v>
      </c>
      <c r="K64" s="240">
        <f t="shared" si="0"/>
        <v>35.789593000000004</v>
      </c>
      <c r="L64" s="240">
        <f t="shared" si="0"/>
        <v>36.084969000000001</v>
      </c>
      <c r="M64" s="240">
        <f t="shared" si="0"/>
        <v>36.326552999999997</v>
      </c>
      <c r="N64" s="240">
        <f t="shared" si="0"/>
        <v>36.675776999999997</v>
      </c>
      <c r="O64" s="240">
        <f t="shared" si="0"/>
        <v>37.108832999999997</v>
      </c>
      <c r="P64" s="240">
        <f t="shared" si="0"/>
        <v>37.608638999999997</v>
      </c>
      <c r="Q64" s="240">
        <f t="shared" si="0"/>
        <v>38.184341000000003</v>
      </c>
      <c r="R64" s="240">
        <f t="shared" si="0"/>
        <v>38.686110999999997</v>
      </c>
      <c r="S64" s="240">
        <f t="shared" si="0"/>
        <v>39.140957</v>
      </c>
      <c r="T64" s="240">
        <f t="shared" si="0"/>
        <v>39.498707000000003</v>
      </c>
      <c r="U64" s="240">
        <f t="shared" si="0"/>
        <v>39.853999999999999</v>
      </c>
      <c r="V64" s="240">
        <f t="shared" si="0"/>
        <v>40.120361000000003</v>
      </c>
      <c r="W64" s="240">
        <f t="shared" si="0"/>
        <v>40.358707000000003</v>
      </c>
      <c r="X64" s="240">
        <f t="shared" si="0"/>
        <v>40.500950000000003</v>
      </c>
      <c r="Y64" s="240">
        <f t="shared" si="0"/>
        <v>40.620883999999997</v>
      </c>
      <c r="Z64" s="240">
        <f t="shared" si="0"/>
        <v>40.794955999999999</v>
      </c>
      <c r="AA64" s="240">
        <f t="shared" si="0"/>
        <v>40.906959999999998</v>
      </c>
      <c r="AB64" s="240">
        <f t="shared" si="0"/>
        <v>40.974735000000003</v>
      </c>
      <c r="AC64" s="240">
        <f t="shared" si="0"/>
        <v>41.124125999999997</v>
      </c>
      <c r="AD64" s="240">
        <f t="shared" si="0"/>
        <v>40.952205999999997</v>
      </c>
      <c r="AE64" s="240">
        <f t="shared" si="0"/>
        <v>41.157238</v>
      </c>
      <c r="AF64" s="240">
        <f t="shared" si="0"/>
        <v>41.220950999999999</v>
      </c>
      <c r="AG64" s="240">
        <f t="shared" si="0"/>
        <v>41.302062999999997</v>
      </c>
      <c r="AH64" s="240">
        <f t="shared" si="0"/>
        <v>41.677504999999996</v>
      </c>
    </row>
    <row r="65" spans="1:34" x14ac:dyDescent="0.75">
      <c r="B65" t="s">
        <v>1070</v>
      </c>
      <c r="C65" s="228">
        <f>C17</f>
        <v>11.781784</v>
      </c>
      <c r="D65" s="228">
        <f>C35</f>
        <v>11.01248</v>
      </c>
      <c r="E65" s="228">
        <f>C53</f>
        <v>10.691084999999999</v>
      </c>
      <c r="F65" s="240">
        <f t="shared" ref="F65:AH65" si="1">C60</f>
        <v>11.391961</v>
      </c>
      <c r="G65" s="240">
        <f t="shared" si="1"/>
        <v>11.911623000000001</v>
      </c>
      <c r="H65" s="240">
        <f t="shared" si="1"/>
        <v>12.286136000000001</v>
      </c>
      <c r="I65" s="240">
        <f t="shared" si="1"/>
        <v>12.405836000000001</v>
      </c>
      <c r="J65" s="240">
        <f t="shared" si="1"/>
        <v>12.564268</v>
      </c>
      <c r="K65" s="240">
        <f t="shared" si="1"/>
        <v>12.638444</v>
      </c>
      <c r="L65" s="240">
        <f t="shared" si="1"/>
        <v>12.756741999999999</v>
      </c>
      <c r="M65" s="240">
        <f t="shared" si="1"/>
        <v>12.72641</v>
      </c>
      <c r="N65" s="240">
        <f t="shared" si="1"/>
        <v>12.711926999999999</v>
      </c>
      <c r="O65" s="240">
        <f t="shared" si="1"/>
        <v>12.640687</v>
      </c>
      <c r="P65" s="240">
        <f t="shared" si="1"/>
        <v>12.643459</v>
      </c>
      <c r="Q65" s="240">
        <f t="shared" si="1"/>
        <v>12.650594</v>
      </c>
      <c r="R65" s="240">
        <f t="shared" si="1"/>
        <v>12.649630999999999</v>
      </c>
      <c r="S65" s="240">
        <f t="shared" si="1"/>
        <v>12.664894</v>
      </c>
      <c r="T65" s="240">
        <f t="shared" si="1"/>
        <v>12.608809000000001</v>
      </c>
      <c r="U65" s="240">
        <f t="shared" si="1"/>
        <v>12.553323000000001</v>
      </c>
      <c r="V65" s="240">
        <f t="shared" si="1"/>
        <v>12.463748000000001</v>
      </c>
      <c r="W65" s="240">
        <f t="shared" si="1"/>
        <v>12.381916</v>
      </c>
      <c r="X65" s="240">
        <f t="shared" si="1"/>
        <v>12.31338</v>
      </c>
      <c r="Y65" s="240">
        <f t="shared" si="1"/>
        <v>12.207516</v>
      </c>
      <c r="Z65" s="240">
        <f t="shared" si="1"/>
        <v>12.241076</v>
      </c>
      <c r="AA65" s="240">
        <f t="shared" si="1"/>
        <v>12.313478999999999</v>
      </c>
      <c r="AB65" s="240">
        <f t="shared" si="1"/>
        <v>12.393143</v>
      </c>
      <c r="AC65" s="240">
        <f t="shared" si="1"/>
        <v>12.397959999999999</v>
      </c>
      <c r="AD65" s="240">
        <f t="shared" si="1"/>
        <v>12.389208</v>
      </c>
      <c r="AE65" s="240">
        <f t="shared" si="1"/>
        <v>12.286963</v>
      </c>
      <c r="AF65" s="240">
        <f t="shared" si="1"/>
        <v>12.299671999999999</v>
      </c>
      <c r="AG65" s="240">
        <f t="shared" si="1"/>
        <v>12.441811</v>
      </c>
      <c r="AH65" s="240">
        <f t="shared" si="1"/>
        <v>12.510002</v>
      </c>
    </row>
    <row r="66" spans="1:34" x14ac:dyDescent="0.75">
      <c r="F66" s="226"/>
    </row>
    <row r="67" spans="1:34" x14ac:dyDescent="0.75">
      <c r="B67" t="s">
        <v>1072</v>
      </c>
      <c r="C67">
        <f t="shared" ref="C67:AH67" si="2">C64/$C64</f>
        <v>1</v>
      </c>
      <c r="D67">
        <f t="shared" si="2"/>
        <v>1.0023509994794206</v>
      </c>
      <c r="E67">
        <f t="shared" si="2"/>
        <v>1.0175288282366042</v>
      </c>
      <c r="F67" s="226">
        <f t="shared" si="2"/>
        <v>1.0787075297033355</v>
      </c>
      <c r="G67">
        <f t="shared" si="2"/>
        <v>1.0799996595178356</v>
      </c>
      <c r="H67">
        <f t="shared" si="2"/>
        <v>1.0524022360718155</v>
      </c>
      <c r="I67">
        <f t="shared" si="2"/>
        <v>1.0568411677582505</v>
      </c>
      <c r="J67">
        <f t="shared" si="2"/>
        <v>1.07049865405011</v>
      </c>
      <c r="K67">
        <f t="shared" si="2"/>
        <v>1.0689226397641953</v>
      </c>
      <c r="L67">
        <f t="shared" si="2"/>
        <v>1.077744592381622</v>
      </c>
      <c r="M67">
        <f t="shared" si="2"/>
        <v>1.0849599470520366</v>
      </c>
      <c r="N67">
        <f t="shared" si="2"/>
        <v>1.0953901701604418</v>
      </c>
      <c r="O67">
        <f t="shared" si="2"/>
        <v>1.1083241915863273</v>
      </c>
      <c r="P67">
        <f t="shared" si="2"/>
        <v>1.1232518256862731</v>
      </c>
      <c r="Q67">
        <f t="shared" si="2"/>
        <v>1.1404462347301965</v>
      </c>
      <c r="R67">
        <f t="shared" si="2"/>
        <v>1.155432527336387</v>
      </c>
      <c r="S67">
        <f t="shared" si="2"/>
        <v>1.1690173475662844</v>
      </c>
      <c r="T67">
        <f t="shared" si="2"/>
        <v>1.1797022154935515</v>
      </c>
      <c r="U67">
        <f t="shared" si="2"/>
        <v>1.190313700554299</v>
      </c>
      <c r="V67">
        <f t="shared" si="2"/>
        <v>1.198269066329211</v>
      </c>
      <c r="W67">
        <f t="shared" si="2"/>
        <v>1.2053877121181487</v>
      </c>
      <c r="X67">
        <f t="shared" si="2"/>
        <v>1.2096360633930006</v>
      </c>
      <c r="Y67">
        <f t="shared" si="2"/>
        <v>1.2132181149652961</v>
      </c>
      <c r="Z67">
        <f t="shared" si="2"/>
        <v>1.2184170984169671</v>
      </c>
      <c r="AA67">
        <f t="shared" si="2"/>
        <v>1.2217623058168989</v>
      </c>
      <c r="AB67">
        <f t="shared" si="2"/>
        <v>1.223786532018913</v>
      </c>
      <c r="AC67">
        <f t="shared" si="2"/>
        <v>1.2282483715843142</v>
      </c>
      <c r="AD67">
        <f t="shared" si="2"/>
        <v>1.2231136616079181</v>
      </c>
      <c r="AE67">
        <f t="shared" si="2"/>
        <v>1.2292373229380744</v>
      </c>
      <c r="AF67">
        <f t="shared" si="2"/>
        <v>1.2311402299688221</v>
      </c>
      <c r="AG67">
        <f t="shared" si="2"/>
        <v>1.233562790436513</v>
      </c>
      <c r="AH67">
        <f t="shared" si="2"/>
        <v>1.2447760627896898</v>
      </c>
    </row>
    <row r="68" spans="1:34" x14ac:dyDescent="0.75">
      <c r="B68" t="s">
        <v>782</v>
      </c>
      <c r="C68">
        <f t="shared" ref="C68:AH68" si="3">C65/$C65</f>
        <v>1</v>
      </c>
      <c r="D68">
        <f t="shared" si="3"/>
        <v>0.93470394636330123</v>
      </c>
      <c r="E68">
        <f t="shared" si="3"/>
        <v>0.90742497061565541</v>
      </c>
      <c r="F68" s="226">
        <f t="shared" si="3"/>
        <v>0.96691307530336668</v>
      </c>
      <c r="G68">
        <f t="shared" si="3"/>
        <v>1.0110203174663532</v>
      </c>
      <c r="H68">
        <f t="shared" si="3"/>
        <v>1.0428077785163945</v>
      </c>
      <c r="I68">
        <f t="shared" si="3"/>
        <v>1.0529675302144397</v>
      </c>
      <c r="J68">
        <f t="shared" si="3"/>
        <v>1.0664147297217468</v>
      </c>
      <c r="K68">
        <f t="shared" si="3"/>
        <v>1.0727105504565353</v>
      </c>
      <c r="L68">
        <f t="shared" si="3"/>
        <v>1.0827513048957611</v>
      </c>
      <c r="M68">
        <f t="shared" si="3"/>
        <v>1.0801768221179406</v>
      </c>
      <c r="N68">
        <f t="shared" si="3"/>
        <v>1.0789475515762299</v>
      </c>
      <c r="O68">
        <f t="shared" si="3"/>
        <v>1.072900929095288</v>
      </c>
      <c r="P68">
        <f t="shared" si="3"/>
        <v>1.0731362075556639</v>
      </c>
      <c r="Q68">
        <f t="shared" si="3"/>
        <v>1.0737418034484421</v>
      </c>
      <c r="R68">
        <f t="shared" si="3"/>
        <v>1.0736600671001946</v>
      </c>
      <c r="S68">
        <f t="shared" si="3"/>
        <v>1.0749555415376824</v>
      </c>
      <c r="T68">
        <f t="shared" si="3"/>
        <v>1.0701952268009667</v>
      </c>
      <c r="U68">
        <f t="shared" si="3"/>
        <v>1.0654857532611361</v>
      </c>
      <c r="V68">
        <f t="shared" si="3"/>
        <v>1.0578829148454938</v>
      </c>
      <c r="W68">
        <f t="shared" si="3"/>
        <v>1.0509372774106196</v>
      </c>
      <c r="X68">
        <f t="shared" si="3"/>
        <v>1.0451201617683705</v>
      </c>
      <c r="Y68">
        <f t="shared" si="3"/>
        <v>1.0361347653292574</v>
      </c>
      <c r="Z68">
        <f t="shared" si="3"/>
        <v>1.0389832303834461</v>
      </c>
      <c r="AA68">
        <f t="shared" si="3"/>
        <v>1.0451285645705268</v>
      </c>
      <c r="AB68">
        <f t="shared" si="3"/>
        <v>1.0518901891258574</v>
      </c>
      <c r="AC68">
        <f t="shared" si="3"/>
        <v>1.0522990406206734</v>
      </c>
      <c r="AD68">
        <f t="shared" si="3"/>
        <v>1.0515561989593427</v>
      </c>
      <c r="AE68">
        <f t="shared" si="3"/>
        <v>1.0428779716212757</v>
      </c>
      <c r="AF68">
        <f t="shared" si="3"/>
        <v>1.0439566707384891</v>
      </c>
      <c r="AG68">
        <f t="shared" si="3"/>
        <v>1.0560209727151677</v>
      </c>
      <c r="AH68">
        <f t="shared" si="3"/>
        <v>1.0618088058650541</v>
      </c>
    </row>
    <row r="69" spans="1:34" x14ac:dyDescent="0.75">
      <c r="F69" s="226"/>
    </row>
    <row r="70" spans="1:34" x14ac:dyDescent="0.75">
      <c r="A70" s="1" t="s">
        <v>1073</v>
      </c>
      <c r="F70" s="226"/>
    </row>
    <row r="71" spans="1:34" x14ac:dyDescent="0.75">
      <c r="B71" t="s">
        <v>1072</v>
      </c>
      <c r="C71">
        <f>C64/$F64</f>
        <v>0.9270353385546668</v>
      </c>
      <c r="D71">
        <f>D64/$F64</f>
        <v>0.92921479815301344</v>
      </c>
      <c r="E71">
        <f t="shared" ref="E71:G71" si="4">E64/$F64</f>
        <v>0.94328518177345377</v>
      </c>
      <c r="F71" s="226">
        <f t="shared" si="4"/>
        <v>1</v>
      </c>
      <c r="G71">
        <f t="shared" si="4"/>
        <v>1.0011978500000416</v>
      </c>
      <c r="H71">
        <f t="shared" ref="H71:AH71" si="5">H64/$F64</f>
        <v>0.97561406321252386</v>
      </c>
      <c r="I71">
        <f t="shared" si="5"/>
        <v>0.97972910975127914</v>
      </c>
      <c r="J71">
        <f t="shared" si="5"/>
        <v>0.99239008217965885</v>
      </c>
      <c r="K71">
        <f t="shared" si="5"/>
        <v>0.99092906124254898</v>
      </c>
      <c r="L71">
        <f t="shared" si="5"/>
        <v>0.99910732307395844</v>
      </c>
      <c r="M71">
        <f t="shared" si="5"/>
        <v>1.0057962118336383</v>
      </c>
      <c r="N71">
        <f t="shared" si="5"/>
        <v>1.0154653972441392</v>
      </c>
      <c r="O71">
        <f t="shared" si="5"/>
        <v>1.0274556921755584</v>
      </c>
      <c r="P71">
        <f t="shared" si="5"/>
        <v>1.0412941365072219</v>
      </c>
      <c r="Q71">
        <f t="shared" si="5"/>
        <v>1.0572339613165027</v>
      </c>
      <c r="R71">
        <f t="shared" si="5"/>
        <v>1.0711267841563619</v>
      </c>
      <c r="S71">
        <f t="shared" si="5"/>
        <v>1.0837203925773891</v>
      </c>
      <c r="T71">
        <f t="shared" si="5"/>
        <v>1.093625642733755</v>
      </c>
      <c r="U71">
        <f t="shared" si="5"/>
        <v>1.1034628643796129</v>
      </c>
      <c r="V71">
        <f t="shared" si="5"/>
        <v>1.1108377695840848</v>
      </c>
      <c r="W71">
        <f t="shared" si="5"/>
        <v>1.1174370057930831</v>
      </c>
      <c r="X71">
        <f t="shared" si="5"/>
        <v>1.1213753775554647</v>
      </c>
      <c r="Y71">
        <f t="shared" si="5"/>
        <v>1.124696065947508</v>
      </c>
      <c r="Z71">
        <f t="shared" si="5"/>
        <v>1.1295157073317679</v>
      </c>
      <c r="AA71">
        <f t="shared" si="5"/>
        <v>1.1326168328062991</v>
      </c>
      <c r="AB71">
        <f t="shared" si="5"/>
        <v>1.1344933620287947</v>
      </c>
      <c r="AC71">
        <f t="shared" si="5"/>
        <v>1.138629644980883</v>
      </c>
      <c r="AD71">
        <f t="shared" si="5"/>
        <v>1.1338695873795346</v>
      </c>
      <c r="AE71">
        <f t="shared" si="5"/>
        <v>1.1395464378339302</v>
      </c>
      <c r="AF71">
        <f t="shared" si="5"/>
        <v>1.1413104998974173</v>
      </c>
      <c r="AG71">
        <f t="shared" si="5"/>
        <v>1.1435562990607524</v>
      </c>
      <c r="AH71">
        <f t="shared" si="5"/>
        <v>1.1539513987929853</v>
      </c>
    </row>
    <row r="72" spans="1:34" x14ac:dyDescent="0.75">
      <c r="B72" t="s">
        <v>782</v>
      </c>
      <c r="C72">
        <f>C65/$F65</f>
        <v>1.0342191304903519</v>
      </c>
      <c r="D72">
        <f t="shared" ref="D72:G72" si="6">D65/$F65</f>
        <v>0.96668870267375384</v>
      </c>
      <c r="E72">
        <f t="shared" si="6"/>
        <v>0.93847626409535634</v>
      </c>
      <c r="F72" s="226">
        <f t="shared" si="6"/>
        <v>1</v>
      </c>
      <c r="G72">
        <f t="shared" si="6"/>
        <v>1.0456165536381314</v>
      </c>
      <c r="H72">
        <f t="shared" ref="H72:AH72" si="7">H65/$F65</f>
        <v>1.078491753965801</v>
      </c>
      <c r="I72">
        <f t="shared" si="7"/>
        <v>1.088999163532951</v>
      </c>
      <c r="J72">
        <f t="shared" si="7"/>
        <v>1.1029065145149286</v>
      </c>
      <c r="K72">
        <f t="shared" si="7"/>
        <v>1.1094177727609846</v>
      </c>
      <c r="L72">
        <f t="shared" si="7"/>
        <v>1.1198021130865878</v>
      </c>
      <c r="M72">
        <f t="shared" si="7"/>
        <v>1.1171395337466481</v>
      </c>
      <c r="N72">
        <f t="shared" si="7"/>
        <v>1.1158681986358625</v>
      </c>
      <c r="O72">
        <f t="shared" si="7"/>
        <v>1.1096146659912196</v>
      </c>
      <c r="P72">
        <f t="shared" si="7"/>
        <v>1.1098579954759324</v>
      </c>
      <c r="Q72">
        <f t="shared" si="7"/>
        <v>1.1104843143335901</v>
      </c>
      <c r="R72">
        <f t="shared" si="7"/>
        <v>1.1103997810385762</v>
      </c>
      <c r="S72">
        <f t="shared" si="7"/>
        <v>1.111739585484887</v>
      </c>
      <c r="T72">
        <f t="shared" si="7"/>
        <v>1.1068163769170207</v>
      </c>
      <c r="U72">
        <f t="shared" si="7"/>
        <v>1.1019457492875897</v>
      </c>
      <c r="V72">
        <f t="shared" si="7"/>
        <v>1.0940827483521056</v>
      </c>
      <c r="W72">
        <f t="shared" si="7"/>
        <v>1.0868994372435088</v>
      </c>
      <c r="X72">
        <f t="shared" si="7"/>
        <v>1.0808832649620201</v>
      </c>
      <c r="Y72">
        <f t="shared" si="7"/>
        <v>1.0715903960696493</v>
      </c>
      <c r="Z72">
        <f t="shared" si="7"/>
        <v>1.0745363331212245</v>
      </c>
      <c r="AA72">
        <f t="shared" si="7"/>
        <v>1.0808919553007599</v>
      </c>
      <c r="AB72">
        <f t="shared" si="7"/>
        <v>1.087884956769076</v>
      </c>
      <c r="AC72">
        <f t="shared" si="7"/>
        <v>1.0883077988065444</v>
      </c>
      <c r="AD72">
        <f t="shared" si="7"/>
        <v>1.0875395377494708</v>
      </c>
      <c r="AE72">
        <f t="shared" si="7"/>
        <v>1.0785643490176977</v>
      </c>
      <c r="AF72">
        <f t="shared" si="7"/>
        <v>1.0796799602807627</v>
      </c>
      <c r="AG72">
        <f t="shared" si="7"/>
        <v>1.0921570921810564</v>
      </c>
      <c r="AH72">
        <f t="shared" si="7"/>
        <v>1.098142979948755</v>
      </c>
    </row>
    <row r="75" spans="1:34" ht="15.5" thickBot="1" x14ac:dyDescent="0.9">
      <c r="A75" s="1" t="s">
        <v>1074</v>
      </c>
      <c r="C75">
        <v>2019</v>
      </c>
      <c r="D75">
        <v>2020</v>
      </c>
      <c r="E75">
        <v>2021</v>
      </c>
      <c r="F75" s="226">
        <v>2022</v>
      </c>
      <c r="G75">
        <v>2023</v>
      </c>
      <c r="H75">
        <v>2024</v>
      </c>
      <c r="I75">
        <v>2025</v>
      </c>
      <c r="J75">
        <v>2026</v>
      </c>
      <c r="K75">
        <v>2027</v>
      </c>
      <c r="L75">
        <v>2028</v>
      </c>
      <c r="M75">
        <v>2029</v>
      </c>
      <c r="N75">
        <v>2030</v>
      </c>
      <c r="O75">
        <v>2031</v>
      </c>
      <c r="P75">
        <v>2032</v>
      </c>
      <c r="Q75">
        <v>2033</v>
      </c>
      <c r="R75">
        <v>2034</v>
      </c>
      <c r="S75">
        <v>2035</v>
      </c>
      <c r="T75">
        <v>2036</v>
      </c>
      <c r="U75">
        <v>2037</v>
      </c>
      <c r="V75">
        <v>2038</v>
      </c>
      <c r="W75">
        <v>2039</v>
      </c>
      <c r="X75">
        <v>2040</v>
      </c>
      <c r="Y75">
        <v>2041</v>
      </c>
      <c r="Z75">
        <v>2042</v>
      </c>
      <c r="AA75">
        <v>2043</v>
      </c>
      <c r="AB75">
        <v>2044</v>
      </c>
      <c r="AC75">
        <v>2045</v>
      </c>
      <c r="AD75">
        <v>2046</v>
      </c>
      <c r="AE75">
        <v>2047</v>
      </c>
      <c r="AF75">
        <v>2048</v>
      </c>
      <c r="AG75">
        <v>2049</v>
      </c>
      <c r="AH75">
        <v>2050</v>
      </c>
    </row>
    <row r="76" spans="1:34" ht="15.5" thickBot="1" x14ac:dyDescent="0.9">
      <c r="B76" s="243" t="s">
        <v>1072</v>
      </c>
      <c r="C76" s="244">
        <f>C71*'Start Year Data'!$B$28</f>
        <v>2463557813323033</v>
      </c>
      <c r="D76" s="244">
        <f>D71*'Start Year Data'!$B$28</f>
        <v>2469349636459678</v>
      </c>
      <c r="E76" s="245">
        <f>E71*'Start Year Data'!$B$28</f>
        <v>2506741095083716.5</v>
      </c>
      <c r="F76" s="244">
        <f>F71*'Start Year Data'!$B$28</f>
        <v>2657458363091040</v>
      </c>
      <c r="G76" s="244">
        <f>G71*'Start Year Data'!$B$28</f>
        <v>2660641599591379</v>
      </c>
      <c r="H76" s="244">
        <f>H71*'Start Year Data'!$B$28</f>
        <v>2592653751433352</v>
      </c>
      <c r="I76" s="244">
        <f>I71*'Start Year Data'!$B$28</f>
        <v>2603589316272276</v>
      </c>
      <c r="J76" s="244">
        <f>J71*'Start Year Data'!$B$28</f>
        <v>2637235323336939</v>
      </c>
      <c r="K76" s="244">
        <f>K71*'Start Year Data'!$B$28</f>
        <v>2633352721028965</v>
      </c>
      <c r="L76" s="244">
        <f>L71*'Start Year Data'!$B$28</f>
        <v>2655086111328392.5</v>
      </c>
      <c r="M76" s="244">
        <f>M71*'Start Year Data'!$B$28</f>
        <v>2672861554702589.5</v>
      </c>
      <c r="N76" s="244">
        <f>N71*'Start Year Data'!$B$28</f>
        <v>2698557012336003</v>
      </c>
      <c r="O76" s="244">
        <f>O71*'Start Year Data'!$B$28</f>
        <v>2730420721877431</v>
      </c>
      <c r="P76" s="244">
        <f>P71*'Start Year Data'!$B$28</f>
        <v>2767195811498780</v>
      </c>
      <c r="Q76" s="244">
        <f>Q71*'Start Year Data'!$B$28</f>
        <v>2809555232244409</v>
      </c>
      <c r="R76" s="244">
        <f>R71*'Start Year Data'!$B$28</f>
        <v>2846474830487135</v>
      </c>
      <c r="S76" s="244">
        <f>S71*'Start Year Data'!$B$28</f>
        <v>2879941820507087.5</v>
      </c>
      <c r="T76" s="244">
        <f>T71*'Start Year Data'!$B$28</f>
        <v>2906264610373631</v>
      </c>
      <c r="U76" s="244">
        <f>U71*'Start Year Data'!$B$28</f>
        <v>2932406617305996.5</v>
      </c>
      <c r="V76" s="244">
        <f>V71*'Start Year Data'!$B$28</f>
        <v>2952005120818623.5</v>
      </c>
      <c r="W76" s="244">
        <f>W71*'Start Year Data'!$B$28</f>
        <v>2969542316272239.5</v>
      </c>
      <c r="X76" s="244">
        <f>X71*'Start Year Data'!$B$28</f>
        <v>2980008375249142</v>
      </c>
      <c r="Y76" s="244">
        <f>Y71*'Start Year Data'!$B$28</f>
        <v>2988832966387797</v>
      </c>
      <c r="Z76" s="244">
        <f>Z71*'Start Year Data'!$B$28</f>
        <v>3001640962691498</v>
      </c>
      <c r="AA76" s="244">
        <f>AA71*'Start Year Data'!$B$28</f>
        <v>3009882074518785.5</v>
      </c>
      <c r="AB76" s="244">
        <f>AB71*'Start Year Data'!$B$28</f>
        <v>3014868872794691.5</v>
      </c>
      <c r="AC76" s="244">
        <f>AC71*'Start Year Data'!$B$28</f>
        <v>3025860872517829.5</v>
      </c>
      <c r="AD76" s="244">
        <f>AD71*'Start Year Data'!$B$28</f>
        <v>3013211217636331</v>
      </c>
      <c r="AE76" s="244">
        <f>AE71*'Start Year Data'!$B$28</f>
        <v>3028297211352381.5</v>
      </c>
      <c r="AF76" s="244">
        <f>AF71*'Start Year Data'!$B$28</f>
        <v>3032985132836007</v>
      </c>
      <c r="AG76" s="244">
        <f>AG71*'Start Year Data'!$B$28</f>
        <v>3038953250604435</v>
      </c>
      <c r="AH76" s="246">
        <f>AH71*'Start Year Data'!$B$28</f>
        <v>3066577795323022.5</v>
      </c>
    </row>
    <row r="77" spans="1:34" ht="15.5" thickBot="1" x14ac:dyDescent="0.9">
      <c r="E77" s="194"/>
    </row>
    <row r="78" spans="1:34" ht="15.5" thickBot="1" x14ac:dyDescent="0.9">
      <c r="B78" s="243" t="s">
        <v>782</v>
      </c>
      <c r="C78" s="244">
        <f>C72*'Start Year Data'!$B$42</f>
        <v>3732363946068311.5</v>
      </c>
      <c r="D78" s="244">
        <f>D72*'Start Year Data'!$B$42</f>
        <v>3488655309654154</v>
      </c>
      <c r="E78" s="244">
        <f>E72*'Start Year Data'!$B$42</f>
        <v>3386840244087969.5</v>
      </c>
      <c r="F78" s="244">
        <f>F72*'Start Year Data'!$B$42</f>
        <v>3608871501244320</v>
      </c>
      <c r="G78" s="244">
        <f>G72*'Start Year Data'!$B$42</f>
        <v>3773495781653955.5</v>
      </c>
      <c r="H78" s="244">
        <f>H72*'Start Year Data'!$B$42</f>
        <v>3892138155214180</v>
      </c>
      <c r="I78" s="244">
        <f>I72*'Start Year Data'!$B$42</f>
        <v>3930058046152969.5</v>
      </c>
      <c r="J78" s="244">
        <f>J72*'Start Year Data'!$B$42</f>
        <v>3980247888769631</v>
      </c>
      <c r="K78" s="244">
        <f>K72*'Start Year Data'!$B$42</f>
        <v>4003746183091064.5</v>
      </c>
      <c r="L78" s="244">
        <f>L72*'Start Year Data'!$B$42</f>
        <v>4041221932951356</v>
      </c>
      <c r="M78" s="244">
        <f>M72*'Start Year Data'!$B$42</f>
        <v>4031613026251645.5</v>
      </c>
      <c r="N78" s="244">
        <f>N72*'Start Year Data'!$B$42</f>
        <v>4027024941201800</v>
      </c>
      <c r="O78" s="244">
        <f>O72*'Start Year Data'!$B$42</f>
        <v>4004456745458447.5</v>
      </c>
      <c r="P78" s="244">
        <f>P72*'Start Year Data'!$B$42</f>
        <v>4005334890301240</v>
      </c>
      <c r="Q78" s="244">
        <f>Q72*'Start Year Data'!$B$42</f>
        <v>4007595194577332.5</v>
      </c>
      <c r="R78" s="244">
        <f>R72*'Start Year Data'!$B$42</f>
        <v>4007290124778050.5</v>
      </c>
      <c r="S78" s="244">
        <f>S72*'Start Year Data'!$B$42</f>
        <v>4012125306861582.5</v>
      </c>
      <c r="T78" s="244">
        <f>T72*'Start Year Data'!$B$42</f>
        <v>3994358079766327.5</v>
      </c>
      <c r="U78" s="244">
        <f>U72*'Start Year Data'!$B$42</f>
        <v>3976780610521301</v>
      </c>
      <c r="V78" s="244">
        <f>V72*'Start Year Data'!$B$42</f>
        <v>3948404050530975</v>
      </c>
      <c r="W78" s="244">
        <f>W72*'Start Year Data'!$B$42</f>
        <v>3922480403786588</v>
      </c>
      <c r="X78" s="244">
        <f>X72*'Start Year Data'!$B$42</f>
        <v>3900768811093347.5</v>
      </c>
      <c r="Y78" s="244">
        <f>Y72*'Start Year Data'!$B$42</f>
        <v>3867232041382871</v>
      </c>
      <c r="Z78" s="244">
        <f>Z72*'Start Year Data'!$B$42</f>
        <v>3877863549652760.5</v>
      </c>
      <c r="AA78" s="244">
        <f>AA72*'Start Year Data'!$B$42</f>
        <v>3900800173409161.5</v>
      </c>
      <c r="AB78" s="244">
        <f>AB72*'Start Year Data'!$B$42</f>
        <v>3926037017116327.5</v>
      </c>
      <c r="AC78" s="244">
        <f>AC72*'Start Year Data'!$B$42</f>
        <v>3927562999694875</v>
      </c>
      <c r="AD78" s="244">
        <f>AD72*'Start Year Data'!$B$42</f>
        <v>3924790444260486.5</v>
      </c>
      <c r="AE78" s="244">
        <f>AE72*'Start Year Data'!$B$42</f>
        <v>3892400141428101.5</v>
      </c>
      <c r="AF78" s="244">
        <f>AF72*'Start Year Data'!$B$42</f>
        <v>3896426239121844</v>
      </c>
      <c r="AG78" s="244">
        <f>AG72*'Start Year Data'!$B$42</f>
        <v>3941454604854080</v>
      </c>
      <c r="AH78" s="246">
        <f>AH72*'Start Year Data'!$B$42</f>
        <v>3963056904628574.5</v>
      </c>
    </row>
    <row r="79" spans="1:34" x14ac:dyDescent="0.75">
      <c r="E79" s="194"/>
      <c r="F79" s="194"/>
      <c r="G79" s="194"/>
      <c r="H79" s="194"/>
      <c r="I79" s="194"/>
      <c r="J79" s="194"/>
      <c r="K79" s="194"/>
      <c r="L79" s="194"/>
      <c r="M79" s="194"/>
      <c r="N79" s="194"/>
      <c r="O79" s="194"/>
      <c r="P79" s="194"/>
      <c r="Q79" s="194"/>
      <c r="R79" s="194"/>
      <c r="S79" s="194"/>
      <c r="T79" s="194"/>
      <c r="U79" s="194"/>
      <c r="V79" s="194"/>
      <c r="W79" s="194"/>
      <c r="X79" s="194"/>
      <c r="Y79" s="194"/>
      <c r="Z79" s="194"/>
      <c r="AA79" s="194"/>
      <c r="AB79" s="194"/>
      <c r="AC79" s="194"/>
      <c r="AD79" s="194"/>
      <c r="AE79" s="194"/>
      <c r="AF79" s="194"/>
      <c r="AG79" s="194"/>
      <c r="AH79" s="194"/>
    </row>
    <row r="80" spans="1:34" x14ac:dyDescent="0.75">
      <c r="E80" s="241"/>
      <c r="F80" s="241"/>
      <c r="G80" s="241"/>
      <c r="H80" s="241"/>
      <c r="I80" s="241"/>
      <c r="J80" s="241"/>
      <c r="K80" s="241"/>
      <c r="L80" s="241"/>
      <c r="M80" s="241"/>
      <c r="N80" s="241"/>
      <c r="O80" s="241"/>
      <c r="P80" s="241"/>
      <c r="Q80" s="241"/>
      <c r="R80" s="241"/>
      <c r="S80" s="241"/>
      <c r="T80" s="241"/>
      <c r="U80" s="241"/>
      <c r="V80" s="241"/>
      <c r="W80" s="241"/>
      <c r="X80" s="241"/>
      <c r="Y80" s="241"/>
      <c r="Z80" s="241"/>
      <c r="AA80" s="241"/>
      <c r="AB80" s="241"/>
      <c r="AC80" s="241"/>
      <c r="AD80" s="241"/>
      <c r="AE80" s="241"/>
      <c r="AF80" s="241"/>
      <c r="AG80" s="241"/>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3"/>
  </sheetPr>
  <dimension ref="A1:BE22"/>
  <sheetViews>
    <sheetView topLeftCell="AH6" workbookViewId="0">
      <selection activeCell="AF1" sqref="AF1:AY22"/>
    </sheetView>
  </sheetViews>
  <sheetFormatPr defaultColWidth="8.86328125" defaultRowHeight="14.75" x14ac:dyDescent="0.75"/>
  <cols>
    <col min="1" max="1" width="36.26953125" customWidth="1"/>
    <col min="2" max="33" width="13" customWidth="1"/>
  </cols>
  <sheetData>
    <row r="1" spans="1:57" x14ac:dyDescent="0.75">
      <c r="A1" s="24" t="s">
        <v>1075</v>
      </c>
      <c r="B1" s="18">
        <v>2021</v>
      </c>
      <c r="C1">
        <v>2022</v>
      </c>
      <c r="D1" s="18">
        <v>2023</v>
      </c>
      <c r="E1">
        <v>2024</v>
      </c>
      <c r="F1" s="18">
        <v>2025</v>
      </c>
      <c r="G1">
        <v>2026</v>
      </c>
      <c r="H1" s="18">
        <v>2027</v>
      </c>
      <c r="I1">
        <v>2028</v>
      </c>
      <c r="J1" s="18">
        <v>2029</v>
      </c>
      <c r="K1">
        <v>2030</v>
      </c>
      <c r="L1" s="18">
        <v>2031</v>
      </c>
      <c r="M1">
        <v>2032</v>
      </c>
      <c r="N1" s="18">
        <v>2033</v>
      </c>
      <c r="O1">
        <v>2034</v>
      </c>
      <c r="P1" s="18">
        <v>2035</v>
      </c>
      <c r="Q1">
        <v>2036</v>
      </c>
      <c r="R1" s="18">
        <v>2037</v>
      </c>
      <c r="S1">
        <v>2038</v>
      </c>
      <c r="T1" s="18">
        <v>2039</v>
      </c>
      <c r="U1">
        <v>2040</v>
      </c>
      <c r="V1" s="18">
        <v>2041</v>
      </c>
      <c r="W1">
        <v>2042</v>
      </c>
      <c r="X1" s="18">
        <v>2043</v>
      </c>
      <c r="Y1">
        <v>2044</v>
      </c>
      <c r="Z1" s="18">
        <v>2045</v>
      </c>
      <c r="AA1">
        <v>2046</v>
      </c>
      <c r="AB1" s="18">
        <v>2047</v>
      </c>
      <c r="AC1">
        <v>2048</v>
      </c>
      <c r="AD1" s="18">
        <v>2049</v>
      </c>
      <c r="AE1">
        <v>2050</v>
      </c>
      <c r="AF1" s="18">
        <v>2051</v>
      </c>
      <c r="AG1">
        <v>2052</v>
      </c>
      <c r="AH1" s="18">
        <v>2053</v>
      </c>
      <c r="AI1">
        <v>2054</v>
      </c>
      <c r="AJ1" s="18">
        <v>2055</v>
      </c>
      <c r="AK1">
        <v>2056</v>
      </c>
      <c r="AL1" s="18">
        <v>2057</v>
      </c>
      <c r="AM1">
        <v>2058</v>
      </c>
      <c r="AN1" s="18">
        <v>2059</v>
      </c>
      <c r="AO1">
        <v>2060</v>
      </c>
      <c r="AP1" s="18">
        <v>2061</v>
      </c>
      <c r="AQ1">
        <v>2062</v>
      </c>
      <c r="AR1" s="18">
        <v>2063</v>
      </c>
      <c r="AS1">
        <v>2064</v>
      </c>
      <c r="AT1" s="18">
        <v>2065</v>
      </c>
      <c r="AU1">
        <v>2066</v>
      </c>
      <c r="AV1" s="18">
        <v>2067</v>
      </c>
      <c r="AW1">
        <v>2068</v>
      </c>
      <c r="AX1" s="18">
        <v>2069</v>
      </c>
      <c r="AY1">
        <v>2070</v>
      </c>
    </row>
    <row r="2" spans="1:57" x14ac:dyDescent="0.75">
      <c r="A2" s="24" t="s">
        <v>1027</v>
      </c>
      <c r="B2">
        <f>'Start Year Data'!B26</f>
        <v>0</v>
      </c>
      <c r="C2">
        <f>$B2*'Time Series Scaling Factors'!C3</f>
        <v>0</v>
      </c>
      <c r="D2">
        <f>$B2*'Time Series Scaling Factors'!D3</f>
        <v>0</v>
      </c>
      <c r="E2">
        <f>$B2*'Time Series Scaling Factors'!E3</f>
        <v>0</v>
      </c>
      <c r="F2">
        <f>$B2*'Time Series Scaling Factors'!F3</f>
        <v>0</v>
      </c>
      <c r="G2">
        <f>$B2*'Time Series Scaling Factors'!G3</f>
        <v>0</v>
      </c>
      <c r="H2">
        <f>$B2*'Time Series Scaling Factors'!H3</f>
        <v>0</v>
      </c>
      <c r="I2">
        <f>$B2*'Time Series Scaling Factors'!I3</f>
        <v>0</v>
      </c>
      <c r="J2">
        <f>$B2*'Time Series Scaling Factors'!J3</f>
        <v>0</v>
      </c>
      <c r="K2">
        <f>$B2*'Time Series Scaling Factors'!K3</f>
        <v>0</v>
      </c>
      <c r="L2">
        <f>$B2*'Time Series Scaling Factors'!L3</f>
        <v>0</v>
      </c>
      <c r="M2">
        <f>$B2*'Time Series Scaling Factors'!M3</f>
        <v>0</v>
      </c>
      <c r="N2">
        <f>$B2*'Time Series Scaling Factors'!N3</f>
        <v>0</v>
      </c>
      <c r="O2">
        <f>$B2*'Time Series Scaling Factors'!O3</f>
        <v>0</v>
      </c>
      <c r="P2">
        <f>$B2*'Time Series Scaling Factors'!P3</f>
        <v>0</v>
      </c>
      <c r="Q2">
        <f>$B2*'Time Series Scaling Factors'!Q3</f>
        <v>0</v>
      </c>
      <c r="R2">
        <f>$B2*'Time Series Scaling Factors'!R3</f>
        <v>0</v>
      </c>
      <c r="S2">
        <f>$B2*'Time Series Scaling Factors'!S3</f>
        <v>0</v>
      </c>
      <c r="T2">
        <f>$B2*'Time Series Scaling Factors'!T3</f>
        <v>0</v>
      </c>
      <c r="U2">
        <f>$B2*'Time Series Scaling Factors'!U3</f>
        <v>0</v>
      </c>
      <c r="V2">
        <f>$B2*'Time Series Scaling Factors'!V3</f>
        <v>0</v>
      </c>
      <c r="W2">
        <f>$B2*'Time Series Scaling Factors'!W3</f>
        <v>0</v>
      </c>
      <c r="X2">
        <f>$B2*'Time Series Scaling Factors'!X3</f>
        <v>0</v>
      </c>
      <c r="Y2">
        <f>$B2*'Time Series Scaling Factors'!Y3</f>
        <v>0</v>
      </c>
      <c r="Z2">
        <f>$B2*'Time Series Scaling Factors'!Z3</f>
        <v>0</v>
      </c>
      <c r="AA2">
        <f>$B2*'Time Series Scaling Factors'!AA3</f>
        <v>0</v>
      </c>
      <c r="AB2">
        <f>$B2*'Time Series Scaling Factors'!AB3</f>
        <v>0</v>
      </c>
      <c r="AC2">
        <f>$B2*'Time Series Scaling Factors'!AC3</f>
        <v>0</v>
      </c>
      <c r="AD2">
        <f>$B2*'Time Series Scaling Factors'!AD3</f>
        <v>0</v>
      </c>
      <c r="AE2">
        <f>$B2*'Time Series Scaling Factors'!AE3</f>
        <v>0</v>
      </c>
      <c r="AF2">
        <f>AE2</f>
        <v>0</v>
      </c>
      <c r="AG2">
        <f t="shared" ref="AG2:AY16" si="0">AF2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row>
    <row r="3" spans="1:57" x14ac:dyDescent="0.75">
      <c r="A3" s="1" t="s">
        <v>1028</v>
      </c>
      <c r="B3">
        <f>'Start Year Data'!B27</f>
        <v>185952240772800</v>
      </c>
      <c r="C3">
        <f>$B3*'Time Series Scaling Factors'!C4</f>
        <v>167478941338334.88</v>
      </c>
      <c r="D3">
        <f>$B3*'Time Series Scaling Factors'!D4</f>
        <v>157284820645657.84</v>
      </c>
      <c r="E3">
        <f>$B3*'Time Series Scaling Factors'!E4</f>
        <v>171420936588518.44</v>
      </c>
      <c r="F3">
        <f>$B3*'Time Series Scaling Factors'!F4</f>
        <v>160979182212946.66</v>
      </c>
      <c r="G3">
        <f>$B3*'Time Series Scaling Factors'!G4</f>
        <v>147323460272750.78</v>
      </c>
      <c r="H3">
        <f>$B3*'Time Series Scaling Factors'!H4</f>
        <v>132163028454556.86</v>
      </c>
      <c r="I3">
        <f>$B3*'Time Series Scaling Factors'!I4</f>
        <v>118694565991639.5</v>
      </c>
      <c r="J3">
        <f>$B3*'Time Series Scaling Factors'!J4</f>
        <v>106031097672170.84</v>
      </c>
      <c r="K3">
        <f>$B3*'Time Series Scaling Factors'!K4</f>
        <v>100787477165986.89</v>
      </c>
      <c r="L3">
        <f>$B3*'Time Series Scaling Factors'!L4</f>
        <v>100340011965350.02</v>
      </c>
      <c r="M3">
        <f>$B3*'Time Series Scaling Factors'!M4</f>
        <v>101050950199296.28</v>
      </c>
      <c r="N3">
        <f>$B3*'Time Series Scaling Factors'!N4</f>
        <v>100608542226235.72</v>
      </c>
      <c r="O3">
        <f>$B3*'Time Series Scaling Factors'!O4</f>
        <v>99680938725451.969</v>
      </c>
      <c r="P3">
        <f>$B3*'Time Series Scaling Factors'!P4</f>
        <v>100417006834630.05</v>
      </c>
      <c r="Q3">
        <f>$B3*'Time Series Scaling Factors'!Q4</f>
        <v>99240036556107.969</v>
      </c>
      <c r="R3">
        <f>$B3*'Time Series Scaling Factors'!R4</f>
        <v>96626685794649.984</v>
      </c>
      <c r="S3">
        <f>$B3*'Time Series Scaling Factors'!S4</f>
        <v>95064684346945.953</v>
      </c>
      <c r="T3">
        <f>$B3*'Time Series Scaling Factors'!T4</f>
        <v>92807413547365</v>
      </c>
      <c r="U3">
        <f>$B3*'Time Series Scaling Factors'!U4</f>
        <v>91452843664463</v>
      </c>
      <c r="V3">
        <f>$B3*'Time Series Scaling Factors'!V4</f>
        <v>91522167458205.922</v>
      </c>
      <c r="W3">
        <f>$B3*'Time Series Scaling Factors'!W4</f>
        <v>91685291458933.359</v>
      </c>
      <c r="X3">
        <f>$B3*'Time Series Scaling Factors'!X4</f>
        <v>90404619603705.672</v>
      </c>
      <c r="Y3">
        <f>$B3*'Time Series Scaling Factors'!Y4</f>
        <v>88963622269752.078</v>
      </c>
      <c r="Z3">
        <f>$B3*'Time Series Scaling Factors'!Z4</f>
        <v>87915568677340</v>
      </c>
      <c r="AA3">
        <f>$B3*'Time Series Scaling Factors'!AA4</f>
        <v>86937023552711.563</v>
      </c>
      <c r="AB3">
        <f>$B3*'Time Series Scaling Factors'!AB4</f>
        <v>86478776229236.391</v>
      </c>
      <c r="AC3">
        <f>$B3*'Time Series Scaling Factors'!AC4</f>
        <v>86226909249100.766</v>
      </c>
      <c r="AD3">
        <f>$B3*'Time Series Scaling Factors'!AD4</f>
        <v>85689394145075.297</v>
      </c>
      <c r="AE3">
        <f>$B3*'Time Series Scaling Factors'!AE4</f>
        <v>84461325980058.688</v>
      </c>
      <c r="AF3">
        <f t="shared" ref="AF3:AU22" si="1">AE3</f>
        <v>84461325980058.688</v>
      </c>
      <c r="AG3">
        <f t="shared" si="1"/>
        <v>84461325980058.688</v>
      </c>
      <c r="AH3">
        <f t="shared" si="1"/>
        <v>84461325980058.688</v>
      </c>
      <c r="AI3">
        <f t="shared" si="1"/>
        <v>84461325980058.688</v>
      </c>
      <c r="AJ3">
        <f t="shared" si="1"/>
        <v>84461325980058.688</v>
      </c>
      <c r="AK3">
        <f t="shared" si="1"/>
        <v>84461325980058.688</v>
      </c>
      <c r="AL3">
        <f t="shared" si="1"/>
        <v>84461325980058.688</v>
      </c>
      <c r="AM3">
        <f t="shared" si="1"/>
        <v>84461325980058.688</v>
      </c>
      <c r="AN3">
        <f t="shared" si="1"/>
        <v>84461325980058.688</v>
      </c>
      <c r="AO3">
        <f t="shared" si="1"/>
        <v>84461325980058.688</v>
      </c>
      <c r="AP3">
        <f t="shared" si="1"/>
        <v>84461325980058.688</v>
      </c>
      <c r="AQ3">
        <f t="shared" si="1"/>
        <v>84461325980058.688</v>
      </c>
      <c r="AR3">
        <f t="shared" si="1"/>
        <v>84461325980058.688</v>
      </c>
      <c r="AS3">
        <f t="shared" si="1"/>
        <v>84461325980058.688</v>
      </c>
      <c r="AT3">
        <f t="shared" si="1"/>
        <v>84461325980058.688</v>
      </c>
      <c r="AU3">
        <f t="shared" si="1"/>
        <v>84461325980058.688</v>
      </c>
      <c r="AV3">
        <f t="shared" si="0"/>
        <v>84461325980058.688</v>
      </c>
      <c r="AW3">
        <f t="shared" si="0"/>
        <v>84461325980058.688</v>
      </c>
      <c r="AX3">
        <f t="shared" si="0"/>
        <v>84461325980058.688</v>
      </c>
      <c r="AY3">
        <f t="shared" si="0"/>
        <v>84461325980058.688</v>
      </c>
    </row>
    <row r="4" spans="1:57" x14ac:dyDescent="0.75">
      <c r="A4" s="1" t="s">
        <v>1030</v>
      </c>
      <c r="B4" s="226">
        <f>'growth rate gas and oil'!E76</f>
        <v>2506741095083716.5</v>
      </c>
      <c r="C4" s="226">
        <f>'growth rate gas and oil'!F76</f>
        <v>2657458363091040</v>
      </c>
      <c r="D4" s="226">
        <f>'growth rate gas and oil'!G76</f>
        <v>2660641599591379</v>
      </c>
      <c r="E4" s="226">
        <f>'growth rate gas and oil'!H76</f>
        <v>2592653751433352</v>
      </c>
      <c r="F4" s="226">
        <f>'growth rate gas and oil'!I76</f>
        <v>2603589316272276</v>
      </c>
      <c r="G4" s="226">
        <f>'growth rate gas and oil'!J76</f>
        <v>2637235323336939</v>
      </c>
      <c r="H4" s="226">
        <f>'growth rate gas and oil'!K76</f>
        <v>2633352721028965</v>
      </c>
      <c r="I4" s="226">
        <f>'growth rate gas and oil'!L76</f>
        <v>2655086111328392.5</v>
      </c>
      <c r="J4" s="226">
        <f>'growth rate gas and oil'!M76</f>
        <v>2672861554702589.5</v>
      </c>
      <c r="K4" s="226">
        <f>'growth rate gas and oil'!N76</f>
        <v>2698557012336003</v>
      </c>
      <c r="L4" s="226">
        <f>'growth rate gas and oil'!O76</f>
        <v>2730420721877431</v>
      </c>
      <c r="M4" s="226">
        <f>'growth rate gas and oil'!P76</f>
        <v>2767195811498780</v>
      </c>
      <c r="N4" s="226">
        <f>'growth rate gas and oil'!Q76</f>
        <v>2809555232244409</v>
      </c>
      <c r="O4" s="226">
        <f>'growth rate gas and oil'!R76</f>
        <v>2846474830487135</v>
      </c>
      <c r="P4" s="226">
        <f>'growth rate gas and oil'!S76</f>
        <v>2879941820507087.5</v>
      </c>
      <c r="Q4" s="226">
        <f>'growth rate gas and oil'!T76</f>
        <v>2906264610373631</v>
      </c>
      <c r="R4" s="226">
        <f>'growth rate gas and oil'!U76</f>
        <v>2932406617305996.5</v>
      </c>
      <c r="S4" s="226">
        <f>'growth rate gas and oil'!V76</f>
        <v>2952005120818623.5</v>
      </c>
      <c r="T4" s="226">
        <f>'growth rate gas and oil'!W76</f>
        <v>2969542316272239.5</v>
      </c>
      <c r="U4" s="226">
        <f>'growth rate gas and oil'!X76</f>
        <v>2980008375249142</v>
      </c>
      <c r="V4" s="226">
        <f>'growth rate gas and oil'!Y76</f>
        <v>2988832966387797</v>
      </c>
      <c r="W4" s="226">
        <f>'growth rate gas and oil'!Z76</f>
        <v>3001640962691498</v>
      </c>
      <c r="X4" s="226">
        <f>'growth rate gas and oil'!AA76</f>
        <v>3009882074518785.5</v>
      </c>
      <c r="Y4" s="226">
        <f>'growth rate gas and oil'!AB76</f>
        <v>3014868872794691.5</v>
      </c>
      <c r="Z4" s="226">
        <f>'growth rate gas and oil'!AC76</f>
        <v>3025860872517829.5</v>
      </c>
      <c r="AA4" s="226">
        <f>'growth rate gas and oil'!AD76</f>
        <v>3013211217636331</v>
      </c>
      <c r="AB4" s="226">
        <f>'growth rate gas and oil'!AE76</f>
        <v>3028297211352381.5</v>
      </c>
      <c r="AC4" s="226">
        <f>'growth rate gas and oil'!AF76</f>
        <v>3032985132836007</v>
      </c>
      <c r="AD4" s="226">
        <f>'growth rate gas and oil'!AG76</f>
        <v>3038953250604435</v>
      </c>
      <c r="AE4" s="226">
        <f>'growth rate gas and oil'!AH76</f>
        <v>3066577795323022.5</v>
      </c>
      <c r="AF4">
        <f t="shared" si="1"/>
        <v>3066577795323022.5</v>
      </c>
      <c r="AG4">
        <f t="shared" si="0"/>
        <v>3066577795323022.5</v>
      </c>
      <c r="AH4">
        <f t="shared" si="0"/>
        <v>3066577795323022.5</v>
      </c>
      <c r="AI4">
        <f t="shared" si="0"/>
        <v>3066577795323022.5</v>
      </c>
      <c r="AJ4">
        <f t="shared" si="0"/>
        <v>3066577795323022.5</v>
      </c>
      <c r="AK4">
        <f t="shared" si="0"/>
        <v>3066577795323022.5</v>
      </c>
      <c r="AL4">
        <f t="shared" si="0"/>
        <v>3066577795323022.5</v>
      </c>
      <c r="AM4">
        <f t="shared" si="0"/>
        <v>3066577795323022.5</v>
      </c>
      <c r="AN4">
        <f t="shared" si="0"/>
        <v>3066577795323022.5</v>
      </c>
      <c r="AO4">
        <f t="shared" si="0"/>
        <v>3066577795323022.5</v>
      </c>
      <c r="AP4">
        <f t="shared" si="0"/>
        <v>3066577795323022.5</v>
      </c>
      <c r="AQ4">
        <f t="shared" si="0"/>
        <v>3066577795323022.5</v>
      </c>
      <c r="AR4">
        <f t="shared" si="0"/>
        <v>3066577795323022.5</v>
      </c>
      <c r="AS4">
        <f t="shared" si="0"/>
        <v>3066577795323022.5</v>
      </c>
      <c r="AT4">
        <f t="shared" si="0"/>
        <v>3066577795323022.5</v>
      </c>
      <c r="AU4">
        <f t="shared" si="0"/>
        <v>3066577795323022.5</v>
      </c>
      <c r="AV4">
        <f t="shared" si="0"/>
        <v>3066577795323022.5</v>
      </c>
      <c r="AW4">
        <f t="shared" si="0"/>
        <v>3066577795323022.5</v>
      </c>
      <c r="AX4">
        <f t="shared" si="0"/>
        <v>3066577795323022.5</v>
      </c>
      <c r="AY4">
        <f t="shared" si="0"/>
        <v>3066577795323022.5</v>
      </c>
      <c r="AZ4" s="226"/>
      <c r="BA4" s="226"/>
      <c r="BB4" s="226"/>
      <c r="BC4" s="226"/>
      <c r="BD4" s="226"/>
      <c r="BE4" s="226"/>
    </row>
    <row r="5" spans="1:57" x14ac:dyDescent="0.75">
      <c r="A5" s="1" t="s">
        <v>1076</v>
      </c>
      <c r="B5">
        <f>'Start Year Data'!B29</f>
        <v>144797073605280</v>
      </c>
      <c r="C5">
        <f>$B5*'Time Series Scaling Factors'!C6</f>
        <v>143789771010154.47</v>
      </c>
      <c r="D5">
        <f>$B5*'Time Series Scaling Factors'!D6</f>
        <v>145974916580651.53</v>
      </c>
      <c r="E5">
        <f>$B5*'Time Series Scaling Factors'!E6</f>
        <v>147034317345257.34</v>
      </c>
      <c r="F5">
        <f>$B5*'Time Series Scaling Factors'!F6</f>
        <v>145703103920238.56</v>
      </c>
      <c r="G5">
        <f>$B5*'Time Series Scaling Factors'!G6</f>
        <v>144292619974511.69</v>
      </c>
      <c r="H5">
        <f>$B5*'Time Series Scaling Factors'!H6</f>
        <v>144290159486014.66</v>
      </c>
      <c r="I5">
        <f>$B5*'Time Series Scaling Factors'!I6</f>
        <v>142591887534271</v>
      </c>
      <c r="J5">
        <f>$B5*'Time Series Scaling Factors'!J6</f>
        <v>142589587512415.09</v>
      </c>
      <c r="K5">
        <f>$B5*'Time Series Scaling Factors'!K6</f>
        <v>141188250165231.44</v>
      </c>
      <c r="L5">
        <f>$B5*'Time Series Scaling Factors'!L6</f>
        <v>141189195135451.31</v>
      </c>
      <c r="M5">
        <f>$B5*'Time Series Scaling Factors'!M6</f>
        <v>141190764142608.84</v>
      </c>
      <c r="N5">
        <f>$B5*'Time Series Scaling Factors'!N6</f>
        <v>133237413372277.63</v>
      </c>
      <c r="O5">
        <f>$B5*'Time Series Scaling Factors'!O6</f>
        <v>131996613984710.77</v>
      </c>
      <c r="P5">
        <f>$B5*'Time Series Scaling Factors'!P6</f>
        <v>130404695756769.2</v>
      </c>
      <c r="Q5">
        <f>$B5*'Time Series Scaling Factors'!Q6</f>
        <v>127407250219348.38</v>
      </c>
      <c r="R5">
        <f>$B5*'Time Series Scaling Factors'!R6</f>
        <v>125371445602844</v>
      </c>
      <c r="S5">
        <f>$B5*'Time Series Scaling Factors'!S6</f>
        <v>121904688629057.86</v>
      </c>
      <c r="T5">
        <f>$B5*'Time Series Scaling Factors'!T6</f>
        <v>120069128551031.52</v>
      </c>
      <c r="U5">
        <f>$B5*'Time Series Scaling Factors'!U6</f>
        <v>116492380609578.11</v>
      </c>
      <c r="V5">
        <f>$B5*'Time Series Scaling Factors'!V6</f>
        <v>116523885560115.97</v>
      </c>
      <c r="W5">
        <f>$B5*'Time Series Scaling Factors'!W6</f>
        <v>116579531825327.41</v>
      </c>
      <c r="X5">
        <f>$B5*'Time Series Scaling Factors'!X6</f>
        <v>116627190417737</v>
      </c>
      <c r="Y5">
        <f>$B5*'Time Series Scaling Factors'!Y6</f>
        <v>116680037431542.42</v>
      </c>
      <c r="Z5">
        <f>$B5*'Time Series Scaling Factors'!Z6</f>
        <v>116680501001838.97</v>
      </c>
      <c r="AA5">
        <f>$B5*'Time Series Scaling Factors'!AA6</f>
        <v>116635409875687.16</v>
      </c>
      <c r="AB5">
        <f>$B5*'Time Series Scaling Factors'!AB6</f>
        <v>116599144414796.38</v>
      </c>
      <c r="AC5">
        <f>$B5*'Time Series Scaling Factors'!AC6</f>
        <v>116438802581074.28</v>
      </c>
      <c r="AD5">
        <f>$B5*'Time Series Scaling Factors'!AD6</f>
        <v>116460822170159.88</v>
      </c>
      <c r="AE5">
        <f>$B5*'Time Series Scaling Factors'!AE6</f>
        <v>116386579604206.48</v>
      </c>
      <c r="AF5">
        <f t="shared" si="1"/>
        <v>116386579604206.48</v>
      </c>
      <c r="AG5">
        <f t="shared" si="0"/>
        <v>116386579604206.48</v>
      </c>
      <c r="AH5">
        <f t="shared" si="0"/>
        <v>116386579604206.48</v>
      </c>
      <c r="AI5">
        <f t="shared" si="0"/>
        <v>116386579604206.48</v>
      </c>
      <c r="AJ5">
        <f t="shared" si="0"/>
        <v>116386579604206.48</v>
      </c>
      <c r="AK5">
        <f t="shared" si="0"/>
        <v>116386579604206.48</v>
      </c>
      <c r="AL5">
        <f t="shared" si="0"/>
        <v>116386579604206.48</v>
      </c>
      <c r="AM5">
        <f t="shared" si="0"/>
        <v>116386579604206.48</v>
      </c>
      <c r="AN5">
        <f t="shared" si="0"/>
        <v>116386579604206.48</v>
      </c>
      <c r="AO5">
        <f t="shared" si="0"/>
        <v>116386579604206.48</v>
      </c>
      <c r="AP5">
        <f t="shared" si="0"/>
        <v>116386579604206.48</v>
      </c>
      <c r="AQ5">
        <f t="shared" si="0"/>
        <v>116386579604206.48</v>
      </c>
      <c r="AR5">
        <f t="shared" si="0"/>
        <v>116386579604206.48</v>
      </c>
      <c r="AS5">
        <f t="shared" si="0"/>
        <v>116386579604206.48</v>
      </c>
      <c r="AT5">
        <f t="shared" si="0"/>
        <v>116386579604206.48</v>
      </c>
      <c r="AU5">
        <f t="shared" si="0"/>
        <v>116386579604206.48</v>
      </c>
      <c r="AV5">
        <f t="shared" si="0"/>
        <v>116386579604206.48</v>
      </c>
      <c r="AW5">
        <f t="shared" si="0"/>
        <v>116386579604206.48</v>
      </c>
      <c r="AX5">
        <f t="shared" si="0"/>
        <v>116386579604206.48</v>
      </c>
      <c r="AY5">
        <f t="shared" si="0"/>
        <v>116386579604206.48</v>
      </c>
    </row>
    <row r="6" spans="1:57" x14ac:dyDescent="0.75">
      <c r="A6" s="1" t="s">
        <v>1032</v>
      </c>
      <c r="B6">
        <f>'Start Year Data'!B30</f>
        <v>0</v>
      </c>
      <c r="C6">
        <f>$B6*'Time Series Scaling Factors'!C7</f>
        <v>0</v>
      </c>
      <c r="D6">
        <f>$B6*'Time Series Scaling Factors'!D7</f>
        <v>0</v>
      </c>
      <c r="E6">
        <f>$B6*'Time Series Scaling Factors'!E7</f>
        <v>0</v>
      </c>
      <c r="F6">
        <f>$B6*'Time Series Scaling Factors'!F7</f>
        <v>0</v>
      </c>
      <c r="G6">
        <f>$B6*'Time Series Scaling Factors'!G7</f>
        <v>0</v>
      </c>
      <c r="H6">
        <f>$B6*'Time Series Scaling Factors'!H7</f>
        <v>0</v>
      </c>
      <c r="I6">
        <f>$B6*'Time Series Scaling Factors'!I7</f>
        <v>0</v>
      </c>
      <c r="J6">
        <f>$B6*'Time Series Scaling Factors'!J7</f>
        <v>0</v>
      </c>
      <c r="K6">
        <f>$B6*'Time Series Scaling Factors'!K7</f>
        <v>0</v>
      </c>
      <c r="L6">
        <f>$B6*'Time Series Scaling Factors'!L7</f>
        <v>0</v>
      </c>
      <c r="M6">
        <f>$B6*'Time Series Scaling Factors'!M7</f>
        <v>0</v>
      </c>
      <c r="N6">
        <f>$B6*'Time Series Scaling Factors'!N7</f>
        <v>0</v>
      </c>
      <c r="O6">
        <f>$B6*'Time Series Scaling Factors'!O7</f>
        <v>0</v>
      </c>
      <c r="P6">
        <f>$B6*'Time Series Scaling Factors'!P7</f>
        <v>0</v>
      </c>
      <c r="Q6">
        <f>$B6*'Time Series Scaling Factors'!Q7</f>
        <v>0</v>
      </c>
      <c r="R6">
        <f>$B6*'Time Series Scaling Factors'!R7</f>
        <v>0</v>
      </c>
      <c r="S6">
        <f>$B6*'Time Series Scaling Factors'!S7</f>
        <v>0</v>
      </c>
      <c r="T6">
        <f>$B6*'Time Series Scaling Factors'!T7</f>
        <v>0</v>
      </c>
      <c r="U6">
        <f>$B6*'Time Series Scaling Factors'!U7</f>
        <v>0</v>
      </c>
      <c r="V6">
        <f>$B6*'Time Series Scaling Factors'!V7</f>
        <v>0</v>
      </c>
      <c r="W6">
        <f>$B6*'Time Series Scaling Factors'!W7</f>
        <v>0</v>
      </c>
      <c r="X6">
        <f>$B6*'Time Series Scaling Factors'!X7</f>
        <v>0</v>
      </c>
      <c r="Y6">
        <f>$B6*'Time Series Scaling Factors'!Y7</f>
        <v>0</v>
      </c>
      <c r="Z6">
        <f>$B6*'Time Series Scaling Factors'!Z7</f>
        <v>0</v>
      </c>
      <c r="AA6">
        <f>$B6*'Time Series Scaling Factors'!AA7</f>
        <v>0</v>
      </c>
      <c r="AB6">
        <f>$B6*'Time Series Scaling Factors'!AB7</f>
        <v>0</v>
      </c>
      <c r="AC6">
        <f>$B6*'Time Series Scaling Factors'!AC7</f>
        <v>0</v>
      </c>
      <c r="AD6">
        <f>$B6*'Time Series Scaling Factors'!AD7</f>
        <v>0</v>
      </c>
      <c r="AE6">
        <f>$B6*'Time Series Scaling Factors'!AE7</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row>
    <row r="7" spans="1:57" x14ac:dyDescent="0.75">
      <c r="A7" s="1" t="s">
        <v>1033</v>
      </c>
      <c r="B7">
        <f>'Start Year Data'!B31</f>
        <v>0</v>
      </c>
      <c r="C7">
        <f>$B7*'Time Series Scaling Factors'!C8</f>
        <v>0</v>
      </c>
      <c r="D7">
        <f>$B7*'Time Series Scaling Factors'!D8</f>
        <v>0</v>
      </c>
      <c r="E7">
        <f>$B7*'Time Series Scaling Factors'!E8</f>
        <v>0</v>
      </c>
      <c r="F7">
        <f>$B7*'Time Series Scaling Factors'!F8</f>
        <v>0</v>
      </c>
      <c r="G7">
        <f>$B7*'Time Series Scaling Factors'!G8</f>
        <v>0</v>
      </c>
      <c r="H7">
        <f>$B7*'Time Series Scaling Factors'!H8</f>
        <v>0</v>
      </c>
      <c r="I7">
        <f>$B7*'Time Series Scaling Factors'!I8</f>
        <v>0</v>
      </c>
      <c r="J7">
        <f>$B7*'Time Series Scaling Factors'!J8</f>
        <v>0</v>
      </c>
      <c r="K7">
        <f>$B7*'Time Series Scaling Factors'!K8</f>
        <v>0</v>
      </c>
      <c r="L7">
        <f>$B7*'Time Series Scaling Factors'!L8</f>
        <v>0</v>
      </c>
      <c r="M7">
        <f>$B7*'Time Series Scaling Factors'!M8</f>
        <v>0</v>
      </c>
      <c r="N7">
        <f>$B7*'Time Series Scaling Factors'!N8</f>
        <v>0</v>
      </c>
      <c r="O7">
        <f>$B7*'Time Series Scaling Factors'!O8</f>
        <v>0</v>
      </c>
      <c r="P7">
        <f>$B7*'Time Series Scaling Factors'!P8</f>
        <v>0</v>
      </c>
      <c r="Q7">
        <f>$B7*'Time Series Scaling Factors'!Q8</f>
        <v>0</v>
      </c>
      <c r="R7">
        <f>$B7*'Time Series Scaling Factors'!R8</f>
        <v>0</v>
      </c>
      <c r="S7">
        <f>$B7*'Time Series Scaling Factors'!S8</f>
        <v>0</v>
      </c>
      <c r="T7">
        <f>$B7*'Time Series Scaling Factors'!T8</f>
        <v>0</v>
      </c>
      <c r="U7">
        <f>$B7*'Time Series Scaling Factors'!U8</f>
        <v>0</v>
      </c>
      <c r="V7">
        <f>$B7*'Time Series Scaling Factors'!V8</f>
        <v>0</v>
      </c>
      <c r="W7">
        <f>$B7*'Time Series Scaling Factors'!W8</f>
        <v>0</v>
      </c>
      <c r="X7">
        <f>$B7*'Time Series Scaling Factors'!X8</f>
        <v>0</v>
      </c>
      <c r="Y7">
        <f>$B7*'Time Series Scaling Factors'!Y8</f>
        <v>0</v>
      </c>
      <c r="Z7">
        <f>$B7*'Time Series Scaling Factors'!Z8</f>
        <v>0</v>
      </c>
      <c r="AA7">
        <f>$B7*'Time Series Scaling Factors'!AA8</f>
        <v>0</v>
      </c>
      <c r="AB7">
        <f>$B7*'Time Series Scaling Factors'!AB8</f>
        <v>0</v>
      </c>
      <c r="AC7">
        <f>$B7*'Time Series Scaling Factors'!AC8</f>
        <v>0</v>
      </c>
      <c r="AD7">
        <f>$B7*'Time Series Scaling Factors'!AD8</f>
        <v>0</v>
      </c>
      <c r="AE7">
        <f>$B7*'Time Series Scaling Factors'!AE8</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row>
    <row r="8" spans="1:57" x14ac:dyDescent="0.75">
      <c r="A8" s="1" t="s">
        <v>1034</v>
      </c>
      <c r="B8">
        <f>'Start Year Data'!B32</f>
        <v>0</v>
      </c>
      <c r="C8">
        <f>$B8*'Time Series Scaling Factors'!C9</f>
        <v>0</v>
      </c>
      <c r="D8">
        <f>$B8*'Time Series Scaling Factors'!D9</f>
        <v>0</v>
      </c>
      <c r="E8">
        <f>$B8*'Time Series Scaling Factors'!E9</f>
        <v>0</v>
      </c>
      <c r="F8">
        <f>$B8*'Time Series Scaling Factors'!F9</f>
        <v>0</v>
      </c>
      <c r="G8">
        <f>$B8*'Time Series Scaling Factors'!G9</f>
        <v>0</v>
      </c>
      <c r="H8">
        <f>$B8*'Time Series Scaling Factors'!H9</f>
        <v>0</v>
      </c>
      <c r="I8">
        <f>$B8*'Time Series Scaling Factors'!I9</f>
        <v>0</v>
      </c>
      <c r="J8">
        <f>$B8*'Time Series Scaling Factors'!J9</f>
        <v>0</v>
      </c>
      <c r="K8">
        <f>$B8*'Time Series Scaling Factors'!K9</f>
        <v>0</v>
      </c>
      <c r="L8">
        <f>$B8*'Time Series Scaling Factors'!L9</f>
        <v>0</v>
      </c>
      <c r="M8">
        <f>$B8*'Time Series Scaling Factors'!M9</f>
        <v>0</v>
      </c>
      <c r="N8">
        <f>$B8*'Time Series Scaling Factors'!N9</f>
        <v>0</v>
      </c>
      <c r="O8">
        <f>$B8*'Time Series Scaling Factors'!O9</f>
        <v>0</v>
      </c>
      <c r="P8">
        <f>$B8*'Time Series Scaling Factors'!P9</f>
        <v>0</v>
      </c>
      <c r="Q8">
        <f>$B8*'Time Series Scaling Factors'!Q9</f>
        <v>0</v>
      </c>
      <c r="R8">
        <f>$B8*'Time Series Scaling Factors'!R9</f>
        <v>0</v>
      </c>
      <c r="S8">
        <f>$B8*'Time Series Scaling Factors'!S9</f>
        <v>0</v>
      </c>
      <c r="T8">
        <f>$B8*'Time Series Scaling Factors'!T9</f>
        <v>0</v>
      </c>
      <c r="U8">
        <f>$B8*'Time Series Scaling Factors'!U9</f>
        <v>0</v>
      </c>
      <c r="V8">
        <f>$B8*'Time Series Scaling Factors'!V9</f>
        <v>0</v>
      </c>
      <c r="W8">
        <f>$B8*'Time Series Scaling Factors'!W9</f>
        <v>0</v>
      </c>
      <c r="X8">
        <f>$B8*'Time Series Scaling Factors'!X9</f>
        <v>0</v>
      </c>
      <c r="Y8">
        <f>$B8*'Time Series Scaling Factors'!Y9</f>
        <v>0</v>
      </c>
      <c r="Z8">
        <f>$B8*'Time Series Scaling Factors'!Z9</f>
        <v>0</v>
      </c>
      <c r="AA8">
        <f>$B8*'Time Series Scaling Factors'!AA9</f>
        <v>0</v>
      </c>
      <c r="AB8">
        <f>$B8*'Time Series Scaling Factors'!AB9</f>
        <v>0</v>
      </c>
      <c r="AC8">
        <f>$B8*'Time Series Scaling Factors'!AC9</f>
        <v>0</v>
      </c>
      <c r="AD8">
        <f>$B8*'Time Series Scaling Factors'!AD9</f>
        <v>0</v>
      </c>
      <c r="AE8">
        <f>$B8*'Time Series Scaling Factors'!AE9</f>
        <v>0</v>
      </c>
      <c r="AF8">
        <f t="shared" si="1"/>
        <v>0</v>
      </c>
      <c r="AG8">
        <f t="shared" si="0"/>
        <v>0</v>
      </c>
      <c r="AH8">
        <f t="shared" si="0"/>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row>
    <row r="9" spans="1:57" x14ac:dyDescent="0.75">
      <c r="A9" s="1" t="s">
        <v>1035</v>
      </c>
      <c r="B9">
        <f>'Start Year Data'!B33</f>
        <v>338444641575360</v>
      </c>
      <c r="C9">
        <f>$B9*'Time Series Scaling Factors'!C10</f>
        <v>348351720283175.06</v>
      </c>
      <c r="D9">
        <f>$B9*'Time Series Scaling Factors'!D10</f>
        <v>362313419344170</v>
      </c>
      <c r="E9">
        <f>$B9*'Time Series Scaling Factors'!E10</f>
        <v>357380145532945</v>
      </c>
      <c r="F9">
        <f>$B9*'Time Series Scaling Factors'!F10</f>
        <v>353631344097403.44</v>
      </c>
      <c r="G9">
        <f>$B9*'Time Series Scaling Factors'!G10</f>
        <v>351753091846653.88</v>
      </c>
      <c r="H9">
        <f>$B9*'Time Series Scaling Factors'!H10</f>
        <v>351009350029770.25</v>
      </c>
      <c r="I9">
        <f>$B9*'Time Series Scaling Factors'!I10</f>
        <v>343379427203268.31</v>
      </c>
      <c r="J9">
        <f>$B9*'Time Series Scaling Factors'!J10</f>
        <v>343182459086823.19</v>
      </c>
      <c r="K9">
        <f>$B9*'Time Series Scaling Factors'!K10</f>
        <v>343040924248763.75</v>
      </c>
      <c r="L9">
        <f>$B9*'Time Series Scaling Factors'!L10</f>
        <v>343248259108179.56</v>
      </c>
      <c r="M9">
        <f>$B9*'Time Series Scaling Factors'!M10</f>
        <v>343615342597124.38</v>
      </c>
      <c r="N9">
        <f>$B9*'Time Series Scaling Factors'!N10</f>
        <v>344330503879567.75</v>
      </c>
      <c r="O9">
        <f>$B9*'Time Series Scaling Factors'!O10</f>
        <v>345056607835146.81</v>
      </c>
      <c r="P9">
        <f>$B9*'Time Series Scaling Factors'!P10</f>
        <v>346815930506814.81</v>
      </c>
      <c r="Q9">
        <f>$B9*'Time Series Scaling Factors'!Q10</f>
        <v>346894185017990.13</v>
      </c>
      <c r="R9">
        <f>$B9*'Time Series Scaling Factors'!R10</f>
        <v>347474146694189.38</v>
      </c>
      <c r="S9">
        <f>$B9*'Time Series Scaling Factors'!S10</f>
        <v>348035894578919.06</v>
      </c>
      <c r="T9">
        <f>$B9*'Time Series Scaling Factors'!T10</f>
        <v>348731402244480.25</v>
      </c>
      <c r="U9">
        <f>$B9*'Time Series Scaling Factors'!U10</f>
        <v>349731792941161.5</v>
      </c>
      <c r="V9">
        <f>$B9*'Time Series Scaling Factors'!V10</f>
        <v>352237305132914.56</v>
      </c>
      <c r="W9">
        <f>$B9*'Time Series Scaling Factors'!W10</f>
        <v>353418033962525.25</v>
      </c>
      <c r="X9">
        <f>$B9*'Time Series Scaling Factors'!X10</f>
        <v>354623959736856.63</v>
      </c>
      <c r="Y9">
        <f>$B9*'Time Series Scaling Factors'!Y10</f>
        <v>354486888357576.13</v>
      </c>
      <c r="Z9">
        <f>$B9*'Time Series Scaling Factors'!Z10</f>
        <v>355062386574996.25</v>
      </c>
      <c r="AA9">
        <f>$B9*'Time Series Scaling Factors'!AA10</f>
        <v>357855287919106.19</v>
      </c>
      <c r="AB9">
        <f>$B9*'Time Series Scaling Factors'!AB10</f>
        <v>361343264981153.5</v>
      </c>
      <c r="AC9">
        <f>$B9*'Time Series Scaling Factors'!AC10</f>
        <v>367552872029386.56</v>
      </c>
      <c r="AD9">
        <f>$B9*'Time Series Scaling Factors'!AD10</f>
        <v>371075764857689.63</v>
      </c>
      <c r="AE9">
        <f>$B9*'Time Series Scaling Factors'!AE10</f>
        <v>373556656034887.06</v>
      </c>
      <c r="AF9">
        <f t="shared" si="1"/>
        <v>373556656034887.06</v>
      </c>
      <c r="AG9">
        <f t="shared" si="0"/>
        <v>373556656034887.06</v>
      </c>
      <c r="AH9">
        <f t="shared" si="0"/>
        <v>373556656034887.06</v>
      </c>
      <c r="AI9">
        <f t="shared" si="0"/>
        <v>373556656034887.06</v>
      </c>
      <c r="AJ9">
        <f t="shared" si="0"/>
        <v>373556656034887.06</v>
      </c>
      <c r="AK9">
        <f t="shared" si="0"/>
        <v>373556656034887.06</v>
      </c>
      <c r="AL9">
        <f t="shared" si="0"/>
        <v>373556656034887.06</v>
      </c>
      <c r="AM9">
        <f t="shared" si="0"/>
        <v>373556656034887.06</v>
      </c>
      <c r="AN9">
        <f t="shared" si="0"/>
        <v>373556656034887.06</v>
      </c>
      <c r="AO9">
        <f t="shared" si="0"/>
        <v>373556656034887.06</v>
      </c>
      <c r="AP9">
        <f t="shared" si="0"/>
        <v>373556656034887.06</v>
      </c>
      <c r="AQ9">
        <f t="shared" si="0"/>
        <v>373556656034887.06</v>
      </c>
      <c r="AR9">
        <f t="shared" si="0"/>
        <v>373556656034887.06</v>
      </c>
      <c r="AS9">
        <f t="shared" si="0"/>
        <v>373556656034887.06</v>
      </c>
      <c r="AT9">
        <f t="shared" si="0"/>
        <v>373556656034887.06</v>
      </c>
      <c r="AU9">
        <f t="shared" si="0"/>
        <v>373556656034887.06</v>
      </c>
      <c r="AV9">
        <f t="shared" si="0"/>
        <v>373556656034887.06</v>
      </c>
      <c r="AW9">
        <f t="shared" si="0"/>
        <v>373556656034887.06</v>
      </c>
      <c r="AX9">
        <f t="shared" si="0"/>
        <v>373556656034887.06</v>
      </c>
      <c r="AY9">
        <f t="shared" si="0"/>
        <v>373556656034887.06</v>
      </c>
    </row>
    <row r="10" spans="1:57" x14ac:dyDescent="0.75">
      <c r="A10" s="1" t="s">
        <v>1036</v>
      </c>
      <c r="B10">
        <f>'Start Year Data'!B34</f>
        <v>589533718285920</v>
      </c>
      <c r="C10">
        <f>$B10*'Time Series Scaling Factors'!C11</f>
        <v>625493298234580.13</v>
      </c>
      <c r="D10">
        <f>$B10*'Time Series Scaling Factors'!D11</f>
        <v>650530566470980.63</v>
      </c>
      <c r="E10">
        <f>$B10*'Time Series Scaling Factors'!E11</f>
        <v>668691654669585.88</v>
      </c>
      <c r="F10">
        <f>$B10*'Time Series Scaling Factors'!F11</f>
        <v>678972394794391</v>
      </c>
      <c r="G10">
        <f>$B10*'Time Series Scaling Factors'!G11</f>
        <v>688447678793639.88</v>
      </c>
      <c r="H10">
        <f>$B10*'Time Series Scaling Factors'!H11</f>
        <v>693923411774937.88</v>
      </c>
      <c r="I10">
        <f>$B10*'Time Series Scaling Factors'!I11</f>
        <v>703289100215332.13</v>
      </c>
      <c r="J10">
        <f>$B10*'Time Series Scaling Factors'!J11</f>
        <v>702337923718113.88</v>
      </c>
      <c r="K10">
        <f>$B10*'Time Series Scaling Factors'!K11</f>
        <v>703610534729289.5</v>
      </c>
      <c r="L10">
        <f>$B10*'Time Series Scaling Factors'!L11</f>
        <v>699720477510157.13</v>
      </c>
      <c r="M10">
        <f>$B10*'Time Series Scaling Factors'!M11</f>
        <v>701283995024467.13</v>
      </c>
      <c r="N10">
        <f>$B10*'Time Series Scaling Factors'!N11</f>
        <v>702818816208603.38</v>
      </c>
      <c r="O10">
        <f>$B10*'Time Series Scaling Factors'!O11</f>
        <v>700243218815483.25</v>
      </c>
      <c r="P10">
        <f>$B10*'Time Series Scaling Factors'!P11</f>
        <v>698442193376970.25</v>
      </c>
      <c r="Q10">
        <f>$B10*'Time Series Scaling Factors'!Q11</f>
        <v>695143311087425.75</v>
      </c>
      <c r="R10">
        <f>$B10*'Time Series Scaling Factors'!R11</f>
        <v>694163336499997.75</v>
      </c>
      <c r="S10">
        <f>$B10*'Time Series Scaling Factors'!S11</f>
        <v>691462854102602.38</v>
      </c>
      <c r="T10">
        <f>$B10*'Time Series Scaling Factors'!T11</f>
        <v>688649596145225.13</v>
      </c>
      <c r="U10">
        <f>$B10*'Time Series Scaling Factors'!U11</f>
        <v>683247435670010.75</v>
      </c>
      <c r="V10">
        <f>$B10*'Time Series Scaling Factors'!V11</f>
        <v>675826381519042.88</v>
      </c>
      <c r="W10">
        <f>$B10*'Time Series Scaling Factors'!W11</f>
        <v>677174778317086.63</v>
      </c>
      <c r="X10">
        <f>$B10*'Time Series Scaling Factors'!X11</f>
        <v>680831118173359.63</v>
      </c>
      <c r="Y10">
        <f>$B10*'Time Series Scaling Factors'!Y11</f>
        <v>687953913658586.63</v>
      </c>
      <c r="Z10">
        <f>$B10*'Time Series Scaling Factors'!Z11</f>
        <v>689652415860752.25</v>
      </c>
      <c r="AA10">
        <f>$B10*'Time Series Scaling Factors'!AA11</f>
        <v>691146965510611.25</v>
      </c>
      <c r="AB10">
        <f>$B10*'Time Series Scaling Factors'!AB11</f>
        <v>685568709292966</v>
      </c>
      <c r="AC10">
        <f>$B10*'Time Series Scaling Factors'!AC11</f>
        <v>687671224278365.38</v>
      </c>
      <c r="AD10">
        <f>$B10*'Time Series Scaling Factors'!AD11</f>
        <v>695021860484368.25</v>
      </c>
      <c r="AE10">
        <f>$B10*'Time Series Scaling Factors'!AE11</f>
        <v>696822784162845.25</v>
      </c>
      <c r="AF10">
        <f t="shared" si="1"/>
        <v>696822784162845.25</v>
      </c>
      <c r="AG10">
        <f t="shared" si="0"/>
        <v>696822784162845.25</v>
      </c>
      <c r="AH10">
        <f t="shared" si="0"/>
        <v>696822784162845.25</v>
      </c>
      <c r="AI10">
        <f t="shared" si="0"/>
        <v>696822784162845.25</v>
      </c>
      <c r="AJ10">
        <f t="shared" si="0"/>
        <v>696822784162845.25</v>
      </c>
      <c r="AK10">
        <f t="shared" si="0"/>
        <v>696822784162845.25</v>
      </c>
      <c r="AL10">
        <f t="shared" si="0"/>
        <v>696822784162845.25</v>
      </c>
      <c r="AM10">
        <f t="shared" si="0"/>
        <v>696822784162845.25</v>
      </c>
      <c r="AN10">
        <f t="shared" si="0"/>
        <v>696822784162845.25</v>
      </c>
      <c r="AO10">
        <f t="shared" si="0"/>
        <v>696822784162845.25</v>
      </c>
      <c r="AP10">
        <f t="shared" si="0"/>
        <v>696822784162845.25</v>
      </c>
      <c r="AQ10">
        <f t="shared" si="0"/>
        <v>696822784162845.25</v>
      </c>
      <c r="AR10">
        <f t="shared" si="0"/>
        <v>696822784162845.25</v>
      </c>
      <c r="AS10">
        <f t="shared" si="0"/>
        <v>696822784162845.25</v>
      </c>
      <c r="AT10">
        <f t="shared" si="0"/>
        <v>696822784162845.25</v>
      </c>
      <c r="AU10">
        <f t="shared" si="0"/>
        <v>696822784162845.25</v>
      </c>
      <c r="AV10">
        <f t="shared" si="0"/>
        <v>696822784162845.25</v>
      </c>
      <c r="AW10">
        <f t="shared" si="0"/>
        <v>696822784162845.25</v>
      </c>
      <c r="AX10">
        <f t="shared" si="0"/>
        <v>696822784162845.25</v>
      </c>
      <c r="AY10">
        <f t="shared" si="0"/>
        <v>696822784162845.25</v>
      </c>
    </row>
    <row r="11" spans="1:57" x14ac:dyDescent="0.75">
      <c r="A11" s="1" t="s">
        <v>1037</v>
      </c>
      <c r="B11">
        <f>'Start Year Data'!B35</f>
        <v>340456857321120</v>
      </c>
      <c r="C11">
        <f>$B11*'Time Series Scaling Factors'!C12</f>
        <v>361223583973336.31</v>
      </c>
      <c r="D11">
        <f>$B11*'Time Series Scaling Factors'!D12</f>
        <v>375682654583334.31</v>
      </c>
      <c r="E11">
        <f>$B11*'Time Series Scaling Factors'!E12</f>
        <v>386170717983009.25</v>
      </c>
      <c r="F11">
        <f>$B11*'Time Series Scaling Factors'!F12</f>
        <v>392107865198274.69</v>
      </c>
      <c r="G11">
        <f>$B11*'Time Series Scaling Factors'!G12</f>
        <v>397579859950311.56</v>
      </c>
      <c r="H11">
        <f>$B11*'Time Series Scaling Factors'!H12</f>
        <v>400742106289270.19</v>
      </c>
      <c r="I11">
        <f>$B11*'Time Series Scaling Factors'!I12</f>
        <v>406150809395067.63</v>
      </c>
      <c r="J11">
        <f>$B11*'Time Series Scaling Factors'!J12</f>
        <v>405601503136653.44</v>
      </c>
      <c r="K11">
        <f>$B11*'Time Series Scaling Factors'!K12</f>
        <v>406336438445725.94</v>
      </c>
      <c r="L11">
        <f>$B11*'Time Series Scaling Factors'!L12</f>
        <v>404089922912270.31</v>
      </c>
      <c r="M11">
        <f>$B11*'Time Series Scaling Factors'!M12</f>
        <v>404992857286976.19</v>
      </c>
      <c r="N11">
        <f>$B11*'Time Series Scaling Factors'!N12</f>
        <v>405879219475758.56</v>
      </c>
      <c r="O11">
        <f>$B11*'Time Series Scaling Factors'!O12</f>
        <v>404391807022513.81</v>
      </c>
      <c r="P11">
        <f>$B11*'Time Series Scaling Factors'!P12</f>
        <v>403351711364314.06</v>
      </c>
      <c r="Q11">
        <f>$B11*'Time Series Scaling Factors'!Q12</f>
        <v>401446600490866.25</v>
      </c>
      <c r="R11">
        <f>$B11*'Time Series Scaling Factors'!R12</f>
        <v>400880663279911.94</v>
      </c>
      <c r="S11">
        <f>$B11*'Time Series Scaling Factors'!S12</f>
        <v>399321129496261</v>
      </c>
      <c r="T11">
        <f>$B11*'Time Series Scaling Factors'!T12</f>
        <v>397696467609597.25</v>
      </c>
      <c r="U11">
        <f>$B11*'Time Series Scaling Factors'!U12</f>
        <v>394576709534548.75</v>
      </c>
      <c r="V11">
        <f>$B11*'Time Series Scaling Factors'!V12</f>
        <v>390291036474839.19</v>
      </c>
      <c r="W11">
        <f>$B11*'Time Series Scaling Factors'!W12</f>
        <v>391069738221736</v>
      </c>
      <c r="X11">
        <f>$B11*'Time Series Scaling Factors'!X12</f>
        <v>393181281528171.5</v>
      </c>
      <c r="Y11">
        <f>$B11*'Time Series Scaling Factors'!Y12</f>
        <v>397294709634187.63</v>
      </c>
      <c r="Z11">
        <f>$B11*'Time Series Scaling Factors'!Z12</f>
        <v>398275597926011.88</v>
      </c>
      <c r="AA11">
        <f>$B11*'Time Series Scaling Factors'!AA12</f>
        <v>399138703226215.63</v>
      </c>
      <c r="AB11">
        <f>$B11*'Time Series Scaling Factors'!AB12</f>
        <v>395917249520881.56</v>
      </c>
      <c r="AC11">
        <f>$B11*'Time Series Scaling Factors'!AC12</f>
        <v>397131455972856.69</v>
      </c>
      <c r="AD11">
        <f>$B11*'Time Series Scaling Factors'!AD12</f>
        <v>401376462533775.5</v>
      </c>
      <c r="AE11">
        <f>$B11*'Time Series Scaling Factors'!AE12</f>
        <v>402416499425358.5</v>
      </c>
      <c r="AF11">
        <f t="shared" si="1"/>
        <v>402416499425358.5</v>
      </c>
      <c r="AG11">
        <f t="shared" si="0"/>
        <v>402416499425358.5</v>
      </c>
      <c r="AH11">
        <f t="shared" si="0"/>
        <v>402416499425358.5</v>
      </c>
      <c r="AI11">
        <f t="shared" si="0"/>
        <v>402416499425358.5</v>
      </c>
      <c r="AJ11">
        <f t="shared" si="0"/>
        <v>402416499425358.5</v>
      </c>
      <c r="AK11">
        <f t="shared" si="0"/>
        <v>402416499425358.5</v>
      </c>
      <c r="AL11">
        <f t="shared" si="0"/>
        <v>402416499425358.5</v>
      </c>
      <c r="AM11">
        <f t="shared" si="0"/>
        <v>402416499425358.5</v>
      </c>
      <c r="AN11">
        <f t="shared" si="0"/>
        <v>402416499425358.5</v>
      </c>
      <c r="AO11">
        <f t="shared" si="0"/>
        <v>402416499425358.5</v>
      </c>
      <c r="AP11">
        <f t="shared" si="0"/>
        <v>402416499425358.5</v>
      </c>
      <c r="AQ11">
        <f t="shared" si="0"/>
        <v>402416499425358.5</v>
      </c>
      <c r="AR11">
        <f t="shared" si="0"/>
        <v>402416499425358.5</v>
      </c>
      <c r="AS11">
        <f t="shared" si="0"/>
        <v>402416499425358.5</v>
      </c>
      <c r="AT11">
        <f t="shared" si="0"/>
        <v>402416499425358.5</v>
      </c>
      <c r="AU11">
        <f t="shared" si="0"/>
        <v>402416499425358.5</v>
      </c>
      <c r="AV11">
        <f t="shared" si="0"/>
        <v>402416499425358.5</v>
      </c>
      <c r="AW11">
        <f t="shared" si="0"/>
        <v>402416499425358.5</v>
      </c>
      <c r="AX11">
        <f t="shared" si="0"/>
        <v>402416499425358.5</v>
      </c>
      <c r="AY11">
        <f t="shared" si="0"/>
        <v>402416499425358.5</v>
      </c>
    </row>
    <row r="12" spans="1:57" x14ac:dyDescent="0.75">
      <c r="A12" s="1" t="s">
        <v>1038</v>
      </c>
      <c r="B12">
        <f>'Start Year Data'!B36</f>
        <v>0</v>
      </c>
      <c r="C12">
        <f>$B12*'Time Series Scaling Factors'!C13</f>
        <v>0</v>
      </c>
      <c r="D12">
        <f>$B12*'Time Series Scaling Factors'!D13</f>
        <v>0</v>
      </c>
      <c r="E12">
        <f>$B12*'Time Series Scaling Factors'!E13</f>
        <v>0</v>
      </c>
      <c r="F12">
        <f>$B12*'Time Series Scaling Factors'!F13</f>
        <v>0</v>
      </c>
      <c r="G12">
        <f>$B12*'Time Series Scaling Factors'!G13</f>
        <v>0</v>
      </c>
      <c r="H12">
        <f>$B12*'Time Series Scaling Factors'!H13</f>
        <v>0</v>
      </c>
      <c r="I12">
        <f>$B12*'Time Series Scaling Factors'!I13</f>
        <v>0</v>
      </c>
      <c r="J12">
        <f>$B12*'Time Series Scaling Factors'!J13</f>
        <v>0</v>
      </c>
      <c r="K12">
        <f>$B12*'Time Series Scaling Factors'!K13</f>
        <v>0</v>
      </c>
      <c r="L12">
        <f>$B12*'Time Series Scaling Factors'!L13</f>
        <v>0</v>
      </c>
      <c r="M12">
        <f>$B12*'Time Series Scaling Factors'!M13</f>
        <v>0</v>
      </c>
      <c r="N12">
        <f>$B12*'Time Series Scaling Factors'!N13</f>
        <v>0</v>
      </c>
      <c r="O12">
        <f>$B12*'Time Series Scaling Factors'!O13</f>
        <v>0</v>
      </c>
      <c r="P12">
        <f>$B12*'Time Series Scaling Factors'!P13</f>
        <v>0</v>
      </c>
      <c r="Q12">
        <f>$B12*'Time Series Scaling Factors'!Q13</f>
        <v>0</v>
      </c>
      <c r="R12">
        <f>$B12*'Time Series Scaling Factors'!R13</f>
        <v>0</v>
      </c>
      <c r="S12">
        <f>$B12*'Time Series Scaling Factors'!S13</f>
        <v>0</v>
      </c>
      <c r="T12">
        <f>$B12*'Time Series Scaling Factors'!T13</f>
        <v>0</v>
      </c>
      <c r="U12">
        <f>$B12*'Time Series Scaling Factors'!U13</f>
        <v>0</v>
      </c>
      <c r="V12">
        <f>$B12*'Time Series Scaling Factors'!V13</f>
        <v>0</v>
      </c>
      <c r="W12">
        <f>$B12*'Time Series Scaling Factors'!W13</f>
        <v>0</v>
      </c>
      <c r="X12">
        <f>$B12*'Time Series Scaling Factors'!X13</f>
        <v>0</v>
      </c>
      <c r="Y12">
        <f>$B12*'Time Series Scaling Factors'!Y13</f>
        <v>0</v>
      </c>
      <c r="Z12">
        <f>$B12*'Time Series Scaling Factors'!Z13</f>
        <v>0</v>
      </c>
      <c r="AA12">
        <f>$B12*'Time Series Scaling Factors'!AA13</f>
        <v>0</v>
      </c>
      <c r="AB12">
        <f>$B12*'Time Series Scaling Factors'!AB13</f>
        <v>0</v>
      </c>
      <c r="AC12">
        <f>$B12*'Time Series Scaling Factors'!AC13</f>
        <v>0</v>
      </c>
      <c r="AD12">
        <f>$B12*'Time Series Scaling Factors'!AD13</f>
        <v>0</v>
      </c>
      <c r="AE12">
        <f>$B12*'Time Series Scaling Factors'!AE13</f>
        <v>0</v>
      </c>
      <c r="AF12">
        <f t="shared" si="1"/>
        <v>0</v>
      </c>
      <c r="AG12">
        <f t="shared" si="0"/>
        <v>0</v>
      </c>
      <c r="AH12">
        <f t="shared" si="0"/>
        <v>0</v>
      </c>
      <c r="AI12">
        <f t="shared" si="0"/>
        <v>0</v>
      </c>
      <c r="AJ12">
        <f t="shared" si="0"/>
        <v>0</v>
      </c>
      <c r="AK12">
        <f t="shared" si="0"/>
        <v>0</v>
      </c>
      <c r="AL12">
        <f t="shared" si="0"/>
        <v>0</v>
      </c>
      <c r="AM12">
        <f t="shared" si="0"/>
        <v>0</v>
      </c>
      <c r="AN12">
        <f t="shared" si="0"/>
        <v>0</v>
      </c>
      <c r="AO12">
        <f t="shared" si="0"/>
        <v>0</v>
      </c>
      <c r="AP12">
        <f t="shared" si="0"/>
        <v>0</v>
      </c>
      <c r="AQ12">
        <f t="shared" si="0"/>
        <v>0</v>
      </c>
      <c r="AR12">
        <f t="shared" si="0"/>
        <v>0</v>
      </c>
      <c r="AS12">
        <f t="shared" si="0"/>
        <v>0</v>
      </c>
      <c r="AT12">
        <f t="shared" si="0"/>
        <v>0</v>
      </c>
      <c r="AU12">
        <f t="shared" si="0"/>
        <v>0</v>
      </c>
      <c r="AV12">
        <f t="shared" si="0"/>
        <v>0</v>
      </c>
      <c r="AW12">
        <f t="shared" si="0"/>
        <v>0</v>
      </c>
      <c r="AX12">
        <f t="shared" si="0"/>
        <v>0</v>
      </c>
      <c r="AY12">
        <f t="shared" si="0"/>
        <v>0</v>
      </c>
    </row>
    <row r="13" spans="1:57" x14ac:dyDescent="0.75">
      <c r="A13" s="1" t="s">
        <v>1039</v>
      </c>
      <c r="B13">
        <f>'Start Year Data'!B37</f>
        <v>0</v>
      </c>
      <c r="C13">
        <f>$B13*'Time Series Scaling Factors'!C14</f>
        <v>0</v>
      </c>
      <c r="D13">
        <f>$B13*'Time Series Scaling Factors'!D14</f>
        <v>0</v>
      </c>
      <c r="E13">
        <f>$B13*'Time Series Scaling Factors'!E14</f>
        <v>0</v>
      </c>
      <c r="F13">
        <f>$B13*'Time Series Scaling Factors'!F14</f>
        <v>0</v>
      </c>
      <c r="G13">
        <f>$B13*'Time Series Scaling Factors'!G14</f>
        <v>0</v>
      </c>
      <c r="H13">
        <f>$B13*'Time Series Scaling Factors'!H14</f>
        <v>0</v>
      </c>
      <c r="I13">
        <f>$B13*'Time Series Scaling Factors'!I14</f>
        <v>0</v>
      </c>
      <c r="J13">
        <f>$B13*'Time Series Scaling Factors'!J14</f>
        <v>0</v>
      </c>
      <c r="K13">
        <f>$B13*'Time Series Scaling Factors'!K14</f>
        <v>0</v>
      </c>
      <c r="L13">
        <f>$B13*'Time Series Scaling Factors'!L14</f>
        <v>0</v>
      </c>
      <c r="M13">
        <f>$B13*'Time Series Scaling Factors'!M14</f>
        <v>0</v>
      </c>
      <c r="N13">
        <f>$B13*'Time Series Scaling Factors'!N14</f>
        <v>0</v>
      </c>
      <c r="O13">
        <f>$B13*'Time Series Scaling Factors'!O14</f>
        <v>0</v>
      </c>
      <c r="P13">
        <f>$B13*'Time Series Scaling Factors'!P14</f>
        <v>0</v>
      </c>
      <c r="Q13">
        <f>$B13*'Time Series Scaling Factors'!Q14</f>
        <v>0</v>
      </c>
      <c r="R13">
        <f>$B13*'Time Series Scaling Factors'!R14</f>
        <v>0</v>
      </c>
      <c r="S13">
        <f>$B13*'Time Series Scaling Factors'!S14</f>
        <v>0</v>
      </c>
      <c r="T13">
        <f>$B13*'Time Series Scaling Factors'!T14</f>
        <v>0</v>
      </c>
      <c r="U13">
        <f>$B13*'Time Series Scaling Factors'!U14</f>
        <v>0</v>
      </c>
      <c r="V13">
        <f>$B13*'Time Series Scaling Factors'!V14</f>
        <v>0</v>
      </c>
      <c r="W13">
        <f>$B13*'Time Series Scaling Factors'!W14</f>
        <v>0</v>
      </c>
      <c r="X13">
        <f>$B13*'Time Series Scaling Factors'!X14</f>
        <v>0</v>
      </c>
      <c r="Y13">
        <f>$B13*'Time Series Scaling Factors'!Y14</f>
        <v>0</v>
      </c>
      <c r="Z13">
        <f>$B13*'Time Series Scaling Factors'!Z14</f>
        <v>0</v>
      </c>
      <c r="AA13">
        <f>$B13*'Time Series Scaling Factors'!AA14</f>
        <v>0</v>
      </c>
      <c r="AB13">
        <f>$B13*'Time Series Scaling Factors'!AB14</f>
        <v>0</v>
      </c>
      <c r="AC13">
        <f>$B13*'Time Series Scaling Factors'!AC14</f>
        <v>0</v>
      </c>
      <c r="AD13">
        <f>$B13*'Time Series Scaling Factors'!AD14</f>
        <v>0</v>
      </c>
      <c r="AE13">
        <f>$B13*'Time Series Scaling Factors'!AE14</f>
        <v>0</v>
      </c>
      <c r="AF13">
        <f t="shared" si="1"/>
        <v>0</v>
      </c>
      <c r="AG13">
        <f t="shared" si="0"/>
        <v>0</v>
      </c>
      <c r="AH13">
        <f t="shared" si="0"/>
        <v>0</v>
      </c>
      <c r="AI13">
        <f t="shared" si="0"/>
        <v>0</v>
      </c>
      <c r="AJ13">
        <f t="shared" si="0"/>
        <v>0</v>
      </c>
      <c r="AK13">
        <f t="shared" si="0"/>
        <v>0</v>
      </c>
      <c r="AL13">
        <f t="shared" si="0"/>
        <v>0</v>
      </c>
      <c r="AM13">
        <f t="shared" si="0"/>
        <v>0</v>
      </c>
      <c r="AN13">
        <f t="shared" si="0"/>
        <v>0</v>
      </c>
      <c r="AO13">
        <f t="shared" si="0"/>
        <v>0</v>
      </c>
      <c r="AP13">
        <f t="shared" si="0"/>
        <v>0</v>
      </c>
      <c r="AQ13">
        <f t="shared" si="0"/>
        <v>0</v>
      </c>
      <c r="AR13">
        <f t="shared" si="0"/>
        <v>0</v>
      </c>
      <c r="AS13">
        <f t="shared" si="0"/>
        <v>0</v>
      </c>
      <c r="AT13">
        <f t="shared" si="0"/>
        <v>0</v>
      </c>
      <c r="AU13">
        <f t="shared" si="0"/>
        <v>0</v>
      </c>
      <c r="AV13">
        <f t="shared" si="0"/>
        <v>0</v>
      </c>
      <c r="AW13">
        <f t="shared" si="0"/>
        <v>0</v>
      </c>
      <c r="AX13">
        <f t="shared" si="0"/>
        <v>0</v>
      </c>
      <c r="AY13">
        <f t="shared" si="0"/>
        <v>0</v>
      </c>
    </row>
    <row r="14" spans="1:57" x14ac:dyDescent="0.75">
      <c r="A14" s="1" t="s">
        <v>1040</v>
      </c>
      <c r="B14">
        <f>'Start Year Data'!B38</f>
        <v>67369893072479.992</v>
      </c>
      <c r="C14">
        <f>$B14*'Time Series Scaling Factors'!C15</f>
        <v>71479230640340</v>
      </c>
      <c r="D14">
        <f>$B14*'Time Series Scaling Factors'!D15</f>
        <v>74340403855024.953</v>
      </c>
      <c r="E14">
        <f>$B14*'Time Series Scaling Factors'!E15</f>
        <v>76415790778740.344</v>
      </c>
      <c r="F14">
        <f>$B14*'Time Series Scaling Factors'!F15</f>
        <v>77590638529481.156</v>
      </c>
      <c r="G14">
        <f>$B14*'Time Series Scaling Factors'!G15</f>
        <v>78673441514383.844</v>
      </c>
      <c r="H14">
        <f>$B14*'Time Series Scaling Factors'!H15</f>
        <v>79299189514881.734</v>
      </c>
      <c r="I14">
        <f>$B14*'Time Series Scaling Factors'!I15</f>
        <v>80369468294887.844</v>
      </c>
      <c r="J14">
        <f>$B14*'Time Series Scaling Factors'!J15</f>
        <v>80260771104340.422</v>
      </c>
      <c r="K14">
        <f>$B14*'Time Series Scaling Factors'!K15</f>
        <v>80406200729629.781</v>
      </c>
      <c r="L14">
        <f>$B14*'Time Series Scaling Factors'!L15</f>
        <v>79961658321333.344</v>
      </c>
      <c r="M14">
        <f>$B14*'Time Series Scaling Factors'!M15</f>
        <v>80140331744903.203</v>
      </c>
      <c r="N14">
        <f>$B14*'Time Series Scaling Factors'!N15</f>
        <v>80315725850199.297</v>
      </c>
      <c r="O14">
        <f>$B14*'Time Series Scaling Factors'!O15</f>
        <v>80021395406341.453</v>
      </c>
      <c r="P14">
        <f>$B14*'Time Series Scaling Factors'!P15</f>
        <v>79815580391101.578</v>
      </c>
      <c r="Q14">
        <f>$B14*'Time Series Scaling Factors'!Q15</f>
        <v>79438595427881</v>
      </c>
      <c r="R14">
        <f>$B14*'Time Series Scaling Factors'!R15</f>
        <v>79326607290271.625</v>
      </c>
      <c r="S14">
        <f>$B14*'Time Series Scaling Factors'!S15</f>
        <v>79018005416089.406</v>
      </c>
      <c r="T14">
        <f>$B14*'Time Series Scaling Factors'!T15</f>
        <v>78696515937379.234</v>
      </c>
      <c r="U14">
        <f>$B14*'Time Series Scaling Factors'!U15</f>
        <v>78079175550753.438</v>
      </c>
      <c r="V14">
        <f>$B14*'Time Series Scaling Factors'!V15</f>
        <v>77231122913341.25</v>
      </c>
      <c r="W14">
        <f>$B14*'Time Series Scaling Factors'!W15</f>
        <v>77385213078646.141</v>
      </c>
      <c r="X14">
        <f>$B14*'Time Series Scaling Factors'!X15</f>
        <v>77803047067633.156</v>
      </c>
      <c r="Y14">
        <f>$B14*'Time Series Scaling Factors'!Y15</f>
        <v>78617015726817.063</v>
      </c>
      <c r="Z14">
        <f>$B14*'Time Series Scaling Factors'!Z15</f>
        <v>78811114737940.578</v>
      </c>
      <c r="AA14">
        <f>$B14*'Time Series Scaling Factors'!AA15</f>
        <v>78981906750304.641</v>
      </c>
      <c r="AB14">
        <f>$B14*'Time Series Scaling Factors'!AB15</f>
        <v>78344442745690.406</v>
      </c>
      <c r="AC14">
        <f>$B14*'Time Series Scaling Factors'!AC15</f>
        <v>78584710953184.094</v>
      </c>
      <c r="AD14">
        <f>$B14*'Time Series Scaling Factors'!AD15</f>
        <v>79424716469158.563</v>
      </c>
      <c r="AE14">
        <f>$B14*'Time Series Scaling Factors'!AE15</f>
        <v>79630519855610.234</v>
      </c>
      <c r="AF14">
        <f t="shared" si="1"/>
        <v>79630519855610.234</v>
      </c>
      <c r="AG14">
        <f t="shared" si="0"/>
        <v>79630519855610.234</v>
      </c>
      <c r="AH14">
        <f t="shared" si="0"/>
        <v>79630519855610.234</v>
      </c>
      <c r="AI14">
        <f t="shared" si="0"/>
        <v>79630519855610.234</v>
      </c>
      <c r="AJ14">
        <f t="shared" si="0"/>
        <v>79630519855610.234</v>
      </c>
      <c r="AK14">
        <f t="shared" si="0"/>
        <v>79630519855610.234</v>
      </c>
      <c r="AL14">
        <f t="shared" si="0"/>
        <v>79630519855610.234</v>
      </c>
      <c r="AM14">
        <f t="shared" si="0"/>
        <v>79630519855610.234</v>
      </c>
      <c r="AN14">
        <f t="shared" si="0"/>
        <v>79630519855610.234</v>
      </c>
      <c r="AO14">
        <f t="shared" si="0"/>
        <v>79630519855610.234</v>
      </c>
      <c r="AP14">
        <f t="shared" si="0"/>
        <v>79630519855610.234</v>
      </c>
      <c r="AQ14">
        <f t="shared" si="0"/>
        <v>79630519855610.234</v>
      </c>
      <c r="AR14">
        <f t="shared" si="0"/>
        <v>79630519855610.234</v>
      </c>
      <c r="AS14">
        <f t="shared" si="0"/>
        <v>79630519855610.234</v>
      </c>
      <c r="AT14">
        <f t="shared" si="0"/>
        <v>79630519855610.234</v>
      </c>
      <c r="AU14">
        <f t="shared" si="0"/>
        <v>79630519855610.234</v>
      </c>
      <c r="AV14">
        <f t="shared" si="0"/>
        <v>79630519855610.234</v>
      </c>
      <c r="AW14">
        <f t="shared" si="0"/>
        <v>79630519855610.234</v>
      </c>
      <c r="AX14">
        <f t="shared" si="0"/>
        <v>79630519855610.234</v>
      </c>
      <c r="AY14">
        <f t="shared" si="0"/>
        <v>79630519855610.234</v>
      </c>
    </row>
    <row r="15" spans="1:57" x14ac:dyDescent="0.75">
      <c r="A15" s="1" t="s">
        <v>1041</v>
      </c>
      <c r="B15">
        <f>'Start Year Data'!B39</f>
        <v>0</v>
      </c>
      <c r="C15">
        <f>$B15*'Time Series Scaling Factors'!C16</f>
        <v>0</v>
      </c>
      <c r="D15">
        <f>$B15*'Time Series Scaling Factors'!D16</f>
        <v>0</v>
      </c>
      <c r="E15">
        <f>$B15*'Time Series Scaling Factors'!E16</f>
        <v>0</v>
      </c>
      <c r="F15">
        <f>$B15*'Time Series Scaling Factors'!F16</f>
        <v>0</v>
      </c>
      <c r="G15">
        <f>$B15*'Time Series Scaling Factors'!G16</f>
        <v>0</v>
      </c>
      <c r="H15">
        <f>$B15*'Time Series Scaling Factors'!H16</f>
        <v>0</v>
      </c>
      <c r="I15">
        <f>$B15*'Time Series Scaling Factors'!I16</f>
        <v>0</v>
      </c>
      <c r="J15">
        <f>$B15*'Time Series Scaling Factors'!J16</f>
        <v>0</v>
      </c>
      <c r="K15">
        <f>$B15*'Time Series Scaling Factors'!K16</f>
        <v>0</v>
      </c>
      <c r="L15">
        <f>$B15*'Time Series Scaling Factors'!L16</f>
        <v>0</v>
      </c>
      <c r="M15">
        <f>$B15*'Time Series Scaling Factors'!M16</f>
        <v>0</v>
      </c>
      <c r="N15">
        <f>$B15*'Time Series Scaling Factors'!N16</f>
        <v>0</v>
      </c>
      <c r="O15">
        <f>$B15*'Time Series Scaling Factors'!O16</f>
        <v>0</v>
      </c>
      <c r="P15">
        <f>$B15*'Time Series Scaling Factors'!P16</f>
        <v>0</v>
      </c>
      <c r="Q15">
        <f>$B15*'Time Series Scaling Factors'!Q16</f>
        <v>0</v>
      </c>
      <c r="R15">
        <f>$B15*'Time Series Scaling Factors'!R16</f>
        <v>0</v>
      </c>
      <c r="S15">
        <f>$B15*'Time Series Scaling Factors'!S16</f>
        <v>0</v>
      </c>
      <c r="T15">
        <f>$B15*'Time Series Scaling Factors'!T16</f>
        <v>0</v>
      </c>
      <c r="U15">
        <f>$B15*'Time Series Scaling Factors'!U16</f>
        <v>0</v>
      </c>
      <c r="V15">
        <f>$B15*'Time Series Scaling Factors'!V16</f>
        <v>0</v>
      </c>
      <c r="W15">
        <f>$B15*'Time Series Scaling Factors'!W16</f>
        <v>0</v>
      </c>
      <c r="X15">
        <f>$B15*'Time Series Scaling Factors'!X16</f>
        <v>0</v>
      </c>
      <c r="Y15">
        <f>$B15*'Time Series Scaling Factors'!Y16</f>
        <v>0</v>
      </c>
      <c r="Z15">
        <f>$B15*'Time Series Scaling Factors'!Z16</f>
        <v>0</v>
      </c>
      <c r="AA15">
        <f>$B15*'Time Series Scaling Factors'!AA16</f>
        <v>0</v>
      </c>
      <c r="AB15">
        <f>$B15*'Time Series Scaling Factors'!AB16</f>
        <v>0</v>
      </c>
      <c r="AC15">
        <f>$B15*'Time Series Scaling Factors'!AC16</f>
        <v>0</v>
      </c>
      <c r="AD15">
        <f>$B15*'Time Series Scaling Factors'!AD16</f>
        <v>0</v>
      </c>
      <c r="AE15">
        <f>$B15*'Time Series Scaling Factors'!AE16</f>
        <v>0</v>
      </c>
      <c r="AF15">
        <f t="shared" si="1"/>
        <v>0</v>
      </c>
      <c r="AG15">
        <f t="shared" si="0"/>
        <v>0</v>
      </c>
      <c r="AH15">
        <f t="shared" si="0"/>
        <v>0</v>
      </c>
      <c r="AI15">
        <f t="shared" si="0"/>
        <v>0</v>
      </c>
      <c r="AJ15">
        <f t="shared" si="0"/>
        <v>0</v>
      </c>
      <c r="AK15">
        <f t="shared" si="0"/>
        <v>0</v>
      </c>
      <c r="AL15">
        <f t="shared" si="0"/>
        <v>0</v>
      </c>
      <c r="AM15">
        <f t="shared" si="0"/>
        <v>0</v>
      </c>
      <c r="AN15">
        <f t="shared" si="0"/>
        <v>0</v>
      </c>
      <c r="AO15">
        <f t="shared" si="0"/>
        <v>0</v>
      </c>
      <c r="AP15">
        <f t="shared" si="0"/>
        <v>0</v>
      </c>
      <c r="AQ15">
        <f t="shared" si="0"/>
        <v>0</v>
      </c>
      <c r="AR15">
        <f t="shared" si="0"/>
        <v>0</v>
      </c>
      <c r="AS15">
        <f t="shared" si="0"/>
        <v>0</v>
      </c>
      <c r="AT15">
        <f t="shared" si="0"/>
        <v>0</v>
      </c>
      <c r="AU15">
        <f t="shared" si="0"/>
        <v>0</v>
      </c>
      <c r="AV15">
        <f t="shared" si="0"/>
        <v>0</v>
      </c>
      <c r="AW15">
        <f t="shared" si="0"/>
        <v>0</v>
      </c>
      <c r="AX15">
        <f t="shared" si="0"/>
        <v>0</v>
      </c>
      <c r="AY15">
        <f t="shared" si="0"/>
        <v>0</v>
      </c>
    </row>
    <row r="16" spans="1:57" x14ac:dyDescent="0.75">
      <c r="A16" s="1" t="s">
        <v>1042</v>
      </c>
      <c r="B16">
        <f>'Start Year Data'!B40</f>
        <v>0</v>
      </c>
      <c r="C16">
        <f>$B16*'Time Series Scaling Factors'!C17</f>
        <v>0</v>
      </c>
      <c r="D16">
        <f>$B16*'Time Series Scaling Factors'!D17</f>
        <v>0</v>
      </c>
      <c r="E16">
        <f>$B16*'Time Series Scaling Factors'!E17</f>
        <v>0</v>
      </c>
      <c r="F16">
        <f>$B16*'Time Series Scaling Factors'!F17</f>
        <v>0</v>
      </c>
      <c r="G16">
        <f>$B16*'Time Series Scaling Factors'!G17</f>
        <v>0</v>
      </c>
      <c r="H16">
        <f>$B16*'Time Series Scaling Factors'!H17</f>
        <v>0</v>
      </c>
      <c r="I16">
        <f>$B16*'Time Series Scaling Factors'!I17</f>
        <v>0</v>
      </c>
      <c r="J16">
        <f>$B16*'Time Series Scaling Factors'!J17</f>
        <v>0</v>
      </c>
      <c r="K16">
        <f>$B16*'Time Series Scaling Factors'!K17</f>
        <v>0</v>
      </c>
      <c r="L16">
        <f>$B16*'Time Series Scaling Factors'!L17</f>
        <v>0</v>
      </c>
      <c r="M16">
        <f>$B16*'Time Series Scaling Factors'!M17</f>
        <v>0</v>
      </c>
      <c r="N16">
        <f>$B16*'Time Series Scaling Factors'!N17</f>
        <v>0</v>
      </c>
      <c r="O16">
        <f>$B16*'Time Series Scaling Factors'!O17</f>
        <v>0</v>
      </c>
      <c r="P16">
        <f>$B16*'Time Series Scaling Factors'!P17</f>
        <v>0</v>
      </c>
      <c r="Q16">
        <f>$B16*'Time Series Scaling Factors'!Q17</f>
        <v>0</v>
      </c>
      <c r="R16">
        <f>$B16*'Time Series Scaling Factors'!R17</f>
        <v>0</v>
      </c>
      <c r="S16">
        <f>$B16*'Time Series Scaling Factors'!S17</f>
        <v>0</v>
      </c>
      <c r="T16">
        <f>$B16*'Time Series Scaling Factors'!T17</f>
        <v>0</v>
      </c>
      <c r="U16">
        <f>$B16*'Time Series Scaling Factors'!U17</f>
        <v>0</v>
      </c>
      <c r="V16">
        <f>$B16*'Time Series Scaling Factors'!V17</f>
        <v>0</v>
      </c>
      <c r="W16">
        <f>$B16*'Time Series Scaling Factors'!W17</f>
        <v>0</v>
      </c>
      <c r="X16">
        <f>$B16*'Time Series Scaling Factors'!X17</f>
        <v>0</v>
      </c>
      <c r="Y16">
        <f>$B16*'Time Series Scaling Factors'!Y17</f>
        <v>0</v>
      </c>
      <c r="Z16">
        <f>$B16*'Time Series Scaling Factors'!Z17</f>
        <v>0</v>
      </c>
      <c r="AA16">
        <f>$B16*'Time Series Scaling Factors'!AA17</f>
        <v>0</v>
      </c>
      <c r="AB16">
        <f>$B16*'Time Series Scaling Factors'!AB17</f>
        <v>0</v>
      </c>
      <c r="AC16">
        <f>$B16*'Time Series Scaling Factors'!AC17</f>
        <v>0</v>
      </c>
      <c r="AD16">
        <f>$B16*'Time Series Scaling Factors'!AD17</f>
        <v>0</v>
      </c>
      <c r="AE16">
        <f>$B16*'Time Series Scaling Factors'!AE17</f>
        <v>0</v>
      </c>
      <c r="AF16">
        <f t="shared" si="1"/>
        <v>0</v>
      </c>
      <c r="AG16">
        <f t="shared" si="0"/>
        <v>0</v>
      </c>
      <c r="AH16">
        <f t="shared" si="0"/>
        <v>0</v>
      </c>
      <c r="AI16">
        <f t="shared" si="0"/>
        <v>0</v>
      </c>
      <c r="AJ16">
        <f t="shared" si="0"/>
        <v>0</v>
      </c>
      <c r="AK16">
        <f t="shared" ref="AG16:AY22" si="2">AJ16</f>
        <v>0</v>
      </c>
      <c r="AL16">
        <f t="shared" si="2"/>
        <v>0</v>
      </c>
      <c r="AM16">
        <f t="shared" si="2"/>
        <v>0</v>
      </c>
      <c r="AN16">
        <f t="shared" si="2"/>
        <v>0</v>
      </c>
      <c r="AO16">
        <f t="shared" si="2"/>
        <v>0</v>
      </c>
      <c r="AP16">
        <f t="shared" si="2"/>
        <v>0</v>
      </c>
      <c r="AQ16">
        <f t="shared" si="2"/>
        <v>0</v>
      </c>
      <c r="AR16">
        <f t="shared" si="2"/>
        <v>0</v>
      </c>
      <c r="AS16">
        <f t="shared" si="2"/>
        <v>0</v>
      </c>
      <c r="AT16">
        <f t="shared" si="2"/>
        <v>0</v>
      </c>
      <c r="AU16">
        <f t="shared" si="2"/>
        <v>0</v>
      </c>
      <c r="AV16">
        <f t="shared" si="2"/>
        <v>0</v>
      </c>
      <c r="AW16">
        <f t="shared" si="2"/>
        <v>0</v>
      </c>
      <c r="AX16">
        <f t="shared" si="2"/>
        <v>0</v>
      </c>
      <c r="AY16">
        <f t="shared" si="2"/>
        <v>0</v>
      </c>
    </row>
    <row r="17" spans="1:57" x14ac:dyDescent="0.75">
      <c r="A17" s="1" t="s">
        <v>1043</v>
      </c>
      <c r="B17">
        <f>'Start Year Data'!B41</f>
        <v>0</v>
      </c>
      <c r="C17">
        <f>$B17*'Time Series Scaling Factors'!C18</f>
        <v>0</v>
      </c>
      <c r="D17">
        <f>$B17*'Time Series Scaling Factors'!D18</f>
        <v>0</v>
      </c>
      <c r="E17">
        <f>$B17*'Time Series Scaling Factors'!E18</f>
        <v>0</v>
      </c>
      <c r="F17">
        <f>$B17*'Time Series Scaling Factors'!F18</f>
        <v>0</v>
      </c>
      <c r="G17">
        <f>$B17*'Time Series Scaling Factors'!G18</f>
        <v>0</v>
      </c>
      <c r="H17">
        <f>$B17*'Time Series Scaling Factors'!H18</f>
        <v>0</v>
      </c>
      <c r="I17">
        <f>$B17*'Time Series Scaling Factors'!I18</f>
        <v>0</v>
      </c>
      <c r="J17">
        <f>$B17*'Time Series Scaling Factors'!J18</f>
        <v>0</v>
      </c>
      <c r="K17">
        <f>$B17*'Time Series Scaling Factors'!K18</f>
        <v>0</v>
      </c>
      <c r="L17">
        <f>$B17*'Time Series Scaling Factors'!L18</f>
        <v>0</v>
      </c>
      <c r="M17">
        <f>$B17*'Time Series Scaling Factors'!M18</f>
        <v>0</v>
      </c>
      <c r="N17">
        <f>$B17*'Time Series Scaling Factors'!N18</f>
        <v>0</v>
      </c>
      <c r="O17">
        <f>$B17*'Time Series Scaling Factors'!O18</f>
        <v>0</v>
      </c>
      <c r="P17">
        <f>$B17*'Time Series Scaling Factors'!P18</f>
        <v>0</v>
      </c>
      <c r="Q17">
        <f>$B17*'Time Series Scaling Factors'!Q18</f>
        <v>0</v>
      </c>
      <c r="R17">
        <f>$B17*'Time Series Scaling Factors'!R18</f>
        <v>0</v>
      </c>
      <c r="S17">
        <f>$B17*'Time Series Scaling Factors'!S18</f>
        <v>0</v>
      </c>
      <c r="T17">
        <f>$B17*'Time Series Scaling Factors'!T18</f>
        <v>0</v>
      </c>
      <c r="U17">
        <f>$B17*'Time Series Scaling Factors'!U18</f>
        <v>0</v>
      </c>
      <c r="V17">
        <f>$B17*'Time Series Scaling Factors'!V18</f>
        <v>0</v>
      </c>
      <c r="W17">
        <f>$B17*'Time Series Scaling Factors'!W18</f>
        <v>0</v>
      </c>
      <c r="X17">
        <f>$B17*'Time Series Scaling Factors'!X18</f>
        <v>0</v>
      </c>
      <c r="Y17">
        <f>$B17*'Time Series Scaling Factors'!Y18</f>
        <v>0</v>
      </c>
      <c r="Z17">
        <f>$B17*'Time Series Scaling Factors'!Z18</f>
        <v>0</v>
      </c>
      <c r="AA17">
        <f>$B17*'Time Series Scaling Factors'!AA18</f>
        <v>0</v>
      </c>
      <c r="AB17">
        <f>$B17*'Time Series Scaling Factors'!AB18</f>
        <v>0</v>
      </c>
      <c r="AC17">
        <f>$B17*'Time Series Scaling Factors'!AC18</f>
        <v>0</v>
      </c>
      <c r="AD17">
        <f>$B17*'Time Series Scaling Factors'!AD18</f>
        <v>0</v>
      </c>
      <c r="AE17">
        <f>$B17*'Time Series Scaling Factors'!AE18</f>
        <v>0</v>
      </c>
      <c r="AF17">
        <f t="shared" si="1"/>
        <v>0</v>
      </c>
      <c r="AG17">
        <f t="shared" si="2"/>
        <v>0</v>
      </c>
      <c r="AH17">
        <f t="shared" si="2"/>
        <v>0</v>
      </c>
      <c r="AI17">
        <f t="shared" si="2"/>
        <v>0</v>
      </c>
      <c r="AJ17">
        <f t="shared" si="2"/>
        <v>0</v>
      </c>
      <c r="AK17">
        <f t="shared" si="2"/>
        <v>0</v>
      </c>
      <c r="AL17">
        <f t="shared" si="2"/>
        <v>0</v>
      </c>
      <c r="AM17">
        <f t="shared" si="2"/>
        <v>0</v>
      </c>
      <c r="AN17">
        <f t="shared" si="2"/>
        <v>0</v>
      </c>
      <c r="AO17">
        <f t="shared" si="2"/>
        <v>0</v>
      </c>
      <c r="AP17">
        <f t="shared" si="2"/>
        <v>0</v>
      </c>
      <c r="AQ17">
        <f t="shared" si="2"/>
        <v>0</v>
      </c>
      <c r="AR17">
        <f t="shared" si="2"/>
        <v>0</v>
      </c>
      <c r="AS17">
        <f t="shared" si="2"/>
        <v>0</v>
      </c>
      <c r="AT17">
        <f t="shared" si="2"/>
        <v>0</v>
      </c>
      <c r="AU17">
        <f t="shared" si="2"/>
        <v>0</v>
      </c>
      <c r="AV17">
        <f t="shared" si="2"/>
        <v>0</v>
      </c>
      <c r="AW17">
        <f t="shared" si="2"/>
        <v>0</v>
      </c>
      <c r="AX17">
        <f t="shared" si="2"/>
        <v>0</v>
      </c>
      <c r="AY17">
        <f t="shared" si="2"/>
        <v>0</v>
      </c>
    </row>
    <row r="18" spans="1:57" x14ac:dyDescent="0.75">
      <c r="A18" s="1" t="s">
        <v>1044</v>
      </c>
      <c r="B18" s="226">
        <f>'growth rate gas and oil'!E78</f>
        <v>3386840244087969.5</v>
      </c>
      <c r="C18" s="226">
        <f>'growth rate gas and oil'!F78</f>
        <v>3608871501244320</v>
      </c>
      <c r="D18" s="226">
        <f>'growth rate gas and oil'!G78</f>
        <v>3773495781653955.5</v>
      </c>
      <c r="E18" s="226">
        <f>'growth rate gas and oil'!H78</f>
        <v>3892138155214180</v>
      </c>
      <c r="F18" s="226">
        <f>'growth rate gas and oil'!I78</f>
        <v>3930058046152969.5</v>
      </c>
      <c r="G18" s="226">
        <f>'growth rate gas and oil'!J78</f>
        <v>3980247888769631</v>
      </c>
      <c r="H18" s="226">
        <f>'growth rate gas and oil'!K78</f>
        <v>4003746183091064.5</v>
      </c>
      <c r="I18" s="226">
        <f>'growth rate gas and oil'!L78</f>
        <v>4041221932951356</v>
      </c>
      <c r="J18" s="226">
        <f>'growth rate gas and oil'!M78</f>
        <v>4031613026251645.5</v>
      </c>
      <c r="K18" s="226">
        <f>'growth rate gas and oil'!N78</f>
        <v>4027024941201800</v>
      </c>
      <c r="L18" s="226">
        <f>'growth rate gas and oil'!O78</f>
        <v>4004456745458447.5</v>
      </c>
      <c r="M18" s="226">
        <f>'growth rate gas and oil'!P78</f>
        <v>4005334890301240</v>
      </c>
      <c r="N18" s="226">
        <f>'growth rate gas and oil'!Q78</f>
        <v>4007595194577332.5</v>
      </c>
      <c r="O18" s="226">
        <f>'growth rate gas and oil'!R78</f>
        <v>4007290124778050.5</v>
      </c>
      <c r="P18" s="226">
        <f>'growth rate gas and oil'!S78</f>
        <v>4012125306861582.5</v>
      </c>
      <c r="Q18" s="226">
        <f>'growth rate gas and oil'!T78</f>
        <v>3994358079766327.5</v>
      </c>
      <c r="R18" s="226">
        <f>'growth rate gas and oil'!U78</f>
        <v>3976780610521301</v>
      </c>
      <c r="S18" s="226">
        <f>'growth rate gas and oil'!V78</f>
        <v>3948404050530975</v>
      </c>
      <c r="T18" s="226">
        <f>'growth rate gas and oil'!W78</f>
        <v>3922480403786588</v>
      </c>
      <c r="U18" s="226">
        <f>'growth rate gas and oil'!X78</f>
        <v>3900768811093347.5</v>
      </c>
      <c r="V18" s="226">
        <f>'growth rate gas and oil'!Y78</f>
        <v>3867232041382871</v>
      </c>
      <c r="W18" s="226">
        <f>'growth rate gas and oil'!Z78</f>
        <v>3877863549652760.5</v>
      </c>
      <c r="X18" s="226">
        <f>'growth rate gas and oil'!AA78</f>
        <v>3900800173409161.5</v>
      </c>
      <c r="Y18" s="226">
        <f>'growth rate gas and oil'!AB78</f>
        <v>3926037017116327.5</v>
      </c>
      <c r="Z18" s="226">
        <f>'growth rate gas and oil'!AC78</f>
        <v>3927562999694875</v>
      </c>
      <c r="AA18" s="226">
        <f>'growth rate gas and oil'!AD78</f>
        <v>3924790444260486.5</v>
      </c>
      <c r="AB18" s="226">
        <f>'growth rate gas and oil'!AE78</f>
        <v>3892400141428101.5</v>
      </c>
      <c r="AC18" s="226">
        <f>'growth rate gas and oil'!AF78</f>
        <v>3896426239121844</v>
      </c>
      <c r="AD18" s="226">
        <f>'growth rate gas and oil'!AG78</f>
        <v>3941454604854080</v>
      </c>
      <c r="AE18" s="226">
        <f>'growth rate gas and oil'!AH78</f>
        <v>3963056904628574.5</v>
      </c>
      <c r="AF18">
        <f t="shared" si="1"/>
        <v>3963056904628574.5</v>
      </c>
      <c r="AG18">
        <f t="shared" si="2"/>
        <v>3963056904628574.5</v>
      </c>
      <c r="AH18">
        <f t="shared" si="2"/>
        <v>3963056904628574.5</v>
      </c>
      <c r="AI18">
        <f t="shared" si="2"/>
        <v>3963056904628574.5</v>
      </c>
      <c r="AJ18">
        <f t="shared" si="2"/>
        <v>3963056904628574.5</v>
      </c>
      <c r="AK18">
        <f t="shared" si="2"/>
        <v>3963056904628574.5</v>
      </c>
      <c r="AL18">
        <f t="shared" si="2"/>
        <v>3963056904628574.5</v>
      </c>
      <c r="AM18">
        <f t="shared" si="2"/>
        <v>3963056904628574.5</v>
      </c>
      <c r="AN18">
        <f t="shared" si="2"/>
        <v>3963056904628574.5</v>
      </c>
      <c r="AO18">
        <f t="shared" si="2"/>
        <v>3963056904628574.5</v>
      </c>
      <c r="AP18">
        <f t="shared" si="2"/>
        <v>3963056904628574.5</v>
      </c>
      <c r="AQ18">
        <f t="shared" si="2"/>
        <v>3963056904628574.5</v>
      </c>
      <c r="AR18">
        <f t="shared" si="2"/>
        <v>3963056904628574.5</v>
      </c>
      <c r="AS18">
        <f t="shared" si="2"/>
        <v>3963056904628574.5</v>
      </c>
      <c r="AT18">
        <f t="shared" si="2"/>
        <v>3963056904628574.5</v>
      </c>
      <c r="AU18">
        <f t="shared" si="2"/>
        <v>3963056904628574.5</v>
      </c>
      <c r="AV18">
        <f t="shared" si="2"/>
        <v>3963056904628574.5</v>
      </c>
      <c r="AW18">
        <f t="shared" si="2"/>
        <v>3963056904628574.5</v>
      </c>
      <c r="AX18">
        <f t="shared" si="2"/>
        <v>3963056904628574.5</v>
      </c>
      <c r="AY18">
        <f t="shared" si="2"/>
        <v>3963056904628574.5</v>
      </c>
      <c r="AZ18" s="226"/>
      <c r="BA18" s="226"/>
      <c r="BB18" s="226"/>
      <c r="BC18" s="226"/>
      <c r="BD18" s="226"/>
      <c r="BE18" s="226"/>
    </row>
    <row r="19" spans="1:57" x14ac:dyDescent="0.75">
      <c r="A19" s="1" t="s">
        <v>1045</v>
      </c>
      <c r="B19">
        <f>'Start Year Data'!B43</f>
        <v>594727756103520</v>
      </c>
      <c r="C19">
        <f>$B19*'Time Series Scaling Factors'!C20</f>
        <v>631004154942033.38</v>
      </c>
      <c r="D19">
        <f>$B19*'Time Series Scaling Factors'!D20</f>
        <v>656262011948907</v>
      </c>
      <c r="E19">
        <f>$B19*'Time Series Scaling Factors'!E20</f>
        <v>674583106905372.75</v>
      </c>
      <c r="F19">
        <f>$B19*'Time Series Scaling Factors'!F20</f>
        <v>684954424636419.75</v>
      </c>
      <c r="G19">
        <f>$B19*'Time Series Scaling Factors'!G20</f>
        <v>694513189837672.88</v>
      </c>
      <c r="H19">
        <f>$B19*'Time Series Scaling Factors'!H20</f>
        <v>700037166309210.25</v>
      </c>
      <c r="I19">
        <f>$B19*'Time Series Scaling Factors'!I20</f>
        <v>709485370369048.13</v>
      </c>
      <c r="J19">
        <f>$B19*'Time Series Scaling Factors'!J20</f>
        <v>708525813610371.5</v>
      </c>
      <c r="K19">
        <f>$B19*'Time Series Scaling Factors'!K20</f>
        <v>709809636855070.25</v>
      </c>
      <c r="L19">
        <f>$B19*'Time Series Scaling Factors'!L20</f>
        <v>705885306610185.38</v>
      </c>
      <c r="M19">
        <f>$B19*'Time Series Scaling Factors'!M20</f>
        <v>707462599365581.5</v>
      </c>
      <c r="N19">
        <f>$B19*'Time Series Scaling Factors'!N20</f>
        <v>709010942964172.38</v>
      </c>
      <c r="O19">
        <f>$B19*'Time Series Scaling Factors'!O20</f>
        <v>706412653484327.13</v>
      </c>
      <c r="P19">
        <f>$B19*'Time Series Scaling Factors'!P20</f>
        <v>704595760260905.5</v>
      </c>
      <c r="Q19">
        <f>$B19*'Time Series Scaling Factors'!Q20</f>
        <v>701267813443181.88</v>
      </c>
      <c r="R19">
        <f>$B19*'Time Series Scaling Factors'!R20</f>
        <v>700279204871115.63</v>
      </c>
      <c r="S19">
        <f>$B19*'Time Series Scaling Factors'!S20</f>
        <v>697554930098046.5</v>
      </c>
      <c r="T19">
        <f>$B19*'Time Series Scaling Factors'!T20</f>
        <v>694716886165299.13</v>
      </c>
      <c r="U19">
        <f>$B19*'Time Series Scaling Factors'!U20</f>
        <v>689267130404294.13</v>
      </c>
      <c r="V19">
        <f>$B19*'Time Series Scaling Factors'!V20</f>
        <v>681780693672634.13</v>
      </c>
      <c r="W19">
        <f>$B19*'Time Series Scaling Factors'!W20</f>
        <v>683140970408576</v>
      </c>
      <c r="X19">
        <f>$B19*'Time Series Scaling Factors'!X20</f>
        <v>686829524143204.75</v>
      </c>
      <c r="Y19">
        <f>$B19*'Time Series Scaling Factors'!Y20</f>
        <v>694015074425943.5</v>
      </c>
      <c r="Z19">
        <f>$B19*'Time Series Scaling Factors'!Z20</f>
        <v>695728541140566.38</v>
      </c>
      <c r="AA19">
        <f>$B19*'Time Series Scaling Factors'!AA20</f>
        <v>697236258395875.13</v>
      </c>
      <c r="AB19">
        <f>$B19*'Time Series Scaling Factors'!AB20</f>
        <v>691608855415539.25</v>
      </c>
      <c r="AC19">
        <f>$B19*'Time Series Scaling Factors'!AC20</f>
        <v>693729894434437.5</v>
      </c>
      <c r="AD19">
        <f>$B19*'Time Series Scaling Factors'!AD20</f>
        <v>701145292809682.13</v>
      </c>
      <c r="AE19">
        <f>$B19*'Time Series Scaling Factors'!AE20</f>
        <v>702962083376519.38</v>
      </c>
      <c r="AF19">
        <f t="shared" si="1"/>
        <v>702962083376519.38</v>
      </c>
      <c r="AG19">
        <f t="shared" si="2"/>
        <v>702962083376519.38</v>
      </c>
      <c r="AH19">
        <f t="shared" si="2"/>
        <v>702962083376519.38</v>
      </c>
      <c r="AI19">
        <f t="shared" si="2"/>
        <v>702962083376519.38</v>
      </c>
      <c r="AJ19">
        <f t="shared" si="2"/>
        <v>702962083376519.38</v>
      </c>
      <c r="AK19">
        <f t="shared" si="2"/>
        <v>702962083376519.38</v>
      </c>
      <c r="AL19">
        <f t="shared" si="2"/>
        <v>702962083376519.38</v>
      </c>
      <c r="AM19">
        <f t="shared" si="2"/>
        <v>702962083376519.38</v>
      </c>
      <c r="AN19">
        <f t="shared" si="2"/>
        <v>702962083376519.38</v>
      </c>
      <c r="AO19">
        <f t="shared" si="2"/>
        <v>702962083376519.38</v>
      </c>
      <c r="AP19">
        <f t="shared" si="2"/>
        <v>702962083376519.38</v>
      </c>
      <c r="AQ19">
        <f t="shared" si="2"/>
        <v>702962083376519.38</v>
      </c>
      <c r="AR19">
        <f t="shared" si="2"/>
        <v>702962083376519.38</v>
      </c>
      <c r="AS19">
        <f t="shared" si="2"/>
        <v>702962083376519.38</v>
      </c>
      <c r="AT19">
        <f t="shared" si="2"/>
        <v>702962083376519.38</v>
      </c>
      <c r="AU19">
        <f t="shared" si="2"/>
        <v>702962083376519.38</v>
      </c>
      <c r="AV19">
        <f t="shared" si="2"/>
        <v>702962083376519.38</v>
      </c>
      <c r="AW19">
        <f t="shared" si="2"/>
        <v>702962083376519.38</v>
      </c>
      <c r="AX19">
        <f t="shared" si="2"/>
        <v>702962083376519.38</v>
      </c>
      <c r="AY19">
        <f t="shared" si="2"/>
        <v>702962083376519.38</v>
      </c>
    </row>
    <row r="20" spans="1:57" x14ac:dyDescent="0.75">
      <c r="A20" s="1" t="s">
        <v>1046</v>
      </c>
      <c r="B20">
        <f>'Start Year Data'!B44</f>
        <v>132883960223999.98</v>
      </c>
      <c r="C20">
        <f>$B20*'Time Series Scaling Factors'!C21</f>
        <v>147341769387953.75</v>
      </c>
      <c r="D20">
        <f>$B20*'Time Series Scaling Factors'!D21</f>
        <v>154950460833383.34</v>
      </c>
      <c r="E20">
        <f>$B20*'Time Series Scaling Factors'!E21</f>
        <v>158031847818200.66</v>
      </c>
      <c r="F20">
        <f>$B20*'Time Series Scaling Factors'!F21</f>
        <v>157634137533555.22</v>
      </c>
      <c r="G20">
        <f>$B20*'Time Series Scaling Factors'!G21</f>
        <v>160692195620947.13</v>
      </c>
      <c r="H20">
        <f>$B20*'Time Series Scaling Factors'!H21</f>
        <v>158179711301394.72</v>
      </c>
      <c r="I20">
        <f>$B20*'Time Series Scaling Factors'!I21</f>
        <v>156068977148724.78</v>
      </c>
      <c r="J20">
        <f>$B20*'Time Series Scaling Factors'!J21</f>
        <v>154124466131856.88</v>
      </c>
      <c r="K20">
        <f>$B20*'Time Series Scaling Factors'!K21</f>
        <v>152852263592256.66</v>
      </c>
      <c r="L20">
        <f>$B20*'Time Series Scaling Factors'!L21</f>
        <v>152503866424120.28</v>
      </c>
      <c r="M20">
        <f>$B20*'Time Series Scaling Factors'!M21</f>
        <v>153879057510891.31</v>
      </c>
      <c r="N20">
        <f>$B20*'Time Series Scaling Factors'!N21</f>
        <v>154917041713656.81</v>
      </c>
      <c r="O20">
        <f>$B20*'Time Series Scaling Factors'!O21</f>
        <v>157056718872400.88</v>
      </c>
      <c r="P20">
        <f>$B20*'Time Series Scaling Factors'!P21</f>
        <v>158176297316405.63</v>
      </c>
      <c r="Q20">
        <f>$B20*'Time Series Scaling Factors'!Q21</f>
        <v>160528646773386.53</v>
      </c>
      <c r="R20">
        <f>$B20*'Time Series Scaling Factors'!R21</f>
        <v>161541670952565.22</v>
      </c>
      <c r="S20">
        <f>$B20*'Time Series Scaling Factors'!S21</f>
        <v>161558361545845.19</v>
      </c>
      <c r="T20">
        <f>$B20*'Time Series Scaling Factors'!T21</f>
        <v>163978649304109</v>
      </c>
      <c r="U20">
        <f>$B20*'Time Series Scaling Factors'!U21</f>
        <v>163730983659733.94</v>
      </c>
      <c r="V20">
        <f>$B20*'Time Series Scaling Factors'!V21</f>
        <v>164841344344268.13</v>
      </c>
      <c r="W20">
        <f>$B20*'Time Series Scaling Factors'!W21</f>
        <v>167723316672556.19</v>
      </c>
      <c r="X20">
        <f>$B20*'Time Series Scaling Factors'!X21</f>
        <v>170073503939044.06</v>
      </c>
      <c r="Y20">
        <f>$B20*'Time Series Scaling Factors'!Y21</f>
        <v>171308380242763.56</v>
      </c>
      <c r="Z20">
        <f>$B20*'Time Series Scaling Factors'!Z21</f>
        <v>172216045051862.31</v>
      </c>
      <c r="AA20">
        <f>$B20*'Time Series Scaling Factors'!AA21</f>
        <v>173426814828242.22</v>
      </c>
      <c r="AB20">
        <f>$B20*'Time Series Scaling Factors'!AB21</f>
        <v>174401716175042.72</v>
      </c>
      <c r="AC20">
        <f>$B20*'Time Series Scaling Factors'!AC21</f>
        <v>175176159703233.94</v>
      </c>
      <c r="AD20">
        <f>$B20*'Time Series Scaling Factors'!AD21</f>
        <v>176061785342569.78</v>
      </c>
      <c r="AE20">
        <f>$B20*'Time Series Scaling Factors'!AE21</f>
        <v>176587349365056.56</v>
      </c>
      <c r="AF20">
        <f t="shared" si="1"/>
        <v>176587349365056.56</v>
      </c>
      <c r="AG20">
        <f t="shared" si="2"/>
        <v>176587349365056.56</v>
      </c>
      <c r="AH20">
        <f t="shared" si="2"/>
        <v>176587349365056.56</v>
      </c>
      <c r="AI20">
        <f t="shared" si="2"/>
        <v>176587349365056.56</v>
      </c>
      <c r="AJ20">
        <f t="shared" si="2"/>
        <v>176587349365056.56</v>
      </c>
      <c r="AK20">
        <f t="shared" si="2"/>
        <v>176587349365056.56</v>
      </c>
      <c r="AL20">
        <f t="shared" si="2"/>
        <v>176587349365056.56</v>
      </c>
      <c r="AM20">
        <f t="shared" si="2"/>
        <v>176587349365056.56</v>
      </c>
      <c r="AN20">
        <f t="shared" si="2"/>
        <v>176587349365056.56</v>
      </c>
      <c r="AO20">
        <f t="shared" si="2"/>
        <v>176587349365056.56</v>
      </c>
      <c r="AP20">
        <f t="shared" si="2"/>
        <v>176587349365056.56</v>
      </c>
      <c r="AQ20">
        <f t="shared" si="2"/>
        <v>176587349365056.56</v>
      </c>
      <c r="AR20">
        <f t="shared" si="2"/>
        <v>176587349365056.56</v>
      </c>
      <c r="AS20">
        <f t="shared" si="2"/>
        <v>176587349365056.56</v>
      </c>
      <c r="AT20">
        <f t="shared" si="2"/>
        <v>176587349365056.56</v>
      </c>
      <c r="AU20">
        <f t="shared" si="2"/>
        <v>176587349365056.56</v>
      </c>
      <c r="AV20">
        <f t="shared" si="2"/>
        <v>176587349365056.56</v>
      </c>
      <c r="AW20">
        <f t="shared" si="2"/>
        <v>176587349365056.56</v>
      </c>
      <c r="AX20">
        <f t="shared" si="2"/>
        <v>176587349365056.56</v>
      </c>
      <c r="AY20">
        <f t="shared" si="2"/>
        <v>176587349365056.56</v>
      </c>
    </row>
    <row r="21" spans="1:57" x14ac:dyDescent="0.75">
      <c r="A21" s="1" t="s">
        <v>1047</v>
      </c>
      <c r="B21">
        <f>'Start Year Data'!B45</f>
        <v>0</v>
      </c>
      <c r="C21">
        <f>$B21*'Time Series Scaling Factors'!C22</f>
        <v>0</v>
      </c>
      <c r="D21">
        <f>$B21*'Time Series Scaling Factors'!D22</f>
        <v>0</v>
      </c>
      <c r="E21">
        <f>$B21*'Time Series Scaling Factors'!E22</f>
        <v>0</v>
      </c>
      <c r="F21">
        <f>$B21*'Time Series Scaling Factors'!F22</f>
        <v>0</v>
      </c>
      <c r="G21">
        <f>$B21*'Time Series Scaling Factors'!G22</f>
        <v>0</v>
      </c>
      <c r="H21">
        <f>$B21*'Time Series Scaling Factors'!H22</f>
        <v>0</v>
      </c>
      <c r="I21">
        <f>$B21*'Time Series Scaling Factors'!I22</f>
        <v>0</v>
      </c>
      <c r="J21">
        <f>$B21*'Time Series Scaling Factors'!J22</f>
        <v>0</v>
      </c>
      <c r="K21">
        <f>$B21*'Time Series Scaling Factors'!K22</f>
        <v>0</v>
      </c>
      <c r="L21">
        <f>$B21*'Time Series Scaling Factors'!L22</f>
        <v>0</v>
      </c>
      <c r="M21">
        <f>$B21*'Time Series Scaling Factors'!M22</f>
        <v>0</v>
      </c>
      <c r="N21">
        <f>$B21*'Time Series Scaling Factors'!N22</f>
        <v>0</v>
      </c>
      <c r="O21">
        <f>$B21*'Time Series Scaling Factors'!O22</f>
        <v>0</v>
      </c>
      <c r="P21">
        <f>$B21*'Time Series Scaling Factors'!P22</f>
        <v>0</v>
      </c>
      <c r="Q21">
        <f>$B21*'Time Series Scaling Factors'!Q22</f>
        <v>0</v>
      </c>
      <c r="R21">
        <f>$B21*'Time Series Scaling Factors'!R22</f>
        <v>0</v>
      </c>
      <c r="S21">
        <f>$B21*'Time Series Scaling Factors'!S22</f>
        <v>0</v>
      </c>
      <c r="T21">
        <f>$B21*'Time Series Scaling Factors'!T22</f>
        <v>0</v>
      </c>
      <c r="U21">
        <f>$B21*'Time Series Scaling Factors'!U22</f>
        <v>0</v>
      </c>
      <c r="V21">
        <f>$B21*'Time Series Scaling Factors'!V22</f>
        <v>0</v>
      </c>
      <c r="W21">
        <f>$B21*'Time Series Scaling Factors'!W22</f>
        <v>0</v>
      </c>
      <c r="X21">
        <f>$B21*'Time Series Scaling Factors'!X22</f>
        <v>0</v>
      </c>
      <c r="Y21">
        <f>$B21*'Time Series Scaling Factors'!Y22</f>
        <v>0</v>
      </c>
      <c r="Z21">
        <f>$B21*'Time Series Scaling Factors'!Z22</f>
        <v>0</v>
      </c>
      <c r="AA21">
        <f>$B21*'Time Series Scaling Factors'!AA22</f>
        <v>0</v>
      </c>
      <c r="AB21">
        <f>$B21*'Time Series Scaling Factors'!AB22</f>
        <v>0</v>
      </c>
      <c r="AC21">
        <f>$B21*'Time Series Scaling Factors'!AC22</f>
        <v>0</v>
      </c>
      <c r="AD21">
        <f>$B21*'Time Series Scaling Factors'!AD22</f>
        <v>0</v>
      </c>
      <c r="AE21">
        <f>$B21*'Time Series Scaling Factors'!AE22</f>
        <v>0</v>
      </c>
      <c r="AF21">
        <f t="shared" si="1"/>
        <v>0</v>
      </c>
      <c r="AG21">
        <f t="shared" si="2"/>
        <v>0</v>
      </c>
      <c r="AH21">
        <f t="shared" si="2"/>
        <v>0</v>
      </c>
      <c r="AI21">
        <f t="shared" si="2"/>
        <v>0</v>
      </c>
      <c r="AJ21">
        <f t="shared" si="2"/>
        <v>0</v>
      </c>
      <c r="AK21">
        <f t="shared" si="2"/>
        <v>0</v>
      </c>
      <c r="AL21">
        <f t="shared" si="2"/>
        <v>0</v>
      </c>
      <c r="AM21">
        <f t="shared" si="2"/>
        <v>0</v>
      </c>
      <c r="AN21">
        <f t="shared" si="2"/>
        <v>0</v>
      </c>
      <c r="AO21">
        <f t="shared" si="2"/>
        <v>0</v>
      </c>
      <c r="AP21">
        <f t="shared" si="2"/>
        <v>0</v>
      </c>
      <c r="AQ21">
        <f t="shared" si="2"/>
        <v>0</v>
      </c>
      <c r="AR21">
        <f t="shared" si="2"/>
        <v>0</v>
      </c>
      <c r="AS21">
        <f t="shared" si="2"/>
        <v>0</v>
      </c>
      <c r="AT21">
        <f t="shared" si="2"/>
        <v>0</v>
      </c>
      <c r="AU21">
        <f t="shared" si="2"/>
        <v>0</v>
      </c>
      <c r="AV21">
        <f t="shared" si="2"/>
        <v>0</v>
      </c>
      <c r="AW21">
        <f t="shared" si="2"/>
        <v>0</v>
      </c>
      <c r="AX21">
        <f t="shared" si="2"/>
        <v>0</v>
      </c>
      <c r="AY21">
        <f t="shared" si="2"/>
        <v>0</v>
      </c>
    </row>
    <row r="22" spans="1:57" x14ac:dyDescent="0.75">
      <c r="A22" s="1" t="s">
        <v>1048</v>
      </c>
      <c r="B22">
        <f>'Start Year Data'!B46</f>
        <v>0</v>
      </c>
      <c r="C22">
        <f>$B22*'Time Series Scaling Factors'!C23</f>
        <v>0</v>
      </c>
      <c r="D22">
        <f>$B22*'Time Series Scaling Factors'!D23</f>
        <v>0</v>
      </c>
      <c r="E22">
        <f>$B22*'Time Series Scaling Factors'!E23</f>
        <v>0</v>
      </c>
      <c r="F22">
        <f>$B22*'Time Series Scaling Factors'!F23</f>
        <v>0</v>
      </c>
      <c r="G22">
        <f>$B22*'Time Series Scaling Factors'!G23</f>
        <v>0</v>
      </c>
      <c r="H22">
        <f>$B22*'Time Series Scaling Factors'!H23</f>
        <v>0</v>
      </c>
      <c r="I22">
        <f>$B22*'Time Series Scaling Factors'!I23</f>
        <v>0</v>
      </c>
      <c r="J22">
        <f>$B22*'Time Series Scaling Factors'!J23</f>
        <v>0</v>
      </c>
      <c r="K22">
        <f>$B22*'Time Series Scaling Factors'!K23</f>
        <v>0</v>
      </c>
      <c r="L22">
        <f>$B22*'Time Series Scaling Factors'!L23</f>
        <v>0</v>
      </c>
      <c r="M22">
        <f>$B22*'Time Series Scaling Factors'!M23</f>
        <v>0</v>
      </c>
      <c r="N22">
        <f>$B22*'Time Series Scaling Factors'!N23</f>
        <v>0</v>
      </c>
      <c r="O22">
        <f>$B22*'Time Series Scaling Factors'!O23</f>
        <v>0</v>
      </c>
      <c r="P22">
        <f>$B22*'Time Series Scaling Factors'!P23</f>
        <v>0</v>
      </c>
      <c r="Q22">
        <f>$B22*'Time Series Scaling Factors'!Q23</f>
        <v>0</v>
      </c>
      <c r="R22">
        <f>$B22*'Time Series Scaling Factors'!R23</f>
        <v>0</v>
      </c>
      <c r="S22">
        <f>$B22*'Time Series Scaling Factors'!S23</f>
        <v>0</v>
      </c>
      <c r="T22">
        <f>$B22*'Time Series Scaling Factors'!T23</f>
        <v>0</v>
      </c>
      <c r="U22">
        <f>$B22*'Time Series Scaling Factors'!U23</f>
        <v>0</v>
      </c>
      <c r="V22">
        <f>$B22*'Time Series Scaling Factors'!V23</f>
        <v>0</v>
      </c>
      <c r="W22">
        <f>$B22*'Time Series Scaling Factors'!W23</f>
        <v>0</v>
      </c>
      <c r="X22">
        <f>$B22*'Time Series Scaling Factors'!X23</f>
        <v>0</v>
      </c>
      <c r="Y22">
        <f>$B22*'Time Series Scaling Factors'!Y23</f>
        <v>0</v>
      </c>
      <c r="Z22">
        <f>$B22*'Time Series Scaling Factors'!Z23</f>
        <v>0</v>
      </c>
      <c r="AA22">
        <f>$B22*'Time Series Scaling Factors'!AA23</f>
        <v>0</v>
      </c>
      <c r="AB22">
        <f>$B22*'Time Series Scaling Factors'!AB23</f>
        <v>0</v>
      </c>
      <c r="AC22">
        <f>$B22*'Time Series Scaling Factors'!AC23</f>
        <v>0</v>
      </c>
      <c r="AD22">
        <f>$B22*'Time Series Scaling Factors'!AD23</f>
        <v>0</v>
      </c>
      <c r="AE22">
        <f>$B22*'Time Series Scaling Factors'!AE23</f>
        <v>0</v>
      </c>
      <c r="AF22">
        <f t="shared" si="1"/>
        <v>0</v>
      </c>
      <c r="AG22">
        <f t="shared" si="2"/>
        <v>0</v>
      </c>
      <c r="AH22">
        <f t="shared" si="2"/>
        <v>0</v>
      </c>
      <c r="AI22">
        <f t="shared" si="2"/>
        <v>0</v>
      </c>
      <c r="AJ22">
        <f t="shared" si="2"/>
        <v>0</v>
      </c>
      <c r="AK22">
        <f t="shared" si="2"/>
        <v>0</v>
      </c>
      <c r="AL22">
        <f t="shared" si="2"/>
        <v>0</v>
      </c>
      <c r="AM22">
        <f t="shared" si="2"/>
        <v>0</v>
      </c>
      <c r="AN22">
        <f t="shared" si="2"/>
        <v>0</v>
      </c>
      <c r="AO22">
        <f t="shared" si="2"/>
        <v>0</v>
      </c>
      <c r="AP22">
        <f t="shared" si="2"/>
        <v>0</v>
      </c>
      <c r="AQ22">
        <f t="shared" si="2"/>
        <v>0</v>
      </c>
      <c r="AR22">
        <f t="shared" si="2"/>
        <v>0</v>
      </c>
      <c r="AS22">
        <f t="shared" si="2"/>
        <v>0</v>
      </c>
      <c r="AT22">
        <f t="shared" si="2"/>
        <v>0</v>
      </c>
      <c r="AU22">
        <f t="shared" si="2"/>
        <v>0</v>
      </c>
      <c r="AV22">
        <f t="shared" si="2"/>
        <v>0</v>
      </c>
      <c r="AW22">
        <f t="shared" si="2"/>
        <v>0</v>
      </c>
      <c r="AX22">
        <f t="shared" si="2"/>
        <v>0</v>
      </c>
      <c r="AY22">
        <f t="shared" si="2"/>
        <v>0</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sheetPr>
  <dimension ref="A1:AY22"/>
  <sheetViews>
    <sheetView topLeftCell="U1" workbookViewId="0">
      <selection activeCell="AF1" sqref="AF1:AY22"/>
    </sheetView>
  </sheetViews>
  <sheetFormatPr defaultColWidth="8.86328125" defaultRowHeight="14.75" x14ac:dyDescent="0.75"/>
  <cols>
    <col min="1" max="1" width="36.26953125" customWidth="1"/>
    <col min="2" max="33" width="13" customWidth="1"/>
  </cols>
  <sheetData>
    <row r="1" spans="1:51" x14ac:dyDescent="0.75">
      <c r="A1" s="24" t="s">
        <v>1075</v>
      </c>
      <c r="B1" s="18">
        <v>2021</v>
      </c>
      <c r="C1">
        <v>2022</v>
      </c>
      <c r="D1" s="18">
        <v>2023</v>
      </c>
      <c r="E1">
        <v>2024</v>
      </c>
      <c r="F1" s="18">
        <v>2025</v>
      </c>
      <c r="G1">
        <v>2026</v>
      </c>
      <c r="H1" s="18">
        <v>2027</v>
      </c>
      <c r="I1">
        <v>2028</v>
      </c>
      <c r="J1" s="18">
        <v>2029</v>
      </c>
      <c r="K1">
        <v>2030</v>
      </c>
      <c r="L1" s="18">
        <v>2031</v>
      </c>
      <c r="M1">
        <v>2032</v>
      </c>
      <c r="N1" s="18">
        <v>2033</v>
      </c>
      <c r="O1">
        <v>2034</v>
      </c>
      <c r="P1" s="18">
        <v>2035</v>
      </c>
      <c r="Q1">
        <v>2036</v>
      </c>
      <c r="R1" s="18">
        <v>2037</v>
      </c>
      <c r="S1">
        <v>2038</v>
      </c>
      <c r="T1" s="18">
        <v>2039</v>
      </c>
      <c r="U1">
        <v>2040</v>
      </c>
      <c r="V1" s="18">
        <v>2041</v>
      </c>
      <c r="W1">
        <v>2042</v>
      </c>
      <c r="X1" s="18">
        <v>2043</v>
      </c>
      <c r="Y1">
        <v>2044</v>
      </c>
      <c r="Z1" s="18">
        <v>2045</v>
      </c>
      <c r="AA1">
        <v>2046</v>
      </c>
      <c r="AB1" s="18">
        <v>2047</v>
      </c>
      <c r="AC1">
        <v>2048</v>
      </c>
      <c r="AD1" s="18">
        <v>2049</v>
      </c>
      <c r="AE1">
        <v>2050</v>
      </c>
      <c r="AF1" s="18">
        <v>2051</v>
      </c>
      <c r="AG1">
        <v>2052</v>
      </c>
      <c r="AH1" s="18">
        <v>2053</v>
      </c>
      <c r="AI1">
        <v>2054</v>
      </c>
      <c r="AJ1" s="18">
        <v>2055</v>
      </c>
      <c r="AK1">
        <v>2056</v>
      </c>
      <c r="AL1" s="18">
        <v>2057</v>
      </c>
      <c r="AM1">
        <v>2058</v>
      </c>
      <c r="AN1" s="18">
        <v>2059</v>
      </c>
      <c r="AO1">
        <v>2060</v>
      </c>
      <c r="AP1" s="18">
        <v>2061</v>
      </c>
      <c r="AQ1">
        <v>2062</v>
      </c>
      <c r="AR1" s="18">
        <v>2063</v>
      </c>
      <c r="AS1">
        <v>2064</v>
      </c>
      <c r="AT1" s="18">
        <v>2065</v>
      </c>
      <c r="AU1">
        <v>2066</v>
      </c>
      <c r="AV1" s="18">
        <v>2067</v>
      </c>
      <c r="AW1">
        <v>2068</v>
      </c>
      <c r="AX1" s="18">
        <v>2069</v>
      </c>
      <c r="AY1">
        <v>2070</v>
      </c>
    </row>
    <row r="2" spans="1:51" x14ac:dyDescent="0.75">
      <c r="A2" s="24" t="s">
        <v>1027</v>
      </c>
      <c r="B2">
        <f>'Start Year Data'!C26</f>
        <v>0</v>
      </c>
      <c r="C2">
        <f>$B2*'Time Series Scaling Factors'!C28</f>
        <v>0</v>
      </c>
      <c r="D2">
        <f>$B2*'Time Series Scaling Factors'!D28</f>
        <v>0</v>
      </c>
      <c r="E2">
        <f>$B2*'Time Series Scaling Factors'!E28</f>
        <v>0</v>
      </c>
      <c r="F2">
        <f>$B2*'Time Series Scaling Factors'!F28</f>
        <v>0</v>
      </c>
      <c r="G2">
        <f>$B2*'Time Series Scaling Factors'!G28</f>
        <v>0</v>
      </c>
      <c r="H2">
        <f>$B2*'Time Series Scaling Factors'!H28</f>
        <v>0</v>
      </c>
      <c r="I2">
        <f>$B2*'Time Series Scaling Factors'!I28</f>
        <v>0</v>
      </c>
      <c r="J2">
        <f>$B2*'Time Series Scaling Factors'!J28</f>
        <v>0</v>
      </c>
      <c r="K2">
        <f>$B2*'Time Series Scaling Factors'!K28</f>
        <v>0</v>
      </c>
      <c r="L2">
        <f>$B2*'Time Series Scaling Factors'!L28</f>
        <v>0</v>
      </c>
      <c r="M2">
        <f>$B2*'Time Series Scaling Factors'!M28</f>
        <v>0</v>
      </c>
      <c r="N2">
        <f>$B2*'Time Series Scaling Factors'!N28</f>
        <v>0</v>
      </c>
      <c r="O2">
        <f>$B2*'Time Series Scaling Factors'!O28</f>
        <v>0</v>
      </c>
      <c r="P2">
        <f>$B2*'Time Series Scaling Factors'!P28</f>
        <v>0</v>
      </c>
      <c r="Q2">
        <f>$B2*'Time Series Scaling Factors'!Q28</f>
        <v>0</v>
      </c>
      <c r="R2">
        <f>$B2*'Time Series Scaling Factors'!R28</f>
        <v>0</v>
      </c>
      <c r="S2">
        <f>$B2*'Time Series Scaling Factors'!S28</f>
        <v>0</v>
      </c>
      <c r="T2">
        <f>$B2*'Time Series Scaling Factors'!T28</f>
        <v>0</v>
      </c>
      <c r="U2">
        <f>$B2*'Time Series Scaling Factors'!U28</f>
        <v>0</v>
      </c>
      <c r="V2">
        <f>$B2*'Time Series Scaling Factors'!V28</f>
        <v>0</v>
      </c>
      <c r="W2">
        <f>$B2*'Time Series Scaling Factors'!W28</f>
        <v>0</v>
      </c>
      <c r="X2">
        <f>$B2*'Time Series Scaling Factors'!X28</f>
        <v>0</v>
      </c>
      <c r="Y2">
        <f>$B2*'Time Series Scaling Factors'!Y28</f>
        <v>0</v>
      </c>
      <c r="Z2">
        <f>$B2*'Time Series Scaling Factors'!Z28</f>
        <v>0</v>
      </c>
      <c r="AA2">
        <f>$B2*'Time Series Scaling Factors'!AA28</f>
        <v>0</v>
      </c>
      <c r="AB2">
        <f>$B2*'Time Series Scaling Factors'!AB28</f>
        <v>0</v>
      </c>
      <c r="AC2">
        <f>$B2*'Time Series Scaling Factors'!AC28</f>
        <v>0</v>
      </c>
      <c r="AD2">
        <f>$B2*'Time Series Scaling Factors'!AD28</f>
        <v>0</v>
      </c>
      <c r="AE2">
        <f>$B2*'Time Series Scaling Factors'!AE28</f>
        <v>0</v>
      </c>
      <c r="AF2">
        <f>AE2</f>
        <v>0</v>
      </c>
      <c r="AG2">
        <f t="shared" ref="AG2:AY16" si="0">AF2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row>
    <row r="3" spans="1:51" x14ac:dyDescent="0.75">
      <c r="A3" s="1" t="s">
        <v>1028</v>
      </c>
      <c r="B3">
        <f>'Start Year Data'!C27</f>
        <v>222632763316800</v>
      </c>
      <c r="C3">
        <f>$B3*'Time Series Scaling Factors'!C29</f>
        <v>194482048399288.75</v>
      </c>
      <c r="D3">
        <f>$B3*'Time Series Scaling Factors'!D29</f>
        <v>258461712612514.75</v>
      </c>
      <c r="E3">
        <f>$B3*'Time Series Scaling Factors'!E29</f>
        <v>111543316992992.94</v>
      </c>
      <c r="F3">
        <f>$B3*'Time Series Scaling Factors'!F29</f>
        <v>100312317950925.77</v>
      </c>
      <c r="G3">
        <f>$B3*'Time Series Scaling Factors'!G29</f>
        <v>108345522126144.55</v>
      </c>
      <c r="H3">
        <f>$B3*'Time Series Scaling Factors'!H29</f>
        <v>119045216482830.28</v>
      </c>
      <c r="I3">
        <f>$B3*'Time Series Scaling Factors'!I29</f>
        <v>135933498747739.55</v>
      </c>
      <c r="J3">
        <f>$B3*'Time Series Scaling Factors'!J29</f>
        <v>129681276945018.69</v>
      </c>
      <c r="K3">
        <f>$B3*'Time Series Scaling Factors'!K29</f>
        <v>135152258524934.83</v>
      </c>
      <c r="L3">
        <f>$B3*'Time Series Scaling Factors'!L29</f>
        <v>127982328629282.41</v>
      </c>
      <c r="M3">
        <f>$B3*'Time Series Scaling Factors'!M29</f>
        <v>130575218161692.2</v>
      </c>
      <c r="N3">
        <f>$B3*'Time Series Scaling Factors'!N29</f>
        <v>129825411549422.31</v>
      </c>
      <c r="O3">
        <f>$B3*'Time Series Scaling Factors'!O29</f>
        <v>130639618729617.22</v>
      </c>
      <c r="P3">
        <f>$B3*'Time Series Scaling Factors'!P29</f>
        <v>127223321935880.36</v>
      </c>
      <c r="Q3">
        <f>$B3*'Time Series Scaling Factors'!Q29</f>
        <v>125738275506466.48</v>
      </c>
      <c r="R3">
        <f>$B3*'Time Series Scaling Factors'!R29</f>
        <v>125626341186025.36</v>
      </c>
      <c r="S3">
        <f>$B3*'Time Series Scaling Factors'!S29</f>
        <v>128047495870635.11</v>
      </c>
      <c r="T3">
        <f>$B3*'Time Series Scaling Factors'!T29</f>
        <v>129629143151936.53</v>
      </c>
      <c r="U3">
        <f>$B3*'Time Series Scaling Factors'!U29</f>
        <v>130805220189995.84</v>
      </c>
      <c r="V3">
        <f>$B3*'Time Series Scaling Factors'!V29</f>
        <v>127301522625503.61</v>
      </c>
      <c r="W3">
        <f>$B3*'Time Series Scaling Factors'!W29</f>
        <v>127053887108363.36</v>
      </c>
      <c r="X3">
        <f>$B3*'Time Series Scaling Factors'!X29</f>
        <v>125160970415424.31</v>
      </c>
      <c r="Y3">
        <f>$B3*'Time Series Scaling Factors'!Y29</f>
        <v>123790925000162.25</v>
      </c>
      <c r="Z3">
        <f>$B3*'Time Series Scaling Factors'!Z29</f>
        <v>121530771735365.05</v>
      </c>
      <c r="AA3">
        <f>$B3*'Time Series Scaling Factors'!AA29</f>
        <v>118878081675596.3</v>
      </c>
      <c r="AB3">
        <f>$B3*'Time Series Scaling Factors'!AB29</f>
        <v>118600545894776.58</v>
      </c>
      <c r="AC3">
        <f>$B3*'Time Series Scaling Factors'!AC29</f>
        <v>120865299200139.84</v>
      </c>
      <c r="AD3">
        <f>$B3*'Time Series Scaling Factors'!AD29</f>
        <v>122039076217916.11</v>
      </c>
      <c r="AE3">
        <f>$B3*'Time Series Scaling Factors'!AE29</f>
        <v>120567829910200.47</v>
      </c>
      <c r="AF3">
        <f t="shared" ref="AF3:AU18" si="1">AE3</f>
        <v>120567829910200.47</v>
      </c>
      <c r="AG3">
        <f t="shared" si="1"/>
        <v>120567829910200.47</v>
      </c>
      <c r="AH3">
        <f t="shared" si="1"/>
        <v>120567829910200.47</v>
      </c>
      <c r="AI3">
        <f t="shared" si="1"/>
        <v>120567829910200.47</v>
      </c>
      <c r="AJ3">
        <f t="shared" si="1"/>
        <v>120567829910200.47</v>
      </c>
      <c r="AK3">
        <f t="shared" si="1"/>
        <v>120567829910200.47</v>
      </c>
      <c r="AL3">
        <f t="shared" si="1"/>
        <v>120567829910200.47</v>
      </c>
      <c r="AM3">
        <f t="shared" si="1"/>
        <v>120567829910200.47</v>
      </c>
      <c r="AN3">
        <f t="shared" si="1"/>
        <v>120567829910200.47</v>
      </c>
      <c r="AO3">
        <f t="shared" si="1"/>
        <v>120567829910200.47</v>
      </c>
      <c r="AP3">
        <f t="shared" si="1"/>
        <v>120567829910200.47</v>
      </c>
      <c r="AQ3">
        <f t="shared" si="1"/>
        <v>120567829910200.47</v>
      </c>
      <c r="AR3">
        <f t="shared" si="1"/>
        <v>120567829910200.47</v>
      </c>
      <c r="AS3">
        <f t="shared" si="1"/>
        <v>120567829910200.47</v>
      </c>
      <c r="AT3">
        <f t="shared" si="1"/>
        <v>120567829910200.47</v>
      </c>
      <c r="AU3">
        <f t="shared" si="1"/>
        <v>120567829910200.47</v>
      </c>
      <c r="AV3">
        <f t="shared" si="0"/>
        <v>120567829910200.47</v>
      </c>
      <c r="AW3">
        <f t="shared" si="0"/>
        <v>120567829910200.47</v>
      </c>
      <c r="AX3">
        <f t="shared" si="0"/>
        <v>120567829910200.47</v>
      </c>
      <c r="AY3">
        <f t="shared" si="0"/>
        <v>120567829910200.47</v>
      </c>
    </row>
    <row r="4" spans="1:51" x14ac:dyDescent="0.75">
      <c r="A4" s="1" t="s">
        <v>1030</v>
      </c>
      <c r="B4">
        <f>'Start Year Data'!C28</f>
        <v>1858650415977600</v>
      </c>
      <c r="C4">
        <f>$B4*'Time Series Scaling Factors'!C30</f>
        <v>1980435641756567.8</v>
      </c>
      <c r="D4">
        <f>$B4*'Time Series Scaling Factors'!D30</f>
        <v>1865416704659659.8</v>
      </c>
      <c r="E4">
        <f>$B4*'Time Series Scaling Factors'!E30</f>
        <v>1634662149844665</v>
      </c>
      <c r="F4">
        <f>$B4*'Time Series Scaling Factors'!F30</f>
        <v>1561467073131768</v>
      </c>
      <c r="G4">
        <f>$B4*'Time Series Scaling Factors'!G30</f>
        <v>1495869873736440.5</v>
      </c>
      <c r="H4">
        <f>$B4*'Time Series Scaling Factors'!H30</f>
        <v>1450662536907311.8</v>
      </c>
      <c r="I4">
        <f>$B4*'Time Series Scaling Factors'!I30</f>
        <v>1377394397295128.8</v>
      </c>
      <c r="J4">
        <f>$B4*'Time Series Scaling Factors'!J30</f>
        <v>1355351984788716</v>
      </c>
      <c r="K4">
        <f>$B4*'Time Series Scaling Factors'!K30</f>
        <v>1376813879349892.8</v>
      </c>
      <c r="L4">
        <f>$B4*'Time Series Scaling Factors'!L30</f>
        <v>1373542654086405.5</v>
      </c>
      <c r="M4">
        <f>$B4*'Time Series Scaling Factors'!M30</f>
        <v>1407244576902514.5</v>
      </c>
      <c r="N4">
        <f>$B4*'Time Series Scaling Factors'!N30</f>
        <v>1420011986448656.5</v>
      </c>
      <c r="O4">
        <f>$B4*'Time Series Scaling Factors'!O30</f>
        <v>1422535977514900.3</v>
      </c>
      <c r="P4">
        <f>$B4*'Time Series Scaling Factors'!P30</f>
        <v>1411904661460611</v>
      </c>
      <c r="Q4">
        <f>$B4*'Time Series Scaling Factors'!Q30</f>
        <v>1381808060620179</v>
      </c>
      <c r="R4">
        <f>$B4*'Time Series Scaling Factors'!R30</f>
        <v>1381121933575065.8</v>
      </c>
      <c r="S4">
        <f>$B4*'Time Series Scaling Factors'!S30</f>
        <v>1419392280221076</v>
      </c>
      <c r="T4">
        <f>$B4*'Time Series Scaling Factors'!T30</f>
        <v>1401519102431192.8</v>
      </c>
      <c r="U4">
        <f>$B4*'Time Series Scaling Factors'!U30</f>
        <v>1482112794009060.8</v>
      </c>
      <c r="V4">
        <f>$B4*'Time Series Scaling Factors'!V30</f>
        <v>1498972390123394.5</v>
      </c>
      <c r="W4">
        <f>$B4*'Time Series Scaling Factors'!W30</f>
        <v>1507559273414026.3</v>
      </c>
      <c r="X4">
        <f>$B4*'Time Series Scaling Factors'!X30</f>
        <v>1539635878825109</v>
      </c>
      <c r="Y4">
        <f>$B4*'Time Series Scaling Factors'!Y30</f>
        <v>1595401468809241.3</v>
      </c>
      <c r="Z4">
        <f>$B4*'Time Series Scaling Factors'!Z30</f>
        <v>1645509997764110.8</v>
      </c>
      <c r="AA4">
        <f>$B4*'Time Series Scaling Factors'!AA30</f>
        <v>1665873292003296</v>
      </c>
      <c r="AB4">
        <f>$B4*'Time Series Scaling Factors'!AB30</f>
        <v>1684066618133687</v>
      </c>
      <c r="AC4">
        <f>$B4*'Time Series Scaling Factors'!AC30</f>
        <v>1715372077853214.8</v>
      </c>
      <c r="AD4">
        <f>$B4*'Time Series Scaling Factors'!AD30</f>
        <v>1726455719674902.3</v>
      </c>
      <c r="AE4">
        <f>$B4*'Time Series Scaling Factors'!AE30</f>
        <v>1745010375052671.3</v>
      </c>
      <c r="AF4">
        <f t="shared" si="1"/>
        <v>1745010375052671.3</v>
      </c>
      <c r="AG4">
        <f t="shared" si="0"/>
        <v>1745010375052671.3</v>
      </c>
      <c r="AH4">
        <f t="shared" si="0"/>
        <v>1745010375052671.3</v>
      </c>
      <c r="AI4">
        <f t="shared" si="0"/>
        <v>1745010375052671.3</v>
      </c>
      <c r="AJ4">
        <f t="shared" si="0"/>
        <v>1745010375052671.3</v>
      </c>
      <c r="AK4">
        <f t="shared" si="0"/>
        <v>1745010375052671.3</v>
      </c>
      <c r="AL4">
        <f t="shared" si="0"/>
        <v>1745010375052671.3</v>
      </c>
      <c r="AM4">
        <f t="shared" si="0"/>
        <v>1745010375052671.3</v>
      </c>
      <c r="AN4">
        <f t="shared" si="0"/>
        <v>1745010375052671.3</v>
      </c>
      <c r="AO4">
        <f t="shared" si="0"/>
        <v>1745010375052671.3</v>
      </c>
      <c r="AP4">
        <f t="shared" si="0"/>
        <v>1745010375052671.3</v>
      </c>
      <c r="AQ4">
        <f t="shared" si="0"/>
        <v>1745010375052671.3</v>
      </c>
      <c r="AR4">
        <f t="shared" si="0"/>
        <v>1745010375052671.3</v>
      </c>
      <c r="AS4">
        <f t="shared" si="0"/>
        <v>1745010375052671.3</v>
      </c>
      <c r="AT4">
        <f t="shared" si="0"/>
        <v>1745010375052671.3</v>
      </c>
      <c r="AU4">
        <f t="shared" si="0"/>
        <v>1745010375052671.3</v>
      </c>
      <c r="AV4">
        <f t="shared" si="0"/>
        <v>1745010375052671.3</v>
      </c>
      <c r="AW4">
        <f t="shared" si="0"/>
        <v>1745010375052671.3</v>
      </c>
      <c r="AX4">
        <f t="shared" si="0"/>
        <v>1745010375052671.3</v>
      </c>
      <c r="AY4">
        <f t="shared" si="0"/>
        <v>1745010375052671.3</v>
      </c>
    </row>
    <row r="5" spans="1:51" x14ac:dyDescent="0.75">
      <c r="A5" s="1" t="s">
        <v>1076</v>
      </c>
      <c r="B5">
        <f>'Start Year Data'!C29</f>
        <v>0</v>
      </c>
      <c r="C5">
        <f>$B5*'Time Series Scaling Factors'!C31</f>
        <v>0</v>
      </c>
      <c r="D5">
        <f>$B5*'Time Series Scaling Factors'!D31</f>
        <v>0</v>
      </c>
      <c r="E5">
        <f>$B5*'Time Series Scaling Factors'!E31</f>
        <v>0</v>
      </c>
      <c r="F5">
        <f>$B5*'Time Series Scaling Factors'!F31</f>
        <v>0</v>
      </c>
      <c r="G5">
        <f>$B5*'Time Series Scaling Factors'!G31</f>
        <v>0</v>
      </c>
      <c r="H5">
        <f>$B5*'Time Series Scaling Factors'!H31</f>
        <v>0</v>
      </c>
      <c r="I5">
        <f>$B5*'Time Series Scaling Factors'!I31</f>
        <v>0</v>
      </c>
      <c r="J5">
        <f>$B5*'Time Series Scaling Factors'!J31</f>
        <v>0</v>
      </c>
      <c r="K5">
        <f>$B5*'Time Series Scaling Factors'!K31</f>
        <v>0</v>
      </c>
      <c r="L5">
        <f>$B5*'Time Series Scaling Factors'!L31</f>
        <v>0</v>
      </c>
      <c r="M5">
        <f>$B5*'Time Series Scaling Factors'!M31</f>
        <v>0</v>
      </c>
      <c r="N5">
        <f>$B5*'Time Series Scaling Factors'!N31</f>
        <v>0</v>
      </c>
      <c r="O5">
        <f>$B5*'Time Series Scaling Factors'!O31</f>
        <v>0</v>
      </c>
      <c r="P5">
        <f>$B5*'Time Series Scaling Factors'!P31</f>
        <v>0</v>
      </c>
      <c r="Q5">
        <f>$B5*'Time Series Scaling Factors'!Q31</f>
        <v>0</v>
      </c>
      <c r="R5">
        <f>$B5*'Time Series Scaling Factors'!R31</f>
        <v>0</v>
      </c>
      <c r="S5">
        <f>$B5*'Time Series Scaling Factors'!S31</f>
        <v>0</v>
      </c>
      <c r="T5">
        <f>$B5*'Time Series Scaling Factors'!T31</f>
        <v>0</v>
      </c>
      <c r="U5">
        <f>$B5*'Time Series Scaling Factors'!U31</f>
        <v>0</v>
      </c>
      <c r="V5">
        <f>$B5*'Time Series Scaling Factors'!V31</f>
        <v>0</v>
      </c>
      <c r="W5">
        <f>$B5*'Time Series Scaling Factors'!W31</f>
        <v>0</v>
      </c>
      <c r="X5">
        <f>$B5*'Time Series Scaling Factors'!X31</f>
        <v>0</v>
      </c>
      <c r="Y5">
        <f>$B5*'Time Series Scaling Factors'!Y31</f>
        <v>0</v>
      </c>
      <c r="Z5">
        <f>$B5*'Time Series Scaling Factors'!Z31</f>
        <v>0</v>
      </c>
      <c r="AA5">
        <f>$B5*'Time Series Scaling Factors'!AA31</f>
        <v>0</v>
      </c>
      <c r="AB5">
        <f>$B5*'Time Series Scaling Factors'!AB31</f>
        <v>0</v>
      </c>
      <c r="AC5">
        <f>$B5*'Time Series Scaling Factors'!AC31</f>
        <v>0</v>
      </c>
      <c r="AD5">
        <f>$B5*'Time Series Scaling Factors'!AD31</f>
        <v>0</v>
      </c>
      <c r="AE5">
        <f>$B5*'Time Series Scaling Factors'!AE31</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row>
    <row r="6" spans="1:51" x14ac:dyDescent="0.75">
      <c r="A6" s="1" t="s">
        <v>1032</v>
      </c>
      <c r="B6">
        <f>'Start Year Data'!C30</f>
        <v>0</v>
      </c>
      <c r="C6">
        <f>$B6*'Time Series Scaling Factors'!C32</f>
        <v>0</v>
      </c>
      <c r="D6">
        <f>$B6*'Time Series Scaling Factors'!D32</f>
        <v>0</v>
      </c>
      <c r="E6">
        <f>$B6*'Time Series Scaling Factors'!E32</f>
        <v>0</v>
      </c>
      <c r="F6">
        <f>$B6*'Time Series Scaling Factors'!F32</f>
        <v>0</v>
      </c>
      <c r="G6">
        <f>$B6*'Time Series Scaling Factors'!G32</f>
        <v>0</v>
      </c>
      <c r="H6">
        <f>$B6*'Time Series Scaling Factors'!H32</f>
        <v>0</v>
      </c>
      <c r="I6">
        <f>$B6*'Time Series Scaling Factors'!I32</f>
        <v>0</v>
      </c>
      <c r="J6">
        <f>$B6*'Time Series Scaling Factors'!J32</f>
        <v>0</v>
      </c>
      <c r="K6">
        <f>$B6*'Time Series Scaling Factors'!K32</f>
        <v>0</v>
      </c>
      <c r="L6">
        <f>$B6*'Time Series Scaling Factors'!L32</f>
        <v>0</v>
      </c>
      <c r="M6">
        <f>$B6*'Time Series Scaling Factors'!M32</f>
        <v>0</v>
      </c>
      <c r="N6">
        <f>$B6*'Time Series Scaling Factors'!N32</f>
        <v>0</v>
      </c>
      <c r="O6">
        <f>$B6*'Time Series Scaling Factors'!O32</f>
        <v>0</v>
      </c>
      <c r="P6">
        <f>$B6*'Time Series Scaling Factors'!P32</f>
        <v>0</v>
      </c>
      <c r="Q6">
        <f>$B6*'Time Series Scaling Factors'!Q32</f>
        <v>0</v>
      </c>
      <c r="R6">
        <f>$B6*'Time Series Scaling Factors'!R32</f>
        <v>0</v>
      </c>
      <c r="S6">
        <f>$B6*'Time Series Scaling Factors'!S32</f>
        <v>0</v>
      </c>
      <c r="T6">
        <f>$B6*'Time Series Scaling Factors'!T32</f>
        <v>0</v>
      </c>
      <c r="U6">
        <f>$B6*'Time Series Scaling Factors'!U32</f>
        <v>0</v>
      </c>
      <c r="V6">
        <f>$B6*'Time Series Scaling Factors'!V32</f>
        <v>0</v>
      </c>
      <c r="W6">
        <f>$B6*'Time Series Scaling Factors'!W32</f>
        <v>0</v>
      </c>
      <c r="X6">
        <f>$B6*'Time Series Scaling Factors'!X32</f>
        <v>0</v>
      </c>
      <c r="Y6">
        <f>$B6*'Time Series Scaling Factors'!Y32</f>
        <v>0</v>
      </c>
      <c r="Z6">
        <f>$B6*'Time Series Scaling Factors'!Z32</f>
        <v>0</v>
      </c>
      <c r="AA6">
        <f>$B6*'Time Series Scaling Factors'!AA32</f>
        <v>0</v>
      </c>
      <c r="AB6">
        <f>$B6*'Time Series Scaling Factors'!AB32</f>
        <v>0</v>
      </c>
      <c r="AC6">
        <f>$B6*'Time Series Scaling Factors'!AC32</f>
        <v>0</v>
      </c>
      <c r="AD6">
        <f>$B6*'Time Series Scaling Factors'!AD32</f>
        <v>0</v>
      </c>
      <c r="AE6">
        <f>$B6*'Time Series Scaling Factors'!AE32</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row>
    <row r="7" spans="1:51" x14ac:dyDescent="0.75">
      <c r="A7" s="1" t="s">
        <v>1033</v>
      </c>
      <c r="B7">
        <f>'Start Year Data'!C31</f>
        <v>0</v>
      </c>
      <c r="C7">
        <f>$B7*'Time Series Scaling Factors'!C33</f>
        <v>0</v>
      </c>
      <c r="D7">
        <f>$B7*'Time Series Scaling Factors'!D33</f>
        <v>0</v>
      </c>
      <c r="E7">
        <f>$B7*'Time Series Scaling Factors'!E33</f>
        <v>0</v>
      </c>
      <c r="F7">
        <f>$B7*'Time Series Scaling Factors'!F33</f>
        <v>0</v>
      </c>
      <c r="G7">
        <f>$B7*'Time Series Scaling Factors'!G33</f>
        <v>0</v>
      </c>
      <c r="H7">
        <f>$B7*'Time Series Scaling Factors'!H33</f>
        <v>0</v>
      </c>
      <c r="I7">
        <f>$B7*'Time Series Scaling Factors'!I33</f>
        <v>0</v>
      </c>
      <c r="J7">
        <f>$B7*'Time Series Scaling Factors'!J33</f>
        <v>0</v>
      </c>
      <c r="K7">
        <f>$B7*'Time Series Scaling Factors'!K33</f>
        <v>0</v>
      </c>
      <c r="L7">
        <f>$B7*'Time Series Scaling Factors'!L33</f>
        <v>0</v>
      </c>
      <c r="M7">
        <f>$B7*'Time Series Scaling Factors'!M33</f>
        <v>0</v>
      </c>
      <c r="N7">
        <f>$B7*'Time Series Scaling Factors'!N33</f>
        <v>0</v>
      </c>
      <c r="O7">
        <f>$B7*'Time Series Scaling Factors'!O33</f>
        <v>0</v>
      </c>
      <c r="P7">
        <f>$B7*'Time Series Scaling Factors'!P33</f>
        <v>0</v>
      </c>
      <c r="Q7">
        <f>$B7*'Time Series Scaling Factors'!Q33</f>
        <v>0</v>
      </c>
      <c r="R7">
        <f>$B7*'Time Series Scaling Factors'!R33</f>
        <v>0</v>
      </c>
      <c r="S7">
        <f>$B7*'Time Series Scaling Factors'!S33</f>
        <v>0</v>
      </c>
      <c r="T7">
        <f>$B7*'Time Series Scaling Factors'!T33</f>
        <v>0</v>
      </c>
      <c r="U7">
        <f>$B7*'Time Series Scaling Factors'!U33</f>
        <v>0</v>
      </c>
      <c r="V7">
        <f>$B7*'Time Series Scaling Factors'!V33</f>
        <v>0</v>
      </c>
      <c r="W7">
        <f>$B7*'Time Series Scaling Factors'!W33</f>
        <v>0</v>
      </c>
      <c r="X7">
        <f>$B7*'Time Series Scaling Factors'!X33</f>
        <v>0</v>
      </c>
      <c r="Y7">
        <f>$B7*'Time Series Scaling Factors'!Y33</f>
        <v>0</v>
      </c>
      <c r="Z7">
        <f>$B7*'Time Series Scaling Factors'!Z33</f>
        <v>0</v>
      </c>
      <c r="AA7">
        <f>$B7*'Time Series Scaling Factors'!AA33</f>
        <v>0</v>
      </c>
      <c r="AB7">
        <f>$B7*'Time Series Scaling Factors'!AB33</f>
        <v>0</v>
      </c>
      <c r="AC7">
        <f>$B7*'Time Series Scaling Factors'!AC33</f>
        <v>0</v>
      </c>
      <c r="AD7">
        <f>$B7*'Time Series Scaling Factors'!AD33</f>
        <v>0</v>
      </c>
      <c r="AE7">
        <f>$B7*'Time Series Scaling Factors'!AE33</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row>
    <row r="8" spans="1:51" x14ac:dyDescent="0.75">
      <c r="A8" s="1" t="s">
        <v>1034</v>
      </c>
      <c r="B8">
        <f>'Start Year Data'!C32</f>
        <v>0</v>
      </c>
      <c r="C8">
        <f>$B8*'Time Series Scaling Factors'!C34</f>
        <v>0</v>
      </c>
      <c r="D8">
        <f>$B8*'Time Series Scaling Factors'!D34</f>
        <v>0</v>
      </c>
      <c r="E8">
        <f>$B8*'Time Series Scaling Factors'!E34</f>
        <v>0</v>
      </c>
      <c r="F8">
        <f>$B8*'Time Series Scaling Factors'!F34</f>
        <v>0</v>
      </c>
      <c r="G8">
        <f>$B8*'Time Series Scaling Factors'!G34</f>
        <v>0</v>
      </c>
      <c r="H8">
        <f>$B8*'Time Series Scaling Factors'!H34</f>
        <v>0</v>
      </c>
      <c r="I8">
        <f>$B8*'Time Series Scaling Factors'!I34</f>
        <v>0</v>
      </c>
      <c r="J8">
        <f>$B8*'Time Series Scaling Factors'!J34</f>
        <v>0</v>
      </c>
      <c r="K8">
        <f>$B8*'Time Series Scaling Factors'!K34</f>
        <v>0</v>
      </c>
      <c r="L8">
        <f>$B8*'Time Series Scaling Factors'!L34</f>
        <v>0</v>
      </c>
      <c r="M8">
        <f>$B8*'Time Series Scaling Factors'!M34</f>
        <v>0</v>
      </c>
      <c r="N8">
        <f>$B8*'Time Series Scaling Factors'!N34</f>
        <v>0</v>
      </c>
      <c r="O8">
        <f>$B8*'Time Series Scaling Factors'!O34</f>
        <v>0</v>
      </c>
      <c r="P8">
        <f>$B8*'Time Series Scaling Factors'!P34</f>
        <v>0</v>
      </c>
      <c r="Q8">
        <f>$B8*'Time Series Scaling Factors'!Q34</f>
        <v>0</v>
      </c>
      <c r="R8">
        <f>$B8*'Time Series Scaling Factors'!R34</f>
        <v>0</v>
      </c>
      <c r="S8">
        <f>$B8*'Time Series Scaling Factors'!S34</f>
        <v>0</v>
      </c>
      <c r="T8">
        <f>$B8*'Time Series Scaling Factors'!T34</f>
        <v>0</v>
      </c>
      <c r="U8">
        <f>$B8*'Time Series Scaling Factors'!U34</f>
        <v>0</v>
      </c>
      <c r="V8">
        <f>$B8*'Time Series Scaling Factors'!V34</f>
        <v>0</v>
      </c>
      <c r="W8">
        <f>$B8*'Time Series Scaling Factors'!W34</f>
        <v>0</v>
      </c>
      <c r="X8">
        <f>$B8*'Time Series Scaling Factors'!X34</f>
        <v>0</v>
      </c>
      <c r="Y8">
        <f>$B8*'Time Series Scaling Factors'!Y34</f>
        <v>0</v>
      </c>
      <c r="Z8">
        <f>$B8*'Time Series Scaling Factors'!Z34</f>
        <v>0</v>
      </c>
      <c r="AA8">
        <f>$B8*'Time Series Scaling Factors'!AA34</f>
        <v>0</v>
      </c>
      <c r="AB8">
        <f>$B8*'Time Series Scaling Factors'!AB34</f>
        <v>0</v>
      </c>
      <c r="AC8">
        <f>$B8*'Time Series Scaling Factors'!AC34</f>
        <v>0</v>
      </c>
      <c r="AD8">
        <f>$B8*'Time Series Scaling Factors'!AD34</f>
        <v>0</v>
      </c>
      <c r="AE8">
        <f>$B8*'Time Series Scaling Factors'!AE34</f>
        <v>0</v>
      </c>
      <c r="AF8">
        <f t="shared" si="1"/>
        <v>0</v>
      </c>
      <c r="AG8">
        <f t="shared" si="0"/>
        <v>0</v>
      </c>
      <c r="AH8">
        <f t="shared" si="0"/>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row>
    <row r="9" spans="1:51" x14ac:dyDescent="0.75">
      <c r="A9" s="1" t="s">
        <v>1035</v>
      </c>
      <c r="B9">
        <f>'Start Year Data'!C33</f>
        <v>0</v>
      </c>
      <c r="C9">
        <f>$B9*'Time Series Scaling Factors'!C35</f>
        <v>0</v>
      </c>
      <c r="D9">
        <f>$B9*'Time Series Scaling Factors'!D35</f>
        <v>0</v>
      </c>
      <c r="E9">
        <f>$B9*'Time Series Scaling Factors'!E35</f>
        <v>0</v>
      </c>
      <c r="F9">
        <f>$B9*'Time Series Scaling Factors'!F35</f>
        <v>0</v>
      </c>
      <c r="G9">
        <f>$B9*'Time Series Scaling Factors'!G35</f>
        <v>0</v>
      </c>
      <c r="H9">
        <f>$B9*'Time Series Scaling Factors'!H35</f>
        <v>0</v>
      </c>
      <c r="I9">
        <f>$B9*'Time Series Scaling Factors'!I35</f>
        <v>0</v>
      </c>
      <c r="J9">
        <f>$B9*'Time Series Scaling Factors'!J35</f>
        <v>0</v>
      </c>
      <c r="K9">
        <f>$B9*'Time Series Scaling Factors'!K35</f>
        <v>0</v>
      </c>
      <c r="L9">
        <f>$B9*'Time Series Scaling Factors'!L35</f>
        <v>0</v>
      </c>
      <c r="M9">
        <f>$B9*'Time Series Scaling Factors'!M35</f>
        <v>0</v>
      </c>
      <c r="N9">
        <f>$B9*'Time Series Scaling Factors'!N35</f>
        <v>0</v>
      </c>
      <c r="O9">
        <f>$B9*'Time Series Scaling Factors'!O35</f>
        <v>0</v>
      </c>
      <c r="P9">
        <f>$B9*'Time Series Scaling Factors'!P35</f>
        <v>0</v>
      </c>
      <c r="Q9">
        <f>$B9*'Time Series Scaling Factors'!Q35</f>
        <v>0</v>
      </c>
      <c r="R9">
        <f>$B9*'Time Series Scaling Factors'!R35</f>
        <v>0</v>
      </c>
      <c r="S9">
        <f>$B9*'Time Series Scaling Factors'!S35</f>
        <v>0</v>
      </c>
      <c r="T9">
        <f>$B9*'Time Series Scaling Factors'!T35</f>
        <v>0</v>
      </c>
      <c r="U9">
        <f>$B9*'Time Series Scaling Factors'!U35</f>
        <v>0</v>
      </c>
      <c r="V9">
        <f>$B9*'Time Series Scaling Factors'!V35</f>
        <v>0</v>
      </c>
      <c r="W9">
        <f>$B9*'Time Series Scaling Factors'!W35</f>
        <v>0</v>
      </c>
      <c r="X9">
        <f>$B9*'Time Series Scaling Factors'!X35</f>
        <v>0</v>
      </c>
      <c r="Y9">
        <f>$B9*'Time Series Scaling Factors'!Y35</f>
        <v>0</v>
      </c>
      <c r="Z9">
        <f>$B9*'Time Series Scaling Factors'!Z35</f>
        <v>0</v>
      </c>
      <c r="AA9">
        <f>$B9*'Time Series Scaling Factors'!AA35</f>
        <v>0</v>
      </c>
      <c r="AB9">
        <f>$B9*'Time Series Scaling Factors'!AB35</f>
        <v>0</v>
      </c>
      <c r="AC9">
        <f>$B9*'Time Series Scaling Factors'!AC35</f>
        <v>0</v>
      </c>
      <c r="AD9">
        <f>$B9*'Time Series Scaling Factors'!AD35</f>
        <v>0</v>
      </c>
      <c r="AE9">
        <f>$B9*'Time Series Scaling Factors'!AE35</f>
        <v>0</v>
      </c>
      <c r="AF9">
        <f t="shared" si="1"/>
        <v>0</v>
      </c>
      <c r="AG9">
        <f t="shared" si="0"/>
        <v>0</v>
      </c>
      <c r="AH9">
        <f t="shared" si="0"/>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row>
    <row r="10" spans="1:51" x14ac:dyDescent="0.75">
      <c r="A10" s="1" t="s">
        <v>1036</v>
      </c>
      <c r="B10">
        <f>'Start Year Data'!C34</f>
        <v>1064851682343360</v>
      </c>
      <c r="C10">
        <f>$B10*'Time Series Scaling Factors'!C36</f>
        <v>1074537029403353.8</v>
      </c>
      <c r="D10">
        <f>$B10*'Time Series Scaling Factors'!D36</f>
        <v>1092710094931785.3</v>
      </c>
      <c r="E10">
        <f>$B10*'Time Series Scaling Factors'!E36</f>
        <v>909982996401895.75</v>
      </c>
      <c r="F10">
        <f>$B10*'Time Series Scaling Factors'!F36</f>
        <v>910887540168444.13</v>
      </c>
      <c r="G10">
        <f>$B10*'Time Series Scaling Factors'!G36</f>
        <v>911289233468666.38</v>
      </c>
      <c r="H10">
        <f>$B10*'Time Series Scaling Factors'!H36</f>
        <v>901575887550197.5</v>
      </c>
      <c r="I10">
        <f>$B10*'Time Series Scaling Factors'!I36</f>
        <v>883739485715207</v>
      </c>
      <c r="J10">
        <f>$B10*'Time Series Scaling Factors'!J36</f>
        <v>866556992703962</v>
      </c>
      <c r="K10">
        <f>$B10*'Time Series Scaling Factors'!K36</f>
        <v>859028235138303.13</v>
      </c>
      <c r="L10">
        <f>$B10*'Time Series Scaling Factors'!L36</f>
        <v>859451153379627.63</v>
      </c>
      <c r="M10">
        <f>$B10*'Time Series Scaling Factors'!M36</f>
        <v>844692142207215.88</v>
      </c>
      <c r="N10">
        <f>$B10*'Time Series Scaling Factors'!N36</f>
        <v>839540352247762</v>
      </c>
      <c r="O10">
        <f>$B10*'Time Series Scaling Factors'!O36</f>
        <v>832010917290365.88</v>
      </c>
      <c r="P10">
        <f>$B10*'Time Series Scaling Factors'!P36</f>
        <v>831356331074883</v>
      </c>
      <c r="Q10">
        <f>$B10*'Time Series Scaling Factors'!Q36</f>
        <v>828797145091343</v>
      </c>
      <c r="R10">
        <f>$B10*'Time Series Scaling Factors'!R36</f>
        <v>831228304036532.25</v>
      </c>
      <c r="S10">
        <f>$B10*'Time Series Scaling Factors'!S36</f>
        <v>832079108058588</v>
      </c>
      <c r="T10">
        <f>$B10*'Time Series Scaling Factors'!T36</f>
        <v>833840326575582.13</v>
      </c>
      <c r="U10">
        <f>$B10*'Time Series Scaling Factors'!U36</f>
        <v>835993754908476.25</v>
      </c>
      <c r="V10">
        <f>$B10*'Time Series Scaling Factors'!V36</f>
        <v>840726239382538.13</v>
      </c>
      <c r="W10">
        <f>$B10*'Time Series Scaling Factors'!W36</f>
        <v>839666572908146.63</v>
      </c>
      <c r="X10">
        <f>$B10*'Time Series Scaling Factors'!X36</f>
        <v>841176479090600.5</v>
      </c>
      <c r="Y10">
        <f>$B10*'Time Series Scaling Factors'!Y36</f>
        <v>839316812974451.13</v>
      </c>
      <c r="Z10">
        <f>$B10*'Time Series Scaling Factors'!Z36</f>
        <v>846184887798991.38</v>
      </c>
      <c r="AA10">
        <f>$B10*'Time Series Scaling Factors'!AA36</f>
        <v>840516247943973.38</v>
      </c>
      <c r="AB10">
        <f>$B10*'Time Series Scaling Factors'!AB36</f>
        <v>845413112812954.63</v>
      </c>
      <c r="AC10">
        <f>$B10*'Time Series Scaling Factors'!AC36</f>
        <v>861815702137315.38</v>
      </c>
      <c r="AD10">
        <f>$B10*'Time Series Scaling Factors'!AD36</f>
        <v>866309067328108.25</v>
      </c>
      <c r="AE10">
        <f>$B10*'Time Series Scaling Factors'!AE36</f>
        <v>850723638236183.88</v>
      </c>
      <c r="AF10">
        <f t="shared" si="1"/>
        <v>850723638236183.88</v>
      </c>
      <c r="AG10">
        <f t="shared" si="0"/>
        <v>850723638236183.88</v>
      </c>
      <c r="AH10">
        <f t="shared" si="0"/>
        <v>850723638236183.88</v>
      </c>
      <c r="AI10">
        <f t="shared" si="0"/>
        <v>850723638236183.88</v>
      </c>
      <c r="AJ10">
        <f t="shared" si="0"/>
        <v>850723638236183.88</v>
      </c>
      <c r="AK10">
        <f t="shared" si="0"/>
        <v>850723638236183.88</v>
      </c>
      <c r="AL10">
        <f t="shared" si="0"/>
        <v>850723638236183.88</v>
      </c>
      <c r="AM10">
        <f t="shared" si="0"/>
        <v>850723638236183.88</v>
      </c>
      <c r="AN10">
        <f t="shared" si="0"/>
        <v>850723638236183.88</v>
      </c>
      <c r="AO10">
        <f t="shared" si="0"/>
        <v>850723638236183.88</v>
      </c>
      <c r="AP10">
        <f t="shared" si="0"/>
        <v>850723638236183.88</v>
      </c>
      <c r="AQ10">
        <f t="shared" si="0"/>
        <v>850723638236183.88</v>
      </c>
      <c r="AR10">
        <f t="shared" si="0"/>
        <v>850723638236183.88</v>
      </c>
      <c r="AS10">
        <f t="shared" si="0"/>
        <v>850723638236183.88</v>
      </c>
      <c r="AT10">
        <f t="shared" si="0"/>
        <v>850723638236183.88</v>
      </c>
      <c r="AU10">
        <f t="shared" si="0"/>
        <v>850723638236183.88</v>
      </c>
      <c r="AV10">
        <f t="shared" si="0"/>
        <v>850723638236183.88</v>
      </c>
      <c r="AW10">
        <f t="shared" si="0"/>
        <v>850723638236183.88</v>
      </c>
      <c r="AX10">
        <f t="shared" si="0"/>
        <v>850723638236183.88</v>
      </c>
      <c r="AY10">
        <f t="shared" si="0"/>
        <v>850723638236183.88</v>
      </c>
    </row>
    <row r="11" spans="1:51" x14ac:dyDescent="0.75">
      <c r="A11" s="1" t="s">
        <v>1037</v>
      </c>
      <c r="B11">
        <f>'Start Year Data'!C35</f>
        <v>557394187563840</v>
      </c>
      <c r="C11">
        <f>$B11*'Time Series Scaling Factors'!C37</f>
        <v>562463960420749.75</v>
      </c>
      <c r="D11">
        <f>$B11*'Time Series Scaling Factors'!D37</f>
        <v>571976610176322.25</v>
      </c>
      <c r="E11">
        <f>$B11*'Time Series Scaling Factors'!E37</f>
        <v>476328526673437</v>
      </c>
      <c r="F11">
        <f>$B11*'Time Series Scaling Factors'!F37</f>
        <v>476802008047633.31</v>
      </c>
      <c r="G11">
        <f>$B11*'Time Series Scaling Factors'!G37</f>
        <v>477012273490642.69</v>
      </c>
      <c r="H11">
        <f>$B11*'Time Series Scaling Factors'!H37</f>
        <v>471927844695041</v>
      </c>
      <c r="I11">
        <f>$B11*'Time Series Scaling Factors'!I37</f>
        <v>462591420782935.06</v>
      </c>
      <c r="J11">
        <f>$B11*'Time Series Scaling Factors'!J37</f>
        <v>453597283955120.94</v>
      </c>
      <c r="K11">
        <f>$B11*'Time Series Scaling Factors'!K37</f>
        <v>449656372956661</v>
      </c>
      <c r="L11">
        <f>$B11*'Time Series Scaling Factors'!L37</f>
        <v>449877748546743.38</v>
      </c>
      <c r="M11">
        <f>$B11*'Time Series Scaling Factors'!M37</f>
        <v>442152177767169.44</v>
      </c>
      <c r="N11">
        <f>$B11*'Time Series Scaling Factors'!N37</f>
        <v>439455485047832.13</v>
      </c>
      <c r="O11">
        <f>$B11*'Time Series Scaling Factors'!O37</f>
        <v>435514219470210.31</v>
      </c>
      <c r="P11">
        <f>$B11*'Time Series Scaling Factors'!P37</f>
        <v>435171577806756.69</v>
      </c>
      <c r="Q11">
        <f>$B11*'Time Series Scaling Factors'!Q37</f>
        <v>433831977733081.69</v>
      </c>
      <c r="R11">
        <f>$B11*'Time Series Scaling Factors'!R37</f>
        <v>435104562345156.75</v>
      </c>
      <c r="S11">
        <f>$B11*'Time Series Scaling Factors'!S37</f>
        <v>435549913772508.69</v>
      </c>
      <c r="T11">
        <f>$B11*'Time Series Scaling Factors'!T37</f>
        <v>436471819593460.25</v>
      </c>
      <c r="U11">
        <f>$B11*'Time Series Scaling Factors'!U37</f>
        <v>437599026749154.44</v>
      </c>
      <c r="V11">
        <f>$B11*'Time Series Scaling Factors'!V37</f>
        <v>440076234967272.88</v>
      </c>
      <c r="W11">
        <f>$B11*'Time Series Scaling Factors'!W37</f>
        <v>439521554965000.38</v>
      </c>
      <c r="X11">
        <f>$B11*'Time Series Scaling Factors'!X37</f>
        <v>440311911916885.38</v>
      </c>
      <c r="Y11">
        <f>$B11*'Time Series Scaling Factors'!Y37</f>
        <v>439338473924403.69</v>
      </c>
      <c r="Z11">
        <f>$B11*'Time Series Scaling Factors'!Z37</f>
        <v>442933552046952.81</v>
      </c>
      <c r="AA11">
        <f>$B11*'Time Series Scaling Factors'!AA37</f>
        <v>439966315427082.5</v>
      </c>
      <c r="AB11">
        <f>$B11*'Time Series Scaling Factors'!AB37</f>
        <v>442529568188489.69</v>
      </c>
      <c r="AC11">
        <f>$B11*'Time Series Scaling Factors'!AC37</f>
        <v>451115466207897.88</v>
      </c>
      <c r="AD11">
        <f>$B11*'Time Series Scaling Factors'!AD37</f>
        <v>453467507981863.94</v>
      </c>
      <c r="AE11">
        <f>$B11*'Time Series Scaling Factors'!AE37</f>
        <v>445309350624766.56</v>
      </c>
      <c r="AF11">
        <f t="shared" si="1"/>
        <v>445309350624766.56</v>
      </c>
      <c r="AG11">
        <f t="shared" si="0"/>
        <v>445309350624766.56</v>
      </c>
      <c r="AH11">
        <f t="shared" si="0"/>
        <v>445309350624766.56</v>
      </c>
      <c r="AI11">
        <f t="shared" si="0"/>
        <v>445309350624766.56</v>
      </c>
      <c r="AJ11">
        <f t="shared" si="0"/>
        <v>445309350624766.56</v>
      </c>
      <c r="AK11">
        <f t="shared" si="0"/>
        <v>445309350624766.56</v>
      </c>
      <c r="AL11">
        <f t="shared" si="0"/>
        <v>445309350624766.56</v>
      </c>
      <c r="AM11">
        <f t="shared" si="0"/>
        <v>445309350624766.56</v>
      </c>
      <c r="AN11">
        <f t="shared" si="0"/>
        <v>445309350624766.56</v>
      </c>
      <c r="AO11">
        <f t="shared" si="0"/>
        <v>445309350624766.56</v>
      </c>
      <c r="AP11">
        <f t="shared" si="0"/>
        <v>445309350624766.56</v>
      </c>
      <c r="AQ11">
        <f t="shared" si="0"/>
        <v>445309350624766.56</v>
      </c>
      <c r="AR11">
        <f t="shared" si="0"/>
        <v>445309350624766.56</v>
      </c>
      <c r="AS11">
        <f t="shared" si="0"/>
        <v>445309350624766.56</v>
      </c>
      <c r="AT11">
        <f t="shared" si="0"/>
        <v>445309350624766.56</v>
      </c>
      <c r="AU11">
        <f t="shared" si="0"/>
        <v>445309350624766.56</v>
      </c>
      <c r="AV11">
        <f t="shared" si="0"/>
        <v>445309350624766.56</v>
      </c>
      <c r="AW11">
        <f t="shared" si="0"/>
        <v>445309350624766.56</v>
      </c>
      <c r="AX11">
        <f t="shared" si="0"/>
        <v>445309350624766.56</v>
      </c>
      <c r="AY11">
        <f t="shared" si="0"/>
        <v>445309350624766.56</v>
      </c>
    </row>
    <row r="12" spans="1:51" x14ac:dyDescent="0.75">
      <c r="A12" s="1" t="s">
        <v>1038</v>
      </c>
      <c r="B12">
        <f>'Start Year Data'!C36</f>
        <v>0</v>
      </c>
      <c r="C12">
        <f>$B12*'Time Series Scaling Factors'!C38</f>
        <v>0</v>
      </c>
      <c r="D12">
        <f>$B12*'Time Series Scaling Factors'!D38</f>
        <v>0</v>
      </c>
      <c r="E12">
        <f>$B12*'Time Series Scaling Factors'!E38</f>
        <v>0</v>
      </c>
      <c r="F12">
        <f>$B12*'Time Series Scaling Factors'!F38</f>
        <v>0</v>
      </c>
      <c r="G12">
        <f>$B12*'Time Series Scaling Factors'!G38</f>
        <v>0</v>
      </c>
      <c r="H12">
        <f>$B12*'Time Series Scaling Factors'!H38</f>
        <v>0</v>
      </c>
      <c r="I12">
        <f>$B12*'Time Series Scaling Factors'!I38</f>
        <v>0</v>
      </c>
      <c r="J12">
        <f>$B12*'Time Series Scaling Factors'!J38</f>
        <v>0</v>
      </c>
      <c r="K12">
        <f>$B12*'Time Series Scaling Factors'!K38</f>
        <v>0</v>
      </c>
      <c r="L12">
        <f>$B12*'Time Series Scaling Factors'!L38</f>
        <v>0</v>
      </c>
      <c r="M12">
        <f>$B12*'Time Series Scaling Factors'!M38</f>
        <v>0</v>
      </c>
      <c r="N12">
        <f>$B12*'Time Series Scaling Factors'!N38</f>
        <v>0</v>
      </c>
      <c r="O12">
        <f>$B12*'Time Series Scaling Factors'!O38</f>
        <v>0</v>
      </c>
      <c r="P12">
        <f>$B12*'Time Series Scaling Factors'!P38</f>
        <v>0</v>
      </c>
      <c r="Q12">
        <f>$B12*'Time Series Scaling Factors'!Q38</f>
        <v>0</v>
      </c>
      <c r="R12">
        <f>$B12*'Time Series Scaling Factors'!R38</f>
        <v>0</v>
      </c>
      <c r="S12">
        <f>$B12*'Time Series Scaling Factors'!S38</f>
        <v>0</v>
      </c>
      <c r="T12">
        <f>$B12*'Time Series Scaling Factors'!T38</f>
        <v>0</v>
      </c>
      <c r="U12">
        <f>$B12*'Time Series Scaling Factors'!U38</f>
        <v>0</v>
      </c>
      <c r="V12">
        <f>$B12*'Time Series Scaling Factors'!V38</f>
        <v>0</v>
      </c>
      <c r="W12">
        <f>$B12*'Time Series Scaling Factors'!W38</f>
        <v>0</v>
      </c>
      <c r="X12">
        <f>$B12*'Time Series Scaling Factors'!X38</f>
        <v>0</v>
      </c>
      <c r="Y12">
        <f>$B12*'Time Series Scaling Factors'!Y38</f>
        <v>0</v>
      </c>
      <c r="Z12">
        <f>$B12*'Time Series Scaling Factors'!Z38</f>
        <v>0</v>
      </c>
      <c r="AA12">
        <f>$B12*'Time Series Scaling Factors'!AA38</f>
        <v>0</v>
      </c>
      <c r="AB12">
        <f>$B12*'Time Series Scaling Factors'!AB38</f>
        <v>0</v>
      </c>
      <c r="AC12">
        <f>$B12*'Time Series Scaling Factors'!AC38</f>
        <v>0</v>
      </c>
      <c r="AD12">
        <f>$B12*'Time Series Scaling Factors'!AD38</f>
        <v>0</v>
      </c>
      <c r="AE12">
        <f>$B12*'Time Series Scaling Factors'!AE38</f>
        <v>0</v>
      </c>
      <c r="AF12">
        <f t="shared" si="1"/>
        <v>0</v>
      </c>
      <c r="AG12">
        <f t="shared" si="0"/>
        <v>0</v>
      </c>
      <c r="AH12">
        <f t="shared" si="0"/>
        <v>0</v>
      </c>
      <c r="AI12">
        <f t="shared" si="0"/>
        <v>0</v>
      </c>
      <c r="AJ12">
        <f t="shared" si="0"/>
        <v>0</v>
      </c>
      <c r="AK12">
        <f t="shared" si="0"/>
        <v>0</v>
      </c>
      <c r="AL12">
        <f t="shared" si="0"/>
        <v>0</v>
      </c>
      <c r="AM12">
        <f t="shared" si="0"/>
        <v>0</v>
      </c>
      <c r="AN12">
        <f t="shared" si="0"/>
        <v>0</v>
      </c>
      <c r="AO12">
        <f t="shared" si="0"/>
        <v>0</v>
      </c>
      <c r="AP12">
        <f t="shared" si="0"/>
        <v>0</v>
      </c>
      <c r="AQ12">
        <f t="shared" si="0"/>
        <v>0</v>
      </c>
      <c r="AR12">
        <f t="shared" si="0"/>
        <v>0</v>
      </c>
      <c r="AS12">
        <f t="shared" si="0"/>
        <v>0</v>
      </c>
      <c r="AT12">
        <f t="shared" si="0"/>
        <v>0</v>
      </c>
      <c r="AU12">
        <f t="shared" si="0"/>
        <v>0</v>
      </c>
      <c r="AV12">
        <f t="shared" si="0"/>
        <v>0</v>
      </c>
      <c r="AW12">
        <f t="shared" si="0"/>
        <v>0</v>
      </c>
      <c r="AX12">
        <f t="shared" si="0"/>
        <v>0</v>
      </c>
      <c r="AY12">
        <f t="shared" si="0"/>
        <v>0</v>
      </c>
    </row>
    <row r="13" spans="1:51" x14ac:dyDescent="0.75">
      <c r="A13" s="1" t="s">
        <v>1039</v>
      </c>
      <c r="B13">
        <f>'Start Year Data'!C37</f>
        <v>0</v>
      </c>
      <c r="C13">
        <f>$B13*'Time Series Scaling Factors'!C39</f>
        <v>0</v>
      </c>
      <c r="D13">
        <f>$B13*'Time Series Scaling Factors'!D39</f>
        <v>0</v>
      </c>
      <c r="E13">
        <f>$B13*'Time Series Scaling Factors'!E39</f>
        <v>0</v>
      </c>
      <c r="F13">
        <f>$B13*'Time Series Scaling Factors'!F39</f>
        <v>0</v>
      </c>
      <c r="G13">
        <f>$B13*'Time Series Scaling Factors'!G39</f>
        <v>0</v>
      </c>
      <c r="H13">
        <f>$B13*'Time Series Scaling Factors'!H39</f>
        <v>0</v>
      </c>
      <c r="I13">
        <f>$B13*'Time Series Scaling Factors'!I39</f>
        <v>0</v>
      </c>
      <c r="J13">
        <f>$B13*'Time Series Scaling Factors'!J39</f>
        <v>0</v>
      </c>
      <c r="K13">
        <f>$B13*'Time Series Scaling Factors'!K39</f>
        <v>0</v>
      </c>
      <c r="L13">
        <f>$B13*'Time Series Scaling Factors'!L39</f>
        <v>0</v>
      </c>
      <c r="M13">
        <f>$B13*'Time Series Scaling Factors'!M39</f>
        <v>0</v>
      </c>
      <c r="N13">
        <f>$B13*'Time Series Scaling Factors'!N39</f>
        <v>0</v>
      </c>
      <c r="O13">
        <f>$B13*'Time Series Scaling Factors'!O39</f>
        <v>0</v>
      </c>
      <c r="P13">
        <f>$B13*'Time Series Scaling Factors'!P39</f>
        <v>0</v>
      </c>
      <c r="Q13">
        <f>$B13*'Time Series Scaling Factors'!Q39</f>
        <v>0</v>
      </c>
      <c r="R13">
        <f>$B13*'Time Series Scaling Factors'!R39</f>
        <v>0</v>
      </c>
      <c r="S13">
        <f>$B13*'Time Series Scaling Factors'!S39</f>
        <v>0</v>
      </c>
      <c r="T13">
        <f>$B13*'Time Series Scaling Factors'!T39</f>
        <v>0</v>
      </c>
      <c r="U13">
        <f>$B13*'Time Series Scaling Factors'!U39</f>
        <v>0</v>
      </c>
      <c r="V13">
        <f>$B13*'Time Series Scaling Factors'!V39</f>
        <v>0</v>
      </c>
      <c r="W13">
        <f>$B13*'Time Series Scaling Factors'!W39</f>
        <v>0</v>
      </c>
      <c r="X13">
        <f>$B13*'Time Series Scaling Factors'!X39</f>
        <v>0</v>
      </c>
      <c r="Y13">
        <f>$B13*'Time Series Scaling Factors'!Y39</f>
        <v>0</v>
      </c>
      <c r="Z13">
        <f>$B13*'Time Series Scaling Factors'!Z39</f>
        <v>0</v>
      </c>
      <c r="AA13">
        <f>$B13*'Time Series Scaling Factors'!AA39</f>
        <v>0</v>
      </c>
      <c r="AB13">
        <f>$B13*'Time Series Scaling Factors'!AB39</f>
        <v>0</v>
      </c>
      <c r="AC13">
        <f>$B13*'Time Series Scaling Factors'!AC39</f>
        <v>0</v>
      </c>
      <c r="AD13">
        <f>$B13*'Time Series Scaling Factors'!AD39</f>
        <v>0</v>
      </c>
      <c r="AE13">
        <f>$B13*'Time Series Scaling Factors'!AE39</f>
        <v>0</v>
      </c>
      <c r="AF13">
        <f t="shared" si="1"/>
        <v>0</v>
      </c>
      <c r="AG13">
        <f t="shared" si="0"/>
        <v>0</v>
      </c>
      <c r="AH13">
        <f t="shared" si="0"/>
        <v>0</v>
      </c>
      <c r="AI13">
        <f t="shared" si="0"/>
        <v>0</v>
      </c>
      <c r="AJ13">
        <f t="shared" si="0"/>
        <v>0</v>
      </c>
      <c r="AK13">
        <f t="shared" si="0"/>
        <v>0</v>
      </c>
      <c r="AL13">
        <f t="shared" si="0"/>
        <v>0</v>
      </c>
      <c r="AM13">
        <f t="shared" si="0"/>
        <v>0</v>
      </c>
      <c r="AN13">
        <f t="shared" si="0"/>
        <v>0</v>
      </c>
      <c r="AO13">
        <f t="shared" si="0"/>
        <v>0</v>
      </c>
      <c r="AP13">
        <f t="shared" si="0"/>
        <v>0</v>
      </c>
      <c r="AQ13">
        <f t="shared" si="0"/>
        <v>0</v>
      </c>
      <c r="AR13">
        <f t="shared" si="0"/>
        <v>0</v>
      </c>
      <c r="AS13">
        <f t="shared" si="0"/>
        <v>0</v>
      </c>
      <c r="AT13">
        <f t="shared" si="0"/>
        <v>0</v>
      </c>
      <c r="AU13">
        <f t="shared" si="0"/>
        <v>0</v>
      </c>
      <c r="AV13">
        <f t="shared" si="0"/>
        <v>0</v>
      </c>
      <c r="AW13">
        <f t="shared" si="0"/>
        <v>0</v>
      </c>
      <c r="AX13">
        <f t="shared" si="0"/>
        <v>0</v>
      </c>
      <c r="AY13">
        <f t="shared" si="0"/>
        <v>0</v>
      </c>
    </row>
    <row r="14" spans="1:51" x14ac:dyDescent="0.75">
      <c r="A14" s="1" t="s">
        <v>1040</v>
      </c>
      <c r="B14">
        <f>'Start Year Data'!C38</f>
        <v>111080375195520</v>
      </c>
      <c r="C14">
        <f>$B14*'Time Series Scaling Factors'!C40</f>
        <v>112090705557167.52</v>
      </c>
      <c r="D14">
        <f>$B14*'Time Series Scaling Factors'!D40</f>
        <v>113986435235603.64</v>
      </c>
      <c r="E14">
        <f>$B14*'Time Series Scaling Factors'!E40</f>
        <v>94925194126023.453</v>
      </c>
      <c r="F14">
        <f>$B14*'Time Series Scaling Factors'!F40</f>
        <v>95019551924987.391</v>
      </c>
      <c r="G14">
        <f>$B14*'Time Series Scaling Factors'!G40</f>
        <v>95061454701911.234</v>
      </c>
      <c r="H14">
        <f>$B14*'Time Series Scaling Factors'!H40</f>
        <v>94048203629561.906</v>
      </c>
      <c r="I14">
        <f>$B14*'Time Series Scaling Factors'!I40</f>
        <v>92187593141903.438</v>
      </c>
      <c r="J14">
        <f>$B14*'Time Series Scaling Factors'!J40</f>
        <v>90395195381603.844</v>
      </c>
      <c r="K14">
        <f>$B14*'Time Series Scaling Factors'!K40</f>
        <v>89609830406352.938</v>
      </c>
      <c r="L14">
        <f>$B14*'Time Series Scaling Factors'!L40</f>
        <v>89653947270421.703</v>
      </c>
      <c r="M14">
        <f>$B14*'Time Series Scaling Factors'!M40</f>
        <v>88114355864660.344</v>
      </c>
      <c r="N14">
        <f>$B14*'Time Series Scaling Factors'!N40</f>
        <v>87576945095523.641</v>
      </c>
      <c r="O14">
        <f>$B14*'Time Series Scaling Factors'!O40</f>
        <v>86791509457917.047</v>
      </c>
      <c r="P14">
        <f>$B14*'Time Series Scaling Factors'!P40</f>
        <v>86723226068202.484</v>
      </c>
      <c r="Q14">
        <f>$B14*'Time Series Scaling Factors'!Q40</f>
        <v>86456263688407.813</v>
      </c>
      <c r="R14">
        <f>$B14*'Time Series Scaling Factors'!R40</f>
        <v>86709870882977.188</v>
      </c>
      <c r="S14">
        <f>$B14*'Time Series Scaling Factors'!S40</f>
        <v>86798622801723.109</v>
      </c>
      <c r="T14">
        <f>$B14*'Time Series Scaling Factors'!T40</f>
        <v>86982344926515.625</v>
      </c>
      <c r="U14">
        <f>$B14*'Time Series Scaling Factors'!U40</f>
        <v>87206980555252.328</v>
      </c>
      <c r="V14">
        <f>$B14*'Time Series Scaling Factors'!V40</f>
        <v>87700651326217.281</v>
      </c>
      <c r="W14">
        <f>$B14*'Time Series Scaling Factors'!W40</f>
        <v>87590111847800.438</v>
      </c>
      <c r="X14">
        <f>$B14*'Time Series Scaling Factors'!X40</f>
        <v>87747618238632.203</v>
      </c>
      <c r="Y14">
        <f>$B14*'Time Series Scaling Factors'!Y40</f>
        <v>87553626518146.125</v>
      </c>
      <c r="Z14">
        <f>$B14*'Time Series Scaling Factors'!Z40</f>
        <v>88270072142481.281</v>
      </c>
      <c r="AA14">
        <f>$B14*'Time Series Scaling Factors'!AA40</f>
        <v>87678745995953.547</v>
      </c>
      <c r="AB14">
        <f>$B14*'Time Series Scaling Factors'!AB40</f>
        <v>88189564165232.453</v>
      </c>
      <c r="AC14">
        <f>$B14*'Time Series Scaling Factors'!AC40</f>
        <v>89900606000014.953</v>
      </c>
      <c r="AD14">
        <f>$B14*'Time Series Scaling Factors'!AD40</f>
        <v>90369332959421.516</v>
      </c>
      <c r="AE14">
        <f>$B14*'Time Series Scaling Factors'!AE40</f>
        <v>88743533479719.063</v>
      </c>
      <c r="AF14">
        <f t="shared" si="1"/>
        <v>88743533479719.063</v>
      </c>
      <c r="AG14">
        <f t="shared" si="0"/>
        <v>88743533479719.063</v>
      </c>
      <c r="AH14">
        <f t="shared" si="0"/>
        <v>88743533479719.063</v>
      </c>
      <c r="AI14">
        <f t="shared" si="0"/>
        <v>88743533479719.063</v>
      </c>
      <c r="AJ14">
        <f t="shared" si="0"/>
        <v>88743533479719.063</v>
      </c>
      <c r="AK14">
        <f t="shared" si="0"/>
        <v>88743533479719.063</v>
      </c>
      <c r="AL14">
        <f t="shared" si="0"/>
        <v>88743533479719.063</v>
      </c>
      <c r="AM14">
        <f t="shared" si="0"/>
        <v>88743533479719.063</v>
      </c>
      <c r="AN14">
        <f t="shared" si="0"/>
        <v>88743533479719.063</v>
      </c>
      <c r="AO14">
        <f t="shared" si="0"/>
        <v>88743533479719.063</v>
      </c>
      <c r="AP14">
        <f t="shared" si="0"/>
        <v>88743533479719.063</v>
      </c>
      <c r="AQ14">
        <f t="shared" si="0"/>
        <v>88743533479719.063</v>
      </c>
      <c r="AR14">
        <f t="shared" si="0"/>
        <v>88743533479719.063</v>
      </c>
      <c r="AS14">
        <f t="shared" si="0"/>
        <v>88743533479719.063</v>
      </c>
      <c r="AT14">
        <f t="shared" si="0"/>
        <v>88743533479719.063</v>
      </c>
      <c r="AU14">
        <f t="shared" si="0"/>
        <v>88743533479719.063</v>
      </c>
      <c r="AV14">
        <f t="shared" si="0"/>
        <v>88743533479719.063</v>
      </c>
      <c r="AW14">
        <f t="shared" si="0"/>
        <v>88743533479719.063</v>
      </c>
      <c r="AX14">
        <f t="shared" si="0"/>
        <v>88743533479719.063</v>
      </c>
      <c r="AY14">
        <f t="shared" si="0"/>
        <v>88743533479719.063</v>
      </c>
    </row>
    <row r="15" spans="1:51" x14ac:dyDescent="0.75">
      <c r="A15" s="1" t="s">
        <v>1077</v>
      </c>
      <c r="B15">
        <f>'Start Year Data'!C39</f>
        <v>0</v>
      </c>
      <c r="C15">
        <f>$B15*'Time Series Scaling Factors'!C41</f>
        <v>0</v>
      </c>
      <c r="D15">
        <f>$B15*'Time Series Scaling Factors'!D41</f>
        <v>0</v>
      </c>
      <c r="E15">
        <f>$B15*'Time Series Scaling Factors'!E41</f>
        <v>0</v>
      </c>
      <c r="F15">
        <f>$B15*'Time Series Scaling Factors'!F41</f>
        <v>0</v>
      </c>
      <c r="G15">
        <f>$B15*'Time Series Scaling Factors'!G41</f>
        <v>0</v>
      </c>
      <c r="H15">
        <f>$B15*'Time Series Scaling Factors'!H41</f>
        <v>0</v>
      </c>
      <c r="I15">
        <f>$B15*'Time Series Scaling Factors'!I41</f>
        <v>0</v>
      </c>
      <c r="J15">
        <f>$B15*'Time Series Scaling Factors'!J41</f>
        <v>0</v>
      </c>
      <c r="K15">
        <f>$B15*'Time Series Scaling Factors'!K41</f>
        <v>0</v>
      </c>
      <c r="L15">
        <f>$B15*'Time Series Scaling Factors'!L41</f>
        <v>0</v>
      </c>
      <c r="M15">
        <f>$B15*'Time Series Scaling Factors'!M41</f>
        <v>0</v>
      </c>
      <c r="N15">
        <f>$B15*'Time Series Scaling Factors'!N41</f>
        <v>0</v>
      </c>
      <c r="O15">
        <f>$B15*'Time Series Scaling Factors'!O41</f>
        <v>0</v>
      </c>
      <c r="P15">
        <f>$B15*'Time Series Scaling Factors'!P41</f>
        <v>0</v>
      </c>
      <c r="Q15">
        <f>$B15*'Time Series Scaling Factors'!Q41</f>
        <v>0</v>
      </c>
      <c r="R15">
        <f>$B15*'Time Series Scaling Factors'!R41</f>
        <v>0</v>
      </c>
      <c r="S15">
        <f>$B15*'Time Series Scaling Factors'!S41</f>
        <v>0</v>
      </c>
      <c r="T15">
        <f>$B15*'Time Series Scaling Factors'!T41</f>
        <v>0</v>
      </c>
      <c r="U15">
        <f>$B15*'Time Series Scaling Factors'!U41</f>
        <v>0</v>
      </c>
      <c r="V15">
        <f>$B15*'Time Series Scaling Factors'!V41</f>
        <v>0</v>
      </c>
      <c r="W15">
        <f>$B15*'Time Series Scaling Factors'!W41</f>
        <v>0</v>
      </c>
      <c r="X15">
        <f>$B15*'Time Series Scaling Factors'!X41</f>
        <v>0</v>
      </c>
      <c r="Y15">
        <f>$B15*'Time Series Scaling Factors'!Y41</f>
        <v>0</v>
      </c>
      <c r="Z15">
        <f>$B15*'Time Series Scaling Factors'!Z41</f>
        <v>0</v>
      </c>
      <c r="AA15">
        <f>$B15*'Time Series Scaling Factors'!AA41</f>
        <v>0</v>
      </c>
      <c r="AB15">
        <f>$B15*'Time Series Scaling Factors'!AB41</f>
        <v>0</v>
      </c>
      <c r="AC15">
        <f>$B15*'Time Series Scaling Factors'!AC41</f>
        <v>0</v>
      </c>
      <c r="AD15">
        <f>$B15*'Time Series Scaling Factors'!AD41</f>
        <v>0</v>
      </c>
      <c r="AE15">
        <f>$B15*'Time Series Scaling Factors'!AE41</f>
        <v>0</v>
      </c>
      <c r="AF15">
        <f t="shared" si="1"/>
        <v>0</v>
      </c>
      <c r="AG15">
        <f t="shared" si="0"/>
        <v>0</v>
      </c>
      <c r="AH15">
        <f t="shared" si="0"/>
        <v>0</v>
      </c>
      <c r="AI15">
        <f t="shared" si="0"/>
        <v>0</v>
      </c>
      <c r="AJ15">
        <f t="shared" si="0"/>
        <v>0</v>
      </c>
      <c r="AK15">
        <f t="shared" si="0"/>
        <v>0</v>
      </c>
      <c r="AL15">
        <f t="shared" si="0"/>
        <v>0</v>
      </c>
      <c r="AM15">
        <f t="shared" si="0"/>
        <v>0</v>
      </c>
      <c r="AN15">
        <f t="shared" si="0"/>
        <v>0</v>
      </c>
      <c r="AO15">
        <f t="shared" si="0"/>
        <v>0</v>
      </c>
      <c r="AP15">
        <f t="shared" si="0"/>
        <v>0</v>
      </c>
      <c r="AQ15">
        <f t="shared" si="0"/>
        <v>0</v>
      </c>
      <c r="AR15">
        <f t="shared" si="0"/>
        <v>0</v>
      </c>
      <c r="AS15">
        <f t="shared" si="0"/>
        <v>0</v>
      </c>
      <c r="AT15">
        <f t="shared" si="0"/>
        <v>0</v>
      </c>
      <c r="AU15">
        <f t="shared" si="0"/>
        <v>0</v>
      </c>
      <c r="AV15">
        <f t="shared" si="0"/>
        <v>0</v>
      </c>
      <c r="AW15">
        <f t="shared" si="0"/>
        <v>0</v>
      </c>
      <c r="AX15">
        <f t="shared" si="0"/>
        <v>0</v>
      </c>
      <c r="AY15">
        <f t="shared" si="0"/>
        <v>0</v>
      </c>
    </row>
    <row r="16" spans="1:51" x14ac:dyDescent="0.75">
      <c r="A16" s="1" t="s">
        <v>1042</v>
      </c>
      <c r="B16">
        <f>'Start Year Data'!C40</f>
        <v>0</v>
      </c>
      <c r="C16">
        <f>$B16*'Time Series Scaling Factors'!C42</f>
        <v>0</v>
      </c>
      <c r="D16">
        <f>$B16*'Time Series Scaling Factors'!D42</f>
        <v>0</v>
      </c>
      <c r="E16">
        <f>$B16*'Time Series Scaling Factors'!E42</f>
        <v>0</v>
      </c>
      <c r="F16">
        <f>$B16*'Time Series Scaling Factors'!F42</f>
        <v>0</v>
      </c>
      <c r="G16">
        <f>$B16*'Time Series Scaling Factors'!G42</f>
        <v>0</v>
      </c>
      <c r="H16">
        <f>$B16*'Time Series Scaling Factors'!H42</f>
        <v>0</v>
      </c>
      <c r="I16">
        <f>$B16*'Time Series Scaling Factors'!I42</f>
        <v>0</v>
      </c>
      <c r="J16">
        <f>$B16*'Time Series Scaling Factors'!J42</f>
        <v>0</v>
      </c>
      <c r="K16">
        <f>$B16*'Time Series Scaling Factors'!K42</f>
        <v>0</v>
      </c>
      <c r="L16">
        <f>$B16*'Time Series Scaling Factors'!L42</f>
        <v>0</v>
      </c>
      <c r="M16">
        <f>$B16*'Time Series Scaling Factors'!M42</f>
        <v>0</v>
      </c>
      <c r="N16">
        <f>$B16*'Time Series Scaling Factors'!N42</f>
        <v>0</v>
      </c>
      <c r="O16">
        <f>$B16*'Time Series Scaling Factors'!O42</f>
        <v>0</v>
      </c>
      <c r="P16">
        <f>$B16*'Time Series Scaling Factors'!P42</f>
        <v>0</v>
      </c>
      <c r="Q16">
        <f>$B16*'Time Series Scaling Factors'!Q42</f>
        <v>0</v>
      </c>
      <c r="R16">
        <f>$B16*'Time Series Scaling Factors'!R42</f>
        <v>0</v>
      </c>
      <c r="S16">
        <f>$B16*'Time Series Scaling Factors'!S42</f>
        <v>0</v>
      </c>
      <c r="T16">
        <f>$B16*'Time Series Scaling Factors'!T42</f>
        <v>0</v>
      </c>
      <c r="U16">
        <f>$B16*'Time Series Scaling Factors'!U42</f>
        <v>0</v>
      </c>
      <c r="V16">
        <f>$B16*'Time Series Scaling Factors'!V42</f>
        <v>0</v>
      </c>
      <c r="W16">
        <f>$B16*'Time Series Scaling Factors'!W42</f>
        <v>0</v>
      </c>
      <c r="X16">
        <f>$B16*'Time Series Scaling Factors'!X42</f>
        <v>0</v>
      </c>
      <c r="Y16">
        <f>$B16*'Time Series Scaling Factors'!Y42</f>
        <v>0</v>
      </c>
      <c r="Z16">
        <f>$B16*'Time Series Scaling Factors'!Z42</f>
        <v>0</v>
      </c>
      <c r="AA16">
        <f>$B16*'Time Series Scaling Factors'!AA42</f>
        <v>0</v>
      </c>
      <c r="AB16">
        <f>$B16*'Time Series Scaling Factors'!AB42</f>
        <v>0</v>
      </c>
      <c r="AC16">
        <f>$B16*'Time Series Scaling Factors'!AC42</f>
        <v>0</v>
      </c>
      <c r="AD16">
        <f>$B16*'Time Series Scaling Factors'!AD42</f>
        <v>0</v>
      </c>
      <c r="AE16">
        <f>$B16*'Time Series Scaling Factors'!AE42</f>
        <v>0</v>
      </c>
      <c r="AF16">
        <f t="shared" si="1"/>
        <v>0</v>
      </c>
      <c r="AG16">
        <f t="shared" si="0"/>
        <v>0</v>
      </c>
      <c r="AH16">
        <f t="shared" si="0"/>
        <v>0</v>
      </c>
      <c r="AI16">
        <f t="shared" si="0"/>
        <v>0</v>
      </c>
      <c r="AJ16">
        <f t="shared" si="0"/>
        <v>0</v>
      </c>
      <c r="AK16">
        <f t="shared" ref="AG16:AY22" si="2">AJ16</f>
        <v>0</v>
      </c>
      <c r="AL16">
        <f t="shared" si="2"/>
        <v>0</v>
      </c>
      <c r="AM16">
        <f t="shared" si="2"/>
        <v>0</v>
      </c>
      <c r="AN16">
        <f t="shared" si="2"/>
        <v>0</v>
      </c>
      <c r="AO16">
        <f t="shared" si="2"/>
        <v>0</v>
      </c>
      <c r="AP16">
        <f t="shared" si="2"/>
        <v>0</v>
      </c>
      <c r="AQ16">
        <f t="shared" si="2"/>
        <v>0</v>
      </c>
      <c r="AR16">
        <f t="shared" si="2"/>
        <v>0</v>
      </c>
      <c r="AS16">
        <f t="shared" si="2"/>
        <v>0</v>
      </c>
      <c r="AT16">
        <f t="shared" si="2"/>
        <v>0</v>
      </c>
      <c r="AU16">
        <f t="shared" si="2"/>
        <v>0</v>
      </c>
      <c r="AV16">
        <f t="shared" si="2"/>
        <v>0</v>
      </c>
      <c r="AW16">
        <f t="shared" si="2"/>
        <v>0</v>
      </c>
      <c r="AX16">
        <f t="shared" si="2"/>
        <v>0</v>
      </c>
      <c r="AY16">
        <f t="shared" si="2"/>
        <v>0</v>
      </c>
    </row>
    <row r="17" spans="1:51" x14ac:dyDescent="0.75">
      <c r="A17" s="1" t="s">
        <v>1043</v>
      </c>
      <c r="B17">
        <f>'Start Year Data'!C41</f>
        <v>0</v>
      </c>
      <c r="C17">
        <f>$B17*'Time Series Scaling Factors'!C43</f>
        <v>0</v>
      </c>
      <c r="D17">
        <f>$B17*'Time Series Scaling Factors'!D43</f>
        <v>0</v>
      </c>
      <c r="E17">
        <f>$B17*'Time Series Scaling Factors'!E43</f>
        <v>0</v>
      </c>
      <c r="F17">
        <f>$B17*'Time Series Scaling Factors'!F43</f>
        <v>0</v>
      </c>
      <c r="G17">
        <f>$B17*'Time Series Scaling Factors'!G43</f>
        <v>0</v>
      </c>
      <c r="H17">
        <f>$B17*'Time Series Scaling Factors'!H43</f>
        <v>0</v>
      </c>
      <c r="I17">
        <f>$B17*'Time Series Scaling Factors'!I43</f>
        <v>0</v>
      </c>
      <c r="J17">
        <f>$B17*'Time Series Scaling Factors'!J43</f>
        <v>0</v>
      </c>
      <c r="K17">
        <f>$B17*'Time Series Scaling Factors'!K43</f>
        <v>0</v>
      </c>
      <c r="L17">
        <f>$B17*'Time Series Scaling Factors'!L43</f>
        <v>0</v>
      </c>
      <c r="M17">
        <f>$B17*'Time Series Scaling Factors'!M43</f>
        <v>0</v>
      </c>
      <c r="N17">
        <f>$B17*'Time Series Scaling Factors'!N43</f>
        <v>0</v>
      </c>
      <c r="O17">
        <f>$B17*'Time Series Scaling Factors'!O43</f>
        <v>0</v>
      </c>
      <c r="P17">
        <f>$B17*'Time Series Scaling Factors'!P43</f>
        <v>0</v>
      </c>
      <c r="Q17">
        <f>$B17*'Time Series Scaling Factors'!Q43</f>
        <v>0</v>
      </c>
      <c r="R17">
        <f>$B17*'Time Series Scaling Factors'!R43</f>
        <v>0</v>
      </c>
      <c r="S17">
        <f>$B17*'Time Series Scaling Factors'!S43</f>
        <v>0</v>
      </c>
      <c r="T17">
        <f>$B17*'Time Series Scaling Factors'!T43</f>
        <v>0</v>
      </c>
      <c r="U17">
        <f>$B17*'Time Series Scaling Factors'!U43</f>
        <v>0</v>
      </c>
      <c r="V17">
        <f>$B17*'Time Series Scaling Factors'!V43</f>
        <v>0</v>
      </c>
      <c r="W17">
        <f>$B17*'Time Series Scaling Factors'!W43</f>
        <v>0</v>
      </c>
      <c r="X17">
        <f>$B17*'Time Series Scaling Factors'!X43</f>
        <v>0</v>
      </c>
      <c r="Y17">
        <f>$B17*'Time Series Scaling Factors'!Y43</f>
        <v>0</v>
      </c>
      <c r="Z17">
        <f>$B17*'Time Series Scaling Factors'!Z43</f>
        <v>0</v>
      </c>
      <c r="AA17">
        <f>$B17*'Time Series Scaling Factors'!AA43</f>
        <v>0</v>
      </c>
      <c r="AB17">
        <f>$B17*'Time Series Scaling Factors'!AB43</f>
        <v>0</v>
      </c>
      <c r="AC17">
        <f>$B17*'Time Series Scaling Factors'!AC43</f>
        <v>0</v>
      </c>
      <c r="AD17">
        <f>$B17*'Time Series Scaling Factors'!AD43</f>
        <v>0</v>
      </c>
      <c r="AE17">
        <f>$B17*'Time Series Scaling Factors'!AE43</f>
        <v>0</v>
      </c>
      <c r="AF17">
        <f t="shared" si="1"/>
        <v>0</v>
      </c>
      <c r="AG17">
        <f t="shared" si="2"/>
        <v>0</v>
      </c>
      <c r="AH17">
        <f t="shared" si="2"/>
        <v>0</v>
      </c>
      <c r="AI17">
        <f t="shared" si="2"/>
        <v>0</v>
      </c>
      <c r="AJ17">
        <f t="shared" si="2"/>
        <v>0</v>
      </c>
      <c r="AK17">
        <f t="shared" si="2"/>
        <v>0</v>
      </c>
      <c r="AL17">
        <f t="shared" si="2"/>
        <v>0</v>
      </c>
      <c r="AM17">
        <f t="shared" si="2"/>
        <v>0</v>
      </c>
      <c r="AN17">
        <f t="shared" si="2"/>
        <v>0</v>
      </c>
      <c r="AO17">
        <f t="shared" si="2"/>
        <v>0</v>
      </c>
      <c r="AP17">
        <f t="shared" si="2"/>
        <v>0</v>
      </c>
      <c r="AQ17">
        <f t="shared" si="2"/>
        <v>0</v>
      </c>
      <c r="AR17">
        <f t="shared" si="2"/>
        <v>0</v>
      </c>
      <c r="AS17">
        <f t="shared" si="2"/>
        <v>0</v>
      </c>
      <c r="AT17">
        <f t="shared" si="2"/>
        <v>0</v>
      </c>
      <c r="AU17">
        <f t="shared" si="2"/>
        <v>0</v>
      </c>
      <c r="AV17">
        <f t="shared" si="2"/>
        <v>0</v>
      </c>
      <c r="AW17">
        <f t="shared" si="2"/>
        <v>0</v>
      </c>
      <c r="AX17">
        <f t="shared" si="2"/>
        <v>0</v>
      </c>
      <c r="AY17">
        <f t="shared" si="2"/>
        <v>0</v>
      </c>
    </row>
    <row r="18" spans="1:51" x14ac:dyDescent="0.75">
      <c r="A18" s="1" t="s">
        <v>1044</v>
      </c>
      <c r="B18">
        <f>'Start Year Data'!C42</f>
        <v>0</v>
      </c>
      <c r="C18">
        <f>$B18*'Time Series Scaling Factors'!C44</f>
        <v>0</v>
      </c>
      <c r="D18">
        <f>$B18*'Time Series Scaling Factors'!D44</f>
        <v>0</v>
      </c>
      <c r="E18">
        <f>$B18*'Time Series Scaling Factors'!E44</f>
        <v>0</v>
      </c>
      <c r="F18">
        <f>$B18*'Time Series Scaling Factors'!F44</f>
        <v>0</v>
      </c>
      <c r="G18">
        <f>$B18*'Time Series Scaling Factors'!G44</f>
        <v>0</v>
      </c>
      <c r="H18">
        <f>$B18*'Time Series Scaling Factors'!H44</f>
        <v>0</v>
      </c>
      <c r="I18">
        <f>$B18*'Time Series Scaling Factors'!I44</f>
        <v>0</v>
      </c>
      <c r="J18">
        <f>$B18*'Time Series Scaling Factors'!J44</f>
        <v>0</v>
      </c>
      <c r="K18">
        <f>$B18*'Time Series Scaling Factors'!K44</f>
        <v>0</v>
      </c>
      <c r="L18">
        <f>$B18*'Time Series Scaling Factors'!L44</f>
        <v>0</v>
      </c>
      <c r="M18">
        <f>$B18*'Time Series Scaling Factors'!M44</f>
        <v>0</v>
      </c>
      <c r="N18">
        <f>$B18*'Time Series Scaling Factors'!N44</f>
        <v>0</v>
      </c>
      <c r="O18">
        <f>$B18*'Time Series Scaling Factors'!O44</f>
        <v>0</v>
      </c>
      <c r="P18">
        <f>$B18*'Time Series Scaling Factors'!P44</f>
        <v>0</v>
      </c>
      <c r="Q18">
        <f>$B18*'Time Series Scaling Factors'!Q44</f>
        <v>0</v>
      </c>
      <c r="R18">
        <f>$B18*'Time Series Scaling Factors'!R44</f>
        <v>0</v>
      </c>
      <c r="S18">
        <f>$B18*'Time Series Scaling Factors'!S44</f>
        <v>0</v>
      </c>
      <c r="T18">
        <f>$B18*'Time Series Scaling Factors'!T44</f>
        <v>0</v>
      </c>
      <c r="U18">
        <f>$B18*'Time Series Scaling Factors'!U44</f>
        <v>0</v>
      </c>
      <c r="V18">
        <f>$B18*'Time Series Scaling Factors'!V44</f>
        <v>0</v>
      </c>
      <c r="W18">
        <f>$B18*'Time Series Scaling Factors'!W44</f>
        <v>0</v>
      </c>
      <c r="X18">
        <f>$B18*'Time Series Scaling Factors'!X44</f>
        <v>0</v>
      </c>
      <c r="Y18">
        <f>$B18*'Time Series Scaling Factors'!Y44</f>
        <v>0</v>
      </c>
      <c r="Z18">
        <f>$B18*'Time Series Scaling Factors'!Z44</f>
        <v>0</v>
      </c>
      <c r="AA18">
        <f>$B18*'Time Series Scaling Factors'!AA44</f>
        <v>0</v>
      </c>
      <c r="AB18">
        <f>$B18*'Time Series Scaling Factors'!AB44</f>
        <v>0</v>
      </c>
      <c r="AC18">
        <f>$B18*'Time Series Scaling Factors'!AC44</f>
        <v>0</v>
      </c>
      <c r="AD18">
        <f>$B18*'Time Series Scaling Factors'!AD44</f>
        <v>0</v>
      </c>
      <c r="AE18">
        <f>$B18*'Time Series Scaling Factors'!AE44</f>
        <v>0</v>
      </c>
      <c r="AF18">
        <f t="shared" si="1"/>
        <v>0</v>
      </c>
      <c r="AG18">
        <f t="shared" si="2"/>
        <v>0</v>
      </c>
      <c r="AH18">
        <f t="shared" si="2"/>
        <v>0</v>
      </c>
      <c r="AI18">
        <f t="shared" si="2"/>
        <v>0</v>
      </c>
      <c r="AJ18">
        <f t="shared" si="2"/>
        <v>0</v>
      </c>
      <c r="AK18">
        <f t="shared" si="2"/>
        <v>0</v>
      </c>
      <c r="AL18">
        <f t="shared" si="2"/>
        <v>0</v>
      </c>
      <c r="AM18">
        <f t="shared" si="2"/>
        <v>0</v>
      </c>
      <c r="AN18">
        <f t="shared" si="2"/>
        <v>0</v>
      </c>
      <c r="AO18">
        <f t="shared" si="2"/>
        <v>0</v>
      </c>
      <c r="AP18">
        <f t="shared" si="2"/>
        <v>0</v>
      </c>
      <c r="AQ18">
        <f t="shared" si="2"/>
        <v>0</v>
      </c>
      <c r="AR18">
        <f t="shared" si="2"/>
        <v>0</v>
      </c>
      <c r="AS18">
        <f t="shared" si="2"/>
        <v>0</v>
      </c>
      <c r="AT18">
        <f t="shared" si="2"/>
        <v>0</v>
      </c>
      <c r="AU18">
        <f t="shared" si="2"/>
        <v>0</v>
      </c>
      <c r="AV18">
        <f t="shared" si="2"/>
        <v>0</v>
      </c>
      <c r="AW18">
        <f t="shared" si="2"/>
        <v>0</v>
      </c>
      <c r="AX18">
        <f t="shared" si="2"/>
        <v>0</v>
      </c>
      <c r="AY18">
        <f t="shared" si="2"/>
        <v>0</v>
      </c>
    </row>
    <row r="19" spans="1:51" x14ac:dyDescent="0.75">
      <c r="A19" s="1" t="s">
        <v>1045</v>
      </c>
      <c r="B19">
        <f>'Start Year Data'!C43</f>
        <v>0</v>
      </c>
      <c r="C19">
        <f>$B19*'Time Series Scaling Factors'!C45</f>
        <v>0</v>
      </c>
      <c r="D19">
        <f>$B19*'Time Series Scaling Factors'!D45</f>
        <v>0</v>
      </c>
      <c r="E19">
        <f>$B19*'Time Series Scaling Factors'!E45</f>
        <v>0</v>
      </c>
      <c r="F19">
        <f>$B19*'Time Series Scaling Factors'!F45</f>
        <v>0</v>
      </c>
      <c r="G19">
        <f>$B19*'Time Series Scaling Factors'!G45</f>
        <v>0</v>
      </c>
      <c r="H19">
        <f>$B19*'Time Series Scaling Factors'!H45</f>
        <v>0</v>
      </c>
      <c r="I19">
        <f>$B19*'Time Series Scaling Factors'!I45</f>
        <v>0</v>
      </c>
      <c r="J19">
        <f>$B19*'Time Series Scaling Factors'!J45</f>
        <v>0</v>
      </c>
      <c r="K19">
        <f>$B19*'Time Series Scaling Factors'!K45</f>
        <v>0</v>
      </c>
      <c r="L19">
        <f>$B19*'Time Series Scaling Factors'!L45</f>
        <v>0</v>
      </c>
      <c r="M19">
        <f>$B19*'Time Series Scaling Factors'!M45</f>
        <v>0</v>
      </c>
      <c r="N19">
        <f>$B19*'Time Series Scaling Factors'!N45</f>
        <v>0</v>
      </c>
      <c r="O19">
        <f>$B19*'Time Series Scaling Factors'!O45</f>
        <v>0</v>
      </c>
      <c r="P19">
        <f>$B19*'Time Series Scaling Factors'!P45</f>
        <v>0</v>
      </c>
      <c r="Q19">
        <f>$B19*'Time Series Scaling Factors'!Q45</f>
        <v>0</v>
      </c>
      <c r="R19">
        <f>$B19*'Time Series Scaling Factors'!R45</f>
        <v>0</v>
      </c>
      <c r="S19">
        <f>$B19*'Time Series Scaling Factors'!S45</f>
        <v>0</v>
      </c>
      <c r="T19">
        <f>$B19*'Time Series Scaling Factors'!T45</f>
        <v>0</v>
      </c>
      <c r="U19">
        <f>$B19*'Time Series Scaling Factors'!U45</f>
        <v>0</v>
      </c>
      <c r="V19">
        <f>$B19*'Time Series Scaling Factors'!V45</f>
        <v>0</v>
      </c>
      <c r="W19">
        <f>$B19*'Time Series Scaling Factors'!W45</f>
        <v>0</v>
      </c>
      <c r="X19">
        <f>$B19*'Time Series Scaling Factors'!X45</f>
        <v>0</v>
      </c>
      <c r="Y19">
        <f>$B19*'Time Series Scaling Factors'!Y45</f>
        <v>0</v>
      </c>
      <c r="Z19">
        <f>$B19*'Time Series Scaling Factors'!Z45</f>
        <v>0</v>
      </c>
      <c r="AA19">
        <f>$B19*'Time Series Scaling Factors'!AA45</f>
        <v>0</v>
      </c>
      <c r="AB19">
        <f>$B19*'Time Series Scaling Factors'!AB45</f>
        <v>0</v>
      </c>
      <c r="AC19">
        <f>$B19*'Time Series Scaling Factors'!AC45</f>
        <v>0</v>
      </c>
      <c r="AD19">
        <f>$B19*'Time Series Scaling Factors'!AD45</f>
        <v>0</v>
      </c>
      <c r="AE19">
        <f>$B19*'Time Series Scaling Factors'!AE45</f>
        <v>0</v>
      </c>
      <c r="AF19">
        <f t="shared" ref="AF19:AU22" si="3">AE19</f>
        <v>0</v>
      </c>
      <c r="AG19">
        <f t="shared" si="2"/>
        <v>0</v>
      </c>
      <c r="AH19">
        <f t="shared" si="2"/>
        <v>0</v>
      </c>
      <c r="AI19">
        <f t="shared" si="2"/>
        <v>0</v>
      </c>
      <c r="AJ19">
        <f t="shared" si="2"/>
        <v>0</v>
      </c>
      <c r="AK19">
        <f t="shared" si="2"/>
        <v>0</v>
      </c>
      <c r="AL19">
        <f t="shared" si="2"/>
        <v>0</v>
      </c>
      <c r="AM19">
        <f t="shared" si="2"/>
        <v>0</v>
      </c>
      <c r="AN19">
        <f t="shared" si="2"/>
        <v>0</v>
      </c>
      <c r="AO19">
        <f t="shared" si="2"/>
        <v>0</v>
      </c>
      <c r="AP19">
        <f t="shared" si="2"/>
        <v>0</v>
      </c>
      <c r="AQ19">
        <f t="shared" si="2"/>
        <v>0</v>
      </c>
      <c r="AR19">
        <f t="shared" si="2"/>
        <v>0</v>
      </c>
      <c r="AS19">
        <f t="shared" si="2"/>
        <v>0</v>
      </c>
      <c r="AT19">
        <f t="shared" si="2"/>
        <v>0</v>
      </c>
      <c r="AU19">
        <f t="shared" si="2"/>
        <v>0</v>
      </c>
      <c r="AV19">
        <f t="shared" si="2"/>
        <v>0</v>
      </c>
      <c r="AW19">
        <f t="shared" si="2"/>
        <v>0</v>
      </c>
      <c r="AX19">
        <f t="shared" si="2"/>
        <v>0</v>
      </c>
      <c r="AY19">
        <f t="shared" si="2"/>
        <v>0</v>
      </c>
    </row>
    <row r="20" spans="1:51" x14ac:dyDescent="0.75">
      <c r="A20" s="1" t="s">
        <v>1046</v>
      </c>
      <c r="B20">
        <f>'Start Year Data'!C44</f>
        <v>273747592781280.03</v>
      </c>
      <c r="C20">
        <f>$B20*'Time Series Scaling Factors'!C46</f>
        <v>276237461076449.44</v>
      </c>
      <c r="D20">
        <f>$B20*'Time Series Scaling Factors'!D46</f>
        <v>280909316344515.25</v>
      </c>
      <c r="E20">
        <f>$B20*'Time Series Scaling Factors'!E46</f>
        <v>233934602224341.88</v>
      </c>
      <c r="F20">
        <f>$B20*'Time Series Scaling Factors'!F46</f>
        <v>234167138532227.53</v>
      </c>
      <c r="G20">
        <f>$B20*'Time Series Scaling Factors'!G46</f>
        <v>234270404156722.94</v>
      </c>
      <c r="H20">
        <f>$B20*'Time Series Scaling Factors'!H46</f>
        <v>231773338032752.34</v>
      </c>
      <c r="I20">
        <f>$B20*'Time Series Scaling Factors'!I46</f>
        <v>227188030851320.97</v>
      </c>
      <c r="J20">
        <f>$B20*'Time Series Scaling Factors'!J46</f>
        <v>222770827800602.81</v>
      </c>
      <c r="K20">
        <f>$B20*'Time Series Scaling Factors'!K46</f>
        <v>220835366464149.38</v>
      </c>
      <c r="L20">
        <f>$B20*'Time Series Scaling Factors'!L46</f>
        <v>220944088507252.22</v>
      </c>
      <c r="M20">
        <f>$B20*'Time Series Scaling Factors'!M46</f>
        <v>217149903976887.78</v>
      </c>
      <c r="N20">
        <f>$B20*'Time Series Scaling Factors'!N46</f>
        <v>215825503477456.97</v>
      </c>
      <c r="O20">
        <f>$B20*'Time Series Scaling Factors'!O46</f>
        <v>213889867999984.16</v>
      </c>
      <c r="P20">
        <f>$B20*'Time Series Scaling Factors'!P46</f>
        <v>213721589728251.63</v>
      </c>
      <c r="Q20">
        <f>$B20*'Time Series Scaling Factors'!Q46</f>
        <v>213063684957014.38</v>
      </c>
      <c r="R20">
        <f>$B20*'Time Series Scaling Factors'!R46</f>
        <v>213688677075587.81</v>
      </c>
      <c r="S20">
        <f>$B20*'Time Series Scaling Factors'!S46</f>
        <v>213907398195935.63</v>
      </c>
      <c r="T20">
        <f>$B20*'Time Series Scaling Factors'!T46</f>
        <v>214360164846337.09</v>
      </c>
      <c r="U20">
        <f>$B20*'Time Series Scaling Factors'!U46</f>
        <v>214913759146962.56</v>
      </c>
      <c r="V20">
        <f>$B20*'Time Series Scaling Factors'!V46</f>
        <v>216130366355393.97</v>
      </c>
      <c r="W20">
        <f>$B20*'Time Series Scaling Factors'!W46</f>
        <v>215857951754069.06</v>
      </c>
      <c r="X20">
        <f>$B20*'Time Series Scaling Factors'!X46</f>
        <v>216246112086278.66</v>
      </c>
      <c r="Y20">
        <f>$B20*'Time Series Scaling Factors'!Y46</f>
        <v>215768036941059.84</v>
      </c>
      <c r="Z20">
        <f>$B20*'Time Series Scaling Factors'!Z46</f>
        <v>217533652736606.25</v>
      </c>
      <c r="AA20">
        <f>$B20*'Time Series Scaling Factors'!AA46</f>
        <v>216076382639384.56</v>
      </c>
      <c r="AB20">
        <f>$B20*'Time Series Scaling Factors'!AB46</f>
        <v>217335248068520.06</v>
      </c>
      <c r="AC20">
        <f>$B20*'Time Series Scaling Factors'!AC46</f>
        <v>221551956758919.44</v>
      </c>
      <c r="AD20">
        <f>$B20*'Time Series Scaling Factors'!AD46</f>
        <v>222707092187507.84</v>
      </c>
      <c r="AE20">
        <f>$B20*'Time Series Scaling Factors'!AE46</f>
        <v>218700455613493.47</v>
      </c>
      <c r="AF20">
        <f t="shared" si="3"/>
        <v>218700455613493.47</v>
      </c>
      <c r="AG20">
        <f t="shared" si="2"/>
        <v>218700455613493.47</v>
      </c>
      <c r="AH20">
        <f t="shared" si="2"/>
        <v>218700455613493.47</v>
      </c>
      <c r="AI20">
        <f t="shared" si="2"/>
        <v>218700455613493.47</v>
      </c>
      <c r="AJ20">
        <f t="shared" si="2"/>
        <v>218700455613493.47</v>
      </c>
      <c r="AK20">
        <f t="shared" si="2"/>
        <v>218700455613493.47</v>
      </c>
      <c r="AL20">
        <f t="shared" si="2"/>
        <v>218700455613493.47</v>
      </c>
      <c r="AM20">
        <f t="shared" si="2"/>
        <v>218700455613493.47</v>
      </c>
      <c r="AN20">
        <f t="shared" si="2"/>
        <v>218700455613493.47</v>
      </c>
      <c r="AO20">
        <f t="shared" si="2"/>
        <v>218700455613493.47</v>
      </c>
      <c r="AP20">
        <f t="shared" si="2"/>
        <v>218700455613493.47</v>
      </c>
      <c r="AQ20">
        <f t="shared" si="2"/>
        <v>218700455613493.47</v>
      </c>
      <c r="AR20">
        <f t="shared" si="2"/>
        <v>218700455613493.47</v>
      </c>
      <c r="AS20">
        <f t="shared" si="2"/>
        <v>218700455613493.47</v>
      </c>
      <c r="AT20">
        <f t="shared" si="2"/>
        <v>218700455613493.47</v>
      </c>
      <c r="AU20">
        <f t="shared" si="2"/>
        <v>218700455613493.47</v>
      </c>
      <c r="AV20">
        <f t="shared" si="2"/>
        <v>218700455613493.47</v>
      </c>
      <c r="AW20">
        <f t="shared" si="2"/>
        <v>218700455613493.47</v>
      </c>
      <c r="AX20">
        <f t="shared" si="2"/>
        <v>218700455613493.47</v>
      </c>
      <c r="AY20">
        <f t="shared" si="2"/>
        <v>218700455613493.47</v>
      </c>
    </row>
    <row r="21" spans="1:51" x14ac:dyDescent="0.75">
      <c r="A21" s="1" t="s">
        <v>1047</v>
      </c>
      <c r="B21">
        <f>'Start Year Data'!C45</f>
        <v>0</v>
      </c>
      <c r="C21">
        <f>$B21*'Time Series Scaling Factors'!C47</f>
        <v>0</v>
      </c>
      <c r="D21">
        <f>$B21*'Time Series Scaling Factors'!D47</f>
        <v>0</v>
      </c>
      <c r="E21">
        <f>$B21*'Time Series Scaling Factors'!E47</f>
        <v>0</v>
      </c>
      <c r="F21">
        <f>$B21*'Time Series Scaling Factors'!F47</f>
        <v>0</v>
      </c>
      <c r="G21">
        <f>$B21*'Time Series Scaling Factors'!G47</f>
        <v>0</v>
      </c>
      <c r="H21">
        <f>$B21*'Time Series Scaling Factors'!H47</f>
        <v>0</v>
      </c>
      <c r="I21">
        <f>$B21*'Time Series Scaling Factors'!I47</f>
        <v>0</v>
      </c>
      <c r="J21">
        <f>$B21*'Time Series Scaling Factors'!J47</f>
        <v>0</v>
      </c>
      <c r="K21">
        <f>$B21*'Time Series Scaling Factors'!K47</f>
        <v>0</v>
      </c>
      <c r="L21">
        <f>$B21*'Time Series Scaling Factors'!L47</f>
        <v>0</v>
      </c>
      <c r="M21">
        <f>$B21*'Time Series Scaling Factors'!M47</f>
        <v>0</v>
      </c>
      <c r="N21">
        <f>$B21*'Time Series Scaling Factors'!N47</f>
        <v>0</v>
      </c>
      <c r="O21">
        <f>$B21*'Time Series Scaling Factors'!O47</f>
        <v>0</v>
      </c>
      <c r="P21">
        <f>$B21*'Time Series Scaling Factors'!P47</f>
        <v>0</v>
      </c>
      <c r="Q21">
        <f>$B21*'Time Series Scaling Factors'!Q47</f>
        <v>0</v>
      </c>
      <c r="R21">
        <f>$B21*'Time Series Scaling Factors'!R47</f>
        <v>0</v>
      </c>
      <c r="S21">
        <f>$B21*'Time Series Scaling Factors'!S47</f>
        <v>0</v>
      </c>
      <c r="T21">
        <f>$B21*'Time Series Scaling Factors'!T47</f>
        <v>0</v>
      </c>
      <c r="U21">
        <f>$B21*'Time Series Scaling Factors'!U47</f>
        <v>0</v>
      </c>
      <c r="V21">
        <f>$B21*'Time Series Scaling Factors'!V47</f>
        <v>0</v>
      </c>
      <c r="W21">
        <f>$B21*'Time Series Scaling Factors'!W47</f>
        <v>0</v>
      </c>
      <c r="X21">
        <f>$B21*'Time Series Scaling Factors'!X47</f>
        <v>0</v>
      </c>
      <c r="Y21">
        <f>$B21*'Time Series Scaling Factors'!Y47</f>
        <v>0</v>
      </c>
      <c r="Z21">
        <f>$B21*'Time Series Scaling Factors'!Z47</f>
        <v>0</v>
      </c>
      <c r="AA21">
        <f>$B21*'Time Series Scaling Factors'!AA47</f>
        <v>0</v>
      </c>
      <c r="AB21">
        <f>$B21*'Time Series Scaling Factors'!AB47</f>
        <v>0</v>
      </c>
      <c r="AC21">
        <f>$B21*'Time Series Scaling Factors'!AC47</f>
        <v>0</v>
      </c>
      <c r="AD21">
        <f>$B21*'Time Series Scaling Factors'!AD47</f>
        <v>0</v>
      </c>
      <c r="AE21">
        <f>$B21*'Time Series Scaling Factors'!AE47</f>
        <v>0</v>
      </c>
      <c r="AF21">
        <f t="shared" si="3"/>
        <v>0</v>
      </c>
      <c r="AG21">
        <f t="shared" si="2"/>
        <v>0</v>
      </c>
      <c r="AH21">
        <f t="shared" si="2"/>
        <v>0</v>
      </c>
      <c r="AI21">
        <f t="shared" si="2"/>
        <v>0</v>
      </c>
      <c r="AJ21">
        <f t="shared" si="2"/>
        <v>0</v>
      </c>
      <c r="AK21">
        <f t="shared" si="2"/>
        <v>0</v>
      </c>
      <c r="AL21">
        <f t="shared" si="2"/>
        <v>0</v>
      </c>
      <c r="AM21">
        <f t="shared" si="2"/>
        <v>0</v>
      </c>
      <c r="AN21">
        <f t="shared" si="2"/>
        <v>0</v>
      </c>
      <c r="AO21">
        <f t="shared" si="2"/>
        <v>0</v>
      </c>
      <c r="AP21">
        <f t="shared" si="2"/>
        <v>0</v>
      </c>
      <c r="AQ21">
        <f t="shared" si="2"/>
        <v>0</v>
      </c>
      <c r="AR21">
        <f t="shared" si="2"/>
        <v>0</v>
      </c>
      <c r="AS21">
        <f t="shared" si="2"/>
        <v>0</v>
      </c>
      <c r="AT21">
        <f t="shared" si="2"/>
        <v>0</v>
      </c>
      <c r="AU21">
        <f t="shared" si="2"/>
        <v>0</v>
      </c>
      <c r="AV21">
        <f t="shared" si="2"/>
        <v>0</v>
      </c>
      <c r="AW21">
        <f t="shared" si="2"/>
        <v>0</v>
      </c>
      <c r="AX21">
        <f t="shared" si="2"/>
        <v>0</v>
      </c>
      <c r="AY21">
        <f t="shared" si="2"/>
        <v>0</v>
      </c>
    </row>
    <row r="22" spans="1:51" x14ac:dyDescent="0.75">
      <c r="A22" s="1" t="s">
        <v>1048</v>
      </c>
      <c r="B22">
        <f>'Start Year Data'!C46</f>
        <v>0</v>
      </c>
      <c r="C22">
        <f>$B22*'Time Series Scaling Factors'!C48</f>
        <v>0</v>
      </c>
      <c r="D22">
        <f>$B22*'Time Series Scaling Factors'!D48</f>
        <v>0</v>
      </c>
      <c r="E22">
        <f>$B22*'Time Series Scaling Factors'!E48</f>
        <v>0</v>
      </c>
      <c r="F22">
        <f>$B22*'Time Series Scaling Factors'!F48</f>
        <v>0</v>
      </c>
      <c r="G22">
        <f>$B22*'Time Series Scaling Factors'!G48</f>
        <v>0</v>
      </c>
      <c r="H22">
        <f>$B22*'Time Series Scaling Factors'!H48</f>
        <v>0</v>
      </c>
      <c r="I22">
        <f>$B22*'Time Series Scaling Factors'!I48</f>
        <v>0</v>
      </c>
      <c r="J22">
        <f>$B22*'Time Series Scaling Factors'!J48</f>
        <v>0</v>
      </c>
      <c r="K22">
        <f>$B22*'Time Series Scaling Factors'!K48</f>
        <v>0</v>
      </c>
      <c r="L22">
        <f>$B22*'Time Series Scaling Factors'!L48</f>
        <v>0</v>
      </c>
      <c r="M22">
        <f>$B22*'Time Series Scaling Factors'!M48</f>
        <v>0</v>
      </c>
      <c r="N22">
        <f>$B22*'Time Series Scaling Factors'!N48</f>
        <v>0</v>
      </c>
      <c r="O22">
        <f>$B22*'Time Series Scaling Factors'!O48</f>
        <v>0</v>
      </c>
      <c r="P22">
        <f>$B22*'Time Series Scaling Factors'!P48</f>
        <v>0</v>
      </c>
      <c r="Q22">
        <f>$B22*'Time Series Scaling Factors'!Q48</f>
        <v>0</v>
      </c>
      <c r="R22">
        <f>$B22*'Time Series Scaling Factors'!R48</f>
        <v>0</v>
      </c>
      <c r="S22">
        <f>$B22*'Time Series Scaling Factors'!S48</f>
        <v>0</v>
      </c>
      <c r="T22">
        <f>$B22*'Time Series Scaling Factors'!T48</f>
        <v>0</v>
      </c>
      <c r="U22">
        <f>$B22*'Time Series Scaling Factors'!U48</f>
        <v>0</v>
      </c>
      <c r="V22">
        <f>$B22*'Time Series Scaling Factors'!V48</f>
        <v>0</v>
      </c>
      <c r="W22">
        <f>$B22*'Time Series Scaling Factors'!W48</f>
        <v>0</v>
      </c>
      <c r="X22">
        <f>$B22*'Time Series Scaling Factors'!X48</f>
        <v>0</v>
      </c>
      <c r="Y22">
        <f>$B22*'Time Series Scaling Factors'!Y48</f>
        <v>0</v>
      </c>
      <c r="Z22">
        <f>$B22*'Time Series Scaling Factors'!Z48</f>
        <v>0</v>
      </c>
      <c r="AA22">
        <f>$B22*'Time Series Scaling Factors'!AA48</f>
        <v>0</v>
      </c>
      <c r="AB22">
        <f>$B22*'Time Series Scaling Factors'!AB48</f>
        <v>0</v>
      </c>
      <c r="AC22">
        <f>$B22*'Time Series Scaling Factors'!AC48</f>
        <v>0</v>
      </c>
      <c r="AD22">
        <f>$B22*'Time Series Scaling Factors'!AD48</f>
        <v>0</v>
      </c>
      <c r="AE22">
        <f>$B22*'Time Series Scaling Factors'!AE48</f>
        <v>0</v>
      </c>
      <c r="AF22">
        <f t="shared" si="3"/>
        <v>0</v>
      </c>
      <c r="AG22">
        <f t="shared" si="2"/>
        <v>0</v>
      </c>
      <c r="AH22">
        <f t="shared" si="2"/>
        <v>0</v>
      </c>
      <c r="AI22">
        <f t="shared" si="2"/>
        <v>0</v>
      </c>
      <c r="AJ22">
        <f t="shared" si="2"/>
        <v>0</v>
      </c>
      <c r="AK22">
        <f t="shared" si="2"/>
        <v>0</v>
      </c>
      <c r="AL22">
        <f t="shared" si="2"/>
        <v>0</v>
      </c>
      <c r="AM22">
        <f t="shared" si="2"/>
        <v>0</v>
      </c>
      <c r="AN22">
        <f t="shared" si="2"/>
        <v>0</v>
      </c>
      <c r="AO22">
        <f t="shared" si="2"/>
        <v>0</v>
      </c>
      <c r="AP22">
        <f t="shared" si="2"/>
        <v>0</v>
      </c>
      <c r="AQ22">
        <f t="shared" si="2"/>
        <v>0</v>
      </c>
      <c r="AR22">
        <f t="shared" si="2"/>
        <v>0</v>
      </c>
      <c r="AS22">
        <f t="shared" si="2"/>
        <v>0</v>
      </c>
      <c r="AT22">
        <f t="shared" si="2"/>
        <v>0</v>
      </c>
      <c r="AU22">
        <f t="shared" si="2"/>
        <v>0</v>
      </c>
      <c r="AV22">
        <f t="shared" si="2"/>
        <v>0</v>
      </c>
      <c r="AW22">
        <f t="shared" si="2"/>
        <v>0</v>
      </c>
      <c r="AX22">
        <f t="shared" si="2"/>
        <v>0</v>
      </c>
      <c r="AY22">
        <f t="shared" si="2"/>
        <v>0</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sheetPr>
  <dimension ref="A1:AY22"/>
  <sheetViews>
    <sheetView tabSelected="1" topLeftCell="U1" workbookViewId="0">
      <selection activeCell="AF1" sqref="AF1:AY22"/>
    </sheetView>
  </sheetViews>
  <sheetFormatPr defaultColWidth="8.86328125" defaultRowHeight="14.75" x14ac:dyDescent="0.75"/>
  <cols>
    <col min="1" max="1" width="36.26953125" customWidth="1"/>
    <col min="2" max="31" width="13" customWidth="1"/>
    <col min="32" max="32" width="16.26953125" customWidth="1"/>
    <col min="33" max="33" width="13" customWidth="1"/>
  </cols>
  <sheetData>
    <row r="1" spans="1:51" x14ac:dyDescent="0.75">
      <c r="A1" s="24" t="s">
        <v>1075</v>
      </c>
      <c r="B1" s="18">
        <v>2021</v>
      </c>
      <c r="C1">
        <v>2022</v>
      </c>
      <c r="D1" s="18">
        <v>2023</v>
      </c>
      <c r="E1">
        <v>2024</v>
      </c>
      <c r="F1" s="18">
        <v>2025</v>
      </c>
      <c r="G1">
        <v>2026</v>
      </c>
      <c r="H1" s="18">
        <v>2027</v>
      </c>
      <c r="I1">
        <v>2028</v>
      </c>
      <c r="J1" s="18">
        <v>2029</v>
      </c>
      <c r="K1">
        <v>2030</v>
      </c>
      <c r="L1" s="18">
        <v>2031</v>
      </c>
      <c r="M1">
        <v>2032</v>
      </c>
      <c r="N1" s="18">
        <v>2033</v>
      </c>
      <c r="O1">
        <v>2034</v>
      </c>
      <c r="P1" s="18">
        <v>2035</v>
      </c>
      <c r="Q1">
        <v>2036</v>
      </c>
      <c r="R1" s="18">
        <v>2037</v>
      </c>
      <c r="S1">
        <v>2038</v>
      </c>
      <c r="T1" s="18">
        <v>2039</v>
      </c>
      <c r="U1">
        <v>2040</v>
      </c>
      <c r="V1" s="18">
        <v>2041</v>
      </c>
      <c r="W1">
        <v>2042</v>
      </c>
      <c r="X1" s="18">
        <v>2043</v>
      </c>
      <c r="Y1">
        <v>2044</v>
      </c>
      <c r="Z1" s="18">
        <v>2045</v>
      </c>
      <c r="AA1">
        <v>2046</v>
      </c>
      <c r="AB1" s="18">
        <v>2047</v>
      </c>
      <c r="AC1">
        <v>2048</v>
      </c>
      <c r="AD1" s="18">
        <v>2049</v>
      </c>
      <c r="AE1">
        <v>2050</v>
      </c>
      <c r="AF1" s="18">
        <v>2051</v>
      </c>
      <c r="AG1">
        <v>2052</v>
      </c>
      <c r="AH1" s="18">
        <v>2053</v>
      </c>
      <c r="AI1">
        <v>2054</v>
      </c>
      <c r="AJ1" s="18">
        <v>2055</v>
      </c>
      <c r="AK1">
        <v>2056</v>
      </c>
      <c r="AL1" s="18">
        <v>2057</v>
      </c>
      <c r="AM1">
        <v>2058</v>
      </c>
      <c r="AN1" s="18">
        <v>2059</v>
      </c>
      <c r="AO1">
        <v>2060</v>
      </c>
      <c r="AP1" s="18">
        <v>2061</v>
      </c>
      <c r="AQ1">
        <v>2062</v>
      </c>
      <c r="AR1" s="18">
        <v>2063</v>
      </c>
      <c r="AS1">
        <v>2064</v>
      </c>
      <c r="AT1" s="18">
        <v>2065</v>
      </c>
      <c r="AU1">
        <v>2066</v>
      </c>
      <c r="AV1" s="18">
        <v>2067</v>
      </c>
      <c r="AW1">
        <v>2068</v>
      </c>
      <c r="AX1" s="18">
        <v>2069</v>
      </c>
      <c r="AY1">
        <v>2070</v>
      </c>
    </row>
    <row r="2" spans="1:51" x14ac:dyDescent="0.75">
      <c r="A2" s="24" t="s">
        <v>1027</v>
      </c>
      <c r="B2">
        <f>'Start Year Data'!$D26</f>
        <v>0</v>
      </c>
      <c r="C2">
        <f>$B2*'Time Series Scaling Factors'!C53</f>
        <v>0</v>
      </c>
      <c r="D2">
        <f>$B2*'Time Series Scaling Factors'!D53</f>
        <v>0</v>
      </c>
      <c r="E2">
        <f>$B2*'Time Series Scaling Factors'!E53</f>
        <v>0</v>
      </c>
      <c r="F2">
        <f>$B2*'Time Series Scaling Factors'!F53</f>
        <v>0</v>
      </c>
      <c r="G2">
        <f>$B2*'Time Series Scaling Factors'!G53</f>
        <v>0</v>
      </c>
      <c r="H2">
        <f>$B2*'Time Series Scaling Factors'!H53</f>
        <v>0</v>
      </c>
      <c r="I2">
        <f>$B2*'Time Series Scaling Factors'!I53</f>
        <v>0</v>
      </c>
      <c r="J2">
        <f>$B2*'Time Series Scaling Factors'!J53</f>
        <v>0</v>
      </c>
      <c r="K2">
        <f>$B2*'Time Series Scaling Factors'!K53</f>
        <v>0</v>
      </c>
      <c r="L2">
        <f>$B2*'Time Series Scaling Factors'!L53</f>
        <v>0</v>
      </c>
      <c r="M2">
        <f>$B2*'Time Series Scaling Factors'!M53</f>
        <v>0</v>
      </c>
      <c r="N2">
        <f>$B2*'Time Series Scaling Factors'!N53</f>
        <v>0</v>
      </c>
      <c r="O2">
        <f>$B2*'Time Series Scaling Factors'!O53</f>
        <v>0</v>
      </c>
      <c r="P2">
        <f>$B2*'Time Series Scaling Factors'!P53</f>
        <v>0</v>
      </c>
      <c r="Q2">
        <f>$B2*'Time Series Scaling Factors'!Q53</f>
        <v>0</v>
      </c>
      <c r="R2">
        <f>$B2*'Time Series Scaling Factors'!R53</f>
        <v>0</v>
      </c>
      <c r="S2">
        <f>$B2*'Time Series Scaling Factors'!S53</f>
        <v>0</v>
      </c>
      <c r="T2">
        <f>$B2*'Time Series Scaling Factors'!T53</f>
        <v>0</v>
      </c>
      <c r="U2">
        <f>$B2*'Time Series Scaling Factors'!U53</f>
        <v>0</v>
      </c>
      <c r="V2">
        <f>$B2*'Time Series Scaling Factors'!V53</f>
        <v>0</v>
      </c>
      <c r="W2">
        <f>$B2*'Time Series Scaling Factors'!W53</f>
        <v>0</v>
      </c>
      <c r="X2">
        <f>$B2*'Time Series Scaling Factors'!X53</f>
        <v>0</v>
      </c>
      <c r="Y2">
        <f>$B2*'Time Series Scaling Factors'!Y53</f>
        <v>0</v>
      </c>
      <c r="Z2">
        <f>$B2*'Time Series Scaling Factors'!Z53</f>
        <v>0</v>
      </c>
      <c r="AA2">
        <f>$B2*'Time Series Scaling Factors'!AA53</f>
        <v>0</v>
      </c>
      <c r="AB2">
        <f>$B2*'Time Series Scaling Factors'!AB53</f>
        <v>0</v>
      </c>
      <c r="AC2">
        <f>$B2*'Time Series Scaling Factors'!AC53</f>
        <v>0</v>
      </c>
      <c r="AD2">
        <f>$B2*'Time Series Scaling Factors'!AD53</f>
        <v>0</v>
      </c>
      <c r="AE2">
        <f>$B2*'Time Series Scaling Factors'!AE53</f>
        <v>0</v>
      </c>
      <c r="AF2">
        <f>AE2</f>
        <v>0</v>
      </c>
      <c r="AG2">
        <f t="shared" ref="AG2:AY16" si="0">AF2</f>
        <v>0</v>
      </c>
      <c r="AH2">
        <f t="shared" si="0"/>
        <v>0</v>
      </c>
      <c r="AI2">
        <f t="shared" si="0"/>
        <v>0</v>
      </c>
      <c r="AJ2">
        <f t="shared" si="0"/>
        <v>0</v>
      </c>
      <c r="AK2">
        <f t="shared" si="0"/>
        <v>0</v>
      </c>
      <c r="AL2">
        <f t="shared" si="0"/>
        <v>0</v>
      </c>
      <c r="AM2">
        <f t="shared" si="0"/>
        <v>0</v>
      </c>
      <c r="AN2">
        <f t="shared" si="0"/>
        <v>0</v>
      </c>
      <c r="AO2">
        <f t="shared" si="0"/>
        <v>0</v>
      </c>
      <c r="AP2">
        <f t="shared" si="0"/>
        <v>0</v>
      </c>
      <c r="AQ2">
        <f t="shared" si="0"/>
        <v>0</v>
      </c>
      <c r="AR2">
        <f t="shared" si="0"/>
        <v>0</v>
      </c>
      <c r="AS2">
        <f t="shared" si="0"/>
        <v>0</v>
      </c>
      <c r="AT2">
        <f t="shared" si="0"/>
        <v>0</v>
      </c>
      <c r="AU2">
        <f t="shared" si="0"/>
        <v>0</v>
      </c>
      <c r="AV2">
        <f t="shared" si="0"/>
        <v>0</v>
      </c>
      <c r="AW2">
        <f t="shared" si="0"/>
        <v>0</v>
      </c>
      <c r="AX2">
        <f t="shared" si="0"/>
        <v>0</v>
      </c>
      <c r="AY2">
        <f t="shared" si="0"/>
        <v>0</v>
      </c>
    </row>
    <row r="3" spans="1:51" x14ac:dyDescent="0.75">
      <c r="A3" s="1" t="s">
        <v>1028</v>
      </c>
      <c r="B3">
        <f>'Start Year Data'!$D$27</f>
        <v>550681746720</v>
      </c>
      <c r="C3">
        <f>$B3*'Time Series Scaling Factors'!C54</f>
        <v>526530819919.48633</v>
      </c>
      <c r="D3">
        <f>$B3*'Time Series Scaling Factors'!D54</f>
        <v>523838504531.21539</v>
      </c>
      <c r="E3">
        <f>$B3*'Time Series Scaling Factors'!E54</f>
        <v>679363278630.28772</v>
      </c>
      <c r="F3">
        <f>$B3*'Time Series Scaling Factors'!F54</f>
        <v>663725513204.54065</v>
      </c>
      <c r="G3">
        <f>$B3*'Time Series Scaling Factors'!G54</f>
        <v>696022300841.69165</v>
      </c>
      <c r="H3">
        <f>$B3*'Time Series Scaling Factors'!H54</f>
        <v>686875710993.9834</v>
      </c>
      <c r="I3">
        <f>$B3*'Time Series Scaling Factors'!I54</f>
        <v>689815337190.36255</v>
      </c>
      <c r="J3">
        <f>$B3*'Time Series Scaling Factors'!J54</f>
        <v>686406504717.73022</v>
      </c>
      <c r="K3">
        <f>$B3*'Time Series Scaling Factors'!K54</f>
        <v>686729084032.6543</v>
      </c>
      <c r="L3">
        <f>$B3*'Time Series Scaling Factors'!L54</f>
        <v>693650120985.65601</v>
      </c>
      <c r="M3">
        <f>$B3*'Time Series Scaling Factors'!M54</f>
        <v>706568445035.28625</v>
      </c>
      <c r="N3">
        <f>$B3*'Time Series Scaling Factors'!N54</f>
        <v>688904539382.24011</v>
      </c>
      <c r="O3">
        <f>$B3*'Time Series Scaling Factors'!O54</f>
        <v>682929735086.34875</v>
      </c>
      <c r="P3">
        <f>$B3*'Time Series Scaling Factors'!P54</f>
        <v>689486648418.71667</v>
      </c>
      <c r="Q3">
        <f>$B3*'Time Series Scaling Factors'!Q54</f>
        <v>680492550610.79053</v>
      </c>
      <c r="R3">
        <f>$B3*'Time Series Scaling Factors'!R54</f>
        <v>666419050484.15601</v>
      </c>
      <c r="S3">
        <f>$B3*'Time Series Scaling Factors'!S54</f>
        <v>677117686717.53259</v>
      </c>
      <c r="T3">
        <f>$B3*'Time Series Scaling Factors'!T54</f>
        <v>662904157842.82886</v>
      </c>
      <c r="U3">
        <f>$B3*'Time Series Scaling Factors'!U54</f>
        <v>665439338004.20886</v>
      </c>
      <c r="V3">
        <f>$B3*'Time Series Scaling Factors'!V54</f>
        <v>661829137838.01794</v>
      </c>
      <c r="W3">
        <f>$B3*'Time Series Scaling Factors'!W54</f>
        <v>665535378663.87927</v>
      </c>
      <c r="X3">
        <f>$B3*'Time Series Scaling Factors'!X54</f>
        <v>657530035331.84912</v>
      </c>
      <c r="Y3">
        <f>$B3*'Time Series Scaling Factors'!Y54</f>
        <v>658558134709.03479</v>
      </c>
      <c r="Z3">
        <f>$B3*'Time Series Scaling Factors'!Z54</f>
        <v>660764381720.49988</v>
      </c>
      <c r="AA3">
        <f>$B3*'Time Series Scaling Factors'!AA54</f>
        <v>657053742085.79846</v>
      </c>
      <c r="AB3">
        <f>$B3*'Time Series Scaling Factors'!AB54</f>
        <v>655521245961.64063</v>
      </c>
      <c r="AC3">
        <f>$B3*'Time Series Scaling Factors'!AC54</f>
        <v>661202063200.06702</v>
      </c>
      <c r="AD3">
        <f>$B3*'Time Series Scaling Factors'!AD54</f>
        <v>661743361065.64026</v>
      </c>
      <c r="AE3">
        <f>$B3*'Time Series Scaling Factors'!AE54</f>
        <v>665685182542.70386</v>
      </c>
      <c r="AF3">
        <f t="shared" ref="AF3:AU18" si="1">AE3</f>
        <v>665685182542.70386</v>
      </c>
      <c r="AG3">
        <f t="shared" si="1"/>
        <v>665685182542.70386</v>
      </c>
      <c r="AH3">
        <f t="shared" si="1"/>
        <v>665685182542.70386</v>
      </c>
      <c r="AI3">
        <f t="shared" si="1"/>
        <v>665685182542.70386</v>
      </c>
      <c r="AJ3">
        <f t="shared" si="1"/>
        <v>665685182542.70386</v>
      </c>
      <c r="AK3">
        <f t="shared" si="1"/>
        <v>665685182542.70386</v>
      </c>
      <c r="AL3">
        <f t="shared" si="1"/>
        <v>665685182542.70386</v>
      </c>
      <c r="AM3">
        <f t="shared" si="1"/>
        <v>665685182542.70386</v>
      </c>
      <c r="AN3">
        <f t="shared" si="1"/>
        <v>665685182542.70386</v>
      </c>
      <c r="AO3">
        <f t="shared" si="1"/>
        <v>665685182542.70386</v>
      </c>
      <c r="AP3">
        <f t="shared" si="1"/>
        <v>665685182542.70386</v>
      </c>
      <c r="AQ3">
        <f t="shared" si="1"/>
        <v>665685182542.70386</v>
      </c>
      <c r="AR3">
        <f t="shared" si="1"/>
        <v>665685182542.70386</v>
      </c>
      <c r="AS3">
        <f t="shared" si="1"/>
        <v>665685182542.70386</v>
      </c>
      <c r="AT3">
        <f t="shared" si="1"/>
        <v>665685182542.70386</v>
      </c>
      <c r="AU3">
        <f t="shared" si="1"/>
        <v>665685182542.70386</v>
      </c>
      <c r="AV3">
        <f t="shared" si="0"/>
        <v>665685182542.70386</v>
      </c>
      <c r="AW3">
        <f t="shared" si="0"/>
        <v>665685182542.70386</v>
      </c>
      <c r="AX3">
        <f t="shared" si="0"/>
        <v>665685182542.70386</v>
      </c>
      <c r="AY3">
        <f t="shared" si="0"/>
        <v>665685182542.70386</v>
      </c>
    </row>
    <row r="4" spans="1:51" x14ac:dyDescent="0.75">
      <c r="A4" s="1" t="s">
        <v>1030</v>
      </c>
      <c r="B4">
        <f>'Start Year Data'!$D$28</f>
        <v>1083354968160</v>
      </c>
      <c r="C4">
        <f>$B4*'Time Series Scaling Factors'!C55</f>
        <v>1138613823704.0896</v>
      </c>
      <c r="D4">
        <f>$B4*'Time Series Scaling Factors'!D55</f>
        <v>1264115167038.6106</v>
      </c>
      <c r="E4">
        <f>$B4*'Time Series Scaling Factors'!E55</f>
        <v>1263786485809.2915</v>
      </c>
      <c r="F4">
        <f>$B4*'Time Series Scaling Factors'!F55</f>
        <v>1326343305551.1287</v>
      </c>
      <c r="G4">
        <f>$B4*'Time Series Scaling Factors'!G55</f>
        <v>1406797502319.0637</v>
      </c>
      <c r="H4">
        <f>$B4*'Time Series Scaling Factors'!H55</f>
        <v>1473791041384.8337</v>
      </c>
      <c r="I4">
        <f>$B4*'Time Series Scaling Factors'!I55</f>
        <v>1537572381660.1013</v>
      </c>
      <c r="J4">
        <f>$B4*'Time Series Scaling Factors'!J55</f>
        <v>1594481961519.4922</v>
      </c>
      <c r="K4">
        <f>$B4*'Time Series Scaling Factors'!K55</f>
        <v>1697669094831.9905</v>
      </c>
      <c r="L4">
        <f>$B4*'Time Series Scaling Factors'!L55</f>
        <v>1809236326767.1279</v>
      </c>
      <c r="M4">
        <f>$B4*'Time Series Scaling Factors'!M55</f>
        <v>1920176741643.4482</v>
      </c>
      <c r="N4">
        <f>$B4*'Time Series Scaling Factors'!N55</f>
        <v>2028074071062.6477</v>
      </c>
      <c r="O4">
        <f>$B4*'Time Series Scaling Factors'!O55</f>
        <v>2119928224679.23</v>
      </c>
      <c r="P4">
        <f>$B4*'Time Series Scaling Factors'!P55</f>
        <v>2182765203010.0457</v>
      </c>
      <c r="Q4">
        <f>$B4*'Time Series Scaling Factors'!Q55</f>
        <v>2223101676198.0586</v>
      </c>
      <c r="R4">
        <f>$B4*'Time Series Scaling Factors'!R55</f>
        <v>2256942956477.3569</v>
      </c>
      <c r="S4">
        <f>$B4*'Time Series Scaling Factors'!S55</f>
        <v>2275240764604.2275</v>
      </c>
      <c r="T4">
        <f>$B4*'Time Series Scaling Factors'!T55</f>
        <v>2280664959431.7339</v>
      </c>
      <c r="U4">
        <f>$B4*'Time Series Scaling Factors'!U55</f>
        <v>2284595929661.7632</v>
      </c>
      <c r="V4">
        <f>$B4*'Time Series Scaling Factors'!V55</f>
        <v>2282907341777.9341</v>
      </c>
      <c r="W4">
        <f>$B4*'Time Series Scaling Factors'!W55</f>
        <v>2284325634691.4766</v>
      </c>
      <c r="X4">
        <f>$B4*'Time Series Scaling Factors'!X55</f>
        <v>2285463928106.6641</v>
      </c>
      <c r="Y4">
        <f>$B4*'Time Series Scaling Factors'!Y55</f>
        <v>2292226393263.8071</v>
      </c>
      <c r="Z4">
        <f>$B4*'Time Series Scaling Factors'!Z55</f>
        <v>2289746011344.0054</v>
      </c>
      <c r="AA4">
        <f>$B4*'Time Series Scaling Factors'!AA55</f>
        <v>2286975129944.6602</v>
      </c>
      <c r="AB4">
        <f>$B4*'Time Series Scaling Factors'!AB55</f>
        <v>2283748772088.6152</v>
      </c>
      <c r="AC4">
        <f>$B4*'Time Series Scaling Factors'!AC55</f>
        <v>2284337884669.5293</v>
      </c>
      <c r="AD4">
        <f>$B4*'Time Series Scaling Factors'!AD55</f>
        <v>2278719281099.4155</v>
      </c>
      <c r="AE4">
        <f>$B4*'Time Series Scaling Factors'!AE55</f>
        <v>2275724081920.1377</v>
      </c>
      <c r="AF4">
        <f t="shared" si="1"/>
        <v>2275724081920.1377</v>
      </c>
      <c r="AG4">
        <f t="shared" si="0"/>
        <v>2275724081920.1377</v>
      </c>
      <c r="AH4">
        <f t="shared" si="0"/>
        <v>2275724081920.1377</v>
      </c>
      <c r="AI4">
        <f t="shared" si="0"/>
        <v>2275724081920.1377</v>
      </c>
      <c r="AJ4">
        <f t="shared" si="0"/>
        <v>2275724081920.1377</v>
      </c>
      <c r="AK4">
        <f t="shared" si="0"/>
        <v>2275724081920.1377</v>
      </c>
      <c r="AL4">
        <f t="shared" si="0"/>
        <v>2275724081920.1377</v>
      </c>
      <c r="AM4">
        <f t="shared" si="0"/>
        <v>2275724081920.1377</v>
      </c>
      <c r="AN4">
        <f t="shared" si="0"/>
        <v>2275724081920.1377</v>
      </c>
      <c r="AO4">
        <f t="shared" si="0"/>
        <v>2275724081920.1377</v>
      </c>
      <c r="AP4">
        <f t="shared" si="0"/>
        <v>2275724081920.1377</v>
      </c>
      <c r="AQ4">
        <f t="shared" si="0"/>
        <v>2275724081920.1377</v>
      </c>
      <c r="AR4">
        <f t="shared" si="0"/>
        <v>2275724081920.1377</v>
      </c>
      <c r="AS4">
        <f t="shared" si="0"/>
        <v>2275724081920.1377</v>
      </c>
      <c r="AT4">
        <f t="shared" si="0"/>
        <v>2275724081920.1377</v>
      </c>
      <c r="AU4">
        <f t="shared" si="0"/>
        <v>2275724081920.1377</v>
      </c>
      <c r="AV4">
        <f t="shared" si="0"/>
        <v>2275724081920.1377</v>
      </c>
      <c r="AW4">
        <f t="shared" si="0"/>
        <v>2275724081920.1377</v>
      </c>
      <c r="AX4">
        <f t="shared" si="0"/>
        <v>2275724081920.1377</v>
      </c>
      <c r="AY4">
        <f t="shared" si="0"/>
        <v>2275724081920.1377</v>
      </c>
    </row>
    <row r="5" spans="1:51" x14ac:dyDescent="0.75">
      <c r="A5" s="1" t="s">
        <v>1076</v>
      </c>
      <c r="B5">
        <f>'Start Year Data'!$D$29</f>
        <v>0</v>
      </c>
      <c r="C5">
        <f>$B5*'Time Series Scaling Factors'!C56</f>
        <v>0</v>
      </c>
      <c r="D5">
        <f>$B5*'Time Series Scaling Factors'!D56</f>
        <v>0</v>
      </c>
      <c r="E5">
        <f>$B5*'Time Series Scaling Factors'!E56</f>
        <v>0</v>
      </c>
      <c r="F5">
        <f>$B5*'Time Series Scaling Factors'!F56</f>
        <v>0</v>
      </c>
      <c r="G5">
        <f>$B5*'Time Series Scaling Factors'!G56</f>
        <v>0</v>
      </c>
      <c r="H5">
        <f>$B5*'Time Series Scaling Factors'!H56</f>
        <v>0</v>
      </c>
      <c r="I5">
        <f>$B5*'Time Series Scaling Factors'!I56</f>
        <v>0</v>
      </c>
      <c r="J5">
        <f>$B5*'Time Series Scaling Factors'!J56</f>
        <v>0</v>
      </c>
      <c r="K5">
        <f>$B5*'Time Series Scaling Factors'!K56</f>
        <v>0</v>
      </c>
      <c r="L5">
        <f>$B5*'Time Series Scaling Factors'!L56</f>
        <v>0</v>
      </c>
      <c r="M5">
        <f>$B5*'Time Series Scaling Factors'!M56</f>
        <v>0</v>
      </c>
      <c r="N5">
        <f>$B5*'Time Series Scaling Factors'!N56</f>
        <v>0</v>
      </c>
      <c r="O5">
        <f>$B5*'Time Series Scaling Factors'!O56</f>
        <v>0</v>
      </c>
      <c r="P5">
        <f>$B5*'Time Series Scaling Factors'!P56</f>
        <v>0</v>
      </c>
      <c r="Q5">
        <f>$B5*'Time Series Scaling Factors'!Q56</f>
        <v>0</v>
      </c>
      <c r="R5">
        <f>$B5*'Time Series Scaling Factors'!R56</f>
        <v>0</v>
      </c>
      <c r="S5">
        <f>$B5*'Time Series Scaling Factors'!S56</f>
        <v>0</v>
      </c>
      <c r="T5">
        <f>$B5*'Time Series Scaling Factors'!T56</f>
        <v>0</v>
      </c>
      <c r="U5">
        <f>$B5*'Time Series Scaling Factors'!U56</f>
        <v>0</v>
      </c>
      <c r="V5">
        <f>$B5*'Time Series Scaling Factors'!V56</f>
        <v>0</v>
      </c>
      <c r="W5">
        <f>$B5*'Time Series Scaling Factors'!W56</f>
        <v>0</v>
      </c>
      <c r="X5">
        <f>$B5*'Time Series Scaling Factors'!X56</f>
        <v>0</v>
      </c>
      <c r="Y5">
        <f>$B5*'Time Series Scaling Factors'!Y56</f>
        <v>0</v>
      </c>
      <c r="Z5">
        <f>$B5*'Time Series Scaling Factors'!Z56</f>
        <v>0</v>
      </c>
      <c r="AA5">
        <f>$B5*'Time Series Scaling Factors'!AA56</f>
        <v>0</v>
      </c>
      <c r="AB5">
        <f>$B5*'Time Series Scaling Factors'!AB56</f>
        <v>0</v>
      </c>
      <c r="AC5">
        <f>$B5*'Time Series Scaling Factors'!AC56</f>
        <v>0</v>
      </c>
      <c r="AD5">
        <f>$B5*'Time Series Scaling Factors'!AD56</f>
        <v>0</v>
      </c>
      <c r="AE5">
        <f>$B5*'Time Series Scaling Factors'!AE56</f>
        <v>0</v>
      </c>
      <c r="AF5">
        <f t="shared" si="1"/>
        <v>0</v>
      </c>
      <c r="AG5">
        <f t="shared" si="0"/>
        <v>0</v>
      </c>
      <c r="AH5">
        <f t="shared" si="0"/>
        <v>0</v>
      </c>
      <c r="AI5">
        <f t="shared" si="0"/>
        <v>0</v>
      </c>
      <c r="AJ5">
        <f t="shared" si="0"/>
        <v>0</v>
      </c>
      <c r="AK5">
        <f t="shared" si="0"/>
        <v>0</v>
      </c>
      <c r="AL5">
        <f t="shared" si="0"/>
        <v>0</v>
      </c>
      <c r="AM5">
        <f t="shared" si="0"/>
        <v>0</v>
      </c>
      <c r="AN5">
        <f t="shared" si="0"/>
        <v>0</v>
      </c>
      <c r="AO5">
        <f t="shared" si="0"/>
        <v>0</v>
      </c>
      <c r="AP5">
        <f t="shared" si="0"/>
        <v>0</v>
      </c>
      <c r="AQ5">
        <f t="shared" si="0"/>
        <v>0</v>
      </c>
      <c r="AR5">
        <f t="shared" si="0"/>
        <v>0</v>
      </c>
      <c r="AS5">
        <f t="shared" si="0"/>
        <v>0</v>
      </c>
      <c r="AT5">
        <f t="shared" si="0"/>
        <v>0</v>
      </c>
      <c r="AU5">
        <f t="shared" si="0"/>
        <v>0</v>
      </c>
      <c r="AV5">
        <f t="shared" si="0"/>
        <v>0</v>
      </c>
      <c r="AW5">
        <f t="shared" si="0"/>
        <v>0</v>
      </c>
      <c r="AX5">
        <f t="shared" si="0"/>
        <v>0</v>
      </c>
      <c r="AY5">
        <f t="shared" si="0"/>
        <v>0</v>
      </c>
    </row>
    <row r="6" spans="1:51" x14ac:dyDescent="0.75">
      <c r="A6" s="1" t="s">
        <v>1032</v>
      </c>
      <c r="B6">
        <f>'Start Year Data'!$D$30</f>
        <v>0</v>
      </c>
      <c r="C6">
        <f>$B6*'Time Series Scaling Factors'!C57</f>
        <v>0</v>
      </c>
      <c r="D6">
        <f>$B6*'Time Series Scaling Factors'!D57</f>
        <v>0</v>
      </c>
      <c r="E6">
        <f>$B6*'Time Series Scaling Factors'!E57</f>
        <v>0</v>
      </c>
      <c r="F6">
        <f>$B6*'Time Series Scaling Factors'!F57</f>
        <v>0</v>
      </c>
      <c r="G6">
        <f>$B6*'Time Series Scaling Factors'!G57</f>
        <v>0</v>
      </c>
      <c r="H6">
        <f>$B6*'Time Series Scaling Factors'!H57</f>
        <v>0</v>
      </c>
      <c r="I6">
        <f>$B6*'Time Series Scaling Factors'!I57</f>
        <v>0</v>
      </c>
      <c r="J6">
        <f>$B6*'Time Series Scaling Factors'!J57</f>
        <v>0</v>
      </c>
      <c r="K6">
        <f>$B6*'Time Series Scaling Factors'!K57</f>
        <v>0</v>
      </c>
      <c r="L6">
        <f>$B6*'Time Series Scaling Factors'!L57</f>
        <v>0</v>
      </c>
      <c r="M6">
        <f>$B6*'Time Series Scaling Factors'!M57</f>
        <v>0</v>
      </c>
      <c r="N6">
        <f>$B6*'Time Series Scaling Factors'!N57</f>
        <v>0</v>
      </c>
      <c r="O6">
        <f>$B6*'Time Series Scaling Factors'!O57</f>
        <v>0</v>
      </c>
      <c r="P6">
        <f>$B6*'Time Series Scaling Factors'!P57</f>
        <v>0</v>
      </c>
      <c r="Q6">
        <f>$B6*'Time Series Scaling Factors'!Q57</f>
        <v>0</v>
      </c>
      <c r="R6">
        <f>$B6*'Time Series Scaling Factors'!R57</f>
        <v>0</v>
      </c>
      <c r="S6">
        <f>$B6*'Time Series Scaling Factors'!S57</f>
        <v>0</v>
      </c>
      <c r="T6">
        <f>$B6*'Time Series Scaling Factors'!T57</f>
        <v>0</v>
      </c>
      <c r="U6">
        <f>$B6*'Time Series Scaling Factors'!U57</f>
        <v>0</v>
      </c>
      <c r="V6">
        <f>$B6*'Time Series Scaling Factors'!V57</f>
        <v>0</v>
      </c>
      <c r="W6">
        <f>$B6*'Time Series Scaling Factors'!W57</f>
        <v>0</v>
      </c>
      <c r="X6">
        <f>$B6*'Time Series Scaling Factors'!X57</f>
        <v>0</v>
      </c>
      <c r="Y6">
        <f>$B6*'Time Series Scaling Factors'!Y57</f>
        <v>0</v>
      </c>
      <c r="Z6">
        <f>$B6*'Time Series Scaling Factors'!Z57</f>
        <v>0</v>
      </c>
      <c r="AA6">
        <f>$B6*'Time Series Scaling Factors'!AA57</f>
        <v>0</v>
      </c>
      <c r="AB6">
        <f>$B6*'Time Series Scaling Factors'!AB57</f>
        <v>0</v>
      </c>
      <c r="AC6">
        <f>$B6*'Time Series Scaling Factors'!AC57</f>
        <v>0</v>
      </c>
      <c r="AD6">
        <f>$B6*'Time Series Scaling Factors'!AD57</f>
        <v>0</v>
      </c>
      <c r="AE6">
        <f>$B6*'Time Series Scaling Factors'!AE57</f>
        <v>0</v>
      </c>
      <c r="AF6">
        <f t="shared" si="1"/>
        <v>0</v>
      </c>
      <c r="AG6">
        <f t="shared" si="0"/>
        <v>0</v>
      </c>
      <c r="AH6">
        <f t="shared" si="0"/>
        <v>0</v>
      </c>
      <c r="AI6">
        <f t="shared" si="0"/>
        <v>0</v>
      </c>
      <c r="AJ6">
        <f t="shared" si="0"/>
        <v>0</v>
      </c>
      <c r="AK6">
        <f t="shared" si="0"/>
        <v>0</v>
      </c>
      <c r="AL6">
        <f t="shared" si="0"/>
        <v>0</v>
      </c>
      <c r="AM6">
        <f t="shared" si="0"/>
        <v>0</v>
      </c>
      <c r="AN6">
        <f t="shared" si="0"/>
        <v>0</v>
      </c>
      <c r="AO6">
        <f t="shared" si="0"/>
        <v>0</v>
      </c>
      <c r="AP6">
        <f t="shared" si="0"/>
        <v>0</v>
      </c>
      <c r="AQ6">
        <f t="shared" si="0"/>
        <v>0</v>
      </c>
      <c r="AR6">
        <f t="shared" si="0"/>
        <v>0</v>
      </c>
      <c r="AS6">
        <f t="shared" si="0"/>
        <v>0</v>
      </c>
      <c r="AT6">
        <f t="shared" si="0"/>
        <v>0</v>
      </c>
      <c r="AU6">
        <f t="shared" si="0"/>
        <v>0</v>
      </c>
      <c r="AV6">
        <f t="shared" si="0"/>
        <v>0</v>
      </c>
      <c r="AW6">
        <f t="shared" si="0"/>
        <v>0</v>
      </c>
      <c r="AX6">
        <f t="shared" si="0"/>
        <v>0</v>
      </c>
      <c r="AY6">
        <f t="shared" si="0"/>
        <v>0</v>
      </c>
    </row>
    <row r="7" spans="1:51" x14ac:dyDescent="0.75">
      <c r="A7" s="1" t="s">
        <v>1033</v>
      </c>
      <c r="B7">
        <f>'Start Year Data'!$D$31</f>
        <v>0</v>
      </c>
      <c r="C7">
        <f>$B7*'Time Series Scaling Factors'!C58</f>
        <v>0</v>
      </c>
      <c r="D7">
        <f>$B7*'Time Series Scaling Factors'!D58</f>
        <v>0</v>
      </c>
      <c r="E7">
        <f>$B7*'Time Series Scaling Factors'!E58</f>
        <v>0</v>
      </c>
      <c r="F7">
        <f>$B7*'Time Series Scaling Factors'!F58</f>
        <v>0</v>
      </c>
      <c r="G7">
        <f>$B7*'Time Series Scaling Factors'!G58</f>
        <v>0</v>
      </c>
      <c r="H7">
        <f>$B7*'Time Series Scaling Factors'!H58</f>
        <v>0</v>
      </c>
      <c r="I7">
        <f>$B7*'Time Series Scaling Factors'!I58</f>
        <v>0</v>
      </c>
      <c r="J7">
        <f>$B7*'Time Series Scaling Factors'!J58</f>
        <v>0</v>
      </c>
      <c r="K7">
        <f>$B7*'Time Series Scaling Factors'!K58</f>
        <v>0</v>
      </c>
      <c r="L7">
        <f>$B7*'Time Series Scaling Factors'!L58</f>
        <v>0</v>
      </c>
      <c r="M7">
        <f>$B7*'Time Series Scaling Factors'!M58</f>
        <v>0</v>
      </c>
      <c r="N7">
        <f>$B7*'Time Series Scaling Factors'!N58</f>
        <v>0</v>
      </c>
      <c r="O7">
        <f>$B7*'Time Series Scaling Factors'!O58</f>
        <v>0</v>
      </c>
      <c r="P7">
        <f>$B7*'Time Series Scaling Factors'!P58</f>
        <v>0</v>
      </c>
      <c r="Q7">
        <f>$B7*'Time Series Scaling Factors'!Q58</f>
        <v>0</v>
      </c>
      <c r="R7">
        <f>$B7*'Time Series Scaling Factors'!R58</f>
        <v>0</v>
      </c>
      <c r="S7">
        <f>$B7*'Time Series Scaling Factors'!S58</f>
        <v>0</v>
      </c>
      <c r="T7">
        <f>$B7*'Time Series Scaling Factors'!T58</f>
        <v>0</v>
      </c>
      <c r="U7">
        <f>$B7*'Time Series Scaling Factors'!U58</f>
        <v>0</v>
      </c>
      <c r="V7">
        <f>$B7*'Time Series Scaling Factors'!V58</f>
        <v>0</v>
      </c>
      <c r="W7">
        <f>$B7*'Time Series Scaling Factors'!W58</f>
        <v>0</v>
      </c>
      <c r="X7">
        <f>$B7*'Time Series Scaling Factors'!X58</f>
        <v>0</v>
      </c>
      <c r="Y7">
        <f>$B7*'Time Series Scaling Factors'!Y58</f>
        <v>0</v>
      </c>
      <c r="Z7">
        <f>$B7*'Time Series Scaling Factors'!Z58</f>
        <v>0</v>
      </c>
      <c r="AA7">
        <f>$B7*'Time Series Scaling Factors'!AA58</f>
        <v>0</v>
      </c>
      <c r="AB7">
        <f>$B7*'Time Series Scaling Factors'!AB58</f>
        <v>0</v>
      </c>
      <c r="AC7">
        <f>$B7*'Time Series Scaling Factors'!AC58</f>
        <v>0</v>
      </c>
      <c r="AD7">
        <f>$B7*'Time Series Scaling Factors'!AD58</f>
        <v>0</v>
      </c>
      <c r="AE7">
        <f>$B7*'Time Series Scaling Factors'!AE58</f>
        <v>0</v>
      </c>
      <c r="AF7">
        <f t="shared" si="1"/>
        <v>0</v>
      </c>
      <c r="AG7">
        <f t="shared" si="0"/>
        <v>0</v>
      </c>
      <c r="AH7">
        <f t="shared" si="0"/>
        <v>0</v>
      </c>
      <c r="AI7">
        <f t="shared" si="0"/>
        <v>0</v>
      </c>
      <c r="AJ7">
        <f t="shared" si="0"/>
        <v>0</v>
      </c>
      <c r="AK7">
        <f t="shared" si="0"/>
        <v>0</v>
      </c>
      <c r="AL7">
        <f t="shared" si="0"/>
        <v>0</v>
      </c>
      <c r="AM7">
        <f t="shared" si="0"/>
        <v>0</v>
      </c>
      <c r="AN7">
        <f t="shared" si="0"/>
        <v>0</v>
      </c>
      <c r="AO7">
        <f t="shared" si="0"/>
        <v>0</v>
      </c>
      <c r="AP7">
        <f t="shared" si="0"/>
        <v>0</v>
      </c>
      <c r="AQ7">
        <f t="shared" si="0"/>
        <v>0</v>
      </c>
      <c r="AR7">
        <f t="shared" si="0"/>
        <v>0</v>
      </c>
      <c r="AS7">
        <f t="shared" si="0"/>
        <v>0</v>
      </c>
      <c r="AT7">
        <f t="shared" si="0"/>
        <v>0</v>
      </c>
      <c r="AU7">
        <f t="shared" si="0"/>
        <v>0</v>
      </c>
      <c r="AV7">
        <f t="shared" si="0"/>
        <v>0</v>
      </c>
      <c r="AW7">
        <f t="shared" si="0"/>
        <v>0</v>
      </c>
      <c r="AX7">
        <f t="shared" si="0"/>
        <v>0</v>
      </c>
      <c r="AY7">
        <f t="shared" si="0"/>
        <v>0</v>
      </c>
    </row>
    <row r="8" spans="1:51" x14ac:dyDescent="0.75">
      <c r="A8" s="1" t="s">
        <v>1034</v>
      </c>
      <c r="B8">
        <f>'Start Year Data'!$D$32</f>
        <v>0</v>
      </c>
      <c r="C8">
        <f>$B8*'Time Series Scaling Factors'!C59</f>
        <v>0</v>
      </c>
      <c r="D8">
        <f>$B8*'Time Series Scaling Factors'!D59</f>
        <v>0</v>
      </c>
      <c r="E8">
        <f>$B8*'Time Series Scaling Factors'!E59</f>
        <v>0</v>
      </c>
      <c r="F8">
        <f>$B8*'Time Series Scaling Factors'!F59</f>
        <v>0</v>
      </c>
      <c r="G8">
        <f>$B8*'Time Series Scaling Factors'!G59</f>
        <v>0</v>
      </c>
      <c r="H8">
        <f>$B8*'Time Series Scaling Factors'!H59</f>
        <v>0</v>
      </c>
      <c r="I8">
        <f>$B8*'Time Series Scaling Factors'!I59</f>
        <v>0</v>
      </c>
      <c r="J8">
        <f>$B8*'Time Series Scaling Factors'!J59</f>
        <v>0</v>
      </c>
      <c r="K8">
        <f>$B8*'Time Series Scaling Factors'!K59</f>
        <v>0</v>
      </c>
      <c r="L8">
        <f>$B8*'Time Series Scaling Factors'!L59</f>
        <v>0</v>
      </c>
      <c r="M8">
        <f>$B8*'Time Series Scaling Factors'!M59</f>
        <v>0</v>
      </c>
      <c r="N8">
        <f>$B8*'Time Series Scaling Factors'!N59</f>
        <v>0</v>
      </c>
      <c r="O8">
        <f>$B8*'Time Series Scaling Factors'!O59</f>
        <v>0</v>
      </c>
      <c r="P8">
        <f>$B8*'Time Series Scaling Factors'!P59</f>
        <v>0</v>
      </c>
      <c r="Q8">
        <f>$B8*'Time Series Scaling Factors'!Q59</f>
        <v>0</v>
      </c>
      <c r="R8">
        <f>$B8*'Time Series Scaling Factors'!R59</f>
        <v>0</v>
      </c>
      <c r="S8">
        <f>$B8*'Time Series Scaling Factors'!S59</f>
        <v>0</v>
      </c>
      <c r="T8">
        <f>$B8*'Time Series Scaling Factors'!T59</f>
        <v>0</v>
      </c>
      <c r="U8">
        <f>$B8*'Time Series Scaling Factors'!U59</f>
        <v>0</v>
      </c>
      <c r="V8">
        <f>$B8*'Time Series Scaling Factors'!V59</f>
        <v>0</v>
      </c>
      <c r="W8">
        <f>$B8*'Time Series Scaling Factors'!W59</f>
        <v>0</v>
      </c>
      <c r="X8">
        <f>$B8*'Time Series Scaling Factors'!X59</f>
        <v>0</v>
      </c>
      <c r="Y8">
        <f>$B8*'Time Series Scaling Factors'!Y59</f>
        <v>0</v>
      </c>
      <c r="Z8">
        <f>$B8*'Time Series Scaling Factors'!Z59</f>
        <v>0</v>
      </c>
      <c r="AA8">
        <f>$B8*'Time Series Scaling Factors'!AA59</f>
        <v>0</v>
      </c>
      <c r="AB8">
        <f>$B8*'Time Series Scaling Factors'!AB59</f>
        <v>0</v>
      </c>
      <c r="AC8">
        <f>$B8*'Time Series Scaling Factors'!AC59</f>
        <v>0</v>
      </c>
      <c r="AD8">
        <f>$B8*'Time Series Scaling Factors'!AD59</f>
        <v>0</v>
      </c>
      <c r="AE8">
        <f>$B8*'Time Series Scaling Factors'!AE59</f>
        <v>0</v>
      </c>
      <c r="AF8">
        <f t="shared" si="1"/>
        <v>0</v>
      </c>
      <c r="AG8">
        <f t="shared" si="0"/>
        <v>0</v>
      </c>
      <c r="AH8">
        <f t="shared" si="0"/>
        <v>0</v>
      </c>
      <c r="AI8">
        <f t="shared" si="0"/>
        <v>0</v>
      </c>
      <c r="AJ8">
        <f t="shared" si="0"/>
        <v>0</v>
      </c>
      <c r="AK8">
        <f t="shared" si="0"/>
        <v>0</v>
      </c>
      <c r="AL8">
        <f t="shared" si="0"/>
        <v>0</v>
      </c>
      <c r="AM8">
        <f t="shared" si="0"/>
        <v>0</v>
      </c>
      <c r="AN8">
        <f t="shared" si="0"/>
        <v>0</v>
      </c>
      <c r="AO8">
        <f t="shared" si="0"/>
        <v>0</v>
      </c>
      <c r="AP8">
        <f t="shared" si="0"/>
        <v>0</v>
      </c>
      <c r="AQ8">
        <f t="shared" si="0"/>
        <v>0</v>
      </c>
      <c r="AR8">
        <f t="shared" si="0"/>
        <v>0</v>
      </c>
      <c r="AS8">
        <f t="shared" si="0"/>
        <v>0</v>
      </c>
      <c r="AT8">
        <f t="shared" si="0"/>
        <v>0</v>
      </c>
      <c r="AU8">
        <f t="shared" si="0"/>
        <v>0</v>
      </c>
      <c r="AV8">
        <f t="shared" si="0"/>
        <v>0</v>
      </c>
      <c r="AW8">
        <f t="shared" si="0"/>
        <v>0</v>
      </c>
      <c r="AX8">
        <f t="shared" si="0"/>
        <v>0</v>
      </c>
      <c r="AY8">
        <f t="shared" si="0"/>
        <v>0</v>
      </c>
    </row>
    <row r="9" spans="1:51" x14ac:dyDescent="0.75">
      <c r="A9" s="1" t="s">
        <v>1035</v>
      </c>
      <c r="B9">
        <f>'Start Year Data'!$D$33</f>
        <v>0</v>
      </c>
      <c r="C9">
        <f>$B9*'Time Series Scaling Factors'!C60</f>
        <v>0</v>
      </c>
      <c r="D9">
        <f>$B9*'Time Series Scaling Factors'!D60</f>
        <v>0</v>
      </c>
      <c r="E9">
        <f>$B9*'Time Series Scaling Factors'!E60</f>
        <v>0</v>
      </c>
      <c r="F9">
        <f>$B9*'Time Series Scaling Factors'!F60</f>
        <v>0</v>
      </c>
      <c r="G9">
        <f>$B9*'Time Series Scaling Factors'!G60</f>
        <v>0</v>
      </c>
      <c r="H9">
        <f>$B9*'Time Series Scaling Factors'!H60</f>
        <v>0</v>
      </c>
      <c r="I9">
        <f>$B9*'Time Series Scaling Factors'!I60</f>
        <v>0</v>
      </c>
      <c r="J9">
        <f>$B9*'Time Series Scaling Factors'!J60</f>
        <v>0</v>
      </c>
      <c r="K9">
        <f>$B9*'Time Series Scaling Factors'!K60</f>
        <v>0</v>
      </c>
      <c r="L9">
        <f>$B9*'Time Series Scaling Factors'!L60</f>
        <v>0</v>
      </c>
      <c r="M9">
        <f>$B9*'Time Series Scaling Factors'!M60</f>
        <v>0</v>
      </c>
      <c r="N9">
        <f>$B9*'Time Series Scaling Factors'!N60</f>
        <v>0</v>
      </c>
      <c r="O9">
        <f>$B9*'Time Series Scaling Factors'!O60</f>
        <v>0</v>
      </c>
      <c r="P9">
        <f>$B9*'Time Series Scaling Factors'!P60</f>
        <v>0</v>
      </c>
      <c r="Q9">
        <f>$B9*'Time Series Scaling Factors'!Q60</f>
        <v>0</v>
      </c>
      <c r="R9">
        <f>$B9*'Time Series Scaling Factors'!R60</f>
        <v>0</v>
      </c>
      <c r="S9">
        <f>$B9*'Time Series Scaling Factors'!S60</f>
        <v>0</v>
      </c>
      <c r="T9">
        <f>$B9*'Time Series Scaling Factors'!T60</f>
        <v>0</v>
      </c>
      <c r="U9">
        <f>$B9*'Time Series Scaling Factors'!U60</f>
        <v>0</v>
      </c>
      <c r="V9">
        <f>$B9*'Time Series Scaling Factors'!V60</f>
        <v>0</v>
      </c>
      <c r="W9">
        <f>$B9*'Time Series Scaling Factors'!W60</f>
        <v>0</v>
      </c>
      <c r="X9">
        <f>$B9*'Time Series Scaling Factors'!X60</f>
        <v>0</v>
      </c>
      <c r="Y9">
        <f>$B9*'Time Series Scaling Factors'!Y60</f>
        <v>0</v>
      </c>
      <c r="Z9">
        <f>$B9*'Time Series Scaling Factors'!Z60</f>
        <v>0</v>
      </c>
      <c r="AA9">
        <f>$B9*'Time Series Scaling Factors'!AA60</f>
        <v>0</v>
      </c>
      <c r="AB9">
        <f>$B9*'Time Series Scaling Factors'!AB60</f>
        <v>0</v>
      </c>
      <c r="AC9">
        <f>$B9*'Time Series Scaling Factors'!AC60</f>
        <v>0</v>
      </c>
      <c r="AD9">
        <f>$B9*'Time Series Scaling Factors'!AD60</f>
        <v>0</v>
      </c>
      <c r="AE9">
        <f>$B9*'Time Series Scaling Factors'!AE60</f>
        <v>0</v>
      </c>
      <c r="AF9">
        <f t="shared" si="1"/>
        <v>0</v>
      </c>
      <c r="AG9">
        <f t="shared" si="0"/>
        <v>0</v>
      </c>
      <c r="AH9">
        <f t="shared" si="0"/>
        <v>0</v>
      </c>
      <c r="AI9">
        <f t="shared" si="0"/>
        <v>0</v>
      </c>
      <c r="AJ9">
        <f t="shared" si="0"/>
        <v>0</v>
      </c>
      <c r="AK9">
        <f t="shared" si="0"/>
        <v>0</v>
      </c>
      <c r="AL9">
        <f t="shared" si="0"/>
        <v>0</v>
      </c>
      <c r="AM9">
        <f t="shared" si="0"/>
        <v>0</v>
      </c>
      <c r="AN9">
        <f t="shared" si="0"/>
        <v>0</v>
      </c>
      <c r="AO9">
        <f t="shared" si="0"/>
        <v>0</v>
      </c>
      <c r="AP9">
        <f t="shared" si="0"/>
        <v>0</v>
      </c>
      <c r="AQ9">
        <f t="shared" si="0"/>
        <v>0</v>
      </c>
      <c r="AR9">
        <f t="shared" si="0"/>
        <v>0</v>
      </c>
      <c r="AS9">
        <f t="shared" si="0"/>
        <v>0</v>
      </c>
      <c r="AT9">
        <f t="shared" si="0"/>
        <v>0</v>
      </c>
      <c r="AU9">
        <f t="shared" si="0"/>
        <v>0</v>
      </c>
      <c r="AV9">
        <f t="shared" si="0"/>
        <v>0</v>
      </c>
      <c r="AW9">
        <f t="shared" si="0"/>
        <v>0</v>
      </c>
      <c r="AX9">
        <f t="shared" si="0"/>
        <v>0</v>
      </c>
      <c r="AY9">
        <f t="shared" si="0"/>
        <v>0</v>
      </c>
    </row>
    <row r="10" spans="1:51" x14ac:dyDescent="0.75">
      <c r="A10" s="1" t="s">
        <v>1036</v>
      </c>
      <c r="B10">
        <f>'Start Year Data'!$D$34</f>
        <v>15438045250560</v>
      </c>
      <c r="C10">
        <f>$B10*'Time Series Scaling Factors'!C61</f>
        <v>17100791321281.129</v>
      </c>
      <c r="D10">
        <f>$B10*'Time Series Scaling Factors'!D61</f>
        <v>17566049501574.959</v>
      </c>
      <c r="E10">
        <f>$B10*'Time Series Scaling Factors'!E61</f>
        <v>18753921508888.301</v>
      </c>
      <c r="F10">
        <f>$B10*'Time Series Scaling Factors'!F61</f>
        <v>18986253533472.258</v>
      </c>
      <c r="G10">
        <f>$B10*'Time Series Scaling Factors'!G61</f>
        <v>19440065463953.656</v>
      </c>
      <c r="H10">
        <f>$B10*'Time Series Scaling Factors'!H61</f>
        <v>19825627965191.59</v>
      </c>
      <c r="I10">
        <f>$B10*'Time Series Scaling Factors'!I61</f>
        <v>19961110158304.691</v>
      </c>
      <c r="J10">
        <f>$B10*'Time Series Scaling Factors'!J61</f>
        <v>20186132709424.973</v>
      </c>
      <c r="K10">
        <f>$B10*'Time Series Scaling Factors'!K61</f>
        <v>20483575601000.301</v>
      </c>
      <c r="L10">
        <f>$B10*'Time Series Scaling Factors'!L61</f>
        <v>20598659907166.297</v>
      </c>
      <c r="M10">
        <f>$B10*'Time Series Scaling Factors'!M61</f>
        <v>20725098206758.707</v>
      </c>
      <c r="N10">
        <f>$B10*'Time Series Scaling Factors'!N61</f>
        <v>20771850052933.82</v>
      </c>
      <c r="O10">
        <f>$B10*'Time Series Scaling Factors'!O61</f>
        <v>20993884419711.191</v>
      </c>
      <c r="P10">
        <f>$B10*'Time Series Scaling Factors'!P61</f>
        <v>21199389209806.91</v>
      </c>
      <c r="Q10">
        <f>$B10*'Time Series Scaling Factors'!Q61</f>
        <v>21289641787114.09</v>
      </c>
      <c r="R10">
        <f>$B10*'Time Series Scaling Factors'!R61</f>
        <v>21322358669285.297</v>
      </c>
      <c r="S10">
        <f>$B10*'Time Series Scaling Factors'!S61</f>
        <v>21331218972597.828</v>
      </c>
      <c r="T10">
        <f>$B10*'Time Series Scaling Factors'!T61</f>
        <v>21466028616656.91</v>
      </c>
      <c r="U10">
        <f>$B10*'Time Series Scaling Factors'!U61</f>
        <v>21268643311094.047</v>
      </c>
      <c r="V10">
        <f>$B10*'Time Series Scaling Factors'!V61</f>
        <v>21347385981682.453</v>
      </c>
      <c r="W10">
        <f>$B10*'Time Series Scaling Factors'!W61</f>
        <v>21412852035759.965</v>
      </c>
      <c r="X10">
        <f>$B10*'Time Series Scaling Factors'!X61</f>
        <v>21437562908753.105</v>
      </c>
      <c r="Y10">
        <f>$B10*'Time Series Scaling Factors'!Y61</f>
        <v>21420443813764.84</v>
      </c>
      <c r="Z10">
        <f>$B10*'Time Series Scaling Factors'!Z61</f>
        <v>21344670876242.141</v>
      </c>
      <c r="AA10">
        <f>$B10*'Time Series Scaling Factors'!AA61</f>
        <v>21033723494882.473</v>
      </c>
      <c r="AB10">
        <f>$B10*'Time Series Scaling Factors'!AB61</f>
        <v>20786203301469.461</v>
      </c>
      <c r="AC10">
        <f>$B10*'Time Series Scaling Factors'!AC61</f>
        <v>20770554773274.219</v>
      </c>
      <c r="AD10">
        <f>$B10*'Time Series Scaling Factors'!AD61</f>
        <v>20667865112568.852</v>
      </c>
      <c r="AE10">
        <f>$B10*'Time Series Scaling Factors'!AE61</f>
        <v>20233011869412.777</v>
      </c>
      <c r="AF10">
        <f t="shared" si="1"/>
        <v>20233011869412.777</v>
      </c>
      <c r="AG10">
        <f t="shared" si="0"/>
        <v>20233011869412.777</v>
      </c>
      <c r="AH10">
        <f t="shared" si="0"/>
        <v>20233011869412.777</v>
      </c>
      <c r="AI10">
        <f t="shared" si="0"/>
        <v>20233011869412.777</v>
      </c>
      <c r="AJ10">
        <f t="shared" si="0"/>
        <v>20233011869412.777</v>
      </c>
      <c r="AK10">
        <f t="shared" si="0"/>
        <v>20233011869412.777</v>
      </c>
      <c r="AL10">
        <f t="shared" si="0"/>
        <v>20233011869412.777</v>
      </c>
      <c r="AM10">
        <f t="shared" si="0"/>
        <v>20233011869412.777</v>
      </c>
      <c r="AN10">
        <f t="shared" si="0"/>
        <v>20233011869412.777</v>
      </c>
      <c r="AO10">
        <f t="shared" si="0"/>
        <v>20233011869412.777</v>
      </c>
      <c r="AP10">
        <f t="shared" si="0"/>
        <v>20233011869412.777</v>
      </c>
      <c r="AQ10">
        <f t="shared" si="0"/>
        <v>20233011869412.777</v>
      </c>
      <c r="AR10">
        <f t="shared" si="0"/>
        <v>20233011869412.777</v>
      </c>
      <c r="AS10">
        <f t="shared" si="0"/>
        <v>20233011869412.777</v>
      </c>
      <c r="AT10">
        <f t="shared" si="0"/>
        <v>20233011869412.777</v>
      </c>
      <c r="AU10">
        <f t="shared" si="0"/>
        <v>20233011869412.777</v>
      </c>
      <c r="AV10">
        <f t="shared" si="0"/>
        <v>20233011869412.777</v>
      </c>
      <c r="AW10">
        <f t="shared" si="0"/>
        <v>20233011869412.777</v>
      </c>
      <c r="AX10">
        <f t="shared" si="0"/>
        <v>20233011869412.777</v>
      </c>
      <c r="AY10">
        <f t="shared" si="0"/>
        <v>20233011869412.777</v>
      </c>
    </row>
    <row r="11" spans="1:51" x14ac:dyDescent="0.75">
      <c r="A11" s="1" t="s">
        <v>1037</v>
      </c>
      <c r="B11">
        <f>'Start Year Data'!$D$35</f>
        <v>2976145756800</v>
      </c>
      <c r="C11">
        <f>$B11*'Time Series Scaling Factors'!C62</f>
        <v>3296689878979.7852</v>
      </c>
      <c r="D11">
        <f>$B11*'Time Series Scaling Factors'!D62</f>
        <v>3386382332695.5654</v>
      </c>
      <c r="E11">
        <f>$B11*'Time Series Scaling Factors'!E62</f>
        <v>3615380251590.6963</v>
      </c>
      <c r="F11">
        <f>$B11*'Time Series Scaling Factors'!F62</f>
        <v>3660169210161.0322</v>
      </c>
      <c r="G11">
        <f>$B11*'Time Series Scaling Factors'!G62</f>
        <v>3747655056287.7261</v>
      </c>
      <c r="H11">
        <f>$B11*'Time Series Scaling Factors'!H62</f>
        <v>3821983780126.5708</v>
      </c>
      <c r="I11">
        <f>$B11*'Time Series Scaling Factors'!I62</f>
        <v>3848102031991.4497</v>
      </c>
      <c r="J11">
        <f>$B11*'Time Series Scaling Factors'!J62</f>
        <v>3891481870554.667</v>
      </c>
      <c r="K11">
        <f>$B11*'Time Series Scaling Factors'!K62</f>
        <v>3948822899505.2153</v>
      </c>
      <c r="L11">
        <f>$B11*'Time Series Scaling Factors'!L62</f>
        <v>3971008847525.9194</v>
      </c>
      <c r="M11">
        <f>$B11*'Time Series Scaling Factors'!M62</f>
        <v>3995383617953.2383</v>
      </c>
      <c r="N11">
        <f>$B11*'Time Series Scaling Factors'!N62</f>
        <v>4004396437021.8682</v>
      </c>
      <c r="O11">
        <f>$B11*'Time Series Scaling Factors'!O62</f>
        <v>4047200213524.8735</v>
      </c>
      <c r="P11">
        <f>$B11*'Time Series Scaling Factors'!P62</f>
        <v>4086817418884.6821</v>
      </c>
      <c r="Q11">
        <f>$B11*'Time Series Scaling Factors'!Q62</f>
        <v>4104216307191.6899</v>
      </c>
      <c r="R11">
        <f>$B11*'Time Series Scaling Factors'!R62</f>
        <v>4110523466451.1191</v>
      </c>
      <c r="S11">
        <f>$B11*'Time Series Scaling Factors'!S62</f>
        <v>4112231555375.5635</v>
      </c>
      <c r="T11">
        <f>$B11*'Time Series Scaling Factors'!T62</f>
        <v>4138220153260.2344</v>
      </c>
      <c r="U11">
        <f>$B11*'Time Series Scaling Factors'!U62</f>
        <v>4100168221809.6338</v>
      </c>
      <c r="V11">
        <f>$B11*'Time Series Scaling Factors'!V62</f>
        <v>4115348230751.6514</v>
      </c>
      <c r="W11">
        <f>$B11*'Time Series Scaling Factors'!W62</f>
        <v>4127968774084.3745</v>
      </c>
      <c r="X11">
        <f>$B11*'Time Series Scaling Factors'!X62</f>
        <v>4132732535209.0347</v>
      </c>
      <c r="Y11">
        <f>$B11*'Time Series Scaling Factors'!Y62</f>
        <v>4129432316749.8525</v>
      </c>
      <c r="Z11">
        <f>$B11*'Time Series Scaling Factors'!Z62</f>
        <v>4114824812831.5522</v>
      </c>
      <c r="AA11">
        <f>$B11*'Time Series Scaling Factors'!AA62</f>
        <v>4054880388871.0073</v>
      </c>
      <c r="AB11">
        <f>$B11*'Time Series Scaling Factors'!AB62</f>
        <v>4007163455710.5913</v>
      </c>
      <c r="AC11">
        <f>$B11*'Time Series Scaling Factors'!AC62</f>
        <v>4004146733059.9858</v>
      </c>
      <c r="AD11">
        <f>$B11*'Time Series Scaling Factors'!AD62</f>
        <v>3984350224304.1621</v>
      </c>
      <c r="AE11">
        <f>$B11*'Time Series Scaling Factors'!AE62</f>
        <v>3900519233175.1055</v>
      </c>
      <c r="AF11">
        <f t="shared" si="1"/>
        <v>3900519233175.1055</v>
      </c>
      <c r="AG11">
        <f t="shared" si="0"/>
        <v>3900519233175.1055</v>
      </c>
      <c r="AH11">
        <f t="shared" si="0"/>
        <v>3900519233175.1055</v>
      </c>
      <c r="AI11">
        <f t="shared" si="0"/>
        <v>3900519233175.1055</v>
      </c>
      <c r="AJ11">
        <f t="shared" si="0"/>
        <v>3900519233175.1055</v>
      </c>
      <c r="AK11">
        <f t="shared" si="0"/>
        <v>3900519233175.1055</v>
      </c>
      <c r="AL11">
        <f t="shared" si="0"/>
        <v>3900519233175.1055</v>
      </c>
      <c r="AM11">
        <f t="shared" si="0"/>
        <v>3900519233175.1055</v>
      </c>
      <c r="AN11">
        <f t="shared" si="0"/>
        <v>3900519233175.1055</v>
      </c>
      <c r="AO11">
        <f t="shared" si="0"/>
        <v>3900519233175.1055</v>
      </c>
      <c r="AP11">
        <f t="shared" si="0"/>
        <v>3900519233175.1055</v>
      </c>
      <c r="AQ11">
        <f t="shared" si="0"/>
        <v>3900519233175.1055</v>
      </c>
      <c r="AR11">
        <f t="shared" si="0"/>
        <v>3900519233175.1055</v>
      </c>
      <c r="AS11">
        <f t="shared" si="0"/>
        <v>3900519233175.1055</v>
      </c>
      <c r="AT11">
        <f t="shared" si="0"/>
        <v>3900519233175.1055</v>
      </c>
      <c r="AU11">
        <f t="shared" si="0"/>
        <v>3900519233175.1055</v>
      </c>
      <c r="AV11">
        <f t="shared" si="0"/>
        <v>3900519233175.1055</v>
      </c>
      <c r="AW11">
        <f t="shared" si="0"/>
        <v>3900519233175.1055</v>
      </c>
      <c r="AX11">
        <f t="shared" si="0"/>
        <v>3900519233175.1055</v>
      </c>
      <c r="AY11">
        <f t="shared" si="0"/>
        <v>3900519233175.1055</v>
      </c>
    </row>
    <row r="12" spans="1:51" x14ac:dyDescent="0.75">
      <c r="A12" s="1" t="s">
        <v>1038</v>
      </c>
      <c r="B12">
        <f>'Start Year Data'!$D$36</f>
        <v>0</v>
      </c>
      <c r="C12">
        <f>$B12*'Time Series Scaling Factors'!C63</f>
        <v>0</v>
      </c>
      <c r="D12">
        <f>$B12*'Time Series Scaling Factors'!D63</f>
        <v>0</v>
      </c>
      <c r="E12">
        <f>$B12*'Time Series Scaling Factors'!E63</f>
        <v>0</v>
      </c>
      <c r="F12">
        <f>$B12*'Time Series Scaling Factors'!F63</f>
        <v>0</v>
      </c>
      <c r="G12">
        <f>$B12*'Time Series Scaling Factors'!G63</f>
        <v>0</v>
      </c>
      <c r="H12">
        <f>$B12*'Time Series Scaling Factors'!H63</f>
        <v>0</v>
      </c>
      <c r="I12">
        <f>$B12*'Time Series Scaling Factors'!I63</f>
        <v>0</v>
      </c>
      <c r="J12">
        <f>$B12*'Time Series Scaling Factors'!J63</f>
        <v>0</v>
      </c>
      <c r="K12">
        <f>$B12*'Time Series Scaling Factors'!K63</f>
        <v>0</v>
      </c>
      <c r="L12">
        <f>$B12*'Time Series Scaling Factors'!L63</f>
        <v>0</v>
      </c>
      <c r="M12">
        <f>$B12*'Time Series Scaling Factors'!M63</f>
        <v>0</v>
      </c>
      <c r="N12">
        <f>$B12*'Time Series Scaling Factors'!N63</f>
        <v>0</v>
      </c>
      <c r="O12">
        <f>$B12*'Time Series Scaling Factors'!O63</f>
        <v>0</v>
      </c>
      <c r="P12">
        <f>$B12*'Time Series Scaling Factors'!P63</f>
        <v>0</v>
      </c>
      <c r="Q12">
        <f>$B12*'Time Series Scaling Factors'!Q63</f>
        <v>0</v>
      </c>
      <c r="R12">
        <f>$B12*'Time Series Scaling Factors'!R63</f>
        <v>0</v>
      </c>
      <c r="S12">
        <f>$B12*'Time Series Scaling Factors'!S63</f>
        <v>0</v>
      </c>
      <c r="T12">
        <f>$B12*'Time Series Scaling Factors'!T63</f>
        <v>0</v>
      </c>
      <c r="U12">
        <f>$B12*'Time Series Scaling Factors'!U63</f>
        <v>0</v>
      </c>
      <c r="V12">
        <f>$B12*'Time Series Scaling Factors'!V63</f>
        <v>0</v>
      </c>
      <c r="W12">
        <f>$B12*'Time Series Scaling Factors'!W63</f>
        <v>0</v>
      </c>
      <c r="X12">
        <f>$B12*'Time Series Scaling Factors'!X63</f>
        <v>0</v>
      </c>
      <c r="Y12">
        <f>$B12*'Time Series Scaling Factors'!Y63</f>
        <v>0</v>
      </c>
      <c r="Z12">
        <f>$B12*'Time Series Scaling Factors'!Z63</f>
        <v>0</v>
      </c>
      <c r="AA12">
        <f>$B12*'Time Series Scaling Factors'!AA63</f>
        <v>0</v>
      </c>
      <c r="AB12">
        <f>$B12*'Time Series Scaling Factors'!AB63</f>
        <v>0</v>
      </c>
      <c r="AC12">
        <f>$B12*'Time Series Scaling Factors'!AC63</f>
        <v>0</v>
      </c>
      <c r="AD12">
        <f>$B12*'Time Series Scaling Factors'!AD63</f>
        <v>0</v>
      </c>
      <c r="AE12">
        <f>$B12*'Time Series Scaling Factors'!AE63</f>
        <v>0</v>
      </c>
      <c r="AF12">
        <f t="shared" si="1"/>
        <v>0</v>
      </c>
      <c r="AG12">
        <f t="shared" si="0"/>
        <v>0</v>
      </c>
      <c r="AH12">
        <f t="shared" si="0"/>
        <v>0</v>
      </c>
      <c r="AI12">
        <f t="shared" si="0"/>
        <v>0</v>
      </c>
      <c r="AJ12">
        <f t="shared" si="0"/>
        <v>0</v>
      </c>
      <c r="AK12">
        <f t="shared" si="0"/>
        <v>0</v>
      </c>
      <c r="AL12">
        <f t="shared" si="0"/>
        <v>0</v>
      </c>
      <c r="AM12">
        <f t="shared" si="0"/>
        <v>0</v>
      </c>
      <c r="AN12">
        <f t="shared" si="0"/>
        <v>0</v>
      </c>
      <c r="AO12">
        <f t="shared" si="0"/>
        <v>0</v>
      </c>
      <c r="AP12">
        <f t="shared" si="0"/>
        <v>0</v>
      </c>
      <c r="AQ12">
        <f t="shared" si="0"/>
        <v>0</v>
      </c>
      <c r="AR12">
        <f t="shared" si="0"/>
        <v>0</v>
      </c>
      <c r="AS12">
        <f t="shared" si="0"/>
        <v>0</v>
      </c>
      <c r="AT12">
        <f t="shared" si="0"/>
        <v>0</v>
      </c>
      <c r="AU12">
        <f t="shared" si="0"/>
        <v>0</v>
      </c>
      <c r="AV12">
        <f t="shared" si="0"/>
        <v>0</v>
      </c>
      <c r="AW12">
        <f t="shared" si="0"/>
        <v>0</v>
      </c>
      <c r="AX12">
        <f t="shared" si="0"/>
        <v>0</v>
      </c>
      <c r="AY12">
        <f t="shared" si="0"/>
        <v>0</v>
      </c>
    </row>
    <row r="13" spans="1:51" x14ac:dyDescent="0.75">
      <c r="A13" s="1" t="s">
        <v>1039</v>
      </c>
      <c r="B13">
        <f>'Start Year Data'!$D$37</f>
        <v>0</v>
      </c>
      <c r="C13">
        <f>$B13*'Time Series Scaling Factors'!C64</f>
        <v>0</v>
      </c>
      <c r="D13">
        <f>$B13*'Time Series Scaling Factors'!D64</f>
        <v>0</v>
      </c>
      <c r="E13">
        <f>$B13*'Time Series Scaling Factors'!E64</f>
        <v>0</v>
      </c>
      <c r="F13">
        <f>$B13*'Time Series Scaling Factors'!F64</f>
        <v>0</v>
      </c>
      <c r="G13">
        <f>$B13*'Time Series Scaling Factors'!G64</f>
        <v>0</v>
      </c>
      <c r="H13">
        <f>$B13*'Time Series Scaling Factors'!H64</f>
        <v>0</v>
      </c>
      <c r="I13">
        <f>$B13*'Time Series Scaling Factors'!I64</f>
        <v>0</v>
      </c>
      <c r="J13">
        <f>$B13*'Time Series Scaling Factors'!J64</f>
        <v>0</v>
      </c>
      <c r="K13">
        <f>$B13*'Time Series Scaling Factors'!K64</f>
        <v>0</v>
      </c>
      <c r="L13">
        <f>$B13*'Time Series Scaling Factors'!L64</f>
        <v>0</v>
      </c>
      <c r="M13">
        <f>$B13*'Time Series Scaling Factors'!M64</f>
        <v>0</v>
      </c>
      <c r="N13">
        <f>$B13*'Time Series Scaling Factors'!N64</f>
        <v>0</v>
      </c>
      <c r="O13">
        <f>$B13*'Time Series Scaling Factors'!O64</f>
        <v>0</v>
      </c>
      <c r="P13">
        <f>$B13*'Time Series Scaling Factors'!P64</f>
        <v>0</v>
      </c>
      <c r="Q13">
        <f>$B13*'Time Series Scaling Factors'!Q64</f>
        <v>0</v>
      </c>
      <c r="R13">
        <f>$B13*'Time Series Scaling Factors'!R64</f>
        <v>0</v>
      </c>
      <c r="S13">
        <f>$B13*'Time Series Scaling Factors'!S64</f>
        <v>0</v>
      </c>
      <c r="T13">
        <f>$B13*'Time Series Scaling Factors'!T64</f>
        <v>0</v>
      </c>
      <c r="U13">
        <f>$B13*'Time Series Scaling Factors'!U64</f>
        <v>0</v>
      </c>
      <c r="V13">
        <f>$B13*'Time Series Scaling Factors'!V64</f>
        <v>0</v>
      </c>
      <c r="W13">
        <f>$B13*'Time Series Scaling Factors'!W64</f>
        <v>0</v>
      </c>
      <c r="X13">
        <f>$B13*'Time Series Scaling Factors'!X64</f>
        <v>0</v>
      </c>
      <c r="Y13">
        <f>$B13*'Time Series Scaling Factors'!Y64</f>
        <v>0</v>
      </c>
      <c r="Z13">
        <f>$B13*'Time Series Scaling Factors'!Z64</f>
        <v>0</v>
      </c>
      <c r="AA13">
        <f>$B13*'Time Series Scaling Factors'!AA64</f>
        <v>0</v>
      </c>
      <c r="AB13">
        <f>$B13*'Time Series Scaling Factors'!AB64</f>
        <v>0</v>
      </c>
      <c r="AC13">
        <f>$B13*'Time Series Scaling Factors'!AC64</f>
        <v>0</v>
      </c>
      <c r="AD13">
        <f>$B13*'Time Series Scaling Factors'!AD64</f>
        <v>0</v>
      </c>
      <c r="AE13">
        <f>$B13*'Time Series Scaling Factors'!AE64</f>
        <v>0</v>
      </c>
      <c r="AF13">
        <f t="shared" si="1"/>
        <v>0</v>
      </c>
      <c r="AG13">
        <f t="shared" si="0"/>
        <v>0</v>
      </c>
      <c r="AH13">
        <f t="shared" si="0"/>
        <v>0</v>
      </c>
      <c r="AI13">
        <f t="shared" si="0"/>
        <v>0</v>
      </c>
      <c r="AJ13">
        <f t="shared" si="0"/>
        <v>0</v>
      </c>
      <c r="AK13">
        <f t="shared" si="0"/>
        <v>0</v>
      </c>
      <c r="AL13">
        <f t="shared" si="0"/>
        <v>0</v>
      </c>
      <c r="AM13">
        <f t="shared" si="0"/>
        <v>0</v>
      </c>
      <c r="AN13">
        <f t="shared" si="0"/>
        <v>0</v>
      </c>
      <c r="AO13">
        <f t="shared" si="0"/>
        <v>0</v>
      </c>
      <c r="AP13">
        <f t="shared" si="0"/>
        <v>0</v>
      </c>
      <c r="AQ13">
        <f t="shared" si="0"/>
        <v>0</v>
      </c>
      <c r="AR13">
        <f t="shared" si="0"/>
        <v>0</v>
      </c>
      <c r="AS13">
        <f t="shared" si="0"/>
        <v>0</v>
      </c>
      <c r="AT13">
        <f t="shared" si="0"/>
        <v>0</v>
      </c>
      <c r="AU13">
        <f t="shared" si="0"/>
        <v>0</v>
      </c>
      <c r="AV13">
        <f t="shared" si="0"/>
        <v>0</v>
      </c>
      <c r="AW13">
        <f t="shared" si="0"/>
        <v>0</v>
      </c>
      <c r="AX13">
        <f t="shared" si="0"/>
        <v>0</v>
      </c>
      <c r="AY13">
        <f t="shared" si="0"/>
        <v>0</v>
      </c>
    </row>
    <row r="14" spans="1:51" x14ac:dyDescent="0.75">
      <c r="A14" s="1" t="s">
        <v>1040</v>
      </c>
      <c r="B14">
        <f>'Start Year Data'!$D$38</f>
        <v>0</v>
      </c>
      <c r="C14">
        <f>$B14*'Time Series Scaling Factors'!C65</f>
        <v>0</v>
      </c>
      <c r="D14">
        <f>$B14*'Time Series Scaling Factors'!D65</f>
        <v>0</v>
      </c>
      <c r="E14">
        <f>$B14*'Time Series Scaling Factors'!E65</f>
        <v>0</v>
      </c>
      <c r="F14">
        <f>$B14*'Time Series Scaling Factors'!F65</f>
        <v>0</v>
      </c>
      <c r="G14">
        <f>$B14*'Time Series Scaling Factors'!G65</f>
        <v>0</v>
      </c>
      <c r="H14">
        <f>$B14*'Time Series Scaling Factors'!H65</f>
        <v>0</v>
      </c>
      <c r="I14">
        <f>$B14*'Time Series Scaling Factors'!I65</f>
        <v>0</v>
      </c>
      <c r="J14">
        <f>$B14*'Time Series Scaling Factors'!J65</f>
        <v>0</v>
      </c>
      <c r="K14">
        <f>$B14*'Time Series Scaling Factors'!K65</f>
        <v>0</v>
      </c>
      <c r="L14">
        <f>$B14*'Time Series Scaling Factors'!L65</f>
        <v>0</v>
      </c>
      <c r="M14">
        <f>$B14*'Time Series Scaling Factors'!M65</f>
        <v>0</v>
      </c>
      <c r="N14">
        <f>$B14*'Time Series Scaling Factors'!N65</f>
        <v>0</v>
      </c>
      <c r="O14">
        <f>$B14*'Time Series Scaling Factors'!O65</f>
        <v>0</v>
      </c>
      <c r="P14">
        <f>$B14*'Time Series Scaling Factors'!P65</f>
        <v>0</v>
      </c>
      <c r="Q14">
        <f>$B14*'Time Series Scaling Factors'!Q65</f>
        <v>0</v>
      </c>
      <c r="R14">
        <f>$B14*'Time Series Scaling Factors'!R65</f>
        <v>0</v>
      </c>
      <c r="S14">
        <f>$B14*'Time Series Scaling Factors'!S65</f>
        <v>0</v>
      </c>
      <c r="T14">
        <f>$B14*'Time Series Scaling Factors'!T65</f>
        <v>0</v>
      </c>
      <c r="U14">
        <f>$B14*'Time Series Scaling Factors'!U65</f>
        <v>0</v>
      </c>
      <c r="V14">
        <f>$B14*'Time Series Scaling Factors'!V65</f>
        <v>0</v>
      </c>
      <c r="W14">
        <f>$B14*'Time Series Scaling Factors'!W65</f>
        <v>0</v>
      </c>
      <c r="X14">
        <f>$B14*'Time Series Scaling Factors'!X65</f>
        <v>0</v>
      </c>
      <c r="Y14">
        <f>$B14*'Time Series Scaling Factors'!Y65</f>
        <v>0</v>
      </c>
      <c r="Z14">
        <f>$B14*'Time Series Scaling Factors'!Z65</f>
        <v>0</v>
      </c>
      <c r="AA14">
        <f>$B14*'Time Series Scaling Factors'!AA65</f>
        <v>0</v>
      </c>
      <c r="AB14">
        <f>$B14*'Time Series Scaling Factors'!AB65</f>
        <v>0</v>
      </c>
      <c r="AC14">
        <f>$B14*'Time Series Scaling Factors'!AC65</f>
        <v>0</v>
      </c>
      <c r="AD14">
        <f>$B14*'Time Series Scaling Factors'!AD65</f>
        <v>0</v>
      </c>
      <c r="AE14">
        <f>$B14*'Time Series Scaling Factors'!AE65</f>
        <v>0</v>
      </c>
      <c r="AF14">
        <f t="shared" si="1"/>
        <v>0</v>
      </c>
      <c r="AG14">
        <f t="shared" si="0"/>
        <v>0</v>
      </c>
      <c r="AH14">
        <f t="shared" si="0"/>
        <v>0</v>
      </c>
      <c r="AI14">
        <f t="shared" si="0"/>
        <v>0</v>
      </c>
      <c r="AJ14">
        <f t="shared" si="0"/>
        <v>0</v>
      </c>
      <c r="AK14">
        <f t="shared" si="0"/>
        <v>0</v>
      </c>
      <c r="AL14">
        <f t="shared" si="0"/>
        <v>0</v>
      </c>
      <c r="AM14">
        <f t="shared" si="0"/>
        <v>0</v>
      </c>
      <c r="AN14">
        <f t="shared" si="0"/>
        <v>0</v>
      </c>
      <c r="AO14">
        <f t="shared" si="0"/>
        <v>0</v>
      </c>
      <c r="AP14">
        <f t="shared" si="0"/>
        <v>0</v>
      </c>
      <c r="AQ14">
        <f t="shared" si="0"/>
        <v>0</v>
      </c>
      <c r="AR14">
        <f t="shared" si="0"/>
        <v>0</v>
      </c>
      <c r="AS14">
        <f t="shared" si="0"/>
        <v>0</v>
      </c>
      <c r="AT14">
        <f t="shared" si="0"/>
        <v>0</v>
      </c>
      <c r="AU14">
        <f t="shared" si="0"/>
        <v>0</v>
      </c>
      <c r="AV14">
        <f t="shared" si="0"/>
        <v>0</v>
      </c>
      <c r="AW14">
        <f t="shared" si="0"/>
        <v>0</v>
      </c>
      <c r="AX14">
        <f t="shared" si="0"/>
        <v>0</v>
      </c>
      <c r="AY14">
        <f t="shared" si="0"/>
        <v>0</v>
      </c>
    </row>
    <row r="15" spans="1:51" x14ac:dyDescent="0.75">
      <c r="A15" s="1" t="s">
        <v>1077</v>
      </c>
      <c r="B15">
        <f>'Start Year Data'!$D$39</f>
        <v>0</v>
      </c>
      <c r="C15">
        <f>$B15*'Time Series Scaling Factors'!C66</f>
        <v>0</v>
      </c>
      <c r="D15">
        <f>$B15*'Time Series Scaling Factors'!D66</f>
        <v>0</v>
      </c>
      <c r="E15">
        <f>$B15*'Time Series Scaling Factors'!E66</f>
        <v>0</v>
      </c>
      <c r="F15">
        <f>$B15*'Time Series Scaling Factors'!F66</f>
        <v>0</v>
      </c>
      <c r="G15">
        <f>$B15*'Time Series Scaling Factors'!G66</f>
        <v>0</v>
      </c>
      <c r="H15">
        <f>$B15*'Time Series Scaling Factors'!H66</f>
        <v>0</v>
      </c>
      <c r="I15">
        <f>$B15*'Time Series Scaling Factors'!I66</f>
        <v>0</v>
      </c>
      <c r="J15">
        <f>$B15*'Time Series Scaling Factors'!J66</f>
        <v>0</v>
      </c>
      <c r="K15">
        <f>$B15*'Time Series Scaling Factors'!K66</f>
        <v>0</v>
      </c>
      <c r="L15">
        <f>$B15*'Time Series Scaling Factors'!L66</f>
        <v>0</v>
      </c>
      <c r="M15">
        <f>$B15*'Time Series Scaling Factors'!M66</f>
        <v>0</v>
      </c>
      <c r="N15">
        <f>$B15*'Time Series Scaling Factors'!N66</f>
        <v>0</v>
      </c>
      <c r="O15">
        <f>$B15*'Time Series Scaling Factors'!O66</f>
        <v>0</v>
      </c>
      <c r="P15">
        <f>$B15*'Time Series Scaling Factors'!P66</f>
        <v>0</v>
      </c>
      <c r="Q15">
        <f>$B15*'Time Series Scaling Factors'!Q66</f>
        <v>0</v>
      </c>
      <c r="R15">
        <f>$B15*'Time Series Scaling Factors'!R66</f>
        <v>0</v>
      </c>
      <c r="S15">
        <f>$B15*'Time Series Scaling Factors'!S66</f>
        <v>0</v>
      </c>
      <c r="T15">
        <f>$B15*'Time Series Scaling Factors'!T66</f>
        <v>0</v>
      </c>
      <c r="U15">
        <f>$B15*'Time Series Scaling Factors'!U66</f>
        <v>0</v>
      </c>
      <c r="V15">
        <f>$B15*'Time Series Scaling Factors'!V66</f>
        <v>0</v>
      </c>
      <c r="W15">
        <f>$B15*'Time Series Scaling Factors'!W66</f>
        <v>0</v>
      </c>
      <c r="X15">
        <f>$B15*'Time Series Scaling Factors'!X66</f>
        <v>0</v>
      </c>
      <c r="Y15">
        <f>$B15*'Time Series Scaling Factors'!Y66</f>
        <v>0</v>
      </c>
      <c r="Z15">
        <f>$B15*'Time Series Scaling Factors'!Z66</f>
        <v>0</v>
      </c>
      <c r="AA15">
        <f>$B15*'Time Series Scaling Factors'!AA66</f>
        <v>0</v>
      </c>
      <c r="AB15">
        <f>$B15*'Time Series Scaling Factors'!AB66</f>
        <v>0</v>
      </c>
      <c r="AC15">
        <f>$B15*'Time Series Scaling Factors'!AC66</f>
        <v>0</v>
      </c>
      <c r="AD15">
        <f>$B15*'Time Series Scaling Factors'!AD66</f>
        <v>0</v>
      </c>
      <c r="AE15">
        <f>$B15*'Time Series Scaling Factors'!AE66</f>
        <v>0</v>
      </c>
      <c r="AF15">
        <f t="shared" si="1"/>
        <v>0</v>
      </c>
      <c r="AG15">
        <f t="shared" si="0"/>
        <v>0</v>
      </c>
      <c r="AH15">
        <f t="shared" si="0"/>
        <v>0</v>
      </c>
      <c r="AI15">
        <f t="shared" si="0"/>
        <v>0</v>
      </c>
      <c r="AJ15">
        <f t="shared" si="0"/>
        <v>0</v>
      </c>
      <c r="AK15">
        <f t="shared" si="0"/>
        <v>0</v>
      </c>
      <c r="AL15">
        <f t="shared" si="0"/>
        <v>0</v>
      </c>
      <c r="AM15">
        <f t="shared" si="0"/>
        <v>0</v>
      </c>
      <c r="AN15">
        <f t="shared" si="0"/>
        <v>0</v>
      </c>
      <c r="AO15">
        <f t="shared" si="0"/>
        <v>0</v>
      </c>
      <c r="AP15">
        <f t="shared" si="0"/>
        <v>0</v>
      </c>
      <c r="AQ15">
        <f t="shared" si="0"/>
        <v>0</v>
      </c>
      <c r="AR15">
        <f t="shared" si="0"/>
        <v>0</v>
      </c>
      <c r="AS15">
        <f t="shared" si="0"/>
        <v>0</v>
      </c>
      <c r="AT15">
        <f t="shared" si="0"/>
        <v>0</v>
      </c>
      <c r="AU15">
        <f t="shared" si="0"/>
        <v>0</v>
      </c>
      <c r="AV15">
        <f t="shared" si="0"/>
        <v>0</v>
      </c>
      <c r="AW15">
        <f t="shared" si="0"/>
        <v>0</v>
      </c>
      <c r="AX15">
        <f t="shared" si="0"/>
        <v>0</v>
      </c>
      <c r="AY15">
        <f t="shared" si="0"/>
        <v>0</v>
      </c>
    </row>
    <row r="16" spans="1:51" x14ac:dyDescent="0.75">
      <c r="A16" s="1" t="s">
        <v>1042</v>
      </c>
      <c r="B16">
        <f>'Start Year Data'!$D$40</f>
        <v>0</v>
      </c>
      <c r="C16">
        <f>$B16*'Time Series Scaling Factors'!C67</f>
        <v>0</v>
      </c>
      <c r="D16">
        <f>$B16*'Time Series Scaling Factors'!D67</f>
        <v>0</v>
      </c>
      <c r="E16">
        <f>$B16*'Time Series Scaling Factors'!E67</f>
        <v>0</v>
      </c>
      <c r="F16">
        <f>$B16*'Time Series Scaling Factors'!F67</f>
        <v>0</v>
      </c>
      <c r="G16">
        <f>$B16*'Time Series Scaling Factors'!G67</f>
        <v>0</v>
      </c>
      <c r="H16">
        <f>$B16*'Time Series Scaling Factors'!H67</f>
        <v>0</v>
      </c>
      <c r="I16">
        <f>$B16*'Time Series Scaling Factors'!I67</f>
        <v>0</v>
      </c>
      <c r="J16">
        <f>$B16*'Time Series Scaling Factors'!J67</f>
        <v>0</v>
      </c>
      <c r="K16">
        <f>$B16*'Time Series Scaling Factors'!K67</f>
        <v>0</v>
      </c>
      <c r="L16">
        <f>$B16*'Time Series Scaling Factors'!L67</f>
        <v>0</v>
      </c>
      <c r="M16">
        <f>$B16*'Time Series Scaling Factors'!M67</f>
        <v>0</v>
      </c>
      <c r="N16">
        <f>$B16*'Time Series Scaling Factors'!N67</f>
        <v>0</v>
      </c>
      <c r="O16">
        <f>$B16*'Time Series Scaling Factors'!O67</f>
        <v>0</v>
      </c>
      <c r="P16">
        <f>$B16*'Time Series Scaling Factors'!P67</f>
        <v>0</v>
      </c>
      <c r="Q16">
        <f>$B16*'Time Series Scaling Factors'!Q67</f>
        <v>0</v>
      </c>
      <c r="R16">
        <f>$B16*'Time Series Scaling Factors'!R67</f>
        <v>0</v>
      </c>
      <c r="S16">
        <f>$B16*'Time Series Scaling Factors'!S67</f>
        <v>0</v>
      </c>
      <c r="T16">
        <f>$B16*'Time Series Scaling Factors'!T67</f>
        <v>0</v>
      </c>
      <c r="U16">
        <f>$B16*'Time Series Scaling Factors'!U67</f>
        <v>0</v>
      </c>
      <c r="V16">
        <f>$B16*'Time Series Scaling Factors'!V67</f>
        <v>0</v>
      </c>
      <c r="W16">
        <f>$B16*'Time Series Scaling Factors'!W67</f>
        <v>0</v>
      </c>
      <c r="X16">
        <f>$B16*'Time Series Scaling Factors'!X67</f>
        <v>0</v>
      </c>
      <c r="Y16">
        <f>$B16*'Time Series Scaling Factors'!Y67</f>
        <v>0</v>
      </c>
      <c r="Z16">
        <f>$B16*'Time Series Scaling Factors'!Z67</f>
        <v>0</v>
      </c>
      <c r="AA16">
        <f>$B16*'Time Series Scaling Factors'!AA67</f>
        <v>0</v>
      </c>
      <c r="AB16">
        <f>$B16*'Time Series Scaling Factors'!AB67</f>
        <v>0</v>
      </c>
      <c r="AC16">
        <f>$B16*'Time Series Scaling Factors'!AC67</f>
        <v>0</v>
      </c>
      <c r="AD16">
        <f>$B16*'Time Series Scaling Factors'!AD67</f>
        <v>0</v>
      </c>
      <c r="AE16">
        <f>$B16*'Time Series Scaling Factors'!AE67</f>
        <v>0</v>
      </c>
      <c r="AF16">
        <f t="shared" si="1"/>
        <v>0</v>
      </c>
      <c r="AG16">
        <f t="shared" si="0"/>
        <v>0</v>
      </c>
      <c r="AH16">
        <f t="shared" si="0"/>
        <v>0</v>
      </c>
      <c r="AI16">
        <f t="shared" si="0"/>
        <v>0</v>
      </c>
      <c r="AJ16">
        <f t="shared" si="0"/>
        <v>0</v>
      </c>
      <c r="AK16">
        <f t="shared" ref="AG16:AY22" si="2">AJ16</f>
        <v>0</v>
      </c>
      <c r="AL16">
        <f t="shared" si="2"/>
        <v>0</v>
      </c>
      <c r="AM16">
        <f t="shared" si="2"/>
        <v>0</v>
      </c>
      <c r="AN16">
        <f t="shared" si="2"/>
        <v>0</v>
      </c>
      <c r="AO16">
        <f t="shared" si="2"/>
        <v>0</v>
      </c>
      <c r="AP16">
        <f t="shared" si="2"/>
        <v>0</v>
      </c>
      <c r="AQ16">
        <f t="shared" si="2"/>
        <v>0</v>
      </c>
      <c r="AR16">
        <f t="shared" si="2"/>
        <v>0</v>
      </c>
      <c r="AS16">
        <f t="shared" si="2"/>
        <v>0</v>
      </c>
      <c r="AT16">
        <f t="shared" si="2"/>
        <v>0</v>
      </c>
      <c r="AU16">
        <f t="shared" si="2"/>
        <v>0</v>
      </c>
      <c r="AV16">
        <f t="shared" si="2"/>
        <v>0</v>
      </c>
      <c r="AW16">
        <f t="shared" si="2"/>
        <v>0</v>
      </c>
      <c r="AX16">
        <f t="shared" si="2"/>
        <v>0</v>
      </c>
      <c r="AY16">
        <f t="shared" si="2"/>
        <v>0</v>
      </c>
    </row>
    <row r="17" spans="1:51" x14ac:dyDescent="0.75">
      <c r="A17" s="1" t="s">
        <v>1043</v>
      </c>
      <c r="B17">
        <f>'Start Year Data'!$D$41</f>
        <v>0</v>
      </c>
      <c r="C17">
        <f>$B17*'Time Series Scaling Factors'!C68</f>
        <v>0</v>
      </c>
      <c r="D17">
        <f>$B17*'Time Series Scaling Factors'!D68</f>
        <v>0</v>
      </c>
      <c r="E17">
        <f>$B17*'Time Series Scaling Factors'!E68</f>
        <v>0</v>
      </c>
      <c r="F17">
        <f>$B17*'Time Series Scaling Factors'!F68</f>
        <v>0</v>
      </c>
      <c r="G17">
        <f>$B17*'Time Series Scaling Factors'!G68</f>
        <v>0</v>
      </c>
      <c r="H17">
        <f>$B17*'Time Series Scaling Factors'!H68</f>
        <v>0</v>
      </c>
      <c r="I17">
        <f>$B17*'Time Series Scaling Factors'!I68</f>
        <v>0</v>
      </c>
      <c r="J17">
        <f>$B17*'Time Series Scaling Factors'!J68</f>
        <v>0</v>
      </c>
      <c r="K17">
        <f>$B17*'Time Series Scaling Factors'!K68</f>
        <v>0</v>
      </c>
      <c r="L17">
        <f>$B17*'Time Series Scaling Factors'!L68</f>
        <v>0</v>
      </c>
      <c r="M17">
        <f>$B17*'Time Series Scaling Factors'!M68</f>
        <v>0</v>
      </c>
      <c r="N17">
        <f>$B17*'Time Series Scaling Factors'!N68</f>
        <v>0</v>
      </c>
      <c r="O17">
        <f>$B17*'Time Series Scaling Factors'!O68</f>
        <v>0</v>
      </c>
      <c r="P17">
        <f>$B17*'Time Series Scaling Factors'!P68</f>
        <v>0</v>
      </c>
      <c r="Q17">
        <f>$B17*'Time Series Scaling Factors'!Q68</f>
        <v>0</v>
      </c>
      <c r="R17">
        <f>$B17*'Time Series Scaling Factors'!R68</f>
        <v>0</v>
      </c>
      <c r="S17">
        <f>$B17*'Time Series Scaling Factors'!S68</f>
        <v>0</v>
      </c>
      <c r="T17">
        <f>$B17*'Time Series Scaling Factors'!T68</f>
        <v>0</v>
      </c>
      <c r="U17">
        <f>$B17*'Time Series Scaling Factors'!U68</f>
        <v>0</v>
      </c>
      <c r="V17">
        <f>$B17*'Time Series Scaling Factors'!V68</f>
        <v>0</v>
      </c>
      <c r="W17">
        <f>$B17*'Time Series Scaling Factors'!W68</f>
        <v>0</v>
      </c>
      <c r="X17">
        <f>$B17*'Time Series Scaling Factors'!X68</f>
        <v>0</v>
      </c>
      <c r="Y17">
        <f>$B17*'Time Series Scaling Factors'!Y68</f>
        <v>0</v>
      </c>
      <c r="Z17">
        <f>$B17*'Time Series Scaling Factors'!Z68</f>
        <v>0</v>
      </c>
      <c r="AA17">
        <f>$B17*'Time Series Scaling Factors'!AA68</f>
        <v>0</v>
      </c>
      <c r="AB17">
        <f>$B17*'Time Series Scaling Factors'!AB68</f>
        <v>0</v>
      </c>
      <c r="AC17">
        <f>$B17*'Time Series Scaling Factors'!AC68</f>
        <v>0</v>
      </c>
      <c r="AD17">
        <f>$B17*'Time Series Scaling Factors'!AD68</f>
        <v>0</v>
      </c>
      <c r="AE17">
        <f>$B17*'Time Series Scaling Factors'!AE68</f>
        <v>0</v>
      </c>
      <c r="AF17">
        <f t="shared" si="1"/>
        <v>0</v>
      </c>
      <c r="AG17">
        <f t="shared" si="2"/>
        <v>0</v>
      </c>
      <c r="AH17">
        <f t="shared" si="2"/>
        <v>0</v>
      </c>
      <c r="AI17">
        <f t="shared" si="2"/>
        <v>0</v>
      </c>
      <c r="AJ17">
        <f t="shared" si="2"/>
        <v>0</v>
      </c>
      <c r="AK17">
        <f t="shared" si="2"/>
        <v>0</v>
      </c>
      <c r="AL17">
        <f t="shared" si="2"/>
        <v>0</v>
      </c>
      <c r="AM17">
        <f t="shared" si="2"/>
        <v>0</v>
      </c>
      <c r="AN17">
        <f t="shared" si="2"/>
        <v>0</v>
      </c>
      <c r="AO17">
        <f t="shared" si="2"/>
        <v>0</v>
      </c>
      <c r="AP17">
        <f t="shared" si="2"/>
        <v>0</v>
      </c>
      <c r="AQ17">
        <f t="shared" si="2"/>
        <v>0</v>
      </c>
      <c r="AR17">
        <f t="shared" si="2"/>
        <v>0</v>
      </c>
      <c r="AS17">
        <f t="shared" si="2"/>
        <v>0</v>
      </c>
      <c r="AT17">
        <f t="shared" si="2"/>
        <v>0</v>
      </c>
      <c r="AU17">
        <f t="shared" si="2"/>
        <v>0</v>
      </c>
      <c r="AV17">
        <f t="shared" si="2"/>
        <v>0</v>
      </c>
      <c r="AW17">
        <f t="shared" si="2"/>
        <v>0</v>
      </c>
      <c r="AX17">
        <f t="shared" si="2"/>
        <v>0</v>
      </c>
      <c r="AY17">
        <f t="shared" si="2"/>
        <v>0</v>
      </c>
    </row>
    <row r="18" spans="1:51" x14ac:dyDescent="0.75">
      <c r="A18" s="1" t="s">
        <v>1044</v>
      </c>
      <c r="B18">
        <f>'Start Year Data'!$D$42</f>
        <v>2119629964335360</v>
      </c>
      <c r="C18">
        <f>$B18*'Time Series Scaling Factors'!C69</f>
        <v>2347923529834110</v>
      </c>
      <c r="D18">
        <f>$B18*'Time Series Scaling Factors'!D69</f>
        <v>2411803066660003</v>
      </c>
      <c r="E18">
        <f>$B18*'Time Series Scaling Factors'!E69</f>
        <v>2574896843082585.5</v>
      </c>
      <c r="F18">
        <f>$B18*'Time Series Scaling Factors'!F69</f>
        <v>2606795824656369.5</v>
      </c>
      <c r="G18">
        <f>$B18*'Time Series Scaling Factors'!G69</f>
        <v>2669103801502490</v>
      </c>
      <c r="H18">
        <f>$B18*'Time Series Scaling Factors'!H69</f>
        <v>2722041192051877</v>
      </c>
      <c r="I18">
        <f>$B18*'Time Series Scaling Factors'!I69</f>
        <v>2740642777388336</v>
      </c>
      <c r="J18">
        <f>$B18*'Time Series Scaling Factors'!J69</f>
        <v>2771538174717763.5</v>
      </c>
      <c r="K18">
        <f>$B18*'Time Series Scaling Factors'!K69</f>
        <v>2812376820765828</v>
      </c>
      <c r="L18">
        <f>$B18*'Time Series Scaling Factors'!L69</f>
        <v>2828177794257944</v>
      </c>
      <c r="M18">
        <f>$B18*'Time Series Scaling Factors'!M69</f>
        <v>2845537661009595.5</v>
      </c>
      <c r="N18">
        <f>$B18*'Time Series Scaling Factors'!N69</f>
        <v>2851956648156764.5</v>
      </c>
      <c r="O18">
        <f>$B18*'Time Series Scaling Factors'!O69</f>
        <v>2882441770417724</v>
      </c>
      <c r="P18">
        <f>$B18*'Time Series Scaling Factors'!P69</f>
        <v>2910657396413867</v>
      </c>
      <c r="Q18">
        <f>$B18*'Time Series Scaling Factors'!Q69</f>
        <v>2923048995487063</v>
      </c>
      <c r="R18">
        <f>$B18*'Time Series Scaling Factors'!R69</f>
        <v>2927540994484617.5</v>
      </c>
      <c r="S18">
        <f>$B18*'Time Series Scaling Factors'!S69</f>
        <v>2928757506296154</v>
      </c>
      <c r="T18">
        <f>$B18*'Time Series Scaling Factors'!T69</f>
        <v>2947266751242087</v>
      </c>
      <c r="U18">
        <f>$B18*'Time Series Scaling Factors'!U69</f>
        <v>2920165923293979</v>
      </c>
      <c r="V18">
        <f>$B18*'Time Series Scaling Factors'!V69</f>
        <v>2930977222350439</v>
      </c>
      <c r="W18">
        <f>$B18*'Time Series Scaling Factors'!W69</f>
        <v>2939965653697631</v>
      </c>
      <c r="X18">
        <f>$B18*'Time Series Scaling Factors'!X69</f>
        <v>2943358434713041.5</v>
      </c>
      <c r="Y18">
        <f>$B18*'Time Series Scaling Factors'!Y69</f>
        <v>2941007998105912.5</v>
      </c>
      <c r="Z18">
        <f>$B18*'Time Series Scaling Factors'!Z69</f>
        <v>2930604440773872.5</v>
      </c>
      <c r="AA18">
        <f>$B18*'Time Series Scaling Factors'!AA69</f>
        <v>2887911640217554.5</v>
      </c>
      <c r="AB18">
        <f>$B18*'Time Series Scaling Factors'!AB69</f>
        <v>2853927336491196</v>
      </c>
      <c r="AC18">
        <f>$B18*'Time Series Scaling Factors'!AC69</f>
        <v>2851778807404640.5</v>
      </c>
      <c r="AD18">
        <f>$B18*'Time Series Scaling Factors'!AD69</f>
        <v>2837679607776330.5</v>
      </c>
      <c r="AE18">
        <f>$B18*'Time Series Scaling Factors'!AE69</f>
        <v>2777974641938859</v>
      </c>
      <c r="AF18">
        <f t="shared" si="1"/>
        <v>2777974641938859</v>
      </c>
      <c r="AG18">
        <f t="shared" si="2"/>
        <v>2777974641938859</v>
      </c>
      <c r="AH18">
        <f t="shared" si="2"/>
        <v>2777974641938859</v>
      </c>
      <c r="AI18">
        <f t="shared" si="2"/>
        <v>2777974641938859</v>
      </c>
      <c r="AJ18">
        <f t="shared" si="2"/>
        <v>2777974641938859</v>
      </c>
      <c r="AK18">
        <f t="shared" si="2"/>
        <v>2777974641938859</v>
      </c>
      <c r="AL18">
        <f t="shared" si="2"/>
        <v>2777974641938859</v>
      </c>
      <c r="AM18">
        <f t="shared" si="2"/>
        <v>2777974641938859</v>
      </c>
      <c r="AN18">
        <f t="shared" si="2"/>
        <v>2777974641938859</v>
      </c>
      <c r="AO18">
        <f t="shared" si="2"/>
        <v>2777974641938859</v>
      </c>
      <c r="AP18">
        <f t="shared" si="2"/>
        <v>2777974641938859</v>
      </c>
      <c r="AQ18">
        <f t="shared" si="2"/>
        <v>2777974641938859</v>
      </c>
      <c r="AR18">
        <f t="shared" si="2"/>
        <v>2777974641938859</v>
      </c>
      <c r="AS18">
        <f t="shared" si="2"/>
        <v>2777974641938859</v>
      </c>
      <c r="AT18">
        <f t="shared" si="2"/>
        <v>2777974641938859</v>
      </c>
      <c r="AU18">
        <f t="shared" si="2"/>
        <v>2777974641938859</v>
      </c>
      <c r="AV18">
        <f t="shared" si="2"/>
        <v>2777974641938859</v>
      </c>
      <c r="AW18">
        <f t="shared" si="2"/>
        <v>2777974641938859</v>
      </c>
      <c r="AX18">
        <f t="shared" si="2"/>
        <v>2777974641938859</v>
      </c>
      <c r="AY18">
        <f t="shared" si="2"/>
        <v>2777974641938859</v>
      </c>
    </row>
    <row r="19" spans="1:51" x14ac:dyDescent="0.75">
      <c r="A19" s="1" t="s">
        <v>1045</v>
      </c>
      <c r="B19">
        <f>'Start Year Data'!$D$43</f>
        <v>402035587790400</v>
      </c>
      <c r="C19">
        <f>$B19*'Time Series Scaling Factors'!C70</f>
        <v>445336606995813.88</v>
      </c>
      <c r="D19">
        <f>$B19*'Time Series Scaling Factors'!D70</f>
        <v>457452800655884.75</v>
      </c>
      <c r="E19">
        <f>$B19*'Time Series Scaling Factors'!E70</f>
        <v>488387210610581.44</v>
      </c>
      <c r="F19">
        <f>$B19*'Time Series Scaling Factors'!F70</f>
        <v>494437571297453.81</v>
      </c>
      <c r="G19">
        <f>$B19*'Time Series Scaling Factors'!G70</f>
        <v>506255683192855.06</v>
      </c>
      <c r="H19">
        <f>$B19*'Time Series Scaling Factors'!H70</f>
        <v>516296452234486.5</v>
      </c>
      <c r="I19">
        <f>$B19*'Time Series Scaling Factors'!I70</f>
        <v>519824662073188.94</v>
      </c>
      <c r="J19">
        <f>$B19*'Time Series Scaling Factors'!J70</f>
        <v>525684670392730.31</v>
      </c>
      <c r="K19">
        <f>$B19*'Time Series Scaling Factors'!K70</f>
        <v>533430639899085.06</v>
      </c>
      <c r="L19">
        <f>$B19*'Time Series Scaling Factors'!L70</f>
        <v>536427650590786.38</v>
      </c>
      <c r="M19">
        <f>$B19*'Time Series Scaling Factors'!M70</f>
        <v>539720340518224.56</v>
      </c>
      <c r="N19">
        <f>$B19*'Time Series Scaling Factors'!N70</f>
        <v>540937846080116.5</v>
      </c>
      <c r="O19">
        <f>$B19*'Time Series Scaling Factors'!O70</f>
        <v>546720036487530.44</v>
      </c>
      <c r="P19">
        <f>$B19*'Time Series Scaling Factors'!P70</f>
        <v>552071765786087.75</v>
      </c>
      <c r="Q19">
        <f>$B19*'Time Series Scaling Factors'!Q70</f>
        <v>554422111790286.31</v>
      </c>
      <c r="R19">
        <f>$B19*'Time Series Scaling Factors'!R70</f>
        <v>555274120625659.63</v>
      </c>
      <c r="S19">
        <f>$B19*'Time Series Scaling Factors'!S70</f>
        <v>555504859504348</v>
      </c>
      <c r="T19">
        <f>$B19*'Time Series Scaling Factors'!T70</f>
        <v>559015554907131.75</v>
      </c>
      <c r="U19">
        <f>$B19*'Time Series Scaling Factors'!U70</f>
        <v>553875272179933.88</v>
      </c>
      <c r="V19">
        <f>$B19*'Time Series Scaling Factors'!V70</f>
        <v>555925878674499.38</v>
      </c>
      <c r="W19">
        <f>$B19*'Time Series Scaling Factors'!W70</f>
        <v>557630737230372.31</v>
      </c>
      <c r="X19">
        <f>$B19*'Time Series Scaling Factors'!X70</f>
        <v>558274254604973.31</v>
      </c>
      <c r="Y19">
        <f>$B19*'Time Series Scaling Factors'!Y70</f>
        <v>557828441336237.25</v>
      </c>
      <c r="Z19">
        <f>$B19*'Time Series Scaling Factors'!Z70</f>
        <v>555855172248012.56</v>
      </c>
      <c r="AA19">
        <f>$B19*'Time Series Scaling Factors'!AA70</f>
        <v>547757520556501.63</v>
      </c>
      <c r="AB19">
        <f>$B19*'Time Series Scaling Factors'!AB70</f>
        <v>541311631531452.75</v>
      </c>
      <c r="AC19">
        <f>$B19*'Time Series Scaling Factors'!AC70</f>
        <v>540904114573902.56</v>
      </c>
      <c r="AD19">
        <f>$B19*'Time Series Scaling Factors'!AD70</f>
        <v>538229883644298.19</v>
      </c>
      <c r="AE19">
        <f>$B19*'Time Series Scaling Factors'!AE70</f>
        <v>526905491444549.19</v>
      </c>
      <c r="AF19">
        <f t="shared" ref="AF19:AU22" si="3">AE19</f>
        <v>526905491444549.19</v>
      </c>
      <c r="AG19">
        <f t="shared" si="2"/>
        <v>526905491444549.19</v>
      </c>
      <c r="AH19">
        <f t="shared" si="2"/>
        <v>526905491444549.19</v>
      </c>
      <c r="AI19">
        <f t="shared" si="2"/>
        <v>526905491444549.19</v>
      </c>
      <c r="AJ19">
        <f t="shared" si="2"/>
        <v>526905491444549.19</v>
      </c>
      <c r="AK19">
        <f t="shared" si="2"/>
        <v>526905491444549.19</v>
      </c>
      <c r="AL19">
        <f t="shared" si="2"/>
        <v>526905491444549.19</v>
      </c>
      <c r="AM19">
        <f t="shared" si="2"/>
        <v>526905491444549.19</v>
      </c>
      <c r="AN19">
        <f t="shared" si="2"/>
        <v>526905491444549.19</v>
      </c>
      <c r="AO19">
        <f t="shared" si="2"/>
        <v>526905491444549.19</v>
      </c>
      <c r="AP19">
        <f t="shared" si="2"/>
        <v>526905491444549.19</v>
      </c>
      <c r="AQ19">
        <f t="shared" si="2"/>
        <v>526905491444549.19</v>
      </c>
      <c r="AR19">
        <f t="shared" si="2"/>
        <v>526905491444549.19</v>
      </c>
      <c r="AS19">
        <f t="shared" si="2"/>
        <v>526905491444549.19</v>
      </c>
      <c r="AT19">
        <f t="shared" si="2"/>
        <v>526905491444549.19</v>
      </c>
      <c r="AU19">
        <f t="shared" si="2"/>
        <v>526905491444549.19</v>
      </c>
      <c r="AV19">
        <f t="shared" si="2"/>
        <v>526905491444549.19</v>
      </c>
      <c r="AW19">
        <f t="shared" si="2"/>
        <v>526905491444549.19</v>
      </c>
      <c r="AX19">
        <f t="shared" si="2"/>
        <v>526905491444549.19</v>
      </c>
      <c r="AY19">
        <f t="shared" si="2"/>
        <v>526905491444549.19</v>
      </c>
    </row>
    <row r="20" spans="1:51" x14ac:dyDescent="0.75">
      <c r="A20" s="1" t="s">
        <v>1046</v>
      </c>
      <c r="B20">
        <f>'Start Year Data'!$D$44</f>
        <v>0</v>
      </c>
      <c r="C20">
        <f>$B20*'Time Series Scaling Factors'!C71</f>
        <v>0</v>
      </c>
      <c r="D20">
        <f>$B20*'Time Series Scaling Factors'!D71</f>
        <v>0</v>
      </c>
      <c r="E20">
        <f>$B20*'Time Series Scaling Factors'!E71</f>
        <v>0</v>
      </c>
      <c r="F20">
        <f>$B20*'Time Series Scaling Factors'!F71</f>
        <v>0</v>
      </c>
      <c r="G20">
        <f>$B20*'Time Series Scaling Factors'!G71</f>
        <v>0</v>
      </c>
      <c r="H20">
        <f>$B20*'Time Series Scaling Factors'!H71</f>
        <v>0</v>
      </c>
      <c r="I20">
        <f>$B20*'Time Series Scaling Factors'!I71</f>
        <v>0</v>
      </c>
      <c r="J20">
        <f>$B20*'Time Series Scaling Factors'!J71</f>
        <v>0</v>
      </c>
      <c r="K20">
        <f>$B20*'Time Series Scaling Factors'!K71</f>
        <v>0</v>
      </c>
      <c r="L20">
        <f>$B20*'Time Series Scaling Factors'!L71</f>
        <v>0</v>
      </c>
      <c r="M20">
        <f>$B20*'Time Series Scaling Factors'!M71</f>
        <v>0</v>
      </c>
      <c r="N20">
        <f>$B20*'Time Series Scaling Factors'!N71</f>
        <v>0</v>
      </c>
      <c r="O20">
        <f>$B20*'Time Series Scaling Factors'!O71</f>
        <v>0</v>
      </c>
      <c r="P20">
        <f>$B20*'Time Series Scaling Factors'!P71</f>
        <v>0</v>
      </c>
      <c r="Q20">
        <f>$B20*'Time Series Scaling Factors'!Q71</f>
        <v>0</v>
      </c>
      <c r="R20">
        <f>$B20*'Time Series Scaling Factors'!R71</f>
        <v>0</v>
      </c>
      <c r="S20">
        <f>$B20*'Time Series Scaling Factors'!S71</f>
        <v>0</v>
      </c>
      <c r="T20">
        <f>$B20*'Time Series Scaling Factors'!T71</f>
        <v>0</v>
      </c>
      <c r="U20">
        <f>$B20*'Time Series Scaling Factors'!U71</f>
        <v>0</v>
      </c>
      <c r="V20">
        <f>$B20*'Time Series Scaling Factors'!V71</f>
        <v>0</v>
      </c>
      <c r="W20">
        <f>$B20*'Time Series Scaling Factors'!W71</f>
        <v>0</v>
      </c>
      <c r="X20">
        <f>$B20*'Time Series Scaling Factors'!X71</f>
        <v>0</v>
      </c>
      <c r="Y20">
        <f>$B20*'Time Series Scaling Factors'!Y71</f>
        <v>0</v>
      </c>
      <c r="Z20">
        <f>$B20*'Time Series Scaling Factors'!Z71</f>
        <v>0</v>
      </c>
      <c r="AA20">
        <f>$B20*'Time Series Scaling Factors'!AA71</f>
        <v>0</v>
      </c>
      <c r="AB20">
        <f>$B20*'Time Series Scaling Factors'!AB71</f>
        <v>0</v>
      </c>
      <c r="AC20">
        <f>$B20*'Time Series Scaling Factors'!AC71</f>
        <v>0</v>
      </c>
      <c r="AD20">
        <f>$B20*'Time Series Scaling Factors'!AD71</f>
        <v>0</v>
      </c>
      <c r="AE20">
        <f>$B20*'Time Series Scaling Factors'!AE71</f>
        <v>0</v>
      </c>
      <c r="AF20">
        <f t="shared" si="3"/>
        <v>0</v>
      </c>
      <c r="AG20">
        <f t="shared" si="2"/>
        <v>0</v>
      </c>
      <c r="AH20">
        <f t="shared" si="2"/>
        <v>0</v>
      </c>
      <c r="AI20">
        <f t="shared" si="2"/>
        <v>0</v>
      </c>
      <c r="AJ20">
        <f t="shared" si="2"/>
        <v>0</v>
      </c>
      <c r="AK20">
        <f t="shared" si="2"/>
        <v>0</v>
      </c>
      <c r="AL20">
        <f t="shared" si="2"/>
        <v>0</v>
      </c>
      <c r="AM20">
        <f t="shared" si="2"/>
        <v>0</v>
      </c>
      <c r="AN20">
        <f t="shared" si="2"/>
        <v>0</v>
      </c>
      <c r="AO20">
        <f t="shared" si="2"/>
        <v>0</v>
      </c>
      <c r="AP20">
        <f t="shared" si="2"/>
        <v>0</v>
      </c>
      <c r="AQ20">
        <f t="shared" si="2"/>
        <v>0</v>
      </c>
      <c r="AR20">
        <f t="shared" si="2"/>
        <v>0</v>
      </c>
      <c r="AS20">
        <f t="shared" si="2"/>
        <v>0</v>
      </c>
      <c r="AT20">
        <f t="shared" si="2"/>
        <v>0</v>
      </c>
      <c r="AU20">
        <f t="shared" si="2"/>
        <v>0</v>
      </c>
      <c r="AV20">
        <f t="shared" si="2"/>
        <v>0</v>
      </c>
      <c r="AW20">
        <f t="shared" si="2"/>
        <v>0</v>
      </c>
      <c r="AX20">
        <f t="shared" si="2"/>
        <v>0</v>
      </c>
      <c r="AY20">
        <f t="shared" si="2"/>
        <v>0</v>
      </c>
    </row>
    <row r="21" spans="1:51" x14ac:dyDescent="0.75">
      <c r="A21" s="1" t="s">
        <v>1047</v>
      </c>
      <c r="B21">
        <f>'Start Year Data'!$D$45</f>
        <v>0</v>
      </c>
      <c r="C21">
        <f>$B21*'Time Series Scaling Factors'!C72</f>
        <v>0</v>
      </c>
      <c r="D21">
        <f>$B21*'Time Series Scaling Factors'!D72</f>
        <v>0</v>
      </c>
      <c r="E21">
        <f>$B21*'Time Series Scaling Factors'!E72</f>
        <v>0</v>
      </c>
      <c r="F21">
        <f>$B21*'Time Series Scaling Factors'!F72</f>
        <v>0</v>
      </c>
      <c r="G21">
        <f>$B21*'Time Series Scaling Factors'!G72</f>
        <v>0</v>
      </c>
      <c r="H21">
        <f>$B21*'Time Series Scaling Factors'!H72</f>
        <v>0</v>
      </c>
      <c r="I21">
        <f>$B21*'Time Series Scaling Factors'!I72</f>
        <v>0</v>
      </c>
      <c r="J21">
        <f>$B21*'Time Series Scaling Factors'!J72</f>
        <v>0</v>
      </c>
      <c r="K21">
        <f>$B21*'Time Series Scaling Factors'!K72</f>
        <v>0</v>
      </c>
      <c r="L21">
        <f>$B21*'Time Series Scaling Factors'!L72</f>
        <v>0</v>
      </c>
      <c r="M21">
        <f>$B21*'Time Series Scaling Factors'!M72</f>
        <v>0</v>
      </c>
      <c r="N21">
        <f>$B21*'Time Series Scaling Factors'!N72</f>
        <v>0</v>
      </c>
      <c r="O21">
        <f>$B21*'Time Series Scaling Factors'!O72</f>
        <v>0</v>
      </c>
      <c r="P21">
        <f>$B21*'Time Series Scaling Factors'!P72</f>
        <v>0</v>
      </c>
      <c r="Q21">
        <f>$B21*'Time Series Scaling Factors'!Q72</f>
        <v>0</v>
      </c>
      <c r="R21">
        <f>$B21*'Time Series Scaling Factors'!R72</f>
        <v>0</v>
      </c>
      <c r="S21">
        <f>$B21*'Time Series Scaling Factors'!S72</f>
        <v>0</v>
      </c>
      <c r="T21">
        <f>$B21*'Time Series Scaling Factors'!T72</f>
        <v>0</v>
      </c>
      <c r="U21">
        <f>$B21*'Time Series Scaling Factors'!U72</f>
        <v>0</v>
      </c>
      <c r="V21">
        <f>$B21*'Time Series Scaling Factors'!V72</f>
        <v>0</v>
      </c>
      <c r="W21">
        <f>$B21*'Time Series Scaling Factors'!W72</f>
        <v>0</v>
      </c>
      <c r="X21">
        <f>$B21*'Time Series Scaling Factors'!X72</f>
        <v>0</v>
      </c>
      <c r="Y21">
        <f>$B21*'Time Series Scaling Factors'!Y72</f>
        <v>0</v>
      </c>
      <c r="Z21">
        <f>$B21*'Time Series Scaling Factors'!Z72</f>
        <v>0</v>
      </c>
      <c r="AA21">
        <f>$B21*'Time Series Scaling Factors'!AA72</f>
        <v>0</v>
      </c>
      <c r="AB21">
        <f>$B21*'Time Series Scaling Factors'!AB72</f>
        <v>0</v>
      </c>
      <c r="AC21">
        <f>$B21*'Time Series Scaling Factors'!AC72</f>
        <v>0</v>
      </c>
      <c r="AD21">
        <f>$B21*'Time Series Scaling Factors'!AD72</f>
        <v>0</v>
      </c>
      <c r="AE21">
        <f>$B21*'Time Series Scaling Factors'!AE72</f>
        <v>0</v>
      </c>
      <c r="AF21">
        <f t="shared" si="3"/>
        <v>0</v>
      </c>
      <c r="AG21">
        <f t="shared" si="2"/>
        <v>0</v>
      </c>
      <c r="AH21">
        <f t="shared" si="2"/>
        <v>0</v>
      </c>
      <c r="AI21">
        <f t="shared" si="2"/>
        <v>0</v>
      </c>
      <c r="AJ21">
        <f t="shared" si="2"/>
        <v>0</v>
      </c>
      <c r="AK21">
        <f t="shared" si="2"/>
        <v>0</v>
      </c>
      <c r="AL21">
        <f t="shared" si="2"/>
        <v>0</v>
      </c>
      <c r="AM21">
        <f t="shared" si="2"/>
        <v>0</v>
      </c>
      <c r="AN21">
        <f t="shared" si="2"/>
        <v>0</v>
      </c>
      <c r="AO21">
        <f t="shared" si="2"/>
        <v>0</v>
      </c>
      <c r="AP21">
        <f t="shared" si="2"/>
        <v>0</v>
      </c>
      <c r="AQ21">
        <f t="shared" si="2"/>
        <v>0</v>
      </c>
      <c r="AR21">
        <f t="shared" si="2"/>
        <v>0</v>
      </c>
      <c r="AS21">
        <f t="shared" si="2"/>
        <v>0</v>
      </c>
      <c r="AT21">
        <f t="shared" si="2"/>
        <v>0</v>
      </c>
      <c r="AU21">
        <f t="shared" si="2"/>
        <v>0</v>
      </c>
      <c r="AV21">
        <f t="shared" si="2"/>
        <v>0</v>
      </c>
      <c r="AW21">
        <f t="shared" si="2"/>
        <v>0</v>
      </c>
      <c r="AX21">
        <f t="shared" si="2"/>
        <v>0</v>
      </c>
      <c r="AY21">
        <f t="shared" si="2"/>
        <v>0</v>
      </c>
    </row>
    <row r="22" spans="1:51" x14ac:dyDescent="0.75">
      <c r="A22" s="1" t="s">
        <v>1048</v>
      </c>
      <c r="B22">
        <f>'Start Year Data'!$D$46</f>
        <v>0</v>
      </c>
      <c r="C22">
        <f>$B22*'Time Series Scaling Factors'!C73</f>
        <v>0</v>
      </c>
      <c r="D22">
        <f>$B22*'Time Series Scaling Factors'!D73</f>
        <v>0</v>
      </c>
      <c r="E22">
        <f>$B22*'Time Series Scaling Factors'!E73</f>
        <v>0</v>
      </c>
      <c r="F22">
        <f>$B22*'Time Series Scaling Factors'!F73</f>
        <v>0</v>
      </c>
      <c r="G22">
        <f>$B22*'Time Series Scaling Factors'!G73</f>
        <v>0</v>
      </c>
      <c r="H22">
        <f>$B22*'Time Series Scaling Factors'!H73</f>
        <v>0</v>
      </c>
      <c r="I22">
        <f>$B22*'Time Series Scaling Factors'!I73</f>
        <v>0</v>
      </c>
      <c r="J22">
        <f>$B22*'Time Series Scaling Factors'!J73</f>
        <v>0</v>
      </c>
      <c r="K22">
        <f>$B22*'Time Series Scaling Factors'!K73</f>
        <v>0</v>
      </c>
      <c r="L22">
        <f>$B22*'Time Series Scaling Factors'!L73</f>
        <v>0</v>
      </c>
      <c r="M22">
        <f>$B22*'Time Series Scaling Factors'!M73</f>
        <v>0</v>
      </c>
      <c r="N22">
        <f>$B22*'Time Series Scaling Factors'!N73</f>
        <v>0</v>
      </c>
      <c r="O22">
        <f>$B22*'Time Series Scaling Factors'!O73</f>
        <v>0</v>
      </c>
      <c r="P22">
        <f>$B22*'Time Series Scaling Factors'!P73</f>
        <v>0</v>
      </c>
      <c r="Q22">
        <f>$B22*'Time Series Scaling Factors'!Q73</f>
        <v>0</v>
      </c>
      <c r="R22">
        <f>$B22*'Time Series Scaling Factors'!R73</f>
        <v>0</v>
      </c>
      <c r="S22">
        <f>$B22*'Time Series Scaling Factors'!S73</f>
        <v>0</v>
      </c>
      <c r="T22">
        <f>$B22*'Time Series Scaling Factors'!T73</f>
        <v>0</v>
      </c>
      <c r="U22">
        <f>$B22*'Time Series Scaling Factors'!U73</f>
        <v>0</v>
      </c>
      <c r="V22">
        <f>$B22*'Time Series Scaling Factors'!V73</f>
        <v>0</v>
      </c>
      <c r="W22">
        <f>$B22*'Time Series Scaling Factors'!W73</f>
        <v>0</v>
      </c>
      <c r="X22">
        <f>$B22*'Time Series Scaling Factors'!X73</f>
        <v>0</v>
      </c>
      <c r="Y22">
        <f>$B22*'Time Series Scaling Factors'!Y73</f>
        <v>0</v>
      </c>
      <c r="Z22">
        <f>$B22*'Time Series Scaling Factors'!Z73</f>
        <v>0</v>
      </c>
      <c r="AA22">
        <f>$B22*'Time Series Scaling Factors'!AA73</f>
        <v>0</v>
      </c>
      <c r="AB22">
        <f>$B22*'Time Series Scaling Factors'!AB73</f>
        <v>0</v>
      </c>
      <c r="AC22">
        <f>$B22*'Time Series Scaling Factors'!AC73</f>
        <v>0</v>
      </c>
      <c r="AD22">
        <f>$B22*'Time Series Scaling Factors'!AD73</f>
        <v>0</v>
      </c>
      <c r="AE22">
        <f>$B22*'Time Series Scaling Factors'!AE73</f>
        <v>0</v>
      </c>
      <c r="AF22">
        <f t="shared" si="3"/>
        <v>0</v>
      </c>
      <c r="AG22">
        <f t="shared" si="2"/>
        <v>0</v>
      </c>
      <c r="AH22">
        <f t="shared" si="2"/>
        <v>0</v>
      </c>
      <c r="AI22">
        <f t="shared" si="2"/>
        <v>0</v>
      </c>
      <c r="AJ22">
        <f t="shared" si="2"/>
        <v>0</v>
      </c>
      <c r="AK22">
        <f t="shared" si="2"/>
        <v>0</v>
      </c>
      <c r="AL22">
        <f t="shared" si="2"/>
        <v>0</v>
      </c>
      <c r="AM22">
        <f t="shared" si="2"/>
        <v>0</v>
      </c>
      <c r="AN22">
        <f t="shared" si="2"/>
        <v>0</v>
      </c>
      <c r="AO22">
        <f t="shared" si="2"/>
        <v>0</v>
      </c>
      <c r="AP22">
        <f t="shared" si="2"/>
        <v>0</v>
      </c>
      <c r="AQ22">
        <f t="shared" si="2"/>
        <v>0</v>
      </c>
      <c r="AR22">
        <f t="shared" si="2"/>
        <v>0</v>
      </c>
      <c r="AS22">
        <f t="shared" si="2"/>
        <v>0</v>
      </c>
      <c r="AT22">
        <f t="shared" si="2"/>
        <v>0</v>
      </c>
      <c r="AU22">
        <f t="shared" si="2"/>
        <v>0</v>
      </c>
      <c r="AV22">
        <f t="shared" si="2"/>
        <v>0</v>
      </c>
      <c r="AW22">
        <f t="shared" si="2"/>
        <v>0</v>
      </c>
      <c r="AX22">
        <f t="shared" si="2"/>
        <v>0</v>
      </c>
      <c r="AY22">
        <f t="shared" si="2"/>
        <v>0</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7350D42B0D95040ACC873ED5DCB146E" ma:contentTypeVersion="10" ma:contentTypeDescription="Create a new document." ma:contentTypeScope="" ma:versionID="020cb2bc0a5c2db1559a2aefea847bb4">
  <xsd:schema xmlns:xsd="http://www.w3.org/2001/XMLSchema" xmlns:xs="http://www.w3.org/2001/XMLSchema" xmlns:p="http://schemas.microsoft.com/office/2006/metadata/properties" xmlns:ns2="688c5d3b-a76a-458b-b159-91c2a1154680" targetNamespace="http://schemas.microsoft.com/office/2006/metadata/properties" ma:root="true" ma:fieldsID="5c8186f78b14318d7b4d7591620ce4c0" ns2:_="">
    <xsd:import namespace="688c5d3b-a76a-458b-b159-91c2a115468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8c5d3b-a76a-458b-b159-91c2a11546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eca5b831-c3dc-41cf-bd85-218b82cecb2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88c5d3b-a76a-458b-b159-91c2a115468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03D7FD3-E144-41FF-AE51-1513FF2E7AB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88c5d3b-a76a-458b-b159-91c2a115468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6033B4-182F-43FB-BC13-DA50CA4579E7}">
  <ds:schemaRefs>
    <ds:schemaRef ds:uri="http://schemas.microsoft.com/sharepoint/v3/contenttype/forms"/>
  </ds:schemaRefs>
</ds:datastoreItem>
</file>

<file path=customXml/itemProps3.xml><?xml version="1.0" encoding="utf-8"?>
<ds:datastoreItem xmlns:ds="http://schemas.openxmlformats.org/officeDocument/2006/customXml" ds:itemID="{72CD9E61-1920-4BE5-8B1E-8305DC1CCAED}">
  <ds:schemaRefs>
    <ds:schemaRef ds:uri="http://schemas.microsoft.com/office/2006/metadata/properties"/>
    <ds:schemaRef ds:uri="http://schemas.microsoft.com/office/infopath/2007/PartnerControls"/>
    <ds:schemaRef ds:uri="688c5d3b-a76a-458b-b159-91c2a1154680"/>
  </ds:schemaRefs>
</ds:datastoreItem>
</file>

<file path=docMetadata/LabelInfo.xml><?xml version="1.0" encoding="utf-8"?>
<clbl:labelList xmlns:clbl="http://schemas.microsoft.com/office/2020/mipLabelMetadata">
  <clbl:label id="{c7ef1c8b-ba63-4702-8e74-5094387a97de}" enabled="0" method="" siteId="{c7ef1c8b-ba63-4702-8e74-5094387a97d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About</vt:lpstr>
      <vt:lpstr>Petroleum and Biofuel Data</vt:lpstr>
      <vt:lpstr>Biomass Data</vt:lpstr>
      <vt:lpstr>Uranium, Coal, MSW, Hydrogen</vt:lpstr>
      <vt:lpstr>AEO 2022 Table 1</vt:lpstr>
      <vt:lpstr>AEO 2023 Table 1</vt:lpstr>
      <vt:lpstr>AEO 2023 Table 71</vt:lpstr>
      <vt:lpstr>AEO 2023 Table 58 Raw</vt:lpstr>
      <vt:lpstr>AEO 2023 Table 58</vt:lpstr>
      <vt:lpstr>AEO 2023 Table 59 Raw</vt:lpstr>
      <vt:lpstr>AEO 2023 Table 59</vt:lpstr>
      <vt:lpstr>GREET1 Fuel_Specs</vt:lpstr>
      <vt:lpstr>BALANCE</vt:lpstr>
      <vt:lpstr>Start Year Data</vt:lpstr>
      <vt:lpstr>Time Series Scaling Factors</vt:lpstr>
      <vt:lpstr>growth rate gas and oil</vt:lpstr>
      <vt:lpstr>BFPIaE-production</vt:lpstr>
      <vt:lpstr>BFPIaE-imports</vt:lpstr>
      <vt:lpstr>BFPIaE-exports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Jeffrey Rissman</dc:creator>
  <cp:keywords/>
  <dc:description/>
  <cp:lastModifiedBy>Olivia Ashmoore</cp:lastModifiedBy>
  <cp:revision/>
  <dcterms:created xsi:type="dcterms:W3CDTF">2019-07-26T21:45:06Z</dcterms:created>
  <dcterms:modified xsi:type="dcterms:W3CDTF">2026-01-23T21:42:31Z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0x01010027350D42B0D95040ACC873ED5DCB146E</vt:lpwstr>
  </property>
  <property fmtid="{D5CDD505-2E9C-101B-9397-08002B2CF9AE}" pid="3" name="xd_ProgID">
    <vt:lpwstr/>
  </property>
  <property fmtid="{D5CDD505-2E9C-101B-9397-08002B2CF9AE}" pid="4" name="MediaServiceImageTags">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